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C761D008-888A-44A8-B176-EA4AFF0ADF05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esis" sheetId="2" r:id="rId1"/>
    <sheet name="Sexenios" sheetId="3" r:id="rId2"/>
    <sheet name="Ingresos investigación 2023" sheetId="12" r:id="rId3"/>
    <sheet name="Ingresos investigación 2024" sheetId="14" r:id="rId4"/>
    <sheet name="Ingresos investigación 2025" sheetId="16" r:id="rId5"/>
  </sheets>
  <definedNames>
    <definedName name="_xlnm._FilterDatabase" localSheetId="1" hidden="1">Sexenios!#REF!</definedName>
    <definedName name="_xlnm._FilterDatabase" localSheetId="0" hidden="1">Tesis!$A$1:$U$33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6" l="1"/>
  <c r="C22" i="14"/>
  <c r="C33" i="12"/>
  <c r="S69" i="2"/>
  <c r="S25" i="3" l="1"/>
</calcChain>
</file>

<file path=xl/sharedStrings.xml><?xml version="1.0" encoding="utf-8"?>
<sst xmlns="http://schemas.openxmlformats.org/spreadsheetml/2006/main" count="1328" uniqueCount="408">
  <si>
    <t>Total</t>
  </si>
  <si>
    <t>32.60.6P.00.20</t>
  </si>
  <si>
    <t>32.60.6Q.00.01</t>
  </si>
  <si>
    <t>32.60.6Q.00.03</t>
  </si>
  <si>
    <t>32.60.6Q.00.04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</si>
  <si>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</si>
  <si>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</si>
  <si>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</si>
  <si>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</si>
  <si>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</si>
  <si>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</si>
  <si>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</si>
  <si>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</si>
  <si>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</si>
  <si>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</si>
  <si>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</si>
  <si>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</si>
  <si>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</si>
  <si>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</si>
  <si>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</si>
  <si>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</si>
  <si>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</si>
  <si>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</si>
  <si>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</si>
  <si>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</si>
  <si>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</si>
  <si>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</si>
  <si>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</si>
  <si>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</si>
  <si>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</si>
  <si>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</si>
  <si>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10.23</t>
  </si>
  <si>
    <t>10.06</t>
  </si>
  <si>
    <t>U044 </t>
  </si>
  <si>
    <t>ADM. FACULTAD DE CIENCIAS DE LA SALUD </t>
  </si>
  <si>
    <t>DOCTORADO EN CIENCIAS DE LA SALUD </t>
  </si>
  <si>
    <t>48296836X </t>
  </si>
  <si>
    <t>B170 </t>
  </si>
  <si>
    <t>ENFERMERÍA COMUNITARIA, MEDICINA PREVENTIVA Y SALUD PÚBLICA </t>
  </si>
  <si>
    <t>B170</t>
  </si>
  <si>
    <t>22656192L </t>
  </si>
  <si>
    <t>20003043N </t>
  </si>
  <si>
    <t>21394824V </t>
  </si>
  <si>
    <t>22630445D </t>
  </si>
  <si>
    <t>28555357Y </t>
  </si>
  <si>
    <t>21464171L </t>
  </si>
  <si>
    <t>21446950W </t>
  </si>
  <si>
    <t>26186611F </t>
  </si>
  <si>
    <t>21487726E </t>
  </si>
  <si>
    <t>33492987L </t>
  </si>
  <si>
    <t>48776351K </t>
  </si>
  <si>
    <t>21464171L</t>
  </si>
  <si>
    <t>21677876P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</si>
  <si>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</si>
  <si>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</si>
  <si>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</si>
  <si>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</si>
  <si>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</si>
  <si>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</si>
  <si>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</si>
  <si>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</si>
  <si>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</si>
  <si>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</si>
  <si>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</si>
  <si>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</si>
  <si>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</si>
  <si>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</si>
  <si>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28555357Y</t>
  </si>
  <si>
    <t>21629812Z</t>
  </si>
  <si>
    <t>48346931B</t>
  </si>
  <si>
    <t>21466700H</t>
  </si>
  <si>
    <t>21487726E</t>
  </si>
  <si>
    <t>33492987L</t>
  </si>
  <si>
    <t>20003043N</t>
  </si>
  <si>
    <t>21408380A</t>
  </si>
  <si>
    <t>48776351K</t>
  </si>
  <si>
    <t>21446950W</t>
  </si>
  <si>
    <t>26186611F</t>
  </si>
  <si>
    <t>21394824V</t>
  </si>
  <si>
    <t>48296836X</t>
  </si>
  <si>
    <t>32.60.6X.00.01</t>
  </si>
  <si>
    <t>32.60.6X.00.02</t>
  </si>
  <si>
    <t>Benazizi , Ikram </t>
  </si>
  <si>
    <t>Aculturación, factores socioeconómicos y hábitos dietéticos en inmigrantes residentes en España </t>
  </si>
  <si>
    <t>19/12/2019 </t>
  </si>
  <si>
    <t>Zhao , Guanlan </t>
  </si>
  <si>
    <t>Mortalidad en agricultores en una cohorte de población trabajadora en España </t>
  </si>
  <si>
    <t>51239649L</t>
  </si>
  <si>
    <t>COD DEP</t>
  </si>
  <si>
    <t>22630445D</t>
  </si>
  <si>
    <t>24330281F</t>
  </si>
  <si>
    <t>U022 </t>
  </si>
  <si>
    <t>ADM. FACULTAD DE CIENCIAS </t>
  </si>
  <si>
    <t>DOCTORADO EN CIENCIAS EXPERIMENTALES Y BIOSANITARIAS </t>
  </si>
  <si>
    <t>Vicente Alcalde, Nancy </t>
  </si>
  <si>
    <t>EVALUACIÓN DE LA COBERTURA VACUNAL EN LOS CENTROS PENITENCIARIOS ESPAÑOLES </t>
  </si>
  <si>
    <t>12/11/2020 </t>
  </si>
  <si>
    <t>Orviz Suárez, María Teresa </t>
  </si>
  <si>
    <t>DETERMINACIÓN DEL MAPA EPIDEMIOLÓGICO DE LA INFECCIÓN POR VIRUS DEL PAPILOMA HUMANO EN MUJERES USUARIAS DEL DEPARTAMENTO DE SALUD DE TORREVIEJA </t>
  </si>
  <si>
    <t>30/10/2020 </t>
  </si>
  <si>
    <t>Usera Clavero, María Luisa </t>
  </si>
  <si>
    <t>DESIGUALDADES EN SALUD Y DE GÉNERO EN LA POBLACIÓN GITANA. UN ABORDAJE DESDE LA SALUD PÚBLICA. </t>
  </si>
  <si>
    <t>24/11/2020 </t>
  </si>
  <si>
    <t>Baró Salvador, Maria Eva </t>
  </si>
  <si>
    <t>"Análisis osbservacional retrospectivo y de evolución de indicadores de calidad, coste y actividad asistencial en pacientes dializados. Estudio comparado en los Departamentos Sanitarios de Torrevieja y Elx-Crevillent Vinalopó en el periodo 2013-2019" </t>
  </si>
  <si>
    <t>16/10/2020 </t>
  </si>
  <si>
    <t>Martínez García, Alba </t>
  </si>
  <si>
    <t>Ambiente obesogénico: Barreras para mantener un peso saludable </t>
  </si>
  <si>
    <t>14/12/2020 </t>
  </si>
  <si>
    <t>51239649L </t>
  </si>
  <si>
    <t>Sáinz Ruiz, Pablo Alberto </t>
  </si>
  <si>
    <t>IDENTIFICACIÓN Y VALORACIÓN DE LOS ACTIVOS PARA LA SALUD. ANÁLISIS EPISTEMOLÓGICO Y MODELO DE MEDICIÓN </t>
  </si>
  <si>
    <t>14/01/2021 </t>
  </si>
  <si>
    <t>Homs Romero, Èrica </t>
  </si>
  <si>
    <t>Prevalencia e incidencia de la enfermedad venosa crónica en Cataluña. Desarrollo y validación de un conjunto mínimo básico de datos para su prevención, diagnóstico y tratamiento. </t>
  </si>
  <si>
    <t>07/06/2021 </t>
  </si>
  <si>
    <t>Rico Sapena, Nuria </t>
  </si>
  <si>
    <t>Nuevas estrategias de promoción y educación en alimentación y nutrición a escolares </t>
  </si>
  <si>
    <t>26/02/2021 </t>
  </si>
  <si>
    <t>San Onofre Bernat, Nadia </t>
  </si>
  <si>
    <t>CALIDAD DE LA DIETA DE LA POBLACIÓN ADULTA DE LA COMUNITAT VALENCIANA EN </t>
  </si>
  <si>
    <t>04/06/2021 </t>
  </si>
  <si>
    <t>Mancebo Salas, Noelia </t>
  </si>
  <si>
    <t>GRADO DE ALFABETIZACIÓN EN SALUD DE LOS ALUMNOS DE GRADO DE ENFERMERÍA EN ESPAÑA. </t>
  </si>
  <si>
    <t>20/09/2021 </t>
  </si>
  <si>
    <t>Damos , Petros </t>
  </si>
  <si>
    <t>PREVENTING THE WEST NILE VIRUS, FILARIASIS AND ENCEPHALITIS. METHODS FOR. </t>
  </si>
  <si>
    <t>24/09/2021 </t>
  </si>
  <si>
    <t>48346931B </t>
  </si>
  <si>
    <t>U073 </t>
  </si>
  <si>
    <t>ADM. I.U. INVESTIGACIÓN DE ESTUDIOS DE GÉNERO </t>
  </si>
  <si>
    <t>DOCTORADO EN ESTUDIOS INTERDISCIPLINARES DE GÉNERO </t>
  </si>
  <si>
    <t>Aragonés González, María </t>
  </si>
  <si>
    <t>La coeducación como metodología transformadora hacia la igualdad de género </t>
  </si>
  <si>
    <t>22/09/2021 </t>
  </si>
  <si>
    <t>32.60.6C.00.10</t>
  </si>
  <si>
    <t>32.60.6C.00.11</t>
  </si>
  <si>
    <t>Chico Sánchez, Pablo </t>
  </si>
  <si>
    <t>Análisis de tres estrategias para la prevención y control de infecciones en un hospital universitario de tercer nivel. </t>
  </si>
  <si>
    <t>18/07/2022 </t>
  </si>
  <si>
    <t>Boonekamp , Gwendolijn Margaretha Maria </t>
  </si>
  <si>
    <t>¿What moves us? Fostering the capability for lifelong physical activity by developing agency in students in secondary pre-vocational education schools in the Netherlands. </t>
  </si>
  <si>
    <t>01/04/2022 </t>
  </si>
  <si>
    <t>Pérez Wilson, Patricia Andrea </t>
  </si>
  <si>
    <t>Salutogénesis y activos en salud: ventanas de oportunidad para el fortalecimiento de la estrategia de universidades promotoras de salud. </t>
  </si>
  <si>
    <t>11/03/2022 </t>
  </si>
  <si>
    <t>ZZ </t>
  </si>
  <si>
    <t>SIN ASIGNAR </t>
  </si>
  <si>
    <t>Algado Sellés, Natividad </t>
  </si>
  <si>
    <t>Evaluación de medidas de prevención de infecciones en pacientes y trabajadores </t>
  </si>
  <si>
    <t>21685515B</t>
  </si>
  <si>
    <t>44012818H</t>
  </si>
  <si>
    <t>Cód. org. aplic.</t>
  </si>
  <si>
    <t>Descripción justificante</t>
  </si>
  <si>
    <t>32.60.6C.00.12</t>
  </si>
  <si>
    <t>32.60.6P.00.29</t>
  </si>
  <si>
    <t>Almodóvar Iñesta, Antonio </t>
  </si>
  <si>
    <t>Adecuación de pruebas diagnósticas radiológicas en otorrinolaringología. </t>
  </si>
  <si>
    <t>15/09/2022 </t>
  </si>
  <si>
    <t>Imp.cob.aplic.</t>
  </si>
  <si>
    <t>32.60.6C.00.15</t>
  </si>
  <si>
    <t>32.60.6P.00.30</t>
  </si>
  <si>
    <t>32.60.6X.00.03</t>
  </si>
  <si>
    <t>Bascur Castillo, Carolina Muriel </t>
  </si>
  <si>
    <t>DISFUNCIONES DEL SUELO PÉLVICO Y SU IMPACTO EN LA CALIDAD DE VIDA Y FUNCIÓN SEXUAL DE USUARIAS DEL SERVICIO DE SALUD CONCEPCIÓN </t>
  </si>
  <si>
    <t>13/03/2023 </t>
  </si>
  <si>
    <t>Martos Casado, Gema </t>
  </si>
  <si>
    <t>La Intervención Comunitaria con personas afectadas por lepra en contextos endémicos. </t>
  </si>
  <si>
    <t>18/11/2022 </t>
  </si>
  <si>
    <t>Cantó Sancho, Natalia </t>
  </si>
  <si>
    <t>Traducción, adaptación cultural y validación del cuestionario de Síndrome Visual Informático (CVS-Q©) al italiano, portugués, persa, eslovaco, chino e inglés </t>
  </si>
  <si>
    <t>12/09/2023 </t>
  </si>
  <si>
    <t>Panciera Di Zoppola Martínez, Yaina Carola </t>
  </si>
  <si>
    <t>Influencia de los programas gubernamentales de promoción de la Actividad Física en la población adulta del Departamento de la Guajira Colombiana. </t>
  </si>
  <si>
    <t>19/06/2023 </t>
  </si>
  <si>
    <t>García Román, Vicente </t>
  </si>
  <si>
    <t>ANÁLISIS DE LA SEROPREVALENCIA FRENTE A SARAMPIÓN, RUBEOLA, PAROTIDITIS,VARICELA, HEPATITIS A Y HEPATITIS B EN TRABAJADORES SANITARIOS </t>
  </si>
  <si>
    <t>12/05/2023 </t>
  </si>
  <si>
    <t>Calleja Toledano, Paloma Ángela </t>
  </si>
  <si>
    <t>Funcionalidad y necesidades de cuidado y su relación con resultados en salud en pacientes complejos: estudio prospectivo en un hospital de media estancia </t>
  </si>
  <si>
    <t>24/03/2023 </t>
  </si>
  <si>
    <t>Martínez Granados, Francisco </t>
  </si>
  <si>
    <t>VIVIR CON PSICOFÁRMACOS: UN ESTUDIO DE FOTO-VOZ COMUNITARIO </t>
  </si>
  <si>
    <t>22/09/2023 </t>
  </si>
  <si>
    <t>Sengo , Dulnério Barbosa </t>
  </si>
  <si>
    <t>Panorama de la salud ocular en Nampula, Mozambique </t>
  </si>
  <si>
    <t>07/06/2023 </t>
  </si>
  <si>
    <t>04716988X</t>
  </si>
  <si>
    <t>Tareas de asesoramiento y supervisión de trabajos de investigación realizados por el personal sanitario del departamento de salud del Hospital de Torrevieja durante el mes de septiembre 2021</t>
  </si>
  <si>
    <t>Tareas de asesoramiento y supervisión de trabajos de investigación realizados por el personal sanitario del departamento de salud del Hospital durante el mes de marzo 2023.</t>
  </si>
  <si>
    <t>ASESORAMIENTO Y ASISTENCIA CIENTÍFICO-TÉCNICA EN TRABAJOS DE INVESTIGACIÓN EN EL ÁREA DE LA SALUD DURANTE EL MES DE OCTUBRE 2023</t>
  </si>
  <si>
    <t>Asesoramiento y asistencia científico-técnica en trabajos de investigación en el área de la salud durante el mes de diciembre de 2023</t>
  </si>
  <si>
    <t>Tareas de asesoramiento y asistencia científico-técnica entre el Hospital del Vinalopó y la Universidad de Alicante durante el mes de junio 2023.</t>
  </si>
  <si>
    <t>Tareas de asesoramiento y supervisión de trabajos de investigación realizados por el personal sanitario del departamento de salud del Hospital durante el mes de enero de 2023.</t>
  </si>
  <si>
    <t>Tareas de asesoramiento y supervisión de trabajos de investigación realizados por el personal sanitario del departamento de salud del Hospital durante el mes de febrero 2023.</t>
  </si>
  <si>
    <t>Tareas de asesoramiento y asistencia científico-técnica entre el Hospital del Vinalopó y la Universidad de Alicante durante el mes de mayo 2023.</t>
  </si>
  <si>
    <t>ASESORAMIENTO Y ASISTENCIA CIENTÍFICO-TÉCNICA EN TRABAJOS DE INVESTIGACIÓN EN EL ÁREA DE LA SALUD DURANTE EL MES DE NOVIEMBRE 2023</t>
  </si>
  <si>
    <t>ASESORAMIENTO Y ASISTENCIA CIENTÍFICO-TÉCNICA EN TRABAJOS DE INVESTIGACIÓN EN EL ÁREA DE LA SALUD DURANTE EL MES DE SEPTIEMBRE DE 2023.</t>
  </si>
  <si>
    <t>Tareas de asesoramiento y supervisión de trabajos de investigación realizados por el personal sanitario del departamento de salud del Hospital durante el mes de abril 2023</t>
  </si>
  <si>
    <t>Asesoramiento y asistencia científico-técnica para dotar al equipo investigador de IVF-Spain, de una metodología estadística y de análisis de datos con la finalidad de aplicar los resultados a proceso de la selección embrionaria</t>
  </si>
  <si>
    <t>Segundo pago para realizar un estudio epidemiológico para comparar los cambios en la prevalencia de problemas del sueño y del estado de ánimo en una muestra de usuarios de dispositivos digitales tras el consumo de un producto alimenticio.</t>
  </si>
  <si>
    <t>32.60.6C.00.23</t>
  </si>
  <si>
    <t xml:space="preserve">ASESORAMIENTO CIENTÍFICO-TÉCNICO EN EL PROYECTO INNOLFACT PARA IMPLEMENTAR LA DIMENSIÓN DE GÉNERO EN EL EQUIPO INVESTIGADOR Y EN LA PRODUCCIÓN CIENTÍFICA RESULTANTE DURANTE LA ANUALIDAD 2022. FASE II </t>
  </si>
  <si>
    <t>32.60.6C.00.24</t>
  </si>
  <si>
    <t xml:space="preserve">ASESORAMIENTO CIENTÍFICO-TÉCNICO EN EL PROYECTO NUTRI+ PARA IMPLEMENTAR LA DIMENSIÓN DE GÉNERO EN EL EQUIPO INVESTIGADOR Y EN LA PRODUCCIÓN CIENTÍFICA RESULTANTE DURANTE LA ANUALIDAD 2022. FASE II </t>
  </si>
  <si>
    <t>32.60.6C.00.27</t>
  </si>
  <si>
    <t>15 Horas de asesoría en proyectos de investigación que se van a desarrollar en el ámbito del contrato de REF: NOVENTURE1-23T y colaboración en congresos.</t>
  </si>
  <si>
    <t>10 HORAS DE ASESORAMIENTO Y ASISTENCIA CIENTÍFICO-TÉCNICA EN LAS DIFERENTES ÁREAS TERAPÉUTICAS DE LA EMPRESA EN MATERIA DE REVISIÓN DE ESTUDIOS, ARTÍCULOS Y DIVULGACIÓN DE RESULTADOS.</t>
  </si>
  <si>
    <t>32.60.6C.00.28</t>
  </si>
  <si>
    <t>ASESORAMIENTO CIENTÍFICO Y ASISTENCIA CIENTÍFICO TÉCNICA EN MATERIA DE REVISIÓN Y PARTICIPACIÓN EN ACTOS DE DIVULGACIÓN DEL PROYECTO "PROPÓSITOS EN SALUD CON PERSPECTIVA"</t>
  </si>
  <si>
    <t>32.60.6C.00.29</t>
  </si>
  <si>
    <t>HISTORIA DEL PLAN NACIONAL SOBRE DROGAS (PNSD), 1985-2022. ANÁLISIS Y EVALUACIÓN DE LAS POLÍTICAS PÚBLICAS ESPAÑOLAS SOBRE PREVENCIÓN DE LAS ADICIONES Y REINSERCIÓN SOCIAL DE LAS PERSONAS AFECTADAS Y EL PAPEL DE LAS ADMINISTRACIONES LOCALES</t>
  </si>
  <si>
    <t>32.60.6C.00.30</t>
  </si>
  <si>
    <t>ASSESSORAMENT PER PART DE GRUPS DE RECERCA DE LA UNIVERSITAT D'ALACANT PER ALS CENTRES EDUCATIUS DE TITULARITAT DE LA GENERALITAT PARTICIPANTS EN EL PROJECTES D'INNOVACIÓ I TRANSFERÈNCIA ACORD.</t>
  </si>
  <si>
    <t>32.60.6M.00.05</t>
  </si>
  <si>
    <t>Curso de estadística en Investigación clínica: actividades de organización e impartición de las sesiones formativas correspondientes a las competencias en estadística biomédica dentro del programa formativo para el curso 2022-23 del Hospital universitario del Vinalopó.</t>
  </si>
  <si>
    <t>32.60.6M.00.06</t>
  </si>
  <si>
    <t>CHARLAS-TALLERES "ALIMENTACION SALUDABLE Y SOSTENIBLE" EN CENTROS ESCOLARES DE ASPE, CURSO 2022/23</t>
  </si>
  <si>
    <t>DEVOLUCIÓN DE INGRESOS_MODELO 069_Expediente o Referencia: 173-P52781-202212210097806</t>
  </si>
  <si>
    <t>DEVOLUCIÓN DE INGRESO_CARTA DE PAGO_ Referencia:HAR2017-82366-C2-2-P</t>
  </si>
  <si>
    <t>Ayudas: HBIRT3_2022_4 (PLAN IRTA 2022)</t>
  </si>
  <si>
    <t>32.60.6P.00.32</t>
  </si>
  <si>
    <t>ayuda 39-5-ID22</t>
  </si>
  <si>
    <t>32.60.6P.00.35</t>
  </si>
  <si>
    <t>22-02-28-AE-0 HBIRTA 2023 LIB.1  (HBIRT3/2023/3)</t>
  </si>
  <si>
    <t>Aportación anual de Jesús Navarro S.A. en concepto de mecenazgo a la Cátedra Carmencita de estudios del sabor gastronómico en 2023.</t>
  </si>
  <si>
    <t>Tercera aportación anual de la Escuela Internacional en Ciencias de la Salud en concepto de mecenazgo de la Cátedra Enfermería Familiar y Comunitaria para el año 2022.</t>
  </si>
  <si>
    <t xml:space="preserve">Tercer cobro del proyecto EU-JAV </t>
  </si>
  <si>
    <t>Octavo cobro del proyecto FHPII</t>
  </si>
  <si>
    <t>ENFERMERÍA COMUNITARIA, MEDICINA PREVENTIVA Y SALUD PÚBLICA</t>
  </si>
  <si>
    <t>DOCTORADO EN ESTUDIOS HISTÓRICOS Y SOCIALES SOBRE CIENCIA, MEDICINA Y COMUN</t>
  </si>
  <si>
    <t>Hebrero Domínguez, Gema</t>
  </si>
  <si>
    <t>El Real Observatorio de Madrid: espacios, circulación y públicos de la astronomía a finales de la Ilustración.</t>
  </si>
  <si>
    <t>17/07/2024</t>
  </si>
  <si>
    <t>'-</t>
  </si>
  <si>
    <t>Director de tesis</t>
  </si>
  <si>
    <t>U044</t>
  </si>
  <si>
    <t>ADM. FACULTAD DE CIENCIAS DE LA SALUD</t>
  </si>
  <si>
    <t>DOCTORADO EN CIENCIAS DE LA SALUD</t>
  </si>
  <si>
    <t>Comino Comino, Iris</t>
  </si>
  <si>
    <t>El Plan Europeo de Frutas, Verduras y Leche en las Escuelas: un análisis tras 10 años de implementación</t>
  </si>
  <si>
    <t>10/05/2024</t>
  </si>
  <si>
    <t>Codirector de tesis</t>
  </si>
  <si>
    <t>Suárez Álvarez, Oscar</t>
  </si>
  <si>
    <t>Aplicaciones al campo de la Salud Pública de los modelos salutogénicos basados en activos de salud</t>
  </si>
  <si>
    <t>05/02/2024</t>
  </si>
  <si>
    <t>20</t>
  </si>
  <si>
    <t>Durán Sáenz, Iván</t>
  </si>
  <si>
    <t>Diseño de una secuencia de enseñanza-aprendizaje para el cuidado de personas con úlceras de etiología venosa durante el Grado de Enfermería</t>
  </si>
  <si>
    <t>11/07/2024</t>
  </si>
  <si>
    <t>Domenech Climent, Nuria</t>
  </si>
  <si>
    <t>PERSPECTIVA DE GÉNERO EN EL CÁNCER DE PULMÓN: EXPERIENCIAS EN EL DIAGNÓSTICO, TRATAMIENTO Y ESFUERZO TERAPÉUTICO</t>
  </si>
  <si>
    <t>22/02/2024</t>
  </si>
  <si>
    <t>Oliva Arocas, Adriana</t>
  </si>
  <si>
    <t>Mortalidad en población nativa e inmigrante residente en España: análisis de las tendencias en mortalidad por cáncer y las desigualdades socioeconómicas en ciudades</t>
  </si>
  <si>
    <t>10/11/2023</t>
  </si>
  <si>
    <t>Cabrera Tejada, Ginger Giorgiana</t>
  </si>
  <si>
    <t>ESTIMACIÓN DE LOS COSTES ADICIONALES EN LOS PACIENTES CON NEUMONÍA ASOCIADA A VENTILACIÓN MECÁNICA EN UN HOSPITAL DE TERCER NIVEL</t>
  </si>
  <si>
    <t>12/03/2024</t>
  </si>
  <si>
    <t>Henao Martínez, Andres Felipe</t>
  </si>
  <si>
    <t>Características clínicas y marcadores pronósticos de severidad de enfermedades infecciosas oportunistas y parasitarias entre poblaciones inmunocomprometidas y vulnerables</t>
  </si>
  <si>
    <t>29/07/2024</t>
  </si>
  <si>
    <t>Pérez Martínez, Vanesa</t>
  </si>
  <si>
    <t>Violencia de Género y de pareja en adolescentes: El papel del machismo, la aceptación de la violencia y las masculinidades en la salud</t>
  </si>
  <si>
    <t>02/02/2024</t>
  </si>
  <si>
    <t>30</t>
  </si>
  <si>
    <t>Carpio Arias, Tannia Valeria</t>
  </si>
  <si>
    <t>Voces y estadísticas en contextos de desigualdad de género: mortalidad por enfermedades no transmisibles, atención sanitaria y seguridad alimentaria</t>
  </si>
  <si>
    <t>14/05/2024</t>
  </si>
  <si>
    <t>44760759E</t>
  </si>
  <si>
    <t>74013738Z</t>
  </si>
  <si>
    <t>Y3178028V</t>
  </si>
  <si>
    <t>Jiménez Sepúlveda, Natali Juliet</t>
  </si>
  <si>
    <t>Evaluación de la efectividad vacunal para la prevención de la infección por SARS-CoV-2 en 
personal sanitario</t>
  </si>
  <si>
    <t>26/09/2024</t>
  </si>
  <si>
    <t>48479250B</t>
  </si>
  <si>
    <t>Guerrero Soler, María Desamparados</t>
  </si>
  <si>
    <t>Evaluación del impacto de la pandemia de COVID-19 en los programas de prevención y
control de infecciones en el ámbito hospitalario: higiene de manos y vacunación antigripal</t>
  </si>
  <si>
    <t>Martínez Milan, Maria Asuncion</t>
  </si>
  <si>
    <t>Recomendaciones nutricionales y de sostenibilidad para la elaboración de menús
 en los servicios de alimentación escolar en España</t>
  </si>
  <si>
    <t>García Quinto, Marta</t>
  </si>
  <si>
    <t>Violencia de género desde una perspectiva del trabajo social sanitario en atención primaria de salud</t>
  </si>
  <si>
    <t>20/09/2024</t>
  </si>
  <si>
    <t>ENF COM, MED PREV Y SAL PUB E HIS CIEN</t>
  </si>
  <si>
    <t>Santamaría Meliá, Cristina</t>
  </si>
  <si>
    <t>Exploración de las barreras de ejercicio físico y desigualdades de género en personas afectadas por fibromialgia: implicaciones para la intervención y el bienestar.</t>
  </si>
  <si>
    <t>27/09/2024</t>
  </si>
  <si>
    <t>Org. aplic.</t>
  </si>
  <si>
    <t>Imp. aplic.</t>
  </si>
  <si>
    <t>Asesoramiento y asistencia científico-técnica en trabajos de investigación en el área de la salud durante el mes de enero de 2024.</t>
  </si>
  <si>
    <t>Asesoramiento y asistencia científico-tecnica en trabajos de investigación en el área de la salud durante el mes de febrero de 2024</t>
  </si>
  <si>
    <t>Asesoramiento y asistencia científico-tecnica en trabajos de investigación en el área de la salud durante el mes de marzo de 2024</t>
  </si>
  <si>
    <t>Asesoramiento y asistencia científico-tecnica en trabajos de investigación en el área de la salud durante el mes de abril de 2024.</t>
  </si>
  <si>
    <t>Asesoramiento y asistencia científico-tecnica en trabajos de investigación en el área de la salud durante el mes de mayo de 2024</t>
  </si>
  <si>
    <t>Asesoramiento y asistencia científico-tecnica en trabajos de investigación en el área de la salud durante el mes de junio de 2024</t>
  </si>
  <si>
    <t>Asesoramiento y asistencia científico-técnica en trabajos de investigación en el área de la salud durante el mes de septiembre 2024</t>
  </si>
  <si>
    <t>Asesoramiento y asistencia científico-técnica en trabajos de investigación en el área de la salud durante el mes de octubre 2024</t>
  </si>
  <si>
    <t>Actividades de asesoramiento y asistencia científico-técnica contempladas en la "Actividad 1: Tareas de asesoramiento y supervisión de trabajos de investigación realizados por el personal sanitario del departamento de salud del Hospital", para el mes de noviembre.</t>
  </si>
  <si>
    <t>Actividades de asesoramiento y asistencia científico-técnica contempladas en la "Actividad 1: Tareas de asesoramiento y supervisión de trabajos de investigación realizados por el personal sanitario del departamento de salud del Hospital", para el mes de diciembre.</t>
  </si>
  <si>
    <t>10 Horas de asesoría en proyectos de investigación que se van a desarrollar en el ámbito del contrato de REF: NOVENTURE1-23T y colaboración en congresos.</t>
  </si>
  <si>
    <t>32.60.6C.00.31</t>
  </si>
  <si>
    <t>ASESORAMIENTO Y ASISTENCIA CIENTÍFICO-TÉCNICA EN MATERIA DE REVISIÓN Y DIVULGACIÓN DE "LA ENCUESTA SOBRE SALUD DE LA MUJER" PARA 2024</t>
  </si>
  <si>
    <t>32.60.6C.00.33</t>
  </si>
  <si>
    <t>Exploring effective methods for preservation and dissemination of leprosy history in the world: First deliverable: preliminary research on model museums for a WLM.</t>
  </si>
  <si>
    <t>32.60.6M.00.07</t>
  </si>
  <si>
    <t>Curso de estadística en Investigación clínica: actividades de organización e impartición de las sesiones formativas correspondientes a las competencias en estadística biomédica dentro del programa formativo para el curso 2023-24 del Hospital universitario del Vinalopó. Fecha inicio 15/02/2024 y fin 02/05/2024,  horas de impartición: 40 Horas.</t>
  </si>
  <si>
    <t>DEVOLUCIÓN DE INGRESOS_MODELO 047_GVA-COVID19-2021-031_Nº de liquidación: 46/2024/RAS/10042/1_Número de justificante: 047/1/002449996_Nº de referencia: 047/1/002449996</t>
  </si>
  <si>
    <t>DEVOLUCIÓN DE REMANENTE DE PROYECTO_ REFERENCIA: 39/5/ID22_ANUALIDAD 2023</t>
  </si>
  <si>
    <t xml:space="preserve">AYUDAS HBIRT3/2023/3 </t>
  </si>
  <si>
    <t xml:space="preserve">ANULACIÓN AYUDAS HBIRT3/2023/3 </t>
  </si>
  <si>
    <t>Aportación anual de Jesús Navarro S.A. en concepto de mecenazgo a la Cátedra Carmencita de estudios del sabor gastronómico en 2024.</t>
  </si>
  <si>
    <t>Último cobro del proyecto ISEDA</t>
  </si>
  <si>
    <t>De los 20.460€, el 67%(13.708,2) al Dpto de Enfermería Comunitaria y el 33%(6.751,8) a Psicología de la Salud (según email 27/10/2023 de Carmen Vives Cases)</t>
  </si>
  <si>
    <t>Administración Facultad de Ciencias de la Salud</t>
  </si>
  <si>
    <t>Zea Cobos, Angelica</t>
  </si>
  <si>
    <t>Evaluación de Contaminantes Emergentes y Estrategias Sostenibles para la Protección de la Salud Pública: Un Enfoque Multidimensional en Agricultura, Minería y Recursos Hídricos</t>
  </si>
  <si>
    <t>28/05/2025</t>
  </si>
  <si>
    <t>Enfermería comunitaria, medicina preventiva y salud pública e historia de la cie</t>
  </si>
  <si>
    <t>Urrejola Contreras, Gabriela Paz</t>
  </si>
  <si>
    <t>Valoración de los riesgos asociados al desorden músculo esquelético en el conductor de
montacargas en el sector industrial</t>
  </si>
  <si>
    <t>31/01/2025</t>
  </si>
  <si>
    <t>Rosendo Fernández, José Manuel</t>
  </si>
  <si>
    <t>Desarrollo y validación de una herramienta informática para evitar la variabilidad en el tratamiento local de
las heridas complejas o de difícil cicatrización.</t>
  </si>
  <si>
    <t>09/05/2025</t>
  </si>
  <si>
    <t>Rodríguez Camacho, Mª Felix</t>
  </si>
  <si>
    <t>La justicia reproductiva: modelo reproductivo y de empoderamiento para la
salud de las mujeres gitanas en España</t>
  </si>
  <si>
    <t>24/03/2025</t>
  </si>
  <si>
    <t>Millor Vela, Daniel</t>
  </si>
  <si>
    <t>CELESTINA URBANA. Propuesta metodológica para la regeneración comunitaria de barrios vulnerados por
medio del modelo sinérgico de salud.</t>
  </si>
  <si>
    <t>12/09/2025</t>
  </si>
  <si>
    <t>Casillas Clot, Javier</t>
  </si>
  <si>
    <t>La transición funcional: características y tendencias epidemiológicas de la discapacidad en
España</t>
  </si>
  <si>
    <t>07/03/2025</t>
  </si>
  <si>
    <t>Barbas Monjo, Miguel Ángel</t>
  </si>
  <si>
    <t>Evaluación de la Calidad de Vida Relacionada con la Salud en Pacientes con Úlceras de Etiología Venosa atendidos en el Hospital Guadarrama de Madrid, a partir de Instrumentos de Medida de Resultados Basados en el paciente</t>
  </si>
  <si>
    <t>03/03/2025</t>
  </si>
  <si>
    <t>Díaz Herrera, Miguel Ángel</t>
  </si>
  <si>
    <t>Análisis epidemiológico y costes derivados del cuidado de heridas crónicas en
atención primaria en la zona metropolitana sur de Barcelona</t>
  </si>
  <si>
    <t>14/03/2025</t>
  </si>
  <si>
    <t>Ilieva Stefanova, Zhenet</t>
  </si>
  <si>
    <t>Calidad de vida relacionada con la salud en pacientes con lesiones por presión y sus cuidadoras informales: Scoping Review</t>
  </si>
  <si>
    <t>24/02/2025</t>
  </si>
  <si>
    <t>U073</t>
  </si>
  <si>
    <t>Instituto Universitario Investigación de Estudios de Género (10.23)</t>
  </si>
  <si>
    <t>DOCTORADO EN ESTUDIOS INTERDISCIPLINARES DE GÉNERO</t>
  </si>
  <si>
    <t>Cerdán Torregrosa, Ariadna del Pilar</t>
  </si>
  <si>
    <t>Masculinidades, orientaciones sexuales y violencia de género: análisis de discursos y estrategias para la igualdad</t>
  </si>
  <si>
    <t>07/11/2024</t>
  </si>
  <si>
    <t>2020</t>
  </si>
  <si>
    <t>2021</t>
  </si>
  <si>
    <t>2022</t>
  </si>
  <si>
    <t>2023</t>
  </si>
  <si>
    <t>2024</t>
  </si>
  <si>
    <t>2025</t>
  </si>
  <si>
    <t>Tamayo Fonseca, Nayara Patricia</t>
  </si>
  <si>
    <t>Moncho Vasallo, Joaquín</t>
  </si>
  <si>
    <t>Nolasco Bonmatí, Juan Andrés</t>
  </si>
  <si>
    <t>Ronda Pérez, Elena María</t>
  </si>
  <si>
    <t>Verdú Soriano, José</t>
  </si>
  <si>
    <t>Davó Blanes, María del Carmen</t>
  </si>
  <si>
    <t>Galiana Sánchez, María Eugenia</t>
  </si>
  <si>
    <t>Bernabéu Mestre, Josep</t>
  </si>
  <si>
    <t>Tormo Santamaria, Maria</t>
  </si>
  <si>
    <t>García Belmar, Antonio</t>
  </si>
  <si>
    <t>Ruiz Cantero, Maria Teresa</t>
  </si>
  <si>
    <t>Álvarez-Dardet Díaz, Carlos</t>
  </si>
  <si>
    <t>Gil González, Diana María</t>
  </si>
  <si>
    <t>Berenguer Pérez, Miriam</t>
  </si>
  <si>
    <t>Giménez Monzó, Daniel</t>
  </si>
  <si>
    <t>Vives Cases, María Carmen</t>
  </si>
  <si>
    <t>Caballero Pérez, Pablo</t>
  </si>
  <si>
    <t>Chico Sánchez, Pablo</t>
  </si>
  <si>
    <t>48638803J</t>
  </si>
  <si>
    <t>Antón Dayas, Ana Inés</t>
  </si>
  <si>
    <t>Ortiz Moncada, María del Rocío</t>
  </si>
  <si>
    <t>Pereyra Zamora, Pamela Eliana</t>
  </si>
  <si>
    <t>Martínez García, Alba</t>
  </si>
  <si>
    <t>Soares, Panmela</t>
  </si>
  <si>
    <t>Actividades de asesoramiento y asistencia científico-técnica contempladas en la "Actividad 1: Tareas de asesoramiento y supervisión de trabajos de investigación realizados por el personal sanitario del departamento de salud del Hospital", para el mes de enero 2025.</t>
  </si>
  <si>
    <t>Actividades de asesoramiento y asistencia científico-técnica contempladas en la "Actividad 1: Tareas de asesoramiento y supervisión de trabajos de investigación realizados por el personal sanitario del departamento de salud del Hospital", durante el mes de febrero 2025.</t>
  </si>
  <si>
    <t>Actividades de asesoramiento y asistencia científico-técnica contempladas en la "Actividad 1: Tareas de asesoramiento y supervisión de trabajos de investigación realizados por el personal sanitario del departamento de salud del Hospital", durante el mes de marzo 2025.</t>
  </si>
  <si>
    <t>Actividades de asesoramiento y asistencia científico-técnica contempladas en la "Actividad 1: Tareas de asesoramiento y supervisión de trabajos de investigación realizados por el personal sanitario del departamento de salud del Hospital", durante el mes de abril 2025.</t>
  </si>
  <si>
    <t>Actividades de asesoramiento y asistencia científico-técnica contempladas en la "Actividad 1: Tareas de asesoramiento y supervisión de trabajos de investigación realizados por el personal sanitario del departamento de salud del Hospital", durante el mes de mayo 2025.</t>
  </si>
  <si>
    <t>Actividades de asesoramiento y asistencia científico-técnica contempladas en la "Actividad 1: Tareas de asesoramiento y supervisión de trabajos de investigación realizados por el personal sanitario del departamento de salud del Hospital", durante el mes de junio 2025.</t>
  </si>
  <si>
    <t>32.60.6C.00.32</t>
  </si>
  <si>
    <t>Análisis y redacción del estado del arte en relación a la reducción de excreción de bacterias zoonóticas mediante la vacunación con Enterisol® Ileitis.</t>
  </si>
  <si>
    <t>Contrato Marco EM-0000000385. Redacción de informe en inglés similar a los ya existentes con esta misma vacuna en otros países que soporte una publicación científica de los resultados obtenidos en España.</t>
  </si>
  <si>
    <t>32.60.6C.00.34</t>
  </si>
  <si>
    <t>Referencia IVFSPAIN1-25APA I.P. Pablo Caballero Asesoramiento y asistencia científico-técnica para dotar al equipo investigador de IVF-Spain, de una metodología estadística y de análisis de datos con la finalidad de aplicar los resultados a proceso de la selección embrionaria, entre 31 de enero y 31 de julio de 2025.</t>
  </si>
  <si>
    <t>32.60.6C.00.35</t>
  </si>
  <si>
    <t>Asistencia técnica para la organización y gestión del taller de escritura para redacción de textos científicos-técnicos.</t>
  </si>
  <si>
    <t>32.60.6C.00.36</t>
  </si>
  <si>
    <t>Referencia HOSPITALVINALOPO1-25T - I.P. Andreu Nolasco Bonmatí Sesiones de trabajo en tareas de asesoramiento científico-técnico y supervisión de trabajos de investigación realizados por el personal del departamento de Salud del Hospital, durante el mes de julio 2025.</t>
  </si>
  <si>
    <t>Referencia HOSPITALVINALOPO1-25T - I.P. Andreu Nolasco Bonmatí Sesiones de trabajo en tareas de asesoramiento científico-técnico y supervisión de trabajos de investigación realizados por el personal del departamento de Salud del Hospital, durante el  mes de septiembre 2025.</t>
  </si>
  <si>
    <t>Referencia HOSPITALVINALOPO1-25T - I.P. Andreu Nolasco Bonmatí Sesiones de trabajo en tareas de asesoramiento científico-técnico y supervisión de trabajos de investigación realizados por el personal del departamento de Salud del Hospital, durante el mes de octubre 2025.</t>
  </si>
  <si>
    <t>Referencia HOSPITALVINALOPO1-25T- I.P. Andreu Nolasco Bonmatí Sesiones de trabajo en tareas de asesoramiento científico-técnico y supervisión de trabajos de investigación realizados por el personal del departamento de Salud del Hospital, durante el mes de noviembre 2025.</t>
  </si>
  <si>
    <t>32.60.6M.00.08</t>
  </si>
  <si>
    <t>Actividades de organización e impartición de las 2 sesiones formativas de estadística biomédica dentro del programa formativo para el curso 2024-2025. Curso de estadística básica en investigación clínica: del 4 de febrero al 20 de febrero de 2025 (24h) y Curso de estadística avanzada en investigación clínica: del 29 de mayo al 11 de junio de 2025 (20h)</t>
  </si>
  <si>
    <t>32.60.6P.00.36</t>
  </si>
  <si>
    <t>Ayudas CIAICO 2024/6/31/81/130/150/168/186/204/238/296/319</t>
  </si>
  <si>
    <t>32.60.6P.00.37</t>
  </si>
  <si>
    <t>32.60.6P.00.38</t>
  </si>
  <si>
    <t>Ingreso subvención para la realización de investigaciones feministas_29-03-ID25</t>
  </si>
  <si>
    <t>32.60.6P.00.39</t>
  </si>
  <si>
    <t>Ingreso ayuda ref. proyecto PI25/00729 - ANUALIDAD 2025</t>
  </si>
  <si>
    <t>Mecenazgo de la Cátedra ASISA de Vacunología Balmis</t>
  </si>
  <si>
    <t>Aportación anual de Jesús Navarro S.A. en concepto de mecenazgo a la Cátedra Carmencita de estudios del sabor gastronómico en 2025.</t>
  </si>
  <si>
    <t>Total ingresos de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</si>
</sst>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4" fillId="0" borderId="0" applyFont="0" applyFill="0" applyBorder="0" applyAlignment="0" applyProtection="0"/>
  </cellStyleXfs>
  <cellXfs count="71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2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2" fillId="4" borderId="1" xfId="1" applyFill="1" applyBorder="1"/>
    <xf numFmtId="0" fontId="2" fillId="4" borderId="2" xfId="1" applyFill="1" applyBorder="1"/>
    <xf numFmtId="0" fontId="10" fillId="7" borderId="1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0" fontId="10" fillId="7" borderId="5" xfId="0" applyFont="1" applyFill="1" applyBorder="1" applyAlignment="1">
      <alignment horizontal="left" vertical="center"/>
    </xf>
    <xf numFmtId="0" fontId="2" fillId="4" borderId="1" xfId="1" applyFill="1" applyBorder="1" applyAlignment="1">
      <alignment horizontal="right"/>
    </xf>
    <xf numFmtId="166" fontId="2" fillId="4" borderId="2" xfId="1" applyNumberFormat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6" xfId="1" applyFill="1" applyBorder="1"/>
    <xf numFmtId="43" fontId="0" fillId="8" borderId="7" xfId="6" applyNumberFormat="1" applyFont="1" applyFill="1" applyBorder="1"/>
    <xf numFmtId="43" fontId="0" fillId="0" borderId="7" xfId="6" applyNumberFormat="1" applyFont="1" applyBorder="1"/>
    <xf numFmtId="164" fontId="0" fillId="0" borderId="0" xfId="0" applyNumberFormat="1"/>
    <xf numFmtId="0" fontId="2" fillId="0" borderId="1" xfId="0" applyFont="1" applyBorder="1"/>
    <xf numFmtId="0" fontId="0" fillId="6" borderId="0" xfId="0" applyFill="1" applyAlignment="1">
      <alignment wrapText="1"/>
    </xf>
    <xf numFmtId="0" fontId="16" fillId="8" borderId="7" xfId="0" applyFont="1" applyFill="1" applyBorder="1"/>
    <xf numFmtId="0" fontId="16" fillId="0" borderId="7" xfId="0" applyFont="1" applyBorder="1"/>
    <xf numFmtId="43" fontId="0" fillId="0" borderId="0" xfId="0" applyNumberFormat="1"/>
    <xf numFmtId="0" fontId="11" fillId="10" borderId="0" xfId="5" applyFont="1" applyFill="1"/>
    <xf numFmtId="0" fontId="11" fillId="10" borderId="0" xfId="5" applyFont="1" applyFill="1" applyAlignment="1">
      <alignment horizontal="right"/>
    </xf>
    <xf numFmtId="165" fontId="3" fillId="2" borderId="0" xfId="1" applyNumberFormat="1" applyFont="1" applyFill="1"/>
    <xf numFmtId="1" fontId="2" fillId="2" borderId="0" xfId="1" applyNumberFormat="1" applyFill="1"/>
    <xf numFmtId="0" fontId="2" fillId="4" borderId="1" xfId="1" applyFont="1" applyFill="1" applyBorder="1"/>
    <xf numFmtId="0" fontId="2" fillId="4" borderId="0" xfId="1" applyFont="1" applyFill="1"/>
    <xf numFmtId="43" fontId="0" fillId="6" borderId="9" xfId="6" applyNumberFormat="1" applyFont="1" applyFill="1" applyBorder="1"/>
    <xf numFmtId="0" fontId="16" fillId="0" borderId="9" xfId="0" applyFont="1" applyBorder="1"/>
    <xf numFmtId="43" fontId="0" fillId="0" borderId="9" xfId="6" applyNumberFormat="1" applyFont="1" applyBorder="1"/>
    <xf numFmtId="0" fontId="15" fillId="9" borderId="8" xfId="0" applyFont="1" applyFill="1" applyBorder="1"/>
    <xf numFmtId="0" fontId="9" fillId="0" borderId="9" xfId="0" applyFont="1" applyBorder="1"/>
    <xf numFmtId="43" fontId="14" fillId="0" borderId="9" xfId="0" applyNumberFormat="1" applyFont="1" applyBorder="1"/>
    <xf numFmtId="0" fontId="0" fillId="8" borderId="7" xfId="0" applyNumberFormat="1" applyFont="1" applyFill="1" applyBorder="1"/>
    <xf numFmtId="0" fontId="0" fillId="0" borderId="7" xfId="0" applyNumberFormat="1" applyFont="1" applyBorder="1"/>
    <xf numFmtId="0" fontId="12" fillId="9" borderId="8" xfId="0" applyFont="1" applyFill="1" applyBorder="1"/>
    <xf numFmtId="43" fontId="12" fillId="9" borderId="8" xfId="6" applyNumberFormat="1" applyFont="1" applyFill="1" applyBorder="1"/>
    <xf numFmtId="0" fontId="0" fillId="0" borderId="9" xfId="0" applyFont="1" applyBorder="1"/>
    <xf numFmtId="0" fontId="0" fillId="6" borderId="9" xfId="0" applyNumberFormat="1" applyFont="1" applyFill="1" applyBorder="1"/>
    <xf numFmtId="0" fontId="0" fillId="6" borderId="0" xfId="0" applyFill="1"/>
    <xf numFmtId="0" fontId="13" fillId="0" borderId="1" xfId="0" applyFont="1" applyBorder="1"/>
    <xf numFmtId="164" fontId="13" fillId="0" borderId="1" xfId="6" applyFont="1" applyBorder="1"/>
    <xf numFmtId="0" fontId="17" fillId="12" borderId="10" xfId="0" applyFont="1" applyFill="1" applyBorder="1"/>
    <xf numFmtId="0" fontId="17" fillId="12" borderId="11" xfId="0" applyFont="1" applyFill="1" applyBorder="1"/>
    <xf numFmtId="0" fontId="18" fillId="11" borderId="10" xfId="0" applyFont="1" applyFill="1" applyBorder="1"/>
    <xf numFmtId="0" fontId="18" fillId="11" borderId="11" xfId="0" applyFont="1" applyFill="1" applyBorder="1"/>
    <xf numFmtId="164" fontId="18" fillId="11" borderId="11" xfId="6" applyFont="1" applyFill="1" applyBorder="1"/>
    <xf numFmtId="0" fontId="18" fillId="0" borderId="10" xfId="0" applyFont="1" applyBorder="1"/>
    <xf numFmtId="0" fontId="18" fillId="0" borderId="11" xfId="0" applyFont="1" applyBorder="1"/>
    <xf numFmtId="164" fontId="18" fillId="0" borderId="11" xfId="6" applyFont="1" applyBorder="1"/>
    <xf numFmtId="0" fontId="19" fillId="0" borderId="12" xfId="0" applyFont="1" applyBorder="1"/>
    <xf numFmtId="0" fontId="19" fillId="0" borderId="13" xfId="0" applyFont="1" applyBorder="1"/>
    <xf numFmtId="164" fontId="19" fillId="0" borderId="13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EACE03-7103-4F18-BA21-B450CDEF5A50}" name="Tabla3" displayName="Tabla3" ref="A1:C33" totalsRowCount="1" headerRowDxfId="18" headerRowBorderDxfId="17" tableBorderDxfId="16" totalsRowBorderDxfId="15">
  <autoFilter ref="A1:C32" xr:uid="{6D94DFCB-080B-4D16-9CD9-D882CA174CAB}"/>
  <tableColumns count="3">
    <tableColumn id="1" xr3:uid="{9EC0FC77-4502-473C-A743-B2DF49C3F527}" name="Cód. org. aplic." totalsRowLabel="Total" dataDxfId="14" totalsRowDxfId="13"/>
    <tableColumn id="2" xr3:uid="{DE3A29C2-D01A-43C0-AC18-98C0130E839D}" name="Descripción justificante" dataDxfId="12" totalsRowDxfId="11"/>
    <tableColumn id="3" xr3:uid="{EFFE54F7-642C-416A-9ECF-6AB2F8514457}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4C6F7F-3289-4954-9D15-49F1AFC3832C}" name="Tabla4" displayName="Tabla4" ref="A1:C22" totalsRowCount="1" headerRowBorderDxfId="8" tableBorderDxfId="7" totalsRowBorderDxfId="6">
  <autoFilter ref="A1:C21" xr:uid="{DBB61119-805A-411F-BB71-C9B40E6FBAC6}"/>
  <tableColumns count="3">
    <tableColumn id="1" xr3:uid="{E2F2B06C-F710-4909-AE6A-DA88C54169EF}" name="Org. aplic." totalsRowLabel="Total" dataDxfId="5" totalsRowDxfId="4"/>
    <tableColumn id="2" xr3:uid="{3592DD73-0FFC-44E6-AD5E-978A6988C545}" name="Descripción justificante" dataDxfId="3" totalsRowDxfId="2"/>
    <tableColumn id="3" xr3:uid="{F8FEDFEA-9B96-4809-ABCE-870FF3E07066}" name="Imp. aplic." totalsRowFunction="sum" dataDxfId="1" totalsRow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9"/>
  <sheetViews>
    <sheetView showGridLines="0" zoomScale="120" zoomScaleNormal="120" workbookViewId="0">
      <pane xSplit="1" ySplit="1" topLeftCell="D35" activePane="bottomRight" state="frozen"/>
      <selection pane="topRight" activeCell="B1" sqref="B1"/>
      <selection pane="bottomLeft" activeCell="A2" sqref="A2"/>
      <selection pane="bottomRight" activeCell="S71" sqref="S71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54.554687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8" customWidth="1"/>
    <col min="16" max="16" width="4.88671875" style="6" customWidth="1"/>
    <col min="17" max="17" width="3.5546875" style="8" customWidth="1"/>
    <col min="18" max="18" width="4.3320312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1" t="s">
        <v>13</v>
      </c>
      <c r="J1" s="2" t="s">
        <v>14</v>
      </c>
      <c r="K1" s="1" t="s">
        <v>15</v>
      </c>
      <c r="L1" s="2" t="s">
        <v>16</v>
      </c>
      <c r="M1" s="3" t="s">
        <v>17</v>
      </c>
      <c r="N1" s="4" t="s">
        <v>18</v>
      </c>
      <c r="O1" s="5" t="s">
        <v>19</v>
      </c>
      <c r="P1" s="4" t="s">
        <v>20</v>
      </c>
      <c r="Q1" s="5" t="s">
        <v>21</v>
      </c>
      <c r="R1" s="4" t="s">
        <v>22</v>
      </c>
      <c r="S1" s="4" t="s">
        <v>23</v>
      </c>
      <c r="T1" s="4" t="s">
        <v>24</v>
      </c>
      <c r="U1" s="4" t="s">
        <v>25</v>
      </c>
    </row>
    <row r="2" spans="1:21" x14ac:dyDescent="0.2">
      <c r="A2" s="19" t="s">
        <v>33</v>
      </c>
      <c r="B2" s="19" t="s">
        <v>34</v>
      </c>
      <c r="C2" s="19" t="s">
        <v>35</v>
      </c>
      <c r="D2" s="19" t="s">
        <v>85</v>
      </c>
      <c r="E2" s="19" t="s">
        <v>86</v>
      </c>
      <c r="F2" s="19" t="s">
        <v>84</v>
      </c>
      <c r="G2" s="19" t="s">
        <v>46</v>
      </c>
      <c r="H2" s="19" t="s">
        <v>26</v>
      </c>
      <c r="I2" s="19" t="s">
        <v>37</v>
      </c>
      <c r="J2" s="19" t="s">
        <v>38</v>
      </c>
      <c r="K2" s="25">
        <v>0.5</v>
      </c>
      <c r="L2" s="19" t="s">
        <v>39</v>
      </c>
      <c r="M2" s="19">
        <v>2019</v>
      </c>
      <c r="N2" s="19" t="s">
        <v>28</v>
      </c>
      <c r="O2" s="26" t="s">
        <v>28</v>
      </c>
      <c r="P2" s="19" t="s">
        <v>28</v>
      </c>
      <c r="Q2" s="26" t="s">
        <v>28</v>
      </c>
      <c r="R2" s="27">
        <v>100</v>
      </c>
      <c r="S2" s="28">
        <v>0.5</v>
      </c>
      <c r="T2" s="28">
        <v>0</v>
      </c>
      <c r="U2" s="28">
        <v>0</v>
      </c>
    </row>
    <row r="3" spans="1:21" x14ac:dyDescent="0.2">
      <c r="A3" s="19" t="s">
        <v>33</v>
      </c>
      <c r="B3" s="19" t="s">
        <v>34</v>
      </c>
      <c r="C3" s="19" t="s">
        <v>35</v>
      </c>
      <c r="D3" s="19" t="s">
        <v>82</v>
      </c>
      <c r="E3" s="19" t="s">
        <v>83</v>
      </c>
      <c r="F3" s="19" t="s">
        <v>84</v>
      </c>
      <c r="G3" s="19" t="s">
        <v>46</v>
      </c>
      <c r="H3" s="19" t="s">
        <v>26</v>
      </c>
      <c r="I3" s="19" t="s">
        <v>37</v>
      </c>
      <c r="J3" s="19" t="s">
        <v>38</v>
      </c>
      <c r="K3" s="25">
        <v>0.5</v>
      </c>
      <c r="L3" s="19" t="s">
        <v>39</v>
      </c>
      <c r="M3" s="19">
        <v>2019</v>
      </c>
      <c r="N3" s="19" t="s">
        <v>28</v>
      </c>
      <c r="O3" s="26" t="s">
        <v>28</v>
      </c>
      <c r="P3" s="19" t="s">
        <v>28</v>
      </c>
      <c r="Q3" s="26" t="s">
        <v>28</v>
      </c>
      <c r="R3" s="27">
        <v>100</v>
      </c>
      <c r="S3" s="28">
        <v>0.5</v>
      </c>
      <c r="T3" s="28">
        <v>0</v>
      </c>
      <c r="U3" s="28">
        <v>0</v>
      </c>
    </row>
    <row r="4" spans="1:21" x14ac:dyDescent="0.2">
      <c r="A4" s="18" t="s">
        <v>91</v>
      </c>
      <c r="B4" s="18" t="s">
        <v>92</v>
      </c>
      <c r="C4" s="18" t="s">
        <v>93</v>
      </c>
      <c r="D4" s="18" t="s">
        <v>94</v>
      </c>
      <c r="E4" s="18" t="s">
        <v>95</v>
      </c>
      <c r="F4" s="18" t="s">
        <v>96</v>
      </c>
      <c r="G4" s="18" t="s">
        <v>42</v>
      </c>
      <c r="H4" s="18" t="s">
        <v>26</v>
      </c>
      <c r="I4" s="18" t="s">
        <v>37</v>
      </c>
      <c r="J4" s="18" t="s">
        <v>38</v>
      </c>
      <c r="K4" s="29">
        <v>0.5</v>
      </c>
      <c r="L4" s="29" t="s">
        <v>39</v>
      </c>
      <c r="M4" s="30">
        <v>2019</v>
      </c>
      <c r="N4" s="18" t="s">
        <v>28</v>
      </c>
      <c r="O4" s="24" t="s">
        <v>28</v>
      </c>
      <c r="P4" s="18" t="s">
        <v>28</v>
      </c>
      <c r="Q4" s="24" t="s">
        <v>28</v>
      </c>
      <c r="R4" s="18">
        <v>100</v>
      </c>
      <c r="S4" s="18">
        <v>0.5</v>
      </c>
      <c r="T4" s="18">
        <v>0</v>
      </c>
      <c r="U4" s="18">
        <v>0</v>
      </c>
    </row>
    <row r="5" spans="1:21" x14ac:dyDescent="0.2">
      <c r="A5" s="18" t="s">
        <v>91</v>
      </c>
      <c r="B5" s="18" t="s">
        <v>92</v>
      </c>
      <c r="C5" s="18" t="s">
        <v>93</v>
      </c>
      <c r="D5" s="18" t="s">
        <v>97</v>
      </c>
      <c r="E5" s="18" t="s">
        <v>98</v>
      </c>
      <c r="F5" s="18" t="s">
        <v>99</v>
      </c>
      <c r="G5" s="18" t="s">
        <v>42</v>
      </c>
      <c r="H5" s="18" t="s">
        <v>26</v>
      </c>
      <c r="I5" s="18" t="s">
        <v>37</v>
      </c>
      <c r="J5" s="18" t="s">
        <v>38</v>
      </c>
      <c r="K5" s="29">
        <v>0.5</v>
      </c>
      <c r="L5" s="29" t="s">
        <v>39</v>
      </c>
      <c r="M5" s="30">
        <v>2019</v>
      </c>
      <c r="N5" s="18" t="s">
        <v>28</v>
      </c>
      <c r="O5" s="24" t="s">
        <v>28</v>
      </c>
      <c r="P5" s="18" t="s">
        <v>28</v>
      </c>
      <c r="Q5" s="24" t="s">
        <v>28</v>
      </c>
      <c r="R5" s="18">
        <v>100</v>
      </c>
      <c r="S5" s="18">
        <v>0.5</v>
      </c>
      <c r="T5" s="18">
        <v>0</v>
      </c>
      <c r="U5" s="18">
        <v>0</v>
      </c>
    </row>
    <row r="6" spans="1:21" x14ac:dyDescent="0.2">
      <c r="A6" s="18" t="s">
        <v>33</v>
      </c>
      <c r="B6" s="18" t="s">
        <v>34</v>
      </c>
      <c r="C6" s="18" t="s">
        <v>35</v>
      </c>
      <c r="D6" s="18" t="s">
        <v>100</v>
      </c>
      <c r="E6" s="18" t="s">
        <v>101</v>
      </c>
      <c r="F6" s="18" t="s">
        <v>102</v>
      </c>
      <c r="G6" s="18" t="s">
        <v>36</v>
      </c>
      <c r="H6" s="18" t="s">
        <v>26</v>
      </c>
      <c r="I6" s="18" t="s">
        <v>37</v>
      </c>
      <c r="J6" s="18" t="s">
        <v>38</v>
      </c>
      <c r="K6" s="29">
        <v>0.5</v>
      </c>
      <c r="L6" s="29" t="s">
        <v>39</v>
      </c>
      <c r="M6" s="30">
        <v>2019</v>
      </c>
      <c r="N6" s="18" t="s">
        <v>31</v>
      </c>
      <c r="O6" s="24">
        <v>30</v>
      </c>
      <c r="P6" s="18" t="s">
        <v>28</v>
      </c>
      <c r="Q6" s="24">
        <v>0</v>
      </c>
      <c r="R6" s="18">
        <v>70</v>
      </c>
      <c r="S6" s="18">
        <v>0.35</v>
      </c>
      <c r="T6" s="18">
        <v>0.15</v>
      </c>
      <c r="U6" s="18">
        <v>0</v>
      </c>
    </row>
    <row r="7" spans="1:21" x14ac:dyDescent="0.2">
      <c r="A7" s="18" t="s">
        <v>33</v>
      </c>
      <c r="B7" s="18" t="s">
        <v>34</v>
      </c>
      <c r="C7" s="18" t="s">
        <v>35</v>
      </c>
      <c r="D7" s="18" t="s">
        <v>100</v>
      </c>
      <c r="E7" s="18" t="s">
        <v>101</v>
      </c>
      <c r="F7" s="18" t="s">
        <v>102</v>
      </c>
      <c r="G7" s="18" t="s">
        <v>49</v>
      </c>
      <c r="H7" s="18" t="s">
        <v>26</v>
      </c>
      <c r="I7" s="18" t="s">
        <v>37</v>
      </c>
      <c r="J7" s="18" t="s">
        <v>38</v>
      </c>
      <c r="K7" s="29">
        <v>0.5</v>
      </c>
      <c r="L7" s="29" t="s">
        <v>39</v>
      </c>
      <c r="M7" s="30">
        <v>2019</v>
      </c>
      <c r="N7" s="18" t="s">
        <v>31</v>
      </c>
      <c r="O7" s="24">
        <v>20</v>
      </c>
      <c r="P7" s="18" t="s">
        <v>28</v>
      </c>
      <c r="Q7" s="24">
        <v>0</v>
      </c>
      <c r="R7" s="18">
        <v>80</v>
      </c>
      <c r="S7" s="18">
        <v>0.4</v>
      </c>
      <c r="T7" s="18">
        <v>0.1</v>
      </c>
      <c r="U7" s="18">
        <v>0</v>
      </c>
    </row>
    <row r="8" spans="1:21" x14ac:dyDescent="0.2">
      <c r="A8" s="18" t="s">
        <v>33</v>
      </c>
      <c r="B8" s="18" t="s">
        <v>34</v>
      </c>
      <c r="C8" s="18" t="s">
        <v>35</v>
      </c>
      <c r="D8" s="18" t="s">
        <v>103</v>
      </c>
      <c r="E8" s="18" t="s">
        <v>104</v>
      </c>
      <c r="F8" s="18" t="s">
        <v>105</v>
      </c>
      <c r="G8" s="18" t="s">
        <v>42</v>
      </c>
      <c r="H8" s="18" t="s">
        <v>29</v>
      </c>
      <c r="I8" s="18" t="s">
        <v>37</v>
      </c>
      <c r="J8" s="18" t="s">
        <v>38</v>
      </c>
      <c r="K8" s="29">
        <v>1</v>
      </c>
      <c r="L8" s="29" t="s">
        <v>39</v>
      </c>
      <c r="M8" s="30">
        <v>2019</v>
      </c>
      <c r="N8" s="18" t="s">
        <v>28</v>
      </c>
      <c r="O8" s="24" t="s">
        <v>28</v>
      </c>
      <c r="P8" s="18" t="s">
        <v>28</v>
      </c>
      <c r="Q8" s="24" t="s">
        <v>28</v>
      </c>
      <c r="R8" s="18">
        <v>100</v>
      </c>
      <c r="S8" s="18">
        <v>1</v>
      </c>
      <c r="T8" s="18">
        <v>0</v>
      </c>
      <c r="U8" s="18">
        <v>0</v>
      </c>
    </row>
    <row r="9" spans="1:21" x14ac:dyDescent="0.2">
      <c r="A9" s="18" t="s">
        <v>33</v>
      </c>
      <c r="B9" s="18" t="s">
        <v>34</v>
      </c>
      <c r="C9" s="18" t="s">
        <v>35</v>
      </c>
      <c r="D9" s="18" t="s">
        <v>106</v>
      </c>
      <c r="E9" s="18" t="s">
        <v>107</v>
      </c>
      <c r="F9" s="18" t="s">
        <v>108</v>
      </c>
      <c r="G9" s="18" t="s">
        <v>109</v>
      </c>
      <c r="H9" s="18" t="s">
        <v>26</v>
      </c>
      <c r="I9" s="18" t="s">
        <v>37</v>
      </c>
      <c r="J9" s="18" t="s">
        <v>38</v>
      </c>
      <c r="K9" s="29">
        <v>0.5</v>
      </c>
      <c r="L9" s="29" t="s">
        <v>39</v>
      </c>
      <c r="M9" s="30">
        <v>2019</v>
      </c>
      <c r="N9" s="18" t="s">
        <v>28</v>
      </c>
      <c r="O9" s="24" t="s">
        <v>28</v>
      </c>
      <c r="P9" s="18" t="s">
        <v>28</v>
      </c>
      <c r="Q9" s="24" t="s">
        <v>28</v>
      </c>
      <c r="R9" s="18">
        <v>100</v>
      </c>
      <c r="S9" s="18">
        <v>0.5</v>
      </c>
      <c r="T9" s="18">
        <v>0</v>
      </c>
      <c r="U9" s="18">
        <v>0</v>
      </c>
    </row>
    <row r="10" spans="1:21" ht="10.8" thickBot="1" x14ac:dyDescent="0.25">
      <c r="A10" s="18" t="s">
        <v>33</v>
      </c>
      <c r="B10" s="18" t="s">
        <v>34</v>
      </c>
      <c r="C10" s="18" t="s">
        <v>35</v>
      </c>
      <c r="D10" s="18" t="s">
        <v>106</v>
      </c>
      <c r="E10" s="18" t="s">
        <v>107</v>
      </c>
      <c r="F10" s="18" t="s">
        <v>108</v>
      </c>
      <c r="G10" s="18" t="s">
        <v>52</v>
      </c>
      <c r="H10" s="18" t="s">
        <v>26</v>
      </c>
      <c r="I10" s="18" t="s">
        <v>37</v>
      </c>
      <c r="J10" s="18" t="s">
        <v>38</v>
      </c>
      <c r="K10" s="29">
        <v>0.5</v>
      </c>
      <c r="L10" s="29" t="s">
        <v>39</v>
      </c>
      <c r="M10" s="30">
        <v>2019</v>
      </c>
      <c r="N10" s="18" t="s">
        <v>32</v>
      </c>
      <c r="O10" s="24">
        <v>50</v>
      </c>
      <c r="P10" s="18" t="s">
        <v>28</v>
      </c>
      <c r="Q10" s="24">
        <v>0</v>
      </c>
      <c r="R10" s="18">
        <v>50</v>
      </c>
      <c r="S10" s="18">
        <v>0.25</v>
      </c>
      <c r="T10" s="18">
        <v>0.25</v>
      </c>
      <c r="U10" s="18">
        <v>0</v>
      </c>
    </row>
    <row r="11" spans="1:21" ht="10.8" thickBot="1" x14ac:dyDescent="0.25">
      <c r="A11" s="20" t="s">
        <v>33</v>
      </c>
      <c r="B11" s="20" t="s">
        <v>34</v>
      </c>
      <c r="C11" s="20" t="s">
        <v>35</v>
      </c>
      <c r="D11" s="20" t="s">
        <v>110</v>
      </c>
      <c r="E11" s="20" t="s">
        <v>111</v>
      </c>
      <c r="F11" s="20" t="s">
        <v>112</v>
      </c>
      <c r="G11" s="21" t="s">
        <v>43</v>
      </c>
      <c r="H11" s="22" t="s">
        <v>26</v>
      </c>
      <c r="I11" s="22" t="s">
        <v>37</v>
      </c>
      <c r="J11" s="23" t="s">
        <v>38</v>
      </c>
      <c r="K11" s="29">
        <v>0.5</v>
      </c>
      <c r="L11" s="29" t="s">
        <v>39</v>
      </c>
      <c r="M11" s="18">
        <v>2020</v>
      </c>
      <c r="N11" s="18" t="s">
        <v>32</v>
      </c>
      <c r="O11" s="24">
        <v>10</v>
      </c>
      <c r="P11" s="18" t="s">
        <v>28</v>
      </c>
      <c r="Q11" s="24">
        <v>0</v>
      </c>
      <c r="R11" s="18">
        <v>90</v>
      </c>
      <c r="S11" s="18">
        <v>0.45</v>
      </c>
      <c r="T11" s="18">
        <v>0.05</v>
      </c>
      <c r="U11" s="18">
        <v>0</v>
      </c>
    </row>
    <row r="12" spans="1:21" ht="10.8" thickBot="1" x14ac:dyDescent="0.25">
      <c r="A12" s="20" t="s">
        <v>33</v>
      </c>
      <c r="B12" s="20" t="s">
        <v>34</v>
      </c>
      <c r="C12" s="20" t="s">
        <v>35</v>
      </c>
      <c r="D12" s="20" t="s">
        <v>110</v>
      </c>
      <c r="E12" s="20" t="s">
        <v>111</v>
      </c>
      <c r="F12" s="20" t="s">
        <v>112</v>
      </c>
      <c r="G12" s="21" t="s">
        <v>40</v>
      </c>
      <c r="H12" s="22" t="s">
        <v>26</v>
      </c>
      <c r="I12" s="22" t="s">
        <v>37</v>
      </c>
      <c r="J12" s="23" t="s">
        <v>38</v>
      </c>
      <c r="K12" s="29">
        <v>0.5</v>
      </c>
      <c r="L12" s="29" t="s">
        <v>39</v>
      </c>
      <c r="M12" s="18">
        <v>2020</v>
      </c>
      <c r="N12" s="18" t="s">
        <v>28</v>
      </c>
      <c r="O12" s="24" t="s">
        <v>28</v>
      </c>
      <c r="P12" s="18" t="s">
        <v>28</v>
      </c>
      <c r="Q12" s="24" t="s">
        <v>28</v>
      </c>
      <c r="R12" s="18">
        <v>100</v>
      </c>
      <c r="S12" s="18">
        <v>0.5</v>
      </c>
      <c r="T12" s="18">
        <v>0</v>
      </c>
      <c r="U12" s="18">
        <v>0</v>
      </c>
    </row>
    <row r="13" spans="1:21" ht="10.8" thickBot="1" x14ac:dyDescent="0.25">
      <c r="A13" s="20" t="s">
        <v>33</v>
      </c>
      <c r="B13" s="20" t="s">
        <v>34</v>
      </c>
      <c r="C13" s="20" t="s">
        <v>35</v>
      </c>
      <c r="D13" s="20" t="s">
        <v>113</v>
      </c>
      <c r="E13" s="20" t="s">
        <v>114</v>
      </c>
      <c r="F13" s="20" t="s">
        <v>115</v>
      </c>
      <c r="G13" s="21" t="s">
        <v>45</v>
      </c>
      <c r="H13" s="22" t="s">
        <v>26</v>
      </c>
      <c r="I13" s="22" t="s">
        <v>37</v>
      </c>
      <c r="J13" s="23" t="s">
        <v>38</v>
      </c>
      <c r="K13" s="29">
        <v>0.5</v>
      </c>
      <c r="L13" s="29" t="s">
        <v>39</v>
      </c>
      <c r="M13" s="18">
        <v>2020</v>
      </c>
      <c r="N13" s="18" t="s">
        <v>28</v>
      </c>
      <c r="O13" s="24" t="s">
        <v>28</v>
      </c>
      <c r="P13" s="18" t="s">
        <v>28</v>
      </c>
      <c r="Q13" s="24" t="s">
        <v>28</v>
      </c>
      <c r="R13" s="18">
        <v>100</v>
      </c>
      <c r="S13" s="18">
        <v>0.5</v>
      </c>
      <c r="T13" s="18">
        <v>0</v>
      </c>
      <c r="U13" s="18">
        <v>0</v>
      </c>
    </row>
    <row r="14" spans="1:21" ht="10.8" thickBot="1" x14ac:dyDescent="0.25">
      <c r="A14" s="20" t="s">
        <v>33</v>
      </c>
      <c r="B14" s="20" t="s">
        <v>34</v>
      </c>
      <c r="C14" s="20" t="s">
        <v>35</v>
      </c>
      <c r="D14" s="20" t="s">
        <v>116</v>
      </c>
      <c r="E14" s="20" t="s">
        <v>117</v>
      </c>
      <c r="F14" s="20" t="s">
        <v>118</v>
      </c>
      <c r="G14" s="21" t="s">
        <v>41</v>
      </c>
      <c r="H14" s="22" t="s">
        <v>26</v>
      </c>
      <c r="I14" s="22" t="s">
        <v>37</v>
      </c>
      <c r="J14" s="23" t="s">
        <v>38</v>
      </c>
      <c r="K14" s="29">
        <v>0.5</v>
      </c>
      <c r="L14" s="29" t="s">
        <v>39</v>
      </c>
      <c r="M14" s="18">
        <v>2020</v>
      </c>
      <c r="N14" s="18" t="s">
        <v>28</v>
      </c>
      <c r="O14" s="24" t="s">
        <v>28</v>
      </c>
      <c r="P14" s="18" t="s">
        <v>28</v>
      </c>
      <c r="Q14" s="24" t="s">
        <v>28</v>
      </c>
      <c r="R14" s="18">
        <v>100</v>
      </c>
      <c r="S14" s="18">
        <v>0.5</v>
      </c>
      <c r="T14" s="18">
        <v>0</v>
      </c>
      <c r="U14" s="18">
        <v>0</v>
      </c>
    </row>
    <row r="15" spans="1:21" ht="10.8" thickBot="1" x14ac:dyDescent="0.25">
      <c r="A15" s="20" t="s">
        <v>33</v>
      </c>
      <c r="B15" s="20" t="s">
        <v>34</v>
      </c>
      <c r="C15" s="20" t="s">
        <v>35</v>
      </c>
      <c r="D15" s="20" t="s">
        <v>116</v>
      </c>
      <c r="E15" s="20" t="s">
        <v>117</v>
      </c>
      <c r="F15" s="20" t="s">
        <v>118</v>
      </c>
      <c r="G15" s="21" t="s">
        <v>48</v>
      </c>
      <c r="H15" s="22" t="s">
        <v>26</v>
      </c>
      <c r="I15" s="22" t="s">
        <v>37</v>
      </c>
      <c r="J15" s="23" t="s">
        <v>38</v>
      </c>
      <c r="K15" s="29">
        <v>0.5</v>
      </c>
      <c r="L15" s="29" t="s">
        <v>39</v>
      </c>
      <c r="M15" s="18">
        <v>2020</v>
      </c>
      <c r="N15" s="18" t="s">
        <v>31</v>
      </c>
      <c r="O15" s="24">
        <v>20</v>
      </c>
      <c r="P15" s="18" t="s">
        <v>28</v>
      </c>
      <c r="Q15" s="24">
        <v>0</v>
      </c>
      <c r="R15" s="18">
        <v>80</v>
      </c>
      <c r="S15" s="18">
        <v>0.4</v>
      </c>
      <c r="T15" s="18">
        <v>0.1</v>
      </c>
      <c r="U15" s="18">
        <v>0</v>
      </c>
    </row>
    <row r="16" spans="1:21" ht="10.8" thickBot="1" x14ac:dyDescent="0.25">
      <c r="A16" s="20" t="s">
        <v>33</v>
      </c>
      <c r="B16" s="20" t="s">
        <v>34</v>
      </c>
      <c r="C16" s="20" t="s">
        <v>35</v>
      </c>
      <c r="D16" s="20" t="s">
        <v>119</v>
      </c>
      <c r="E16" s="20" t="s">
        <v>120</v>
      </c>
      <c r="F16" s="20" t="s">
        <v>121</v>
      </c>
      <c r="G16" s="21" t="s">
        <v>52</v>
      </c>
      <c r="H16" s="22" t="s">
        <v>26</v>
      </c>
      <c r="I16" s="22" t="s">
        <v>37</v>
      </c>
      <c r="J16" s="23" t="s">
        <v>38</v>
      </c>
      <c r="K16" s="29">
        <v>0.5</v>
      </c>
      <c r="L16" s="29" t="s">
        <v>39</v>
      </c>
      <c r="M16" s="18">
        <v>2020</v>
      </c>
      <c r="N16" s="18" t="s">
        <v>32</v>
      </c>
      <c r="O16" s="24">
        <v>50</v>
      </c>
      <c r="P16" s="18" t="s">
        <v>28</v>
      </c>
      <c r="Q16" s="24">
        <v>0</v>
      </c>
      <c r="R16" s="18">
        <v>50</v>
      </c>
      <c r="S16" s="18">
        <v>0.25</v>
      </c>
      <c r="T16" s="18">
        <v>0.25</v>
      </c>
      <c r="U16" s="18">
        <v>0</v>
      </c>
    </row>
    <row r="17" spans="1:21" ht="10.8" thickBot="1" x14ac:dyDescent="0.25">
      <c r="A17" s="20" t="s">
        <v>33</v>
      </c>
      <c r="B17" s="20" t="s">
        <v>34</v>
      </c>
      <c r="C17" s="20" t="s">
        <v>35</v>
      </c>
      <c r="D17" s="20" t="s">
        <v>122</v>
      </c>
      <c r="E17" s="20" t="s">
        <v>123</v>
      </c>
      <c r="F17" s="20" t="s">
        <v>124</v>
      </c>
      <c r="G17" s="21" t="s">
        <v>42</v>
      </c>
      <c r="H17" s="22" t="s">
        <v>26</v>
      </c>
      <c r="I17" s="22" t="s">
        <v>37</v>
      </c>
      <c r="J17" s="23" t="s">
        <v>38</v>
      </c>
      <c r="K17" s="29">
        <v>0.5</v>
      </c>
      <c r="L17" s="29" t="s">
        <v>39</v>
      </c>
      <c r="M17" s="18">
        <v>2020</v>
      </c>
      <c r="N17" s="18" t="s">
        <v>28</v>
      </c>
      <c r="O17" s="24" t="s">
        <v>28</v>
      </c>
      <c r="P17" s="18" t="s">
        <v>28</v>
      </c>
      <c r="Q17" s="24" t="s">
        <v>28</v>
      </c>
      <c r="R17" s="18">
        <v>100</v>
      </c>
      <c r="S17" s="18">
        <v>0.5</v>
      </c>
      <c r="T17" s="18">
        <v>0</v>
      </c>
      <c r="U17" s="18">
        <v>0</v>
      </c>
    </row>
    <row r="18" spans="1:21" ht="10.8" thickBot="1" x14ac:dyDescent="0.25">
      <c r="A18" s="20" t="s">
        <v>33</v>
      </c>
      <c r="B18" s="20" t="s">
        <v>34</v>
      </c>
      <c r="C18" s="20" t="s">
        <v>35</v>
      </c>
      <c r="D18" s="20" t="s">
        <v>125</v>
      </c>
      <c r="E18" s="20" t="s">
        <v>126</v>
      </c>
      <c r="F18" s="20" t="s">
        <v>127</v>
      </c>
      <c r="G18" s="21" t="s">
        <v>128</v>
      </c>
      <c r="H18" s="22" t="s">
        <v>29</v>
      </c>
      <c r="I18" s="22" t="s">
        <v>37</v>
      </c>
      <c r="J18" s="23" t="s">
        <v>38</v>
      </c>
      <c r="K18" s="29">
        <v>1</v>
      </c>
      <c r="L18" s="29" t="s">
        <v>39</v>
      </c>
      <c r="M18" s="18">
        <v>2020</v>
      </c>
      <c r="N18" s="18" t="s">
        <v>28</v>
      </c>
      <c r="O18" s="24" t="s">
        <v>28</v>
      </c>
      <c r="P18" s="18" t="s">
        <v>28</v>
      </c>
      <c r="Q18" s="24" t="s">
        <v>28</v>
      </c>
      <c r="R18" s="18">
        <v>100</v>
      </c>
      <c r="S18" s="18">
        <v>1</v>
      </c>
      <c r="T18" s="18">
        <v>0</v>
      </c>
      <c r="U18" s="18">
        <v>0</v>
      </c>
    </row>
    <row r="19" spans="1:21" x14ac:dyDescent="0.2">
      <c r="A19" s="18" t="s">
        <v>129</v>
      </c>
      <c r="B19" s="18" t="s">
        <v>130</v>
      </c>
      <c r="C19" s="18" t="s">
        <v>131</v>
      </c>
      <c r="D19" s="18" t="s">
        <v>132</v>
      </c>
      <c r="E19" s="18" t="s">
        <v>133</v>
      </c>
      <c r="F19" s="18" t="s">
        <v>134</v>
      </c>
      <c r="G19" s="18" t="s">
        <v>49</v>
      </c>
      <c r="H19" s="18" t="s">
        <v>26</v>
      </c>
      <c r="I19" s="18" t="s">
        <v>37</v>
      </c>
      <c r="J19" s="18" t="s">
        <v>38</v>
      </c>
      <c r="K19" s="29">
        <v>0.5</v>
      </c>
      <c r="L19" s="29" t="s">
        <v>39</v>
      </c>
      <c r="M19" s="18">
        <v>2020</v>
      </c>
      <c r="N19" s="18" t="s">
        <v>31</v>
      </c>
      <c r="O19" s="24">
        <v>20</v>
      </c>
      <c r="P19" s="18" t="s">
        <v>28</v>
      </c>
      <c r="Q19" s="24">
        <v>0</v>
      </c>
      <c r="R19" s="18">
        <v>80</v>
      </c>
      <c r="S19" s="18">
        <v>0.4</v>
      </c>
      <c r="T19" s="18">
        <v>0.1</v>
      </c>
      <c r="U19" s="18">
        <v>0</v>
      </c>
    </row>
    <row r="20" spans="1:21" x14ac:dyDescent="0.2">
      <c r="A20" s="18" t="s">
        <v>33</v>
      </c>
      <c r="B20" s="18" t="s">
        <v>34</v>
      </c>
      <c r="C20" s="18" t="s">
        <v>35</v>
      </c>
      <c r="D20" s="18" t="s">
        <v>137</v>
      </c>
      <c r="E20" s="18" t="s">
        <v>138</v>
      </c>
      <c r="F20" s="18" t="s">
        <v>139</v>
      </c>
      <c r="G20" s="18" t="s">
        <v>46</v>
      </c>
      <c r="H20" s="18" t="s">
        <v>26</v>
      </c>
      <c r="I20" s="18" t="s">
        <v>37</v>
      </c>
      <c r="J20" s="18" t="s">
        <v>38</v>
      </c>
      <c r="K20" s="29">
        <v>0.5</v>
      </c>
      <c r="L20" s="29" t="s">
        <v>39</v>
      </c>
      <c r="M20" s="18">
        <v>2021</v>
      </c>
      <c r="N20" s="18" t="s">
        <v>28</v>
      </c>
      <c r="O20" s="24" t="s">
        <v>28</v>
      </c>
      <c r="P20" s="18" t="s">
        <v>28</v>
      </c>
      <c r="Q20" s="24" t="s">
        <v>28</v>
      </c>
      <c r="R20" s="18">
        <v>100</v>
      </c>
      <c r="S20" s="18">
        <v>0.5</v>
      </c>
      <c r="T20" s="18">
        <v>0</v>
      </c>
      <c r="U20" s="18">
        <v>0</v>
      </c>
    </row>
    <row r="21" spans="1:21" x14ac:dyDescent="0.2">
      <c r="A21" s="18" t="s">
        <v>33</v>
      </c>
      <c r="B21" s="18" t="s">
        <v>34</v>
      </c>
      <c r="C21" s="18" t="s">
        <v>35</v>
      </c>
      <c r="D21" s="18" t="s">
        <v>140</v>
      </c>
      <c r="E21" s="18" t="s">
        <v>141</v>
      </c>
      <c r="F21" s="18" t="s">
        <v>142</v>
      </c>
      <c r="G21" s="18" t="s">
        <v>44</v>
      </c>
      <c r="H21" s="18" t="s">
        <v>26</v>
      </c>
      <c r="I21" s="18" t="s">
        <v>37</v>
      </c>
      <c r="J21" s="18" t="s">
        <v>38</v>
      </c>
      <c r="K21" s="29">
        <v>0.5</v>
      </c>
      <c r="L21" s="29" t="s">
        <v>39</v>
      </c>
      <c r="M21" s="18">
        <v>2021</v>
      </c>
      <c r="N21" s="18" t="s">
        <v>31</v>
      </c>
      <c r="O21" s="24">
        <v>20</v>
      </c>
      <c r="P21" s="18" t="s">
        <v>28</v>
      </c>
      <c r="Q21" s="24">
        <v>0</v>
      </c>
      <c r="R21" s="18">
        <v>80</v>
      </c>
      <c r="S21" s="18">
        <v>0.4</v>
      </c>
      <c r="T21" s="18">
        <v>0.1</v>
      </c>
      <c r="U21" s="18">
        <v>0</v>
      </c>
    </row>
    <row r="22" spans="1:21" x14ac:dyDescent="0.2">
      <c r="A22" s="18" t="s">
        <v>33</v>
      </c>
      <c r="B22" s="18" t="s">
        <v>34</v>
      </c>
      <c r="C22" s="18" t="s">
        <v>35</v>
      </c>
      <c r="D22" s="18" t="s">
        <v>143</v>
      </c>
      <c r="E22" s="18" t="s">
        <v>144</v>
      </c>
      <c r="F22" s="18" t="s">
        <v>145</v>
      </c>
      <c r="G22" s="18" t="s">
        <v>44</v>
      </c>
      <c r="H22" s="18" t="s">
        <v>26</v>
      </c>
      <c r="I22" s="18" t="s">
        <v>37</v>
      </c>
      <c r="J22" s="18" t="s">
        <v>38</v>
      </c>
      <c r="K22" s="29">
        <v>0.5</v>
      </c>
      <c r="L22" s="29" t="s">
        <v>39</v>
      </c>
      <c r="M22" s="18">
        <v>2021</v>
      </c>
      <c r="N22" s="18" t="s">
        <v>31</v>
      </c>
      <c r="O22" s="24">
        <v>20</v>
      </c>
      <c r="P22" s="18" t="s">
        <v>28</v>
      </c>
      <c r="Q22" s="24">
        <v>0</v>
      </c>
      <c r="R22" s="18">
        <v>80</v>
      </c>
      <c r="S22" s="18">
        <v>0.4</v>
      </c>
      <c r="T22" s="18">
        <v>0.1</v>
      </c>
      <c r="U22" s="18">
        <v>0</v>
      </c>
    </row>
    <row r="23" spans="1:21" x14ac:dyDescent="0.2">
      <c r="A23" s="18" t="s">
        <v>146</v>
      </c>
      <c r="B23" s="18" t="s">
        <v>147</v>
      </c>
      <c r="C23" s="18" t="s">
        <v>35</v>
      </c>
      <c r="D23" s="18" t="s">
        <v>148</v>
      </c>
      <c r="E23" s="18" t="s">
        <v>149</v>
      </c>
      <c r="F23" s="18" t="s">
        <v>139</v>
      </c>
      <c r="G23" s="18" t="s">
        <v>46</v>
      </c>
      <c r="H23" s="18" t="s">
        <v>26</v>
      </c>
      <c r="I23" s="18" t="s">
        <v>37</v>
      </c>
      <c r="J23" s="18" t="s">
        <v>38</v>
      </c>
      <c r="K23" s="29">
        <v>0.5</v>
      </c>
      <c r="L23" s="29" t="s">
        <v>39</v>
      </c>
      <c r="M23" s="18">
        <v>2021</v>
      </c>
      <c r="N23" s="18" t="s">
        <v>28</v>
      </c>
      <c r="O23" s="24" t="s">
        <v>28</v>
      </c>
      <c r="P23" s="18" t="s">
        <v>28</v>
      </c>
      <c r="Q23" s="24" t="s">
        <v>28</v>
      </c>
      <c r="R23" s="18">
        <v>100</v>
      </c>
      <c r="S23" s="18">
        <v>0.5</v>
      </c>
      <c r="T23" s="18">
        <v>0</v>
      </c>
      <c r="U23" s="18">
        <v>0</v>
      </c>
    </row>
    <row r="24" spans="1:21" x14ac:dyDescent="0.2">
      <c r="A24" s="18" t="s">
        <v>33</v>
      </c>
      <c r="B24" s="18" t="s">
        <v>34</v>
      </c>
      <c r="C24" s="18" t="s">
        <v>35</v>
      </c>
      <c r="D24" s="18" t="s">
        <v>156</v>
      </c>
      <c r="E24" s="18" t="s">
        <v>157</v>
      </c>
      <c r="F24" s="18" t="s">
        <v>158</v>
      </c>
      <c r="G24" s="18" t="s">
        <v>46</v>
      </c>
      <c r="H24" s="18" t="s">
        <v>26</v>
      </c>
      <c r="I24" s="18" t="s">
        <v>37</v>
      </c>
      <c r="J24" s="18" t="s">
        <v>38</v>
      </c>
      <c r="K24" s="34">
        <v>0.5</v>
      </c>
      <c r="L24" s="29" t="s">
        <v>39</v>
      </c>
      <c r="M24" s="18">
        <v>2021</v>
      </c>
      <c r="N24" s="18" t="s">
        <v>28</v>
      </c>
      <c r="O24" s="24" t="s">
        <v>28</v>
      </c>
      <c r="P24" s="18" t="s">
        <v>28</v>
      </c>
      <c r="Q24" s="24" t="s">
        <v>28</v>
      </c>
      <c r="R24" s="18">
        <v>100</v>
      </c>
      <c r="S24" s="18">
        <v>0.5</v>
      </c>
      <c r="T24" s="18">
        <v>0</v>
      </c>
      <c r="U24" s="18">
        <v>0</v>
      </c>
    </row>
    <row r="25" spans="1:21" x14ac:dyDescent="0.2">
      <c r="A25" s="18" t="s">
        <v>33</v>
      </c>
      <c r="B25" s="18" t="s">
        <v>34</v>
      </c>
      <c r="C25" s="18" t="s">
        <v>35</v>
      </c>
      <c r="D25" s="18" t="s">
        <v>163</v>
      </c>
      <c r="E25" s="18" t="s">
        <v>164</v>
      </c>
      <c r="F25" s="18" t="s">
        <v>165</v>
      </c>
      <c r="G25" s="18" t="s">
        <v>47</v>
      </c>
      <c r="H25" s="18" t="s">
        <v>26</v>
      </c>
      <c r="I25" s="18" t="s">
        <v>37</v>
      </c>
      <c r="J25" s="18" t="s">
        <v>38</v>
      </c>
      <c r="K25" s="34">
        <v>0.5</v>
      </c>
      <c r="L25" s="34" t="s">
        <v>39</v>
      </c>
      <c r="M25" s="18">
        <v>2022</v>
      </c>
      <c r="N25" s="34" t="s">
        <v>31</v>
      </c>
      <c r="O25" s="34">
        <v>50</v>
      </c>
      <c r="P25" s="34" t="s">
        <v>28</v>
      </c>
      <c r="Q25" s="34">
        <v>0</v>
      </c>
      <c r="R25" s="34">
        <v>50</v>
      </c>
      <c r="S25" s="34">
        <v>0.25</v>
      </c>
      <c r="T25" s="34">
        <v>0.25</v>
      </c>
      <c r="U25" s="34">
        <v>0</v>
      </c>
    </row>
    <row r="26" spans="1:21" x14ac:dyDescent="0.2">
      <c r="A26" s="18" t="s">
        <v>33</v>
      </c>
      <c r="B26" s="18" t="s">
        <v>34</v>
      </c>
      <c r="C26" s="18" t="s">
        <v>35</v>
      </c>
      <c r="D26" s="18" t="s">
        <v>166</v>
      </c>
      <c r="E26" s="18" t="s">
        <v>167</v>
      </c>
      <c r="F26" s="18" t="s">
        <v>168</v>
      </c>
      <c r="G26" s="18" t="s">
        <v>36</v>
      </c>
      <c r="H26" s="18" t="s">
        <v>26</v>
      </c>
      <c r="I26" s="18" t="s">
        <v>37</v>
      </c>
      <c r="J26" s="18" t="s">
        <v>38</v>
      </c>
      <c r="K26" s="34">
        <v>0.5</v>
      </c>
      <c r="L26" s="34" t="s">
        <v>39</v>
      </c>
      <c r="M26" s="18">
        <v>2022</v>
      </c>
      <c r="N26" s="34" t="s">
        <v>31</v>
      </c>
      <c r="O26" s="34">
        <v>30</v>
      </c>
      <c r="P26" s="34" t="s">
        <v>28</v>
      </c>
      <c r="Q26" s="34">
        <v>0</v>
      </c>
      <c r="R26" s="34">
        <v>70</v>
      </c>
      <c r="S26" s="34">
        <v>0.35</v>
      </c>
      <c r="T26" s="34">
        <v>0.15</v>
      </c>
      <c r="U26" s="34">
        <v>0</v>
      </c>
    </row>
    <row r="27" spans="1:21" x14ac:dyDescent="0.2">
      <c r="A27" s="18" t="s">
        <v>33</v>
      </c>
      <c r="B27" s="18" t="s">
        <v>34</v>
      </c>
      <c r="C27" s="18" t="s">
        <v>35</v>
      </c>
      <c r="D27" s="18" t="s">
        <v>166</v>
      </c>
      <c r="E27" s="18" t="s">
        <v>167</v>
      </c>
      <c r="F27" s="18" t="s">
        <v>168</v>
      </c>
      <c r="G27" s="18" t="s">
        <v>49</v>
      </c>
      <c r="H27" s="18" t="s">
        <v>26</v>
      </c>
      <c r="I27" s="18" t="s">
        <v>37</v>
      </c>
      <c r="J27" s="18" t="s">
        <v>38</v>
      </c>
      <c r="K27" s="34">
        <v>0.5</v>
      </c>
      <c r="L27" s="34" t="s">
        <v>39</v>
      </c>
      <c r="M27" s="18">
        <v>2022</v>
      </c>
      <c r="N27" s="34" t="s">
        <v>31</v>
      </c>
      <c r="O27" s="34">
        <v>20</v>
      </c>
      <c r="P27" s="34" t="s">
        <v>28</v>
      </c>
      <c r="Q27" s="34">
        <v>0</v>
      </c>
      <c r="R27" s="34">
        <v>80</v>
      </c>
      <c r="S27" s="34">
        <v>0.4</v>
      </c>
      <c r="T27" s="34">
        <v>0.1</v>
      </c>
      <c r="U27" s="34">
        <v>0</v>
      </c>
    </row>
    <row r="28" spans="1:21" x14ac:dyDescent="0.2">
      <c r="A28" s="18" t="s">
        <v>33</v>
      </c>
      <c r="B28" s="18" t="s">
        <v>34</v>
      </c>
      <c r="C28" s="18" t="s">
        <v>35</v>
      </c>
      <c r="D28" s="18" t="s">
        <v>169</v>
      </c>
      <c r="E28" s="18" t="s">
        <v>170</v>
      </c>
      <c r="F28" s="18" t="s">
        <v>171</v>
      </c>
      <c r="G28" s="18" t="s">
        <v>46</v>
      </c>
      <c r="H28" s="18" t="s">
        <v>26</v>
      </c>
      <c r="I28" s="18" t="s">
        <v>37</v>
      </c>
      <c r="J28" s="18" t="s">
        <v>38</v>
      </c>
      <c r="K28" s="34">
        <v>0.5</v>
      </c>
      <c r="L28" s="34" t="s">
        <v>39</v>
      </c>
      <c r="M28" s="18">
        <v>2022</v>
      </c>
      <c r="N28" s="34" t="s">
        <v>28</v>
      </c>
      <c r="O28" s="34" t="s">
        <v>28</v>
      </c>
      <c r="P28" s="34" t="s">
        <v>28</v>
      </c>
      <c r="Q28" s="34" t="s">
        <v>28</v>
      </c>
      <c r="R28" s="34">
        <v>100</v>
      </c>
      <c r="S28" s="34">
        <v>0.5</v>
      </c>
      <c r="T28" s="34">
        <v>0</v>
      </c>
      <c r="U28" s="34">
        <v>0</v>
      </c>
    </row>
    <row r="29" spans="1:21" x14ac:dyDescent="0.2">
      <c r="A29" s="18" t="s">
        <v>33</v>
      </c>
      <c r="B29" s="18" t="s">
        <v>34</v>
      </c>
      <c r="C29" s="18" t="s">
        <v>35</v>
      </c>
      <c r="D29" s="18" t="s">
        <v>172</v>
      </c>
      <c r="E29" s="18" t="s">
        <v>173</v>
      </c>
      <c r="F29" s="18" t="s">
        <v>174</v>
      </c>
      <c r="G29" s="18" t="s">
        <v>50</v>
      </c>
      <c r="H29" s="18" t="s">
        <v>29</v>
      </c>
      <c r="I29" s="18" t="s">
        <v>37</v>
      </c>
      <c r="J29" s="18" t="s">
        <v>38</v>
      </c>
      <c r="K29" s="34">
        <v>1</v>
      </c>
      <c r="L29" s="34" t="s">
        <v>39</v>
      </c>
      <c r="M29" s="18">
        <v>2022</v>
      </c>
      <c r="N29" s="34" t="s">
        <v>28</v>
      </c>
      <c r="O29" s="34" t="s">
        <v>28</v>
      </c>
      <c r="P29" s="34" t="s">
        <v>28</v>
      </c>
      <c r="Q29" s="34" t="s">
        <v>28</v>
      </c>
      <c r="R29" s="34">
        <v>100</v>
      </c>
      <c r="S29" s="34">
        <v>1</v>
      </c>
      <c r="T29" s="34">
        <v>0</v>
      </c>
      <c r="U29" s="34">
        <v>0</v>
      </c>
    </row>
    <row r="30" spans="1:21" x14ac:dyDescent="0.2">
      <c r="A30" s="18" t="s">
        <v>33</v>
      </c>
      <c r="B30" s="18" t="s">
        <v>34</v>
      </c>
      <c r="C30" s="18" t="s">
        <v>35</v>
      </c>
      <c r="D30" s="18" t="s">
        <v>175</v>
      </c>
      <c r="E30" s="18" t="s">
        <v>176</v>
      </c>
      <c r="F30" s="18" t="s">
        <v>177</v>
      </c>
      <c r="G30" s="18" t="s">
        <v>46</v>
      </c>
      <c r="H30" s="18" t="s">
        <v>26</v>
      </c>
      <c r="I30" s="18" t="s">
        <v>37</v>
      </c>
      <c r="J30" s="18" t="s">
        <v>38</v>
      </c>
      <c r="K30" s="34">
        <v>0.5</v>
      </c>
      <c r="L30" s="34" t="s">
        <v>39</v>
      </c>
      <c r="M30" s="18">
        <v>2022</v>
      </c>
      <c r="N30" s="34" t="s">
        <v>28</v>
      </c>
      <c r="O30" s="34" t="s">
        <v>28</v>
      </c>
      <c r="P30" s="34" t="s">
        <v>28</v>
      </c>
      <c r="Q30" s="34" t="s">
        <v>28</v>
      </c>
      <c r="R30" s="34">
        <v>100</v>
      </c>
      <c r="S30" s="34">
        <v>0.5</v>
      </c>
      <c r="T30" s="34">
        <v>0</v>
      </c>
      <c r="U30" s="34">
        <v>0</v>
      </c>
    </row>
    <row r="31" spans="1:21" x14ac:dyDescent="0.2">
      <c r="A31" s="18" t="s">
        <v>33</v>
      </c>
      <c r="B31" s="18" t="s">
        <v>34</v>
      </c>
      <c r="C31" s="18" t="s">
        <v>35</v>
      </c>
      <c r="D31" s="18" t="s">
        <v>178</v>
      </c>
      <c r="E31" s="18" t="s">
        <v>179</v>
      </c>
      <c r="F31" s="18" t="s">
        <v>180</v>
      </c>
      <c r="G31" s="18" t="s">
        <v>48</v>
      </c>
      <c r="H31" s="18" t="s">
        <v>26</v>
      </c>
      <c r="I31" s="18" t="s">
        <v>37</v>
      </c>
      <c r="J31" s="18" t="s">
        <v>38</v>
      </c>
      <c r="K31" s="34">
        <v>0.5</v>
      </c>
      <c r="L31" s="34" t="s">
        <v>39</v>
      </c>
      <c r="M31" s="18">
        <v>2022</v>
      </c>
      <c r="N31" s="34" t="s">
        <v>31</v>
      </c>
      <c r="O31" s="34">
        <v>20</v>
      </c>
      <c r="P31" s="34" t="s">
        <v>28</v>
      </c>
      <c r="Q31" s="34">
        <v>0</v>
      </c>
      <c r="R31" s="34">
        <v>80</v>
      </c>
      <c r="S31" s="34">
        <v>0.4</v>
      </c>
      <c r="T31" s="34">
        <v>0.1</v>
      </c>
      <c r="U31" s="34">
        <v>0</v>
      </c>
    </row>
    <row r="32" spans="1:21" x14ac:dyDescent="0.2">
      <c r="A32" s="18" t="s">
        <v>33</v>
      </c>
      <c r="B32" s="18" t="s">
        <v>34</v>
      </c>
      <c r="C32" s="18" t="s">
        <v>35</v>
      </c>
      <c r="D32" s="18" t="s">
        <v>181</v>
      </c>
      <c r="E32" s="18" t="s">
        <v>182</v>
      </c>
      <c r="F32" s="18" t="s">
        <v>183</v>
      </c>
      <c r="G32" s="18" t="s">
        <v>46</v>
      </c>
      <c r="H32" s="18" t="s">
        <v>26</v>
      </c>
      <c r="I32" s="18" t="s">
        <v>37</v>
      </c>
      <c r="J32" s="18" t="s">
        <v>38</v>
      </c>
      <c r="K32" s="34">
        <v>0.5</v>
      </c>
      <c r="L32" s="34" t="s">
        <v>39</v>
      </c>
      <c r="M32" s="18">
        <v>2022</v>
      </c>
      <c r="N32" s="34" t="s">
        <v>28</v>
      </c>
      <c r="O32" s="34" t="s">
        <v>28</v>
      </c>
      <c r="P32" s="34" t="s">
        <v>28</v>
      </c>
      <c r="Q32" s="34" t="s">
        <v>28</v>
      </c>
      <c r="R32" s="34">
        <v>100</v>
      </c>
      <c r="S32" s="34">
        <v>0.5</v>
      </c>
      <c r="T32" s="34">
        <v>0</v>
      </c>
      <c r="U32" s="34">
        <v>0</v>
      </c>
    </row>
    <row r="33" spans="1:21" x14ac:dyDescent="0.2">
      <c r="A33" s="18" t="s">
        <v>33</v>
      </c>
      <c r="B33" s="18" t="s">
        <v>34</v>
      </c>
      <c r="C33" s="18" t="s">
        <v>35</v>
      </c>
      <c r="D33" s="18" t="s">
        <v>184</v>
      </c>
      <c r="E33" s="18" t="s">
        <v>185</v>
      </c>
      <c r="F33" s="18" t="s">
        <v>186</v>
      </c>
      <c r="G33" s="18" t="s">
        <v>128</v>
      </c>
      <c r="H33" s="18" t="s">
        <v>26</v>
      </c>
      <c r="I33" s="18" t="s">
        <v>37</v>
      </c>
      <c r="J33" s="18" t="s">
        <v>38</v>
      </c>
      <c r="K33" s="34">
        <v>0.5</v>
      </c>
      <c r="L33" s="34" t="s">
        <v>39</v>
      </c>
      <c r="M33" s="18">
        <v>2022</v>
      </c>
      <c r="N33" s="34" t="s">
        <v>28</v>
      </c>
      <c r="O33" s="34" t="s">
        <v>28</v>
      </c>
      <c r="P33" s="34" t="s">
        <v>28</v>
      </c>
      <c r="Q33" s="34" t="s">
        <v>28</v>
      </c>
      <c r="R33" s="34">
        <v>100</v>
      </c>
      <c r="S33" s="34">
        <v>0.5</v>
      </c>
      <c r="T33" s="34">
        <v>0</v>
      </c>
      <c r="U33" s="34">
        <v>0</v>
      </c>
    </row>
    <row r="34" spans="1:21" x14ac:dyDescent="0.2">
      <c r="A34" s="18" t="s">
        <v>39</v>
      </c>
      <c r="B34" s="18" t="s">
        <v>229</v>
      </c>
      <c r="C34" s="18" t="s">
        <v>230</v>
      </c>
      <c r="D34" s="18" t="s">
        <v>231</v>
      </c>
      <c r="E34" s="18" t="s">
        <v>232</v>
      </c>
      <c r="F34" s="18" t="s">
        <v>233</v>
      </c>
      <c r="G34" s="18" t="s">
        <v>234</v>
      </c>
      <c r="H34" s="18" t="s">
        <v>235</v>
      </c>
      <c r="I34" s="18" t="s">
        <v>39</v>
      </c>
      <c r="J34" s="18" t="s">
        <v>229</v>
      </c>
      <c r="K34" s="34">
        <v>1</v>
      </c>
      <c r="L34" s="34" t="s">
        <v>39</v>
      </c>
      <c r="M34" s="18">
        <v>2023</v>
      </c>
      <c r="N34" s="34" t="s">
        <v>28</v>
      </c>
      <c r="O34" s="34" t="s">
        <v>28</v>
      </c>
      <c r="P34" s="34" t="s">
        <v>28</v>
      </c>
      <c r="Q34" s="34" t="s">
        <v>28</v>
      </c>
      <c r="R34" s="34">
        <v>100</v>
      </c>
      <c r="S34" s="34">
        <v>1</v>
      </c>
      <c r="T34" s="34">
        <v>0</v>
      </c>
      <c r="U34" s="34">
        <v>0</v>
      </c>
    </row>
    <row r="35" spans="1:21" x14ac:dyDescent="0.2">
      <c r="A35" s="18" t="s">
        <v>236</v>
      </c>
      <c r="B35" s="18" t="s">
        <v>237</v>
      </c>
      <c r="C35" s="18" t="s">
        <v>238</v>
      </c>
      <c r="D35" s="18" t="s">
        <v>239</v>
      </c>
      <c r="E35" s="18" t="s">
        <v>240</v>
      </c>
      <c r="F35" s="18" t="s">
        <v>241</v>
      </c>
      <c r="G35" s="18" t="s">
        <v>69</v>
      </c>
      <c r="H35" s="18" t="s">
        <v>242</v>
      </c>
      <c r="I35" s="18" t="s">
        <v>39</v>
      </c>
      <c r="J35" s="18" t="s">
        <v>229</v>
      </c>
      <c r="K35" s="34">
        <v>0.5</v>
      </c>
      <c r="L35" s="34" t="s">
        <v>39</v>
      </c>
      <c r="M35" s="18">
        <v>2023</v>
      </c>
      <c r="N35" s="34" t="s">
        <v>28</v>
      </c>
      <c r="O35" s="34" t="s">
        <v>28</v>
      </c>
      <c r="P35" s="34" t="s">
        <v>28</v>
      </c>
      <c r="Q35" s="34" t="s">
        <v>28</v>
      </c>
      <c r="R35" s="34">
        <v>100</v>
      </c>
      <c r="S35" s="34">
        <v>0.5</v>
      </c>
      <c r="T35" s="34">
        <v>0</v>
      </c>
      <c r="U35" s="34">
        <v>0</v>
      </c>
    </row>
    <row r="36" spans="1:21" x14ac:dyDescent="0.2">
      <c r="A36" s="18" t="s">
        <v>236</v>
      </c>
      <c r="B36" s="18" t="s">
        <v>237</v>
      </c>
      <c r="C36" s="18" t="s">
        <v>238</v>
      </c>
      <c r="D36" s="18" t="s">
        <v>239</v>
      </c>
      <c r="E36" s="18" t="s">
        <v>240</v>
      </c>
      <c r="F36" s="18" t="s">
        <v>241</v>
      </c>
      <c r="G36" s="18" t="s">
        <v>70</v>
      </c>
      <c r="H36" s="18" t="s">
        <v>242</v>
      </c>
      <c r="I36" s="18" t="s">
        <v>39</v>
      </c>
      <c r="J36" s="18" t="s">
        <v>229</v>
      </c>
      <c r="K36" s="34">
        <v>0.5</v>
      </c>
      <c r="L36" s="34" t="s">
        <v>39</v>
      </c>
      <c r="M36" s="18">
        <v>2023</v>
      </c>
      <c r="N36" s="34" t="s">
        <v>28</v>
      </c>
      <c r="O36" s="34" t="s">
        <v>28</v>
      </c>
      <c r="P36" s="34" t="s">
        <v>28</v>
      </c>
      <c r="Q36" s="34" t="s">
        <v>28</v>
      </c>
      <c r="R36" s="34">
        <v>100</v>
      </c>
      <c r="S36" s="34">
        <v>0.5</v>
      </c>
      <c r="T36" s="34">
        <v>0</v>
      </c>
      <c r="U36" s="34">
        <v>0</v>
      </c>
    </row>
    <row r="37" spans="1:21" x14ac:dyDescent="0.2">
      <c r="A37" s="18" t="s">
        <v>236</v>
      </c>
      <c r="B37" s="18" t="s">
        <v>237</v>
      </c>
      <c r="C37" s="18" t="s">
        <v>238</v>
      </c>
      <c r="D37" s="18" t="s">
        <v>243</v>
      </c>
      <c r="E37" s="18" t="s">
        <v>244</v>
      </c>
      <c r="F37" s="18" t="s">
        <v>245</v>
      </c>
      <c r="G37" s="18" t="s">
        <v>77</v>
      </c>
      <c r="H37" s="18" t="s">
        <v>242</v>
      </c>
      <c r="I37" s="18" t="s">
        <v>39</v>
      </c>
      <c r="J37" s="18" t="s">
        <v>229</v>
      </c>
      <c r="K37" s="34">
        <v>0.5</v>
      </c>
      <c r="L37" s="34" t="s">
        <v>39</v>
      </c>
      <c r="M37" s="18">
        <v>2023</v>
      </c>
      <c r="N37" s="34" t="s">
        <v>31</v>
      </c>
      <c r="O37" s="34" t="s">
        <v>27</v>
      </c>
      <c r="P37" s="34" t="s">
        <v>28</v>
      </c>
      <c r="Q37" s="34" t="s">
        <v>28</v>
      </c>
      <c r="R37" s="34">
        <v>50</v>
      </c>
      <c r="S37" s="34">
        <v>0.25</v>
      </c>
      <c r="T37" s="34">
        <v>0.25</v>
      </c>
      <c r="U37" s="34">
        <v>0</v>
      </c>
    </row>
    <row r="38" spans="1:21" x14ac:dyDescent="0.2">
      <c r="A38" s="18" t="s">
        <v>236</v>
      </c>
      <c r="B38" s="18" t="s">
        <v>237</v>
      </c>
      <c r="C38" s="18" t="s">
        <v>238</v>
      </c>
      <c r="D38" s="18" t="s">
        <v>243</v>
      </c>
      <c r="E38" s="18" t="s">
        <v>244</v>
      </c>
      <c r="F38" s="18" t="s">
        <v>245</v>
      </c>
      <c r="G38" s="18" t="s">
        <v>67</v>
      </c>
      <c r="H38" s="18" t="s">
        <v>242</v>
      </c>
      <c r="I38" s="18" t="s">
        <v>39</v>
      </c>
      <c r="J38" s="18" t="s">
        <v>229</v>
      </c>
      <c r="K38" s="34">
        <v>0.5</v>
      </c>
      <c r="L38" s="34" t="s">
        <v>39</v>
      </c>
      <c r="M38" s="18">
        <v>2023</v>
      </c>
      <c r="N38" s="34" t="s">
        <v>31</v>
      </c>
      <c r="O38" s="34" t="s">
        <v>246</v>
      </c>
      <c r="P38" s="34" t="s">
        <v>28</v>
      </c>
      <c r="Q38" s="34" t="s">
        <v>28</v>
      </c>
      <c r="R38" s="34">
        <v>80</v>
      </c>
      <c r="S38" s="34">
        <v>0.4</v>
      </c>
      <c r="T38" s="34">
        <v>0.1</v>
      </c>
      <c r="U38" s="34">
        <v>0</v>
      </c>
    </row>
    <row r="39" spans="1:21" x14ac:dyDescent="0.2">
      <c r="A39" s="18" t="s">
        <v>236</v>
      </c>
      <c r="B39" s="18" t="s">
        <v>237</v>
      </c>
      <c r="C39" s="18" t="s">
        <v>238</v>
      </c>
      <c r="D39" s="18" t="s">
        <v>247</v>
      </c>
      <c r="E39" s="18" t="s">
        <v>248</v>
      </c>
      <c r="F39" s="18" t="s">
        <v>249</v>
      </c>
      <c r="G39" s="18" t="s">
        <v>51</v>
      </c>
      <c r="H39" s="18" t="s">
        <v>242</v>
      </c>
      <c r="I39" s="18" t="s">
        <v>39</v>
      </c>
      <c r="J39" s="18" t="s">
        <v>229</v>
      </c>
      <c r="K39" s="34">
        <v>0.5</v>
      </c>
      <c r="L39" s="34" t="s">
        <v>39</v>
      </c>
      <c r="M39" s="18">
        <v>2023</v>
      </c>
      <c r="N39" s="34" t="s">
        <v>28</v>
      </c>
      <c r="O39" s="34" t="s">
        <v>28</v>
      </c>
      <c r="P39" s="34" t="s">
        <v>28</v>
      </c>
      <c r="Q39" s="34" t="s">
        <v>28</v>
      </c>
      <c r="R39" s="34">
        <v>100</v>
      </c>
      <c r="S39" s="34">
        <v>0.5</v>
      </c>
      <c r="T39" s="34">
        <v>0</v>
      </c>
      <c r="U39" s="34">
        <v>0</v>
      </c>
    </row>
    <row r="40" spans="1:21" x14ac:dyDescent="0.2">
      <c r="A40" s="18" t="s">
        <v>236</v>
      </c>
      <c r="B40" s="18" t="s">
        <v>237</v>
      </c>
      <c r="C40" s="18" t="s">
        <v>238</v>
      </c>
      <c r="D40" s="18" t="s">
        <v>247</v>
      </c>
      <c r="E40" s="18" t="s">
        <v>248</v>
      </c>
      <c r="F40" s="18" t="s">
        <v>249</v>
      </c>
      <c r="G40" s="18" t="s">
        <v>151</v>
      </c>
      <c r="H40" s="18" t="s">
        <v>242</v>
      </c>
      <c r="I40" s="18" t="s">
        <v>39</v>
      </c>
      <c r="J40" s="18" t="s">
        <v>229</v>
      </c>
      <c r="K40" s="34">
        <v>0.5</v>
      </c>
      <c r="L40" s="34" t="s">
        <v>39</v>
      </c>
      <c r="M40" s="18">
        <v>2023</v>
      </c>
      <c r="N40" s="34" t="s">
        <v>28</v>
      </c>
      <c r="O40" s="34" t="s">
        <v>28</v>
      </c>
      <c r="P40" s="34" t="s">
        <v>28</v>
      </c>
      <c r="Q40" s="34" t="s">
        <v>28</v>
      </c>
      <c r="R40" s="34">
        <v>100</v>
      </c>
      <c r="S40" s="34">
        <v>0.5</v>
      </c>
      <c r="T40" s="34">
        <v>0</v>
      </c>
      <c r="U40" s="34">
        <v>0</v>
      </c>
    </row>
    <row r="41" spans="1:21" x14ac:dyDescent="0.2">
      <c r="A41" s="18" t="s">
        <v>236</v>
      </c>
      <c r="B41" s="18" t="s">
        <v>237</v>
      </c>
      <c r="C41" s="18" t="s">
        <v>238</v>
      </c>
      <c r="D41" s="18" t="s">
        <v>250</v>
      </c>
      <c r="E41" s="18" t="s">
        <v>251</v>
      </c>
      <c r="F41" s="18" t="s">
        <v>252</v>
      </c>
      <c r="G41" s="18" t="s">
        <v>77</v>
      </c>
      <c r="H41" s="18" t="s">
        <v>242</v>
      </c>
      <c r="I41" s="18" t="s">
        <v>39</v>
      </c>
      <c r="J41" s="18" t="s">
        <v>229</v>
      </c>
      <c r="K41" s="34">
        <v>0.5</v>
      </c>
      <c r="L41" s="34" t="s">
        <v>39</v>
      </c>
      <c r="M41" s="18">
        <v>2023</v>
      </c>
      <c r="N41" s="34" t="s">
        <v>31</v>
      </c>
      <c r="O41" s="34" t="s">
        <v>27</v>
      </c>
      <c r="P41" s="34" t="s">
        <v>28</v>
      </c>
      <c r="Q41" s="34" t="s">
        <v>28</v>
      </c>
      <c r="R41" s="34">
        <v>50</v>
      </c>
      <c r="S41" s="34">
        <v>0.25</v>
      </c>
      <c r="T41" s="34">
        <v>0.25</v>
      </c>
      <c r="U41" s="34">
        <v>0</v>
      </c>
    </row>
    <row r="42" spans="1:21" x14ac:dyDescent="0.2">
      <c r="A42" s="18" t="s">
        <v>236</v>
      </c>
      <c r="B42" s="18" t="s">
        <v>237</v>
      </c>
      <c r="C42" s="18" t="s">
        <v>238</v>
      </c>
      <c r="D42" s="18" t="s">
        <v>253</v>
      </c>
      <c r="E42" s="18" t="s">
        <v>254</v>
      </c>
      <c r="F42" s="18" t="s">
        <v>255</v>
      </c>
      <c r="G42" s="18" t="s">
        <v>87</v>
      </c>
      <c r="H42" s="18" t="s">
        <v>242</v>
      </c>
      <c r="I42" s="18" t="s">
        <v>39</v>
      </c>
      <c r="J42" s="18" t="s">
        <v>229</v>
      </c>
      <c r="K42" s="34">
        <v>0.5</v>
      </c>
      <c r="L42" s="34" t="s">
        <v>39</v>
      </c>
      <c r="M42" s="18">
        <v>2023</v>
      </c>
      <c r="N42" s="34" t="s">
        <v>28</v>
      </c>
      <c r="O42" s="34" t="s">
        <v>28</v>
      </c>
      <c r="P42" s="34" t="s">
        <v>28</v>
      </c>
      <c r="Q42" s="34" t="s">
        <v>28</v>
      </c>
      <c r="R42" s="34">
        <v>100</v>
      </c>
      <c r="S42" s="34">
        <v>0.5</v>
      </c>
      <c r="T42" s="34">
        <v>0</v>
      </c>
      <c r="U42" s="34">
        <v>0</v>
      </c>
    </row>
    <row r="43" spans="1:21" x14ac:dyDescent="0.2">
      <c r="A43" s="18" t="s">
        <v>236</v>
      </c>
      <c r="B43" s="18" t="s">
        <v>237</v>
      </c>
      <c r="C43" s="18" t="s">
        <v>238</v>
      </c>
      <c r="D43" s="18" t="s">
        <v>253</v>
      </c>
      <c r="E43" s="18" t="s">
        <v>254</v>
      </c>
      <c r="F43" s="18" t="s">
        <v>255</v>
      </c>
      <c r="G43" s="18" t="s">
        <v>74</v>
      </c>
      <c r="H43" s="18" t="s">
        <v>242</v>
      </c>
      <c r="I43" s="18" t="s">
        <v>39</v>
      </c>
      <c r="J43" s="18" t="s">
        <v>229</v>
      </c>
      <c r="K43" s="34">
        <v>0.5</v>
      </c>
      <c r="L43" s="34" t="s">
        <v>39</v>
      </c>
      <c r="M43" s="18">
        <v>2023</v>
      </c>
      <c r="N43" s="34" t="s">
        <v>28</v>
      </c>
      <c r="O43" s="34" t="s">
        <v>28</v>
      </c>
      <c r="P43" s="34" t="s">
        <v>28</v>
      </c>
      <c r="Q43" s="34" t="s">
        <v>28</v>
      </c>
      <c r="R43" s="34">
        <v>100</v>
      </c>
      <c r="S43" s="34">
        <v>0.5</v>
      </c>
      <c r="T43" s="34">
        <v>0</v>
      </c>
      <c r="U43" s="34">
        <v>0</v>
      </c>
    </row>
    <row r="44" spans="1:21" x14ac:dyDescent="0.2">
      <c r="A44" s="18" t="s">
        <v>236</v>
      </c>
      <c r="B44" s="18" t="s">
        <v>237</v>
      </c>
      <c r="C44" s="18" t="s">
        <v>238</v>
      </c>
      <c r="D44" s="18" t="s">
        <v>256</v>
      </c>
      <c r="E44" s="18" t="s">
        <v>257</v>
      </c>
      <c r="F44" s="18" t="s">
        <v>258</v>
      </c>
      <c r="G44" s="18" t="s">
        <v>76</v>
      </c>
      <c r="H44" s="18" t="s">
        <v>242</v>
      </c>
      <c r="I44" s="18" t="s">
        <v>39</v>
      </c>
      <c r="J44" s="18" t="s">
        <v>229</v>
      </c>
      <c r="K44" s="34">
        <v>0.5</v>
      </c>
      <c r="L44" s="34" t="s">
        <v>39</v>
      </c>
      <c r="M44" s="18">
        <v>2023</v>
      </c>
      <c r="N44" s="34" t="s">
        <v>28</v>
      </c>
      <c r="O44" s="34" t="s">
        <v>28</v>
      </c>
      <c r="P44" s="34" t="s">
        <v>28</v>
      </c>
      <c r="Q44" s="34" t="s">
        <v>28</v>
      </c>
      <c r="R44" s="34">
        <v>100</v>
      </c>
      <c r="S44" s="34">
        <v>0.5</v>
      </c>
      <c r="T44" s="34">
        <v>0</v>
      </c>
      <c r="U44" s="34">
        <v>0</v>
      </c>
    </row>
    <row r="45" spans="1:21" x14ac:dyDescent="0.2">
      <c r="A45" s="18" t="s">
        <v>236</v>
      </c>
      <c r="B45" s="18" t="s">
        <v>237</v>
      </c>
      <c r="C45" s="18" t="s">
        <v>238</v>
      </c>
      <c r="D45" s="18" t="s">
        <v>259</v>
      </c>
      <c r="E45" s="18" t="s">
        <v>260</v>
      </c>
      <c r="F45" s="18" t="s">
        <v>261</v>
      </c>
      <c r="G45" s="18" t="s">
        <v>78</v>
      </c>
      <c r="H45" s="18" t="s">
        <v>235</v>
      </c>
      <c r="I45" s="18" t="s">
        <v>39</v>
      </c>
      <c r="J45" s="18" t="s">
        <v>229</v>
      </c>
      <c r="K45" s="34">
        <v>1</v>
      </c>
      <c r="L45" s="34" t="s">
        <v>39</v>
      </c>
      <c r="M45" s="18">
        <v>2023</v>
      </c>
      <c r="N45" s="34" t="s">
        <v>28</v>
      </c>
      <c r="O45" s="34" t="s">
        <v>28</v>
      </c>
      <c r="P45" s="34" t="s">
        <v>28</v>
      </c>
      <c r="Q45" s="34" t="s">
        <v>28</v>
      </c>
      <c r="R45" s="34">
        <v>100</v>
      </c>
      <c r="S45" s="34">
        <v>1</v>
      </c>
      <c r="T45" s="34">
        <v>0</v>
      </c>
      <c r="U45" s="34">
        <v>0</v>
      </c>
    </row>
    <row r="46" spans="1:21" x14ac:dyDescent="0.2">
      <c r="A46" s="18" t="s">
        <v>236</v>
      </c>
      <c r="B46" s="18" t="s">
        <v>237</v>
      </c>
      <c r="C46" s="18" t="s">
        <v>238</v>
      </c>
      <c r="D46" s="18" t="s">
        <v>262</v>
      </c>
      <c r="E46" s="18" t="s">
        <v>263</v>
      </c>
      <c r="F46" s="18" t="s">
        <v>264</v>
      </c>
      <c r="G46" s="18" t="s">
        <v>79</v>
      </c>
      <c r="H46" s="18" t="s">
        <v>242</v>
      </c>
      <c r="I46" s="18" t="s">
        <v>39</v>
      </c>
      <c r="J46" s="18" t="s">
        <v>229</v>
      </c>
      <c r="K46" s="34">
        <v>0.5</v>
      </c>
      <c r="L46" s="34" t="s">
        <v>39</v>
      </c>
      <c r="M46" s="18">
        <v>2023</v>
      </c>
      <c r="N46" s="34" t="s">
        <v>31</v>
      </c>
      <c r="O46" s="34" t="s">
        <v>265</v>
      </c>
      <c r="P46" s="34" t="s">
        <v>28</v>
      </c>
      <c r="Q46" s="34" t="s">
        <v>28</v>
      </c>
      <c r="R46" s="34">
        <v>70</v>
      </c>
      <c r="S46" s="34">
        <v>0.35</v>
      </c>
      <c r="T46" s="34">
        <v>0.15</v>
      </c>
      <c r="U46" s="34">
        <v>0</v>
      </c>
    </row>
    <row r="47" spans="1:21" x14ac:dyDescent="0.2">
      <c r="A47" s="18" t="s">
        <v>236</v>
      </c>
      <c r="B47" s="18" t="s">
        <v>237</v>
      </c>
      <c r="C47" s="18" t="s">
        <v>238</v>
      </c>
      <c r="D47" s="18" t="s">
        <v>266</v>
      </c>
      <c r="E47" s="18" t="s">
        <v>267</v>
      </c>
      <c r="F47" s="18" t="s">
        <v>268</v>
      </c>
      <c r="G47" s="18" t="s">
        <v>77</v>
      </c>
      <c r="H47" s="18" t="s">
        <v>242</v>
      </c>
      <c r="I47" s="18" t="s">
        <v>39</v>
      </c>
      <c r="J47" s="18" t="s">
        <v>229</v>
      </c>
      <c r="K47" s="34">
        <v>0.5</v>
      </c>
      <c r="L47" s="34" t="s">
        <v>39</v>
      </c>
      <c r="M47" s="18">
        <v>2023</v>
      </c>
      <c r="N47" s="34" t="s">
        <v>31</v>
      </c>
      <c r="O47" s="34" t="s">
        <v>27</v>
      </c>
      <c r="P47" s="34" t="s">
        <v>28</v>
      </c>
      <c r="Q47" s="34" t="s">
        <v>28</v>
      </c>
      <c r="R47" s="34">
        <v>50</v>
      </c>
      <c r="S47" s="34">
        <v>0.25</v>
      </c>
      <c r="T47" s="34">
        <v>0.25</v>
      </c>
      <c r="U47" s="34">
        <v>0</v>
      </c>
    </row>
    <row r="48" spans="1:21" x14ac:dyDescent="0.2">
      <c r="A48" s="18" t="s">
        <v>236</v>
      </c>
      <c r="B48" s="18" t="s">
        <v>237</v>
      </c>
      <c r="C48" s="18" t="s">
        <v>238</v>
      </c>
      <c r="D48" s="18" t="s">
        <v>280</v>
      </c>
      <c r="E48" s="18" t="s">
        <v>281</v>
      </c>
      <c r="F48" s="18" t="s">
        <v>282</v>
      </c>
      <c r="G48" s="18" t="s">
        <v>79</v>
      </c>
      <c r="H48" s="18" t="s">
        <v>242</v>
      </c>
      <c r="I48" s="18" t="s">
        <v>39</v>
      </c>
      <c r="J48" s="18" t="s">
        <v>283</v>
      </c>
      <c r="K48" s="34">
        <v>0.5</v>
      </c>
      <c r="L48" s="34" t="s">
        <v>39</v>
      </c>
      <c r="M48" s="18">
        <v>2023</v>
      </c>
      <c r="N48" s="34" t="s">
        <v>31</v>
      </c>
      <c r="O48" s="34" t="s">
        <v>265</v>
      </c>
      <c r="P48" s="34" t="s">
        <v>28</v>
      </c>
      <c r="Q48" s="34" t="s">
        <v>28</v>
      </c>
      <c r="R48" s="34">
        <v>70</v>
      </c>
      <c r="S48" s="34">
        <v>0.35</v>
      </c>
      <c r="T48" s="34">
        <v>0.15</v>
      </c>
      <c r="U48" s="34">
        <v>0</v>
      </c>
    </row>
    <row r="49" spans="1:21" s="44" customFormat="1" x14ac:dyDescent="0.2">
      <c r="A49" s="43" t="s">
        <v>236</v>
      </c>
      <c r="B49" s="43" t="s">
        <v>237</v>
      </c>
      <c r="C49" s="43" t="s">
        <v>238</v>
      </c>
      <c r="D49" s="43" t="s">
        <v>272</v>
      </c>
      <c r="E49" s="43" t="s">
        <v>273</v>
      </c>
      <c r="F49" s="43" t="s">
        <v>274</v>
      </c>
      <c r="G49" s="43" t="s">
        <v>76</v>
      </c>
      <c r="H49" s="43" t="s">
        <v>242</v>
      </c>
      <c r="I49" s="43" t="s">
        <v>39</v>
      </c>
      <c r="J49" s="43" t="s">
        <v>229</v>
      </c>
      <c r="K49" s="34">
        <v>0.5</v>
      </c>
      <c r="L49" s="34" t="s">
        <v>39</v>
      </c>
      <c r="M49" s="43">
        <v>2023</v>
      </c>
      <c r="N49" s="34" t="s">
        <v>28</v>
      </c>
      <c r="O49" s="34" t="s">
        <v>28</v>
      </c>
      <c r="P49" s="34" t="s">
        <v>28</v>
      </c>
      <c r="Q49" s="34" t="s">
        <v>28</v>
      </c>
      <c r="R49" s="34">
        <v>100</v>
      </c>
      <c r="S49" s="34">
        <v>0.5</v>
      </c>
      <c r="T49" s="34">
        <v>0</v>
      </c>
      <c r="U49" s="34">
        <v>0</v>
      </c>
    </row>
    <row r="50" spans="1:21" s="44" customFormat="1" x14ac:dyDescent="0.2">
      <c r="A50" s="43" t="s">
        <v>236</v>
      </c>
      <c r="B50" s="43" t="s">
        <v>237</v>
      </c>
      <c r="C50" s="43" t="s">
        <v>238</v>
      </c>
      <c r="D50" s="43" t="s">
        <v>272</v>
      </c>
      <c r="E50" s="43" t="s">
        <v>273</v>
      </c>
      <c r="F50" s="43" t="s">
        <v>274</v>
      </c>
      <c r="G50" s="43" t="s">
        <v>275</v>
      </c>
      <c r="H50" s="43" t="s">
        <v>242</v>
      </c>
      <c r="I50" s="43" t="s">
        <v>39</v>
      </c>
      <c r="J50" s="43" t="s">
        <v>229</v>
      </c>
      <c r="K50" s="34">
        <v>0.5</v>
      </c>
      <c r="L50" s="34" t="s">
        <v>39</v>
      </c>
      <c r="M50" s="43">
        <v>2023</v>
      </c>
      <c r="N50" s="34" t="s">
        <v>28</v>
      </c>
      <c r="O50" s="34" t="s">
        <v>28</v>
      </c>
      <c r="P50" s="34" t="s">
        <v>28</v>
      </c>
      <c r="Q50" s="34" t="s">
        <v>28</v>
      </c>
      <c r="R50" s="34">
        <v>100</v>
      </c>
      <c r="S50" s="34">
        <v>0.5</v>
      </c>
      <c r="T50" s="34">
        <v>0</v>
      </c>
      <c r="U50" s="34">
        <v>0</v>
      </c>
    </row>
    <row r="51" spans="1:21" s="44" customFormat="1" x14ac:dyDescent="0.2">
      <c r="A51" s="43" t="s">
        <v>236</v>
      </c>
      <c r="B51" s="43" t="s">
        <v>237</v>
      </c>
      <c r="C51" s="43" t="s">
        <v>238</v>
      </c>
      <c r="D51" s="43" t="s">
        <v>276</v>
      </c>
      <c r="E51" s="43" t="s">
        <v>277</v>
      </c>
      <c r="F51" s="43" t="s">
        <v>274</v>
      </c>
      <c r="G51" s="43" t="s">
        <v>275</v>
      </c>
      <c r="H51" s="43" t="s">
        <v>242</v>
      </c>
      <c r="I51" s="43" t="s">
        <v>39</v>
      </c>
      <c r="J51" s="43" t="s">
        <v>229</v>
      </c>
      <c r="K51" s="34">
        <v>0.5</v>
      </c>
      <c r="L51" s="34" t="s">
        <v>39</v>
      </c>
      <c r="M51" s="43">
        <v>2023</v>
      </c>
      <c r="N51" s="34" t="s">
        <v>28</v>
      </c>
      <c r="O51" s="34" t="s">
        <v>28</v>
      </c>
      <c r="P51" s="34" t="s">
        <v>28</v>
      </c>
      <c r="Q51" s="34" t="s">
        <v>28</v>
      </c>
      <c r="R51" s="34">
        <v>100</v>
      </c>
      <c r="S51" s="34">
        <v>0.5</v>
      </c>
      <c r="T51" s="34">
        <v>0</v>
      </c>
      <c r="U51" s="34">
        <v>0</v>
      </c>
    </row>
    <row r="52" spans="1:21" s="44" customFormat="1" x14ac:dyDescent="0.2">
      <c r="A52" s="43" t="s">
        <v>236</v>
      </c>
      <c r="B52" s="43" t="s">
        <v>237</v>
      </c>
      <c r="C52" s="43" t="s">
        <v>238</v>
      </c>
      <c r="D52" s="43" t="s">
        <v>278</v>
      </c>
      <c r="E52" s="43" t="s">
        <v>279</v>
      </c>
      <c r="F52" s="43" t="s">
        <v>274</v>
      </c>
      <c r="G52" s="43" t="s">
        <v>70</v>
      </c>
      <c r="H52" s="43" t="s">
        <v>242</v>
      </c>
      <c r="I52" s="43" t="s">
        <v>39</v>
      </c>
      <c r="J52" s="43" t="s">
        <v>229</v>
      </c>
      <c r="K52" s="34">
        <v>0.5</v>
      </c>
      <c r="L52" s="34" t="s">
        <v>39</v>
      </c>
      <c r="M52" s="43">
        <v>2023</v>
      </c>
      <c r="N52" s="34" t="s">
        <v>28</v>
      </c>
      <c r="O52" s="34" t="s">
        <v>28</v>
      </c>
      <c r="P52" s="34" t="s">
        <v>28</v>
      </c>
      <c r="Q52" s="34" t="s">
        <v>28</v>
      </c>
      <c r="R52" s="34">
        <v>100</v>
      </c>
      <c r="S52" s="34">
        <v>0.5</v>
      </c>
      <c r="T52" s="34">
        <v>0</v>
      </c>
      <c r="U52" s="34">
        <v>0</v>
      </c>
    </row>
    <row r="53" spans="1:21" s="44" customFormat="1" x14ac:dyDescent="0.2">
      <c r="A53" s="43" t="s">
        <v>236</v>
      </c>
      <c r="B53" s="43" t="s">
        <v>237</v>
      </c>
      <c r="C53" s="43" t="s">
        <v>238</v>
      </c>
      <c r="D53" s="43" t="s">
        <v>278</v>
      </c>
      <c r="E53" s="43" t="s">
        <v>279</v>
      </c>
      <c r="F53" s="43" t="s">
        <v>274</v>
      </c>
      <c r="G53" s="43" t="s">
        <v>271</v>
      </c>
      <c r="H53" s="43" t="s">
        <v>242</v>
      </c>
      <c r="I53" s="43" t="s">
        <v>39</v>
      </c>
      <c r="J53" s="43" t="s">
        <v>229</v>
      </c>
      <c r="K53" s="34">
        <v>0.5</v>
      </c>
      <c r="L53" s="34" t="s">
        <v>39</v>
      </c>
      <c r="M53" s="43">
        <v>2023</v>
      </c>
      <c r="N53" s="34" t="s">
        <v>28</v>
      </c>
      <c r="O53" s="34" t="s">
        <v>28</v>
      </c>
      <c r="P53" s="34" t="s">
        <v>28</v>
      </c>
      <c r="Q53" s="34" t="s">
        <v>28</v>
      </c>
      <c r="R53" s="34">
        <v>100</v>
      </c>
      <c r="S53" s="34">
        <v>0.5</v>
      </c>
      <c r="T53" s="34">
        <v>0</v>
      </c>
      <c r="U53" s="34">
        <v>0</v>
      </c>
    </row>
    <row r="54" spans="1:21" x14ac:dyDescent="0.2">
      <c r="A54" s="18" t="s">
        <v>236</v>
      </c>
      <c r="B54" s="18" t="s">
        <v>237</v>
      </c>
      <c r="C54" s="18" t="s">
        <v>238</v>
      </c>
      <c r="D54" s="18" t="s">
        <v>284</v>
      </c>
      <c r="E54" s="18" t="s">
        <v>285</v>
      </c>
      <c r="F54" s="18" t="s">
        <v>286</v>
      </c>
      <c r="G54" s="18" t="s">
        <v>79</v>
      </c>
      <c r="H54" s="18" t="s">
        <v>235</v>
      </c>
      <c r="I54" s="18" t="s">
        <v>39</v>
      </c>
      <c r="J54" s="18" t="s">
        <v>229</v>
      </c>
      <c r="K54" s="34">
        <v>1</v>
      </c>
      <c r="L54" s="34" t="s">
        <v>39</v>
      </c>
      <c r="M54" s="18">
        <v>2023</v>
      </c>
      <c r="N54" s="34" t="s">
        <v>31</v>
      </c>
      <c r="O54" s="34" t="s">
        <v>265</v>
      </c>
      <c r="P54" s="34" t="s">
        <v>28</v>
      </c>
      <c r="Q54" s="34" t="s">
        <v>28</v>
      </c>
      <c r="R54" s="34">
        <v>70</v>
      </c>
      <c r="S54" s="34">
        <v>0.7</v>
      </c>
      <c r="T54" s="34">
        <v>0.3</v>
      </c>
      <c r="U54" s="34">
        <v>0</v>
      </c>
    </row>
    <row r="55" spans="1:21" x14ac:dyDescent="0.2">
      <c r="A55" s="18" t="s">
        <v>236</v>
      </c>
      <c r="B55" s="18" t="s">
        <v>313</v>
      </c>
      <c r="C55" s="18" t="s">
        <v>238</v>
      </c>
      <c r="D55" s="18" t="s">
        <v>314</v>
      </c>
      <c r="E55" s="18" t="s">
        <v>315</v>
      </c>
      <c r="F55" s="18" t="s">
        <v>316</v>
      </c>
      <c r="G55" s="18" t="s">
        <v>69</v>
      </c>
      <c r="H55" s="18" t="s">
        <v>235</v>
      </c>
      <c r="I55" s="18" t="s">
        <v>39</v>
      </c>
      <c r="J55" s="18" t="s">
        <v>317</v>
      </c>
      <c r="K55" s="18">
        <v>1</v>
      </c>
      <c r="L55" s="18" t="s">
        <v>39</v>
      </c>
      <c r="M55" s="18">
        <v>2024</v>
      </c>
      <c r="N55" s="18" t="s">
        <v>28</v>
      </c>
      <c r="O55" s="24" t="s">
        <v>28</v>
      </c>
      <c r="P55" s="18" t="s">
        <v>28</v>
      </c>
      <c r="Q55" s="24" t="s">
        <v>28</v>
      </c>
      <c r="R55" s="18">
        <v>100</v>
      </c>
      <c r="S55" s="18">
        <v>1</v>
      </c>
      <c r="T55" s="18">
        <v>0</v>
      </c>
      <c r="U55" s="18">
        <v>0</v>
      </c>
    </row>
    <row r="56" spans="1:21" x14ac:dyDescent="0.2">
      <c r="A56" s="18" t="s">
        <v>236</v>
      </c>
      <c r="B56" s="18" t="s">
        <v>313</v>
      </c>
      <c r="C56" s="18" t="s">
        <v>238</v>
      </c>
      <c r="D56" s="18" t="s">
        <v>318</v>
      </c>
      <c r="E56" s="18" t="s">
        <v>319</v>
      </c>
      <c r="F56" s="18" t="s">
        <v>320</v>
      </c>
      <c r="G56" s="18" t="s">
        <v>76</v>
      </c>
      <c r="H56" s="18" t="s">
        <v>242</v>
      </c>
      <c r="I56" s="18" t="s">
        <v>39</v>
      </c>
      <c r="J56" s="18" t="s">
        <v>317</v>
      </c>
      <c r="K56" s="18">
        <v>0.5</v>
      </c>
      <c r="L56" s="18" t="s">
        <v>39</v>
      </c>
      <c r="M56" s="18">
        <v>2024</v>
      </c>
      <c r="N56" s="18" t="s">
        <v>28</v>
      </c>
      <c r="O56" s="24" t="s">
        <v>28</v>
      </c>
      <c r="P56" s="18" t="s">
        <v>28</v>
      </c>
      <c r="Q56" s="24" t="s">
        <v>28</v>
      </c>
      <c r="R56" s="18">
        <v>100</v>
      </c>
      <c r="S56" s="18">
        <v>0.5</v>
      </c>
      <c r="T56" s="18">
        <v>0</v>
      </c>
      <c r="U56" s="18">
        <v>0</v>
      </c>
    </row>
    <row r="57" spans="1:21" x14ac:dyDescent="0.2">
      <c r="A57" s="18" t="s">
        <v>236</v>
      </c>
      <c r="B57" s="18" t="s">
        <v>313</v>
      </c>
      <c r="C57" s="18" t="s">
        <v>238</v>
      </c>
      <c r="D57" s="18" t="s">
        <v>321</v>
      </c>
      <c r="E57" s="18" t="s">
        <v>322</v>
      </c>
      <c r="F57" s="18" t="s">
        <v>323</v>
      </c>
      <c r="G57" s="18" t="s">
        <v>51</v>
      </c>
      <c r="H57" s="18" t="s">
        <v>242</v>
      </c>
      <c r="I57" s="18" t="s">
        <v>39</v>
      </c>
      <c r="J57" s="18" t="s">
        <v>317</v>
      </c>
      <c r="K57" s="18">
        <v>0.5</v>
      </c>
      <c r="L57" s="18" t="s">
        <v>39</v>
      </c>
      <c r="M57" s="18">
        <v>2024</v>
      </c>
      <c r="N57" s="18" t="s">
        <v>28</v>
      </c>
      <c r="O57" s="24" t="s">
        <v>28</v>
      </c>
      <c r="P57" s="18" t="s">
        <v>28</v>
      </c>
      <c r="Q57" s="24" t="s">
        <v>28</v>
      </c>
      <c r="R57" s="18">
        <v>100</v>
      </c>
      <c r="S57" s="18">
        <v>0.5</v>
      </c>
      <c r="T57" s="18">
        <v>0</v>
      </c>
      <c r="U57" s="18">
        <v>0</v>
      </c>
    </row>
    <row r="58" spans="1:21" x14ac:dyDescent="0.2">
      <c r="A58" s="18" t="s">
        <v>236</v>
      </c>
      <c r="B58" s="18" t="s">
        <v>313</v>
      </c>
      <c r="C58" s="18" t="s">
        <v>238</v>
      </c>
      <c r="D58" s="18" t="s">
        <v>321</v>
      </c>
      <c r="E58" s="18" t="s">
        <v>322</v>
      </c>
      <c r="F58" s="18" t="s">
        <v>323</v>
      </c>
      <c r="G58" s="18" t="s">
        <v>151</v>
      </c>
      <c r="H58" s="18" t="s">
        <v>242</v>
      </c>
      <c r="I58" s="18" t="s">
        <v>39</v>
      </c>
      <c r="J58" s="18" t="s">
        <v>317</v>
      </c>
      <c r="K58" s="18">
        <v>0.5</v>
      </c>
      <c r="L58" s="18" t="s">
        <v>39</v>
      </c>
      <c r="M58" s="18">
        <v>2024</v>
      </c>
      <c r="N58" s="18" t="s">
        <v>28</v>
      </c>
      <c r="O58" s="24" t="s">
        <v>28</v>
      </c>
      <c r="P58" s="18" t="s">
        <v>28</v>
      </c>
      <c r="Q58" s="24" t="s">
        <v>28</v>
      </c>
      <c r="R58" s="18">
        <v>100</v>
      </c>
      <c r="S58" s="18">
        <v>0.5</v>
      </c>
      <c r="T58" s="18">
        <v>0</v>
      </c>
      <c r="U58" s="18">
        <v>0</v>
      </c>
    </row>
    <row r="59" spans="1:21" x14ac:dyDescent="0.2">
      <c r="A59" s="18" t="s">
        <v>236</v>
      </c>
      <c r="B59" s="18" t="s">
        <v>313</v>
      </c>
      <c r="C59" s="18" t="s">
        <v>238</v>
      </c>
      <c r="D59" s="18" t="s">
        <v>324</v>
      </c>
      <c r="E59" s="18" t="s">
        <v>325</v>
      </c>
      <c r="F59" s="18" t="s">
        <v>326</v>
      </c>
      <c r="G59" s="18" t="s">
        <v>72</v>
      </c>
      <c r="H59" s="18" t="s">
        <v>235</v>
      </c>
      <c r="I59" s="18" t="s">
        <v>39</v>
      </c>
      <c r="J59" s="18" t="s">
        <v>317</v>
      </c>
      <c r="K59" s="18">
        <v>1</v>
      </c>
      <c r="L59" s="18" t="s">
        <v>39</v>
      </c>
      <c r="M59" s="18">
        <v>2024</v>
      </c>
      <c r="N59" s="18" t="s">
        <v>31</v>
      </c>
      <c r="O59" s="24" t="s">
        <v>246</v>
      </c>
      <c r="P59" s="18" t="s">
        <v>28</v>
      </c>
      <c r="Q59" s="24" t="s">
        <v>28</v>
      </c>
      <c r="R59" s="18">
        <v>80</v>
      </c>
      <c r="S59" s="18">
        <v>0.8</v>
      </c>
      <c r="T59" s="18">
        <v>0.2</v>
      </c>
      <c r="U59" s="18">
        <v>0</v>
      </c>
    </row>
    <row r="60" spans="1:21" x14ac:dyDescent="0.2">
      <c r="A60" s="18" t="s">
        <v>236</v>
      </c>
      <c r="B60" s="18" t="s">
        <v>313</v>
      </c>
      <c r="C60" s="18" t="s">
        <v>238</v>
      </c>
      <c r="D60" s="18" t="s">
        <v>327</v>
      </c>
      <c r="E60" s="18" t="s">
        <v>328</v>
      </c>
      <c r="F60" s="18" t="s">
        <v>329</v>
      </c>
      <c r="G60" s="18" t="s">
        <v>89</v>
      </c>
      <c r="H60" s="18" t="s">
        <v>242</v>
      </c>
      <c r="I60" s="18" t="s">
        <v>39</v>
      </c>
      <c r="J60" s="18" t="s">
        <v>317</v>
      </c>
      <c r="K60" s="18">
        <v>0.5</v>
      </c>
      <c r="L60" s="18" t="s">
        <v>39</v>
      </c>
      <c r="M60" s="18">
        <v>2024</v>
      </c>
      <c r="N60" s="18" t="s">
        <v>28</v>
      </c>
      <c r="O60" s="24" t="s">
        <v>28</v>
      </c>
      <c r="P60" s="18" t="s">
        <v>28</v>
      </c>
      <c r="Q60" s="24" t="s">
        <v>28</v>
      </c>
      <c r="R60" s="18">
        <v>100</v>
      </c>
      <c r="S60" s="18">
        <v>0.5</v>
      </c>
      <c r="T60" s="18">
        <v>0</v>
      </c>
      <c r="U60" s="18">
        <v>0</v>
      </c>
    </row>
    <row r="61" spans="1:21" x14ac:dyDescent="0.2">
      <c r="A61" s="18" t="s">
        <v>236</v>
      </c>
      <c r="B61" s="18" t="s">
        <v>313</v>
      </c>
      <c r="C61" s="18" t="s">
        <v>238</v>
      </c>
      <c r="D61" s="18" t="s">
        <v>327</v>
      </c>
      <c r="E61" s="18" t="s">
        <v>328</v>
      </c>
      <c r="F61" s="18" t="s">
        <v>329</v>
      </c>
      <c r="G61" s="18" t="s">
        <v>67</v>
      </c>
      <c r="H61" s="18" t="s">
        <v>242</v>
      </c>
      <c r="I61" s="18" t="s">
        <v>39</v>
      </c>
      <c r="J61" s="18" t="s">
        <v>317</v>
      </c>
      <c r="K61" s="18">
        <v>0.5</v>
      </c>
      <c r="L61" s="18" t="s">
        <v>39</v>
      </c>
      <c r="M61" s="18">
        <v>2024</v>
      </c>
      <c r="N61" s="18" t="s">
        <v>31</v>
      </c>
      <c r="O61" s="24" t="s">
        <v>246</v>
      </c>
      <c r="P61" s="18" t="s">
        <v>28</v>
      </c>
      <c r="Q61" s="24" t="s">
        <v>28</v>
      </c>
      <c r="R61" s="18">
        <v>80</v>
      </c>
      <c r="S61" s="18">
        <v>0.4</v>
      </c>
      <c r="T61" s="18">
        <v>0.1</v>
      </c>
      <c r="U61" s="18">
        <v>0</v>
      </c>
    </row>
    <row r="62" spans="1:21" x14ac:dyDescent="0.2">
      <c r="A62" s="18" t="s">
        <v>236</v>
      </c>
      <c r="B62" s="18" t="s">
        <v>313</v>
      </c>
      <c r="C62" s="18" t="s">
        <v>238</v>
      </c>
      <c r="D62" s="18" t="s">
        <v>330</v>
      </c>
      <c r="E62" s="18" t="s">
        <v>331</v>
      </c>
      <c r="F62" s="18" t="s">
        <v>332</v>
      </c>
      <c r="G62" s="18" t="s">
        <v>87</v>
      </c>
      <c r="H62" s="18" t="s">
        <v>242</v>
      </c>
      <c r="I62" s="18" t="s">
        <v>39</v>
      </c>
      <c r="J62" s="18" t="s">
        <v>317</v>
      </c>
      <c r="K62" s="18">
        <v>0.5</v>
      </c>
      <c r="L62" s="18" t="s">
        <v>39</v>
      </c>
      <c r="M62" s="18">
        <v>2024</v>
      </c>
      <c r="N62" s="18" t="s">
        <v>28</v>
      </c>
      <c r="O62" s="24" t="s">
        <v>28</v>
      </c>
      <c r="P62" s="18" t="s">
        <v>28</v>
      </c>
      <c r="Q62" s="24" t="s">
        <v>28</v>
      </c>
      <c r="R62" s="18">
        <v>100</v>
      </c>
      <c r="S62" s="18">
        <v>0.5</v>
      </c>
      <c r="T62" s="18">
        <v>0</v>
      </c>
      <c r="U62" s="18">
        <v>0</v>
      </c>
    </row>
    <row r="63" spans="1:21" s="44" customFormat="1" x14ac:dyDescent="0.2">
      <c r="A63" s="18" t="s">
        <v>236</v>
      </c>
      <c r="B63" s="18" t="s">
        <v>313</v>
      </c>
      <c r="C63" s="18" t="s">
        <v>238</v>
      </c>
      <c r="D63" s="18" t="s">
        <v>330</v>
      </c>
      <c r="E63" s="18" t="s">
        <v>331</v>
      </c>
      <c r="F63" s="18" t="s">
        <v>332</v>
      </c>
      <c r="G63" s="18" t="s">
        <v>74</v>
      </c>
      <c r="H63" s="18" t="s">
        <v>242</v>
      </c>
      <c r="I63" s="18" t="s">
        <v>39</v>
      </c>
      <c r="J63" s="18" t="s">
        <v>317</v>
      </c>
      <c r="K63" s="18">
        <v>0.5</v>
      </c>
      <c r="L63" s="18" t="s">
        <v>39</v>
      </c>
      <c r="M63" s="18">
        <v>2024</v>
      </c>
      <c r="N63" s="18" t="s">
        <v>28</v>
      </c>
      <c r="O63" s="24" t="s">
        <v>28</v>
      </c>
      <c r="P63" s="18" t="s">
        <v>28</v>
      </c>
      <c r="Q63" s="24" t="s">
        <v>28</v>
      </c>
      <c r="R63" s="18">
        <v>100</v>
      </c>
      <c r="S63" s="18">
        <v>0.5</v>
      </c>
      <c r="T63" s="18">
        <v>0</v>
      </c>
      <c r="U63" s="18">
        <v>0</v>
      </c>
    </row>
    <row r="64" spans="1:21" s="44" customFormat="1" x14ac:dyDescent="0.2">
      <c r="A64" s="18" t="s">
        <v>236</v>
      </c>
      <c r="B64" s="18" t="s">
        <v>313</v>
      </c>
      <c r="C64" s="18" t="s">
        <v>238</v>
      </c>
      <c r="D64" s="18" t="s">
        <v>333</v>
      </c>
      <c r="E64" s="18" t="s">
        <v>334</v>
      </c>
      <c r="F64" s="18" t="s">
        <v>335</v>
      </c>
      <c r="G64" s="18" t="s">
        <v>51</v>
      </c>
      <c r="H64" s="18" t="s">
        <v>242</v>
      </c>
      <c r="I64" s="18" t="s">
        <v>39</v>
      </c>
      <c r="J64" s="18" t="s">
        <v>317</v>
      </c>
      <c r="K64" s="18">
        <v>0.5</v>
      </c>
      <c r="L64" s="18" t="s">
        <v>39</v>
      </c>
      <c r="M64" s="18">
        <v>2024</v>
      </c>
      <c r="N64" s="18" t="s">
        <v>28</v>
      </c>
      <c r="O64" s="24" t="s">
        <v>28</v>
      </c>
      <c r="P64" s="18" t="s">
        <v>28</v>
      </c>
      <c r="Q64" s="24" t="s">
        <v>28</v>
      </c>
      <c r="R64" s="18">
        <v>100</v>
      </c>
      <c r="S64" s="18">
        <v>0.5</v>
      </c>
      <c r="T64" s="18">
        <v>0</v>
      </c>
      <c r="U64" s="18">
        <v>0</v>
      </c>
    </row>
    <row r="65" spans="1:21" s="44" customFormat="1" x14ac:dyDescent="0.2">
      <c r="A65" s="18" t="s">
        <v>236</v>
      </c>
      <c r="B65" s="18" t="s">
        <v>313</v>
      </c>
      <c r="C65" s="18" t="s">
        <v>238</v>
      </c>
      <c r="D65" s="18" t="s">
        <v>336</v>
      </c>
      <c r="E65" s="18" t="s">
        <v>337</v>
      </c>
      <c r="F65" s="18" t="s">
        <v>338</v>
      </c>
      <c r="G65" s="18" t="s">
        <v>89</v>
      </c>
      <c r="H65" s="18" t="s">
        <v>242</v>
      </c>
      <c r="I65" s="18" t="s">
        <v>39</v>
      </c>
      <c r="J65" s="18" t="s">
        <v>317</v>
      </c>
      <c r="K65" s="18">
        <v>0.5</v>
      </c>
      <c r="L65" s="18" t="s">
        <v>39</v>
      </c>
      <c r="M65" s="18">
        <v>2024</v>
      </c>
      <c r="N65" s="18" t="s">
        <v>28</v>
      </c>
      <c r="O65" s="24" t="s">
        <v>28</v>
      </c>
      <c r="P65" s="18" t="s">
        <v>28</v>
      </c>
      <c r="Q65" s="24" t="s">
        <v>28</v>
      </c>
      <c r="R65" s="18">
        <v>100</v>
      </c>
      <c r="S65" s="18">
        <v>0.5</v>
      </c>
      <c r="T65" s="18">
        <v>0</v>
      </c>
      <c r="U65" s="18">
        <v>0</v>
      </c>
    </row>
    <row r="66" spans="1:21" s="44" customFormat="1" x14ac:dyDescent="0.2">
      <c r="A66" s="18" t="s">
        <v>236</v>
      </c>
      <c r="B66" s="18" t="s">
        <v>313</v>
      </c>
      <c r="C66" s="18" t="s">
        <v>238</v>
      </c>
      <c r="D66" s="18" t="s">
        <v>336</v>
      </c>
      <c r="E66" s="18" t="s">
        <v>337</v>
      </c>
      <c r="F66" s="18" t="s">
        <v>338</v>
      </c>
      <c r="G66" s="18" t="s">
        <v>51</v>
      </c>
      <c r="H66" s="18" t="s">
        <v>242</v>
      </c>
      <c r="I66" s="18" t="s">
        <v>39</v>
      </c>
      <c r="J66" s="18" t="s">
        <v>317</v>
      </c>
      <c r="K66" s="18">
        <v>0.5</v>
      </c>
      <c r="L66" s="18" t="s">
        <v>39</v>
      </c>
      <c r="M66" s="18">
        <v>2024</v>
      </c>
      <c r="N66" s="18" t="s">
        <v>28</v>
      </c>
      <c r="O66" s="24" t="s">
        <v>28</v>
      </c>
      <c r="P66" s="18" t="s">
        <v>28</v>
      </c>
      <c r="Q66" s="24" t="s">
        <v>28</v>
      </c>
      <c r="R66" s="18">
        <v>100</v>
      </c>
      <c r="S66" s="18">
        <v>0.5</v>
      </c>
      <c r="T66" s="18">
        <v>0</v>
      </c>
      <c r="U66" s="18">
        <v>0</v>
      </c>
    </row>
    <row r="67" spans="1:21" s="44" customFormat="1" x14ac:dyDescent="0.2">
      <c r="A67" s="18" t="s">
        <v>236</v>
      </c>
      <c r="B67" s="18" t="s">
        <v>313</v>
      </c>
      <c r="C67" s="18" t="s">
        <v>238</v>
      </c>
      <c r="D67" s="18" t="s">
        <v>339</v>
      </c>
      <c r="E67" s="18" t="s">
        <v>340</v>
      </c>
      <c r="F67" s="18" t="s">
        <v>341</v>
      </c>
      <c r="G67" s="18" t="s">
        <v>51</v>
      </c>
      <c r="H67" s="18" t="s">
        <v>235</v>
      </c>
      <c r="I67" s="18" t="s">
        <v>39</v>
      </c>
      <c r="J67" s="18" t="s">
        <v>317</v>
      </c>
      <c r="K67" s="18">
        <v>1</v>
      </c>
      <c r="L67" s="18" t="s">
        <v>39</v>
      </c>
      <c r="M67" s="18">
        <v>2024</v>
      </c>
      <c r="N67" s="18" t="s">
        <v>28</v>
      </c>
      <c r="O67" s="24" t="s">
        <v>28</v>
      </c>
      <c r="P67" s="18" t="s">
        <v>28</v>
      </c>
      <c r="Q67" s="24" t="s">
        <v>28</v>
      </c>
      <c r="R67" s="18">
        <v>100</v>
      </c>
      <c r="S67" s="18">
        <v>1</v>
      </c>
      <c r="T67" s="18">
        <v>0</v>
      </c>
      <c r="U67" s="18">
        <v>0</v>
      </c>
    </row>
    <row r="68" spans="1:21" x14ac:dyDescent="0.2">
      <c r="A68" s="18" t="s">
        <v>342</v>
      </c>
      <c r="B68" s="18" t="s">
        <v>343</v>
      </c>
      <c r="C68" s="18" t="s">
        <v>344</v>
      </c>
      <c r="D68" s="18" t="s">
        <v>345</v>
      </c>
      <c r="E68" s="18" t="s">
        <v>346</v>
      </c>
      <c r="F68" s="18" t="s">
        <v>347</v>
      </c>
      <c r="G68" s="18" t="s">
        <v>79</v>
      </c>
      <c r="H68" s="18" t="s">
        <v>242</v>
      </c>
      <c r="I68" s="18" t="s">
        <v>39</v>
      </c>
      <c r="J68" s="18" t="s">
        <v>317</v>
      </c>
      <c r="K68" s="18">
        <v>0.5</v>
      </c>
      <c r="L68" s="18" t="s">
        <v>39</v>
      </c>
      <c r="M68" s="18">
        <v>2024</v>
      </c>
      <c r="N68" s="18" t="s">
        <v>31</v>
      </c>
      <c r="O68" s="24" t="s">
        <v>265</v>
      </c>
      <c r="P68" s="18" t="s">
        <v>28</v>
      </c>
      <c r="Q68" s="24" t="s">
        <v>28</v>
      </c>
      <c r="R68" s="18">
        <v>70</v>
      </c>
      <c r="S68" s="18">
        <v>0.35</v>
      </c>
      <c r="T68" s="18">
        <v>0.15</v>
      </c>
      <c r="U68" s="18">
        <v>0</v>
      </c>
    </row>
    <row r="69" spans="1:2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42"/>
      <c r="S69" s="41">
        <f>SUM(S2:S68)</f>
        <v>34.300000000000004</v>
      </c>
      <c r="T69" s="7"/>
      <c r="U69" s="7"/>
    </row>
  </sheetData>
  <autoFilter ref="A1:U33" xr:uid="{00000000-0009-0000-0000-000000000000}">
    <sortState xmlns:xlrd2="http://schemas.microsoft.com/office/spreadsheetml/2017/richdata2" ref="A2:U1869">
      <sortCondition ref="L2:L1869"/>
      <sortCondition ref="M2:M1869"/>
      <sortCondition ref="D2:D1869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5"/>
  <sheetViews>
    <sheetView zoomScaleNormal="100" workbookViewId="0">
      <selection activeCell="W21" sqref="W21"/>
    </sheetView>
  </sheetViews>
  <sheetFormatPr baseColWidth="10" defaultColWidth="11.44140625" defaultRowHeight="13.2" x14ac:dyDescent="0.25"/>
  <cols>
    <col min="1" max="1" width="10.88671875" style="12" bestFit="1" customWidth="1"/>
    <col min="2" max="2" width="35" style="12" bestFit="1" customWidth="1"/>
    <col min="3" max="3" width="17" style="12" bestFit="1" customWidth="1"/>
    <col min="4" max="9" width="3.33203125" style="12" bestFit="1" customWidth="1"/>
    <col min="10" max="10" width="13.109375" style="12" bestFit="1" customWidth="1"/>
    <col min="11" max="11" width="5.33203125" style="12" bestFit="1" customWidth="1"/>
    <col min="12" max="13" width="5.6640625" style="12" bestFit="1" customWidth="1"/>
    <col min="14" max="14" width="5.6640625" style="13" bestFit="1" customWidth="1"/>
    <col min="15" max="15" width="5.6640625" style="12" bestFit="1" customWidth="1"/>
    <col min="16" max="16" width="5.6640625" style="13" bestFit="1" customWidth="1"/>
    <col min="17" max="19" width="5.6640625" style="12" bestFit="1" customWidth="1"/>
    <col min="20" max="16384" width="11.44140625" style="12"/>
  </cols>
  <sheetData>
    <row r="1" spans="1:19" s="11" customFormat="1" ht="60" customHeight="1" x14ac:dyDescent="0.25">
      <c r="A1" s="14" t="s">
        <v>53</v>
      </c>
      <c r="B1" s="14" t="s">
        <v>54</v>
      </c>
      <c r="C1" s="14" t="s">
        <v>55</v>
      </c>
      <c r="D1" s="15" t="s">
        <v>348</v>
      </c>
      <c r="E1" s="15" t="s">
        <v>349</v>
      </c>
      <c r="F1" s="15" t="s">
        <v>350</v>
      </c>
      <c r="G1" s="15" t="s">
        <v>351</v>
      </c>
      <c r="H1" s="15" t="s">
        <v>352</v>
      </c>
      <c r="I1" s="15" t="s">
        <v>353</v>
      </c>
      <c r="J1" s="14" t="s">
        <v>56</v>
      </c>
      <c r="K1" s="16" t="s">
        <v>88</v>
      </c>
      <c r="L1" s="9" t="s">
        <v>57</v>
      </c>
      <c r="M1" s="9" t="s">
        <v>58</v>
      </c>
      <c r="N1" s="9" t="s">
        <v>59</v>
      </c>
      <c r="O1" s="9" t="s">
        <v>60</v>
      </c>
      <c r="P1" s="10" t="s">
        <v>61</v>
      </c>
      <c r="Q1" s="10" t="s">
        <v>62</v>
      </c>
      <c r="R1" s="10" t="s">
        <v>63</v>
      </c>
      <c r="S1" s="10" t="s">
        <v>64</v>
      </c>
    </row>
    <row r="2" spans="1:19" ht="14.4" x14ac:dyDescent="0.3">
      <c r="A2" s="17" t="s">
        <v>187</v>
      </c>
      <c r="B2" s="17" t="s">
        <v>354</v>
      </c>
      <c r="C2" s="17" t="s">
        <v>66</v>
      </c>
      <c r="D2" s="17"/>
      <c r="E2" s="17"/>
      <c r="F2" s="17"/>
      <c r="G2" s="17"/>
      <c r="H2" s="17">
        <v>1</v>
      </c>
      <c r="I2" s="17"/>
      <c r="J2" s="17">
        <v>1</v>
      </c>
      <c r="K2" s="17" t="s">
        <v>39</v>
      </c>
      <c r="L2" s="17">
        <v>0</v>
      </c>
      <c r="M2" s="17">
        <v>0</v>
      </c>
      <c r="N2" s="17" t="s">
        <v>28</v>
      </c>
      <c r="O2" s="17" t="s">
        <v>28</v>
      </c>
      <c r="P2" s="17">
        <v>100</v>
      </c>
      <c r="Q2" s="17">
        <v>0</v>
      </c>
      <c r="R2" s="17">
        <v>0</v>
      </c>
      <c r="S2" s="17">
        <v>1</v>
      </c>
    </row>
    <row r="3" spans="1:19" ht="14.4" x14ac:dyDescent="0.3">
      <c r="A3" s="17" t="s">
        <v>73</v>
      </c>
      <c r="B3" s="17" t="s">
        <v>355</v>
      </c>
      <c r="C3" s="17" t="s">
        <v>65</v>
      </c>
      <c r="D3" s="17">
        <v>1</v>
      </c>
      <c r="E3" s="17"/>
      <c r="F3" s="17"/>
      <c r="G3" s="17"/>
      <c r="H3" s="17"/>
      <c r="I3" s="17"/>
      <c r="J3" s="17">
        <v>1</v>
      </c>
      <c r="K3" s="17" t="s">
        <v>39</v>
      </c>
      <c r="L3" s="17">
        <v>0</v>
      </c>
      <c r="M3" s="17">
        <v>0</v>
      </c>
      <c r="N3" s="17" t="s">
        <v>28</v>
      </c>
      <c r="O3" s="17" t="s">
        <v>28</v>
      </c>
      <c r="P3" s="17">
        <v>100</v>
      </c>
      <c r="Q3" s="17">
        <v>0</v>
      </c>
      <c r="R3" s="17">
        <v>0</v>
      </c>
      <c r="S3" s="17">
        <v>1</v>
      </c>
    </row>
    <row r="4" spans="1:19" ht="14.4" x14ac:dyDescent="0.3">
      <c r="A4" s="17" t="s">
        <v>74</v>
      </c>
      <c r="B4" s="17" t="s">
        <v>356</v>
      </c>
      <c r="C4" s="17" t="s">
        <v>65</v>
      </c>
      <c r="D4" s="17"/>
      <c r="E4" s="17"/>
      <c r="F4" s="17">
        <v>1</v>
      </c>
      <c r="G4" s="17"/>
      <c r="H4" s="17"/>
      <c r="I4" s="17"/>
      <c r="J4" s="17">
        <v>1</v>
      </c>
      <c r="K4" s="17" t="s">
        <v>39</v>
      </c>
      <c r="L4" s="17">
        <v>0</v>
      </c>
      <c r="M4" s="17">
        <v>0</v>
      </c>
      <c r="N4" s="17" t="s">
        <v>28</v>
      </c>
      <c r="O4" s="17" t="s">
        <v>28</v>
      </c>
      <c r="P4" s="17">
        <v>100</v>
      </c>
      <c r="Q4" s="17">
        <v>0</v>
      </c>
      <c r="R4" s="17">
        <v>0</v>
      </c>
      <c r="S4" s="17">
        <v>1</v>
      </c>
    </row>
    <row r="5" spans="1:19" ht="14.4" x14ac:dyDescent="0.3">
      <c r="A5" s="17" t="s">
        <v>76</v>
      </c>
      <c r="B5" s="17" t="s">
        <v>357</v>
      </c>
      <c r="C5" s="17" t="s">
        <v>65</v>
      </c>
      <c r="D5" s="17"/>
      <c r="E5" s="17"/>
      <c r="F5" s="17"/>
      <c r="G5" s="17"/>
      <c r="H5" s="17">
        <v>1</v>
      </c>
      <c r="I5" s="17"/>
      <c r="J5" s="17">
        <v>1</v>
      </c>
      <c r="K5" s="17" t="s">
        <v>39</v>
      </c>
      <c r="L5" s="17">
        <v>0</v>
      </c>
      <c r="M5" s="17">
        <v>0</v>
      </c>
      <c r="N5" s="17" t="s">
        <v>28</v>
      </c>
      <c r="O5" s="17" t="s">
        <v>28</v>
      </c>
      <c r="P5" s="17">
        <v>100</v>
      </c>
      <c r="Q5" s="17">
        <v>0</v>
      </c>
      <c r="R5" s="17">
        <v>0</v>
      </c>
      <c r="S5" s="17">
        <v>1</v>
      </c>
    </row>
    <row r="6" spans="1:19" ht="14.4" x14ac:dyDescent="0.3">
      <c r="A6" s="17" t="s">
        <v>51</v>
      </c>
      <c r="B6" s="17" t="s">
        <v>358</v>
      </c>
      <c r="C6" s="17" t="s">
        <v>65</v>
      </c>
      <c r="D6" s="17"/>
      <c r="E6" s="17"/>
      <c r="F6" s="17"/>
      <c r="G6" s="17"/>
      <c r="H6" s="17">
        <v>1</v>
      </c>
      <c r="I6" s="17"/>
      <c r="J6" s="17">
        <v>1</v>
      </c>
      <c r="K6" s="17" t="s">
        <v>39</v>
      </c>
      <c r="L6" s="17">
        <v>0</v>
      </c>
      <c r="M6" s="17">
        <v>0</v>
      </c>
      <c r="N6" s="17" t="s">
        <v>28</v>
      </c>
      <c r="O6" s="17" t="s">
        <v>28</v>
      </c>
      <c r="P6" s="17">
        <v>100</v>
      </c>
      <c r="Q6" s="17">
        <v>0</v>
      </c>
      <c r="R6" s="17">
        <v>0</v>
      </c>
      <c r="S6" s="17">
        <v>1</v>
      </c>
    </row>
    <row r="7" spans="1:19" ht="14.4" x14ac:dyDescent="0.3">
      <c r="A7" s="17" t="s">
        <v>70</v>
      </c>
      <c r="B7" s="17" t="s">
        <v>359</v>
      </c>
      <c r="C7" s="17" t="s">
        <v>65</v>
      </c>
      <c r="D7" s="17"/>
      <c r="E7" s="17"/>
      <c r="F7" s="17"/>
      <c r="G7" s="17"/>
      <c r="H7" s="17">
        <v>1</v>
      </c>
      <c r="I7" s="17"/>
      <c r="J7" s="17">
        <v>1</v>
      </c>
      <c r="K7" s="17" t="s">
        <v>39</v>
      </c>
      <c r="L7" s="17">
        <v>0</v>
      </c>
      <c r="M7" s="17">
        <v>0</v>
      </c>
      <c r="N7" s="17" t="s">
        <v>28</v>
      </c>
      <c r="O7" s="17" t="s">
        <v>28</v>
      </c>
      <c r="P7" s="17">
        <v>100</v>
      </c>
      <c r="Q7" s="17">
        <v>0</v>
      </c>
      <c r="R7" s="17">
        <v>0</v>
      </c>
      <c r="S7" s="17">
        <v>1</v>
      </c>
    </row>
    <row r="8" spans="1:19" ht="14.4" x14ac:dyDescent="0.3">
      <c r="A8" s="17" t="s">
        <v>71</v>
      </c>
      <c r="B8" s="17" t="s">
        <v>360</v>
      </c>
      <c r="C8" s="17" t="s">
        <v>65</v>
      </c>
      <c r="D8" s="17"/>
      <c r="E8" s="17"/>
      <c r="F8" s="17"/>
      <c r="G8" s="17">
        <v>1</v>
      </c>
      <c r="H8" s="17"/>
      <c r="I8" s="17"/>
      <c r="J8" s="17">
        <v>1</v>
      </c>
      <c r="K8" s="17" t="s">
        <v>39</v>
      </c>
      <c r="L8" s="17" t="s">
        <v>31</v>
      </c>
      <c r="M8" s="17" t="s">
        <v>246</v>
      </c>
      <c r="N8" s="17" t="s">
        <v>28</v>
      </c>
      <c r="O8" s="17" t="s">
        <v>28</v>
      </c>
      <c r="P8" s="17">
        <v>80</v>
      </c>
      <c r="Q8" s="17">
        <v>0.2</v>
      </c>
      <c r="R8" s="17">
        <v>0</v>
      </c>
      <c r="S8" s="17">
        <v>0.8</v>
      </c>
    </row>
    <row r="9" spans="1:19" ht="14.4" x14ac:dyDescent="0.3">
      <c r="A9" s="17" t="s">
        <v>68</v>
      </c>
      <c r="B9" s="17" t="s">
        <v>361</v>
      </c>
      <c r="C9" s="17" t="s">
        <v>65</v>
      </c>
      <c r="D9" s="17"/>
      <c r="E9" s="17"/>
      <c r="F9" s="17"/>
      <c r="G9" s="17">
        <v>1</v>
      </c>
      <c r="H9" s="17"/>
      <c r="I9" s="17"/>
      <c r="J9" s="17">
        <v>1</v>
      </c>
      <c r="K9" s="17" t="s">
        <v>39</v>
      </c>
      <c r="L9" s="17">
        <v>0</v>
      </c>
      <c r="M9" s="17">
        <v>0</v>
      </c>
      <c r="N9" s="17" t="s">
        <v>28</v>
      </c>
      <c r="O9" s="17" t="s">
        <v>28</v>
      </c>
      <c r="P9" s="17">
        <v>100</v>
      </c>
      <c r="Q9" s="17">
        <v>0</v>
      </c>
      <c r="R9" s="17">
        <v>0</v>
      </c>
      <c r="S9" s="17">
        <v>1</v>
      </c>
    </row>
    <row r="10" spans="1:19" ht="14.4" x14ac:dyDescent="0.3">
      <c r="A10" s="17" t="s">
        <v>150</v>
      </c>
      <c r="B10" s="17" t="s">
        <v>362</v>
      </c>
      <c r="C10" s="17" t="s">
        <v>66</v>
      </c>
      <c r="D10" s="17"/>
      <c r="E10" s="17"/>
      <c r="F10" s="17"/>
      <c r="G10" s="17"/>
      <c r="H10" s="17"/>
      <c r="I10" s="17">
        <v>1</v>
      </c>
      <c r="J10" s="17">
        <v>1</v>
      </c>
      <c r="K10" s="17" t="s">
        <v>39</v>
      </c>
      <c r="L10" s="17" t="s">
        <v>31</v>
      </c>
      <c r="M10" s="17" t="s">
        <v>246</v>
      </c>
      <c r="N10" s="17" t="s">
        <v>28</v>
      </c>
      <c r="O10" s="17" t="s">
        <v>28</v>
      </c>
      <c r="P10" s="17">
        <v>80</v>
      </c>
      <c r="Q10" s="17">
        <v>0.2</v>
      </c>
      <c r="R10" s="17">
        <v>0</v>
      </c>
      <c r="S10" s="17">
        <v>0.8</v>
      </c>
    </row>
    <row r="11" spans="1:19" ht="14.4" x14ac:dyDescent="0.3">
      <c r="A11" s="17" t="s">
        <v>90</v>
      </c>
      <c r="B11" s="17" t="s">
        <v>363</v>
      </c>
      <c r="C11" s="17" t="s">
        <v>65</v>
      </c>
      <c r="D11" s="17"/>
      <c r="E11" s="17"/>
      <c r="F11" s="17">
        <v>1</v>
      </c>
      <c r="G11" s="17"/>
      <c r="H11" s="17"/>
      <c r="I11" s="17"/>
      <c r="J11" s="17">
        <v>1</v>
      </c>
      <c r="K11" s="17" t="s">
        <v>39</v>
      </c>
      <c r="L11" s="17">
        <v>0</v>
      </c>
      <c r="M11" s="17">
        <v>0</v>
      </c>
      <c r="N11" s="17" t="s">
        <v>28</v>
      </c>
      <c r="O11" s="17" t="s">
        <v>28</v>
      </c>
      <c r="P11" s="17">
        <v>100</v>
      </c>
      <c r="Q11" s="17">
        <v>0</v>
      </c>
      <c r="R11" s="17">
        <v>0</v>
      </c>
      <c r="S11" s="17">
        <v>1</v>
      </c>
    </row>
    <row r="12" spans="1:19" ht="14.4" x14ac:dyDescent="0.3">
      <c r="A12" s="17" t="s">
        <v>77</v>
      </c>
      <c r="B12" s="17" t="s">
        <v>364</v>
      </c>
      <c r="C12" s="17" t="s">
        <v>65</v>
      </c>
      <c r="D12" s="17"/>
      <c r="E12" s="17">
        <v>1</v>
      </c>
      <c r="F12" s="17"/>
      <c r="G12" s="17"/>
      <c r="H12" s="17"/>
      <c r="I12" s="17"/>
      <c r="J12" s="17">
        <v>1</v>
      </c>
      <c r="K12" s="17" t="s">
        <v>39</v>
      </c>
      <c r="L12" s="17" t="s">
        <v>31</v>
      </c>
      <c r="M12" s="17" t="s">
        <v>27</v>
      </c>
      <c r="N12" s="17" t="s">
        <v>28</v>
      </c>
      <c r="O12" s="17" t="s">
        <v>28</v>
      </c>
      <c r="P12" s="17">
        <v>50</v>
      </c>
      <c r="Q12" s="17">
        <v>0.5</v>
      </c>
      <c r="R12" s="17">
        <v>0</v>
      </c>
      <c r="S12" s="17">
        <v>0.5</v>
      </c>
    </row>
    <row r="13" spans="1:19" ht="14.4" x14ac:dyDescent="0.3">
      <c r="A13" s="17" t="s">
        <v>67</v>
      </c>
      <c r="B13" s="17" t="s">
        <v>365</v>
      </c>
      <c r="C13" s="17">
        <v>6</v>
      </c>
      <c r="D13" s="17"/>
      <c r="E13" s="17"/>
      <c r="F13" s="17"/>
      <c r="G13" s="17"/>
      <c r="H13" s="17"/>
      <c r="I13" s="17">
        <v>1</v>
      </c>
      <c r="J13" s="17">
        <v>1</v>
      </c>
      <c r="K13" s="17" t="s">
        <v>39</v>
      </c>
      <c r="L13" s="17" t="s">
        <v>31</v>
      </c>
      <c r="M13" s="17" t="s">
        <v>246</v>
      </c>
      <c r="N13" s="17" t="s">
        <v>28</v>
      </c>
      <c r="O13" s="17" t="s">
        <v>28</v>
      </c>
      <c r="P13" s="17">
        <v>80</v>
      </c>
      <c r="Q13" s="17">
        <v>0.2</v>
      </c>
      <c r="R13" s="17">
        <v>0</v>
      </c>
      <c r="S13" s="17">
        <v>0.8</v>
      </c>
    </row>
    <row r="14" spans="1:19" ht="14.4" x14ac:dyDescent="0.3">
      <c r="A14" s="17" t="s">
        <v>72</v>
      </c>
      <c r="B14" s="17" t="s">
        <v>366</v>
      </c>
      <c r="C14" s="17" t="s">
        <v>65</v>
      </c>
      <c r="D14" s="17"/>
      <c r="E14" s="17">
        <v>1</v>
      </c>
      <c r="F14" s="17"/>
      <c r="G14" s="17"/>
      <c r="H14" s="17"/>
      <c r="I14" s="17"/>
      <c r="J14" s="17">
        <v>1</v>
      </c>
      <c r="K14" s="17" t="s">
        <v>39</v>
      </c>
      <c r="L14" s="17" t="s">
        <v>31</v>
      </c>
      <c r="M14" s="17" t="s">
        <v>246</v>
      </c>
      <c r="N14" s="17" t="s">
        <v>28</v>
      </c>
      <c r="O14" s="17" t="s">
        <v>28</v>
      </c>
      <c r="P14" s="17">
        <v>80</v>
      </c>
      <c r="Q14" s="17">
        <v>0.2</v>
      </c>
      <c r="R14" s="17">
        <v>0</v>
      </c>
      <c r="S14" s="17">
        <v>0.8</v>
      </c>
    </row>
    <row r="15" spans="1:19" ht="14.4" x14ac:dyDescent="0.3">
      <c r="A15" s="17" t="s">
        <v>151</v>
      </c>
      <c r="B15" s="17" t="s">
        <v>367</v>
      </c>
      <c r="C15" s="17" t="s">
        <v>66</v>
      </c>
      <c r="D15" s="17"/>
      <c r="E15" s="17"/>
      <c r="F15" s="17"/>
      <c r="G15" s="17">
        <v>1</v>
      </c>
      <c r="H15" s="17"/>
      <c r="I15" s="17"/>
      <c r="J15" s="17">
        <v>1</v>
      </c>
      <c r="K15" s="17" t="s">
        <v>39</v>
      </c>
      <c r="L15" s="17">
        <v>0</v>
      </c>
      <c r="M15" s="17">
        <v>0</v>
      </c>
      <c r="N15" s="17" t="s">
        <v>28</v>
      </c>
      <c r="O15" s="17" t="s">
        <v>28</v>
      </c>
      <c r="P15" s="17">
        <v>100</v>
      </c>
      <c r="Q15" s="17">
        <v>0</v>
      </c>
      <c r="R15" s="17">
        <v>0</v>
      </c>
      <c r="S15" s="17">
        <v>1</v>
      </c>
    </row>
    <row r="16" spans="1:19" ht="14.4" x14ac:dyDescent="0.3">
      <c r="A16" s="17" t="s">
        <v>269</v>
      </c>
      <c r="B16" s="17" t="s">
        <v>368</v>
      </c>
      <c r="C16" s="17" t="s">
        <v>66</v>
      </c>
      <c r="D16" s="17"/>
      <c r="E16" s="17"/>
      <c r="F16" s="17"/>
      <c r="G16" s="17"/>
      <c r="H16" s="17"/>
      <c r="I16" s="17">
        <v>1</v>
      </c>
      <c r="J16" s="17">
        <v>1</v>
      </c>
      <c r="K16" s="17" t="s">
        <v>39</v>
      </c>
      <c r="L16" s="17">
        <v>0</v>
      </c>
      <c r="M16" s="17">
        <v>0</v>
      </c>
      <c r="N16" s="17" t="s">
        <v>28</v>
      </c>
      <c r="O16" s="17" t="s">
        <v>28</v>
      </c>
      <c r="P16" s="17">
        <v>100</v>
      </c>
      <c r="Q16" s="17">
        <v>0</v>
      </c>
      <c r="R16" s="17">
        <v>0</v>
      </c>
      <c r="S16" s="17">
        <v>1</v>
      </c>
    </row>
    <row r="17" spans="1:20" ht="14.4" x14ac:dyDescent="0.3">
      <c r="A17" s="17" t="s">
        <v>79</v>
      </c>
      <c r="B17" s="17" t="s">
        <v>369</v>
      </c>
      <c r="C17" s="17" t="s">
        <v>65</v>
      </c>
      <c r="D17" s="17"/>
      <c r="E17" s="17">
        <v>1</v>
      </c>
      <c r="F17" s="17"/>
      <c r="G17" s="17"/>
      <c r="H17" s="17"/>
      <c r="I17" s="17"/>
      <c r="J17" s="17">
        <v>1</v>
      </c>
      <c r="K17" s="17" t="s">
        <v>39</v>
      </c>
      <c r="L17" s="17" t="s">
        <v>31</v>
      </c>
      <c r="M17" s="17" t="s">
        <v>265</v>
      </c>
      <c r="N17" s="17" t="s">
        <v>28</v>
      </c>
      <c r="O17" s="17" t="s">
        <v>28</v>
      </c>
      <c r="P17" s="17">
        <v>70</v>
      </c>
      <c r="Q17" s="17">
        <v>0.3</v>
      </c>
      <c r="R17" s="17">
        <v>0</v>
      </c>
      <c r="S17" s="17">
        <v>0.7</v>
      </c>
    </row>
    <row r="18" spans="1:20" ht="14.4" x14ac:dyDescent="0.3">
      <c r="A18" s="17" t="s">
        <v>69</v>
      </c>
      <c r="B18" s="17" t="s">
        <v>370</v>
      </c>
      <c r="C18" s="17" t="s">
        <v>65</v>
      </c>
      <c r="D18" s="17"/>
      <c r="E18" s="17"/>
      <c r="F18" s="17">
        <v>2</v>
      </c>
      <c r="G18" s="17"/>
      <c r="H18" s="17"/>
      <c r="I18" s="17"/>
      <c r="J18" s="17">
        <v>2</v>
      </c>
      <c r="K18" s="17" t="s">
        <v>39</v>
      </c>
      <c r="L18" s="17">
        <v>0</v>
      </c>
      <c r="M18" s="17">
        <v>0</v>
      </c>
      <c r="N18" s="17" t="s">
        <v>28</v>
      </c>
      <c r="O18" s="17" t="s">
        <v>28</v>
      </c>
      <c r="P18" s="17">
        <v>100</v>
      </c>
      <c r="Q18" s="17">
        <v>0</v>
      </c>
      <c r="R18" s="17">
        <v>0</v>
      </c>
      <c r="S18" s="17">
        <v>2</v>
      </c>
    </row>
    <row r="19" spans="1:20" ht="14.4" x14ac:dyDescent="0.3">
      <c r="A19" s="17" t="s">
        <v>275</v>
      </c>
      <c r="B19" s="17" t="s">
        <v>371</v>
      </c>
      <c r="C19" s="17" t="s">
        <v>66</v>
      </c>
      <c r="D19" s="17"/>
      <c r="E19" s="17"/>
      <c r="F19" s="17"/>
      <c r="G19" s="17"/>
      <c r="H19" s="17"/>
      <c r="I19" s="17">
        <v>1</v>
      </c>
      <c r="J19" s="17">
        <v>1</v>
      </c>
      <c r="K19" s="17" t="s">
        <v>39</v>
      </c>
      <c r="L19" s="17">
        <v>0</v>
      </c>
      <c r="M19" s="17">
        <v>0</v>
      </c>
      <c r="N19" s="17" t="s">
        <v>28</v>
      </c>
      <c r="O19" s="17" t="s">
        <v>28</v>
      </c>
      <c r="P19" s="17">
        <v>100</v>
      </c>
      <c r="Q19" s="17">
        <v>0</v>
      </c>
      <c r="R19" s="17">
        <v>0</v>
      </c>
      <c r="S19" s="17">
        <v>1</v>
      </c>
    </row>
    <row r="20" spans="1:20" ht="14.4" x14ac:dyDescent="0.3">
      <c r="A20" s="17" t="s">
        <v>372</v>
      </c>
      <c r="B20" s="17" t="s">
        <v>373</v>
      </c>
      <c r="C20" s="17" t="s">
        <v>66</v>
      </c>
      <c r="D20" s="17"/>
      <c r="E20" s="17"/>
      <c r="F20" s="17"/>
      <c r="G20" s="17"/>
      <c r="H20" s="17"/>
      <c r="I20" s="17">
        <v>1</v>
      </c>
      <c r="J20" s="17">
        <v>1</v>
      </c>
      <c r="K20" s="17" t="s">
        <v>39</v>
      </c>
      <c r="L20" s="17">
        <v>0</v>
      </c>
      <c r="M20" s="17">
        <v>0</v>
      </c>
      <c r="N20" s="17" t="s">
        <v>28</v>
      </c>
      <c r="O20" s="17" t="s">
        <v>28</v>
      </c>
      <c r="P20" s="17">
        <v>100</v>
      </c>
      <c r="Q20" s="17">
        <v>0</v>
      </c>
      <c r="R20" s="17">
        <v>0</v>
      </c>
      <c r="S20" s="17">
        <v>1</v>
      </c>
    </row>
    <row r="21" spans="1:20" ht="14.4" x14ac:dyDescent="0.3">
      <c r="A21" s="17" t="s">
        <v>75</v>
      </c>
      <c r="B21" s="17" t="s">
        <v>374</v>
      </c>
      <c r="C21" s="17" t="s">
        <v>65</v>
      </c>
      <c r="D21" s="17"/>
      <c r="E21" s="17"/>
      <c r="F21" s="17"/>
      <c r="G21" s="17"/>
      <c r="H21" s="17"/>
      <c r="I21" s="17">
        <v>2</v>
      </c>
      <c r="J21" s="17">
        <v>2</v>
      </c>
      <c r="K21" s="17" t="s">
        <v>39</v>
      </c>
      <c r="L21" s="17">
        <v>0</v>
      </c>
      <c r="M21" s="17">
        <v>0</v>
      </c>
      <c r="N21" s="17" t="s">
        <v>28</v>
      </c>
      <c r="O21" s="17" t="s">
        <v>28</v>
      </c>
      <c r="P21" s="17">
        <v>100</v>
      </c>
      <c r="Q21" s="17">
        <v>0</v>
      </c>
      <c r="R21" s="17">
        <v>0</v>
      </c>
      <c r="S21" s="17">
        <v>2</v>
      </c>
    </row>
    <row r="22" spans="1:20" ht="14.4" x14ac:dyDescent="0.3">
      <c r="A22" s="17" t="s">
        <v>87</v>
      </c>
      <c r="B22" s="17" t="s">
        <v>375</v>
      </c>
      <c r="C22" s="17" t="s">
        <v>65</v>
      </c>
      <c r="D22" s="17"/>
      <c r="E22" s="17"/>
      <c r="F22" s="17"/>
      <c r="G22" s="17">
        <v>2</v>
      </c>
      <c r="H22" s="17"/>
      <c r="I22" s="17"/>
      <c r="J22" s="17">
        <v>2</v>
      </c>
      <c r="K22" s="17" t="s">
        <v>39</v>
      </c>
      <c r="L22" s="17">
        <v>0</v>
      </c>
      <c r="M22" s="17">
        <v>0</v>
      </c>
      <c r="N22" s="17" t="s">
        <v>28</v>
      </c>
      <c r="O22" s="17" t="s">
        <v>28</v>
      </c>
      <c r="P22" s="17">
        <v>100</v>
      </c>
      <c r="Q22" s="17">
        <v>0</v>
      </c>
      <c r="R22" s="17">
        <v>0</v>
      </c>
      <c r="S22" s="17">
        <v>2</v>
      </c>
    </row>
    <row r="23" spans="1:20" ht="14.4" x14ac:dyDescent="0.3">
      <c r="A23" s="17" t="s">
        <v>270</v>
      </c>
      <c r="B23" s="17" t="s">
        <v>376</v>
      </c>
      <c r="C23" s="17" t="s">
        <v>66</v>
      </c>
      <c r="D23" s="17"/>
      <c r="E23" s="17"/>
      <c r="F23" s="17"/>
      <c r="G23" s="17"/>
      <c r="H23" s="17">
        <v>1</v>
      </c>
      <c r="I23" s="17"/>
      <c r="J23" s="17">
        <v>1</v>
      </c>
      <c r="K23" s="17" t="s">
        <v>39</v>
      </c>
      <c r="L23" s="17" t="s">
        <v>32</v>
      </c>
      <c r="M23" s="17" t="s">
        <v>30</v>
      </c>
      <c r="N23" s="17" t="s">
        <v>28</v>
      </c>
      <c r="O23" s="17" t="s">
        <v>28</v>
      </c>
      <c r="P23" s="17">
        <v>90</v>
      </c>
      <c r="Q23" s="17">
        <v>0.1</v>
      </c>
      <c r="R23" s="17">
        <v>0</v>
      </c>
      <c r="S23" s="17">
        <v>0.9</v>
      </c>
    </row>
    <row r="24" spans="1:20" s="11" customFormat="1" ht="14.4" x14ac:dyDescent="0.3">
      <c r="A24" s="17" t="s">
        <v>271</v>
      </c>
      <c r="B24" s="17" t="s">
        <v>377</v>
      </c>
      <c r="C24" s="17" t="s">
        <v>66</v>
      </c>
      <c r="D24" s="17"/>
      <c r="E24" s="17"/>
      <c r="F24" s="17"/>
      <c r="G24" s="17"/>
      <c r="H24" s="17">
        <v>1</v>
      </c>
      <c r="I24" s="17"/>
      <c r="J24" s="17">
        <v>1</v>
      </c>
      <c r="K24" s="17" t="s">
        <v>39</v>
      </c>
      <c r="L24" s="17">
        <v>0</v>
      </c>
      <c r="M24" s="17">
        <v>0</v>
      </c>
      <c r="N24" s="17" t="s">
        <v>28</v>
      </c>
      <c r="O24" s="17" t="s">
        <v>28</v>
      </c>
      <c r="P24" s="17">
        <v>100</v>
      </c>
      <c r="Q24" s="17">
        <v>0</v>
      </c>
      <c r="R24" s="17">
        <v>0</v>
      </c>
      <c r="S24" s="17">
        <v>1</v>
      </c>
      <c r="T24" s="12"/>
    </row>
    <row r="25" spans="1:20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O25" s="39"/>
      <c r="P25" s="40"/>
      <c r="Q25" s="39"/>
      <c r="R25" s="39"/>
      <c r="S25" s="39">
        <f>SUM(S2:S24)</f>
        <v>24.299999999999997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FF68-D104-462E-84FB-48235AE85BCA}">
  <dimension ref="A1:C34"/>
  <sheetViews>
    <sheetView topLeftCell="A7" workbookViewId="0">
      <selection activeCell="E25" sqref="E25"/>
    </sheetView>
  </sheetViews>
  <sheetFormatPr baseColWidth="10" defaultRowHeight="14.4" x14ac:dyDescent="0.3"/>
  <cols>
    <col min="1" max="1" width="17" customWidth="1"/>
    <col min="2" max="2" width="68" customWidth="1"/>
    <col min="3" max="3" width="16" customWidth="1"/>
  </cols>
  <sheetData>
    <row r="1" spans="1:3" x14ac:dyDescent="0.3">
      <c r="A1" s="48" t="s">
        <v>152</v>
      </c>
      <c r="B1" s="48" t="s">
        <v>153</v>
      </c>
      <c r="C1" s="48" t="s">
        <v>159</v>
      </c>
    </row>
    <row r="2" spans="1:3" x14ac:dyDescent="0.3">
      <c r="A2" s="36" t="s">
        <v>135</v>
      </c>
      <c r="B2" s="36" t="s">
        <v>188</v>
      </c>
      <c r="C2" s="31">
        <v>-440</v>
      </c>
    </row>
    <row r="3" spans="1:3" x14ac:dyDescent="0.3">
      <c r="A3" s="37" t="s">
        <v>136</v>
      </c>
      <c r="B3" s="37" t="s">
        <v>189</v>
      </c>
      <c r="C3" s="32">
        <v>440</v>
      </c>
    </row>
    <row r="4" spans="1:3" x14ac:dyDescent="0.3">
      <c r="A4" s="36" t="s">
        <v>136</v>
      </c>
      <c r="B4" s="36" t="s">
        <v>190</v>
      </c>
      <c r="C4" s="31">
        <v>484</v>
      </c>
    </row>
    <row r="5" spans="1:3" x14ac:dyDescent="0.3">
      <c r="A5" s="37" t="s">
        <v>136</v>
      </c>
      <c r="B5" s="37" t="s">
        <v>191</v>
      </c>
      <c r="C5" s="32">
        <v>484</v>
      </c>
    </row>
    <row r="6" spans="1:3" x14ac:dyDescent="0.3">
      <c r="A6" s="36" t="s">
        <v>136</v>
      </c>
      <c r="B6" s="36" t="s">
        <v>192</v>
      </c>
      <c r="C6" s="31">
        <v>440</v>
      </c>
    </row>
    <row r="7" spans="1:3" x14ac:dyDescent="0.3">
      <c r="A7" s="37" t="s">
        <v>136</v>
      </c>
      <c r="B7" s="37" t="s">
        <v>193</v>
      </c>
      <c r="C7" s="32">
        <v>440</v>
      </c>
    </row>
    <row r="8" spans="1:3" x14ac:dyDescent="0.3">
      <c r="A8" s="36" t="s">
        <v>136</v>
      </c>
      <c r="B8" s="36" t="s">
        <v>194</v>
      </c>
      <c r="C8" s="31">
        <v>440</v>
      </c>
    </row>
    <row r="9" spans="1:3" x14ac:dyDescent="0.3">
      <c r="A9" s="37" t="s">
        <v>136</v>
      </c>
      <c r="B9" s="37" t="s">
        <v>195</v>
      </c>
      <c r="C9" s="32">
        <v>440</v>
      </c>
    </row>
    <row r="10" spans="1:3" x14ac:dyDescent="0.3">
      <c r="A10" s="36" t="s">
        <v>136</v>
      </c>
      <c r="B10" s="36" t="s">
        <v>196</v>
      </c>
      <c r="C10" s="31">
        <v>484</v>
      </c>
    </row>
    <row r="11" spans="1:3" x14ac:dyDescent="0.3">
      <c r="A11" s="37" t="s">
        <v>136</v>
      </c>
      <c r="B11" s="37" t="s">
        <v>197</v>
      </c>
      <c r="C11" s="32">
        <v>484</v>
      </c>
    </row>
    <row r="12" spans="1:3" x14ac:dyDescent="0.3">
      <c r="A12" s="36" t="s">
        <v>136</v>
      </c>
      <c r="B12" s="36" t="s">
        <v>198</v>
      </c>
      <c r="C12" s="31">
        <v>440</v>
      </c>
    </row>
    <row r="13" spans="1:3" x14ac:dyDescent="0.3">
      <c r="A13" s="37" t="s">
        <v>154</v>
      </c>
      <c r="B13" s="37" t="s">
        <v>199</v>
      </c>
      <c r="C13" s="32">
        <v>1214.4000000000001</v>
      </c>
    </row>
    <row r="14" spans="1:3" x14ac:dyDescent="0.3">
      <c r="A14" s="36" t="s">
        <v>160</v>
      </c>
      <c r="B14" s="36" t="s">
        <v>200</v>
      </c>
      <c r="C14" s="31">
        <v>2125</v>
      </c>
    </row>
    <row r="15" spans="1:3" x14ac:dyDescent="0.3">
      <c r="A15" s="37" t="s">
        <v>201</v>
      </c>
      <c r="B15" s="37" t="s">
        <v>202</v>
      </c>
      <c r="C15" s="32">
        <v>7920</v>
      </c>
    </row>
    <row r="16" spans="1:3" x14ac:dyDescent="0.3">
      <c r="A16" s="36" t="s">
        <v>203</v>
      </c>
      <c r="B16" s="36" t="s">
        <v>204</v>
      </c>
      <c r="C16" s="31">
        <v>8448</v>
      </c>
    </row>
    <row r="17" spans="1:3" x14ac:dyDescent="0.3">
      <c r="A17" s="37" t="s">
        <v>205</v>
      </c>
      <c r="B17" s="37" t="s">
        <v>206</v>
      </c>
      <c r="C17" s="32">
        <v>2376</v>
      </c>
    </row>
    <row r="18" spans="1:3" x14ac:dyDescent="0.3">
      <c r="A18" s="36" t="s">
        <v>205</v>
      </c>
      <c r="B18" s="36" t="s">
        <v>207</v>
      </c>
      <c r="C18" s="31">
        <v>1584</v>
      </c>
    </row>
    <row r="19" spans="1:3" x14ac:dyDescent="0.3">
      <c r="A19" s="37" t="s">
        <v>208</v>
      </c>
      <c r="B19" s="37" t="s">
        <v>209</v>
      </c>
      <c r="C19" s="32">
        <v>2640</v>
      </c>
    </row>
    <row r="20" spans="1:3" x14ac:dyDescent="0.3">
      <c r="A20" s="36" t="s">
        <v>210</v>
      </c>
      <c r="B20" s="36" t="s">
        <v>211</v>
      </c>
      <c r="C20" s="31">
        <v>13112</v>
      </c>
    </row>
    <row r="21" spans="1:3" x14ac:dyDescent="0.3">
      <c r="A21" s="37" t="s">
        <v>212</v>
      </c>
      <c r="B21" s="37" t="s">
        <v>213</v>
      </c>
      <c r="C21" s="32">
        <v>1126.4000000000001</v>
      </c>
    </row>
    <row r="22" spans="1:3" x14ac:dyDescent="0.3">
      <c r="A22" s="36" t="s">
        <v>214</v>
      </c>
      <c r="B22" s="36" t="s">
        <v>215</v>
      </c>
      <c r="C22" s="31">
        <v>1936</v>
      </c>
    </row>
    <row r="23" spans="1:3" x14ac:dyDescent="0.3">
      <c r="A23" s="37" t="s">
        <v>216</v>
      </c>
      <c r="B23" s="37" t="s">
        <v>217</v>
      </c>
      <c r="C23" s="32">
        <v>396</v>
      </c>
    </row>
    <row r="24" spans="1:3" x14ac:dyDescent="0.3">
      <c r="A24" s="36" t="s">
        <v>1</v>
      </c>
      <c r="B24" s="36" t="s">
        <v>218</v>
      </c>
      <c r="C24" s="31">
        <v>-4.74</v>
      </c>
    </row>
    <row r="25" spans="1:3" x14ac:dyDescent="0.3">
      <c r="A25" s="37" t="s">
        <v>1</v>
      </c>
      <c r="B25" s="37" t="s">
        <v>219</v>
      </c>
      <c r="C25" s="32">
        <v>-4.74</v>
      </c>
    </row>
    <row r="26" spans="1:3" x14ac:dyDescent="0.3">
      <c r="A26" s="36" t="s">
        <v>161</v>
      </c>
      <c r="B26" s="36" t="s">
        <v>220</v>
      </c>
      <c r="C26" s="31">
        <v>31875</v>
      </c>
    </row>
    <row r="27" spans="1:3" x14ac:dyDescent="0.3">
      <c r="A27" s="37" t="s">
        <v>221</v>
      </c>
      <c r="B27" s="37" t="s">
        <v>222</v>
      </c>
      <c r="C27" s="32">
        <v>24649.66</v>
      </c>
    </row>
    <row r="28" spans="1:3" x14ac:dyDescent="0.3">
      <c r="A28" s="36" t="s">
        <v>223</v>
      </c>
      <c r="B28" s="36" t="s">
        <v>224</v>
      </c>
      <c r="C28" s="31">
        <v>8500</v>
      </c>
    </row>
    <row r="29" spans="1:3" x14ac:dyDescent="0.3">
      <c r="A29" s="36" t="s">
        <v>3</v>
      </c>
      <c r="B29" s="36" t="s">
        <v>225</v>
      </c>
      <c r="C29" s="31">
        <v>36850</v>
      </c>
    </row>
    <row r="30" spans="1:3" x14ac:dyDescent="0.3">
      <c r="A30" s="37" t="s">
        <v>4</v>
      </c>
      <c r="B30" s="37" t="s">
        <v>226</v>
      </c>
      <c r="C30" s="32">
        <v>10000</v>
      </c>
    </row>
    <row r="31" spans="1:3" x14ac:dyDescent="0.3">
      <c r="A31" s="36" t="s">
        <v>80</v>
      </c>
      <c r="B31" s="36" t="s">
        <v>227</v>
      </c>
      <c r="C31" s="31">
        <v>9262.8700000000008</v>
      </c>
    </row>
    <row r="32" spans="1:3" x14ac:dyDescent="0.3">
      <c r="A32" s="46" t="s">
        <v>81</v>
      </c>
      <c r="B32" s="46" t="s">
        <v>228</v>
      </c>
      <c r="C32" s="47">
        <v>2465.85</v>
      </c>
    </row>
    <row r="33" spans="1:3" x14ac:dyDescent="0.3">
      <c r="A33" s="49" t="s">
        <v>0</v>
      </c>
      <c r="B33" s="49"/>
      <c r="C33" s="50">
        <f>SUBTOTAL(109,Tabla3[Imp.cob.aplic.])</f>
        <v>170607.7</v>
      </c>
    </row>
    <row r="34" spans="1:3" x14ac:dyDescent="0.3">
      <c r="C34" s="3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5EB6-DD1F-4383-8186-8C095E5ACC32}">
  <dimension ref="A1:G26"/>
  <sheetViews>
    <sheetView workbookViewId="0">
      <selection activeCell="B26" sqref="B26:C26"/>
    </sheetView>
  </sheetViews>
  <sheetFormatPr baseColWidth="10" defaultRowHeight="14.4" x14ac:dyDescent="0.3"/>
  <cols>
    <col min="1" max="1" width="14" bestFit="1" customWidth="1"/>
    <col min="2" max="2" width="65.44140625" customWidth="1"/>
    <col min="3" max="3" width="19.88671875" customWidth="1"/>
    <col min="5" max="5" width="50.109375" customWidth="1"/>
  </cols>
  <sheetData>
    <row r="1" spans="1:3" x14ac:dyDescent="0.3">
      <c r="A1" s="53" t="s">
        <v>287</v>
      </c>
      <c r="B1" s="53" t="s">
        <v>153</v>
      </c>
      <c r="C1" s="54" t="s">
        <v>288</v>
      </c>
    </row>
    <row r="2" spans="1:3" x14ac:dyDescent="0.3">
      <c r="A2" s="51" t="s">
        <v>136</v>
      </c>
      <c r="B2" s="51" t="s">
        <v>289</v>
      </c>
      <c r="C2" s="31">
        <v>484</v>
      </c>
    </row>
    <row r="3" spans="1:3" x14ac:dyDescent="0.3">
      <c r="A3" s="52" t="s">
        <v>136</v>
      </c>
      <c r="B3" s="52" t="s">
        <v>290</v>
      </c>
      <c r="C3" s="32">
        <v>484</v>
      </c>
    </row>
    <row r="4" spans="1:3" x14ac:dyDescent="0.3">
      <c r="A4" s="51" t="s">
        <v>136</v>
      </c>
      <c r="B4" s="51" t="s">
        <v>291</v>
      </c>
      <c r="C4" s="31">
        <v>484</v>
      </c>
    </row>
    <row r="5" spans="1:3" x14ac:dyDescent="0.3">
      <c r="A5" s="52" t="s">
        <v>136</v>
      </c>
      <c r="B5" s="52" t="s">
        <v>292</v>
      </c>
      <c r="C5" s="32">
        <v>484</v>
      </c>
    </row>
    <row r="6" spans="1:3" x14ac:dyDescent="0.3">
      <c r="A6" s="51" t="s">
        <v>136</v>
      </c>
      <c r="B6" s="51" t="s">
        <v>293</v>
      </c>
      <c r="C6" s="31">
        <v>484</v>
      </c>
    </row>
    <row r="7" spans="1:3" x14ac:dyDescent="0.3">
      <c r="A7" s="52" t="s">
        <v>136</v>
      </c>
      <c r="B7" s="52" t="s">
        <v>294</v>
      </c>
      <c r="C7" s="32">
        <v>484</v>
      </c>
    </row>
    <row r="8" spans="1:3" x14ac:dyDescent="0.3">
      <c r="A8" s="51" t="s">
        <v>136</v>
      </c>
      <c r="B8" s="51" t="s">
        <v>295</v>
      </c>
      <c r="C8" s="31">
        <v>484</v>
      </c>
    </row>
    <row r="9" spans="1:3" x14ac:dyDescent="0.3">
      <c r="A9" s="52" t="s">
        <v>136</v>
      </c>
      <c r="B9" s="52" t="s">
        <v>296</v>
      </c>
      <c r="C9" s="32">
        <v>484</v>
      </c>
    </row>
    <row r="10" spans="1:3" x14ac:dyDescent="0.3">
      <c r="A10" s="51" t="s">
        <v>136</v>
      </c>
      <c r="B10" s="51" t="s">
        <v>297</v>
      </c>
      <c r="C10" s="31">
        <v>484</v>
      </c>
    </row>
    <row r="11" spans="1:3" x14ac:dyDescent="0.3">
      <c r="A11" s="52" t="s">
        <v>136</v>
      </c>
      <c r="B11" s="52" t="s">
        <v>298</v>
      </c>
      <c r="C11" s="32">
        <v>484</v>
      </c>
    </row>
    <row r="12" spans="1:3" x14ac:dyDescent="0.3">
      <c r="A12" s="51" t="s">
        <v>205</v>
      </c>
      <c r="B12" s="51" t="s">
        <v>299</v>
      </c>
      <c r="C12" s="31">
        <v>1584</v>
      </c>
    </row>
    <row r="13" spans="1:3" x14ac:dyDescent="0.3">
      <c r="A13" s="52" t="s">
        <v>300</v>
      </c>
      <c r="B13" s="52" t="s">
        <v>301</v>
      </c>
      <c r="C13" s="32">
        <v>1320</v>
      </c>
    </row>
    <row r="14" spans="1:3" x14ac:dyDescent="0.3">
      <c r="A14" s="51" t="s">
        <v>302</v>
      </c>
      <c r="B14" s="51" t="s">
        <v>303</v>
      </c>
      <c r="C14" s="31">
        <v>2640</v>
      </c>
    </row>
    <row r="15" spans="1:3" x14ac:dyDescent="0.3">
      <c r="A15" s="52" t="s">
        <v>304</v>
      </c>
      <c r="B15" s="52" t="s">
        <v>305</v>
      </c>
      <c r="C15" s="32">
        <v>1936</v>
      </c>
    </row>
    <row r="16" spans="1:3" x14ac:dyDescent="0.3">
      <c r="A16" s="51" t="s">
        <v>155</v>
      </c>
      <c r="B16" s="51" t="s">
        <v>306</v>
      </c>
      <c r="C16" s="31">
        <v>-2147.1999999999998</v>
      </c>
    </row>
    <row r="17" spans="1:7" x14ac:dyDescent="0.3">
      <c r="A17" s="52" t="s">
        <v>221</v>
      </c>
      <c r="B17" s="52" t="s">
        <v>307</v>
      </c>
      <c r="C17" s="32">
        <v>-2854.42</v>
      </c>
    </row>
    <row r="18" spans="1:7" x14ac:dyDescent="0.3">
      <c r="A18" s="51" t="s">
        <v>223</v>
      </c>
      <c r="B18" s="51" t="s">
        <v>308</v>
      </c>
      <c r="C18" s="31">
        <v>34000</v>
      </c>
    </row>
    <row r="19" spans="1:7" x14ac:dyDescent="0.3">
      <c r="A19" s="52" t="s">
        <v>223</v>
      </c>
      <c r="B19" s="52" t="s">
        <v>309</v>
      </c>
      <c r="C19" s="32">
        <v>-12000</v>
      </c>
    </row>
    <row r="20" spans="1:7" x14ac:dyDescent="0.3">
      <c r="A20" s="51" t="s">
        <v>3</v>
      </c>
      <c r="B20" s="51" t="s">
        <v>310</v>
      </c>
      <c r="C20" s="31">
        <v>36850</v>
      </c>
    </row>
    <row r="21" spans="1:7" ht="43.2" x14ac:dyDescent="0.3">
      <c r="A21" s="56" t="s">
        <v>162</v>
      </c>
      <c r="B21" s="56" t="s">
        <v>311</v>
      </c>
      <c r="C21" s="45">
        <v>13708.2</v>
      </c>
      <c r="D21" s="57"/>
      <c r="E21" s="35" t="s">
        <v>312</v>
      </c>
    </row>
    <row r="22" spans="1:7" x14ac:dyDescent="0.3">
      <c r="A22" s="55" t="s">
        <v>0</v>
      </c>
      <c r="B22" s="55"/>
      <c r="C22" s="50">
        <f>SUBTOTAL(109,Tabla4[Imp. aplic.])</f>
        <v>79876.58</v>
      </c>
    </row>
    <row r="26" spans="1:7" x14ac:dyDescent="0.3">
      <c r="G26" s="3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A722-24CD-4E48-A3C7-47448A32C569}">
  <dimension ref="A1:C27"/>
  <sheetViews>
    <sheetView tabSelected="1" workbookViewId="0">
      <selection activeCell="F26" sqref="F26"/>
    </sheetView>
  </sheetViews>
  <sheetFormatPr baseColWidth="10" defaultRowHeight="14.4" x14ac:dyDescent="0.3"/>
  <cols>
    <col min="1" max="1" width="21.33203125" customWidth="1"/>
    <col min="2" max="2" width="65.44140625" customWidth="1"/>
    <col min="3" max="3" width="20" customWidth="1"/>
  </cols>
  <sheetData>
    <row r="1" spans="1:3" x14ac:dyDescent="0.3">
      <c r="A1" s="60" t="s">
        <v>287</v>
      </c>
      <c r="B1" s="61" t="s">
        <v>153</v>
      </c>
      <c r="C1" s="61" t="s">
        <v>288</v>
      </c>
    </row>
    <row r="2" spans="1:3" x14ac:dyDescent="0.3">
      <c r="A2" s="62" t="s">
        <v>136</v>
      </c>
      <c r="B2" s="63" t="s">
        <v>378</v>
      </c>
      <c r="C2" s="64">
        <v>484</v>
      </c>
    </row>
    <row r="3" spans="1:3" x14ac:dyDescent="0.3">
      <c r="A3" s="65" t="s">
        <v>136</v>
      </c>
      <c r="B3" s="66" t="s">
        <v>379</v>
      </c>
      <c r="C3" s="67">
        <v>484</v>
      </c>
    </row>
    <row r="4" spans="1:3" x14ac:dyDescent="0.3">
      <c r="A4" s="62" t="s">
        <v>136</v>
      </c>
      <c r="B4" s="63" t="s">
        <v>380</v>
      </c>
      <c r="C4" s="64">
        <v>484</v>
      </c>
    </row>
    <row r="5" spans="1:3" x14ac:dyDescent="0.3">
      <c r="A5" s="65" t="s">
        <v>136</v>
      </c>
      <c r="B5" s="66" t="s">
        <v>381</v>
      </c>
      <c r="C5" s="67">
        <v>484</v>
      </c>
    </row>
    <row r="6" spans="1:3" x14ac:dyDescent="0.3">
      <c r="A6" s="62" t="s">
        <v>136</v>
      </c>
      <c r="B6" s="63" t="s">
        <v>382</v>
      </c>
      <c r="C6" s="64">
        <v>484</v>
      </c>
    </row>
    <row r="7" spans="1:3" x14ac:dyDescent="0.3">
      <c r="A7" s="65" t="s">
        <v>136</v>
      </c>
      <c r="B7" s="66" t="s">
        <v>383</v>
      </c>
      <c r="C7" s="67">
        <v>484</v>
      </c>
    </row>
    <row r="8" spans="1:3" x14ac:dyDescent="0.3">
      <c r="A8" s="62" t="s">
        <v>384</v>
      </c>
      <c r="B8" s="63" t="s">
        <v>385</v>
      </c>
      <c r="C8" s="64">
        <v>880</v>
      </c>
    </row>
    <row r="9" spans="1:3" x14ac:dyDescent="0.3">
      <c r="A9" s="65" t="s">
        <v>384</v>
      </c>
      <c r="B9" s="66" t="s">
        <v>386</v>
      </c>
      <c r="C9" s="67">
        <v>880</v>
      </c>
    </row>
    <row r="10" spans="1:3" x14ac:dyDescent="0.3">
      <c r="A10" s="62" t="s">
        <v>387</v>
      </c>
      <c r="B10" s="63" t="s">
        <v>388</v>
      </c>
      <c r="C10" s="64">
        <v>1760</v>
      </c>
    </row>
    <row r="11" spans="1:3" x14ac:dyDescent="0.3">
      <c r="A11" s="65" t="s">
        <v>389</v>
      </c>
      <c r="B11" s="66" t="s">
        <v>390</v>
      </c>
      <c r="C11" s="67">
        <v>2200</v>
      </c>
    </row>
    <row r="12" spans="1:3" x14ac:dyDescent="0.3">
      <c r="A12" s="62" t="s">
        <v>391</v>
      </c>
      <c r="B12" s="63" t="s">
        <v>392</v>
      </c>
      <c r="C12" s="64">
        <v>528</v>
      </c>
    </row>
    <row r="13" spans="1:3" x14ac:dyDescent="0.3">
      <c r="A13" s="65" t="s">
        <v>391</v>
      </c>
      <c r="B13" s="66" t="s">
        <v>393</v>
      </c>
      <c r="C13" s="67">
        <v>528</v>
      </c>
    </row>
    <row r="14" spans="1:3" x14ac:dyDescent="0.3">
      <c r="A14" s="62" t="s">
        <v>391</v>
      </c>
      <c r="B14" s="63" t="s">
        <v>394</v>
      </c>
      <c r="C14" s="64">
        <v>528</v>
      </c>
    </row>
    <row r="15" spans="1:3" x14ac:dyDescent="0.3">
      <c r="A15" s="65" t="s">
        <v>391</v>
      </c>
      <c r="B15" s="66" t="s">
        <v>395</v>
      </c>
      <c r="C15" s="67">
        <v>352</v>
      </c>
    </row>
    <row r="16" spans="1:3" x14ac:dyDescent="0.3">
      <c r="A16" s="62" t="s">
        <v>396</v>
      </c>
      <c r="B16" s="63" t="s">
        <v>397</v>
      </c>
      <c r="C16" s="64">
        <v>2129.6</v>
      </c>
    </row>
    <row r="17" spans="1:3" x14ac:dyDescent="0.3">
      <c r="A17" s="65" t="s">
        <v>398</v>
      </c>
      <c r="B17" s="66" t="s">
        <v>399</v>
      </c>
      <c r="C17" s="67">
        <v>5000</v>
      </c>
    </row>
    <row r="18" spans="1:3" x14ac:dyDescent="0.3">
      <c r="A18" s="62" t="s">
        <v>400</v>
      </c>
      <c r="B18" s="63" t="s">
        <v>399</v>
      </c>
      <c r="C18" s="64">
        <v>8800</v>
      </c>
    </row>
    <row r="19" spans="1:3" x14ac:dyDescent="0.3">
      <c r="A19" s="65" t="s">
        <v>401</v>
      </c>
      <c r="B19" s="66" t="s">
        <v>402</v>
      </c>
      <c r="C19" s="67">
        <v>21660.82</v>
      </c>
    </row>
    <row r="20" spans="1:3" x14ac:dyDescent="0.3">
      <c r="A20" s="62" t="s">
        <v>403</v>
      </c>
      <c r="B20" s="63" t="s">
        <v>404</v>
      </c>
      <c r="C20" s="64">
        <v>47000</v>
      </c>
    </row>
    <row r="21" spans="1:3" x14ac:dyDescent="0.3">
      <c r="A21" s="65" t="s">
        <v>2</v>
      </c>
      <c r="B21" s="66" t="s">
        <v>405</v>
      </c>
      <c r="C21" s="67">
        <v>16000</v>
      </c>
    </row>
    <row r="22" spans="1:3" ht="15" thickBot="1" x14ac:dyDescent="0.35">
      <c r="A22" s="62" t="s">
        <v>3</v>
      </c>
      <c r="B22" s="63" t="s">
        <v>406</v>
      </c>
      <c r="C22" s="64">
        <v>36850</v>
      </c>
    </row>
    <row r="23" spans="1:3" ht="15" thickTop="1" x14ac:dyDescent="0.3">
      <c r="A23" s="68" t="s">
        <v>0</v>
      </c>
      <c r="B23" s="69"/>
      <c r="C23" s="70">
        <v>148000.41999999998</v>
      </c>
    </row>
    <row r="27" spans="1:3" x14ac:dyDescent="0.3">
      <c r="B27" s="58" t="s">
        <v>407</v>
      </c>
      <c r="C27" s="59">
        <f>Tabla4[[#Totals],[Imp. aplic.]]+Tabla3[[#Totals],[Imp.cob.aplic.]]+C23</f>
        <v>398484.7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2026-05-26T10:54:05Z</dcterms:modified>
</cp:coreProperties>
</file>