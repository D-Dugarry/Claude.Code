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AF12929E-55AB-4E52-A3F4-8C703B85DA6C}" xr6:coauthVersionLast="47" xr6:coauthVersionMax="47" xr10:uidLastSave="{00000000-0000-0000-0000-000000000000}"/>
  <bookViews>
    <workbookView xWindow="-120" yWindow="-120" windowWidth="29040" windowHeight="15720" tabRatio="730" xr2:uid="{00000000-000D-0000-FFFF-FFFF00000000}"/>
  </bookViews>
  <sheets>
    <sheet name="Tesis" sheetId="2" r:id="rId1"/>
    <sheet name="Sexenios" sheetId="3" r:id="rId2"/>
    <sheet name="Ingresos investigación 2023" sheetId="11" r:id="rId3"/>
    <sheet name="Ingresos investigación 2024" sheetId="12" r:id="rId4"/>
    <sheet name="Ingresos investigación 2025" sheetId="13" r:id="rId5"/>
  </sheets>
  <definedNames>
    <definedName name="_xlnm._FilterDatabase" localSheetId="1" hidden="1">Sexenios!#REF!</definedName>
    <definedName name="_xlnm._FilterDatabase" localSheetId="0" hidden="1">Tesis!$A$1:$U$35</definedName>
    <definedName name="_xlnm.Print_Titles" localSheetId="1">Sexenios!#REF!</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4" i="13" l="1"/>
  <c r="C26" i="12"/>
  <c r="C38" i="11" l="1"/>
  <c r="S35" i="2" l="1"/>
  <c r="S17" i="3"/>
</calcChain>
</file>

<file path=xl/sharedStrings.xml><?xml version="1.0" encoding="utf-8"?>
<sst xmlns="http://schemas.openxmlformats.org/spreadsheetml/2006/main" count="819" uniqueCount="292">
  <si>
    <t>Total</t>
  </si>
  <si>
    <t>34.00.6C.00.03</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</si>
  <si>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</si>
  <si>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</si>
  <si>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</si>
  <si>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</si>
  <si>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</si>
  <si>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</si>
  <si>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</si>
  <si>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</si>
  <si>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</si>
  <si>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</si>
  <si>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</si>
  <si>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</si>
  <si>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</si>
  <si>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</si>
  <si>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</si>
  <si>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</si>
  <si>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</si>
  <si>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</si>
  <si>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</si>
  <si>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</si>
  <si>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</si>
  <si>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</si>
  <si>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</si>
  <si>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</si>
  <si>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Director de tesis </t>
  </si>
  <si>
    <t>90</t>
  </si>
  <si>
    <t>80</t>
  </si>
  <si>
    <t>60</t>
  </si>
  <si>
    <t>U042 </t>
  </si>
  <si>
    <t>ADM. I.U. DE SÍNTESIS ORGÁNICA </t>
  </si>
  <si>
    <t>DOCTORADO EN SÍNTESIS ORGÁNICA </t>
  </si>
  <si>
    <t>74215613H </t>
  </si>
  <si>
    <t>B141 </t>
  </si>
  <si>
    <t>QUÍMICA ORGÁNICA </t>
  </si>
  <si>
    <t>B141</t>
  </si>
  <si>
    <t>10.11</t>
  </si>
  <si>
    <t>21418250Y </t>
  </si>
  <si>
    <t>45905770R </t>
  </si>
  <si>
    <t>71697007G </t>
  </si>
  <si>
    <t>21457195N </t>
  </si>
  <si>
    <t>21462906L </t>
  </si>
  <si>
    <t>52774740K </t>
  </si>
  <si>
    <t>21488564D </t>
  </si>
  <si>
    <t>21482875R </t>
  </si>
  <si>
    <t>65</t>
  </si>
  <si>
    <t>52776404Y </t>
  </si>
  <si>
    <t>NIF</t>
  </si>
  <si>
    <t>NOMBRE_COMPLETO</t>
  </si>
  <si>
    <t>TIPO_SEXENIO</t>
  </si>
  <si>
    <t>Total general</t>
  </si>
  <si>
    <t>INS
1</t>
  </si>
  <si>
    <t>DED
INS 1</t>
  </si>
  <si>
    <t>INS
2</t>
  </si>
  <si>
    <t>DED
INS 2</t>
  </si>
  <si>
    <t>DED
DEP</t>
  </si>
  <si>
    <t>SEX
INS 1</t>
  </si>
  <si>
    <t>SEX
INS 2</t>
  </si>
  <si>
    <t>SEX
DEP</t>
  </si>
  <si>
    <t>FUNCIONARIO</t>
  </si>
  <si>
    <t>74215613H</t>
  </si>
  <si>
    <t>21484328M</t>
  </si>
  <si>
    <t>21418250Y</t>
  </si>
  <si>
    <t>71697007G</t>
  </si>
  <si>
    <t>45905770R</t>
  </si>
  <si>
    <t>21471279C</t>
  </si>
  <si>
    <t>21482875R</t>
  </si>
  <si>
    <t>21488564D</t>
  </si>
  <si>
    <t>52774740K</t>
  </si>
  <si>
    <t>21457195N</t>
  </si>
  <si>
    <t>21462906L</t>
  </si>
  <si>
    <t>30/07/2020 </t>
  </si>
  <si>
    <t>Síntesis de 2-oxindoles 3,3-disustituidos por alquilación desacilativa </t>
  </si>
  <si>
    <t>Molina Molina, Cynthia </t>
  </si>
  <si>
    <t>15/06/2020 </t>
  </si>
  <si>
    <t>Azomethine Ylides for the Synthesis of Antibiotics, Enantioselective Prolinates and a Graphene-supported Catalyst </t>
  </si>
  <si>
    <t>Ferrandiz Saperas, Marcos </t>
  </si>
  <si>
    <t>22/07/2020 </t>
  </si>
  <si>
    <t>Salicylic Acid-Catalyzed Radical Arylations from In-situ Formed Arenediazonium Salts </t>
  </si>
  <si>
    <t>Felipe Blanco, Diego </t>
  </si>
  <si>
    <t>28/09/2020 </t>
  </si>
  <si>
    <t>TOWARDS SUSTAINABILITY IN ORGANIC TRANSFORMATIONS CATALYSED BY 1,3-BIS(CARBOXYMETHYL)IMIDAZOLE-BASED SYSTEMS </t>
  </si>
  <si>
    <t>Albert Soriano, María </t>
  </si>
  <si>
    <t>COD DEP</t>
  </si>
  <si>
    <t>Martín García, María Iris </t>
  </si>
  <si>
    <t>NEW ADVENTURES IN SUPPORTED COPPER NANOPARTICLES </t>
  </si>
  <si>
    <t>30/11/2020 </t>
  </si>
  <si>
    <t>U022 </t>
  </si>
  <si>
    <t>ADM. FACULTAD DE CIENCIAS </t>
  </si>
  <si>
    <t>DOCTORADO EN CIENCIAS EXPERIMENTALES Y BIOSANITARIAS </t>
  </si>
  <si>
    <t>Lledó García, David </t>
  </si>
  <si>
    <t>APPLICATIONS OF IONIC LIQUIDS IN CATALYSIS AND METAL EXTRACTION </t>
  </si>
  <si>
    <t>19/02/2021 </t>
  </si>
  <si>
    <t>Chabour , Ihssene </t>
  </si>
  <si>
    <t>1,3-Dipolar cycloadditions using catalysts with double chirality and novel multicomponent [4+2] processes. </t>
  </si>
  <si>
    <t>08/02/2021 </t>
  </si>
  <si>
    <t>Saavedra Guillem, Beatriz </t>
  </si>
  <si>
    <t>New strategies for C-C, C-O and C-S bond formation in Deep Eutectic Solvents </t>
  </si>
  <si>
    <t>18/06/2021 </t>
  </si>
  <si>
    <t>Moreno Cabrerizo, Cristina </t>
  </si>
  <si>
    <t>Useful strategies for the synthesis of 3,3' - disubstitued 2-oxindoles and homoallyl alcohols </t>
  </si>
  <si>
    <t>18/03/2021 </t>
  </si>
  <si>
    <t>Sirvent Verdú, Ana </t>
  </si>
  <si>
    <t>Synthesis of nitrogen containing heterocycles and polyfunctionalized compounds from N-tert-butanesulfinyl alkyl, alkenyl and homopropargyl amine derivatives </t>
  </si>
  <si>
    <t>24/09/2021 </t>
  </si>
  <si>
    <t>Cód. org. aplic.</t>
  </si>
  <si>
    <t>Descripción justificante</t>
  </si>
  <si>
    <t>34.00.6C.00.42</t>
  </si>
  <si>
    <t>Llopis Costa, Natalia </t>
  </si>
  <si>
    <t>HFIP as a metal-free alternative for cyclization and oxidation reactions </t>
  </si>
  <si>
    <t>12/04/2022 </t>
  </si>
  <si>
    <t>García Mingüens, Eduardo </t>
  </si>
  <si>
    <t>SYNTHESIS AND APPLICATIONS OF POLYFUNCTIONALIZED PROLINATES </t>
  </si>
  <si>
    <t>18/03/2022 </t>
  </si>
  <si>
    <t>Baciu , Bianca Catalina </t>
  </si>
  <si>
    <t>Design and synthesis of biterminated dithiahelicenes of increasing size for molecular electronics and chiroptical applications </t>
  </si>
  <si>
    <t>15/07/2022 </t>
  </si>
  <si>
    <t>05921559W</t>
  </si>
  <si>
    <t>NO FUNCIONARIO</t>
  </si>
  <si>
    <t>48620517N</t>
  </si>
  <si>
    <t>52776404Y</t>
  </si>
  <si>
    <t>Imp.cob.aplic.</t>
  </si>
  <si>
    <t>34.00.6H.00.04</t>
  </si>
  <si>
    <t>34.00.6C.00.52</t>
  </si>
  <si>
    <t>MES DE ABRIL. OPTIMIZACIÓN DE PROCESOS SINTÉTICOS DE MOLÉCULAS ORGÁNICAS DE INTERÉS COMERCIAL.</t>
  </si>
  <si>
    <t>MES DE SEPTIEMBRE. OPTIMIZACIÓN DE PROCESOS SINTÉTICOS DE MOLÉCULAS ORGÁNICAS DE INTERÉS COMERCIAL.</t>
  </si>
  <si>
    <t>MES DE OCTUBRE. OPTIMIZACIÓN DE PROCESOS SINTÉTICOS DE MOLÉCULAS ORGÁNICAS DE INTERÉS COMERCIAL</t>
  </si>
  <si>
    <t>MES DE NOVIEMBRE. OPTIMIZACIÓN DE PROCESOS SINTÉTICOS DE MOLÉCULAS ORGÁNICAS DE INTERÉS COMERCIAL</t>
  </si>
  <si>
    <t>34.00.6C.00.57</t>
  </si>
  <si>
    <t>I.U. DE SÍNTESIS ORGÁNICA (10.11) </t>
  </si>
  <si>
    <t>Hernández Ibáñez, Sandra </t>
  </si>
  <si>
    <t>Stereoselective Synthesis of Monocyclic and Bicyclic Nitrogen Heterocycles from N-tert-Butanesulfinyl Imines </t>
  </si>
  <si>
    <t>03/05/2023 </t>
  </si>
  <si>
    <t>Belabbes , Asmaa </t>
  </si>
  <si>
    <t>Design of Cyclisations for the Synthesis of Complex Heterocyclic Skeletons </t>
  </si>
  <si>
    <t>28/04/2023 </t>
  </si>
  <si>
    <t>Martos González, Mario </t>
  </si>
  <si>
    <t>Sustainable catalytic systems based on imidazole derivatives </t>
  </si>
  <si>
    <t>24/03/2023 </t>
  </si>
  <si>
    <t>Torregrosa Chinillach, Alejandro </t>
  </si>
  <si>
    <t>Organocatalytic systems in enantioselective conjugate addition reactions and photooxidations under visible light </t>
  </si>
  <si>
    <t>26/05/2023 </t>
  </si>
  <si>
    <t>González Gallardo, Nerea </t>
  </si>
  <si>
    <t>Fifth Period Metals in Deep Eutectic Solvents: Catalytic Activity in Organic Synthesis and Beyond </t>
  </si>
  <si>
    <t>14/09/2023 </t>
  </si>
  <si>
    <t>34.00.6P.00.09</t>
  </si>
  <si>
    <t xml:space="preserve">Pago regalías 2022 por transferencia de tecnología   -  Ref. contrato de licencia: MEDALCHEMY(EBT)1-12O  (Regalías 64.229,80 - 3.000 por Reducción por contratación egresados UA) </t>
  </si>
  <si>
    <t>S</t>
  </si>
  <si>
    <t>QUINTA APORTACIÓN SEGÚN CONVENIO COLABORACIÓN "SÍNTESIS DE ÁCIDOS GRASOS FUNCIONALIZADOS Y LÍPIDOS FENÓLICOS" CONVOCATORIA PROGRAMA PROPIO VIC. INVESTIGACIÓN UA PARA EL FOMENTO DE LA I+D+I EN LA UA 2019. AYUDAS CONTRATOS PREDOCTORALES COFINANCIADOS ENTRE LA UA Y LA EMPRESA MEDALCHEMY.</t>
  </si>
  <si>
    <t>MEDALCHEMY1-19Y. SEXTA Y ÚLTIMA APORTACIÓN SEGÚN CONVENIO DE COLABORACIÓN "SÍNTESIS DE ÁCIDOS GRASOS FUNCIONALIZADOS Y LÍPIDOS FENÓLICOS". CONVOCATORIA PROGRAMA PROPIO VICERRECTORADO DE INVESTIGACIÓN UA PARA EL FOMENTO DE LA I+D+I EN LA UA 2019. AYUDAS CONTRATOS PREDOCTORALES COFINANCIADOS ENTRE LA UA Y LA EMPRESA MEDALCHEMY.</t>
  </si>
  <si>
    <t>MES DE AGOSTO. OPTIMIZACIÓN DE PROCESOS SINTÉTICOS DE MOLÉCULAS ORGÁNICAS DE INTERÉS COMERCIAL</t>
  </si>
  <si>
    <t>MES DE ENERO. OPTIMIZACIÓN DE PROCESOS SINTÉTICOS DE MOLÉCULAS ORGÁNICAS DE INTERÉS COMERCIAL.</t>
  </si>
  <si>
    <t>MES DE JUNIO. OPTIMIZACIÓN DE PROCESOS SINTÉTICOS DE MOLÉCULAS ORGÁNICAS DE INTERÉS COMERCIAL</t>
  </si>
  <si>
    <t>MES DE MARZO. OPTIMIZACIÓN DE PROCESOS SINTÉTICOS DE MOLÉCULAS ORGÁNICAS DE INTERÉS COMERCIAL</t>
  </si>
  <si>
    <t>MES DE MAYO. OPTIMIZACIÓN DE PROCESOS SINTÉTICOS DE MOLÉCULAS ORGÁNICAS DE INTERÉS COMERCIAL</t>
  </si>
  <si>
    <t>MES DE OCTUBRE. OPTIMIZACIÓN DE PROCESOS SINTÉTICOS DE MOLÉCULAS ORGÁNICAS DE INTERÉS COMERCIAL.</t>
  </si>
  <si>
    <t>MES DE FEBRERO. OPTIMIZACIÓN DE PROCESOS SINTÉTICOS DE MOLÉCULAS ORGÁNICAS DE INTERÉS COMERCIAL</t>
  </si>
  <si>
    <t>MES DE DICIEMBRE. OPTIMIZACIÓN DE PROCESOS SINTÉTICOS DE MOLÉCULAS ORGÁNICAS DE INTERÉS COMERCIAL</t>
  </si>
  <si>
    <t>MES DE JULIO. OPTIMIZACIÓN DE PROCESOS SINTÉTICOS DE MOLÉCULAS ORGÁNICAS DE INTERÉS COMERCIAL</t>
  </si>
  <si>
    <t>EXPEDIENTE: 215.033.23. Nº PEDIDO: 62490000131. DETECCIÓN Y CARACTERIZACIÓN DE MICROPLÁSTICOS: PREOCUPACIÓN EMERGENTE EN EL CICLO INTEGRAL DEL AGUA. Diego A.A.V</t>
  </si>
  <si>
    <t>EXPEDIENTE: 941.029.23. Nº PEDIDO 62490000131. TOMA DE DECISIÓN SOBRE LA CERTIFICACIÓN DE LA ACTIVIDAD DE I+D+i DEL PERSONAL INVESTIGADOR INVOLUCRADO EN ESTE EXPEDIENTE. DIEGO A.A.V.</t>
  </si>
  <si>
    <t>NºPEDIDO 62490000131. Toma de decisión sobre la certificación de la actividad de I+D+i del personal investigador según lo establecido en el Real Decreto 475/2014, de 13 de junio, sobre bonificaciones en la cotización a la Seguridad Social del personal investigador involucrado en el proyecto de la empresa MEDICA SCIENTIA INNOVATION RESEARCH, S.L.. Diego A.A.V.</t>
  </si>
  <si>
    <t>EXP.878.167.23.NºPEDIDO 62490000131. Toma de decisión sobre la certificación de la actividad de I+D+i del personal investigador según lo establecido en el Real Decreto 475/2014, de 13 de junio, sobre bonificaciones en la cotización a la Seguridad Social del personal investigador involucrado en el proyecto DESARROLLO DE NUEVA GENERACION DE CAUCHOS BASADOS EN DIENOS Y ESTIRENO PARA UNA INDUSTRIA SOSTENIBLE de la empresa DYNASOL. Diego A.A.V.</t>
  </si>
  <si>
    <t>ACIE10-22TPA. EXPTE.2567.018.22. CÓDIGO PEDIDO: 62490000131. PROYECTO "DESARROLLO DE UNA NUEVA LÍNEA DE FABRICACIÓN DE COLORANTES PARA EL SECTOR DEL AUTOMOVIL". D.A.A.VELASCO.</t>
  </si>
  <si>
    <t>EXPEDIENTE Nº 1898.007.22. Nº PEDIDO 62490000131. DESARROLLO DE VIAS ALTERNATIVAS PARA LA PREPARACIÓN DE GADOBUTROL Y CALCOBUTROL DE ALTA PUREZA. (DIEGO A.A.V.)</t>
  </si>
  <si>
    <t>EXPEDIENTE Nº 1424.018.22. Nº PEDIDO 62490000131. ESTUDIO DE DIFERENTES MODIFICANTES EN ARCILLAS PARA NUEVOS USOS. (DIEGO A.A.V.)</t>
  </si>
  <si>
    <t>EXPEDIENTE: 215.033.23. INVESTIGACIÓN Y DESARROLLO DE TÉCNICAS DE DETECCIÓN Y CARACTERIZACIÓN DE MICROPLÁSTICOS. Nº PEDIDO: 62490000131. Diego A.A.V.</t>
  </si>
  <si>
    <t>EXPTE. 2567.018.23. NºPEDIDO: 62490000131. DESARROLLO DE UNA NUEVA LÍNEA DE FABRICACIÓN DE COLORANTES PARA EL SECTOR DEL AUTOMÓVIL DE LA EMPRESA ARCHROMA IBÉRICA SL. DIEGO A.A.V.</t>
  </si>
  <si>
    <t>EXPEDIENTE Nº 1898.006.22. Nº PEDIDO: 62490000131. NUEVO MÉTODO DE OBTENCIÓN DE ÁCIDO DIATRIZOICO SIN IMPUREZAS MUTAGÉNICAS. (DIEGO A.A.V.)</t>
  </si>
  <si>
    <t>EXP.3213.004.23. NºPEDIDO 62490000131. Servicio de evaluación como tal del proyecto DESARROLLO DE UNA NOVEDOSA FORMULACIÓN PARA CREMA DE ROSTRO. Diego A.A.V.</t>
  </si>
  <si>
    <t>EXPEDIENTE Nº 2105.011.22. Nº PEDIDO 62490000131. NUEVO PROCEDIMIENTO PARA LA OBTENCIÓN DE FÁRMACO AVANZADO PARA EL TRATAMIENTO DE LEUCEMIA. (DIEGO A.A.V.)</t>
  </si>
  <si>
    <t>EXPEDIENTE Nº 1898.010.22. Nº PEDIDO:62490000131. OPTIMIZACIÓN DEL PROCESO DE FABRICACIÓN DE GAXILOSA UTILIZADA COMO AGENTE DIAGNÓSTICO. (DIEGO.A.A.V.)</t>
  </si>
  <si>
    <t>EXP.878.167.23. NºPEDIDO 62490000131. Servicio de evaluación como tal del proyecto DESARROLLO DE NUEVA GENERACION DE CAUCHOS BASADOS EN DIENOS Y ESTIRENO PARA UNA INDUSTRIA SOSTENIBLE. Diego A.A.V.</t>
  </si>
  <si>
    <t>34.00.6C.00.59</t>
  </si>
  <si>
    <t>Nº ORDEN DE PEDIDO: 9600239824. Nº PROVEEDOR EN APPLUS:4210015807. PROYECTO: PAINTENDER. DISEÑO Y DESARROLLO DE NUEVAS FORMULACIONES TENDER PARA FACHADAS ECOLÓGICAS.</t>
  </si>
  <si>
    <t>34.00.6C.00.60</t>
  </si>
  <si>
    <t>EVALUACIÓN DE CONTENIDO Y EJECUCIÓN DEL EJERCICIO 2022 DEL PROYECTO 943.313-943.312 DE LA EMPRESA JOTUSA 2000 SL, MORCHEM SA. "SOLUCIONES SOSTENIBLES Y SEGURAS DE ORIGEN NATURAL PARA ADHESIVOS HOT MELT REACTIVE DE POLIURETANO".</t>
  </si>
  <si>
    <t>34.00.6G.00.01</t>
  </si>
  <si>
    <t xml:space="preserve">MECENAZGO PARA LA ORGANIZACIÓN Y REALIZACIÓN "XIV INTERNATIONAL SCHOOL ON ORGANOMETALLIC CHEMISTRY MARCIAL MORENO MAÑAS". </t>
  </si>
  <si>
    <t>APOTIP/2021/003/018/019/020/027/029/046</t>
  </si>
  <si>
    <t>34.00.6H.00.05</t>
  </si>
  <si>
    <t>Resolución de la dirección general de Ciencia e Investigación por la que se conceden subvenciones para la contratación de personal de apoyo vinculado a un proyecto de transferencia tecnológica(APOTI/2023). CIAPOT/2022/11/13. ANUALIDAD 2023</t>
  </si>
  <si>
    <t xml:space="preserve">CIAPOT/2021/11-16-23-29 </t>
  </si>
  <si>
    <t>34.00.6P.00.10</t>
  </si>
  <si>
    <t xml:space="preserve">AYUDAS CIAORG/2022/45, CIAORG/2022/15, CIAORG/2022/44, CIAORG/2022/140, CIAORG/2022/89, CIAORG/2022/10, CIAORG/2022/115, CIAORG/2022/27, CIAORG/2022/117, CIAORG/2022/128, CIAORG/2022/83, CIAORG/2022/74, CIAORG/2022/125 </t>
  </si>
  <si>
    <t>U042</t>
  </si>
  <si>
    <t>I.U. DE SÍNTESIS ORGÁNICA (10.11)</t>
  </si>
  <si>
    <t>DOCTORADO EN SÍNTESIS ORGÁNICA</t>
  </si>
  <si>
    <t>Rodríguez Flórez, Lesly Viviana</t>
  </si>
  <si>
    <t>Imino esters as useful precursors for the synthesis of glutamate derivatives and
functionalization of carbon materials.</t>
  </si>
  <si>
    <t>27/05/2024</t>
  </si>
  <si>
    <t>Codirector de tesis</t>
  </si>
  <si>
    <t>QUÍMICA ORGÁNICA</t>
  </si>
  <si>
    <t>Ortuño Navarro, Juan Francisco</t>
  </si>
  <si>
    <t>Fatty Acids, Phenolic Compounds and Thiazole Derivatives as Precursors of Molecules with Potential Biological Activity</t>
  </si>
  <si>
    <t>20/11/2023</t>
  </si>
  <si>
    <t>Burlingham , Sarah Jayne</t>
  </si>
  <si>
    <t>Deep Eutectic Solvents and Visible-Light Photocatalysis: Pathways to Greener Chemistry</t>
  </si>
  <si>
    <t>10/06/2024</t>
  </si>
  <si>
    <t>Procopio , Debora</t>
  </si>
  <si>
    <t>Deep Eutectic Solvents as Sustainable Media for Pharmaceutical Purposes</t>
  </si>
  <si>
    <t>16/09/2024</t>
  </si>
  <si>
    <t>QUIMICA ORGANICA</t>
  </si>
  <si>
    <t>Org. aplic.</t>
  </si>
  <si>
    <t>Imp. aplic.</t>
  </si>
  <si>
    <t xml:space="preserve">Pago regalías 2023 por transferencia de tecnología  - Ref. contrato EBT MEDALCHEMY(EBT)1-12O( Regalías 75.136,71 - 3.000 Reducción egresados) </t>
  </si>
  <si>
    <t>MES DE ENERO. OPTIMIZACIÓN DE PROCESOS SINTÉTICOS DE MOLÉCULAS ORGÁNICAS DE INTERÉS COMERCIAL</t>
  </si>
  <si>
    <t>MES DE ABRIL. OPTIMIZACIÓN DE PROCESOS SINTÉTICOS DE MOLÉCULAS ORGÁNICAS DE INTERÉS COMERCIAL</t>
  </si>
  <si>
    <t>MES DE SEPTIEMBRE. OPTIMIZACIÓN DE PROCESOS SINTÉTICOS DE MOLÉCULAS ORGÁNICAS DE INTERÉS COMERCIAL</t>
  </si>
  <si>
    <t>ACIE1-24TPA. Pedido 62490000573. Servicio de evaluación del proyecto OPTIMIZACION DEL PROCESO DE FABRICACION DE GAXILOSA UTILIZADA COMO AGENTE DIAGNOSTICO de la empresa JUSTESA IMAGEN, S.A. con código ACIE de Expediente 1898.010.23.</t>
  </si>
  <si>
    <t>ACIE2-24TPA, número de pedido 62490000573, servicio de evaluación del proyecto NUEVO PROCEDIMIENTO PARA LA OBTENCIÓN DE FÁRMACO AVANZADO PARA EL TRATAMIENTO DE LEUCEMIA con código ACIE de Expediente 2105.011.23.</t>
  </si>
  <si>
    <t>ACIE3-24TPA, Número de pedido: 62490000573, Toma de decisión sobre la certificación de la actividad de I+D+i del personal investigador según lo establecido en el Real Decreto 475/2014, de 13 de junio, sobre bonificaciones en la cotización a la Seguridad Social del personal investigador involucrado en el proyecto con código ACIE de Expediente 3213.004.23 de la empresa LABORATORIOS NEUM SPAIN, S.L.</t>
  </si>
  <si>
    <t>Número de pedido: 62490000573. El objeto del presente Contrato es la realización por parte del Esp-CC del servicio de toma de decisión sobre la certificación de la actividad de I+D+i del personal investigador según lo establecido en el Real Decreto 475/2014, de 13 de junio, sobre bonificaciones en la cotización a la Seguridad Social del personal investigador involucrado en el proyecto con código ACIE de Expediente 1424.018.23 de la empresa TOLSA, S.A.</t>
  </si>
  <si>
    <t>Número de pedido: 62490000573. El objeto del presente Contrato es la realización por parte del Esp-CC del servicio de toma de decisión sobre la certificación de la actividad de I+D+i del personal investigador según lo establecido en el Real Decreto 475/2014, de 13 de junio, sobre bonificaciones en la cotización a la Seguridad Social del personal investigador involucrado en el proyecto con código ACIE de Expediente 1802.005.23 de la empresa IMC TOYS, S.A.</t>
  </si>
  <si>
    <t xml:space="preserve">AYUDAS CIAPOT/2022/11, CIAPOT/2022/13  </t>
  </si>
  <si>
    <t>34.00.6H.00.06</t>
  </si>
  <si>
    <t xml:space="preserve">ayudas CIAPOT/2023/002,  CIAPOT/2023/029 </t>
  </si>
  <si>
    <t xml:space="preserve">Anulación  ayudas CIAPOT/2023/002,  CIAPOT/2023/029 </t>
  </si>
  <si>
    <t>34.00.6M.00.01</t>
  </si>
  <si>
    <t>MECENAZGO DE LAS ACTIVIDADES DE ORGANIZACIÓN Y REALIZACIÓN DE "XV INTERNATIONAL SCHOOL ON ORGANOMETALLIC CHEMISTRY MARCIAL MORENO MAÑAS" POR LA UNIVERSIDAD DE ALICANTE</t>
  </si>
  <si>
    <t xml:space="preserve">AYUDAS CIAPOT/2021/16, CIAPOT/2021/23 </t>
  </si>
  <si>
    <t>34.00.6P.00.11</t>
  </si>
  <si>
    <t>ayudas CIAORG/2023/2, CIAORG/2023/4, CIAORG/2023/11, CIAORG/2023/15, CIAORG/2023/28, CIAORG/2023/40, CIAORG/2023/43, CIAORG/2023/54, CIAORG/2023/62, CIAORG/2023/65, CIAORG/2023/73, CIAORG/2023/91, CIAORG/2023/152, CIAORG/2023/154, CIAORG/2023/169, CIAORG/2023/170, CIAORG/2023/178 (LINEA DE SUBVENCIÓN S0296)</t>
  </si>
  <si>
    <t>I.U. de Síntesis Orgánica (10.11)</t>
  </si>
  <si>
    <t>Blanco López, Ester</t>
  </si>
  <si>
    <t>[3+2] Cycloadditions, Mannich and Morita-Baylis-Hillman reactions involving N-tert-
butanesulfinyl imines</t>
  </si>
  <si>
    <t>19/06/2025</t>
  </si>
  <si>
    <t>Química Orgánica</t>
  </si>
  <si>
    <t>Hidalgo León, Raquel</t>
  </si>
  <si>
    <t>Asymmetric Organocatalysed synthesis of spirocycles with increased complexity by remote bisvinylogous [4+2] cycloadditions</t>
  </si>
  <si>
    <t>06/06/2025</t>
  </si>
  <si>
    <t>Laze , Loris</t>
  </si>
  <si>
    <t>Approaching the Minisci reaction through photo- or electro-induced cross-dehydrogenative coupling</t>
  </si>
  <si>
    <t>30/05/2025</t>
  </si>
  <si>
    <t>2020</t>
  </si>
  <si>
    <t>2021</t>
  </si>
  <si>
    <t>2022</t>
  </si>
  <si>
    <t>2023</t>
  </si>
  <si>
    <t>2024</t>
  </si>
  <si>
    <t>2025</t>
  </si>
  <si>
    <t>Retamosa Hernández, María de Gracia</t>
  </si>
  <si>
    <t>Chinchilla Cruz, Rafael José</t>
  </si>
  <si>
    <t>21425525J</t>
  </si>
  <si>
    <t>Gómez Lucas, Mª Cecilia</t>
  </si>
  <si>
    <t>Vivos</t>
  </si>
  <si>
    <t>Ramón Dangla, Diego José</t>
  </si>
  <si>
    <t>Sansano Gil, José Miguel</t>
  </si>
  <si>
    <t>Guijarro Espí, David</t>
  </si>
  <si>
    <t>Guijarro Pastor, Albert</t>
  </si>
  <si>
    <t>Alonso Velasco, Diego Antonio</t>
  </si>
  <si>
    <t>Guillena Townley, Gabriela</t>
  </si>
  <si>
    <t>González Gómez, José Carlos</t>
  </si>
  <si>
    <t>Bosque Martínez, Irene</t>
  </si>
  <si>
    <t>Pastor Beviá, Isidro</t>
  </si>
  <si>
    <t>Baeza Carratalá, Alejandro</t>
  </si>
  <si>
    <t>Foubelo García, Francisco</t>
  </si>
  <si>
    <t>Alonso Valdés, Francisco</t>
  </si>
  <si>
    <t>Pago regalías 2024 por transferencia de tecnología  -  Ref. contrato de licencia: MEDALCHEMY(EBT)1-12O  (Regalías 70.134,27 - 3.000 Reducción por contratación egresados UA)</t>
  </si>
  <si>
    <t>MES DE ENERO. OPTIMIZACIÓN DE PROCESOS SINTÉTICOS DE MOLÉCULAS ORGÁNICAS DE INTERÉS COMERCIAL. INVESTIGADOR RESPONSABLE DR. FRANCISCO FOUBELO GARCÍA.  REFERENCIA TAKASAGO2-24ID</t>
  </si>
  <si>
    <t xml:space="preserve">MES DE FEBRERO. OPTIMIZACIÓN DE PROCESOS SINTÉTICOS DE MOLÉCULAS ORGÁNICAS DE INTERÉS COMERCIAL. INVESTIGADOR RESPONSABLE DR. FRANCISCO FOUBELO GARCÍA. </t>
  </si>
  <si>
    <t xml:space="preserve">MES DE MARZO. OPTIMIZACIÓN DE PROCESOS SINTÉTICOS DE MOLÉCULAS ORGÁNICAS DE INTERÉS COMERCIAL INVESTIGADOR RESPONSABLE DR. FRANCISCO FOUBELO GARCÍA. </t>
  </si>
  <si>
    <t xml:space="preserve">MES DE ABRIL. OPTIMIZACIÓN DE PROCESOS SINTÉTICOS DE MOLÉCULAS ORGÁNICAS DE INTERÉS COMERCIAL. INVESTIGADOR RESPONSABLE DR. FRANCISCO FOUBELO GARCÍA. </t>
  </si>
  <si>
    <t>MES DE MAYO. OPTIMIZACIÓN DE PROCESOS SINTÉTICOS DE MOLÉCULAS ORGÁNICAS DE INTERÉS COMERCIAL INVESTIGADOR RESPONSABLE DR. FRANCISCO FOUBELO GARCÍA. REFERENCIA TAKASAGO2-24ID</t>
  </si>
  <si>
    <t>MES DE JUNIO. OPTIMIZACIÓN DE PROCESOS SINTÉTICOS DE MOLÉCULAS ORGÁNICAS DE INTERÉS COMERCIAL. INVESTIGADOR RESPONSABLE DR. FRANCISCO FOUBELO GARCÍA. REFERENCIA TAKASAGO2-24ID</t>
  </si>
  <si>
    <t xml:space="preserve">MES DE JULIO. OPTIMIZACIÓN DE PROCESOS SINTÉTICOS DE MOLÉCULAS ORGÁNICAS DE INTERÉS COMERCIAL INVESTIGADOR RESPONSABLE DR. FRANCISCO FOUBELO GARCÍA. </t>
  </si>
  <si>
    <t>MES DE AGOSTO. OPTIMIZACIÓN DE PROCESOS SINTÉTICOS DE MOLÉCULAS ORGÁNICAS DE INTERÉS COMERCIAL INVESTIGADOR RESPONSABLE DR. FRANCISCO FOUBELO GARCÍA.</t>
  </si>
  <si>
    <t xml:space="preserve">MES DE SEPTIEMBRE. OPTIMIZACIÓN DE PROCESOS SINTÉTICOS DE MOLÉCULAS ORGÁNICAS DE INTERÉS COMERCIAL. INVESTIGADOR RESPONSABLE DR. FRANCISCO FOUBELO GARCÍA. </t>
  </si>
  <si>
    <t>MES DE OCTUBRE. OPTIMIZACIÓN DE PROCESOS SINTÉTICOS DE MOLÉCULAS ORGÁNICAS DE INTERÉS COMERCIAL. INVESTIGADOR RESPONSABLE DR. FRANCISCO FOUBELO GARCÍA. REF. TAKASAGO2-24ID</t>
  </si>
  <si>
    <t xml:space="preserve">MES DE NOVIEMBRE. OPTIMIZACIÓN DE PROCESOS SINTÉTICOS DE MOLÉCULAS ORGÁNICAS DE INTERÉS COMERCIAL. INVESTIGADOR RESPONSABLE DR. FRANCISCO FOUBELO GARCÍA. </t>
  </si>
  <si>
    <t xml:space="preserve">MES DE DICIEMBRE. OPTIMIZACIÓN DE PROCESOS SINTÉTICOS DE MOLÉCULAS ORGÁNICAS DE INTERÉS COMERCIAL INVESTIGADOR RESPONSABLE DR. FRANCISCO FOUBELO GARCÍA. </t>
  </si>
  <si>
    <t>ACIE9-24TPA, Número de pedido: 62490000824. El objeto del presente Contrato es la realización por parte del Exp-4D del servicio de evaluación como tal del proyecto DESARROLLO DE NUEVAS RESINAS ALIMENTARIAS NATURALES CON PROPIEDADES ORGANOLEPTICAS Y FARMACOLOGICAS con código ACIE de Expediente 4558.001.24, con código UNESCO 2306 y para una certificación de tipo Certificado de seguimiento según el Real Decreto 1432/2003, de 21 de noviembre y/o la Norma UNE 166001:2006</t>
  </si>
  <si>
    <t>ACIE11-24TPA EXP.2818.013.24 Número de pedido: 62490000573. El objeto del presente Contrato es la realización por parte del Esp-CC del servicio de toma de decisión sobre la certificación de la actividad  INVESTIGACION Y DESARROLLO DE NUEVAS VIAS DE SINTESIS EN BASE PROTEINA DE TRIGO HIDROLIZADA de la empresa CRODA IBERICA, S.A. con código ACIE de Expediente 2818.013.24. con código UNESCO 2306 y para una certificación de tipo Certificado de seguimiento según el Real Decreto 1432/2003, de 21 de noviembre y/o la Norma UNE 166001: 2006</t>
  </si>
  <si>
    <t>ACIE12-24TPA, Número de pedido: 62490000573. El objeto del presente Contrato es la evaluación del proyecto INVESTIGACION PARA OBTENCION DE ALQUILBENCENO LINEAL CON SISTEMA CATALITICO ULTRAESTABLE de la empresa CEPSA. con código ACIE de Expediente 1292.019.24. con código UNESCO 2306 y para una certificación de tipo Certificado de seguimiento según el Real Decreto 1432/2003, de 21 de noviembre y/o la Norma UNE 166001: 2006  ACIE12-24TPA EXP.1292.019.24</t>
  </si>
  <si>
    <t xml:space="preserve">ACIE13-24TPA EXP.4558.001.24 Número de pedido: 62490000573. El objeto del presente Contrato es la realización por parte del Esp-CC del servicio de toma de decisión sobre la certificación de la actividad de I+D+i del personal investigador según lo establecido en el Real Decreto 475/2014, de 13 de junio, sobre bonificaciones en la cotización a la Seguridad Social del personal investigador involucrado en el proyecto con código ACIE de Expediente 4558.001.24 de la empresa LURESA RESINAS, S.L. con código UNESCO 2306 y para una certificación de tipo Certificado de seguimiento según el Real Decreto 1432/2003, de 21 de noviembre y/o la Norma UNE 166001: 2006 </t>
  </si>
  <si>
    <t xml:space="preserve">ORDEN DE PEDIDO  62490000824 El objeto del presente Contrato es la realización por parte del Esp- C del servicio de toma de decisión sobre la certificación de la actividad de I+D+i del personal investigador según lo establecido en el Real Decreto 475/2014, de 13 de junio, sobre bonificaciones en la cotización a la Seguridad Social del personal investigador involucrado en el proyecto DESARROLLO DE NUEVA GENERACION DE CAUCHOS BASADOS EN DIENOS Y ESTIRENO PARA UNA INDUSTRIA SOSTENIBLE con código ACIE de Expediente 878.167.24 de la empresa DYNASOL ELASTÓMEROS, S.A. </t>
  </si>
  <si>
    <t>El objeto del presente Contrato es la realización por parte del Esp- C del servicio de toma de decisión sobre la certificación de la actividad de I+D+i del personal investigador según lo establecido en el Real Decreto 475/2014, de 13 de junio, sobre bonificaciones en la cotización a la Seguridad Social del personal investigador involucrado en el proyecto Contrato es la realización por parte del Exp. T. del servicio de evaluación del proyecto INVESTIGACION Y DESARROLLO DE NUEVAS VIAS DE SINTESIS EN BASE PROTEINA DE TRIGO HIDROLIZADA de la empresa CRODA IBERICA, S.A. con código ACIE de Expediente 2818.013.24d. PO 62490001170</t>
  </si>
  <si>
    <t>El objeto del presente Contrato es la realización por parte del Esp-CC del servicio de toma de decisión sobre la certificación de la actividad de I+D+i del personal investigador según lo establecido en el Real Decreto 475/2014, de 13 de junio, sobre bonificaciones en la cotización a la Seguridad Social del personal investigador involucrado en el proyecto Contrato es la realización por parte del Exp. T. del servicio de evaluación del proyecto ESTUDIO DE NUEVAS VIAS DE SINTESIS PARA LA OBTENCION DE INDIGOS DE CARACTERISTICAS AVANZADAS de la empresa ARCHROMA IBERICA, S.L. con código ACIE de Expediente 2567.025.25. PO 62490001170</t>
  </si>
  <si>
    <t>NÚMERO DE PEDIDO 62490001170. El objeto del presente Contrato es la realización por parte del Esp-CC del servicio de toma de decisión sobre la certificación de la actividad de I+D+i del personal investigador según lo establecido en el Real Decreto 475/2014, de 13 de junio, sobre bonificaciones en la cotización a la Seguridad Social del personal investigador involucrado en el proyecto DESARROLLO DE NUEVA GENERACION DE CAUCHOS BASADOS EN DIENOS Y ESTIRENO PARA UNA INDUSTRIA SOSTENIBLE con código ACIE de Expediente 878.167.25 de la empresa DYNASOL ELASTÓMEROS, S.A.</t>
  </si>
  <si>
    <t>34.00.6C.00.61</t>
  </si>
  <si>
    <t>EVALUACIÓN DEL PROYECTO PAINTENDER-6000879-2023-363. ORDEN DE PEDIDO 9600369953</t>
  </si>
  <si>
    <t>34.00.6C.00.62</t>
  </si>
  <si>
    <t>EVALUACIÓN DE CONTENIDO Y EJECUCIÓN POR PARTE DEL EXPERTO TÉCNICO DEL PROYECTO 948.778 -948.777</t>
  </si>
  <si>
    <t>34.00.6C.00.63</t>
  </si>
  <si>
    <t>ASESORAMIENTO CIENTÍFICO Y TÉCNICO EN LA PREPARACIÓN, DESARROLLO Y ESCALADO DE SUSTANCIAS DE ELEVADO POTENCIAL BIOLÓGICO. MEDALCHEMY1-25T, IP: José Miguel Sansano Gil</t>
  </si>
  <si>
    <t>34.00.6C.00.64</t>
  </si>
  <si>
    <t>Evaluación de Contenido y Ejecución con exante previo del ejercicio 2024 del proyecto 956.898 -956.895 - de la empresa MORCHEM S.A, JOTUSA 2000 SL, titulado "Soluciones sostenibles y seguras de origen natural para adhesivos hot melt reactive de poliuretano", actuando como Experto Técnico.</t>
  </si>
  <si>
    <t>CIAPOT/2022/11/13</t>
  </si>
  <si>
    <t>CIAPOT/2023/002/029</t>
  </si>
  <si>
    <t>34.00.6H.00.07</t>
  </si>
  <si>
    <t>CIAPOT/2024/27. CIAPOT/2024/36 (APOTI/2025)</t>
  </si>
  <si>
    <t>Total ingresos de investigación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</si>
</sst>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19"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0"/>
      <color theme="1"/>
      <name val="Arial"/>
      <family val="2"/>
    </font>
    <font>
      <sz val="11"/>
      <color theme="1"/>
      <name val="Calibri"/>
      <family val="2"/>
      <scheme val="minor"/>
    </font>
    <font>
      <b/>
      <sz val="10"/>
      <color theme="0"/>
      <name val="Arial"/>
      <family val="2"/>
    </font>
    <font>
      <b/>
      <sz val="11"/>
      <color theme="0"/>
      <name val="Calibri"/>
      <family val="2"/>
      <scheme val="minor"/>
    </font>
    <font>
      <b/>
      <sz val="11"/>
      <color theme="1"/>
      <name val="Calibri"/>
      <family val="2"/>
      <scheme val="minor"/>
    </font>
    <font>
      <b/>
      <sz val="10"/>
      <color theme="0"/>
      <name val="Arial"/>
    </font>
    <font>
      <sz val="10"/>
      <color theme="1"/>
      <name val="Arial"/>
    </font>
    <font>
      <b/>
      <sz val="10"/>
      <color theme="1"/>
      <name val="Arial"/>
    </font>
  </fonts>
  <fills count="11">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4"/>
        <bgColor theme="4"/>
      </patternFill>
    </fill>
    <fill>
      <patternFill patternType="solid">
        <fgColor theme="4" tint="0.79998168889431442"/>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2" fillId="0" borderId="0" applyFont="0" applyFill="0" applyBorder="0" applyAlignment="0" applyProtection="0"/>
  </cellStyleXfs>
  <cellXfs count="68">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0" fillId="0" borderId="1" xfId="0" applyBorder="1"/>
    <xf numFmtId="0" fontId="2" fillId="4" borderId="1" xfId="1" applyFill="1" applyBorder="1"/>
    <xf numFmtId="0" fontId="2" fillId="4" borderId="1" xfId="1" applyFill="1" applyBorder="1" applyAlignment="1">
      <alignment horizontal="right"/>
    </xf>
    <xf numFmtId="0" fontId="2" fillId="4" borderId="2" xfId="1" applyFill="1" applyBorder="1"/>
    <xf numFmtId="0" fontId="2" fillId="4" borderId="2" xfId="1" applyFill="1" applyBorder="1" applyAlignment="1">
      <alignment horizontal="right"/>
    </xf>
    <xf numFmtId="1" fontId="2" fillId="4" borderId="2" xfId="1" applyNumberFormat="1" applyFill="1" applyBorder="1"/>
    <xf numFmtId="165" fontId="2" fillId="4" borderId="2" xfId="1" applyNumberFormat="1" applyFill="1" applyBorder="1"/>
    <xf numFmtId="0" fontId="2" fillId="0" borderId="1" xfId="1" applyBorder="1"/>
    <xf numFmtId="0" fontId="2" fillId="4" borderId="3" xfId="1" applyFill="1" applyBorder="1"/>
    <xf numFmtId="0" fontId="10" fillId="6" borderId="1" xfId="0" applyFont="1" applyFill="1" applyBorder="1" applyAlignment="1">
      <alignment horizontal="left" vertical="center"/>
    </xf>
    <xf numFmtId="0" fontId="10" fillId="6" borderId="4" xfId="0" applyFont="1" applyFill="1" applyBorder="1" applyAlignment="1">
      <alignment horizontal="left" vertical="center"/>
    </xf>
    <xf numFmtId="0" fontId="10" fillId="6" borderId="5" xfId="0" applyFont="1" applyFill="1" applyBorder="1" applyAlignment="1">
      <alignment horizontal="left" vertical="center"/>
    </xf>
    <xf numFmtId="0" fontId="10" fillId="6" borderId="6" xfId="0" applyFont="1" applyFill="1" applyBorder="1" applyAlignment="1">
      <alignment horizontal="left" vertical="center"/>
    </xf>
    <xf numFmtId="166" fontId="2" fillId="4" borderId="2" xfId="1" applyNumberFormat="1" applyFill="1" applyBorder="1"/>
    <xf numFmtId="0" fontId="2" fillId="0" borderId="1" xfId="0" applyFont="1" applyBorder="1"/>
    <xf numFmtId="0" fontId="2" fillId="2" borderId="0" xfId="1" applyFill="1"/>
    <xf numFmtId="0" fontId="2" fillId="2" borderId="0" xfId="1" applyFill="1" applyAlignment="1">
      <alignment horizontal="right"/>
    </xf>
    <xf numFmtId="0" fontId="11" fillId="2" borderId="0" xfId="5" applyFont="1" applyFill="1"/>
    <xf numFmtId="43" fontId="6" fillId="8" borderId="7" xfId="6" applyNumberFormat="1" applyFont="1" applyFill="1" applyBorder="1"/>
    <xf numFmtId="43" fontId="6" fillId="0" borderId="7" xfId="6" applyNumberFormat="1" applyFont="1" applyBorder="1"/>
    <xf numFmtId="0" fontId="9" fillId="8" borderId="7" xfId="0" applyFont="1" applyFill="1" applyBorder="1"/>
    <xf numFmtId="0" fontId="9" fillId="0" borderId="7" xfId="0" applyFont="1" applyBorder="1"/>
    <xf numFmtId="43" fontId="0" fillId="0" borderId="0" xfId="0" applyNumberFormat="1"/>
    <xf numFmtId="165" fontId="3" fillId="2" borderId="0" xfId="1" applyNumberFormat="1" applyFont="1" applyFill="1"/>
    <xf numFmtId="43" fontId="6" fillId="0" borderId="9" xfId="6" applyNumberFormat="1" applyFont="1" applyBorder="1"/>
    <xf numFmtId="0" fontId="9" fillId="0" borderId="9" xfId="0" applyFont="1" applyBorder="1"/>
    <xf numFmtId="43" fontId="6" fillId="0" borderId="9" xfId="0" applyNumberFormat="1" applyFont="1" applyBorder="1"/>
    <xf numFmtId="0" fontId="13" fillId="7" borderId="8" xfId="0" applyFont="1" applyFill="1" applyBorder="1"/>
    <xf numFmtId="0" fontId="0" fillId="8" borderId="7" xfId="0" applyNumberFormat="1" applyFont="1" applyFill="1" applyBorder="1"/>
    <xf numFmtId="43" fontId="0" fillId="8" borderId="7" xfId="6" applyNumberFormat="1" applyFont="1" applyFill="1" applyBorder="1"/>
    <xf numFmtId="0" fontId="0" fillId="0" borderId="7" xfId="0" applyNumberFormat="1" applyFont="1" applyBorder="1"/>
    <xf numFmtId="43" fontId="0" fillId="0" borderId="7" xfId="6" applyNumberFormat="1" applyFont="1" applyBorder="1"/>
    <xf numFmtId="0" fontId="14" fillId="7" borderId="8" xfId="0" applyFont="1" applyFill="1" applyBorder="1"/>
    <xf numFmtId="43" fontId="14" fillId="7" borderId="8" xfId="6" applyNumberFormat="1" applyFont="1" applyFill="1" applyBorder="1"/>
    <xf numFmtId="0" fontId="0" fillId="0" borderId="9" xfId="0" applyNumberFormat="1" applyFont="1" applyBorder="1"/>
    <xf numFmtId="43" fontId="0" fillId="0" borderId="9" xfId="6" applyNumberFormat="1" applyFont="1" applyBorder="1"/>
    <xf numFmtId="0" fontId="0" fillId="0" borderId="9" xfId="0" applyFont="1" applyBorder="1"/>
    <xf numFmtId="43" fontId="12" fillId="0" borderId="9" xfId="0" applyNumberFormat="1" applyFont="1" applyBorder="1"/>
    <xf numFmtId="0" fontId="15" fillId="0" borderId="1" xfId="0" applyFont="1" applyBorder="1"/>
    <xf numFmtId="164" fontId="15" fillId="0" borderId="1" xfId="6" applyFont="1" applyBorder="1"/>
    <xf numFmtId="0" fontId="16" fillId="9" borderId="10" xfId="0" applyFont="1" applyFill="1" applyBorder="1"/>
    <xf numFmtId="0" fontId="16" fillId="9" borderId="11" xfId="0" applyFont="1" applyFill="1" applyBorder="1"/>
    <xf numFmtId="0" fontId="17" fillId="10" borderId="10" xfId="0" applyFont="1" applyFill="1" applyBorder="1"/>
    <xf numFmtId="0" fontId="17" fillId="10" borderId="11" xfId="0" applyFont="1" applyFill="1" applyBorder="1"/>
    <xf numFmtId="164" fontId="17" fillId="10" borderId="11" xfId="6" applyFont="1" applyFill="1" applyBorder="1"/>
    <xf numFmtId="0" fontId="17" fillId="0" borderId="10" xfId="0" applyFont="1" applyBorder="1"/>
    <xf numFmtId="0" fontId="17" fillId="0" borderId="11" xfId="0" applyFont="1" applyBorder="1"/>
    <xf numFmtId="164" fontId="17" fillId="0" borderId="11" xfId="6" applyFont="1" applyBorder="1"/>
    <xf numFmtId="0" fontId="18" fillId="0" borderId="12" xfId="0" applyFont="1" applyBorder="1"/>
    <xf numFmtId="0" fontId="18" fillId="0" borderId="13" xfId="0" applyFont="1" applyBorder="1"/>
    <xf numFmtId="164" fontId="18" fillId="0" borderId="13" xfId="6" applyFont="1" applyBorder="1"/>
    <xf numFmtId="165" fontId="11" fillId="2" borderId="0" xfId="5" applyNumberFormat="1" applyFont="1" applyFill="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6000000}"/>
  </cellStyles>
  <dxfs count="19">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0"/>
        <color auto="1"/>
        <name val="Arial"/>
        <family val="2"/>
        <scheme val="none"/>
      </font>
      <border diagonalUp="0" diagonalDown="0" outline="0">
        <left/>
        <right/>
        <top/>
        <bottom/>
      </border>
    </dxf>
    <dxf>
      <font>
        <b val="0"/>
        <i val="0"/>
        <strike val="0"/>
        <condense val="0"/>
        <extend val="0"/>
        <outline val="0"/>
        <shadow val="0"/>
        <u val="none"/>
        <vertAlign val="baseline"/>
        <sz val="10"/>
        <color auto="1"/>
        <name val="Arial"/>
        <family val="2"/>
        <scheme val="none"/>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13ED49-EB92-4CBE-A79C-72B9EBED4AB5}" name="Tabla2" displayName="Tabla2" ref="A1:C38" totalsRowCount="1" headerRowDxfId="18" headerRowBorderDxfId="17" tableBorderDxfId="16" totalsRowBorderDxfId="15">
  <autoFilter ref="A1:C37" xr:uid="{87163833-E1AF-4F91-90E8-DE01B778BFF2}"/>
  <tableColumns count="3">
    <tableColumn id="1" xr3:uid="{865C74A0-EA4B-42E8-A344-432CD004F74D}" name="Cód. org. aplic." totalsRowLabel="Total" dataDxfId="14" totalsRowDxfId="13"/>
    <tableColumn id="2" xr3:uid="{BDFCAF84-3803-4BCE-BAF5-D70830B50326}" name="Descripción justificante" dataDxfId="12" totalsRowDxfId="11"/>
    <tableColumn id="3" xr3:uid="{60F656A3-3E7F-41F9-9D87-6220404BA175}" name="Imp.cob.aplic." totalsRowFunction="sum" dataDxfId="10" totalsRowDxfId="9"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176669-2674-4DA0-BF52-02B2F8085529}" name="Tabla3" displayName="Tabla3" ref="A1:C26" totalsRowCount="1" headerRowBorderDxfId="8" tableBorderDxfId="7" totalsRowBorderDxfId="6">
  <autoFilter ref="A1:C25" xr:uid="{A4035918-2103-4579-895E-5595FB603925}"/>
  <tableColumns count="3">
    <tableColumn id="1" xr3:uid="{B074FA81-11BD-4CA6-BC0C-B10D6F44A2A5}" name="Org. aplic." totalsRowLabel="Total" dataDxfId="5" totalsRowDxfId="4"/>
    <tableColumn id="2" xr3:uid="{7290B74A-C613-477A-B3CC-FD1CBD6D3B29}" name="Descripción justificante" dataDxfId="3" totalsRowDxfId="2"/>
    <tableColumn id="3" xr3:uid="{D92CFE4D-3B52-4AC5-B85A-379F986A7A70}"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35"/>
  <sheetViews>
    <sheetView showGridLines="0" tabSelected="1" zoomScale="106" zoomScaleNormal="106" workbookViewId="0">
      <pane xSplit="1" ySplit="1" topLeftCell="B2" activePane="bottomRight" state="frozen"/>
      <selection pane="topRight" activeCell="B1" sqref="B1"/>
      <selection pane="bottomLeft" activeCell="A2" sqref="A2"/>
      <selection pane="bottomRight" activeCell="L40" sqref="L40"/>
    </sheetView>
  </sheetViews>
  <sheetFormatPr baseColWidth="10" defaultColWidth="10.28515625" defaultRowHeight="11.25" x14ac:dyDescent="0.2"/>
  <cols>
    <col min="1" max="1" width="5" style="6" customWidth="1"/>
    <col min="2" max="4" width="29.7109375" style="6" customWidth="1"/>
    <col min="5" max="5" width="40.7109375" style="6" customWidth="1"/>
    <col min="6" max="6" width="9.140625" style="6" customWidth="1"/>
    <col min="7" max="7" width="9.7109375" style="6" customWidth="1"/>
    <col min="8" max="8" width="14.42578125" style="6" customWidth="1"/>
    <col min="9" max="9" width="5.85546875" style="6" customWidth="1"/>
    <col min="10" max="10" width="25.7109375" style="6" customWidth="1"/>
    <col min="11" max="12" width="5.140625" style="6" customWidth="1"/>
    <col min="13" max="13" width="4.42578125" style="6" customWidth="1"/>
    <col min="14" max="14" width="4.85546875" style="6" customWidth="1"/>
    <col min="15" max="15" width="4.85546875" style="7" customWidth="1"/>
    <col min="16" max="16" width="4.85546875" style="6" customWidth="1"/>
    <col min="17" max="17" width="3.5703125" style="7" customWidth="1"/>
    <col min="18" max="18" width="3.5703125" style="6" customWidth="1"/>
    <col min="19" max="21" width="5.140625" style="6" customWidth="1"/>
    <col min="22" max="16384" width="10.28515625" style="6"/>
  </cols>
  <sheetData>
    <row r="1" spans="1:21" ht="45" x14ac:dyDescent="0.2">
      <c r="A1" s="1" t="s">
        <v>2</v>
      </c>
      <c r="B1" s="2" t="s">
        <v>3</v>
      </c>
      <c r="C1" s="2" t="s">
        <v>4</v>
      </c>
      <c r="D1" s="2" t="s">
        <v>5</v>
      </c>
      <c r="E1" s="2" t="s">
        <v>6</v>
      </c>
      <c r="F1" s="2" t="s">
        <v>7</v>
      </c>
      <c r="G1" s="2" t="s">
        <v>8</v>
      </c>
      <c r="H1" s="2" t="s">
        <v>9</v>
      </c>
      <c r="I1" s="1" t="s">
        <v>10</v>
      </c>
      <c r="J1" s="2" t="s">
        <v>11</v>
      </c>
      <c r="K1" s="1" t="s">
        <v>12</v>
      </c>
      <c r="L1" s="2" t="s">
        <v>13</v>
      </c>
      <c r="M1" s="3" t="s">
        <v>14</v>
      </c>
      <c r="N1" s="4" t="s">
        <v>15</v>
      </c>
      <c r="O1" s="5" t="s">
        <v>16</v>
      </c>
      <c r="P1" s="4" t="s">
        <v>17</v>
      </c>
      <c r="Q1" s="5" t="s">
        <v>18</v>
      </c>
      <c r="R1" s="4" t="s">
        <v>19</v>
      </c>
      <c r="S1" s="4" t="s">
        <v>20</v>
      </c>
      <c r="T1" s="4" t="s">
        <v>21</v>
      </c>
      <c r="U1" s="4" t="s">
        <v>22</v>
      </c>
    </row>
    <row r="2" spans="1:21" x14ac:dyDescent="0.2">
      <c r="A2" s="19" t="s">
        <v>30</v>
      </c>
      <c r="B2" s="19" t="s">
        <v>31</v>
      </c>
      <c r="C2" s="19" t="s">
        <v>32</v>
      </c>
      <c r="D2" s="19" t="s">
        <v>74</v>
      </c>
      <c r="E2" s="19" t="s">
        <v>73</v>
      </c>
      <c r="F2" s="19" t="s">
        <v>72</v>
      </c>
      <c r="G2" s="19" t="s">
        <v>42</v>
      </c>
      <c r="H2" s="19" t="s">
        <v>23</v>
      </c>
      <c r="I2" s="19" t="s">
        <v>34</v>
      </c>
      <c r="J2" s="19" t="s">
        <v>35</v>
      </c>
      <c r="K2" s="29">
        <v>0.5</v>
      </c>
      <c r="L2" s="19" t="s">
        <v>36</v>
      </c>
      <c r="M2" s="19">
        <v>2019</v>
      </c>
      <c r="N2" s="19" t="s">
        <v>37</v>
      </c>
      <c r="O2" s="20" t="s">
        <v>28</v>
      </c>
      <c r="P2" s="19" t="s">
        <v>25</v>
      </c>
      <c r="Q2" s="20" t="s">
        <v>25</v>
      </c>
      <c r="R2" s="21">
        <v>20</v>
      </c>
      <c r="S2" s="22">
        <v>0.1</v>
      </c>
      <c r="T2" s="22">
        <v>0.4</v>
      </c>
      <c r="U2" s="22">
        <v>0</v>
      </c>
    </row>
    <row r="3" spans="1:21" x14ac:dyDescent="0.2">
      <c r="A3" s="19" t="s">
        <v>30</v>
      </c>
      <c r="B3" s="19" t="s">
        <v>31</v>
      </c>
      <c r="C3" s="19" t="s">
        <v>32</v>
      </c>
      <c r="D3" s="19" t="s">
        <v>83</v>
      </c>
      <c r="E3" s="19" t="s">
        <v>82</v>
      </c>
      <c r="F3" s="19" t="s">
        <v>81</v>
      </c>
      <c r="G3" s="19" t="s">
        <v>43</v>
      </c>
      <c r="H3" s="19" t="s">
        <v>26</v>
      </c>
      <c r="I3" s="19" t="s">
        <v>34</v>
      </c>
      <c r="J3" s="19" t="s">
        <v>35</v>
      </c>
      <c r="K3" s="29">
        <v>1</v>
      </c>
      <c r="L3" s="19" t="s">
        <v>36</v>
      </c>
      <c r="M3" s="19">
        <v>2019</v>
      </c>
      <c r="N3" s="19" t="s">
        <v>37</v>
      </c>
      <c r="O3" s="20" t="s">
        <v>24</v>
      </c>
      <c r="P3" s="19" t="s">
        <v>25</v>
      </c>
      <c r="Q3" s="20" t="s">
        <v>25</v>
      </c>
      <c r="R3" s="21">
        <v>50</v>
      </c>
      <c r="S3" s="22">
        <v>0.5</v>
      </c>
      <c r="T3" s="22">
        <v>0.5</v>
      </c>
      <c r="U3" s="22">
        <v>0</v>
      </c>
    </row>
    <row r="4" spans="1:21" x14ac:dyDescent="0.2">
      <c r="A4" s="19" t="s">
        <v>30</v>
      </c>
      <c r="B4" s="19" t="s">
        <v>31</v>
      </c>
      <c r="C4" s="19" t="s">
        <v>32</v>
      </c>
      <c r="D4" s="19" t="s">
        <v>77</v>
      </c>
      <c r="E4" s="19" t="s">
        <v>76</v>
      </c>
      <c r="F4" s="19" t="s">
        <v>75</v>
      </c>
      <c r="G4" s="19" t="s">
        <v>42</v>
      </c>
      <c r="H4" s="19" t="s">
        <v>26</v>
      </c>
      <c r="I4" s="19" t="s">
        <v>34</v>
      </c>
      <c r="J4" s="19" t="s">
        <v>35</v>
      </c>
      <c r="K4" s="29">
        <v>1</v>
      </c>
      <c r="L4" s="19" t="s">
        <v>36</v>
      </c>
      <c r="M4" s="19">
        <v>2019</v>
      </c>
      <c r="N4" s="19" t="s">
        <v>37</v>
      </c>
      <c r="O4" s="20" t="s">
        <v>28</v>
      </c>
      <c r="P4" s="19" t="s">
        <v>25</v>
      </c>
      <c r="Q4" s="20" t="s">
        <v>25</v>
      </c>
      <c r="R4" s="21">
        <v>20</v>
      </c>
      <c r="S4" s="22">
        <v>0.2</v>
      </c>
      <c r="T4" s="22">
        <v>0.8</v>
      </c>
      <c r="U4" s="22">
        <v>0</v>
      </c>
    </row>
    <row r="5" spans="1:21" x14ac:dyDescent="0.2">
      <c r="A5" s="19" t="s">
        <v>30</v>
      </c>
      <c r="B5" s="19" t="s">
        <v>31</v>
      </c>
      <c r="C5" s="19" t="s">
        <v>32</v>
      </c>
      <c r="D5" s="19" t="s">
        <v>80</v>
      </c>
      <c r="E5" s="19" t="s">
        <v>79</v>
      </c>
      <c r="F5" s="19" t="s">
        <v>78</v>
      </c>
      <c r="G5" s="19" t="s">
        <v>39</v>
      </c>
      <c r="H5" s="19" t="s">
        <v>26</v>
      </c>
      <c r="I5" s="19" t="s">
        <v>34</v>
      </c>
      <c r="J5" s="19" t="s">
        <v>35</v>
      </c>
      <c r="K5" s="29">
        <v>1</v>
      </c>
      <c r="L5" s="19" t="s">
        <v>36</v>
      </c>
      <c r="M5" s="19">
        <v>2019</v>
      </c>
      <c r="N5" s="19" t="s">
        <v>37</v>
      </c>
      <c r="O5" s="20" t="s">
        <v>28</v>
      </c>
      <c r="P5" s="19" t="s">
        <v>25</v>
      </c>
      <c r="Q5" s="20" t="s">
        <v>25</v>
      </c>
      <c r="R5" s="21">
        <v>20</v>
      </c>
      <c r="S5" s="22">
        <v>0.2</v>
      </c>
      <c r="T5" s="22">
        <v>0.8</v>
      </c>
      <c r="U5" s="22">
        <v>0</v>
      </c>
    </row>
    <row r="6" spans="1:21" ht="12" thickBot="1" x14ac:dyDescent="0.25">
      <c r="A6" s="17" t="s">
        <v>30</v>
      </c>
      <c r="B6" s="17" t="s">
        <v>31</v>
      </c>
      <c r="C6" s="17" t="s">
        <v>32</v>
      </c>
      <c r="D6" s="17" t="s">
        <v>85</v>
      </c>
      <c r="E6" s="17" t="s">
        <v>86</v>
      </c>
      <c r="F6" s="17" t="s">
        <v>87</v>
      </c>
      <c r="G6" s="17" t="s">
        <v>33</v>
      </c>
      <c r="H6" s="17" t="s">
        <v>26</v>
      </c>
      <c r="I6" s="17" t="s">
        <v>34</v>
      </c>
      <c r="J6" s="17" t="s">
        <v>35</v>
      </c>
      <c r="K6" s="23">
        <v>1</v>
      </c>
      <c r="L6" s="23" t="s">
        <v>36</v>
      </c>
      <c r="M6" s="24">
        <v>2019</v>
      </c>
      <c r="N6" s="17" t="s">
        <v>37</v>
      </c>
      <c r="O6" s="18">
        <v>90</v>
      </c>
      <c r="P6" s="17" t="s">
        <v>25</v>
      </c>
      <c r="Q6" s="18">
        <v>0</v>
      </c>
      <c r="R6" s="17">
        <v>10</v>
      </c>
      <c r="S6" s="17">
        <v>0.1</v>
      </c>
      <c r="T6" s="17">
        <v>0.9</v>
      </c>
      <c r="U6" s="17">
        <v>0</v>
      </c>
    </row>
    <row r="7" spans="1:21" ht="12" thickBot="1" x14ac:dyDescent="0.25">
      <c r="A7" s="25" t="s">
        <v>88</v>
      </c>
      <c r="B7" s="25" t="s">
        <v>89</v>
      </c>
      <c r="C7" s="25" t="s">
        <v>90</v>
      </c>
      <c r="D7" s="25" t="s">
        <v>91</v>
      </c>
      <c r="E7" s="25" t="s">
        <v>92</v>
      </c>
      <c r="F7" s="25" t="s">
        <v>93</v>
      </c>
      <c r="G7" s="26" t="s">
        <v>42</v>
      </c>
      <c r="H7" s="27" t="s">
        <v>23</v>
      </c>
      <c r="I7" s="27" t="s">
        <v>34</v>
      </c>
      <c r="J7" s="28" t="s">
        <v>35</v>
      </c>
      <c r="K7" s="23">
        <v>0.5</v>
      </c>
      <c r="L7" s="23" t="s">
        <v>36</v>
      </c>
      <c r="M7" s="17">
        <v>2020</v>
      </c>
      <c r="N7" s="17" t="s">
        <v>37</v>
      </c>
      <c r="O7" s="18">
        <v>80</v>
      </c>
      <c r="P7" s="17" t="s">
        <v>25</v>
      </c>
      <c r="Q7" s="18">
        <v>0</v>
      </c>
      <c r="R7" s="17">
        <v>20</v>
      </c>
      <c r="S7" s="17">
        <v>0.1</v>
      </c>
      <c r="T7" s="17">
        <v>0.4</v>
      </c>
      <c r="U7" s="17">
        <v>0</v>
      </c>
    </row>
    <row r="8" spans="1:21" ht="12" thickBot="1" x14ac:dyDescent="0.25">
      <c r="A8" s="25" t="s">
        <v>30</v>
      </c>
      <c r="B8" s="25" t="s">
        <v>31</v>
      </c>
      <c r="C8" s="25" t="s">
        <v>32</v>
      </c>
      <c r="D8" s="25" t="s">
        <v>94</v>
      </c>
      <c r="E8" s="25" t="s">
        <v>95</v>
      </c>
      <c r="F8" s="25" t="s">
        <v>96</v>
      </c>
      <c r="G8" s="26" t="s">
        <v>42</v>
      </c>
      <c r="H8" s="27" t="s">
        <v>23</v>
      </c>
      <c r="I8" s="27" t="s">
        <v>34</v>
      </c>
      <c r="J8" s="28" t="s">
        <v>35</v>
      </c>
      <c r="K8" s="23">
        <v>0.5</v>
      </c>
      <c r="L8" s="23" t="s">
        <v>36</v>
      </c>
      <c r="M8" s="17">
        <v>2020</v>
      </c>
      <c r="N8" s="17" t="s">
        <v>37</v>
      </c>
      <c r="O8" s="18">
        <v>80</v>
      </c>
      <c r="P8" s="17" t="s">
        <v>25</v>
      </c>
      <c r="Q8" s="18">
        <v>0</v>
      </c>
      <c r="R8" s="17">
        <v>20</v>
      </c>
      <c r="S8" s="17">
        <v>0.1</v>
      </c>
      <c r="T8" s="17">
        <v>0.4</v>
      </c>
      <c r="U8" s="17">
        <v>0</v>
      </c>
    </row>
    <row r="9" spans="1:21" ht="12" thickBot="1" x14ac:dyDescent="0.25">
      <c r="A9" s="25" t="s">
        <v>30</v>
      </c>
      <c r="B9" s="25" t="s">
        <v>31</v>
      </c>
      <c r="C9" s="25" t="s">
        <v>32</v>
      </c>
      <c r="D9" s="25" t="s">
        <v>97</v>
      </c>
      <c r="E9" s="25" t="s">
        <v>98</v>
      </c>
      <c r="F9" s="25" t="s">
        <v>99</v>
      </c>
      <c r="G9" s="26" t="s">
        <v>41</v>
      </c>
      <c r="H9" s="27" t="s">
        <v>26</v>
      </c>
      <c r="I9" s="27" t="s">
        <v>34</v>
      </c>
      <c r="J9" s="28" t="s">
        <v>35</v>
      </c>
      <c r="K9" s="23">
        <v>1</v>
      </c>
      <c r="L9" s="23" t="s">
        <v>36</v>
      </c>
      <c r="M9" s="17">
        <v>2020</v>
      </c>
      <c r="N9" s="17" t="s">
        <v>37</v>
      </c>
      <c r="O9" s="18">
        <v>60</v>
      </c>
      <c r="P9" s="17" t="s">
        <v>25</v>
      </c>
      <c r="Q9" s="18">
        <v>0</v>
      </c>
      <c r="R9" s="17">
        <v>40</v>
      </c>
      <c r="S9" s="17">
        <v>0.4</v>
      </c>
      <c r="T9" s="17">
        <v>0.6</v>
      </c>
      <c r="U9" s="17">
        <v>0</v>
      </c>
    </row>
    <row r="10" spans="1:21" ht="12" thickBot="1" x14ac:dyDescent="0.25">
      <c r="A10" s="25" t="s">
        <v>30</v>
      </c>
      <c r="B10" s="25" t="s">
        <v>31</v>
      </c>
      <c r="C10" s="25" t="s">
        <v>32</v>
      </c>
      <c r="D10" s="25" t="s">
        <v>100</v>
      </c>
      <c r="E10" s="25" t="s">
        <v>101</v>
      </c>
      <c r="F10" s="25" t="s">
        <v>102</v>
      </c>
      <c r="G10" s="26" t="s">
        <v>42</v>
      </c>
      <c r="H10" s="27" t="s">
        <v>23</v>
      </c>
      <c r="I10" s="27" t="s">
        <v>34</v>
      </c>
      <c r="J10" s="28" t="s">
        <v>35</v>
      </c>
      <c r="K10" s="23">
        <v>0.5</v>
      </c>
      <c r="L10" s="23" t="s">
        <v>36</v>
      </c>
      <c r="M10" s="17">
        <v>2020</v>
      </c>
      <c r="N10" s="17" t="s">
        <v>37</v>
      </c>
      <c r="O10" s="18">
        <v>80</v>
      </c>
      <c r="P10" s="17" t="s">
        <v>25</v>
      </c>
      <c r="Q10" s="18">
        <v>0</v>
      </c>
      <c r="R10" s="17">
        <v>20</v>
      </c>
      <c r="S10" s="17">
        <v>0.1</v>
      </c>
      <c r="T10" s="17">
        <v>0.4</v>
      </c>
      <c r="U10" s="17">
        <v>0</v>
      </c>
    </row>
    <row r="11" spans="1:21" ht="12" thickBot="1" x14ac:dyDescent="0.25">
      <c r="A11" s="25" t="s">
        <v>30</v>
      </c>
      <c r="B11" s="25" t="s">
        <v>31</v>
      </c>
      <c r="C11" s="25" t="s">
        <v>32</v>
      </c>
      <c r="D11" s="25" t="s">
        <v>103</v>
      </c>
      <c r="E11" s="25" t="s">
        <v>104</v>
      </c>
      <c r="F11" s="25" t="s">
        <v>105</v>
      </c>
      <c r="G11" s="26" t="s">
        <v>40</v>
      </c>
      <c r="H11" s="27" t="s">
        <v>23</v>
      </c>
      <c r="I11" s="27" t="s">
        <v>34</v>
      </c>
      <c r="J11" s="28" t="s">
        <v>35</v>
      </c>
      <c r="K11" s="23">
        <v>0.5</v>
      </c>
      <c r="L11" s="23" t="s">
        <v>36</v>
      </c>
      <c r="M11" s="17">
        <v>2020</v>
      </c>
      <c r="N11" s="17" t="s">
        <v>37</v>
      </c>
      <c r="O11" s="18">
        <v>80</v>
      </c>
      <c r="P11" s="17" t="s">
        <v>25</v>
      </c>
      <c r="Q11" s="18">
        <v>0</v>
      </c>
      <c r="R11" s="17">
        <v>20</v>
      </c>
      <c r="S11" s="17">
        <v>0.1</v>
      </c>
      <c r="T11" s="17">
        <v>0.4</v>
      </c>
      <c r="U11" s="17">
        <v>0</v>
      </c>
    </row>
    <row r="12" spans="1:21" x14ac:dyDescent="0.2">
      <c r="A12" s="17" t="s">
        <v>30</v>
      </c>
      <c r="B12" s="17" t="s">
        <v>31</v>
      </c>
      <c r="C12" s="17" t="s">
        <v>32</v>
      </c>
      <c r="D12" s="17" t="s">
        <v>109</v>
      </c>
      <c r="E12" s="17" t="s">
        <v>110</v>
      </c>
      <c r="F12" s="17" t="s">
        <v>111</v>
      </c>
      <c r="G12" s="17" t="s">
        <v>47</v>
      </c>
      <c r="H12" s="17" t="s">
        <v>26</v>
      </c>
      <c r="I12" s="17" t="s">
        <v>34</v>
      </c>
      <c r="J12" s="17" t="s">
        <v>35</v>
      </c>
      <c r="K12" s="23">
        <v>1</v>
      </c>
      <c r="L12" s="23" t="s">
        <v>36</v>
      </c>
      <c r="M12" s="17">
        <v>2021</v>
      </c>
      <c r="N12" s="17" t="s">
        <v>37</v>
      </c>
      <c r="O12" s="18">
        <v>50</v>
      </c>
      <c r="P12" s="17" t="s">
        <v>25</v>
      </c>
      <c r="Q12" s="18">
        <v>0</v>
      </c>
      <c r="R12" s="17">
        <v>50</v>
      </c>
      <c r="S12" s="17">
        <v>0.5</v>
      </c>
      <c r="T12" s="17">
        <v>0.5</v>
      </c>
      <c r="U12" s="17">
        <v>0</v>
      </c>
    </row>
    <row r="13" spans="1:21" x14ac:dyDescent="0.2">
      <c r="A13" s="17" t="s">
        <v>30</v>
      </c>
      <c r="B13" s="17" t="s">
        <v>31</v>
      </c>
      <c r="C13" s="17" t="s">
        <v>32</v>
      </c>
      <c r="D13" s="17" t="s">
        <v>112</v>
      </c>
      <c r="E13" s="17" t="s">
        <v>113</v>
      </c>
      <c r="F13" s="17" t="s">
        <v>114</v>
      </c>
      <c r="G13" s="17" t="s">
        <v>42</v>
      </c>
      <c r="H13" s="17" t="s">
        <v>26</v>
      </c>
      <c r="I13" s="17" t="s">
        <v>34</v>
      </c>
      <c r="J13" s="17" t="s">
        <v>35</v>
      </c>
      <c r="K13" s="23">
        <v>1</v>
      </c>
      <c r="L13" s="23" t="s">
        <v>36</v>
      </c>
      <c r="M13" s="17">
        <v>2021</v>
      </c>
      <c r="N13" s="17" t="s">
        <v>37</v>
      </c>
      <c r="O13" s="18">
        <v>80</v>
      </c>
      <c r="P13" s="17" t="s">
        <v>25</v>
      </c>
      <c r="Q13" s="18">
        <v>0</v>
      </c>
      <c r="R13" s="17">
        <v>20</v>
      </c>
      <c r="S13" s="17">
        <v>0.2</v>
      </c>
      <c r="T13" s="17">
        <v>0.8</v>
      </c>
      <c r="U13" s="17">
        <v>0</v>
      </c>
    </row>
    <row r="14" spans="1:21" x14ac:dyDescent="0.2">
      <c r="A14" s="17" t="s">
        <v>30</v>
      </c>
      <c r="B14" s="17" t="s">
        <v>31</v>
      </c>
      <c r="C14" s="17" t="s">
        <v>32</v>
      </c>
      <c r="D14" s="17" t="s">
        <v>115</v>
      </c>
      <c r="E14" s="17" t="s">
        <v>116</v>
      </c>
      <c r="F14" s="17" t="s">
        <v>117</v>
      </c>
      <c r="G14" s="17" t="s">
        <v>45</v>
      </c>
      <c r="H14" s="17" t="s">
        <v>26</v>
      </c>
      <c r="I14" s="17" t="s">
        <v>34</v>
      </c>
      <c r="J14" s="17" t="s">
        <v>35</v>
      </c>
      <c r="K14" s="23">
        <v>1</v>
      </c>
      <c r="L14" s="23" t="s">
        <v>36</v>
      </c>
      <c r="M14" s="17">
        <v>2021</v>
      </c>
      <c r="N14" s="17" t="s">
        <v>37</v>
      </c>
      <c r="O14" s="18">
        <v>90</v>
      </c>
      <c r="P14" s="17" t="s">
        <v>25</v>
      </c>
      <c r="Q14" s="18">
        <v>0</v>
      </c>
      <c r="R14" s="17">
        <v>10</v>
      </c>
      <c r="S14" s="17">
        <v>0.1</v>
      </c>
      <c r="T14" s="17">
        <v>0.9</v>
      </c>
      <c r="U14" s="17">
        <v>0</v>
      </c>
    </row>
    <row r="15" spans="1:21" x14ac:dyDescent="0.2">
      <c r="A15" s="17" t="s">
        <v>30</v>
      </c>
      <c r="B15" s="17" t="s">
        <v>130</v>
      </c>
      <c r="C15" s="17" t="s">
        <v>32</v>
      </c>
      <c r="D15" s="17" t="s">
        <v>131</v>
      </c>
      <c r="E15" s="17" t="s">
        <v>132</v>
      </c>
      <c r="F15" s="17" t="s">
        <v>133</v>
      </c>
      <c r="G15" s="17" t="s">
        <v>40</v>
      </c>
      <c r="H15" s="17" t="s">
        <v>26</v>
      </c>
      <c r="I15" s="17" t="s">
        <v>34</v>
      </c>
      <c r="J15" s="17" t="s">
        <v>35</v>
      </c>
      <c r="K15" s="30">
        <v>1</v>
      </c>
      <c r="L15" s="30" t="s">
        <v>36</v>
      </c>
      <c r="M15" s="17">
        <v>2022</v>
      </c>
      <c r="N15" s="30" t="s">
        <v>37</v>
      </c>
      <c r="O15" s="30">
        <v>80</v>
      </c>
      <c r="P15" s="30" t="s">
        <v>25</v>
      </c>
      <c r="Q15" s="30">
        <v>0</v>
      </c>
      <c r="R15" s="30">
        <v>20</v>
      </c>
      <c r="S15" s="30">
        <v>0.2</v>
      </c>
      <c r="T15" s="30">
        <v>0.8</v>
      </c>
      <c r="U15" s="30">
        <v>0</v>
      </c>
    </row>
    <row r="16" spans="1:21" x14ac:dyDescent="0.2">
      <c r="A16" s="17" t="s">
        <v>30</v>
      </c>
      <c r="B16" s="17" t="s">
        <v>130</v>
      </c>
      <c r="C16" s="17" t="s">
        <v>32</v>
      </c>
      <c r="D16" s="17" t="s">
        <v>134</v>
      </c>
      <c r="E16" s="17" t="s">
        <v>135</v>
      </c>
      <c r="F16" s="17" t="s">
        <v>136</v>
      </c>
      <c r="G16" s="17" t="s">
        <v>42</v>
      </c>
      <c r="H16" s="17" t="s">
        <v>23</v>
      </c>
      <c r="I16" s="17" t="s">
        <v>34</v>
      </c>
      <c r="J16" s="17" t="s">
        <v>35</v>
      </c>
      <c r="K16" s="30">
        <v>0.5</v>
      </c>
      <c r="L16" s="30" t="s">
        <v>36</v>
      </c>
      <c r="M16" s="17">
        <v>2022</v>
      </c>
      <c r="N16" s="30" t="s">
        <v>37</v>
      </c>
      <c r="O16" s="30">
        <v>80</v>
      </c>
      <c r="P16" s="30" t="s">
        <v>25</v>
      </c>
      <c r="Q16" s="30">
        <v>0</v>
      </c>
      <c r="R16" s="30">
        <v>20</v>
      </c>
      <c r="S16" s="30">
        <v>0.1</v>
      </c>
      <c r="T16" s="30">
        <v>0.4</v>
      </c>
      <c r="U16" s="30">
        <v>0</v>
      </c>
    </row>
    <row r="17" spans="1:22" x14ac:dyDescent="0.2">
      <c r="A17" s="17" t="s">
        <v>30</v>
      </c>
      <c r="B17" s="17" t="s">
        <v>130</v>
      </c>
      <c r="C17" s="17" t="s">
        <v>32</v>
      </c>
      <c r="D17" s="17" t="s">
        <v>134</v>
      </c>
      <c r="E17" s="17" t="s">
        <v>135</v>
      </c>
      <c r="F17" s="17" t="s">
        <v>136</v>
      </c>
      <c r="G17" s="17" t="s">
        <v>40</v>
      </c>
      <c r="H17" s="17" t="s">
        <v>23</v>
      </c>
      <c r="I17" s="17" t="s">
        <v>34</v>
      </c>
      <c r="J17" s="17" t="s">
        <v>35</v>
      </c>
      <c r="K17" s="17">
        <v>0.5</v>
      </c>
      <c r="L17" s="17" t="s">
        <v>36</v>
      </c>
      <c r="M17" s="17">
        <v>2022</v>
      </c>
      <c r="N17" s="17" t="s">
        <v>37</v>
      </c>
      <c r="O17" s="17">
        <v>80</v>
      </c>
      <c r="P17" s="17" t="s">
        <v>25</v>
      </c>
      <c r="Q17" s="17">
        <v>0</v>
      </c>
      <c r="R17" s="17">
        <v>20</v>
      </c>
      <c r="S17" s="17">
        <v>0.1</v>
      </c>
      <c r="T17" s="17">
        <v>0.4</v>
      </c>
      <c r="U17" s="17">
        <v>0</v>
      </c>
    </row>
    <row r="18" spans="1:22" x14ac:dyDescent="0.2">
      <c r="A18" s="17" t="s">
        <v>30</v>
      </c>
      <c r="B18" s="17" t="s">
        <v>130</v>
      </c>
      <c r="C18" s="17" t="s">
        <v>32</v>
      </c>
      <c r="D18" s="17" t="s">
        <v>137</v>
      </c>
      <c r="E18" s="17" t="s">
        <v>138</v>
      </c>
      <c r="F18" s="17" t="s">
        <v>139</v>
      </c>
      <c r="G18" s="17" t="s">
        <v>43</v>
      </c>
      <c r="H18" s="17" t="s">
        <v>26</v>
      </c>
      <c r="I18" s="17" t="s">
        <v>34</v>
      </c>
      <c r="J18" s="17" t="s">
        <v>35</v>
      </c>
      <c r="K18" s="17">
        <v>1</v>
      </c>
      <c r="L18" s="17" t="s">
        <v>36</v>
      </c>
      <c r="M18" s="17">
        <v>2022</v>
      </c>
      <c r="N18" s="17" t="s">
        <v>37</v>
      </c>
      <c r="O18" s="17">
        <v>80</v>
      </c>
      <c r="P18" s="17" t="s">
        <v>25</v>
      </c>
      <c r="Q18" s="17">
        <v>0</v>
      </c>
      <c r="R18" s="17">
        <v>20</v>
      </c>
      <c r="S18" s="17">
        <v>0.2</v>
      </c>
      <c r="T18" s="17">
        <v>0.8</v>
      </c>
      <c r="U18" s="17">
        <v>0</v>
      </c>
    </row>
    <row r="19" spans="1:22" x14ac:dyDescent="0.2">
      <c r="A19" s="17" t="s">
        <v>30</v>
      </c>
      <c r="B19" s="17" t="s">
        <v>130</v>
      </c>
      <c r="C19" s="17" t="s">
        <v>32</v>
      </c>
      <c r="D19" s="17" t="s">
        <v>140</v>
      </c>
      <c r="E19" s="17" t="s">
        <v>141</v>
      </c>
      <c r="F19" s="17" t="s">
        <v>142</v>
      </c>
      <c r="G19" s="17" t="s">
        <v>38</v>
      </c>
      <c r="H19" s="17" t="s">
        <v>26</v>
      </c>
      <c r="I19" s="17" t="s">
        <v>34</v>
      </c>
      <c r="J19" s="17" t="s">
        <v>35</v>
      </c>
      <c r="K19" s="17">
        <v>1</v>
      </c>
      <c r="L19" s="17" t="s">
        <v>36</v>
      </c>
      <c r="M19" s="17">
        <v>2022</v>
      </c>
      <c r="N19" s="17" t="s">
        <v>37</v>
      </c>
      <c r="O19" s="17">
        <v>50</v>
      </c>
      <c r="P19" s="17" t="s">
        <v>25</v>
      </c>
      <c r="Q19" s="17">
        <v>0</v>
      </c>
      <c r="R19" s="17">
        <v>50</v>
      </c>
      <c r="S19" s="17">
        <v>0.5</v>
      </c>
      <c r="T19" s="17">
        <v>0.5</v>
      </c>
      <c r="U19" s="17">
        <v>0</v>
      </c>
    </row>
    <row r="20" spans="1:22" x14ac:dyDescent="0.2">
      <c r="A20" s="17" t="s">
        <v>30</v>
      </c>
      <c r="B20" s="17" t="s">
        <v>130</v>
      </c>
      <c r="C20" s="17" t="s">
        <v>32</v>
      </c>
      <c r="D20" s="17" t="s">
        <v>143</v>
      </c>
      <c r="E20" s="17" t="s">
        <v>144</v>
      </c>
      <c r="F20" s="17" t="s">
        <v>145</v>
      </c>
      <c r="G20" s="17" t="s">
        <v>41</v>
      </c>
      <c r="H20" s="17" t="s">
        <v>23</v>
      </c>
      <c r="I20" s="17" t="s">
        <v>34</v>
      </c>
      <c r="J20" s="17" t="s">
        <v>35</v>
      </c>
      <c r="K20" s="17">
        <v>0.5</v>
      </c>
      <c r="L20" s="17" t="s">
        <v>36</v>
      </c>
      <c r="M20" s="17">
        <v>2022</v>
      </c>
      <c r="N20" s="17" t="s">
        <v>37</v>
      </c>
      <c r="O20" s="17">
        <v>60</v>
      </c>
      <c r="P20" s="17" t="s">
        <v>25</v>
      </c>
      <c r="Q20" s="17">
        <v>0</v>
      </c>
      <c r="R20" s="17">
        <v>40</v>
      </c>
      <c r="S20" s="17">
        <v>0.2</v>
      </c>
      <c r="T20" s="17">
        <v>0.3</v>
      </c>
      <c r="U20" s="17">
        <v>0</v>
      </c>
    </row>
    <row r="21" spans="1:22" x14ac:dyDescent="0.2">
      <c r="A21" s="17" t="s">
        <v>30</v>
      </c>
      <c r="B21" s="17" t="s">
        <v>130</v>
      </c>
      <c r="C21" s="17" t="s">
        <v>32</v>
      </c>
      <c r="D21" s="17" t="s">
        <v>143</v>
      </c>
      <c r="E21" s="17" t="s">
        <v>144</v>
      </c>
      <c r="F21" s="17" t="s">
        <v>145</v>
      </c>
      <c r="G21" s="17" t="s">
        <v>44</v>
      </c>
      <c r="H21" s="17" t="s">
        <v>23</v>
      </c>
      <c r="I21" s="17" t="s">
        <v>34</v>
      </c>
      <c r="J21" s="17" t="s">
        <v>35</v>
      </c>
      <c r="K21" s="17">
        <v>0.5</v>
      </c>
      <c r="L21" s="17" t="s">
        <v>36</v>
      </c>
      <c r="M21" s="17">
        <v>2022</v>
      </c>
      <c r="N21" s="17" t="s">
        <v>37</v>
      </c>
      <c r="O21" s="17">
        <v>80</v>
      </c>
      <c r="P21" s="17" t="s">
        <v>25</v>
      </c>
      <c r="Q21" s="17">
        <v>0</v>
      </c>
      <c r="R21" s="17">
        <v>20</v>
      </c>
      <c r="S21" s="17">
        <v>0.1</v>
      </c>
      <c r="T21" s="17">
        <v>0.4</v>
      </c>
      <c r="U21" s="17">
        <v>0</v>
      </c>
    </row>
    <row r="22" spans="1:22" x14ac:dyDescent="0.2">
      <c r="A22" s="17" t="s">
        <v>186</v>
      </c>
      <c r="B22" s="17" t="s">
        <v>187</v>
      </c>
      <c r="C22" s="17" t="s">
        <v>188</v>
      </c>
      <c r="D22" s="17" t="s">
        <v>189</v>
      </c>
      <c r="E22" s="17" t="s">
        <v>190</v>
      </c>
      <c r="F22" s="17" t="s">
        <v>191</v>
      </c>
      <c r="G22" s="17" t="s">
        <v>118</v>
      </c>
      <c r="H22" s="17" t="s">
        <v>192</v>
      </c>
      <c r="I22" s="17" t="s">
        <v>36</v>
      </c>
      <c r="J22" s="17" t="s">
        <v>193</v>
      </c>
      <c r="K22" s="17">
        <v>0.5</v>
      </c>
      <c r="L22" s="17" t="s">
        <v>36</v>
      </c>
      <c r="M22" s="17">
        <v>2023</v>
      </c>
      <c r="N22" s="17" t="s">
        <v>37</v>
      </c>
      <c r="O22" s="17" t="s">
        <v>27</v>
      </c>
      <c r="P22" s="17" t="s">
        <v>25</v>
      </c>
      <c r="Q22" s="17" t="s">
        <v>25</v>
      </c>
      <c r="R22" s="17">
        <v>10</v>
      </c>
      <c r="S22" s="17">
        <v>0.05</v>
      </c>
      <c r="T22" s="17">
        <v>0.45</v>
      </c>
      <c r="U22" s="17">
        <v>0</v>
      </c>
      <c r="V22" s="6" t="s">
        <v>148</v>
      </c>
    </row>
    <row r="23" spans="1:22" x14ac:dyDescent="0.2">
      <c r="A23" s="17" t="s">
        <v>186</v>
      </c>
      <c r="B23" s="17" t="s">
        <v>187</v>
      </c>
      <c r="C23" s="17" t="s">
        <v>188</v>
      </c>
      <c r="D23" s="17" t="s">
        <v>189</v>
      </c>
      <c r="E23" s="17" t="s">
        <v>190</v>
      </c>
      <c r="F23" s="17" t="s">
        <v>191</v>
      </c>
      <c r="G23" s="17" t="s">
        <v>71</v>
      </c>
      <c r="H23" s="17" t="s">
        <v>192</v>
      </c>
      <c r="I23" s="17" t="s">
        <v>36</v>
      </c>
      <c r="J23" s="17" t="s">
        <v>193</v>
      </c>
      <c r="K23" s="17">
        <v>0.5</v>
      </c>
      <c r="L23" s="17" t="s">
        <v>36</v>
      </c>
      <c r="M23" s="17">
        <v>2023</v>
      </c>
      <c r="N23" s="17" t="s">
        <v>37</v>
      </c>
      <c r="O23" s="17" t="s">
        <v>28</v>
      </c>
      <c r="P23" s="17" t="s">
        <v>25</v>
      </c>
      <c r="Q23" s="17" t="s">
        <v>25</v>
      </c>
      <c r="R23" s="17">
        <v>20</v>
      </c>
      <c r="S23" s="17">
        <v>0.1</v>
      </c>
      <c r="T23" s="17">
        <v>0.4</v>
      </c>
      <c r="U23" s="17">
        <v>0</v>
      </c>
      <c r="V23" s="6" t="s">
        <v>148</v>
      </c>
    </row>
    <row r="24" spans="1:22" x14ac:dyDescent="0.2">
      <c r="A24" s="17" t="s">
        <v>186</v>
      </c>
      <c r="B24" s="17" t="s">
        <v>187</v>
      </c>
      <c r="C24" s="17" t="s">
        <v>188</v>
      </c>
      <c r="D24" s="17" t="s">
        <v>194</v>
      </c>
      <c r="E24" s="17" t="s">
        <v>195</v>
      </c>
      <c r="F24" s="17" t="s">
        <v>196</v>
      </c>
      <c r="G24" s="17" t="s">
        <v>71</v>
      </c>
      <c r="H24" s="17" t="s">
        <v>192</v>
      </c>
      <c r="I24" s="17" t="s">
        <v>36</v>
      </c>
      <c r="J24" s="17" t="s">
        <v>193</v>
      </c>
      <c r="K24" s="17">
        <v>0.5</v>
      </c>
      <c r="L24" s="17" t="s">
        <v>36</v>
      </c>
      <c r="M24" s="17">
        <v>2023</v>
      </c>
      <c r="N24" s="17" t="s">
        <v>37</v>
      </c>
      <c r="O24" s="17" t="s">
        <v>28</v>
      </c>
      <c r="P24" s="17" t="s">
        <v>25</v>
      </c>
      <c r="Q24" s="17" t="s">
        <v>25</v>
      </c>
      <c r="R24" s="17">
        <v>20</v>
      </c>
      <c r="S24" s="17">
        <v>0.1</v>
      </c>
      <c r="T24" s="17">
        <v>0.4</v>
      </c>
      <c r="U24" s="17">
        <v>0</v>
      </c>
      <c r="V24" s="6" t="s">
        <v>148</v>
      </c>
    </row>
    <row r="25" spans="1:22" x14ac:dyDescent="0.2">
      <c r="A25" s="17" t="s">
        <v>186</v>
      </c>
      <c r="B25" s="17" t="s">
        <v>187</v>
      </c>
      <c r="C25" s="17" t="s">
        <v>188</v>
      </c>
      <c r="D25" s="17" t="s">
        <v>194</v>
      </c>
      <c r="E25" s="17" t="s">
        <v>195</v>
      </c>
      <c r="F25" s="17" t="s">
        <v>196</v>
      </c>
      <c r="G25" s="17" t="s">
        <v>64</v>
      </c>
      <c r="H25" s="17" t="s">
        <v>192</v>
      </c>
      <c r="I25" s="17" t="s">
        <v>36</v>
      </c>
      <c r="J25" s="17" t="s">
        <v>193</v>
      </c>
      <c r="K25" s="17">
        <v>0.5</v>
      </c>
      <c r="L25" s="17" t="s">
        <v>36</v>
      </c>
      <c r="M25" s="17">
        <v>2023</v>
      </c>
      <c r="N25" s="17" t="s">
        <v>37</v>
      </c>
      <c r="O25" s="17" t="s">
        <v>28</v>
      </c>
      <c r="P25" s="17" t="s">
        <v>25</v>
      </c>
      <c r="Q25" s="17" t="s">
        <v>25</v>
      </c>
      <c r="R25" s="17">
        <v>20</v>
      </c>
      <c r="S25" s="17">
        <v>0.1</v>
      </c>
      <c r="T25" s="17">
        <v>0.4</v>
      </c>
      <c r="U25" s="17">
        <v>0</v>
      </c>
      <c r="V25" s="6" t="s">
        <v>148</v>
      </c>
    </row>
    <row r="26" spans="1:22" x14ac:dyDescent="0.2">
      <c r="A26" s="17" t="s">
        <v>186</v>
      </c>
      <c r="B26" s="17" t="s">
        <v>187</v>
      </c>
      <c r="C26" s="17" t="s">
        <v>188</v>
      </c>
      <c r="D26" s="17" t="s">
        <v>197</v>
      </c>
      <c r="E26" s="17" t="s">
        <v>198</v>
      </c>
      <c r="F26" s="17" t="s">
        <v>199</v>
      </c>
      <c r="G26" s="17" t="s">
        <v>62</v>
      </c>
      <c r="H26" s="17" t="s">
        <v>192</v>
      </c>
      <c r="I26" s="17" t="s">
        <v>36</v>
      </c>
      <c r="J26" s="17" t="s">
        <v>193</v>
      </c>
      <c r="K26" s="17">
        <v>0.5</v>
      </c>
      <c r="L26" s="17" t="s">
        <v>36</v>
      </c>
      <c r="M26" s="17">
        <v>2023</v>
      </c>
      <c r="N26" s="17" t="s">
        <v>37</v>
      </c>
      <c r="O26" s="17" t="s">
        <v>46</v>
      </c>
      <c r="P26" s="17" t="s">
        <v>25</v>
      </c>
      <c r="Q26" s="17" t="s">
        <v>25</v>
      </c>
      <c r="R26" s="17">
        <v>35</v>
      </c>
      <c r="S26" s="17">
        <v>0.17499999999999999</v>
      </c>
      <c r="T26" s="17">
        <v>0.32500000000000001</v>
      </c>
      <c r="U26" s="17">
        <v>0</v>
      </c>
      <c r="V26" s="6" t="s">
        <v>148</v>
      </c>
    </row>
    <row r="27" spans="1:22" x14ac:dyDescent="0.2">
      <c r="A27" s="17" t="s">
        <v>186</v>
      </c>
      <c r="B27" s="17" t="s">
        <v>187</v>
      </c>
      <c r="C27" s="17" t="s">
        <v>188</v>
      </c>
      <c r="D27" s="17" t="s">
        <v>197</v>
      </c>
      <c r="E27" s="17" t="s">
        <v>198</v>
      </c>
      <c r="F27" s="17" t="s">
        <v>199</v>
      </c>
      <c r="G27" s="17" t="s">
        <v>63</v>
      </c>
      <c r="H27" s="17" t="s">
        <v>192</v>
      </c>
      <c r="I27" s="17" t="s">
        <v>36</v>
      </c>
      <c r="J27" s="17" t="s">
        <v>193</v>
      </c>
      <c r="K27" s="17">
        <v>0.5</v>
      </c>
      <c r="L27" s="17" t="s">
        <v>36</v>
      </c>
      <c r="M27" s="17">
        <v>2023</v>
      </c>
      <c r="N27" s="17" t="s">
        <v>37</v>
      </c>
      <c r="O27" s="17" t="s">
        <v>24</v>
      </c>
      <c r="P27" s="17" t="s">
        <v>25</v>
      </c>
      <c r="Q27" s="17" t="s">
        <v>25</v>
      </c>
      <c r="R27" s="17">
        <v>50</v>
      </c>
      <c r="S27" s="17">
        <v>0.25</v>
      </c>
      <c r="T27" s="17">
        <v>0.25</v>
      </c>
      <c r="U27" s="17">
        <v>0</v>
      </c>
      <c r="V27" s="6" t="s">
        <v>148</v>
      </c>
    </row>
    <row r="28" spans="1:22" x14ac:dyDescent="0.2">
      <c r="A28" s="17" t="s">
        <v>186</v>
      </c>
      <c r="B28" s="17" t="s">
        <v>187</v>
      </c>
      <c r="C28" s="17" t="s">
        <v>188</v>
      </c>
      <c r="D28" s="17" t="s">
        <v>200</v>
      </c>
      <c r="E28" s="17" t="s">
        <v>201</v>
      </c>
      <c r="F28" s="17" t="s">
        <v>202</v>
      </c>
      <c r="G28" s="17" t="s">
        <v>70</v>
      </c>
      <c r="H28" s="17" t="s">
        <v>192</v>
      </c>
      <c r="I28" s="17" t="s">
        <v>36</v>
      </c>
      <c r="J28" s="17" t="s">
        <v>203</v>
      </c>
      <c r="K28" s="17">
        <v>0.5</v>
      </c>
      <c r="L28" s="17" t="s">
        <v>36</v>
      </c>
      <c r="M28" s="17">
        <v>2023</v>
      </c>
      <c r="N28" s="17" t="s">
        <v>37</v>
      </c>
      <c r="O28" s="17" t="s">
        <v>29</v>
      </c>
      <c r="P28" s="17" t="s">
        <v>25</v>
      </c>
      <c r="Q28" s="17" t="s">
        <v>25</v>
      </c>
      <c r="R28" s="17">
        <v>40</v>
      </c>
      <c r="S28" s="17">
        <v>0.2</v>
      </c>
      <c r="T28" s="17">
        <v>0.3</v>
      </c>
      <c r="U28" s="17">
        <v>0</v>
      </c>
      <c r="V28" s="6" t="s">
        <v>148</v>
      </c>
    </row>
    <row r="29" spans="1:22" x14ac:dyDescent="0.2">
      <c r="A29" s="17" t="s">
        <v>186</v>
      </c>
      <c r="B29" s="17" t="s">
        <v>224</v>
      </c>
      <c r="C29" s="17" t="s">
        <v>188</v>
      </c>
      <c r="D29" s="17" t="s">
        <v>225</v>
      </c>
      <c r="E29" s="17" t="s">
        <v>226</v>
      </c>
      <c r="F29" s="17" t="s">
        <v>227</v>
      </c>
      <c r="G29" s="17" t="s">
        <v>118</v>
      </c>
      <c r="H29" s="17" t="s">
        <v>192</v>
      </c>
      <c r="I29" s="17" t="s">
        <v>36</v>
      </c>
      <c r="J29" s="17" t="s">
        <v>228</v>
      </c>
      <c r="K29" s="17">
        <v>0.5</v>
      </c>
      <c r="L29" s="17" t="s">
        <v>36</v>
      </c>
      <c r="M29" s="17">
        <v>2024</v>
      </c>
      <c r="N29" s="17" t="s">
        <v>37</v>
      </c>
      <c r="O29" s="17" t="s">
        <v>27</v>
      </c>
      <c r="P29" s="17" t="s">
        <v>25</v>
      </c>
      <c r="Q29" s="17" t="s">
        <v>25</v>
      </c>
      <c r="R29" s="17">
        <v>10</v>
      </c>
      <c r="S29" s="17">
        <v>0.05</v>
      </c>
      <c r="T29" s="17">
        <v>0.45</v>
      </c>
      <c r="U29" s="17">
        <v>0</v>
      </c>
    </row>
    <row r="30" spans="1:22" x14ac:dyDescent="0.2">
      <c r="A30" s="17" t="s">
        <v>186</v>
      </c>
      <c r="B30" s="17" t="s">
        <v>224</v>
      </c>
      <c r="C30" s="17" t="s">
        <v>188</v>
      </c>
      <c r="D30" s="17" t="s">
        <v>225</v>
      </c>
      <c r="E30" s="17" t="s">
        <v>226</v>
      </c>
      <c r="F30" s="17" t="s">
        <v>227</v>
      </c>
      <c r="G30" s="17" t="s">
        <v>71</v>
      </c>
      <c r="H30" s="17" t="s">
        <v>192</v>
      </c>
      <c r="I30" s="17" t="s">
        <v>36</v>
      </c>
      <c r="J30" s="17" t="s">
        <v>228</v>
      </c>
      <c r="K30" s="17">
        <v>0.5</v>
      </c>
      <c r="L30" s="17" t="s">
        <v>36</v>
      </c>
      <c r="M30" s="17">
        <v>2024</v>
      </c>
      <c r="N30" s="17" t="s">
        <v>37</v>
      </c>
      <c r="O30" s="17" t="s">
        <v>28</v>
      </c>
      <c r="P30" s="17" t="s">
        <v>25</v>
      </c>
      <c r="Q30" s="17" t="s">
        <v>25</v>
      </c>
      <c r="R30" s="17">
        <v>20</v>
      </c>
      <c r="S30" s="17">
        <v>0.1</v>
      </c>
      <c r="T30" s="17">
        <v>0.4</v>
      </c>
      <c r="U30" s="17">
        <v>0</v>
      </c>
    </row>
    <row r="31" spans="1:22" x14ac:dyDescent="0.2">
      <c r="A31" s="17" t="s">
        <v>186</v>
      </c>
      <c r="B31" s="17" t="s">
        <v>224</v>
      </c>
      <c r="C31" s="17" t="s">
        <v>188</v>
      </c>
      <c r="D31" s="17" t="s">
        <v>229</v>
      </c>
      <c r="E31" s="17" t="s">
        <v>230</v>
      </c>
      <c r="F31" s="17" t="s">
        <v>231</v>
      </c>
      <c r="G31" s="17" t="s">
        <v>118</v>
      </c>
      <c r="H31" s="17" t="s">
        <v>192</v>
      </c>
      <c r="I31" s="17" t="s">
        <v>36</v>
      </c>
      <c r="J31" s="17" t="s">
        <v>228</v>
      </c>
      <c r="K31" s="17">
        <v>0.5</v>
      </c>
      <c r="L31" s="17" t="s">
        <v>36</v>
      </c>
      <c r="M31" s="17">
        <v>2024</v>
      </c>
      <c r="N31" s="17" t="s">
        <v>37</v>
      </c>
      <c r="O31" s="17" t="s">
        <v>27</v>
      </c>
      <c r="P31" s="17" t="s">
        <v>25</v>
      </c>
      <c r="Q31" s="17" t="s">
        <v>25</v>
      </c>
      <c r="R31" s="17">
        <v>10</v>
      </c>
      <c r="S31" s="17">
        <v>0.05</v>
      </c>
      <c r="T31" s="17">
        <v>0.45</v>
      </c>
      <c r="U31" s="17">
        <v>0</v>
      </c>
    </row>
    <row r="32" spans="1:22" x14ac:dyDescent="0.2">
      <c r="A32" s="17" t="s">
        <v>186</v>
      </c>
      <c r="B32" s="17" t="s">
        <v>224</v>
      </c>
      <c r="C32" s="17" t="s">
        <v>188</v>
      </c>
      <c r="D32" s="17" t="s">
        <v>229</v>
      </c>
      <c r="E32" s="17" t="s">
        <v>230</v>
      </c>
      <c r="F32" s="17" t="s">
        <v>231</v>
      </c>
      <c r="G32" s="17" t="s">
        <v>71</v>
      </c>
      <c r="H32" s="17" t="s">
        <v>192</v>
      </c>
      <c r="I32" s="17" t="s">
        <v>36</v>
      </c>
      <c r="J32" s="17" t="s">
        <v>228</v>
      </c>
      <c r="K32" s="17">
        <v>0.5</v>
      </c>
      <c r="L32" s="17" t="s">
        <v>36</v>
      </c>
      <c r="M32" s="17">
        <v>2024</v>
      </c>
      <c r="N32" s="17" t="s">
        <v>37</v>
      </c>
      <c r="O32" s="17" t="s">
        <v>28</v>
      </c>
      <c r="P32" s="17" t="s">
        <v>25</v>
      </c>
      <c r="Q32" s="17" t="s">
        <v>25</v>
      </c>
      <c r="R32" s="17">
        <v>20</v>
      </c>
      <c r="S32" s="17">
        <v>0.1</v>
      </c>
      <c r="T32" s="17">
        <v>0.4</v>
      </c>
      <c r="U32" s="17">
        <v>0</v>
      </c>
    </row>
    <row r="33" spans="1:21" x14ac:dyDescent="0.2">
      <c r="A33" s="17" t="s">
        <v>186</v>
      </c>
      <c r="B33" s="17" t="s">
        <v>224</v>
      </c>
      <c r="C33" s="17" t="s">
        <v>188</v>
      </c>
      <c r="D33" s="17" t="s">
        <v>232</v>
      </c>
      <c r="E33" s="17" t="s">
        <v>233</v>
      </c>
      <c r="F33" s="17" t="s">
        <v>234</v>
      </c>
      <c r="G33" s="17" t="s">
        <v>65</v>
      </c>
      <c r="H33" s="17" t="s">
        <v>192</v>
      </c>
      <c r="I33" s="17" t="s">
        <v>36</v>
      </c>
      <c r="J33" s="17" t="s">
        <v>228</v>
      </c>
      <c r="K33" s="17">
        <v>0.5</v>
      </c>
      <c r="L33" s="17" t="s">
        <v>36</v>
      </c>
      <c r="M33" s="17">
        <v>2024</v>
      </c>
      <c r="N33" s="17" t="s">
        <v>37</v>
      </c>
      <c r="O33" s="17" t="s">
        <v>28</v>
      </c>
      <c r="P33" s="17" t="s">
        <v>25</v>
      </c>
      <c r="Q33" s="17" t="s">
        <v>25</v>
      </c>
      <c r="R33" s="17">
        <v>20</v>
      </c>
      <c r="S33" s="17">
        <v>0.1</v>
      </c>
      <c r="T33" s="17">
        <v>0.4</v>
      </c>
      <c r="U33" s="17">
        <v>0</v>
      </c>
    </row>
    <row r="34" spans="1:21" x14ac:dyDescent="0.2">
      <c r="A34" s="17" t="s">
        <v>186</v>
      </c>
      <c r="B34" s="17" t="s">
        <v>224</v>
      </c>
      <c r="C34" s="17" t="s">
        <v>188</v>
      </c>
      <c r="D34" s="17" t="s">
        <v>232</v>
      </c>
      <c r="E34" s="17" t="s">
        <v>233</v>
      </c>
      <c r="F34" s="17" t="s">
        <v>234</v>
      </c>
      <c r="G34" s="17" t="s">
        <v>120</v>
      </c>
      <c r="H34" s="17" t="s">
        <v>192</v>
      </c>
      <c r="I34" s="17" t="s">
        <v>36</v>
      </c>
      <c r="J34" s="17" t="s">
        <v>228</v>
      </c>
      <c r="K34" s="17">
        <v>0.5</v>
      </c>
      <c r="L34" s="17" t="s">
        <v>36</v>
      </c>
      <c r="M34" s="17">
        <v>2024</v>
      </c>
      <c r="N34" s="17" t="s">
        <v>37</v>
      </c>
      <c r="O34" s="17" t="s">
        <v>27</v>
      </c>
      <c r="P34" s="17" t="s">
        <v>25</v>
      </c>
      <c r="Q34" s="17" t="s">
        <v>25</v>
      </c>
      <c r="R34" s="17">
        <v>10</v>
      </c>
      <c r="S34" s="17">
        <v>0.05</v>
      </c>
      <c r="T34" s="17">
        <v>0.45</v>
      </c>
      <c r="U34" s="17">
        <v>0</v>
      </c>
    </row>
    <row r="35" spans="1:21" x14ac:dyDescent="0.2">
      <c r="A35" s="31"/>
      <c r="B35" s="31"/>
      <c r="C35" s="31"/>
      <c r="D35" s="31"/>
      <c r="E35" s="31"/>
      <c r="F35" s="31"/>
      <c r="G35" s="31"/>
      <c r="H35" s="31"/>
      <c r="I35" s="31"/>
      <c r="J35" s="31"/>
      <c r="K35" s="31"/>
      <c r="L35" s="31"/>
      <c r="M35" s="31"/>
      <c r="N35" s="31"/>
      <c r="O35" s="32"/>
      <c r="P35" s="31"/>
      <c r="Q35" s="32"/>
      <c r="R35" s="31"/>
      <c r="S35" s="39">
        <f>SUM(S2:S34)</f>
        <v>5.5249999999999977</v>
      </c>
      <c r="T35" s="31"/>
      <c r="U35" s="31"/>
    </row>
  </sheetData>
  <autoFilter ref="A1:U35" xr:uid="{00000000-0009-0000-0000-000000000000}">
    <sortState xmlns:xlrd2="http://schemas.microsoft.com/office/spreadsheetml/2017/richdata2" ref="A2:T1866">
      <sortCondition ref="K2:K1866"/>
      <sortCondition ref="L2:L1866"/>
      <sortCondition ref="D2:D1866"/>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7"/>
  <sheetViews>
    <sheetView zoomScaleNormal="100" workbookViewId="0">
      <selection activeCell="Q27" sqref="Q27"/>
    </sheetView>
  </sheetViews>
  <sheetFormatPr baseColWidth="10" defaultColWidth="11.42578125" defaultRowHeight="12.75" x14ac:dyDescent="0.2"/>
  <cols>
    <col min="1" max="1" width="10.5703125" style="11" bestFit="1" customWidth="1"/>
    <col min="2" max="2" width="34.42578125" style="11" bestFit="1" customWidth="1"/>
    <col min="3" max="3" width="14.5703125" style="11" bestFit="1" customWidth="1"/>
    <col min="4" max="9" width="3.28515625" style="11" bestFit="1" customWidth="1"/>
    <col min="10" max="10" width="13.140625" style="11" bestFit="1" customWidth="1"/>
    <col min="11" max="11" width="5.28515625" style="11" bestFit="1" customWidth="1"/>
    <col min="12" max="13" width="5.7109375" style="11" bestFit="1" customWidth="1"/>
    <col min="14" max="14" width="5.7109375" style="12" bestFit="1" customWidth="1"/>
    <col min="15" max="15" width="5.7109375" style="11" bestFit="1" customWidth="1"/>
    <col min="16" max="16" width="5.7109375" style="12" bestFit="1" customWidth="1"/>
    <col min="17" max="19" width="5.7109375" style="11" bestFit="1" customWidth="1"/>
    <col min="20" max="16384" width="11.42578125" style="11"/>
  </cols>
  <sheetData>
    <row r="1" spans="1:19" s="10" customFormat="1" ht="60" customHeight="1" x14ac:dyDescent="0.2">
      <c r="A1" s="13" t="s">
        <v>48</v>
      </c>
      <c r="B1" s="13" t="s">
        <v>49</v>
      </c>
      <c r="C1" s="13" t="s">
        <v>50</v>
      </c>
      <c r="D1" s="14" t="s">
        <v>235</v>
      </c>
      <c r="E1" s="14" t="s">
        <v>236</v>
      </c>
      <c r="F1" s="14" t="s">
        <v>237</v>
      </c>
      <c r="G1" s="14" t="s">
        <v>238</v>
      </c>
      <c r="H1" s="14" t="s">
        <v>239</v>
      </c>
      <c r="I1" s="14" t="s">
        <v>240</v>
      </c>
      <c r="J1" s="13" t="s">
        <v>51</v>
      </c>
      <c r="K1" s="15" t="s">
        <v>84</v>
      </c>
      <c r="L1" s="8" t="s">
        <v>52</v>
      </c>
      <c r="M1" s="8" t="s">
        <v>53</v>
      </c>
      <c r="N1" s="8" t="s">
        <v>54</v>
      </c>
      <c r="O1" s="8" t="s">
        <v>55</v>
      </c>
      <c r="P1" s="9" t="s">
        <v>56</v>
      </c>
      <c r="Q1" s="9" t="s">
        <v>57</v>
      </c>
      <c r="R1" s="9" t="s">
        <v>58</v>
      </c>
      <c r="S1" s="9" t="s">
        <v>59</v>
      </c>
    </row>
    <row r="2" spans="1:19" ht="15" x14ac:dyDescent="0.25">
      <c r="A2" s="16" t="s">
        <v>118</v>
      </c>
      <c r="B2" s="16" t="s">
        <v>241</v>
      </c>
      <c r="C2" s="16" t="s">
        <v>60</v>
      </c>
      <c r="D2" s="16"/>
      <c r="E2" s="16"/>
      <c r="F2" s="16"/>
      <c r="G2" s="16"/>
      <c r="H2" s="16"/>
      <c r="I2" s="16">
        <v>3</v>
      </c>
      <c r="J2" s="16">
        <v>3</v>
      </c>
      <c r="K2" s="16" t="s">
        <v>36</v>
      </c>
      <c r="L2" s="16" t="s">
        <v>37</v>
      </c>
      <c r="M2" s="16" t="s">
        <v>27</v>
      </c>
      <c r="N2" s="16" t="s">
        <v>25</v>
      </c>
      <c r="O2" s="16" t="s">
        <v>25</v>
      </c>
      <c r="P2" s="16">
        <v>10</v>
      </c>
      <c r="Q2" s="16">
        <v>2.7</v>
      </c>
      <c r="R2" s="16">
        <v>0</v>
      </c>
      <c r="S2" s="16">
        <v>0.3</v>
      </c>
    </row>
    <row r="3" spans="1:19" ht="15" x14ac:dyDescent="0.25">
      <c r="A3" s="16" t="s">
        <v>63</v>
      </c>
      <c r="B3" s="16" t="s">
        <v>242</v>
      </c>
      <c r="C3" s="16" t="s">
        <v>60</v>
      </c>
      <c r="D3" s="16"/>
      <c r="E3" s="16"/>
      <c r="F3" s="16"/>
      <c r="G3" s="16">
        <v>1</v>
      </c>
      <c r="H3" s="16"/>
      <c r="I3" s="16"/>
      <c r="J3" s="16">
        <v>1</v>
      </c>
      <c r="K3" s="16" t="s">
        <v>36</v>
      </c>
      <c r="L3" s="16" t="s">
        <v>37</v>
      </c>
      <c r="M3" s="16" t="s">
        <v>24</v>
      </c>
      <c r="N3" s="16" t="s">
        <v>25</v>
      </c>
      <c r="O3" s="16" t="s">
        <v>25</v>
      </c>
      <c r="P3" s="16">
        <v>50</v>
      </c>
      <c r="Q3" s="16">
        <v>0.5</v>
      </c>
      <c r="R3" s="16">
        <v>0</v>
      </c>
      <c r="S3" s="16">
        <v>0.5</v>
      </c>
    </row>
    <row r="4" spans="1:19" ht="15" x14ac:dyDescent="0.25">
      <c r="A4" s="16" t="s">
        <v>243</v>
      </c>
      <c r="B4" s="16" t="s">
        <v>244</v>
      </c>
      <c r="C4" s="16" t="s">
        <v>245</v>
      </c>
      <c r="D4" s="16"/>
      <c r="E4" s="16"/>
      <c r="F4" s="16"/>
      <c r="G4" s="16"/>
      <c r="H4" s="16"/>
      <c r="I4" s="16">
        <v>1</v>
      </c>
      <c r="J4" s="16">
        <v>1</v>
      </c>
      <c r="K4" s="16" t="s">
        <v>36</v>
      </c>
      <c r="L4" s="16" t="s">
        <v>37</v>
      </c>
      <c r="M4" s="16" t="s">
        <v>29</v>
      </c>
      <c r="N4" s="16" t="s">
        <v>25</v>
      </c>
      <c r="O4" s="16" t="s">
        <v>25</v>
      </c>
      <c r="P4" s="16">
        <v>40</v>
      </c>
      <c r="Q4" s="16">
        <v>0.6</v>
      </c>
      <c r="R4" s="16">
        <v>0</v>
      </c>
      <c r="S4" s="16">
        <v>0.4</v>
      </c>
    </row>
    <row r="5" spans="1:19" ht="15" x14ac:dyDescent="0.25">
      <c r="A5" s="16" t="s">
        <v>70</v>
      </c>
      <c r="B5" s="16" t="s">
        <v>246</v>
      </c>
      <c r="C5" s="16" t="s">
        <v>60</v>
      </c>
      <c r="D5" s="16">
        <v>1</v>
      </c>
      <c r="E5" s="16"/>
      <c r="F5" s="16"/>
      <c r="G5" s="16"/>
      <c r="H5" s="16"/>
      <c r="I5" s="16"/>
      <c r="J5" s="16">
        <v>1</v>
      </c>
      <c r="K5" s="16" t="s">
        <v>36</v>
      </c>
      <c r="L5" s="16" t="s">
        <v>37</v>
      </c>
      <c r="M5" s="16" t="s">
        <v>29</v>
      </c>
      <c r="N5" s="16" t="s">
        <v>25</v>
      </c>
      <c r="O5" s="16" t="s">
        <v>25</v>
      </c>
      <c r="P5" s="16">
        <v>40</v>
      </c>
      <c r="Q5" s="16">
        <v>0.6</v>
      </c>
      <c r="R5" s="16">
        <v>0</v>
      </c>
      <c r="S5" s="16">
        <v>0.4</v>
      </c>
    </row>
    <row r="6" spans="1:19" ht="15" x14ac:dyDescent="0.25">
      <c r="A6" s="16" t="s">
        <v>71</v>
      </c>
      <c r="B6" s="16" t="s">
        <v>247</v>
      </c>
      <c r="C6" s="16" t="s">
        <v>60</v>
      </c>
      <c r="D6" s="16"/>
      <c r="E6" s="16">
        <v>1</v>
      </c>
      <c r="F6" s="16"/>
      <c r="G6" s="16"/>
      <c r="H6" s="16"/>
      <c r="I6" s="16"/>
      <c r="J6" s="16">
        <v>1</v>
      </c>
      <c r="K6" s="16" t="s">
        <v>36</v>
      </c>
      <c r="L6" s="16" t="s">
        <v>37</v>
      </c>
      <c r="M6" s="16" t="s">
        <v>28</v>
      </c>
      <c r="N6" s="16" t="s">
        <v>25</v>
      </c>
      <c r="O6" s="16" t="s">
        <v>25</v>
      </c>
      <c r="P6" s="16">
        <v>20</v>
      </c>
      <c r="Q6" s="16">
        <v>0.8</v>
      </c>
      <c r="R6" s="16">
        <v>0</v>
      </c>
      <c r="S6" s="16">
        <v>0.2</v>
      </c>
    </row>
    <row r="7" spans="1:19" ht="15" x14ac:dyDescent="0.25">
      <c r="A7" s="16" t="s">
        <v>66</v>
      </c>
      <c r="B7" s="16" t="s">
        <v>248</v>
      </c>
      <c r="C7" s="16" t="s">
        <v>60</v>
      </c>
      <c r="D7" s="16"/>
      <c r="E7" s="16"/>
      <c r="F7" s="16"/>
      <c r="G7" s="16">
        <v>1</v>
      </c>
      <c r="H7" s="16"/>
      <c r="I7" s="16"/>
      <c r="J7" s="16">
        <v>1</v>
      </c>
      <c r="K7" s="16" t="s">
        <v>36</v>
      </c>
      <c r="L7" s="16" t="s">
        <v>37</v>
      </c>
      <c r="M7" s="16" t="s">
        <v>28</v>
      </c>
      <c r="N7" s="16" t="s">
        <v>25</v>
      </c>
      <c r="O7" s="16" t="s">
        <v>25</v>
      </c>
      <c r="P7" s="16">
        <v>20</v>
      </c>
      <c r="Q7" s="16">
        <v>0.8</v>
      </c>
      <c r="R7" s="16">
        <v>0</v>
      </c>
      <c r="S7" s="16">
        <v>0.2</v>
      </c>
    </row>
    <row r="8" spans="1:19" ht="15" x14ac:dyDescent="0.25">
      <c r="A8" s="16" t="s">
        <v>67</v>
      </c>
      <c r="B8" s="16" t="s">
        <v>249</v>
      </c>
      <c r="C8" s="16" t="s">
        <v>60</v>
      </c>
      <c r="D8" s="16"/>
      <c r="E8" s="16"/>
      <c r="F8" s="16">
        <v>1</v>
      </c>
      <c r="G8" s="16"/>
      <c r="H8" s="16"/>
      <c r="I8" s="16"/>
      <c r="J8" s="16">
        <v>1</v>
      </c>
      <c r="K8" s="16" t="s">
        <v>36</v>
      </c>
      <c r="L8" s="16" t="s">
        <v>37</v>
      </c>
      <c r="M8" s="16" t="s">
        <v>27</v>
      </c>
      <c r="N8" s="16" t="s">
        <v>25</v>
      </c>
      <c r="O8" s="16" t="s">
        <v>25</v>
      </c>
      <c r="P8" s="16">
        <v>10</v>
      </c>
      <c r="Q8" s="16">
        <v>0.9</v>
      </c>
      <c r="R8" s="16">
        <v>0</v>
      </c>
      <c r="S8" s="16">
        <v>0.1</v>
      </c>
    </row>
    <row r="9" spans="1:19" ht="15" x14ac:dyDescent="0.25">
      <c r="A9" s="16" t="s">
        <v>62</v>
      </c>
      <c r="B9" s="16" t="s">
        <v>250</v>
      </c>
      <c r="C9" s="16" t="s">
        <v>60</v>
      </c>
      <c r="D9" s="16"/>
      <c r="E9" s="16"/>
      <c r="F9" s="16"/>
      <c r="G9" s="16">
        <v>1</v>
      </c>
      <c r="H9" s="16"/>
      <c r="I9" s="16"/>
      <c r="J9" s="16">
        <v>1</v>
      </c>
      <c r="K9" s="16" t="s">
        <v>36</v>
      </c>
      <c r="L9" s="16" t="s">
        <v>37</v>
      </c>
      <c r="M9" s="16" t="s">
        <v>46</v>
      </c>
      <c r="N9" s="16" t="s">
        <v>25</v>
      </c>
      <c r="O9" s="16" t="s">
        <v>25</v>
      </c>
      <c r="P9" s="16">
        <v>35</v>
      </c>
      <c r="Q9" s="16">
        <v>0.65</v>
      </c>
      <c r="R9" s="16">
        <v>0</v>
      </c>
      <c r="S9" s="16">
        <v>0.35</v>
      </c>
    </row>
    <row r="10" spans="1:19" ht="15" x14ac:dyDescent="0.25">
      <c r="A10" s="16" t="s">
        <v>68</v>
      </c>
      <c r="B10" s="16" t="s">
        <v>251</v>
      </c>
      <c r="C10" s="16" t="s">
        <v>60</v>
      </c>
      <c r="D10" s="16">
        <v>1</v>
      </c>
      <c r="E10" s="16"/>
      <c r="F10" s="16"/>
      <c r="G10" s="16"/>
      <c r="H10" s="16"/>
      <c r="I10" s="16"/>
      <c r="J10" s="16">
        <v>1</v>
      </c>
      <c r="K10" s="16" t="s">
        <v>36</v>
      </c>
      <c r="L10" s="16" t="s">
        <v>37</v>
      </c>
      <c r="M10" s="16" t="s">
        <v>28</v>
      </c>
      <c r="N10" s="16" t="s">
        <v>25</v>
      </c>
      <c r="O10" s="16" t="s">
        <v>25</v>
      </c>
      <c r="P10" s="16">
        <v>20</v>
      </c>
      <c r="Q10" s="16">
        <v>0.8</v>
      </c>
      <c r="R10" s="16">
        <v>0</v>
      </c>
      <c r="S10" s="16">
        <v>0.2</v>
      </c>
    </row>
    <row r="11" spans="1:19" ht="15" x14ac:dyDescent="0.25">
      <c r="A11" s="16" t="s">
        <v>65</v>
      </c>
      <c r="B11" s="16" t="s">
        <v>252</v>
      </c>
      <c r="C11" s="16" t="s">
        <v>60</v>
      </c>
      <c r="D11" s="16"/>
      <c r="E11" s="16"/>
      <c r="F11" s="16"/>
      <c r="G11" s="16"/>
      <c r="H11" s="16">
        <v>1</v>
      </c>
      <c r="I11" s="16"/>
      <c r="J11" s="16">
        <v>1</v>
      </c>
      <c r="K11" s="16" t="s">
        <v>36</v>
      </c>
      <c r="L11" s="16" t="s">
        <v>37</v>
      </c>
      <c r="M11" s="16" t="s">
        <v>28</v>
      </c>
      <c r="N11" s="16" t="s">
        <v>25</v>
      </c>
      <c r="O11" s="16" t="s">
        <v>25</v>
      </c>
      <c r="P11" s="16">
        <v>20</v>
      </c>
      <c r="Q11" s="16">
        <v>0.8</v>
      </c>
      <c r="R11" s="16">
        <v>0</v>
      </c>
      <c r="S11" s="16">
        <v>0.2</v>
      </c>
    </row>
    <row r="12" spans="1:19" ht="15" x14ac:dyDescent="0.25">
      <c r="A12" s="16" t="s">
        <v>120</v>
      </c>
      <c r="B12" s="16" t="s">
        <v>253</v>
      </c>
      <c r="C12" s="16" t="s">
        <v>119</v>
      </c>
      <c r="D12" s="16"/>
      <c r="E12" s="16"/>
      <c r="F12" s="16"/>
      <c r="G12" s="16">
        <v>1</v>
      </c>
      <c r="H12" s="16">
        <v>1</v>
      </c>
      <c r="I12" s="16"/>
      <c r="J12" s="16">
        <v>2</v>
      </c>
      <c r="K12" s="16" t="s">
        <v>36</v>
      </c>
      <c r="L12" s="16" t="s">
        <v>37</v>
      </c>
      <c r="M12" s="16" t="s">
        <v>27</v>
      </c>
      <c r="N12" s="16" t="s">
        <v>25</v>
      </c>
      <c r="O12" s="16" t="s">
        <v>25</v>
      </c>
      <c r="P12" s="16">
        <v>10</v>
      </c>
      <c r="Q12" s="16">
        <v>1.8</v>
      </c>
      <c r="R12" s="16">
        <v>0</v>
      </c>
      <c r="S12" s="16">
        <v>0.2</v>
      </c>
    </row>
    <row r="13" spans="1:19" ht="15" x14ac:dyDescent="0.25">
      <c r="A13" s="16" t="s">
        <v>69</v>
      </c>
      <c r="B13" s="16" t="s">
        <v>254</v>
      </c>
      <c r="C13" s="16" t="s">
        <v>60</v>
      </c>
      <c r="D13" s="16"/>
      <c r="E13" s="16">
        <v>1</v>
      </c>
      <c r="F13" s="16"/>
      <c r="G13" s="16"/>
      <c r="H13" s="16"/>
      <c r="I13" s="16"/>
      <c r="J13" s="16">
        <v>1</v>
      </c>
      <c r="K13" s="16" t="s">
        <v>36</v>
      </c>
      <c r="L13" s="16" t="s">
        <v>37</v>
      </c>
      <c r="M13" s="16" t="s">
        <v>28</v>
      </c>
      <c r="N13" s="16" t="s">
        <v>25</v>
      </c>
      <c r="O13" s="16" t="s">
        <v>25</v>
      </c>
      <c r="P13" s="16">
        <v>20</v>
      </c>
      <c r="Q13" s="16">
        <v>0.8</v>
      </c>
      <c r="R13" s="16">
        <v>0</v>
      </c>
      <c r="S13" s="16">
        <v>0.2</v>
      </c>
    </row>
    <row r="14" spans="1:19" ht="15" x14ac:dyDescent="0.25">
      <c r="A14" s="16" t="s">
        <v>121</v>
      </c>
      <c r="B14" s="16" t="s">
        <v>255</v>
      </c>
      <c r="C14" s="16" t="s">
        <v>60</v>
      </c>
      <c r="D14" s="16"/>
      <c r="E14" s="16"/>
      <c r="F14" s="16">
        <v>3</v>
      </c>
      <c r="G14" s="16"/>
      <c r="H14" s="16"/>
      <c r="I14" s="16"/>
      <c r="J14" s="16">
        <v>3</v>
      </c>
      <c r="K14" s="16" t="s">
        <v>36</v>
      </c>
      <c r="L14" s="16" t="s">
        <v>37</v>
      </c>
      <c r="M14" s="16" t="s">
        <v>24</v>
      </c>
      <c r="N14" s="16" t="s">
        <v>25</v>
      </c>
      <c r="O14" s="16" t="s">
        <v>25</v>
      </c>
      <c r="P14" s="16">
        <v>50</v>
      </c>
      <c r="Q14" s="16">
        <v>1.5</v>
      </c>
      <c r="R14" s="16">
        <v>0</v>
      </c>
      <c r="S14" s="16">
        <v>1.5</v>
      </c>
    </row>
    <row r="15" spans="1:19" ht="15" x14ac:dyDescent="0.25">
      <c r="A15" s="16" t="s">
        <v>64</v>
      </c>
      <c r="B15" s="16" t="s">
        <v>256</v>
      </c>
      <c r="C15" s="16" t="s">
        <v>60</v>
      </c>
      <c r="D15" s="16"/>
      <c r="E15" s="16"/>
      <c r="F15" s="16">
        <v>1</v>
      </c>
      <c r="G15" s="16"/>
      <c r="H15" s="16"/>
      <c r="I15" s="16"/>
      <c r="J15" s="16">
        <v>1</v>
      </c>
      <c r="K15" s="16" t="s">
        <v>36</v>
      </c>
      <c r="L15" s="16" t="s">
        <v>37</v>
      </c>
      <c r="M15" s="16" t="s">
        <v>28</v>
      </c>
      <c r="N15" s="16" t="s">
        <v>25</v>
      </c>
      <c r="O15" s="16" t="s">
        <v>25</v>
      </c>
      <c r="P15" s="16">
        <v>20</v>
      </c>
      <c r="Q15" s="16">
        <v>0.8</v>
      </c>
      <c r="R15" s="16">
        <v>0</v>
      </c>
      <c r="S15" s="16">
        <v>0.2</v>
      </c>
    </row>
    <row r="16" spans="1:19" ht="15" x14ac:dyDescent="0.25">
      <c r="A16" s="16" t="s">
        <v>61</v>
      </c>
      <c r="B16" s="16" t="s">
        <v>257</v>
      </c>
      <c r="C16" s="16" t="s">
        <v>60</v>
      </c>
      <c r="D16" s="16"/>
      <c r="E16" s="16"/>
      <c r="F16" s="16"/>
      <c r="G16" s="16">
        <v>1</v>
      </c>
      <c r="H16" s="16"/>
      <c r="I16" s="16"/>
      <c r="J16" s="16">
        <v>1</v>
      </c>
      <c r="K16" s="16" t="s">
        <v>36</v>
      </c>
      <c r="L16" s="16" t="s">
        <v>37</v>
      </c>
      <c r="M16" s="16" t="s">
        <v>27</v>
      </c>
      <c r="N16" s="16" t="s">
        <v>25</v>
      </c>
      <c r="O16" s="16" t="s">
        <v>25</v>
      </c>
      <c r="P16" s="16">
        <v>10</v>
      </c>
      <c r="Q16" s="16">
        <v>0.9</v>
      </c>
      <c r="R16" s="16">
        <v>0</v>
      </c>
      <c r="S16" s="16">
        <v>0.1</v>
      </c>
    </row>
    <row r="17" spans="1:19" x14ac:dyDescent="0.2">
      <c r="A17" s="33"/>
      <c r="B17" s="33"/>
      <c r="C17" s="33"/>
      <c r="D17" s="33"/>
      <c r="E17" s="33"/>
      <c r="F17" s="33"/>
      <c r="G17" s="33"/>
      <c r="H17" s="33"/>
      <c r="I17" s="33"/>
      <c r="J17" s="33"/>
      <c r="K17" s="33"/>
      <c r="L17" s="33"/>
      <c r="M17" s="33"/>
      <c r="N17" s="33"/>
      <c r="O17" s="33"/>
      <c r="P17" s="33"/>
      <c r="Q17" s="33"/>
      <c r="R17" s="33"/>
      <c r="S17" s="67">
        <f>SUM(S2:S16)</f>
        <v>5.0500000000000007</v>
      </c>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1CEE-6590-4074-A2C8-42D4911CBD09}">
  <dimension ref="A1:C39"/>
  <sheetViews>
    <sheetView topLeftCell="A13" workbookViewId="0">
      <selection activeCell="I40" sqref="I40"/>
    </sheetView>
  </sheetViews>
  <sheetFormatPr baseColWidth="10" defaultRowHeight="15" x14ac:dyDescent="0.25"/>
  <cols>
    <col min="1" max="1" width="17" customWidth="1"/>
    <col min="2" max="2" width="83" customWidth="1"/>
    <col min="3" max="3" width="16" customWidth="1"/>
  </cols>
  <sheetData>
    <row r="1" spans="1:3" x14ac:dyDescent="0.25">
      <c r="A1" s="43" t="s">
        <v>106</v>
      </c>
      <c r="B1" s="43" t="s">
        <v>107</v>
      </c>
      <c r="C1" s="43" t="s">
        <v>122</v>
      </c>
    </row>
    <row r="2" spans="1:3" x14ac:dyDescent="0.25">
      <c r="A2" s="36" t="s">
        <v>1</v>
      </c>
      <c r="B2" s="36" t="s">
        <v>147</v>
      </c>
      <c r="C2" s="34">
        <v>36779.879999999997</v>
      </c>
    </row>
    <row r="3" spans="1:3" x14ac:dyDescent="0.25">
      <c r="A3" s="37" t="s">
        <v>108</v>
      </c>
      <c r="B3" s="37" t="s">
        <v>149</v>
      </c>
      <c r="C3" s="35">
        <v>6000</v>
      </c>
    </row>
    <row r="4" spans="1:3" x14ac:dyDescent="0.25">
      <c r="A4" s="36" t="s">
        <v>108</v>
      </c>
      <c r="B4" s="36" t="s">
        <v>150</v>
      </c>
      <c r="C4" s="34">
        <v>6000</v>
      </c>
    </row>
    <row r="5" spans="1:3" x14ac:dyDescent="0.25">
      <c r="A5" s="37" t="s">
        <v>124</v>
      </c>
      <c r="B5" s="37" t="s">
        <v>151</v>
      </c>
      <c r="C5" s="35">
        <v>2552</v>
      </c>
    </row>
    <row r="6" spans="1:3" x14ac:dyDescent="0.25">
      <c r="A6" s="36" t="s">
        <v>124</v>
      </c>
      <c r="B6" s="36" t="s">
        <v>152</v>
      </c>
      <c r="C6" s="34">
        <v>2552</v>
      </c>
    </row>
    <row r="7" spans="1:3" x14ac:dyDescent="0.25">
      <c r="A7" s="37" t="s">
        <v>124</v>
      </c>
      <c r="B7" s="37" t="s">
        <v>125</v>
      </c>
      <c r="C7" s="35">
        <v>2552</v>
      </c>
    </row>
    <row r="8" spans="1:3" x14ac:dyDescent="0.25">
      <c r="A8" s="36" t="s">
        <v>124</v>
      </c>
      <c r="B8" s="36" t="s">
        <v>153</v>
      </c>
      <c r="C8" s="34">
        <v>2552</v>
      </c>
    </row>
    <row r="9" spans="1:3" x14ac:dyDescent="0.25">
      <c r="A9" s="37" t="s">
        <v>124</v>
      </c>
      <c r="B9" s="37" t="s">
        <v>128</v>
      </c>
      <c r="C9" s="35">
        <v>2552</v>
      </c>
    </row>
    <row r="10" spans="1:3" x14ac:dyDescent="0.25">
      <c r="A10" s="36" t="s">
        <v>124</v>
      </c>
      <c r="B10" s="36" t="s">
        <v>154</v>
      </c>
      <c r="C10" s="34">
        <v>2552</v>
      </c>
    </row>
    <row r="11" spans="1:3" x14ac:dyDescent="0.25">
      <c r="A11" s="37" t="s">
        <v>124</v>
      </c>
      <c r="B11" s="37" t="s">
        <v>155</v>
      </c>
      <c r="C11" s="35">
        <v>2552</v>
      </c>
    </row>
    <row r="12" spans="1:3" x14ac:dyDescent="0.25">
      <c r="A12" s="36" t="s">
        <v>124</v>
      </c>
      <c r="B12" s="36" t="s">
        <v>156</v>
      </c>
      <c r="C12" s="34">
        <v>2552</v>
      </c>
    </row>
    <row r="13" spans="1:3" x14ac:dyDescent="0.25">
      <c r="A13" s="37" t="s">
        <v>124</v>
      </c>
      <c r="B13" s="37" t="s">
        <v>126</v>
      </c>
      <c r="C13" s="35">
        <v>2552</v>
      </c>
    </row>
    <row r="14" spans="1:3" x14ac:dyDescent="0.25">
      <c r="A14" s="36" t="s">
        <v>124</v>
      </c>
      <c r="B14" s="36" t="s">
        <v>157</v>
      </c>
      <c r="C14" s="34">
        <v>2552</v>
      </c>
    </row>
    <row r="15" spans="1:3" x14ac:dyDescent="0.25">
      <c r="A15" s="37" t="s">
        <v>124</v>
      </c>
      <c r="B15" s="37" t="s">
        <v>158</v>
      </c>
      <c r="C15" s="35">
        <v>2552</v>
      </c>
    </row>
    <row r="16" spans="1:3" x14ac:dyDescent="0.25">
      <c r="A16" s="36" t="s">
        <v>124</v>
      </c>
      <c r="B16" s="36" t="s">
        <v>159</v>
      </c>
      <c r="C16" s="34">
        <v>2552</v>
      </c>
    </row>
    <row r="17" spans="1:3" x14ac:dyDescent="0.25">
      <c r="A17" s="37" t="s">
        <v>129</v>
      </c>
      <c r="B17" s="37" t="s">
        <v>160</v>
      </c>
      <c r="C17" s="35">
        <v>132</v>
      </c>
    </row>
    <row r="18" spans="1:3" x14ac:dyDescent="0.25">
      <c r="A18" s="36" t="s">
        <v>129</v>
      </c>
      <c r="B18" s="36" t="s">
        <v>161</v>
      </c>
      <c r="C18" s="34">
        <v>132</v>
      </c>
    </row>
    <row r="19" spans="1:3" x14ac:dyDescent="0.25">
      <c r="A19" s="37" t="s">
        <v>129</v>
      </c>
      <c r="B19" s="37" t="s">
        <v>162</v>
      </c>
      <c r="C19" s="35">
        <v>132</v>
      </c>
    </row>
    <row r="20" spans="1:3" x14ac:dyDescent="0.25">
      <c r="A20" s="36" t="s">
        <v>129</v>
      </c>
      <c r="B20" s="36" t="s">
        <v>163</v>
      </c>
      <c r="C20" s="34">
        <v>132</v>
      </c>
    </row>
    <row r="21" spans="1:3" x14ac:dyDescent="0.25">
      <c r="A21" s="37" t="s">
        <v>129</v>
      </c>
      <c r="B21" s="37" t="s">
        <v>164</v>
      </c>
      <c r="C21" s="35">
        <v>836</v>
      </c>
    </row>
    <row r="22" spans="1:3" x14ac:dyDescent="0.25">
      <c r="A22" s="36" t="s">
        <v>129</v>
      </c>
      <c r="B22" s="36" t="s">
        <v>165</v>
      </c>
      <c r="C22" s="34">
        <v>440</v>
      </c>
    </row>
    <row r="23" spans="1:3" x14ac:dyDescent="0.25">
      <c r="A23" s="37" t="s">
        <v>129</v>
      </c>
      <c r="B23" s="37" t="s">
        <v>166</v>
      </c>
      <c r="C23" s="35">
        <v>132</v>
      </c>
    </row>
    <row r="24" spans="1:3" x14ac:dyDescent="0.25">
      <c r="A24" s="36" t="s">
        <v>129</v>
      </c>
      <c r="B24" s="36" t="s">
        <v>167</v>
      </c>
      <c r="C24" s="34">
        <v>176</v>
      </c>
    </row>
    <row r="25" spans="1:3" x14ac:dyDescent="0.25">
      <c r="A25" s="37" t="s">
        <v>129</v>
      </c>
      <c r="B25" s="37" t="s">
        <v>168</v>
      </c>
      <c r="C25" s="35">
        <v>704</v>
      </c>
    </row>
    <row r="26" spans="1:3" x14ac:dyDescent="0.25">
      <c r="A26" s="36" t="s">
        <v>129</v>
      </c>
      <c r="B26" s="36" t="s">
        <v>169</v>
      </c>
      <c r="C26" s="34">
        <v>440</v>
      </c>
    </row>
    <row r="27" spans="1:3" x14ac:dyDescent="0.25">
      <c r="A27" s="37" t="s">
        <v>129</v>
      </c>
      <c r="B27" s="37" t="s">
        <v>170</v>
      </c>
      <c r="C27" s="35">
        <v>176</v>
      </c>
    </row>
    <row r="28" spans="1:3" x14ac:dyDescent="0.25">
      <c r="A28" s="36" t="s">
        <v>129</v>
      </c>
      <c r="B28" s="36" t="s">
        <v>171</v>
      </c>
      <c r="C28" s="34">
        <v>1232</v>
      </c>
    </row>
    <row r="29" spans="1:3" x14ac:dyDescent="0.25">
      <c r="A29" s="37" t="s">
        <v>129</v>
      </c>
      <c r="B29" s="37" t="s">
        <v>172</v>
      </c>
      <c r="C29" s="35">
        <v>572</v>
      </c>
    </row>
    <row r="30" spans="1:3" x14ac:dyDescent="0.25">
      <c r="A30" s="36" t="s">
        <v>129</v>
      </c>
      <c r="B30" s="36" t="s">
        <v>173</v>
      </c>
      <c r="C30" s="34">
        <v>176</v>
      </c>
    </row>
    <row r="31" spans="1:3" x14ac:dyDescent="0.25">
      <c r="A31" s="37" t="s">
        <v>174</v>
      </c>
      <c r="B31" s="37" t="s">
        <v>175</v>
      </c>
      <c r="C31" s="35">
        <v>572</v>
      </c>
    </row>
    <row r="32" spans="1:3" x14ac:dyDescent="0.25">
      <c r="A32" s="36" t="s">
        <v>176</v>
      </c>
      <c r="B32" s="36" t="s">
        <v>177</v>
      </c>
      <c r="C32" s="34">
        <v>748</v>
      </c>
    </row>
    <row r="33" spans="1:3" x14ac:dyDescent="0.25">
      <c r="A33" s="37" t="s">
        <v>178</v>
      </c>
      <c r="B33" s="37" t="s">
        <v>179</v>
      </c>
      <c r="C33" s="35">
        <v>1320</v>
      </c>
    </row>
    <row r="34" spans="1:3" x14ac:dyDescent="0.25">
      <c r="A34" s="36" t="s">
        <v>123</v>
      </c>
      <c r="B34" s="36" t="s">
        <v>180</v>
      </c>
      <c r="C34" s="34">
        <v>9000</v>
      </c>
    </row>
    <row r="35" spans="1:3" x14ac:dyDescent="0.25">
      <c r="A35" s="37" t="s">
        <v>181</v>
      </c>
      <c r="B35" s="37" t="s">
        <v>182</v>
      </c>
      <c r="C35" s="35">
        <v>9000</v>
      </c>
    </row>
    <row r="36" spans="1:3" x14ac:dyDescent="0.25">
      <c r="A36" s="36" t="s">
        <v>146</v>
      </c>
      <c r="B36" s="36" t="s">
        <v>183</v>
      </c>
      <c r="C36" s="34">
        <v>18000</v>
      </c>
    </row>
    <row r="37" spans="1:3" x14ac:dyDescent="0.25">
      <c r="A37" s="41" t="s">
        <v>184</v>
      </c>
      <c r="B37" s="41" t="s">
        <v>185</v>
      </c>
      <c r="C37" s="40">
        <v>8500</v>
      </c>
    </row>
    <row r="38" spans="1:3" x14ac:dyDescent="0.25">
      <c r="A38" s="41" t="s">
        <v>0</v>
      </c>
      <c r="B38" s="41"/>
      <c r="C38" s="42">
        <f>SUBTOTAL(109,Tabla2[Imp.cob.aplic.])</f>
        <v>131955.88</v>
      </c>
    </row>
    <row r="39" spans="1:3" x14ac:dyDescent="0.25">
      <c r="C39" s="3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EDF7E-BAC1-46C2-8A3F-B636ED50426B}">
  <dimension ref="A1:C26"/>
  <sheetViews>
    <sheetView workbookViewId="0">
      <selection activeCell="B29" sqref="B29:C29"/>
    </sheetView>
  </sheetViews>
  <sheetFormatPr baseColWidth="10" defaultRowHeight="15" x14ac:dyDescent="0.25"/>
  <cols>
    <col min="1" max="1" width="17.140625" customWidth="1"/>
    <col min="2" max="2" width="61.140625" customWidth="1"/>
    <col min="3" max="3" width="13.140625" customWidth="1"/>
  </cols>
  <sheetData>
    <row r="1" spans="1:3" x14ac:dyDescent="0.25">
      <c r="A1" s="48" t="s">
        <v>204</v>
      </c>
      <c r="B1" s="48" t="s">
        <v>107</v>
      </c>
      <c r="C1" s="49" t="s">
        <v>205</v>
      </c>
    </row>
    <row r="2" spans="1:3" x14ac:dyDescent="0.25">
      <c r="A2" s="44" t="s">
        <v>1</v>
      </c>
      <c r="B2" s="44" t="s">
        <v>206</v>
      </c>
      <c r="C2" s="45">
        <v>43282.03</v>
      </c>
    </row>
    <row r="3" spans="1:3" x14ac:dyDescent="0.25">
      <c r="A3" s="46" t="s">
        <v>124</v>
      </c>
      <c r="B3" s="46" t="s">
        <v>207</v>
      </c>
      <c r="C3" s="47">
        <v>2552</v>
      </c>
    </row>
    <row r="4" spans="1:3" x14ac:dyDescent="0.25">
      <c r="A4" s="44" t="s">
        <v>124</v>
      </c>
      <c r="B4" s="44" t="s">
        <v>157</v>
      </c>
      <c r="C4" s="45">
        <v>2552</v>
      </c>
    </row>
    <row r="5" spans="1:3" x14ac:dyDescent="0.25">
      <c r="A5" s="46" t="s">
        <v>124</v>
      </c>
      <c r="B5" s="46" t="s">
        <v>154</v>
      </c>
      <c r="C5" s="47">
        <v>2552</v>
      </c>
    </row>
    <row r="6" spans="1:3" x14ac:dyDescent="0.25">
      <c r="A6" s="44" t="s">
        <v>124</v>
      </c>
      <c r="B6" s="44" t="s">
        <v>208</v>
      </c>
      <c r="C6" s="45">
        <v>2552</v>
      </c>
    </row>
    <row r="7" spans="1:3" x14ac:dyDescent="0.25">
      <c r="A7" s="46" t="s">
        <v>124</v>
      </c>
      <c r="B7" s="46" t="s">
        <v>155</v>
      </c>
      <c r="C7" s="47">
        <v>2552</v>
      </c>
    </row>
    <row r="8" spans="1:3" x14ac:dyDescent="0.25">
      <c r="A8" s="44" t="s">
        <v>124</v>
      </c>
      <c r="B8" s="44" t="s">
        <v>153</v>
      </c>
      <c r="C8" s="45">
        <v>2552</v>
      </c>
    </row>
    <row r="9" spans="1:3" x14ac:dyDescent="0.25">
      <c r="A9" s="46" t="s">
        <v>124</v>
      </c>
      <c r="B9" s="46" t="s">
        <v>159</v>
      </c>
      <c r="C9" s="47">
        <v>2552</v>
      </c>
    </row>
    <row r="10" spans="1:3" x14ac:dyDescent="0.25">
      <c r="A10" s="44" t="s">
        <v>124</v>
      </c>
      <c r="B10" s="44" t="s">
        <v>151</v>
      </c>
      <c r="C10" s="45">
        <v>2552</v>
      </c>
    </row>
    <row r="11" spans="1:3" x14ac:dyDescent="0.25">
      <c r="A11" s="46" t="s">
        <v>124</v>
      </c>
      <c r="B11" s="46" t="s">
        <v>209</v>
      </c>
      <c r="C11" s="47">
        <v>2552</v>
      </c>
    </row>
    <row r="12" spans="1:3" x14ac:dyDescent="0.25">
      <c r="A12" s="44" t="s">
        <v>124</v>
      </c>
      <c r="B12" s="44" t="s">
        <v>127</v>
      </c>
      <c r="C12" s="45">
        <v>2552</v>
      </c>
    </row>
    <row r="13" spans="1:3" x14ac:dyDescent="0.25">
      <c r="A13" s="46" t="s">
        <v>124</v>
      </c>
      <c r="B13" s="46" t="s">
        <v>128</v>
      </c>
      <c r="C13" s="47">
        <v>2552</v>
      </c>
    </row>
    <row r="14" spans="1:3" x14ac:dyDescent="0.25">
      <c r="A14" s="44" t="s">
        <v>124</v>
      </c>
      <c r="B14" s="44" t="s">
        <v>158</v>
      </c>
      <c r="C14" s="45">
        <v>2552</v>
      </c>
    </row>
    <row r="15" spans="1:3" x14ac:dyDescent="0.25">
      <c r="A15" s="46" t="s">
        <v>129</v>
      </c>
      <c r="B15" s="46" t="s">
        <v>210</v>
      </c>
      <c r="C15" s="47">
        <v>440</v>
      </c>
    </row>
    <row r="16" spans="1:3" x14ac:dyDescent="0.25">
      <c r="A16" s="44" t="s">
        <v>129</v>
      </c>
      <c r="B16" s="44" t="s">
        <v>211</v>
      </c>
      <c r="C16" s="45">
        <v>440</v>
      </c>
    </row>
    <row r="17" spans="1:3" x14ac:dyDescent="0.25">
      <c r="A17" s="46" t="s">
        <v>129</v>
      </c>
      <c r="B17" s="46" t="s">
        <v>212</v>
      </c>
      <c r="C17" s="47">
        <v>132</v>
      </c>
    </row>
    <row r="18" spans="1:3" x14ac:dyDescent="0.25">
      <c r="A18" s="44" t="s">
        <v>129</v>
      </c>
      <c r="B18" s="44" t="s">
        <v>213</v>
      </c>
      <c r="C18" s="45">
        <v>132</v>
      </c>
    </row>
    <row r="19" spans="1:3" x14ac:dyDescent="0.25">
      <c r="A19" s="46" t="s">
        <v>129</v>
      </c>
      <c r="B19" s="46" t="s">
        <v>214</v>
      </c>
      <c r="C19" s="47">
        <v>132</v>
      </c>
    </row>
    <row r="20" spans="1:3" x14ac:dyDescent="0.25">
      <c r="A20" s="44" t="s">
        <v>181</v>
      </c>
      <c r="B20" s="44" t="s">
        <v>215</v>
      </c>
      <c r="C20" s="45">
        <v>18000</v>
      </c>
    </row>
    <row r="21" spans="1:3" x14ac:dyDescent="0.25">
      <c r="A21" s="46" t="s">
        <v>216</v>
      </c>
      <c r="B21" s="46" t="s">
        <v>217</v>
      </c>
      <c r="C21" s="47">
        <v>5250</v>
      </c>
    </row>
    <row r="22" spans="1:3" x14ac:dyDescent="0.25">
      <c r="A22" s="44" t="s">
        <v>216</v>
      </c>
      <c r="B22" s="44" t="s">
        <v>218</v>
      </c>
      <c r="C22" s="45">
        <v>-1450</v>
      </c>
    </row>
    <row r="23" spans="1:3" x14ac:dyDescent="0.25">
      <c r="A23" s="46" t="s">
        <v>219</v>
      </c>
      <c r="B23" s="46" t="s">
        <v>220</v>
      </c>
      <c r="C23" s="47">
        <v>1320</v>
      </c>
    </row>
    <row r="24" spans="1:3" x14ac:dyDescent="0.25">
      <c r="A24" s="44" t="s">
        <v>146</v>
      </c>
      <c r="B24" s="44" t="s">
        <v>221</v>
      </c>
      <c r="C24" s="45">
        <v>12000</v>
      </c>
    </row>
    <row r="25" spans="1:3" x14ac:dyDescent="0.25">
      <c r="A25" s="50" t="s">
        <v>222</v>
      </c>
      <c r="B25" s="50" t="s">
        <v>223</v>
      </c>
      <c r="C25" s="51">
        <v>8800</v>
      </c>
    </row>
    <row r="26" spans="1:3" x14ac:dyDescent="0.25">
      <c r="A26" s="52" t="s">
        <v>0</v>
      </c>
      <c r="B26" s="52"/>
      <c r="C26" s="53">
        <f>SUBTOTAL(109,Tabla3[Imp. aplic.])</f>
        <v>119102.03</v>
      </c>
    </row>
  </sheetData>
  <pageMargins left="0.7" right="0.7" top="0.75" bottom="0.75" header="0.3" footer="0.3"/>
  <pageSetup paperSize="9"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38034-D04D-4ABE-AD32-845DC9BDA1C7}">
  <dimension ref="A1:C34"/>
  <sheetViews>
    <sheetView topLeftCell="A13" workbookViewId="0">
      <selection activeCell="C40" sqref="C40"/>
    </sheetView>
  </sheetViews>
  <sheetFormatPr baseColWidth="10" defaultRowHeight="15" x14ac:dyDescent="0.25"/>
  <cols>
    <col min="1" max="1" width="18.7109375" customWidth="1"/>
    <col min="2" max="2" width="45" customWidth="1"/>
    <col min="3" max="3" width="15.7109375" customWidth="1"/>
  </cols>
  <sheetData>
    <row r="1" spans="1:3" x14ac:dyDescent="0.25">
      <c r="A1" s="56" t="s">
        <v>204</v>
      </c>
      <c r="B1" s="57" t="s">
        <v>107</v>
      </c>
      <c r="C1" s="57" t="s">
        <v>205</v>
      </c>
    </row>
    <row r="2" spans="1:3" x14ac:dyDescent="0.25">
      <c r="A2" s="58" t="s">
        <v>1</v>
      </c>
      <c r="B2" s="59" t="s">
        <v>258</v>
      </c>
      <c r="C2" s="60">
        <v>40280.559999999998</v>
      </c>
    </row>
    <row r="3" spans="1:3" x14ac:dyDescent="0.25">
      <c r="A3" s="61" t="s">
        <v>124</v>
      </c>
      <c r="B3" s="62" t="s">
        <v>259</v>
      </c>
      <c r="C3" s="63">
        <v>2552</v>
      </c>
    </row>
    <row r="4" spans="1:3" x14ac:dyDescent="0.25">
      <c r="A4" s="58" t="s">
        <v>124</v>
      </c>
      <c r="B4" s="59" t="s">
        <v>260</v>
      </c>
      <c r="C4" s="60">
        <v>2552</v>
      </c>
    </row>
    <row r="5" spans="1:3" x14ac:dyDescent="0.25">
      <c r="A5" s="61" t="s">
        <v>124</v>
      </c>
      <c r="B5" s="62" t="s">
        <v>261</v>
      </c>
      <c r="C5" s="63">
        <v>2552</v>
      </c>
    </row>
    <row r="6" spans="1:3" x14ac:dyDescent="0.25">
      <c r="A6" s="58" t="s">
        <v>124</v>
      </c>
      <c r="B6" s="59" t="s">
        <v>262</v>
      </c>
      <c r="C6" s="60">
        <v>2552</v>
      </c>
    </row>
    <row r="7" spans="1:3" x14ac:dyDescent="0.25">
      <c r="A7" s="61" t="s">
        <v>124</v>
      </c>
      <c r="B7" s="62" t="s">
        <v>263</v>
      </c>
      <c r="C7" s="63">
        <v>2552</v>
      </c>
    </row>
    <row r="8" spans="1:3" x14ac:dyDescent="0.25">
      <c r="A8" s="58" t="s">
        <v>124</v>
      </c>
      <c r="B8" s="59" t="s">
        <v>264</v>
      </c>
      <c r="C8" s="60">
        <v>2552</v>
      </c>
    </row>
    <row r="9" spans="1:3" x14ac:dyDescent="0.25">
      <c r="A9" s="61" t="s">
        <v>124</v>
      </c>
      <c r="B9" s="62" t="s">
        <v>265</v>
      </c>
      <c r="C9" s="63">
        <v>2552</v>
      </c>
    </row>
    <row r="10" spans="1:3" x14ac:dyDescent="0.25">
      <c r="A10" s="58" t="s">
        <v>124</v>
      </c>
      <c r="B10" s="59" t="s">
        <v>266</v>
      </c>
      <c r="C10" s="60">
        <v>2552</v>
      </c>
    </row>
    <row r="11" spans="1:3" x14ac:dyDescent="0.25">
      <c r="A11" s="61" t="s">
        <v>124</v>
      </c>
      <c r="B11" s="62" t="s">
        <v>267</v>
      </c>
      <c r="C11" s="63">
        <v>2552</v>
      </c>
    </row>
    <row r="12" spans="1:3" x14ac:dyDescent="0.25">
      <c r="A12" s="58" t="s">
        <v>124</v>
      </c>
      <c r="B12" s="59" t="s">
        <v>268</v>
      </c>
      <c r="C12" s="60">
        <v>2552</v>
      </c>
    </row>
    <row r="13" spans="1:3" x14ac:dyDescent="0.25">
      <c r="A13" s="61" t="s">
        <v>124</v>
      </c>
      <c r="B13" s="62" t="s">
        <v>269</v>
      </c>
      <c r="C13" s="63">
        <v>2552</v>
      </c>
    </row>
    <row r="14" spans="1:3" x14ac:dyDescent="0.25">
      <c r="A14" s="58" t="s">
        <v>124</v>
      </c>
      <c r="B14" s="59" t="s">
        <v>270</v>
      </c>
      <c r="C14" s="60">
        <v>2552</v>
      </c>
    </row>
    <row r="15" spans="1:3" x14ac:dyDescent="0.25">
      <c r="A15" s="61" t="s">
        <v>129</v>
      </c>
      <c r="B15" s="62" t="s">
        <v>271</v>
      </c>
      <c r="C15" s="63">
        <v>176</v>
      </c>
    </row>
    <row r="16" spans="1:3" x14ac:dyDescent="0.25">
      <c r="A16" s="58" t="s">
        <v>129</v>
      </c>
      <c r="B16" s="59" t="s">
        <v>272</v>
      </c>
      <c r="C16" s="60">
        <v>704</v>
      </c>
    </row>
    <row r="17" spans="1:3" x14ac:dyDescent="0.25">
      <c r="A17" s="61" t="s">
        <v>129</v>
      </c>
      <c r="B17" s="62" t="s">
        <v>273</v>
      </c>
      <c r="C17" s="63">
        <v>528</v>
      </c>
    </row>
    <row r="18" spans="1:3" x14ac:dyDescent="0.25">
      <c r="A18" s="58" t="s">
        <v>129</v>
      </c>
      <c r="B18" s="59" t="s">
        <v>274</v>
      </c>
      <c r="C18" s="60">
        <v>132</v>
      </c>
    </row>
    <row r="19" spans="1:3" x14ac:dyDescent="0.25">
      <c r="A19" s="61" t="s">
        <v>129</v>
      </c>
      <c r="B19" s="62" t="s">
        <v>275</v>
      </c>
      <c r="C19" s="63">
        <v>132</v>
      </c>
    </row>
    <row r="20" spans="1:3" x14ac:dyDescent="0.25">
      <c r="A20" s="58" t="s">
        <v>129</v>
      </c>
      <c r="B20" s="59" t="s">
        <v>276</v>
      </c>
      <c r="C20" s="60">
        <v>528</v>
      </c>
    </row>
    <row r="21" spans="1:3" x14ac:dyDescent="0.25">
      <c r="A21" s="61" t="s">
        <v>129</v>
      </c>
      <c r="B21" s="62" t="s">
        <v>277</v>
      </c>
      <c r="C21" s="63">
        <v>704</v>
      </c>
    </row>
    <row r="22" spans="1:3" x14ac:dyDescent="0.25">
      <c r="A22" s="58" t="s">
        <v>129</v>
      </c>
      <c r="B22" s="59" t="s">
        <v>278</v>
      </c>
      <c r="C22" s="60">
        <v>132</v>
      </c>
    </row>
    <row r="23" spans="1:3" x14ac:dyDescent="0.25">
      <c r="A23" s="61" t="s">
        <v>279</v>
      </c>
      <c r="B23" s="62" t="s">
        <v>280</v>
      </c>
      <c r="C23" s="63">
        <v>616</v>
      </c>
    </row>
    <row r="24" spans="1:3" x14ac:dyDescent="0.25">
      <c r="A24" s="58" t="s">
        <v>281</v>
      </c>
      <c r="B24" s="59" t="s">
        <v>282</v>
      </c>
      <c r="C24" s="60">
        <v>466.4</v>
      </c>
    </row>
    <row r="25" spans="1:3" x14ac:dyDescent="0.25">
      <c r="A25" s="61" t="s">
        <v>283</v>
      </c>
      <c r="B25" s="62" t="s">
        <v>284</v>
      </c>
      <c r="C25" s="63">
        <v>985.6</v>
      </c>
    </row>
    <row r="26" spans="1:3" x14ac:dyDescent="0.25">
      <c r="A26" s="58" t="s">
        <v>285</v>
      </c>
      <c r="B26" s="59" t="s">
        <v>286</v>
      </c>
      <c r="C26" s="60">
        <v>528</v>
      </c>
    </row>
    <row r="27" spans="1:3" x14ac:dyDescent="0.25">
      <c r="A27" s="61" t="s">
        <v>181</v>
      </c>
      <c r="B27" s="62" t="s">
        <v>287</v>
      </c>
      <c r="C27" s="63">
        <v>9000</v>
      </c>
    </row>
    <row r="28" spans="1:3" x14ac:dyDescent="0.25">
      <c r="A28" s="58" t="s">
        <v>216</v>
      </c>
      <c r="B28" s="59" t="s">
        <v>288</v>
      </c>
      <c r="C28" s="60">
        <v>18000</v>
      </c>
    </row>
    <row r="29" spans="1:3" ht="15.75" thickBot="1" x14ac:dyDescent="0.3">
      <c r="A29" s="61" t="s">
        <v>289</v>
      </c>
      <c r="B29" s="62" t="s">
        <v>290</v>
      </c>
      <c r="C29" s="63">
        <v>9000</v>
      </c>
    </row>
    <row r="30" spans="1:3" ht="15.75" thickTop="1" x14ac:dyDescent="0.25">
      <c r="A30" s="64" t="s">
        <v>0</v>
      </c>
      <c r="B30" s="65"/>
      <c r="C30" s="66">
        <v>112536.56</v>
      </c>
    </row>
    <row r="34" spans="2:3" x14ac:dyDescent="0.25">
      <c r="B34" s="54" t="s">
        <v>291</v>
      </c>
      <c r="C34" s="55">
        <f>C30+Tabla2[[#Totals],[Imp.cob.aplic.]]+Tabla3[[#Totals],[Imp. aplic.]]</f>
        <v>363594.47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Tesis</vt:lpstr>
      <vt:lpstr>Sexenios</vt:lpstr>
      <vt:lpstr>Ingresos investigación 2023</vt:lpstr>
      <vt:lpstr>Ingresos investigación 2024</vt:lpstr>
      <vt:lpstr>Ingresos investigación 2025</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dcterms:created xsi:type="dcterms:W3CDTF">2019-07-03T07:15:54Z</dcterms:created>
  <dcterms:modified xsi:type="dcterms:W3CDTF">2026-05-28T09:26:21Z</dcterms:modified>
</cp:coreProperties>
</file>