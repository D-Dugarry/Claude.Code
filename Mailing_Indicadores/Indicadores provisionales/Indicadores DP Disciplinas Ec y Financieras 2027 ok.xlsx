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N:\_Unidad_Presupuestos\2_PRESUPUESTACIÓN\Presupuesto 2027\Datos\D-I\Indicadores provisionales\"/>
    </mc:Choice>
  </mc:AlternateContent>
  <xr:revisionPtr revIDLastSave="0" documentId="13_ncr:1_{1C42CE56-6752-44C1-A288-5E1385CC3260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Tesis" sheetId="2" r:id="rId1"/>
    <sheet name="Sexenios" sheetId="3" r:id="rId2"/>
    <sheet name="Ingresos investigación 2023" sheetId="11" r:id="rId3"/>
    <sheet name="Ingresos investigación 2024" sheetId="12" r:id="rId4"/>
    <sheet name="Ingresos investigación 2025" sheetId="13" r:id="rId5"/>
  </sheets>
  <definedNames>
    <definedName name="_xlnm._FilterDatabase" localSheetId="1" hidden="1">Sexenios!#REF!</definedName>
    <definedName name="_xlnm._FilterDatabase" localSheetId="0" hidden="1">Tesis!$A$1:$U$2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13" l="1"/>
  <c r="C9" i="11"/>
  <c r="C5" i="12"/>
  <c r="S11" i="3"/>
  <c r="S4" i="2"/>
</calcChain>
</file>

<file path=xl/sharedStrings.xml><?xml version="1.0" encoding="utf-8"?>
<sst xmlns="http://schemas.openxmlformats.org/spreadsheetml/2006/main" count="164" uniqueCount="108">
  <si>
    <t>Total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</si>
  <si>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</si>
  <si>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</si>
  <si>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</si>
  <si>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</si>
  <si>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</si>
  <si>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</si>
  <si>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</si>
  <si>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</si>
  <si>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</si>
  <si>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</si>
  <si>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</si>
  <si>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</si>
  <si>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</si>
  <si>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</si>
  <si>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</si>
  <si>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</si>
  <si>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</si>
  <si>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</si>
  <si>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</si>
  <si>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</si>
  <si>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</si>
  <si>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/>
  </si>
  <si>
    <t>Director de tesis </t>
  </si>
  <si>
    <t>U025 </t>
  </si>
  <si>
    <t>ADM. FACULTAD DE DERECHO </t>
  </si>
  <si>
    <t>DOCTORADO EN DERECHO </t>
  </si>
  <si>
    <t>B109 </t>
  </si>
  <si>
    <t>DISCIPLINAS ECONÓMICAS Y FINANCIERAS </t>
  </si>
  <si>
    <t>B109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</si>
  <si>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</si>
  <si>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</si>
  <si>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</si>
  <si>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</si>
  <si>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</si>
  <si>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</si>
  <si>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</si>
  <si>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</si>
  <si>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</si>
  <si>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</si>
  <si>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</si>
  <si>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</si>
  <si>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</si>
  <si>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21468574Y</t>
  </si>
  <si>
    <t>24374589V</t>
  </si>
  <si>
    <t>33486204K</t>
  </si>
  <si>
    <t>21503855M</t>
  </si>
  <si>
    <t>21438816X</t>
  </si>
  <si>
    <t>52769212J</t>
  </si>
  <si>
    <t>48316179X</t>
  </si>
  <si>
    <t>COD DEP</t>
  </si>
  <si>
    <t>10.06</t>
  </si>
  <si>
    <t>48667486S</t>
  </si>
  <si>
    <t>NO FUNCIONARIO</t>
  </si>
  <si>
    <t>31.80.6P.00.06</t>
  </si>
  <si>
    <t>31.80.6P.00.07</t>
  </si>
  <si>
    <t>31.80.6P.00.08</t>
  </si>
  <si>
    <t>Cód. org. aplic.</t>
  </si>
  <si>
    <t>Descripción justificante</t>
  </si>
  <si>
    <t>Imp.cob.aplic.</t>
  </si>
  <si>
    <t>Riera Pastor, Víctor </t>
  </si>
  <si>
    <t>La tributación de los funcionarios y agentes de las instituciones de la Unión Europea </t>
  </si>
  <si>
    <t>26/05/2023 </t>
  </si>
  <si>
    <t>48316179X </t>
  </si>
  <si>
    <t>Vivos</t>
  </si>
  <si>
    <t>DEVOLUCIÓN DE INGRESOS_MODELO 047_Nº DE LIQUIDACIÓN:46/2023/RAS/10414/1 Nº DE JUSTIFICANTE:047/1/002412503_Nº DE REFERENCIA:047/1/002412503</t>
  </si>
  <si>
    <t>S</t>
  </si>
  <si>
    <t>PROMETEO/2020/063-064-089-092</t>
  </si>
  <si>
    <t xml:space="preserve">Abono parcial del justificante 2022/000000046187 con factura de abono 2023/A00000000060  y compensado en el justificante 2023/28316 de el corte inglés.  </t>
  </si>
  <si>
    <t>DEVOLUCIÓN DE INGRESOS_CARTA DE PAGO_ REINTEGRO EN VOLUNTARIA DE LA REFERENCIA PID2019-108963RB-I00, anualidad: 2020</t>
  </si>
  <si>
    <t xml:space="preserve">Abono parcial del justificante 46188/2022 de la empresa  "Viajes el corte inglés" con número de abono 2023/A000059  y compensado en el justificante 2023/00028401 </t>
  </si>
  <si>
    <t>DEVOLUCIÓN DE INGRESOS_MODELO 047_ Nº de liquidación:46/2023/RAS/10224/1_Número de justificante: 047/1/002367815_Nº de referencia:047/1/002367815</t>
  </si>
  <si>
    <t>31.80.6P.00.09</t>
  </si>
  <si>
    <t xml:space="preserve">ayudas PID2022  138464NB-142516OB-139990NB-141382OB-137350NB-139899OB--136847NB-137385NB-139294NB-137873NA-138786NB-141712NB-136590OB-139105OB-142356NB-141694NB-136399NB  </t>
  </si>
  <si>
    <t>U025</t>
  </si>
  <si>
    <t>ADM. FACULTAD DE DERECHO</t>
  </si>
  <si>
    <t>DOCTORADO EN DERECHO</t>
  </si>
  <si>
    <t>Gallo , Enrico</t>
  </si>
  <si>
    <t>La inteligencia artificial en la resolución de los conflictos sobre precios de transferencia</t>
  </si>
  <si>
    <t>09/02/2024</t>
  </si>
  <si>
    <t>Codirector de tesis</t>
  </si>
  <si>
    <t>DISCIPLINAS ECONÓMICAS Y FINANCIERAS</t>
  </si>
  <si>
    <t>25</t>
  </si>
  <si>
    <t>Org. aplic.</t>
  </si>
  <si>
    <t>Imp. aplic.</t>
  </si>
  <si>
    <t>DEVOLOUCIÓN DE INGRESOS_MODELO 047_Nº DE LIQUIDACIÓN 46/2024/RAS/10180/1_Nº DE JUSTIFICANTE: 047/1/002507580_Nº DE REFERENCIA: 047/1/002507580</t>
  </si>
  <si>
    <t>PID2022-138464NB-I00-142516OB-I00-139990NB-I00-141382OB-I00-139899OB-I00-136847NB-I00-137385NB-I00-139294NB-I00-137873NA-I00-138786NB-I00-136590OB-C43</t>
  </si>
  <si>
    <t>31.80.6P.00.10</t>
  </si>
  <si>
    <t xml:space="preserve">ayudas CIPROM/2023/2, CIPROM/2023/3, CIPROM/2023/6, CIPROM/2023/11, CIPROM/2023/35 </t>
  </si>
  <si>
    <t>2020</t>
  </si>
  <si>
    <t>2021</t>
  </si>
  <si>
    <t>2022</t>
  </si>
  <si>
    <t>2023</t>
  </si>
  <si>
    <t>2024</t>
  </si>
  <si>
    <t>2025</t>
  </si>
  <si>
    <t>Navarro Faure, Amparo</t>
  </si>
  <si>
    <t>Cencerrado Millán, Emilio</t>
  </si>
  <si>
    <t>Martínez Muñoz, María Yolanda</t>
  </si>
  <si>
    <t>Martín López, Jorge</t>
  </si>
  <si>
    <t>Martínez Giner, Luis Alfonso</t>
  </si>
  <si>
    <t>Ribes Ribes, Aurora</t>
  </si>
  <si>
    <t>Gil García, Elizabeth</t>
  </si>
  <si>
    <t>Pérez Bernabeu, Begoña</t>
  </si>
  <si>
    <t>Z2163639B</t>
  </si>
  <si>
    <t>Papis Almansa, Marta Agnieszka</t>
  </si>
  <si>
    <t>AYUDAS PID2022-138464NB-I00, PID2022-142516OB-I00, PID2022-139990NB-I00, PID2022-141382OB-, 00, PID2022-139899OB-I00, PID2022-136847NB-I00, PID2022-137385NB-I00, PID2022-139294NB-I00, PID2022-137873NA-I00, PID2022-138786NB-I00,PID2022-136590OB-C43, PID2022-139105OB-I00, PID2022-141712NB-C22, PID2022-142356NB-I00, PID2022-141694NB-I00, PID2022-136399NB-C21, PID2022-142159OB-I00,PID2022-137566OB-I00, PID2022-139552OB-C22, PID2022-137302NB-C33, PID2022-139820NB-I00, PID2022-142960OB-C21, PID2022-138111NB-I00, PID2022-141543OB-I00, PID2022-137350NB-I00, PID2022-138491OB-C32, PID2022-137364OB-I00, PID2022-138329NB-I00, PID2022-142830NB-I00, PID2022-138453OB-I00, PID2022-138696OB-C22, PID2022-138853NB-I00, PID2022-142712NB-I00,</t>
  </si>
  <si>
    <t>CIPROM/2023/2/3/6/11/35</t>
  </si>
  <si>
    <t>Total ingresos investigación 2023-25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</si>
</sst>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\ _€_-;\-* #,##0.00\ _€_-;_-* &quot;-&quot;??\ _€_-;_-@_-"/>
    <numFmt numFmtId="165" formatCode="0.0"/>
    <numFmt numFmtId="166" formatCode="#,##0.0"/>
  </numFmts>
  <fonts count="19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Arial"/>
    </font>
    <font>
      <sz val="10"/>
      <color theme="1"/>
      <name val="Arial"/>
    </font>
    <font>
      <b/>
      <sz val="10"/>
      <color theme="1"/>
      <name val="Arial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</borders>
  <cellStyleXfs count="7">
    <xf numFmtId="0" fontId="0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164" fontId="10" fillId="0" borderId="0" applyFont="0" applyFill="0" applyBorder="0" applyAlignment="0" applyProtection="0"/>
  </cellStyleXfs>
  <cellXfs count="66">
    <xf numFmtId="0" fontId="0" fillId="0" borderId="0" xfId="0"/>
    <xf numFmtId="0" fontId="3" fillId="3" borderId="1" xfId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/>
    </xf>
    <xf numFmtId="0" fontId="4" fillId="3" borderId="1" xfId="2" applyFont="1" applyFill="1" applyBorder="1" applyAlignment="1">
      <alignment horizontal="center"/>
    </xf>
    <xf numFmtId="0" fontId="4" fillId="3" borderId="1" xfId="3" applyFont="1" applyFill="1" applyBorder="1" applyAlignment="1">
      <alignment horizontal="center" wrapText="1"/>
    </xf>
    <xf numFmtId="0" fontId="4" fillId="3" borderId="1" xfId="3" applyFont="1" applyFill="1" applyBorder="1" applyAlignment="1">
      <alignment horizontal="right" wrapText="1"/>
    </xf>
    <xf numFmtId="0" fontId="2" fillId="4" borderId="0" xfId="1" applyFill="1"/>
    <xf numFmtId="0" fontId="2" fillId="4" borderId="0" xfId="1" applyFill="1" applyAlignment="1">
      <alignment horizontal="right"/>
    </xf>
    <xf numFmtId="0" fontId="8" fillId="5" borderId="1" xfId="3" applyFont="1" applyFill="1" applyBorder="1" applyAlignment="1">
      <alignment horizontal="center" textRotation="90" wrapText="1"/>
    </xf>
    <xf numFmtId="0" fontId="8" fillId="3" borderId="1" xfId="3" applyFont="1" applyFill="1" applyBorder="1" applyAlignment="1">
      <alignment horizontal="center" textRotation="90" wrapText="1"/>
    </xf>
    <xf numFmtId="0" fontId="5" fillId="0" borderId="0" xfId="5" applyFont="1"/>
    <xf numFmtId="0" fontId="9" fillId="0" borderId="0" xfId="5" applyFont="1"/>
    <xf numFmtId="0" fontId="9" fillId="0" borderId="0" xfId="5" applyFont="1" applyAlignment="1">
      <alignment horizontal="right"/>
    </xf>
    <xf numFmtId="0" fontId="7" fillId="2" borderId="1" xfId="0" applyFont="1" applyFill="1" applyBorder="1"/>
    <xf numFmtId="0" fontId="7" fillId="2" borderId="1" xfId="0" applyFont="1" applyFill="1" applyBorder="1" applyAlignment="1">
      <alignment textRotation="90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4" borderId="1" xfId="1" applyFill="1" applyBorder="1"/>
    <xf numFmtId="165" fontId="2" fillId="4" borderId="1" xfId="1" applyNumberFormat="1" applyFill="1" applyBorder="1"/>
    <xf numFmtId="0" fontId="2" fillId="4" borderId="1" xfId="1" applyFill="1" applyBorder="1" applyAlignment="1">
      <alignment horizontal="right"/>
    </xf>
    <xf numFmtId="1" fontId="2" fillId="4" borderId="1" xfId="1" applyNumberFormat="1" applyFill="1" applyBorder="1"/>
    <xf numFmtId="166" fontId="2" fillId="4" borderId="1" xfId="1" applyNumberFormat="1" applyFill="1" applyBorder="1"/>
    <xf numFmtId="0" fontId="8" fillId="3" borderId="1" xfId="3" applyFont="1" applyFill="1" applyBorder="1" applyAlignment="1">
      <alignment horizontal="center" wrapText="1"/>
    </xf>
    <xf numFmtId="43" fontId="0" fillId="7" borderId="2" xfId="6" applyNumberFormat="1" applyFont="1" applyFill="1" applyBorder="1"/>
    <xf numFmtId="43" fontId="0" fillId="0" borderId="2" xfId="6" applyNumberFormat="1" applyFont="1" applyBorder="1"/>
    <xf numFmtId="0" fontId="2" fillId="0" borderId="1" xfId="0" applyFont="1" applyBorder="1"/>
    <xf numFmtId="0" fontId="12" fillId="7" borderId="2" xfId="0" applyFont="1" applyFill="1" applyBorder="1"/>
    <xf numFmtId="0" fontId="12" fillId="0" borderId="2" xfId="0" applyFont="1" applyBorder="1"/>
    <xf numFmtId="43" fontId="0" fillId="0" borderId="0" xfId="0" applyNumberFormat="1"/>
    <xf numFmtId="0" fontId="2" fillId="8" borderId="0" xfId="1" applyFill="1"/>
    <xf numFmtId="0" fontId="2" fillId="8" borderId="0" xfId="1" applyFill="1" applyAlignment="1">
      <alignment horizontal="right"/>
    </xf>
    <xf numFmtId="0" fontId="6" fillId="8" borderId="1" xfId="0" applyFont="1" applyFill="1" applyBorder="1"/>
    <xf numFmtId="0" fontId="6" fillId="8" borderId="1" xfId="0" applyFont="1" applyFill="1" applyBorder="1" applyAlignment="1">
      <alignment horizontal="left"/>
    </xf>
    <xf numFmtId="0" fontId="6" fillId="8" borderId="1" xfId="0" applyFont="1" applyFill="1" applyBorder="1" applyAlignment="1">
      <alignment horizontal="center"/>
    </xf>
    <xf numFmtId="165" fontId="8" fillId="8" borderId="1" xfId="0" applyNumberFormat="1" applyFont="1" applyFill="1" applyBorder="1" applyAlignment="1">
      <alignment horizontal="center"/>
    </xf>
    <xf numFmtId="165" fontId="3" fillId="8" borderId="0" xfId="1" applyNumberFormat="1" applyFont="1" applyFill="1"/>
    <xf numFmtId="0" fontId="0" fillId="7" borderId="2" xfId="0" applyFill="1" applyBorder="1"/>
    <xf numFmtId="0" fontId="0" fillId="0" borderId="2" xfId="0" applyBorder="1"/>
    <xf numFmtId="0" fontId="13" fillId="6" borderId="3" xfId="0" applyFont="1" applyFill="1" applyBorder="1"/>
    <xf numFmtId="43" fontId="13" fillId="6" borderId="3" xfId="6" applyNumberFormat="1" applyFont="1" applyFill="1" applyBorder="1"/>
    <xf numFmtId="0" fontId="0" fillId="7" borderId="4" xfId="0" applyFill="1" applyBorder="1"/>
    <xf numFmtId="43" fontId="0" fillId="7" borderId="4" xfId="6" applyNumberFormat="1" applyFont="1" applyFill="1" applyBorder="1"/>
    <xf numFmtId="0" fontId="0" fillId="0" borderId="4" xfId="0" applyBorder="1"/>
    <xf numFmtId="43" fontId="0" fillId="0" borderId="4" xfId="0" applyNumberFormat="1" applyBorder="1"/>
    <xf numFmtId="0" fontId="11" fillId="6" borderId="3" xfId="0" applyFont="1" applyFill="1" applyBorder="1"/>
    <xf numFmtId="0" fontId="12" fillId="7" borderId="4" xfId="0" applyFont="1" applyFill="1" applyBorder="1"/>
    <xf numFmtId="0" fontId="9" fillId="9" borderId="4" xfId="0" applyFont="1" applyFill="1" applyBorder="1"/>
    <xf numFmtId="43" fontId="10" fillId="9" borderId="4" xfId="0" applyNumberFormat="1" applyFont="1" applyFill="1" applyBorder="1"/>
    <xf numFmtId="0" fontId="0" fillId="10" borderId="0" xfId="0" applyFill="1"/>
    <xf numFmtId="0" fontId="15" fillId="0" borderId="1" xfId="0" applyFont="1" applyBorder="1"/>
    <xf numFmtId="0" fontId="15" fillId="0" borderId="1" xfId="0" applyFont="1" applyBorder="1" applyAlignment="1">
      <alignment horizontal="left"/>
    </xf>
    <xf numFmtId="0" fontId="15" fillId="0" borderId="1" xfId="0" applyFont="1" applyBorder="1" applyAlignment="1">
      <alignment horizontal="center"/>
    </xf>
    <xf numFmtId="0" fontId="0" fillId="0" borderId="0" xfId="5" applyFont="1"/>
    <xf numFmtId="0" fontId="16" fillId="11" borderId="5" xfId="0" applyFont="1" applyFill="1" applyBorder="1"/>
    <xf numFmtId="0" fontId="16" fillId="11" borderId="6" xfId="0" applyFont="1" applyFill="1" applyBorder="1"/>
    <xf numFmtId="0" fontId="17" fillId="12" borderId="5" xfId="0" applyFont="1" applyFill="1" applyBorder="1"/>
    <xf numFmtId="0" fontId="17" fillId="12" borderId="6" xfId="0" applyFont="1" applyFill="1" applyBorder="1"/>
    <xf numFmtId="164" fontId="17" fillId="12" borderId="6" xfId="6" applyFont="1" applyFill="1" applyBorder="1"/>
    <xf numFmtId="0" fontId="17" fillId="0" borderId="5" xfId="0" applyFont="1" applyBorder="1"/>
    <xf numFmtId="0" fontId="17" fillId="0" borderId="6" xfId="0" applyFont="1" applyBorder="1"/>
    <xf numFmtId="164" fontId="17" fillId="0" borderId="6" xfId="6" applyFont="1" applyBorder="1"/>
    <xf numFmtId="0" fontId="18" fillId="0" borderId="7" xfId="0" applyFont="1" applyBorder="1"/>
    <xf numFmtId="0" fontId="18" fillId="0" borderId="8" xfId="0" applyFont="1" applyBorder="1"/>
    <xf numFmtId="164" fontId="18" fillId="0" borderId="8" xfId="6" applyFont="1" applyBorder="1"/>
    <xf numFmtId="0" fontId="14" fillId="0" borderId="1" xfId="0" applyFont="1" applyBorder="1"/>
    <xf numFmtId="164" fontId="14" fillId="0" borderId="1" xfId="0" applyNumberFormat="1" applyFont="1" applyBorder="1"/>
  </cellXfs>
  <cellStyles count="7">
    <cellStyle name="Millares" xfId="6" builtinId="3"/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6000000}"/>
  </cellStyles>
  <dxfs count="14"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EB5C8A-9AA0-4AF7-A583-C3A0F56A8A0E}" name="Tabla3" displayName="Tabla3" ref="A1:C9" totalsRowCount="1" headerRowDxfId="13" totalsRowDxfId="10" headerRowBorderDxfId="12" tableBorderDxfId="11" totalsRowBorderDxfId="9">
  <autoFilter ref="A1:C8" xr:uid="{00EB5C8A-9AA0-4AF7-A583-C3A0F56A8A0E}"/>
  <tableColumns count="3">
    <tableColumn id="1" xr3:uid="{CA06DD05-CBC9-48B7-9CEA-68B28B2023DD}" name="Cód. org. aplic." totalsRowLabel="Total" dataDxfId="8" totalsRowDxfId="7"/>
    <tableColumn id="2" xr3:uid="{3D3FA8C2-1851-4ACB-A282-E1E51EE5B7FF}" name="Descripción justificante" dataDxfId="6" totalsRowDxfId="5"/>
    <tableColumn id="3" xr3:uid="{E4EAC723-6DFF-4684-BEDE-D4537A1B7AA0}" name="Imp.cob.aplic." totalsRowFunction="sum" dataDxfId="4" totalsRowDxfId="3" dataCellStyle="Millares" totalsRowCellStyle="Milla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C439D6-23C7-4459-80B4-AA651D9C927E}" name="Tabla1" displayName="Tabla1" ref="A1:C5" totalsRowCount="1" headerRowBorderDxfId="2" tableBorderDxfId="1" totalsRowBorderDxfId="0">
  <autoFilter ref="A1:C4" xr:uid="{09C439D6-23C7-4459-80B4-AA651D9C927E}"/>
  <tableColumns count="3">
    <tableColumn id="1" xr3:uid="{C8E8EBEA-4E78-40A0-968B-4207CE9CDE46}" name="Org. aplic." totalsRowLabel="Total"/>
    <tableColumn id="2" xr3:uid="{15CA07EC-5E6A-4048-88D7-1FD9E6BEDBAF}" name="Descripción justificante"/>
    <tableColumn id="3" xr3:uid="{167AE310-C6EC-41A3-AE74-0F75A767F8D0}" name="Imp. aplic.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4"/>
  <sheetViews>
    <sheetView showGridLines="0" zoomScale="120" zoomScaleNormal="120" workbookViewId="0">
      <pane xSplit="1" ySplit="1" topLeftCell="F2" activePane="bottomRight" state="frozen"/>
      <selection pane="topRight" activeCell="B1" sqref="B1"/>
      <selection pane="bottomLeft" activeCell="A2" sqref="A2"/>
      <selection pane="bottomRight" activeCell="L13" sqref="L13"/>
    </sheetView>
  </sheetViews>
  <sheetFormatPr baseColWidth="10" defaultColWidth="10.28515625" defaultRowHeight="11.25" x14ac:dyDescent="0.2"/>
  <cols>
    <col min="1" max="1" width="5" style="6" customWidth="1"/>
    <col min="2" max="4" width="29.7109375" style="6" customWidth="1"/>
    <col min="5" max="5" width="40.7109375" style="6" customWidth="1"/>
    <col min="6" max="6" width="9.140625" style="6" customWidth="1"/>
    <col min="7" max="7" width="9.7109375" style="6" customWidth="1"/>
    <col min="8" max="8" width="14.42578125" style="6" customWidth="1"/>
    <col min="9" max="9" width="5.85546875" style="6" customWidth="1"/>
    <col min="10" max="10" width="33.140625" style="6" customWidth="1"/>
    <col min="11" max="12" width="5.140625" style="6" customWidth="1"/>
    <col min="13" max="13" width="4.42578125" style="6" customWidth="1"/>
    <col min="14" max="14" width="4.85546875" style="6" customWidth="1"/>
    <col min="15" max="15" width="4.85546875" style="7" customWidth="1"/>
    <col min="16" max="16" width="4.85546875" style="6" customWidth="1"/>
    <col min="17" max="17" width="3.5703125" style="7" customWidth="1"/>
    <col min="18" max="18" width="7.7109375" style="6" customWidth="1"/>
    <col min="19" max="21" width="5.140625" style="6" customWidth="1"/>
    <col min="22" max="16384" width="10.28515625" style="6"/>
  </cols>
  <sheetData>
    <row r="1" spans="1:22" ht="45" x14ac:dyDescent="0.2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1" t="s">
        <v>9</v>
      </c>
      <c r="J1" s="2" t="s">
        <v>10</v>
      </c>
      <c r="K1" s="1" t="s">
        <v>11</v>
      </c>
      <c r="L1" s="2" t="s">
        <v>12</v>
      </c>
      <c r="M1" s="3" t="s">
        <v>13</v>
      </c>
      <c r="N1" s="4" t="s">
        <v>14</v>
      </c>
      <c r="O1" s="5" t="s">
        <v>15</v>
      </c>
      <c r="P1" s="4" t="s">
        <v>16</v>
      </c>
      <c r="Q1" s="5" t="s">
        <v>17</v>
      </c>
      <c r="R1" s="4" t="s">
        <v>18</v>
      </c>
      <c r="S1" s="4" t="s">
        <v>19</v>
      </c>
      <c r="T1" s="4" t="s">
        <v>20</v>
      </c>
      <c r="U1" s="4" t="s">
        <v>21</v>
      </c>
    </row>
    <row r="2" spans="1:22" customFormat="1" ht="15" x14ac:dyDescent="0.25">
      <c r="A2" s="17" t="s">
        <v>24</v>
      </c>
      <c r="B2" s="17" t="s">
        <v>25</v>
      </c>
      <c r="C2" s="17" t="s">
        <v>26</v>
      </c>
      <c r="D2" s="17" t="s">
        <v>60</v>
      </c>
      <c r="E2" s="17" t="s">
        <v>61</v>
      </c>
      <c r="F2" s="17" t="s">
        <v>62</v>
      </c>
      <c r="G2" s="17" t="s">
        <v>63</v>
      </c>
      <c r="H2" s="17" t="s">
        <v>23</v>
      </c>
      <c r="I2" s="17" t="s">
        <v>27</v>
      </c>
      <c r="J2" s="17" t="s">
        <v>28</v>
      </c>
      <c r="K2" s="25">
        <v>1</v>
      </c>
      <c r="L2" s="25" t="s">
        <v>29</v>
      </c>
      <c r="M2" s="17">
        <v>2022</v>
      </c>
      <c r="N2" s="25" t="s">
        <v>22</v>
      </c>
      <c r="O2" s="25" t="s">
        <v>22</v>
      </c>
      <c r="P2" s="25" t="s">
        <v>22</v>
      </c>
      <c r="Q2" s="25" t="s">
        <v>22</v>
      </c>
      <c r="R2" s="25">
        <v>100</v>
      </c>
      <c r="S2" s="25">
        <v>1</v>
      </c>
      <c r="T2" s="25">
        <v>0</v>
      </c>
      <c r="U2" s="25">
        <v>0</v>
      </c>
    </row>
    <row r="3" spans="1:22" x14ac:dyDescent="0.2">
      <c r="A3" s="17" t="s">
        <v>74</v>
      </c>
      <c r="B3" s="17" t="s">
        <v>75</v>
      </c>
      <c r="C3" s="17" t="s">
        <v>76</v>
      </c>
      <c r="D3" s="17" t="s">
        <v>77</v>
      </c>
      <c r="E3" s="17" t="s">
        <v>78</v>
      </c>
      <c r="F3" s="17" t="s">
        <v>79</v>
      </c>
      <c r="G3" s="17" t="s">
        <v>49</v>
      </c>
      <c r="H3" s="17" t="s">
        <v>80</v>
      </c>
      <c r="I3" s="17" t="s">
        <v>29</v>
      </c>
      <c r="J3" s="17" t="s">
        <v>81</v>
      </c>
      <c r="K3" s="21">
        <v>0.5</v>
      </c>
      <c r="L3" s="17" t="s">
        <v>29</v>
      </c>
      <c r="M3" s="17">
        <v>2023</v>
      </c>
      <c r="N3" s="17" t="s">
        <v>22</v>
      </c>
      <c r="O3" s="19" t="s">
        <v>22</v>
      </c>
      <c r="P3" s="17" t="s">
        <v>22</v>
      </c>
      <c r="Q3" s="19" t="s">
        <v>22</v>
      </c>
      <c r="R3" s="20">
        <v>100</v>
      </c>
      <c r="S3" s="18">
        <v>0.5</v>
      </c>
      <c r="T3" s="18">
        <v>0</v>
      </c>
      <c r="U3" s="18">
        <v>0</v>
      </c>
      <c r="V3" s="6" t="s">
        <v>66</v>
      </c>
    </row>
    <row r="4" spans="1:22" x14ac:dyDescent="0.2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30"/>
      <c r="P4" s="29"/>
      <c r="Q4" s="30"/>
      <c r="R4" s="29"/>
      <c r="S4" s="35">
        <f>SUM(S2:S3)</f>
        <v>1.5</v>
      </c>
      <c r="T4" s="29"/>
      <c r="U4" s="29"/>
    </row>
  </sheetData>
  <autoFilter ref="A1:U2" xr:uid="{00000000-0009-0000-0000-000000000000}">
    <sortState xmlns:xlrd2="http://schemas.microsoft.com/office/spreadsheetml/2017/richdata2" ref="A2:U1908">
      <sortCondition ref="L2:L1908"/>
      <sortCondition ref="M2:M1908"/>
      <sortCondition ref="D2:D1908"/>
    </sortState>
  </autoFilter>
  <printOptions horizontalCentered="1"/>
  <pageMargins left="0.19685039370078741" right="0.19685039370078741" top="0.39370078740157483" bottom="0.39370078740157483" header="0.78740157480314965" footer="0"/>
  <pageSetup paperSize="9" scale="93" fitToWidth="2" fitToHeight="5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15"/>
  <sheetViews>
    <sheetView zoomScaleNormal="100" workbookViewId="0">
      <selection activeCell="G17" sqref="G17"/>
    </sheetView>
  </sheetViews>
  <sheetFormatPr baseColWidth="10" defaultColWidth="11.42578125" defaultRowHeight="12.75" x14ac:dyDescent="0.2"/>
  <cols>
    <col min="1" max="1" width="10.5703125" style="11" bestFit="1" customWidth="1"/>
    <col min="2" max="2" width="34.28515625" style="11" bestFit="1" customWidth="1"/>
    <col min="3" max="3" width="14.5703125" style="11" bestFit="1" customWidth="1"/>
    <col min="4" max="9" width="3.28515625" style="11" bestFit="1" customWidth="1"/>
    <col min="10" max="10" width="13.140625" style="11" bestFit="1" customWidth="1"/>
    <col min="11" max="11" width="5.28515625" style="11" bestFit="1" customWidth="1"/>
    <col min="12" max="13" width="5.7109375" style="11" bestFit="1" customWidth="1"/>
    <col min="14" max="14" width="5.7109375" style="12" bestFit="1" customWidth="1"/>
    <col min="15" max="15" width="5.7109375" style="11" bestFit="1" customWidth="1"/>
    <col min="16" max="16" width="5.7109375" style="12" bestFit="1" customWidth="1"/>
    <col min="17" max="19" width="5.7109375" style="11" bestFit="1" customWidth="1"/>
    <col min="20" max="16384" width="11.42578125" style="11"/>
  </cols>
  <sheetData>
    <row r="1" spans="1:19" s="10" customFormat="1" ht="60" customHeight="1" x14ac:dyDescent="0.2">
      <c r="A1" s="13" t="s">
        <v>30</v>
      </c>
      <c r="B1" s="13" t="s">
        <v>31</v>
      </c>
      <c r="C1" s="13" t="s">
        <v>32</v>
      </c>
      <c r="D1" s="14" t="s">
        <v>89</v>
      </c>
      <c r="E1" s="14" t="s">
        <v>90</v>
      </c>
      <c r="F1" s="14" t="s">
        <v>91</v>
      </c>
      <c r="G1" s="14" t="s">
        <v>92</v>
      </c>
      <c r="H1" s="14" t="s">
        <v>93</v>
      </c>
      <c r="I1" s="14" t="s">
        <v>94</v>
      </c>
      <c r="J1" s="13" t="s">
        <v>33</v>
      </c>
      <c r="K1" s="22" t="s">
        <v>50</v>
      </c>
      <c r="L1" s="8" t="s">
        <v>34</v>
      </c>
      <c r="M1" s="8" t="s">
        <v>35</v>
      </c>
      <c r="N1" s="8" t="s">
        <v>36</v>
      </c>
      <c r="O1" s="8" t="s">
        <v>37</v>
      </c>
      <c r="P1" s="9" t="s">
        <v>38</v>
      </c>
      <c r="Q1" s="9" t="s">
        <v>39</v>
      </c>
      <c r="R1" s="9" t="s">
        <v>40</v>
      </c>
      <c r="S1" s="9" t="s">
        <v>41</v>
      </c>
    </row>
    <row r="2" spans="1:19" ht="15" x14ac:dyDescent="0.25">
      <c r="A2" s="15" t="s">
        <v>47</v>
      </c>
      <c r="B2" s="15" t="s">
        <v>95</v>
      </c>
      <c r="C2" s="15" t="s">
        <v>42</v>
      </c>
      <c r="D2" s="15"/>
      <c r="E2" s="15">
        <v>1</v>
      </c>
      <c r="F2" s="15"/>
      <c r="G2" s="15"/>
      <c r="H2" s="15"/>
      <c r="I2" s="15"/>
      <c r="J2" s="15">
        <v>1</v>
      </c>
      <c r="K2" s="15" t="s">
        <v>29</v>
      </c>
      <c r="L2" s="16">
        <v>0</v>
      </c>
      <c r="M2" s="16">
        <v>0</v>
      </c>
      <c r="N2" s="16" t="s">
        <v>22</v>
      </c>
      <c r="O2" s="16" t="s">
        <v>22</v>
      </c>
      <c r="P2" s="16">
        <v>100</v>
      </c>
      <c r="Q2" s="16">
        <v>0</v>
      </c>
      <c r="R2" s="16">
        <v>0</v>
      </c>
      <c r="S2" s="16">
        <v>1</v>
      </c>
    </row>
    <row r="3" spans="1:19" ht="15" x14ac:dyDescent="0.25">
      <c r="A3" s="15" t="s">
        <v>43</v>
      </c>
      <c r="B3" s="15" t="s">
        <v>96</v>
      </c>
      <c r="C3" s="15" t="s">
        <v>64</v>
      </c>
      <c r="D3" s="15"/>
      <c r="E3" s="15"/>
      <c r="F3" s="15"/>
      <c r="G3" s="15"/>
      <c r="H3" s="15"/>
      <c r="I3" s="15">
        <v>1</v>
      </c>
      <c r="J3" s="15">
        <v>1</v>
      </c>
      <c r="K3" s="15" t="s">
        <v>29</v>
      </c>
      <c r="L3" s="16">
        <v>0</v>
      </c>
      <c r="M3" s="16">
        <v>0</v>
      </c>
      <c r="N3" s="16" t="s">
        <v>22</v>
      </c>
      <c r="O3" s="16" t="s">
        <v>22</v>
      </c>
      <c r="P3" s="16">
        <v>100</v>
      </c>
      <c r="Q3" s="16">
        <v>0</v>
      </c>
      <c r="R3" s="16">
        <v>0</v>
      </c>
      <c r="S3" s="16">
        <v>1</v>
      </c>
    </row>
    <row r="4" spans="1:19" ht="15" x14ac:dyDescent="0.25">
      <c r="A4" s="15" t="s">
        <v>46</v>
      </c>
      <c r="B4" s="15" t="s">
        <v>97</v>
      </c>
      <c r="C4" s="15" t="s">
        <v>42</v>
      </c>
      <c r="D4" s="15"/>
      <c r="E4" s="15"/>
      <c r="F4" s="15">
        <v>1</v>
      </c>
      <c r="G4" s="15"/>
      <c r="H4" s="15"/>
      <c r="I4" s="15"/>
      <c r="J4" s="15">
        <v>1</v>
      </c>
      <c r="K4" s="15" t="s">
        <v>29</v>
      </c>
      <c r="L4" s="16">
        <v>0</v>
      </c>
      <c r="M4" s="16">
        <v>0</v>
      </c>
      <c r="N4" s="16" t="s">
        <v>22</v>
      </c>
      <c r="O4" s="16" t="s">
        <v>22</v>
      </c>
      <c r="P4" s="16">
        <v>100</v>
      </c>
      <c r="Q4" s="16">
        <v>0</v>
      </c>
      <c r="R4" s="16">
        <v>0</v>
      </c>
      <c r="S4" s="16">
        <v>1</v>
      </c>
    </row>
    <row r="5" spans="1:19" ht="15" x14ac:dyDescent="0.25">
      <c r="A5" s="15" t="s">
        <v>44</v>
      </c>
      <c r="B5" s="15" t="s">
        <v>98</v>
      </c>
      <c r="C5" s="15" t="s">
        <v>42</v>
      </c>
      <c r="D5" s="15"/>
      <c r="E5" s="15"/>
      <c r="F5" s="15"/>
      <c r="G5" s="15">
        <v>1</v>
      </c>
      <c r="H5" s="15"/>
      <c r="I5" s="15"/>
      <c r="J5" s="15">
        <v>1</v>
      </c>
      <c r="K5" s="15" t="s">
        <v>29</v>
      </c>
      <c r="L5" s="16">
        <v>0</v>
      </c>
      <c r="M5" s="16">
        <v>0</v>
      </c>
      <c r="N5" s="16" t="s">
        <v>22</v>
      </c>
      <c r="O5" s="16" t="s">
        <v>22</v>
      </c>
      <c r="P5" s="16">
        <v>100</v>
      </c>
      <c r="Q5" s="16">
        <v>0</v>
      </c>
      <c r="R5" s="16">
        <v>0</v>
      </c>
      <c r="S5" s="16">
        <v>1</v>
      </c>
    </row>
    <row r="6" spans="1:19" ht="15" x14ac:dyDescent="0.25">
      <c r="A6" s="15" t="s">
        <v>45</v>
      </c>
      <c r="B6" s="15" t="s">
        <v>99</v>
      </c>
      <c r="C6" s="15" t="s">
        <v>42</v>
      </c>
      <c r="D6" s="15"/>
      <c r="E6" s="15"/>
      <c r="F6" s="15">
        <v>1</v>
      </c>
      <c r="G6" s="15"/>
      <c r="H6" s="15"/>
      <c r="I6" s="15"/>
      <c r="J6" s="15">
        <v>1</v>
      </c>
      <c r="K6" s="15" t="s">
        <v>29</v>
      </c>
      <c r="L6" s="16" t="s">
        <v>51</v>
      </c>
      <c r="M6" s="16" t="s">
        <v>82</v>
      </c>
      <c r="N6" s="16" t="s">
        <v>22</v>
      </c>
      <c r="O6" s="16" t="s">
        <v>22</v>
      </c>
      <c r="P6" s="16">
        <v>75</v>
      </c>
      <c r="Q6" s="16">
        <v>0.25</v>
      </c>
      <c r="R6" s="16">
        <v>0</v>
      </c>
      <c r="S6" s="16">
        <v>0.75</v>
      </c>
    </row>
    <row r="7" spans="1:19" ht="15" x14ac:dyDescent="0.25">
      <c r="A7" s="15" t="s">
        <v>49</v>
      </c>
      <c r="B7" s="15" t="s">
        <v>100</v>
      </c>
      <c r="C7" s="15" t="s">
        <v>42</v>
      </c>
      <c r="D7" s="15"/>
      <c r="E7" s="15"/>
      <c r="F7" s="15"/>
      <c r="G7" s="15">
        <v>1</v>
      </c>
      <c r="H7" s="15"/>
      <c r="I7" s="15"/>
      <c r="J7" s="15">
        <v>1</v>
      </c>
      <c r="K7" s="15" t="s">
        <v>29</v>
      </c>
      <c r="L7" s="16">
        <v>0</v>
      </c>
      <c r="M7" s="16">
        <v>0</v>
      </c>
      <c r="N7" s="16" t="s">
        <v>22</v>
      </c>
      <c r="O7" s="16" t="s">
        <v>22</v>
      </c>
      <c r="P7" s="16">
        <v>100</v>
      </c>
      <c r="Q7" s="16">
        <v>0</v>
      </c>
      <c r="R7" s="16">
        <v>0</v>
      </c>
      <c r="S7" s="16">
        <v>1</v>
      </c>
    </row>
    <row r="8" spans="1:19" ht="15" x14ac:dyDescent="0.25">
      <c r="A8" s="15" t="s">
        <v>52</v>
      </c>
      <c r="B8" s="15" t="s">
        <v>101</v>
      </c>
      <c r="C8" s="15" t="s">
        <v>42</v>
      </c>
      <c r="D8" s="15"/>
      <c r="E8" s="15"/>
      <c r="F8" s="15"/>
      <c r="G8" s="15"/>
      <c r="H8" s="15">
        <v>1</v>
      </c>
      <c r="I8" s="15"/>
      <c r="J8" s="15">
        <v>1</v>
      </c>
      <c r="K8" s="15" t="s">
        <v>29</v>
      </c>
      <c r="L8" s="16">
        <v>0</v>
      </c>
      <c r="M8" s="16">
        <v>0</v>
      </c>
      <c r="N8" s="16" t="s">
        <v>22</v>
      </c>
      <c r="O8" s="16" t="s">
        <v>22</v>
      </c>
      <c r="P8" s="16">
        <v>100</v>
      </c>
      <c r="Q8" s="16">
        <v>0</v>
      </c>
      <c r="R8" s="16">
        <v>0</v>
      </c>
      <c r="S8" s="16">
        <v>1</v>
      </c>
    </row>
    <row r="9" spans="1:19" ht="15" x14ac:dyDescent="0.25">
      <c r="A9" s="15" t="s">
        <v>48</v>
      </c>
      <c r="B9" s="15" t="s">
        <v>102</v>
      </c>
      <c r="C9" s="15" t="s">
        <v>42</v>
      </c>
      <c r="D9" s="15"/>
      <c r="E9" s="15">
        <v>1</v>
      </c>
      <c r="F9" s="15"/>
      <c r="G9" s="15"/>
      <c r="H9" s="15"/>
      <c r="I9" s="15"/>
      <c r="J9" s="15">
        <v>1</v>
      </c>
      <c r="K9" s="15" t="s">
        <v>29</v>
      </c>
      <c r="L9" s="16">
        <v>0</v>
      </c>
      <c r="M9" s="16">
        <v>0</v>
      </c>
      <c r="N9" s="16" t="s">
        <v>22</v>
      </c>
      <c r="O9" s="16" t="s">
        <v>22</v>
      </c>
      <c r="P9" s="16">
        <v>100</v>
      </c>
      <c r="Q9" s="16">
        <v>0</v>
      </c>
      <c r="R9" s="16">
        <v>0</v>
      </c>
      <c r="S9" s="16">
        <v>1</v>
      </c>
    </row>
    <row r="10" spans="1:19" s="52" customFormat="1" ht="15" x14ac:dyDescent="0.25">
      <c r="A10" s="49" t="s">
        <v>103</v>
      </c>
      <c r="B10" s="49" t="s">
        <v>104</v>
      </c>
      <c r="C10" s="50" t="s">
        <v>53</v>
      </c>
      <c r="D10" s="49"/>
      <c r="E10" s="49"/>
      <c r="F10" s="49"/>
      <c r="G10" s="49"/>
      <c r="H10" s="49"/>
      <c r="I10" s="49">
        <v>1</v>
      </c>
      <c r="J10" s="49">
        <v>1</v>
      </c>
      <c r="K10" s="49" t="s">
        <v>29</v>
      </c>
      <c r="L10" s="51">
        <v>0</v>
      </c>
      <c r="M10" s="51">
        <v>0</v>
      </c>
      <c r="N10" s="51" t="s">
        <v>22</v>
      </c>
      <c r="O10" s="51" t="s">
        <v>22</v>
      </c>
      <c r="P10" s="51">
        <v>100</v>
      </c>
      <c r="Q10" s="51">
        <v>0</v>
      </c>
      <c r="R10" s="51">
        <v>0</v>
      </c>
      <c r="S10" s="51">
        <v>1</v>
      </c>
    </row>
    <row r="11" spans="1:19" x14ac:dyDescent="0.2">
      <c r="A11" s="31"/>
      <c r="B11" s="31"/>
      <c r="C11" s="32"/>
      <c r="D11" s="31"/>
      <c r="E11" s="31"/>
      <c r="F11" s="31"/>
      <c r="G11" s="31"/>
      <c r="H11" s="31"/>
      <c r="I11" s="31"/>
      <c r="J11" s="31"/>
      <c r="K11" s="31"/>
      <c r="L11" s="33"/>
      <c r="M11" s="33"/>
      <c r="N11" s="33"/>
      <c r="O11" s="33"/>
      <c r="P11" s="33"/>
      <c r="Q11" s="33"/>
      <c r="R11" s="33"/>
      <c r="S11" s="34">
        <f>SUM(S2:S10)</f>
        <v>8.75</v>
      </c>
    </row>
    <row r="15" spans="1:19" s="10" customFormat="1" ht="60" customHeight="1" x14ac:dyDescent="0.2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2"/>
      <c r="O15" s="11"/>
      <c r="P15" s="12"/>
      <c r="Q15" s="11"/>
      <c r="R15" s="11"/>
      <c r="S15" s="11"/>
    </row>
  </sheetData>
  <pageMargins left="0.39370078740157483" right="0.39370078740157483" top="0.39370078740157483" bottom="0.39370078740157483" header="0.31496062992125984" footer="0.31496062992125984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7AB9A-CE23-44E2-9FB8-6128E7AABC4F}">
  <dimension ref="A1:C10"/>
  <sheetViews>
    <sheetView workbookViewId="0">
      <selection activeCell="B16" sqref="B16"/>
    </sheetView>
  </sheetViews>
  <sheetFormatPr baseColWidth="10" defaultRowHeight="15" x14ac:dyDescent="0.25"/>
  <cols>
    <col min="1" max="1" width="16.42578125" customWidth="1"/>
    <col min="2" max="2" width="62" customWidth="1"/>
    <col min="3" max="3" width="15.42578125" customWidth="1"/>
  </cols>
  <sheetData>
    <row r="1" spans="1:3" x14ac:dyDescent="0.25">
      <c r="A1" s="44" t="s">
        <v>57</v>
      </c>
      <c r="B1" s="44" t="s">
        <v>58</v>
      </c>
      <c r="C1" s="44" t="s">
        <v>59</v>
      </c>
    </row>
    <row r="2" spans="1:3" x14ac:dyDescent="0.25">
      <c r="A2" s="26" t="s">
        <v>54</v>
      </c>
      <c r="B2" s="26" t="s">
        <v>65</v>
      </c>
      <c r="C2" s="23">
        <v>-6796.85</v>
      </c>
    </row>
    <row r="3" spans="1:3" x14ac:dyDescent="0.25">
      <c r="A3" s="27" t="s">
        <v>54</v>
      </c>
      <c r="B3" s="27" t="s">
        <v>67</v>
      </c>
      <c r="C3" s="24">
        <v>28524.799999999999</v>
      </c>
    </row>
    <row r="4" spans="1:3" x14ac:dyDescent="0.25">
      <c r="A4" s="26" t="s">
        <v>55</v>
      </c>
      <c r="B4" s="26" t="s">
        <v>68</v>
      </c>
      <c r="C4" s="23">
        <v>40.25</v>
      </c>
    </row>
    <row r="5" spans="1:3" x14ac:dyDescent="0.25">
      <c r="A5" s="27" t="s">
        <v>55</v>
      </c>
      <c r="B5" s="27" t="s">
        <v>69</v>
      </c>
      <c r="C5" s="24">
        <v>-10778.89</v>
      </c>
    </row>
    <row r="6" spans="1:3" x14ac:dyDescent="0.25">
      <c r="A6" s="26" t="s">
        <v>55</v>
      </c>
      <c r="B6" s="26" t="s">
        <v>70</v>
      </c>
      <c r="C6" s="23">
        <v>40.25</v>
      </c>
    </row>
    <row r="7" spans="1:3" x14ac:dyDescent="0.25">
      <c r="A7" s="27" t="s">
        <v>56</v>
      </c>
      <c r="B7" s="27" t="s">
        <v>71</v>
      </c>
      <c r="C7" s="24">
        <v>-2735.18</v>
      </c>
    </row>
    <row r="8" spans="1:3" x14ac:dyDescent="0.25">
      <c r="A8" s="45" t="s">
        <v>72</v>
      </c>
      <c r="B8" s="45" t="s">
        <v>73</v>
      </c>
      <c r="C8" s="41">
        <v>26714</v>
      </c>
    </row>
    <row r="9" spans="1:3" s="48" customFormat="1" x14ac:dyDescent="0.25">
      <c r="A9" s="46" t="s">
        <v>0</v>
      </c>
      <c r="B9" s="46"/>
      <c r="C9" s="47">
        <f>SUBTOTAL(109,Tabla3[Imp.cob.aplic.])</f>
        <v>35008.379999999997</v>
      </c>
    </row>
    <row r="10" spans="1:3" x14ac:dyDescent="0.25">
      <c r="C10" s="28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BE2DE-893E-4C70-989C-FF7FE4A92C32}">
  <dimension ref="A1:C5"/>
  <sheetViews>
    <sheetView workbookViewId="0">
      <selection activeCell="B8" sqref="B8:C8"/>
    </sheetView>
  </sheetViews>
  <sheetFormatPr baseColWidth="10" defaultRowHeight="15" x14ac:dyDescent="0.25"/>
  <cols>
    <col min="2" max="2" width="48.140625" customWidth="1"/>
    <col min="3" max="3" width="13.28515625" customWidth="1"/>
  </cols>
  <sheetData>
    <row r="1" spans="1:3" x14ac:dyDescent="0.25">
      <c r="A1" s="38" t="s">
        <v>83</v>
      </c>
      <c r="B1" s="38" t="s">
        <v>58</v>
      </c>
      <c r="C1" s="39" t="s">
        <v>84</v>
      </c>
    </row>
    <row r="2" spans="1:3" x14ac:dyDescent="0.25">
      <c r="A2" s="36" t="s">
        <v>54</v>
      </c>
      <c r="B2" s="36" t="s">
        <v>85</v>
      </c>
      <c r="C2" s="23">
        <v>-19704.72</v>
      </c>
    </row>
    <row r="3" spans="1:3" x14ac:dyDescent="0.25">
      <c r="A3" s="37" t="s">
        <v>72</v>
      </c>
      <c r="B3" s="37" t="s">
        <v>86</v>
      </c>
      <c r="C3" s="24">
        <v>6364</v>
      </c>
    </row>
    <row r="4" spans="1:3" x14ac:dyDescent="0.25">
      <c r="A4" s="40" t="s">
        <v>87</v>
      </c>
      <c r="B4" s="40" t="s">
        <v>88</v>
      </c>
      <c r="C4" s="41">
        <v>36930.92</v>
      </c>
    </row>
    <row r="5" spans="1:3" x14ac:dyDescent="0.25">
      <c r="A5" s="42" t="s">
        <v>0</v>
      </c>
      <c r="B5" s="42"/>
      <c r="C5" s="43">
        <f>SUBTOTAL(109,Tabla1[Imp. aplic.])</f>
        <v>23590.199999999997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38879-90DA-4CBF-8135-124CCCBE465D}">
  <dimension ref="A1:C7"/>
  <sheetViews>
    <sheetView tabSelected="1" workbookViewId="0">
      <selection activeCell="C15" sqref="C15"/>
    </sheetView>
  </sheetViews>
  <sheetFormatPr baseColWidth="10" defaultRowHeight="15" x14ac:dyDescent="0.25"/>
  <cols>
    <col min="1" max="1" width="22.85546875" customWidth="1"/>
    <col min="2" max="2" width="58.5703125" customWidth="1"/>
    <col min="3" max="3" width="20" customWidth="1"/>
  </cols>
  <sheetData>
    <row r="1" spans="1:3" x14ac:dyDescent="0.25">
      <c r="A1" s="53" t="s">
        <v>83</v>
      </c>
      <c r="B1" s="54" t="s">
        <v>58</v>
      </c>
      <c r="C1" s="54" t="s">
        <v>84</v>
      </c>
    </row>
    <row r="2" spans="1:3" x14ac:dyDescent="0.25">
      <c r="A2" s="55" t="s">
        <v>72</v>
      </c>
      <c r="B2" s="56" t="s">
        <v>105</v>
      </c>
      <c r="C2" s="57">
        <v>3922</v>
      </c>
    </row>
    <row r="3" spans="1:3" ht="15.75" thickBot="1" x14ac:dyDescent="0.3">
      <c r="A3" s="58" t="s">
        <v>87</v>
      </c>
      <c r="B3" s="59" t="s">
        <v>106</v>
      </c>
      <c r="C3" s="60">
        <v>110793.55</v>
      </c>
    </row>
    <row r="4" spans="1:3" ht="15.75" thickTop="1" x14ac:dyDescent="0.25">
      <c r="A4" s="61" t="s">
        <v>0</v>
      </c>
      <c r="B4" s="62"/>
      <c r="C4" s="63">
        <v>114715.55</v>
      </c>
    </row>
    <row r="7" spans="1:3" x14ac:dyDescent="0.25">
      <c r="B7" s="64" t="s">
        <v>107</v>
      </c>
      <c r="C7" s="65">
        <f>Tabla1[[#Totals],[Imp. aplic.]]+Tabla3[[#Totals],[Imp.cob.aplic.]]+C4</f>
        <v>173314.13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Tesis</vt:lpstr>
      <vt:lpstr>Sexenios</vt:lpstr>
      <vt:lpstr>Ingresos investigación 2023</vt:lpstr>
      <vt:lpstr>Ingresos investigación 2024</vt:lpstr>
      <vt:lpstr>Ingresos investigación 2025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mayte.pujalte</cp:lastModifiedBy>
  <dcterms:created xsi:type="dcterms:W3CDTF">2019-07-03T07:15:54Z</dcterms:created>
  <dcterms:modified xsi:type="dcterms:W3CDTF">2026-05-21T07:35:56Z</dcterms:modified>
</cp:coreProperties>
</file>