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N:\_Unidad_Presupuestos\2_PRESUPUESTACIÓN\Presupuesto 2027\Datos\D-I\Indicadores provisionales\"/>
    </mc:Choice>
  </mc:AlternateContent>
  <xr:revisionPtr revIDLastSave="0" documentId="13_ncr:1_{A5A59C57-85E0-454B-8EBA-A2755FCBEAB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esis" sheetId="5" r:id="rId1"/>
    <sheet name="Sexenios" sheetId="6" r:id="rId2"/>
    <sheet name="Ingresos investigación 2023" sheetId="17" r:id="rId3"/>
    <sheet name="Ingresos investigación 2024" sheetId="19" r:id="rId4"/>
    <sheet name="Ingresos investigación 2025" sheetId="21" r:id="rId5"/>
    <sheet name="Ingresos formación 2023" sheetId="18" r:id="rId6"/>
    <sheet name="Ingresos formación 2024" sheetId="20" r:id="rId7"/>
    <sheet name="Ingresos formación 2025" sheetId="22" r:id="rId8"/>
  </sheets>
  <definedNames>
    <definedName name="_xlnm._FilterDatabase" localSheetId="1" hidden="1">Sexenios!#REF!</definedName>
    <definedName name="_xlnm._FilterDatabase" localSheetId="0" hidden="1">Tesis!$A$1:$U$1</definedName>
    <definedName name="_xlnm.Print_Titles" localSheetId="1">Sexenios!$1:$1</definedName>
    <definedName name="_xlnm.Print_Titles" localSheetId="0">Tesis!$D:$D,Tesis!$1:$1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" i="22" l="1"/>
  <c r="C24" i="21"/>
  <c r="C3" i="20"/>
  <c r="C17" i="19"/>
  <c r="C15" i="17"/>
  <c r="C6" i="18"/>
  <c r="S19" i="6" l="1"/>
  <c r="S10" i="5" l="1"/>
</calcChain>
</file>

<file path=xl/sharedStrings.xml><?xml version="1.0" encoding="utf-8"?>
<sst xmlns="http://schemas.openxmlformats.org/spreadsheetml/2006/main" count="404" uniqueCount="213">
  <si>
    <t>Total</t>
  </si>
  <si>
    <t>31.10.6X.00.03</t>
  </si>
  <si>
    <t>31.10.2T.00.01</t>
  </si>
  <si>
    <t>C.D.</t>
  </si>
  <si>
    <t>Departamento</t>
  </si>
  <si>
    <t>Plan</t>
  </si>
  <si>
    <t>Alumno</t>
  </si>
  <si>
    <t>Tesis</t>
  </si>
  <si>
    <t>Fecha</t>
  </si>
  <si>
    <t>Tutor</t>
  </si>
  <si>
    <t>Rol</t>
  </si>
  <si>
    <t>C.DEP.</t>
  </si>
  <si>
    <t>Departamento Tutor</t>
  </si>
  <si>
    <t>ASIGNACIÓN</t>
  </si>
  <si>
    <t>DEP.ASIG.</t>
  </si>
  <si>
    <t>EJERCICIO</t>
  </si>
  <si>
    <t>INS 1</t>
  </si>
  <si>
    <t>DED INS 1</t>
  </si>
  <si>
    <t>INS 2</t>
  </si>
  <si>
    <t>DED INS 2</t>
  </si>
  <si>
    <t>DED DEP</t>
  </si>
  <si>
    <t>TDOC DEP</t>
  </si>
  <si>
    <t>TDOC INST 1</t>
  </si>
  <si>
    <t>TDOC INST 2</t>
  </si>
  <si>
    <t>Codirector de tesis </t>
  </si>
  <si>
    <t/>
  </si>
  <si>
    <t>Director de tesis </t>
  </si>
  <si>
    <t>10</t>
  </si>
  <si>
    <t>B117 </t>
  </si>
  <si>
    <t>FISICA APLICADA </t>
  </si>
  <si>
    <t>DOCTORADO EN NANOCIENCIA Y NANOTECNOLOGÍA </t>
  </si>
  <si>
    <t>B117</t>
  </si>
  <si>
    <t>10.14</t>
  </si>
  <si>
    <t>U052 </t>
  </si>
  <si>
    <t>ADM. I.U. DE MATERIALES </t>
  </si>
  <si>
    <t>DOCTORADO EN CIENCIA DE MATERIALES </t>
  </si>
  <si>
    <t>51396407D </t>
  </si>
  <si>
    <t>NIF</t>
  </si>
  <si>
    <t>NOMBRE_COMPLETO</t>
  </si>
  <si>
    <t>TIPO_SEXENIO</t>
  </si>
  <si>
    <t>Total general</t>
  </si>
  <si>
    <t>INS
1</t>
  </si>
  <si>
    <t>DED
INS 1</t>
  </si>
  <si>
    <t>INS
2</t>
  </si>
  <si>
    <t>DED
INS 2</t>
  </si>
  <si>
    <t>DED
DEP</t>
  </si>
  <si>
    <t>SEX
INS 1</t>
  </si>
  <si>
    <t>SEX
INS 2</t>
  </si>
  <si>
    <t>SEX
DEP</t>
  </si>
  <si>
    <t>FUNCIONARIO</t>
  </si>
  <si>
    <t>23213158V</t>
  </si>
  <si>
    <t>21475467E</t>
  </si>
  <si>
    <t>48765309L</t>
  </si>
  <si>
    <t>51396407D</t>
  </si>
  <si>
    <t>21966179Y</t>
  </si>
  <si>
    <t>16568682B</t>
  </si>
  <si>
    <t>21650596Y</t>
  </si>
  <si>
    <t>07495796G</t>
  </si>
  <si>
    <t>04567901D</t>
  </si>
  <si>
    <t>31.10.6P.00.08</t>
  </si>
  <si>
    <t>31.10.6P.00.09</t>
  </si>
  <si>
    <t>31.10.6P.00.10</t>
  </si>
  <si>
    <t>52583754G</t>
  </si>
  <si>
    <t>10.16</t>
  </si>
  <si>
    <t>COD DEP</t>
  </si>
  <si>
    <t>NO FUNCIONARIO</t>
  </si>
  <si>
    <t>48303841T</t>
  </si>
  <si>
    <t>García Martínez, Noel Alberto </t>
  </si>
  <si>
    <t>Functionalized Bilayer Graphene For Quantum Technologies </t>
  </si>
  <si>
    <t>28/09/2021 </t>
  </si>
  <si>
    <t>00832982Z </t>
  </si>
  <si>
    <t>U022 </t>
  </si>
  <si>
    <t>ADM. FACULTAD DE CIENCIAS </t>
  </si>
  <si>
    <t>DOCTORADO EN CIENCIAS EXPERIMENTALES Y BIOSANITARIAS </t>
  </si>
  <si>
    <t>Trigueros Páez, Emilio </t>
  </si>
  <si>
    <t>MONOS: Multiplicity Of Northern O-type Spectroscopic systems </t>
  </si>
  <si>
    <t>30/07/2021 </t>
  </si>
  <si>
    <t>16568682B </t>
  </si>
  <si>
    <t>Ortiz Cano, Ricardo </t>
  </si>
  <si>
    <t>Electronic and spin properties of open-shell nanographenes </t>
  </si>
  <si>
    <t>29/09/2021 </t>
  </si>
  <si>
    <t>31.10.6P.00.12</t>
  </si>
  <si>
    <t>31.10.6X.00.05</t>
  </si>
  <si>
    <t>Cód. org. aplic.</t>
  </si>
  <si>
    <t>Descripción justificante</t>
  </si>
  <si>
    <t>31.10.6P.00.15</t>
  </si>
  <si>
    <t>31.10.6P.00.16</t>
  </si>
  <si>
    <t>10.19</t>
  </si>
  <si>
    <t>Muñoz Mármol, Rafael </t>
  </si>
  <si>
    <t>Photophysical and Laser Studies on Perylenediimides and Nanographenes </t>
  </si>
  <si>
    <t>19/11/2021 </t>
  </si>
  <si>
    <t>02547000A</t>
  </si>
  <si>
    <t>48790125H</t>
  </si>
  <si>
    <t>73995007M</t>
  </si>
  <si>
    <t>Imp.cob.aplic.</t>
  </si>
  <si>
    <t>31.10.6H.00.01</t>
  </si>
  <si>
    <t>31.10.6P.00.17</t>
  </si>
  <si>
    <t>31.10.6P.00.19</t>
  </si>
  <si>
    <t>31.10.6P.00.22</t>
  </si>
  <si>
    <t>31.10.6P.00.23</t>
  </si>
  <si>
    <t>I.U. DE MATERIALES (10.14) </t>
  </si>
  <si>
    <t>Bonal Díaz, Víctor </t>
  </si>
  <si>
    <t>Thin film organic lasers with polymeric resonators </t>
  </si>
  <si>
    <t>26/10/2022 </t>
  </si>
  <si>
    <t>DEVOLUCIÓN DE INGRESOS_MODELO 047_ Nº DE LIQUIDACIÓN: 46/2023/RAS/10408/1 Nº DE JUSTIFICANTE:047/1/002412422_Nº DE REFERENCIA: 047/1/002412422</t>
  </si>
  <si>
    <t>DEVOLUCIÓN DE INGRESOS_MODELO 047_Nº de liquidación:46/2023/RAS/10218/1_ Número de justificante:047/1/002367180_ Nº de referencia:047/1/002367180</t>
  </si>
  <si>
    <t xml:space="preserve">CIDEGENT/2018/004 CIDEGENT/2018/040 CIDEGENT/2018/041 </t>
  </si>
  <si>
    <t xml:space="preserve">DEVOLUCIÓN DE INGRESOS_CARTA DE PAGO_ Referencia: PGC2018-093741-B-C21 </t>
  </si>
  <si>
    <t>DEVOLUCIÓN DE INGRESOS_ MODELO 069_Expediente o Referencia: 173-P56360-202212210097807</t>
  </si>
  <si>
    <t xml:space="preserve">PID2020-118574GB-I00/118816GB-I00/119124RB-I00/119144RB-I00/119320GB-I00/119383GB-I00/119734RB-I00/119878GB-I00/119959GB-I00/120213RB-I00 </t>
  </si>
  <si>
    <t xml:space="preserve">PROMETEO/2020/093/006/017/024/030/055/057/073/079/088 </t>
  </si>
  <si>
    <t xml:space="preserve">AICO/2021/013/062/093/130/132/163/165 </t>
  </si>
  <si>
    <t xml:space="preserve">CIDEGENT/2021/052 </t>
  </si>
  <si>
    <t>31.10.6P.00.21</t>
  </si>
  <si>
    <t xml:space="preserve">CIDEXG/2022/45  CIDEXG/2022/60  </t>
  </si>
  <si>
    <t>31.10.6P.00.24</t>
  </si>
  <si>
    <t>CIPROM/2022/13/26/40. PROMETEO 2023</t>
  </si>
  <si>
    <t>31.10.6P.00.25</t>
  </si>
  <si>
    <t xml:space="preserve">ayudas PID2022  138464NB-142516OB-139990NB-141382OB-137350NB-139899OB--136847NB-137385NB-139294NB-137873NA-138786NB-141712NB-136590OB-139105OB-142356NB-141694NB-136399NB  </t>
  </si>
  <si>
    <t>COBRO DEL PROYECTO EUROFUSION (ANUALIDAD 2021)</t>
  </si>
  <si>
    <t>DEVOLUCIÓN TASAS NÓMINAS_REMESA Nº 2023DTR312885 RDT INVERSA_2023EXPADM1754</t>
  </si>
  <si>
    <t>PAGO INSCRIPCIÓN AL CURSO "DIVULGAR CIENCIA EN EL SIGLO XXI 2023" A NOMBRE GISELA MARIANA ARZAC DI TOMASO (FACTURA YA PAGADA)</t>
  </si>
  <si>
    <t xml:space="preserve">DEVOLUCIÓN TASAS NÓMINAS_ REMESA Nº 2023DTR302407  RDT INVERSA_2023EXPADM1734 </t>
  </si>
  <si>
    <t xml:space="preserve">LIQ-TitProp_GH94 Curso_2023-24 AñoCont_2023 - DIVULGAR CIENCIA EN EL SIGLO XXI 2023 </t>
  </si>
  <si>
    <t>FISICA APLICADA</t>
  </si>
  <si>
    <t>DOCTORADO EN NANOCIENCIA Y NANOTECNOLOGÍA</t>
  </si>
  <si>
    <t>de Ara García, Tamara</t>
  </si>
  <si>
    <t>Conformational Dependence and Capacitance in the Study of Helicenes for Molecular Electronics.</t>
  </si>
  <si>
    <t>21/03/2024</t>
  </si>
  <si>
    <t>Codirector de tesis</t>
  </si>
  <si>
    <t>50</t>
  </si>
  <si>
    <t>15</t>
  </si>
  <si>
    <t>20</t>
  </si>
  <si>
    <t>Org. aplic.</t>
  </si>
  <si>
    <t>Imp. aplic.</t>
  </si>
  <si>
    <t xml:space="preserve">ayudas CIDEGENT/2018/004, CIDEGENT/2018/040, CIDEGENT/2018/004, CIDEGENT/2018/040 </t>
  </si>
  <si>
    <t>DEVOLUCIÓN DE INGRESOS_CARTA DE PAGO_REFERENCIA: PID2019-109539GB-C41, ANUALIDAD: 2020</t>
  </si>
  <si>
    <t xml:space="preserve">ayudas PROMETEO/2021/006, PROMETEO/2021/017, PROMETEO/2021/030, PROMETEO/2021/055, PROMETEO/2021/057, PROMETEO/2021/073, PROMETEO/2021/079, PROMETEO/2021/088 </t>
  </si>
  <si>
    <t xml:space="preserve">ayudas CIDEGENT/2021/052, CIDEGENT/2021/052 </t>
  </si>
  <si>
    <t xml:space="preserve">ayudas CIDEXG/2022/45, CIDEXG/2022/60, CIDEXG/2022/45, CIDEXG/2022/60  </t>
  </si>
  <si>
    <t xml:space="preserve">PID2021-122263OB-C22 -122320NA-I00 -122397NB-C22 --122500OB-I00 -122685OB-I00 -122988NB-I00 -123079OB-I00 -123091NB-C22 -123118NA-I00 -123124OB-I00 -123699NB-I00-123135OB-C21 -123453NB-I00 -123956OB-I00 </t>
  </si>
  <si>
    <t xml:space="preserve">Ayudas ASFAE/2022/002, ASFAE/2022/017 </t>
  </si>
  <si>
    <t xml:space="preserve">ayuda ASFAE/2022/002, ASFAE/2022/017 (ANUALIDAD 2023) </t>
  </si>
  <si>
    <t xml:space="preserve">AYUDAS CIPROM/2022/13, CIPROM/2022/26, CIPROM/2022/40 </t>
  </si>
  <si>
    <t>PID2022-139105OB-I00-141712NB-C22-142356NB-I00-141694NB-I00-136399NB-C21-142159OB-I00-137566OB-I00-139552OB-C22-137302NB-C33-139820NB-I00-142960OB-C21</t>
  </si>
  <si>
    <t>31.10.6P.00.26</t>
  </si>
  <si>
    <t xml:space="preserve">ayudas CIDEXG/2023/2, CIDEXG/2023/13, CIDEXG/2023/7, CIDEXG/2023/2, CIDEXG/2023/13, CIDEXG/2023/7 </t>
  </si>
  <si>
    <t>31.10.6P.00.28</t>
  </si>
  <si>
    <t>AYUDAS PID2023-146660OB-I00, PID2023-148259NB-I00, PID2023-148881OB-I00, PID2023-149456NB-I00, PID2023-149624NB-I00, PID2023-149643NB-I00, PID2023-149994NB-I00, PID2023-150750NB-I00, PID2023-150795NB-C22,PID2023-151958NB-I00, PID2023-151982NB-I00, PID2023-152305NB-I00, PID2023-152358NA-I00, PID2023-152372NB-I00, PID2023-152734NB-I00, PID2023-152869OB-C21, PID2023-153032NB-I00</t>
  </si>
  <si>
    <t>Ayudas PID2023-146660OB-I00, PID2023-147126OB-I00, PID2023-148259NB-I00, PID2023-148881OB-I00, PID2023-149456NB-I00, PID2023-149562OB-I00, PID2023-149624NB-I00, PID2023-149643NB-I00, PID2023-149706OB-I00, PID2023-149994NB-I00, PID2023-150750NB-I00, PID2023-150761OB-C22, PID2023-150795NB-C22 , PID2023-151559OB-I00, PID2023-151958NB-I00, PID2023-151982NB-I00, PID2023-152305NB-I00, PID2023-152358NA-I00, PID2023-152372NB-I00, PID2023-152566OB-I00, PID2023-152734NB-I00, PID2023-152804OB-I00, PID2023-152869OB-C21, PID2023-153032NB-I00</t>
  </si>
  <si>
    <t>Cobro intermedio (IFS 2022) del proyecto EuroFusion</t>
  </si>
  <si>
    <t>SEGUNDO COBRO DEL PROYECTO ENTENTE</t>
  </si>
  <si>
    <t>LIQ-TitProp_GK41-1 Curso_2024-25 AñoCont_2024 - DIVULGAR CIENCIA EN EL SIGLO XXI 2024</t>
  </si>
  <si>
    <t>ZZ</t>
  </si>
  <si>
    <t>SIN ASIGNAR</t>
  </si>
  <si>
    <t>DOCTORADO EN CIENCIA DE MATERIALES</t>
  </si>
  <si>
    <t>Gadea García, Marcos</t>
  </si>
  <si>
    <t>Optoelectronics based on organic compounds and 2D materials</t>
  </si>
  <si>
    <t>25/09/2025</t>
  </si>
  <si>
    <t>2020</t>
  </si>
  <si>
    <t>2021</t>
  </si>
  <si>
    <t>2022</t>
  </si>
  <si>
    <t>2023</t>
  </si>
  <si>
    <t>2024</t>
  </si>
  <si>
    <t>2025</t>
  </si>
  <si>
    <t>Bargueño De Retes, Pedro</t>
  </si>
  <si>
    <t>B190</t>
  </si>
  <si>
    <t>Villalvilla Soria, Jose Moises</t>
  </si>
  <si>
    <t>Untiedt Lecuona, Carlos</t>
  </si>
  <si>
    <t>Negueruela Díez, Ignacio</t>
  </si>
  <si>
    <t>Caturla Terol, María José</t>
  </si>
  <si>
    <t>Pons Botella, José Antonio</t>
  </si>
  <si>
    <t>Miralles Torres, Juan Antonio</t>
  </si>
  <si>
    <t>Abril Sánchez, Isabel</t>
  </si>
  <si>
    <t>Gómez Doménech, Igor</t>
  </si>
  <si>
    <t>48356456Z</t>
  </si>
  <si>
    <t>Gosálbez Martínez, Daniel</t>
  </si>
  <si>
    <t>Chiappe Acosta, Guillermo</t>
  </si>
  <si>
    <t>Denton Zanello, Cristian Diego</t>
  </si>
  <si>
    <t>Díaz García, María Ángeles</t>
  </si>
  <si>
    <t>Molina Palacios, Sergio</t>
  </si>
  <si>
    <t>Sabater Piqueres, Carlos</t>
  </si>
  <si>
    <t>X5170674K</t>
  </si>
  <si>
    <t>Jacob, David</t>
  </si>
  <si>
    <t>Z2558817A</t>
  </si>
  <si>
    <t>Contreras Herrada, Ernesto José</t>
  </si>
  <si>
    <t>31.10.6C.00.02</t>
  </si>
  <si>
    <t>GASTOS DE ORGANIZACIÓN Y REALIZACIÓN DEL CONGRESO "SPANISH &amp; PORTUGUESE RELATIVITY MEETING", DEL 1 AL 5 DE SEPTIEMBRE 2025, POR LA UNIVERSIDAD DE ALICANTE. PEDIDO C2025_14996_PN034_REDES</t>
  </si>
  <si>
    <t>31.10.6G.00.01</t>
  </si>
  <si>
    <t>Ingresos por inscripciones al congreso "Encuentros Relativistas Españoles y Portugueses (EREP 2025)"</t>
  </si>
  <si>
    <t>31.10.6G.00.02</t>
  </si>
  <si>
    <t>Ingresos por inscripciones a la novena edición del Congreso de la Red Española de Nanolitografía (Nanolito 2025)</t>
  </si>
  <si>
    <t>Ingresos por mecenazgos a la novena edición del Congreso de la Red Española de Nanolitografía (Nanolito 2025)</t>
  </si>
  <si>
    <t>Ingresos por patrocinios a la novena edición del Congreso de la Red Española de Nanolitografía (Nanolito 2025)</t>
  </si>
  <si>
    <t>DEVOLUCIÓN DE INGRESOS_ MODELO 047_REFERENCIA CIDEGENT 2018/041/040/004</t>
  </si>
  <si>
    <t xml:space="preserve">DEVOLUCIÓN DE INGRESOS_MODELO 047_ REFERENCIA: PROMETEO 2021 EN 2024_PROMETEO/2021/006, PROMETEO/2021/017, PROMETEO/2021/030, PROMETEO/2021/055, PROMETEO/2021/057, PROMETEO/2021/073, PROMETEO/2021/079, PROMETEO/2021/088 </t>
  </si>
  <si>
    <t xml:space="preserve">Ayudas CIDEGENT/2021/052, CIDEGENT/2021/052 </t>
  </si>
  <si>
    <t xml:space="preserve">Ayudas CIDEXG/2022/45, CIDEXG/2022/45 , CIDEXG/2022/60 , CIDEXG/2022/60  </t>
  </si>
  <si>
    <t>CIPROM/2022/13/26/40</t>
  </si>
  <si>
    <t>AYUDAS PID2022-138464NB-I00, PID2022-142516OB-I00, PID2022-139990NB-I00, PID2022-141382OB-, 00, PID2022-139899OB-I00, PID2022-136847NB-I00, PID2022-137385NB-I00, PID2022-139294NB-I00, PID2022-137873NA-I00, PID2022-138786NB-I00,PID2022-136590OB-C43, PID2022-139105OB-I00, PID2022-141712NB-C22, PID2022-142356NB-I00, PID2022-141694NB-I00, PID2022-136399NB-C21, PID2022-142159OB-I00,PID2022-137566OB-I00, PID2022-139552OB-C22, PID2022-137302NB-C33, PID2022-139820NB-I00, PID2022-142960OB-C21, PID2022-138111NB-I00, PID2022-141543OB-I00, PID2022-137350NB-I00, PID2022-138491OB-C32, PID2022-137364OB-I00, PID2022-138329NB-I00, PID2022-142830NB-I00, PID2022-138453OB-I00, PID2022-138696OB-C22, PID2022-138853NB-I00, PID2022-142712NB-I00,</t>
  </si>
  <si>
    <t xml:space="preserve">Ayudas CIDEXG/2023/2, CIDEXG/2023/2, CIDEXG/2023/13, CIDEXG/2023/13, CIDEXG/2023/7, CIDEXG/2023/7 </t>
  </si>
  <si>
    <t>AYUDAS PID2023-146660OB-I00,PID2023-147126OB-I00, PID2023-148259NB-I00, PID2023-148881OB-I00, , PID2023-149456NB-I00,PID2023-149562OB-I00, PID2023-149624NB-I00, ,PID2023-149643NB-I00,PID2023-149706OB-I00,PID2023-149994NB-I00,PID2023-150750NB-I00, PID2023-150761OB-C22, PID2023-150795NB-C22 , PID2023-151559OB-I00, PID2023-151958NB-I00, PID2023-151982NB-I00, PID2023-152305NB-I00, PID2023-152358NA-I00, PID2023-152372NB-I00, PID2023-152566OB-I00, PID2023-152734NB-I00, PID2023-152804OB-I00, PID2023-152869OB-C21, PID2023-153032NB-I00,</t>
  </si>
  <si>
    <t>31.10.6P.00.29</t>
  </si>
  <si>
    <t>AYUDAS JDC2023-052227-I, JDC2023-052227-I (Dot. Adicional), JDC2023-052419-I, JDC2023-052419-I , Dot. Adicional), JDC2023-052988-I, JDC2023-052988-I (Dot. Adicional)</t>
  </si>
  <si>
    <t>31.10.6P.00.30</t>
  </si>
  <si>
    <t>INGRESO MICIU (AR FEDER). PID2024-157422OA-I00. PID2024-161522OA-I00. PID2024-157087OA-I00. PID2024-162784OB-I00. PID2024-160976NB-I00. PID2024-156526OB-I00. PID2024-158829NB-C41. PID2024-162730NB-I00. PID2024-160791OB-I00. PID2024-158157OB-C31. PID2024-160373OB-C22. PID2024-162431OB-I00. PID2024-159329NB-C22. PID2024-157026OB-I00. PID2024-159638OB-I00. PID2024-155511NB-I00. PID2024-157839NB-I00. PID2024-161912OB-I00. PID2024-155779OB-C33. PID2024-157037OB-I00. PID2024-156263OB-C22. PID2024-161188OB-C22. PID2024-161711OB-I00. PID2024-159363NB-I00. PID2024-155338NB-I00. PID2024-158514NB-I00. PID2024-160604NB-I00</t>
  </si>
  <si>
    <t xml:space="preserve">AEI (SUBVENCIÓN).PID2024-155372OB-I00. PID2024-157422OA-I00. PID2024-161522OA-I00. PID2024-157087OA-I00. PID2024-162784OB-I00. PID2024-155652NA-I00. PID2024-160976NB-I00. PID2024-161610OB-I00. PID2024-156526OB-I00. PID2024-158829NB-C41. PID2024-162730NB-I00. PID2024-160791OB-I00. PID2024-155363OB-C43. PID2024-158157OB-C31. PID2024-160373OB-C22. PID2024-162431OB-I00. PID2024-159329NB-C22. PID2024-155726OB-I00. PID2024-157026OB-I00. PID2024-159638OB-I00. PID2024-158024NB-I00. PID2024-160371NB-I00. PID2024-157115NB-I00. PID2024-155511NB-I00. PID2024-157839NB-I00. PID2024-161912OB-I00. PID2024-155779OB-C33. PID2024-155232NB-I00. PID2024-157037OB-I00. PID2024-156263OB-C22. PID2024-161188OB-C22. PID2024-161711OB-I00. PID2024-159363NB-I00. PID2024-156796OB-I00. PID2024-158760NB-I00. PID2024-155338NB-I00. PID2024-158514NB-I00. PID2024-160151NB-I00. PID2024-161439NB-I00. PID2024-162487OB-C21. PID2024-160604NB-I00. </t>
  </si>
  <si>
    <t xml:space="preserve">Proyecto: EUROFUSION - Programa:HORIZON2020- EURATOM-2021-ADHOC-IBA - Referencia Proyecto: 101052200 </t>
  </si>
  <si>
    <t xml:space="preserve">Proyecto EUROFUSION - Programa EURATOM -H2020 - Ref. Proyecto 633053 </t>
  </si>
  <si>
    <t>Proyecto: ENTENTE. Programa: HORIZON-2020 NFRP-2019-2020(RIA). Referencia de proyecto: AMD-900018-39</t>
  </si>
  <si>
    <t>Total ingresos investigación 2023-25</t>
  </si>
  <si>
    <t xml:space="preserve">LIQ-TitProp_GM82-N Curso_2025-26 AñoCont_2025 - DIVULGAR CIENCIA EN EL SIGLO XXI 2025 </t>
  </si>
  <si>
    <t>Total ingresos formación 2023-25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</si>
</sst>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\ _€_-;\-* #,##0.00\ _€_-;_-* &quot;-&quot;??\ _€_-;_-@_-"/>
    <numFmt numFmtId="165" formatCode="0.0"/>
  </numFmts>
  <fonts count="22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8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/>
      <top style="medium">
        <color rgb="FF878787"/>
      </top>
      <bottom style="medium">
        <color rgb="FF878787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double">
        <color theme="4"/>
      </top>
      <bottom style="thin">
        <color theme="4" tint="0.39997558519241921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</borders>
  <cellStyleXfs count="7">
    <xf numFmtId="0" fontId="0" fillId="0" borderId="0"/>
    <xf numFmtId="0" fontId="2" fillId="0" borderId="0"/>
    <xf numFmtId="0" fontId="5" fillId="0" borderId="0"/>
    <xf numFmtId="0" fontId="5" fillId="0" borderId="0"/>
    <xf numFmtId="0" fontId="6" fillId="0" borderId="0"/>
    <xf numFmtId="0" fontId="1" fillId="0" borderId="0"/>
    <xf numFmtId="164" fontId="12" fillId="0" borderId="0" applyFont="0" applyFill="0" applyBorder="0" applyAlignment="0" applyProtection="0"/>
  </cellStyleXfs>
  <cellXfs count="81">
    <xf numFmtId="0" fontId="0" fillId="0" borderId="0" xfId="0"/>
    <xf numFmtId="0" fontId="3" fillId="3" borderId="1" xfId="1" applyFont="1" applyFill="1" applyBorder="1" applyAlignment="1">
      <alignment horizontal="center"/>
    </xf>
    <xf numFmtId="0" fontId="4" fillId="3" borderId="1" xfId="1" applyFont="1" applyFill="1" applyBorder="1" applyAlignment="1">
      <alignment horizontal="center"/>
    </xf>
    <xf numFmtId="0" fontId="4" fillId="3" borderId="1" xfId="2" applyFont="1" applyFill="1" applyBorder="1" applyAlignment="1">
      <alignment horizontal="center"/>
    </xf>
    <xf numFmtId="0" fontId="4" fillId="3" borderId="1" xfId="3" applyFont="1" applyFill="1" applyBorder="1" applyAlignment="1">
      <alignment horizontal="center" wrapText="1"/>
    </xf>
    <xf numFmtId="0" fontId="4" fillId="3" borderId="1" xfId="3" applyFont="1" applyFill="1" applyBorder="1" applyAlignment="1">
      <alignment horizontal="right" wrapText="1"/>
    </xf>
    <xf numFmtId="0" fontId="2" fillId="4" borderId="0" xfId="1" applyFill="1"/>
    <xf numFmtId="0" fontId="2" fillId="2" borderId="0" xfId="1" applyFill="1"/>
    <xf numFmtId="0" fontId="2" fillId="2" borderId="0" xfId="1" applyFill="1" applyAlignment="1">
      <alignment horizontal="right"/>
    </xf>
    <xf numFmtId="0" fontId="2" fillId="4" borderId="0" xfId="1" applyFill="1" applyAlignment="1">
      <alignment horizontal="right"/>
    </xf>
    <xf numFmtId="0" fontId="8" fillId="5" borderId="1" xfId="3" applyFont="1" applyFill="1" applyBorder="1" applyAlignment="1">
      <alignment horizontal="center" textRotation="90" wrapText="1"/>
    </xf>
    <xf numFmtId="0" fontId="8" fillId="3" borderId="1" xfId="3" applyFont="1" applyFill="1" applyBorder="1" applyAlignment="1">
      <alignment horizontal="center" textRotation="90" wrapText="1"/>
    </xf>
    <xf numFmtId="0" fontId="5" fillId="0" borderId="0" xfId="5" applyFont="1"/>
    <xf numFmtId="0" fontId="9" fillId="0" borderId="0" xfId="5" applyFont="1"/>
    <xf numFmtId="0" fontId="9" fillId="0" borderId="0" xfId="5" applyFont="1" applyAlignment="1">
      <alignment horizontal="right"/>
    </xf>
    <xf numFmtId="0" fontId="7" fillId="2" borderId="1" xfId="0" applyFont="1" applyFill="1" applyBorder="1"/>
    <xf numFmtId="0" fontId="7" fillId="2" borderId="1" xfId="0" applyFont="1" applyFill="1" applyBorder="1" applyAlignment="1">
      <alignment textRotation="90"/>
    </xf>
    <xf numFmtId="0" fontId="8" fillId="3" borderId="1" xfId="3" applyFont="1" applyFill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4" borderId="1" xfId="1" applyFill="1" applyBorder="1"/>
    <xf numFmtId="0" fontId="2" fillId="4" borderId="1" xfId="1" applyFill="1" applyBorder="1" applyAlignment="1">
      <alignment horizontal="right"/>
    </xf>
    <xf numFmtId="0" fontId="10" fillId="6" borderId="1" xfId="0" applyFont="1" applyFill="1" applyBorder="1" applyAlignment="1">
      <alignment horizontal="left" vertical="center"/>
    </xf>
    <xf numFmtId="0" fontId="10" fillId="6" borderId="2" xfId="0" applyFont="1" applyFill="1" applyBorder="1" applyAlignment="1">
      <alignment horizontal="left" vertical="center"/>
    </xf>
    <xf numFmtId="0" fontId="10" fillId="6" borderId="3" xfId="0" applyFont="1" applyFill="1" applyBorder="1" applyAlignment="1">
      <alignment horizontal="left" vertical="center"/>
    </xf>
    <xf numFmtId="0" fontId="10" fillId="6" borderId="4" xfId="0" applyFont="1" applyFill="1" applyBorder="1" applyAlignment="1">
      <alignment horizontal="left" vertical="center"/>
    </xf>
    <xf numFmtId="0" fontId="2" fillId="0" borderId="1" xfId="1" applyBorder="1"/>
    <xf numFmtId="165" fontId="3" fillId="2" borderId="0" xfId="1" applyNumberFormat="1" applyFont="1" applyFill="1"/>
    <xf numFmtId="0" fontId="0" fillId="0" borderId="1" xfId="0" applyBorder="1" applyAlignment="1">
      <alignment horizontal="left"/>
    </xf>
    <xf numFmtId="43" fontId="0" fillId="8" borderId="5" xfId="6" applyNumberFormat="1" applyFont="1" applyFill="1" applyBorder="1"/>
    <xf numFmtId="43" fontId="0" fillId="0" borderId="5" xfId="6" applyNumberFormat="1" applyFont="1" applyBorder="1"/>
    <xf numFmtId="0" fontId="2" fillId="0" borderId="1" xfId="0" applyFont="1" applyBorder="1"/>
    <xf numFmtId="0" fontId="6" fillId="0" borderId="1" xfId="0" applyFont="1" applyBorder="1"/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16" fillId="8" borderId="5" xfId="0" applyFont="1" applyFill="1" applyBorder="1"/>
    <xf numFmtId="0" fontId="16" fillId="0" borderId="5" xfId="0" applyFont="1" applyBorder="1"/>
    <xf numFmtId="43" fontId="0" fillId="0" borderId="0" xfId="0" applyNumberFormat="1"/>
    <xf numFmtId="0" fontId="0" fillId="9" borderId="0" xfId="0" applyFill="1"/>
    <xf numFmtId="0" fontId="0" fillId="9" borderId="0" xfId="0" applyFill="1" applyAlignment="1">
      <alignment horizontal="left"/>
    </xf>
    <xf numFmtId="0" fontId="2" fillId="0" borderId="0" xfId="0" applyFont="1"/>
    <xf numFmtId="0" fontId="17" fillId="0" borderId="0" xfId="0" applyFont="1"/>
    <xf numFmtId="165" fontId="11" fillId="9" borderId="0" xfId="0" applyNumberFormat="1" applyFont="1" applyFill="1"/>
    <xf numFmtId="0" fontId="15" fillId="7" borderId="6" xfId="0" applyFont="1" applyFill="1" applyBorder="1"/>
    <xf numFmtId="0" fontId="16" fillId="0" borderId="7" xfId="0" applyFont="1" applyBorder="1"/>
    <xf numFmtId="43" fontId="0" fillId="0" borderId="7" xfId="6" applyNumberFormat="1" applyFont="1" applyBorder="1"/>
    <xf numFmtId="0" fontId="0" fillId="0" borderId="7" xfId="0" applyBorder="1"/>
    <xf numFmtId="43" fontId="0" fillId="0" borderId="7" xfId="0" applyNumberFormat="1" applyBorder="1"/>
    <xf numFmtId="0" fontId="9" fillId="0" borderId="7" xfId="0" applyFont="1" applyBorder="1"/>
    <xf numFmtId="43" fontId="12" fillId="0" borderId="7" xfId="0" applyNumberFormat="1" applyFont="1" applyBorder="1"/>
    <xf numFmtId="0" fontId="0" fillId="8" borderId="5" xfId="0" applyNumberFormat="1" applyFont="1" applyFill="1" applyBorder="1"/>
    <xf numFmtId="0" fontId="0" fillId="0" borderId="5" xfId="0" applyNumberFormat="1" applyFont="1" applyBorder="1"/>
    <xf numFmtId="0" fontId="18" fillId="7" borderId="6" xfId="0" applyFont="1" applyFill="1" applyBorder="1"/>
    <xf numFmtId="43" fontId="18" fillId="7" borderId="6" xfId="6" applyNumberFormat="1" applyFont="1" applyFill="1" applyBorder="1"/>
    <xf numFmtId="0" fontId="0" fillId="8" borderId="7" xfId="0" applyNumberFormat="1" applyFont="1" applyFill="1" applyBorder="1"/>
    <xf numFmtId="43" fontId="0" fillId="8" borderId="7" xfId="6" applyNumberFormat="1" applyFont="1" applyFill="1" applyBorder="1"/>
    <xf numFmtId="0" fontId="0" fillId="10" borderId="7" xfId="0" applyFont="1" applyFill="1" applyBorder="1"/>
    <xf numFmtId="43" fontId="12" fillId="10" borderId="7" xfId="0" applyNumberFormat="1" applyFont="1" applyFill="1" applyBorder="1"/>
    <xf numFmtId="0" fontId="0" fillId="11" borderId="0" xfId="0" applyFill="1"/>
    <xf numFmtId="0" fontId="11" fillId="0" borderId="1" xfId="0" applyFont="1" applyBorder="1"/>
    <xf numFmtId="164" fontId="11" fillId="0" borderId="1" xfId="6" applyFont="1" applyBorder="1"/>
    <xf numFmtId="0" fontId="19" fillId="12" borderId="8" xfId="0" applyFont="1" applyFill="1" applyBorder="1"/>
    <xf numFmtId="0" fontId="19" fillId="12" borderId="9" xfId="0" applyFont="1" applyFill="1" applyBorder="1"/>
    <xf numFmtId="0" fontId="20" fillId="13" borderId="8" xfId="0" applyFont="1" applyFill="1" applyBorder="1"/>
    <xf numFmtId="0" fontId="20" fillId="13" borderId="9" xfId="0" applyFont="1" applyFill="1" applyBorder="1"/>
    <xf numFmtId="164" fontId="20" fillId="13" borderId="9" xfId="6" applyFont="1" applyFill="1" applyBorder="1"/>
    <xf numFmtId="0" fontId="20" fillId="0" borderId="8" xfId="0" applyFont="1" applyBorder="1"/>
    <xf numFmtId="0" fontId="20" fillId="0" borderId="9" xfId="0" applyFont="1" applyBorder="1"/>
    <xf numFmtId="164" fontId="20" fillId="0" borderId="9" xfId="6" applyFont="1" applyBorder="1"/>
    <xf numFmtId="0" fontId="21" fillId="0" borderId="10" xfId="0" applyFont="1" applyBorder="1"/>
    <xf numFmtId="0" fontId="21" fillId="0" borderId="11" xfId="0" applyFont="1" applyBorder="1"/>
    <xf numFmtId="164" fontId="21" fillId="0" borderId="11" xfId="6" applyFont="1" applyBorder="1"/>
    <xf numFmtId="0" fontId="13" fillId="12" borderId="8" xfId="0" applyFont="1" applyFill="1" applyBorder="1"/>
    <xf numFmtId="0" fontId="13" fillId="12" borderId="9" xfId="0" applyFont="1" applyFill="1" applyBorder="1"/>
    <xf numFmtId="164" fontId="13" fillId="12" borderId="9" xfId="6" applyFont="1" applyFill="1" applyBorder="1"/>
    <xf numFmtId="0" fontId="9" fillId="13" borderId="8" xfId="0" applyFont="1" applyFill="1" applyBorder="1"/>
    <xf numFmtId="0" fontId="9" fillId="13" borderId="9" xfId="0" applyFont="1" applyFill="1" applyBorder="1"/>
    <xf numFmtId="164" fontId="9" fillId="13" borderId="9" xfId="6" applyFont="1" applyFill="1" applyBorder="1"/>
    <xf numFmtId="0" fontId="14" fillId="0" borderId="10" xfId="0" applyFont="1" applyBorder="1"/>
    <xf numFmtId="0" fontId="14" fillId="0" borderId="11" xfId="0" applyFont="1" applyBorder="1"/>
    <xf numFmtId="164" fontId="14" fillId="0" borderId="11" xfId="0" applyNumberFormat="1" applyFont="1" applyBorder="1"/>
  </cellXfs>
  <cellStyles count="7">
    <cellStyle name="Millares" xfId="6" builtinId="3"/>
    <cellStyle name="Normal" xfId="0" builtinId="0"/>
    <cellStyle name="Normal 2" xfId="4" xr:uid="{00000000-0005-0000-0000-000001000000}"/>
    <cellStyle name="Normal 3" xfId="5" xr:uid="{00000000-0005-0000-0000-000002000000}"/>
    <cellStyle name="Normal_Becas 14_9_2005" xfId="2" xr:uid="{00000000-0005-0000-0000-000003000000}"/>
    <cellStyle name="Normal_Ind.2010" xfId="1" xr:uid="{00000000-0005-0000-0000-000004000000}"/>
    <cellStyle name="Normal_PDI por Centro" xfId="3" xr:uid="{00000000-0005-0000-0000-000007000000}"/>
  </cellStyles>
  <dxfs count="3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outline="0">
        <top style="thin">
          <color theme="9" tint="0.39997558519241921"/>
        </top>
      </border>
    </dxf>
    <dxf>
      <fill>
        <patternFill>
          <bgColor theme="0"/>
        </patternFill>
      </fill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fill>
        <patternFill>
          <bgColor theme="0"/>
        </patternFill>
      </fill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425E77A-74EE-47FF-8324-BBC261C327F1}" name="Tabla3" displayName="Tabla3" ref="A1:C15" totalsRowCount="1" headerRowDxfId="34" headerRowBorderDxfId="33" tableBorderDxfId="32" totalsRowBorderDxfId="31">
  <autoFilter ref="A1:C14" xr:uid="{C8BCF10C-D73C-48B3-A8C4-3C6B6C1580C4}"/>
  <tableColumns count="3">
    <tableColumn id="1" xr3:uid="{F6146751-99D9-4CF5-BE06-18BA29C8CFFB}" name="Cód. org. aplic." totalsRowLabel="Total" dataDxfId="30" totalsRowDxfId="29"/>
    <tableColumn id="2" xr3:uid="{4AFB818A-14BB-449D-8A05-850B58509C4D}" name="Descripción justificante" dataDxfId="28" totalsRowDxfId="27"/>
    <tableColumn id="3" xr3:uid="{21A3744F-2946-4CD2-B29D-E5445684EA35}" name="Imp.cob.aplic." totalsRowFunction="sum" dataDxfId="26" totalsRowDxfId="25" dataCellStyle="Millares" totalsRowCellStyle="Milla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210C992-BD07-460F-93C0-94732A6C1AB8}" name="Tabla5" displayName="Tabla5" ref="A1:C17" totalsRowCount="1" totalsRowDxfId="22" headerRowBorderDxfId="24" tableBorderDxfId="23" totalsRowBorderDxfId="21">
  <autoFilter ref="A1:C16" xr:uid="{069C4F56-D1B8-49C5-94D3-F527E2FB5D83}"/>
  <tableColumns count="3">
    <tableColumn id="1" xr3:uid="{AA8BDBBA-53D9-4CDD-9BAA-FD93FE9653E0}" name="Org. aplic." totalsRowLabel="Total" dataDxfId="20" totalsRowDxfId="19"/>
    <tableColumn id="2" xr3:uid="{56EA7818-8D32-4F86-91D8-2BFD4699EAC9}" name="Descripción justificante" dataDxfId="18" totalsRowDxfId="17"/>
    <tableColumn id="3" xr3:uid="{C78729C0-1023-4775-A28E-45A121AE8866}" name="Imp. aplic." totalsRowFunction="sum" dataDxfId="16" totalsRowDxfId="15" dataCellStyle="Millares" totalsRowCellStyle="Millar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64B264-A304-4394-B011-41C0DD67F58F}" name="Tabla1" displayName="Tabla1" ref="A1:C6" totalsRowCount="1" headerRowDxfId="14" headerRowBorderDxfId="13" tableBorderDxfId="12" totalsRowBorderDxfId="11">
  <autoFilter ref="A1:C5" xr:uid="{708254AF-46DE-4610-B0CB-91B5E856B33C}"/>
  <tableColumns count="3">
    <tableColumn id="1" xr3:uid="{8240B211-4179-4AB1-90CD-6AD9BC644078}" name="Cód. org. aplic." totalsRowLabel="Total"/>
    <tableColumn id="2" xr3:uid="{560D9A9B-B765-4A2C-9670-298E558532A5}" name="Descripción justificante"/>
    <tableColumn id="3" xr3:uid="{04BEB546-E98B-4C96-B3C3-2E528647E624}" name="Imp.cob.aplic." totalsRowFunction="su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5F95EA7-34BA-4EEA-B249-4FE5A01ACC58}" name="Tabla7" displayName="Tabla7" ref="A1:C3" totalsRowCount="1" headerRowDxfId="10" totalsRowDxfId="7" headerRowBorderDxfId="9" tableBorderDxfId="8" totalsRowBorderDxfId="6">
  <autoFilter ref="A1:C2" xr:uid="{C016F607-4C50-46E0-9904-512EA007EC57}"/>
  <tableColumns count="3">
    <tableColumn id="1" xr3:uid="{3E672108-13FF-4BF8-AA23-4A8C3448E26E}" name="Org. aplic." totalsRowLabel="Total" dataDxfId="5" totalsRowDxfId="4"/>
    <tableColumn id="2" xr3:uid="{EBE7CB88-506B-4C27-AFF6-CEF73D9EF881}" name="Descripción justificante" dataDxfId="3" totalsRowDxfId="2"/>
    <tableColumn id="3" xr3:uid="{391E9012-6529-4889-AABB-6B7328DF359C}" name="Imp. aplic." totalsRowFunction="sum" dataDxfId="1" totalsRowDxfId="0" dataCellStyle="Millares" totalsRowCellStyle="Milla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10"/>
  <sheetViews>
    <sheetView showGridLines="0" zoomScale="120" zoomScaleNormal="120" workbookViewId="0">
      <pane xSplit="1" ySplit="1" topLeftCell="D2" activePane="bottomRight" state="frozen"/>
      <selection pane="topRight" activeCell="B1" sqref="B1"/>
      <selection pane="bottomLeft" activeCell="A2" sqref="A2"/>
      <selection pane="bottomRight" activeCell="J18" sqref="J18"/>
    </sheetView>
  </sheetViews>
  <sheetFormatPr baseColWidth="10" defaultColWidth="10.28515625" defaultRowHeight="11.25" x14ac:dyDescent="0.2"/>
  <cols>
    <col min="1" max="1" width="5" style="6" customWidth="1"/>
    <col min="2" max="4" width="29.7109375" style="6" customWidth="1"/>
    <col min="5" max="5" width="40.7109375" style="6" customWidth="1"/>
    <col min="6" max="6" width="9.140625" style="6" customWidth="1"/>
    <col min="7" max="7" width="9.7109375" style="6" customWidth="1"/>
    <col min="8" max="8" width="14.42578125" style="6" customWidth="1"/>
    <col min="9" max="9" width="5.85546875" style="6" customWidth="1"/>
    <col min="10" max="10" width="25.7109375" style="6" customWidth="1"/>
    <col min="11" max="12" width="5.140625" style="6" customWidth="1"/>
    <col min="13" max="13" width="4.42578125" style="6" customWidth="1"/>
    <col min="14" max="14" width="4.85546875" style="6" customWidth="1"/>
    <col min="15" max="15" width="4.85546875" style="9" customWidth="1"/>
    <col min="16" max="16" width="4.85546875" style="6" customWidth="1"/>
    <col min="17" max="17" width="3.5703125" style="9" customWidth="1"/>
    <col min="18" max="18" width="3.5703125" style="6" customWidth="1"/>
    <col min="19" max="21" width="5.140625" style="6" customWidth="1"/>
    <col min="22" max="16384" width="10.28515625" style="6"/>
  </cols>
  <sheetData>
    <row r="1" spans="1:25" ht="45.75" thickBot="1" x14ac:dyDescent="0.25">
      <c r="A1" s="1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1" t="s">
        <v>11</v>
      </c>
      <c r="J1" s="2" t="s">
        <v>12</v>
      </c>
      <c r="K1" s="1" t="s">
        <v>13</v>
      </c>
      <c r="L1" s="2" t="s">
        <v>14</v>
      </c>
      <c r="M1" s="3" t="s">
        <v>15</v>
      </c>
      <c r="N1" s="4" t="s">
        <v>16</v>
      </c>
      <c r="O1" s="5" t="s">
        <v>17</v>
      </c>
      <c r="P1" s="4" t="s">
        <v>18</v>
      </c>
      <c r="Q1" s="5" t="s">
        <v>19</v>
      </c>
      <c r="R1" s="4" t="s">
        <v>20</v>
      </c>
      <c r="S1" s="4" t="s">
        <v>21</v>
      </c>
      <c r="T1" s="4" t="s">
        <v>22</v>
      </c>
      <c r="U1" s="4" t="s">
        <v>23</v>
      </c>
    </row>
    <row r="2" spans="1:25" ht="12" thickBot="1" x14ac:dyDescent="0.25">
      <c r="A2" s="22" t="s">
        <v>28</v>
      </c>
      <c r="B2" s="22" t="s">
        <v>29</v>
      </c>
      <c r="C2" s="22" t="s">
        <v>30</v>
      </c>
      <c r="D2" s="22" t="s">
        <v>67</v>
      </c>
      <c r="E2" s="22" t="s">
        <v>68</v>
      </c>
      <c r="F2" s="22" t="s">
        <v>69</v>
      </c>
      <c r="G2" s="23" t="s">
        <v>70</v>
      </c>
      <c r="H2" s="24" t="s">
        <v>26</v>
      </c>
      <c r="I2" s="24" t="s">
        <v>28</v>
      </c>
      <c r="J2" s="25" t="s">
        <v>29</v>
      </c>
      <c r="K2" s="26">
        <v>1</v>
      </c>
      <c r="L2" s="26" t="s">
        <v>31</v>
      </c>
      <c r="M2" s="20">
        <v>2020</v>
      </c>
      <c r="N2" s="20" t="s">
        <v>32</v>
      </c>
      <c r="O2" s="21">
        <v>10</v>
      </c>
      <c r="P2" s="20" t="s">
        <v>25</v>
      </c>
      <c r="Q2" s="21">
        <v>0</v>
      </c>
      <c r="R2" s="20">
        <v>90</v>
      </c>
      <c r="S2" s="20">
        <v>0.9</v>
      </c>
      <c r="T2" s="20">
        <v>0.1</v>
      </c>
      <c r="U2" s="20">
        <v>0</v>
      </c>
    </row>
    <row r="3" spans="1:25" ht="12" thickBot="1" x14ac:dyDescent="0.25">
      <c r="A3" s="22" t="s">
        <v>71</v>
      </c>
      <c r="B3" s="22" t="s">
        <v>72</v>
      </c>
      <c r="C3" s="22" t="s">
        <v>73</v>
      </c>
      <c r="D3" s="22" t="s">
        <v>74</v>
      </c>
      <c r="E3" s="22" t="s">
        <v>75</v>
      </c>
      <c r="F3" s="22" t="s">
        <v>76</v>
      </c>
      <c r="G3" s="23" t="s">
        <v>77</v>
      </c>
      <c r="H3" s="24" t="s">
        <v>24</v>
      </c>
      <c r="I3" s="24" t="s">
        <v>28</v>
      </c>
      <c r="J3" s="25" t="s">
        <v>29</v>
      </c>
      <c r="K3" s="26">
        <v>0.5</v>
      </c>
      <c r="L3" s="26" t="s">
        <v>31</v>
      </c>
      <c r="M3" s="20">
        <v>2020</v>
      </c>
      <c r="N3" s="20" t="s">
        <v>87</v>
      </c>
      <c r="O3" s="21">
        <v>15</v>
      </c>
      <c r="P3" s="20" t="s">
        <v>25</v>
      </c>
      <c r="Q3" s="21">
        <v>0</v>
      </c>
      <c r="R3" s="20">
        <v>85</v>
      </c>
      <c r="S3" s="20">
        <v>0.42499999999999999</v>
      </c>
      <c r="T3" s="20">
        <v>7.4999999999999997E-2</v>
      </c>
      <c r="U3" s="20">
        <v>0</v>
      </c>
    </row>
    <row r="4" spans="1:25" ht="12" thickBot="1" x14ac:dyDescent="0.25">
      <c r="A4" s="22" t="s">
        <v>33</v>
      </c>
      <c r="B4" s="22" t="s">
        <v>34</v>
      </c>
      <c r="C4" s="22" t="s">
        <v>35</v>
      </c>
      <c r="D4" s="22" t="s">
        <v>78</v>
      </c>
      <c r="E4" s="22" t="s">
        <v>79</v>
      </c>
      <c r="F4" s="22" t="s">
        <v>80</v>
      </c>
      <c r="G4" s="23" t="s">
        <v>70</v>
      </c>
      <c r="H4" s="24" t="s">
        <v>24</v>
      </c>
      <c r="I4" s="24" t="s">
        <v>28</v>
      </c>
      <c r="J4" s="25" t="s">
        <v>29</v>
      </c>
      <c r="K4" s="26">
        <v>0.5</v>
      </c>
      <c r="L4" s="26" t="s">
        <v>31</v>
      </c>
      <c r="M4" s="20">
        <v>2020</v>
      </c>
      <c r="N4" s="20" t="s">
        <v>32</v>
      </c>
      <c r="O4" s="21">
        <v>10</v>
      </c>
      <c r="P4" s="20" t="s">
        <v>25</v>
      </c>
      <c r="Q4" s="21">
        <v>0</v>
      </c>
      <c r="R4" s="20">
        <v>90</v>
      </c>
      <c r="S4" s="20">
        <v>0.45</v>
      </c>
      <c r="T4" s="20">
        <v>0.05</v>
      </c>
      <c r="U4" s="20">
        <v>0</v>
      </c>
    </row>
    <row r="5" spans="1:25" x14ac:dyDescent="0.2">
      <c r="A5" s="20" t="s">
        <v>33</v>
      </c>
      <c r="B5" s="20" t="s">
        <v>34</v>
      </c>
      <c r="C5" s="20" t="s">
        <v>35</v>
      </c>
      <c r="D5" s="20" t="s">
        <v>88</v>
      </c>
      <c r="E5" s="20" t="s">
        <v>89</v>
      </c>
      <c r="F5" s="20" t="s">
        <v>90</v>
      </c>
      <c r="G5" s="20" t="s">
        <v>36</v>
      </c>
      <c r="H5" s="20" t="s">
        <v>26</v>
      </c>
      <c r="I5" s="20" t="s">
        <v>28</v>
      </c>
      <c r="J5" s="20" t="s">
        <v>29</v>
      </c>
      <c r="K5" s="26">
        <v>1</v>
      </c>
      <c r="L5" s="26" t="s">
        <v>31</v>
      </c>
      <c r="M5" s="20">
        <v>2021</v>
      </c>
      <c r="N5" s="20" t="s">
        <v>32</v>
      </c>
      <c r="O5" s="21">
        <v>50</v>
      </c>
      <c r="P5" s="20" t="s">
        <v>25</v>
      </c>
      <c r="Q5" s="21">
        <v>0</v>
      </c>
      <c r="R5" s="20">
        <v>50</v>
      </c>
      <c r="S5" s="20">
        <v>0.5</v>
      </c>
      <c r="T5" s="20">
        <v>0.5</v>
      </c>
      <c r="U5" s="20">
        <v>0</v>
      </c>
    </row>
    <row r="6" spans="1:25" x14ac:dyDescent="0.2">
      <c r="A6" s="20" t="s">
        <v>33</v>
      </c>
      <c r="B6" s="20" t="s">
        <v>100</v>
      </c>
      <c r="C6" s="20" t="s">
        <v>35</v>
      </c>
      <c r="D6" s="20" t="s">
        <v>101</v>
      </c>
      <c r="E6" s="20" t="s">
        <v>102</v>
      </c>
      <c r="F6" s="20" t="s">
        <v>103</v>
      </c>
      <c r="G6" s="20" t="s">
        <v>36</v>
      </c>
      <c r="H6" s="20" t="s">
        <v>26</v>
      </c>
      <c r="I6" s="20" t="s">
        <v>28</v>
      </c>
      <c r="J6" s="20" t="s">
        <v>29</v>
      </c>
      <c r="K6" s="31">
        <v>1</v>
      </c>
      <c r="L6" s="31" t="s">
        <v>31</v>
      </c>
      <c r="M6" s="20">
        <v>2022</v>
      </c>
      <c r="N6" s="31" t="s">
        <v>32</v>
      </c>
      <c r="O6" s="31">
        <v>50</v>
      </c>
      <c r="P6" s="31" t="s">
        <v>25</v>
      </c>
      <c r="Q6" s="31">
        <v>0</v>
      </c>
      <c r="R6" s="31">
        <v>50</v>
      </c>
      <c r="S6" s="31">
        <v>0.5</v>
      </c>
      <c r="T6" s="31">
        <v>0.5</v>
      </c>
      <c r="U6" s="31">
        <v>0</v>
      </c>
    </row>
    <row r="7" spans="1:25" s="41" customFormat="1" ht="10.15" customHeight="1" x14ac:dyDescent="0.2">
      <c r="A7" s="20" t="s">
        <v>31</v>
      </c>
      <c r="B7" s="20" t="s">
        <v>124</v>
      </c>
      <c r="C7" s="20" t="s">
        <v>125</v>
      </c>
      <c r="D7" s="20" t="s">
        <v>126</v>
      </c>
      <c r="E7" s="20" t="s">
        <v>127</v>
      </c>
      <c r="F7" s="20" t="s">
        <v>128</v>
      </c>
      <c r="G7" s="20" t="s">
        <v>57</v>
      </c>
      <c r="H7" s="20" t="s">
        <v>129</v>
      </c>
      <c r="I7" s="26" t="s">
        <v>31</v>
      </c>
      <c r="J7" s="20" t="s">
        <v>124</v>
      </c>
      <c r="K7" s="31">
        <v>0.5</v>
      </c>
      <c r="L7" s="31" t="s">
        <v>31</v>
      </c>
      <c r="M7" s="31">
        <v>2023</v>
      </c>
      <c r="N7" s="31" t="s">
        <v>32</v>
      </c>
      <c r="O7" s="31" t="s">
        <v>27</v>
      </c>
      <c r="P7" s="31" t="s">
        <v>25</v>
      </c>
      <c r="Q7" s="31" t="s">
        <v>25</v>
      </c>
      <c r="R7" s="31">
        <v>90</v>
      </c>
      <c r="S7" s="31">
        <v>0.45</v>
      </c>
      <c r="T7" s="31">
        <v>0.05</v>
      </c>
      <c r="U7" s="31">
        <v>0</v>
      </c>
      <c r="V7" s="40"/>
      <c r="Y7" s="6"/>
    </row>
    <row r="8" spans="1:25" s="41" customFormat="1" ht="10.15" customHeight="1" x14ac:dyDescent="0.2">
      <c r="A8" s="20" t="s">
        <v>31</v>
      </c>
      <c r="B8" s="20" t="s">
        <v>124</v>
      </c>
      <c r="C8" s="20" t="s">
        <v>125</v>
      </c>
      <c r="D8" s="20" t="s">
        <v>126</v>
      </c>
      <c r="E8" s="20" t="s">
        <v>127</v>
      </c>
      <c r="F8" s="20" t="s">
        <v>128</v>
      </c>
      <c r="G8" s="20" t="s">
        <v>93</v>
      </c>
      <c r="H8" s="20" t="s">
        <v>129</v>
      </c>
      <c r="I8" s="26" t="s">
        <v>31</v>
      </c>
      <c r="J8" s="20" t="s">
        <v>124</v>
      </c>
      <c r="K8" s="31">
        <v>0.5</v>
      </c>
      <c r="L8" s="31" t="s">
        <v>31</v>
      </c>
      <c r="M8" s="31">
        <v>2023</v>
      </c>
      <c r="N8" s="31" t="s">
        <v>32</v>
      </c>
      <c r="O8" s="31" t="s">
        <v>130</v>
      </c>
      <c r="P8" s="31" t="s">
        <v>25</v>
      </c>
      <c r="Q8" s="31" t="s">
        <v>25</v>
      </c>
      <c r="R8" s="31">
        <v>50</v>
      </c>
      <c r="S8" s="31">
        <v>0.25</v>
      </c>
      <c r="T8" s="31">
        <v>0.25</v>
      </c>
      <c r="U8" s="31">
        <v>0</v>
      </c>
      <c r="V8" s="40"/>
      <c r="Y8" s="6"/>
    </row>
    <row r="9" spans="1:25" s="41" customFormat="1" ht="10.15" customHeight="1" x14ac:dyDescent="0.2">
      <c r="A9" s="20" t="s">
        <v>153</v>
      </c>
      <c r="B9" s="20" t="s">
        <v>154</v>
      </c>
      <c r="C9" s="20" t="s">
        <v>155</v>
      </c>
      <c r="D9" s="20" t="s">
        <v>156</v>
      </c>
      <c r="E9" s="20" t="s">
        <v>157</v>
      </c>
      <c r="F9" s="20" t="s">
        <v>158</v>
      </c>
      <c r="G9" s="20" t="s">
        <v>53</v>
      </c>
      <c r="H9" s="20" t="s">
        <v>129</v>
      </c>
      <c r="I9" s="26" t="s">
        <v>31</v>
      </c>
      <c r="J9" s="20" t="s">
        <v>124</v>
      </c>
      <c r="K9" s="31">
        <v>0.5</v>
      </c>
      <c r="L9" s="31" t="s">
        <v>31</v>
      </c>
      <c r="M9" s="31">
        <v>2024</v>
      </c>
      <c r="N9" s="31" t="s">
        <v>32</v>
      </c>
      <c r="O9" s="31" t="s">
        <v>130</v>
      </c>
      <c r="P9" s="31" t="s">
        <v>25</v>
      </c>
      <c r="Q9" s="31" t="s">
        <v>25</v>
      </c>
      <c r="R9" s="31">
        <v>50</v>
      </c>
      <c r="S9" s="31">
        <v>0.25</v>
      </c>
      <c r="T9" s="31">
        <v>0.25</v>
      </c>
      <c r="U9" s="31">
        <v>0</v>
      </c>
      <c r="V9" s="40"/>
      <c r="Y9" s="6"/>
    </row>
    <row r="10" spans="1:25" x14ac:dyDescent="0.2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8"/>
      <c r="P10" s="7"/>
      <c r="Q10" s="8"/>
      <c r="R10" s="7"/>
      <c r="S10" s="27">
        <f>SUM(S2:S9)</f>
        <v>3.7250000000000001</v>
      </c>
      <c r="T10" s="7"/>
      <c r="U10" s="7"/>
    </row>
  </sheetData>
  <autoFilter ref="A1:U1" xr:uid="{00000000-0009-0000-0000-000000000000}">
    <sortState xmlns:xlrd2="http://schemas.microsoft.com/office/spreadsheetml/2017/richdata2" ref="A2:T1898">
      <sortCondition ref="K2:K1898"/>
      <sortCondition ref="L2:L1898"/>
      <sortCondition ref="D2:D1898"/>
    </sortState>
  </autoFilter>
  <printOptions horizontalCentered="1"/>
  <pageMargins left="0.19685039370078741" right="0.19685039370078741" top="0.39370078740157483" bottom="0.39370078740157483" header="0.78740157480314965" footer="0"/>
  <pageSetup paperSize="9" scale="93" fitToWidth="2" fitToHeight="5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24"/>
  <sheetViews>
    <sheetView tabSelected="1" zoomScaleNormal="100" workbookViewId="0">
      <selection activeCell="N24" sqref="N24"/>
    </sheetView>
  </sheetViews>
  <sheetFormatPr baseColWidth="10" defaultColWidth="11.42578125" defaultRowHeight="12.75" x14ac:dyDescent="0.2"/>
  <cols>
    <col min="1" max="1" width="10.42578125" style="13" bestFit="1" customWidth="1"/>
    <col min="2" max="2" width="33.42578125" style="13" bestFit="1" customWidth="1"/>
    <col min="3" max="3" width="17.42578125" style="13" customWidth="1"/>
    <col min="4" max="9" width="3.28515625" style="13" bestFit="1" customWidth="1"/>
    <col min="10" max="10" width="13.140625" style="13" bestFit="1" customWidth="1"/>
    <col min="11" max="11" width="5.28515625" style="13" bestFit="1" customWidth="1"/>
    <col min="12" max="13" width="5.7109375" style="13" bestFit="1" customWidth="1"/>
    <col min="14" max="14" width="5.7109375" style="14" bestFit="1" customWidth="1"/>
    <col min="15" max="15" width="5.7109375" style="13" bestFit="1" customWidth="1"/>
    <col min="16" max="16" width="5.7109375" style="14" bestFit="1" customWidth="1"/>
    <col min="17" max="19" width="5.7109375" style="13" bestFit="1" customWidth="1"/>
    <col min="20" max="16384" width="11.42578125" style="13"/>
  </cols>
  <sheetData>
    <row r="1" spans="1:20" s="12" customFormat="1" ht="60" customHeight="1" x14ac:dyDescent="0.2">
      <c r="A1" s="15" t="s">
        <v>37</v>
      </c>
      <c r="B1" s="15" t="s">
        <v>38</v>
      </c>
      <c r="C1" s="15" t="s">
        <v>39</v>
      </c>
      <c r="D1" s="16" t="s">
        <v>159</v>
      </c>
      <c r="E1" s="16" t="s">
        <v>160</v>
      </c>
      <c r="F1" s="16" t="s">
        <v>161</v>
      </c>
      <c r="G1" s="16" t="s">
        <v>162</v>
      </c>
      <c r="H1" s="16" t="s">
        <v>163</v>
      </c>
      <c r="I1" s="16" t="s">
        <v>164</v>
      </c>
      <c r="J1" s="15" t="s">
        <v>40</v>
      </c>
      <c r="K1" s="17" t="s">
        <v>64</v>
      </c>
      <c r="L1" s="10" t="s">
        <v>41</v>
      </c>
      <c r="M1" s="10" t="s">
        <v>42</v>
      </c>
      <c r="N1" s="10" t="s">
        <v>43</v>
      </c>
      <c r="O1" s="10" t="s">
        <v>44</v>
      </c>
      <c r="P1" s="11" t="s">
        <v>45</v>
      </c>
      <c r="Q1" s="11" t="s">
        <v>46</v>
      </c>
      <c r="R1" s="11" t="s">
        <v>47</v>
      </c>
      <c r="S1" s="11" t="s">
        <v>48</v>
      </c>
      <c r="T1" s="13"/>
    </row>
    <row r="2" spans="1:20" ht="15" x14ac:dyDescent="0.25">
      <c r="A2" s="18" t="s">
        <v>91</v>
      </c>
      <c r="B2" s="18" t="s">
        <v>165</v>
      </c>
      <c r="C2" s="18" t="s">
        <v>49</v>
      </c>
      <c r="D2" s="18"/>
      <c r="E2" s="18"/>
      <c r="F2" s="18"/>
      <c r="G2" s="18"/>
      <c r="H2" s="18">
        <v>2</v>
      </c>
      <c r="I2" s="18">
        <v>1</v>
      </c>
      <c r="J2" s="18">
        <v>3</v>
      </c>
      <c r="K2" s="18" t="s">
        <v>166</v>
      </c>
      <c r="L2" s="19">
        <v>0</v>
      </c>
      <c r="M2" s="19">
        <v>0</v>
      </c>
      <c r="N2" s="19" t="s">
        <v>25</v>
      </c>
      <c r="O2" s="19" t="s">
        <v>25</v>
      </c>
      <c r="P2" s="19">
        <v>100</v>
      </c>
      <c r="Q2" s="19">
        <v>0</v>
      </c>
      <c r="R2" s="19">
        <v>0</v>
      </c>
      <c r="S2" s="19">
        <v>3</v>
      </c>
    </row>
    <row r="3" spans="1:20" ht="15" x14ac:dyDescent="0.25">
      <c r="A3" s="18" t="s">
        <v>58</v>
      </c>
      <c r="B3" s="18" t="s">
        <v>167</v>
      </c>
      <c r="C3" s="18" t="s">
        <v>49</v>
      </c>
      <c r="D3" s="18"/>
      <c r="E3" s="18"/>
      <c r="F3" s="18"/>
      <c r="G3" s="18"/>
      <c r="H3" s="18">
        <v>1</v>
      </c>
      <c r="I3" s="18"/>
      <c r="J3" s="18">
        <v>1</v>
      </c>
      <c r="K3" s="18" t="s">
        <v>166</v>
      </c>
      <c r="L3" s="19" t="s">
        <v>32</v>
      </c>
      <c r="M3" s="19" t="s">
        <v>132</v>
      </c>
      <c r="N3" s="19">
        <v>0</v>
      </c>
      <c r="O3" s="19">
        <v>0</v>
      </c>
      <c r="P3" s="19">
        <v>80</v>
      </c>
      <c r="Q3" s="19">
        <v>0.2</v>
      </c>
      <c r="R3" s="19">
        <v>0</v>
      </c>
      <c r="S3" s="19">
        <v>0.8</v>
      </c>
    </row>
    <row r="4" spans="1:20" ht="15" x14ac:dyDescent="0.25">
      <c r="A4" s="18" t="s">
        <v>57</v>
      </c>
      <c r="B4" s="18" t="s">
        <v>168</v>
      </c>
      <c r="C4" s="18" t="s">
        <v>49</v>
      </c>
      <c r="D4" s="18">
        <v>1</v>
      </c>
      <c r="E4" s="18"/>
      <c r="F4" s="18"/>
      <c r="G4" s="18"/>
      <c r="H4" s="18"/>
      <c r="I4" s="18"/>
      <c r="J4" s="18">
        <v>1</v>
      </c>
      <c r="K4" s="18" t="s">
        <v>166</v>
      </c>
      <c r="L4" s="19" t="s">
        <v>32</v>
      </c>
      <c r="M4" s="19" t="s">
        <v>130</v>
      </c>
      <c r="N4" s="19" t="s">
        <v>25</v>
      </c>
      <c r="O4" s="19" t="s">
        <v>25</v>
      </c>
      <c r="P4" s="19">
        <v>50</v>
      </c>
      <c r="Q4" s="19">
        <v>0.5</v>
      </c>
      <c r="R4" s="19">
        <v>0</v>
      </c>
      <c r="S4" s="19">
        <v>0.5</v>
      </c>
    </row>
    <row r="5" spans="1:20" ht="15" x14ac:dyDescent="0.25">
      <c r="A5" s="18" t="s">
        <v>55</v>
      </c>
      <c r="B5" s="18" t="s">
        <v>169</v>
      </c>
      <c r="C5" s="18" t="s">
        <v>49</v>
      </c>
      <c r="D5" s="18"/>
      <c r="E5" s="18"/>
      <c r="F5" s="18"/>
      <c r="G5" s="18"/>
      <c r="H5" s="18">
        <v>1</v>
      </c>
      <c r="I5" s="18"/>
      <c r="J5" s="18">
        <v>1</v>
      </c>
      <c r="K5" s="18" t="s">
        <v>166</v>
      </c>
      <c r="L5" s="19" t="s">
        <v>87</v>
      </c>
      <c r="M5" s="19" t="s">
        <v>131</v>
      </c>
      <c r="N5" s="19" t="s">
        <v>25</v>
      </c>
      <c r="O5" s="19" t="s">
        <v>25</v>
      </c>
      <c r="P5" s="19">
        <v>85</v>
      </c>
      <c r="Q5" s="19">
        <v>0.15</v>
      </c>
      <c r="R5" s="19">
        <v>0</v>
      </c>
      <c r="S5" s="19">
        <v>0.85</v>
      </c>
    </row>
    <row r="6" spans="1:20" ht="15" x14ac:dyDescent="0.25">
      <c r="A6" s="18" t="s">
        <v>51</v>
      </c>
      <c r="B6" s="18" t="s">
        <v>170</v>
      </c>
      <c r="C6" s="18" t="s">
        <v>49</v>
      </c>
      <c r="D6" s="18"/>
      <c r="E6" s="18"/>
      <c r="F6" s="18"/>
      <c r="G6" s="18"/>
      <c r="H6" s="18">
        <v>1</v>
      </c>
      <c r="I6" s="18"/>
      <c r="J6" s="18">
        <v>1</v>
      </c>
      <c r="K6" s="18" t="s">
        <v>166</v>
      </c>
      <c r="L6" s="19" t="s">
        <v>32</v>
      </c>
      <c r="M6" s="19" t="s">
        <v>27</v>
      </c>
      <c r="N6" s="19" t="s">
        <v>25</v>
      </c>
      <c r="O6" s="19" t="s">
        <v>25</v>
      </c>
      <c r="P6" s="19">
        <v>90</v>
      </c>
      <c r="Q6" s="19">
        <v>0.1</v>
      </c>
      <c r="R6" s="19">
        <v>0</v>
      </c>
      <c r="S6" s="19">
        <v>0.9</v>
      </c>
    </row>
    <row r="7" spans="1:20" ht="15" x14ac:dyDescent="0.25">
      <c r="A7" s="18" t="s">
        <v>56</v>
      </c>
      <c r="B7" s="18" t="s">
        <v>171</v>
      </c>
      <c r="C7" s="18" t="s">
        <v>49</v>
      </c>
      <c r="D7" s="18">
        <v>1</v>
      </c>
      <c r="E7" s="18"/>
      <c r="F7" s="18"/>
      <c r="G7" s="18"/>
      <c r="H7" s="18"/>
      <c r="I7" s="18"/>
      <c r="J7" s="18">
        <v>1</v>
      </c>
      <c r="K7" s="18" t="s">
        <v>166</v>
      </c>
      <c r="L7" s="19">
        <v>0</v>
      </c>
      <c r="M7" s="19">
        <v>0</v>
      </c>
      <c r="N7" s="19" t="s">
        <v>25</v>
      </c>
      <c r="O7" s="19" t="s">
        <v>25</v>
      </c>
      <c r="P7" s="19">
        <v>100</v>
      </c>
      <c r="Q7" s="19">
        <v>0</v>
      </c>
      <c r="R7" s="19">
        <v>0</v>
      </c>
      <c r="S7" s="19">
        <v>1</v>
      </c>
    </row>
    <row r="8" spans="1:20" ht="15" x14ac:dyDescent="0.25">
      <c r="A8" s="18" t="s">
        <v>54</v>
      </c>
      <c r="B8" s="18" t="s">
        <v>172</v>
      </c>
      <c r="C8" s="18" t="s">
        <v>49</v>
      </c>
      <c r="D8" s="18"/>
      <c r="E8" s="18"/>
      <c r="F8" s="18">
        <v>1</v>
      </c>
      <c r="G8" s="18"/>
      <c r="H8" s="18"/>
      <c r="I8" s="18"/>
      <c r="J8" s="18">
        <v>1</v>
      </c>
      <c r="K8" s="18" t="s">
        <v>166</v>
      </c>
      <c r="L8" s="19">
        <v>0</v>
      </c>
      <c r="M8" s="19">
        <v>0</v>
      </c>
      <c r="N8" s="19" t="s">
        <v>25</v>
      </c>
      <c r="O8" s="19" t="s">
        <v>25</v>
      </c>
      <c r="P8" s="19">
        <v>100</v>
      </c>
      <c r="Q8" s="19">
        <v>0</v>
      </c>
      <c r="R8" s="19">
        <v>0</v>
      </c>
      <c r="S8" s="19">
        <v>1</v>
      </c>
    </row>
    <row r="9" spans="1:20" ht="15" x14ac:dyDescent="0.25">
      <c r="A9" s="18" t="s">
        <v>50</v>
      </c>
      <c r="B9" s="18" t="s">
        <v>173</v>
      </c>
      <c r="C9" s="18" t="s">
        <v>49</v>
      </c>
      <c r="D9" s="18"/>
      <c r="E9" s="18"/>
      <c r="F9" s="18"/>
      <c r="G9" s="18"/>
      <c r="H9" s="18">
        <v>1</v>
      </c>
      <c r="I9" s="18"/>
      <c r="J9" s="18">
        <v>1</v>
      </c>
      <c r="K9" s="18" t="s">
        <v>166</v>
      </c>
      <c r="L9" s="19" t="s">
        <v>32</v>
      </c>
      <c r="M9" s="19" t="s">
        <v>130</v>
      </c>
      <c r="N9" s="19" t="s">
        <v>25</v>
      </c>
      <c r="O9" s="19" t="s">
        <v>25</v>
      </c>
      <c r="P9" s="19">
        <v>50</v>
      </c>
      <c r="Q9" s="19">
        <v>0.5</v>
      </c>
      <c r="R9" s="19">
        <v>0</v>
      </c>
      <c r="S9" s="19">
        <v>0.5</v>
      </c>
    </row>
    <row r="10" spans="1:20" ht="15" x14ac:dyDescent="0.25">
      <c r="A10" s="18" t="s">
        <v>66</v>
      </c>
      <c r="B10" s="18" t="s">
        <v>174</v>
      </c>
      <c r="C10" s="18" t="s">
        <v>49</v>
      </c>
      <c r="D10" s="18"/>
      <c r="E10" s="18"/>
      <c r="F10" s="18">
        <v>2</v>
      </c>
      <c r="G10" s="18"/>
      <c r="H10" s="18"/>
      <c r="I10" s="18"/>
      <c r="J10" s="18">
        <v>2</v>
      </c>
      <c r="K10" s="18" t="s">
        <v>166</v>
      </c>
      <c r="L10" s="19" t="s">
        <v>63</v>
      </c>
      <c r="M10" s="19" t="s">
        <v>130</v>
      </c>
      <c r="N10" s="19" t="s">
        <v>25</v>
      </c>
      <c r="O10" s="19" t="s">
        <v>25</v>
      </c>
      <c r="P10" s="19">
        <v>50</v>
      </c>
      <c r="Q10" s="19">
        <v>1</v>
      </c>
      <c r="R10" s="19">
        <v>0</v>
      </c>
      <c r="S10" s="19">
        <v>1</v>
      </c>
    </row>
    <row r="11" spans="1:20" ht="15" x14ac:dyDescent="0.25">
      <c r="A11" s="18" t="s">
        <v>175</v>
      </c>
      <c r="B11" s="18" t="s">
        <v>176</v>
      </c>
      <c r="C11" s="18" t="s">
        <v>65</v>
      </c>
      <c r="D11" s="18"/>
      <c r="E11" s="18"/>
      <c r="F11" s="18"/>
      <c r="G11" s="18"/>
      <c r="H11" s="18"/>
      <c r="I11" s="18">
        <v>1</v>
      </c>
      <c r="J11" s="18">
        <v>1</v>
      </c>
      <c r="K11" s="18" t="s">
        <v>166</v>
      </c>
      <c r="L11" s="19" t="s">
        <v>32</v>
      </c>
      <c r="M11" s="19" t="s">
        <v>27</v>
      </c>
      <c r="N11" s="19" t="s">
        <v>25</v>
      </c>
      <c r="O11" s="19" t="s">
        <v>25</v>
      </c>
      <c r="P11" s="19">
        <v>90</v>
      </c>
      <c r="Q11" s="19">
        <v>0.1</v>
      </c>
      <c r="R11" s="19">
        <v>0</v>
      </c>
      <c r="S11" s="19">
        <v>0.9</v>
      </c>
    </row>
    <row r="12" spans="1:20" ht="15" x14ac:dyDescent="0.25">
      <c r="A12" s="18" t="s">
        <v>52</v>
      </c>
      <c r="B12" s="18" t="s">
        <v>177</v>
      </c>
      <c r="C12" s="18" t="s">
        <v>49</v>
      </c>
      <c r="D12" s="18"/>
      <c r="E12" s="18"/>
      <c r="F12" s="18"/>
      <c r="G12" s="18">
        <v>1</v>
      </c>
      <c r="H12" s="18"/>
      <c r="I12" s="18"/>
      <c r="J12" s="18">
        <v>1</v>
      </c>
      <c r="K12" s="18" t="s">
        <v>166</v>
      </c>
      <c r="L12" s="19" t="s">
        <v>32</v>
      </c>
      <c r="M12" s="19" t="s">
        <v>130</v>
      </c>
      <c r="N12" s="19" t="s">
        <v>25</v>
      </c>
      <c r="O12" s="19" t="s">
        <v>25</v>
      </c>
      <c r="P12" s="19">
        <v>50</v>
      </c>
      <c r="Q12" s="19">
        <v>0.5</v>
      </c>
      <c r="R12" s="19">
        <v>0</v>
      </c>
      <c r="S12" s="19">
        <v>0.5</v>
      </c>
    </row>
    <row r="13" spans="1:20" ht="15" x14ac:dyDescent="0.25">
      <c r="A13" s="18" t="s">
        <v>92</v>
      </c>
      <c r="B13" s="18" t="s">
        <v>178</v>
      </c>
      <c r="C13" s="18" t="s">
        <v>49</v>
      </c>
      <c r="D13" s="18"/>
      <c r="E13" s="18"/>
      <c r="F13" s="18">
        <v>1</v>
      </c>
      <c r="G13" s="18"/>
      <c r="H13" s="18"/>
      <c r="I13" s="18"/>
      <c r="J13" s="18">
        <v>1</v>
      </c>
      <c r="K13" s="18" t="s">
        <v>166</v>
      </c>
      <c r="L13" s="19" t="s">
        <v>32</v>
      </c>
      <c r="M13" s="19" t="s">
        <v>27</v>
      </c>
      <c r="N13" s="19" t="s">
        <v>25</v>
      </c>
      <c r="O13" s="19" t="s">
        <v>25</v>
      </c>
      <c r="P13" s="19">
        <v>90</v>
      </c>
      <c r="Q13" s="19">
        <v>0.1</v>
      </c>
      <c r="R13" s="19">
        <v>0</v>
      </c>
      <c r="S13" s="19">
        <v>0.9</v>
      </c>
    </row>
    <row r="14" spans="1:20" ht="15" x14ac:dyDescent="0.25">
      <c r="A14" s="18" t="s">
        <v>53</v>
      </c>
      <c r="B14" s="18" t="s">
        <v>179</v>
      </c>
      <c r="C14" s="18" t="s">
        <v>49</v>
      </c>
      <c r="D14" s="18"/>
      <c r="E14" s="18"/>
      <c r="F14" s="18">
        <v>1</v>
      </c>
      <c r="G14" s="18"/>
      <c r="H14" s="18"/>
      <c r="I14" s="18"/>
      <c r="J14" s="18">
        <v>1</v>
      </c>
      <c r="K14" s="18" t="s">
        <v>166</v>
      </c>
      <c r="L14" s="19" t="s">
        <v>32</v>
      </c>
      <c r="M14" s="19" t="s">
        <v>130</v>
      </c>
      <c r="N14" s="19" t="s">
        <v>25</v>
      </c>
      <c r="O14" s="19" t="s">
        <v>25</v>
      </c>
      <c r="P14" s="19">
        <v>50</v>
      </c>
      <c r="Q14" s="19">
        <v>0.5</v>
      </c>
      <c r="R14" s="19">
        <v>0</v>
      </c>
      <c r="S14" s="19">
        <v>0.5</v>
      </c>
    </row>
    <row r="15" spans="1:20" ht="15" x14ac:dyDescent="0.25">
      <c r="A15" s="18" t="s">
        <v>62</v>
      </c>
      <c r="B15" s="18" t="s">
        <v>180</v>
      </c>
      <c r="C15" s="28" t="s">
        <v>49</v>
      </c>
      <c r="D15" s="18"/>
      <c r="E15" s="18"/>
      <c r="F15" s="18"/>
      <c r="G15" s="18">
        <v>1</v>
      </c>
      <c r="H15" s="18"/>
      <c r="I15" s="18"/>
      <c r="J15" s="18">
        <v>1</v>
      </c>
      <c r="K15" s="18" t="s">
        <v>166</v>
      </c>
      <c r="L15" s="19" t="s">
        <v>63</v>
      </c>
      <c r="M15" s="19" t="s">
        <v>130</v>
      </c>
      <c r="N15" s="19" t="s">
        <v>25</v>
      </c>
      <c r="O15" s="19" t="s">
        <v>25</v>
      </c>
      <c r="P15" s="19">
        <v>50</v>
      </c>
      <c r="Q15" s="19">
        <v>0.5</v>
      </c>
      <c r="R15" s="19">
        <v>0</v>
      </c>
      <c r="S15" s="19">
        <v>0.5</v>
      </c>
    </row>
    <row r="16" spans="1:20" ht="15" x14ac:dyDescent="0.25">
      <c r="A16" s="18" t="s">
        <v>93</v>
      </c>
      <c r="B16" s="18" t="s">
        <v>181</v>
      </c>
      <c r="C16" s="28" t="s">
        <v>65</v>
      </c>
      <c r="D16" s="18"/>
      <c r="E16" s="18"/>
      <c r="F16" s="18">
        <v>2</v>
      </c>
      <c r="G16" s="18"/>
      <c r="H16" s="18"/>
      <c r="I16" s="18"/>
      <c r="J16" s="18">
        <v>2</v>
      </c>
      <c r="K16" s="18" t="s">
        <v>166</v>
      </c>
      <c r="L16" s="19" t="s">
        <v>32</v>
      </c>
      <c r="M16" s="19" t="s">
        <v>130</v>
      </c>
      <c r="N16" s="19">
        <v>0</v>
      </c>
      <c r="O16" s="19">
        <v>0</v>
      </c>
      <c r="P16" s="19">
        <v>50</v>
      </c>
      <c r="Q16" s="19">
        <v>1</v>
      </c>
      <c r="R16" s="19">
        <v>0</v>
      </c>
      <c r="S16" s="19">
        <v>1</v>
      </c>
    </row>
    <row r="17" spans="1:20" ht="15" x14ac:dyDescent="0.25">
      <c r="A17" s="18" t="s">
        <v>182</v>
      </c>
      <c r="B17" s="18" t="s">
        <v>183</v>
      </c>
      <c r="C17" s="28" t="s">
        <v>65</v>
      </c>
      <c r="D17" s="18"/>
      <c r="E17" s="18"/>
      <c r="F17" s="18"/>
      <c r="G17" s="18"/>
      <c r="H17" s="18"/>
      <c r="I17" s="18">
        <v>1</v>
      </c>
      <c r="J17" s="18">
        <v>1</v>
      </c>
      <c r="K17" s="18" t="s">
        <v>166</v>
      </c>
      <c r="L17" s="19">
        <v>0</v>
      </c>
      <c r="M17" s="19">
        <v>0</v>
      </c>
      <c r="N17" s="19" t="s">
        <v>25</v>
      </c>
      <c r="O17" s="19" t="s">
        <v>25</v>
      </c>
      <c r="P17" s="19">
        <v>100</v>
      </c>
      <c r="Q17" s="19">
        <v>0</v>
      </c>
      <c r="R17" s="19">
        <v>0</v>
      </c>
      <c r="S17" s="19">
        <v>1</v>
      </c>
    </row>
    <row r="18" spans="1:20" ht="15" x14ac:dyDescent="0.25">
      <c r="A18" s="32" t="s">
        <v>184</v>
      </c>
      <c r="B18" s="32" t="s">
        <v>185</v>
      </c>
      <c r="C18" s="33" t="s">
        <v>65</v>
      </c>
      <c r="D18" s="32"/>
      <c r="E18" s="32"/>
      <c r="F18" s="32"/>
      <c r="G18" s="32"/>
      <c r="H18" s="32"/>
      <c r="I18" s="32">
        <v>1</v>
      </c>
      <c r="J18" s="32">
        <v>1</v>
      </c>
      <c r="K18" s="18" t="s">
        <v>166</v>
      </c>
      <c r="L18" s="34">
        <v>0</v>
      </c>
      <c r="M18" s="34">
        <v>0</v>
      </c>
      <c r="N18" s="34" t="s">
        <v>25</v>
      </c>
      <c r="O18" s="34" t="s">
        <v>25</v>
      </c>
      <c r="P18" s="34">
        <v>100</v>
      </c>
      <c r="Q18" s="34">
        <v>0</v>
      </c>
      <c r="R18" s="34">
        <v>0</v>
      </c>
      <c r="S18" s="34">
        <v>1</v>
      </c>
    </row>
    <row r="19" spans="1:20" ht="15" x14ac:dyDescent="0.25">
      <c r="A19" s="38"/>
      <c r="B19" s="38"/>
      <c r="C19" s="39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42">
        <f>SUM(S2:S18)</f>
        <v>15.850000000000001</v>
      </c>
    </row>
    <row r="24" spans="1:20" s="12" customFormat="1" ht="60" customHeight="1" x14ac:dyDescent="0.2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4"/>
      <c r="O24" s="13"/>
      <c r="P24" s="14"/>
      <c r="Q24" s="13"/>
      <c r="R24" s="13"/>
      <c r="S24" s="13"/>
      <c r="T24" s="13"/>
    </row>
  </sheetData>
  <pageMargins left="0.39370078740157483" right="0.39370078740157483" top="0.39370078740157483" bottom="0.39370078740157483" header="0.31496062992125984" footer="0.31496062992125984"/>
  <pageSetup paperSize="9"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6B1DB-92FD-4EFD-A059-1B267337AAB6}">
  <dimension ref="A1:C16"/>
  <sheetViews>
    <sheetView workbookViewId="0">
      <selection activeCell="A15" sqref="A15:XFD15"/>
    </sheetView>
  </sheetViews>
  <sheetFormatPr baseColWidth="10" defaultRowHeight="15" x14ac:dyDescent="0.25"/>
  <cols>
    <col min="1" max="1" width="17" customWidth="1"/>
    <col min="2" max="2" width="76.5703125" customWidth="1"/>
    <col min="3" max="3" width="16" customWidth="1"/>
  </cols>
  <sheetData>
    <row r="1" spans="1:3" x14ac:dyDescent="0.25">
      <c r="A1" s="43" t="s">
        <v>83</v>
      </c>
      <c r="B1" s="43" t="s">
        <v>84</v>
      </c>
      <c r="C1" s="43" t="s">
        <v>94</v>
      </c>
    </row>
    <row r="2" spans="1:3" x14ac:dyDescent="0.25">
      <c r="A2" s="35" t="s">
        <v>95</v>
      </c>
      <c r="B2" s="35" t="s">
        <v>104</v>
      </c>
      <c r="C2" s="29">
        <v>-2718.33</v>
      </c>
    </row>
    <row r="3" spans="1:3" x14ac:dyDescent="0.25">
      <c r="A3" s="36" t="s">
        <v>59</v>
      </c>
      <c r="B3" s="36" t="s">
        <v>105</v>
      </c>
      <c r="C3" s="30">
        <v>-14637.4</v>
      </c>
    </row>
    <row r="4" spans="1:3" x14ac:dyDescent="0.25">
      <c r="A4" s="35" t="s">
        <v>60</v>
      </c>
      <c r="B4" s="35" t="s">
        <v>106</v>
      </c>
      <c r="C4" s="29">
        <v>50000</v>
      </c>
    </row>
    <row r="5" spans="1:3" x14ac:dyDescent="0.25">
      <c r="A5" s="36" t="s">
        <v>61</v>
      </c>
      <c r="B5" s="36" t="s">
        <v>107</v>
      </c>
      <c r="C5" s="30">
        <v>-18172.16</v>
      </c>
    </row>
    <row r="6" spans="1:3" x14ac:dyDescent="0.25">
      <c r="A6" s="35" t="s">
        <v>61</v>
      </c>
      <c r="B6" s="35" t="s">
        <v>108</v>
      </c>
      <c r="C6" s="29">
        <v>-18172.16</v>
      </c>
    </row>
    <row r="7" spans="1:3" x14ac:dyDescent="0.25">
      <c r="A7" s="36" t="s">
        <v>85</v>
      </c>
      <c r="B7" s="36" t="s">
        <v>109</v>
      </c>
      <c r="C7" s="30">
        <v>78693.17</v>
      </c>
    </row>
    <row r="8" spans="1:3" x14ac:dyDescent="0.25">
      <c r="A8" s="35" t="s">
        <v>86</v>
      </c>
      <c r="B8" s="35" t="s">
        <v>110</v>
      </c>
      <c r="C8" s="29">
        <v>131102.47</v>
      </c>
    </row>
    <row r="9" spans="1:3" x14ac:dyDescent="0.25">
      <c r="A9" s="36" t="s">
        <v>96</v>
      </c>
      <c r="B9" s="36" t="s">
        <v>111</v>
      </c>
      <c r="C9" s="30">
        <v>30000</v>
      </c>
    </row>
    <row r="10" spans="1:3" x14ac:dyDescent="0.25">
      <c r="A10" s="35" t="s">
        <v>97</v>
      </c>
      <c r="B10" s="35" t="s">
        <v>112</v>
      </c>
      <c r="C10" s="29">
        <v>42521.72</v>
      </c>
    </row>
    <row r="11" spans="1:3" x14ac:dyDescent="0.25">
      <c r="A11" s="36" t="s">
        <v>113</v>
      </c>
      <c r="B11" s="36" t="s">
        <v>114</v>
      </c>
      <c r="C11" s="30">
        <v>95000</v>
      </c>
    </row>
    <row r="12" spans="1:3" x14ac:dyDescent="0.25">
      <c r="A12" s="35" t="s">
        <v>115</v>
      </c>
      <c r="B12" s="35" t="s">
        <v>116</v>
      </c>
      <c r="C12" s="29">
        <v>114708</v>
      </c>
    </row>
    <row r="13" spans="1:3" x14ac:dyDescent="0.25">
      <c r="A13" s="36" t="s">
        <v>117</v>
      </c>
      <c r="B13" s="36" t="s">
        <v>118</v>
      </c>
      <c r="C13" s="30">
        <v>101080</v>
      </c>
    </row>
    <row r="14" spans="1:3" x14ac:dyDescent="0.25">
      <c r="A14" s="35" t="s">
        <v>1</v>
      </c>
      <c r="B14" s="35" t="s">
        <v>119</v>
      </c>
      <c r="C14" s="29">
        <v>26437.5</v>
      </c>
    </row>
    <row r="15" spans="1:3" x14ac:dyDescent="0.25">
      <c r="A15" s="48" t="s">
        <v>0</v>
      </c>
      <c r="B15" s="48"/>
      <c r="C15" s="49">
        <f>SUBTOTAL(109,Tabla3[Imp.cob.aplic.])</f>
        <v>615842.81000000006</v>
      </c>
    </row>
    <row r="16" spans="1:3" x14ac:dyDescent="0.25">
      <c r="C16" s="37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3D05C-322E-4064-B321-BBB893C1B88A}">
  <dimension ref="A1:C17"/>
  <sheetViews>
    <sheetView topLeftCell="A4" workbookViewId="0">
      <selection activeCell="B21" sqref="B21:C21"/>
    </sheetView>
  </sheetViews>
  <sheetFormatPr baseColWidth="10" defaultRowHeight="15" x14ac:dyDescent="0.25"/>
  <cols>
    <col min="1" max="1" width="12" customWidth="1"/>
    <col min="2" max="2" width="72.28515625" customWidth="1"/>
    <col min="3" max="3" width="18.5703125" customWidth="1"/>
  </cols>
  <sheetData>
    <row r="1" spans="1:3" x14ac:dyDescent="0.25">
      <c r="A1" s="52" t="s">
        <v>133</v>
      </c>
      <c r="B1" s="52" t="s">
        <v>84</v>
      </c>
      <c r="C1" s="53" t="s">
        <v>134</v>
      </c>
    </row>
    <row r="2" spans="1:3" x14ac:dyDescent="0.25">
      <c r="A2" s="50" t="s">
        <v>60</v>
      </c>
      <c r="B2" s="50" t="s">
        <v>135</v>
      </c>
      <c r="C2" s="29">
        <v>47272.93</v>
      </c>
    </row>
    <row r="3" spans="1:3" x14ac:dyDescent="0.25">
      <c r="A3" s="51" t="s">
        <v>81</v>
      </c>
      <c r="B3" s="51" t="s">
        <v>136</v>
      </c>
      <c r="C3" s="30">
        <v>-1313.28</v>
      </c>
    </row>
    <row r="4" spans="1:3" x14ac:dyDescent="0.25">
      <c r="A4" s="50" t="s">
        <v>86</v>
      </c>
      <c r="B4" s="50" t="s">
        <v>137</v>
      </c>
      <c r="C4" s="29">
        <v>129606.22</v>
      </c>
    </row>
    <row r="5" spans="1:3" x14ac:dyDescent="0.25">
      <c r="A5" s="51" t="s">
        <v>97</v>
      </c>
      <c r="B5" s="51" t="s">
        <v>138</v>
      </c>
      <c r="C5" s="30">
        <v>39869.629999999997</v>
      </c>
    </row>
    <row r="6" spans="1:3" x14ac:dyDescent="0.25">
      <c r="A6" s="50" t="s">
        <v>113</v>
      </c>
      <c r="B6" s="50" t="s">
        <v>139</v>
      </c>
      <c r="C6" s="29">
        <v>95000</v>
      </c>
    </row>
    <row r="7" spans="1:3" x14ac:dyDescent="0.25">
      <c r="A7" s="51" t="s">
        <v>98</v>
      </c>
      <c r="B7" s="51" t="s">
        <v>140</v>
      </c>
      <c r="C7" s="30">
        <v>13450</v>
      </c>
    </row>
    <row r="8" spans="1:3" x14ac:dyDescent="0.25">
      <c r="A8" s="50" t="s">
        <v>99</v>
      </c>
      <c r="B8" s="50" t="s">
        <v>141</v>
      </c>
      <c r="C8" s="29">
        <v>45499.97</v>
      </c>
    </row>
    <row r="9" spans="1:3" x14ac:dyDescent="0.25">
      <c r="A9" s="51" t="s">
        <v>99</v>
      </c>
      <c r="B9" s="51" t="s">
        <v>142</v>
      </c>
      <c r="C9" s="30">
        <v>45499.97</v>
      </c>
    </row>
    <row r="10" spans="1:3" x14ac:dyDescent="0.25">
      <c r="A10" s="50" t="s">
        <v>115</v>
      </c>
      <c r="B10" s="50" t="s">
        <v>143</v>
      </c>
      <c r="C10" s="29">
        <v>114708</v>
      </c>
    </row>
    <row r="11" spans="1:3" x14ac:dyDescent="0.25">
      <c r="A11" s="51" t="s">
        <v>117</v>
      </c>
      <c r="B11" s="51" t="s">
        <v>144</v>
      </c>
      <c r="C11" s="30">
        <v>24080</v>
      </c>
    </row>
    <row r="12" spans="1:3" x14ac:dyDescent="0.25">
      <c r="A12" s="50" t="s">
        <v>145</v>
      </c>
      <c r="B12" s="50" t="s">
        <v>146</v>
      </c>
      <c r="C12" s="29">
        <v>78683.87</v>
      </c>
    </row>
    <row r="13" spans="1:3" x14ac:dyDescent="0.25">
      <c r="A13" s="51" t="s">
        <v>147</v>
      </c>
      <c r="B13" s="51" t="s">
        <v>148</v>
      </c>
      <c r="C13" s="30">
        <v>93000</v>
      </c>
    </row>
    <row r="14" spans="1:3" x14ac:dyDescent="0.25">
      <c r="A14" s="50" t="s">
        <v>147</v>
      </c>
      <c r="B14" s="50" t="s">
        <v>149</v>
      </c>
      <c r="C14" s="29">
        <v>46996</v>
      </c>
    </row>
    <row r="15" spans="1:3" x14ac:dyDescent="0.25">
      <c r="A15" s="51" t="s">
        <v>1</v>
      </c>
      <c r="B15" s="51" t="s">
        <v>150</v>
      </c>
      <c r="C15" s="30">
        <v>28784</v>
      </c>
    </row>
    <row r="16" spans="1:3" x14ac:dyDescent="0.25">
      <c r="A16" s="54" t="s">
        <v>82</v>
      </c>
      <c r="B16" s="54" t="s">
        <v>151</v>
      </c>
      <c r="C16" s="55">
        <v>3113.75</v>
      </c>
    </row>
    <row r="17" spans="1:3" s="58" customFormat="1" x14ac:dyDescent="0.25">
      <c r="A17" s="56" t="s">
        <v>0</v>
      </c>
      <c r="B17" s="56"/>
      <c r="C17" s="57">
        <f>SUBTOTAL(109,Tabla5[Imp. aplic.])</f>
        <v>804251.05999999994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40BB5-357C-45F4-AE39-9B2FCCEF1C0B}">
  <dimension ref="A1:C24"/>
  <sheetViews>
    <sheetView workbookViewId="0">
      <selection activeCell="C25" sqref="C25"/>
    </sheetView>
  </sheetViews>
  <sheetFormatPr baseColWidth="10" defaultRowHeight="15" x14ac:dyDescent="0.25"/>
  <cols>
    <col min="1" max="1" width="15.7109375" customWidth="1"/>
    <col min="2" max="2" width="44.7109375" customWidth="1"/>
    <col min="3" max="3" width="17" customWidth="1"/>
  </cols>
  <sheetData>
    <row r="1" spans="1:3" x14ac:dyDescent="0.25">
      <c r="A1" s="61" t="s">
        <v>133</v>
      </c>
      <c r="B1" s="62" t="s">
        <v>84</v>
      </c>
      <c r="C1" s="62" t="s">
        <v>134</v>
      </c>
    </row>
    <row r="2" spans="1:3" x14ac:dyDescent="0.25">
      <c r="A2" s="63" t="s">
        <v>186</v>
      </c>
      <c r="B2" s="64" t="s">
        <v>187</v>
      </c>
      <c r="C2" s="65">
        <v>1665.56</v>
      </c>
    </row>
    <row r="3" spans="1:3" x14ac:dyDescent="0.25">
      <c r="A3" s="66" t="s">
        <v>188</v>
      </c>
      <c r="B3" s="67" t="s">
        <v>189</v>
      </c>
      <c r="C3" s="68">
        <v>14545</v>
      </c>
    </row>
    <row r="4" spans="1:3" x14ac:dyDescent="0.25">
      <c r="A4" s="63" t="s">
        <v>190</v>
      </c>
      <c r="B4" s="64" t="s">
        <v>191</v>
      </c>
      <c r="C4" s="65">
        <v>7580.41</v>
      </c>
    </row>
    <row r="5" spans="1:3" x14ac:dyDescent="0.25">
      <c r="A5" s="66" t="s">
        <v>190</v>
      </c>
      <c r="B5" s="67" t="s">
        <v>192</v>
      </c>
      <c r="C5" s="68">
        <v>5500</v>
      </c>
    </row>
    <row r="6" spans="1:3" x14ac:dyDescent="0.25">
      <c r="A6" s="63" t="s">
        <v>190</v>
      </c>
      <c r="B6" s="64" t="s">
        <v>193</v>
      </c>
      <c r="C6" s="65">
        <v>2000</v>
      </c>
    </row>
    <row r="7" spans="1:3" x14ac:dyDescent="0.25">
      <c r="A7" s="66" t="s">
        <v>60</v>
      </c>
      <c r="B7" s="67" t="s">
        <v>194</v>
      </c>
      <c r="C7" s="68">
        <v>-2257.63</v>
      </c>
    </row>
    <row r="8" spans="1:3" x14ac:dyDescent="0.25">
      <c r="A8" s="63" t="s">
        <v>86</v>
      </c>
      <c r="B8" s="64" t="s">
        <v>195</v>
      </c>
      <c r="C8" s="65">
        <v>-64903.17</v>
      </c>
    </row>
    <row r="9" spans="1:3" x14ac:dyDescent="0.25">
      <c r="A9" s="66" t="s">
        <v>97</v>
      </c>
      <c r="B9" s="67" t="s">
        <v>196</v>
      </c>
      <c r="C9" s="68">
        <v>47345.07</v>
      </c>
    </row>
    <row r="10" spans="1:3" x14ac:dyDescent="0.25">
      <c r="A10" s="63" t="s">
        <v>113</v>
      </c>
      <c r="B10" s="64" t="s">
        <v>197</v>
      </c>
      <c r="C10" s="65">
        <v>95238.1</v>
      </c>
    </row>
    <row r="11" spans="1:3" x14ac:dyDescent="0.25">
      <c r="A11" s="66" t="s">
        <v>115</v>
      </c>
      <c r="B11" s="67" t="s">
        <v>198</v>
      </c>
      <c r="C11" s="68">
        <v>114708</v>
      </c>
    </row>
    <row r="12" spans="1:3" x14ac:dyDescent="0.25">
      <c r="A12" s="63" t="s">
        <v>117</v>
      </c>
      <c r="B12" s="64" t="s">
        <v>199</v>
      </c>
      <c r="C12" s="65">
        <v>14840</v>
      </c>
    </row>
    <row r="13" spans="1:3" x14ac:dyDescent="0.25">
      <c r="A13" s="66" t="s">
        <v>145</v>
      </c>
      <c r="B13" s="67" t="s">
        <v>200</v>
      </c>
      <c r="C13" s="68">
        <v>54528.27</v>
      </c>
    </row>
    <row r="14" spans="1:3" x14ac:dyDescent="0.25">
      <c r="A14" s="63" t="s">
        <v>147</v>
      </c>
      <c r="B14" s="64" t="s">
        <v>201</v>
      </c>
      <c r="C14" s="65">
        <v>8184</v>
      </c>
    </row>
    <row r="15" spans="1:3" x14ac:dyDescent="0.25">
      <c r="A15" s="66" t="s">
        <v>202</v>
      </c>
      <c r="B15" s="67" t="s">
        <v>203</v>
      </c>
      <c r="C15" s="68">
        <v>7400</v>
      </c>
    </row>
    <row r="16" spans="1:3" x14ac:dyDescent="0.25">
      <c r="A16" s="63" t="s">
        <v>204</v>
      </c>
      <c r="B16" s="64" t="s">
        <v>205</v>
      </c>
      <c r="C16" s="65">
        <v>91140</v>
      </c>
    </row>
    <row r="17" spans="1:3" x14ac:dyDescent="0.25">
      <c r="A17" s="66" t="s">
        <v>204</v>
      </c>
      <c r="B17" s="67" t="s">
        <v>206</v>
      </c>
      <c r="C17" s="68">
        <v>51646</v>
      </c>
    </row>
    <row r="18" spans="1:3" x14ac:dyDescent="0.25">
      <c r="A18" s="63" t="s">
        <v>1</v>
      </c>
      <c r="B18" s="64" t="s">
        <v>207</v>
      </c>
      <c r="C18" s="65">
        <v>4065.56</v>
      </c>
    </row>
    <row r="19" spans="1:3" x14ac:dyDescent="0.25">
      <c r="A19" s="66" t="s">
        <v>1</v>
      </c>
      <c r="B19" s="67" t="s">
        <v>208</v>
      </c>
      <c r="C19" s="68">
        <v>32639.98</v>
      </c>
    </row>
    <row r="20" spans="1:3" ht="15.75" thickBot="1" x14ac:dyDescent="0.3">
      <c r="A20" s="63" t="s">
        <v>82</v>
      </c>
      <c r="B20" s="64" t="s">
        <v>209</v>
      </c>
      <c r="C20" s="65">
        <v>9012.07</v>
      </c>
    </row>
    <row r="21" spans="1:3" ht="15.75" thickTop="1" x14ac:dyDescent="0.25">
      <c r="A21" s="69" t="s">
        <v>0</v>
      </c>
      <c r="B21" s="70"/>
      <c r="C21" s="71">
        <v>494877.22</v>
      </c>
    </row>
    <row r="24" spans="1:3" x14ac:dyDescent="0.25">
      <c r="B24" s="59" t="s">
        <v>210</v>
      </c>
      <c r="C24" s="60">
        <f>C21+Tabla3[[#Totals],[Imp.cob.aplic.]]+Tabla5[[#Totals],[Imp. aplic.]]</f>
        <v>1914971.0899999999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3653A-94C4-4653-96CF-A976E2922C2B}">
  <dimension ref="A1:C7"/>
  <sheetViews>
    <sheetView workbookViewId="0">
      <selection activeCell="B14" sqref="B14"/>
    </sheetView>
  </sheetViews>
  <sheetFormatPr baseColWidth="10" defaultRowHeight="15" x14ac:dyDescent="0.25"/>
  <cols>
    <col min="1" max="1" width="17" customWidth="1"/>
    <col min="2" max="2" width="95.140625" customWidth="1"/>
    <col min="3" max="3" width="16" customWidth="1"/>
  </cols>
  <sheetData>
    <row r="1" spans="1:3" x14ac:dyDescent="0.25">
      <c r="A1" s="43" t="s">
        <v>83</v>
      </c>
      <c r="B1" s="43" t="s">
        <v>84</v>
      </c>
      <c r="C1" s="43" t="s">
        <v>94</v>
      </c>
    </row>
    <row r="2" spans="1:3" x14ac:dyDescent="0.25">
      <c r="A2" s="35" t="s">
        <v>2</v>
      </c>
      <c r="B2" s="35" t="s">
        <v>120</v>
      </c>
      <c r="C2" s="29">
        <v>-36</v>
      </c>
    </row>
    <row r="3" spans="1:3" x14ac:dyDescent="0.25">
      <c r="A3" s="36" t="s">
        <v>2</v>
      </c>
      <c r="B3" s="36" t="s">
        <v>121</v>
      </c>
      <c r="C3" s="30">
        <v>50</v>
      </c>
    </row>
    <row r="4" spans="1:3" x14ac:dyDescent="0.25">
      <c r="A4" s="35" t="s">
        <v>2</v>
      </c>
      <c r="B4" s="35" t="s">
        <v>122</v>
      </c>
      <c r="C4" s="29">
        <v>-45</v>
      </c>
    </row>
    <row r="5" spans="1:3" x14ac:dyDescent="0.25">
      <c r="A5" s="44" t="s">
        <v>2</v>
      </c>
      <c r="B5" s="44" t="s">
        <v>123</v>
      </c>
      <c r="C5" s="45">
        <v>4005</v>
      </c>
    </row>
    <row r="6" spans="1:3" x14ac:dyDescent="0.25">
      <c r="A6" s="46" t="s">
        <v>0</v>
      </c>
      <c r="B6" s="46"/>
      <c r="C6" s="47">
        <f>SUBTOTAL(109,Tabla1[Imp.cob.aplic.])</f>
        <v>3974</v>
      </c>
    </row>
    <row r="7" spans="1:3" x14ac:dyDescent="0.25">
      <c r="C7" s="37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4794C-E799-45B7-87EE-65FC5E51CAC1}">
  <dimension ref="A1:C3"/>
  <sheetViews>
    <sheetView workbookViewId="0">
      <selection activeCell="B6" sqref="B6:C6"/>
    </sheetView>
  </sheetViews>
  <sheetFormatPr baseColWidth="10" defaultRowHeight="15" x14ac:dyDescent="0.25"/>
  <cols>
    <col min="1" max="1" width="17" customWidth="1"/>
    <col min="2" max="2" width="68.7109375" customWidth="1"/>
    <col min="3" max="3" width="16" customWidth="1"/>
  </cols>
  <sheetData>
    <row r="1" spans="1:3" x14ac:dyDescent="0.25">
      <c r="A1" s="52" t="s">
        <v>133</v>
      </c>
      <c r="B1" s="52" t="s">
        <v>84</v>
      </c>
      <c r="C1" s="52" t="s">
        <v>134</v>
      </c>
    </row>
    <row r="2" spans="1:3" x14ac:dyDescent="0.25">
      <c r="A2" s="54" t="s">
        <v>2</v>
      </c>
      <c r="B2" s="54" t="s">
        <v>152</v>
      </c>
      <c r="C2" s="55">
        <v>3645</v>
      </c>
    </row>
    <row r="3" spans="1:3" s="58" customFormat="1" x14ac:dyDescent="0.25">
      <c r="A3" s="56" t="s">
        <v>0</v>
      </c>
      <c r="B3" s="56"/>
      <c r="C3" s="57">
        <f>SUBTOTAL(109,Tabla7[Imp. aplic.])</f>
        <v>3645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EBC38-275C-43F0-A86F-1A4A1459866D}">
  <dimension ref="A1:C7"/>
  <sheetViews>
    <sheetView workbookViewId="0">
      <selection activeCell="C15" sqref="C15"/>
    </sheetView>
  </sheetViews>
  <sheetFormatPr baseColWidth="10" defaultRowHeight="15" x14ac:dyDescent="0.25"/>
  <cols>
    <col min="1" max="1" width="15.7109375" customWidth="1"/>
    <col min="2" max="2" width="46.7109375" customWidth="1"/>
    <col min="3" max="3" width="13.7109375" customWidth="1"/>
  </cols>
  <sheetData>
    <row r="1" spans="1:3" x14ac:dyDescent="0.25">
      <c r="A1" s="72" t="s">
        <v>133</v>
      </c>
      <c r="B1" s="73" t="s">
        <v>84</v>
      </c>
      <c r="C1" s="74" t="s">
        <v>134</v>
      </c>
    </row>
    <row r="2" spans="1:3" ht="15.75" thickBot="1" x14ac:dyDescent="0.3">
      <c r="A2" s="75" t="s">
        <v>2</v>
      </c>
      <c r="B2" s="76" t="s">
        <v>211</v>
      </c>
      <c r="C2" s="77">
        <v>4365</v>
      </c>
    </row>
    <row r="3" spans="1:3" ht="15.75" thickTop="1" x14ac:dyDescent="0.25">
      <c r="A3" s="78" t="s">
        <v>0</v>
      </c>
      <c r="B3" s="79"/>
      <c r="C3" s="80">
        <v>4365</v>
      </c>
    </row>
    <row r="7" spans="1:3" x14ac:dyDescent="0.25">
      <c r="B7" s="59" t="s">
        <v>212</v>
      </c>
      <c r="C7" s="60">
        <f>C3+Tabla1[[#Totals],[Imp.cob.aplic.]]+Tabla7[[#Totals],[Imp. aplic.]]</f>
        <v>11984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2</vt:i4>
      </vt:variant>
    </vt:vector>
  </HeadingPairs>
  <TitlesOfParts>
    <vt:vector size="10" baseType="lpstr">
      <vt:lpstr>Tesis</vt:lpstr>
      <vt:lpstr>Sexenios</vt:lpstr>
      <vt:lpstr>Ingresos investigación 2023</vt:lpstr>
      <vt:lpstr>Ingresos investigación 2024</vt:lpstr>
      <vt:lpstr>Ingresos investigación 2025</vt:lpstr>
      <vt:lpstr>Ingresos formación 2023</vt:lpstr>
      <vt:lpstr>Ingresos formación 2024</vt:lpstr>
      <vt:lpstr>Ingresos formación 2025</vt:lpstr>
      <vt:lpstr>Sexenios!Títulos_a_imprimir</vt:lpstr>
      <vt:lpstr>Tesis!Títulos_a_imprimir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21387280V</dc:creator>
  <cp:lastModifiedBy>mayte.pujalte</cp:lastModifiedBy>
  <dcterms:created xsi:type="dcterms:W3CDTF">2019-07-03T07:15:54Z</dcterms:created>
  <dcterms:modified xsi:type="dcterms:W3CDTF">2026-05-28T08:06:33Z</dcterms:modified>
</cp:coreProperties>
</file>