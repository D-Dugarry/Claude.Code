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F622F8D1-4030-47F1-9425-57D8B27E56B5}" xr6:coauthVersionLast="47" xr6:coauthVersionMax="47" xr10:uidLastSave="{00000000-0000-0000-0000-000000000000}"/>
  <bookViews>
    <workbookView xWindow="-108" yWindow="-108" windowWidth="23256" windowHeight="13896" tabRatio="697" activeTab="2" xr2:uid="{00000000-000D-0000-FFFF-FFFF00000000}"/>
  </bookViews>
  <sheets>
    <sheet name="Cr.23" sheetId="22" r:id="rId1"/>
    <sheet name="Cr.24" sheetId="35" r:id="rId2"/>
    <sheet name="Cr.25" sheetId="40" r:id="rId3"/>
    <sheet name="Tesis" sheetId="10" r:id="rId4"/>
    <sheet name="Sexenios" sheetId="11" r:id="rId5"/>
    <sheet name="Ingresos investigación 2023" sheetId="33" r:id="rId6"/>
    <sheet name="Ingresos investigación 2024" sheetId="36" r:id="rId7"/>
    <sheet name="Ingresos investigación 2025" sheetId="38" r:id="rId8"/>
    <sheet name="Ingresos formación 2023" sheetId="34" r:id="rId9"/>
    <sheet name="Ingresos formación 2024" sheetId="37" r:id="rId10"/>
    <sheet name="Ingresos formación 2025" sheetId="39" r:id="rId11"/>
  </sheets>
  <definedNames>
    <definedName name="_xlnm._FilterDatabase" localSheetId="4" hidden="1">Sexenios!#REF!</definedName>
    <definedName name="_xlnm._FilterDatabase" localSheetId="3" hidden="1">Tesis!$A$1:$U$1</definedName>
    <definedName name="_xlnm.Print_Titles" localSheetId="4">Sexenios!$1:$1</definedName>
    <definedName name="_xlnm.Print_Titles" localSheetId="3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9" l="1"/>
  <c r="C33" i="38"/>
  <c r="C3" i="37"/>
  <c r="C8" i="34"/>
  <c r="C29" i="36"/>
  <c r="C29" i="33"/>
  <c r="S49" i="11" l="1"/>
  <c r="S34" i="10"/>
</calcChain>
</file>

<file path=xl/sharedStrings.xml><?xml version="1.0" encoding="utf-8"?>
<sst xmlns="http://schemas.openxmlformats.org/spreadsheetml/2006/main" count="1117" uniqueCount="427">
  <si>
    <t>Total</t>
  </si>
  <si>
    <t>34.80.2T.00.03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</si>
  <si>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</si>
  <si>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</si>
  <si>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</si>
  <si>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</si>
  <si>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</si>
  <si>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</si>
  <si>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</si>
  <si>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</si>
  <si>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</si>
  <si>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</si>
  <si>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</si>
  <si>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</si>
  <si>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</si>
  <si>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</si>
  <si>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</si>
  <si>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</si>
  <si>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</si>
  <si>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</si>
  <si>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</si>
  <si>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</si>
  <si>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</si>
  <si>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</si>
  <si>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</si>
  <si>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</si>
  <si>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</si>
  <si>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10.20</t>
  </si>
  <si>
    <t>20</t>
  </si>
  <si>
    <t>10.19</t>
  </si>
  <si>
    <t>FISICA APLICADA </t>
  </si>
  <si>
    <t>B185 </t>
  </si>
  <si>
    <t>INGENIERÍA CIVIL </t>
  </si>
  <si>
    <t>U062 </t>
  </si>
  <si>
    <t>ADM. I.U. DE INVESTIGACIÓN INFORMÁTICA </t>
  </si>
  <si>
    <t>DOCTORADO EN INFORMÁTICA </t>
  </si>
  <si>
    <t>B149 </t>
  </si>
  <si>
    <t>FISICA, INGENIERIA DE SISTEMAS Y TEORIA DE LA SEÑAL </t>
  </si>
  <si>
    <t>B149</t>
  </si>
  <si>
    <t>21503683V </t>
  </si>
  <si>
    <t>U066 </t>
  </si>
  <si>
    <t>ADM. I.U. FÍSICA APLICADA A LA CIENCIAS Y A LAS TECNOLOGIAS </t>
  </si>
  <si>
    <t>DOCTORADO EN FÍSICA APLICADA A LAS CIENCIAS Y LAS TECNOLOGÍAS </t>
  </si>
  <si>
    <t>73989362H </t>
  </si>
  <si>
    <t>19099684R </t>
  </si>
  <si>
    <t>73996233N </t>
  </si>
  <si>
    <t>24218798M </t>
  </si>
  <si>
    <t>52774982X </t>
  </si>
  <si>
    <t>DOCTORADO EN INGENIERÍA DE MATERIALES, ESTRUCTURAS Y TERRENO: CONSTR. SOST. </t>
  </si>
  <si>
    <t>48328421Q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</si>
  <si>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</si>
  <si>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</si>
  <si>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</si>
  <si>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</si>
  <si>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</si>
  <si>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</si>
  <si>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</si>
  <si>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</si>
  <si>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</si>
  <si>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</si>
  <si>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</si>
  <si>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</si>
  <si>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</si>
  <si>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</si>
  <si>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48674922E</t>
  </si>
  <si>
    <t>21664897R</t>
  </si>
  <si>
    <t>05162571Z</t>
  </si>
  <si>
    <t>50591680Y</t>
  </si>
  <si>
    <t>33492959Z</t>
  </si>
  <si>
    <t>33493609C</t>
  </si>
  <si>
    <t>X0325201G</t>
  </si>
  <si>
    <t>52773069Y</t>
  </si>
  <si>
    <t>48328421Q</t>
  </si>
  <si>
    <t>21499481R</t>
  </si>
  <si>
    <t>48350620C</t>
  </si>
  <si>
    <t>52765823M</t>
  </si>
  <si>
    <t>52774982X</t>
  </si>
  <si>
    <t>73996233N</t>
  </si>
  <si>
    <t>21503683V</t>
  </si>
  <si>
    <t>72520384G</t>
  </si>
  <si>
    <t>X3722234Y</t>
  </si>
  <si>
    <t>52437293F</t>
  </si>
  <si>
    <t>22142307T</t>
  </si>
  <si>
    <t>21995314T</t>
  </si>
  <si>
    <t>21502688B</t>
  </si>
  <si>
    <t>33477513R</t>
  </si>
  <si>
    <t>29013624K</t>
  </si>
  <si>
    <t>48539812Z</t>
  </si>
  <si>
    <t>52764629F</t>
  </si>
  <si>
    <t>52778442C</t>
  </si>
  <si>
    <t>73989362H</t>
  </si>
  <si>
    <t>21451275A</t>
  </si>
  <si>
    <t>74002223E</t>
  </si>
  <si>
    <t>22136568B</t>
  </si>
  <si>
    <t>19099684R</t>
  </si>
  <si>
    <t>24218798M</t>
  </si>
  <si>
    <t>74362842R</t>
  </si>
  <si>
    <t>Departamento </t>
  </si>
  <si>
    <t>Área </t>
  </si>
  <si>
    <t>Tipo Titulacion Asig </t>
  </si>
  <si>
    <t>Grado </t>
  </si>
  <si>
    <t>Máster Universitario Oficial </t>
  </si>
  <si>
    <t>Total </t>
  </si>
  <si>
    <t>INGENIERIA DE SISTEMAS Y AUTOMATICA </t>
  </si>
  <si>
    <t>TEORIA DE LA SEÑAL Y COMUNICACIONES </t>
  </si>
  <si>
    <t>34.80.6P.00.22</t>
  </si>
  <si>
    <t>34.80.6P.00.24</t>
  </si>
  <si>
    <t>34.80.2T.00.05</t>
  </si>
  <si>
    <t>34.80.2T.00.07</t>
  </si>
  <si>
    <t>Soler Llorens, Juan Luis </t>
  </si>
  <si>
    <t>DISEÑO, IMPLEMENTACIÓN Y VALIDACIÓN DE SISTEMAS DE ADQUISICIÓN DE DATOS SÍSMICOS BASADOS EN ARDUINO </t>
  </si>
  <si>
    <t>16/12/2019 </t>
  </si>
  <si>
    <t>21499481R </t>
  </si>
  <si>
    <t>Zapata Impatá, Brayan Stiven </t>
  </si>
  <si>
    <t>ROBOTIC MANIPULATION BASED ON VISUAL AND TACTILE PERCEPTION </t>
  </si>
  <si>
    <t>17/09/2020 </t>
  </si>
  <si>
    <t>COD DEP</t>
  </si>
  <si>
    <t>Del Pino Bastida, Iván </t>
  </si>
  <si>
    <t>Desarrollo de un sistema completo de navegación autónoma basado en GNSS y LiDAR para robots terrestres que operan en entornos dinámicos y no estructurados </t>
  </si>
  <si>
    <t>02/09/2021 </t>
  </si>
  <si>
    <t>Romero Puig, Noelia </t>
  </si>
  <si>
    <t>Crop Monitoring by Satellite Polarimetric SAR Interferometry </t>
  </si>
  <si>
    <t>16/09/2021 </t>
  </si>
  <si>
    <t>21664897R </t>
  </si>
  <si>
    <t>Xie , Qinghua </t>
  </si>
  <si>
    <t>Application of Polarimetric Model-based Decomposition for Crop Monitoring </t>
  </si>
  <si>
    <t>19/02/2021 </t>
  </si>
  <si>
    <t>Martínez Chicharro, María </t>
  </si>
  <si>
    <t>Stellar wind diagnostic and accretion in the massive X-ray binary 4U1700-37 through high resolution X-ray spectroscopy </t>
  </si>
  <si>
    <t>28/05/2021 </t>
  </si>
  <si>
    <t>34.80.6P.00.29</t>
  </si>
  <si>
    <t>Cód. org. aplic.</t>
  </si>
  <si>
    <t>Descripción justificante</t>
  </si>
  <si>
    <t>Miró Oca, Marina </t>
  </si>
  <si>
    <t>APLICACIÓN DE TÉCNICAS ULTRASÓNICAS NO LINEALES A LA DETECCIÓN DE LA FISURACIÓN POR CORROSIÓN DEL ACERO EN HORMIGÓN </t>
  </si>
  <si>
    <t>20/12/2021 </t>
  </si>
  <si>
    <t>Morales Hernández, Aitor </t>
  </si>
  <si>
    <t>Study and Proposal of High-Power Handling Capability Microwave Filtering Solutions </t>
  </si>
  <si>
    <t>30/06/2022 </t>
  </si>
  <si>
    <t>X3722234Y </t>
  </si>
  <si>
    <t>74002223E </t>
  </si>
  <si>
    <t>21393105T</t>
  </si>
  <si>
    <t>22139399J</t>
  </si>
  <si>
    <t>33495154R</t>
  </si>
  <si>
    <t>33499533X</t>
  </si>
  <si>
    <t>48316782S</t>
  </si>
  <si>
    <t>Imp.cob.aplic.</t>
  </si>
  <si>
    <t>34.80.6C.00.29</t>
  </si>
  <si>
    <t>34.80.6M.00.05</t>
  </si>
  <si>
    <t>34.80.6P.00.37</t>
  </si>
  <si>
    <t>34.80.6P.00.38</t>
  </si>
  <si>
    <t>34.80.6P.00.39</t>
  </si>
  <si>
    <t>34.80.6P.00.40</t>
  </si>
  <si>
    <t>I.U. DE INVESTIGACIÓN INFORMÁTICA (10.19) </t>
  </si>
  <si>
    <t>Busquier Martínez, Mario </t>
  </si>
  <si>
    <t>Contribution of New Types of Radar Data to Land Cover and Crop Classification in Remote Sensing </t>
  </si>
  <si>
    <t>20/07/2023 </t>
  </si>
  <si>
    <t>Muñoz Bañon, Miguel Angel </t>
  </si>
  <si>
    <t>Navegación Autónoma Basada en Mapas Públicos Geo-Referenciados </t>
  </si>
  <si>
    <t>07/12/2022 </t>
  </si>
  <si>
    <t>52773069Y </t>
  </si>
  <si>
    <t>Hernández Ramírez, Óscar Guillermo </t>
  </si>
  <si>
    <t>Contribuciones a la interacción humano-robot y estimación de la postura humana en entornos de rehabilitación robótica </t>
  </si>
  <si>
    <t>21/07/2023 </t>
  </si>
  <si>
    <t>74359318L </t>
  </si>
  <si>
    <t>I.U. FÍSICA APLICADA A LA CIENCIAS Y A LAS TECNOLOGIAS (10.20) </t>
  </si>
  <si>
    <t>Abdelouahab , ISSAADI </t>
  </si>
  <si>
    <t>Characterization of the subsoil structure in the Middle-Chelif Basin (Algeria) using ambient vibration data </t>
  </si>
  <si>
    <t>16/12/2022 </t>
  </si>
  <si>
    <t>Jornet Monteverde, Julio Antonio </t>
  </si>
  <si>
    <t>Diseño, implementación y validación de sistemas de adquisición de datos sísmicos basados en el microcontrolador CC3200 </t>
  </si>
  <si>
    <t>03/02/2023 </t>
  </si>
  <si>
    <t>Rodrigo Saura, Francisco Javier </t>
  </si>
  <si>
    <t>CONSTRIBUCIÓN A LA CUANTIFICACIÓN DEL RUIDO RADIADO POR LOS BUQUES ATRAVÉS DE SU CASO </t>
  </si>
  <si>
    <t>16/02/2023 </t>
  </si>
  <si>
    <t>Sanjurjo Ferrín, Graciela </t>
  </si>
  <si>
    <t>High Mass X-ray Binaries seen through XMM-Newton: Winds, flows and accretion in 4U0114+65, Cen X-3 and XTE J1855-026 </t>
  </si>
  <si>
    <t>30/11/2022 </t>
  </si>
  <si>
    <t>Torregrosa Alberola, Álvaro </t>
  </si>
  <si>
    <t>Estudi temporal i espectral a llarg termini dels sistemes binaris de raigs X d'alta massa Centaurus X-3 i GX 301-2 </t>
  </si>
  <si>
    <t>15/09/2023 </t>
  </si>
  <si>
    <t>21451275A </t>
  </si>
  <si>
    <t>taleb yousfi, soumia imane </t>
  </si>
  <si>
    <t>Estudio de formación de imágenes en holografía de volumen mediante técnicas de simulación numérica. </t>
  </si>
  <si>
    <t>01/02/2023 </t>
  </si>
  <si>
    <t>33477513R </t>
  </si>
  <si>
    <t>04618131F</t>
  </si>
  <si>
    <t>48354591N</t>
  </si>
  <si>
    <t>53146258C</t>
  </si>
  <si>
    <t>73995619L</t>
  </si>
  <si>
    <t>74359318L</t>
  </si>
  <si>
    <t>385</t>
  </si>
  <si>
    <t>520</t>
  </si>
  <si>
    <t>800</t>
  </si>
  <si>
    <t xml:space="preserve">Investigación en la caracterización de tapas armónicas para una optimización del diseño final de la guitarra. </t>
  </si>
  <si>
    <t>34.80.6C.00.33</t>
  </si>
  <si>
    <t xml:space="preserve">DESARROLLO DE HERRAMIENTAS PARA LA PREDICCIÓN Y VALIDACIÓN VIBROACÚSTICA EN EL DISEÑO DE ACTUADORES ELECTRO-MECÁNICOS. (Primer pago anualidad 2023) </t>
  </si>
  <si>
    <t>34.80.6C.00.34</t>
  </si>
  <si>
    <t xml:space="preserve">Pedido: IT230026 - Sistemas de control activo de ruido en cabinas de ascensor y de vibraciones en cabinas de ascenso. Grupo de mecánica. Segundo pago.  </t>
  </si>
  <si>
    <t>Diseño del sistema de audio de la caja GOA, Optimización de la solución perforada en el sistema de audio de cabina (CONT.) y Implementación de solución microfónica con tecnología MEMS (CONT.). Grupo de Comunicación. Primer pago.</t>
  </si>
  <si>
    <t xml:space="preserve">Pedido: IT230027 Diseño del sistema de audio de la caja GOA, Optimización de la solución perforada en el sistema de audio de cabina (CONT.) y Implementación de solución microfónica con tecnología MENS (CONT.). Grupo de Comunicación. Segundo pago. </t>
  </si>
  <si>
    <t>Pedido: IT230026 - Sistemas de control activo de ruido en cabinas de ascensor y de vibraciones en cabinas de ascensor. Grupo de mecánica. Primer pago.</t>
  </si>
  <si>
    <t>34.80.6C.00.35</t>
  </si>
  <si>
    <t xml:space="preserve">Nº de expediente: 2008/0133/PIDI/03 - SUPERVISIÓN DEL PROYECTO PERTE AGRO PP11_VIRTOFIP - INVESTIGACIÓN DE TECNOLOGÍAS DE VISUALIZACIÓN AVANZADA PARA OPTIMIZACIÓN DE LA EFICIENCIA PRODUCTIVA EN LOS PROCESOS ALIMENTARIOS PERTENECIENTE A LA EMPRESA BODEGAS GRUPO YLLERA S.L.  </t>
  </si>
  <si>
    <t>34.80.6C.00.36</t>
  </si>
  <si>
    <t xml:space="preserve">Nº expediente: 2023/0782/PIDI/01 SUPERVISIÓN PROYECTO PERTE AGRO PP10_PREFRUTIA - INVESTIGACIÓN PARA LA DETERMINACIÓN DE LA CALIDAD Y TRAZABILIDAD DE LA FRUTA EN TAREAS DE PRECLASIFICACIÓN MEDIANTE INTELIGENCIA ARTIFICIAL Y VISIÓN ARTIFICIAL PERTENECIENTE A LA EMPRESA AGERPIX TECHNOLOGIE </t>
  </si>
  <si>
    <t>34.80.6C.00.37</t>
  </si>
  <si>
    <t>2008/0133/PIDI/01 PERTE AGRO HIPERES - Investigación basada en sensores ópticos avanzados e IA para el control de calidad y seguridad alimentaria de productos cárnicos perteneciente a la empresa TSK ELECTRÓNICA SA</t>
  </si>
  <si>
    <t>34.80.6C.00.38</t>
  </si>
  <si>
    <t>DESARROLLO INFORME TÉCNICO PROYECTO ROBOTILOGS</t>
  </si>
  <si>
    <t>34.80.6C.00.39</t>
  </si>
  <si>
    <t>2023/2289/PIDI/01 OP23010087- SUPERVISIÓN DEL PROYECTO PERTE VEC P04_DECOVEC - PROCESO INTELIGENTE E INTEGRADO DE INYECCIÓN, TRATAMIENTO MECÁNICO SUPERFICIAL Y RECUBRIMIENTO DECORATIVO, CON INSPECCIÓN MEDIANTE TÉCNICAS DE VISIÓN POR COMPUTADOR Y DE INTELIGENCIA ARTIFICIAL, PARA PIEZAS LIGERAS DE VEC perteneciente a la empresa CROPU S.A.U</t>
  </si>
  <si>
    <t>34.80.6C.00.40</t>
  </si>
  <si>
    <t xml:space="preserve">2023/2291/PIDI/01 OP23009997 - SUPERVISIÓN DEL PROYECTO PERTE VEC P05_GALMAVEC - INVESTIGACIÓN TECNOLÓGICA DEL PROCESO Y SUBPROCESOS PARA UNA GENERACIÓN AVANZADA DE MECANIZADOS Y TRATAMIENTOS SUPERFICIALES DE ALUMINIO PARA PIEZAS LIGERAS DEL SISTEMA DE FRENO EN EL VEHÍCULO ELÉCTRICO CONECTADO perteneciente a la empresa Componentes y Conjuntos, S.A.U. </t>
  </si>
  <si>
    <t>34.80.6C.00.41</t>
  </si>
  <si>
    <t xml:space="preserve">REALIZACIÓN DE ENSAYOS ACÚSTICOS DE RUIDO DE RODADURA EN PAVIMENTOS ASFÁLTICOS EN CARRER DEL TORRENT DE L'OLLA, BARCELONA (2023/00886/001)   </t>
  </si>
  <si>
    <t>34.80.6C.00.43</t>
  </si>
  <si>
    <t xml:space="preserve">INVESTIGACIÓN Y DESARROLLO DE UN MODELO DE PREDICCIÓN DE PROPIEDADES ACÚSTICAS Y MECÁNICAS EN MEZCLAS ASFÁLTICAS. PRIMER PAGO. </t>
  </si>
  <si>
    <t>34.80.6C.00.44</t>
  </si>
  <si>
    <t>Número de pedido 62490000131. EVALUACIÓN POR PARTE DEL EXP. T. DEL PROYECTO 3651.001.23. INVESTIGACION Y DESARROLLO DE NUEVOS ALTAVOCES DE MEDIA Y BAJA FRECUENCIA CON UNA DISTORSIÓN ÚNICA.</t>
  </si>
  <si>
    <t>34.80.6D.00.01</t>
  </si>
  <si>
    <t>S8892 CONVENI COL·LABORACIÓ AMB LA UNIVERSITAT D'ALACANT PER A LA DIGITALITZACIÓ I CIBERSEGURETAT. EXERCICI 2023</t>
  </si>
  <si>
    <t xml:space="preserve">Formación y tutorización especializada en procesado de series de imágenes de radar de apertura sintética. Segundo pago.  </t>
  </si>
  <si>
    <t>DEVOLUCIÓN DE INGRESO_MODELO 069_P57431-RTI2018-099464-B-I00_ EXPEDIENTE O REFERENCIA: 173-P57431-202212210097795</t>
  </si>
  <si>
    <t>Reintegro en voluntaria de la referencia RTI2018-099464-B-I00, anualidad: 2021</t>
  </si>
  <si>
    <t xml:space="preserve">DEVOLUCIÓN DE INGRESOS_MODELO 047_Nº DE LIQUIDACIÓN:46/2023RAS/10426/1_ Nº DE JUSTIFICANTE: 047/1/002415081/_Nº DE REFERENCIA: 047/1/002415081 </t>
  </si>
  <si>
    <t>DEVOLUCIÓN DE INGRESOS_MODELO 047_CIACO 2021 EN 2022_Nº de liquidación:46/2023/RAS/10205/1 047/_Número de justificante:047/1/002362793_Nº de referencia:047/1/002362793</t>
  </si>
  <si>
    <t xml:space="preserve">CIAICO/2021/019/074/124/158/167/173/221/279/305/328/335/339/345/348 </t>
  </si>
  <si>
    <t>34.80.6P.00.41</t>
  </si>
  <si>
    <t>ayudas CIGE/2022/4-6-8-10-15-16-21-30-36-45-46-51-52- 54-55-105-170-179</t>
  </si>
  <si>
    <t>34.80.6P.00.43</t>
  </si>
  <si>
    <t xml:space="preserve">ayudas INNEST/2023/7, INNEST/2023/20, INNEST/2023/15, INNEST/2023/14, INNEST/2023/13, INNEST/2023/11, INNEST/2023/10 </t>
  </si>
  <si>
    <t>34.80.6P.00.44</t>
  </si>
  <si>
    <t xml:space="preserve">AYUDAS CIAEST/2022/2, CIAEST/2022/25, CIAEST/2022/49, CIAEST/2022/78 </t>
  </si>
  <si>
    <t>34.80.6P.00.45</t>
  </si>
  <si>
    <t xml:space="preserve">ayudas PID2022  138464NB-142516OB-139990NB-141382OB-137350NB-139899OB--136847NB-137385NB-139294NB-137873NA-138786NB-141712NB-136590OB-139105OB-142356NB-141694NB-136399NB  </t>
  </si>
  <si>
    <t>34.80.6P.00.46</t>
  </si>
  <si>
    <t>34.80.2E.00.09</t>
  </si>
  <si>
    <t>INGRESO DE REMANENTE DEL CONGRESO CONGRESO PAEE-ALE</t>
  </si>
  <si>
    <t>Acuerdo de colaboración entre la Universidad de Alicante y Huawei Technologies, ICT Academy.</t>
  </si>
  <si>
    <t xml:space="preserve">Acuerdo de colaboración entre la Universidad de Alicante y Huawei Technologies, proyecto H1 2023.  </t>
  </si>
  <si>
    <t xml:space="preserve">Plan_9191 Curso_2022-23 Emitido_2022-23 - EXPERTO/A EN TECNOLOGÍAS Y CERTIFICACIONES DE TELECOMUNICACIONES </t>
  </si>
  <si>
    <t>Plan_GD30 Curso_2022-23 Emitido_2022-23 - PRODUCCIÓN MUSICAL CON ABLETON LIVE</t>
  </si>
  <si>
    <t xml:space="preserve">Plan_GD29 Curso_2022-23 Emitido_2022-23 - MEZCLA DE SONIDO </t>
  </si>
  <si>
    <t>U062</t>
  </si>
  <si>
    <t>I.U. DE INVESTIGACIÓN INFORMÁTICA (10.19)</t>
  </si>
  <si>
    <t>DOCTORADO EN INFORMÁTICA</t>
  </si>
  <si>
    <t>Luo , Jiayin</t>
  </si>
  <si>
    <t>Processing and Exploitation of Multi-temporal Polarimetric and Interferometric SAR Data</t>
  </si>
  <si>
    <t>13/06/2024</t>
  </si>
  <si>
    <t>Director de tesis</t>
  </si>
  <si>
    <t>FISICA, INGENIERIA DE SISTEMAS Y TEORIA DE LA SEÑAL</t>
  </si>
  <si>
    <t>U066</t>
  </si>
  <si>
    <t>I.U. FÍSICA APLICADA A LA CIENCIAS Y A LAS TECNOLOGIAS (10.20)</t>
  </si>
  <si>
    <t>DOCTORADO EN FÍSICA APLICADA A LAS CIENCIAS Y LAS TECNOLOGÍAS</t>
  </si>
  <si>
    <t>Billel , Melouk</t>
  </si>
  <si>
    <t>Investigating the Lithospheric Structure of Northern Algeria from Receiver Functions and Surface Wave Tomography Using Earthquake and Ambient Noise data</t>
  </si>
  <si>
    <t>22/04/2024</t>
  </si>
  <si>
    <t>Codirector de tesis</t>
  </si>
  <si>
    <t>20430702D</t>
  </si>
  <si>
    <t>Vivos</t>
  </si>
  <si>
    <t>10.09</t>
  </si>
  <si>
    <t>40</t>
  </si>
  <si>
    <t>44771694D</t>
  </si>
  <si>
    <t>Créditos dedicación Dept. por nº de alumnos en cada asig. </t>
  </si>
  <si>
    <t>Créditos dedicación Dept. por nº de alumnos por 1ª VEZ en cada asig. </t>
  </si>
  <si>
    <t>FISICA APLICADA</t>
  </si>
  <si>
    <t>INGENIERIA DE SISTEMAS Y AUTOMATICA</t>
  </si>
  <si>
    <t>TEORIA DE LA SEÑAL Y COMUNICACIONES</t>
  </si>
  <si>
    <t>Área</t>
  </si>
  <si>
    <t>Indicadores</t>
  </si>
  <si>
    <t>Créditos dedicación Dept. por nº de alumnos en cada asig</t>
  </si>
  <si>
    <t>Créditos dedicación Dept. por nº de alumnos por 1ª VEZ en cada asig</t>
  </si>
  <si>
    <t>Tipo Titulacion Asig</t>
  </si>
  <si>
    <t>Grado</t>
  </si>
  <si>
    <t>Máster Universitario Oficial</t>
  </si>
  <si>
    <t>Org. aplic.</t>
  </si>
  <si>
    <t>Imp. aplic.</t>
  </si>
  <si>
    <t>DESARROLLO DE HERRAMIENTAS PARA LA PREDICCIÓN Y VALIDACIÓN VIBROACÚSTICA EN EL DISEÑO DE ACTUADORES ELECTRO-MECÁNICOS. Anualidad 2023 - Segundo Pago.</t>
  </si>
  <si>
    <t>DESARROLLO DE HERRAMIENTAS PARA LA PREDICCIÓN Y VALIDACIÓN VIBROACÚSTICA EN EL DISEÑO DE ACTUADORES ELECTRO-MECÁNICOS. Anualidad 2024 - Primer Pago.</t>
  </si>
  <si>
    <t xml:space="preserve">DESARROLLO DE HERRAMIENTAS PARA LA PREDICCIÓN Y VALIDACIÓN VIBROACÚSTICA EN EL DISEÑO DE ACTUADORES ELECTRO-MECÁNICOS. Anualidad 2024 segundo pago. </t>
  </si>
  <si>
    <t>Pedido IT230027 - ARTÍCULO: SUBCONTRATACION CON PRESTACION DE SERVICIO ÍNDICE 146. Diseño del sistema de audio de la caja GOA, Optimización de la solución perforada en el sistema de audio de cabina (CONT.) y Implementación de solución microfónica con tecnología MEMS (CONT.). Grupo de Comunicación. Tercer Pago.</t>
  </si>
  <si>
    <t xml:space="preserve">Pedido: IT230026 - Sistemas de control activo de ruido en cabinas de ascensor y de vibraciones en cabinas de ascensor. Grupo de mecánica. Tercer pago.   </t>
  </si>
  <si>
    <t>34.80.6C.00.42</t>
  </si>
  <si>
    <t xml:space="preserve">INVESTIGACIÓN PARA LA CARACTERIZACIÓN DE TAPAS ARMÓNICAS DE DIFERENTES MATERIALES Y VARETAJES, 2ª FASE. PRIMER PAGO. </t>
  </si>
  <si>
    <t>34.80.6C.00.45</t>
  </si>
  <si>
    <t>2018/0810/PIDI/02 Evaluación del proyecto:  HYBRIDMUFF - INVESTIGACIÓN SOBRE SILENCIADORES ACÚSTICOS HÍBRIDOS BASADOS EN SISTEMAS REACTIVOS Y DISIPATIVOS de la entidad AUDIOTEC INGENIERÍA ACÚSTICA S.A.</t>
  </si>
  <si>
    <t>34.80.6C.00.47</t>
  </si>
  <si>
    <t>Consultoría en la redacción de pliego técnico de licitación del servicio de telecomunicaciones y evaluación de las ofertas técnicas presentadas por los licitadores para el M.I. AYUNTAMIENTO DE XÀBIA.</t>
  </si>
  <si>
    <t>Consultoría en la redacción de pliego técnico de licitación del servicio de telecomunicaciones y evaluación de las ofertas técnicas presentadas por los licitadores para el M.I. AYUNTAMIENTO DE XÀBIA. (Segundo pago)</t>
  </si>
  <si>
    <t>34.80.6C.00.48</t>
  </si>
  <si>
    <t>IT240024 - IMPLEMENTACIÓN DE SOLUCIÓN MICROFÓNICA CON TECNOLOGÍA MEMS</t>
  </si>
  <si>
    <t>IT240024 - IMPLEMENTACIÓN DE SOLUCIÓN MICROFÓNICA CON TECNOLOGÍA MEMS. SEGUNDO PAGO.</t>
  </si>
  <si>
    <t>Pedido IT240024 - IMPLEMENTACIÓN DE SOLUCIÓN MICROFÓNICA CON TECNOLOGÍA MEMS. Tercer Pago.</t>
  </si>
  <si>
    <t>34.80.6C.00.49</t>
  </si>
  <si>
    <t>Nº de pedido P133/24. Ref. SAES: 67-01346-A0  "INVESTIGACIÓN Y ASESORAMIENTO CIENTÍFICO-TÉCNICO EN MATERIA DE VIBROACÚSTICA PARA EL PROYECTO EUROPEO (EDF) dTHOR." Fase 1 Cálculo de Funciones de Transferencia (FT) Vibroacústica en buques de superficie.</t>
  </si>
  <si>
    <t>34.80.6C.00.50</t>
  </si>
  <si>
    <t>REALIZACIÓN DE ENSAYOS ACÚSTICOS DE RUIDO DE RODADURA EN PAVIMENTOS ASFÁLTICOS EN CARRER DEL TORRENT DE L'OLLA, BARCELONA</t>
  </si>
  <si>
    <t>FORMACIÓN Y TUTORIZACIÓN ESPECIALIZADA EN PROCESADO DE SERIES DE IMÁGENES DE RADAR DE APERTURA SINTÉTICA. TERCER PAGO</t>
  </si>
  <si>
    <t>DEVOLUCIÓN DE INGRESOS_CARTA DE PAGO_ REFERENCIA: PID2019-103982RB-C43_ANUALIDAD: 2020</t>
  </si>
  <si>
    <t xml:space="preserve">CIAICO/2021/019/074/124/158/167/173/279/305/328/335/345/348/339 </t>
  </si>
  <si>
    <t>DEVOLUCIÓN DE INGRESOS_MODELO 047_Nº DE LIQUIDACIÓN: 46/2024/RAS/10135/1_ Nº DE JUSTIFICANTE: 047/1/002493531/ Nº DE REFERENCIA: 047/1/002493531</t>
  </si>
  <si>
    <t xml:space="preserve">PID2021-122263OB-C22 -122320NA-I00 -122397NB-C22 --122500OB-I00 -122685OB-I00 -122988NB-I00 -123079OB-I00 -123091NB-C22 -123118NA-I00 -123124OB-I00 -123699NB-I00-123135OB-C21 -123453NB-I00 -123956OB-I00 </t>
  </si>
  <si>
    <t>PID2021-124139NB-C21 -124237NB-I00 -124721NB-I00 -124741NB-I00 -124860NB-I00 -125175OB-I00 -125279OB-I00 -125387NB-I00 -125517OB-I00 -125883NB-C21-126056OA-I00 -126114NB-C41 -126155OB-I00</t>
  </si>
  <si>
    <t>PID2021-126485OB-I00-126858NB-I00-126990NB-I00-127332NB-I00-127426OB-C22-127566NB-I00-127967NB-I00-127999NB-I00-128381NB-I00-128761OB-C21-128766OB-I00-128805NA-I00-128876OB-I00</t>
  </si>
  <si>
    <t>DEVOLUCIÓN DE INGRESOS_ MODELO 047_ Nº DE LIQUIDACIÓN: 46/2024/RAS/10325/1 Nº DE JUSTIFICANTE: 047/1/002551836_Nº DE REFERENCIA: 047/1/002551836</t>
  </si>
  <si>
    <t xml:space="preserve">INNEST/2023/7/10/11/13/14/15/20  </t>
  </si>
  <si>
    <t xml:space="preserve">Minoración ayudas  INNEST/2023/13 </t>
  </si>
  <si>
    <t>PLU.CIAEST 2022. RESOLUCION CONCESION 19/09/2023. CIAEST/2022/2/25/49/78. (LÍNEA S0296)</t>
  </si>
  <si>
    <t>PID2022-138464NB-I00-142516OB-I00-139990NB-I00-141382OB-I00-139899OB-I00-136847NB-I00-137385NB-I00-139294NB-I00-137873NA-I00-138786NB-I00-136590OB-C43</t>
  </si>
  <si>
    <t>PID2022-139105OB-I00-141712NB-C22-142356NB-I00-141694NB-I00-136399NB-C21-142159OB-I00-137566OB-I00-139552OB-C22-137302NB-C33-139820NB-I00-142960OB-C21</t>
  </si>
  <si>
    <t>CONVENIO DE COLABORACIÓN EMPRESARIAL EN ACTIVIDADES DE INTERÉS GENERAL ENTRE LA UNIVERSIDAD DE ALICANTE Y HUAWEI TECHNOLOGIES</t>
  </si>
  <si>
    <t>Instituto Universitario de Investigación Informática (10.19)</t>
  </si>
  <si>
    <t>Villarroya Carpio, Arturo</t>
  </si>
  <si>
    <t>Repeat-pass interferometric coherence as a SAR tool for crop monitoring</t>
  </si>
  <si>
    <t>07/03/2025</t>
  </si>
  <si>
    <t>Física, Ingeniería de Sistemas y Teoría de la Señal</t>
  </si>
  <si>
    <t>Páez Ubieta, Ignacio de Loyola</t>
  </si>
  <si>
    <t>Multisensorial perception for grasping object with multifingered grippers</t>
  </si>
  <si>
    <t>30/07/2025</t>
  </si>
  <si>
    <t>Velasco Sánchez, Edison Patricio</t>
  </si>
  <si>
    <t>Estimación de pose y control de Robots Móviles en Entornos no Estructurados basado en LiDAR</t>
  </si>
  <si>
    <t>20/11/2024</t>
  </si>
  <si>
    <t>Instituto Universitario de Física Aplicada a las Ciencias y las Tecnologías (10.</t>
  </si>
  <si>
    <t>Saadi , Ahmed</t>
  </si>
  <si>
    <t>Subsurface Structure of the Oran and Aïn Témouchent Regions, Algeria: Microzonation and Site Effect
Analysis</t>
  </si>
  <si>
    <t>11/07/2025</t>
  </si>
  <si>
    <t>Sánchez Martínez, Daniel</t>
  </si>
  <si>
    <t>INTELLIGENT ROBOTIC MANIPULATION OF DEFORMABLE OBJECTS IN THE TOY INDUSTRY THROUGH LEARNING FROM
HUMAN DEMONSTRATION</t>
  </si>
  <si>
    <t>23/07/2025</t>
  </si>
  <si>
    <t>Berramdane , kheloud</t>
  </si>
  <si>
    <t>Holographic diffraction gratings storage in phototohydrogel</t>
  </si>
  <si>
    <t>24/01/2025</t>
  </si>
  <si>
    <t>2020</t>
  </si>
  <si>
    <t>2021</t>
  </si>
  <si>
    <t>2022</t>
  </si>
  <si>
    <t>2023</t>
  </si>
  <si>
    <t>2024</t>
  </si>
  <si>
    <t>2025</t>
  </si>
  <si>
    <t>Fernández Fernández, Roberto</t>
  </si>
  <si>
    <t>Beléndez Vázquez, Augusto</t>
  </si>
  <si>
    <t>Torrejón Vázquez, José Miguel</t>
  </si>
  <si>
    <t>Navarro Fuster, Víctor</t>
  </si>
  <si>
    <t>Hernández Prados, Antonio</t>
  </si>
  <si>
    <t>Rodes Roca, José Joaquín</t>
  </si>
  <si>
    <t>Galiana Merino, Juan José</t>
  </si>
  <si>
    <t>Méndez Alcaraz, David Israel</t>
  </si>
  <si>
    <t>López Sánchez, Juan Manuel</t>
  </si>
  <si>
    <t>Ballester Berman, Josep David</t>
  </si>
  <si>
    <t>Martínez Marín, Tomás</t>
  </si>
  <si>
    <t>Selva Vera, Jesús</t>
  </si>
  <si>
    <t>Brocal Fernández, Francisco</t>
  </si>
  <si>
    <t>Martínez Guardiola, Francisco Javier</t>
  </si>
  <si>
    <t>Torres Medina, Fernando</t>
  </si>
  <si>
    <t>Ortuño Sánchez, Manuel Francisco</t>
  </si>
  <si>
    <t>Neipp López, Cristian</t>
  </si>
  <si>
    <t>Bleda Pérez, Sergio</t>
  </si>
  <si>
    <t>Calzado Estepa, Eva Mª</t>
  </si>
  <si>
    <t>Pascual Villalobos, Carolina</t>
  </si>
  <si>
    <t>Javaloyes Antón, Juan</t>
  </si>
  <si>
    <t>Carbajo San Martín, Jesús</t>
  </si>
  <si>
    <t>Heredia Avalos, Santiago</t>
  </si>
  <si>
    <t>Francés Monllor, Jorge</t>
  </si>
  <si>
    <t>Gallego Rico, Sergi</t>
  </si>
  <si>
    <t>Poveda Martínez, Pedro</t>
  </si>
  <si>
    <t>Pérez Molina, Manuel</t>
  </si>
  <si>
    <t>Álvarez López, Mariela Lazara</t>
  </si>
  <si>
    <t>Benavidez Lozano, Paula Gabriela</t>
  </si>
  <si>
    <t>51128068B</t>
  </si>
  <si>
    <t>Martínez Parro, Laura</t>
  </si>
  <si>
    <t>Márquez Ruiz, Andrés</t>
  </si>
  <si>
    <t>52762592V</t>
  </si>
  <si>
    <t>Martínez Mozos, Óscar</t>
  </si>
  <si>
    <t>Pomares Baeza, Jorge</t>
  </si>
  <si>
    <t>García Gómez, Gabriel Jesús</t>
  </si>
  <si>
    <t>Candelas Herias, Francisco Andrés</t>
  </si>
  <si>
    <t>Gil Vázquez, Pablo</t>
  </si>
  <si>
    <t>Puente Méndez, Santiago</t>
  </si>
  <si>
    <t>Gutiérrez Ramírez, Manuel</t>
  </si>
  <si>
    <t>Marco Tobarra, Amparo</t>
  </si>
  <si>
    <t>Ramis Soriano, Jaime</t>
  </si>
  <si>
    <t>Puerto García, Daniel</t>
  </si>
  <si>
    <t>Jara Bravo, Carlos Alberto</t>
  </si>
  <si>
    <t>Sánchez Soriano, Miguel Ángel</t>
  </si>
  <si>
    <t>Morell Giménez, Vicente</t>
  </si>
  <si>
    <t>Úbeda Castellanos, Andrés</t>
  </si>
  <si>
    <t>Campo Bagatin, Adriano</t>
  </si>
  <si>
    <t>Marini, Stephan</t>
  </si>
  <si>
    <t>INVESTIGACIÓN PARA LA CARACTERIZACIÓN DE TAPAS ARMÓNICAS DE DIFERENTES MATERIALES Y VARETAJES, 2ª FASE. Segundo Pago.</t>
  </si>
  <si>
    <t xml:space="preserve">INVESTIGACIÓN PARA LA CARACTERIZACIÓN DE TAPAS ARMÓNICAS DE DIFERENTES MATERIALES Y VARETAJES, 2ª FASE. TERCER PAGO. </t>
  </si>
  <si>
    <t xml:space="preserve">INVESTIGACIÓN Y DESARROLLO DE UN MODELO DE PREDICCIÓN DE PROPIEDADES ACÚSTICAS Y MECÁNICAS EN MEZCLAS ASFÁLTICAS. Segundo Pago. </t>
  </si>
  <si>
    <t>INVESTIGACIÓN Y DESARROLLO DE UN MODELO DE PREDICCIÓN DE PROPIEDADES ACÚSTICAS Y MECÁNICAS EN MEZCLAS ASFÁLTICAS. TERCER PAGO.</t>
  </si>
  <si>
    <t>Nº de pedido P133/24. Ref. SAES: 67-01346-A0 "INVESTIGACIÓN Y ASESORAMIENTO CIENTÍFICO-TÉCNICO EN MATERIA DE VIBROACÚSTICA PARA EL PROYECTO EUROPEO (EDF) dTHOR." Fase 1 Cálculo de Funciones de Transferencia (FT) Vibroacústica en buques de superficie. Segundo  pago</t>
  </si>
  <si>
    <t>Nº de pedido P133/24. Ref. SAES: 67-01346-A0 "INVESTIGACIÓN Y ASESORAMIENTO CIENTÍFICO-TÉCNICO EN MATERIA DE VIBROACÚSTICA PARA EL PROYECTO EUROPEO (EDF) dTHOR." Fase 2 Adaptación de métodos numéricos aplicados a FTs a Modelos de Análisis Híbridos (HAM). Tercer pago.</t>
  </si>
  <si>
    <t>Proyecto: MAT4ENERGY - Nº de Pedido: PC.25-5832. VISIÓN TÉCNICA Y PRÁCTICA SOBRE COMPORTAMIENTO ACÚSTICO DE MATERIALES POROSOS AVANZADOS</t>
  </si>
  <si>
    <t>34.80.6C.00.51</t>
  </si>
  <si>
    <t>2023/2289/PIDI/02-TM Evaluación del proyecto: PERTE VEC P04_DECOVEC - PROCESO INTELIGENTE E INTEGRADO DE INYECCIÓN, TRATAMIENTO MECÁNICO SUPERFICIAL Y RECUBRIMIENTO DECORATIVO, CON INSPECCIÓN MEDIANTE TÉCNICAS DE VISIÓN POR COMPUTADOR Y DE INTELIGENCIA ARTIFICIAL, PARA PIEZAS LIGERAS DE VEC</t>
  </si>
  <si>
    <t>34.80.6C.00.52</t>
  </si>
  <si>
    <t>2023/2291/PIDI/02-TM Evaluación del proyecto: PERTE VEC P05_GALMAVEC - Investigación tecnológica del proceso y subprocesos para una generación avanzada de mecanizados y tratamientos superficiales de aluminio para piezas ligeras del sistema de freno en el vehículo eléctrico conectado.</t>
  </si>
  <si>
    <t>34.80.6C.00.53</t>
  </si>
  <si>
    <t>34.80.6C.00.55</t>
  </si>
  <si>
    <t xml:space="preserve">CONSULTORÍA EN LA EVALUACIÓN DE LAS OFERTAS TÉCNICAS PRESENTADAS PARA LA LICITACIÓN DE RENOVACIÓN TECNOLÓGICA DEL DATACENTER </t>
  </si>
  <si>
    <t>34.80.6C.00.56</t>
  </si>
  <si>
    <t>PEDIDO: IT250021 - Dispositivo para el control de calidad de audio en cabinas de ascensor. Primer pago. Ref.:  ORONA1-25I - Investigador responsable: Jesús Carbajo San Martín.</t>
  </si>
  <si>
    <t xml:space="preserve">PEDIDO: IT250021 - Dispositivo para el control de calidad de audio en cabinas de ascensor. Segundo Pago. Ref.: ORONA1-25I - Investigador responsable: Jesús Carbajo San Martín. </t>
  </si>
  <si>
    <t>PEDIDO: IT250021 - Dispositivo para el control de calidad de audio en cabinas de ascensor. Tercer Pago. Ref.: ORONA1-25I - Investigador responsable: Jesús Carbajo San Martín.</t>
  </si>
  <si>
    <t>34.80.6C.00.57</t>
  </si>
  <si>
    <t xml:space="preserve">PEDIDO PPO-36514 DESARROLLO DE LOSETAS MULTICAPA CON ALTAS PROPIEDADES VIBRO ACÚSTICAS, TÉRMICAS E IGNÚFUGAS. PRIMER PAGO. </t>
  </si>
  <si>
    <t>34.80.6C.00.58</t>
  </si>
  <si>
    <t>02OP/25116211 - SUPERVISIÓN PROYECTO 2023/0782/PIDI/02 PREFRUTA- INVESTIGACIÓN PARA LA DETERMINACIÓN DE LA CALIDAD Y TRAZABILIDAD DE LA FRUTA EN TAREAS DE PRECLASIFICACIÓN MEDIANTE IA Y VA PERTENECIENTE A LA ENTIDAD AGERPIX TECHNOLOGIES, S.L.U.</t>
  </si>
  <si>
    <t>02OP/25119491 -2008/0133/PIDI/05-TM - EVALUACIÓN PERTE - AUMATECH - OPTIMIZACIÓN DE LA EFICIENCIA PRODUCTIVA Y DE LA SEGURIDAD DEL PROCESO DE AHUMADO MEDIANTE SOLUCIONES BASADAS EN SENSÓRICA, ROBÓTICA E IA PERTENECIENTE A LA EMPRESA TSK ELECTRÓNICA Y ELECTRICIDAD, S.A.</t>
  </si>
  <si>
    <t>02OP/25128080 - 2008/0133/PIDI/06 - PP11- Investigación de tecnologías de visualización avanzada para optimización de la eficiencia productiva en los procesos alimentarios (VIRTOFIP) perteneciente a la entidad T SK ELECTRÓNICA Y ELECTRICIDAD, S.A. / BODEGAS GRUPO YLLERA, S.L</t>
  </si>
  <si>
    <t>02OP/25117079 - 2008/0133/PIDI/01-TM EVALUACIÓN PERTE PP08 HIPERES - INVESTIGACIÓN BASADA EN SENSORES ÓPTICOS AVANZADOS E IA PARA EL CONTROL DE CALIDAD Y SEGURIDAD ALIMENTARIA DE PRODUCTOS CÁRNICOS PERTENECIENTE A LA EMPRESA TSK ELECTRÓNICA Y ELECTRICIDAD, S.A.</t>
  </si>
  <si>
    <t>DEVOLUCIÓN DE INGRESOS_MODELO 047_  REFERENCIA: CIACO/2021/158/279/339/124/348/074/345/173</t>
  </si>
  <si>
    <t>Ayudas INNEST/2023/7, INNEST/2023/10, INNEST/2023/11, INNEST/2023/13, INNEST/2023/14, INNEST/2023/15, INNEST/2023/20</t>
  </si>
  <si>
    <t xml:space="preserve">Minoración INNEST/2023/13   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</si>
  <si>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</si>
  <si>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>34.80.6P.00.49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</si>
  <si>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</si>
  <si>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</si>
  <si>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34.80.6P.00.50</t>
  </si>
  <si>
    <t>34.80.6P.00.51</t>
  </si>
  <si>
    <t>INNVA1/2025/19/10</t>
  </si>
  <si>
    <t>Total ingresos investigación 2023-25</t>
  </si>
  <si>
    <t>sin ingresos de formación en 2025</t>
  </si>
  <si>
    <t>Total ingresos formación 2023-25</t>
  </si>
  <si>
    <t>RADIOLOGÍA Y MEDICINA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</si>
</sst>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  <numFmt numFmtId="167" formatCode="#,##0.00_);\(#,##0.00\)"/>
  </numFmts>
  <fonts count="2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rgb="FF000000"/>
      <name val="Verdana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C0C0C0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78787"/>
      </left>
      <right/>
      <top style="medium">
        <color rgb="FF878787"/>
      </top>
      <bottom/>
      <diagonal/>
    </border>
    <border>
      <left/>
      <right style="medium">
        <color rgb="FF878787"/>
      </right>
      <top style="medium">
        <color rgb="FF878787"/>
      </top>
      <bottom/>
      <diagonal/>
    </border>
    <border>
      <left style="thin">
        <color rgb="FF878787"/>
      </left>
      <right style="medium">
        <color rgb="FF878787"/>
      </right>
      <top style="medium">
        <color rgb="FF878787"/>
      </top>
      <bottom style="thin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medium">
        <color rgb="FF878787"/>
      </top>
      <bottom style="medium">
        <color rgb="FF878787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/>
      <bottom style="medium">
        <color rgb="FF878787"/>
      </bottom>
      <diagonal/>
    </border>
    <border>
      <left/>
      <right style="medium">
        <color rgb="FF878787"/>
      </right>
      <top/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 style="medium">
        <color rgb="FF878787"/>
      </right>
      <top/>
      <bottom/>
      <diagonal/>
    </border>
    <border>
      <left style="medium">
        <color rgb="FF878787"/>
      </left>
      <right style="medium">
        <color rgb="FF878787"/>
      </right>
      <top/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4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8" fillId="0" borderId="0"/>
  </cellStyleXfs>
  <cellXfs count="105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10" fillId="0" borderId="0" xfId="9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14" xfId="1" applyFill="1" applyBorder="1"/>
    <xf numFmtId="166" fontId="2" fillId="4" borderId="14" xfId="1" applyNumberFormat="1" applyFill="1" applyBorder="1"/>
    <xf numFmtId="0" fontId="2" fillId="4" borderId="14" xfId="1" applyFill="1" applyBorder="1" applyAlignment="1">
      <alignment horizontal="right"/>
    </xf>
    <xf numFmtId="1" fontId="2" fillId="4" borderId="14" xfId="1" applyNumberFormat="1" applyFill="1" applyBorder="1"/>
    <xf numFmtId="165" fontId="2" fillId="4" borderId="14" xfId="1" applyNumberFormat="1" applyFill="1" applyBorder="1"/>
    <xf numFmtId="0" fontId="12" fillId="7" borderId="1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12" fillId="7" borderId="10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left" vertical="center"/>
    </xf>
    <xf numFmtId="0" fontId="2" fillId="0" borderId="1" xfId="1" applyBorder="1"/>
    <xf numFmtId="43" fontId="0" fillId="11" borderId="15" xfId="10" applyNumberFormat="1" applyFont="1" applyFill="1" applyBorder="1"/>
    <xf numFmtId="43" fontId="0" fillId="0" borderId="15" xfId="10" applyNumberFormat="1" applyFont="1" applyBorder="1"/>
    <xf numFmtId="0" fontId="2" fillId="0" borderId="1" xfId="1" applyBorder="1" applyAlignment="1">
      <alignment horizontal="right"/>
    </xf>
    <xf numFmtId="0" fontId="2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17" fillId="11" borderId="15" xfId="0" applyFont="1" applyFill="1" applyBorder="1"/>
    <xf numFmtId="0" fontId="17" fillId="0" borderId="15" xfId="0" applyFont="1" applyBorder="1"/>
    <xf numFmtId="43" fontId="0" fillId="0" borderId="0" xfId="0" applyNumberFormat="1"/>
    <xf numFmtId="0" fontId="6" fillId="0" borderId="1" xfId="0" applyFont="1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left"/>
    </xf>
    <xf numFmtId="0" fontId="2" fillId="12" borderId="0" xfId="1" applyFill="1"/>
    <xf numFmtId="0" fontId="2" fillId="12" borderId="0" xfId="1" applyFill="1" applyAlignment="1">
      <alignment horizontal="right"/>
    </xf>
    <xf numFmtId="165" fontId="3" fillId="12" borderId="0" xfId="1" applyNumberFormat="1" applyFont="1" applyFill="1"/>
    <xf numFmtId="0" fontId="15" fillId="12" borderId="0" xfId="0" applyFont="1" applyFill="1"/>
    <xf numFmtId="0" fontId="12" fillId="7" borderId="11" xfId="12" applyFont="1" applyFill="1" applyBorder="1" applyAlignment="1">
      <alignment horizontal="left" vertical="center"/>
    </xf>
    <xf numFmtId="0" fontId="13" fillId="8" borderId="5" xfId="12" applyFont="1" applyFill="1" applyBorder="1" applyAlignment="1">
      <alignment horizontal="left" vertical="center"/>
    </xf>
    <xf numFmtId="0" fontId="13" fillId="8" borderId="6" xfId="12" applyFont="1" applyFill="1" applyBorder="1" applyAlignment="1">
      <alignment horizontal="left" vertical="center"/>
    </xf>
    <xf numFmtId="0" fontId="13" fillId="8" borderId="7" xfId="12" applyFont="1" applyFill="1" applyBorder="1" applyAlignment="1">
      <alignment horizontal="left" vertical="center"/>
    </xf>
    <xf numFmtId="4" fontId="11" fillId="9" borderId="10" xfId="12" applyNumberFormat="1" applyFont="1" applyFill="1" applyBorder="1" applyAlignment="1">
      <alignment horizontal="right" vertical="center"/>
    </xf>
    <xf numFmtId="3" fontId="11" fillId="9" borderId="10" xfId="12" applyNumberFormat="1" applyFont="1" applyFill="1" applyBorder="1" applyAlignment="1">
      <alignment horizontal="right" vertical="center"/>
    </xf>
    <xf numFmtId="0" fontId="12" fillId="7" borderId="12" xfId="12" applyFont="1" applyFill="1" applyBorder="1" applyAlignment="1">
      <alignment horizontal="left" vertical="center"/>
    </xf>
    <xf numFmtId="0" fontId="12" fillId="7" borderId="10" xfId="12" applyFont="1" applyFill="1" applyBorder="1" applyAlignment="1">
      <alignment horizontal="left" vertical="center"/>
    </xf>
    <xf numFmtId="0" fontId="12" fillId="7" borderId="5" xfId="12" applyFont="1" applyFill="1" applyBorder="1" applyAlignment="1">
      <alignment horizontal="left" vertical="center"/>
    </xf>
    <xf numFmtId="0" fontId="12" fillId="7" borderId="7" xfId="12" applyFont="1" applyFill="1" applyBorder="1" applyAlignment="1">
      <alignment horizontal="left" vertical="center"/>
    </xf>
    <xf numFmtId="4" fontId="12" fillId="7" borderId="10" xfId="12" applyNumberFormat="1" applyFont="1" applyFill="1" applyBorder="1" applyAlignment="1">
      <alignment horizontal="right"/>
    </xf>
    <xf numFmtId="0" fontId="12" fillId="7" borderId="10" xfId="12" applyFont="1" applyFill="1" applyBorder="1" applyAlignment="1">
      <alignment horizontal="right"/>
    </xf>
    <xf numFmtId="0" fontId="12" fillId="7" borderId="13" xfId="12" applyFont="1" applyFill="1" applyBorder="1" applyAlignment="1">
      <alignment horizontal="left" vertical="center"/>
    </xf>
    <xf numFmtId="0" fontId="11" fillId="6" borderId="2" xfId="12" applyFont="1" applyFill="1" applyBorder="1"/>
    <xf numFmtId="0" fontId="11" fillId="6" borderId="3" xfId="12" applyFont="1" applyFill="1" applyBorder="1"/>
    <xf numFmtId="0" fontId="12" fillId="6" borderId="4" xfId="12" applyFont="1" applyFill="1" applyBorder="1" applyAlignment="1">
      <alignment horizontal="right" vertical="top"/>
    </xf>
    <xf numFmtId="0" fontId="11" fillId="6" borderId="5" xfId="12" applyFont="1" applyFill="1" applyBorder="1" applyAlignment="1">
      <alignment horizontal="center"/>
    </xf>
    <xf numFmtId="0" fontId="11" fillId="6" borderId="6" xfId="12" applyFont="1" applyFill="1" applyBorder="1" applyAlignment="1">
      <alignment horizontal="center"/>
    </xf>
    <xf numFmtId="0" fontId="11" fillId="6" borderId="7" xfId="12" applyFont="1" applyFill="1" applyBorder="1" applyAlignment="1">
      <alignment horizontal="center"/>
    </xf>
    <xf numFmtId="0" fontId="11" fillId="6" borderId="8" xfId="12" applyFont="1" applyFill="1" applyBorder="1"/>
    <xf numFmtId="0" fontId="11" fillId="6" borderId="9" xfId="12" applyFont="1" applyFill="1" applyBorder="1"/>
    <xf numFmtId="0" fontId="11" fillId="6" borderId="10" xfId="12" applyFont="1" applyFill="1" applyBorder="1" applyAlignment="1">
      <alignment horizontal="center"/>
    </xf>
    <xf numFmtId="0" fontId="19" fillId="15" borderId="1" xfId="13" applyFont="1" applyFill="1" applyBorder="1" applyAlignment="1">
      <alignment horizontal="left" vertical="top"/>
    </xf>
    <xf numFmtId="0" fontId="19" fillId="15" borderId="1" xfId="13" applyFont="1" applyFill="1" applyBorder="1" applyAlignment="1">
      <alignment horizontal="center" vertical="center"/>
    </xf>
    <xf numFmtId="0" fontId="19" fillId="15" borderId="1" xfId="13" applyFont="1" applyFill="1" applyBorder="1" applyAlignment="1">
      <alignment horizontal="right"/>
    </xf>
    <xf numFmtId="0" fontId="19" fillId="13" borderId="1" xfId="13" applyFont="1" applyFill="1" applyBorder="1" applyAlignment="1">
      <alignment horizontal="left" vertical="top"/>
    </xf>
    <xf numFmtId="0" fontId="19" fillId="14" borderId="1" xfId="13" applyFont="1" applyFill="1" applyBorder="1" applyAlignment="1">
      <alignment horizontal="left" vertical="top"/>
    </xf>
    <xf numFmtId="167" fontId="19" fillId="14" borderId="1" xfId="13" applyNumberFormat="1" applyFont="1" applyFill="1" applyBorder="1" applyAlignment="1">
      <alignment horizontal="right" vertical="top"/>
    </xf>
    <xf numFmtId="167" fontId="19" fillId="13" borderId="1" xfId="13" applyNumberFormat="1" applyFont="1" applyFill="1" applyBorder="1" applyAlignment="1">
      <alignment horizontal="right" vertical="center"/>
    </xf>
    <xf numFmtId="167" fontId="19" fillId="14" borderId="1" xfId="13" applyNumberFormat="1" applyFont="1" applyFill="1" applyBorder="1" applyAlignment="1">
      <alignment horizontal="right" vertical="center"/>
    </xf>
    <xf numFmtId="43" fontId="0" fillId="0" borderId="17" xfId="10" applyNumberFormat="1" applyFont="1" applyBorder="1"/>
    <xf numFmtId="0" fontId="9" fillId="0" borderId="17" xfId="0" applyFont="1" applyBorder="1"/>
    <xf numFmtId="43" fontId="10" fillId="0" borderId="17" xfId="0" applyNumberFormat="1" applyFont="1" applyBorder="1"/>
    <xf numFmtId="0" fontId="16" fillId="10" borderId="16" xfId="0" applyFont="1" applyFill="1" applyBorder="1"/>
    <xf numFmtId="0" fontId="17" fillId="0" borderId="17" xfId="0" applyFont="1" applyBorder="1"/>
    <xf numFmtId="0" fontId="0" fillId="11" borderId="15" xfId="0" applyNumberFormat="1" applyFont="1" applyFill="1" applyBorder="1"/>
    <xf numFmtId="0" fontId="0" fillId="0" borderId="15" xfId="0" applyNumberFormat="1" applyFont="1" applyBorder="1"/>
    <xf numFmtId="0" fontId="14" fillId="10" borderId="16" xfId="0" applyFont="1" applyFill="1" applyBorder="1"/>
    <xf numFmtId="43" fontId="14" fillId="10" borderId="16" xfId="10" applyNumberFormat="1" applyFont="1" applyFill="1" applyBorder="1"/>
    <xf numFmtId="0" fontId="0" fillId="11" borderId="17" xfId="0" applyNumberFormat="1" applyFont="1" applyFill="1" applyBorder="1"/>
    <xf numFmtId="43" fontId="0" fillId="11" borderId="17" xfId="10" applyNumberFormat="1" applyFont="1" applyFill="1" applyBorder="1"/>
    <xf numFmtId="0" fontId="0" fillId="16" borderId="17" xfId="0" applyFont="1" applyFill="1" applyBorder="1"/>
    <xf numFmtId="43" fontId="10" fillId="16" borderId="17" xfId="0" applyNumberFormat="1" applyFont="1" applyFill="1" applyBorder="1"/>
    <xf numFmtId="0" fontId="0" fillId="17" borderId="0" xfId="0" applyFill="1"/>
    <xf numFmtId="0" fontId="15" fillId="0" borderId="1" xfId="0" applyFont="1" applyBorder="1"/>
    <xf numFmtId="164" fontId="15" fillId="0" borderId="1" xfId="10" applyFont="1" applyBorder="1"/>
    <xf numFmtId="0" fontId="20" fillId="18" borderId="18" xfId="0" applyFont="1" applyFill="1" applyBorder="1"/>
    <xf numFmtId="0" fontId="20" fillId="18" borderId="19" xfId="0" applyFont="1" applyFill="1" applyBorder="1"/>
    <xf numFmtId="0" fontId="21" fillId="19" borderId="18" xfId="0" applyFont="1" applyFill="1" applyBorder="1"/>
    <xf numFmtId="0" fontId="21" fillId="19" borderId="19" xfId="0" applyFont="1" applyFill="1" applyBorder="1"/>
    <xf numFmtId="164" fontId="21" fillId="19" borderId="19" xfId="10" applyFont="1" applyFill="1" applyBorder="1"/>
    <xf numFmtId="0" fontId="21" fillId="0" borderId="18" xfId="0" applyFont="1" applyBorder="1"/>
    <xf numFmtId="0" fontId="21" fillId="0" borderId="19" xfId="0" applyFont="1" applyBorder="1"/>
    <xf numFmtId="164" fontId="21" fillId="0" borderId="19" xfId="10" applyFont="1" applyBorder="1"/>
    <xf numFmtId="0" fontId="22" fillId="0" borderId="20" xfId="0" applyFont="1" applyBorder="1"/>
    <xf numFmtId="0" fontId="22" fillId="0" borderId="21" xfId="0" applyFont="1" applyBorder="1"/>
    <xf numFmtId="164" fontId="22" fillId="0" borderId="21" xfId="10" applyFont="1" applyBorder="1"/>
  </cellXfs>
  <cellStyles count="14">
    <cellStyle name="Millares" xfId="10" builtinId="3"/>
    <cellStyle name="Normal" xfId="0" builtinId="0"/>
    <cellStyle name="Normal 14" xfId="7" xr:uid="{00000000-0005-0000-0000-000001000000}"/>
    <cellStyle name="Normal 17" xfId="8" xr:uid="{00000000-0005-0000-0000-000002000000}"/>
    <cellStyle name="Normal 19" xfId="9" xr:uid="{00000000-0005-0000-0000-000003000000}"/>
    <cellStyle name="Normal 2" xfId="4" xr:uid="{00000000-0005-0000-0000-000004000000}"/>
    <cellStyle name="Normal 23" xfId="11" xr:uid="{21B6ACC4-AD91-41F8-A283-D3AE89FFDD3C}"/>
    <cellStyle name="Normal 25" xfId="12" xr:uid="{1688B0F9-D5FA-42AD-9D93-7FC797EB3F5E}"/>
    <cellStyle name="Normal 27" xfId="13" xr:uid="{B3A58D76-C354-4144-A24B-3DFC60BBE4E3}"/>
    <cellStyle name="Normal 3" xfId="5" xr:uid="{00000000-0005-0000-0000-000005000000}"/>
    <cellStyle name="Normal 4" xfId="6" xr:uid="{00000000-0005-0000-0000-000006000000}"/>
    <cellStyle name="Normal_Becas 14_9_2005" xfId="2" xr:uid="{00000000-0005-0000-0000-000007000000}"/>
    <cellStyle name="Normal_Ind.2010" xfId="1" xr:uid="{00000000-0005-0000-0000-000008000000}"/>
    <cellStyle name="Normal_PDI por Centro" xfId="3" xr:uid="{00000000-0005-0000-0000-00000B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 patternType="solid">
          <fgColor theme="9" tint="0.79998168889431442"/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5D9CF2-EB3A-4FE2-B1A2-19D306AE8750}" name="Tabla2" displayName="Tabla2" ref="A1:C29" totalsRowCount="1" headerRowDxfId="40" headerRowBorderDxfId="39" tableBorderDxfId="38" totalsRowBorderDxfId="37">
  <autoFilter ref="A1:C28" xr:uid="{29B0E788-F2F5-4018-B5C8-7593FCAFDE4B}"/>
  <tableColumns count="3">
    <tableColumn id="1" xr3:uid="{9E223EB4-47CC-49D6-9946-E24C3F55C905}" name="Cód. org. aplic." totalsRowLabel="Total" dataDxfId="36" totalsRowDxfId="35"/>
    <tableColumn id="2" xr3:uid="{F0891276-4BFD-4E9F-B133-B13F3B493FDC}" name="Descripción justificante" dataDxfId="34" totalsRowDxfId="33"/>
    <tableColumn id="3" xr3:uid="{3A74DEAD-5D62-4CD7-8E75-076E7F9E6F01}" name="Imp.cob.aplic." totalsRowFunction="sum" dataDxfId="32" totalsRowDxfId="31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DBA37A-EED3-4DAE-BF34-321BCF805DD6}" name="Tabla3" displayName="Tabla3" ref="A1:C29" totalsRowCount="1" totalsRowDxfId="28" headerRowBorderDxfId="30" tableBorderDxfId="29" totalsRowBorderDxfId="27">
  <autoFilter ref="A1:C28" xr:uid="{8CE13F83-9A26-450F-B4D0-CBDED0D06DEC}"/>
  <tableColumns count="3">
    <tableColumn id="1" xr3:uid="{4334766E-EA9F-4314-9412-E09C4C0776EA}" name="Org. aplic." totalsRowLabel="Total" dataDxfId="26" totalsRowDxfId="25"/>
    <tableColumn id="2" xr3:uid="{8A0B24FB-1129-456A-9B29-A3580CF0E786}" name="Descripción justificante" dataDxfId="24" totalsRowDxfId="23"/>
    <tableColumn id="3" xr3:uid="{2947D16B-DA0D-4AC2-8467-BE7EA5ECDB48}" name="Imp. aplic." totalsRowFunction="sum" dataDxfId="22" totalsRowDxfId="21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DFEB1-54D3-4EFA-AA4F-C937C1DBD228}" name="Tabla5" displayName="Tabla5" ref="A1:C8" totalsRowCount="1" headerRowDxfId="20" headerRowBorderDxfId="19" tableBorderDxfId="18" totalsRowBorderDxfId="17">
  <autoFilter ref="A1:C7" xr:uid="{1FBDF95F-9F25-4AA3-8279-D28B70361DF7}"/>
  <tableColumns count="3">
    <tableColumn id="1" xr3:uid="{68008540-2801-46C4-8A51-9AE6EE3A0693}" name="Cód. org. aplic." totalsRowLabel="Total" dataDxfId="16" totalsRowDxfId="15"/>
    <tableColumn id="2" xr3:uid="{2635F2FB-0384-42E6-B7CB-53C3B9EB6B15}" name="Descripción justificante" dataDxfId="14" totalsRowDxfId="13"/>
    <tableColumn id="3" xr3:uid="{6FEEAE84-0236-4112-8503-1C1733F2EE5C}" name="Imp.cob.aplic." totalsRowFunction="sum" dataDxfId="12" totalsRowDxfId="11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AF8840-6355-4679-B5C0-10EE880CFD31}" name="Tabla6" displayName="Tabla6" ref="A1:C3" totalsRowCount="1" headerRowDxfId="10" totalsRowDxfId="7" headerRowBorderDxfId="9" tableBorderDxfId="8" totalsRowBorderDxfId="6">
  <autoFilter ref="A1:C2" xr:uid="{3CE627D1-64DF-4F75-8661-7CE45A15433D}"/>
  <tableColumns count="3">
    <tableColumn id="1" xr3:uid="{A7391CCD-AB8A-420B-BA98-0555D7ACBE46}" name="Org. aplic." totalsRowLabel="Total" dataDxfId="5" totalsRowDxfId="4"/>
    <tableColumn id="2" xr3:uid="{87AD5D03-17D4-4D84-8CFE-E24CC25F89C4}" name="Descripción justificante" dataDxfId="3" totalsRowDxfId="2"/>
    <tableColumn id="3" xr3:uid="{3D45417D-0C54-4549-829B-3A7412CDE86C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opLeftCell="C1" workbookViewId="0">
      <selection sqref="A1:K2"/>
    </sheetView>
  </sheetViews>
  <sheetFormatPr baseColWidth="10" defaultColWidth="11.44140625" defaultRowHeight="14.4" x14ac:dyDescent="0.3"/>
  <cols>
    <col min="1" max="1" width="5.6640625" style="13" customWidth="1"/>
    <col min="2" max="2" width="42.6640625" style="13" bestFit="1" customWidth="1"/>
    <col min="3" max="3" width="13.6640625" style="13" bestFit="1" customWidth="1"/>
    <col min="4" max="4" width="43.33203125" style="13" bestFit="1" customWidth="1"/>
    <col min="5" max="5" width="20.33203125" style="13" bestFit="1" customWidth="1"/>
    <col min="6" max="6" width="11.44140625" style="13" customWidth="1"/>
    <col min="7" max="7" width="51" style="13" bestFit="1" customWidth="1"/>
    <col min="8" max="8" width="20.33203125" style="13" bestFit="1" customWidth="1"/>
    <col min="9" max="9" width="7.109375" style="13" bestFit="1" customWidth="1"/>
    <col min="10" max="16384" width="11.44140625" style="13"/>
  </cols>
  <sheetData>
    <row r="1" spans="1:11" ht="15" thickBot="1" x14ac:dyDescent="0.35">
      <c r="A1" s="61" t="s">
        <v>97</v>
      </c>
      <c r="B1" s="62"/>
      <c r="C1" s="61" t="s">
        <v>98</v>
      </c>
      <c r="D1" s="62"/>
      <c r="E1" s="63"/>
      <c r="F1" s="64" t="s">
        <v>264</v>
      </c>
      <c r="G1" s="65"/>
      <c r="H1" s="66"/>
      <c r="I1" s="64" t="s">
        <v>265</v>
      </c>
      <c r="J1" s="65"/>
      <c r="K1" s="66"/>
    </row>
    <row r="2" spans="1:11" ht="15" thickBot="1" x14ac:dyDescent="0.35">
      <c r="A2" s="67"/>
      <c r="B2" s="68"/>
      <c r="C2" s="67"/>
      <c r="D2" s="68"/>
      <c r="E2" s="63" t="s">
        <v>99</v>
      </c>
      <c r="F2" s="69" t="s">
        <v>100</v>
      </c>
      <c r="G2" s="69" t="s">
        <v>101</v>
      </c>
      <c r="H2" s="69" t="s">
        <v>102</v>
      </c>
      <c r="I2" s="69" t="s">
        <v>100</v>
      </c>
      <c r="J2" s="69" t="s">
        <v>101</v>
      </c>
      <c r="K2" s="69" t="s">
        <v>102</v>
      </c>
    </row>
    <row r="3" spans="1:11" ht="15" thickBot="1" x14ac:dyDescent="0.35">
      <c r="A3" s="48" t="s">
        <v>38</v>
      </c>
      <c r="B3" s="48" t="s">
        <v>37</v>
      </c>
      <c r="C3" s="49" t="s">
        <v>0</v>
      </c>
      <c r="D3" s="50"/>
      <c r="E3" s="51"/>
      <c r="F3" s="52">
        <v>30941.05</v>
      </c>
      <c r="G3" s="52">
        <v>3164.45</v>
      </c>
      <c r="H3" s="52">
        <v>34105.5</v>
      </c>
      <c r="I3" s="52">
        <v>24138.875</v>
      </c>
      <c r="J3" s="53">
        <v>3082.2</v>
      </c>
      <c r="K3" s="53">
        <v>27221.075000000001</v>
      </c>
    </row>
    <row r="4" spans="1:11" ht="15" thickBot="1" x14ac:dyDescent="0.35">
      <c r="A4" s="54" t="s">
        <v>25</v>
      </c>
      <c r="B4" s="54"/>
      <c r="C4" s="55" t="s">
        <v>191</v>
      </c>
      <c r="D4" s="56" t="s">
        <v>30</v>
      </c>
      <c r="E4" s="57"/>
      <c r="F4" s="58">
        <v>14881.975</v>
      </c>
      <c r="G4" s="59">
        <v>661.7</v>
      </c>
      <c r="H4" s="52">
        <v>15543.674999999999</v>
      </c>
      <c r="I4" s="58">
        <v>11225.924999999999</v>
      </c>
      <c r="J4" s="59">
        <v>653.32500000000005</v>
      </c>
      <c r="K4" s="53">
        <v>11879.25</v>
      </c>
    </row>
    <row r="5" spans="1:11" ht="15" thickBot="1" x14ac:dyDescent="0.35">
      <c r="A5" s="54" t="s">
        <v>25</v>
      </c>
      <c r="B5" s="54"/>
      <c r="C5" s="55" t="s">
        <v>192</v>
      </c>
      <c r="D5" s="56" t="s">
        <v>103</v>
      </c>
      <c r="E5" s="57"/>
      <c r="F5" s="58">
        <v>8573.0750000000007</v>
      </c>
      <c r="G5" s="59">
        <v>1386.2249999999999</v>
      </c>
      <c r="H5" s="52">
        <v>9959.2999999999993</v>
      </c>
      <c r="I5" s="58">
        <v>6846.7749999999996</v>
      </c>
      <c r="J5" s="59">
        <v>1355.325</v>
      </c>
      <c r="K5" s="53">
        <v>8202.1</v>
      </c>
    </row>
    <row r="6" spans="1:11" ht="15" thickBot="1" x14ac:dyDescent="0.35">
      <c r="A6" s="60" t="s">
        <v>25</v>
      </c>
      <c r="B6" s="60"/>
      <c r="C6" s="55" t="s">
        <v>193</v>
      </c>
      <c r="D6" s="56" t="s">
        <v>104</v>
      </c>
      <c r="E6" s="57"/>
      <c r="F6" s="58">
        <v>7486</v>
      </c>
      <c r="G6" s="59">
        <v>1116.5250000000001</v>
      </c>
      <c r="H6" s="52">
        <v>8602.5249999999996</v>
      </c>
      <c r="I6" s="58">
        <v>6066.1750000000002</v>
      </c>
      <c r="J6" s="59">
        <v>1073.55</v>
      </c>
      <c r="K6" s="53">
        <v>7139.7250000000004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A25B-7919-4EA4-9EA8-1D5E02F9C505}">
  <dimension ref="A1:K6"/>
  <sheetViews>
    <sheetView showGridLines="0" workbookViewId="0">
      <selection sqref="A1:XFD1048576"/>
    </sheetView>
  </sheetViews>
  <sheetFormatPr baseColWidth="10" defaultColWidth="11.44140625" defaultRowHeight="14.4" x14ac:dyDescent="0.3"/>
  <cols>
    <col min="1" max="1" width="5.6640625" style="13" customWidth="1"/>
    <col min="2" max="2" width="52.5546875" style="13" customWidth="1"/>
    <col min="3" max="3" width="5.6640625" style="13" customWidth="1"/>
    <col min="4" max="4" width="26.44140625" style="13" customWidth="1"/>
    <col min="5" max="5" width="34.109375" style="13" customWidth="1"/>
    <col min="6" max="6" width="11.44140625" style="13" customWidth="1"/>
    <col min="7" max="7" width="26.33203125" style="13" customWidth="1"/>
    <col min="8" max="8" width="11.88671875" style="13" customWidth="1"/>
    <col min="9" max="16384" width="11.44140625" style="13"/>
  </cols>
  <sheetData>
    <row r="1" spans="1:11" x14ac:dyDescent="0.3">
      <c r="A1" s="70" t="s">
        <v>3</v>
      </c>
      <c r="B1" s="70"/>
      <c r="C1" s="70" t="s">
        <v>269</v>
      </c>
      <c r="D1" s="70"/>
      <c r="E1" s="71" t="s">
        <v>270</v>
      </c>
      <c r="F1" s="72" t="s">
        <v>271</v>
      </c>
      <c r="G1" s="72"/>
      <c r="H1" s="72"/>
      <c r="I1" s="72" t="s">
        <v>272</v>
      </c>
      <c r="J1" s="72"/>
      <c r="K1" s="72"/>
    </row>
    <row r="2" spans="1:11" x14ac:dyDescent="0.3">
      <c r="A2" s="70"/>
      <c r="B2" s="70"/>
      <c r="C2" s="70"/>
      <c r="D2" s="70"/>
      <c r="E2" s="71" t="s">
        <v>273</v>
      </c>
      <c r="F2" s="72" t="s">
        <v>274</v>
      </c>
      <c r="G2" s="72" t="s">
        <v>275</v>
      </c>
      <c r="H2" s="72" t="s">
        <v>0</v>
      </c>
      <c r="I2" s="72" t="s">
        <v>274</v>
      </c>
      <c r="J2" s="72" t="s">
        <v>275</v>
      </c>
      <c r="K2" s="72" t="s">
        <v>0</v>
      </c>
    </row>
    <row r="3" spans="1:11" x14ac:dyDescent="0.3">
      <c r="A3" s="73" t="s">
        <v>38</v>
      </c>
      <c r="B3" s="73" t="s">
        <v>251</v>
      </c>
      <c r="C3" s="74" t="s">
        <v>0</v>
      </c>
      <c r="D3" s="74"/>
      <c r="E3" s="74"/>
      <c r="F3" s="75">
        <v>32814.074999999997</v>
      </c>
      <c r="G3" s="75">
        <v>2859.7249999999999</v>
      </c>
      <c r="H3" s="75">
        <v>35673.800000000003</v>
      </c>
      <c r="I3" s="75">
        <v>25855.775000000001</v>
      </c>
      <c r="J3" s="75">
        <v>2758.8</v>
      </c>
      <c r="K3" s="75">
        <v>28614.575000000001</v>
      </c>
    </row>
    <row r="4" spans="1:11" x14ac:dyDescent="0.3">
      <c r="A4" s="73"/>
      <c r="B4" s="73"/>
      <c r="C4" s="73" t="s">
        <v>191</v>
      </c>
      <c r="D4" s="73" t="s">
        <v>266</v>
      </c>
      <c r="E4" s="73"/>
      <c r="F4" s="76">
        <v>15683.875</v>
      </c>
      <c r="G4" s="76">
        <v>710.65</v>
      </c>
      <c r="H4" s="77">
        <v>16394.525000000001</v>
      </c>
      <c r="I4" s="76">
        <v>12075.424999999999</v>
      </c>
      <c r="J4" s="76">
        <v>702.6</v>
      </c>
      <c r="K4" s="77">
        <v>12778.025</v>
      </c>
    </row>
    <row r="5" spans="1:11" x14ac:dyDescent="0.3">
      <c r="A5" s="73"/>
      <c r="B5" s="73"/>
      <c r="C5" s="73" t="s">
        <v>192</v>
      </c>
      <c r="D5" s="73" t="s">
        <v>267</v>
      </c>
      <c r="E5" s="73"/>
      <c r="F5" s="76">
        <v>9131</v>
      </c>
      <c r="G5" s="76">
        <v>1048.7249999999999</v>
      </c>
      <c r="H5" s="77">
        <v>10179.725</v>
      </c>
      <c r="I5" s="76">
        <v>7199.9250000000002</v>
      </c>
      <c r="J5" s="76">
        <v>1021.075</v>
      </c>
      <c r="K5" s="77">
        <v>8221</v>
      </c>
    </row>
    <row r="6" spans="1:11" x14ac:dyDescent="0.3">
      <c r="A6" s="73"/>
      <c r="B6" s="73"/>
      <c r="C6" s="73" t="s">
        <v>193</v>
      </c>
      <c r="D6" s="73" t="s">
        <v>268</v>
      </c>
      <c r="E6" s="73"/>
      <c r="F6" s="76">
        <v>7999.2</v>
      </c>
      <c r="G6" s="76">
        <v>1100.3499999999999</v>
      </c>
      <c r="H6" s="77">
        <v>9099.5499999999993</v>
      </c>
      <c r="I6" s="76">
        <v>6580.4250000000002</v>
      </c>
      <c r="J6" s="76">
        <v>1035.125</v>
      </c>
      <c r="K6" s="77">
        <v>7615.55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3FEA-C896-4A89-847C-A77F9E2C4DEF}">
  <dimension ref="A1:K7"/>
  <sheetViews>
    <sheetView tabSelected="1" topLeftCell="C1" workbookViewId="0">
      <selection activeCell="F15" sqref="F15"/>
    </sheetView>
  </sheetViews>
  <sheetFormatPr baseColWidth="10" defaultColWidth="11.44140625" defaultRowHeight="14.4" x14ac:dyDescent="0.3"/>
  <cols>
    <col min="1" max="1" width="5.6640625" style="13" customWidth="1"/>
    <col min="2" max="2" width="52.5546875" style="13" customWidth="1"/>
    <col min="3" max="3" width="5.6640625" style="13" customWidth="1"/>
    <col min="4" max="4" width="29" style="13" customWidth="1"/>
    <col min="5" max="5" width="34.109375" style="13" customWidth="1"/>
    <col min="6" max="6" width="11.44140625" style="13"/>
    <col min="7" max="7" width="26.33203125" style="13" customWidth="1"/>
    <col min="8" max="8" width="11.88671875" style="13" customWidth="1"/>
    <col min="9" max="16384" width="11.44140625" style="13"/>
  </cols>
  <sheetData>
    <row r="1" spans="1:11" x14ac:dyDescent="0.3">
      <c r="A1" s="70" t="s">
        <v>3</v>
      </c>
      <c r="B1" s="70"/>
      <c r="C1" s="70" t="s">
        <v>269</v>
      </c>
      <c r="D1" s="70"/>
      <c r="E1" s="71" t="s">
        <v>270</v>
      </c>
      <c r="F1" s="72" t="s">
        <v>271</v>
      </c>
      <c r="G1" s="72"/>
      <c r="H1" s="72"/>
      <c r="I1" s="72" t="s">
        <v>272</v>
      </c>
      <c r="J1" s="72"/>
      <c r="K1" s="72"/>
    </row>
    <row r="2" spans="1:11" x14ac:dyDescent="0.3">
      <c r="A2" s="70"/>
      <c r="B2" s="70"/>
      <c r="C2" s="70"/>
      <c r="D2" s="70"/>
      <c r="E2" s="71" t="s">
        <v>273</v>
      </c>
      <c r="F2" s="72" t="s">
        <v>274</v>
      </c>
      <c r="G2" s="72" t="s">
        <v>275</v>
      </c>
      <c r="H2" s="72" t="s">
        <v>0</v>
      </c>
      <c r="I2" s="72" t="s">
        <v>274</v>
      </c>
      <c r="J2" s="72" t="s">
        <v>275</v>
      </c>
      <c r="K2" s="72" t="s">
        <v>0</v>
      </c>
    </row>
    <row r="3" spans="1:11" x14ac:dyDescent="0.3">
      <c r="A3" s="73" t="s">
        <v>38</v>
      </c>
      <c r="B3" s="73" t="s">
        <v>251</v>
      </c>
      <c r="C3" s="74" t="s">
        <v>0</v>
      </c>
      <c r="D3" s="74"/>
      <c r="E3" s="74"/>
      <c r="F3" s="75">
        <v>31927.85</v>
      </c>
      <c r="G3" s="75">
        <v>2790.5749999999998</v>
      </c>
      <c r="H3" s="75">
        <v>34718.425000000003</v>
      </c>
      <c r="I3" s="75">
        <v>25316.35</v>
      </c>
      <c r="J3" s="75">
        <v>2693.375</v>
      </c>
      <c r="K3" s="75">
        <v>28009.724999999999</v>
      </c>
    </row>
    <row r="4" spans="1:11" x14ac:dyDescent="0.3">
      <c r="A4" s="73"/>
      <c r="B4" s="73"/>
      <c r="C4" s="73" t="s">
        <v>191</v>
      </c>
      <c r="D4" s="73" t="s">
        <v>266</v>
      </c>
      <c r="E4" s="73"/>
      <c r="F4" s="76">
        <v>14613.075000000001</v>
      </c>
      <c r="G4" s="76">
        <v>663.45</v>
      </c>
      <c r="H4" s="77">
        <v>15276.525</v>
      </c>
      <c r="I4" s="76">
        <v>11362.55</v>
      </c>
      <c r="J4" s="76">
        <v>658.45</v>
      </c>
      <c r="K4" s="77">
        <v>12021</v>
      </c>
    </row>
    <row r="5" spans="1:11" x14ac:dyDescent="0.3">
      <c r="A5" s="73"/>
      <c r="B5" s="73"/>
      <c r="C5" s="73" t="s">
        <v>192</v>
      </c>
      <c r="D5" s="73" t="s">
        <v>267</v>
      </c>
      <c r="E5" s="73"/>
      <c r="F5" s="76">
        <v>9525.25</v>
      </c>
      <c r="G5" s="76">
        <v>1285.7750000000001</v>
      </c>
      <c r="H5" s="77">
        <v>10811.025</v>
      </c>
      <c r="I5" s="76">
        <v>7554</v>
      </c>
      <c r="J5" s="76">
        <v>1259.9749999999999</v>
      </c>
      <c r="K5" s="77">
        <v>8813.9750000000004</v>
      </c>
    </row>
    <row r="6" spans="1:11" x14ac:dyDescent="0.3">
      <c r="A6" s="73"/>
      <c r="B6" s="73"/>
      <c r="C6" s="73">
        <v>770</v>
      </c>
      <c r="D6" s="73" t="s">
        <v>426</v>
      </c>
      <c r="E6" s="73"/>
      <c r="F6" s="76">
        <v>172</v>
      </c>
      <c r="G6" s="76"/>
      <c r="H6" s="77">
        <v>172</v>
      </c>
      <c r="I6" s="76">
        <v>172</v>
      </c>
      <c r="J6" s="76"/>
      <c r="K6" s="77">
        <v>172</v>
      </c>
    </row>
    <row r="7" spans="1:11" x14ac:dyDescent="0.3">
      <c r="A7" s="73"/>
      <c r="B7" s="73"/>
      <c r="C7" s="73" t="s">
        <v>193</v>
      </c>
      <c r="D7" s="73" t="s">
        <v>268</v>
      </c>
      <c r="E7" s="73"/>
      <c r="F7" s="76">
        <v>7617.5249999999996</v>
      </c>
      <c r="G7" s="76">
        <v>841.35</v>
      </c>
      <c r="H7" s="77">
        <v>8458.875</v>
      </c>
      <c r="I7" s="76">
        <v>6227.8</v>
      </c>
      <c r="J7" s="76">
        <v>774.95</v>
      </c>
      <c r="K7" s="77">
        <v>7002.75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4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B37" sqref="B37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2" t="s">
        <v>11</v>
      </c>
      <c r="K1" s="1" t="s">
        <v>12</v>
      </c>
      <c r="L1" s="2" t="s">
        <v>13</v>
      </c>
      <c r="M1" s="3" t="s">
        <v>14</v>
      </c>
      <c r="N1" s="4" t="s">
        <v>15</v>
      </c>
      <c r="O1" s="5" t="s">
        <v>16</v>
      </c>
      <c r="P1" s="4" t="s">
        <v>17</v>
      </c>
      <c r="Q1" s="5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1" x14ac:dyDescent="0.2">
      <c r="A2" s="22" t="s">
        <v>33</v>
      </c>
      <c r="B2" s="22" t="s">
        <v>34</v>
      </c>
      <c r="C2" s="22" t="s">
        <v>35</v>
      </c>
      <c r="D2" s="22" t="s">
        <v>113</v>
      </c>
      <c r="E2" s="22" t="s">
        <v>114</v>
      </c>
      <c r="F2" s="22" t="s">
        <v>115</v>
      </c>
      <c r="G2" s="22" t="s">
        <v>47</v>
      </c>
      <c r="H2" s="22" t="s">
        <v>26</v>
      </c>
      <c r="I2" s="22" t="s">
        <v>36</v>
      </c>
      <c r="J2" s="22" t="s">
        <v>37</v>
      </c>
      <c r="K2" s="23">
        <v>1</v>
      </c>
      <c r="L2" s="22" t="s">
        <v>38</v>
      </c>
      <c r="M2" s="22">
        <v>2019</v>
      </c>
      <c r="N2" s="22" t="s">
        <v>29</v>
      </c>
      <c r="O2" s="24" t="s">
        <v>24</v>
      </c>
      <c r="P2" s="22" t="s">
        <v>25</v>
      </c>
      <c r="Q2" s="24" t="s">
        <v>25</v>
      </c>
      <c r="R2" s="25">
        <v>50</v>
      </c>
      <c r="S2" s="26">
        <v>0.5</v>
      </c>
      <c r="T2" s="26">
        <v>0.5</v>
      </c>
      <c r="U2" s="26">
        <v>0</v>
      </c>
    </row>
    <row r="3" spans="1:21" ht="10.8" thickBot="1" x14ac:dyDescent="0.25">
      <c r="A3" s="22" t="s">
        <v>40</v>
      </c>
      <c r="B3" s="22" t="s">
        <v>41</v>
      </c>
      <c r="C3" s="22" t="s">
        <v>42</v>
      </c>
      <c r="D3" s="22" t="s">
        <v>109</v>
      </c>
      <c r="E3" s="22" t="s">
        <v>110</v>
      </c>
      <c r="F3" s="22" t="s">
        <v>111</v>
      </c>
      <c r="G3" s="22" t="s">
        <v>112</v>
      </c>
      <c r="H3" s="22" t="s">
        <v>23</v>
      </c>
      <c r="I3" s="22" t="s">
        <v>36</v>
      </c>
      <c r="J3" s="22" t="s">
        <v>37</v>
      </c>
      <c r="K3" s="23">
        <v>0.5</v>
      </c>
      <c r="L3" s="22" t="s">
        <v>38</v>
      </c>
      <c r="M3" s="22">
        <v>2019</v>
      </c>
      <c r="N3" s="22" t="s">
        <v>27</v>
      </c>
      <c r="O3" s="24" t="s">
        <v>28</v>
      </c>
      <c r="P3" s="22" t="s">
        <v>25</v>
      </c>
      <c r="Q3" s="24" t="s">
        <v>25</v>
      </c>
      <c r="R3" s="25">
        <v>80</v>
      </c>
      <c r="S3" s="26">
        <v>0.4</v>
      </c>
      <c r="T3" s="26">
        <v>0.1</v>
      </c>
      <c r="U3" s="26">
        <v>0</v>
      </c>
    </row>
    <row r="4" spans="1:21" ht="10.8" thickBot="1" x14ac:dyDescent="0.25">
      <c r="A4" s="27" t="s">
        <v>33</v>
      </c>
      <c r="B4" s="27" t="s">
        <v>34</v>
      </c>
      <c r="C4" s="27" t="s">
        <v>35</v>
      </c>
      <c r="D4" s="27" t="s">
        <v>117</v>
      </c>
      <c r="E4" s="27" t="s">
        <v>118</v>
      </c>
      <c r="F4" s="27" t="s">
        <v>119</v>
      </c>
      <c r="G4" s="28" t="s">
        <v>46</v>
      </c>
      <c r="H4" s="29" t="s">
        <v>23</v>
      </c>
      <c r="I4" s="29" t="s">
        <v>36</v>
      </c>
      <c r="J4" s="30" t="s">
        <v>37</v>
      </c>
      <c r="K4" s="31">
        <v>0.5</v>
      </c>
      <c r="L4" s="31" t="s">
        <v>38</v>
      </c>
      <c r="M4" s="20">
        <v>2020</v>
      </c>
      <c r="N4" s="20" t="s">
        <v>29</v>
      </c>
      <c r="O4" s="21">
        <v>50</v>
      </c>
      <c r="P4" s="20" t="s">
        <v>25</v>
      </c>
      <c r="Q4" s="21">
        <v>0</v>
      </c>
      <c r="R4" s="20">
        <v>50</v>
      </c>
      <c r="S4" s="20">
        <v>0.25</v>
      </c>
      <c r="T4" s="20">
        <v>0.25</v>
      </c>
      <c r="U4" s="20">
        <v>0</v>
      </c>
    </row>
    <row r="5" spans="1:21" ht="10.8" thickBot="1" x14ac:dyDescent="0.25">
      <c r="A5" s="27" t="s">
        <v>33</v>
      </c>
      <c r="B5" s="27" t="s">
        <v>34</v>
      </c>
      <c r="C5" s="27" t="s">
        <v>35</v>
      </c>
      <c r="D5" s="27" t="s">
        <v>120</v>
      </c>
      <c r="E5" s="27" t="s">
        <v>121</v>
      </c>
      <c r="F5" s="27" t="s">
        <v>122</v>
      </c>
      <c r="G5" s="28" t="s">
        <v>39</v>
      </c>
      <c r="H5" s="29" t="s">
        <v>23</v>
      </c>
      <c r="I5" s="29" t="s">
        <v>36</v>
      </c>
      <c r="J5" s="30" t="s">
        <v>37</v>
      </c>
      <c r="K5" s="31">
        <v>0.5</v>
      </c>
      <c r="L5" s="31" t="s">
        <v>38</v>
      </c>
      <c r="M5" s="20">
        <v>2020</v>
      </c>
      <c r="N5" s="20" t="s">
        <v>29</v>
      </c>
      <c r="O5" s="21">
        <v>50</v>
      </c>
      <c r="P5" s="20" t="s">
        <v>25</v>
      </c>
      <c r="Q5" s="21">
        <v>0</v>
      </c>
      <c r="R5" s="20">
        <v>50</v>
      </c>
      <c r="S5" s="20">
        <v>0.25</v>
      </c>
      <c r="T5" s="20">
        <v>0.25</v>
      </c>
      <c r="U5" s="20">
        <v>0</v>
      </c>
    </row>
    <row r="6" spans="1:21" ht="10.8" thickBot="1" x14ac:dyDescent="0.25">
      <c r="A6" s="27" t="s">
        <v>33</v>
      </c>
      <c r="B6" s="27" t="s">
        <v>34</v>
      </c>
      <c r="C6" s="27" t="s">
        <v>35</v>
      </c>
      <c r="D6" s="27" t="s">
        <v>120</v>
      </c>
      <c r="E6" s="27" t="s">
        <v>121</v>
      </c>
      <c r="F6" s="27" t="s">
        <v>122</v>
      </c>
      <c r="G6" s="28" t="s">
        <v>123</v>
      </c>
      <c r="H6" s="29" t="s">
        <v>23</v>
      </c>
      <c r="I6" s="29" t="s">
        <v>36</v>
      </c>
      <c r="J6" s="30" t="s">
        <v>37</v>
      </c>
      <c r="K6" s="31">
        <v>0.5</v>
      </c>
      <c r="L6" s="31" t="s">
        <v>38</v>
      </c>
      <c r="M6" s="20">
        <v>2020</v>
      </c>
      <c r="N6" s="20" t="s">
        <v>29</v>
      </c>
      <c r="O6" s="21">
        <v>20</v>
      </c>
      <c r="P6" s="20" t="s">
        <v>25</v>
      </c>
      <c r="Q6" s="21">
        <v>0</v>
      </c>
      <c r="R6" s="20">
        <v>80</v>
      </c>
      <c r="S6" s="20">
        <v>0.4</v>
      </c>
      <c r="T6" s="20">
        <v>0.1</v>
      </c>
      <c r="U6" s="20">
        <v>0</v>
      </c>
    </row>
    <row r="7" spans="1:21" ht="10.8" thickBot="1" x14ac:dyDescent="0.25">
      <c r="A7" s="27" t="s">
        <v>33</v>
      </c>
      <c r="B7" s="27" t="s">
        <v>34</v>
      </c>
      <c r="C7" s="27" t="s">
        <v>35</v>
      </c>
      <c r="D7" s="27" t="s">
        <v>124</v>
      </c>
      <c r="E7" s="27" t="s">
        <v>125</v>
      </c>
      <c r="F7" s="27" t="s">
        <v>126</v>
      </c>
      <c r="G7" s="28" t="s">
        <v>39</v>
      </c>
      <c r="H7" s="29" t="s">
        <v>23</v>
      </c>
      <c r="I7" s="29" t="s">
        <v>36</v>
      </c>
      <c r="J7" s="30" t="s">
        <v>37</v>
      </c>
      <c r="K7" s="31">
        <v>0.5</v>
      </c>
      <c r="L7" s="31" t="s">
        <v>38</v>
      </c>
      <c r="M7" s="20">
        <v>2020</v>
      </c>
      <c r="N7" s="20" t="s">
        <v>29</v>
      </c>
      <c r="O7" s="21">
        <v>50</v>
      </c>
      <c r="P7" s="20" t="s">
        <v>25</v>
      </c>
      <c r="Q7" s="21">
        <v>0</v>
      </c>
      <c r="R7" s="20">
        <v>50</v>
      </c>
      <c r="S7" s="20">
        <v>0.25</v>
      </c>
      <c r="T7" s="20">
        <v>0.25</v>
      </c>
      <c r="U7" s="20">
        <v>0</v>
      </c>
    </row>
    <row r="8" spans="1:21" ht="10.8" thickBot="1" x14ac:dyDescent="0.25">
      <c r="A8" s="27" t="s">
        <v>33</v>
      </c>
      <c r="B8" s="27" t="s">
        <v>34</v>
      </c>
      <c r="C8" s="27" t="s">
        <v>35</v>
      </c>
      <c r="D8" s="27" t="s">
        <v>124</v>
      </c>
      <c r="E8" s="27" t="s">
        <v>125</v>
      </c>
      <c r="F8" s="27" t="s">
        <v>126</v>
      </c>
      <c r="G8" s="28" t="s">
        <v>123</v>
      </c>
      <c r="H8" s="29" t="s">
        <v>23</v>
      </c>
      <c r="I8" s="29" t="s">
        <v>36</v>
      </c>
      <c r="J8" s="30" t="s">
        <v>37</v>
      </c>
      <c r="K8" s="31">
        <v>0.5</v>
      </c>
      <c r="L8" s="31" t="s">
        <v>38</v>
      </c>
      <c r="M8" s="20">
        <v>2020</v>
      </c>
      <c r="N8" s="20" t="s">
        <v>29</v>
      </c>
      <c r="O8" s="21">
        <v>20</v>
      </c>
      <c r="P8" s="20" t="s">
        <v>25</v>
      </c>
      <c r="Q8" s="21">
        <v>0</v>
      </c>
      <c r="R8" s="20">
        <v>80</v>
      </c>
      <c r="S8" s="20">
        <v>0.4</v>
      </c>
      <c r="T8" s="20">
        <v>0.1</v>
      </c>
      <c r="U8" s="20">
        <v>0</v>
      </c>
    </row>
    <row r="9" spans="1:21" x14ac:dyDescent="0.2">
      <c r="A9" s="31" t="s">
        <v>40</v>
      </c>
      <c r="B9" s="31" t="s">
        <v>41</v>
      </c>
      <c r="C9" s="31" t="s">
        <v>42</v>
      </c>
      <c r="D9" s="31" t="s">
        <v>127</v>
      </c>
      <c r="E9" s="31" t="s">
        <v>128</v>
      </c>
      <c r="F9" s="31" t="s">
        <v>129</v>
      </c>
      <c r="G9" s="31" t="s">
        <v>44</v>
      </c>
      <c r="H9" s="31" t="s">
        <v>26</v>
      </c>
      <c r="I9" s="31" t="s">
        <v>36</v>
      </c>
      <c r="J9" s="31" t="s">
        <v>37</v>
      </c>
      <c r="K9" s="31">
        <v>1</v>
      </c>
      <c r="L9" s="31" t="s">
        <v>38</v>
      </c>
      <c r="M9" s="31">
        <v>2020</v>
      </c>
      <c r="N9" s="31" t="s">
        <v>27</v>
      </c>
      <c r="O9" s="34">
        <v>20</v>
      </c>
      <c r="P9" s="31" t="s">
        <v>25</v>
      </c>
      <c r="Q9" s="34">
        <v>0</v>
      </c>
      <c r="R9" s="31">
        <v>80</v>
      </c>
      <c r="S9" s="31">
        <v>0.8</v>
      </c>
      <c r="T9" s="31">
        <v>0.2</v>
      </c>
      <c r="U9" s="31">
        <v>0</v>
      </c>
    </row>
    <row r="10" spans="1:21" x14ac:dyDescent="0.2">
      <c r="A10" s="20" t="s">
        <v>31</v>
      </c>
      <c r="B10" s="20" t="s">
        <v>32</v>
      </c>
      <c r="C10" s="20" t="s">
        <v>48</v>
      </c>
      <c r="D10" s="20" t="s">
        <v>133</v>
      </c>
      <c r="E10" s="20" t="s">
        <v>134</v>
      </c>
      <c r="F10" s="20" t="s">
        <v>135</v>
      </c>
      <c r="G10" s="20" t="s">
        <v>43</v>
      </c>
      <c r="H10" s="20" t="s">
        <v>23</v>
      </c>
      <c r="I10" s="20" t="s">
        <v>36</v>
      </c>
      <c r="J10" s="20" t="s">
        <v>37</v>
      </c>
      <c r="K10" s="31">
        <v>0.5</v>
      </c>
      <c r="L10" s="31" t="s">
        <v>38</v>
      </c>
      <c r="M10" s="20">
        <v>2021</v>
      </c>
      <c r="N10" s="20" t="s">
        <v>27</v>
      </c>
      <c r="O10" s="21">
        <v>50</v>
      </c>
      <c r="P10" s="20" t="s">
        <v>25</v>
      </c>
      <c r="Q10" s="21">
        <v>0</v>
      </c>
      <c r="R10" s="20">
        <v>50</v>
      </c>
      <c r="S10" s="20">
        <v>0.25</v>
      </c>
      <c r="T10" s="20">
        <v>0.25</v>
      </c>
      <c r="U10" s="20">
        <v>0</v>
      </c>
    </row>
    <row r="11" spans="1:21" x14ac:dyDescent="0.2">
      <c r="A11" s="20" t="s">
        <v>40</v>
      </c>
      <c r="B11" s="20" t="s">
        <v>41</v>
      </c>
      <c r="C11" s="20" t="s">
        <v>42</v>
      </c>
      <c r="D11" s="20" t="s">
        <v>136</v>
      </c>
      <c r="E11" s="20" t="s">
        <v>137</v>
      </c>
      <c r="F11" s="20" t="s">
        <v>138</v>
      </c>
      <c r="G11" s="20" t="s">
        <v>139</v>
      </c>
      <c r="H11" s="20" t="s">
        <v>23</v>
      </c>
      <c r="I11" s="20" t="s">
        <v>36</v>
      </c>
      <c r="J11" s="20" t="s">
        <v>37</v>
      </c>
      <c r="K11" s="31">
        <v>0.5</v>
      </c>
      <c r="L11" s="31" t="s">
        <v>38</v>
      </c>
      <c r="M11" s="20">
        <v>2021</v>
      </c>
      <c r="N11" s="20" t="s">
        <v>27</v>
      </c>
      <c r="O11" s="21">
        <v>20</v>
      </c>
      <c r="P11" s="20" t="s">
        <v>25</v>
      </c>
      <c r="Q11" s="21">
        <v>0</v>
      </c>
      <c r="R11" s="20">
        <v>80</v>
      </c>
      <c r="S11" s="20">
        <v>0.4</v>
      </c>
      <c r="T11" s="20">
        <v>0.1</v>
      </c>
      <c r="U11" s="20">
        <v>0</v>
      </c>
    </row>
    <row r="12" spans="1:21" x14ac:dyDescent="0.2">
      <c r="A12" s="20" t="s">
        <v>40</v>
      </c>
      <c r="B12" s="20" t="s">
        <v>41</v>
      </c>
      <c r="C12" s="20" t="s">
        <v>42</v>
      </c>
      <c r="D12" s="20" t="s">
        <v>136</v>
      </c>
      <c r="E12" s="20" t="s">
        <v>137</v>
      </c>
      <c r="F12" s="20" t="s">
        <v>138</v>
      </c>
      <c r="G12" s="20" t="s">
        <v>140</v>
      </c>
      <c r="H12" s="20" t="s">
        <v>23</v>
      </c>
      <c r="I12" s="20" t="s">
        <v>36</v>
      </c>
      <c r="J12" s="20" t="s">
        <v>37</v>
      </c>
      <c r="K12" s="31">
        <v>0.5</v>
      </c>
      <c r="L12" s="31" t="s">
        <v>38</v>
      </c>
      <c r="M12" s="20">
        <v>2021</v>
      </c>
      <c r="N12" s="20" t="s">
        <v>27</v>
      </c>
      <c r="O12" s="21">
        <v>20</v>
      </c>
      <c r="P12" s="20" t="s">
        <v>25</v>
      </c>
      <c r="Q12" s="21">
        <v>0</v>
      </c>
      <c r="R12" s="20">
        <v>80</v>
      </c>
      <c r="S12" s="20">
        <v>0.4</v>
      </c>
      <c r="T12" s="20">
        <v>0.1</v>
      </c>
      <c r="U12" s="20">
        <v>0</v>
      </c>
    </row>
    <row r="13" spans="1:21" x14ac:dyDescent="0.2">
      <c r="A13" s="20" t="s">
        <v>33</v>
      </c>
      <c r="B13" s="20" t="s">
        <v>153</v>
      </c>
      <c r="C13" s="20" t="s">
        <v>35</v>
      </c>
      <c r="D13" s="20" t="s">
        <v>154</v>
      </c>
      <c r="E13" s="20" t="s">
        <v>155</v>
      </c>
      <c r="F13" s="20" t="s">
        <v>156</v>
      </c>
      <c r="G13" s="20" t="s">
        <v>39</v>
      </c>
      <c r="H13" s="20" t="s">
        <v>26</v>
      </c>
      <c r="I13" s="20" t="s">
        <v>36</v>
      </c>
      <c r="J13" s="20" t="s">
        <v>37</v>
      </c>
      <c r="K13" s="35">
        <v>1</v>
      </c>
      <c r="L13" s="35" t="s">
        <v>38</v>
      </c>
      <c r="M13" s="20">
        <v>2022</v>
      </c>
      <c r="N13" s="35" t="s">
        <v>29</v>
      </c>
      <c r="O13" s="35">
        <v>50</v>
      </c>
      <c r="P13" s="35" t="s">
        <v>25</v>
      </c>
      <c r="Q13" s="35">
        <v>0</v>
      </c>
      <c r="R13" s="35">
        <v>50</v>
      </c>
      <c r="S13" s="35">
        <v>0.5</v>
      </c>
      <c r="T13" s="35">
        <v>0.5</v>
      </c>
      <c r="U13" s="35">
        <v>0</v>
      </c>
    </row>
    <row r="14" spans="1:21" x14ac:dyDescent="0.2">
      <c r="A14" s="20" t="s">
        <v>33</v>
      </c>
      <c r="B14" s="20" t="s">
        <v>153</v>
      </c>
      <c r="C14" s="20" t="s">
        <v>35</v>
      </c>
      <c r="D14" s="20" t="s">
        <v>157</v>
      </c>
      <c r="E14" s="20" t="s">
        <v>158</v>
      </c>
      <c r="F14" s="20" t="s">
        <v>159</v>
      </c>
      <c r="G14" s="20" t="s">
        <v>46</v>
      </c>
      <c r="H14" s="20" t="s">
        <v>23</v>
      </c>
      <c r="I14" s="20" t="s">
        <v>36</v>
      </c>
      <c r="J14" s="20" t="s">
        <v>37</v>
      </c>
      <c r="K14" s="35">
        <v>0.5</v>
      </c>
      <c r="L14" s="35" t="s">
        <v>38</v>
      </c>
      <c r="M14" s="20">
        <v>2022</v>
      </c>
      <c r="N14" s="35" t="s">
        <v>29</v>
      </c>
      <c r="O14" s="35">
        <v>50</v>
      </c>
      <c r="P14" s="35" t="s">
        <v>25</v>
      </c>
      <c r="Q14" s="35">
        <v>0</v>
      </c>
      <c r="R14" s="35">
        <v>50</v>
      </c>
      <c r="S14" s="35">
        <v>0.25</v>
      </c>
      <c r="T14" s="35">
        <v>0.25</v>
      </c>
      <c r="U14" s="35">
        <v>0</v>
      </c>
    </row>
    <row r="15" spans="1:21" x14ac:dyDescent="0.2">
      <c r="A15" s="20" t="s">
        <v>33</v>
      </c>
      <c r="B15" s="20" t="s">
        <v>153</v>
      </c>
      <c r="C15" s="20" t="s">
        <v>35</v>
      </c>
      <c r="D15" s="20" t="s">
        <v>157</v>
      </c>
      <c r="E15" s="20" t="s">
        <v>158</v>
      </c>
      <c r="F15" s="20" t="s">
        <v>159</v>
      </c>
      <c r="G15" s="20" t="s">
        <v>160</v>
      </c>
      <c r="H15" s="20" t="s">
        <v>23</v>
      </c>
      <c r="I15" s="20" t="s">
        <v>36</v>
      </c>
      <c r="J15" s="20" t="s">
        <v>37</v>
      </c>
      <c r="K15" s="35">
        <v>0.5</v>
      </c>
      <c r="L15" s="35" t="s">
        <v>38</v>
      </c>
      <c r="M15" s="20">
        <v>2022</v>
      </c>
      <c r="N15" s="35" t="s">
        <v>29</v>
      </c>
      <c r="O15" s="35">
        <v>20</v>
      </c>
      <c r="P15" s="35" t="s">
        <v>25</v>
      </c>
      <c r="Q15" s="35">
        <v>0</v>
      </c>
      <c r="R15" s="35">
        <v>80</v>
      </c>
      <c r="S15" s="35">
        <v>0.4</v>
      </c>
      <c r="T15" s="35">
        <v>0.1</v>
      </c>
      <c r="U15" s="35">
        <v>0</v>
      </c>
    </row>
    <row r="16" spans="1:21" x14ac:dyDescent="0.2">
      <c r="A16" s="20" t="s">
        <v>33</v>
      </c>
      <c r="B16" s="20" t="s">
        <v>153</v>
      </c>
      <c r="C16" s="20" t="s">
        <v>35</v>
      </c>
      <c r="D16" s="20" t="s">
        <v>161</v>
      </c>
      <c r="E16" s="20" t="s">
        <v>162</v>
      </c>
      <c r="F16" s="20" t="s">
        <v>163</v>
      </c>
      <c r="G16" s="20" t="s">
        <v>45</v>
      </c>
      <c r="H16" s="20" t="s">
        <v>23</v>
      </c>
      <c r="I16" s="20" t="s">
        <v>36</v>
      </c>
      <c r="J16" s="20" t="s">
        <v>37</v>
      </c>
      <c r="K16" s="35">
        <v>0.5</v>
      </c>
      <c r="L16" s="35" t="s">
        <v>38</v>
      </c>
      <c r="M16" s="20">
        <v>2022</v>
      </c>
      <c r="N16" s="35" t="s">
        <v>27</v>
      </c>
      <c r="O16" s="35">
        <v>20</v>
      </c>
      <c r="P16" s="35" t="s">
        <v>25</v>
      </c>
      <c r="Q16" s="35">
        <v>0</v>
      </c>
      <c r="R16" s="35">
        <v>80</v>
      </c>
      <c r="S16" s="35">
        <v>0.4</v>
      </c>
      <c r="T16" s="35">
        <v>0.1</v>
      </c>
      <c r="U16" s="35">
        <v>0</v>
      </c>
    </row>
    <row r="17" spans="1:21" x14ac:dyDescent="0.2">
      <c r="A17" s="20" t="s">
        <v>33</v>
      </c>
      <c r="B17" s="20" t="s">
        <v>153</v>
      </c>
      <c r="C17" s="20" t="s">
        <v>35</v>
      </c>
      <c r="D17" s="20" t="s">
        <v>161</v>
      </c>
      <c r="E17" s="20" t="s">
        <v>162</v>
      </c>
      <c r="F17" s="20" t="s">
        <v>163</v>
      </c>
      <c r="G17" s="20" t="s">
        <v>164</v>
      </c>
      <c r="H17" s="20" t="s">
        <v>23</v>
      </c>
      <c r="I17" s="20" t="s">
        <v>36</v>
      </c>
      <c r="J17" s="20" t="s">
        <v>37</v>
      </c>
      <c r="K17" s="35">
        <v>0.5</v>
      </c>
      <c r="L17" s="35" t="s">
        <v>38</v>
      </c>
      <c r="M17" s="20">
        <v>2022</v>
      </c>
      <c r="N17" s="35" t="s">
        <v>25</v>
      </c>
      <c r="O17" s="35" t="s">
        <v>25</v>
      </c>
      <c r="P17" s="35" t="s">
        <v>25</v>
      </c>
      <c r="Q17" s="35" t="s">
        <v>25</v>
      </c>
      <c r="R17" s="35">
        <v>100</v>
      </c>
      <c r="S17" s="35">
        <v>0.5</v>
      </c>
      <c r="T17" s="35">
        <v>0</v>
      </c>
      <c r="U17" s="35">
        <v>0</v>
      </c>
    </row>
    <row r="18" spans="1:21" x14ac:dyDescent="0.2">
      <c r="A18" s="20" t="s">
        <v>40</v>
      </c>
      <c r="B18" s="20" t="s">
        <v>165</v>
      </c>
      <c r="C18" s="20" t="s">
        <v>42</v>
      </c>
      <c r="D18" s="20" t="s">
        <v>166</v>
      </c>
      <c r="E18" s="20" t="s">
        <v>167</v>
      </c>
      <c r="F18" s="20" t="s">
        <v>168</v>
      </c>
      <c r="G18" s="20" t="s">
        <v>112</v>
      </c>
      <c r="H18" s="20" t="s">
        <v>23</v>
      </c>
      <c r="I18" s="20" t="s">
        <v>36</v>
      </c>
      <c r="J18" s="20" t="s">
        <v>37</v>
      </c>
      <c r="K18" s="35">
        <v>0.5</v>
      </c>
      <c r="L18" s="35" t="s">
        <v>38</v>
      </c>
      <c r="M18" s="20">
        <v>2022</v>
      </c>
      <c r="N18" s="35" t="s">
        <v>27</v>
      </c>
      <c r="O18" s="35">
        <v>20</v>
      </c>
      <c r="P18" s="35" t="s">
        <v>25</v>
      </c>
      <c r="Q18" s="35">
        <v>0</v>
      </c>
      <c r="R18" s="35">
        <v>80</v>
      </c>
      <c r="S18" s="35">
        <v>0.4</v>
      </c>
      <c r="T18" s="35">
        <v>0.1</v>
      </c>
      <c r="U18" s="35">
        <v>0</v>
      </c>
    </row>
    <row r="19" spans="1:21" x14ac:dyDescent="0.2">
      <c r="A19" s="20" t="s">
        <v>40</v>
      </c>
      <c r="B19" s="20" t="s">
        <v>165</v>
      </c>
      <c r="C19" s="20" t="s">
        <v>42</v>
      </c>
      <c r="D19" s="20" t="s">
        <v>169</v>
      </c>
      <c r="E19" s="20" t="s">
        <v>170</v>
      </c>
      <c r="F19" s="20" t="s">
        <v>171</v>
      </c>
      <c r="G19" s="20" t="s">
        <v>112</v>
      </c>
      <c r="H19" s="20" t="s">
        <v>26</v>
      </c>
      <c r="I19" s="20" t="s">
        <v>36</v>
      </c>
      <c r="J19" s="20" t="s">
        <v>37</v>
      </c>
      <c r="K19" s="35">
        <v>1</v>
      </c>
      <c r="L19" s="35" t="s">
        <v>38</v>
      </c>
      <c r="M19" s="20">
        <v>2022</v>
      </c>
      <c r="N19" s="35" t="s">
        <v>27</v>
      </c>
      <c r="O19" s="35">
        <v>20</v>
      </c>
      <c r="P19" s="35" t="s">
        <v>25</v>
      </c>
      <c r="Q19" s="35">
        <v>0</v>
      </c>
      <c r="R19" s="35">
        <v>80</v>
      </c>
      <c r="S19" s="35">
        <v>0.8</v>
      </c>
      <c r="T19" s="35">
        <v>0.2</v>
      </c>
      <c r="U19" s="35">
        <v>0</v>
      </c>
    </row>
    <row r="20" spans="1:21" x14ac:dyDescent="0.2">
      <c r="A20" s="20" t="s">
        <v>40</v>
      </c>
      <c r="B20" s="20" t="s">
        <v>165</v>
      </c>
      <c r="C20" s="20" t="s">
        <v>42</v>
      </c>
      <c r="D20" s="20" t="s">
        <v>172</v>
      </c>
      <c r="E20" s="20" t="s">
        <v>173</v>
      </c>
      <c r="F20" s="20" t="s">
        <v>174</v>
      </c>
      <c r="G20" s="20" t="s">
        <v>43</v>
      </c>
      <c r="H20" s="20" t="s">
        <v>26</v>
      </c>
      <c r="I20" s="20" t="s">
        <v>36</v>
      </c>
      <c r="J20" s="20" t="s">
        <v>37</v>
      </c>
      <c r="K20" s="35">
        <v>1</v>
      </c>
      <c r="L20" s="35" t="s">
        <v>38</v>
      </c>
      <c r="M20" s="20">
        <v>2022</v>
      </c>
      <c r="N20" s="35" t="s">
        <v>27</v>
      </c>
      <c r="O20" s="35">
        <v>50</v>
      </c>
      <c r="P20" s="35" t="s">
        <v>25</v>
      </c>
      <c r="Q20" s="35">
        <v>0</v>
      </c>
      <c r="R20" s="35">
        <v>50</v>
      </c>
      <c r="S20" s="35">
        <v>0.5</v>
      </c>
      <c r="T20" s="35">
        <v>0.5</v>
      </c>
      <c r="U20" s="35">
        <v>0</v>
      </c>
    </row>
    <row r="21" spans="1:21" x14ac:dyDescent="0.2">
      <c r="A21" s="20" t="s">
        <v>40</v>
      </c>
      <c r="B21" s="20" t="s">
        <v>165</v>
      </c>
      <c r="C21" s="20" t="s">
        <v>42</v>
      </c>
      <c r="D21" s="20" t="s">
        <v>175</v>
      </c>
      <c r="E21" s="20" t="s">
        <v>176</v>
      </c>
      <c r="F21" s="20" t="s">
        <v>177</v>
      </c>
      <c r="G21" s="20" t="s">
        <v>44</v>
      </c>
      <c r="H21" s="20" t="s">
        <v>26</v>
      </c>
      <c r="I21" s="20" t="s">
        <v>36</v>
      </c>
      <c r="J21" s="20" t="s">
        <v>37</v>
      </c>
      <c r="K21" s="35">
        <v>1</v>
      </c>
      <c r="L21" s="35" t="s">
        <v>38</v>
      </c>
      <c r="M21" s="20">
        <v>2022</v>
      </c>
      <c r="N21" s="35" t="s">
        <v>27</v>
      </c>
      <c r="O21" s="35">
        <v>20</v>
      </c>
      <c r="P21" s="35" t="s">
        <v>25</v>
      </c>
      <c r="Q21" s="35">
        <v>0</v>
      </c>
      <c r="R21" s="35">
        <v>80</v>
      </c>
      <c r="S21" s="35">
        <v>0.8</v>
      </c>
      <c r="T21" s="35">
        <v>0.2</v>
      </c>
      <c r="U21" s="35">
        <v>0</v>
      </c>
    </row>
    <row r="22" spans="1:21" x14ac:dyDescent="0.2">
      <c r="A22" s="20" t="s">
        <v>40</v>
      </c>
      <c r="B22" s="20" t="s">
        <v>165</v>
      </c>
      <c r="C22" s="20" t="s">
        <v>42</v>
      </c>
      <c r="D22" s="20" t="s">
        <v>178</v>
      </c>
      <c r="E22" s="20" t="s">
        <v>179</v>
      </c>
      <c r="F22" s="20" t="s">
        <v>180</v>
      </c>
      <c r="G22" s="20" t="s">
        <v>181</v>
      </c>
      <c r="H22" s="20" t="s">
        <v>26</v>
      </c>
      <c r="I22" s="20" t="s">
        <v>36</v>
      </c>
      <c r="J22" s="20" t="s">
        <v>37</v>
      </c>
      <c r="K22" s="35">
        <v>1</v>
      </c>
      <c r="L22" s="35" t="s">
        <v>38</v>
      </c>
      <c r="M22" s="20">
        <v>2022</v>
      </c>
      <c r="N22" s="35" t="s">
        <v>27</v>
      </c>
      <c r="O22" s="35">
        <v>50</v>
      </c>
      <c r="P22" s="35" t="s">
        <v>25</v>
      </c>
      <c r="Q22" s="35">
        <v>0</v>
      </c>
      <c r="R22" s="35">
        <v>50</v>
      </c>
      <c r="S22" s="35">
        <v>0.5</v>
      </c>
      <c r="T22" s="35">
        <v>0.5</v>
      </c>
      <c r="U22" s="35">
        <v>0</v>
      </c>
    </row>
    <row r="23" spans="1:21" x14ac:dyDescent="0.2">
      <c r="A23" s="20" t="s">
        <v>40</v>
      </c>
      <c r="B23" s="20" t="s">
        <v>165</v>
      </c>
      <c r="C23" s="20" t="s">
        <v>42</v>
      </c>
      <c r="D23" s="20" t="s">
        <v>182</v>
      </c>
      <c r="E23" s="20" t="s">
        <v>183</v>
      </c>
      <c r="F23" s="20" t="s">
        <v>184</v>
      </c>
      <c r="G23" s="20" t="s">
        <v>49</v>
      </c>
      <c r="H23" s="20" t="s">
        <v>23</v>
      </c>
      <c r="I23" s="20" t="s">
        <v>36</v>
      </c>
      <c r="J23" s="20" t="s">
        <v>37</v>
      </c>
      <c r="K23" s="35">
        <v>0.5</v>
      </c>
      <c r="L23" s="35" t="s">
        <v>38</v>
      </c>
      <c r="M23" s="20">
        <v>2022</v>
      </c>
      <c r="N23" s="35" t="s">
        <v>27</v>
      </c>
      <c r="O23" s="35">
        <v>50</v>
      </c>
      <c r="P23" s="35" t="s">
        <v>25</v>
      </c>
      <c r="Q23" s="35">
        <v>0</v>
      </c>
      <c r="R23" s="35">
        <v>50</v>
      </c>
      <c r="S23" s="35">
        <v>0.25</v>
      </c>
      <c r="T23" s="35">
        <v>0.25</v>
      </c>
      <c r="U23" s="35">
        <v>0</v>
      </c>
    </row>
    <row r="24" spans="1:21" x14ac:dyDescent="0.2">
      <c r="A24" s="20" t="s">
        <v>40</v>
      </c>
      <c r="B24" s="20" t="s">
        <v>165</v>
      </c>
      <c r="C24" s="20" t="s">
        <v>42</v>
      </c>
      <c r="D24" s="20" t="s">
        <v>182</v>
      </c>
      <c r="E24" s="20" t="s">
        <v>183</v>
      </c>
      <c r="F24" s="20" t="s">
        <v>184</v>
      </c>
      <c r="G24" s="20" t="s">
        <v>185</v>
      </c>
      <c r="H24" s="20" t="s">
        <v>23</v>
      </c>
      <c r="I24" s="20" t="s">
        <v>36</v>
      </c>
      <c r="J24" s="20" t="s">
        <v>37</v>
      </c>
      <c r="K24" s="35">
        <v>0.5</v>
      </c>
      <c r="L24" s="35" t="s">
        <v>38</v>
      </c>
      <c r="M24" s="20">
        <v>2022</v>
      </c>
      <c r="N24" s="35" t="s">
        <v>27</v>
      </c>
      <c r="O24" s="35">
        <v>20</v>
      </c>
      <c r="P24" s="35" t="s">
        <v>25</v>
      </c>
      <c r="Q24" s="35">
        <v>0</v>
      </c>
      <c r="R24" s="35">
        <v>80</v>
      </c>
      <c r="S24" s="35">
        <v>0.4</v>
      </c>
      <c r="T24" s="35">
        <v>0.1</v>
      </c>
      <c r="U24" s="35">
        <v>0</v>
      </c>
    </row>
    <row r="25" spans="1:21" x14ac:dyDescent="0.2">
      <c r="A25" s="20" t="s">
        <v>244</v>
      </c>
      <c r="B25" s="20" t="s">
        <v>245</v>
      </c>
      <c r="C25" s="20" t="s">
        <v>246</v>
      </c>
      <c r="D25" s="20" t="s">
        <v>247</v>
      </c>
      <c r="E25" s="20" t="s">
        <v>248</v>
      </c>
      <c r="F25" s="20" t="s">
        <v>249</v>
      </c>
      <c r="G25" s="20" t="s">
        <v>78</v>
      </c>
      <c r="H25" s="20" t="s">
        <v>250</v>
      </c>
      <c r="I25" s="20" t="s">
        <v>38</v>
      </c>
      <c r="J25" s="20" t="s">
        <v>251</v>
      </c>
      <c r="K25" s="20">
        <v>1</v>
      </c>
      <c r="L25" s="20" t="s">
        <v>38</v>
      </c>
      <c r="M25" s="20">
        <v>2023</v>
      </c>
      <c r="N25" s="20" t="s">
        <v>29</v>
      </c>
      <c r="O25" s="20" t="s">
        <v>24</v>
      </c>
      <c r="P25" s="20" t="s">
        <v>25</v>
      </c>
      <c r="Q25" s="20" t="s">
        <v>25</v>
      </c>
      <c r="R25" s="20">
        <v>50</v>
      </c>
      <c r="S25" s="20">
        <v>0.5</v>
      </c>
      <c r="T25" s="20">
        <v>0.5</v>
      </c>
      <c r="U25" s="20">
        <v>0</v>
      </c>
    </row>
    <row r="26" spans="1:21" x14ac:dyDescent="0.2">
      <c r="A26" s="20" t="s">
        <v>252</v>
      </c>
      <c r="B26" s="20" t="s">
        <v>253</v>
      </c>
      <c r="C26" s="20" t="s">
        <v>254</v>
      </c>
      <c r="D26" s="20" t="s">
        <v>255</v>
      </c>
      <c r="E26" s="20" t="s">
        <v>256</v>
      </c>
      <c r="F26" s="20" t="s">
        <v>257</v>
      </c>
      <c r="G26" s="20" t="s">
        <v>73</v>
      </c>
      <c r="H26" s="20" t="s">
        <v>258</v>
      </c>
      <c r="I26" s="20" t="s">
        <v>38</v>
      </c>
      <c r="J26" s="20" t="s">
        <v>251</v>
      </c>
      <c r="K26" s="20">
        <v>0.5</v>
      </c>
      <c r="L26" s="20" t="s">
        <v>38</v>
      </c>
      <c r="M26" s="20">
        <v>2023</v>
      </c>
      <c r="N26" s="20" t="s">
        <v>27</v>
      </c>
      <c r="O26" s="20" t="s">
        <v>28</v>
      </c>
      <c r="P26" s="20" t="s">
        <v>25</v>
      </c>
      <c r="Q26" s="20" t="s">
        <v>25</v>
      </c>
      <c r="R26" s="20">
        <v>80</v>
      </c>
      <c r="S26" s="20">
        <v>0.4</v>
      </c>
      <c r="T26" s="20">
        <v>0.1</v>
      </c>
      <c r="U26" s="20">
        <v>0</v>
      </c>
    </row>
    <row r="27" spans="1:21" x14ac:dyDescent="0.2">
      <c r="A27" s="20" t="s">
        <v>244</v>
      </c>
      <c r="B27" s="20" t="s">
        <v>312</v>
      </c>
      <c r="C27" s="20" t="s">
        <v>246</v>
      </c>
      <c r="D27" s="20" t="s">
        <v>313</v>
      </c>
      <c r="E27" s="20" t="s">
        <v>314</v>
      </c>
      <c r="F27" s="20" t="s">
        <v>315</v>
      </c>
      <c r="G27" s="20" t="s">
        <v>78</v>
      </c>
      <c r="H27" s="20" t="s">
        <v>250</v>
      </c>
      <c r="I27" s="20" t="s">
        <v>38</v>
      </c>
      <c r="J27" s="20" t="s">
        <v>316</v>
      </c>
      <c r="K27" s="20">
        <v>1</v>
      </c>
      <c r="L27" s="20" t="s">
        <v>38</v>
      </c>
      <c r="M27" s="20">
        <v>2024</v>
      </c>
      <c r="N27" s="20" t="s">
        <v>29</v>
      </c>
      <c r="O27" s="20" t="s">
        <v>24</v>
      </c>
      <c r="P27" s="20" t="s">
        <v>25</v>
      </c>
      <c r="Q27" s="20" t="s">
        <v>25</v>
      </c>
      <c r="R27" s="20">
        <v>50</v>
      </c>
      <c r="S27" s="20">
        <v>0.5</v>
      </c>
      <c r="T27" s="20">
        <v>0.5</v>
      </c>
      <c r="U27" s="20">
        <v>0</v>
      </c>
    </row>
    <row r="28" spans="1:21" x14ac:dyDescent="0.2">
      <c r="A28" s="20" t="s">
        <v>244</v>
      </c>
      <c r="B28" s="20" t="s">
        <v>312</v>
      </c>
      <c r="C28" s="20" t="s">
        <v>246</v>
      </c>
      <c r="D28" s="20" t="s">
        <v>317</v>
      </c>
      <c r="E28" s="20" t="s">
        <v>318</v>
      </c>
      <c r="F28" s="20" t="s">
        <v>319</v>
      </c>
      <c r="G28" s="20" t="s">
        <v>89</v>
      </c>
      <c r="H28" s="20" t="s">
        <v>250</v>
      </c>
      <c r="I28" s="20" t="s">
        <v>38</v>
      </c>
      <c r="J28" s="20" t="s">
        <v>316</v>
      </c>
      <c r="K28" s="20">
        <v>1</v>
      </c>
      <c r="L28" s="20" t="s">
        <v>38</v>
      </c>
      <c r="M28" s="20">
        <v>2024</v>
      </c>
      <c r="N28" s="20" t="s">
        <v>29</v>
      </c>
      <c r="O28" s="20" t="s">
        <v>28</v>
      </c>
      <c r="P28" s="20" t="s">
        <v>25</v>
      </c>
      <c r="Q28" s="20" t="s">
        <v>25</v>
      </c>
      <c r="R28" s="20">
        <v>80</v>
      </c>
      <c r="S28" s="20">
        <v>0.8</v>
      </c>
      <c r="T28" s="20">
        <v>0.2</v>
      </c>
      <c r="U28" s="20">
        <v>0</v>
      </c>
    </row>
    <row r="29" spans="1:21" x14ac:dyDescent="0.2">
      <c r="A29" s="20" t="s">
        <v>244</v>
      </c>
      <c r="B29" s="20" t="s">
        <v>312</v>
      </c>
      <c r="C29" s="20" t="s">
        <v>246</v>
      </c>
      <c r="D29" s="20" t="s">
        <v>320</v>
      </c>
      <c r="E29" s="20" t="s">
        <v>321</v>
      </c>
      <c r="F29" s="20" t="s">
        <v>322</v>
      </c>
      <c r="G29" s="20" t="s">
        <v>89</v>
      </c>
      <c r="H29" s="20" t="s">
        <v>258</v>
      </c>
      <c r="I29" s="20" t="s">
        <v>38</v>
      </c>
      <c r="J29" s="20" t="s">
        <v>316</v>
      </c>
      <c r="K29" s="20">
        <v>0.5</v>
      </c>
      <c r="L29" s="20" t="s">
        <v>38</v>
      </c>
      <c r="M29" s="20">
        <v>2024</v>
      </c>
      <c r="N29" s="20" t="s">
        <v>29</v>
      </c>
      <c r="O29" s="20" t="s">
        <v>28</v>
      </c>
      <c r="P29" s="20" t="s">
        <v>25</v>
      </c>
      <c r="Q29" s="20" t="s">
        <v>25</v>
      </c>
      <c r="R29" s="20">
        <v>80</v>
      </c>
      <c r="S29" s="20">
        <v>0.4</v>
      </c>
      <c r="T29" s="20">
        <v>0.1</v>
      </c>
      <c r="U29" s="20">
        <v>0</v>
      </c>
    </row>
    <row r="30" spans="1:21" x14ac:dyDescent="0.2">
      <c r="A30" s="20" t="s">
        <v>244</v>
      </c>
      <c r="B30" s="20" t="s">
        <v>312</v>
      </c>
      <c r="C30" s="20" t="s">
        <v>246</v>
      </c>
      <c r="D30" s="20" t="s">
        <v>320</v>
      </c>
      <c r="E30" s="20" t="s">
        <v>321</v>
      </c>
      <c r="F30" s="20" t="s">
        <v>322</v>
      </c>
      <c r="G30" s="20" t="s">
        <v>71</v>
      </c>
      <c r="H30" s="20" t="s">
        <v>258</v>
      </c>
      <c r="I30" s="20" t="s">
        <v>38</v>
      </c>
      <c r="J30" s="20" t="s">
        <v>316</v>
      </c>
      <c r="K30" s="20">
        <v>0.5</v>
      </c>
      <c r="L30" s="20" t="s">
        <v>38</v>
      </c>
      <c r="M30" s="20">
        <v>2024</v>
      </c>
      <c r="N30" s="20" t="s">
        <v>29</v>
      </c>
      <c r="O30" s="20" t="s">
        <v>28</v>
      </c>
      <c r="P30" s="20" t="s">
        <v>25</v>
      </c>
      <c r="Q30" s="20" t="s">
        <v>25</v>
      </c>
      <c r="R30" s="20">
        <v>80</v>
      </c>
      <c r="S30" s="20">
        <v>0.4</v>
      </c>
      <c r="T30" s="20">
        <v>0.1</v>
      </c>
      <c r="U30" s="20">
        <v>0</v>
      </c>
    </row>
    <row r="31" spans="1:21" x14ac:dyDescent="0.2">
      <c r="A31" s="20" t="s">
        <v>252</v>
      </c>
      <c r="B31" s="20" t="s">
        <v>323</v>
      </c>
      <c r="C31" s="20" t="s">
        <v>254</v>
      </c>
      <c r="D31" s="20" t="s">
        <v>324</v>
      </c>
      <c r="E31" s="20" t="s">
        <v>325</v>
      </c>
      <c r="F31" s="20" t="s">
        <v>326</v>
      </c>
      <c r="G31" s="20" t="s">
        <v>73</v>
      </c>
      <c r="H31" s="20" t="s">
        <v>258</v>
      </c>
      <c r="I31" s="20" t="s">
        <v>38</v>
      </c>
      <c r="J31" s="20" t="s">
        <v>316</v>
      </c>
      <c r="K31" s="20">
        <v>0.5</v>
      </c>
      <c r="L31" s="20" t="s">
        <v>38</v>
      </c>
      <c r="M31" s="20">
        <v>2024</v>
      </c>
      <c r="N31" s="20" t="s">
        <v>27</v>
      </c>
      <c r="O31" s="20" t="s">
        <v>28</v>
      </c>
      <c r="P31" s="20" t="s">
        <v>25</v>
      </c>
      <c r="Q31" s="20" t="s">
        <v>25</v>
      </c>
      <c r="R31" s="20">
        <v>80</v>
      </c>
      <c r="S31" s="20">
        <v>0.4</v>
      </c>
      <c r="T31" s="20">
        <v>0.1</v>
      </c>
      <c r="U31" s="20">
        <v>0</v>
      </c>
    </row>
    <row r="32" spans="1:21" x14ac:dyDescent="0.2">
      <c r="A32" s="20" t="s">
        <v>252</v>
      </c>
      <c r="B32" s="20" t="s">
        <v>323</v>
      </c>
      <c r="C32" s="20" t="s">
        <v>254</v>
      </c>
      <c r="D32" s="20" t="s">
        <v>327</v>
      </c>
      <c r="E32" s="20" t="s">
        <v>328</v>
      </c>
      <c r="F32" s="20" t="s">
        <v>329</v>
      </c>
      <c r="G32" s="20" t="s">
        <v>77</v>
      </c>
      <c r="H32" s="20" t="s">
        <v>258</v>
      </c>
      <c r="I32" s="20" t="s">
        <v>38</v>
      </c>
      <c r="J32" s="20" t="s">
        <v>316</v>
      </c>
      <c r="K32" s="20">
        <v>0.5</v>
      </c>
      <c r="L32" s="20" t="s">
        <v>38</v>
      </c>
      <c r="M32" s="20">
        <v>2024</v>
      </c>
      <c r="N32" s="20" t="s">
        <v>27</v>
      </c>
      <c r="O32" s="20" t="s">
        <v>28</v>
      </c>
      <c r="P32" s="20" t="s">
        <v>25</v>
      </c>
      <c r="Q32" s="20" t="s">
        <v>25</v>
      </c>
      <c r="R32" s="20">
        <v>80</v>
      </c>
      <c r="S32" s="20">
        <v>0.4</v>
      </c>
      <c r="T32" s="20">
        <v>0.1</v>
      </c>
      <c r="U32" s="20">
        <v>0</v>
      </c>
    </row>
    <row r="33" spans="1:21" x14ac:dyDescent="0.2">
      <c r="A33" s="20" t="s">
        <v>252</v>
      </c>
      <c r="B33" s="20" t="s">
        <v>323</v>
      </c>
      <c r="C33" s="20" t="s">
        <v>254</v>
      </c>
      <c r="D33" s="20" t="s">
        <v>330</v>
      </c>
      <c r="E33" s="20" t="s">
        <v>331</v>
      </c>
      <c r="F33" s="20" t="s">
        <v>332</v>
      </c>
      <c r="G33" s="20" t="s">
        <v>188</v>
      </c>
      <c r="H33" s="20" t="s">
        <v>258</v>
      </c>
      <c r="I33" s="20" t="s">
        <v>38</v>
      </c>
      <c r="J33" s="20" t="s">
        <v>316</v>
      </c>
      <c r="K33" s="20">
        <v>0.5</v>
      </c>
      <c r="L33" s="20" t="s">
        <v>38</v>
      </c>
      <c r="M33" s="20">
        <v>2024</v>
      </c>
      <c r="N33" s="20" t="s">
        <v>27</v>
      </c>
      <c r="O33" s="20" t="s">
        <v>24</v>
      </c>
      <c r="P33" s="20" t="s">
        <v>25</v>
      </c>
      <c r="Q33" s="20" t="s">
        <v>25</v>
      </c>
      <c r="R33" s="20">
        <v>50</v>
      </c>
      <c r="S33" s="20">
        <v>0.25</v>
      </c>
      <c r="T33" s="20">
        <v>0.25</v>
      </c>
      <c r="U33" s="20">
        <v>0</v>
      </c>
    </row>
    <row r="34" spans="1:21" x14ac:dyDescent="0.2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5"/>
      <c r="P34" s="44"/>
      <c r="Q34" s="45"/>
      <c r="R34" s="44"/>
      <c r="S34" s="46">
        <f>SUM(S2:S33)</f>
        <v>14.050000000000004</v>
      </c>
      <c r="T34" s="44"/>
      <c r="U34" s="44"/>
    </row>
  </sheetData>
  <autoFilter ref="A1:U1" xr:uid="{00000000-0009-0000-0000-000006000000}">
    <sortState xmlns:xlrd2="http://schemas.microsoft.com/office/spreadsheetml/2017/richdata2" ref="A2:T1880">
      <sortCondition ref="K2:K1880"/>
      <sortCondition ref="L2:L1880"/>
      <sortCondition ref="D2:D188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9"/>
  <sheetViews>
    <sheetView zoomScaleNormal="100" workbookViewId="0">
      <selection activeCell="H56" sqref="H56"/>
    </sheetView>
  </sheetViews>
  <sheetFormatPr baseColWidth="10" defaultColWidth="11.44140625" defaultRowHeight="13.2" x14ac:dyDescent="0.25"/>
  <cols>
    <col min="1" max="1" width="10.88671875" style="11" bestFit="1" customWidth="1"/>
    <col min="2" max="2" width="41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1" s="10" customFormat="1" ht="60" customHeight="1" x14ac:dyDescent="0.25">
      <c r="A1" s="14" t="s">
        <v>50</v>
      </c>
      <c r="B1" s="14" t="s">
        <v>51</v>
      </c>
      <c r="C1" s="14" t="s">
        <v>52</v>
      </c>
      <c r="D1" s="15" t="s">
        <v>333</v>
      </c>
      <c r="E1" s="15" t="s">
        <v>334</v>
      </c>
      <c r="F1" s="15" t="s">
        <v>335</v>
      </c>
      <c r="G1" s="15" t="s">
        <v>336</v>
      </c>
      <c r="H1" s="15" t="s">
        <v>337</v>
      </c>
      <c r="I1" s="15" t="s">
        <v>338</v>
      </c>
      <c r="J1" s="14" t="s">
        <v>53</v>
      </c>
      <c r="K1" s="16" t="s">
        <v>116</v>
      </c>
      <c r="L1" s="8" t="s">
        <v>54</v>
      </c>
      <c r="M1" s="8" t="s">
        <v>55</v>
      </c>
      <c r="N1" s="8" t="s">
        <v>56</v>
      </c>
      <c r="O1" s="8" t="s">
        <v>57</v>
      </c>
      <c r="P1" s="9" t="s">
        <v>58</v>
      </c>
      <c r="Q1" s="9" t="s">
        <v>59</v>
      </c>
      <c r="R1" s="9" t="s">
        <v>60</v>
      </c>
      <c r="S1" s="9" t="s">
        <v>61</v>
      </c>
      <c r="T1" s="11"/>
      <c r="U1" s="11"/>
    </row>
    <row r="2" spans="1:21" ht="14.4" x14ac:dyDescent="0.3">
      <c r="A2" s="17" t="s">
        <v>186</v>
      </c>
      <c r="B2" s="17" t="s">
        <v>339</v>
      </c>
      <c r="C2" s="17" t="s">
        <v>62</v>
      </c>
      <c r="D2" s="17"/>
      <c r="E2" s="17"/>
      <c r="F2" s="17"/>
      <c r="G2" s="17"/>
      <c r="H2" s="17"/>
      <c r="I2" s="17">
        <v>1</v>
      </c>
      <c r="J2" s="17">
        <v>1</v>
      </c>
      <c r="K2" s="17" t="s">
        <v>38</v>
      </c>
      <c r="L2" s="18" t="s">
        <v>27</v>
      </c>
      <c r="M2" s="18" t="s">
        <v>28</v>
      </c>
      <c r="N2" s="18" t="s">
        <v>25</v>
      </c>
      <c r="O2" s="18" t="s">
        <v>25</v>
      </c>
      <c r="P2" s="18">
        <v>80</v>
      </c>
      <c r="Q2" s="18">
        <v>0.2</v>
      </c>
      <c r="R2" s="18">
        <v>0</v>
      </c>
      <c r="S2" s="18">
        <v>0.8</v>
      </c>
    </row>
    <row r="3" spans="1:21" ht="14.4" x14ac:dyDescent="0.3">
      <c r="A3" s="17" t="s">
        <v>66</v>
      </c>
      <c r="B3" s="17" t="s">
        <v>340</v>
      </c>
      <c r="C3" s="17" t="s">
        <v>62</v>
      </c>
      <c r="D3" s="17"/>
      <c r="E3" s="17"/>
      <c r="F3" s="17"/>
      <c r="G3" s="17">
        <v>1</v>
      </c>
      <c r="H3" s="17"/>
      <c r="I3" s="17"/>
      <c r="J3" s="17">
        <v>1</v>
      </c>
      <c r="K3" s="17" t="s">
        <v>38</v>
      </c>
      <c r="L3" s="18" t="s">
        <v>27</v>
      </c>
      <c r="M3" s="18" t="s">
        <v>24</v>
      </c>
      <c r="N3" s="18" t="s">
        <v>25</v>
      </c>
      <c r="O3" s="18" t="s">
        <v>25</v>
      </c>
      <c r="P3" s="18">
        <v>50</v>
      </c>
      <c r="Q3" s="18">
        <v>0.5</v>
      </c>
      <c r="R3" s="18">
        <v>0</v>
      </c>
      <c r="S3" s="18">
        <v>0.5</v>
      </c>
    </row>
    <row r="4" spans="1:21" ht="14.4" x14ac:dyDescent="0.3">
      <c r="A4" s="17" t="s">
        <v>94</v>
      </c>
      <c r="B4" s="17" t="s">
        <v>341</v>
      </c>
      <c r="C4" s="17" t="s">
        <v>62</v>
      </c>
      <c r="D4" s="17"/>
      <c r="E4" s="17"/>
      <c r="F4" s="17"/>
      <c r="G4" s="17"/>
      <c r="H4" s="17"/>
      <c r="I4" s="17">
        <v>1</v>
      </c>
      <c r="J4" s="17">
        <v>1</v>
      </c>
      <c r="K4" s="17" t="s">
        <v>38</v>
      </c>
      <c r="L4" s="18" t="s">
        <v>27</v>
      </c>
      <c r="M4" s="18" t="s">
        <v>28</v>
      </c>
      <c r="N4" s="18" t="s">
        <v>25</v>
      </c>
      <c r="O4" s="18" t="s">
        <v>25</v>
      </c>
      <c r="P4" s="18">
        <v>80</v>
      </c>
      <c r="Q4" s="18">
        <v>0.2</v>
      </c>
      <c r="R4" s="18">
        <v>0</v>
      </c>
      <c r="S4" s="18">
        <v>0.8</v>
      </c>
    </row>
    <row r="5" spans="1:21" ht="14.4" x14ac:dyDescent="0.3">
      <c r="A5" s="17" t="s">
        <v>259</v>
      </c>
      <c r="B5" s="17" t="s">
        <v>342</v>
      </c>
      <c r="C5" s="17" t="s">
        <v>63</v>
      </c>
      <c r="D5" s="17">
        <v>1</v>
      </c>
      <c r="E5" s="17"/>
      <c r="F5" s="17"/>
      <c r="G5" s="17"/>
      <c r="H5" s="17"/>
      <c r="I5" s="17"/>
      <c r="J5" s="17">
        <v>1</v>
      </c>
      <c r="K5" s="17" t="s">
        <v>38</v>
      </c>
      <c r="L5" s="18" t="s">
        <v>27</v>
      </c>
      <c r="M5" s="18" t="s">
        <v>28</v>
      </c>
      <c r="N5" s="18" t="s">
        <v>25</v>
      </c>
      <c r="O5" s="18" t="s">
        <v>25</v>
      </c>
      <c r="P5" s="18">
        <v>80</v>
      </c>
      <c r="Q5" s="18">
        <v>0.2</v>
      </c>
      <c r="R5" s="18">
        <v>0</v>
      </c>
      <c r="S5" s="18">
        <v>0.8</v>
      </c>
    </row>
    <row r="6" spans="1:21" ht="14.4" x14ac:dyDescent="0.3">
      <c r="A6" s="17" t="s">
        <v>141</v>
      </c>
      <c r="B6" s="17" t="s">
        <v>343</v>
      </c>
      <c r="C6" s="17" t="s">
        <v>260</v>
      </c>
      <c r="D6" s="17"/>
      <c r="E6" s="17"/>
      <c r="F6" s="17"/>
      <c r="G6" s="17"/>
      <c r="H6" s="17"/>
      <c r="I6" s="17">
        <v>1</v>
      </c>
      <c r="J6" s="17">
        <v>1</v>
      </c>
      <c r="K6" s="17" t="s">
        <v>38</v>
      </c>
      <c r="L6" s="18" t="s">
        <v>27</v>
      </c>
      <c r="M6" s="18" t="s">
        <v>24</v>
      </c>
      <c r="N6" s="18" t="s">
        <v>25</v>
      </c>
      <c r="O6" s="18" t="s">
        <v>25</v>
      </c>
      <c r="P6" s="18">
        <v>50</v>
      </c>
      <c r="Q6" s="18">
        <v>0.5</v>
      </c>
      <c r="R6" s="18">
        <v>0</v>
      </c>
      <c r="S6" s="18">
        <v>0.5</v>
      </c>
    </row>
    <row r="7" spans="1:21" ht="14.4" x14ac:dyDescent="0.3">
      <c r="A7" s="17" t="s">
        <v>91</v>
      </c>
      <c r="B7" s="17" t="s">
        <v>344</v>
      </c>
      <c r="C7" s="17" t="s">
        <v>62</v>
      </c>
      <c r="D7" s="17"/>
      <c r="E7" s="17"/>
      <c r="F7" s="17">
        <v>1</v>
      </c>
      <c r="G7" s="17"/>
      <c r="H7" s="17"/>
      <c r="I7" s="17"/>
      <c r="J7" s="17">
        <v>1</v>
      </c>
      <c r="K7" s="17" t="s">
        <v>38</v>
      </c>
      <c r="L7" s="18" t="s">
        <v>27</v>
      </c>
      <c r="M7" s="18" t="s">
        <v>24</v>
      </c>
      <c r="N7" s="18" t="s">
        <v>25</v>
      </c>
      <c r="O7" s="18" t="s">
        <v>25</v>
      </c>
      <c r="P7" s="18">
        <v>50</v>
      </c>
      <c r="Q7" s="18">
        <v>0.5</v>
      </c>
      <c r="R7" s="18">
        <v>0</v>
      </c>
      <c r="S7" s="18">
        <v>0.5</v>
      </c>
    </row>
    <row r="8" spans="1:21" ht="14.4" x14ac:dyDescent="0.3">
      <c r="A8" s="17" t="s">
        <v>73</v>
      </c>
      <c r="B8" s="17" t="s">
        <v>345</v>
      </c>
      <c r="C8" s="17" t="s">
        <v>62</v>
      </c>
      <c r="D8" s="17"/>
      <c r="E8" s="17"/>
      <c r="F8" s="17"/>
      <c r="G8" s="17"/>
      <c r="H8" s="17">
        <v>1</v>
      </c>
      <c r="I8" s="17"/>
      <c r="J8" s="17">
        <v>1</v>
      </c>
      <c r="K8" s="17" t="s">
        <v>38</v>
      </c>
      <c r="L8" s="18" t="s">
        <v>27</v>
      </c>
      <c r="M8" s="18" t="s">
        <v>28</v>
      </c>
      <c r="N8" s="18" t="s">
        <v>25</v>
      </c>
      <c r="O8" s="18" t="s">
        <v>25</v>
      </c>
      <c r="P8" s="18">
        <v>80</v>
      </c>
      <c r="Q8" s="18">
        <v>0.2</v>
      </c>
      <c r="R8" s="18">
        <v>0</v>
      </c>
      <c r="S8" s="18">
        <v>0.8</v>
      </c>
    </row>
    <row r="9" spans="1:21" ht="14.4" x14ac:dyDescent="0.3">
      <c r="A9" s="17" t="s">
        <v>84</v>
      </c>
      <c r="B9" s="17" t="s">
        <v>346</v>
      </c>
      <c r="C9" s="17" t="s">
        <v>62</v>
      </c>
      <c r="D9" s="17"/>
      <c r="E9" s="17"/>
      <c r="F9" s="17">
        <v>1</v>
      </c>
      <c r="G9" s="17"/>
      <c r="H9" s="17"/>
      <c r="I9" s="17"/>
      <c r="J9" s="17">
        <v>1</v>
      </c>
      <c r="K9" s="17" t="s">
        <v>38</v>
      </c>
      <c r="L9" s="18" t="s">
        <v>27</v>
      </c>
      <c r="M9" s="18" t="s">
        <v>28</v>
      </c>
      <c r="N9" s="18" t="s">
        <v>25</v>
      </c>
      <c r="O9" s="18" t="s">
        <v>25</v>
      </c>
      <c r="P9" s="18">
        <v>80</v>
      </c>
      <c r="Q9" s="18">
        <v>0.2</v>
      </c>
      <c r="R9" s="18">
        <v>0</v>
      </c>
      <c r="S9" s="18">
        <v>0.8</v>
      </c>
    </row>
    <row r="10" spans="1:21" ht="14.4" x14ac:dyDescent="0.3">
      <c r="A10" s="17" t="s">
        <v>78</v>
      </c>
      <c r="B10" s="17" t="s">
        <v>347</v>
      </c>
      <c r="C10" s="17" t="s">
        <v>62</v>
      </c>
      <c r="D10" s="17"/>
      <c r="E10" s="17">
        <v>1</v>
      </c>
      <c r="F10" s="17"/>
      <c r="G10" s="17"/>
      <c r="H10" s="17"/>
      <c r="I10" s="17"/>
      <c r="J10" s="17">
        <v>1</v>
      </c>
      <c r="K10" s="17" t="s">
        <v>38</v>
      </c>
      <c r="L10" s="18" t="s">
        <v>29</v>
      </c>
      <c r="M10" s="18" t="s">
        <v>24</v>
      </c>
      <c r="N10" s="18" t="s">
        <v>25</v>
      </c>
      <c r="O10" s="18" t="s">
        <v>25</v>
      </c>
      <c r="P10" s="18">
        <v>50</v>
      </c>
      <c r="Q10" s="18">
        <v>0.5</v>
      </c>
      <c r="R10" s="18">
        <v>0</v>
      </c>
      <c r="S10" s="18">
        <v>0.5</v>
      </c>
    </row>
    <row r="11" spans="1:21" ht="14.4" x14ac:dyDescent="0.3">
      <c r="A11" s="17" t="s">
        <v>65</v>
      </c>
      <c r="B11" s="17" t="s">
        <v>348</v>
      </c>
      <c r="C11" s="17" t="s">
        <v>62</v>
      </c>
      <c r="D11" s="17">
        <v>1</v>
      </c>
      <c r="E11" s="17"/>
      <c r="F11" s="17"/>
      <c r="G11" s="17"/>
      <c r="H11" s="17"/>
      <c r="I11" s="17"/>
      <c r="J11" s="17">
        <v>1</v>
      </c>
      <c r="K11" s="17" t="s">
        <v>38</v>
      </c>
      <c r="L11" s="18" t="s">
        <v>29</v>
      </c>
      <c r="M11" s="18" t="s">
        <v>28</v>
      </c>
      <c r="N11" s="18" t="s">
        <v>25</v>
      </c>
      <c r="O11" s="18" t="s">
        <v>25</v>
      </c>
      <c r="P11" s="18">
        <v>80</v>
      </c>
      <c r="Q11" s="18">
        <v>0.2</v>
      </c>
      <c r="R11" s="18">
        <v>0</v>
      </c>
      <c r="S11" s="18">
        <v>0.8</v>
      </c>
    </row>
    <row r="12" spans="1:21" ht="14.4" x14ac:dyDescent="0.3">
      <c r="A12" s="17" t="s">
        <v>83</v>
      </c>
      <c r="B12" s="17" t="s">
        <v>349</v>
      </c>
      <c r="C12" s="17" t="s">
        <v>62</v>
      </c>
      <c r="D12" s="17"/>
      <c r="E12" s="17"/>
      <c r="F12" s="17">
        <v>1</v>
      </c>
      <c r="G12" s="17"/>
      <c r="H12" s="17"/>
      <c r="I12" s="17"/>
      <c r="J12" s="17">
        <v>1</v>
      </c>
      <c r="K12" s="17" t="s">
        <v>38</v>
      </c>
      <c r="L12" s="18" t="s">
        <v>29</v>
      </c>
      <c r="M12" s="18" t="s">
        <v>24</v>
      </c>
      <c r="N12" s="18" t="s">
        <v>25</v>
      </c>
      <c r="O12" s="18" t="s">
        <v>25</v>
      </c>
      <c r="P12" s="18">
        <v>50</v>
      </c>
      <c r="Q12" s="18">
        <v>0.5</v>
      </c>
      <c r="R12" s="18">
        <v>0</v>
      </c>
      <c r="S12" s="18">
        <v>0.5</v>
      </c>
    </row>
    <row r="13" spans="1:21" ht="14.4" x14ac:dyDescent="0.3">
      <c r="A13" s="36" t="s">
        <v>93</v>
      </c>
      <c r="B13" s="36" t="s">
        <v>350</v>
      </c>
      <c r="C13" s="37" t="s">
        <v>62</v>
      </c>
      <c r="D13" s="36">
        <v>1</v>
      </c>
      <c r="E13" s="36"/>
      <c r="F13" s="36"/>
      <c r="G13" s="36"/>
      <c r="H13" s="36"/>
      <c r="I13" s="36"/>
      <c r="J13" s="17">
        <v>1</v>
      </c>
      <c r="K13" s="17" t="s">
        <v>38</v>
      </c>
      <c r="L13" s="18" t="s">
        <v>29</v>
      </c>
      <c r="M13" s="18" t="s">
        <v>28</v>
      </c>
      <c r="N13" s="18" t="s">
        <v>25</v>
      </c>
      <c r="O13" s="18" t="s">
        <v>25</v>
      </c>
      <c r="P13" s="18">
        <v>80</v>
      </c>
      <c r="Q13" s="18">
        <v>0.2</v>
      </c>
      <c r="R13" s="18">
        <v>0</v>
      </c>
      <c r="S13" s="18">
        <v>0.8</v>
      </c>
    </row>
    <row r="14" spans="1:21" ht="14.4" x14ac:dyDescent="0.3">
      <c r="A14" s="17" t="s">
        <v>142</v>
      </c>
      <c r="B14" s="17" t="s">
        <v>351</v>
      </c>
      <c r="C14" s="17" t="s">
        <v>63</v>
      </c>
      <c r="D14" s="17"/>
      <c r="E14" s="17"/>
      <c r="F14" s="17">
        <v>1</v>
      </c>
      <c r="G14" s="17"/>
      <c r="H14" s="17"/>
      <c r="I14" s="17"/>
      <c r="J14" s="17">
        <v>1</v>
      </c>
      <c r="K14" s="17" t="s">
        <v>38</v>
      </c>
      <c r="L14" s="18" t="s">
        <v>27</v>
      </c>
      <c r="M14" s="18" t="s">
        <v>28</v>
      </c>
      <c r="N14" s="18" t="s">
        <v>25</v>
      </c>
      <c r="O14" s="18" t="s">
        <v>25</v>
      </c>
      <c r="P14" s="18">
        <v>80</v>
      </c>
      <c r="Q14" s="18">
        <v>0.2</v>
      </c>
      <c r="R14" s="18">
        <v>0</v>
      </c>
      <c r="S14" s="18">
        <v>0.8</v>
      </c>
    </row>
    <row r="15" spans="1:21" ht="14.4" x14ac:dyDescent="0.3">
      <c r="A15" s="17" t="s">
        <v>82</v>
      </c>
      <c r="B15" s="17" t="s">
        <v>352</v>
      </c>
      <c r="C15" s="17" t="s">
        <v>62</v>
      </c>
      <c r="D15" s="17">
        <v>1</v>
      </c>
      <c r="E15" s="17">
        <v>1</v>
      </c>
      <c r="F15" s="17"/>
      <c r="G15" s="17"/>
      <c r="H15" s="17"/>
      <c r="I15" s="17"/>
      <c r="J15" s="17">
        <v>2</v>
      </c>
      <c r="K15" s="17" t="s">
        <v>38</v>
      </c>
      <c r="L15" s="18" t="s">
        <v>27</v>
      </c>
      <c r="M15" s="18" t="s">
        <v>28</v>
      </c>
      <c r="N15" s="18" t="s">
        <v>25</v>
      </c>
      <c r="O15" s="18" t="s">
        <v>25</v>
      </c>
      <c r="P15" s="18">
        <v>80</v>
      </c>
      <c r="Q15" s="18">
        <v>0.4</v>
      </c>
      <c r="R15" s="18">
        <v>0</v>
      </c>
      <c r="S15" s="18">
        <v>1.6</v>
      </c>
    </row>
    <row r="16" spans="1:21" ht="14.4" x14ac:dyDescent="0.3">
      <c r="A16" s="17" t="s">
        <v>95</v>
      </c>
      <c r="B16" s="17" t="s">
        <v>353</v>
      </c>
      <c r="C16" s="17" t="s">
        <v>62</v>
      </c>
      <c r="D16" s="17"/>
      <c r="E16" s="17"/>
      <c r="F16" s="17"/>
      <c r="G16" s="17"/>
      <c r="H16" s="17">
        <v>1</v>
      </c>
      <c r="I16" s="17"/>
      <c r="J16" s="17">
        <v>1</v>
      </c>
      <c r="K16" s="17" t="s">
        <v>38</v>
      </c>
      <c r="L16" s="18" t="s">
        <v>29</v>
      </c>
      <c r="M16" s="18" t="s">
        <v>24</v>
      </c>
      <c r="N16" s="18" t="s">
        <v>25</v>
      </c>
      <c r="O16" s="18" t="s">
        <v>25</v>
      </c>
      <c r="P16" s="18">
        <v>50</v>
      </c>
      <c r="Q16" s="18">
        <v>0.5</v>
      </c>
      <c r="R16" s="18">
        <v>0</v>
      </c>
      <c r="S16" s="18">
        <v>0.5</v>
      </c>
    </row>
    <row r="17" spans="1:19" ht="14.4" x14ac:dyDescent="0.3">
      <c r="A17" s="17" t="s">
        <v>86</v>
      </c>
      <c r="B17" s="17" t="s">
        <v>354</v>
      </c>
      <c r="C17" s="17" t="s">
        <v>62</v>
      </c>
      <c r="D17" s="17"/>
      <c r="E17" s="17"/>
      <c r="F17" s="17"/>
      <c r="G17" s="17"/>
      <c r="H17" s="17">
        <v>1</v>
      </c>
      <c r="I17" s="17"/>
      <c r="J17" s="17">
        <v>1</v>
      </c>
      <c r="K17" s="17" t="s">
        <v>38</v>
      </c>
      <c r="L17" s="18" t="s">
        <v>27</v>
      </c>
      <c r="M17" s="18" t="s">
        <v>24</v>
      </c>
      <c r="N17" s="18" t="s">
        <v>25</v>
      </c>
      <c r="O17" s="18" t="s">
        <v>25</v>
      </c>
      <c r="P17" s="18">
        <v>50</v>
      </c>
      <c r="Q17" s="18">
        <v>0.5</v>
      </c>
      <c r="R17" s="18">
        <v>0</v>
      </c>
      <c r="S17" s="18">
        <v>0.5</v>
      </c>
    </row>
    <row r="18" spans="1:19" ht="14.4" x14ac:dyDescent="0.3">
      <c r="A18" s="17" t="s">
        <v>85</v>
      </c>
      <c r="B18" s="17" t="s">
        <v>355</v>
      </c>
      <c r="C18" s="17" t="s">
        <v>62</v>
      </c>
      <c r="D18" s="17"/>
      <c r="E18" s="17"/>
      <c r="F18" s="17"/>
      <c r="G18" s="17">
        <v>1</v>
      </c>
      <c r="H18" s="17"/>
      <c r="I18" s="17"/>
      <c r="J18" s="17">
        <v>1</v>
      </c>
      <c r="K18" s="17" t="s">
        <v>38</v>
      </c>
      <c r="L18" s="18" t="s">
        <v>27</v>
      </c>
      <c r="M18" s="18" t="s">
        <v>28</v>
      </c>
      <c r="N18" s="18" t="s">
        <v>25</v>
      </c>
      <c r="O18" s="18" t="s">
        <v>25</v>
      </c>
      <c r="P18" s="18">
        <v>80</v>
      </c>
      <c r="Q18" s="18">
        <v>0.2</v>
      </c>
      <c r="R18" s="18">
        <v>0</v>
      </c>
      <c r="S18" s="18">
        <v>0.8</v>
      </c>
    </row>
    <row r="19" spans="1:19" ht="14.4" x14ac:dyDescent="0.3">
      <c r="A19" s="17" t="s">
        <v>68</v>
      </c>
      <c r="B19" s="17" t="s">
        <v>356</v>
      </c>
      <c r="C19" s="17" t="s">
        <v>62</v>
      </c>
      <c r="D19" s="17"/>
      <c r="E19" s="17">
        <v>2</v>
      </c>
      <c r="F19" s="17"/>
      <c r="G19" s="17"/>
      <c r="H19" s="17"/>
      <c r="I19" s="17"/>
      <c r="J19" s="17">
        <v>2</v>
      </c>
      <c r="K19" s="17" t="s">
        <v>38</v>
      </c>
      <c r="L19" s="18" t="s">
        <v>27</v>
      </c>
      <c r="M19" s="18" t="s">
        <v>28</v>
      </c>
      <c r="N19" s="18" t="s">
        <v>25</v>
      </c>
      <c r="O19" s="18" t="s">
        <v>25</v>
      </c>
      <c r="P19" s="18">
        <v>80</v>
      </c>
      <c r="Q19" s="18">
        <v>0.4</v>
      </c>
      <c r="R19" s="18">
        <v>0</v>
      </c>
      <c r="S19" s="18">
        <v>1.6</v>
      </c>
    </row>
    <row r="20" spans="1:19" ht="14.4" x14ac:dyDescent="0.3">
      <c r="A20" s="17" t="s">
        <v>69</v>
      </c>
      <c r="B20" s="17" t="s">
        <v>357</v>
      </c>
      <c r="C20" s="17" t="s">
        <v>62</v>
      </c>
      <c r="D20" s="17"/>
      <c r="E20" s="17"/>
      <c r="F20" s="17">
        <v>1</v>
      </c>
      <c r="G20" s="17"/>
      <c r="H20" s="17"/>
      <c r="I20" s="17"/>
      <c r="J20" s="17">
        <v>1</v>
      </c>
      <c r="K20" s="17" t="s">
        <v>38</v>
      </c>
      <c r="L20" s="18" t="s">
        <v>27</v>
      </c>
      <c r="M20" s="18" t="s">
        <v>28</v>
      </c>
      <c r="N20" s="18" t="s">
        <v>25</v>
      </c>
      <c r="O20" s="18" t="s">
        <v>25</v>
      </c>
      <c r="P20" s="18">
        <v>80</v>
      </c>
      <c r="Q20" s="18">
        <v>0.2</v>
      </c>
      <c r="R20" s="18">
        <v>0</v>
      </c>
      <c r="S20" s="18">
        <v>0.8</v>
      </c>
    </row>
    <row r="21" spans="1:19" ht="14.4" x14ac:dyDescent="0.3">
      <c r="A21" s="17" t="s">
        <v>143</v>
      </c>
      <c r="B21" s="17" t="s">
        <v>358</v>
      </c>
      <c r="C21" s="17" t="s">
        <v>260</v>
      </c>
      <c r="D21" s="17"/>
      <c r="E21" s="17"/>
      <c r="F21" s="17"/>
      <c r="G21" s="17"/>
      <c r="H21" s="17"/>
      <c r="I21" s="17">
        <v>1</v>
      </c>
      <c r="J21" s="17">
        <v>1</v>
      </c>
      <c r="K21" s="17" t="s">
        <v>38</v>
      </c>
      <c r="L21" s="18" t="s">
        <v>27</v>
      </c>
      <c r="M21" s="18" t="s">
        <v>28</v>
      </c>
      <c r="N21" s="18" t="s">
        <v>25</v>
      </c>
      <c r="O21" s="18" t="s">
        <v>25</v>
      </c>
      <c r="P21" s="18">
        <v>80</v>
      </c>
      <c r="Q21" s="18">
        <v>0.2</v>
      </c>
      <c r="R21" s="18">
        <v>0</v>
      </c>
      <c r="S21" s="18">
        <v>0.8</v>
      </c>
    </row>
    <row r="22" spans="1:19" ht="14.4" x14ac:dyDescent="0.3">
      <c r="A22" s="17" t="s">
        <v>144</v>
      </c>
      <c r="B22" s="17" t="s">
        <v>359</v>
      </c>
      <c r="C22" s="17" t="s">
        <v>63</v>
      </c>
      <c r="D22" s="17"/>
      <c r="E22" s="17"/>
      <c r="F22" s="17"/>
      <c r="G22" s="17"/>
      <c r="H22" s="17"/>
      <c r="I22" s="17">
        <v>1</v>
      </c>
      <c r="J22" s="17">
        <v>1</v>
      </c>
      <c r="K22" s="17" t="s">
        <v>38</v>
      </c>
      <c r="L22" s="18" t="s">
        <v>261</v>
      </c>
      <c r="M22" s="18" t="s">
        <v>262</v>
      </c>
      <c r="N22" s="18" t="s">
        <v>25</v>
      </c>
      <c r="O22" s="18" t="s">
        <v>25</v>
      </c>
      <c r="P22" s="18">
        <v>60</v>
      </c>
      <c r="Q22" s="18">
        <v>0.4</v>
      </c>
      <c r="R22" s="18">
        <v>0</v>
      </c>
      <c r="S22" s="18">
        <v>0.6</v>
      </c>
    </row>
    <row r="23" spans="1:19" ht="14.4" x14ac:dyDescent="0.3">
      <c r="A23" s="17" t="s">
        <v>263</v>
      </c>
      <c r="B23" s="17" t="s">
        <v>360</v>
      </c>
      <c r="C23" s="17" t="s">
        <v>62</v>
      </c>
      <c r="D23" s="17"/>
      <c r="E23" s="17"/>
      <c r="F23" s="17"/>
      <c r="G23" s="17"/>
      <c r="H23" s="17">
        <v>1</v>
      </c>
      <c r="I23" s="17"/>
      <c r="J23" s="17">
        <v>1</v>
      </c>
      <c r="K23" s="17" t="s">
        <v>38</v>
      </c>
      <c r="L23" s="18" t="s">
        <v>27</v>
      </c>
      <c r="M23" s="18" t="s">
        <v>24</v>
      </c>
      <c r="N23" s="18" t="s">
        <v>25</v>
      </c>
      <c r="O23" s="18" t="s">
        <v>25</v>
      </c>
      <c r="P23" s="18">
        <v>50</v>
      </c>
      <c r="Q23" s="18">
        <v>0.5</v>
      </c>
      <c r="R23" s="18">
        <v>0</v>
      </c>
      <c r="S23" s="18">
        <v>0.5</v>
      </c>
    </row>
    <row r="24" spans="1:19" ht="14.4" x14ac:dyDescent="0.3">
      <c r="A24" s="17" t="s">
        <v>145</v>
      </c>
      <c r="B24" s="17" t="s">
        <v>361</v>
      </c>
      <c r="C24" s="17" t="s">
        <v>62</v>
      </c>
      <c r="D24" s="17"/>
      <c r="E24" s="17"/>
      <c r="F24" s="17">
        <v>1</v>
      </c>
      <c r="G24" s="17"/>
      <c r="H24" s="17"/>
      <c r="I24" s="17"/>
      <c r="J24" s="17">
        <v>1</v>
      </c>
      <c r="K24" s="17" t="s">
        <v>38</v>
      </c>
      <c r="L24" s="18" t="s">
        <v>27</v>
      </c>
      <c r="M24" s="18" t="s">
        <v>28</v>
      </c>
      <c r="N24" s="18" t="s">
        <v>25</v>
      </c>
      <c r="O24" s="18" t="s">
        <v>25</v>
      </c>
      <c r="P24" s="18">
        <v>80</v>
      </c>
      <c r="Q24" s="18">
        <v>0.2</v>
      </c>
      <c r="R24" s="18">
        <v>0</v>
      </c>
      <c r="S24" s="18">
        <v>0.8</v>
      </c>
    </row>
    <row r="25" spans="1:19" ht="14.4" x14ac:dyDescent="0.3">
      <c r="A25" s="17" t="s">
        <v>72</v>
      </c>
      <c r="B25" s="17" t="s">
        <v>362</v>
      </c>
      <c r="C25" s="17" t="s">
        <v>62</v>
      </c>
      <c r="D25" s="17"/>
      <c r="E25" s="17"/>
      <c r="F25" s="17"/>
      <c r="G25" s="17"/>
      <c r="H25" s="17"/>
      <c r="I25" s="17">
        <v>1</v>
      </c>
      <c r="J25" s="17">
        <v>1</v>
      </c>
      <c r="K25" s="17" t="s">
        <v>38</v>
      </c>
      <c r="L25" s="18" t="s">
        <v>27</v>
      </c>
      <c r="M25" s="18" t="s">
        <v>24</v>
      </c>
      <c r="N25" s="18" t="s">
        <v>25</v>
      </c>
      <c r="O25" s="18" t="s">
        <v>25</v>
      </c>
      <c r="P25" s="18">
        <v>50</v>
      </c>
      <c r="Q25" s="18">
        <v>0.5</v>
      </c>
      <c r="R25" s="18">
        <v>0</v>
      </c>
      <c r="S25" s="18">
        <v>0.5</v>
      </c>
    </row>
    <row r="26" spans="1:19" ht="14.4" x14ac:dyDescent="0.3">
      <c r="A26" s="17" t="s">
        <v>74</v>
      </c>
      <c r="B26" s="17" t="s">
        <v>363</v>
      </c>
      <c r="C26" s="17" t="s">
        <v>62</v>
      </c>
      <c r="D26" s="17">
        <v>1</v>
      </c>
      <c r="E26" s="17"/>
      <c r="F26" s="17"/>
      <c r="G26" s="17"/>
      <c r="H26" s="17"/>
      <c r="I26" s="17"/>
      <c r="J26" s="17">
        <v>1</v>
      </c>
      <c r="K26" s="17" t="s">
        <v>38</v>
      </c>
      <c r="L26" s="18">
        <v>0</v>
      </c>
      <c r="M26" s="18">
        <v>0</v>
      </c>
      <c r="N26" s="18" t="s">
        <v>25</v>
      </c>
      <c r="O26" s="18" t="s">
        <v>25</v>
      </c>
      <c r="P26" s="18">
        <v>100</v>
      </c>
      <c r="Q26" s="18">
        <v>0</v>
      </c>
      <c r="R26" s="18">
        <v>0</v>
      </c>
      <c r="S26" s="18">
        <v>1</v>
      </c>
    </row>
    <row r="27" spans="1:19" ht="14.4" x14ac:dyDescent="0.3">
      <c r="A27" s="17" t="s">
        <v>187</v>
      </c>
      <c r="B27" s="17" t="s">
        <v>364</v>
      </c>
      <c r="C27" s="17" t="s">
        <v>62</v>
      </c>
      <c r="D27" s="17"/>
      <c r="E27" s="17"/>
      <c r="F27" s="17"/>
      <c r="G27" s="17"/>
      <c r="H27" s="17">
        <v>1</v>
      </c>
      <c r="I27" s="17"/>
      <c r="J27" s="17">
        <v>1</v>
      </c>
      <c r="K27" s="17" t="s">
        <v>38</v>
      </c>
      <c r="L27" s="18" t="s">
        <v>27</v>
      </c>
      <c r="M27" s="18" t="s">
        <v>24</v>
      </c>
      <c r="N27" s="18" t="s">
        <v>25</v>
      </c>
      <c r="O27" s="18" t="s">
        <v>25</v>
      </c>
      <c r="P27" s="18">
        <v>50</v>
      </c>
      <c r="Q27" s="18">
        <v>0.5</v>
      </c>
      <c r="R27" s="18">
        <v>0</v>
      </c>
      <c r="S27" s="18">
        <v>0.5</v>
      </c>
    </row>
    <row r="28" spans="1:19" ht="14.4" x14ac:dyDescent="0.3">
      <c r="A28" s="17" t="s">
        <v>87</v>
      </c>
      <c r="B28" s="17" t="s">
        <v>365</v>
      </c>
      <c r="C28" s="17" t="s">
        <v>260</v>
      </c>
      <c r="D28" s="17"/>
      <c r="E28" s="17"/>
      <c r="F28" s="17"/>
      <c r="G28" s="17"/>
      <c r="H28" s="17"/>
      <c r="I28" s="17">
        <v>1</v>
      </c>
      <c r="J28" s="17">
        <v>1</v>
      </c>
      <c r="K28" s="17" t="s">
        <v>38</v>
      </c>
      <c r="L28" s="18" t="s">
        <v>27</v>
      </c>
      <c r="M28" s="18" t="s">
        <v>28</v>
      </c>
      <c r="N28" s="18" t="s">
        <v>25</v>
      </c>
      <c r="O28" s="18" t="s">
        <v>25</v>
      </c>
      <c r="P28" s="18">
        <v>80</v>
      </c>
      <c r="Q28" s="18">
        <v>0.2</v>
      </c>
      <c r="R28" s="18">
        <v>0</v>
      </c>
      <c r="S28" s="18">
        <v>0.8</v>
      </c>
    </row>
    <row r="29" spans="1:19" ht="14.4" x14ac:dyDescent="0.3">
      <c r="A29" s="17" t="s">
        <v>64</v>
      </c>
      <c r="B29" s="17" t="s">
        <v>366</v>
      </c>
      <c r="C29" s="17" t="s">
        <v>62</v>
      </c>
      <c r="D29" s="17">
        <v>1</v>
      </c>
      <c r="E29" s="17"/>
      <c r="F29" s="17"/>
      <c r="G29" s="17"/>
      <c r="H29" s="17"/>
      <c r="I29" s="17"/>
      <c r="J29" s="17">
        <v>1</v>
      </c>
      <c r="K29" s="17" t="s">
        <v>38</v>
      </c>
      <c r="L29" s="18" t="s">
        <v>27</v>
      </c>
      <c r="M29" s="18" t="s">
        <v>24</v>
      </c>
      <c r="N29" s="18" t="s">
        <v>25</v>
      </c>
      <c r="O29" s="18" t="s">
        <v>25</v>
      </c>
      <c r="P29" s="18">
        <v>50</v>
      </c>
      <c r="Q29" s="18">
        <v>0.5</v>
      </c>
      <c r="R29" s="18">
        <v>0</v>
      </c>
      <c r="S29" s="18">
        <v>0.5</v>
      </c>
    </row>
    <row r="30" spans="1:19" ht="14.4" x14ac:dyDescent="0.3">
      <c r="A30" s="17" t="s">
        <v>67</v>
      </c>
      <c r="B30" s="17" t="s">
        <v>367</v>
      </c>
      <c r="C30" s="17" t="s">
        <v>62</v>
      </c>
      <c r="D30" s="17"/>
      <c r="E30" s="17">
        <v>2</v>
      </c>
      <c r="F30" s="17">
        <v>1</v>
      </c>
      <c r="G30" s="17"/>
      <c r="H30" s="17"/>
      <c r="I30" s="17"/>
      <c r="J30" s="17">
        <v>3</v>
      </c>
      <c r="K30" s="17" t="s">
        <v>38</v>
      </c>
      <c r="L30" s="18" t="s">
        <v>27</v>
      </c>
      <c r="M30" s="18" t="s">
        <v>28</v>
      </c>
      <c r="N30" s="18" t="s">
        <v>25</v>
      </c>
      <c r="O30" s="18" t="s">
        <v>25</v>
      </c>
      <c r="P30" s="18">
        <v>80</v>
      </c>
      <c r="Q30" s="18">
        <v>0.6</v>
      </c>
      <c r="R30" s="18">
        <v>0</v>
      </c>
      <c r="S30" s="18">
        <v>2.4</v>
      </c>
    </row>
    <row r="31" spans="1:19" ht="14.4" x14ac:dyDescent="0.3">
      <c r="A31" s="17" t="s">
        <v>368</v>
      </c>
      <c r="B31" s="17" t="s">
        <v>369</v>
      </c>
      <c r="C31" s="17" t="s">
        <v>63</v>
      </c>
      <c r="D31" s="17"/>
      <c r="E31" s="17"/>
      <c r="F31" s="17"/>
      <c r="G31" s="17"/>
      <c r="H31" s="17">
        <v>1</v>
      </c>
      <c r="I31" s="17"/>
      <c r="J31" s="17">
        <v>1</v>
      </c>
      <c r="K31" s="17" t="s">
        <v>38</v>
      </c>
      <c r="L31" s="18">
        <v>0</v>
      </c>
      <c r="M31" s="18">
        <v>0</v>
      </c>
      <c r="N31" s="18" t="s">
        <v>25</v>
      </c>
      <c r="O31" s="18" t="s">
        <v>25</v>
      </c>
      <c r="P31" s="18">
        <v>100</v>
      </c>
      <c r="Q31" s="18">
        <v>0</v>
      </c>
      <c r="R31" s="18">
        <v>0</v>
      </c>
      <c r="S31" s="18">
        <v>1</v>
      </c>
    </row>
    <row r="32" spans="1:19" ht="14.4" x14ac:dyDescent="0.3">
      <c r="A32" s="17" t="s">
        <v>81</v>
      </c>
      <c r="B32" s="17" t="s">
        <v>370</v>
      </c>
      <c r="C32" s="17" t="s">
        <v>62</v>
      </c>
      <c r="D32" s="17"/>
      <c r="E32" s="17">
        <v>1</v>
      </c>
      <c r="F32" s="17"/>
      <c r="G32" s="17"/>
      <c r="H32" s="17"/>
      <c r="I32" s="17"/>
      <c r="J32" s="17">
        <v>1</v>
      </c>
      <c r="K32" s="17" t="s">
        <v>38</v>
      </c>
      <c r="L32" s="18" t="s">
        <v>27</v>
      </c>
      <c r="M32" s="18" t="s">
        <v>28</v>
      </c>
      <c r="N32" s="18" t="s">
        <v>25</v>
      </c>
      <c r="O32" s="18" t="s">
        <v>25</v>
      </c>
      <c r="P32" s="18">
        <v>80</v>
      </c>
      <c r="Q32" s="18">
        <v>0.2</v>
      </c>
      <c r="R32" s="18">
        <v>0</v>
      </c>
      <c r="S32" s="18">
        <v>0.8</v>
      </c>
    </row>
    <row r="33" spans="1:19" ht="14.4" x14ac:dyDescent="0.3">
      <c r="A33" s="17" t="s">
        <v>371</v>
      </c>
      <c r="B33" s="17" t="s">
        <v>372</v>
      </c>
      <c r="C33" s="17" t="s">
        <v>62</v>
      </c>
      <c r="D33" s="17"/>
      <c r="E33" s="17"/>
      <c r="F33" s="17"/>
      <c r="G33" s="17"/>
      <c r="H33" s="17"/>
      <c r="I33" s="17">
        <v>2</v>
      </c>
      <c r="J33" s="17">
        <v>2</v>
      </c>
      <c r="K33" s="17" t="s">
        <v>38</v>
      </c>
      <c r="L33" s="18">
        <v>0</v>
      </c>
      <c r="M33" s="18">
        <v>0</v>
      </c>
      <c r="N33" s="18" t="s">
        <v>25</v>
      </c>
      <c r="O33" s="18" t="s">
        <v>25</v>
      </c>
      <c r="P33" s="18">
        <v>100</v>
      </c>
      <c r="Q33" s="18">
        <v>0</v>
      </c>
      <c r="R33" s="18">
        <v>0</v>
      </c>
      <c r="S33" s="18">
        <v>2</v>
      </c>
    </row>
    <row r="34" spans="1:19" ht="14.4" x14ac:dyDescent="0.3">
      <c r="A34" s="17" t="s">
        <v>88</v>
      </c>
      <c r="B34" s="17" t="s">
        <v>373</v>
      </c>
      <c r="C34" s="17" t="s">
        <v>62</v>
      </c>
      <c r="D34" s="17">
        <v>1</v>
      </c>
      <c r="E34" s="17"/>
      <c r="F34" s="17"/>
      <c r="G34" s="17"/>
      <c r="H34" s="17"/>
      <c r="I34" s="17"/>
      <c r="J34" s="17">
        <v>1</v>
      </c>
      <c r="K34" s="17" t="s">
        <v>38</v>
      </c>
      <c r="L34" s="18" t="s">
        <v>27</v>
      </c>
      <c r="M34" s="18" t="s">
        <v>24</v>
      </c>
      <c r="N34" s="18" t="s">
        <v>25</v>
      </c>
      <c r="O34" s="18" t="s">
        <v>25</v>
      </c>
      <c r="P34" s="18">
        <v>50</v>
      </c>
      <c r="Q34" s="18">
        <v>0.5</v>
      </c>
      <c r="R34" s="18">
        <v>0</v>
      </c>
      <c r="S34" s="18">
        <v>0.5</v>
      </c>
    </row>
    <row r="35" spans="1:19" ht="14.4" x14ac:dyDescent="0.3">
      <c r="A35" s="17" t="s">
        <v>75</v>
      </c>
      <c r="B35" s="17" t="s">
        <v>374</v>
      </c>
      <c r="C35" s="17" t="s">
        <v>62</v>
      </c>
      <c r="D35" s="17"/>
      <c r="E35" s="17"/>
      <c r="F35" s="17"/>
      <c r="G35" s="17"/>
      <c r="H35" s="17">
        <v>1</v>
      </c>
      <c r="I35" s="17"/>
      <c r="J35" s="17">
        <v>1</v>
      </c>
      <c r="K35" s="17" t="s">
        <v>38</v>
      </c>
      <c r="L35" s="18" t="s">
        <v>27</v>
      </c>
      <c r="M35" s="18" t="s">
        <v>28</v>
      </c>
      <c r="N35" s="18" t="s">
        <v>25</v>
      </c>
      <c r="O35" s="18" t="s">
        <v>25</v>
      </c>
      <c r="P35" s="18">
        <v>80</v>
      </c>
      <c r="Q35" s="18">
        <v>0.2</v>
      </c>
      <c r="R35" s="18">
        <v>0</v>
      </c>
      <c r="S35" s="18">
        <v>0.8</v>
      </c>
    </row>
    <row r="36" spans="1:19" ht="14.4" x14ac:dyDescent="0.3">
      <c r="A36" s="17" t="s">
        <v>71</v>
      </c>
      <c r="B36" s="17" t="s">
        <v>375</v>
      </c>
      <c r="C36" s="17" t="s">
        <v>62</v>
      </c>
      <c r="D36" s="17"/>
      <c r="E36" s="17"/>
      <c r="F36" s="17">
        <v>1</v>
      </c>
      <c r="G36" s="17"/>
      <c r="H36" s="17"/>
      <c r="I36" s="17"/>
      <c r="J36" s="17">
        <v>1</v>
      </c>
      <c r="K36" s="17" t="s">
        <v>38</v>
      </c>
      <c r="L36" s="18" t="s">
        <v>29</v>
      </c>
      <c r="M36" s="18" t="s">
        <v>28</v>
      </c>
      <c r="N36" s="18" t="s">
        <v>25</v>
      </c>
      <c r="O36" s="18" t="s">
        <v>25</v>
      </c>
      <c r="P36" s="18">
        <v>80</v>
      </c>
      <c r="Q36" s="18">
        <v>0.2</v>
      </c>
      <c r="R36" s="18">
        <v>0</v>
      </c>
      <c r="S36" s="18">
        <v>0.8</v>
      </c>
    </row>
    <row r="37" spans="1:19" ht="14.4" x14ac:dyDescent="0.3">
      <c r="A37" s="17" t="s">
        <v>76</v>
      </c>
      <c r="B37" s="17" t="s">
        <v>376</v>
      </c>
      <c r="C37" s="17" t="s">
        <v>62</v>
      </c>
      <c r="D37" s="17"/>
      <c r="E37" s="17"/>
      <c r="F37" s="17"/>
      <c r="G37" s="17"/>
      <c r="H37" s="17"/>
      <c r="I37" s="17">
        <v>1</v>
      </c>
      <c r="J37" s="17">
        <v>1</v>
      </c>
      <c r="K37" s="17" t="s">
        <v>38</v>
      </c>
      <c r="L37" s="18" t="s">
        <v>29</v>
      </c>
      <c r="M37" s="18" t="s">
        <v>24</v>
      </c>
      <c r="N37" s="18" t="s">
        <v>25</v>
      </c>
      <c r="O37" s="18" t="s">
        <v>25</v>
      </c>
      <c r="P37" s="18">
        <v>50</v>
      </c>
      <c r="Q37" s="18">
        <v>0.5</v>
      </c>
      <c r="R37" s="18">
        <v>0</v>
      </c>
      <c r="S37" s="18">
        <v>0.5</v>
      </c>
    </row>
    <row r="38" spans="1:19" ht="14.4" x14ac:dyDescent="0.3">
      <c r="A38" s="17" t="s">
        <v>89</v>
      </c>
      <c r="B38" s="17" t="s">
        <v>377</v>
      </c>
      <c r="C38" s="19" t="s">
        <v>260</v>
      </c>
      <c r="D38" s="17"/>
      <c r="E38" s="17"/>
      <c r="F38" s="17"/>
      <c r="G38" s="17"/>
      <c r="H38" s="17"/>
      <c r="I38" s="17">
        <v>1</v>
      </c>
      <c r="J38" s="17">
        <v>1</v>
      </c>
      <c r="K38" s="17" t="s">
        <v>38</v>
      </c>
      <c r="L38" s="18" t="s">
        <v>29</v>
      </c>
      <c r="M38" s="18" t="s">
        <v>28</v>
      </c>
      <c r="N38" s="18" t="s">
        <v>25</v>
      </c>
      <c r="O38" s="18" t="s">
        <v>25</v>
      </c>
      <c r="P38" s="18">
        <v>80</v>
      </c>
      <c r="Q38" s="18">
        <v>0.2</v>
      </c>
      <c r="R38" s="18">
        <v>0</v>
      </c>
      <c r="S38" s="18">
        <v>0.8</v>
      </c>
    </row>
    <row r="39" spans="1:19" ht="14.4" x14ac:dyDescent="0.3">
      <c r="A39" s="17" t="s">
        <v>188</v>
      </c>
      <c r="B39" s="17" t="s">
        <v>378</v>
      </c>
      <c r="C39" s="19" t="s">
        <v>62</v>
      </c>
      <c r="D39" s="17"/>
      <c r="E39" s="17"/>
      <c r="F39" s="17"/>
      <c r="G39" s="17">
        <v>2</v>
      </c>
      <c r="H39" s="17"/>
      <c r="I39" s="17"/>
      <c r="J39" s="17">
        <v>2</v>
      </c>
      <c r="K39" s="17" t="s">
        <v>38</v>
      </c>
      <c r="L39" s="18" t="s">
        <v>27</v>
      </c>
      <c r="M39" s="18" t="s">
        <v>24</v>
      </c>
      <c r="N39" s="18" t="s">
        <v>25</v>
      </c>
      <c r="O39" s="18" t="s">
        <v>25</v>
      </c>
      <c r="P39" s="18">
        <v>50</v>
      </c>
      <c r="Q39" s="18">
        <v>1</v>
      </c>
      <c r="R39" s="18">
        <v>0</v>
      </c>
      <c r="S39" s="18">
        <v>1</v>
      </c>
    </row>
    <row r="40" spans="1:19" ht="14.4" x14ac:dyDescent="0.3">
      <c r="A40" s="17" t="s">
        <v>79</v>
      </c>
      <c r="B40" s="17" t="s">
        <v>379</v>
      </c>
      <c r="C40" s="19" t="s">
        <v>62</v>
      </c>
      <c r="D40" s="17"/>
      <c r="E40" s="17">
        <v>1</v>
      </c>
      <c r="F40" s="17"/>
      <c r="G40" s="17"/>
      <c r="H40" s="17"/>
      <c r="I40" s="17"/>
      <c r="J40" s="17">
        <v>1</v>
      </c>
      <c r="K40" s="17" t="s">
        <v>38</v>
      </c>
      <c r="L40" s="18" t="s">
        <v>29</v>
      </c>
      <c r="M40" s="18" t="s">
        <v>24</v>
      </c>
      <c r="N40" s="18" t="s">
        <v>25</v>
      </c>
      <c r="O40" s="18" t="s">
        <v>25</v>
      </c>
      <c r="P40" s="18">
        <v>50</v>
      </c>
      <c r="Q40" s="18">
        <v>0.5</v>
      </c>
      <c r="R40" s="18">
        <v>0</v>
      </c>
      <c r="S40" s="18">
        <v>0.5</v>
      </c>
    </row>
    <row r="41" spans="1:19" ht="14.4" x14ac:dyDescent="0.3">
      <c r="A41" s="17" t="s">
        <v>90</v>
      </c>
      <c r="B41" s="17" t="s">
        <v>380</v>
      </c>
      <c r="C41" s="19" t="s">
        <v>62</v>
      </c>
      <c r="D41" s="17"/>
      <c r="E41" s="17"/>
      <c r="F41" s="17">
        <v>1</v>
      </c>
      <c r="G41" s="17"/>
      <c r="H41" s="17"/>
      <c r="I41" s="17"/>
      <c r="J41" s="17">
        <v>1</v>
      </c>
      <c r="K41" s="17" t="s">
        <v>38</v>
      </c>
      <c r="L41" s="18" t="s">
        <v>27</v>
      </c>
      <c r="M41" s="18" t="s">
        <v>24</v>
      </c>
      <c r="N41" s="18" t="s">
        <v>25</v>
      </c>
      <c r="O41" s="18" t="s">
        <v>25</v>
      </c>
      <c r="P41" s="18">
        <v>50</v>
      </c>
      <c r="Q41" s="18">
        <v>0.5</v>
      </c>
      <c r="R41" s="18">
        <v>0</v>
      </c>
      <c r="S41" s="18">
        <v>0.5</v>
      </c>
    </row>
    <row r="42" spans="1:19" ht="14.4" x14ac:dyDescent="0.3">
      <c r="A42" s="17" t="s">
        <v>189</v>
      </c>
      <c r="B42" s="17" t="s">
        <v>381</v>
      </c>
      <c r="C42" s="19" t="s">
        <v>62</v>
      </c>
      <c r="D42" s="17"/>
      <c r="E42" s="17"/>
      <c r="F42" s="17"/>
      <c r="G42" s="17">
        <v>2</v>
      </c>
      <c r="H42" s="17"/>
      <c r="I42" s="17">
        <v>1</v>
      </c>
      <c r="J42" s="17">
        <v>3</v>
      </c>
      <c r="K42" s="17" t="s">
        <v>38</v>
      </c>
      <c r="L42" s="18" t="s">
        <v>27</v>
      </c>
      <c r="M42" s="18" t="s">
        <v>28</v>
      </c>
      <c r="N42" s="18" t="s">
        <v>25</v>
      </c>
      <c r="O42" s="18" t="s">
        <v>25</v>
      </c>
      <c r="P42" s="18">
        <v>80</v>
      </c>
      <c r="Q42" s="18">
        <v>0.6</v>
      </c>
      <c r="R42" s="18">
        <v>0</v>
      </c>
      <c r="S42" s="18">
        <v>2.4</v>
      </c>
    </row>
    <row r="43" spans="1:19" ht="14.4" x14ac:dyDescent="0.3">
      <c r="A43" s="17" t="s">
        <v>77</v>
      </c>
      <c r="B43" s="17" t="s">
        <v>382</v>
      </c>
      <c r="C43" s="19" t="s">
        <v>62</v>
      </c>
      <c r="D43" s="17"/>
      <c r="E43" s="17"/>
      <c r="F43" s="17"/>
      <c r="G43" s="17"/>
      <c r="H43" s="17"/>
      <c r="I43" s="17">
        <v>1</v>
      </c>
      <c r="J43" s="17">
        <v>1</v>
      </c>
      <c r="K43" s="17" t="s">
        <v>38</v>
      </c>
      <c r="L43" s="18" t="s">
        <v>27</v>
      </c>
      <c r="M43" s="18" t="s">
        <v>28</v>
      </c>
      <c r="N43" s="18" t="s">
        <v>25</v>
      </c>
      <c r="O43" s="18" t="s">
        <v>25</v>
      </c>
      <c r="P43" s="18">
        <v>80</v>
      </c>
      <c r="Q43" s="18">
        <v>0.2</v>
      </c>
      <c r="R43" s="18">
        <v>0</v>
      </c>
      <c r="S43" s="18">
        <v>0.8</v>
      </c>
    </row>
    <row r="44" spans="1:19" ht="14.4" x14ac:dyDescent="0.3">
      <c r="A44" s="36" t="s">
        <v>92</v>
      </c>
      <c r="B44" s="36" t="s">
        <v>383</v>
      </c>
      <c r="C44" s="37" t="s">
        <v>62</v>
      </c>
      <c r="D44" s="36">
        <v>2</v>
      </c>
      <c r="E44" s="36"/>
      <c r="F44" s="36"/>
      <c r="G44" s="36"/>
      <c r="H44" s="36"/>
      <c r="I44" s="36"/>
      <c r="J44" s="36">
        <v>2</v>
      </c>
      <c r="K44" s="17" t="s">
        <v>38</v>
      </c>
      <c r="L44" s="41" t="s">
        <v>27</v>
      </c>
      <c r="M44" s="41" t="s">
        <v>28</v>
      </c>
      <c r="N44" s="41" t="s">
        <v>25</v>
      </c>
      <c r="O44" s="41" t="s">
        <v>25</v>
      </c>
      <c r="P44" s="41">
        <v>80</v>
      </c>
      <c r="Q44" s="41">
        <v>0.4</v>
      </c>
      <c r="R44" s="41">
        <v>0</v>
      </c>
      <c r="S44" s="41">
        <v>1.6</v>
      </c>
    </row>
    <row r="45" spans="1:19" ht="14.4" x14ac:dyDescent="0.3">
      <c r="A45" s="36" t="s">
        <v>190</v>
      </c>
      <c r="B45" s="36" t="s">
        <v>384</v>
      </c>
      <c r="C45" s="37" t="s">
        <v>62</v>
      </c>
      <c r="D45" s="36"/>
      <c r="E45" s="36"/>
      <c r="F45" s="36"/>
      <c r="G45" s="36"/>
      <c r="H45" s="36">
        <v>1</v>
      </c>
      <c r="I45" s="36"/>
      <c r="J45" s="36">
        <v>1</v>
      </c>
      <c r="K45" s="17" t="s">
        <v>38</v>
      </c>
      <c r="L45" s="41" t="s">
        <v>27</v>
      </c>
      <c r="M45" s="41" t="s">
        <v>28</v>
      </c>
      <c r="N45" s="41" t="s">
        <v>25</v>
      </c>
      <c r="O45" s="41" t="s">
        <v>25</v>
      </c>
      <c r="P45" s="41">
        <v>80</v>
      </c>
      <c r="Q45" s="41">
        <v>0.2</v>
      </c>
      <c r="R45" s="41">
        <v>0</v>
      </c>
      <c r="S45" s="41">
        <v>0.8</v>
      </c>
    </row>
    <row r="46" spans="1:19" ht="14.4" x14ac:dyDescent="0.3">
      <c r="A46" s="17" t="s">
        <v>96</v>
      </c>
      <c r="B46" s="17" t="s">
        <v>385</v>
      </c>
      <c r="C46" s="19" t="s">
        <v>62</v>
      </c>
      <c r="D46" s="17"/>
      <c r="E46" s="17">
        <v>1</v>
      </c>
      <c r="F46" s="17"/>
      <c r="G46" s="17"/>
      <c r="H46" s="17">
        <v>1</v>
      </c>
      <c r="I46" s="17"/>
      <c r="J46" s="17">
        <v>2</v>
      </c>
      <c r="K46" s="17" t="s">
        <v>38</v>
      </c>
      <c r="L46" s="41" t="s">
        <v>27</v>
      </c>
      <c r="M46" s="41" t="s">
        <v>28</v>
      </c>
      <c r="N46" s="41" t="s">
        <v>25</v>
      </c>
      <c r="O46" s="41" t="s">
        <v>25</v>
      </c>
      <c r="P46" s="41">
        <v>80</v>
      </c>
      <c r="Q46" s="41">
        <v>0.4</v>
      </c>
      <c r="R46" s="41">
        <v>0</v>
      </c>
      <c r="S46" s="41">
        <v>1.6</v>
      </c>
    </row>
    <row r="47" spans="1:19" ht="14.4" x14ac:dyDescent="0.3">
      <c r="A47" s="17" t="s">
        <v>70</v>
      </c>
      <c r="B47" s="17" t="s">
        <v>386</v>
      </c>
      <c r="C47" s="19" t="s">
        <v>62</v>
      </c>
      <c r="D47" s="17"/>
      <c r="E47" s="17"/>
      <c r="F47" s="17"/>
      <c r="G47" s="17"/>
      <c r="H47" s="17">
        <v>1</v>
      </c>
      <c r="I47" s="17"/>
      <c r="J47" s="17">
        <v>1</v>
      </c>
      <c r="K47" s="17" t="s">
        <v>38</v>
      </c>
      <c r="L47" s="41" t="s">
        <v>27</v>
      </c>
      <c r="M47" s="41" t="s">
        <v>24</v>
      </c>
      <c r="N47" s="41" t="s">
        <v>25</v>
      </c>
      <c r="O47" s="41" t="s">
        <v>25</v>
      </c>
      <c r="P47" s="41">
        <v>50</v>
      </c>
      <c r="Q47" s="41">
        <v>0.5</v>
      </c>
      <c r="R47" s="41">
        <v>0</v>
      </c>
      <c r="S47" s="41">
        <v>0.5</v>
      </c>
    </row>
    <row r="48" spans="1:19" ht="14.4" x14ac:dyDescent="0.3">
      <c r="A48" s="17" t="s">
        <v>80</v>
      </c>
      <c r="B48" s="17" t="s">
        <v>387</v>
      </c>
      <c r="C48" s="19" t="s">
        <v>62</v>
      </c>
      <c r="D48" s="17"/>
      <c r="E48" s="17"/>
      <c r="F48" s="17">
        <v>1</v>
      </c>
      <c r="G48" s="17"/>
      <c r="H48" s="17"/>
      <c r="I48" s="17"/>
      <c r="J48" s="17">
        <v>1</v>
      </c>
      <c r="K48" s="17" t="s">
        <v>38</v>
      </c>
      <c r="L48" s="41" t="s">
        <v>27</v>
      </c>
      <c r="M48" s="41" t="s">
        <v>28</v>
      </c>
      <c r="N48" s="41" t="s">
        <v>25</v>
      </c>
      <c r="O48" s="41" t="s">
        <v>25</v>
      </c>
      <c r="P48" s="41">
        <v>80</v>
      </c>
      <c r="Q48" s="41">
        <v>0.2</v>
      </c>
      <c r="R48" s="41">
        <v>0</v>
      </c>
      <c r="S48" s="41">
        <v>0.8</v>
      </c>
    </row>
    <row r="49" spans="1:19" ht="14.4" x14ac:dyDescent="0.3">
      <c r="A49" s="42"/>
      <c r="B49" s="42"/>
      <c r="C49" s="43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7">
        <f>SUM(S2:S48)</f>
        <v>40.799999999999997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79A5-6156-4596-89D4-7F7BA7502D4F}">
  <dimension ref="A1:C30"/>
  <sheetViews>
    <sheetView workbookViewId="0">
      <selection activeCell="G11" sqref="G11"/>
    </sheetView>
  </sheetViews>
  <sheetFormatPr baseColWidth="10" defaultRowHeight="14.4" x14ac:dyDescent="0.3"/>
  <cols>
    <col min="1" max="1" width="17" customWidth="1"/>
    <col min="2" max="2" width="84.109375" customWidth="1"/>
    <col min="3" max="3" width="16" customWidth="1"/>
  </cols>
  <sheetData>
    <row r="1" spans="1:3" x14ac:dyDescent="0.3">
      <c r="A1" s="81" t="s">
        <v>131</v>
      </c>
      <c r="B1" s="81" t="s">
        <v>132</v>
      </c>
      <c r="C1" s="81" t="s">
        <v>146</v>
      </c>
    </row>
    <row r="2" spans="1:3" x14ac:dyDescent="0.3">
      <c r="A2" s="38" t="s">
        <v>147</v>
      </c>
      <c r="B2" s="38" t="s">
        <v>194</v>
      </c>
      <c r="C2" s="32">
        <v>3520</v>
      </c>
    </row>
    <row r="3" spans="1:3" x14ac:dyDescent="0.3">
      <c r="A3" s="39" t="s">
        <v>195</v>
      </c>
      <c r="B3" s="39" t="s">
        <v>196</v>
      </c>
      <c r="C3" s="33">
        <v>6600</v>
      </c>
    </row>
    <row r="4" spans="1:3" x14ac:dyDescent="0.3">
      <c r="A4" s="38" t="s">
        <v>197</v>
      </c>
      <c r="B4" s="38" t="s">
        <v>198</v>
      </c>
      <c r="C4" s="32">
        <v>6160</v>
      </c>
    </row>
    <row r="5" spans="1:3" x14ac:dyDescent="0.3">
      <c r="A5" s="39" t="s">
        <v>197</v>
      </c>
      <c r="B5" s="39" t="s">
        <v>199</v>
      </c>
      <c r="C5" s="33">
        <v>3520</v>
      </c>
    </row>
    <row r="6" spans="1:3" x14ac:dyDescent="0.3">
      <c r="A6" s="38" t="s">
        <v>197</v>
      </c>
      <c r="B6" s="38" t="s">
        <v>200</v>
      </c>
      <c r="C6" s="32">
        <v>3520</v>
      </c>
    </row>
    <row r="7" spans="1:3" x14ac:dyDescent="0.3">
      <c r="A7" s="39" t="s">
        <v>197</v>
      </c>
      <c r="B7" s="39" t="s">
        <v>201</v>
      </c>
      <c r="C7" s="33">
        <v>6160</v>
      </c>
    </row>
    <row r="8" spans="1:3" x14ac:dyDescent="0.3">
      <c r="A8" s="39" t="s">
        <v>202</v>
      </c>
      <c r="B8" s="39" t="s">
        <v>203</v>
      </c>
      <c r="C8" s="33">
        <v>132</v>
      </c>
    </row>
    <row r="9" spans="1:3" x14ac:dyDescent="0.3">
      <c r="A9" s="38" t="s">
        <v>204</v>
      </c>
      <c r="B9" s="38" t="s">
        <v>205</v>
      </c>
      <c r="C9" s="32">
        <v>132</v>
      </c>
    </row>
    <row r="10" spans="1:3" x14ac:dyDescent="0.3">
      <c r="A10" s="39" t="s">
        <v>206</v>
      </c>
      <c r="B10" s="39" t="s">
        <v>207</v>
      </c>
      <c r="C10" s="33">
        <v>352</v>
      </c>
    </row>
    <row r="11" spans="1:3" x14ac:dyDescent="0.3">
      <c r="A11" s="38" t="s">
        <v>208</v>
      </c>
      <c r="B11" s="38" t="s">
        <v>209</v>
      </c>
      <c r="C11" s="32">
        <v>895.84</v>
      </c>
    </row>
    <row r="12" spans="1:3" x14ac:dyDescent="0.3">
      <c r="A12" s="38" t="s">
        <v>210</v>
      </c>
      <c r="B12" s="38" t="s">
        <v>211</v>
      </c>
      <c r="C12" s="32">
        <v>132</v>
      </c>
    </row>
    <row r="13" spans="1:3" x14ac:dyDescent="0.3">
      <c r="A13" s="39" t="s">
        <v>212</v>
      </c>
      <c r="B13" s="39" t="s">
        <v>213</v>
      </c>
      <c r="C13" s="33">
        <v>132</v>
      </c>
    </row>
    <row r="14" spans="1:3" x14ac:dyDescent="0.3">
      <c r="A14" s="38" t="s">
        <v>214</v>
      </c>
      <c r="B14" s="38" t="s">
        <v>215</v>
      </c>
      <c r="C14" s="32">
        <v>2482.48</v>
      </c>
    </row>
    <row r="15" spans="1:3" x14ac:dyDescent="0.3">
      <c r="A15" s="39" t="s">
        <v>216</v>
      </c>
      <c r="B15" s="39" t="s">
        <v>217</v>
      </c>
      <c r="C15" s="33">
        <v>1760</v>
      </c>
    </row>
    <row r="16" spans="1:3" x14ac:dyDescent="0.3">
      <c r="A16" s="38" t="s">
        <v>218</v>
      </c>
      <c r="B16" s="38" t="s">
        <v>219</v>
      </c>
      <c r="C16" s="32">
        <v>528</v>
      </c>
    </row>
    <row r="17" spans="1:3" x14ac:dyDescent="0.3">
      <c r="A17" s="39" t="s">
        <v>220</v>
      </c>
      <c r="B17" s="39" t="s">
        <v>221</v>
      </c>
      <c r="C17" s="33">
        <v>59921.4</v>
      </c>
    </row>
    <row r="18" spans="1:3" x14ac:dyDescent="0.3">
      <c r="A18" s="39" t="s">
        <v>148</v>
      </c>
      <c r="B18" s="39" t="s">
        <v>222</v>
      </c>
      <c r="C18" s="33">
        <v>5808</v>
      </c>
    </row>
    <row r="19" spans="1:3" x14ac:dyDescent="0.3">
      <c r="A19" s="38" t="s">
        <v>105</v>
      </c>
      <c r="B19" s="38" t="s">
        <v>223</v>
      </c>
      <c r="C19" s="32">
        <v>-773.77</v>
      </c>
    </row>
    <row r="20" spans="1:3" x14ac:dyDescent="0.3">
      <c r="A20" s="39" t="s">
        <v>105</v>
      </c>
      <c r="B20" s="39" t="s">
        <v>224</v>
      </c>
      <c r="C20" s="33">
        <v>-773.77</v>
      </c>
    </row>
    <row r="21" spans="1:3" x14ac:dyDescent="0.3">
      <c r="A21" s="38" t="s">
        <v>106</v>
      </c>
      <c r="B21" s="38" t="s">
        <v>225</v>
      </c>
      <c r="C21" s="32">
        <v>-10348.36</v>
      </c>
    </row>
    <row r="22" spans="1:3" x14ac:dyDescent="0.3">
      <c r="A22" s="39" t="s">
        <v>149</v>
      </c>
      <c r="B22" s="39" t="s">
        <v>226</v>
      </c>
      <c r="C22" s="33">
        <v>-13413.66</v>
      </c>
    </row>
    <row r="23" spans="1:3" x14ac:dyDescent="0.3">
      <c r="A23" s="38" t="s">
        <v>149</v>
      </c>
      <c r="B23" s="38" t="s">
        <v>227</v>
      </c>
      <c r="C23" s="32">
        <v>29198</v>
      </c>
    </row>
    <row r="24" spans="1:3" x14ac:dyDescent="0.3">
      <c r="A24" s="39" t="s">
        <v>228</v>
      </c>
      <c r="B24" s="39" t="s">
        <v>229</v>
      </c>
      <c r="C24" s="33">
        <v>10000</v>
      </c>
    </row>
    <row r="25" spans="1:3" x14ac:dyDescent="0.3">
      <c r="A25" s="38" t="s">
        <v>230</v>
      </c>
      <c r="B25" s="38" t="s">
        <v>231</v>
      </c>
      <c r="C25" s="32">
        <v>22524.400000000001</v>
      </c>
    </row>
    <row r="26" spans="1:3" x14ac:dyDescent="0.3">
      <c r="A26" s="39" t="s">
        <v>232</v>
      </c>
      <c r="B26" s="39" t="s">
        <v>233</v>
      </c>
      <c r="C26" s="33">
        <v>18000</v>
      </c>
    </row>
    <row r="27" spans="1:3" x14ac:dyDescent="0.3">
      <c r="A27" s="38" t="s">
        <v>234</v>
      </c>
      <c r="B27" s="38" t="s">
        <v>235</v>
      </c>
      <c r="C27" s="32">
        <v>64980</v>
      </c>
    </row>
    <row r="28" spans="1:3" x14ac:dyDescent="0.3">
      <c r="A28" s="82" t="s">
        <v>236</v>
      </c>
      <c r="B28" s="82" t="s">
        <v>235</v>
      </c>
      <c r="C28" s="78">
        <v>118832.56</v>
      </c>
    </row>
    <row r="29" spans="1:3" x14ac:dyDescent="0.3">
      <c r="A29" s="79" t="s">
        <v>0</v>
      </c>
      <c r="B29" s="79"/>
      <c r="C29" s="80">
        <f>SUBTOTAL(109,Tabla2[Imp.cob.aplic.])</f>
        <v>339981.12</v>
      </c>
    </row>
    <row r="30" spans="1:3" x14ac:dyDescent="0.3">
      <c r="C30" s="4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E3BA-AE33-4BDA-AF89-1E75B2431D7A}">
  <dimension ref="A1:C29"/>
  <sheetViews>
    <sheetView topLeftCell="A13" workbookViewId="0">
      <selection activeCell="B32" sqref="B32:C32"/>
    </sheetView>
  </sheetViews>
  <sheetFormatPr baseColWidth="10" defaultRowHeight="14.4" x14ac:dyDescent="0.3"/>
  <cols>
    <col min="1" max="1" width="17.6640625" customWidth="1"/>
    <col min="2" max="2" width="62.44140625" customWidth="1"/>
    <col min="3" max="3" width="19" customWidth="1"/>
  </cols>
  <sheetData>
    <row r="1" spans="1:3" x14ac:dyDescent="0.3">
      <c r="A1" s="85" t="s">
        <v>276</v>
      </c>
      <c r="B1" s="85" t="s">
        <v>132</v>
      </c>
      <c r="C1" s="86" t="s">
        <v>277</v>
      </c>
    </row>
    <row r="2" spans="1:3" x14ac:dyDescent="0.3">
      <c r="A2" s="83" t="s">
        <v>195</v>
      </c>
      <c r="B2" s="83" t="s">
        <v>278</v>
      </c>
      <c r="C2" s="32">
        <v>6600</v>
      </c>
    </row>
    <row r="3" spans="1:3" x14ac:dyDescent="0.3">
      <c r="A3" s="84" t="s">
        <v>195</v>
      </c>
      <c r="B3" s="84" t="s">
        <v>279</v>
      </c>
      <c r="C3" s="33">
        <v>6600</v>
      </c>
    </row>
    <row r="4" spans="1:3" x14ac:dyDescent="0.3">
      <c r="A4" s="83" t="s">
        <v>195</v>
      </c>
      <c r="B4" s="83" t="s">
        <v>280</v>
      </c>
      <c r="C4" s="32">
        <v>6600</v>
      </c>
    </row>
    <row r="5" spans="1:3" x14ac:dyDescent="0.3">
      <c r="A5" s="84" t="s">
        <v>197</v>
      </c>
      <c r="B5" s="84" t="s">
        <v>281</v>
      </c>
      <c r="C5" s="33">
        <v>3520</v>
      </c>
    </row>
    <row r="6" spans="1:3" x14ac:dyDescent="0.3">
      <c r="A6" s="83" t="s">
        <v>197</v>
      </c>
      <c r="B6" s="83" t="s">
        <v>282</v>
      </c>
      <c r="C6" s="32">
        <v>6160</v>
      </c>
    </row>
    <row r="7" spans="1:3" x14ac:dyDescent="0.3">
      <c r="A7" s="84" t="s">
        <v>283</v>
      </c>
      <c r="B7" s="84" t="s">
        <v>284</v>
      </c>
      <c r="C7" s="33">
        <v>3520</v>
      </c>
    </row>
    <row r="8" spans="1:3" x14ac:dyDescent="0.3">
      <c r="A8" s="83" t="s">
        <v>285</v>
      </c>
      <c r="B8" s="83" t="s">
        <v>286</v>
      </c>
      <c r="C8" s="32">
        <v>440</v>
      </c>
    </row>
    <row r="9" spans="1:3" x14ac:dyDescent="0.3">
      <c r="A9" s="84" t="s">
        <v>287</v>
      </c>
      <c r="B9" s="84" t="s">
        <v>288</v>
      </c>
      <c r="C9" s="33">
        <v>264</v>
      </c>
    </row>
    <row r="10" spans="1:3" x14ac:dyDescent="0.3">
      <c r="A10" s="83" t="s">
        <v>287</v>
      </c>
      <c r="B10" s="83" t="s">
        <v>289</v>
      </c>
      <c r="C10" s="32">
        <v>528</v>
      </c>
    </row>
    <row r="11" spans="1:3" x14ac:dyDescent="0.3">
      <c r="A11" s="84" t="s">
        <v>290</v>
      </c>
      <c r="B11" s="84" t="s">
        <v>291</v>
      </c>
      <c r="C11" s="33">
        <v>3520</v>
      </c>
    </row>
    <row r="12" spans="1:3" x14ac:dyDescent="0.3">
      <c r="A12" s="83" t="s">
        <v>290</v>
      </c>
      <c r="B12" s="83" t="s">
        <v>292</v>
      </c>
      <c r="C12" s="32">
        <v>3520</v>
      </c>
    </row>
    <row r="13" spans="1:3" x14ac:dyDescent="0.3">
      <c r="A13" s="84" t="s">
        <v>290</v>
      </c>
      <c r="B13" s="84" t="s">
        <v>293</v>
      </c>
      <c r="C13" s="33">
        <v>3520</v>
      </c>
    </row>
    <row r="14" spans="1:3" x14ac:dyDescent="0.3">
      <c r="A14" s="83" t="s">
        <v>294</v>
      </c>
      <c r="B14" s="83" t="s">
        <v>295</v>
      </c>
      <c r="C14" s="32">
        <v>26400</v>
      </c>
    </row>
    <row r="15" spans="1:3" x14ac:dyDescent="0.3">
      <c r="A15" s="84" t="s">
        <v>296</v>
      </c>
      <c r="B15" s="84" t="s">
        <v>297</v>
      </c>
      <c r="C15" s="33">
        <v>2482.48</v>
      </c>
    </row>
    <row r="16" spans="1:3" x14ac:dyDescent="0.3">
      <c r="A16" s="83" t="s">
        <v>148</v>
      </c>
      <c r="B16" s="83" t="s">
        <v>298</v>
      </c>
      <c r="C16" s="32">
        <v>9680</v>
      </c>
    </row>
    <row r="17" spans="1:3" x14ac:dyDescent="0.3">
      <c r="A17" s="84" t="s">
        <v>130</v>
      </c>
      <c r="B17" s="84" t="s">
        <v>299</v>
      </c>
      <c r="C17" s="33">
        <v>-1010.91</v>
      </c>
    </row>
    <row r="18" spans="1:3" x14ac:dyDescent="0.3">
      <c r="A18" s="83" t="s">
        <v>149</v>
      </c>
      <c r="B18" s="83" t="s">
        <v>300</v>
      </c>
      <c r="C18" s="32">
        <v>29900</v>
      </c>
    </row>
    <row r="19" spans="1:3" x14ac:dyDescent="0.3">
      <c r="A19" s="84" t="s">
        <v>149</v>
      </c>
      <c r="B19" s="84" t="s">
        <v>301</v>
      </c>
      <c r="C19" s="33">
        <v>-6308.74</v>
      </c>
    </row>
    <row r="20" spans="1:3" x14ac:dyDescent="0.3">
      <c r="A20" s="83" t="s">
        <v>150</v>
      </c>
      <c r="B20" s="83" t="s">
        <v>302</v>
      </c>
      <c r="C20" s="32">
        <v>7600</v>
      </c>
    </row>
    <row r="21" spans="1:3" x14ac:dyDescent="0.3">
      <c r="A21" s="84" t="s">
        <v>151</v>
      </c>
      <c r="B21" s="84" t="s">
        <v>303</v>
      </c>
      <c r="C21" s="33">
        <v>13450</v>
      </c>
    </row>
    <row r="22" spans="1:3" x14ac:dyDescent="0.3">
      <c r="A22" s="83" t="s">
        <v>152</v>
      </c>
      <c r="B22" s="83" t="s">
        <v>304</v>
      </c>
      <c r="C22" s="32">
        <v>3332</v>
      </c>
    </row>
    <row r="23" spans="1:3" x14ac:dyDescent="0.3">
      <c r="A23" s="84" t="s">
        <v>228</v>
      </c>
      <c r="B23" s="84" t="s">
        <v>305</v>
      </c>
      <c r="C23" s="33">
        <v>-3273.3</v>
      </c>
    </row>
    <row r="24" spans="1:3" x14ac:dyDescent="0.3">
      <c r="A24" s="83" t="s">
        <v>230</v>
      </c>
      <c r="B24" s="83" t="s">
        <v>306</v>
      </c>
      <c r="C24" s="32">
        <v>66355.28</v>
      </c>
    </row>
    <row r="25" spans="1:3" x14ac:dyDescent="0.3">
      <c r="A25" s="84" t="s">
        <v>230</v>
      </c>
      <c r="B25" s="84" t="s">
        <v>307</v>
      </c>
      <c r="C25" s="33">
        <v>-630.36</v>
      </c>
    </row>
    <row r="26" spans="1:3" x14ac:dyDescent="0.3">
      <c r="A26" s="83" t="s">
        <v>232</v>
      </c>
      <c r="B26" s="83" t="s">
        <v>308</v>
      </c>
      <c r="C26" s="32">
        <v>18000</v>
      </c>
    </row>
    <row r="27" spans="1:3" x14ac:dyDescent="0.3">
      <c r="A27" s="84" t="s">
        <v>234</v>
      </c>
      <c r="B27" s="84" t="s">
        <v>309</v>
      </c>
      <c r="C27" s="33">
        <v>15480</v>
      </c>
    </row>
    <row r="28" spans="1:3" x14ac:dyDescent="0.3">
      <c r="A28" s="87" t="s">
        <v>236</v>
      </c>
      <c r="B28" s="87" t="s">
        <v>310</v>
      </c>
      <c r="C28" s="88">
        <v>9198.56</v>
      </c>
    </row>
    <row r="29" spans="1:3" x14ac:dyDescent="0.3">
      <c r="A29" s="89" t="s">
        <v>0</v>
      </c>
      <c r="B29" s="89"/>
      <c r="C29" s="90">
        <f>SUBTOTAL(109,Tabla3[Imp. aplic.])</f>
        <v>235447.01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9555-9F67-469F-A4DA-B482C8292E28}">
  <dimension ref="A1:C33"/>
  <sheetViews>
    <sheetView topLeftCell="A10" workbookViewId="0">
      <selection activeCell="H30" sqref="H30"/>
    </sheetView>
  </sheetViews>
  <sheetFormatPr baseColWidth="10" defaultRowHeight="14.4" x14ac:dyDescent="0.3"/>
  <cols>
    <col min="1" max="1" width="15.33203125" customWidth="1"/>
    <col min="2" max="2" width="49.21875" customWidth="1"/>
    <col min="3" max="3" width="14.5546875" customWidth="1"/>
  </cols>
  <sheetData>
    <row r="1" spans="1:3" x14ac:dyDescent="0.3">
      <c r="A1" s="94" t="s">
        <v>276</v>
      </c>
      <c r="B1" s="95" t="s">
        <v>132</v>
      </c>
      <c r="C1" s="95" t="s">
        <v>277</v>
      </c>
    </row>
    <row r="2" spans="1:3" x14ac:dyDescent="0.3">
      <c r="A2" s="96" t="s">
        <v>283</v>
      </c>
      <c r="B2" s="97" t="s">
        <v>388</v>
      </c>
      <c r="C2" s="98">
        <v>3520</v>
      </c>
    </row>
    <row r="3" spans="1:3" x14ac:dyDescent="0.3">
      <c r="A3" s="99" t="s">
        <v>283</v>
      </c>
      <c r="B3" s="100" t="s">
        <v>389</v>
      </c>
      <c r="C3" s="101">
        <v>3520</v>
      </c>
    </row>
    <row r="4" spans="1:3" x14ac:dyDescent="0.3">
      <c r="A4" s="96" t="s">
        <v>216</v>
      </c>
      <c r="B4" s="97" t="s">
        <v>390</v>
      </c>
      <c r="C4" s="98">
        <v>3520</v>
      </c>
    </row>
    <row r="5" spans="1:3" x14ac:dyDescent="0.3">
      <c r="A5" s="99" t="s">
        <v>216</v>
      </c>
      <c r="B5" s="100" t="s">
        <v>391</v>
      </c>
      <c r="C5" s="101">
        <v>3520</v>
      </c>
    </row>
    <row r="6" spans="1:3" x14ac:dyDescent="0.3">
      <c r="A6" s="96" t="s">
        <v>294</v>
      </c>
      <c r="B6" s="97" t="s">
        <v>392</v>
      </c>
      <c r="C6" s="98">
        <v>8800</v>
      </c>
    </row>
    <row r="7" spans="1:3" x14ac:dyDescent="0.3">
      <c r="A7" s="99" t="s">
        <v>294</v>
      </c>
      <c r="B7" s="100" t="s">
        <v>393</v>
      </c>
      <c r="C7" s="101">
        <v>24640</v>
      </c>
    </row>
    <row r="8" spans="1:3" x14ac:dyDescent="0.3">
      <c r="A8" s="96" t="s">
        <v>294</v>
      </c>
      <c r="B8" s="97" t="s">
        <v>394</v>
      </c>
      <c r="C8" s="98">
        <v>3080</v>
      </c>
    </row>
    <row r="9" spans="1:3" x14ac:dyDescent="0.3">
      <c r="A9" s="99" t="s">
        <v>395</v>
      </c>
      <c r="B9" s="100" t="s">
        <v>396</v>
      </c>
      <c r="C9" s="101">
        <v>132</v>
      </c>
    </row>
    <row r="10" spans="1:3" x14ac:dyDescent="0.3">
      <c r="A10" s="96" t="s">
        <v>397</v>
      </c>
      <c r="B10" s="97" t="s">
        <v>398</v>
      </c>
      <c r="C10" s="98">
        <v>132</v>
      </c>
    </row>
    <row r="11" spans="1:3" x14ac:dyDescent="0.3">
      <c r="A11" s="99" t="s">
        <v>399</v>
      </c>
      <c r="B11" s="100" t="s">
        <v>297</v>
      </c>
      <c r="C11" s="101">
        <v>2482.48</v>
      </c>
    </row>
    <row r="12" spans="1:3" x14ac:dyDescent="0.3">
      <c r="A12" s="96" t="s">
        <v>400</v>
      </c>
      <c r="B12" s="97" t="s">
        <v>401</v>
      </c>
      <c r="C12" s="98">
        <v>792</v>
      </c>
    </row>
    <row r="13" spans="1:3" x14ac:dyDescent="0.3">
      <c r="A13" s="99" t="s">
        <v>402</v>
      </c>
      <c r="B13" s="100" t="s">
        <v>403</v>
      </c>
      <c r="C13" s="101">
        <v>3520</v>
      </c>
    </row>
    <row r="14" spans="1:3" x14ac:dyDescent="0.3">
      <c r="A14" s="96" t="s">
        <v>402</v>
      </c>
      <c r="B14" s="97" t="s">
        <v>404</v>
      </c>
      <c r="C14" s="98">
        <v>3520</v>
      </c>
    </row>
    <row r="15" spans="1:3" x14ac:dyDescent="0.3">
      <c r="A15" s="99" t="s">
        <v>402</v>
      </c>
      <c r="B15" s="100" t="s">
        <v>405</v>
      </c>
      <c r="C15" s="101">
        <v>3520</v>
      </c>
    </row>
    <row r="16" spans="1:3" x14ac:dyDescent="0.3">
      <c r="A16" s="96" t="s">
        <v>406</v>
      </c>
      <c r="B16" s="97" t="s">
        <v>407</v>
      </c>
      <c r="C16" s="98">
        <v>17600</v>
      </c>
    </row>
    <row r="17" spans="1:3" x14ac:dyDescent="0.3">
      <c r="A17" s="99" t="s">
        <v>408</v>
      </c>
      <c r="B17" s="100" t="s">
        <v>409</v>
      </c>
      <c r="C17" s="101">
        <v>93.48</v>
      </c>
    </row>
    <row r="18" spans="1:3" x14ac:dyDescent="0.3">
      <c r="A18" s="96" t="s">
        <v>408</v>
      </c>
      <c r="B18" s="97" t="s">
        <v>410</v>
      </c>
      <c r="C18" s="98">
        <v>266.06</v>
      </c>
    </row>
    <row r="19" spans="1:3" x14ac:dyDescent="0.3">
      <c r="A19" s="99" t="s">
        <v>408</v>
      </c>
      <c r="B19" s="100" t="s">
        <v>411</v>
      </c>
      <c r="C19" s="101">
        <v>93.48</v>
      </c>
    </row>
    <row r="20" spans="1:3" x14ac:dyDescent="0.3">
      <c r="A20" s="96" t="s">
        <v>408</v>
      </c>
      <c r="B20" s="97" t="s">
        <v>412</v>
      </c>
      <c r="C20" s="98">
        <v>266.06</v>
      </c>
    </row>
    <row r="21" spans="1:3" x14ac:dyDescent="0.3">
      <c r="A21" s="99" t="s">
        <v>149</v>
      </c>
      <c r="B21" s="100" t="s">
        <v>413</v>
      </c>
      <c r="C21" s="101">
        <v>-1011.33</v>
      </c>
    </row>
    <row r="22" spans="1:3" x14ac:dyDescent="0.3">
      <c r="A22" s="96" t="s">
        <v>230</v>
      </c>
      <c r="B22" s="97" t="s">
        <v>414</v>
      </c>
      <c r="C22" s="98">
        <v>36745.300000000003</v>
      </c>
    </row>
    <row r="23" spans="1:3" x14ac:dyDescent="0.3">
      <c r="A23" s="99" t="s">
        <v>230</v>
      </c>
      <c r="B23" s="100" t="s">
        <v>415</v>
      </c>
      <c r="C23" s="101">
        <v>-2375.2600000000002</v>
      </c>
    </row>
    <row r="24" spans="1:3" x14ac:dyDescent="0.3">
      <c r="A24" s="96" t="s">
        <v>234</v>
      </c>
      <c r="B24" s="97" t="s">
        <v>416</v>
      </c>
      <c r="C24" s="98">
        <v>9540</v>
      </c>
    </row>
    <row r="25" spans="1:3" x14ac:dyDescent="0.3">
      <c r="A25" s="99" t="s">
        <v>236</v>
      </c>
      <c r="B25" s="100" t="s">
        <v>416</v>
      </c>
      <c r="C25" s="101">
        <v>5668.88</v>
      </c>
    </row>
    <row r="26" spans="1:3" x14ac:dyDescent="0.3">
      <c r="A26" s="96" t="s">
        <v>417</v>
      </c>
      <c r="B26" s="97" t="s">
        <v>418</v>
      </c>
      <c r="C26" s="98">
        <v>96780</v>
      </c>
    </row>
    <row r="27" spans="1:3" x14ac:dyDescent="0.3">
      <c r="A27" s="99" t="s">
        <v>417</v>
      </c>
      <c r="B27" s="100" t="s">
        <v>419</v>
      </c>
      <c r="C27" s="101">
        <v>54842</v>
      </c>
    </row>
    <row r="28" spans="1:3" x14ac:dyDescent="0.3">
      <c r="A28" s="96" t="s">
        <v>420</v>
      </c>
      <c r="B28" s="97" t="s">
        <v>419</v>
      </c>
      <c r="C28" s="98">
        <v>101645</v>
      </c>
    </row>
    <row r="29" spans="1:3" ht="15" thickBot="1" x14ac:dyDescent="0.35">
      <c r="A29" s="99" t="s">
        <v>421</v>
      </c>
      <c r="B29" s="100" t="s">
        <v>422</v>
      </c>
      <c r="C29" s="101">
        <v>5800</v>
      </c>
    </row>
    <row r="30" spans="1:3" ht="15" thickTop="1" x14ac:dyDescent="0.3">
      <c r="A30" s="102" t="s">
        <v>0</v>
      </c>
      <c r="B30" s="103"/>
      <c r="C30" s="104">
        <v>390652.15</v>
      </c>
    </row>
    <row r="33" spans="2:3" x14ac:dyDescent="0.3">
      <c r="B33" s="92" t="s">
        <v>423</v>
      </c>
      <c r="C33" s="93">
        <f>C30+Tabla2[[#Totals],[Imp.cob.aplic.]]+Tabla3[[#Totals],[Imp. aplic.]]</f>
        <v>966080.28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1A0E-ADFA-46C4-A122-75A210EEA3DC}">
  <dimension ref="A1:C9"/>
  <sheetViews>
    <sheetView workbookViewId="0">
      <selection activeCell="G28" sqref="G28"/>
    </sheetView>
  </sheetViews>
  <sheetFormatPr baseColWidth="10" defaultRowHeight="14.4" x14ac:dyDescent="0.3"/>
  <cols>
    <col min="1" max="1" width="17" customWidth="1"/>
    <col min="2" max="2" width="70.44140625" customWidth="1"/>
    <col min="3" max="3" width="16" customWidth="1"/>
  </cols>
  <sheetData>
    <row r="1" spans="1:3" x14ac:dyDescent="0.3">
      <c r="A1" s="81" t="s">
        <v>131</v>
      </c>
      <c r="B1" s="81" t="s">
        <v>132</v>
      </c>
      <c r="C1" s="81" t="s">
        <v>146</v>
      </c>
    </row>
    <row r="2" spans="1:3" x14ac:dyDescent="0.3">
      <c r="A2" s="38" t="s">
        <v>237</v>
      </c>
      <c r="B2" s="38" t="s">
        <v>238</v>
      </c>
      <c r="C2" s="32">
        <v>1067.24</v>
      </c>
    </row>
    <row r="3" spans="1:3" x14ac:dyDescent="0.3">
      <c r="A3" s="39" t="s">
        <v>1</v>
      </c>
      <c r="B3" s="39" t="s">
        <v>239</v>
      </c>
      <c r="C3" s="33">
        <v>12450</v>
      </c>
    </row>
    <row r="4" spans="1:3" x14ac:dyDescent="0.3">
      <c r="A4" s="38" t="s">
        <v>1</v>
      </c>
      <c r="B4" s="38" t="s">
        <v>240</v>
      </c>
      <c r="C4" s="32">
        <v>5928</v>
      </c>
    </row>
    <row r="5" spans="1:3" x14ac:dyDescent="0.3">
      <c r="A5" s="39" t="s">
        <v>1</v>
      </c>
      <c r="B5" s="39" t="s">
        <v>241</v>
      </c>
      <c r="C5" s="33">
        <v>3825</v>
      </c>
    </row>
    <row r="6" spans="1:3" x14ac:dyDescent="0.3">
      <c r="A6" s="38" t="s">
        <v>107</v>
      </c>
      <c r="B6" s="38" t="s">
        <v>242</v>
      </c>
      <c r="C6" s="32">
        <v>615.6</v>
      </c>
    </row>
    <row r="7" spans="1:3" x14ac:dyDescent="0.3">
      <c r="A7" s="82" t="s">
        <v>108</v>
      </c>
      <c r="B7" s="82" t="s">
        <v>243</v>
      </c>
      <c r="C7" s="78">
        <v>1436.4</v>
      </c>
    </row>
    <row r="8" spans="1:3" x14ac:dyDescent="0.3">
      <c r="A8" s="79" t="s">
        <v>0</v>
      </c>
      <c r="B8" s="79"/>
      <c r="C8" s="80">
        <f>SUBTOTAL(109,Tabla5[Imp.cob.aplic.])</f>
        <v>25322.239999999998</v>
      </c>
    </row>
    <row r="9" spans="1:3" x14ac:dyDescent="0.3">
      <c r="C9" s="40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0EB6-DB19-471F-A03A-C4D00B57C6EA}">
  <dimension ref="A1:C3"/>
  <sheetViews>
    <sheetView workbookViewId="0">
      <selection activeCell="B7" sqref="B7:C7"/>
    </sheetView>
  </sheetViews>
  <sheetFormatPr baseColWidth="10" defaultRowHeight="14.4" x14ac:dyDescent="0.3"/>
  <cols>
    <col min="1" max="1" width="15.44140625" customWidth="1"/>
    <col min="2" max="2" width="51.5546875" customWidth="1"/>
    <col min="3" max="3" width="12.33203125" customWidth="1"/>
  </cols>
  <sheetData>
    <row r="1" spans="1:3" x14ac:dyDescent="0.3">
      <c r="A1" s="85" t="s">
        <v>276</v>
      </c>
      <c r="B1" s="85" t="s">
        <v>132</v>
      </c>
      <c r="C1" s="85" t="s">
        <v>277</v>
      </c>
    </row>
    <row r="2" spans="1:3" x14ac:dyDescent="0.3">
      <c r="A2" s="87" t="s">
        <v>1</v>
      </c>
      <c r="B2" s="87" t="s">
        <v>311</v>
      </c>
      <c r="C2" s="88">
        <v>14083.33</v>
      </c>
    </row>
    <row r="3" spans="1:3" s="91" customFormat="1" x14ac:dyDescent="0.3">
      <c r="A3" s="89" t="s">
        <v>0</v>
      </c>
      <c r="B3" s="89"/>
      <c r="C3" s="90">
        <f>SUBTOTAL(109,Tabla6[Imp. aplic.])</f>
        <v>14083.33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DB42-369D-45BB-9972-DBD75C474811}">
  <dimension ref="B2:D6"/>
  <sheetViews>
    <sheetView workbookViewId="0">
      <selection activeCell="I16" sqref="I16"/>
    </sheetView>
  </sheetViews>
  <sheetFormatPr baseColWidth="10" defaultRowHeight="14.4" x14ac:dyDescent="0.3"/>
  <cols>
    <col min="3" max="3" width="39.33203125" customWidth="1"/>
    <col min="4" max="4" width="11.88671875" bestFit="1" customWidth="1"/>
  </cols>
  <sheetData>
    <row r="2" spans="2:4" x14ac:dyDescent="0.3">
      <c r="B2" t="s">
        <v>424</v>
      </c>
    </row>
    <row r="6" spans="2:4" x14ac:dyDescent="0.3">
      <c r="C6" s="92" t="s">
        <v>425</v>
      </c>
      <c r="D6" s="93">
        <f>Tabla5[[#Totals],[Imp.cob.aplic.]]+Tabla6[[#Totals],[Imp. aplic.]]</f>
        <v>39405.57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Cr.23</vt:lpstr>
      <vt:lpstr>Cr.24</vt:lpstr>
      <vt:lpstr>Cr.25</vt:lpstr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2026-05-26T12:06:43Z</dcterms:modified>
</cp:coreProperties>
</file>