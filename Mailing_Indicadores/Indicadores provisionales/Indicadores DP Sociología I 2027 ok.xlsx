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F59FA3C0-54FA-473A-B01A-DDEAB0CD79D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2" r:id="rId5"/>
    <sheet name="Ingresos formación 2025" sheetId="13" r:id="rId6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3" l="1"/>
  <c r="C16" i="12"/>
  <c r="C14" i="11"/>
  <c r="S18" i="3" l="1"/>
  <c r="S27" i="2" l="1"/>
  <c r="C6" i="10" l="1"/>
</calcChain>
</file>

<file path=xl/sharedStrings.xml><?xml version="1.0" encoding="utf-8"?>
<sst xmlns="http://schemas.openxmlformats.org/spreadsheetml/2006/main" count="584" uniqueCount="245">
  <si>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</si>
  <si>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</si>
  <si>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</si>
  <si>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</si>
  <si>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</si>
  <si>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</si>
  <si>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</si>
  <si>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</si>
  <si>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</si>
  <si>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</si>
  <si>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</si>
  <si>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</si>
  <si>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</si>
  <si>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</si>
  <si>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</si>
  <si>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</si>
  <si>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</si>
  <si>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</si>
  <si>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</si>
  <si>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</si>
  <si>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</si>
  <si>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</si>
  <si>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</si>
  <si>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</si>
  <si>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</si>
  <si>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</si>
  <si>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</si>
  <si>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10.05</t>
  </si>
  <si>
    <t>10.17</t>
  </si>
  <si>
    <t>U036 </t>
  </si>
  <si>
    <t>ADM. FACULTAD DE CIENCIAS ECONÓMICAS </t>
  </si>
  <si>
    <t>DOCTORADO EN EMPRESA, ECONOMÍA Y SOCIEDAD </t>
  </si>
  <si>
    <t>U058 </t>
  </si>
  <si>
    <t>ADM. I.U. DE INVESTIGACIONES TURÍSTICAS </t>
  </si>
  <si>
    <t>DOCTORADO EN TURISMO </t>
  </si>
  <si>
    <t>U020 </t>
  </si>
  <si>
    <t>ADM. I.U. DEL AGUA Y DE LAS CIENCIAS AMBIENTALES </t>
  </si>
  <si>
    <t>DOCTORADO EN AGUA Y DESARROLLO SOSTENIBLE </t>
  </si>
  <si>
    <t>10.23</t>
  </si>
  <si>
    <t>B179 </t>
  </si>
  <si>
    <t>SOCIOLOGÍA I </t>
  </si>
  <si>
    <t>25128440C </t>
  </si>
  <si>
    <t>B179</t>
  </si>
  <si>
    <t>21439172K </t>
  </si>
  <si>
    <t>21420390F </t>
  </si>
  <si>
    <t>44766559A </t>
  </si>
  <si>
    <t>21669765Q </t>
  </si>
  <si>
    <t>21475002V </t>
  </si>
  <si>
    <t>05658630D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</si>
  <si>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</si>
  <si>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</si>
  <si>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</si>
  <si>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</si>
  <si>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</si>
  <si>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</si>
  <si>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</si>
  <si>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</si>
  <si>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</si>
  <si>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</si>
  <si>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</si>
  <si>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</si>
  <si>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</si>
  <si>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</si>
  <si>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21439172K</t>
  </si>
  <si>
    <t>52764800V</t>
  </si>
  <si>
    <t>05658630D</t>
  </si>
  <si>
    <t>72128548L</t>
  </si>
  <si>
    <t>44766559A</t>
  </si>
  <si>
    <t>21420390F</t>
  </si>
  <si>
    <t>25128440C</t>
  </si>
  <si>
    <t>21669765Q</t>
  </si>
  <si>
    <t>Borlea , Cristina </t>
  </si>
  <si>
    <t>ESTUDIO SOCIO-ICONOGRÁFICO SOBRE LA ADQUISICIÓN DE CAPITAL SOCIAL EN LA FORMACIÓN IDENTITARIA DE UN GRUPO DE AFICIONADOS AL TANGO ARGENTINO EN RUMANÍA </t>
  </si>
  <si>
    <t>17/07/2020 </t>
  </si>
  <si>
    <t>21475002V</t>
  </si>
  <si>
    <t>COD DEP</t>
  </si>
  <si>
    <t>04616118H</t>
  </si>
  <si>
    <t>Climent Gil, Emilio </t>
  </si>
  <si>
    <t>Abordando la complejidad. Vulnerabilidad y riesgo en la gestión de impactos sociales de las intervenciones sobre el medio </t>
  </si>
  <si>
    <t>24/11/2020 </t>
  </si>
  <si>
    <t>Alcázar Ruiz, Rafael </t>
  </si>
  <si>
    <t>Custodia compartida y cambio social. La construcción social de la custodia compartida </t>
  </si>
  <si>
    <t>20/11/2020 </t>
  </si>
  <si>
    <t>U073 </t>
  </si>
  <si>
    <t>ADM. I.U. INVESTIGACIÓN DE ESTUDIOS DE GÉNERO </t>
  </si>
  <si>
    <t>DOCTORADO EN ESTUDIOS INTERDISCIPLINARES DE GÉNERO </t>
  </si>
  <si>
    <t>Guzmán Raya, Nancy </t>
  </si>
  <si>
    <t>FUGA DE CEREBROS DE LAS MUJERES AL HOGAR: ANÁLISIS Y PROPUESTA DE INTERVENCIÓN DESDE LAS POLÍTICAS PÚBLICAS LABORALES MEXICANAS </t>
  </si>
  <si>
    <t>30/11/2020 </t>
  </si>
  <si>
    <t>Aznar Crespo, Pablo </t>
  </si>
  <si>
    <t>Procesos generativos de vulnerabilidad social ante riesgos ambientales: retos y oportunidades para una nueva gobernanza </t>
  </si>
  <si>
    <t>10/09/2021 </t>
  </si>
  <si>
    <t>Seco Sauces, María Olga </t>
  </si>
  <si>
    <t>La salud en la red: de la información al conocimiento. Un estudio de las decisiones relacionadas con la salud en las personas afectadas por las enfermedades raras (ER) desde la sociología </t>
  </si>
  <si>
    <t>04/02/2021 </t>
  </si>
  <si>
    <t>Infesta Domínguez, Graciela </t>
  </si>
  <si>
    <t>Salud sexual y reproductiva desde una perspectiva de género: problemáticas, logros y desafíos en Argentina </t>
  </si>
  <si>
    <t>21/04/2021 </t>
  </si>
  <si>
    <t>Brotons Martínez, Matilde </t>
  </si>
  <si>
    <t>La gestión del conocimiento para la innovación en hoteles: la influencia de las prácticas de Recursos Humanos </t>
  </si>
  <si>
    <t>25/03/2021 </t>
  </si>
  <si>
    <t>Cód. org. aplic.</t>
  </si>
  <si>
    <t>Descripción justificante</t>
  </si>
  <si>
    <t>Pisano Motta Gemignani, Viviane </t>
  </si>
  <si>
    <t>MAPAS CAUSAIS COLABORATIVOS COMO FERRAMENTA DA AVALIAÇÃO DE IMPACTO SOCIAL EM TERRITÓRIOS DE MINERAÇÃO: contribuições para a gestão dos impactos sociais </t>
  </si>
  <si>
    <t>06/09/2022 </t>
  </si>
  <si>
    <t>Punset Bannel, Carolina Clara </t>
  </si>
  <si>
    <t>LA TRANSICIÓN ENERGÉTICA HACIA UN MODELO DESCARBONIZADO DESDE LA PERSPECTIVA DE LOS LOBBIES EN LA UNIÓN EUROPEA </t>
  </si>
  <si>
    <t>08/04/2022 </t>
  </si>
  <si>
    <t>Llorca Asensi, Elena </t>
  </si>
  <si>
    <t>CONFLICTO DE INTERPRETACIONES SOBRE EL DERECHO DE AUTODETERMINACIÓN EN EL CASO CATALÁN. ESTUDIO DESDE LA SOCIOLOGÍA </t>
  </si>
  <si>
    <t>21/06/2022 </t>
  </si>
  <si>
    <t>74088138D </t>
  </si>
  <si>
    <t>Sancha Vidal, Maria Jose </t>
  </si>
  <si>
    <t>Las familias adoptivas transraciales en España: un estudio sociológico con documentos personales </t>
  </si>
  <si>
    <t>09/06/2022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</si>
  <si>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</si>
  <si>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</si>
  <si>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</si>
  <si>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52764800V </t>
  </si>
  <si>
    <t>Imp.cob.aplic.</t>
  </si>
  <si>
    <t>32.70.6C.00.23</t>
  </si>
  <si>
    <t>I.U. INVESTIGACIÓN DE ESTUDIOS DE GÉNERO (10.23) </t>
  </si>
  <si>
    <t>Fernández Moreno, Paulina </t>
  </si>
  <si>
    <t>Imaginarios sobre infancia, familia y parentesco en el discursos sobre la adopción de niñas y niños `mayores¿ en Chile. Un análisis desde el género. </t>
  </si>
  <si>
    <t>06/02/2023 </t>
  </si>
  <si>
    <t>Rincón Vega, Ana Milena </t>
  </si>
  <si>
    <t>VIOLENCIA DE GÉNERO: REPERCUSIONES EN LA COMUNICACIÓN DE LAS MUJERES EN COLOMBIA </t>
  </si>
  <si>
    <t>16/03/2023 </t>
  </si>
  <si>
    <t>18163488C</t>
  </si>
  <si>
    <t>32.70.6C.00.22</t>
  </si>
  <si>
    <t>APOYO Y ASESORAMIENTO EN LA ELABORACIÓN DEL INFORME SOBRE SITUACIONES DE RIESGO EN LA INFANCIA Y ADOLESCENCIA DE LA COMUNIDAD VALENCIANA</t>
  </si>
  <si>
    <t>Asesoramiento y asistencia científico técnica en el desarrollo de proyectos de I+D europeos y nacionales (segunda parte del trabajo)</t>
  </si>
  <si>
    <t>32.70.6C.00.25</t>
  </si>
  <si>
    <t>Diseño, desarrollo e implementación de las acciones necesarias para la validación del sistema global de marionetas virtuales, objeto del proyecto de Brainstorm XR-Puppet, así como de los diferentes subsistemas que lo componen. Concretamente, en el segundo semestre de 2023: Validación de los módulos de visualización e interacción.</t>
  </si>
  <si>
    <t>32.70.6M.00.02</t>
  </si>
  <si>
    <t>Realización de las acciones formativas previstas en el proyecto PROGRAMA DE FORMACIÓN: ENFOQUES, METODOLOGÍAS Y HERRAMIENTAS PARTICIPATIVAS PARA LA INNOVACIÓN SOCIAL CON APLICACIÓN PARA PROYECTOS DE MANCOMUNIDAD LA VEGA --  Clave orgánica:  32.70.6M.00.02 Número de operación contable RC220230001486</t>
  </si>
  <si>
    <t>U036</t>
  </si>
  <si>
    <t>ADM. FACULTAD DE CIENCIAS ECONÓMICAS</t>
  </si>
  <si>
    <t>DOCTORADO EN EMPRESA, ECONOMÍA Y SOCIEDAD</t>
  </si>
  <si>
    <t>Palma Durán, José Abdón</t>
  </si>
  <si>
    <t>Análisis sociológico de la violencia filio-parental. Evolución, interpretación y reacción social ante el fenómeno en España.</t>
  </si>
  <si>
    <t>26/07/2024</t>
  </si>
  <si>
    <t>Director de tesis</t>
  </si>
  <si>
    <t>SOCIOLOGÍA I</t>
  </si>
  <si>
    <t>González Chouciño, Mariano Agustín</t>
  </si>
  <si>
    <t>PROCESOS DE CAMBIO SOCIAL EN LA ERA DE LA DIGITALIZACIÓN. SOCIALIZACIÓN DIGITAL E INNOVACIÓN SOCIAL EN UN MUNDO DESIGUAL</t>
  </si>
  <si>
    <t>08/03/2024</t>
  </si>
  <si>
    <t>20</t>
  </si>
  <si>
    <t>44880567T</t>
  </si>
  <si>
    <t>45928284K</t>
  </si>
  <si>
    <t>30</t>
  </si>
  <si>
    <t>74088138D</t>
  </si>
  <si>
    <t>Org. aplic.</t>
  </si>
  <si>
    <t>Imp. aplic.</t>
  </si>
  <si>
    <t>Importe del trabajo contratado según Hoja de Encargo 10012024_HE_BRAINSTORM1-23, correspondiente al Anexo III del convenio BRAINSTORM1-23A, por la realización de tareas de Asesoramiento y asistencia científico técnica en el desarrollo de proyectos de I+D europeos y nacionales Clave orgánica: 32706C0025</t>
  </si>
  <si>
    <t xml:space="preserve">Se factura el 50% restante del importe del trabajo contratado según Hoja de Encargo 10012024_HE_BRAINSTORM1-23, correspondiente al Anexo III del convenio BRAINSTORM1-23A, por la realización de tareas de Asesoramiento y asistencia científico técnica en el desarrollo de proyectos de I+D europeos y nacionales. </t>
  </si>
  <si>
    <t>Diseño, desarrollo e implementación de las acciones necesarias para la validación del sistema global de marionetas virtuales, objeto del proyecto de Brainstorm XR-Puppet, así como de los diferentes subsistemas que lo componen. Trabajo realizado durante 2024: Validación experimental de XR Puppets Clave orgánica: 32.70.6C.00.25 Referencia del contrato: BRAINSTORM1-23A Título del proyecto: ASESORÍA CIENTÍFICA EN EL DISEÑO, IMPLEMENTACIÓN Y EVALUACIÓN DE ACTIVIDADES Y PROYECTOS DE I+D EN EL ÁMBITO DE LA REALIDAD VIRTUAL Responsable del proyecto: Elena Llorca Asensi</t>
  </si>
  <si>
    <t>32.70.6C.00.26</t>
  </si>
  <si>
    <t>DISEÑO Y CONSTITUCIÓN DE LA MESA LOCAL DE COORDINACIÓN EN MATERIA DE VIOLENCIA DE GÉNERO Y DEL PROTOCOLO DE COORDINACIÓN INTERINSTITUCIONAL EN MATERIA DE VIOLENCIA DE GÉNERO DEL MUNICIPIO DE AGOST Clave orgánica: 32706C0026 Responsable del proyecto: María Jiménez Delgado y Marta Monllor Jiménez</t>
  </si>
  <si>
    <t>32.70.6C.00.27</t>
  </si>
  <si>
    <t>FACTURACIÓN A LA CONCEJALÍA DE JUVENTUD DEL AYUNTAMIENTO DE ONTINYENT POR LA EVALUACIÓN DEL I PLA JOVENTUT ONTINYENT (2019-2023) - II PLA JOVENTUT ONTINYENT Clave Orgánica:  32706C0027 Referencia del contrato: AYTOONTIYENT1-24TPA Título del proyecto: EVALUACION DEL "I PLA JOVENTUT ONTINYENT (2019-2023) Responsable del proyecto: Raúl Ruiz Callado</t>
  </si>
  <si>
    <t>32.70.6C.00.28</t>
  </si>
  <si>
    <t>Pàgina web del  III Congrés de Sociologia de l'AVS i xarxes socials (creació de contingut i promoció del valencià). Clau orgànica: 32706C0028 Referència contracte OTRI: AVS1-24TPA Títol del projecte: GESTIÓ DIGITAL INTEGRAL DEL CONGRÉS DE L'AVS Responsable del projecte: Pablo de Gracia Soriano</t>
  </si>
  <si>
    <t>32.70.6D.00.01</t>
  </si>
  <si>
    <t>Fomento de las actividades de las Universidades Públicas de la CV en materia de participación ciudadana (línea S0785) (30% CONVENIO)</t>
  </si>
  <si>
    <t>Fomento de las actividades de las Universidades Públicas de la CV en materia de participación ciudadana (línea S0785) (Resto CONVENIO) (fact: 6003633161)</t>
  </si>
  <si>
    <t>32.70.6M.00.03</t>
  </si>
  <si>
    <t xml:space="preserve">ACTIVIDAD FORMATIVA. SOCIOLOGÍA APLICADA Y PRÁCTICA EN EL AULA DE 9 HORAS DE DURACIÓN EN LAS INSTALACIONES DEL CENTRO ESCOLAR </t>
  </si>
  <si>
    <t>32.70.6P.00.10</t>
  </si>
  <si>
    <t>INGRESO PERCIBIDO POR LA UNIVERSIDAD DE ALICANTE RELATIVO AL PROYECTO "CONECTA21-01"_PÉRDIDAS REPRODUCTIVAS PRECOCES: DEL MALESTAR FÍSICO Y EMOCIONAL INVISIBLE A LA POSIBILIDAD DEL DUELO PERSONAL, FAMILIAR Y SOCIAL.</t>
  </si>
  <si>
    <t>32.70.6P.00.11</t>
  </si>
  <si>
    <t xml:space="preserve">ayudas AYTOIIE-C24 </t>
  </si>
  <si>
    <t>32.70.6P.00.12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</si>
  <si>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</si>
  <si>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>10.25</t>
  </si>
  <si>
    <t>Administración Facultad de Ciencias Económicas</t>
  </si>
  <si>
    <t>Mañas Navarro, José Javier</t>
  </si>
  <si>
    <t>Una mirada sistémica a los problemas socioambientales a través del análisis de red</t>
  </si>
  <si>
    <t>29/11/2024</t>
  </si>
  <si>
    <t>Codirector de tesis</t>
  </si>
  <si>
    <t>Sociología I</t>
  </si>
  <si>
    <t>60</t>
  </si>
  <si>
    <t>U058</t>
  </si>
  <si>
    <t>Instituto Universitario de Investigaciones Turísticas (10.17)</t>
  </si>
  <si>
    <t>DOCTORADO EN TURISMO</t>
  </si>
  <si>
    <t>Saura Lacárcel, Francisco Javier</t>
  </si>
  <si>
    <t>Movilidad global y turistas de larga estancia: el impacto de las plataformas digitales en las decisiones de destino y estilo de vida de los nómadas digitales</t>
  </si>
  <si>
    <t>05/05/2025</t>
  </si>
  <si>
    <t>U073</t>
  </si>
  <si>
    <t>Instituto Universitario Investigación de Estudios de Género (10.23)</t>
  </si>
  <si>
    <t>DOCTORADO EN ESTUDIOS INTERDISCIPLINARES DE GÉNERO</t>
  </si>
  <si>
    <t>Monllor Jiménez, Marta</t>
  </si>
  <si>
    <t>Análisis de redes sociales personales de mujeres víctimas de violencia de género: de un caso de vulnerabilidad relacional hacia el empoderamiento</t>
  </si>
  <si>
    <t>10/01/2025</t>
  </si>
  <si>
    <t>2020</t>
  </si>
  <si>
    <t>2021</t>
  </si>
  <si>
    <t>2022</t>
  </si>
  <si>
    <t>2023</t>
  </si>
  <si>
    <t>2024</t>
  </si>
  <si>
    <t>2025</t>
  </si>
  <si>
    <t>Jareño Ruiz, Diana</t>
  </si>
  <si>
    <t>Huete Nieves, Raquel</t>
  </si>
  <si>
    <t>Alcázar Ruiz, Rafael</t>
  </si>
  <si>
    <t>Roche Cárcel, Juan Antonio</t>
  </si>
  <si>
    <t>Aledo Tur, Antonio Jose</t>
  </si>
  <si>
    <t>Jiménez Delgado, María</t>
  </si>
  <si>
    <t>21488066V</t>
  </si>
  <si>
    <t>Llorca Asensi, Elena</t>
  </si>
  <si>
    <t>10.06</t>
  </si>
  <si>
    <t>Ruiz Callado, Raúl</t>
  </si>
  <si>
    <t>Rodríguez Jaume, María José</t>
  </si>
  <si>
    <t>Ortiz Noguera, Guadalupe</t>
  </si>
  <si>
    <t>de Gracia Soriano, Pablo</t>
  </si>
  <si>
    <t>Aznar Crespo, Pablo</t>
  </si>
  <si>
    <t>García Andreu, Hugo</t>
  </si>
  <si>
    <t>Mantecón Terán, Alejandro</t>
  </si>
  <si>
    <t>Fabregat Cabrera, María Elena</t>
  </si>
  <si>
    <t>74373382F</t>
  </si>
  <si>
    <t>Navalón Mira, Alba</t>
  </si>
  <si>
    <t>32.70.6C.00.29</t>
  </si>
  <si>
    <t>Revisión bibliográfica, análisis de encuestas y de resultados y redacción de informe. Referencia del contrato: CARITASVALENCIA1-25IPA Título del proyecto: INVESTIGACIÓN SISTEMATIZADA SOBRE LA SITUACIÓN ACTUAL DE LA VIVIENDA, SUS PROBLEMÁTICAS Y LAS DIFICULTADES EN EL ACCESO A LA MISMA DE LA POBLACIÓN DE LA COMUNIDAD VALENCIANA Responsable del proyecto: Javier Ortega Fernández</t>
  </si>
  <si>
    <t>32.70.6C.00.30</t>
  </si>
  <si>
    <t>ORGANIZACION DE JORNADAS MEDIOAMBIENTALES  Responsable del proyecto: Raúl Ruiz Callado EXPEDIENTE: 2025/5568</t>
  </si>
  <si>
    <t>32.70.6C.00.31</t>
  </si>
  <si>
    <t>Título del proyecto: ASESORAMIENTO Y ELABORACION DE LA PROPUESTA BASE DE UNA GUIA DE BUENAS PRACTICAS Responsable del proyecto: María Elena Fabregat Cabrera</t>
  </si>
  <si>
    <t>CONVENI DE COL·LABORACIÓ ENTRE LA GENERALITAT, A TRAVÉS DE PRESIDÈNCIA DE LA GENERALITAT VALENCIANA I LA UNIVERSITAT D¿ALACANT, PER AL FOMENT DE LES ACTIVITATS DE LES UNIVERSITATS PÚBLIQUES DE LA COMUNITAT VALENCIANA EN MATÈRIA DE PARTICIPACIÓ CIUTADANA, DURANT L¿EXERCICI 2025</t>
  </si>
  <si>
    <t>DISMINUCIÓN DEL DR DEL "CONVENI DE COL·LABORACIÓ ENTRE LA GENERALITAT, A TRAVÉS DE PRESIDÈNCIA DE LA GENERALITAT VALENCIANA I LA UNIVERSITAT D¿ALACANT, PER AL FOMENT DE LES ACTIVITATS DE LES UNIVERSITATS PÚBLIQUES DE LA COMUNITAT VALENCIANA EN MATÈRIA DE PARTICIPACIÓ CIUTADANA, DURANT L¿EXERCICI 2025"</t>
  </si>
  <si>
    <t>32.70.6G.00.03</t>
  </si>
  <si>
    <t xml:space="preserve">INGRESO PERCIBIDO POR LA UNIVERSIDAD DE ALICANTE EN CONCEPTO DE COLABORACIÓN ECONÓMICA PARA EL EVENTO "ENCUENTRO SOCIOLÓGICO INTERNACIONAL: CULTURA Y EMOCIONES EN TIEMPOS DE CATÁSTROFES, CELEBRADO EN LA SEDE DE ALICANTE LOS DÍAS 5,6 Y 7 DE JUNIO. </t>
  </si>
  <si>
    <t>INGRESO PERCIBIDO POR LA UNIVERSIDAD DE ALICANTE EN VIRTUD DE CONVENIO CUYA FINALIDAD ES LA FINANCIACIÓN DEL I ENCUENTRO SOCIOLÓGICO INTERNACIONAL.</t>
  </si>
  <si>
    <t xml:space="preserve">INGRESO PERCIBIDO POR LA UNIVERSIDAD DE ALICANTE EN VIRTUD DE CONVENIO CUYA FINALIDAD ES LA FINANCIACIÓN DEL I ENCUENTRO SOCIOLÓGICO INTERNACIONAL:  "LA CULTURA Y LAS EMOCIONES EN TIEMPOS DE CATÁSTROFES". </t>
  </si>
  <si>
    <t xml:space="preserve">INGRESO PERCIBIDO POR LA UNIVERSIDAD DE ALICANTE EN VIRTUD DE CONVENIO CUYA FINALIDAD ES LA FINANCIACIÓN DEL I ENCUENTRO SOCIOLÓGICO INTERNACIONAL: "LA CULTURA Y LAS EMOCIONES EN TIEMPOS DE CATÁSTROFES". </t>
  </si>
  <si>
    <t xml:space="preserve">CIGE/2023/52/94/129/146/165/175/181/184/188/196/197/216/225/227. EN CIGE/2023/196 HAY UNA REASIGNACIÓN DEL IMPORTE (EN JI-2024-3632 SE PRODUCE UNA MINORACIÓN DE 9879,02 Y SE ASIGNA A ESTE AÑO) </t>
  </si>
  <si>
    <t>32.70.6P.00.14</t>
  </si>
  <si>
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</si>
  <si>
    <t>Total ingresos investigación 2023-25</t>
  </si>
  <si>
    <t>10.91.2T.01.69</t>
  </si>
  <si>
    <t>Abono de la aportación de la Federación Valenciana de Municipios y Provincias para el desarrollo de la docencia de la Microcredencial Universitaria en "Innovación Local"</t>
  </si>
  <si>
    <t>10.91.2T.01.92</t>
  </si>
  <si>
    <t>CÓD: GN30. MICROCREDENCIAL. LIQ-TitProp_GN30-N Curso_2025-26 AñoCont_2025 - LIDERAZGO, INNOVACIÓN Y SOSTENIBILIDAD EN LA GESTIÓN EMPRESARIAL (NEXTG)</t>
  </si>
  <si>
    <t>10.91.2T.01.93</t>
  </si>
  <si>
    <t xml:space="preserve">ELIA FORNES BALLESTER. Matrícula curso - GN30 - LIDERAZGO, INNOVACIÓN Y SOSTENIBILIDAD EN LA GESTIÓN EMPRESARIAL </t>
  </si>
  <si>
    <t xml:space="preserve">LIQ-TitProp_GN30-N Curso_2025-26 AñoCont_2025 - LIDERAZGO, INNOVACIÓN Y SOSTENIBILIDAD EN LA GESTIÓN EMPRESARIAL </t>
  </si>
  <si>
    <t>Total ingresos formación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</si>
</sst>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1" fillId="0" borderId="0" applyFont="0" applyFill="0" applyBorder="0" applyAlignment="0" applyProtection="0"/>
  </cellStyleXfs>
  <cellXfs count="74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7" fillId="5" borderId="1" xfId="3" applyFont="1" applyFill="1" applyBorder="1" applyAlignment="1">
      <alignment horizontal="center" textRotation="90" wrapText="1"/>
    </xf>
    <xf numFmtId="0" fontId="7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8" fillId="0" borderId="0" xfId="5" applyFont="1"/>
    <xf numFmtId="0" fontId="8" fillId="0" borderId="0" xfId="5" applyFont="1" applyAlignment="1">
      <alignment horizontal="right"/>
    </xf>
    <xf numFmtId="0" fontId="7" fillId="3" borderId="1" xfId="3" applyFont="1" applyFill="1" applyBorder="1" applyAlignment="1">
      <alignment horizontal="center" wrapText="1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9" fillId="6" borderId="1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center"/>
    </xf>
    <xf numFmtId="166" fontId="2" fillId="4" borderId="2" xfId="1" applyNumberFormat="1" applyFill="1" applyBorder="1"/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8" fillId="8" borderId="7" xfId="0" applyFont="1" applyFill="1" applyBorder="1"/>
    <xf numFmtId="43" fontId="6" fillId="8" borderId="7" xfId="6" applyNumberFormat="1" applyFont="1" applyFill="1" applyBorder="1"/>
    <xf numFmtId="0" fontId="8" fillId="0" borderId="7" xfId="0" applyFont="1" applyBorder="1"/>
    <xf numFmtId="43" fontId="6" fillId="0" borderId="7" xfId="6" applyNumberFormat="1" applyFont="1" applyBorder="1"/>
    <xf numFmtId="0" fontId="6" fillId="0" borderId="1" xfId="0" applyFont="1" applyBorder="1"/>
    <xf numFmtId="0" fontId="0" fillId="9" borderId="0" xfId="0" applyFill="1"/>
    <xf numFmtId="0" fontId="0" fillId="9" borderId="0" xfId="0" applyFill="1" applyAlignment="1">
      <alignment horizontal="left"/>
    </xf>
    <xf numFmtId="0" fontId="13" fillId="9" borderId="0" xfId="0" applyFont="1" applyFill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12" fillId="7" borderId="8" xfId="0" applyFont="1" applyFill="1" applyBorder="1"/>
    <xf numFmtId="0" fontId="8" fillId="8" borderId="9" xfId="0" applyFont="1" applyFill="1" applyBorder="1"/>
    <xf numFmtId="43" fontId="6" fillId="8" borderId="9" xfId="6" applyNumberFormat="1" applyFont="1" applyFill="1" applyBorder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0" fillId="7" borderId="8" xfId="0" applyFont="1" applyFill="1" applyBorder="1"/>
    <xf numFmtId="43" fontId="10" fillId="7" borderId="8" xfId="6" applyNumberFormat="1" applyFont="1" applyFill="1" applyBorder="1"/>
    <xf numFmtId="0" fontId="0" fillId="0" borderId="9" xfId="0" applyNumberFormat="1" applyFont="1" applyBorder="1"/>
    <xf numFmtId="43" fontId="0" fillId="0" borderId="9" xfId="6" applyNumberFormat="1" applyFont="1" applyBorder="1"/>
    <xf numFmtId="0" fontId="0" fillId="0" borderId="9" xfId="0" applyFont="1" applyBorder="1"/>
    <xf numFmtId="43" fontId="11" fillId="0" borderId="9" xfId="0" applyNumberFormat="1" applyFont="1" applyBorder="1"/>
    <xf numFmtId="0" fontId="13" fillId="0" borderId="1" xfId="0" applyFont="1" applyBorder="1"/>
    <xf numFmtId="164" fontId="13" fillId="0" borderId="1" xfId="6" applyFont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5" fillId="10" borderId="10" xfId="0" applyFont="1" applyFill="1" applyBorder="1"/>
    <xf numFmtId="0" fontId="15" fillId="10" borderId="11" xfId="0" applyFont="1" applyFill="1" applyBorder="1"/>
    <xf numFmtId="0" fontId="16" fillId="11" borderId="10" xfId="0" applyFont="1" applyFill="1" applyBorder="1"/>
    <xf numFmtId="0" fontId="16" fillId="11" borderId="11" xfId="0" applyFont="1" applyFill="1" applyBorder="1"/>
    <xf numFmtId="164" fontId="16" fillId="11" borderId="11" xfId="6" applyFont="1" applyFill="1" applyBorder="1"/>
    <xf numFmtId="0" fontId="16" fillId="0" borderId="10" xfId="0" applyFont="1" applyBorder="1"/>
    <xf numFmtId="0" fontId="16" fillId="0" borderId="11" xfId="0" applyFont="1" applyBorder="1"/>
    <xf numFmtId="164" fontId="16" fillId="0" borderId="11" xfId="6" applyFont="1" applyBorder="1"/>
    <xf numFmtId="0" fontId="17" fillId="0" borderId="12" xfId="0" applyFont="1" applyBorder="1"/>
    <xf numFmtId="0" fontId="17" fillId="0" borderId="13" xfId="0" applyFont="1" applyBorder="1"/>
    <xf numFmtId="164" fontId="17" fillId="0" borderId="13" xfId="6" applyFont="1" applyBorder="1"/>
    <xf numFmtId="43" fontId="13" fillId="0" borderId="0" xfId="0" applyNumberFormat="1" applyFont="1"/>
    <xf numFmtId="164" fontId="15" fillId="10" borderId="11" xfId="6" applyFont="1" applyFill="1" applyBorder="1"/>
    <xf numFmtId="164" fontId="17" fillId="0" borderId="13" xfId="0" applyNumberFormat="1" applyFont="1" applyBorder="1"/>
    <xf numFmtId="164" fontId="13" fillId="0" borderId="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6759C-F39D-42C5-BBE8-18E428D2C9CD}" name="Tabla2" displayName="Tabla2" ref="A1:C5" totalsRowShown="0" headerRowDxfId="12" headerRowBorderDxfId="11" tableBorderDxfId="10" totalsRowBorderDxfId="9">
  <autoFilter ref="A1:C5" xr:uid="{4383637A-DD7E-4977-9C71-A5B81B4F0CE1}"/>
  <tableColumns count="3">
    <tableColumn id="1" xr3:uid="{D6D700BB-FAAE-46F8-9B08-40B34E41AA33}" name="Cód. org. aplic."/>
    <tableColumn id="2" xr3:uid="{D971277C-29CC-4B58-AEAE-A3B5866E2D3D}" name="Descripción justificante"/>
    <tableColumn id="3" xr3:uid="{CA892CC9-4463-4EE7-87FF-96C5AA59C63A}" name="Imp.cob.aplic.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1B99E4-A3DF-4D32-BC5C-6E9AC59DCF33}" name="Tabla3" displayName="Tabla3" ref="A1:C14" totalsRowCount="1" headerRowBorderDxfId="8" tableBorderDxfId="7" totalsRowBorderDxfId="6">
  <autoFilter ref="A1:C13" xr:uid="{43F6806F-A906-4851-9EB9-659836D4FA1E}"/>
  <tableColumns count="3">
    <tableColumn id="1" xr3:uid="{93F5633F-F07C-4C1D-9BBA-81447DA4E734}" name="Org. aplic." totalsRowLabel="Total" dataDxfId="5" totalsRowDxfId="4"/>
    <tableColumn id="2" xr3:uid="{D1BFDA29-D88B-45A2-BDC7-9D973727761D}" name="Descripción justificante" dataDxfId="3" totalsRowDxfId="2"/>
    <tableColumn id="3" xr3:uid="{32911353-F0BD-4B1F-8D96-0F0F4D1194C0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30" sqref="C30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5.42578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6" t="s">
        <v>29</v>
      </c>
      <c r="B2" s="16" t="s">
        <v>30</v>
      </c>
      <c r="C2" s="16" t="s">
        <v>31</v>
      </c>
      <c r="D2" s="16" t="s">
        <v>71</v>
      </c>
      <c r="E2" s="16" t="s">
        <v>72</v>
      </c>
      <c r="F2" s="16" t="s">
        <v>73</v>
      </c>
      <c r="G2" s="16" t="s">
        <v>44</v>
      </c>
      <c r="H2" s="16" t="s">
        <v>25</v>
      </c>
      <c r="I2" s="16" t="s">
        <v>39</v>
      </c>
      <c r="J2" s="16" t="s">
        <v>40</v>
      </c>
      <c r="K2" s="26">
        <v>1</v>
      </c>
      <c r="L2" s="16" t="s">
        <v>42</v>
      </c>
      <c r="M2" s="16">
        <v>2019</v>
      </c>
      <c r="N2" s="16" t="s">
        <v>24</v>
      </c>
      <c r="O2" s="17" t="s">
        <v>24</v>
      </c>
      <c r="P2" s="16" t="s">
        <v>24</v>
      </c>
      <c r="Q2" s="17" t="s">
        <v>24</v>
      </c>
      <c r="R2" s="18">
        <v>100</v>
      </c>
      <c r="S2" s="19">
        <v>1</v>
      </c>
      <c r="T2" s="19">
        <v>0</v>
      </c>
      <c r="U2" s="19">
        <v>0</v>
      </c>
    </row>
    <row r="3" spans="1:21" x14ac:dyDescent="0.2">
      <c r="A3" s="14" t="s">
        <v>29</v>
      </c>
      <c r="B3" s="14" t="s">
        <v>30</v>
      </c>
      <c r="C3" s="14" t="s">
        <v>31</v>
      </c>
      <c r="D3" s="14" t="s">
        <v>77</v>
      </c>
      <c r="E3" s="14" t="s">
        <v>78</v>
      </c>
      <c r="F3" s="14" t="s">
        <v>79</v>
      </c>
      <c r="G3" s="14" t="s">
        <v>45</v>
      </c>
      <c r="H3" s="14" t="s">
        <v>22</v>
      </c>
      <c r="I3" s="14" t="s">
        <v>39</v>
      </c>
      <c r="J3" s="14" t="s">
        <v>40</v>
      </c>
      <c r="K3" s="20">
        <v>0.5</v>
      </c>
      <c r="L3" s="20" t="s">
        <v>42</v>
      </c>
      <c r="M3" s="21">
        <v>2019</v>
      </c>
      <c r="N3" s="14" t="s">
        <v>28</v>
      </c>
      <c r="O3" s="15">
        <v>10</v>
      </c>
      <c r="P3" s="14" t="s">
        <v>27</v>
      </c>
      <c r="Q3" s="15">
        <v>50</v>
      </c>
      <c r="R3" s="14">
        <v>40</v>
      </c>
      <c r="S3" s="14">
        <v>0.2</v>
      </c>
      <c r="T3" s="14">
        <v>0.05</v>
      </c>
      <c r="U3" s="14">
        <v>0.25</v>
      </c>
    </row>
    <row r="4" spans="1:21" x14ac:dyDescent="0.2">
      <c r="A4" s="14" t="s">
        <v>29</v>
      </c>
      <c r="B4" s="14" t="s">
        <v>30</v>
      </c>
      <c r="C4" s="14" t="s">
        <v>31</v>
      </c>
      <c r="D4" s="14" t="s">
        <v>77</v>
      </c>
      <c r="E4" s="14" t="s">
        <v>78</v>
      </c>
      <c r="F4" s="14" t="s">
        <v>79</v>
      </c>
      <c r="G4" s="14" t="s">
        <v>43</v>
      </c>
      <c r="H4" s="14" t="s">
        <v>22</v>
      </c>
      <c r="I4" s="14" t="s">
        <v>39</v>
      </c>
      <c r="J4" s="14" t="s">
        <v>40</v>
      </c>
      <c r="K4" s="20">
        <v>0.5</v>
      </c>
      <c r="L4" s="20" t="s">
        <v>42</v>
      </c>
      <c r="M4" s="21">
        <v>2019</v>
      </c>
      <c r="N4" s="14" t="s">
        <v>27</v>
      </c>
      <c r="O4" s="15">
        <v>50</v>
      </c>
      <c r="P4" s="14" t="s">
        <v>28</v>
      </c>
      <c r="Q4" s="15">
        <v>10</v>
      </c>
      <c r="R4" s="14">
        <v>40</v>
      </c>
      <c r="S4" s="14">
        <v>0.2</v>
      </c>
      <c r="T4" s="14">
        <v>0.25</v>
      </c>
      <c r="U4" s="14">
        <v>0.05</v>
      </c>
    </row>
    <row r="5" spans="1:21" x14ac:dyDescent="0.2">
      <c r="A5" s="14" t="s">
        <v>29</v>
      </c>
      <c r="B5" s="14" t="s">
        <v>30</v>
      </c>
      <c r="C5" s="14" t="s">
        <v>31</v>
      </c>
      <c r="D5" s="14" t="s">
        <v>80</v>
      </c>
      <c r="E5" s="14" t="s">
        <v>81</v>
      </c>
      <c r="F5" s="14" t="s">
        <v>82</v>
      </c>
      <c r="G5" s="14" t="s">
        <v>46</v>
      </c>
      <c r="H5" s="14" t="s">
        <v>25</v>
      </c>
      <c r="I5" s="14" t="s">
        <v>39</v>
      </c>
      <c r="J5" s="14" t="s">
        <v>40</v>
      </c>
      <c r="K5" s="20">
        <v>1</v>
      </c>
      <c r="L5" s="20" t="s">
        <v>42</v>
      </c>
      <c r="M5" s="21">
        <v>2019</v>
      </c>
      <c r="N5" s="14" t="s">
        <v>24</v>
      </c>
      <c r="O5" s="15" t="s">
        <v>24</v>
      </c>
      <c r="P5" s="14" t="s">
        <v>24</v>
      </c>
      <c r="Q5" s="15" t="s">
        <v>24</v>
      </c>
      <c r="R5" s="14">
        <v>100</v>
      </c>
      <c r="S5" s="14">
        <v>1</v>
      </c>
      <c r="T5" s="14">
        <v>0</v>
      </c>
      <c r="U5" s="14">
        <v>0</v>
      </c>
    </row>
    <row r="6" spans="1:21" ht="12" thickBot="1" x14ac:dyDescent="0.25">
      <c r="A6" s="14" t="s">
        <v>83</v>
      </c>
      <c r="B6" s="14" t="s">
        <v>84</v>
      </c>
      <c r="C6" s="14" t="s">
        <v>85</v>
      </c>
      <c r="D6" s="14" t="s">
        <v>86</v>
      </c>
      <c r="E6" s="14" t="s">
        <v>87</v>
      </c>
      <c r="F6" s="14" t="s">
        <v>88</v>
      </c>
      <c r="G6" s="14" t="s">
        <v>47</v>
      </c>
      <c r="H6" s="14" t="s">
        <v>22</v>
      </c>
      <c r="I6" s="14" t="s">
        <v>39</v>
      </c>
      <c r="J6" s="14" t="s">
        <v>40</v>
      </c>
      <c r="K6" s="20">
        <v>0.5</v>
      </c>
      <c r="L6" s="20" t="s">
        <v>42</v>
      </c>
      <c r="M6" s="21">
        <v>2019</v>
      </c>
      <c r="N6" s="14" t="s">
        <v>38</v>
      </c>
      <c r="O6" s="15">
        <v>20</v>
      </c>
      <c r="P6" s="14" t="s">
        <v>24</v>
      </c>
      <c r="Q6" s="15">
        <v>0</v>
      </c>
      <c r="R6" s="14">
        <v>80</v>
      </c>
      <c r="S6" s="14">
        <v>0.4</v>
      </c>
      <c r="T6" s="14">
        <v>0.1</v>
      </c>
      <c r="U6" s="14">
        <v>0</v>
      </c>
    </row>
    <row r="7" spans="1:21" ht="12" thickBot="1" x14ac:dyDescent="0.25">
      <c r="A7" s="22" t="s">
        <v>35</v>
      </c>
      <c r="B7" s="22" t="s">
        <v>36</v>
      </c>
      <c r="C7" s="22" t="s">
        <v>37</v>
      </c>
      <c r="D7" s="22" t="s">
        <v>89</v>
      </c>
      <c r="E7" s="22" t="s">
        <v>90</v>
      </c>
      <c r="F7" s="22" t="s">
        <v>91</v>
      </c>
      <c r="G7" s="23" t="s">
        <v>43</v>
      </c>
      <c r="H7" s="24" t="s">
        <v>22</v>
      </c>
      <c r="I7" s="24" t="s">
        <v>39</v>
      </c>
      <c r="J7" s="25" t="s">
        <v>40</v>
      </c>
      <c r="K7" s="20">
        <v>0.5</v>
      </c>
      <c r="L7" s="20" t="s">
        <v>42</v>
      </c>
      <c r="M7" s="14">
        <v>2020</v>
      </c>
      <c r="N7" s="14" t="s">
        <v>27</v>
      </c>
      <c r="O7" s="15">
        <v>50</v>
      </c>
      <c r="P7" s="14" t="s">
        <v>28</v>
      </c>
      <c r="Q7" s="15">
        <v>10</v>
      </c>
      <c r="R7" s="14">
        <v>40</v>
      </c>
      <c r="S7" s="14">
        <v>0.2</v>
      </c>
      <c r="T7" s="14">
        <v>0.25</v>
      </c>
      <c r="U7" s="14">
        <v>0.05</v>
      </c>
    </row>
    <row r="8" spans="1:21" ht="12" thickBot="1" x14ac:dyDescent="0.25">
      <c r="A8" s="22" t="s">
        <v>29</v>
      </c>
      <c r="B8" s="22" t="s">
        <v>30</v>
      </c>
      <c r="C8" s="22" t="s">
        <v>31</v>
      </c>
      <c r="D8" s="22" t="s">
        <v>92</v>
      </c>
      <c r="E8" s="22" t="s">
        <v>93</v>
      </c>
      <c r="F8" s="22" t="s">
        <v>94</v>
      </c>
      <c r="G8" s="23" t="s">
        <v>46</v>
      </c>
      <c r="H8" s="24" t="s">
        <v>25</v>
      </c>
      <c r="I8" s="24" t="s">
        <v>39</v>
      </c>
      <c r="J8" s="25" t="s">
        <v>40</v>
      </c>
      <c r="K8" s="20">
        <v>1</v>
      </c>
      <c r="L8" s="20" t="s">
        <v>42</v>
      </c>
      <c r="M8" s="14">
        <v>2020</v>
      </c>
      <c r="N8" s="14" t="s">
        <v>24</v>
      </c>
      <c r="O8" s="15" t="s">
        <v>24</v>
      </c>
      <c r="P8" s="14" t="s">
        <v>24</v>
      </c>
      <c r="Q8" s="15" t="s">
        <v>24</v>
      </c>
      <c r="R8" s="14">
        <v>100</v>
      </c>
      <c r="S8" s="14">
        <v>1</v>
      </c>
      <c r="T8" s="14">
        <v>0</v>
      </c>
      <c r="U8" s="14">
        <v>0</v>
      </c>
    </row>
    <row r="9" spans="1:21" ht="12" thickBot="1" x14ac:dyDescent="0.25">
      <c r="A9" s="22" t="s">
        <v>29</v>
      </c>
      <c r="B9" s="22" t="s">
        <v>30</v>
      </c>
      <c r="C9" s="22" t="s">
        <v>31</v>
      </c>
      <c r="D9" s="22" t="s">
        <v>95</v>
      </c>
      <c r="E9" s="22" t="s">
        <v>96</v>
      </c>
      <c r="F9" s="22" t="s">
        <v>97</v>
      </c>
      <c r="G9" s="23" t="s">
        <v>41</v>
      </c>
      <c r="H9" s="24" t="s">
        <v>25</v>
      </c>
      <c r="I9" s="24" t="s">
        <v>39</v>
      </c>
      <c r="J9" s="25" t="s">
        <v>40</v>
      </c>
      <c r="K9" s="20">
        <v>1</v>
      </c>
      <c r="L9" s="20" t="s">
        <v>42</v>
      </c>
      <c r="M9" s="14">
        <v>2020</v>
      </c>
      <c r="N9" s="14" t="s">
        <v>38</v>
      </c>
      <c r="O9" s="15">
        <v>20</v>
      </c>
      <c r="P9" s="14" t="s">
        <v>24</v>
      </c>
      <c r="Q9" s="15">
        <v>0</v>
      </c>
      <c r="R9" s="14">
        <v>80</v>
      </c>
      <c r="S9" s="14">
        <v>0.8</v>
      </c>
      <c r="T9" s="14">
        <v>0.2</v>
      </c>
      <c r="U9" s="14">
        <v>0</v>
      </c>
    </row>
    <row r="10" spans="1:21" ht="12" thickBot="1" x14ac:dyDescent="0.25">
      <c r="A10" s="22" t="s">
        <v>32</v>
      </c>
      <c r="B10" s="22" t="s">
        <v>33</v>
      </c>
      <c r="C10" s="22" t="s">
        <v>34</v>
      </c>
      <c r="D10" s="22" t="s">
        <v>98</v>
      </c>
      <c r="E10" s="22" t="s">
        <v>99</v>
      </c>
      <c r="F10" s="22" t="s">
        <v>100</v>
      </c>
      <c r="G10" s="23" t="s">
        <v>48</v>
      </c>
      <c r="H10" s="24" t="s">
        <v>22</v>
      </c>
      <c r="I10" s="24" t="s">
        <v>39</v>
      </c>
      <c r="J10" s="25" t="s">
        <v>40</v>
      </c>
      <c r="K10" s="20">
        <v>0.5</v>
      </c>
      <c r="L10" s="20" t="s">
        <v>42</v>
      </c>
      <c r="M10" s="14">
        <v>2020</v>
      </c>
      <c r="N10" s="14" t="s">
        <v>28</v>
      </c>
      <c r="O10" s="15">
        <v>50</v>
      </c>
      <c r="P10" s="14" t="s">
        <v>24</v>
      </c>
      <c r="Q10" s="15">
        <v>0</v>
      </c>
      <c r="R10" s="14">
        <v>50</v>
      </c>
      <c r="S10" s="14">
        <v>0.25</v>
      </c>
      <c r="T10" s="14">
        <v>0.25</v>
      </c>
      <c r="U10" s="14">
        <v>0</v>
      </c>
    </row>
    <row r="11" spans="1:21" x14ac:dyDescent="0.2">
      <c r="A11" s="14" t="s">
        <v>35</v>
      </c>
      <c r="B11" s="14" t="s">
        <v>36</v>
      </c>
      <c r="C11" s="14" t="s">
        <v>37</v>
      </c>
      <c r="D11" s="14" t="s">
        <v>103</v>
      </c>
      <c r="E11" s="14" t="s">
        <v>104</v>
      </c>
      <c r="F11" s="14" t="s">
        <v>105</v>
      </c>
      <c r="G11" s="14" t="s">
        <v>43</v>
      </c>
      <c r="H11" s="14" t="s">
        <v>22</v>
      </c>
      <c r="I11" s="14" t="s">
        <v>39</v>
      </c>
      <c r="J11" s="14" t="s">
        <v>40</v>
      </c>
      <c r="K11" s="20">
        <v>0.5</v>
      </c>
      <c r="L11" s="20" t="s">
        <v>42</v>
      </c>
      <c r="M11" s="14">
        <v>2021</v>
      </c>
      <c r="N11" s="14" t="s">
        <v>27</v>
      </c>
      <c r="O11" s="15">
        <v>50</v>
      </c>
      <c r="P11" s="14" t="s">
        <v>28</v>
      </c>
      <c r="Q11" s="15">
        <v>10</v>
      </c>
      <c r="R11" s="14">
        <v>40</v>
      </c>
      <c r="S11" s="14">
        <v>0.2</v>
      </c>
      <c r="T11" s="14">
        <v>0.25</v>
      </c>
      <c r="U11" s="14">
        <v>0.05</v>
      </c>
    </row>
    <row r="12" spans="1:21" x14ac:dyDescent="0.2">
      <c r="A12" s="14" t="s">
        <v>29</v>
      </c>
      <c r="B12" s="14" t="s">
        <v>30</v>
      </c>
      <c r="C12" s="14" t="s">
        <v>31</v>
      </c>
      <c r="D12" s="14" t="s">
        <v>106</v>
      </c>
      <c r="E12" s="14" t="s">
        <v>107</v>
      </c>
      <c r="F12" s="14" t="s">
        <v>108</v>
      </c>
      <c r="G12" s="14" t="s">
        <v>45</v>
      </c>
      <c r="H12" s="14" t="s">
        <v>22</v>
      </c>
      <c r="I12" s="14" t="s">
        <v>39</v>
      </c>
      <c r="J12" s="14" t="s">
        <v>40</v>
      </c>
      <c r="K12" s="20">
        <v>0.5</v>
      </c>
      <c r="L12" s="20" t="s">
        <v>42</v>
      </c>
      <c r="M12" s="14">
        <v>2021</v>
      </c>
      <c r="N12" s="14" t="s">
        <v>28</v>
      </c>
      <c r="O12" s="15">
        <v>10</v>
      </c>
      <c r="P12" s="14" t="s">
        <v>27</v>
      </c>
      <c r="Q12" s="15">
        <v>50</v>
      </c>
      <c r="R12" s="14">
        <v>40</v>
      </c>
      <c r="S12" s="14">
        <v>0.2</v>
      </c>
      <c r="T12" s="14">
        <v>0.05</v>
      </c>
      <c r="U12" s="14">
        <v>0.25</v>
      </c>
    </row>
    <row r="13" spans="1:21" x14ac:dyDescent="0.2">
      <c r="A13" s="14" t="s">
        <v>29</v>
      </c>
      <c r="B13" s="14" t="s">
        <v>30</v>
      </c>
      <c r="C13" s="14" t="s">
        <v>31</v>
      </c>
      <c r="D13" s="14" t="s">
        <v>106</v>
      </c>
      <c r="E13" s="14" t="s">
        <v>107</v>
      </c>
      <c r="F13" s="14" t="s">
        <v>108</v>
      </c>
      <c r="G13" s="14" t="s">
        <v>43</v>
      </c>
      <c r="H13" s="14" t="s">
        <v>22</v>
      </c>
      <c r="I13" s="14" t="s">
        <v>39</v>
      </c>
      <c r="J13" s="14" t="s">
        <v>40</v>
      </c>
      <c r="K13" s="20">
        <v>0.5</v>
      </c>
      <c r="L13" s="20" t="s">
        <v>42</v>
      </c>
      <c r="M13" s="14">
        <v>2021</v>
      </c>
      <c r="N13" s="14" t="s">
        <v>27</v>
      </c>
      <c r="O13" s="15">
        <v>50</v>
      </c>
      <c r="P13" s="14" t="s">
        <v>28</v>
      </c>
      <c r="Q13" s="15">
        <v>10</v>
      </c>
      <c r="R13" s="14">
        <v>40</v>
      </c>
      <c r="S13" s="14">
        <v>0.2</v>
      </c>
      <c r="T13" s="14">
        <v>0.25</v>
      </c>
      <c r="U13" s="14">
        <v>0.05</v>
      </c>
    </row>
    <row r="14" spans="1:21" x14ac:dyDescent="0.2">
      <c r="A14" s="14" t="s">
        <v>29</v>
      </c>
      <c r="B14" s="14" t="s">
        <v>30</v>
      </c>
      <c r="C14" s="14" t="s">
        <v>31</v>
      </c>
      <c r="D14" s="14" t="s">
        <v>109</v>
      </c>
      <c r="E14" s="14" t="s">
        <v>110</v>
      </c>
      <c r="F14" s="14" t="s">
        <v>111</v>
      </c>
      <c r="G14" s="14" t="s">
        <v>46</v>
      </c>
      <c r="H14" s="14" t="s">
        <v>22</v>
      </c>
      <c r="I14" s="14" t="s">
        <v>39</v>
      </c>
      <c r="J14" s="14" t="s">
        <v>40</v>
      </c>
      <c r="K14" s="20">
        <v>0.5</v>
      </c>
      <c r="L14" s="20" t="s">
        <v>42</v>
      </c>
      <c r="M14" s="14">
        <v>2021</v>
      </c>
      <c r="N14" s="14" t="s">
        <v>24</v>
      </c>
      <c r="O14" s="15" t="s">
        <v>24</v>
      </c>
      <c r="P14" s="14" t="s">
        <v>24</v>
      </c>
      <c r="Q14" s="15" t="s">
        <v>24</v>
      </c>
      <c r="R14" s="14">
        <v>100</v>
      </c>
      <c r="S14" s="14">
        <v>0.5</v>
      </c>
      <c r="T14" s="14">
        <v>0</v>
      </c>
      <c r="U14" s="14">
        <v>0</v>
      </c>
    </row>
    <row r="15" spans="1:21" x14ac:dyDescent="0.2">
      <c r="A15" s="14" t="s">
        <v>29</v>
      </c>
      <c r="B15" s="14" t="s">
        <v>30</v>
      </c>
      <c r="C15" s="14" t="s">
        <v>31</v>
      </c>
      <c r="D15" s="14" t="s">
        <v>109</v>
      </c>
      <c r="E15" s="14" t="s">
        <v>110</v>
      </c>
      <c r="F15" s="14" t="s">
        <v>111</v>
      </c>
      <c r="G15" s="14" t="s">
        <v>112</v>
      </c>
      <c r="H15" s="14" t="s">
        <v>22</v>
      </c>
      <c r="I15" s="14" t="s">
        <v>39</v>
      </c>
      <c r="J15" s="14" t="s">
        <v>40</v>
      </c>
      <c r="K15" s="20">
        <v>0.5</v>
      </c>
      <c r="L15" s="20" t="s">
        <v>42</v>
      </c>
      <c r="M15" s="14">
        <v>2021</v>
      </c>
      <c r="N15" s="14" t="s">
        <v>24</v>
      </c>
      <c r="O15" s="15" t="s">
        <v>24</v>
      </c>
      <c r="P15" s="14" t="s">
        <v>24</v>
      </c>
      <c r="Q15" s="15" t="s">
        <v>24</v>
      </c>
      <c r="R15" s="14">
        <v>100</v>
      </c>
      <c r="S15" s="14">
        <v>0.5</v>
      </c>
      <c r="T15" s="14">
        <v>0</v>
      </c>
      <c r="U15" s="14">
        <v>0</v>
      </c>
    </row>
    <row r="16" spans="1:21" x14ac:dyDescent="0.2">
      <c r="A16" s="14" t="s">
        <v>29</v>
      </c>
      <c r="B16" s="14" t="s">
        <v>30</v>
      </c>
      <c r="C16" s="14" t="s">
        <v>31</v>
      </c>
      <c r="D16" s="14" t="s">
        <v>113</v>
      </c>
      <c r="E16" s="14" t="s">
        <v>114</v>
      </c>
      <c r="F16" s="14" t="s">
        <v>115</v>
      </c>
      <c r="G16" s="14" t="s">
        <v>41</v>
      </c>
      <c r="H16" s="14" t="s">
        <v>25</v>
      </c>
      <c r="I16" s="14" t="s">
        <v>39</v>
      </c>
      <c r="J16" s="14" t="s">
        <v>40</v>
      </c>
      <c r="K16" s="20">
        <v>1</v>
      </c>
      <c r="L16" s="20" t="s">
        <v>42</v>
      </c>
      <c r="M16" s="14">
        <v>2021</v>
      </c>
      <c r="N16" s="14" t="s">
        <v>38</v>
      </c>
      <c r="O16" s="15">
        <v>20</v>
      </c>
      <c r="P16" s="14" t="s">
        <v>24</v>
      </c>
      <c r="Q16" s="15">
        <v>0</v>
      </c>
      <c r="R16" s="14">
        <v>80</v>
      </c>
      <c r="S16" s="14">
        <v>0.8</v>
      </c>
      <c r="T16" s="14">
        <v>0.2</v>
      </c>
      <c r="U16" s="14">
        <v>0</v>
      </c>
    </row>
    <row r="17" spans="1:21" x14ac:dyDescent="0.2">
      <c r="A17" s="14" t="s">
        <v>32</v>
      </c>
      <c r="B17" s="14" t="s">
        <v>33</v>
      </c>
      <c r="C17" s="14" t="s">
        <v>34</v>
      </c>
      <c r="D17" s="14" t="s">
        <v>116</v>
      </c>
      <c r="E17" s="14" t="s">
        <v>117</v>
      </c>
      <c r="F17" s="14" t="s">
        <v>118</v>
      </c>
      <c r="G17" s="14" t="s">
        <v>119</v>
      </c>
      <c r="H17" s="14" t="s">
        <v>22</v>
      </c>
      <c r="I17" s="14" t="s">
        <v>39</v>
      </c>
      <c r="J17" s="14" t="s">
        <v>40</v>
      </c>
      <c r="K17" s="20">
        <v>0.5</v>
      </c>
      <c r="L17" s="20" t="s">
        <v>42</v>
      </c>
      <c r="M17" s="14">
        <v>2021</v>
      </c>
      <c r="N17" s="14" t="s">
        <v>28</v>
      </c>
      <c r="O17" s="15">
        <v>20</v>
      </c>
      <c r="P17" s="14" t="s">
        <v>24</v>
      </c>
      <c r="Q17" s="15">
        <v>0</v>
      </c>
      <c r="R17" s="14">
        <v>80</v>
      </c>
      <c r="S17" s="14">
        <v>0.4</v>
      </c>
      <c r="T17" s="14">
        <v>0.1</v>
      </c>
      <c r="U17" s="14">
        <v>0</v>
      </c>
    </row>
    <row r="18" spans="1:21" x14ac:dyDescent="0.2">
      <c r="A18" s="14" t="s">
        <v>83</v>
      </c>
      <c r="B18" s="14" t="s">
        <v>122</v>
      </c>
      <c r="C18" s="14" t="s">
        <v>85</v>
      </c>
      <c r="D18" s="14" t="s">
        <v>123</v>
      </c>
      <c r="E18" s="14" t="s">
        <v>124</v>
      </c>
      <c r="F18" s="14" t="s">
        <v>125</v>
      </c>
      <c r="G18" s="14" t="s">
        <v>41</v>
      </c>
      <c r="H18" s="14" t="s">
        <v>25</v>
      </c>
      <c r="I18" s="14" t="s">
        <v>39</v>
      </c>
      <c r="J18" s="14" t="s">
        <v>40</v>
      </c>
      <c r="K18" s="29">
        <v>1</v>
      </c>
      <c r="L18" s="29" t="s">
        <v>42</v>
      </c>
      <c r="M18" s="14">
        <v>2022</v>
      </c>
      <c r="N18" s="29" t="s">
        <v>38</v>
      </c>
      <c r="O18" s="29">
        <v>20</v>
      </c>
      <c r="P18" s="29" t="s">
        <v>24</v>
      </c>
      <c r="Q18" s="29">
        <v>0</v>
      </c>
      <c r="R18" s="29">
        <v>80</v>
      </c>
      <c r="S18" s="29">
        <v>0.8</v>
      </c>
      <c r="T18" s="29">
        <v>0.2</v>
      </c>
      <c r="U18" s="29">
        <v>0</v>
      </c>
    </row>
    <row r="19" spans="1:21" x14ac:dyDescent="0.2">
      <c r="A19" s="14" t="s">
        <v>83</v>
      </c>
      <c r="B19" s="14" t="s">
        <v>122</v>
      </c>
      <c r="C19" s="14" t="s">
        <v>85</v>
      </c>
      <c r="D19" s="14" t="s">
        <v>126</v>
      </c>
      <c r="E19" s="14" t="s">
        <v>127</v>
      </c>
      <c r="F19" s="14" t="s">
        <v>128</v>
      </c>
      <c r="G19" s="14" t="s">
        <v>47</v>
      </c>
      <c r="H19" s="14" t="s">
        <v>25</v>
      </c>
      <c r="I19" s="14" t="s">
        <v>39</v>
      </c>
      <c r="J19" s="14" t="s">
        <v>40</v>
      </c>
      <c r="K19" s="29">
        <v>1</v>
      </c>
      <c r="L19" s="29" t="s">
        <v>42</v>
      </c>
      <c r="M19" s="14">
        <v>2022</v>
      </c>
      <c r="N19" s="29" t="s">
        <v>38</v>
      </c>
      <c r="O19" s="29">
        <v>20</v>
      </c>
      <c r="P19" s="29" t="s">
        <v>24</v>
      </c>
      <c r="Q19" s="29">
        <v>0</v>
      </c>
      <c r="R19" s="29">
        <v>80</v>
      </c>
      <c r="S19" s="29">
        <v>0.8</v>
      </c>
      <c r="T19" s="29">
        <v>0.2</v>
      </c>
      <c r="U19" s="29">
        <v>0</v>
      </c>
    </row>
    <row r="20" spans="1:21" x14ac:dyDescent="0.2">
      <c r="A20" s="14" t="s">
        <v>137</v>
      </c>
      <c r="B20" s="14" t="s">
        <v>138</v>
      </c>
      <c r="C20" s="14" t="s">
        <v>139</v>
      </c>
      <c r="D20" s="14" t="s">
        <v>140</v>
      </c>
      <c r="E20" s="14" t="s">
        <v>141</v>
      </c>
      <c r="F20" s="14" t="s">
        <v>142</v>
      </c>
      <c r="G20" s="14" t="s">
        <v>70</v>
      </c>
      <c r="H20" s="14" t="s">
        <v>143</v>
      </c>
      <c r="I20" s="14" t="s">
        <v>42</v>
      </c>
      <c r="J20" s="14" t="s">
        <v>144</v>
      </c>
      <c r="K20" s="14">
        <v>1</v>
      </c>
      <c r="L20" s="14" t="s">
        <v>42</v>
      </c>
      <c r="M20" s="14">
        <v>2023</v>
      </c>
      <c r="N20" s="15" t="s">
        <v>24</v>
      </c>
      <c r="O20" s="14" t="s">
        <v>24</v>
      </c>
      <c r="P20" s="15" t="s">
        <v>24</v>
      </c>
      <c r="Q20" s="14" t="s">
        <v>24</v>
      </c>
      <c r="R20" s="14">
        <v>100</v>
      </c>
      <c r="S20" s="14">
        <v>1</v>
      </c>
      <c r="T20" s="14">
        <v>0</v>
      </c>
      <c r="U20" s="14">
        <v>0</v>
      </c>
    </row>
    <row r="21" spans="1:21" x14ac:dyDescent="0.2">
      <c r="A21" s="14" t="s">
        <v>137</v>
      </c>
      <c r="B21" s="14" t="s">
        <v>138</v>
      </c>
      <c r="C21" s="14" t="s">
        <v>139</v>
      </c>
      <c r="D21" s="14" t="s">
        <v>145</v>
      </c>
      <c r="E21" s="14" t="s">
        <v>146</v>
      </c>
      <c r="F21" s="14" t="s">
        <v>147</v>
      </c>
      <c r="G21" s="14" t="s">
        <v>70</v>
      </c>
      <c r="H21" s="14" t="s">
        <v>143</v>
      </c>
      <c r="I21" s="14" t="s">
        <v>42</v>
      </c>
      <c r="J21" s="14" t="s">
        <v>144</v>
      </c>
      <c r="K21" s="14">
        <v>1</v>
      </c>
      <c r="L21" s="14" t="s">
        <v>42</v>
      </c>
      <c r="M21" s="14">
        <v>2023</v>
      </c>
      <c r="N21" s="15" t="s">
        <v>24</v>
      </c>
      <c r="O21" s="14" t="s">
        <v>24</v>
      </c>
      <c r="P21" s="15" t="s">
        <v>24</v>
      </c>
      <c r="Q21" s="14" t="s">
        <v>24</v>
      </c>
      <c r="R21" s="14">
        <v>100</v>
      </c>
      <c r="S21" s="14">
        <v>1</v>
      </c>
      <c r="T21" s="14">
        <v>0</v>
      </c>
      <c r="U21" s="14">
        <v>0</v>
      </c>
    </row>
    <row r="22" spans="1:21" x14ac:dyDescent="0.2">
      <c r="A22" s="14" t="s">
        <v>137</v>
      </c>
      <c r="B22" s="14" t="s">
        <v>176</v>
      </c>
      <c r="C22" s="14" t="s">
        <v>139</v>
      </c>
      <c r="D22" s="14" t="s">
        <v>177</v>
      </c>
      <c r="E22" s="14" t="s">
        <v>178</v>
      </c>
      <c r="F22" s="14" t="s">
        <v>179</v>
      </c>
      <c r="G22" s="14" t="s">
        <v>67</v>
      </c>
      <c r="H22" s="14" t="s">
        <v>180</v>
      </c>
      <c r="I22" s="14" t="s">
        <v>42</v>
      </c>
      <c r="J22" s="14" t="s">
        <v>181</v>
      </c>
      <c r="K22" s="14">
        <v>0.5</v>
      </c>
      <c r="L22" s="14" t="s">
        <v>42</v>
      </c>
      <c r="M22" s="14">
        <v>2024</v>
      </c>
      <c r="N22" s="15" t="s">
        <v>27</v>
      </c>
      <c r="O22" s="14" t="s">
        <v>23</v>
      </c>
      <c r="P22" s="15" t="s">
        <v>28</v>
      </c>
      <c r="Q22" s="14" t="s">
        <v>26</v>
      </c>
      <c r="R22" s="14">
        <v>40</v>
      </c>
      <c r="S22" s="14">
        <v>0.2</v>
      </c>
      <c r="T22" s="14">
        <v>0.25</v>
      </c>
      <c r="U22" s="14">
        <v>0.05</v>
      </c>
    </row>
    <row r="23" spans="1:21" x14ac:dyDescent="0.2">
      <c r="A23" s="14" t="s">
        <v>137</v>
      </c>
      <c r="B23" s="14" t="s">
        <v>176</v>
      </c>
      <c r="C23" s="14" t="s">
        <v>139</v>
      </c>
      <c r="D23" s="14" t="s">
        <v>177</v>
      </c>
      <c r="E23" s="14" t="s">
        <v>178</v>
      </c>
      <c r="F23" s="14" t="s">
        <v>179</v>
      </c>
      <c r="G23" s="14" t="s">
        <v>63</v>
      </c>
      <c r="H23" s="14" t="s">
        <v>180</v>
      </c>
      <c r="I23" s="14" t="s">
        <v>42</v>
      </c>
      <c r="J23" s="14" t="s">
        <v>181</v>
      </c>
      <c r="K23" s="14">
        <v>0.5</v>
      </c>
      <c r="L23" s="14" t="s">
        <v>42</v>
      </c>
      <c r="M23" s="14">
        <v>2024</v>
      </c>
      <c r="N23" s="15" t="s">
        <v>27</v>
      </c>
      <c r="O23" s="14" t="s">
        <v>182</v>
      </c>
      <c r="P23" s="15" t="s">
        <v>24</v>
      </c>
      <c r="Q23" s="14" t="s">
        <v>24</v>
      </c>
      <c r="R23" s="14">
        <v>40</v>
      </c>
      <c r="S23" s="14">
        <v>0.2</v>
      </c>
      <c r="T23" s="14">
        <v>0.3</v>
      </c>
      <c r="U23" s="14">
        <v>0</v>
      </c>
    </row>
    <row r="24" spans="1:21" x14ac:dyDescent="0.2">
      <c r="A24" s="14" t="s">
        <v>183</v>
      </c>
      <c r="B24" s="14" t="s">
        <v>184</v>
      </c>
      <c r="C24" s="14" t="s">
        <v>185</v>
      </c>
      <c r="D24" s="14" t="s">
        <v>186</v>
      </c>
      <c r="E24" s="14" t="s">
        <v>187</v>
      </c>
      <c r="F24" s="14" t="s">
        <v>188</v>
      </c>
      <c r="G24" s="14" t="s">
        <v>65</v>
      </c>
      <c r="H24" s="14" t="s">
        <v>143</v>
      </c>
      <c r="I24" s="14" t="s">
        <v>42</v>
      </c>
      <c r="J24" s="14" t="s">
        <v>181</v>
      </c>
      <c r="K24" s="14">
        <v>1</v>
      </c>
      <c r="L24" s="14" t="s">
        <v>42</v>
      </c>
      <c r="M24" s="14">
        <v>2024</v>
      </c>
      <c r="N24" s="15" t="s">
        <v>28</v>
      </c>
      <c r="O24" s="14" t="s">
        <v>23</v>
      </c>
      <c r="P24" s="15" t="s">
        <v>24</v>
      </c>
      <c r="Q24" s="14" t="s">
        <v>24</v>
      </c>
      <c r="R24" s="14">
        <v>50</v>
      </c>
      <c r="S24" s="14">
        <v>0.5</v>
      </c>
      <c r="T24" s="14">
        <v>0.5</v>
      </c>
      <c r="U24" s="14">
        <v>0</v>
      </c>
    </row>
    <row r="25" spans="1:21" x14ac:dyDescent="0.2">
      <c r="A25" s="14" t="s">
        <v>189</v>
      </c>
      <c r="B25" s="14" t="s">
        <v>190</v>
      </c>
      <c r="C25" s="14" t="s">
        <v>191</v>
      </c>
      <c r="D25" s="14" t="s">
        <v>192</v>
      </c>
      <c r="E25" s="14" t="s">
        <v>193</v>
      </c>
      <c r="F25" s="14" t="s">
        <v>194</v>
      </c>
      <c r="G25" s="14" t="s">
        <v>74</v>
      </c>
      <c r="H25" s="14" t="s">
        <v>180</v>
      </c>
      <c r="I25" s="14" t="s">
        <v>42</v>
      </c>
      <c r="J25" s="14" t="s">
        <v>181</v>
      </c>
      <c r="K25" s="14">
        <v>0.5</v>
      </c>
      <c r="L25" s="14" t="s">
        <v>42</v>
      </c>
      <c r="M25" s="14">
        <v>2024</v>
      </c>
      <c r="N25" s="15" t="s">
        <v>38</v>
      </c>
      <c r="O25" s="14" t="s">
        <v>148</v>
      </c>
      <c r="P25" s="15" t="s">
        <v>24</v>
      </c>
      <c r="Q25" s="14" t="s">
        <v>24</v>
      </c>
      <c r="R25" s="14">
        <v>80</v>
      </c>
      <c r="S25" s="14">
        <v>0.4</v>
      </c>
      <c r="T25" s="14">
        <v>0.1</v>
      </c>
      <c r="U25" s="14">
        <v>0</v>
      </c>
    </row>
    <row r="26" spans="1:21" x14ac:dyDescent="0.2">
      <c r="A26" s="14" t="s">
        <v>189</v>
      </c>
      <c r="B26" s="14" t="s">
        <v>190</v>
      </c>
      <c r="C26" s="14" t="s">
        <v>191</v>
      </c>
      <c r="D26" s="14" t="s">
        <v>192</v>
      </c>
      <c r="E26" s="14" t="s">
        <v>193</v>
      </c>
      <c r="F26" s="14" t="s">
        <v>194</v>
      </c>
      <c r="G26" s="14" t="s">
        <v>70</v>
      </c>
      <c r="H26" s="14" t="s">
        <v>180</v>
      </c>
      <c r="I26" s="14" t="s">
        <v>42</v>
      </c>
      <c r="J26" s="14" t="s">
        <v>181</v>
      </c>
      <c r="K26" s="14">
        <v>0.5</v>
      </c>
      <c r="L26" s="14" t="s">
        <v>42</v>
      </c>
      <c r="M26" s="14">
        <v>2024</v>
      </c>
      <c r="N26" s="15" t="s">
        <v>24</v>
      </c>
      <c r="O26" s="14" t="s">
        <v>24</v>
      </c>
      <c r="P26" s="15" t="s">
        <v>24</v>
      </c>
      <c r="Q26" s="14" t="s">
        <v>24</v>
      </c>
      <c r="R26" s="14">
        <v>100</v>
      </c>
      <c r="S26" s="14">
        <v>0.5</v>
      </c>
      <c r="T26" s="14">
        <v>0</v>
      </c>
      <c r="U26" s="14">
        <v>0</v>
      </c>
    </row>
    <row r="27" spans="1:2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38"/>
      <c r="Q27" s="39"/>
      <c r="R27" s="38"/>
      <c r="S27" s="40">
        <f>SUM(S2:S26)</f>
        <v>13.25</v>
      </c>
      <c r="T27" s="38"/>
      <c r="U27" s="38"/>
    </row>
  </sheetData>
  <autoFilter ref="A1:U1" xr:uid="{00000000-0009-0000-0000-000000000000}">
    <sortState xmlns:xlrd2="http://schemas.microsoft.com/office/spreadsheetml/2017/richdata2" ref="A2:S1841">
      <sortCondition ref="K2:K1841"/>
      <sortCondition ref="D2:D184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8"/>
  <sheetViews>
    <sheetView zoomScaleNormal="100" workbookViewId="0">
      <selection activeCell="V7" sqref="V7"/>
    </sheetView>
  </sheetViews>
  <sheetFormatPr baseColWidth="10" defaultColWidth="11.42578125" defaultRowHeight="12.75" x14ac:dyDescent="0.2"/>
  <cols>
    <col min="1" max="1" width="10.42578125" style="11" bestFit="1" customWidth="1"/>
    <col min="2" max="2" width="34.8554687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0" customHeight="1" x14ac:dyDescent="0.2">
      <c r="A1" s="54" t="s">
        <v>49</v>
      </c>
      <c r="B1" s="54" t="s">
        <v>50</v>
      </c>
      <c r="C1" s="54" t="s">
        <v>51</v>
      </c>
      <c r="D1" s="55" t="s">
        <v>195</v>
      </c>
      <c r="E1" s="55" t="s">
        <v>196</v>
      </c>
      <c r="F1" s="55" t="s">
        <v>197</v>
      </c>
      <c r="G1" s="55" t="s">
        <v>198</v>
      </c>
      <c r="H1" s="55" t="s">
        <v>199</v>
      </c>
      <c r="I1" s="55" t="s">
        <v>200</v>
      </c>
      <c r="J1" s="54" t="s">
        <v>52</v>
      </c>
      <c r="K1" s="13" t="s">
        <v>75</v>
      </c>
      <c r="L1" s="8" t="s">
        <v>53</v>
      </c>
      <c r="M1" s="8" t="s">
        <v>54</v>
      </c>
      <c r="N1" s="8" t="s">
        <v>55</v>
      </c>
      <c r="O1" s="8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11"/>
    </row>
    <row r="2" spans="1:20" ht="15" x14ac:dyDescent="0.25">
      <c r="A2" s="56" t="s">
        <v>76</v>
      </c>
      <c r="B2" s="56" t="s">
        <v>201</v>
      </c>
      <c r="C2" s="56" t="s">
        <v>62</v>
      </c>
      <c r="D2" s="56"/>
      <c r="E2" s="56"/>
      <c r="F2" s="56"/>
      <c r="G2" s="56"/>
      <c r="H2" s="56">
        <v>1</v>
      </c>
      <c r="I2" s="56"/>
      <c r="J2" s="56">
        <v>1</v>
      </c>
      <c r="K2" s="56" t="s">
        <v>42</v>
      </c>
      <c r="L2" s="57">
        <v>0</v>
      </c>
      <c r="M2" s="57">
        <v>0</v>
      </c>
      <c r="N2" s="57" t="s">
        <v>24</v>
      </c>
      <c r="O2" s="57" t="s">
        <v>24</v>
      </c>
      <c r="P2" s="57">
        <v>100</v>
      </c>
      <c r="Q2" s="57">
        <v>0</v>
      </c>
      <c r="R2" s="57">
        <v>0</v>
      </c>
      <c r="S2" s="57">
        <v>1</v>
      </c>
    </row>
    <row r="3" spans="1:20" ht="15" x14ac:dyDescent="0.25">
      <c r="A3" s="56" t="s">
        <v>65</v>
      </c>
      <c r="B3" s="56" t="s">
        <v>202</v>
      </c>
      <c r="C3" s="56" t="s">
        <v>61</v>
      </c>
      <c r="D3" s="56"/>
      <c r="E3" s="56"/>
      <c r="F3" s="56">
        <v>1</v>
      </c>
      <c r="G3" s="56"/>
      <c r="H3" s="56"/>
      <c r="I3" s="56"/>
      <c r="J3" s="56">
        <v>1</v>
      </c>
      <c r="K3" s="56" t="s">
        <v>42</v>
      </c>
      <c r="L3" s="57" t="s">
        <v>28</v>
      </c>
      <c r="M3" s="57" t="s">
        <v>23</v>
      </c>
      <c r="N3" s="57" t="s">
        <v>24</v>
      </c>
      <c r="O3" s="57" t="s">
        <v>24</v>
      </c>
      <c r="P3" s="57">
        <v>50</v>
      </c>
      <c r="Q3" s="57">
        <v>0.5</v>
      </c>
      <c r="R3" s="57">
        <v>0</v>
      </c>
      <c r="S3" s="57">
        <v>0.5</v>
      </c>
    </row>
    <row r="4" spans="1:20" ht="15" x14ac:dyDescent="0.25">
      <c r="A4" s="56" t="s">
        <v>129</v>
      </c>
      <c r="B4" s="56" t="s">
        <v>203</v>
      </c>
      <c r="C4" s="56" t="s">
        <v>62</v>
      </c>
      <c r="D4" s="56"/>
      <c r="E4" s="56"/>
      <c r="F4" s="56"/>
      <c r="G4" s="56">
        <v>1</v>
      </c>
      <c r="H4" s="56"/>
      <c r="I4" s="56"/>
      <c r="J4" s="56">
        <v>1</v>
      </c>
      <c r="K4" s="56" t="s">
        <v>42</v>
      </c>
      <c r="L4" s="57">
        <v>0</v>
      </c>
      <c r="M4" s="57">
        <v>0</v>
      </c>
      <c r="N4" s="57" t="s">
        <v>24</v>
      </c>
      <c r="O4" s="57" t="s">
        <v>24</v>
      </c>
      <c r="P4" s="57">
        <v>100</v>
      </c>
      <c r="Q4" s="57">
        <v>0</v>
      </c>
      <c r="R4" s="57">
        <v>0</v>
      </c>
      <c r="S4" s="57">
        <v>1</v>
      </c>
    </row>
    <row r="5" spans="1:20" ht="15" x14ac:dyDescent="0.25">
      <c r="A5" s="56" t="s">
        <v>68</v>
      </c>
      <c r="B5" s="56" t="s">
        <v>204</v>
      </c>
      <c r="C5" s="56" t="s">
        <v>61</v>
      </c>
      <c r="D5" s="56"/>
      <c r="E5" s="56"/>
      <c r="F5" s="56"/>
      <c r="G5" s="56">
        <v>1</v>
      </c>
      <c r="H5" s="56"/>
      <c r="I5" s="56"/>
      <c r="J5" s="56">
        <v>1</v>
      </c>
      <c r="K5" s="56" t="s">
        <v>42</v>
      </c>
      <c r="L5" s="57" t="s">
        <v>175</v>
      </c>
      <c r="M5" s="57" t="s">
        <v>151</v>
      </c>
      <c r="N5" s="57" t="s">
        <v>24</v>
      </c>
      <c r="O5" s="57" t="s">
        <v>24</v>
      </c>
      <c r="P5" s="57">
        <v>70</v>
      </c>
      <c r="Q5" s="57">
        <v>0.3</v>
      </c>
      <c r="R5" s="57">
        <v>0</v>
      </c>
      <c r="S5" s="57">
        <v>0.7</v>
      </c>
    </row>
    <row r="6" spans="1:20" ht="15" x14ac:dyDescent="0.25">
      <c r="A6" s="56" t="s">
        <v>63</v>
      </c>
      <c r="B6" s="56" t="s">
        <v>205</v>
      </c>
      <c r="C6" s="56" t="s">
        <v>61</v>
      </c>
      <c r="D6" s="56"/>
      <c r="E6" s="56">
        <v>1</v>
      </c>
      <c r="F6" s="56"/>
      <c r="G6" s="56"/>
      <c r="H6" s="56"/>
      <c r="I6" s="56"/>
      <c r="J6" s="56">
        <v>1</v>
      </c>
      <c r="K6" s="56" t="s">
        <v>42</v>
      </c>
      <c r="L6" s="57" t="s">
        <v>27</v>
      </c>
      <c r="M6" s="57" t="s">
        <v>182</v>
      </c>
      <c r="N6" s="57" t="s">
        <v>24</v>
      </c>
      <c r="O6" s="57" t="s">
        <v>24</v>
      </c>
      <c r="P6" s="57">
        <v>40</v>
      </c>
      <c r="Q6" s="57">
        <v>0.6</v>
      </c>
      <c r="R6" s="57">
        <v>0</v>
      </c>
      <c r="S6" s="57">
        <v>0.4</v>
      </c>
    </row>
    <row r="7" spans="1:20" ht="15" x14ac:dyDescent="0.25">
      <c r="A7" s="56" t="s">
        <v>74</v>
      </c>
      <c r="B7" s="56" t="s">
        <v>206</v>
      </c>
      <c r="C7" s="56" t="s">
        <v>61</v>
      </c>
      <c r="D7" s="56"/>
      <c r="E7" s="56"/>
      <c r="F7" s="56"/>
      <c r="G7" s="56"/>
      <c r="H7" s="56"/>
      <c r="I7" s="56">
        <v>1</v>
      </c>
      <c r="J7" s="56">
        <v>1</v>
      </c>
      <c r="K7" s="56" t="s">
        <v>42</v>
      </c>
      <c r="L7" s="57" t="s">
        <v>38</v>
      </c>
      <c r="M7" s="57" t="s">
        <v>148</v>
      </c>
      <c r="N7" s="57" t="s">
        <v>24</v>
      </c>
      <c r="O7" s="57" t="s">
        <v>24</v>
      </c>
      <c r="P7" s="57">
        <v>80</v>
      </c>
      <c r="Q7" s="57">
        <v>0.2</v>
      </c>
      <c r="R7" s="57">
        <v>0</v>
      </c>
      <c r="S7" s="57">
        <v>0.8</v>
      </c>
    </row>
    <row r="8" spans="1:20" ht="15" x14ac:dyDescent="0.25">
      <c r="A8" s="56" t="s">
        <v>207</v>
      </c>
      <c r="B8" s="56" t="s">
        <v>208</v>
      </c>
      <c r="C8" s="34" t="s">
        <v>62</v>
      </c>
      <c r="D8" s="56"/>
      <c r="E8" s="56"/>
      <c r="F8" s="56"/>
      <c r="G8" s="56"/>
      <c r="H8" s="56"/>
      <c r="I8" s="56">
        <v>1</v>
      </c>
      <c r="J8" s="56">
        <v>1</v>
      </c>
      <c r="K8" s="56" t="s">
        <v>42</v>
      </c>
      <c r="L8" s="57" t="s">
        <v>209</v>
      </c>
      <c r="M8" s="57" t="s">
        <v>23</v>
      </c>
      <c r="N8" s="57" t="s">
        <v>24</v>
      </c>
      <c r="O8" s="57" t="s">
        <v>24</v>
      </c>
      <c r="P8" s="57">
        <v>50</v>
      </c>
      <c r="Q8" s="57">
        <v>0.5</v>
      </c>
      <c r="R8" s="57">
        <v>0</v>
      </c>
      <c r="S8" s="57">
        <v>0.5</v>
      </c>
    </row>
    <row r="9" spans="1:20" ht="15" x14ac:dyDescent="0.25">
      <c r="A9" s="56" t="s">
        <v>70</v>
      </c>
      <c r="B9" s="56" t="s">
        <v>210</v>
      </c>
      <c r="C9" s="56" t="s">
        <v>61</v>
      </c>
      <c r="D9" s="56"/>
      <c r="E9" s="56"/>
      <c r="F9" s="56"/>
      <c r="G9" s="56"/>
      <c r="H9" s="56"/>
      <c r="I9" s="56">
        <v>1</v>
      </c>
      <c r="J9" s="56">
        <v>1</v>
      </c>
      <c r="K9" s="56" t="s">
        <v>42</v>
      </c>
      <c r="L9" s="57">
        <v>0</v>
      </c>
      <c r="M9" s="57">
        <v>0</v>
      </c>
      <c r="N9" s="57" t="s">
        <v>24</v>
      </c>
      <c r="O9" s="57" t="s">
        <v>24</v>
      </c>
      <c r="P9" s="57">
        <v>100</v>
      </c>
      <c r="Q9" s="57">
        <v>0</v>
      </c>
      <c r="R9" s="57">
        <v>0</v>
      </c>
      <c r="S9" s="57">
        <v>1</v>
      </c>
    </row>
    <row r="10" spans="1:20" ht="15" x14ac:dyDescent="0.25">
      <c r="A10" s="56" t="s">
        <v>69</v>
      </c>
      <c r="B10" s="56" t="s">
        <v>211</v>
      </c>
      <c r="C10" s="56" t="s">
        <v>61</v>
      </c>
      <c r="D10" s="56"/>
      <c r="E10" s="56"/>
      <c r="F10" s="56">
        <v>1</v>
      </c>
      <c r="G10" s="56"/>
      <c r="H10" s="56"/>
      <c r="I10" s="56"/>
      <c r="J10" s="56">
        <v>1</v>
      </c>
      <c r="K10" s="56" t="s">
        <v>42</v>
      </c>
      <c r="L10" s="57" t="s">
        <v>175</v>
      </c>
      <c r="M10" s="57" t="s">
        <v>148</v>
      </c>
      <c r="N10" s="57" t="s">
        <v>38</v>
      </c>
      <c r="O10" s="57" t="s">
        <v>148</v>
      </c>
      <c r="P10" s="57">
        <v>60</v>
      </c>
      <c r="Q10" s="57">
        <v>0.2</v>
      </c>
      <c r="R10" s="57">
        <v>0.2</v>
      </c>
      <c r="S10" s="57">
        <v>0.6</v>
      </c>
    </row>
    <row r="11" spans="1:20" ht="15" x14ac:dyDescent="0.25">
      <c r="A11" s="56" t="s">
        <v>67</v>
      </c>
      <c r="B11" s="56" t="s">
        <v>212</v>
      </c>
      <c r="C11" s="56" t="s">
        <v>61</v>
      </c>
      <c r="D11" s="56"/>
      <c r="E11" s="56">
        <v>2</v>
      </c>
      <c r="F11" s="56"/>
      <c r="G11" s="56"/>
      <c r="H11" s="56"/>
      <c r="I11" s="56"/>
      <c r="J11" s="56">
        <v>2</v>
      </c>
      <c r="K11" s="56" t="s">
        <v>42</v>
      </c>
      <c r="L11" s="57" t="s">
        <v>27</v>
      </c>
      <c r="M11" s="57" t="s">
        <v>23</v>
      </c>
      <c r="N11" s="57" t="s">
        <v>28</v>
      </c>
      <c r="O11" s="57" t="s">
        <v>26</v>
      </c>
      <c r="P11" s="57">
        <v>40</v>
      </c>
      <c r="Q11" s="57">
        <v>1</v>
      </c>
      <c r="R11" s="57">
        <v>0.2</v>
      </c>
      <c r="S11" s="57">
        <v>0.8</v>
      </c>
    </row>
    <row r="12" spans="1:20" ht="15" x14ac:dyDescent="0.25">
      <c r="A12" s="56" t="s">
        <v>149</v>
      </c>
      <c r="B12" s="56" t="s">
        <v>213</v>
      </c>
      <c r="C12" s="56" t="s">
        <v>62</v>
      </c>
      <c r="D12" s="56"/>
      <c r="E12" s="56"/>
      <c r="F12" s="56"/>
      <c r="G12" s="56"/>
      <c r="H12" s="56">
        <v>1</v>
      </c>
      <c r="I12" s="56"/>
      <c r="J12" s="56">
        <v>1</v>
      </c>
      <c r="K12" s="56" t="s">
        <v>42</v>
      </c>
      <c r="L12" s="57">
        <v>0</v>
      </c>
      <c r="M12" s="57">
        <v>0</v>
      </c>
      <c r="N12" s="57" t="s">
        <v>24</v>
      </c>
      <c r="O12" s="57" t="s">
        <v>24</v>
      </c>
      <c r="P12" s="57">
        <v>100</v>
      </c>
      <c r="Q12" s="57">
        <v>0</v>
      </c>
      <c r="R12" s="57">
        <v>0</v>
      </c>
      <c r="S12" s="57">
        <v>1</v>
      </c>
    </row>
    <row r="13" spans="1:20" ht="15" x14ac:dyDescent="0.25">
      <c r="A13" s="56" t="s">
        <v>150</v>
      </c>
      <c r="B13" s="56" t="s">
        <v>214</v>
      </c>
      <c r="C13" s="56" t="s">
        <v>62</v>
      </c>
      <c r="D13" s="56"/>
      <c r="E13" s="56"/>
      <c r="F13" s="56"/>
      <c r="G13" s="56"/>
      <c r="H13" s="56">
        <v>1</v>
      </c>
      <c r="I13" s="56"/>
      <c r="J13" s="56">
        <v>1</v>
      </c>
      <c r="K13" s="56" t="s">
        <v>42</v>
      </c>
      <c r="L13" s="57" t="s">
        <v>27</v>
      </c>
      <c r="M13" s="57" t="s">
        <v>151</v>
      </c>
      <c r="N13" s="57" t="s">
        <v>24</v>
      </c>
      <c r="O13" s="57" t="s">
        <v>24</v>
      </c>
      <c r="P13" s="57">
        <v>70</v>
      </c>
      <c r="Q13" s="57">
        <v>0.3</v>
      </c>
      <c r="R13" s="57">
        <v>0</v>
      </c>
      <c r="S13" s="57">
        <v>0.7</v>
      </c>
    </row>
    <row r="14" spans="1:20" ht="15" x14ac:dyDescent="0.25">
      <c r="A14" s="56" t="s">
        <v>64</v>
      </c>
      <c r="B14" s="56" t="s">
        <v>215</v>
      </c>
      <c r="C14" s="58" t="s">
        <v>61</v>
      </c>
      <c r="D14" s="56"/>
      <c r="E14" s="56">
        <v>2</v>
      </c>
      <c r="F14" s="56"/>
      <c r="G14" s="56"/>
      <c r="H14" s="56">
        <v>1</v>
      </c>
      <c r="I14" s="56"/>
      <c r="J14" s="56">
        <v>3</v>
      </c>
      <c r="K14" s="56" t="s">
        <v>42</v>
      </c>
      <c r="L14" s="57" t="s">
        <v>175</v>
      </c>
      <c r="M14" s="57" t="s">
        <v>151</v>
      </c>
      <c r="N14" s="57" t="s">
        <v>28</v>
      </c>
      <c r="O14" s="57" t="s">
        <v>148</v>
      </c>
      <c r="P14" s="57">
        <v>50</v>
      </c>
      <c r="Q14" s="57">
        <v>0.9</v>
      </c>
      <c r="R14" s="57">
        <v>0.6</v>
      </c>
      <c r="S14" s="57">
        <v>1.5</v>
      </c>
    </row>
    <row r="15" spans="1:20" ht="15" x14ac:dyDescent="0.25">
      <c r="A15" s="56" t="s">
        <v>66</v>
      </c>
      <c r="B15" s="56" t="s">
        <v>216</v>
      </c>
      <c r="C15" s="58" t="s">
        <v>61</v>
      </c>
      <c r="D15" s="56"/>
      <c r="E15" s="56">
        <v>1</v>
      </c>
      <c r="F15" s="56"/>
      <c r="G15" s="56"/>
      <c r="H15" s="56"/>
      <c r="I15" s="56"/>
      <c r="J15" s="56">
        <v>1</v>
      </c>
      <c r="K15" s="56" t="s">
        <v>42</v>
      </c>
      <c r="L15" s="57" t="s">
        <v>28</v>
      </c>
      <c r="M15" s="57" t="s">
        <v>148</v>
      </c>
      <c r="N15" s="57" t="s">
        <v>24</v>
      </c>
      <c r="O15" s="57" t="s">
        <v>24</v>
      </c>
      <c r="P15" s="57">
        <v>80</v>
      </c>
      <c r="Q15" s="57">
        <v>0.2</v>
      </c>
      <c r="R15" s="57">
        <v>0</v>
      </c>
      <c r="S15" s="57">
        <v>0.8</v>
      </c>
    </row>
    <row r="16" spans="1:20" ht="15" x14ac:dyDescent="0.25">
      <c r="A16" s="56" t="s">
        <v>152</v>
      </c>
      <c r="B16" s="56" t="s">
        <v>217</v>
      </c>
      <c r="C16" s="58" t="s">
        <v>62</v>
      </c>
      <c r="D16" s="56"/>
      <c r="E16" s="56"/>
      <c r="F16" s="56"/>
      <c r="G16" s="56"/>
      <c r="H16" s="56">
        <v>1</v>
      </c>
      <c r="I16" s="56">
        <v>1</v>
      </c>
      <c r="J16" s="56">
        <v>2</v>
      </c>
      <c r="K16" s="56" t="s">
        <v>42</v>
      </c>
      <c r="L16" s="57">
        <v>0</v>
      </c>
      <c r="M16" s="57">
        <v>0</v>
      </c>
      <c r="N16" s="57" t="s">
        <v>24</v>
      </c>
      <c r="O16" s="57" t="s">
        <v>24</v>
      </c>
      <c r="P16" s="57">
        <v>100</v>
      </c>
      <c r="Q16" s="57">
        <v>0</v>
      </c>
      <c r="R16" s="57">
        <v>0</v>
      </c>
      <c r="S16" s="57">
        <v>2</v>
      </c>
    </row>
    <row r="17" spans="1:19" ht="15" x14ac:dyDescent="0.25">
      <c r="A17" s="34" t="s">
        <v>218</v>
      </c>
      <c r="B17" s="56" t="s">
        <v>219</v>
      </c>
      <c r="C17" s="58" t="s">
        <v>62</v>
      </c>
      <c r="D17" s="56"/>
      <c r="E17" s="56"/>
      <c r="F17" s="56"/>
      <c r="G17" s="56"/>
      <c r="H17" s="56"/>
      <c r="I17" s="56">
        <v>1</v>
      </c>
      <c r="J17" s="56">
        <v>1</v>
      </c>
      <c r="K17" s="56" t="s">
        <v>42</v>
      </c>
      <c r="L17" s="57">
        <v>0</v>
      </c>
      <c r="M17" s="57">
        <v>0</v>
      </c>
      <c r="N17" s="57" t="s">
        <v>24</v>
      </c>
      <c r="O17" s="57" t="s">
        <v>24</v>
      </c>
      <c r="P17" s="57">
        <v>100</v>
      </c>
      <c r="Q17" s="57">
        <v>0</v>
      </c>
      <c r="R17" s="57">
        <v>0</v>
      </c>
      <c r="S17" s="57">
        <v>1</v>
      </c>
    </row>
    <row r="18" spans="1:19" ht="15" x14ac:dyDescent="0.25">
      <c r="A18" s="35"/>
      <c r="B18" s="35"/>
      <c r="C18" s="36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7">
        <f>SUM(S2:S17)</f>
        <v>14.3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DA2E-150F-433C-95A4-A881351577B2}">
  <dimension ref="A1:C6"/>
  <sheetViews>
    <sheetView workbookViewId="0">
      <selection activeCell="B19" sqref="B19"/>
    </sheetView>
  </sheetViews>
  <sheetFormatPr baseColWidth="10" defaultRowHeight="15" x14ac:dyDescent="0.25"/>
  <cols>
    <col min="1" max="1" width="17" customWidth="1"/>
    <col min="2" max="2" width="90.7109375" customWidth="1"/>
    <col min="3" max="3" width="16" customWidth="1"/>
  </cols>
  <sheetData>
    <row r="1" spans="1:3" x14ac:dyDescent="0.25">
      <c r="A1" s="41" t="s">
        <v>101</v>
      </c>
      <c r="B1" s="41" t="s">
        <v>102</v>
      </c>
      <c r="C1" s="41" t="s">
        <v>120</v>
      </c>
    </row>
    <row r="2" spans="1:3" x14ac:dyDescent="0.25">
      <c r="A2" s="32" t="s">
        <v>130</v>
      </c>
      <c r="B2" s="32" t="s">
        <v>131</v>
      </c>
      <c r="C2" s="33">
        <v>3752.72</v>
      </c>
    </row>
    <row r="3" spans="1:3" x14ac:dyDescent="0.25">
      <c r="A3" s="30" t="s">
        <v>121</v>
      </c>
      <c r="B3" s="30" t="s">
        <v>132</v>
      </c>
      <c r="C3" s="31">
        <v>1888.88</v>
      </c>
    </row>
    <row r="4" spans="1:3" x14ac:dyDescent="0.25">
      <c r="A4" s="32" t="s">
        <v>133</v>
      </c>
      <c r="B4" s="32" t="s">
        <v>134</v>
      </c>
      <c r="C4" s="33">
        <v>8800</v>
      </c>
    </row>
    <row r="5" spans="1:3" x14ac:dyDescent="0.25">
      <c r="A5" s="42" t="s">
        <v>135</v>
      </c>
      <c r="B5" s="42" t="s">
        <v>136</v>
      </c>
      <c r="C5" s="43">
        <v>4259.2</v>
      </c>
    </row>
    <row r="6" spans="1:3" x14ac:dyDescent="0.25">
      <c r="C6" s="70">
        <f>SUM(C2:C5)</f>
        <v>18700.8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91C0-7A03-4BCD-8172-5017FE1C0D3E}">
  <dimension ref="A1:C14"/>
  <sheetViews>
    <sheetView workbookViewId="0">
      <selection activeCell="B21" sqref="B21"/>
    </sheetView>
  </sheetViews>
  <sheetFormatPr baseColWidth="10" defaultRowHeight="15" x14ac:dyDescent="0.25"/>
  <cols>
    <col min="1" max="1" width="17.85546875" customWidth="1"/>
    <col min="2" max="2" width="72.140625" customWidth="1"/>
    <col min="3" max="3" width="13.140625" customWidth="1"/>
  </cols>
  <sheetData>
    <row r="1" spans="1:3" x14ac:dyDescent="0.25">
      <c r="A1" s="46" t="s">
        <v>153</v>
      </c>
      <c r="B1" s="46" t="s">
        <v>102</v>
      </c>
      <c r="C1" s="47" t="s">
        <v>154</v>
      </c>
    </row>
    <row r="2" spans="1:3" x14ac:dyDescent="0.25">
      <c r="A2" s="44" t="s">
        <v>133</v>
      </c>
      <c r="B2" s="44" t="s">
        <v>155</v>
      </c>
      <c r="C2" s="27">
        <v>4400</v>
      </c>
    </row>
    <row r="3" spans="1:3" x14ac:dyDescent="0.25">
      <c r="A3" s="45" t="s">
        <v>133</v>
      </c>
      <c r="B3" s="45" t="s">
        <v>156</v>
      </c>
      <c r="C3" s="28">
        <v>4400</v>
      </c>
    </row>
    <row r="4" spans="1:3" x14ac:dyDescent="0.25">
      <c r="A4" s="44" t="s">
        <v>133</v>
      </c>
      <c r="B4" s="44" t="s">
        <v>157</v>
      </c>
      <c r="C4" s="27">
        <v>13200</v>
      </c>
    </row>
    <row r="5" spans="1:3" x14ac:dyDescent="0.25">
      <c r="A5" s="45" t="s">
        <v>158</v>
      </c>
      <c r="B5" s="45" t="s">
        <v>159</v>
      </c>
      <c r="C5" s="28">
        <v>3535.27</v>
      </c>
    </row>
    <row r="6" spans="1:3" x14ac:dyDescent="0.25">
      <c r="A6" s="44" t="s">
        <v>160</v>
      </c>
      <c r="B6" s="44" t="s">
        <v>161</v>
      </c>
      <c r="C6" s="27">
        <v>3636.36</v>
      </c>
    </row>
    <row r="7" spans="1:3" x14ac:dyDescent="0.25">
      <c r="A7" s="45" t="s">
        <v>162</v>
      </c>
      <c r="B7" s="45" t="s">
        <v>163</v>
      </c>
      <c r="C7" s="28">
        <v>1232</v>
      </c>
    </row>
    <row r="8" spans="1:3" x14ac:dyDescent="0.25">
      <c r="A8" s="44" t="s">
        <v>164</v>
      </c>
      <c r="B8" s="44" t="s">
        <v>165</v>
      </c>
      <c r="C8" s="27">
        <v>9000</v>
      </c>
    </row>
    <row r="9" spans="1:3" x14ac:dyDescent="0.25">
      <c r="A9" s="45" t="s">
        <v>164</v>
      </c>
      <c r="B9" s="45" t="s">
        <v>166</v>
      </c>
      <c r="C9" s="28">
        <v>13571.36</v>
      </c>
    </row>
    <row r="10" spans="1:3" x14ac:dyDescent="0.25">
      <c r="A10" s="44" t="s">
        <v>167</v>
      </c>
      <c r="B10" s="44" t="s">
        <v>168</v>
      </c>
      <c r="C10" s="27">
        <v>356.4</v>
      </c>
    </row>
    <row r="11" spans="1:3" x14ac:dyDescent="0.25">
      <c r="A11" s="45" t="s">
        <v>169</v>
      </c>
      <c r="B11" s="45" t="s">
        <v>170</v>
      </c>
      <c r="C11" s="28">
        <v>11200</v>
      </c>
    </row>
    <row r="12" spans="1:3" x14ac:dyDescent="0.25">
      <c r="A12" s="44" t="s">
        <v>171</v>
      </c>
      <c r="B12" s="44" t="s">
        <v>172</v>
      </c>
      <c r="C12" s="27">
        <v>6000</v>
      </c>
    </row>
    <row r="13" spans="1:3" x14ac:dyDescent="0.25">
      <c r="A13" s="48" t="s">
        <v>173</v>
      </c>
      <c r="B13" s="48" t="s">
        <v>174</v>
      </c>
      <c r="C13" s="49">
        <v>10000</v>
      </c>
    </row>
    <row r="14" spans="1:3" x14ac:dyDescent="0.25">
      <c r="A14" s="50" t="s">
        <v>0</v>
      </c>
      <c r="B14" s="50"/>
      <c r="C14" s="51">
        <f>SUBTOTAL(109,Tabla3[Imp. aplic.])</f>
        <v>80531.390000000014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253B-ED61-4B86-BB48-9E3157BA2112}">
  <dimension ref="A1:C16"/>
  <sheetViews>
    <sheetView workbookViewId="0">
      <selection activeCell="B20" sqref="B20"/>
    </sheetView>
  </sheetViews>
  <sheetFormatPr baseColWidth="10" defaultRowHeight="15" x14ac:dyDescent="0.25"/>
  <cols>
    <col min="1" max="1" width="14.7109375" customWidth="1"/>
    <col min="2" max="2" width="48.140625" customWidth="1"/>
    <col min="3" max="3" width="18.28515625" customWidth="1"/>
  </cols>
  <sheetData>
    <row r="1" spans="1:3" x14ac:dyDescent="0.25">
      <c r="A1" s="59" t="s">
        <v>153</v>
      </c>
      <c r="B1" s="60" t="s">
        <v>102</v>
      </c>
      <c r="C1" s="60" t="s">
        <v>154</v>
      </c>
    </row>
    <row r="2" spans="1:3" x14ac:dyDescent="0.25">
      <c r="A2" s="61" t="s">
        <v>220</v>
      </c>
      <c r="B2" s="62" t="s">
        <v>221</v>
      </c>
      <c r="C2" s="63">
        <v>363.63</v>
      </c>
    </row>
    <row r="3" spans="1:3" x14ac:dyDescent="0.25">
      <c r="A3" s="64" t="s">
        <v>222</v>
      </c>
      <c r="B3" s="65" t="s">
        <v>223</v>
      </c>
      <c r="C3" s="66">
        <v>4386.8</v>
      </c>
    </row>
    <row r="4" spans="1:3" x14ac:dyDescent="0.25">
      <c r="A4" s="61" t="s">
        <v>224</v>
      </c>
      <c r="B4" s="62" t="s">
        <v>225</v>
      </c>
      <c r="C4" s="63">
        <v>1320</v>
      </c>
    </row>
    <row r="5" spans="1:3" x14ac:dyDescent="0.25">
      <c r="A5" s="64" t="s">
        <v>164</v>
      </c>
      <c r="B5" s="65" t="s">
        <v>226</v>
      </c>
      <c r="C5" s="66">
        <v>30000</v>
      </c>
    </row>
    <row r="6" spans="1:3" x14ac:dyDescent="0.25">
      <c r="A6" s="61" t="s">
        <v>164</v>
      </c>
      <c r="B6" s="62" t="s">
        <v>227</v>
      </c>
      <c r="C6" s="63">
        <v>-4373.24</v>
      </c>
    </row>
    <row r="7" spans="1:3" x14ac:dyDescent="0.25">
      <c r="A7" s="64" t="s">
        <v>228</v>
      </c>
      <c r="B7" s="65" t="s">
        <v>229</v>
      </c>
      <c r="C7" s="66">
        <v>1000</v>
      </c>
    </row>
    <row r="8" spans="1:3" x14ac:dyDescent="0.25">
      <c r="A8" s="61" t="s">
        <v>228</v>
      </c>
      <c r="B8" s="62" t="s">
        <v>230</v>
      </c>
      <c r="C8" s="63">
        <v>5000</v>
      </c>
    </row>
    <row r="9" spans="1:3" x14ac:dyDescent="0.25">
      <c r="A9" s="64" t="s">
        <v>228</v>
      </c>
      <c r="B9" s="65" t="s">
        <v>231</v>
      </c>
      <c r="C9" s="66">
        <v>2850</v>
      </c>
    </row>
    <row r="10" spans="1:3" x14ac:dyDescent="0.25">
      <c r="A10" s="61" t="s">
        <v>228</v>
      </c>
      <c r="B10" s="62" t="s">
        <v>232</v>
      </c>
      <c r="C10" s="63">
        <v>150</v>
      </c>
    </row>
    <row r="11" spans="1:3" x14ac:dyDescent="0.25">
      <c r="A11" s="64" t="s">
        <v>173</v>
      </c>
      <c r="B11" s="65" t="s">
        <v>233</v>
      </c>
      <c r="C11" s="66">
        <v>10000</v>
      </c>
    </row>
    <row r="12" spans="1:3" ht="15.75" thickBot="1" x14ac:dyDescent="0.3">
      <c r="A12" s="61" t="s">
        <v>234</v>
      </c>
      <c r="B12" s="62" t="s">
        <v>235</v>
      </c>
      <c r="C12" s="63">
        <v>3700</v>
      </c>
    </row>
    <row r="13" spans="1:3" ht="15.75" thickTop="1" x14ac:dyDescent="0.25">
      <c r="A13" s="67" t="s">
        <v>0</v>
      </c>
      <c r="B13" s="68"/>
      <c r="C13" s="69">
        <v>54397.19</v>
      </c>
    </row>
    <row r="16" spans="1:3" x14ac:dyDescent="0.25">
      <c r="B16" s="52" t="s">
        <v>236</v>
      </c>
      <c r="C16" s="53">
        <f>C13+'Ingresos investigación 2023'!C6+Tabla3[[#Totals],[Imp. aplic.]]</f>
        <v>153629.38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5794-CC84-43A0-94E0-2A4C6EB3C340}">
  <dimension ref="A1:C9"/>
  <sheetViews>
    <sheetView tabSelected="1" workbookViewId="0">
      <selection activeCell="B17" sqref="B17"/>
    </sheetView>
  </sheetViews>
  <sheetFormatPr baseColWidth="10" defaultRowHeight="15" x14ac:dyDescent="0.25"/>
  <cols>
    <col min="1" max="1" width="17.28515625" customWidth="1"/>
    <col min="2" max="2" width="68" customWidth="1"/>
    <col min="3" max="3" width="18.85546875" customWidth="1"/>
  </cols>
  <sheetData>
    <row r="1" spans="1:3" x14ac:dyDescent="0.25">
      <c r="A1" s="59" t="s">
        <v>153</v>
      </c>
      <c r="B1" s="60" t="s">
        <v>102</v>
      </c>
      <c r="C1" s="71" t="s">
        <v>154</v>
      </c>
    </row>
    <row r="2" spans="1:3" x14ac:dyDescent="0.25">
      <c r="A2" s="61" t="s">
        <v>237</v>
      </c>
      <c r="B2" s="62" t="s">
        <v>238</v>
      </c>
      <c r="C2" s="63">
        <v>6800</v>
      </c>
    </row>
    <row r="3" spans="1:3" x14ac:dyDescent="0.25">
      <c r="A3" s="64" t="s">
        <v>239</v>
      </c>
      <c r="B3" s="65" t="s">
        <v>240</v>
      </c>
      <c r="C3" s="66">
        <v>2237.1999999999998</v>
      </c>
    </row>
    <row r="4" spans="1:3" x14ac:dyDescent="0.25">
      <c r="A4" s="61" t="s">
        <v>241</v>
      </c>
      <c r="B4" s="62" t="s">
        <v>242</v>
      </c>
      <c r="C4" s="63">
        <v>56.4</v>
      </c>
    </row>
    <row r="5" spans="1:3" ht="15.75" thickBot="1" x14ac:dyDescent="0.3">
      <c r="A5" s="64" t="s">
        <v>241</v>
      </c>
      <c r="B5" s="65" t="s">
        <v>243</v>
      </c>
      <c r="C5" s="66">
        <v>958.8</v>
      </c>
    </row>
    <row r="6" spans="1:3" ht="15.75" thickTop="1" x14ac:dyDescent="0.25">
      <c r="A6" s="67" t="s">
        <v>0</v>
      </c>
      <c r="B6" s="68"/>
      <c r="C6" s="72">
        <v>10052.4</v>
      </c>
    </row>
    <row r="9" spans="1:3" x14ac:dyDescent="0.25">
      <c r="B9" s="52" t="s">
        <v>244</v>
      </c>
      <c r="C9" s="73">
        <f>C6</f>
        <v>10052.4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2026-05-27T09:58:41Z</dcterms:modified>
</cp:coreProperties>
</file>