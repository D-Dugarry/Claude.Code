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01E712EF-6602-4602-8D4E-6FC64FA50BD0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11" r:id="rId3"/>
    <sheet name="Ingresos investigación 2024" sheetId="13" r:id="rId4"/>
    <sheet name="Ingresos investigación 2025" sheetId="15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5" l="1"/>
  <c r="S19" i="3"/>
  <c r="C5" i="13"/>
  <c r="C4" i="11"/>
  <c r="S39" i="2" l="1"/>
</calcChain>
</file>

<file path=xl/sharedStrings.xml><?xml version="1.0" encoding="utf-8"?>
<sst xmlns="http://schemas.openxmlformats.org/spreadsheetml/2006/main" count="730" uniqueCount="263">
  <si>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</si>
  <si>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</si>
  <si>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</si>
  <si>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</si>
  <si>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</si>
  <si>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</si>
  <si>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</si>
  <si>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</si>
  <si>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</si>
  <si>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</si>
  <si>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</si>
  <si>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</si>
  <si>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</si>
  <si>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</si>
  <si>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</si>
  <si>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</si>
  <si>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</si>
  <si>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</si>
  <si>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</si>
  <si>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</si>
  <si>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</si>
  <si>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</si>
  <si>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</si>
  <si>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</si>
  <si>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</si>
  <si>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10.25</t>
  </si>
  <si>
    <t>10.17</t>
  </si>
  <si>
    <t>U058 </t>
  </si>
  <si>
    <t>ADM. I.U. DE INVESTIGACIONES TURÍSTICAS </t>
  </si>
  <si>
    <t>U023 </t>
  </si>
  <si>
    <t>ADM. FACULTAD DE FILOSOFIA Y LETRAS </t>
  </si>
  <si>
    <t>10.23</t>
  </si>
  <si>
    <t>DOCTORADO EN FILOSOFÍA Y LETRAS </t>
  </si>
  <si>
    <t>21634206S </t>
  </si>
  <si>
    <t>B122 </t>
  </si>
  <si>
    <t>HUMANIDADES CONTEMPORANEAS </t>
  </si>
  <si>
    <t>B122</t>
  </si>
  <si>
    <t>73525112T </t>
  </si>
  <si>
    <t>10.06</t>
  </si>
  <si>
    <t>21489543E </t>
  </si>
  <si>
    <t>51326460M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</si>
  <si>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</si>
  <si>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</si>
  <si>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</si>
  <si>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</si>
  <si>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</si>
  <si>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</si>
  <si>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</si>
  <si>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</si>
  <si>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</si>
  <si>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</si>
  <si>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</si>
  <si>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FUNCIONARIO</t>
  </si>
  <si>
    <t>NO FUNCIONARIO</t>
  </si>
  <si>
    <t>48316322S</t>
  </si>
  <si>
    <t>21418660W</t>
  </si>
  <si>
    <t>21648517C</t>
  </si>
  <si>
    <t>21481385Y</t>
  </si>
  <si>
    <t>22146116Z</t>
  </si>
  <si>
    <t>51326460M</t>
  </si>
  <si>
    <t>22133724L</t>
  </si>
  <si>
    <t>21634206S</t>
  </si>
  <si>
    <t>21486627G</t>
  </si>
  <si>
    <t>21489543E</t>
  </si>
  <si>
    <t>21451380Q</t>
  </si>
  <si>
    <t>Dominguez Villaverde, Mariana </t>
  </si>
  <si>
    <t>SER Y ESTAR. LES PIEDS-NOIRS D'ALICANTE ET DE SA RÉGION, D'UNE RIVE À L'AUTRE DE LA MÉDITERRANÉE (1962-ANNÉES 2000) </t>
  </si>
  <si>
    <t>02/12/2019 </t>
  </si>
  <si>
    <t>12381640G</t>
  </si>
  <si>
    <t>COD DEP</t>
  </si>
  <si>
    <t>SEX
DEP</t>
  </si>
  <si>
    <t>21457927P</t>
  </si>
  <si>
    <t>Poveda Jover, Jonatan </t>
  </si>
  <si>
    <t>EL AUTORITARISMO REGENERACIONISTA DE LA DICTADURA DE PRIMO DE RIVERA EN LA PROVINCIA DE ALICANTE </t>
  </si>
  <si>
    <t>08/10/2020 </t>
  </si>
  <si>
    <t>Segura Martínez, Vicente </t>
  </si>
  <si>
    <t>Cultura industrial, ludismo y proyección literaria </t>
  </si>
  <si>
    <t>23/10/2020 </t>
  </si>
  <si>
    <t>21418660W </t>
  </si>
  <si>
    <t>Martínez Cánovas, Gonzalo José </t>
  </si>
  <si>
    <t>LUIS JIMÉNEZ DE ASÚA. EL PENALISTA DE LA RETAGUARDIA IMPOSIBLE </t>
  </si>
  <si>
    <t>16/10/2020 </t>
  </si>
  <si>
    <t>22133724L </t>
  </si>
  <si>
    <t>Salinas Salinas, Carlos </t>
  </si>
  <si>
    <t>Pedro Zaragoza Orts, alcalde franquista i desenvolupista de Benidorm, 1951-1967" </t>
  </si>
  <si>
    <t>15/03/2021 </t>
  </si>
  <si>
    <t>Ferrero Punzano, Sara Milagros </t>
  </si>
  <si>
    <t>VICENTE FERRERO. ESCULTOR </t>
  </si>
  <si>
    <t>03/06/2021 </t>
  </si>
  <si>
    <t>San José Belda, Luis Carlos </t>
  </si>
  <si>
    <t>EL PROCESO DESCOLECTIVIZADOR DE LA INDUSTRIA TEXTIL ALCOYANA: LA COMISIÓN LIQUIDADORA (1939-1945) </t>
  </si>
  <si>
    <t>19/07/2021 </t>
  </si>
  <si>
    <t>Beneyto Gómez, Elisa </t>
  </si>
  <si>
    <t>ELS CEMENTERIS COM A REFLEX DE LA SOCIETAT INDUSTRIAL: EL CEMENTERI D'ALCOI </t>
  </si>
  <si>
    <t>23/07/2021 </t>
  </si>
  <si>
    <t>21648517C </t>
  </si>
  <si>
    <t>Ramos Altamira, Ignacio </t>
  </si>
  <si>
    <t>"Rafael Altamira y Crevea y su contribución a la educación popular y la escuela pública española" </t>
  </si>
  <si>
    <t>29/07/2021 </t>
  </si>
  <si>
    <t>DOCTORADO EN TURISMO </t>
  </si>
  <si>
    <t>González Domínguez, Irais </t>
  </si>
  <si>
    <t>Empoderamiento de actoras y actores locales en la gestión del Turismo Rural en el Estado de México </t>
  </si>
  <si>
    <t>01/02/2021 </t>
  </si>
  <si>
    <t>30.40.6P.00.06</t>
  </si>
  <si>
    <t>Cód. org. aplic.</t>
  </si>
  <si>
    <t>Descripción justificante</t>
  </si>
  <si>
    <t>B177 </t>
  </si>
  <si>
    <t>PSICOLOGÍA EVOLUTIVA Y DIDÁCTICA </t>
  </si>
  <si>
    <t>DOCTORADO EN INVESTIGACIÓN EDUCATIVA </t>
  </si>
  <si>
    <t>Martínez Rivera, Julio César </t>
  </si>
  <si>
    <t>LA FIESTA DE MOROS Y CRISTIANOS O "LOS HISTORIANTES" DE EL SALVADOR. UN CASO DE SINCRETISMO CULTURAL </t>
  </si>
  <si>
    <t>12/01/2022 </t>
  </si>
  <si>
    <t>21457927P </t>
  </si>
  <si>
    <t>González Magaña, Jose L. </t>
  </si>
  <si>
    <t>ELOY VAQUERO CANTILLO O EL OPTIMISMO TRÁGICO EN UN NACER QUE TUVO ANTICIPADO </t>
  </si>
  <si>
    <t>27/05/2022 </t>
  </si>
  <si>
    <t>Lalinde González, Luis Miguel </t>
  </si>
  <si>
    <t>Japón y China ante las islas Senkaku/Diaoyu (1945-2020): análisis geopolítico e histórico-cultural de un conflicto marítimo en Asia-Pacífico </t>
  </si>
  <si>
    <t>17/12/2021 </t>
  </si>
  <si>
    <t>Tenorio Macia, Jose Carlos </t>
  </si>
  <si>
    <t>Entre el vínculo y el compromiso: la relación de Reino Unido con el proyecto europeo (1945-2016). Una aproximación al brexit a través de la prensa española. </t>
  </si>
  <si>
    <t>28/02/2022 </t>
  </si>
  <si>
    <t>21486627G </t>
  </si>
  <si>
    <t>Menor Hernández, Andres </t>
  </si>
  <si>
    <t>Las Fiestas de Biar desde una perspectiva antropológica </t>
  </si>
  <si>
    <t>22/03/2022 </t>
  </si>
  <si>
    <t>Chontasi Morales, Fernando David </t>
  </si>
  <si>
    <t>Los efectos del turismo de base local sobre la resiliencia-socioecológica. Comunidad de Yunguilla. Quito-Ec. </t>
  </si>
  <si>
    <t>07/09/2022 </t>
  </si>
  <si>
    <t>12381640G </t>
  </si>
  <si>
    <t>U075 </t>
  </si>
  <si>
    <t>ADM. I.U.INVESTIGACIÓN DE ESTUDIOS SOCIALES DE AMÉRICA LATINA </t>
  </si>
  <si>
    <t>DOCTORADO EN HUMANIDADES Y ESTUDIOS SOCIALES DE AMÉRICA LATINA </t>
  </si>
  <si>
    <t>Cosh Pale, Manuel </t>
  </si>
  <si>
    <t>Contrademocracia en los Altos de Chiapas, México. Crisis de representación y respuestas sociales emergentes </t>
  </si>
  <si>
    <t>23/05/2022 </t>
  </si>
  <si>
    <t>22956742M</t>
  </si>
  <si>
    <t>Imp.cob.aplic.</t>
  </si>
  <si>
    <t>I.U.INVESTIGACIÓN DE ESTUDIOS SOCIALES DE AMÉRICA LATINA (10.25) </t>
  </si>
  <si>
    <t>Escortell Crespo, Jordi </t>
  </si>
  <si>
    <t>L'exili cultural republicà espanyol a Mèxic: línies interpretatives en la historiografia espanyola (1975-2010) </t>
  </si>
  <si>
    <t>19/09/2022 </t>
  </si>
  <si>
    <t>Benavides Morales, Ana </t>
  </si>
  <si>
    <t>Cambio político en la izquierda. Democracia, neoliberalismo y lucha social en el Ecuador 1990-2005 </t>
  </si>
  <si>
    <t>26/09/2022 </t>
  </si>
  <si>
    <t>Baltazar Landeros, Edgar </t>
  </si>
  <si>
    <t>Mujeres docentes, formación profesional y condición laboral. Análisis interseccional en la Universidad Pedagógica Nacional </t>
  </si>
  <si>
    <t>30/09/2022 </t>
  </si>
  <si>
    <t>Salvador Palanques, Benigno Jesús </t>
  </si>
  <si>
    <t>España contra España. </t>
  </si>
  <si>
    <t>05/05/2023 </t>
  </si>
  <si>
    <t>Poveda Garberi, Victoria </t>
  </si>
  <si>
    <t>Afganistà i les seues arestes: un cas pràctic. </t>
  </si>
  <si>
    <t>16/12/2022 </t>
  </si>
  <si>
    <t>I.U. DE INVESTIGACIONES TURÍSTICAS (10.17) </t>
  </si>
  <si>
    <t>Felipe Rosa, Thais </t>
  </si>
  <si>
    <t>Construyendo el Turismo de Base Comunitaria en Ilha das Couves en Ubatuba, SP </t>
  </si>
  <si>
    <t>05/06/2023 </t>
  </si>
  <si>
    <t>U073 </t>
  </si>
  <si>
    <t>I.U. INVESTIGACIÓN DE ESTUDIOS DE GÉNERO (10.23) </t>
  </si>
  <si>
    <t>DOCTORADO EN ESTUDIOS INTERDISCIPLINARES DE GÉNERO </t>
  </si>
  <si>
    <t>Garis Puerto, Natalia </t>
  </si>
  <si>
    <t>GÉNERO, NACIÓN Y TURISMO DURANTE LA SEGUNDA MITAD DEL SIGLO XX EN LA PROVINCIA DE ALICANTE </t>
  </si>
  <si>
    <t>19/05/2023 </t>
  </si>
  <si>
    <t>21481385Y </t>
  </si>
  <si>
    <t>Martínez de Ardón, Karla Patricia </t>
  </si>
  <si>
    <t>Desarrollo de competencias profesionales a través de Entornos Virtuales de Aprendizaje. El caso de la Universidad Tecnológica de El Salvador </t>
  </si>
  <si>
    <t>14/09/2023 </t>
  </si>
  <si>
    <t>48342228T</t>
  </si>
  <si>
    <t>48530679N</t>
  </si>
  <si>
    <t>30.40.6C.00.05</t>
  </si>
  <si>
    <t>Realización de un estudio sobre "Economía de Plataformas. Dimensión y Análisis del fenómeno Rider en la Región de Murcia".</t>
  </si>
  <si>
    <t>S</t>
  </si>
  <si>
    <t xml:space="preserve">PID2019-104980GB-I00/107265GB-I00/108192GB-I00/109627GB-I00/111208GB-I00/105542RB-I00/106230RB-I00/106601RB-I00 </t>
  </si>
  <si>
    <t>U023</t>
  </si>
  <si>
    <t>ADM. FACULTAD DE FILOSOFIA Y LETRAS</t>
  </si>
  <si>
    <t>DOCTORADO EN FILOSOFÍA Y LETRAS</t>
  </si>
  <si>
    <t>Souar , Bouchra Khaoula</t>
  </si>
  <si>
    <t>España en Orán: entre Historia y Memoria. Un pedazo de la memoria hispano-argelina</t>
  </si>
  <si>
    <t>13/06/2024</t>
  </si>
  <si>
    <t>Codirector de tesis</t>
  </si>
  <si>
    <t>HUMANIDADES CONTEMPORANEAS</t>
  </si>
  <si>
    <t>Seva Merín, Isabel Elvira</t>
  </si>
  <si>
    <t>GONZALO SORIANO SIMÓ (1913-1972): BIOGRAFÍA, TRAYECTORIA ARTÍSTICA Y LEGADO</t>
  </si>
  <si>
    <t>22/04/2024</t>
  </si>
  <si>
    <t>Director de tesis</t>
  </si>
  <si>
    <t>U058</t>
  </si>
  <si>
    <t>I.U. DE INVESTIGACIONES TURÍSTICAS (10.17)</t>
  </si>
  <si>
    <t>DOCTORADO EN TURISMO</t>
  </si>
  <si>
    <t>Alberca Sialer, Fabrizio Augusto</t>
  </si>
  <si>
    <t>PATRIMONIO CULTURAL INMATERIAL Y TURISMO CREATIVO. UN ANÁLISIS DESDE LA</t>
  </si>
  <si>
    <t>09/02/2024</t>
  </si>
  <si>
    <t>50</t>
  </si>
  <si>
    <t>U075</t>
  </si>
  <si>
    <t>I.U.INVESTIGACIÓN DE ESTUDIOS SOCIALES DE AMÉRICA LATINA (10.25)</t>
  </si>
  <si>
    <t>DOCTORADO EN HUMANIDADES Y ESTUDIOS SOCIALES DE AMÉRICA LATINA</t>
  </si>
  <si>
    <t>Sierra Urrego, Alejandro</t>
  </si>
  <si>
    <t>EL EXTERMINIO COMO PRÁCTICA SOCIAL. EL CASO DEL MOVIMIENTO CÍVICO DEL ORIENTE ANTIOQUEÑO, 1979 - 1996</t>
  </si>
  <si>
    <t>17/07/2024</t>
  </si>
  <si>
    <t>Muñoz Londoño, Andrés David</t>
  </si>
  <si>
    <t>VIVIENDA Y BIENESTAR: UN MODELO ESTRATÉGICO PARA EL DESARROLLO DE LA POLÍTICA DE VIVIENDA 100% SUBSIDIADA (GRATUITA) EN COLOMBIA 2010 - 2018</t>
  </si>
  <si>
    <t>15/03/2024</t>
  </si>
  <si>
    <t>20</t>
  </si>
  <si>
    <t>80</t>
  </si>
  <si>
    <t>90</t>
  </si>
  <si>
    <t>10</t>
  </si>
  <si>
    <t>25</t>
  </si>
  <si>
    <t>Org. aplic.</t>
  </si>
  <si>
    <t>Imp. aplic.</t>
  </si>
  <si>
    <t>30.40.6C.00.06</t>
  </si>
  <si>
    <t>COMISARIO ACADÉMICO DE LA EXPOSICIÓN "ESPAÑOLES DEL ÉXODO Y EL VIENTO: EL EXILIO EN EL MAGREB" EN CASA ÁRABE</t>
  </si>
  <si>
    <t>DEVOLUCIÓN DE INGRESOS_CARTA DE PAGO_REFERENCIA: PID2019-109627GB-I00, ANUALIDAD: 2020</t>
  </si>
  <si>
    <t>30.40.6P.00.11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</si>
  <si>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</si>
  <si>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>10.22</t>
  </si>
  <si>
    <t>Instituto Universitario Investigación de Estudios Sociales de América Latina (10</t>
  </si>
  <si>
    <t>Serrano Ávila, Ana María</t>
  </si>
  <si>
    <t>El desarrollo del territorio en tensión con la construcción de la paz. Sentipensando la influencia de las mujeres campesinas y su aporte al buen vivir y a la paz. El caso del municipio de Moniquirá-Bocayá (Colombia)</t>
  </si>
  <si>
    <t>06/03/2025</t>
  </si>
  <si>
    <t>Humanidades Contemporáneas</t>
  </si>
  <si>
    <t>Verdecia Marin, Marleys</t>
  </si>
  <si>
    <t>LA OBRA EDUCATIVA DE ALITA CABRERA MARCAIDA Y SU CONTRIBUCIÓN ESTÉTICA A LA ACADEMIA DE BALLET EN CIENFUEGOS</t>
  </si>
  <si>
    <t>13/03/2025</t>
  </si>
  <si>
    <t>Restrepo Marín, Janeth Del Carmen</t>
  </si>
  <si>
    <t>El proceso de configuración de los agentes estatales como perpetradores de falsos positivos en el Catatumbo, Colombia (2007-2008). Acercamiento analítico desde los estudios sobre perpetradores</t>
  </si>
  <si>
    <t>21/02/2025</t>
  </si>
  <si>
    <t>Cordeiro Pereira, Thailana De Jesus</t>
  </si>
  <si>
    <t>El hombre de hierro del gobierno imperial: Soares d'Andrea y los usos y abusos de la Suspensión Constitucional en las provincias de Pará y Rio Grande del Sur - Brasil (1836-1840)</t>
  </si>
  <si>
    <t>28/05/2025</t>
  </si>
  <si>
    <t>Garcia Rodriguez, Anicel</t>
  </si>
  <si>
    <t>Modelo de comunicación de la ciencia y la innovación para el sistema institucional de gobierno en Cuba</t>
  </si>
  <si>
    <t>27/02/2025</t>
  </si>
  <si>
    <t>2020</t>
  </si>
  <si>
    <t>2021</t>
  </si>
  <si>
    <t>2022</t>
  </si>
  <si>
    <t>2023</t>
  </si>
  <si>
    <t>2024</t>
  </si>
  <si>
    <t>2025</t>
  </si>
  <si>
    <t>Espeso Molinero, María del Pilar</t>
  </si>
  <si>
    <t>Gutiérrez Lloret, Rosa Ana</t>
  </si>
  <si>
    <t>Zurita Aldeguer, Rafael</t>
  </si>
  <si>
    <t>Moreno Fonseret, Roque</t>
  </si>
  <si>
    <t>Moreno Seco, Mónica</t>
  </si>
  <si>
    <t>Senante Berendes, Heidy Cristina</t>
  </si>
  <si>
    <t>Sevillano Calero, Francisco</t>
  </si>
  <si>
    <t>Santacreu Soler, José Miguel</t>
  </si>
  <si>
    <t>Mira Abad, Alicia</t>
  </si>
  <si>
    <t>Payá López, Pedro</t>
  </si>
  <si>
    <t>Nájera Pérez, Elena</t>
  </si>
  <si>
    <t>De Murcia Conesa, Antonio</t>
  </si>
  <si>
    <t>44512899X</t>
  </si>
  <si>
    <t>Rivera León, Lorena</t>
  </si>
  <si>
    <t>Fernández Sirvent, Rafael</t>
  </si>
  <si>
    <t>Hurtado García, Inmaculada</t>
  </si>
  <si>
    <t>48494289P</t>
  </si>
  <si>
    <t>López Martínez, Gabriel</t>
  </si>
  <si>
    <t>Ferrández Ferrer, Alicia</t>
  </si>
  <si>
    <t>30</t>
  </si>
  <si>
    <t xml:space="preserve">CIGE/2023/52/94/129/146/165/175/181/184/188/196/197/216/225/227. EN CIGE/2023/196 HAY UNA REASIGNACIÓN DEL IMPORTE (EN JI-2024-3632 SE PRODUCE UNA MINORACIÓN DE 9879,02 Y SE ASIGNA A ESTE AÑO) </t>
  </si>
  <si>
    <t>Minoración Ayudas CIGE/2023/52, CIGE/2023/94, CIGE/2023/129, CIGE/2023/146, CIGE/2023/165, CIGE/2023/175, CIGE/2023/181, CIGE/2023/184, CIGE/2023/188, CIGE/2023/197, CIGE/2023/216,  CIGE/2023/227 (LINEA SUBVENCIÓN S0296)</t>
  </si>
  <si>
    <t>30.40.6P.00.12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</si>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</sst>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Verdana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74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166" fontId="2" fillId="4" borderId="2" xfId="1" applyNumberFormat="1" applyFill="1" applyBorder="1"/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15" fillId="8" borderId="7" xfId="0" applyFont="1" applyFill="1" applyBorder="1"/>
    <xf numFmtId="43" fontId="0" fillId="0" borderId="0" xfId="0" applyNumberFormat="1"/>
    <xf numFmtId="0" fontId="16" fillId="4" borderId="1" xfId="1" applyFont="1" applyFill="1" applyBorder="1"/>
    <xf numFmtId="0" fontId="16" fillId="0" borderId="1" xfId="1" applyFont="1" applyBorder="1"/>
    <xf numFmtId="0" fontId="16" fillId="0" borderId="1" xfId="0" applyFont="1" applyBorder="1"/>
    <xf numFmtId="0" fontId="16" fillId="0" borderId="0" xfId="0" applyFont="1"/>
    <xf numFmtId="0" fontId="16" fillId="4" borderId="0" xfId="1" applyFont="1" applyFill="1"/>
    <xf numFmtId="0" fontId="2" fillId="9" borderId="0" xfId="1" applyFill="1"/>
    <xf numFmtId="0" fontId="2" fillId="9" borderId="0" xfId="1" applyFill="1" applyAlignment="1">
      <alignment horizontal="right"/>
    </xf>
    <xf numFmtId="0" fontId="0" fillId="0" borderId="1" xfId="0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12" fillId="9" borderId="0" xfId="0" applyFont="1" applyFill="1"/>
    <xf numFmtId="165" fontId="3" fillId="9" borderId="0" xfId="1" applyNumberFormat="1" applyFont="1" applyFill="1"/>
    <xf numFmtId="43" fontId="0" fillId="8" borderId="9" xfId="6" applyNumberFormat="1" applyFont="1" applyFill="1" applyBorder="1"/>
    <xf numFmtId="0" fontId="0" fillId="0" borderId="9" xfId="0" applyBorder="1"/>
    <xf numFmtId="0" fontId="14" fillId="7" borderId="8" xfId="0" applyFont="1" applyFill="1" applyBorder="1"/>
    <xf numFmtId="0" fontId="15" fillId="0" borderId="9" xfId="0" applyFont="1" applyBorder="1"/>
    <xf numFmtId="43" fontId="0" fillId="0" borderId="9" xfId="6" applyNumberFormat="1" applyFont="1" applyBorder="1"/>
    <xf numFmtId="43" fontId="0" fillId="0" borderId="9" xfId="0" applyNumberFormat="1" applyBorder="1"/>
    <xf numFmtId="0" fontId="0" fillId="8" borderId="7" xfId="0" applyFill="1" applyBorder="1"/>
    <xf numFmtId="0" fontId="0" fillId="0" borderId="7" xfId="0" applyBorder="1"/>
    <xf numFmtId="0" fontId="11" fillId="7" borderId="8" xfId="0" applyFont="1" applyFill="1" applyBorder="1"/>
    <xf numFmtId="43" fontId="11" fillId="7" borderId="8" xfId="6" applyNumberFormat="1" applyFont="1" applyFill="1" applyBorder="1"/>
    <xf numFmtId="0" fontId="0" fillId="8" borderId="9" xfId="0" applyFill="1" applyBorder="1"/>
    <xf numFmtId="0" fontId="12" fillId="0" borderId="1" xfId="0" applyFont="1" applyBorder="1"/>
    <xf numFmtId="43" fontId="12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10" borderId="10" xfId="0" applyFont="1" applyFill="1" applyBorder="1"/>
    <xf numFmtId="0" fontId="18" fillId="10" borderId="11" xfId="0" applyFont="1" applyFill="1" applyBorder="1"/>
    <xf numFmtId="0" fontId="19" fillId="11" borderId="10" xfId="0" applyFont="1" applyFill="1" applyBorder="1"/>
    <xf numFmtId="0" fontId="19" fillId="11" borderId="11" xfId="0" applyFont="1" applyFill="1" applyBorder="1"/>
    <xf numFmtId="164" fontId="19" fillId="11" borderId="11" xfId="6" applyFont="1" applyFill="1" applyBorder="1"/>
    <xf numFmtId="0" fontId="19" fillId="0" borderId="10" xfId="0" applyFont="1" applyBorder="1"/>
    <xf numFmtId="0" fontId="19" fillId="0" borderId="11" xfId="0" applyFont="1" applyBorder="1"/>
    <xf numFmtId="164" fontId="19" fillId="0" borderId="11" xfId="6" applyFont="1" applyBorder="1"/>
    <xf numFmtId="0" fontId="20" fillId="0" borderId="12" xfId="0" applyFont="1" applyBorder="1"/>
    <xf numFmtId="0" fontId="20" fillId="0" borderId="13" xfId="0" applyFont="1" applyBorder="1"/>
    <xf numFmtId="164" fontId="20" fillId="0" borderId="13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7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21184-67DB-45E8-81F7-0C24C101CE8B}" name="Tabla2" displayName="Tabla2" ref="A1:C4" totalsRowCount="1" headerRowDxfId="6" headerRowBorderDxfId="5" tableBorderDxfId="4" totalsRowBorderDxfId="3">
  <autoFilter ref="A1:C3" xr:uid="{22921184-67DB-45E8-81F7-0C24C101CE8B}"/>
  <tableColumns count="3">
    <tableColumn id="1" xr3:uid="{F5221801-06B4-4D52-AF2E-11BDEB48268B}" name="Cód. org. aplic." totalsRowLabel="Total"/>
    <tableColumn id="2" xr3:uid="{6214790A-BB6C-48FB-812C-995221FB20F1}" name="Descripción justificante"/>
    <tableColumn id="3" xr3:uid="{86B2DF95-BDA0-4BC2-8E56-F9EFE59F39B7}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73528E-8E6A-40B1-B4B1-B9062D3180A4}" name="Tabla3" displayName="Tabla3" ref="A1:C5" totalsRowCount="1" headerRowBorderDxfId="2" tableBorderDxfId="1" totalsRowBorderDxfId="0">
  <autoFilter ref="A1:C4" xr:uid="{A573528E-8E6A-40B1-B4B1-B9062D3180A4}"/>
  <tableColumns count="3">
    <tableColumn id="1" xr3:uid="{1EA9B8E3-9F54-4E55-B95E-8F951C87D0B2}" name="Org. aplic." totalsRowLabel="Total"/>
    <tableColumn id="2" xr3:uid="{1877D9B7-34A6-45BD-AA44-8534BC763B29}" name="Descripción justificante"/>
    <tableColumn id="3" xr3:uid="{CE834F79-B693-4AC5-9249-75BBC0FA048B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9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43" sqref="J4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6.554687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20" t="s">
        <v>29</v>
      </c>
      <c r="B2" s="20" t="s">
        <v>30</v>
      </c>
      <c r="C2" s="20" t="s">
        <v>32</v>
      </c>
      <c r="D2" s="20" t="s">
        <v>65</v>
      </c>
      <c r="E2" s="20" t="s">
        <v>66</v>
      </c>
      <c r="F2" s="20" t="s">
        <v>67</v>
      </c>
      <c r="G2" s="20" t="s">
        <v>37</v>
      </c>
      <c r="H2" s="20" t="s">
        <v>22</v>
      </c>
      <c r="I2" s="20" t="s">
        <v>34</v>
      </c>
      <c r="J2" s="20" t="s">
        <v>35</v>
      </c>
      <c r="K2" s="30">
        <v>0.5</v>
      </c>
      <c r="L2" s="20" t="s">
        <v>36</v>
      </c>
      <c r="M2" s="20">
        <v>2019</v>
      </c>
      <c r="N2" s="20" t="s">
        <v>23</v>
      </c>
      <c r="O2" s="21" t="s">
        <v>23</v>
      </c>
      <c r="P2" s="20" t="s">
        <v>23</v>
      </c>
      <c r="Q2" s="21" t="s">
        <v>23</v>
      </c>
      <c r="R2" s="22">
        <v>100</v>
      </c>
      <c r="S2" s="23">
        <v>0.5</v>
      </c>
      <c r="T2" s="23">
        <v>0</v>
      </c>
      <c r="U2" s="23">
        <v>0</v>
      </c>
    </row>
    <row r="3" spans="1:21" x14ac:dyDescent="0.2">
      <c r="A3" s="18" t="s">
        <v>29</v>
      </c>
      <c r="B3" s="18" t="s">
        <v>30</v>
      </c>
      <c r="C3" s="18" t="s">
        <v>32</v>
      </c>
      <c r="D3" s="18" t="s">
        <v>72</v>
      </c>
      <c r="E3" s="18" t="s">
        <v>73</v>
      </c>
      <c r="F3" s="18" t="s">
        <v>74</v>
      </c>
      <c r="G3" s="18" t="s">
        <v>33</v>
      </c>
      <c r="H3" s="18" t="s">
        <v>24</v>
      </c>
      <c r="I3" s="18" t="s">
        <v>34</v>
      </c>
      <c r="J3" s="18" t="s">
        <v>35</v>
      </c>
      <c r="K3" s="24">
        <v>1</v>
      </c>
      <c r="L3" s="24" t="s">
        <v>36</v>
      </c>
      <c r="M3" s="25">
        <v>2019</v>
      </c>
      <c r="N3" s="18" t="s">
        <v>23</v>
      </c>
      <c r="O3" s="19" t="s">
        <v>23</v>
      </c>
      <c r="P3" s="18" t="s">
        <v>23</v>
      </c>
      <c r="Q3" s="19" t="s">
        <v>23</v>
      </c>
      <c r="R3" s="18">
        <v>100</v>
      </c>
      <c r="S3" s="18">
        <v>1</v>
      </c>
      <c r="T3" s="18">
        <v>0</v>
      </c>
      <c r="U3" s="18">
        <v>0</v>
      </c>
    </row>
    <row r="4" spans="1:21" x14ac:dyDescent="0.2">
      <c r="A4" s="18" t="s">
        <v>29</v>
      </c>
      <c r="B4" s="18" t="s">
        <v>30</v>
      </c>
      <c r="C4" s="18" t="s">
        <v>32</v>
      </c>
      <c r="D4" s="18" t="s">
        <v>75</v>
      </c>
      <c r="E4" s="18" t="s">
        <v>76</v>
      </c>
      <c r="F4" s="18" t="s">
        <v>77</v>
      </c>
      <c r="G4" s="18" t="s">
        <v>78</v>
      </c>
      <c r="H4" s="18" t="s">
        <v>22</v>
      </c>
      <c r="I4" s="18" t="s">
        <v>34</v>
      </c>
      <c r="J4" s="18" t="s">
        <v>35</v>
      </c>
      <c r="K4" s="24">
        <v>0.5</v>
      </c>
      <c r="L4" s="24" t="s">
        <v>36</v>
      </c>
      <c r="M4" s="25">
        <v>2019</v>
      </c>
      <c r="N4" s="18" t="s">
        <v>31</v>
      </c>
      <c r="O4" s="19">
        <v>20</v>
      </c>
      <c r="P4" s="18" t="s">
        <v>23</v>
      </c>
      <c r="Q4" s="19">
        <v>0</v>
      </c>
      <c r="R4" s="18">
        <v>80</v>
      </c>
      <c r="S4" s="18">
        <v>0.4</v>
      </c>
      <c r="T4" s="18">
        <v>0.1</v>
      </c>
      <c r="U4" s="18">
        <v>0</v>
      </c>
    </row>
    <row r="5" spans="1:21" ht="10.8" thickBot="1" x14ac:dyDescent="0.25">
      <c r="A5" s="18" t="s">
        <v>29</v>
      </c>
      <c r="B5" s="18" t="s">
        <v>30</v>
      </c>
      <c r="C5" s="18" t="s">
        <v>32</v>
      </c>
      <c r="D5" s="18" t="s">
        <v>79</v>
      </c>
      <c r="E5" s="18" t="s">
        <v>80</v>
      </c>
      <c r="F5" s="18" t="s">
        <v>81</v>
      </c>
      <c r="G5" s="18" t="s">
        <v>82</v>
      </c>
      <c r="H5" s="18" t="s">
        <v>24</v>
      </c>
      <c r="I5" s="18" t="s">
        <v>34</v>
      </c>
      <c r="J5" s="18" t="s">
        <v>35</v>
      </c>
      <c r="K5" s="24">
        <v>1</v>
      </c>
      <c r="L5" s="24" t="s">
        <v>36</v>
      </c>
      <c r="M5" s="25">
        <v>2019</v>
      </c>
      <c r="N5" s="18" t="s">
        <v>25</v>
      </c>
      <c r="O5" s="19">
        <v>50</v>
      </c>
      <c r="P5" s="18" t="s">
        <v>23</v>
      </c>
      <c r="Q5" s="19">
        <v>0</v>
      </c>
      <c r="R5" s="18">
        <v>50</v>
      </c>
      <c r="S5" s="18">
        <v>0.5</v>
      </c>
      <c r="T5" s="18">
        <v>0.5</v>
      </c>
      <c r="U5" s="18">
        <v>0</v>
      </c>
    </row>
    <row r="6" spans="1:21" ht="10.8" thickBot="1" x14ac:dyDescent="0.25">
      <c r="A6" s="26" t="s">
        <v>29</v>
      </c>
      <c r="B6" s="26" t="s">
        <v>30</v>
      </c>
      <c r="C6" s="26" t="s">
        <v>32</v>
      </c>
      <c r="D6" s="26" t="s">
        <v>83</v>
      </c>
      <c r="E6" s="26" t="s">
        <v>84</v>
      </c>
      <c r="F6" s="26" t="s">
        <v>85</v>
      </c>
      <c r="G6" s="27" t="s">
        <v>39</v>
      </c>
      <c r="H6" s="28" t="s">
        <v>24</v>
      </c>
      <c r="I6" s="28" t="s">
        <v>34</v>
      </c>
      <c r="J6" s="29" t="s">
        <v>35</v>
      </c>
      <c r="K6" s="24">
        <v>1</v>
      </c>
      <c r="L6" s="24" t="s">
        <v>36</v>
      </c>
      <c r="M6" s="18">
        <v>2020</v>
      </c>
      <c r="N6" s="18" t="s">
        <v>25</v>
      </c>
      <c r="O6" s="19">
        <v>80</v>
      </c>
      <c r="P6" s="18" t="s">
        <v>23</v>
      </c>
      <c r="Q6" s="19">
        <v>0</v>
      </c>
      <c r="R6" s="18">
        <v>20</v>
      </c>
      <c r="S6" s="18">
        <v>0.2</v>
      </c>
      <c r="T6" s="18">
        <v>0.8</v>
      </c>
      <c r="U6" s="18">
        <v>0</v>
      </c>
    </row>
    <row r="7" spans="1:21" ht="10.8" thickBot="1" x14ac:dyDescent="0.25">
      <c r="A7" s="26" t="s">
        <v>29</v>
      </c>
      <c r="B7" s="26" t="s">
        <v>30</v>
      </c>
      <c r="C7" s="26" t="s">
        <v>32</v>
      </c>
      <c r="D7" s="26" t="s">
        <v>86</v>
      </c>
      <c r="E7" s="26" t="s">
        <v>87</v>
      </c>
      <c r="F7" s="26" t="s">
        <v>88</v>
      </c>
      <c r="G7" s="27" t="s">
        <v>33</v>
      </c>
      <c r="H7" s="28" t="s">
        <v>24</v>
      </c>
      <c r="I7" s="28" t="s">
        <v>34</v>
      </c>
      <c r="J7" s="29" t="s">
        <v>35</v>
      </c>
      <c r="K7" s="24">
        <v>1</v>
      </c>
      <c r="L7" s="24" t="s">
        <v>36</v>
      </c>
      <c r="M7" s="18">
        <v>2020</v>
      </c>
      <c r="N7" s="18" t="s">
        <v>23</v>
      </c>
      <c r="O7" s="19" t="s">
        <v>23</v>
      </c>
      <c r="P7" s="18" t="s">
        <v>23</v>
      </c>
      <c r="Q7" s="19" t="s">
        <v>23</v>
      </c>
      <c r="R7" s="18">
        <v>100</v>
      </c>
      <c r="S7" s="18">
        <v>1</v>
      </c>
      <c r="T7" s="18">
        <v>0</v>
      </c>
      <c r="U7" s="18">
        <v>0</v>
      </c>
    </row>
    <row r="8" spans="1:21" ht="10.8" thickBot="1" x14ac:dyDescent="0.25">
      <c r="A8" s="26" t="s">
        <v>29</v>
      </c>
      <c r="B8" s="26" t="s">
        <v>30</v>
      </c>
      <c r="C8" s="26" t="s">
        <v>32</v>
      </c>
      <c r="D8" s="26" t="s">
        <v>89</v>
      </c>
      <c r="E8" s="26" t="s">
        <v>90</v>
      </c>
      <c r="F8" s="26" t="s">
        <v>91</v>
      </c>
      <c r="G8" s="27" t="s">
        <v>33</v>
      </c>
      <c r="H8" s="28" t="s">
        <v>24</v>
      </c>
      <c r="I8" s="28" t="s">
        <v>34</v>
      </c>
      <c r="J8" s="29" t="s">
        <v>35</v>
      </c>
      <c r="K8" s="24">
        <v>1</v>
      </c>
      <c r="L8" s="24" t="s">
        <v>36</v>
      </c>
      <c r="M8" s="18">
        <v>2020</v>
      </c>
      <c r="N8" s="18" t="s">
        <v>23</v>
      </c>
      <c r="O8" s="19" t="s">
        <v>23</v>
      </c>
      <c r="P8" s="18" t="s">
        <v>23</v>
      </c>
      <c r="Q8" s="19" t="s">
        <v>23</v>
      </c>
      <c r="R8" s="18">
        <v>100</v>
      </c>
      <c r="S8" s="18">
        <v>1</v>
      </c>
      <c r="T8" s="18">
        <v>0</v>
      </c>
      <c r="U8" s="18">
        <v>0</v>
      </c>
    </row>
    <row r="9" spans="1:21" ht="10.8" thickBot="1" x14ac:dyDescent="0.25">
      <c r="A9" s="26" t="s">
        <v>29</v>
      </c>
      <c r="B9" s="26" t="s">
        <v>30</v>
      </c>
      <c r="C9" s="26" t="s">
        <v>32</v>
      </c>
      <c r="D9" s="26" t="s">
        <v>92</v>
      </c>
      <c r="E9" s="26" t="s">
        <v>93</v>
      </c>
      <c r="F9" s="26" t="s">
        <v>94</v>
      </c>
      <c r="G9" s="27" t="s">
        <v>95</v>
      </c>
      <c r="H9" s="28" t="s">
        <v>24</v>
      </c>
      <c r="I9" s="28" t="s">
        <v>34</v>
      </c>
      <c r="J9" s="29" t="s">
        <v>35</v>
      </c>
      <c r="K9" s="24">
        <v>1</v>
      </c>
      <c r="L9" s="24" t="s">
        <v>36</v>
      </c>
      <c r="M9" s="18">
        <v>2020</v>
      </c>
      <c r="N9" s="18" t="s">
        <v>31</v>
      </c>
      <c r="O9" s="19">
        <v>20</v>
      </c>
      <c r="P9" s="18" t="s">
        <v>23</v>
      </c>
      <c r="Q9" s="19">
        <v>0</v>
      </c>
      <c r="R9" s="18">
        <v>80</v>
      </c>
      <c r="S9" s="18">
        <v>0.8</v>
      </c>
      <c r="T9" s="18">
        <v>0.2</v>
      </c>
      <c r="U9" s="18">
        <v>0</v>
      </c>
    </row>
    <row r="10" spans="1:21" ht="10.8" thickBot="1" x14ac:dyDescent="0.25">
      <c r="A10" s="26" t="s">
        <v>29</v>
      </c>
      <c r="B10" s="26" t="s">
        <v>30</v>
      </c>
      <c r="C10" s="26" t="s">
        <v>32</v>
      </c>
      <c r="D10" s="26" t="s">
        <v>96</v>
      </c>
      <c r="E10" s="26" t="s">
        <v>97</v>
      </c>
      <c r="F10" s="26" t="s">
        <v>98</v>
      </c>
      <c r="G10" s="27" t="s">
        <v>33</v>
      </c>
      <c r="H10" s="28" t="s">
        <v>22</v>
      </c>
      <c r="I10" s="28" t="s">
        <v>34</v>
      </c>
      <c r="J10" s="29" t="s">
        <v>35</v>
      </c>
      <c r="K10" s="24">
        <v>0.5</v>
      </c>
      <c r="L10" s="24" t="s">
        <v>36</v>
      </c>
      <c r="M10" s="18">
        <v>2020</v>
      </c>
      <c r="N10" s="18" t="s">
        <v>23</v>
      </c>
      <c r="O10" s="19" t="s">
        <v>23</v>
      </c>
      <c r="P10" s="18" t="s">
        <v>23</v>
      </c>
      <c r="Q10" s="19" t="s">
        <v>23</v>
      </c>
      <c r="R10" s="18">
        <v>100</v>
      </c>
      <c r="S10" s="18">
        <v>0.5</v>
      </c>
      <c r="T10" s="18">
        <v>0</v>
      </c>
      <c r="U10" s="18">
        <v>0</v>
      </c>
    </row>
    <row r="11" spans="1:21" ht="10.8" thickBot="1" x14ac:dyDescent="0.25">
      <c r="A11" s="26" t="s">
        <v>27</v>
      </c>
      <c r="B11" s="26" t="s">
        <v>28</v>
      </c>
      <c r="C11" s="26" t="s">
        <v>99</v>
      </c>
      <c r="D11" s="26" t="s">
        <v>100</v>
      </c>
      <c r="E11" s="26" t="s">
        <v>101</v>
      </c>
      <c r="F11" s="26" t="s">
        <v>102</v>
      </c>
      <c r="G11" s="27" t="s">
        <v>40</v>
      </c>
      <c r="H11" s="28" t="s">
        <v>22</v>
      </c>
      <c r="I11" s="28" t="s">
        <v>34</v>
      </c>
      <c r="J11" s="29" t="s">
        <v>35</v>
      </c>
      <c r="K11" s="24">
        <v>0.5</v>
      </c>
      <c r="L11" s="24" t="s">
        <v>36</v>
      </c>
      <c r="M11" s="18">
        <v>2020</v>
      </c>
      <c r="N11" s="18" t="s">
        <v>26</v>
      </c>
      <c r="O11" s="19">
        <v>50</v>
      </c>
      <c r="P11" s="18" t="s">
        <v>23</v>
      </c>
      <c r="Q11" s="19">
        <v>0</v>
      </c>
      <c r="R11" s="18">
        <v>50</v>
      </c>
      <c r="S11" s="18">
        <v>0.25</v>
      </c>
      <c r="T11" s="18">
        <v>0.25</v>
      </c>
      <c r="U11" s="18">
        <v>0</v>
      </c>
    </row>
    <row r="12" spans="1:21" x14ac:dyDescent="0.2">
      <c r="A12" s="18" t="s">
        <v>106</v>
      </c>
      <c r="B12" s="18" t="s">
        <v>107</v>
      </c>
      <c r="C12" s="18" t="s">
        <v>108</v>
      </c>
      <c r="D12" s="18" t="s">
        <v>109</v>
      </c>
      <c r="E12" s="18" t="s">
        <v>110</v>
      </c>
      <c r="F12" s="18" t="s">
        <v>111</v>
      </c>
      <c r="G12" s="18" t="s">
        <v>112</v>
      </c>
      <c r="H12" s="18" t="s">
        <v>24</v>
      </c>
      <c r="I12" s="18" t="s">
        <v>34</v>
      </c>
      <c r="J12" s="18" t="s">
        <v>35</v>
      </c>
      <c r="K12" s="24">
        <v>1</v>
      </c>
      <c r="L12" s="24" t="s">
        <v>36</v>
      </c>
      <c r="M12" s="18">
        <v>2021</v>
      </c>
      <c r="N12" s="18" t="s">
        <v>25</v>
      </c>
      <c r="O12" s="19">
        <v>80</v>
      </c>
      <c r="P12" s="18" t="s">
        <v>23</v>
      </c>
      <c r="Q12" s="19">
        <v>0</v>
      </c>
      <c r="R12" s="18">
        <v>20</v>
      </c>
      <c r="S12" s="18">
        <v>0.2</v>
      </c>
      <c r="T12" s="18">
        <v>0.8</v>
      </c>
      <c r="U12" s="18">
        <v>0</v>
      </c>
    </row>
    <row r="13" spans="1:21" x14ac:dyDescent="0.2">
      <c r="A13" s="18" t="s">
        <v>29</v>
      </c>
      <c r="B13" s="18" t="s">
        <v>30</v>
      </c>
      <c r="C13" s="18" t="s">
        <v>32</v>
      </c>
      <c r="D13" s="18" t="s">
        <v>113</v>
      </c>
      <c r="E13" s="18" t="s">
        <v>114</v>
      </c>
      <c r="F13" s="18" t="s">
        <v>115</v>
      </c>
      <c r="G13" s="18" t="s">
        <v>33</v>
      </c>
      <c r="H13" s="18" t="s">
        <v>22</v>
      </c>
      <c r="I13" s="18" t="s">
        <v>34</v>
      </c>
      <c r="J13" s="18" t="s">
        <v>35</v>
      </c>
      <c r="K13" s="24">
        <v>0.5</v>
      </c>
      <c r="L13" s="24" t="s">
        <v>36</v>
      </c>
      <c r="M13" s="18">
        <v>2021</v>
      </c>
      <c r="N13" s="18" t="s">
        <v>23</v>
      </c>
      <c r="O13" s="19" t="s">
        <v>23</v>
      </c>
      <c r="P13" s="18" t="s">
        <v>23</v>
      </c>
      <c r="Q13" s="19" t="s">
        <v>23</v>
      </c>
      <c r="R13" s="18">
        <v>100</v>
      </c>
      <c r="S13" s="18">
        <v>0.5</v>
      </c>
      <c r="T13" s="18">
        <v>0</v>
      </c>
      <c r="U13" s="18">
        <v>0</v>
      </c>
    </row>
    <row r="14" spans="1:21" x14ac:dyDescent="0.2">
      <c r="A14" s="18" t="s">
        <v>29</v>
      </c>
      <c r="B14" s="18" t="s">
        <v>30</v>
      </c>
      <c r="C14" s="18" t="s">
        <v>32</v>
      </c>
      <c r="D14" s="18" t="s">
        <v>116</v>
      </c>
      <c r="E14" s="18" t="s">
        <v>117</v>
      </c>
      <c r="F14" s="18" t="s">
        <v>118</v>
      </c>
      <c r="G14" s="18" t="s">
        <v>33</v>
      </c>
      <c r="H14" s="18" t="s">
        <v>22</v>
      </c>
      <c r="I14" s="18" t="s">
        <v>34</v>
      </c>
      <c r="J14" s="18" t="s">
        <v>35</v>
      </c>
      <c r="K14" s="24">
        <v>0.5</v>
      </c>
      <c r="L14" s="24" t="s">
        <v>36</v>
      </c>
      <c r="M14" s="18">
        <v>2021</v>
      </c>
      <c r="N14" s="18" t="s">
        <v>23</v>
      </c>
      <c r="O14" s="19" t="s">
        <v>23</v>
      </c>
      <c r="P14" s="18" t="s">
        <v>23</v>
      </c>
      <c r="Q14" s="19" t="s">
        <v>23</v>
      </c>
      <c r="R14" s="18">
        <v>100</v>
      </c>
      <c r="S14" s="18">
        <v>0.5</v>
      </c>
      <c r="T14" s="18">
        <v>0</v>
      </c>
      <c r="U14" s="18">
        <v>0</v>
      </c>
    </row>
    <row r="15" spans="1:21" x14ac:dyDescent="0.2">
      <c r="A15" s="18" t="s">
        <v>29</v>
      </c>
      <c r="B15" s="18" t="s">
        <v>30</v>
      </c>
      <c r="C15" s="18" t="s">
        <v>32</v>
      </c>
      <c r="D15" s="18" t="s">
        <v>119</v>
      </c>
      <c r="E15" s="18" t="s">
        <v>120</v>
      </c>
      <c r="F15" s="18" t="s">
        <v>121</v>
      </c>
      <c r="G15" s="18" t="s">
        <v>122</v>
      </c>
      <c r="H15" s="18" t="s">
        <v>24</v>
      </c>
      <c r="I15" s="18" t="s">
        <v>34</v>
      </c>
      <c r="J15" s="18" t="s">
        <v>35</v>
      </c>
      <c r="K15" s="24">
        <v>1</v>
      </c>
      <c r="L15" s="24" t="s">
        <v>36</v>
      </c>
      <c r="M15" s="18">
        <v>2021</v>
      </c>
      <c r="N15" s="18" t="s">
        <v>23</v>
      </c>
      <c r="O15" s="19" t="s">
        <v>23</v>
      </c>
      <c r="P15" s="18" t="s">
        <v>23</v>
      </c>
      <c r="Q15" s="19" t="s">
        <v>23</v>
      </c>
      <c r="R15" s="18">
        <v>100</v>
      </c>
      <c r="S15" s="18">
        <v>1</v>
      </c>
      <c r="T15" s="18">
        <v>0</v>
      </c>
      <c r="U15" s="18">
        <v>0</v>
      </c>
    </row>
    <row r="16" spans="1:21" x14ac:dyDescent="0.2">
      <c r="A16" s="18" t="s">
        <v>29</v>
      </c>
      <c r="B16" s="18" t="s">
        <v>30</v>
      </c>
      <c r="C16" s="18" t="s">
        <v>32</v>
      </c>
      <c r="D16" s="18" t="s">
        <v>123</v>
      </c>
      <c r="E16" s="18" t="s">
        <v>124</v>
      </c>
      <c r="F16" s="18" t="s">
        <v>125</v>
      </c>
      <c r="G16" s="18" t="s">
        <v>33</v>
      </c>
      <c r="H16" s="18" t="s">
        <v>24</v>
      </c>
      <c r="I16" s="18" t="s">
        <v>34</v>
      </c>
      <c r="J16" s="18" t="s">
        <v>35</v>
      </c>
      <c r="K16" s="24">
        <v>1</v>
      </c>
      <c r="L16" s="24" t="s">
        <v>36</v>
      </c>
      <c r="M16" s="18">
        <v>2021</v>
      </c>
      <c r="N16" s="18" t="s">
        <v>23</v>
      </c>
      <c r="O16" s="19" t="s">
        <v>23</v>
      </c>
      <c r="P16" s="18" t="s">
        <v>23</v>
      </c>
      <c r="Q16" s="19" t="s">
        <v>23</v>
      </c>
      <c r="R16" s="18">
        <v>100</v>
      </c>
      <c r="S16" s="18">
        <v>1</v>
      </c>
      <c r="T16" s="18">
        <v>0</v>
      </c>
      <c r="U16" s="18">
        <v>0</v>
      </c>
    </row>
    <row r="17" spans="1:25" x14ac:dyDescent="0.2">
      <c r="A17" s="18" t="s">
        <v>27</v>
      </c>
      <c r="B17" s="18" t="s">
        <v>28</v>
      </c>
      <c r="C17" s="18" t="s">
        <v>99</v>
      </c>
      <c r="D17" s="18" t="s">
        <v>126</v>
      </c>
      <c r="E17" s="18" t="s">
        <v>127</v>
      </c>
      <c r="F17" s="18" t="s">
        <v>128</v>
      </c>
      <c r="G17" s="18" t="s">
        <v>129</v>
      </c>
      <c r="H17" s="18" t="s">
        <v>22</v>
      </c>
      <c r="I17" s="18" t="s">
        <v>34</v>
      </c>
      <c r="J17" s="18" t="s">
        <v>35</v>
      </c>
      <c r="K17" s="24">
        <v>0.5</v>
      </c>
      <c r="L17" s="24" t="s">
        <v>36</v>
      </c>
      <c r="M17" s="18">
        <v>2021</v>
      </c>
      <c r="N17" s="18" t="s">
        <v>26</v>
      </c>
      <c r="O17" s="19">
        <v>50</v>
      </c>
      <c r="P17" s="18" t="s">
        <v>23</v>
      </c>
      <c r="Q17" s="19">
        <v>0</v>
      </c>
      <c r="R17" s="18">
        <v>50</v>
      </c>
      <c r="S17" s="18">
        <v>0.25</v>
      </c>
      <c r="T17" s="18">
        <v>0.25</v>
      </c>
      <c r="U17" s="18">
        <v>0</v>
      </c>
    </row>
    <row r="18" spans="1:25" x14ac:dyDescent="0.2">
      <c r="A18" s="18" t="s">
        <v>27</v>
      </c>
      <c r="B18" s="18" t="s">
        <v>28</v>
      </c>
      <c r="C18" s="18" t="s">
        <v>99</v>
      </c>
      <c r="D18" s="18" t="s">
        <v>126</v>
      </c>
      <c r="E18" s="18" t="s">
        <v>127</v>
      </c>
      <c r="F18" s="18" t="s">
        <v>128</v>
      </c>
      <c r="G18" s="18" t="s">
        <v>40</v>
      </c>
      <c r="H18" s="18" t="s">
        <v>22</v>
      </c>
      <c r="I18" s="18" t="s">
        <v>34</v>
      </c>
      <c r="J18" s="18" t="s">
        <v>35</v>
      </c>
      <c r="K18" s="24">
        <v>0.5</v>
      </c>
      <c r="L18" s="24" t="s">
        <v>36</v>
      </c>
      <c r="M18" s="18">
        <v>2021</v>
      </c>
      <c r="N18" s="18" t="s">
        <v>26</v>
      </c>
      <c r="O18" s="19">
        <v>50</v>
      </c>
      <c r="P18" s="18" t="s">
        <v>23</v>
      </c>
      <c r="Q18" s="19">
        <v>0</v>
      </c>
      <c r="R18" s="18">
        <v>50</v>
      </c>
      <c r="S18" s="18">
        <v>0.25</v>
      </c>
      <c r="T18" s="18">
        <v>0.25</v>
      </c>
      <c r="U18" s="18">
        <v>0</v>
      </c>
    </row>
    <row r="19" spans="1:25" x14ac:dyDescent="0.2">
      <c r="A19" s="18" t="s">
        <v>130</v>
      </c>
      <c r="B19" s="18" t="s">
        <v>131</v>
      </c>
      <c r="C19" s="18" t="s">
        <v>132</v>
      </c>
      <c r="D19" s="18" t="s">
        <v>133</v>
      </c>
      <c r="E19" s="18" t="s">
        <v>134</v>
      </c>
      <c r="F19" s="18" t="s">
        <v>135</v>
      </c>
      <c r="G19" s="18" t="s">
        <v>39</v>
      </c>
      <c r="H19" s="18" t="s">
        <v>22</v>
      </c>
      <c r="I19" s="18" t="s">
        <v>34</v>
      </c>
      <c r="J19" s="18" t="s">
        <v>35</v>
      </c>
      <c r="K19" s="24">
        <v>0.5</v>
      </c>
      <c r="L19" s="24" t="s">
        <v>36</v>
      </c>
      <c r="M19" s="18">
        <v>2021</v>
      </c>
      <c r="N19" s="18" t="s">
        <v>25</v>
      </c>
      <c r="O19" s="19">
        <v>80</v>
      </c>
      <c r="P19" s="18" t="s">
        <v>23</v>
      </c>
      <c r="Q19" s="19">
        <v>0</v>
      </c>
      <c r="R19" s="18">
        <v>20</v>
      </c>
      <c r="S19" s="18">
        <v>0.1</v>
      </c>
      <c r="T19" s="18">
        <v>0.4</v>
      </c>
      <c r="U19" s="18">
        <v>0</v>
      </c>
    </row>
    <row r="20" spans="1:25" x14ac:dyDescent="0.2">
      <c r="A20" s="18" t="s">
        <v>130</v>
      </c>
      <c r="B20" s="18" t="s">
        <v>138</v>
      </c>
      <c r="C20" s="18" t="s">
        <v>132</v>
      </c>
      <c r="D20" s="18" t="s">
        <v>139</v>
      </c>
      <c r="E20" s="18" t="s">
        <v>140</v>
      </c>
      <c r="F20" s="18" t="s">
        <v>141</v>
      </c>
      <c r="G20" s="18" t="s">
        <v>33</v>
      </c>
      <c r="H20" s="18" t="s">
        <v>22</v>
      </c>
      <c r="I20" s="18" t="s">
        <v>34</v>
      </c>
      <c r="J20" s="18" t="s">
        <v>35</v>
      </c>
      <c r="K20" s="33">
        <v>0.5</v>
      </c>
      <c r="L20" s="33" t="s">
        <v>36</v>
      </c>
      <c r="M20" s="18">
        <v>2021</v>
      </c>
      <c r="N20" s="33" t="s">
        <v>23</v>
      </c>
      <c r="O20" s="33" t="s">
        <v>23</v>
      </c>
      <c r="P20" s="33" t="s">
        <v>23</v>
      </c>
      <c r="Q20" s="33" t="s">
        <v>23</v>
      </c>
      <c r="R20" s="33">
        <v>100</v>
      </c>
      <c r="S20" s="33">
        <v>0.5</v>
      </c>
      <c r="T20" s="33">
        <v>0</v>
      </c>
      <c r="U20" s="33">
        <v>0</v>
      </c>
    </row>
    <row r="21" spans="1:25" x14ac:dyDescent="0.2">
      <c r="A21" s="18" t="s">
        <v>106</v>
      </c>
      <c r="B21" s="18" t="s">
        <v>107</v>
      </c>
      <c r="C21" s="18" t="s">
        <v>108</v>
      </c>
      <c r="D21" s="18" t="s">
        <v>142</v>
      </c>
      <c r="E21" s="18" t="s">
        <v>143</v>
      </c>
      <c r="F21" s="18" t="s">
        <v>144</v>
      </c>
      <c r="G21" s="18" t="s">
        <v>112</v>
      </c>
      <c r="H21" s="18" t="s">
        <v>24</v>
      </c>
      <c r="I21" s="18" t="s">
        <v>34</v>
      </c>
      <c r="J21" s="18" t="s">
        <v>35</v>
      </c>
      <c r="K21" s="33">
        <v>1</v>
      </c>
      <c r="L21" s="33" t="s">
        <v>36</v>
      </c>
      <c r="M21" s="18">
        <v>2021</v>
      </c>
      <c r="N21" s="33" t="s">
        <v>25</v>
      </c>
      <c r="O21" s="33">
        <v>80</v>
      </c>
      <c r="P21" s="33" t="s">
        <v>23</v>
      </c>
      <c r="Q21" s="33">
        <v>0</v>
      </c>
      <c r="R21" s="33">
        <v>20</v>
      </c>
      <c r="S21" s="33">
        <v>0.2</v>
      </c>
      <c r="T21" s="33">
        <v>0.8</v>
      </c>
      <c r="U21" s="33">
        <v>0</v>
      </c>
    </row>
    <row r="22" spans="1:25" x14ac:dyDescent="0.2">
      <c r="A22" s="18" t="s">
        <v>130</v>
      </c>
      <c r="B22" s="18" t="s">
        <v>138</v>
      </c>
      <c r="C22" s="18" t="s">
        <v>132</v>
      </c>
      <c r="D22" s="18" t="s">
        <v>145</v>
      </c>
      <c r="E22" s="18" t="s">
        <v>146</v>
      </c>
      <c r="F22" s="18" t="s">
        <v>147</v>
      </c>
      <c r="G22" s="18" t="s">
        <v>112</v>
      </c>
      <c r="H22" s="18" t="s">
        <v>22</v>
      </c>
      <c r="I22" s="18" t="s">
        <v>34</v>
      </c>
      <c r="J22" s="18" t="s">
        <v>35</v>
      </c>
      <c r="K22" s="33">
        <v>0.5</v>
      </c>
      <c r="L22" s="33" t="s">
        <v>36</v>
      </c>
      <c r="M22" s="18">
        <v>2021</v>
      </c>
      <c r="N22" s="33" t="s">
        <v>25</v>
      </c>
      <c r="O22" s="33">
        <v>80</v>
      </c>
      <c r="P22" s="33" t="s">
        <v>23</v>
      </c>
      <c r="Q22" s="33">
        <v>0</v>
      </c>
      <c r="R22" s="33">
        <v>20</v>
      </c>
      <c r="S22" s="33">
        <v>0.1</v>
      </c>
      <c r="T22" s="33">
        <v>0.4</v>
      </c>
      <c r="U22" s="33">
        <v>0</v>
      </c>
    </row>
    <row r="23" spans="1:25" x14ac:dyDescent="0.2">
      <c r="A23" s="18" t="s">
        <v>29</v>
      </c>
      <c r="B23" s="18" t="s">
        <v>30</v>
      </c>
      <c r="C23" s="18" t="s">
        <v>32</v>
      </c>
      <c r="D23" s="18" t="s">
        <v>148</v>
      </c>
      <c r="E23" s="18" t="s">
        <v>149</v>
      </c>
      <c r="F23" s="18" t="s">
        <v>150</v>
      </c>
      <c r="G23" s="18" t="s">
        <v>33</v>
      </c>
      <c r="H23" s="18" t="s">
        <v>24</v>
      </c>
      <c r="I23" s="18" t="s">
        <v>34</v>
      </c>
      <c r="J23" s="18" t="s">
        <v>35</v>
      </c>
      <c r="K23" s="33">
        <v>1</v>
      </c>
      <c r="L23" s="33" t="s">
        <v>36</v>
      </c>
      <c r="M23" s="18">
        <v>2022</v>
      </c>
      <c r="N23" s="33" t="s">
        <v>23</v>
      </c>
      <c r="O23" s="33" t="s">
        <v>23</v>
      </c>
      <c r="P23" s="33" t="s">
        <v>23</v>
      </c>
      <c r="Q23" s="33" t="s">
        <v>23</v>
      </c>
      <c r="R23" s="33">
        <v>100</v>
      </c>
      <c r="S23" s="33">
        <v>1</v>
      </c>
      <c r="T23" s="33">
        <v>0</v>
      </c>
      <c r="U23" s="33">
        <v>0</v>
      </c>
    </row>
    <row r="24" spans="1:25" x14ac:dyDescent="0.2">
      <c r="A24" s="18" t="s">
        <v>29</v>
      </c>
      <c r="B24" s="18" t="s">
        <v>30</v>
      </c>
      <c r="C24" s="18" t="s">
        <v>32</v>
      </c>
      <c r="D24" s="18" t="s">
        <v>151</v>
      </c>
      <c r="E24" s="18" t="s">
        <v>152</v>
      </c>
      <c r="F24" s="18" t="s">
        <v>153</v>
      </c>
      <c r="G24" s="18" t="s">
        <v>33</v>
      </c>
      <c r="H24" s="18" t="s">
        <v>22</v>
      </c>
      <c r="I24" s="18" t="s">
        <v>34</v>
      </c>
      <c r="J24" s="18" t="s">
        <v>35</v>
      </c>
      <c r="K24" s="33">
        <v>0.5</v>
      </c>
      <c r="L24" s="33" t="s">
        <v>36</v>
      </c>
      <c r="M24" s="18">
        <v>2022</v>
      </c>
      <c r="N24" s="33" t="s">
        <v>23</v>
      </c>
      <c r="O24" s="33" t="s">
        <v>23</v>
      </c>
      <c r="P24" s="33" t="s">
        <v>23</v>
      </c>
      <c r="Q24" s="33" t="s">
        <v>23</v>
      </c>
      <c r="R24" s="33">
        <v>100</v>
      </c>
      <c r="S24" s="33">
        <v>0.5</v>
      </c>
      <c r="T24" s="33">
        <v>0</v>
      </c>
      <c r="U24" s="33">
        <v>0</v>
      </c>
    </row>
    <row r="25" spans="1:25" x14ac:dyDescent="0.2">
      <c r="A25" s="18" t="s">
        <v>27</v>
      </c>
      <c r="B25" s="18" t="s">
        <v>154</v>
      </c>
      <c r="C25" s="18" t="s">
        <v>99</v>
      </c>
      <c r="D25" s="18" t="s">
        <v>155</v>
      </c>
      <c r="E25" s="18" t="s">
        <v>156</v>
      </c>
      <c r="F25" s="18" t="s">
        <v>157</v>
      </c>
      <c r="G25" s="18" t="s">
        <v>40</v>
      </c>
      <c r="H25" s="18" t="s">
        <v>22</v>
      </c>
      <c r="I25" s="18" t="s">
        <v>34</v>
      </c>
      <c r="J25" s="18" t="s">
        <v>35</v>
      </c>
      <c r="K25" s="33">
        <v>0.5</v>
      </c>
      <c r="L25" s="33" t="s">
        <v>36</v>
      </c>
      <c r="M25" s="18">
        <v>2022</v>
      </c>
      <c r="N25" s="33" t="s">
        <v>26</v>
      </c>
      <c r="O25" s="33">
        <v>50</v>
      </c>
      <c r="P25" s="33" t="s">
        <v>23</v>
      </c>
      <c r="Q25" s="33">
        <v>0</v>
      </c>
      <c r="R25" s="33">
        <v>50</v>
      </c>
      <c r="S25" s="33">
        <v>0.25</v>
      </c>
      <c r="T25" s="33">
        <v>0.25</v>
      </c>
      <c r="U25" s="33">
        <v>0</v>
      </c>
    </row>
    <row r="26" spans="1:25" x14ac:dyDescent="0.2">
      <c r="A26" s="18" t="s">
        <v>158</v>
      </c>
      <c r="B26" s="18" t="s">
        <v>159</v>
      </c>
      <c r="C26" s="18" t="s">
        <v>160</v>
      </c>
      <c r="D26" s="18" t="s">
        <v>161</v>
      </c>
      <c r="E26" s="18" t="s">
        <v>162</v>
      </c>
      <c r="F26" s="18" t="s">
        <v>163</v>
      </c>
      <c r="G26" s="18" t="s">
        <v>164</v>
      </c>
      <c r="H26" s="18" t="s">
        <v>22</v>
      </c>
      <c r="I26" s="18" t="s">
        <v>34</v>
      </c>
      <c r="J26" s="18" t="s">
        <v>35</v>
      </c>
      <c r="K26" s="33">
        <v>0.5</v>
      </c>
      <c r="L26" s="33" t="s">
        <v>36</v>
      </c>
      <c r="M26" s="18">
        <v>2022</v>
      </c>
      <c r="N26" s="33" t="s">
        <v>31</v>
      </c>
      <c r="O26" s="33">
        <v>90</v>
      </c>
      <c r="P26" s="33" t="s">
        <v>23</v>
      </c>
      <c r="Q26" s="33">
        <v>0</v>
      </c>
      <c r="R26" s="33">
        <v>10</v>
      </c>
      <c r="S26" s="33">
        <v>0.05</v>
      </c>
      <c r="T26" s="33">
        <v>0.45</v>
      </c>
      <c r="U26" s="33">
        <v>0</v>
      </c>
    </row>
    <row r="27" spans="1:25" x14ac:dyDescent="0.2">
      <c r="A27" s="18" t="s">
        <v>130</v>
      </c>
      <c r="B27" s="18" t="s">
        <v>138</v>
      </c>
      <c r="C27" s="18" t="s">
        <v>132</v>
      </c>
      <c r="D27" s="18" t="s">
        <v>165</v>
      </c>
      <c r="E27" s="18" t="s">
        <v>166</v>
      </c>
      <c r="F27" s="18" t="s">
        <v>167</v>
      </c>
      <c r="G27" s="18" t="s">
        <v>112</v>
      </c>
      <c r="H27" s="18" t="s">
        <v>24</v>
      </c>
      <c r="I27" s="18" t="s">
        <v>34</v>
      </c>
      <c r="J27" s="18" t="s">
        <v>35</v>
      </c>
      <c r="K27" s="33">
        <v>1</v>
      </c>
      <c r="L27" s="33" t="s">
        <v>36</v>
      </c>
      <c r="M27" s="18">
        <v>2022</v>
      </c>
      <c r="N27" s="33" t="s">
        <v>25</v>
      </c>
      <c r="O27" s="33">
        <v>80</v>
      </c>
      <c r="P27" s="33" t="s">
        <v>23</v>
      </c>
      <c r="Q27" s="33">
        <v>0</v>
      </c>
      <c r="R27" s="33">
        <v>20</v>
      </c>
      <c r="S27" s="33">
        <v>0.2</v>
      </c>
      <c r="T27" s="33">
        <v>0.8</v>
      </c>
      <c r="U27" s="33">
        <v>0</v>
      </c>
    </row>
    <row r="28" spans="1:25" customFormat="1" ht="14.4" x14ac:dyDescent="0.3">
      <c r="A28" s="36" t="s">
        <v>174</v>
      </c>
      <c r="B28" s="36" t="s">
        <v>175</v>
      </c>
      <c r="C28" s="36" t="s">
        <v>176</v>
      </c>
      <c r="D28" s="36" t="s">
        <v>177</v>
      </c>
      <c r="E28" s="36" t="s">
        <v>178</v>
      </c>
      <c r="F28" s="36" t="s">
        <v>179</v>
      </c>
      <c r="G28" s="36" t="s">
        <v>61</v>
      </c>
      <c r="H28" s="36" t="s">
        <v>180</v>
      </c>
      <c r="I28" s="37" t="s">
        <v>36</v>
      </c>
      <c r="J28" s="36" t="s">
        <v>181</v>
      </c>
      <c r="K28" s="38">
        <v>0.5</v>
      </c>
      <c r="L28" s="38" t="s">
        <v>36</v>
      </c>
      <c r="M28" s="38">
        <v>2023</v>
      </c>
      <c r="N28" s="38" t="s">
        <v>23</v>
      </c>
      <c r="O28" s="38" t="s">
        <v>23</v>
      </c>
      <c r="P28" s="38" t="s">
        <v>23</v>
      </c>
      <c r="Q28" s="38" t="s">
        <v>23</v>
      </c>
      <c r="R28" s="38">
        <v>100</v>
      </c>
      <c r="S28" s="38">
        <v>0.5</v>
      </c>
      <c r="T28" s="38">
        <v>0</v>
      </c>
      <c r="U28" s="38">
        <v>0</v>
      </c>
      <c r="V28" s="39" t="s">
        <v>172</v>
      </c>
      <c r="Y28" s="6"/>
    </row>
    <row r="29" spans="1:25" customFormat="1" ht="14.4" x14ac:dyDescent="0.3">
      <c r="A29" s="36" t="s">
        <v>174</v>
      </c>
      <c r="B29" s="36" t="s">
        <v>175</v>
      </c>
      <c r="C29" s="36" t="s">
        <v>176</v>
      </c>
      <c r="D29" s="36" t="s">
        <v>182</v>
      </c>
      <c r="E29" s="36" t="s">
        <v>183</v>
      </c>
      <c r="F29" s="36" t="s">
        <v>184</v>
      </c>
      <c r="G29" s="36" t="s">
        <v>61</v>
      </c>
      <c r="H29" s="36" t="s">
        <v>185</v>
      </c>
      <c r="I29" s="37" t="s">
        <v>36</v>
      </c>
      <c r="J29" s="36" t="s">
        <v>181</v>
      </c>
      <c r="K29" s="38">
        <v>1</v>
      </c>
      <c r="L29" s="38" t="s">
        <v>36</v>
      </c>
      <c r="M29" s="38">
        <v>2023</v>
      </c>
      <c r="N29" s="38" t="s">
        <v>23</v>
      </c>
      <c r="O29" s="38" t="s">
        <v>23</v>
      </c>
      <c r="P29" s="38" t="s">
        <v>23</v>
      </c>
      <c r="Q29" s="38" t="s">
        <v>23</v>
      </c>
      <c r="R29" s="38">
        <v>100</v>
      </c>
      <c r="S29" s="38">
        <v>1</v>
      </c>
      <c r="T29" s="38">
        <v>0</v>
      </c>
      <c r="U29" s="38">
        <v>0</v>
      </c>
      <c r="V29" s="39" t="s">
        <v>172</v>
      </c>
      <c r="Y29" s="6"/>
    </row>
    <row r="30" spans="1:25" x14ac:dyDescent="0.2">
      <c r="A30" s="36" t="s">
        <v>186</v>
      </c>
      <c r="B30" s="36" t="s">
        <v>187</v>
      </c>
      <c r="C30" s="36" t="s">
        <v>188</v>
      </c>
      <c r="D30" s="36" t="s">
        <v>189</v>
      </c>
      <c r="E30" s="36" t="s">
        <v>190</v>
      </c>
      <c r="F30" s="36" t="s">
        <v>191</v>
      </c>
      <c r="G30" s="36" t="s">
        <v>68</v>
      </c>
      <c r="H30" s="36" t="s">
        <v>180</v>
      </c>
      <c r="I30" s="37" t="s">
        <v>36</v>
      </c>
      <c r="J30" s="36" t="s">
        <v>181</v>
      </c>
      <c r="K30" s="38">
        <v>0.5</v>
      </c>
      <c r="L30" s="38" t="s">
        <v>36</v>
      </c>
      <c r="M30" s="38">
        <v>2023</v>
      </c>
      <c r="N30" s="38" t="s">
        <v>26</v>
      </c>
      <c r="O30" s="38" t="s">
        <v>192</v>
      </c>
      <c r="P30" s="38" t="s">
        <v>23</v>
      </c>
      <c r="Q30" s="38" t="s">
        <v>23</v>
      </c>
      <c r="R30" s="38">
        <v>50</v>
      </c>
      <c r="S30" s="38">
        <v>0.25</v>
      </c>
      <c r="T30" s="38">
        <v>0.25</v>
      </c>
      <c r="U30" s="38">
        <v>0</v>
      </c>
      <c r="V30" s="40" t="s">
        <v>172</v>
      </c>
    </row>
    <row r="31" spans="1:25" x14ac:dyDescent="0.2">
      <c r="A31" s="36" t="s">
        <v>186</v>
      </c>
      <c r="B31" s="36" t="s">
        <v>187</v>
      </c>
      <c r="C31" s="36" t="s">
        <v>188</v>
      </c>
      <c r="D31" s="36" t="s">
        <v>189</v>
      </c>
      <c r="E31" s="36" t="s">
        <v>190</v>
      </c>
      <c r="F31" s="36" t="s">
        <v>191</v>
      </c>
      <c r="G31" s="36" t="s">
        <v>59</v>
      </c>
      <c r="H31" s="36" t="s">
        <v>180</v>
      </c>
      <c r="I31" s="37" t="s">
        <v>36</v>
      </c>
      <c r="J31" s="36" t="s">
        <v>181</v>
      </c>
      <c r="K31" s="38">
        <v>0.5</v>
      </c>
      <c r="L31" s="38" t="s">
        <v>36</v>
      </c>
      <c r="M31" s="38">
        <v>2023</v>
      </c>
      <c r="N31" s="38" t="s">
        <v>26</v>
      </c>
      <c r="O31" s="38" t="s">
        <v>192</v>
      </c>
      <c r="P31" s="38" t="s">
        <v>23</v>
      </c>
      <c r="Q31" s="38" t="s">
        <v>23</v>
      </c>
      <c r="R31" s="38">
        <v>50</v>
      </c>
      <c r="S31" s="38">
        <v>0.25</v>
      </c>
      <c r="T31" s="38">
        <v>0.25</v>
      </c>
      <c r="U31" s="38">
        <v>0</v>
      </c>
      <c r="V31" s="40" t="s">
        <v>172</v>
      </c>
    </row>
    <row r="32" spans="1:25" x14ac:dyDescent="0.2">
      <c r="A32" s="36" t="s">
        <v>193</v>
      </c>
      <c r="B32" s="36" t="s">
        <v>194</v>
      </c>
      <c r="C32" s="36" t="s">
        <v>195</v>
      </c>
      <c r="D32" s="36" t="s">
        <v>196</v>
      </c>
      <c r="E32" s="36" t="s">
        <v>197</v>
      </c>
      <c r="F32" s="36" t="s">
        <v>198</v>
      </c>
      <c r="G32" s="36" t="s">
        <v>63</v>
      </c>
      <c r="H32" s="36" t="s">
        <v>185</v>
      </c>
      <c r="I32" s="37" t="s">
        <v>36</v>
      </c>
      <c r="J32" s="36" t="s">
        <v>181</v>
      </c>
      <c r="K32" s="38">
        <v>1</v>
      </c>
      <c r="L32" s="38" t="s">
        <v>36</v>
      </c>
      <c r="M32" s="38">
        <v>2023</v>
      </c>
      <c r="N32" s="38" t="s">
        <v>25</v>
      </c>
      <c r="O32" s="38" t="s">
        <v>192</v>
      </c>
      <c r="P32" s="38" t="s">
        <v>23</v>
      </c>
      <c r="Q32" s="38" t="s">
        <v>23</v>
      </c>
      <c r="R32" s="38">
        <v>50</v>
      </c>
      <c r="S32" s="38">
        <v>0.5</v>
      </c>
      <c r="T32" s="38">
        <v>0.5</v>
      </c>
      <c r="U32" s="38">
        <v>0</v>
      </c>
      <c r="V32" s="40" t="s">
        <v>172</v>
      </c>
    </row>
    <row r="33" spans="1:22" x14ac:dyDescent="0.2">
      <c r="A33" s="36" t="s">
        <v>193</v>
      </c>
      <c r="B33" s="36" t="s">
        <v>194</v>
      </c>
      <c r="C33" s="36" t="s">
        <v>195</v>
      </c>
      <c r="D33" s="36" t="s">
        <v>199</v>
      </c>
      <c r="E33" s="36" t="s">
        <v>200</v>
      </c>
      <c r="F33" s="36" t="s">
        <v>201</v>
      </c>
      <c r="G33" s="36" t="s">
        <v>63</v>
      </c>
      <c r="H33" s="36" t="s">
        <v>185</v>
      </c>
      <c r="I33" s="37" t="s">
        <v>36</v>
      </c>
      <c r="J33" s="36" t="s">
        <v>181</v>
      </c>
      <c r="K33" s="38">
        <v>1</v>
      </c>
      <c r="L33" s="38" t="s">
        <v>36</v>
      </c>
      <c r="M33" s="38">
        <v>2023</v>
      </c>
      <c r="N33" s="38" t="s">
        <v>25</v>
      </c>
      <c r="O33" s="38" t="s">
        <v>192</v>
      </c>
      <c r="P33" s="38" t="s">
        <v>23</v>
      </c>
      <c r="Q33" s="38" t="s">
        <v>23</v>
      </c>
      <c r="R33" s="38">
        <v>50</v>
      </c>
      <c r="S33" s="38">
        <v>0.5</v>
      </c>
      <c r="T33" s="38">
        <v>0.5</v>
      </c>
      <c r="U33" s="38">
        <v>0</v>
      </c>
      <c r="V33" s="40" t="s">
        <v>172</v>
      </c>
    </row>
    <row r="34" spans="1:22" x14ac:dyDescent="0.2">
      <c r="A34" s="36" t="s">
        <v>193</v>
      </c>
      <c r="B34" s="36" t="s">
        <v>215</v>
      </c>
      <c r="C34" s="36" t="s">
        <v>195</v>
      </c>
      <c r="D34" s="36" t="s">
        <v>216</v>
      </c>
      <c r="E34" s="36" t="s">
        <v>217</v>
      </c>
      <c r="F34" s="36" t="s">
        <v>218</v>
      </c>
      <c r="G34" s="36" t="s">
        <v>63</v>
      </c>
      <c r="H34" s="36" t="s">
        <v>185</v>
      </c>
      <c r="I34" s="37" t="s">
        <v>36</v>
      </c>
      <c r="J34" s="36" t="s">
        <v>219</v>
      </c>
      <c r="K34" s="38">
        <v>1</v>
      </c>
      <c r="L34" s="38" t="s">
        <v>36</v>
      </c>
      <c r="M34" s="38">
        <v>2024</v>
      </c>
      <c r="N34" s="38" t="s">
        <v>25</v>
      </c>
      <c r="O34" s="38" t="s">
        <v>192</v>
      </c>
      <c r="P34" s="38" t="s">
        <v>23</v>
      </c>
      <c r="Q34" s="38" t="s">
        <v>23</v>
      </c>
      <c r="R34" s="38">
        <v>50</v>
      </c>
      <c r="S34" s="38">
        <v>0.5</v>
      </c>
      <c r="T34" s="38">
        <v>0.5</v>
      </c>
      <c r="U34" s="38">
        <v>0</v>
      </c>
      <c r="V34" s="40"/>
    </row>
    <row r="35" spans="1:22" x14ac:dyDescent="0.2">
      <c r="A35" s="36" t="s">
        <v>193</v>
      </c>
      <c r="B35" s="36" t="s">
        <v>215</v>
      </c>
      <c r="C35" s="36" t="s">
        <v>195</v>
      </c>
      <c r="D35" s="36" t="s">
        <v>220</v>
      </c>
      <c r="E35" s="36" t="s">
        <v>221</v>
      </c>
      <c r="F35" s="36" t="s">
        <v>222</v>
      </c>
      <c r="G35" s="36" t="s">
        <v>71</v>
      </c>
      <c r="H35" s="36" t="s">
        <v>180</v>
      </c>
      <c r="I35" s="37" t="s">
        <v>36</v>
      </c>
      <c r="J35" s="36" t="s">
        <v>219</v>
      </c>
      <c r="K35" s="38">
        <v>0.33333333333333331</v>
      </c>
      <c r="L35" s="38" t="s">
        <v>36</v>
      </c>
      <c r="M35" s="38">
        <v>2024</v>
      </c>
      <c r="N35" s="38" t="s">
        <v>25</v>
      </c>
      <c r="O35" s="38" t="s">
        <v>203</v>
      </c>
      <c r="P35" s="38" t="s">
        <v>23</v>
      </c>
      <c r="Q35" s="38" t="s">
        <v>23</v>
      </c>
      <c r="R35" s="38">
        <v>20</v>
      </c>
      <c r="S35" s="38">
        <v>6.6666666666666666E-2</v>
      </c>
      <c r="T35" s="38">
        <v>0.26666666666666666</v>
      </c>
      <c r="U35" s="38">
        <v>0</v>
      </c>
      <c r="V35" s="40"/>
    </row>
    <row r="36" spans="1:22" x14ac:dyDescent="0.2">
      <c r="A36" s="36" t="s">
        <v>193</v>
      </c>
      <c r="B36" s="36" t="s">
        <v>215</v>
      </c>
      <c r="C36" s="36" t="s">
        <v>195</v>
      </c>
      <c r="D36" s="36" t="s">
        <v>223</v>
      </c>
      <c r="E36" s="36" t="s">
        <v>224</v>
      </c>
      <c r="F36" s="36" t="s">
        <v>225</v>
      </c>
      <c r="G36" s="36" t="s">
        <v>60</v>
      </c>
      <c r="H36" s="36" t="s">
        <v>185</v>
      </c>
      <c r="I36" s="37" t="s">
        <v>36</v>
      </c>
      <c r="J36" s="36" t="s">
        <v>219</v>
      </c>
      <c r="K36" s="38">
        <v>1</v>
      </c>
      <c r="L36" s="38" t="s">
        <v>36</v>
      </c>
      <c r="M36" s="38">
        <v>2024</v>
      </c>
      <c r="N36" s="38" t="s">
        <v>25</v>
      </c>
      <c r="O36" s="38" t="s">
        <v>192</v>
      </c>
      <c r="P36" s="38" t="s">
        <v>23</v>
      </c>
      <c r="Q36" s="38" t="s">
        <v>23</v>
      </c>
      <c r="R36" s="38">
        <v>50</v>
      </c>
      <c r="S36" s="38">
        <v>0.5</v>
      </c>
      <c r="T36" s="38">
        <v>0.5</v>
      </c>
      <c r="U36" s="38">
        <v>0</v>
      </c>
      <c r="V36" s="40"/>
    </row>
    <row r="37" spans="1:22" x14ac:dyDescent="0.2">
      <c r="A37" s="36" t="s">
        <v>193</v>
      </c>
      <c r="B37" s="36" t="s">
        <v>215</v>
      </c>
      <c r="C37" s="36" t="s">
        <v>195</v>
      </c>
      <c r="D37" s="36" t="s">
        <v>226</v>
      </c>
      <c r="E37" s="36" t="s">
        <v>227</v>
      </c>
      <c r="F37" s="36" t="s">
        <v>228</v>
      </c>
      <c r="G37" s="36" t="s">
        <v>64</v>
      </c>
      <c r="H37" s="36" t="s">
        <v>185</v>
      </c>
      <c r="I37" s="37" t="s">
        <v>36</v>
      </c>
      <c r="J37" s="36" t="s">
        <v>219</v>
      </c>
      <c r="K37" s="38">
        <v>1</v>
      </c>
      <c r="L37" s="38" t="s">
        <v>36</v>
      </c>
      <c r="M37" s="38">
        <v>2024</v>
      </c>
      <c r="N37" s="38" t="s">
        <v>23</v>
      </c>
      <c r="O37" s="38" t="s">
        <v>23</v>
      </c>
      <c r="P37" s="38" t="s">
        <v>23</v>
      </c>
      <c r="Q37" s="38" t="s">
        <v>23</v>
      </c>
      <c r="R37" s="38">
        <v>100</v>
      </c>
      <c r="S37" s="38">
        <v>1</v>
      </c>
      <c r="T37" s="38">
        <v>0</v>
      </c>
      <c r="U37" s="38">
        <v>0</v>
      </c>
      <c r="V37" s="40"/>
    </row>
    <row r="38" spans="1:22" x14ac:dyDescent="0.2">
      <c r="A38" s="36" t="s">
        <v>193</v>
      </c>
      <c r="B38" s="36" t="s">
        <v>215</v>
      </c>
      <c r="C38" s="36" t="s">
        <v>195</v>
      </c>
      <c r="D38" s="36" t="s">
        <v>229</v>
      </c>
      <c r="E38" s="36" t="s">
        <v>230</v>
      </c>
      <c r="F38" s="36" t="s">
        <v>231</v>
      </c>
      <c r="G38" s="36" t="s">
        <v>71</v>
      </c>
      <c r="H38" s="36" t="s">
        <v>180</v>
      </c>
      <c r="I38" s="37" t="s">
        <v>36</v>
      </c>
      <c r="J38" s="36" t="s">
        <v>219</v>
      </c>
      <c r="K38" s="38">
        <v>0.5</v>
      </c>
      <c r="L38" s="38" t="s">
        <v>36</v>
      </c>
      <c r="M38" s="38">
        <v>2024</v>
      </c>
      <c r="N38" s="38" t="s">
        <v>25</v>
      </c>
      <c r="O38" s="38" t="s">
        <v>203</v>
      </c>
      <c r="P38" s="38" t="s">
        <v>23</v>
      </c>
      <c r="Q38" s="38" t="s">
        <v>23</v>
      </c>
      <c r="R38" s="38">
        <v>20</v>
      </c>
      <c r="S38" s="38">
        <v>0.1</v>
      </c>
      <c r="T38" s="38">
        <v>0.4</v>
      </c>
      <c r="U38" s="38">
        <v>0</v>
      </c>
      <c r="V38" s="40"/>
    </row>
    <row r="39" spans="1:22" x14ac:dyDescent="0.2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2"/>
      <c r="P39" s="41"/>
      <c r="Q39" s="42"/>
      <c r="R39" s="41"/>
      <c r="S39" s="47">
        <f>SUM(S2:S38)</f>
        <v>17.916666666666668</v>
      </c>
      <c r="T39" s="41"/>
      <c r="U39" s="41"/>
    </row>
  </sheetData>
  <autoFilter ref="A1:U1" xr:uid="{00000000-0009-0000-0000-000000000000}">
    <sortState xmlns:xlrd2="http://schemas.microsoft.com/office/spreadsheetml/2017/richdata2" ref="A2:T1848">
      <sortCondition ref="K2:K1848"/>
      <sortCondition ref="L2:L1848"/>
      <sortCondition ref="D2:D184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9"/>
  <sheetViews>
    <sheetView zoomScaleNormal="100" workbookViewId="0">
      <selection activeCell="U9" sqref="U9"/>
    </sheetView>
  </sheetViews>
  <sheetFormatPr baseColWidth="10" defaultColWidth="11.44140625" defaultRowHeight="13.2" x14ac:dyDescent="0.25"/>
  <cols>
    <col min="1" max="1" width="10.88671875" style="11" bestFit="1" customWidth="1"/>
    <col min="2" max="2" width="36.8867187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11.109375" style="11" bestFit="1" customWidth="1"/>
    <col min="12" max="12" width="5.5546875" style="11" bestFit="1" customWidth="1"/>
    <col min="13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3" t="s">
        <v>41</v>
      </c>
      <c r="B1" s="13" t="s">
        <v>42</v>
      </c>
      <c r="C1" s="13" t="s">
        <v>43</v>
      </c>
      <c r="D1" s="14" t="s">
        <v>232</v>
      </c>
      <c r="E1" s="14" t="s">
        <v>233</v>
      </c>
      <c r="F1" s="14" t="s">
        <v>234</v>
      </c>
      <c r="G1" s="14" t="s">
        <v>235</v>
      </c>
      <c r="H1" s="14" t="s">
        <v>236</v>
      </c>
      <c r="I1" s="14" t="s">
        <v>237</v>
      </c>
      <c r="J1" s="13" t="s">
        <v>44</v>
      </c>
      <c r="K1" s="15" t="s">
        <v>69</v>
      </c>
      <c r="L1" s="8" t="s">
        <v>45</v>
      </c>
      <c r="M1" s="8" t="s">
        <v>46</v>
      </c>
      <c r="N1" s="8" t="s">
        <v>47</v>
      </c>
      <c r="O1" s="8" t="s">
        <v>48</v>
      </c>
      <c r="P1" s="9" t="s">
        <v>49</v>
      </c>
      <c r="Q1" s="9" t="s">
        <v>50</v>
      </c>
      <c r="R1" s="9" t="s">
        <v>51</v>
      </c>
      <c r="S1" s="9" t="s">
        <v>70</v>
      </c>
      <c r="T1" s="11"/>
    </row>
    <row r="2" spans="1:20" ht="14.4" x14ac:dyDescent="0.3">
      <c r="A2" s="16" t="s">
        <v>68</v>
      </c>
      <c r="B2" s="16" t="s">
        <v>238</v>
      </c>
      <c r="C2" s="16" t="s">
        <v>52</v>
      </c>
      <c r="D2" s="16"/>
      <c r="E2" s="16"/>
      <c r="F2" s="16"/>
      <c r="G2" s="16"/>
      <c r="H2" s="16">
        <v>1</v>
      </c>
      <c r="I2" s="16">
        <v>1</v>
      </c>
      <c r="J2" s="16">
        <v>2</v>
      </c>
      <c r="K2" s="16" t="s">
        <v>36</v>
      </c>
      <c r="L2" s="17" t="s">
        <v>26</v>
      </c>
      <c r="M2" s="17" t="s">
        <v>192</v>
      </c>
      <c r="N2" s="17" t="s">
        <v>23</v>
      </c>
      <c r="O2" s="17" t="s">
        <v>23</v>
      </c>
      <c r="P2" s="17">
        <v>50</v>
      </c>
      <c r="Q2" s="17">
        <v>1</v>
      </c>
      <c r="R2" s="17">
        <v>0</v>
      </c>
      <c r="S2" s="17">
        <v>1</v>
      </c>
    </row>
    <row r="3" spans="1:20" ht="14.4" x14ac:dyDescent="0.3">
      <c r="A3" s="16" t="s">
        <v>55</v>
      </c>
      <c r="B3" s="16" t="s">
        <v>239</v>
      </c>
      <c r="C3" s="16" t="s">
        <v>52</v>
      </c>
      <c r="D3" s="16"/>
      <c r="E3" s="16"/>
      <c r="F3" s="16"/>
      <c r="G3" s="16"/>
      <c r="H3" s="16"/>
      <c r="I3" s="16">
        <v>1</v>
      </c>
      <c r="J3" s="16">
        <v>1</v>
      </c>
      <c r="K3" s="16" t="s">
        <v>36</v>
      </c>
      <c r="L3" s="17" t="s">
        <v>31</v>
      </c>
      <c r="M3" s="17" t="s">
        <v>202</v>
      </c>
      <c r="N3" s="17" t="s">
        <v>23</v>
      </c>
      <c r="O3" s="17" t="s">
        <v>23</v>
      </c>
      <c r="P3" s="17">
        <v>80</v>
      </c>
      <c r="Q3" s="17">
        <v>0.2</v>
      </c>
      <c r="R3" s="17">
        <v>0</v>
      </c>
      <c r="S3" s="17">
        <v>0.8</v>
      </c>
    </row>
    <row r="4" spans="1:20" ht="14.4" x14ac:dyDescent="0.3">
      <c r="A4" s="16" t="s">
        <v>64</v>
      </c>
      <c r="B4" s="16" t="s">
        <v>240</v>
      </c>
      <c r="C4" s="16" t="s">
        <v>52</v>
      </c>
      <c r="D4" s="16"/>
      <c r="E4" s="16"/>
      <c r="F4" s="16">
        <v>1</v>
      </c>
      <c r="G4" s="16"/>
      <c r="H4" s="16"/>
      <c r="I4" s="16"/>
      <c r="J4" s="16">
        <v>1</v>
      </c>
      <c r="K4" s="16" t="s">
        <v>36</v>
      </c>
      <c r="L4" s="17">
        <v>0</v>
      </c>
      <c r="M4" s="17">
        <v>0</v>
      </c>
      <c r="N4" s="17" t="s">
        <v>23</v>
      </c>
      <c r="O4" s="17" t="s">
        <v>23</v>
      </c>
      <c r="P4" s="17">
        <v>100</v>
      </c>
      <c r="Q4" s="17">
        <v>0</v>
      </c>
      <c r="R4" s="17">
        <v>0</v>
      </c>
      <c r="S4" s="17">
        <v>1</v>
      </c>
    </row>
    <row r="5" spans="1:20" ht="14.4" x14ac:dyDescent="0.3">
      <c r="A5" s="16" t="s">
        <v>71</v>
      </c>
      <c r="B5" s="16" t="s">
        <v>241</v>
      </c>
      <c r="C5" s="16" t="s">
        <v>52</v>
      </c>
      <c r="D5" s="16"/>
      <c r="E5" s="16"/>
      <c r="F5" s="16"/>
      <c r="G5" s="16">
        <v>1</v>
      </c>
      <c r="H5" s="16"/>
      <c r="I5" s="16"/>
      <c r="J5" s="16">
        <v>1</v>
      </c>
      <c r="K5" s="16" t="s">
        <v>36</v>
      </c>
      <c r="L5" s="17" t="s">
        <v>25</v>
      </c>
      <c r="M5" s="17" t="s">
        <v>203</v>
      </c>
      <c r="N5" s="17" t="s">
        <v>23</v>
      </c>
      <c r="O5" s="17" t="s">
        <v>23</v>
      </c>
      <c r="P5" s="17">
        <v>20</v>
      </c>
      <c r="Q5" s="17">
        <v>0.8</v>
      </c>
      <c r="R5" s="17">
        <v>0</v>
      </c>
      <c r="S5" s="17">
        <v>0.2</v>
      </c>
    </row>
    <row r="6" spans="1:20" ht="14.4" x14ac:dyDescent="0.3">
      <c r="A6" s="16" t="s">
        <v>57</v>
      </c>
      <c r="B6" s="16" t="s">
        <v>242</v>
      </c>
      <c r="C6" s="16" t="s">
        <v>52</v>
      </c>
      <c r="D6" s="16">
        <v>1</v>
      </c>
      <c r="E6" s="16"/>
      <c r="F6" s="16"/>
      <c r="G6" s="16"/>
      <c r="H6" s="16"/>
      <c r="I6" s="16"/>
      <c r="J6" s="16">
        <v>1</v>
      </c>
      <c r="K6" s="16" t="s">
        <v>36</v>
      </c>
      <c r="L6" s="17" t="s">
        <v>31</v>
      </c>
      <c r="M6" s="17" t="s">
        <v>204</v>
      </c>
      <c r="N6" s="17" t="s">
        <v>23</v>
      </c>
      <c r="O6" s="17" t="s">
        <v>23</v>
      </c>
      <c r="P6" s="17">
        <v>10</v>
      </c>
      <c r="Q6" s="17">
        <v>0.9</v>
      </c>
      <c r="R6" s="17">
        <v>0</v>
      </c>
      <c r="S6" s="17">
        <v>0.1</v>
      </c>
    </row>
    <row r="7" spans="1:20" ht="14.4" x14ac:dyDescent="0.3">
      <c r="A7" s="16" t="s">
        <v>62</v>
      </c>
      <c r="B7" s="16" t="s">
        <v>243</v>
      </c>
      <c r="C7" s="16" t="s">
        <v>52</v>
      </c>
      <c r="D7" s="16"/>
      <c r="E7" s="16"/>
      <c r="F7" s="16"/>
      <c r="G7" s="16"/>
      <c r="H7" s="16"/>
      <c r="I7" s="16">
        <v>1</v>
      </c>
      <c r="J7" s="16">
        <v>1</v>
      </c>
      <c r="K7" s="16" t="s">
        <v>36</v>
      </c>
      <c r="L7" s="17">
        <v>0</v>
      </c>
      <c r="M7" s="17">
        <v>0</v>
      </c>
      <c r="N7" s="17" t="s">
        <v>23</v>
      </c>
      <c r="O7" s="17" t="s">
        <v>23</v>
      </c>
      <c r="P7" s="17">
        <v>100</v>
      </c>
      <c r="Q7" s="17">
        <v>0</v>
      </c>
      <c r="R7" s="17">
        <v>0</v>
      </c>
      <c r="S7" s="17">
        <v>1</v>
      </c>
    </row>
    <row r="8" spans="1:20" ht="14.4" x14ac:dyDescent="0.3">
      <c r="A8" s="16" t="s">
        <v>63</v>
      </c>
      <c r="B8" s="16" t="s">
        <v>244</v>
      </c>
      <c r="C8" s="16" t="s">
        <v>52</v>
      </c>
      <c r="D8" s="16"/>
      <c r="E8" s="16"/>
      <c r="F8" s="16"/>
      <c r="G8" s="16"/>
      <c r="H8" s="16">
        <v>1</v>
      </c>
      <c r="I8" s="16"/>
      <c r="J8" s="16">
        <v>1</v>
      </c>
      <c r="K8" s="16" t="s">
        <v>36</v>
      </c>
      <c r="L8" s="17" t="s">
        <v>25</v>
      </c>
      <c r="M8" s="17" t="s">
        <v>192</v>
      </c>
      <c r="N8" s="17" t="s">
        <v>23</v>
      </c>
      <c r="O8" s="17" t="s">
        <v>23</v>
      </c>
      <c r="P8" s="17">
        <v>50</v>
      </c>
      <c r="Q8" s="17">
        <v>0.5</v>
      </c>
      <c r="R8" s="17">
        <v>0</v>
      </c>
      <c r="S8" s="17">
        <v>0.5</v>
      </c>
    </row>
    <row r="9" spans="1:20" ht="14.4" x14ac:dyDescent="0.3">
      <c r="A9" s="16" t="s">
        <v>61</v>
      </c>
      <c r="B9" s="16" t="s">
        <v>245</v>
      </c>
      <c r="C9" s="16" t="s">
        <v>52</v>
      </c>
      <c r="D9" s="16"/>
      <c r="E9" s="16">
        <v>1</v>
      </c>
      <c r="F9" s="16"/>
      <c r="G9" s="16"/>
      <c r="H9" s="16"/>
      <c r="I9" s="16"/>
      <c r="J9" s="16">
        <v>1</v>
      </c>
      <c r="K9" s="16" t="s">
        <v>36</v>
      </c>
      <c r="L9" s="17">
        <v>0</v>
      </c>
      <c r="M9" s="17">
        <v>0</v>
      </c>
      <c r="N9" s="17" t="s">
        <v>23</v>
      </c>
      <c r="O9" s="17" t="s">
        <v>23</v>
      </c>
      <c r="P9" s="17">
        <v>100</v>
      </c>
      <c r="Q9" s="17">
        <v>0</v>
      </c>
      <c r="R9" s="17">
        <v>0</v>
      </c>
      <c r="S9" s="17">
        <v>1</v>
      </c>
    </row>
    <row r="10" spans="1:20" ht="14.4" x14ac:dyDescent="0.3">
      <c r="A10" s="16" t="s">
        <v>56</v>
      </c>
      <c r="B10" s="16" t="s">
        <v>246</v>
      </c>
      <c r="C10" s="16" t="s">
        <v>52</v>
      </c>
      <c r="D10" s="16"/>
      <c r="E10" s="16"/>
      <c r="F10" s="16"/>
      <c r="G10" s="16"/>
      <c r="H10" s="16"/>
      <c r="I10" s="16">
        <v>1</v>
      </c>
      <c r="J10" s="16">
        <v>1</v>
      </c>
      <c r="K10" s="16" t="s">
        <v>36</v>
      </c>
      <c r="L10" s="17" t="s">
        <v>31</v>
      </c>
      <c r="M10" s="17" t="s">
        <v>202</v>
      </c>
      <c r="N10" s="17" t="s">
        <v>23</v>
      </c>
      <c r="O10" s="17" t="s">
        <v>23</v>
      </c>
      <c r="P10" s="17">
        <v>80</v>
      </c>
      <c r="Q10" s="17">
        <v>0.2</v>
      </c>
      <c r="R10" s="17">
        <v>0</v>
      </c>
      <c r="S10" s="17">
        <v>0.8</v>
      </c>
    </row>
    <row r="11" spans="1:20" ht="14.4" x14ac:dyDescent="0.3">
      <c r="A11" s="16" t="s">
        <v>60</v>
      </c>
      <c r="B11" s="16" t="s">
        <v>247</v>
      </c>
      <c r="C11" s="16" t="s">
        <v>52</v>
      </c>
      <c r="D11" s="16"/>
      <c r="E11" s="16"/>
      <c r="F11" s="16"/>
      <c r="G11" s="16"/>
      <c r="H11" s="16">
        <v>2</v>
      </c>
      <c r="I11" s="16"/>
      <c r="J11" s="16">
        <v>2</v>
      </c>
      <c r="K11" s="16" t="s">
        <v>36</v>
      </c>
      <c r="L11" s="17" t="s">
        <v>25</v>
      </c>
      <c r="M11" s="17" t="s">
        <v>192</v>
      </c>
      <c r="N11" s="17" t="s">
        <v>23</v>
      </c>
      <c r="O11" s="17" t="s">
        <v>23</v>
      </c>
      <c r="P11" s="17">
        <v>50</v>
      </c>
      <c r="Q11" s="17">
        <v>1</v>
      </c>
      <c r="R11" s="17">
        <v>0</v>
      </c>
      <c r="S11" s="17">
        <v>1</v>
      </c>
    </row>
    <row r="12" spans="1:20" ht="14.4" x14ac:dyDescent="0.3">
      <c r="A12" s="16" t="s">
        <v>58</v>
      </c>
      <c r="B12" s="16" t="s">
        <v>248</v>
      </c>
      <c r="C12" s="16" t="s">
        <v>52</v>
      </c>
      <c r="D12" s="16"/>
      <c r="E12" s="16"/>
      <c r="F12" s="16"/>
      <c r="G12" s="16"/>
      <c r="H12" s="16"/>
      <c r="I12" s="16">
        <v>1</v>
      </c>
      <c r="J12" s="16">
        <v>1</v>
      </c>
      <c r="K12" s="16" t="s">
        <v>36</v>
      </c>
      <c r="L12" s="17" t="s">
        <v>31</v>
      </c>
      <c r="M12" s="17" t="s">
        <v>202</v>
      </c>
      <c r="N12" s="17" t="s">
        <v>23</v>
      </c>
      <c r="O12" s="17" t="s">
        <v>23</v>
      </c>
      <c r="P12" s="17">
        <v>80</v>
      </c>
      <c r="Q12" s="17">
        <v>0.2</v>
      </c>
      <c r="R12" s="17">
        <v>0</v>
      </c>
      <c r="S12" s="17">
        <v>0.8</v>
      </c>
    </row>
    <row r="13" spans="1:20" ht="14.4" x14ac:dyDescent="0.3">
      <c r="A13" s="16" t="s">
        <v>136</v>
      </c>
      <c r="B13" s="16" t="s">
        <v>249</v>
      </c>
      <c r="C13" s="16" t="s">
        <v>53</v>
      </c>
      <c r="D13" s="16"/>
      <c r="E13" s="16">
        <v>1</v>
      </c>
      <c r="F13" s="16"/>
      <c r="G13" s="16"/>
      <c r="H13" s="16"/>
      <c r="I13" s="16"/>
      <c r="J13" s="16">
        <v>1</v>
      </c>
      <c r="K13" s="16" t="s">
        <v>36</v>
      </c>
      <c r="L13" s="17">
        <v>0</v>
      </c>
      <c r="M13" s="17">
        <v>0</v>
      </c>
      <c r="N13" s="17" t="s">
        <v>23</v>
      </c>
      <c r="O13" s="17" t="s">
        <v>23</v>
      </c>
      <c r="P13" s="17">
        <v>100</v>
      </c>
      <c r="Q13" s="17">
        <v>0</v>
      </c>
      <c r="R13" s="17">
        <v>0</v>
      </c>
      <c r="S13" s="17">
        <v>1</v>
      </c>
    </row>
    <row r="14" spans="1:20" ht="14.4" x14ac:dyDescent="0.3">
      <c r="A14" s="16" t="s">
        <v>250</v>
      </c>
      <c r="B14" s="16" t="s">
        <v>251</v>
      </c>
      <c r="C14" s="16" t="s">
        <v>53</v>
      </c>
      <c r="D14" s="16"/>
      <c r="E14" s="16"/>
      <c r="F14" s="16"/>
      <c r="G14" s="16"/>
      <c r="H14" s="16"/>
      <c r="I14" s="16">
        <v>1</v>
      </c>
      <c r="J14" s="16">
        <v>1</v>
      </c>
      <c r="K14" s="16" t="s">
        <v>36</v>
      </c>
      <c r="L14" s="17" t="s">
        <v>31</v>
      </c>
      <c r="M14" s="17" t="s">
        <v>202</v>
      </c>
      <c r="N14" s="17" t="s">
        <v>23</v>
      </c>
      <c r="O14" s="17" t="s">
        <v>23</v>
      </c>
      <c r="P14" s="17">
        <v>80</v>
      </c>
      <c r="Q14" s="17">
        <v>0.2</v>
      </c>
      <c r="R14" s="17">
        <v>0</v>
      </c>
      <c r="S14" s="17">
        <v>0.8</v>
      </c>
    </row>
    <row r="15" spans="1:20" ht="14.4" x14ac:dyDescent="0.3">
      <c r="A15" s="16" t="s">
        <v>54</v>
      </c>
      <c r="B15" s="16" t="s">
        <v>252</v>
      </c>
      <c r="C15" s="16" t="s">
        <v>52</v>
      </c>
      <c r="D15" s="16">
        <v>1</v>
      </c>
      <c r="E15" s="16"/>
      <c r="F15" s="16"/>
      <c r="G15" s="16"/>
      <c r="H15" s="16"/>
      <c r="I15" s="16"/>
      <c r="J15" s="16">
        <v>1</v>
      </c>
      <c r="K15" s="16" t="s">
        <v>36</v>
      </c>
      <c r="L15" s="17" t="s">
        <v>38</v>
      </c>
      <c r="M15" s="17" t="s">
        <v>205</v>
      </c>
      <c r="N15" s="17" t="s">
        <v>23</v>
      </c>
      <c r="O15" s="17" t="s">
        <v>23</v>
      </c>
      <c r="P15" s="17">
        <v>90</v>
      </c>
      <c r="Q15" s="17">
        <v>0.1</v>
      </c>
      <c r="R15" s="17">
        <v>0</v>
      </c>
      <c r="S15" s="17">
        <v>0.9</v>
      </c>
    </row>
    <row r="16" spans="1:20" ht="14.4" x14ac:dyDescent="0.3">
      <c r="A16" s="16" t="s">
        <v>168</v>
      </c>
      <c r="B16" s="16" t="s">
        <v>253</v>
      </c>
      <c r="C16" s="43" t="s">
        <v>52</v>
      </c>
      <c r="D16" s="16"/>
      <c r="E16" s="16"/>
      <c r="F16" s="16"/>
      <c r="G16" s="16"/>
      <c r="H16" s="16"/>
      <c r="I16" s="16">
        <v>1</v>
      </c>
      <c r="J16" s="16">
        <v>1</v>
      </c>
      <c r="K16" s="16" t="s">
        <v>36</v>
      </c>
      <c r="L16" s="61" t="s">
        <v>31</v>
      </c>
      <c r="M16" s="61" t="s">
        <v>206</v>
      </c>
      <c r="N16" s="62" t="s">
        <v>26</v>
      </c>
      <c r="O16" s="62" t="s">
        <v>206</v>
      </c>
      <c r="P16" s="61">
        <v>50</v>
      </c>
      <c r="Q16" s="61">
        <v>0.25</v>
      </c>
      <c r="R16" s="61">
        <v>0.25</v>
      </c>
      <c r="S16" s="61">
        <v>0.5</v>
      </c>
    </row>
    <row r="17" spans="1:19" ht="14.4" x14ac:dyDescent="0.3">
      <c r="A17" s="16" t="s">
        <v>254</v>
      </c>
      <c r="B17" s="16" t="s">
        <v>255</v>
      </c>
      <c r="C17" s="16" t="s">
        <v>53</v>
      </c>
      <c r="D17" s="16"/>
      <c r="E17" s="16"/>
      <c r="F17" s="16"/>
      <c r="G17" s="16"/>
      <c r="H17" s="16"/>
      <c r="I17" s="16">
        <v>1</v>
      </c>
      <c r="J17" s="16">
        <v>1</v>
      </c>
      <c r="K17" s="16" t="s">
        <v>36</v>
      </c>
      <c r="L17" s="17" t="s">
        <v>26</v>
      </c>
      <c r="M17" s="17" t="s">
        <v>205</v>
      </c>
      <c r="N17" s="17" t="s">
        <v>23</v>
      </c>
      <c r="O17" s="17" t="s">
        <v>23</v>
      </c>
      <c r="P17" s="17">
        <v>90</v>
      </c>
      <c r="Q17" s="17">
        <v>0.1</v>
      </c>
      <c r="R17" s="17">
        <v>0</v>
      </c>
      <c r="S17" s="17">
        <v>0.9</v>
      </c>
    </row>
    <row r="18" spans="1:19" ht="14.4" x14ac:dyDescent="0.3">
      <c r="A18" s="16" t="s">
        <v>169</v>
      </c>
      <c r="B18" s="16" t="s">
        <v>256</v>
      </c>
      <c r="C18" s="43" t="s">
        <v>53</v>
      </c>
      <c r="D18" s="16"/>
      <c r="E18" s="16"/>
      <c r="F18" s="16"/>
      <c r="G18" s="16">
        <v>1</v>
      </c>
      <c r="H18" s="16"/>
      <c r="I18" s="16"/>
      <c r="J18" s="16">
        <v>1</v>
      </c>
      <c r="K18" s="16" t="s">
        <v>36</v>
      </c>
      <c r="L18" s="17" t="s">
        <v>214</v>
      </c>
      <c r="M18" s="17" t="s">
        <v>257</v>
      </c>
      <c r="N18" s="17" t="s">
        <v>23</v>
      </c>
      <c r="O18" s="17" t="s">
        <v>23</v>
      </c>
      <c r="P18" s="17">
        <v>70</v>
      </c>
      <c r="Q18" s="17">
        <v>0.3</v>
      </c>
      <c r="R18" s="17">
        <v>0</v>
      </c>
      <c r="S18" s="17">
        <v>0.7</v>
      </c>
    </row>
    <row r="19" spans="1:19" ht="14.4" x14ac:dyDescent="0.3">
      <c r="A19" s="44"/>
      <c r="B19" s="44"/>
      <c r="C19" s="45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6">
        <f>SUM(S2:S18)</f>
        <v>13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2F40-6C5F-4DA4-9A9F-7D46E7219929}">
  <dimension ref="A1:C5"/>
  <sheetViews>
    <sheetView workbookViewId="0">
      <selection activeCell="B32" sqref="B32"/>
    </sheetView>
  </sheetViews>
  <sheetFormatPr baseColWidth="10" defaultRowHeight="14.4" x14ac:dyDescent="0.3"/>
  <cols>
    <col min="1" max="1" width="16.33203125" customWidth="1"/>
    <col min="2" max="2" width="76.33203125" customWidth="1"/>
    <col min="3" max="3" width="14.88671875" customWidth="1"/>
  </cols>
  <sheetData>
    <row r="1" spans="1:3" x14ac:dyDescent="0.3">
      <c r="A1" s="50" t="s">
        <v>104</v>
      </c>
      <c r="B1" s="50" t="s">
        <v>105</v>
      </c>
      <c r="C1" s="50" t="s">
        <v>137</v>
      </c>
    </row>
    <row r="2" spans="1:3" x14ac:dyDescent="0.3">
      <c r="A2" s="34" t="s">
        <v>170</v>
      </c>
      <c r="B2" s="34" t="s">
        <v>171</v>
      </c>
      <c r="C2" s="31">
        <v>5192</v>
      </c>
    </row>
    <row r="3" spans="1:3" x14ac:dyDescent="0.3">
      <c r="A3" s="51" t="s">
        <v>103</v>
      </c>
      <c r="B3" s="51" t="s">
        <v>173</v>
      </c>
      <c r="C3" s="52">
        <v>8960</v>
      </c>
    </row>
    <row r="4" spans="1:3" x14ac:dyDescent="0.3">
      <c r="A4" s="49" t="s">
        <v>0</v>
      </c>
      <c r="B4" s="49"/>
      <c r="C4" s="53">
        <f>SUBTOTAL(109,Tabla2[Imp.cob.aplic.])</f>
        <v>14152</v>
      </c>
    </row>
    <row r="5" spans="1:3" x14ac:dyDescent="0.3">
      <c r="C5" s="3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12CA-3769-420E-9120-388DBAC91872}">
  <dimension ref="A1:C5"/>
  <sheetViews>
    <sheetView workbookViewId="0">
      <selection activeCell="B8" sqref="B8:C8"/>
    </sheetView>
  </sheetViews>
  <sheetFormatPr baseColWidth="10" defaultRowHeight="14.4" x14ac:dyDescent="0.3"/>
  <cols>
    <col min="2" max="2" width="57.109375" customWidth="1"/>
    <col min="3" max="3" width="13" customWidth="1"/>
  </cols>
  <sheetData>
    <row r="1" spans="1:3" x14ac:dyDescent="0.3">
      <c r="A1" s="56" t="s">
        <v>207</v>
      </c>
      <c r="B1" s="56" t="s">
        <v>105</v>
      </c>
      <c r="C1" s="57" t="s">
        <v>208</v>
      </c>
    </row>
    <row r="2" spans="1:3" x14ac:dyDescent="0.3">
      <c r="A2" s="54" t="s">
        <v>209</v>
      </c>
      <c r="B2" s="54" t="s">
        <v>210</v>
      </c>
      <c r="C2" s="31">
        <v>2909.1</v>
      </c>
    </row>
    <row r="3" spans="1:3" x14ac:dyDescent="0.3">
      <c r="A3" s="55" t="s">
        <v>103</v>
      </c>
      <c r="B3" s="55" t="s">
        <v>211</v>
      </c>
      <c r="C3" s="32">
        <v>-522.49</v>
      </c>
    </row>
    <row r="4" spans="1:3" x14ac:dyDescent="0.3">
      <c r="A4" s="58" t="s">
        <v>212</v>
      </c>
      <c r="B4" s="58" t="s">
        <v>213</v>
      </c>
      <c r="C4" s="48">
        <v>10000</v>
      </c>
    </row>
    <row r="5" spans="1:3" x14ac:dyDescent="0.3">
      <c r="A5" s="49" t="s">
        <v>0</v>
      </c>
      <c r="B5" s="49"/>
      <c r="C5" s="53">
        <f>SUBTOTAL(109,Tabla3[Imp. aplic.])</f>
        <v>12386.61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D4CF-72E7-4E87-93AF-02DB0C223D36}">
  <dimension ref="A1:C8"/>
  <sheetViews>
    <sheetView tabSelected="1" workbookViewId="0">
      <selection activeCell="G15" sqref="G15"/>
    </sheetView>
  </sheetViews>
  <sheetFormatPr baseColWidth="10" defaultRowHeight="14.4" x14ac:dyDescent="0.3"/>
  <cols>
    <col min="1" max="1" width="20.21875" customWidth="1"/>
    <col min="2" max="2" width="34.109375" customWidth="1"/>
    <col min="3" max="3" width="20" customWidth="1"/>
  </cols>
  <sheetData>
    <row r="1" spans="1:3" x14ac:dyDescent="0.3">
      <c r="A1" s="63" t="s">
        <v>207</v>
      </c>
      <c r="B1" s="64" t="s">
        <v>105</v>
      </c>
      <c r="C1" s="64" t="s">
        <v>208</v>
      </c>
    </row>
    <row r="2" spans="1:3" x14ac:dyDescent="0.3">
      <c r="A2" s="65" t="s">
        <v>212</v>
      </c>
      <c r="B2" s="66" t="s">
        <v>258</v>
      </c>
      <c r="C2" s="67">
        <v>10000</v>
      </c>
    </row>
    <row r="3" spans="1:3" x14ac:dyDescent="0.3">
      <c r="A3" s="68" t="s">
        <v>212</v>
      </c>
      <c r="B3" s="69" t="s">
        <v>259</v>
      </c>
      <c r="C3" s="70">
        <v>-2762.55</v>
      </c>
    </row>
    <row r="4" spans="1:3" ht="15" thickBot="1" x14ac:dyDescent="0.35">
      <c r="A4" s="65" t="s">
        <v>260</v>
      </c>
      <c r="B4" s="66" t="s">
        <v>261</v>
      </c>
      <c r="C4" s="67">
        <v>26007.1</v>
      </c>
    </row>
    <row r="5" spans="1:3" ht="15" thickTop="1" x14ac:dyDescent="0.3">
      <c r="A5" s="71" t="s">
        <v>0</v>
      </c>
      <c r="B5" s="72"/>
      <c r="C5" s="73">
        <v>33244.549999999996</v>
      </c>
    </row>
    <row r="8" spans="1:3" x14ac:dyDescent="0.3">
      <c r="B8" s="59" t="s">
        <v>262</v>
      </c>
      <c r="C8" s="60">
        <f>C5+Tabla2[[#Totals],[Imp.cob.aplic.]]+Tabla3[[#Totals],[Imp. aplic.]]</f>
        <v>59783.159999999996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2026-05-26T12:26:12Z</dcterms:modified>
</cp:coreProperties>
</file>