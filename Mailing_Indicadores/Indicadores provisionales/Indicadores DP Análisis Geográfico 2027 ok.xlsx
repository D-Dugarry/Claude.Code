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1B9A8166-3795-4603-9DB4-3BFF25EBC0A4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Tesis" sheetId="1" r:id="rId1"/>
    <sheet name="Sexenios" sheetId="2" r:id="rId2"/>
    <sheet name="Ingresos Investigación 2023" sheetId="4" r:id="rId3"/>
    <sheet name="Ingresos Investigación 2024" sheetId="5" r:id="rId4"/>
    <sheet name="Ingresos investigación 2025" sheetId="10" r:id="rId5"/>
    <sheet name="Ingresos formación 2023" sheetId="7" r:id="rId6"/>
    <sheet name="Ingresos formación 2024" sheetId="8" r:id="rId7"/>
    <sheet name="Ingresos formación 2025" sheetId="11" r:id="rId8"/>
  </sheets>
  <definedNames>
    <definedName name="_xlnm._FilterDatabase" localSheetId="1" hidden="1">Sexenios!#REF!</definedName>
    <definedName name="_xlnm._FilterDatabase" localSheetId="0" hidden="1">Tesis!$A$1:$U$15</definedName>
    <definedName name="_xlnm.Print_Titles" localSheetId="1">Sexenios!#REF!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8" l="1"/>
  <c r="C5" i="11" s="1"/>
  <c r="C5" i="7"/>
  <c r="C3" i="5" l="1"/>
  <c r="D7" i="10" s="1"/>
  <c r="C3" i="4"/>
  <c r="S18" i="2"/>
  <c r="S24" i="1"/>
</calcChain>
</file>

<file path=xl/sharedStrings.xml><?xml version="1.0" encoding="utf-8"?>
<sst xmlns="http://schemas.openxmlformats.org/spreadsheetml/2006/main" count="502" uniqueCount="198">
  <si>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</si>
  <si>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</si>
  <si>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</si>
  <si>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</si>
  <si>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</si>
  <si>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</si>
  <si>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</si>
  <si>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</si>
  <si>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</si>
  <si>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</si>
  <si>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</si>
  <si>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</si>
  <si>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</si>
  <si>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</si>
  <si>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</si>
  <si>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</si>
  <si>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</si>
  <si>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</si>
  <si>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</si>
  <si>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</si>
  <si>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</si>
  <si>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</si>
  <si>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10.13</t>
  </si>
  <si>
    <t/>
  </si>
  <si>
    <t>Director de tesis </t>
  </si>
  <si>
    <t>10</t>
  </si>
  <si>
    <t>10.17</t>
  </si>
  <si>
    <t>U058 </t>
  </si>
  <si>
    <t>ADM. I.U. DE INVESTIGACIONES TURÍSTICAS </t>
  </si>
  <si>
    <t>DOCTORADO EN TURISMO </t>
  </si>
  <si>
    <t>40</t>
  </si>
  <si>
    <t>U023 </t>
  </si>
  <si>
    <t>ADM. FACULTAD DE FILOSOFIA Y LETRAS </t>
  </si>
  <si>
    <t>DOCTORADO EN FILOSOFÍA Y LETRAS </t>
  </si>
  <si>
    <t>10.21</t>
  </si>
  <si>
    <t>10.06</t>
  </si>
  <si>
    <t>70</t>
  </si>
  <si>
    <t>74176634R </t>
  </si>
  <si>
    <t>B173 </t>
  </si>
  <si>
    <t>ANÁLISIS GEOGRÁFICO REGIONAL Y GEOGRAFÍA FÍSICA </t>
  </si>
  <si>
    <t>B173</t>
  </si>
  <si>
    <t>25126276H </t>
  </si>
  <si>
    <t>21463610X </t>
  </si>
  <si>
    <t>74218439S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</si>
  <si>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</si>
  <si>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</si>
  <si>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</si>
  <si>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</si>
  <si>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</si>
  <si>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</si>
  <si>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</si>
  <si>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</si>
  <si>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</si>
  <si>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</si>
  <si>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</si>
  <si>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</si>
  <si>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</si>
  <si>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</si>
  <si>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21485448K</t>
  </si>
  <si>
    <t>48353391P</t>
  </si>
  <si>
    <t>74218439S</t>
  </si>
  <si>
    <t>25126276H</t>
  </si>
  <si>
    <t>21655866D</t>
  </si>
  <si>
    <t>21464937A</t>
  </si>
  <si>
    <t>21466152E</t>
  </si>
  <si>
    <t>21463610X</t>
  </si>
  <si>
    <t>21503087L</t>
  </si>
  <si>
    <t>21485335T</t>
  </si>
  <si>
    <t>74176634R</t>
  </si>
  <si>
    <t>Femenia Serra, Francisco </t>
  </si>
  <si>
    <t>SMART TOURISM DESTINATIONS: A DEMAND-BASED APPROACH FOR IMPROVING LOCAL TOURISM MANAGENENT </t>
  </si>
  <si>
    <t>03/12/2019 </t>
  </si>
  <si>
    <t>Navarro Ruiz, Sandra </t>
  </si>
  <si>
    <t>"COMPORTAMIENTO INTRADESTINO DE LOS VISITANTES E IMPLICACIONES PARA LA GESTIÓN TURÍSTICA LOCAL. ESTUDIO DE LOS VISITANTES DE CRUCERO EN VALENCIA" </t>
  </si>
  <si>
    <t>10/12/2019 </t>
  </si>
  <si>
    <t>Villar Navascués, Rubén Alejandro </t>
  </si>
  <si>
    <t>SISTEMAS DE SUMINISTRO Y TENDENCIAS DE CONSUMO DE AGUA URBANO-TURÍSTICO EN LOS MUNICIPIOS LITORALES DE ALICANTE (2000-2017) </t>
  </si>
  <si>
    <t>29/11/2019 </t>
  </si>
  <si>
    <t>21434118G</t>
  </si>
  <si>
    <t>21436398F</t>
  </si>
  <si>
    <t>21479431F</t>
  </si>
  <si>
    <t>COD DEP</t>
  </si>
  <si>
    <t>Muñoz Castillo, Juan Antonio </t>
  </si>
  <si>
    <t>Patrimonio nuclear del sur de España: un estudio geográfico </t>
  </si>
  <si>
    <t>30/11/2020 </t>
  </si>
  <si>
    <t>21464937A </t>
  </si>
  <si>
    <t>U013 </t>
  </si>
  <si>
    <t>ADM. I.U. BIODIVERSIDAD (CIBIO) </t>
  </si>
  <si>
    <t>DOCTORADO EN BIODIVERSIDAD Y CONSERVACIÓN </t>
  </si>
  <si>
    <t>Soulopoulou , Polyxeni </t>
  </si>
  <si>
    <t>Intensity of agricultural land use and climate effects on bird biodiversity along a Greek natura 2000 site and implications for sustainable agro-management. </t>
  </si>
  <si>
    <t>29/09/2021 </t>
  </si>
  <si>
    <t>21434118G </t>
  </si>
  <si>
    <t>21479431F </t>
  </si>
  <si>
    <t>Barrado Navascués, David </t>
  </si>
  <si>
    <t>Cosmografía: la ciencia de los dos orbes. </t>
  </si>
  <si>
    <t>23/09/2021 </t>
  </si>
  <si>
    <t>21411000R </t>
  </si>
  <si>
    <t>García Botella, María Estela </t>
  </si>
  <si>
    <t>Variables de información geográfica en los estudios de inundabilidad de pequeñas cuencas alteradas en el sureste de la Península Ibérica </t>
  </si>
  <si>
    <t>27/07/2021 </t>
  </si>
  <si>
    <t>21466152E </t>
  </si>
  <si>
    <t>Prieto Cerdán, Antonio </t>
  </si>
  <si>
    <t>Infraestructura Verde como instrumento de ordenación territorial: analisis multiescalar </t>
  </si>
  <si>
    <t>30/04/2021 </t>
  </si>
  <si>
    <t>Lalangui Ramírez, Jessica Ivonne </t>
  </si>
  <si>
    <t>CONTRIBUCIÓN A LAS POTENCIALIDADES DE LOS DESTINOS TURÍSTICOS DE LA PROVINCIA DE EL ORO - ECUADOR </t>
  </si>
  <si>
    <t>22/03/2021 </t>
  </si>
  <si>
    <t>Rodríguez Pallas, Ángel </t>
  </si>
  <si>
    <t>Agencias de viaje, convivencia del negocio online-offline. El impacto de las TIC, los cambios en los hábitos de consumo y la importancia del marketing relacional </t>
  </si>
  <si>
    <t>26/02/2021 </t>
  </si>
  <si>
    <t>Díaz Soto, Carlos Manuel </t>
  </si>
  <si>
    <t>Análisis y estrategias de mejoramiento del turismo de salud y bienestar en Bucaramanga y su zona metropolitana </t>
  </si>
  <si>
    <t>10/06/2022 </t>
  </si>
  <si>
    <t>Cód. org. aplic.</t>
  </si>
  <si>
    <t>Descripción justificante</t>
  </si>
  <si>
    <t>Imp.cob.aplic.</t>
  </si>
  <si>
    <t>Total</t>
  </si>
  <si>
    <t>Pinargote Macías, Eleticia Isabel </t>
  </si>
  <si>
    <t>La Extensión Universitaria como herramienta para el desarrollo local. La Universidad Técnica de Manabí en las parroquias rurales de Portoviejo. </t>
  </si>
  <si>
    <t>27/02/2023 </t>
  </si>
  <si>
    <t>22131391D </t>
  </si>
  <si>
    <t>Sánchez Almodóvar, Esther </t>
  </si>
  <si>
    <t>Experiencias de gestión del riesgo de inundación: acciones desde la adaptación y resiliencia al cambio climático en la provincia de Alicante </t>
  </si>
  <si>
    <t>20/09/2023 </t>
  </si>
  <si>
    <t>I.U. DE INVESTIGACIONES TURÍSTICAS (10.17) </t>
  </si>
  <si>
    <t>Guerrero Miranda, Jenny Paulina </t>
  </si>
  <si>
    <t>Puesta en valor de la arquitectura vernácula como entrada al turismo, en la Mancomunidad del Chocó Andino (Quito ¿ Ecuador) </t>
  </si>
  <si>
    <t>20/12/2022 </t>
  </si>
  <si>
    <t>Pazmiño Valle, Patricia </t>
  </si>
  <si>
    <t>DESARROLLO SOSTENIBLE Y GESTIÓN DEL GEOTURISMO EN GEOPARQUES ECUADOR: ESTUDIO DE CASO DEL GEOPARQUE IMBABURA </t>
  </si>
  <si>
    <t>28/04/2023 </t>
  </si>
  <si>
    <t>Garcia Reinoso, Nelson </t>
  </si>
  <si>
    <t>Desarrollo territorial sostenible del turismo en Manabí, Ecuador. Modelos y estrategias </t>
  </si>
  <si>
    <t>16/12/2022 </t>
  </si>
  <si>
    <t>Pelegrín Entenza, Norberto </t>
  </si>
  <si>
    <t>EL TURISMO EN CUBA. ESTUDIO DE CASOS DESDE LA PERSPECTIVA DEL ANÁLISIS REGIONAL </t>
  </si>
  <si>
    <t>03/03/2023 </t>
  </si>
  <si>
    <t>48356326E</t>
  </si>
  <si>
    <t>30.10.6Q.00.01</t>
  </si>
  <si>
    <t>APORTACIÓN A LA PRIMERA ANUALIDAD DEL ACUERDO DE COLABORACIÓN ENTRE LA UNIVERSIDAD DE ALICANTE Y AGUAS MUNICIPALIZADAS DE ALICANTE, EMPRESA MIXTA, PARA LA CREACIÓN DE LA CÁTEDRA INSTITUCIONAL "AGUAS DE ALICANTE DE CAMBIO CLIMÁTICO" DE LA UNIVERSIDAD DE ALICANTE</t>
  </si>
  <si>
    <t>S</t>
  </si>
  <si>
    <t>U058</t>
  </si>
  <si>
    <t>I.U. DE INVESTIGACIONES TURÍSTICAS (10.17)</t>
  </si>
  <si>
    <t>DOCTORADO EN TURISMO</t>
  </si>
  <si>
    <t>Glass , Elke Marianne</t>
  </si>
  <si>
    <t>ESTRUCTURA Y ORGANIZACIÓN DEL TURISMO DE SALUD EN LA PROVINCIA DE ALICANTE</t>
  </si>
  <si>
    <t>09/02/2024</t>
  </si>
  <si>
    <t>Director de tesis</t>
  </si>
  <si>
    <t>ANÁLISIS GEOGRÁFICO REGIONAL Y GEOGRAFÍA FÍSICA</t>
  </si>
  <si>
    <t>10.19</t>
  </si>
  <si>
    <t>20</t>
  </si>
  <si>
    <t>30</t>
  </si>
  <si>
    <t>35</t>
  </si>
  <si>
    <t>50</t>
  </si>
  <si>
    <t>80</t>
  </si>
  <si>
    <t>DOTACIÓN DE 20.000,00€. ANUALIDAD 2024 CÁTEDRA "AGUAS DE ALICANTE DE CAMBIO CLIMÁTICO"</t>
  </si>
  <si>
    <t>U023</t>
  </si>
  <si>
    <t>ADM. FACULTAD DE FILOSOFIA Y LETRAS</t>
  </si>
  <si>
    <t>DOCTORADO EN FILOSOFÍA Y LETRAS</t>
  </si>
  <si>
    <t>Abad Coloma, Ricardo</t>
  </si>
  <si>
    <t>Evaluación de la pobreza hídrica en entornos urbanos del litoral mediterráneo: Estudios de caso</t>
  </si>
  <si>
    <t>27/09/2024</t>
  </si>
  <si>
    <t>Codirector de tesis</t>
  </si>
  <si>
    <t>ANAL. GEOGRAF. REGIONAL Y GEOGRAFIA FISI</t>
  </si>
  <si>
    <t>10.91.2T.00.18</t>
  </si>
  <si>
    <t xml:space="preserve">Plan_GI04 Curso_2023-24 Emitido_2023-24 - DIRECCIÓN Y GESTIÓN DE EMPRESAS TURÍSTICAS DE INTERMEDIACIÓN </t>
  </si>
  <si>
    <t>DEVOLUCIÓN DE TASAS NÓMINAS_REMESA Nº 2023DTR380589_RDT INVERSA: 2023EXPADM2019</t>
  </si>
  <si>
    <t>10.91.2T.00.21</t>
  </si>
  <si>
    <t xml:space="preserve">Plan_GJ93 Curso_2023-24 Emitido_2023-24 -YOU ARE HIRED! ORATORIA PARA ENTREVISTAS DE TRABAJO EN INGLÉS </t>
  </si>
  <si>
    <t>DEVOLUCIÓN DE PRECIOS PÚBLICOS POR INGRESOS DE MATRÍCULA_REMESA Nº 2024DTR350464</t>
  </si>
  <si>
    <t>85084945X</t>
  </si>
  <si>
    <t>Miró Pérez, Juan Javier</t>
  </si>
  <si>
    <t>2020</t>
  </si>
  <si>
    <t>2021</t>
  </si>
  <si>
    <t>2022</t>
  </si>
  <si>
    <t>2023</t>
  </si>
  <si>
    <t>2024</t>
  </si>
  <si>
    <t>2025</t>
  </si>
  <si>
    <t>Marco Molina, Juan Antonio</t>
  </si>
  <si>
    <t>Such Climent, Mari Paz</t>
  </si>
  <si>
    <t>Rico Amorós, Antonio Manuel</t>
  </si>
  <si>
    <t>Olcina Cantos, Jorge</t>
  </si>
  <si>
    <t>Ramon Morte, Alfredo</t>
  </si>
  <si>
    <t>Padilla Blanco, Ascensión</t>
  </si>
  <si>
    <t>Torres Alfosea, Francisco José</t>
  </si>
  <si>
    <t>Baños Castiñeira, Carlos Javier</t>
  </si>
  <si>
    <t>Rico Cánovas, Elisa</t>
  </si>
  <si>
    <t>Moltó Mantero, Enrique Alfonso</t>
  </si>
  <si>
    <t>Ivars Baidal, Josep Antoni</t>
  </si>
  <si>
    <t>Giménez Font, Pablo</t>
  </si>
  <si>
    <t>Capdepón Frías, Margarita</t>
  </si>
  <si>
    <t>Vera Rebollo, José Fernando</t>
  </si>
  <si>
    <t>Hernández Hernández, María</t>
  </si>
  <si>
    <t>No hay ingresos de investigación en 2025</t>
  </si>
  <si>
    <t>Total ingresos investigación 2023-25</t>
  </si>
  <si>
    <t>Sin ingresos por docencia en 2025</t>
  </si>
  <si>
    <t>Total ingresos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</si>
</sst>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#,##0.0"/>
  </numFmts>
  <fonts count="14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7" fillId="0" borderId="0"/>
    <xf numFmtId="164" fontId="1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right" wrapText="1"/>
    </xf>
    <xf numFmtId="0" fontId="1" fillId="3" borderId="0" xfId="1" applyFill="1"/>
    <xf numFmtId="0" fontId="1" fillId="3" borderId="0" xfId="1" applyFill="1" applyAlignment="1">
      <alignment horizontal="right"/>
    </xf>
    <xf numFmtId="0" fontId="6" fillId="5" borderId="1" xfId="3" applyFont="1" applyFill="1" applyBorder="1" applyAlignment="1">
      <alignment horizontal="center" textRotation="90" wrapText="1"/>
    </xf>
    <xf numFmtId="0" fontId="6" fillId="2" borderId="1" xfId="3" applyFont="1" applyFill="1" applyBorder="1" applyAlignment="1">
      <alignment horizontal="center" textRotation="90" wrapText="1"/>
    </xf>
    <xf numFmtId="0" fontId="4" fillId="0" borderId="0" xfId="4" applyFont="1"/>
    <xf numFmtId="0" fontId="8" fillId="0" borderId="0" xfId="4" applyFont="1"/>
    <xf numFmtId="0" fontId="8" fillId="0" borderId="0" xfId="4" applyFont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textRotation="90"/>
    </xf>
    <xf numFmtId="0" fontId="6" fillId="2" borderId="1" xfId="3" applyFont="1" applyFill="1" applyBorder="1" applyAlignment="1">
      <alignment horizontal="center" wrapText="1"/>
    </xf>
    <xf numFmtId="0" fontId="1" fillId="3" borderId="1" xfId="1" applyFill="1" applyBorder="1"/>
    <xf numFmtId="165" fontId="1" fillId="3" borderId="1" xfId="1" applyNumberFormat="1" applyFill="1" applyBorder="1"/>
    <xf numFmtId="0" fontId="1" fillId="3" borderId="1" xfId="1" applyFill="1" applyBorder="1" applyAlignment="1">
      <alignment horizontal="right"/>
    </xf>
    <xf numFmtId="1" fontId="1" fillId="3" borderId="1" xfId="1" applyNumberFormat="1" applyFill="1" applyBorder="1"/>
    <xf numFmtId="0" fontId="10" fillId="6" borderId="1" xfId="0" applyFont="1" applyFill="1" applyBorder="1" applyAlignment="1">
      <alignment horizontal="left" vertical="center"/>
    </xf>
    <xf numFmtId="2" fontId="1" fillId="3" borderId="1" xfId="1" applyNumberFormat="1" applyFill="1" applyBorder="1"/>
    <xf numFmtId="0" fontId="1" fillId="0" borderId="1" xfId="1" applyBorder="1"/>
    <xf numFmtId="0" fontId="1" fillId="0" borderId="0" xfId="1"/>
    <xf numFmtId="166" fontId="1" fillId="3" borderId="1" xfId="1" applyNumberFormat="1" applyFill="1" applyBorder="1"/>
    <xf numFmtId="0" fontId="1" fillId="0" borderId="1" xfId="1" applyBorder="1" applyAlignment="1">
      <alignment horizontal="right"/>
    </xf>
    <xf numFmtId="165" fontId="1" fillId="0" borderId="1" xfId="1" applyNumberFormat="1" applyBorder="1"/>
    <xf numFmtId="0" fontId="1" fillId="4" borderId="0" xfId="1" applyFill="1"/>
    <xf numFmtId="0" fontId="1" fillId="4" borderId="0" xfId="1" applyFill="1" applyAlignment="1">
      <alignment horizontal="right"/>
    </xf>
    <xf numFmtId="0" fontId="8" fillId="4" borderId="0" xfId="4" applyFont="1" applyFill="1"/>
    <xf numFmtId="0" fontId="8" fillId="4" borderId="0" xfId="4" applyFont="1" applyFill="1" applyAlignment="1">
      <alignment horizontal="right"/>
    </xf>
    <xf numFmtId="165" fontId="2" fillId="4" borderId="0" xfId="1" applyNumberFormat="1" applyFont="1" applyFill="1"/>
    <xf numFmtId="165" fontId="9" fillId="4" borderId="0" xfId="4" applyNumberFormat="1" applyFont="1" applyFill="1"/>
    <xf numFmtId="0" fontId="8" fillId="0" borderId="1" xfId="4" applyFont="1" applyBorder="1"/>
    <xf numFmtId="0" fontId="8" fillId="0" borderId="1" xfId="4" applyFont="1" applyBorder="1" applyAlignment="1">
      <alignment horizontal="right"/>
    </xf>
    <xf numFmtId="43" fontId="0" fillId="0" borderId="0" xfId="0" applyNumberFormat="1"/>
    <xf numFmtId="43" fontId="0" fillId="8" borderId="3" xfId="5" applyNumberFormat="1" applyFont="1" applyFill="1" applyBorder="1"/>
    <xf numFmtId="0" fontId="8" fillId="8" borderId="3" xfId="0" applyFont="1" applyFill="1" applyBorder="1"/>
    <xf numFmtId="0" fontId="12" fillId="7" borderId="2" xfId="0" applyFont="1" applyFill="1" applyBorder="1"/>
    <xf numFmtId="0" fontId="13" fillId="8" borderId="3" xfId="0" applyFont="1" applyFill="1" applyBorder="1"/>
    <xf numFmtId="0" fontId="6" fillId="9" borderId="1" xfId="0" applyFont="1" applyFill="1" applyBorder="1"/>
    <xf numFmtId="43" fontId="6" fillId="9" borderId="1" xfId="0" applyNumberFormat="1" applyFont="1" applyFill="1" applyBorder="1"/>
    <xf numFmtId="0" fontId="8" fillId="10" borderId="3" xfId="0" applyFont="1" applyFill="1" applyBorder="1"/>
    <xf numFmtId="43" fontId="11" fillId="10" borderId="3" xfId="0" applyNumberFormat="1" applyFont="1" applyFill="1" applyBorder="1"/>
    <xf numFmtId="0" fontId="0" fillId="11" borderId="0" xfId="0" applyFill="1"/>
    <xf numFmtId="43" fontId="11" fillId="8" borderId="3" xfId="5" applyNumberFormat="1" applyFont="1" applyFill="1" applyBorder="1"/>
    <xf numFmtId="43" fontId="11" fillId="10" borderId="3" xfId="5" applyNumberFormat="1" applyFont="1" applyFill="1" applyBorder="1"/>
    <xf numFmtId="0" fontId="6" fillId="0" borderId="1" xfId="0" applyFont="1" applyBorder="1"/>
    <xf numFmtId="0" fontId="11" fillId="0" borderId="1" xfId="4" applyFont="1" applyBorder="1"/>
  </cellXfs>
  <cellStyles count="6">
    <cellStyle name="Millares" xfId="5" builtinId="3"/>
    <cellStyle name="Normal" xfId="0" builtinId="0"/>
    <cellStyle name="Normal 3" xfId="4" xr:uid="{00000000-0005-0000-0000-000001000000}"/>
    <cellStyle name="Normal_Becas 14_9_2005" xfId="2" xr:uid="{00000000-0005-0000-0000-000002000000}"/>
    <cellStyle name="Normal_Ind.2010" xfId="1" xr:uid="{00000000-0005-0000-0000-000003000000}"/>
    <cellStyle name="Normal_PDI por Centro" xfId="3" xr:uid="{00000000-0005-0000-0000-000005000000}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3D3394-D98B-40A3-B2FD-9BBB901D470E}" name="Tabla2" displayName="Tabla2" ref="A1:C3" totalsRowCount="1" headerRowDxfId="46" dataDxfId="44" totalsRowDxfId="42" headerRowBorderDxfId="45" tableBorderDxfId="43" totalsRowBorderDxfId="41">
  <autoFilter ref="A1:C2" xr:uid="{273D3394-D98B-40A3-B2FD-9BBB901D470E}"/>
  <tableColumns count="3">
    <tableColumn id="1" xr3:uid="{B38CFC05-6150-47E7-AE2F-A543B0283FAB}" name="Cód. org. aplic." totalsRowLabel="Total" dataDxfId="40" totalsRowDxfId="39"/>
    <tableColumn id="2" xr3:uid="{2802E662-6F36-46FE-81B8-BA074C123BB8}" name="Descripción justificante" dataDxfId="38" totalsRowDxfId="37"/>
    <tableColumn id="3" xr3:uid="{424675E3-D9A4-456C-84A9-6D53E97ECF23}" name="Imp.cob.aplic." totalsRowFunction="sum" dataDxfId="36" totalsRowDxfId="35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AA76AE-EE2E-426C-8B43-6D1C591AA037}" name="Tabla3" displayName="Tabla3" ref="A1:C3" totalsRowCount="1" headerRowDxfId="34" totalsRowDxfId="31" headerRowBorderDxfId="33" tableBorderDxfId="32" totalsRowBorderDxfId="30">
  <autoFilter ref="A1:C2" xr:uid="{13AA76AE-EE2E-426C-8B43-6D1C591AA037}"/>
  <tableColumns count="3">
    <tableColumn id="1" xr3:uid="{5E9C5E4A-F594-4EAF-BAB1-8CDE7306C477}" name="Cód. org. aplic." totalsRowLabel="Total" dataDxfId="29" totalsRowDxfId="28"/>
    <tableColumn id="2" xr3:uid="{DF9790EA-7251-4FF2-A4BB-77F53EB52234}" name="Descripción justificante" dataDxfId="27" totalsRowDxfId="26"/>
    <tableColumn id="3" xr3:uid="{7BEF1874-F987-4D34-87D8-69055084FFF4}" name="Imp.cob.aplic." totalsRowFunction="sum" dataDxfId="25" totalsRowDxfId="24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39341F-8516-487D-990B-7AA806EECB3E}" name="Tabla25" displayName="Tabla25" ref="A1:C5" totalsRowCount="1" headerRowDxfId="23" dataDxfId="21" totalsRowDxfId="19" headerRowBorderDxfId="22" tableBorderDxfId="20" totalsRowBorderDxfId="18">
  <autoFilter ref="A1:C4" xr:uid="{765960A6-AEF9-4F8D-876C-662FDDB4F453}"/>
  <tableColumns count="3">
    <tableColumn id="1" xr3:uid="{A87F40A9-250F-4277-A3CD-CE4DE4751779}" name="Cód. org. aplic." totalsRowLabel="Total" dataDxfId="17" totalsRowDxfId="16"/>
    <tableColumn id="2" xr3:uid="{ADD30A80-1B2B-4FB1-8232-2D40A54AD8D1}" name="Descripción justificante" dataDxfId="15" totalsRowDxfId="14"/>
    <tableColumn id="3" xr3:uid="{BB97E0EC-82DE-4777-9A58-88BC208D5A6B}" name="Imp.cob.aplic." totalsRowFunction="sum" dataDxfId="13" totalsRowDxfId="12" data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2192D-A384-49C1-AA31-DF5AF39CFBBA}" name="Tabla256" displayName="Tabla256" ref="A1:C3" totalsRowCount="1" headerRowDxfId="11" dataDxfId="9" totalsRowDxfId="7" headerRowBorderDxfId="10" tableBorderDxfId="8" totalsRowBorderDxfId="6">
  <autoFilter ref="A1:C2" xr:uid="{1E0D8891-84C7-4D76-A9B3-39A41B7DDF24}"/>
  <tableColumns count="3">
    <tableColumn id="1" xr3:uid="{C705FEC6-9915-47FB-832D-49F2BD841D27}" name="Cód. org. aplic." totalsRowLabel="Total" dataDxfId="5" totalsRowDxfId="4"/>
    <tableColumn id="2" xr3:uid="{EFE2ED44-912E-4771-87DF-49DFF1D447FE}" name="Descripción justificante" dataDxfId="3" totalsRowDxfId="2"/>
    <tableColumn id="3" xr3:uid="{B4160903-DC3F-49A8-8BF5-447AB952797E}" name="Imp.cob.aplic." totalsRowFunction="sum" dataDxfId="1" totalsRow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4"/>
  <sheetViews>
    <sheetView showGridLines="0" zoomScale="120" zoomScaleNormal="120" workbookViewId="0">
      <pane xSplit="1" ySplit="1" topLeftCell="F5" activePane="bottomRight" state="frozen"/>
      <selection pane="topRight" activeCell="B1" sqref="B1"/>
      <selection pane="bottomLeft" activeCell="A2" sqref="A2"/>
      <selection pane="bottomRight" activeCell="P23" sqref="P23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41.7109375" style="6" bestFit="1" customWidth="1"/>
    <col min="11" max="11" width="6.140625" style="6" customWidth="1"/>
    <col min="12" max="12" width="5.140625" style="6" customWidth="1"/>
    <col min="13" max="13" width="4.42578125" style="6" customWidth="1"/>
    <col min="14" max="14" width="4.85546875" style="6" customWidth="1"/>
    <col min="15" max="15" width="4.85546875" style="7" customWidth="1"/>
    <col min="16" max="16" width="4.85546875" style="6" customWidth="1"/>
    <col min="17" max="17" width="3.5703125" style="7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16" t="s">
        <v>31</v>
      </c>
      <c r="B2" s="16" t="s">
        <v>32</v>
      </c>
      <c r="C2" s="16" t="s">
        <v>33</v>
      </c>
      <c r="D2" s="16" t="s">
        <v>75</v>
      </c>
      <c r="E2" s="16" t="s">
        <v>76</v>
      </c>
      <c r="F2" s="16" t="s">
        <v>77</v>
      </c>
      <c r="G2" s="16" t="s">
        <v>42</v>
      </c>
      <c r="H2" s="16" t="s">
        <v>21</v>
      </c>
      <c r="I2" s="16" t="s">
        <v>38</v>
      </c>
      <c r="J2" s="16" t="s">
        <v>39</v>
      </c>
      <c r="K2" s="17">
        <v>0.5</v>
      </c>
      <c r="L2" s="16" t="s">
        <v>40</v>
      </c>
      <c r="M2" s="16">
        <v>2019</v>
      </c>
      <c r="N2" s="16" t="s">
        <v>34</v>
      </c>
      <c r="O2" s="18" t="s">
        <v>36</v>
      </c>
      <c r="P2" s="16" t="s">
        <v>23</v>
      </c>
      <c r="Q2" s="18" t="s">
        <v>23</v>
      </c>
      <c r="R2" s="19">
        <v>30</v>
      </c>
      <c r="S2" s="21">
        <v>0.15</v>
      </c>
      <c r="T2" s="17">
        <v>0.35</v>
      </c>
      <c r="U2" s="17">
        <v>0</v>
      </c>
    </row>
    <row r="3" spans="1:21" x14ac:dyDescent="0.2">
      <c r="A3" s="16" t="s">
        <v>31</v>
      </c>
      <c r="B3" s="16" t="s">
        <v>32</v>
      </c>
      <c r="C3" s="16" t="s">
        <v>33</v>
      </c>
      <c r="D3" s="16" t="s">
        <v>75</v>
      </c>
      <c r="E3" s="16" t="s">
        <v>76</v>
      </c>
      <c r="F3" s="16" t="s">
        <v>77</v>
      </c>
      <c r="G3" s="16" t="s">
        <v>43</v>
      </c>
      <c r="H3" s="16" t="s">
        <v>21</v>
      </c>
      <c r="I3" s="16" t="s">
        <v>38</v>
      </c>
      <c r="J3" s="16" t="s">
        <v>39</v>
      </c>
      <c r="K3" s="24">
        <v>0.5</v>
      </c>
      <c r="L3" s="16" t="s">
        <v>40</v>
      </c>
      <c r="M3" s="16">
        <v>2019</v>
      </c>
      <c r="N3" s="16" t="s">
        <v>34</v>
      </c>
      <c r="O3" s="18" t="s">
        <v>30</v>
      </c>
      <c r="P3" s="16" t="s">
        <v>26</v>
      </c>
      <c r="Q3" s="18" t="s">
        <v>25</v>
      </c>
      <c r="R3" s="19">
        <v>50</v>
      </c>
      <c r="S3" s="21">
        <v>0.25</v>
      </c>
      <c r="T3" s="17">
        <v>0.2</v>
      </c>
      <c r="U3" s="17">
        <v>0.05</v>
      </c>
    </row>
    <row r="4" spans="1:21" x14ac:dyDescent="0.2">
      <c r="A4" s="16" t="s">
        <v>27</v>
      </c>
      <c r="B4" s="16" t="s">
        <v>28</v>
      </c>
      <c r="C4" s="16" t="s">
        <v>29</v>
      </c>
      <c r="D4" s="16" t="s">
        <v>72</v>
      </c>
      <c r="E4" s="16" t="s">
        <v>73</v>
      </c>
      <c r="F4" s="16" t="s">
        <v>74</v>
      </c>
      <c r="G4" s="16" t="s">
        <v>41</v>
      </c>
      <c r="H4" s="16" t="s">
        <v>21</v>
      </c>
      <c r="I4" s="16" t="s">
        <v>38</v>
      </c>
      <c r="J4" s="16" t="s">
        <v>39</v>
      </c>
      <c r="K4" s="24">
        <v>0.5</v>
      </c>
      <c r="L4" s="16" t="s">
        <v>40</v>
      </c>
      <c r="M4" s="16">
        <v>2019</v>
      </c>
      <c r="N4" s="16" t="s">
        <v>35</v>
      </c>
      <c r="O4" s="18" t="s">
        <v>25</v>
      </c>
      <c r="P4" s="16" t="s">
        <v>26</v>
      </c>
      <c r="Q4" s="18" t="s">
        <v>36</v>
      </c>
      <c r="R4" s="19">
        <v>20</v>
      </c>
      <c r="S4" s="21">
        <v>0.1</v>
      </c>
      <c r="T4" s="17">
        <v>0.05</v>
      </c>
      <c r="U4" s="17">
        <v>0.35</v>
      </c>
    </row>
    <row r="5" spans="1:21" x14ac:dyDescent="0.2">
      <c r="A5" s="16" t="s">
        <v>27</v>
      </c>
      <c r="B5" s="16" t="s">
        <v>28</v>
      </c>
      <c r="C5" s="16" t="s">
        <v>29</v>
      </c>
      <c r="D5" s="16" t="s">
        <v>69</v>
      </c>
      <c r="E5" s="16" t="s">
        <v>70</v>
      </c>
      <c r="F5" s="16" t="s">
        <v>71</v>
      </c>
      <c r="G5" s="16" t="s">
        <v>41</v>
      </c>
      <c r="H5" s="16" t="s">
        <v>24</v>
      </c>
      <c r="I5" s="16" t="s">
        <v>38</v>
      </c>
      <c r="J5" s="16" t="s">
        <v>39</v>
      </c>
      <c r="K5" s="24">
        <v>1</v>
      </c>
      <c r="L5" s="16" t="s">
        <v>40</v>
      </c>
      <c r="M5" s="16">
        <v>2019</v>
      </c>
      <c r="N5" s="16" t="s">
        <v>35</v>
      </c>
      <c r="O5" s="18" t="s">
        <v>25</v>
      </c>
      <c r="P5" s="16" t="s">
        <v>26</v>
      </c>
      <c r="Q5" s="18" t="s">
        <v>36</v>
      </c>
      <c r="R5" s="19">
        <v>20</v>
      </c>
      <c r="S5" s="21">
        <v>0.2</v>
      </c>
      <c r="T5" s="17">
        <v>0.1</v>
      </c>
      <c r="U5" s="17">
        <v>0.7</v>
      </c>
    </row>
    <row r="6" spans="1:21" x14ac:dyDescent="0.2">
      <c r="A6" s="16" t="s">
        <v>31</v>
      </c>
      <c r="B6" s="16" t="s">
        <v>32</v>
      </c>
      <c r="C6" s="16" t="s">
        <v>33</v>
      </c>
      <c r="D6" s="16" t="s">
        <v>82</v>
      </c>
      <c r="E6" s="16" t="s">
        <v>83</v>
      </c>
      <c r="F6" s="16" t="s">
        <v>84</v>
      </c>
      <c r="G6" s="16" t="s">
        <v>85</v>
      </c>
      <c r="H6" s="16" t="s">
        <v>24</v>
      </c>
      <c r="I6" s="16" t="s">
        <v>38</v>
      </c>
      <c r="J6" s="16" t="s">
        <v>39</v>
      </c>
      <c r="K6" s="24">
        <v>1</v>
      </c>
      <c r="L6" s="16" t="s">
        <v>40</v>
      </c>
      <c r="M6" s="16">
        <v>2019</v>
      </c>
      <c r="N6" s="16" t="s">
        <v>34</v>
      </c>
      <c r="O6" s="18">
        <v>50</v>
      </c>
      <c r="P6" s="16" t="s">
        <v>23</v>
      </c>
      <c r="Q6" s="18">
        <v>0</v>
      </c>
      <c r="R6" s="19">
        <v>50</v>
      </c>
      <c r="S6" s="21">
        <v>0.5</v>
      </c>
      <c r="T6" s="17">
        <v>0.5</v>
      </c>
      <c r="U6" s="17">
        <v>0</v>
      </c>
    </row>
    <row r="7" spans="1:21" x14ac:dyDescent="0.2">
      <c r="A7" s="16" t="s">
        <v>86</v>
      </c>
      <c r="B7" s="16" t="s">
        <v>87</v>
      </c>
      <c r="C7" s="16" t="s">
        <v>88</v>
      </c>
      <c r="D7" s="16" t="s">
        <v>89</v>
      </c>
      <c r="E7" s="16" t="s">
        <v>90</v>
      </c>
      <c r="F7" s="16" t="s">
        <v>91</v>
      </c>
      <c r="G7" s="16" t="s">
        <v>92</v>
      </c>
      <c r="H7" s="16" t="s">
        <v>21</v>
      </c>
      <c r="I7" s="16" t="s">
        <v>38</v>
      </c>
      <c r="J7" s="16" t="s">
        <v>39</v>
      </c>
      <c r="K7" s="22">
        <v>0.5</v>
      </c>
      <c r="L7" s="22" t="s">
        <v>40</v>
      </c>
      <c r="M7" s="16">
        <v>2020</v>
      </c>
      <c r="N7" s="16" t="s">
        <v>22</v>
      </c>
      <c r="O7" s="18">
        <v>20</v>
      </c>
      <c r="P7" s="16" t="s">
        <v>34</v>
      </c>
      <c r="Q7" s="18">
        <v>40</v>
      </c>
      <c r="R7" s="16">
        <v>40</v>
      </c>
      <c r="S7" s="21">
        <v>0.2</v>
      </c>
      <c r="T7" s="16">
        <v>0.1</v>
      </c>
      <c r="U7" s="16">
        <v>0.2</v>
      </c>
    </row>
    <row r="8" spans="1:21" x14ac:dyDescent="0.2">
      <c r="A8" s="20" t="s">
        <v>86</v>
      </c>
      <c r="B8" s="20" t="s">
        <v>87</v>
      </c>
      <c r="C8" s="20" t="s">
        <v>88</v>
      </c>
      <c r="D8" s="20" t="s">
        <v>89</v>
      </c>
      <c r="E8" s="20" t="s">
        <v>90</v>
      </c>
      <c r="F8" s="20" t="s">
        <v>91</v>
      </c>
      <c r="G8" s="20" t="s">
        <v>93</v>
      </c>
      <c r="H8" s="20" t="s">
        <v>21</v>
      </c>
      <c r="I8" s="20" t="s">
        <v>38</v>
      </c>
      <c r="J8" s="20" t="s">
        <v>39</v>
      </c>
      <c r="K8" s="22">
        <v>0.5</v>
      </c>
      <c r="L8" s="22" t="s">
        <v>40</v>
      </c>
      <c r="M8" s="16">
        <v>2020</v>
      </c>
      <c r="N8" s="16" t="s">
        <v>22</v>
      </c>
      <c r="O8" s="18">
        <v>20</v>
      </c>
      <c r="P8" s="16" t="s">
        <v>34</v>
      </c>
      <c r="Q8" s="18">
        <v>40</v>
      </c>
      <c r="R8" s="16">
        <v>40</v>
      </c>
      <c r="S8" s="16">
        <v>0.2</v>
      </c>
      <c r="T8" s="16">
        <v>0.1</v>
      </c>
      <c r="U8" s="16">
        <v>0.2</v>
      </c>
    </row>
    <row r="9" spans="1:21" x14ac:dyDescent="0.2">
      <c r="A9" s="20" t="s">
        <v>31</v>
      </c>
      <c r="B9" s="20" t="s">
        <v>32</v>
      </c>
      <c r="C9" s="20" t="s">
        <v>33</v>
      </c>
      <c r="D9" s="20" t="s">
        <v>94</v>
      </c>
      <c r="E9" s="20" t="s">
        <v>95</v>
      </c>
      <c r="F9" s="20" t="s">
        <v>96</v>
      </c>
      <c r="G9" s="20" t="s">
        <v>97</v>
      </c>
      <c r="H9" s="20" t="s">
        <v>24</v>
      </c>
      <c r="I9" s="20" t="s">
        <v>38</v>
      </c>
      <c r="J9" s="20" t="s">
        <v>39</v>
      </c>
      <c r="K9" s="22">
        <v>1</v>
      </c>
      <c r="L9" s="22" t="s">
        <v>40</v>
      </c>
      <c r="M9" s="16">
        <v>2020</v>
      </c>
      <c r="N9" s="16" t="s">
        <v>23</v>
      </c>
      <c r="O9" s="18" t="s">
        <v>23</v>
      </c>
      <c r="P9" s="16" t="s">
        <v>23</v>
      </c>
      <c r="Q9" s="18" t="s">
        <v>23</v>
      </c>
      <c r="R9" s="16">
        <v>100</v>
      </c>
      <c r="S9" s="16">
        <v>1</v>
      </c>
      <c r="T9" s="16">
        <v>0</v>
      </c>
      <c r="U9" s="16">
        <v>0</v>
      </c>
    </row>
    <row r="10" spans="1:21" x14ac:dyDescent="0.2">
      <c r="A10" s="20" t="s">
        <v>31</v>
      </c>
      <c r="B10" s="20" t="s">
        <v>32</v>
      </c>
      <c r="C10" s="20" t="s">
        <v>33</v>
      </c>
      <c r="D10" s="20" t="s">
        <v>98</v>
      </c>
      <c r="E10" s="20" t="s">
        <v>99</v>
      </c>
      <c r="F10" s="20" t="s">
        <v>100</v>
      </c>
      <c r="G10" s="20" t="s">
        <v>101</v>
      </c>
      <c r="H10" s="20" t="s">
        <v>24</v>
      </c>
      <c r="I10" s="20" t="s">
        <v>38</v>
      </c>
      <c r="J10" s="20" t="s">
        <v>39</v>
      </c>
      <c r="K10" s="22">
        <v>1</v>
      </c>
      <c r="L10" s="22" t="s">
        <v>40</v>
      </c>
      <c r="M10" s="16">
        <v>2020</v>
      </c>
      <c r="N10" s="16" t="s">
        <v>26</v>
      </c>
      <c r="O10" s="18">
        <v>10</v>
      </c>
      <c r="P10" s="16" t="s">
        <v>34</v>
      </c>
      <c r="Q10" s="18">
        <v>50</v>
      </c>
      <c r="R10" s="16">
        <v>40</v>
      </c>
      <c r="S10" s="16">
        <v>0.4</v>
      </c>
      <c r="T10" s="16">
        <v>0.1</v>
      </c>
      <c r="U10" s="16">
        <v>0.5</v>
      </c>
    </row>
    <row r="11" spans="1:21" x14ac:dyDescent="0.2">
      <c r="A11" s="20" t="s">
        <v>31</v>
      </c>
      <c r="B11" s="20" t="s">
        <v>32</v>
      </c>
      <c r="C11" s="20" t="s">
        <v>33</v>
      </c>
      <c r="D11" s="20" t="s">
        <v>102</v>
      </c>
      <c r="E11" s="20" t="s">
        <v>103</v>
      </c>
      <c r="F11" s="20" t="s">
        <v>104</v>
      </c>
      <c r="G11" s="20" t="s">
        <v>93</v>
      </c>
      <c r="H11" s="20" t="s">
        <v>24</v>
      </c>
      <c r="I11" s="20" t="s">
        <v>38</v>
      </c>
      <c r="J11" s="20" t="s">
        <v>39</v>
      </c>
      <c r="K11" s="22">
        <v>1</v>
      </c>
      <c r="L11" s="22" t="s">
        <v>40</v>
      </c>
      <c r="M11" s="16">
        <v>2020</v>
      </c>
      <c r="N11" s="16" t="s">
        <v>22</v>
      </c>
      <c r="O11" s="18">
        <v>20</v>
      </c>
      <c r="P11" s="16" t="s">
        <v>34</v>
      </c>
      <c r="Q11" s="18">
        <v>40</v>
      </c>
      <c r="R11" s="16">
        <v>40</v>
      </c>
      <c r="S11" s="16">
        <v>0.4</v>
      </c>
      <c r="T11" s="16">
        <v>0.2</v>
      </c>
      <c r="U11" s="16">
        <v>0.4</v>
      </c>
    </row>
    <row r="12" spans="1:21" x14ac:dyDescent="0.2">
      <c r="A12" s="20" t="s">
        <v>27</v>
      </c>
      <c r="B12" s="20" t="s">
        <v>28</v>
      </c>
      <c r="C12" s="20" t="s">
        <v>29</v>
      </c>
      <c r="D12" s="20" t="s">
        <v>105</v>
      </c>
      <c r="E12" s="20" t="s">
        <v>106</v>
      </c>
      <c r="F12" s="20" t="s">
        <v>107</v>
      </c>
      <c r="G12" s="20" t="s">
        <v>43</v>
      </c>
      <c r="H12" s="20" t="s">
        <v>24</v>
      </c>
      <c r="I12" s="20" t="s">
        <v>38</v>
      </c>
      <c r="J12" s="20" t="s">
        <v>39</v>
      </c>
      <c r="K12" s="22">
        <v>1</v>
      </c>
      <c r="L12" s="22" t="s">
        <v>40</v>
      </c>
      <c r="M12" s="16">
        <v>2020</v>
      </c>
      <c r="N12" s="16" t="s">
        <v>34</v>
      </c>
      <c r="O12" s="18">
        <v>40</v>
      </c>
      <c r="P12" s="16" t="s">
        <v>26</v>
      </c>
      <c r="Q12" s="18">
        <v>10</v>
      </c>
      <c r="R12" s="16">
        <v>50</v>
      </c>
      <c r="S12" s="16">
        <v>0.5</v>
      </c>
      <c r="T12" s="16">
        <v>0.4</v>
      </c>
      <c r="U12" s="16">
        <v>0.1</v>
      </c>
    </row>
    <row r="13" spans="1:21" x14ac:dyDescent="0.2">
      <c r="A13" s="20" t="s">
        <v>27</v>
      </c>
      <c r="B13" s="20" t="s">
        <v>28</v>
      </c>
      <c r="C13" s="20" t="s">
        <v>29</v>
      </c>
      <c r="D13" s="20" t="s">
        <v>108</v>
      </c>
      <c r="E13" s="20" t="s">
        <v>109</v>
      </c>
      <c r="F13" s="20" t="s">
        <v>110</v>
      </c>
      <c r="G13" s="20" t="s">
        <v>41</v>
      </c>
      <c r="H13" s="20" t="s">
        <v>21</v>
      </c>
      <c r="I13" s="20" t="s">
        <v>38</v>
      </c>
      <c r="J13" s="20" t="s">
        <v>39</v>
      </c>
      <c r="K13" s="22">
        <v>0.5</v>
      </c>
      <c r="L13" s="22" t="s">
        <v>40</v>
      </c>
      <c r="M13" s="16">
        <v>2020</v>
      </c>
      <c r="N13" s="16" t="s">
        <v>35</v>
      </c>
      <c r="O13" s="18">
        <v>10</v>
      </c>
      <c r="P13" s="16" t="s">
        <v>26</v>
      </c>
      <c r="Q13" s="18">
        <v>70</v>
      </c>
      <c r="R13" s="16">
        <v>20</v>
      </c>
      <c r="S13" s="16">
        <v>0.1</v>
      </c>
      <c r="T13" s="16">
        <v>0.05</v>
      </c>
      <c r="U13" s="16">
        <v>0.35</v>
      </c>
    </row>
    <row r="14" spans="1:21" x14ac:dyDescent="0.2">
      <c r="A14" s="20" t="s">
        <v>27</v>
      </c>
      <c r="B14" s="20" t="s">
        <v>28</v>
      </c>
      <c r="C14" s="20" t="s">
        <v>29</v>
      </c>
      <c r="D14" s="20" t="s">
        <v>111</v>
      </c>
      <c r="E14" s="20" t="s">
        <v>112</v>
      </c>
      <c r="F14" s="20" t="s">
        <v>113</v>
      </c>
      <c r="G14" s="20" t="s">
        <v>43</v>
      </c>
      <c r="H14" s="20" t="s">
        <v>24</v>
      </c>
      <c r="I14" s="20" t="s">
        <v>38</v>
      </c>
      <c r="J14" s="20" t="s">
        <v>39</v>
      </c>
      <c r="K14" s="22">
        <v>1</v>
      </c>
      <c r="L14" s="22" t="s">
        <v>40</v>
      </c>
      <c r="M14" s="16">
        <v>2021</v>
      </c>
      <c r="N14" s="16" t="s">
        <v>34</v>
      </c>
      <c r="O14" s="18">
        <v>40</v>
      </c>
      <c r="P14" s="16" t="s">
        <v>26</v>
      </c>
      <c r="Q14" s="18">
        <v>10</v>
      </c>
      <c r="R14" s="16">
        <v>50</v>
      </c>
      <c r="S14" s="16">
        <v>0.5</v>
      </c>
      <c r="T14" s="16">
        <v>0.4</v>
      </c>
      <c r="U14" s="16">
        <v>0.1</v>
      </c>
    </row>
    <row r="15" spans="1:21" x14ac:dyDescent="0.2">
      <c r="A15" s="16" t="s">
        <v>31</v>
      </c>
      <c r="B15" s="16" t="s">
        <v>32</v>
      </c>
      <c r="C15" s="16" t="s">
        <v>33</v>
      </c>
      <c r="D15" s="16" t="s">
        <v>118</v>
      </c>
      <c r="E15" s="16" t="s">
        <v>119</v>
      </c>
      <c r="F15" s="16" t="s">
        <v>120</v>
      </c>
      <c r="G15" s="16" t="s">
        <v>121</v>
      </c>
      <c r="H15" s="16" t="s">
        <v>24</v>
      </c>
      <c r="I15" s="16" t="s">
        <v>38</v>
      </c>
      <c r="J15" s="16" t="s">
        <v>39</v>
      </c>
      <c r="K15" s="22">
        <v>1</v>
      </c>
      <c r="L15" s="22" t="s">
        <v>40</v>
      </c>
      <c r="M15" s="16">
        <v>2022</v>
      </c>
      <c r="N15" s="16" t="s">
        <v>26</v>
      </c>
      <c r="O15" s="18">
        <v>50</v>
      </c>
      <c r="P15" s="16" t="s">
        <v>23</v>
      </c>
      <c r="Q15" s="18">
        <v>0</v>
      </c>
      <c r="R15" s="16">
        <v>50</v>
      </c>
      <c r="S15" s="16">
        <v>0.5</v>
      </c>
      <c r="T15" s="16">
        <v>0.5</v>
      </c>
      <c r="U15" s="16">
        <v>0</v>
      </c>
    </row>
    <row r="16" spans="1:21" s="23" customFormat="1" x14ac:dyDescent="0.2">
      <c r="A16" s="22" t="s">
        <v>31</v>
      </c>
      <c r="B16" s="22" t="s">
        <v>32</v>
      </c>
      <c r="C16" s="22" t="s">
        <v>33</v>
      </c>
      <c r="D16" s="22" t="s">
        <v>122</v>
      </c>
      <c r="E16" s="22" t="s">
        <v>123</v>
      </c>
      <c r="F16" s="22" t="s">
        <v>124</v>
      </c>
      <c r="G16" s="22" t="s">
        <v>85</v>
      </c>
      <c r="H16" s="22" t="s">
        <v>21</v>
      </c>
      <c r="I16" s="22" t="s">
        <v>38</v>
      </c>
      <c r="J16" s="22" t="s">
        <v>39</v>
      </c>
      <c r="K16" s="22">
        <v>0.5</v>
      </c>
      <c r="L16" s="22" t="s">
        <v>40</v>
      </c>
      <c r="M16" s="22">
        <v>2022</v>
      </c>
      <c r="N16" s="22" t="s">
        <v>34</v>
      </c>
      <c r="O16" s="25">
        <v>50</v>
      </c>
      <c r="P16" s="22" t="s">
        <v>23</v>
      </c>
      <c r="Q16" s="25">
        <v>0</v>
      </c>
      <c r="R16" s="22">
        <v>50</v>
      </c>
      <c r="S16" s="26">
        <v>0.25</v>
      </c>
      <c r="T16" s="22">
        <v>0.25</v>
      </c>
      <c r="U16" s="22">
        <v>0</v>
      </c>
    </row>
    <row r="17" spans="1:22" x14ac:dyDescent="0.2">
      <c r="A17" s="16" t="s">
        <v>27</v>
      </c>
      <c r="B17" s="16" t="s">
        <v>125</v>
      </c>
      <c r="C17" s="16" t="s">
        <v>29</v>
      </c>
      <c r="D17" s="16" t="s">
        <v>126</v>
      </c>
      <c r="E17" s="16" t="s">
        <v>127</v>
      </c>
      <c r="F17" s="16" t="s">
        <v>128</v>
      </c>
      <c r="G17" s="16" t="s">
        <v>41</v>
      </c>
      <c r="H17" s="16" t="s">
        <v>24</v>
      </c>
      <c r="I17" s="16" t="s">
        <v>38</v>
      </c>
      <c r="J17" s="16" t="s">
        <v>39</v>
      </c>
      <c r="K17" s="16">
        <v>1</v>
      </c>
      <c r="L17" s="16" t="s">
        <v>40</v>
      </c>
      <c r="M17" s="16">
        <v>2022</v>
      </c>
      <c r="N17" s="16" t="s">
        <v>35</v>
      </c>
      <c r="O17" s="18">
        <v>10</v>
      </c>
      <c r="P17" s="16" t="s">
        <v>26</v>
      </c>
      <c r="Q17" s="18">
        <v>70</v>
      </c>
      <c r="R17" s="16">
        <v>20</v>
      </c>
      <c r="S17" s="16">
        <v>0.2</v>
      </c>
      <c r="T17" s="16">
        <v>0.1</v>
      </c>
      <c r="U17" s="16">
        <v>0.7</v>
      </c>
    </row>
    <row r="18" spans="1:22" x14ac:dyDescent="0.2">
      <c r="A18" s="16" t="s">
        <v>27</v>
      </c>
      <c r="B18" s="16" t="s">
        <v>125</v>
      </c>
      <c r="C18" s="16" t="s">
        <v>29</v>
      </c>
      <c r="D18" s="16" t="s">
        <v>129</v>
      </c>
      <c r="E18" s="16" t="s">
        <v>130</v>
      </c>
      <c r="F18" s="16" t="s">
        <v>131</v>
      </c>
      <c r="G18" s="16" t="s">
        <v>43</v>
      </c>
      <c r="H18" s="16" t="s">
        <v>24</v>
      </c>
      <c r="I18" s="16" t="s">
        <v>38</v>
      </c>
      <c r="J18" s="16" t="s">
        <v>39</v>
      </c>
      <c r="K18" s="16">
        <v>1</v>
      </c>
      <c r="L18" s="16" t="s">
        <v>40</v>
      </c>
      <c r="M18" s="16">
        <v>2022</v>
      </c>
      <c r="N18" s="16" t="s">
        <v>34</v>
      </c>
      <c r="O18" s="18">
        <v>40</v>
      </c>
      <c r="P18" s="16" t="s">
        <v>26</v>
      </c>
      <c r="Q18" s="18">
        <v>10</v>
      </c>
      <c r="R18" s="16">
        <v>50</v>
      </c>
      <c r="S18" s="16">
        <v>0.5</v>
      </c>
      <c r="T18" s="16">
        <v>0.4</v>
      </c>
      <c r="U18" s="16">
        <v>0.1</v>
      </c>
    </row>
    <row r="19" spans="1:22" x14ac:dyDescent="0.2">
      <c r="A19" s="16" t="s">
        <v>27</v>
      </c>
      <c r="B19" s="16" t="s">
        <v>125</v>
      </c>
      <c r="C19" s="16" t="s">
        <v>29</v>
      </c>
      <c r="D19" s="16" t="s">
        <v>132</v>
      </c>
      <c r="E19" s="16" t="s">
        <v>133</v>
      </c>
      <c r="F19" s="16" t="s">
        <v>134</v>
      </c>
      <c r="G19" s="16" t="s">
        <v>43</v>
      </c>
      <c r="H19" s="16" t="s">
        <v>21</v>
      </c>
      <c r="I19" s="16" t="s">
        <v>38</v>
      </c>
      <c r="J19" s="16" t="s">
        <v>39</v>
      </c>
      <c r="K19" s="16">
        <v>0.5</v>
      </c>
      <c r="L19" s="16" t="s">
        <v>40</v>
      </c>
      <c r="M19" s="16">
        <v>2022</v>
      </c>
      <c r="N19" s="16" t="s">
        <v>34</v>
      </c>
      <c r="O19" s="18">
        <v>40</v>
      </c>
      <c r="P19" s="16" t="s">
        <v>26</v>
      </c>
      <c r="Q19" s="18">
        <v>10</v>
      </c>
      <c r="R19" s="16">
        <v>50</v>
      </c>
      <c r="S19" s="16">
        <v>0.25</v>
      </c>
      <c r="T19" s="16">
        <v>0.2</v>
      </c>
      <c r="U19" s="16">
        <v>0.05</v>
      </c>
    </row>
    <row r="20" spans="1:22" s="23" customFormat="1" x14ac:dyDescent="0.2">
      <c r="A20" s="22" t="s">
        <v>27</v>
      </c>
      <c r="B20" s="22" t="s">
        <v>125</v>
      </c>
      <c r="C20" s="22" t="s">
        <v>29</v>
      </c>
      <c r="D20" s="22" t="s">
        <v>135</v>
      </c>
      <c r="E20" s="22" t="s">
        <v>136</v>
      </c>
      <c r="F20" s="22" t="s">
        <v>137</v>
      </c>
      <c r="G20" s="22" t="s">
        <v>37</v>
      </c>
      <c r="H20" s="22" t="s">
        <v>24</v>
      </c>
      <c r="I20" s="22" t="s">
        <v>38</v>
      </c>
      <c r="J20" s="22" t="s">
        <v>39</v>
      </c>
      <c r="K20" s="22">
        <v>1</v>
      </c>
      <c r="L20" s="22" t="s">
        <v>40</v>
      </c>
      <c r="M20" s="22">
        <v>2022</v>
      </c>
      <c r="N20" s="22" t="s">
        <v>35</v>
      </c>
      <c r="O20" s="25">
        <v>10</v>
      </c>
      <c r="P20" s="22" t="s">
        <v>26</v>
      </c>
      <c r="Q20" s="25">
        <v>80</v>
      </c>
      <c r="R20" s="22">
        <v>10</v>
      </c>
      <c r="S20" s="22">
        <v>0.1</v>
      </c>
      <c r="T20" s="22">
        <v>0.1</v>
      </c>
      <c r="U20" s="22">
        <v>0.8</v>
      </c>
    </row>
    <row r="21" spans="1:22" s="23" customFormat="1" x14ac:dyDescent="0.2">
      <c r="A21" s="22" t="s">
        <v>157</v>
      </c>
      <c r="B21" s="22" t="s">
        <v>158</v>
      </c>
      <c r="C21" s="22" t="s">
        <v>159</v>
      </c>
      <c r="D21" s="22" t="s">
        <v>160</v>
      </c>
      <c r="E21" s="22" t="s">
        <v>161</v>
      </c>
      <c r="F21" s="22" t="s">
        <v>162</v>
      </c>
      <c r="G21" s="22" t="s">
        <v>65</v>
      </c>
      <c r="H21" s="22" t="s">
        <v>163</v>
      </c>
      <c r="I21" s="22" t="s">
        <v>40</v>
      </c>
      <c r="J21" s="22" t="s">
        <v>164</v>
      </c>
      <c r="K21" s="22">
        <v>0.5</v>
      </c>
      <c r="L21" s="22" t="s">
        <v>40</v>
      </c>
      <c r="M21" s="22">
        <v>2023</v>
      </c>
      <c r="N21" s="22" t="s">
        <v>34</v>
      </c>
      <c r="O21" s="25" t="s">
        <v>36</v>
      </c>
      <c r="P21" s="22" t="s">
        <v>23</v>
      </c>
      <c r="Q21" s="25" t="s">
        <v>23</v>
      </c>
      <c r="R21" s="22">
        <v>30</v>
      </c>
      <c r="S21" s="22">
        <v>0.15</v>
      </c>
      <c r="T21" s="22">
        <v>0.35</v>
      </c>
      <c r="U21" s="22">
        <v>0</v>
      </c>
      <c r="V21" s="23" t="s">
        <v>141</v>
      </c>
    </row>
    <row r="22" spans="1:22" s="23" customFormat="1" x14ac:dyDescent="0.2">
      <c r="A22" s="22" t="s">
        <v>157</v>
      </c>
      <c r="B22" s="22" t="s">
        <v>158</v>
      </c>
      <c r="C22" s="22" t="s">
        <v>159</v>
      </c>
      <c r="D22" s="22" t="s">
        <v>160</v>
      </c>
      <c r="E22" s="22" t="s">
        <v>161</v>
      </c>
      <c r="F22" s="22" t="s">
        <v>162</v>
      </c>
      <c r="G22" s="22" t="s">
        <v>60</v>
      </c>
      <c r="H22" s="22" t="s">
        <v>163</v>
      </c>
      <c r="I22" s="22" t="s">
        <v>40</v>
      </c>
      <c r="J22" s="22" t="s">
        <v>164</v>
      </c>
      <c r="K22" s="22">
        <v>0.5</v>
      </c>
      <c r="L22" s="22" t="s">
        <v>40</v>
      </c>
      <c r="M22" s="22">
        <v>2023</v>
      </c>
      <c r="N22" s="22" t="s">
        <v>34</v>
      </c>
      <c r="O22" s="25" t="s">
        <v>30</v>
      </c>
      <c r="P22" s="22" t="s">
        <v>26</v>
      </c>
      <c r="Q22" s="25" t="s">
        <v>25</v>
      </c>
      <c r="R22" s="22">
        <v>50</v>
      </c>
      <c r="S22" s="22">
        <v>0.25</v>
      </c>
      <c r="T22" s="22">
        <v>0.2</v>
      </c>
      <c r="U22" s="22">
        <v>0.05</v>
      </c>
      <c r="V22" s="23" t="s">
        <v>141</v>
      </c>
    </row>
    <row r="23" spans="1:22" s="23" customFormat="1" x14ac:dyDescent="0.2">
      <c r="A23" s="16" t="s">
        <v>142</v>
      </c>
      <c r="B23" s="16" t="s">
        <v>143</v>
      </c>
      <c r="C23" s="16" t="s">
        <v>144</v>
      </c>
      <c r="D23" s="16" t="s">
        <v>145</v>
      </c>
      <c r="E23" s="16" t="s">
        <v>146</v>
      </c>
      <c r="F23" s="16" t="s">
        <v>147</v>
      </c>
      <c r="G23" s="16" t="s">
        <v>68</v>
      </c>
      <c r="H23" s="16" t="s">
        <v>148</v>
      </c>
      <c r="I23" s="16" t="s">
        <v>40</v>
      </c>
      <c r="J23" s="16" t="s">
        <v>149</v>
      </c>
      <c r="K23" s="16">
        <v>1</v>
      </c>
      <c r="L23" s="16" t="s">
        <v>40</v>
      </c>
      <c r="M23" s="16">
        <v>2023</v>
      </c>
      <c r="N23" s="16" t="s">
        <v>150</v>
      </c>
      <c r="O23" s="16" t="s">
        <v>151</v>
      </c>
      <c r="P23" s="16" t="s">
        <v>23</v>
      </c>
      <c r="Q23" s="16" t="s">
        <v>23</v>
      </c>
      <c r="R23" s="16">
        <v>80</v>
      </c>
      <c r="S23" s="16">
        <v>0.8</v>
      </c>
      <c r="T23" s="16">
        <v>0.2</v>
      </c>
      <c r="U23" s="16">
        <v>0</v>
      </c>
      <c r="V23" s="23" t="s">
        <v>141</v>
      </c>
    </row>
    <row r="24" spans="1:22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/>
      <c r="P24" s="27"/>
      <c r="Q24" s="28"/>
      <c r="R24" s="27"/>
      <c r="S24" s="31">
        <f>SUM(S2:S23)</f>
        <v>7.5</v>
      </c>
      <c r="T24" s="27"/>
      <c r="U24" s="27"/>
    </row>
  </sheetData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"/>
  <sheetViews>
    <sheetView zoomScale="117" zoomScaleNormal="117" workbookViewId="0">
      <selection activeCell="T11" sqref="T11"/>
    </sheetView>
  </sheetViews>
  <sheetFormatPr baseColWidth="10" defaultColWidth="11.42578125" defaultRowHeight="12.75" x14ac:dyDescent="0.2"/>
  <cols>
    <col min="1" max="1" width="10.42578125" style="11" bestFit="1" customWidth="1"/>
    <col min="2" max="2" width="38.28515625" style="11" bestFit="1" customWidth="1"/>
    <col min="3" max="3" width="17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3" width="5.7109375" style="11" bestFit="1" customWidth="1"/>
    <col min="14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19" s="10" customFormat="1" ht="30" x14ac:dyDescent="0.2">
      <c r="A1" s="13" t="s">
        <v>44</v>
      </c>
      <c r="B1" s="13" t="s">
        <v>45</v>
      </c>
      <c r="C1" s="13" t="s">
        <v>46</v>
      </c>
      <c r="D1" s="14" t="s">
        <v>173</v>
      </c>
      <c r="E1" s="14" t="s">
        <v>174</v>
      </c>
      <c r="F1" s="14" t="s">
        <v>175</v>
      </c>
      <c r="G1" s="14" t="s">
        <v>176</v>
      </c>
      <c r="H1" s="14" t="s">
        <v>177</v>
      </c>
      <c r="I1" s="14" t="s">
        <v>178</v>
      </c>
      <c r="J1" s="13" t="s">
        <v>47</v>
      </c>
      <c r="K1" s="15" t="s">
        <v>81</v>
      </c>
      <c r="L1" s="8" t="s">
        <v>48</v>
      </c>
      <c r="M1" s="8" t="s">
        <v>49</v>
      </c>
      <c r="N1" s="8" t="s">
        <v>50</v>
      </c>
      <c r="O1" s="8" t="s">
        <v>51</v>
      </c>
      <c r="P1" s="9" t="s">
        <v>52</v>
      </c>
      <c r="Q1" s="9" t="s">
        <v>53</v>
      </c>
      <c r="R1" s="9" t="s">
        <v>54</v>
      </c>
      <c r="S1" s="9" t="s">
        <v>55</v>
      </c>
    </row>
    <row r="2" spans="1:19" x14ac:dyDescent="0.2">
      <c r="A2" s="33" t="s">
        <v>78</v>
      </c>
      <c r="B2" s="33" t="s">
        <v>179</v>
      </c>
      <c r="C2" s="33" t="s">
        <v>56</v>
      </c>
      <c r="D2" s="33">
        <v>1</v>
      </c>
      <c r="E2" s="33"/>
      <c r="F2" s="33"/>
      <c r="G2" s="33"/>
      <c r="H2" s="33"/>
      <c r="I2" s="33"/>
      <c r="J2" s="33">
        <v>1</v>
      </c>
      <c r="K2" s="33" t="s">
        <v>40</v>
      </c>
      <c r="L2" s="33" t="s">
        <v>34</v>
      </c>
      <c r="M2" s="33" t="s">
        <v>30</v>
      </c>
      <c r="N2" s="34" t="s">
        <v>22</v>
      </c>
      <c r="O2" s="33" t="s">
        <v>151</v>
      </c>
      <c r="P2" s="34">
        <v>40</v>
      </c>
      <c r="Q2" s="33">
        <v>0.4</v>
      </c>
      <c r="R2" s="33">
        <v>0.2</v>
      </c>
      <c r="S2" s="33">
        <v>0.4</v>
      </c>
    </row>
    <row r="3" spans="1:19" x14ac:dyDescent="0.2">
      <c r="A3" s="33" t="s">
        <v>79</v>
      </c>
      <c r="B3" s="33" t="s">
        <v>180</v>
      </c>
      <c r="C3" s="33" t="s">
        <v>56</v>
      </c>
      <c r="D3" s="33"/>
      <c r="E3" s="33">
        <v>1</v>
      </c>
      <c r="F3" s="33"/>
      <c r="G3" s="33"/>
      <c r="H3" s="33"/>
      <c r="I3" s="33"/>
      <c r="J3" s="33">
        <v>1</v>
      </c>
      <c r="K3" s="33" t="s">
        <v>40</v>
      </c>
      <c r="L3" s="33" t="s">
        <v>26</v>
      </c>
      <c r="M3" s="33" t="s">
        <v>153</v>
      </c>
      <c r="N3" s="34" t="s">
        <v>34</v>
      </c>
      <c r="O3" s="33" t="s">
        <v>152</v>
      </c>
      <c r="P3" s="34">
        <v>35</v>
      </c>
      <c r="Q3" s="33">
        <v>0.35</v>
      </c>
      <c r="R3" s="33">
        <v>0.3</v>
      </c>
      <c r="S3" s="33">
        <v>0.35</v>
      </c>
    </row>
    <row r="4" spans="1:19" x14ac:dyDescent="0.2">
      <c r="A4" s="33" t="s">
        <v>65</v>
      </c>
      <c r="B4" s="33" t="s">
        <v>181</v>
      </c>
      <c r="C4" s="33" t="s">
        <v>56</v>
      </c>
      <c r="D4" s="33"/>
      <c r="E4" s="33">
        <v>1</v>
      </c>
      <c r="F4" s="33"/>
      <c r="G4" s="33"/>
      <c r="H4" s="33"/>
      <c r="I4" s="33"/>
      <c r="J4" s="33">
        <v>1</v>
      </c>
      <c r="K4" s="33" t="s">
        <v>40</v>
      </c>
      <c r="L4" s="33" t="s">
        <v>34</v>
      </c>
      <c r="M4" s="33" t="s">
        <v>36</v>
      </c>
      <c r="N4" s="34" t="s">
        <v>23</v>
      </c>
      <c r="O4" s="33" t="s">
        <v>23</v>
      </c>
      <c r="P4" s="34">
        <v>30</v>
      </c>
      <c r="Q4" s="33">
        <v>0.7</v>
      </c>
      <c r="R4" s="33">
        <v>0</v>
      </c>
      <c r="S4" s="33">
        <v>0.3</v>
      </c>
    </row>
    <row r="5" spans="1:19" x14ac:dyDescent="0.2">
      <c r="A5" s="33" t="s">
        <v>63</v>
      </c>
      <c r="B5" s="33" t="s">
        <v>182</v>
      </c>
      <c r="C5" s="33" t="s">
        <v>56</v>
      </c>
      <c r="D5" s="33">
        <v>1</v>
      </c>
      <c r="E5" s="33"/>
      <c r="F5" s="33"/>
      <c r="G5" s="33"/>
      <c r="H5" s="33"/>
      <c r="I5" s="33"/>
      <c r="J5" s="33">
        <v>1</v>
      </c>
      <c r="K5" s="33" t="s">
        <v>40</v>
      </c>
      <c r="L5" s="33" t="s">
        <v>34</v>
      </c>
      <c r="M5" s="33" t="s">
        <v>154</v>
      </c>
      <c r="N5" s="34" t="s">
        <v>23</v>
      </c>
      <c r="O5" s="33" t="s">
        <v>23</v>
      </c>
      <c r="P5" s="34">
        <v>50</v>
      </c>
      <c r="Q5" s="33">
        <v>0.5</v>
      </c>
      <c r="R5" s="33">
        <v>0</v>
      </c>
      <c r="S5" s="33">
        <v>0.5</v>
      </c>
    </row>
    <row r="6" spans="1:19" x14ac:dyDescent="0.2">
      <c r="A6" s="33" t="s">
        <v>64</v>
      </c>
      <c r="B6" s="33" t="s">
        <v>183</v>
      </c>
      <c r="C6" s="33" t="s">
        <v>56</v>
      </c>
      <c r="D6" s="33"/>
      <c r="E6" s="33"/>
      <c r="F6" s="33"/>
      <c r="G6" s="33"/>
      <c r="H6" s="33"/>
      <c r="I6" s="33">
        <v>1</v>
      </c>
      <c r="J6" s="33">
        <v>1</v>
      </c>
      <c r="K6" s="33" t="s">
        <v>40</v>
      </c>
      <c r="L6" s="33" t="s">
        <v>34</v>
      </c>
      <c r="M6" s="33" t="s">
        <v>154</v>
      </c>
      <c r="N6" s="34" t="s">
        <v>26</v>
      </c>
      <c r="O6" s="33" t="s">
        <v>25</v>
      </c>
      <c r="P6" s="34">
        <v>40</v>
      </c>
      <c r="Q6" s="33">
        <v>0.5</v>
      </c>
      <c r="R6" s="33">
        <v>0.1</v>
      </c>
      <c r="S6" s="33">
        <v>0.4</v>
      </c>
    </row>
    <row r="7" spans="1:19" x14ac:dyDescent="0.2">
      <c r="A7" s="33" t="s">
        <v>80</v>
      </c>
      <c r="B7" s="33" t="s">
        <v>184</v>
      </c>
      <c r="C7" s="33" t="s">
        <v>56</v>
      </c>
      <c r="D7" s="33"/>
      <c r="E7" s="33">
        <v>1</v>
      </c>
      <c r="F7" s="33"/>
      <c r="G7" s="33"/>
      <c r="H7" s="33"/>
      <c r="I7" s="33"/>
      <c r="J7" s="33">
        <v>1</v>
      </c>
      <c r="K7" s="33" t="s">
        <v>40</v>
      </c>
      <c r="L7" s="33" t="s">
        <v>34</v>
      </c>
      <c r="M7" s="33" t="s">
        <v>30</v>
      </c>
      <c r="N7" s="34" t="s">
        <v>22</v>
      </c>
      <c r="O7" s="33" t="s">
        <v>151</v>
      </c>
      <c r="P7" s="34">
        <v>40</v>
      </c>
      <c r="Q7" s="33">
        <v>0.4</v>
      </c>
      <c r="R7" s="33">
        <v>0.2</v>
      </c>
      <c r="S7" s="33">
        <v>0.4</v>
      </c>
    </row>
    <row r="8" spans="1:19" x14ac:dyDescent="0.2">
      <c r="A8" s="33" t="s">
        <v>67</v>
      </c>
      <c r="B8" s="33" t="s">
        <v>185</v>
      </c>
      <c r="C8" s="33" t="s">
        <v>56</v>
      </c>
      <c r="D8" s="33"/>
      <c r="E8" s="33"/>
      <c r="F8" s="33"/>
      <c r="G8" s="33">
        <v>1</v>
      </c>
      <c r="H8" s="33"/>
      <c r="I8" s="33"/>
      <c r="J8" s="33">
        <v>1</v>
      </c>
      <c r="K8" s="33" t="s">
        <v>40</v>
      </c>
      <c r="L8" s="33" t="s">
        <v>26</v>
      </c>
      <c r="M8" s="33" t="s">
        <v>151</v>
      </c>
      <c r="N8" s="34" t="s">
        <v>34</v>
      </c>
      <c r="O8" s="33" t="s">
        <v>154</v>
      </c>
      <c r="P8" s="34">
        <v>30</v>
      </c>
      <c r="Q8" s="33">
        <v>0.2</v>
      </c>
      <c r="R8" s="33">
        <v>0.5</v>
      </c>
      <c r="S8" s="33">
        <v>0.3</v>
      </c>
    </row>
    <row r="9" spans="1:19" x14ac:dyDescent="0.2">
      <c r="A9" s="33" t="s">
        <v>58</v>
      </c>
      <c r="B9" s="33" t="s">
        <v>186</v>
      </c>
      <c r="C9" s="33" t="s">
        <v>56</v>
      </c>
      <c r="D9" s="33"/>
      <c r="E9" s="33"/>
      <c r="F9" s="33"/>
      <c r="G9" s="33">
        <v>1</v>
      </c>
      <c r="H9" s="33"/>
      <c r="I9" s="33"/>
      <c r="J9" s="33">
        <v>1</v>
      </c>
      <c r="K9" s="33" t="s">
        <v>40</v>
      </c>
      <c r="L9" s="33" t="s">
        <v>26</v>
      </c>
      <c r="M9" s="33" t="s">
        <v>151</v>
      </c>
      <c r="N9" s="34" t="s">
        <v>34</v>
      </c>
      <c r="O9" s="33" t="s">
        <v>152</v>
      </c>
      <c r="P9" s="34">
        <v>50</v>
      </c>
      <c r="Q9" s="33">
        <v>0.2</v>
      </c>
      <c r="R9" s="33">
        <v>0.3</v>
      </c>
      <c r="S9" s="33">
        <v>0.5</v>
      </c>
    </row>
    <row r="10" spans="1:19" x14ac:dyDescent="0.2">
      <c r="A10" s="33" t="s">
        <v>66</v>
      </c>
      <c r="B10" s="33" t="s">
        <v>187</v>
      </c>
      <c r="C10" s="33" t="s">
        <v>57</v>
      </c>
      <c r="D10" s="33"/>
      <c r="E10" s="33"/>
      <c r="F10" s="33"/>
      <c r="G10" s="33"/>
      <c r="H10" s="33">
        <v>1</v>
      </c>
      <c r="I10" s="33"/>
      <c r="J10" s="33">
        <v>1</v>
      </c>
      <c r="K10" s="33" t="s">
        <v>40</v>
      </c>
      <c r="L10" s="33" t="s">
        <v>34</v>
      </c>
      <c r="M10" s="33" t="s">
        <v>151</v>
      </c>
      <c r="N10" s="34" t="s">
        <v>26</v>
      </c>
      <c r="O10" s="33" t="s">
        <v>154</v>
      </c>
      <c r="P10" s="34">
        <v>30</v>
      </c>
      <c r="Q10" s="33">
        <v>0.2</v>
      </c>
      <c r="R10" s="33">
        <v>0.5</v>
      </c>
      <c r="S10" s="33">
        <v>0.3</v>
      </c>
    </row>
    <row r="11" spans="1:19" x14ac:dyDescent="0.2">
      <c r="A11" s="33" t="s">
        <v>62</v>
      </c>
      <c r="B11" s="33" t="s">
        <v>188</v>
      </c>
      <c r="C11" s="33" t="s">
        <v>57</v>
      </c>
      <c r="D11" s="33"/>
      <c r="E11" s="33"/>
      <c r="F11" s="33"/>
      <c r="G11" s="33"/>
      <c r="H11" s="33"/>
      <c r="I11" s="33">
        <v>1</v>
      </c>
      <c r="J11" s="33">
        <v>1</v>
      </c>
      <c r="K11" s="33" t="s">
        <v>40</v>
      </c>
      <c r="L11" s="33" t="s">
        <v>34</v>
      </c>
      <c r="M11" s="33" t="s">
        <v>154</v>
      </c>
      <c r="N11" s="34" t="s">
        <v>23</v>
      </c>
      <c r="O11" s="33" t="s">
        <v>23</v>
      </c>
      <c r="P11" s="34">
        <v>50</v>
      </c>
      <c r="Q11" s="33">
        <v>0.5</v>
      </c>
      <c r="R11" s="33">
        <v>0</v>
      </c>
      <c r="S11" s="33">
        <v>0.5</v>
      </c>
    </row>
    <row r="12" spans="1:19" x14ac:dyDescent="0.2">
      <c r="A12" s="33" t="s">
        <v>61</v>
      </c>
      <c r="B12" s="33" t="s">
        <v>189</v>
      </c>
      <c r="C12" s="33" t="s">
        <v>56</v>
      </c>
      <c r="D12" s="33"/>
      <c r="E12" s="33">
        <v>1</v>
      </c>
      <c r="F12" s="33"/>
      <c r="G12" s="33"/>
      <c r="H12" s="33"/>
      <c r="I12" s="33"/>
      <c r="J12" s="33">
        <v>1</v>
      </c>
      <c r="K12" s="33" t="s">
        <v>40</v>
      </c>
      <c r="L12" s="33" t="s">
        <v>26</v>
      </c>
      <c r="M12" s="33" t="s">
        <v>36</v>
      </c>
      <c r="N12" s="34" t="s">
        <v>35</v>
      </c>
      <c r="O12" s="33" t="s">
        <v>25</v>
      </c>
      <c r="P12" s="34">
        <v>20</v>
      </c>
      <c r="Q12" s="33">
        <v>0.7</v>
      </c>
      <c r="R12" s="33">
        <v>0.1</v>
      </c>
      <c r="S12" s="48">
        <v>0.2</v>
      </c>
    </row>
    <row r="13" spans="1:19" x14ac:dyDescent="0.2">
      <c r="A13" s="33" t="s">
        <v>59</v>
      </c>
      <c r="B13" s="33" t="s">
        <v>190</v>
      </c>
      <c r="C13" s="33" t="s">
        <v>56</v>
      </c>
      <c r="D13" s="33"/>
      <c r="E13" s="33"/>
      <c r="F13" s="33">
        <v>1</v>
      </c>
      <c r="G13" s="33"/>
      <c r="H13" s="33"/>
      <c r="I13" s="33"/>
      <c r="J13" s="33">
        <v>1</v>
      </c>
      <c r="K13" s="33" t="s">
        <v>40</v>
      </c>
      <c r="L13" s="33" t="s">
        <v>34</v>
      </c>
      <c r="M13" s="33" t="s">
        <v>154</v>
      </c>
      <c r="N13" s="34" t="s">
        <v>22</v>
      </c>
      <c r="O13" s="33" t="s">
        <v>151</v>
      </c>
      <c r="P13" s="34">
        <v>30</v>
      </c>
      <c r="Q13" s="33">
        <v>0.5</v>
      </c>
      <c r="R13" s="33">
        <v>0.2</v>
      </c>
      <c r="S13" s="33">
        <v>0.3</v>
      </c>
    </row>
    <row r="14" spans="1:19" x14ac:dyDescent="0.2">
      <c r="A14" s="33" t="s">
        <v>138</v>
      </c>
      <c r="B14" s="33" t="s">
        <v>191</v>
      </c>
      <c r="C14" s="33" t="s">
        <v>57</v>
      </c>
      <c r="D14" s="33"/>
      <c r="E14" s="33"/>
      <c r="F14" s="33"/>
      <c r="G14" s="33"/>
      <c r="H14" s="33"/>
      <c r="I14" s="33">
        <v>1</v>
      </c>
      <c r="J14" s="33">
        <v>1</v>
      </c>
      <c r="K14" s="33" t="s">
        <v>40</v>
      </c>
      <c r="L14" s="33" t="s">
        <v>34</v>
      </c>
      <c r="M14" s="33" t="s">
        <v>152</v>
      </c>
      <c r="N14" s="34" t="s">
        <v>26</v>
      </c>
      <c r="O14" s="33" t="s">
        <v>152</v>
      </c>
      <c r="P14" s="34">
        <v>40</v>
      </c>
      <c r="Q14" s="33">
        <v>0.3</v>
      </c>
      <c r="R14" s="33">
        <v>0.3</v>
      </c>
      <c r="S14" s="33">
        <v>0.4</v>
      </c>
    </row>
    <row r="15" spans="1:19" x14ac:dyDescent="0.2">
      <c r="A15" s="33" t="s">
        <v>68</v>
      </c>
      <c r="B15" s="33" t="s">
        <v>192</v>
      </c>
      <c r="C15" s="33">
        <v>6</v>
      </c>
      <c r="D15" s="33"/>
      <c r="E15" s="33"/>
      <c r="F15" s="33"/>
      <c r="G15" s="33"/>
      <c r="H15" s="33"/>
      <c r="I15" s="33">
        <v>1</v>
      </c>
      <c r="J15" s="33">
        <v>1</v>
      </c>
      <c r="K15" s="33" t="s">
        <v>40</v>
      </c>
      <c r="L15" s="33" t="s">
        <v>26</v>
      </c>
      <c r="M15" s="33" t="s">
        <v>155</v>
      </c>
      <c r="N15" s="34" t="s">
        <v>35</v>
      </c>
      <c r="O15" s="33" t="s">
        <v>25</v>
      </c>
      <c r="P15" s="34">
        <v>10</v>
      </c>
      <c r="Q15" s="33">
        <v>0.8</v>
      </c>
      <c r="R15" s="33">
        <v>0.1</v>
      </c>
      <c r="S15" s="33">
        <v>0.1</v>
      </c>
    </row>
    <row r="16" spans="1:19" x14ac:dyDescent="0.2">
      <c r="A16" s="33" t="s">
        <v>60</v>
      </c>
      <c r="B16" s="33" t="s">
        <v>193</v>
      </c>
      <c r="C16" s="33" t="s">
        <v>56</v>
      </c>
      <c r="D16" s="33">
        <v>1</v>
      </c>
      <c r="E16" s="33"/>
      <c r="F16" s="33"/>
      <c r="G16" s="33"/>
      <c r="H16" s="33"/>
      <c r="I16" s="33"/>
      <c r="J16" s="33">
        <v>1</v>
      </c>
      <c r="K16" s="33" t="s">
        <v>40</v>
      </c>
      <c r="L16" s="33" t="s">
        <v>26</v>
      </c>
      <c r="M16" s="33" t="s">
        <v>25</v>
      </c>
      <c r="N16" s="34" t="s">
        <v>34</v>
      </c>
      <c r="O16" s="33" t="s">
        <v>30</v>
      </c>
      <c r="P16" s="34">
        <v>50</v>
      </c>
      <c r="Q16" s="33">
        <v>0.1</v>
      </c>
      <c r="R16" s="33">
        <v>0.4</v>
      </c>
      <c r="S16" s="33">
        <v>0.5</v>
      </c>
    </row>
    <row r="17" spans="1:19" x14ac:dyDescent="0.2">
      <c r="A17" s="33" t="s">
        <v>171</v>
      </c>
      <c r="B17" s="33" t="s">
        <v>172</v>
      </c>
      <c r="C17" s="33" t="s">
        <v>57</v>
      </c>
      <c r="D17" s="33"/>
      <c r="E17" s="33"/>
      <c r="F17" s="33"/>
      <c r="G17" s="33"/>
      <c r="H17" s="33"/>
      <c r="I17" s="33">
        <v>1</v>
      </c>
      <c r="J17" s="33">
        <v>1</v>
      </c>
      <c r="K17" s="33" t="s">
        <v>40</v>
      </c>
      <c r="L17" s="33">
        <v>0</v>
      </c>
      <c r="M17" s="33">
        <v>0</v>
      </c>
      <c r="N17" s="34" t="s">
        <v>23</v>
      </c>
      <c r="O17" s="33" t="s">
        <v>23</v>
      </c>
      <c r="P17" s="34">
        <v>100</v>
      </c>
      <c r="Q17" s="33">
        <v>0</v>
      </c>
      <c r="R17" s="33">
        <v>0</v>
      </c>
      <c r="S17" s="33">
        <v>1</v>
      </c>
    </row>
    <row r="18" spans="1:19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30"/>
      <c r="O18" s="29"/>
      <c r="P18" s="30"/>
      <c r="Q18" s="29"/>
      <c r="R18" s="29"/>
      <c r="S18" s="32">
        <f>SUM(S2:S17)</f>
        <v>6.4499999999999993</v>
      </c>
    </row>
  </sheetData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C921-2E7D-4318-BC61-C1DD0E1FF8BC}">
  <dimension ref="A1:C4"/>
  <sheetViews>
    <sheetView workbookViewId="0">
      <selection activeCell="B12" sqref="B12"/>
    </sheetView>
  </sheetViews>
  <sheetFormatPr baseColWidth="10" defaultColWidth="13.140625" defaultRowHeight="12.75" x14ac:dyDescent="0.2"/>
  <cols>
    <col min="1" max="1" width="16.28515625" customWidth="1"/>
    <col min="2" max="2" width="118.28515625" customWidth="1"/>
    <col min="3" max="3" width="14.85546875" customWidth="1"/>
  </cols>
  <sheetData>
    <row r="1" spans="1:3" x14ac:dyDescent="0.2">
      <c r="A1" s="38" t="s">
        <v>114</v>
      </c>
      <c r="B1" s="38" t="s">
        <v>115</v>
      </c>
      <c r="C1" s="38" t="s">
        <v>116</v>
      </c>
    </row>
    <row r="2" spans="1:3" x14ac:dyDescent="0.2">
      <c r="A2" s="39" t="s">
        <v>139</v>
      </c>
      <c r="B2" s="39" t="s">
        <v>140</v>
      </c>
      <c r="C2" s="36">
        <v>2099</v>
      </c>
    </row>
    <row r="3" spans="1:3" s="44" customFormat="1" x14ac:dyDescent="0.2">
      <c r="A3" s="42" t="s">
        <v>117</v>
      </c>
      <c r="B3" s="42"/>
      <c r="C3" s="43">
        <f>SUBTOTAL(109,Tabla2[Imp.cob.aplic.])</f>
        <v>2099</v>
      </c>
    </row>
    <row r="4" spans="1:3" x14ac:dyDescent="0.2">
      <c r="C4" s="3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3887-CCEC-49D8-B966-6C0EF556FFC5}">
  <dimension ref="A1:C4"/>
  <sheetViews>
    <sheetView workbookViewId="0">
      <selection activeCell="B23" sqref="B23"/>
    </sheetView>
  </sheetViews>
  <sheetFormatPr baseColWidth="10" defaultColWidth="13.140625" defaultRowHeight="12.75" x14ac:dyDescent="0.2"/>
  <cols>
    <col min="1" max="1" width="16.28515625" customWidth="1"/>
    <col min="2" max="2" width="118.28515625" customWidth="1"/>
    <col min="3" max="3" width="14.85546875" customWidth="1"/>
  </cols>
  <sheetData>
    <row r="1" spans="1:3" x14ac:dyDescent="0.2">
      <c r="A1" s="38" t="s">
        <v>114</v>
      </c>
      <c r="B1" s="38" t="s">
        <v>115</v>
      </c>
      <c r="C1" s="38" t="s">
        <v>116</v>
      </c>
    </row>
    <row r="2" spans="1:3" x14ac:dyDescent="0.2">
      <c r="A2" s="39" t="s">
        <v>139</v>
      </c>
      <c r="B2" s="39" t="s">
        <v>156</v>
      </c>
      <c r="C2" s="36">
        <v>20000</v>
      </c>
    </row>
    <row r="3" spans="1:3" s="44" customFormat="1" x14ac:dyDescent="0.2">
      <c r="A3" s="42" t="s">
        <v>117</v>
      </c>
      <c r="B3" s="42"/>
      <c r="C3" s="43">
        <f>SUBTOTAL(109,Tabla3[Imp.cob.aplic.])</f>
        <v>20000</v>
      </c>
    </row>
    <row r="4" spans="1:3" x14ac:dyDescent="0.2">
      <c r="C4" s="3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8CD4-2A0F-41AA-821D-E53B85868328}">
  <dimension ref="B2:D7"/>
  <sheetViews>
    <sheetView workbookViewId="0">
      <selection activeCell="F13" sqref="F13"/>
    </sheetView>
  </sheetViews>
  <sheetFormatPr baseColWidth="10" defaultRowHeight="12.75" x14ac:dyDescent="0.2"/>
  <cols>
    <col min="3" max="3" width="42" customWidth="1"/>
  </cols>
  <sheetData>
    <row r="2" spans="2:4" x14ac:dyDescent="0.2">
      <c r="B2" t="s">
        <v>194</v>
      </c>
    </row>
    <row r="7" spans="2:4" x14ac:dyDescent="0.2">
      <c r="C7" s="40" t="s">
        <v>195</v>
      </c>
      <c r="D7" s="41">
        <f>+Tabla3[[#Totals],[Imp.cob.aplic.]]+Tabla2[[#Totals],[Imp.cob.aplic.]]</f>
        <v>22099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68C8-186D-4421-98B2-CDE5A640EA24}">
  <dimension ref="A1:C5"/>
  <sheetViews>
    <sheetView workbookViewId="0">
      <selection activeCell="B28" sqref="B28"/>
    </sheetView>
  </sheetViews>
  <sheetFormatPr baseColWidth="10" defaultColWidth="13.140625" defaultRowHeight="12.75" x14ac:dyDescent="0.2"/>
  <cols>
    <col min="1" max="1" width="16.28515625" customWidth="1"/>
    <col min="2" max="2" width="118.28515625" customWidth="1"/>
    <col min="3" max="3" width="14.85546875" customWidth="1"/>
  </cols>
  <sheetData>
    <row r="1" spans="1:3" x14ac:dyDescent="0.2">
      <c r="A1" s="38" t="s">
        <v>114</v>
      </c>
      <c r="B1" s="38" t="s">
        <v>115</v>
      </c>
      <c r="C1" s="38" t="s">
        <v>116</v>
      </c>
    </row>
    <row r="2" spans="1:3" x14ac:dyDescent="0.2">
      <c r="A2" s="39" t="s">
        <v>165</v>
      </c>
      <c r="B2" s="39" t="s">
        <v>166</v>
      </c>
      <c r="C2" s="36">
        <v>198</v>
      </c>
    </row>
    <row r="3" spans="1:3" s="44" customFormat="1" x14ac:dyDescent="0.2">
      <c r="A3" s="42" t="s">
        <v>165</v>
      </c>
      <c r="B3" s="42" t="s">
        <v>167</v>
      </c>
      <c r="C3" s="46">
        <v>-17</v>
      </c>
    </row>
    <row r="4" spans="1:3" x14ac:dyDescent="0.2">
      <c r="A4" s="37" t="s">
        <v>168</v>
      </c>
      <c r="B4" s="37" t="s">
        <v>169</v>
      </c>
      <c r="C4" s="45">
        <v>25.5</v>
      </c>
    </row>
    <row r="5" spans="1:3" x14ac:dyDescent="0.2">
      <c r="A5" s="42" t="s">
        <v>117</v>
      </c>
      <c r="B5" s="42"/>
      <c r="C5" s="43">
        <f>SUBTOTAL(109,Tabla25[Imp.cob.aplic.])</f>
        <v>206.5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02070-AB92-4CB1-B9AB-6A4E279EF6D5}">
  <dimension ref="A1:C3"/>
  <sheetViews>
    <sheetView workbookViewId="0">
      <selection activeCell="D28" sqref="D28"/>
    </sheetView>
  </sheetViews>
  <sheetFormatPr baseColWidth="10" defaultColWidth="13.140625" defaultRowHeight="12.75" x14ac:dyDescent="0.2"/>
  <cols>
    <col min="1" max="1" width="16.28515625" customWidth="1"/>
    <col min="2" max="2" width="118.28515625" customWidth="1"/>
    <col min="3" max="3" width="14.85546875" customWidth="1"/>
  </cols>
  <sheetData>
    <row r="1" spans="1:3" x14ac:dyDescent="0.2">
      <c r="A1" s="38" t="s">
        <v>114</v>
      </c>
      <c r="B1" s="38" t="s">
        <v>115</v>
      </c>
      <c r="C1" s="38" t="s">
        <v>116</v>
      </c>
    </row>
    <row r="2" spans="1:3" x14ac:dyDescent="0.2">
      <c r="A2" s="39" t="s">
        <v>165</v>
      </c>
      <c r="B2" s="39" t="s">
        <v>170</v>
      </c>
      <c r="C2" s="36">
        <v>-34</v>
      </c>
    </row>
    <row r="3" spans="1:3" s="44" customFormat="1" x14ac:dyDescent="0.2">
      <c r="A3" s="42" t="s">
        <v>117</v>
      </c>
      <c r="B3" s="42"/>
      <c r="C3" s="43">
        <f>SUBTOTAL(109,Tabla256[Imp.cob.aplic.])</f>
        <v>-34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A709-0218-4C28-AA25-6427FF442465}">
  <dimension ref="B2:C5"/>
  <sheetViews>
    <sheetView tabSelected="1" workbookViewId="0">
      <selection activeCell="C12" sqref="C12"/>
    </sheetView>
  </sheetViews>
  <sheetFormatPr baseColWidth="10" defaultRowHeight="12.75" x14ac:dyDescent="0.2"/>
  <cols>
    <col min="2" max="2" width="40.28515625" customWidth="1"/>
  </cols>
  <sheetData>
    <row r="2" spans="2:3" x14ac:dyDescent="0.2">
      <c r="B2" t="s">
        <v>196</v>
      </c>
    </row>
    <row r="5" spans="2:3" x14ac:dyDescent="0.2">
      <c r="B5" s="47" t="s">
        <v>197</v>
      </c>
      <c r="C5" s="47">
        <f>Tabla25[[#Totals],[Imp.cob.aplic.]]+Tabla256[[#Totals],[Imp.cob.aplic.]]</f>
        <v>172.5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dcterms:created xsi:type="dcterms:W3CDTF">2019-10-14T10:11:40Z</dcterms:created>
  <dcterms:modified xsi:type="dcterms:W3CDTF">2026-05-25T08:24:26Z</dcterms:modified>
</cp:coreProperties>
</file>