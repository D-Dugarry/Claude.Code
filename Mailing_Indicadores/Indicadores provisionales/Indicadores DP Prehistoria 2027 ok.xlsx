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B1F809F6-03C3-43FD-AD99-C4A2AA12C98A}" xr6:coauthVersionLast="47" xr6:coauthVersionMax="47" xr10:uidLastSave="{00000000-0000-0000-0000-000000000000}"/>
  <bookViews>
    <workbookView xWindow="-120" yWindow="-120" windowWidth="29040" windowHeight="15720" tabRatio="815" activeTab="1" xr2:uid="{00000000-000D-0000-FFFF-FFFF00000000}"/>
  </bookViews>
  <sheets>
    <sheet name="Tesis" sheetId="4" r:id="rId1"/>
    <sheet name="Sexenios" sheetId="5" r:id="rId2"/>
    <sheet name="Ingresos investigación 2023" sheetId="16" r:id="rId3"/>
    <sheet name="Ingresos investigación 2024" sheetId="18" r:id="rId4"/>
    <sheet name="Ingresos investigación 2025" sheetId="20" r:id="rId5"/>
    <sheet name="Ingresos formación 2023" sheetId="17" r:id="rId6"/>
    <sheet name="Ingresos formación 2024" sheetId="19" r:id="rId7"/>
    <sheet name="Ingresos formación 2025" sheetId="21" r:id="rId8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21" l="1"/>
  <c r="C22" i="21"/>
  <c r="C8" i="20"/>
  <c r="C21" i="19"/>
  <c r="C13" i="17"/>
  <c r="C3" i="18"/>
  <c r="C3" i="16"/>
  <c r="S22" i="5" l="1"/>
  <c r="S37" i="4" l="1"/>
</calcChain>
</file>

<file path=xl/sharedStrings.xml><?xml version="1.0" encoding="utf-8"?>
<sst xmlns="http://schemas.openxmlformats.org/spreadsheetml/2006/main" count="824" uniqueCount="288">
  <si>
    <t>Total</t>
  </si>
  <si>
    <t>30.50.2T.00.01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</si>
  <si>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</si>
  <si>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</si>
  <si>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</si>
  <si>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</si>
  <si>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</si>
  <si>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</si>
  <si>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</si>
  <si>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</si>
  <si>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</si>
  <si>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</si>
  <si>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</si>
  <si>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</si>
  <si>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</si>
  <si>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</si>
  <si>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</si>
  <si>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</si>
  <si>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</si>
  <si>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</si>
  <si>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</si>
  <si>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</si>
  <si>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</si>
  <si>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</si>
  <si>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</si>
  <si>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</si>
  <si>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80</t>
  </si>
  <si>
    <t>10.24</t>
  </si>
  <si>
    <t>U023 </t>
  </si>
  <si>
    <t>ADM. FACULTAD DE FILOSOFIA Y LETRAS </t>
  </si>
  <si>
    <t>DOCTORADO EN TRANSFERENCIAS INTERCULTURALES E HISTÓRICAS EN LA EUROPA MEDIE </t>
  </si>
  <si>
    <t>DOCTORADO EN FILOSOFÍA Y LETRAS </t>
  </si>
  <si>
    <t>B130 </t>
  </si>
  <si>
    <t>PREHISTORIA, ARQUEOLOGÍA, HIST. ANTIGUA, FILOL. GRIEGA Y FILOL. LATINA </t>
  </si>
  <si>
    <t>07210590K </t>
  </si>
  <si>
    <t>B130</t>
  </si>
  <si>
    <t>25120571V </t>
  </si>
  <si>
    <t>21474593E </t>
  </si>
  <si>
    <t>21431893X </t>
  </si>
  <si>
    <t>03078551R </t>
  </si>
  <si>
    <t>22131713D </t>
  </si>
  <si>
    <t>25145934B </t>
  </si>
  <si>
    <t>21657385X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</si>
  <si>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</si>
  <si>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</si>
  <si>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</si>
  <si>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</si>
  <si>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</si>
  <si>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</si>
  <si>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</si>
  <si>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</si>
  <si>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</si>
  <si>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</si>
  <si>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</si>
  <si>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</si>
  <si>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</si>
  <si>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</si>
  <si>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03078551R</t>
  </si>
  <si>
    <t>21492519P</t>
  </si>
  <si>
    <t>21452732B</t>
  </si>
  <si>
    <t>21672478S</t>
  </si>
  <si>
    <t>43255686T</t>
  </si>
  <si>
    <t>21657385X</t>
  </si>
  <si>
    <t>21431893X</t>
  </si>
  <si>
    <t>22131713D</t>
  </si>
  <si>
    <t>21454765C</t>
  </si>
  <si>
    <t>07210590K</t>
  </si>
  <si>
    <t>48569460S</t>
  </si>
  <si>
    <t>25145934B</t>
  </si>
  <si>
    <t>21474593E</t>
  </si>
  <si>
    <t>21437969Z</t>
  </si>
  <si>
    <t>52860484K</t>
  </si>
  <si>
    <t>25120571V</t>
  </si>
  <si>
    <t>30.50.2T.00.03</t>
  </si>
  <si>
    <t>Castillo Vizcaíno, Laura </t>
  </si>
  <si>
    <t>El espacio ibérico del sur de Albacete entre los siglos VI y II a.C.: Los oppida de La Peña (Peñas de San Pedro) y Saltigi/Chinchilla y sus territorios </t>
  </si>
  <si>
    <t>25/09/2020 </t>
  </si>
  <si>
    <t>Die Maculet, María del Rosario </t>
  </si>
  <si>
    <t>LA CORRESPONDENCIA ERUDITA DE ANTONIO VALCÁRCEL PIO DE SABOYA, CONDE DE LUMIARES (1748-1808) </t>
  </si>
  <si>
    <t>15/09/2020 </t>
  </si>
  <si>
    <t>52774862M</t>
  </si>
  <si>
    <t>Santana Onrubia, Rubén </t>
  </si>
  <si>
    <t>LAS TRANSFORMACIONES DEL MODELO TERRITORIAL EN EL LITORAL CENTRAL DE LA TARRACONENSE EN EL BAJO IMPERIO </t>
  </si>
  <si>
    <t>22/01/2021 </t>
  </si>
  <si>
    <t>48569460S </t>
  </si>
  <si>
    <t>Molina Burguera, Guillermo </t>
  </si>
  <si>
    <t>LA GESTIÓN DEL ENTORNO HISTÓRICO: CASOS DE ESTUDIO EN ESPAÑA, FRANCIA Y REINO UNIDO </t>
  </si>
  <si>
    <t>02/03/2021 </t>
  </si>
  <si>
    <t>Torres Gomariz, Octavio </t>
  </si>
  <si>
    <t>La sociedad postalayótica bajo la órbita púnica: viviendas y grupos domésticos en el archipiélago balear (VI-II a.C.) </t>
  </si>
  <si>
    <t>12/02/2021 </t>
  </si>
  <si>
    <t>52860484K </t>
  </si>
  <si>
    <t>Terzopoulou , Anastasia </t>
  </si>
  <si>
    <t>Los desastres de la guerra troyana sobre las heroínas de Eurípides y Séneca: Estudio comparativo </t>
  </si>
  <si>
    <t>09/06/2021 </t>
  </si>
  <si>
    <t>30.50.6P.00.19</t>
  </si>
  <si>
    <t>Cód. org. aplic.</t>
  </si>
  <si>
    <t>Descripción justificante</t>
  </si>
  <si>
    <t>Alba Luzón, Miriam </t>
  </si>
  <si>
    <t>Las comunidades de montaña de la edad de hierro en la cuenca del Taibilla </t>
  </si>
  <si>
    <t>19/07/2022 </t>
  </si>
  <si>
    <t>Rosell Garrido, Patricia </t>
  </si>
  <si>
    <t>Espacios cotidianos, espacios de trabajo. La mujer íbera de los territorios valencianos a través de las actividades textil y culinaria. </t>
  </si>
  <si>
    <t>14/09/2022 </t>
  </si>
  <si>
    <t>Basso Rial, Ricardo Emanuel </t>
  </si>
  <si>
    <t>La producción textil en el Sudeste y el Levante de la península ibérica durante la prehistoria reciente (3500-550 CAL BC) </t>
  </si>
  <si>
    <t>24/05/2022 </t>
  </si>
  <si>
    <t>Perdiguero Asensi, Pascual </t>
  </si>
  <si>
    <t>Producción y comercio en la esfera de influencia púnica. Relaciones y dinámicas productivas en la contestania ibérica. </t>
  </si>
  <si>
    <t>13/09/2022 </t>
  </si>
  <si>
    <t>Ruiz Molina, Liborio </t>
  </si>
  <si>
    <t>Yakka. Un castillo rural de Sarq al-Andalus durante el periodo almohade. Siglos XII-XIII.Yecla. Murcia </t>
  </si>
  <si>
    <t>11/04/2022 </t>
  </si>
  <si>
    <t>COD DEP</t>
  </si>
  <si>
    <t>43727316S</t>
  </si>
  <si>
    <t>Imp.cob.aplic.</t>
  </si>
  <si>
    <t>30.50.2T.00.04</t>
  </si>
  <si>
    <t>Las producciones cerámicas neolíticas durante VI/V milenio cal BC en el Levante peninsular. </t>
  </si>
  <si>
    <t>10/02/2023 </t>
  </si>
  <si>
    <t>21672478S </t>
  </si>
  <si>
    <t>El Tossal de Manises (Alicante): historia de la investigación y la etapa prerromana </t>
  </si>
  <si>
    <t>25/04/2023 </t>
  </si>
  <si>
    <t>31379115P </t>
  </si>
  <si>
    <t>Institucionalización, gestión y difusión del patrimonio arqueológico en la provincia de Alicante entre los siglos XIX y XX: la Comisión Provincial de Monumentos Histórico-Artísticos (1844-1964). </t>
  </si>
  <si>
    <t>30/06/2023 </t>
  </si>
  <si>
    <t>21452732B </t>
  </si>
  <si>
    <t>Complejización social y procesos de cambio en el I milenio a.n.e. Un análisis de la </t>
  </si>
  <si>
    <t>03/03/2023 </t>
  </si>
  <si>
    <t>Las pistas que nos dejaron: gestión del sílex y movilidad neandertal en la unidad estratigráfica VIII del abrigo de El Salt (Alcoi, Alacant) </t>
  </si>
  <si>
    <t>12/05/2023 </t>
  </si>
  <si>
    <t>Tradición y continuidad de las producciones cerámicas a mano entre el bronce final y el hierro antiguo: Peña Negra (Crevillent) y la Fonteta (Guardamar del Segura) </t>
  </si>
  <si>
    <t>19/12/2022 </t>
  </si>
  <si>
    <t>La Edad del Bronce en el corredor de Yecla (Murcia)- Caudete (Albacete): Datos para su estudio </t>
  </si>
  <si>
    <t>15/09/2023 </t>
  </si>
  <si>
    <t xml:space="preserve">Plan_9207 Curso_2022-23 Emitido_2022-23 - MÁSTER EN PATRIMONIO VIRTUAL </t>
  </si>
  <si>
    <t>S</t>
  </si>
  <si>
    <t xml:space="preserve">Plan_9357 Curso_2022-23 Emitido_2022-23 - ESPECIALISTA EN CREACIÓN DE ENTORNOS VIRTUALES APLICADOS AL PATRIMONIO </t>
  </si>
  <si>
    <t xml:space="preserve">Plan_9433 Curso_2023-24 Emitido_2023-24 - ESPECIALISTA EN CREACIÓN DE ENTORNOS VIRTUALES APLICADOS AL PATRIMONIO </t>
  </si>
  <si>
    <t xml:space="preserve">Plan_9356 Curso_2023-24 AñoCont_2023 - MÁSTER EN PATRIMONIO VIRTUAL </t>
  </si>
  <si>
    <t xml:space="preserve">Plan_9207 Curso_2023-24 Emitido_2023-24 - MÁSTER EN PATRIMONIO VIRTUAL </t>
  </si>
  <si>
    <t xml:space="preserve">Plan_9382 Curso_2023-24 Emitido_2023-24 - MÁSTER DE FORMACIÓN PERMANENTE EN PATRIMONIO VIRTUAL </t>
  </si>
  <si>
    <t xml:space="preserve">AD_Plan_9382 Curso_2023-24 Emitido_2023-24 - MÁSTER DE FORMACIÓN PERMANENTE EN PATRIMONIO VIRTUAL </t>
  </si>
  <si>
    <t xml:space="preserve">AD_Plan_9433 Curso_2023-24 Emitido_2023-24 - ESPECIALISTA EN CREACIÓN DE ENTORNOS VIRTUALES APLICADOS AL PATRIMONIO </t>
  </si>
  <si>
    <t xml:space="preserve">Anulación de derecho - Plan_9207 Curso_2023-24 Emitido_2023-24 - MÁSTER EN PATRIMONIO VIRTUAL </t>
  </si>
  <si>
    <t xml:space="preserve">Plan_9356 Curso_2022-23 Emitido_2022-23 - MÁSTER EN PATRIMONIO VIRTUAL </t>
  </si>
  <si>
    <t>30.50.6P.00.21</t>
  </si>
  <si>
    <t xml:space="preserve">ayudas JDC2022-048464-I, JDC2022-048464-I (Dot. Adicional), JDC2022-048845-I, JDC2022-048845-I, Dot. Adicional), JDC2022-049970-I, JDC2022-049970-I (Dot. Adicional) </t>
  </si>
  <si>
    <t>U023</t>
  </si>
  <si>
    <t>ADM. FACULTAD DE FILOSOFIA Y LETRAS</t>
  </si>
  <si>
    <t>DOCTORADO EN FILOSOFÍA Y LETRAS</t>
  </si>
  <si>
    <t>Moreno Narganes, Jose Maria</t>
  </si>
  <si>
    <t>TRABAJANDO EN CASA: ACTIVIDADES DE HILADO Y TEJIDO EN EL ESPACIO DOMÉSTICO DE AL-ANDALUS (SS. IX-XIII)</t>
  </si>
  <si>
    <t>23/07/2024</t>
  </si>
  <si>
    <t>Codirector de tesis</t>
  </si>
  <si>
    <t>PREHISTORIA, ARQUEOLOGÍA, HIST. ANTIGUA, FILOL. GRIEGA Y FILOL. LATINA</t>
  </si>
  <si>
    <t>Cases Mora, Noelia</t>
  </si>
  <si>
    <t>El culto a divinidades con epíteto Augustus / Augusta en la Hispania romana</t>
  </si>
  <si>
    <t>17/11/2023</t>
  </si>
  <si>
    <t>Director de tesis</t>
  </si>
  <si>
    <t>Martínez Boix, Jose Luis</t>
  </si>
  <si>
    <t>ESTUDIO ARQUEOLÓGICO E ICONOGRÁFICO DE LA CERÁMICA PINTADA IBERORROMANA: EL CASO DE LA CERÁMICA ILICITANA</t>
  </si>
  <si>
    <t>28/02/2024</t>
  </si>
  <si>
    <t>Bujalance Silva, Raquel</t>
  </si>
  <si>
    <t>Desarrollo del urbanismo islámico en el sureste peninsular. Análisis y comparativas. Fases, modelos y características urbanas</t>
  </si>
  <si>
    <t>06/09/2024</t>
  </si>
  <si>
    <t>ZZ</t>
  </si>
  <si>
    <t>SIN ASIGNAR</t>
  </si>
  <si>
    <t>San Quirico García, Raquel</t>
  </si>
  <si>
    <t>SOCIEDADES DE CASAS EN EL SURESTE PENINSULAR DURANTE LA EDAD DEL HIERRO IBÉRICA (ss. IX-III a.n.e.)</t>
  </si>
  <si>
    <t>04/09/2024</t>
  </si>
  <si>
    <t>DOCTORADO EN TRANSFERENCIAS INTERCULTURALES E HISTÓRICAS EN LA EUROPA MEDIE</t>
  </si>
  <si>
    <t>Nicolás Flores, Fernando</t>
  </si>
  <si>
    <t>EL TEATRO DE TEMÁTICA GRECOLATINA Y SU APLICACIÓN DIDÁCTICA EN EL ÁMBITO LAS HUMANIDADES. ESTUDIO DE CASO PARTICULAR</t>
  </si>
  <si>
    <t>17/07/2024</t>
  </si>
  <si>
    <t>Martínez Amorós, Silvia</t>
  </si>
  <si>
    <t>OLCINA DOMÉNECH, MANUEL HIPOLITO</t>
  </si>
  <si>
    <t>Olcina Lagos, Santiago</t>
  </si>
  <si>
    <t>Carbonell Pastor, Sonia</t>
  </si>
  <si>
    <t>Mayor Benadero, Alejandro</t>
  </si>
  <si>
    <t>Vinader Antón, Irene</t>
  </si>
  <si>
    <t>Cabezas Romero, Rubén</t>
  </si>
  <si>
    <t xml:space="preserve">U023 </t>
  </si>
  <si>
    <t>Sánchez Martínez, Patricia</t>
  </si>
  <si>
    <t>Domiciano e Hispania. El proyecto domicianeo de construcción pública en Hispania</t>
  </si>
  <si>
    <t>25/09/2023</t>
  </si>
  <si>
    <t xml:space="preserve">03078551R </t>
  </si>
  <si>
    <t>Centeno Díaz, José Luis</t>
  </si>
  <si>
    <t>Estudio iconográfico e iconológico de la epigrafía funeraria y votiva civil en la península</t>
  </si>
  <si>
    <t>26/09/2023</t>
  </si>
  <si>
    <t>50</t>
  </si>
  <si>
    <t>48364694H</t>
  </si>
  <si>
    <t>Plan_GC36 Curso_2022-23 ___ CURSO DE ESPECIALIZACIÓN EN ILUSTRACIÓN HISTÓRICO-ARQUEOLÓGICA.</t>
  </si>
  <si>
    <t>Org. aplic.</t>
  </si>
  <si>
    <t>Imp. aplic.</t>
  </si>
  <si>
    <t>DEVOLUCIÓN DE INGRESOS_CARTA DE PAGO_ REFERENCIA: PID2019-106169GB-I00, ANUALIDAD: 2020</t>
  </si>
  <si>
    <t xml:space="preserve">ANULACIÓN_ Plan GC36 curso 2021-22, ILUSTRACIÓN HISTÓRICA Y ARQUEOLÓGICA -   </t>
  </si>
  <si>
    <t xml:space="preserve">LIQ-TitProp_9433-2 Curso_2023-24 AñoCont_2023 - ESPECIALISTA EN CREACIÓN DE ENTORNOS VIRTUALES APLICADOS AL PATRIMONIO </t>
  </si>
  <si>
    <t xml:space="preserve">LIQ-TitProp_9207-N Curso_2023-24_AñoCont_2024 TipoRec_Remesa - MÁSTER EN PATRIMONIO VIRTUAL (2)  </t>
  </si>
  <si>
    <t xml:space="preserve">LIQ-TitProp_9382-2 Curso_2023-24 AñoCont_2023 - MÁSTER DE FORMACIÓN PERMANENTE EN PATRIMONIO VIRTUAL </t>
  </si>
  <si>
    <t>DEVOLUCIÓN DE TASAS NÓMINAS_REMESA Nº 2024DTR070585_2024EXPADM0262/RDT INVERSA 2024EXPADM0262</t>
  </si>
  <si>
    <t xml:space="preserve">LIQ-TitProp_9433-3 Curso_2023-24 AñoCont_2023 - ESPECIALISTA EN CREACIÓN DE ENTORNOS VIRTUALES APLICADOS AL PATRIMONIO </t>
  </si>
  <si>
    <t>LIQ-TitProp_9207-N Curso_2023-24_AñoCont_2024 TipoRec_Remesa - MÁSTER EN PATRIMONIO VIRTUAL (3)</t>
  </si>
  <si>
    <t xml:space="preserve">LIQ-TitProp_9382-3 Curso_2023-24 AñoCont_2023 - MÁSTER DE FORMACIÓN PERMANENTE EN PATRIMONIO VIRTUAL </t>
  </si>
  <si>
    <t xml:space="preserve">LIQ-TitProp_9382-4 Curso_2023-24 AñoCont_2023 - MÁSTER DE FORMACIÓN PERMANENTE EN PATRIMONIO VIRTUAL </t>
  </si>
  <si>
    <t xml:space="preserve">LIQ-TitProp_9382-1 Curso_2024-25 AñoCont_2024 - MÁSTER DE FORMACIÓN PERMANENTE EN PATRIMONIO VIRTUAL </t>
  </si>
  <si>
    <t xml:space="preserve">LIQ-TitProp_9433-1 Curso_2024-25 AñoCont_2024 - ESPECIALISTA EN CREACIÓN DE ENTORNOS VIRTUALES APLICADOS AL PATRIMONIO </t>
  </si>
  <si>
    <t xml:space="preserve">Liq.PPub_311,00__ADRmsa_2024__EFP Enseñanzas Formación Permanente - Master, Especialista y Experto.  LIQ-TitProp_9382- Curso_2024-25 AñoCont_2024 - MÁSTER DE FORMACIÓN PERMANENTE EN PATRIMONIO VIRTUAL </t>
  </si>
  <si>
    <t xml:space="preserve">AD_Liq.PPub_311,00__ADRmsa_2024__EFP Enseñanzas Formación Permanente - Master, Especialista y Experto.  LIQ-TitProp_9382- Curso_2024-25 AñoCont_2024 - MÁSTER DE FORMACIÓN PERMANENTE EN PATRIMONIO VIRTUAL </t>
  </si>
  <si>
    <t xml:space="preserve">Liq.PPub_311,00__ADRmsa_2024__EFP Enseñanzas Formación Permanente - Master, Especialista y Experto.  LIQ-TitProp_9433-Curso_2024-25 AñoCont_2024 - ESPECIALISTA EN CREACIÓN DE ENTORNOS VIRTUALES APLICADOS AL PATRIMONIO </t>
  </si>
  <si>
    <t xml:space="preserve">AD_Liq.PPub_311,00__ADRmsa_2024__EFP Enseñanzas Formación Permanente - Master, Especialista y Experto.  LIQ-TitProp_9433-Curso_2024-25 AñoCont_2024 - ESPECIALISTA EN CREACIÓN DE ENTORNOS VIRTUALES APLICADOS AL PATRIMONIO </t>
  </si>
  <si>
    <t xml:space="preserve">LIQ-TitProp_9356-N Curso_2024-25_AñoCont_2024 TipoRec_Emitido - MÁSTER EN PATRIMONIO VIRTUAL </t>
  </si>
  <si>
    <t xml:space="preserve">LIQ-EP_Plan_9382-N Curso_2024-25_AñoCont_2024 TipoRec_Emitido - MÁSTER DE FORMACIÓN PERMANENTE EN PATRIMONIO VIRTUAL _ (Cierre-24) </t>
  </si>
  <si>
    <t>Administración Facultad de Filosofía y Letras</t>
  </si>
  <si>
    <t>Agües Escolano, Irene</t>
  </si>
  <si>
    <t>LOS GRAFITIS COMO INFORMADORES HISTÓRICOS: EL SIGLO XVIII EN LA VILA JOIOSA A TRAVÉS DE LOS GRAFITIS PARIETALES</t>
  </si>
  <si>
    <t>08/04/2025</t>
  </si>
  <si>
    <t>Prehistoria, Arqueología, Historia Antigua, Filología Griega y Filología Latina</t>
  </si>
  <si>
    <t>Del Mastro Ochoa, Marta</t>
  </si>
  <si>
    <t>Mapear el mar: el análisis espacial de los espacios marinos del levante peninsular a través de las fuentes históricas en período andalusí</t>
  </si>
  <si>
    <t>15/04/2025</t>
  </si>
  <si>
    <t>Pérez Prefasi, Alejandro Jesús</t>
  </si>
  <si>
    <t>La evolución de las anclas en la navegación desde la prehistoria hasta el s. XVIII d.C.: La bahía del Portitxol (Xàbia. Alicante) como caso de estudio</t>
  </si>
  <si>
    <t>17/02/2025</t>
  </si>
  <si>
    <t>Maciá Ortuño, Marina</t>
  </si>
  <si>
    <t>Edición, traducción y comentario de las obras completas de Jaume Gil o Iacobus Egidii</t>
  </si>
  <si>
    <t>24/01/2025</t>
  </si>
  <si>
    <t>Anton Espí, Neus</t>
  </si>
  <si>
    <t>Arqueologia de la infància. Estudi de la infància ibera a través de les restes arqueològiques dels jaciments de la península Ibèrica.</t>
  </si>
  <si>
    <t>04/02/2025</t>
  </si>
  <si>
    <t>Famari , Valentina</t>
  </si>
  <si>
    <t>La ceramica ispano-moresca nei territori della regione del Veneto (Italia)</t>
  </si>
  <si>
    <t>03/02/2025</t>
  </si>
  <si>
    <t>2020</t>
  </si>
  <si>
    <t>2021</t>
  </si>
  <si>
    <t>2022</t>
  </si>
  <si>
    <t>2023</t>
  </si>
  <si>
    <t>2024</t>
  </si>
  <si>
    <t>2025</t>
  </si>
  <si>
    <t>Abascal Palazón, Juan Manuel</t>
  </si>
  <si>
    <t>Lorrio Alvarado, Alberto José</t>
  </si>
  <si>
    <t>Gutiérrez Lloret, Sonia</t>
  </si>
  <si>
    <t>Olivares Pedreño, Juan Carlos</t>
  </si>
  <si>
    <t>Doménech Belda, Carolina</t>
  </si>
  <si>
    <t>López Martínez, María Paz</t>
  </si>
  <si>
    <t>Molina Vidal, Jaime</t>
  </si>
  <si>
    <t>Grau Mira, Ignacio</t>
  </si>
  <si>
    <t>García Atiénzar, Gabriel</t>
  </si>
  <si>
    <t>Jover Maestre, Francisco Javier</t>
  </si>
  <si>
    <t>Sala Sellés, Feliciana</t>
  </si>
  <si>
    <t>Mesa Sanz, Juan Francisco</t>
  </si>
  <si>
    <t>29022960L</t>
  </si>
  <si>
    <t>Fernández López de Pablo, Javier</t>
  </si>
  <si>
    <t>González-Conde Puente, María Pilar</t>
  </si>
  <si>
    <t>Graells Fabregat, Raimon</t>
  </si>
  <si>
    <t>Barciela González, Virginia</t>
  </si>
  <si>
    <t>Mateo Corredor, Daniel</t>
  </si>
  <si>
    <t>52773425V</t>
  </si>
  <si>
    <t>Amorós Ruiz, Victoria Encarnación</t>
  </si>
  <si>
    <t>Sarabia Bautista, Julia</t>
  </si>
  <si>
    <t>Prados Martínez, Fernando</t>
  </si>
  <si>
    <t>30.50.6P.00.18</t>
  </si>
  <si>
    <t>DEVOLUCIÓN DE INGRESOS_CARTA DE PAGO_ REFERENCIA: RYC2018-024523-I, ANUALIDAD: 2024 FA</t>
  </si>
  <si>
    <t>30.50.6P.00.24</t>
  </si>
  <si>
    <t>AYUDAS JDC2023-052227-I, JDC2023-052227-I (Dot. Adicional), JDC2023-052419-I, JDC2023-052419-I , Dot. Adicional), JDC2023-052988-I, JDC2023-052988-I (Dot. Adicional)</t>
  </si>
  <si>
    <t>30.50.6P.00.25</t>
  </si>
  <si>
    <t>Total ingresos investigación 2023-25</t>
  </si>
  <si>
    <t xml:space="preserve">LIQ-TitProp_9382-N Curso_2024-25 AñoCont_2024 - MÁSTER DE FORMACIÓN PERMANENTE EN PATRIMONIO VIRTUAL (viene del ji-24-6802 ad-24-6803 ji(443)) </t>
  </si>
  <si>
    <t xml:space="preserve">LIQ-TitProp_9433-2 Curso_2024-25 AñoCont_2025 - ESPECIALISTA EN CREACIÓN DE ENTORNOS VIRTUALES APLICADOS AL PATRIMONIO (443 del ji-24-6813 ad-24-6839) </t>
  </si>
  <si>
    <t xml:space="preserve">LIQ-TitProp_9382-3 Curso_2024-25 AñoCont_2025 - MÁSTER DE FORMACIÓN PERMANENTE EN PATRIMONIO VIRTUAL (viene del ji-24(443)-6803) </t>
  </si>
  <si>
    <t xml:space="preserve">LIQ-TitProp_9382-N Curso_2024-25 AñoCont_2025 - MÁSTER DE FORMACIÓN PERMANENTE EN PATRIMONIO VIRTUAL (PARTE 25/25) </t>
  </si>
  <si>
    <t xml:space="preserve">LIQ-TitProp_9433-N Curso_2024-25 AñoCont_2025 - ESPECIALISTA EN CREACIÓN DE ENTORNOS VIRTUALES APLICADOS AL PATRIMONIO (443 del ji-24-6839 ad) </t>
  </si>
  <si>
    <t xml:space="preserve">LIQ-TitProp_9382-N Curso_2024-25 AñoCont_2025 - MÁSTER DE FORMACIÓN PERMANENTE EN PATRIMONIO VIRTUAL (parte 443 del ad-24-6803) </t>
  </si>
  <si>
    <t xml:space="preserve">LIQ-TitProp_9382-N Curso_2024-25 AñoCont_2025 - MÁSTER DE FORMACIÓN PERMANENTE EN PATRIMONIO VIRTUAL (PARTE 25) </t>
  </si>
  <si>
    <t>30.50.2T.00.06</t>
  </si>
  <si>
    <t xml:space="preserve">LIQ-TitProp_GM41-N Curso_2024-25 AñoCont_2025 - MÉTODOS DE CAPTURA 3D EN PATRIMONIO: FOTOGRAMETRÍA DIGITAL </t>
  </si>
  <si>
    <t>30.50.2T.00.05</t>
  </si>
  <si>
    <t>CÓD: GM41. MICROCREDENCIAL. MÉTODOS DE CAPTURA 3D EN PATRIMONIO: FOTOGRAMETRÍA DIGITAL</t>
  </si>
  <si>
    <t>AD_PLAN 9207 CURSO 2021-22_MÁSTER EN PATRIMONIO CULTURAL. 30.50.2T.00.03</t>
  </si>
  <si>
    <t xml:space="preserve">AD_ Plan 9207 curso 2021-22, MÁSTER EN PATRIMONIO VIRTUAL. COMPLEMENTARIO DEL JI 2021/6190 </t>
  </si>
  <si>
    <t xml:space="preserve">AD_Plan 9207 curso 2021-22, MÁSTER EN PATRIMONIO VIRTUAL. COMPLEMENTARIO DEL JI 2021/6190 </t>
  </si>
  <si>
    <t>10.91.2T.01.75</t>
  </si>
  <si>
    <t xml:space="preserve">LIQ-TitProp_9382-1 Curso_2025-26 AñoCont_2025 - MÁSTER DE FORMACIÓN PERMANENTE EN PATRIMONIO VIRTUAL (QUEDAN 36.97 POR REDISTRIBUIR) </t>
  </si>
  <si>
    <t xml:space="preserve">LIQ-TitProp_9433-1 Curso_2025-26 AñoCont_2025 - ESPECIALISTA EN CREACIÓN DE ENTORNOS VIRTUALES APLICADOS AL PATRIMONIO </t>
  </si>
  <si>
    <t>LIQ-TitProp_9433-N Curso_2025-26 AñoCont_2025 - ESPECIALISTA EN CREACIÓN DE ENTORNOS VIRTUALES APLICADOS AL PATRIMONIO (CIERRE 25 APLAZADO)</t>
  </si>
  <si>
    <t xml:space="preserve">LIQ-TitProp_9382-2 Curso_2025-26 AñoCont_2025 - MÁSTER DE FORMACIÓN PERMANENTE EN PATRIMONIO VIRTUAL (CIERRE 25 EMITIDO 25 COBRADO 25) </t>
  </si>
  <si>
    <t xml:space="preserve">LIQ-TitProp_9382-N Curso_2025-26 AñoCont_2025 - MÁSTER DE FORMACIÓN PERMANENTE EN PATRIMONIO VIRTUAL (CIERRE-25 APLAZADO 443) </t>
  </si>
  <si>
    <t>LIQ-TitProp_9356-N Curso_2024-25 AñoCont_2025 - MÁSTER EN PATRIMONIO VIRTUAL _ (Cierre-25) EMITIDO-25 NO-COBRADO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</si>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</sst>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3" fillId="0" borderId="0" applyFont="0" applyFill="0" applyBorder="0" applyAlignment="0" applyProtection="0"/>
  </cellStyleXfs>
  <cellXfs count="89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2" xfId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0" borderId="1" xfId="1" applyBorder="1"/>
    <xf numFmtId="0" fontId="2" fillId="4" borderId="3" xfId="1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left"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3" fontId="0" fillId="8" borderId="8" xfId="6" applyNumberFormat="1" applyFont="1" applyFill="1" applyBorder="1"/>
    <xf numFmtId="0" fontId="2" fillId="0" borderId="1" xfId="0" applyFont="1" applyBorder="1"/>
    <xf numFmtId="0" fontId="9" fillId="8" borderId="7" xfId="0" applyFont="1" applyFill="1" applyBorder="1"/>
    <xf numFmtId="0" fontId="9" fillId="8" borderId="8" xfId="0" applyFont="1" applyFill="1" applyBorder="1"/>
    <xf numFmtId="43" fontId="6" fillId="8" borderId="8" xfId="6" applyNumberFormat="1" applyFont="1" applyFill="1" applyBorder="1"/>
    <xf numFmtId="0" fontId="9" fillId="0" borderId="7" xfId="0" applyFont="1" applyBorder="1"/>
    <xf numFmtId="0" fontId="9" fillId="0" borderId="8" xfId="0" applyFont="1" applyBorder="1"/>
    <xf numFmtId="43" fontId="6" fillId="0" borderId="8" xfId="6" applyNumberFormat="1" applyFont="1" applyBorder="1"/>
    <xf numFmtId="43" fontId="0" fillId="0" borderId="0" xfId="0" applyNumberFormat="1"/>
    <xf numFmtId="0" fontId="0" fillId="9" borderId="0" xfId="0" applyFill="1"/>
    <xf numFmtId="0" fontId="0" fillId="9" borderId="0" xfId="0" applyFill="1" applyAlignment="1">
      <alignment horizontal="left"/>
    </xf>
    <xf numFmtId="0" fontId="12" fillId="9" borderId="0" xfId="0" applyFont="1" applyFill="1"/>
    <xf numFmtId="0" fontId="3" fillId="9" borderId="0" xfId="1" applyFont="1" applyFill="1"/>
    <xf numFmtId="0" fontId="3" fillId="9" borderId="0" xfId="1" applyFont="1" applyFill="1" applyAlignment="1">
      <alignment horizontal="right"/>
    </xf>
    <xf numFmtId="165" fontId="3" fillId="9" borderId="0" xfId="1" applyNumberFormat="1" applyFont="1" applyFill="1"/>
    <xf numFmtId="0" fontId="6" fillId="0" borderId="0" xfId="0" applyFont="1" applyBorder="1"/>
    <xf numFmtId="43" fontId="6" fillId="0" borderId="0" xfId="6" applyNumberFormat="1" applyFont="1" applyBorder="1"/>
    <xf numFmtId="0" fontId="15" fillId="0" borderId="0" xfId="0" applyFont="1"/>
    <xf numFmtId="0" fontId="14" fillId="7" borderId="9" xfId="0" applyFont="1" applyFill="1" applyBorder="1"/>
    <xf numFmtId="43" fontId="0" fillId="8" borderId="10" xfId="6" applyNumberFormat="1" applyFont="1" applyFill="1" applyBorder="1"/>
    <xf numFmtId="0" fontId="9" fillId="8" borderId="10" xfId="0" applyFont="1" applyFill="1" applyBorder="1"/>
    <xf numFmtId="0" fontId="9" fillId="10" borderId="10" xfId="0" applyFont="1" applyFill="1" applyBorder="1"/>
    <xf numFmtId="43" fontId="13" fillId="10" borderId="10" xfId="0" applyNumberFormat="1" applyFont="1" applyFill="1" applyBorder="1"/>
    <xf numFmtId="0" fontId="0" fillId="11" borderId="0" xfId="0" applyFill="1"/>
    <xf numFmtId="43" fontId="6" fillId="8" borderId="10" xfId="6" applyNumberFormat="1" applyFont="1" applyFill="1" applyBorder="1"/>
    <xf numFmtId="0" fontId="0" fillId="8" borderId="8" xfId="0" applyFill="1" applyBorder="1"/>
    <xf numFmtId="0" fontId="11" fillId="7" borderId="9" xfId="0" applyFont="1" applyFill="1" applyBorder="1"/>
    <xf numFmtId="43" fontId="11" fillId="7" borderId="9" xfId="6" applyNumberFormat="1" applyFont="1" applyFill="1" applyBorder="1"/>
    <xf numFmtId="0" fontId="0" fillId="8" borderId="10" xfId="0" applyFill="1" applyBorder="1"/>
    <xf numFmtId="0" fontId="0" fillId="10" borderId="10" xfId="0" applyFill="1" applyBorder="1"/>
    <xf numFmtId="43" fontId="6" fillId="10" borderId="10" xfId="0" applyNumberFormat="1" applyFont="1" applyFill="1" applyBorder="1"/>
    <xf numFmtId="0" fontId="14" fillId="7" borderId="11" xfId="0" applyFont="1" applyFill="1" applyBorder="1"/>
    <xf numFmtId="0" fontId="0" fillId="0" borderId="8" xfId="0" applyBorder="1"/>
    <xf numFmtId="43" fontId="0" fillId="0" borderId="8" xfId="6" applyNumberFormat="1" applyFont="1" applyBorder="1"/>
    <xf numFmtId="0" fontId="16" fillId="0" borderId="1" xfId="0" applyFont="1" applyBorder="1"/>
    <xf numFmtId="43" fontId="16" fillId="0" borderId="1" xfId="0" applyNumberFormat="1" applyFont="1" applyBorder="1"/>
    <xf numFmtId="0" fontId="12" fillId="0" borderId="1" xfId="0" applyFont="1" applyBorder="1"/>
    <xf numFmtId="43" fontId="12" fillId="0" borderId="1" xfId="0" applyNumberFormat="1" applyFont="1" applyBorder="1"/>
    <xf numFmtId="0" fontId="17" fillId="12" borderId="12" xfId="0" applyFont="1" applyFill="1" applyBorder="1"/>
    <xf numFmtId="0" fontId="17" fillId="12" borderId="13" xfId="0" applyFont="1" applyFill="1" applyBorder="1"/>
    <xf numFmtId="0" fontId="18" fillId="13" borderId="12" xfId="0" applyFont="1" applyFill="1" applyBorder="1"/>
    <xf numFmtId="0" fontId="18" fillId="13" borderId="13" xfId="0" applyFont="1" applyFill="1" applyBorder="1"/>
    <xf numFmtId="164" fontId="18" fillId="13" borderId="13" xfId="6" applyFont="1" applyFill="1" applyBorder="1"/>
    <xf numFmtId="0" fontId="18" fillId="0" borderId="12" xfId="0" applyFont="1" applyBorder="1"/>
    <xf numFmtId="0" fontId="18" fillId="0" borderId="13" xfId="0" applyFont="1" applyBorder="1"/>
    <xf numFmtId="164" fontId="18" fillId="0" borderId="13" xfId="6" applyFont="1" applyBorder="1"/>
    <xf numFmtId="0" fontId="19" fillId="0" borderId="14" xfId="0" applyFont="1" applyBorder="1"/>
    <xf numFmtId="0" fontId="19" fillId="0" borderId="15" xfId="0" applyFont="1" applyBorder="1"/>
    <xf numFmtId="164" fontId="19" fillId="0" borderId="15" xfId="6" applyFont="1" applyBorder="1"/>
    <xf numFmtId="0" fontId="17" fillId="12" borderId="16" xfId="0" applyFont="1" applyFill="1" applyBorder="1"/>
    <xf numFmtId="164" fontId="17" fillId="12" borderId="16" xfId="6" applyFont="1" applyFill="1" applyBorder="1"/>
    <xf numFmtId="0" fontId="18" fillId="0" borderId="17" xfId="0" applyFont="1" applyBorder="1"/>
    <xf numFmtId="164" fontId="18" fillId="0" borderId="17" xfId="6" applyFont="1" applyBorder="1"/>
    <xf numFmtId="164" fontId="18" fillId="0" borderId="17" xfId="0" applyNumberFormat="1" applyFont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9" fillId="11" borderId="0" xfId="5" applyFont="1" applyFill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0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0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 patternType="solid">
          <fgColor theme="9" tint="0.79998168889431442"/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0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0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2FF20F-6BA5-4B77-BD0F-C37D133D8294}" name="Tabla2" displayName="Tabla2" ref="A1:C3" totalsRowCount="1" headerRowDxfId="44" totalsRowDxfId="41" headerRowBorderDxfId="43" tableBorderDxfId="42" totalsRowBorderDxfId="40">
  <autoFilter ref="A1:C2" xr:uid="{3A2FF20F-6BA5-4B77-BD0F-C37D133D8294}"/>
  <tableColumns count="3">
    <tableColumn id="1" xr3:uid="{5481D9A2-F21E-41C1-86F0-CDDC15F3FD35}" name="Cód. org. aplic." totalsRowLabel="Total" dataDxfId="39" totalsRowDxfId="38"/>
    <tableColumn id="2" xr3:uid="{103CD39F-A924-4D3E-88B2-9609E39B4D1B}" name="Descripción justificante" dataDxfId="37" totalsRowDxfId="36"/>
    <tableColumn id="3" xr3:uid="{5E17D9DF-92EA-419F-AD4B-B49326F5004C}" name="Imp.cob.aplic." totalsRowFunction="sum" dataDxfId="35" totalsRowDxfId="34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4CACD9-C8E8-46CA-8F9C-EE58B882F245}" name="Tabla3" displayName="Tabla3" ref="A1:C3" totalsRowCount="1" totalsRowDxfId="31" headerRowBorderDxfId="33" tableBorderDxfId="32" totalsRowBorderDxfId="30">
  <autoFilter ref="A1:C2" xr:uid="{544CACD9-C8E8-46CA-8F9C-EE58B882F245}"/>
  <tableColumns count="3">
    <tableColumn id="1" xr3:uid="{1F488AAD-A7D8-4759-B132-E7A43C4D5E6D}" name="Org. aplic." totalsRowLabel="Total" dataDxfId="29" totalsRowDxfId="28"/>
    <tableColumn id="2" xr3:uid="{F85FE4EC-8E97-4429-B4EB-1FD820193651}" name="Descripción justificante" dataDxfId="27" totalsRowDxfId="26"/>
    <tableColumn id="3" xr3:uid="{08D7BA84-510E-4D1E-91DA-865C03D66942}" name="Imp. aplic." totalsRowFunction="sum" dataDxfId="25" totalsRowDxfId="24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A7A1CA-EC5E-4BF5-89E1-679A49375460}" name="Tabla5" displayName="Tabla5" ref="A1:C13" totalsRowCount="1" headerRowDxfId="23" headerRowBorderDxfId="22" tableBorderDxfId="21">
  <autoFilter ref="A1:C12" xr:uid="{05A7A1CA-EC5E-4BF5-89E1-679A49375460}"/>
  <tableColumns count="3">
    <tableColumn id="1" xr3:uid="{85061DFB-8C98-43C0-9555-5DB8051DFD92}" name="Cód. org. aplic." totalsRowLabel="Total"/>
    <tableColumn id="2" xr3:uid="{5E454CFC-04F0-43FA-A590-F5342C3EB7B5}" name="Descripción justificante"/>
    <tableColumn id="3" xr3:uid="{06E8A3B7-7E7B-4B4D-84C1-710D2B713F79}" name="Imp.cob.aplic." totalsRowFunction="sum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45F707-AC31-43AA-A085-5F61123622F4}" name="Tabla6" displayName="Tabla6" ref="A1:C21" totalsRowCount="1" headerRowDxfId="20" totalsRowDxfId="17" headerRowBorderDxfId="19" tableBorderDxfId="18" totalsRowBorderDxfId="16">
  <autoFilter ref="A1:C20" xr:uid="{D345F707-AC31-43AA-A085-5F61123622F4}"/>
  <tableColumns count="3">
    <tableColumn id="1" xr3:uid="{D65AC276-00EC-4F7E-9FF2-100E4EBF48D6}" name="Org. aplic." totalsRowLabel="Total" dataDxfId="15" totalsRowDxfId="14"/>
    <tableColumn id="2" xr3:uid="{247C9BE9-CD9B-4D3F-808B-AF47C6EEE489}" name="Descripción justificante" dataDxfId="13" totalsRowDxfId="12"/>
    <tableColumn id="3" xr3:uid="{5408B6BC-0E4C-487C-A4FD-C6F7CF700460}" name="Imp. aplic." totalsRowFunction="sum" dataDxfId="11" totalsRowDxfId="10" dataCellStyle="Millares" totalsRowCellStyle="Millar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0A88F0-9ADC-4837-BAE2-9DD936E0C839}" name="Tabla1" displayName="Tabla1" ref="A1:C22" totalsRowCount="1" headerRowDxfId="9" headerRowBorderDxfId="8" tableBorderDxfId="7" totalsRowBorderDxfId="6">
  <autoFilter ref="A1:C21" xr:uid="{FD0A88F0-9ADC-4837-BAE2-9DD936E0C839}"/>
  <tableColumns count="3">
    <tableColumn id="1" xr3:uid="{FA50A371-65EC-4821-B935-6E0A2E4D7647}" name="Org. aplic." totalsRowLabel="Total" dataDxfId="5" totalsRowDxfId="4"/>
    <tableColumn id="2" xr3:uid="{8BC92DFF-62DD-463B-9E6F-DB4CA833E98F}" name="Descripción justificante" dataDxfId="3" totalsRowDxfId="2"/>
    <tableColumn id="3" xr3:uid="{354FA66A-B372-45B9-BBFA-AC0DC91C26D3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7"/>
  <sheetViews>
    <sheetView showGridLines="0" zoomScale="112" zoomScaleNormal="112" workbookViewId="0">
      <pane xSplit="1" ySplit="1" topLeftCell="D14" activePane="bottomRight" state="frozen"/>
      <selection pane="topRight" activeCell="B1" sqref="B1"/>
      <selection pane="bottomLeft" activeCell="A2" sqref="A2"/>
      <selection pane="bottomRight" activeCell="U43" sqref="U43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4.42578125" style="6" customWidth="1"/>
    <col min="14" max="14" width="4.85546875" style="6" customWidth="1"/>
    <col min="15" max="15" width="4.85546875" style="7" customWidth="1"/>
    <col min="16" max="16" width="4.85546875" style="6" customWidth="1"/>
    <col min="17" max="17" width="3.5703125" style="7" customWidth="1"/>
    <col min="18" max="18" width="3.5703125" style="6" customWidth="1"/>
    <col min="19" max="21" width="5.140625" style="6" customWidth="1"/>
    <col min="22" max="16384" width="10.28515625" style="6"/>
  </cols>
  <sheetData>
    <row r="1" spans="1:21" ht="45" x14ac:dyDescent="0.2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10</v>
      </c>
      <c r="J1" s="2" t="s">
        <v>11</v>
      </c>
      <c r="K1" s="1" t="s">
        <v>12</v>
      </c>
      <c r="L1" s="2" t="s">
        <v>13</v>
      </c>
      <c r="M1" s="3" t="s">
        <v>14</v>
      </c>
      <c r="N1" s="4" t="s">
        <v>15</v>
      </c>
      <c r="O1" s="5" t="s">
        <v>16</v>
      </c>
      <c r="P1" s="4" t="s">
        <v>17</v>
      </c>
      <c r="Q1" s="5" t="s">
        <v>18</v>
      </c>
      <c r="R1" s="4" t="s">
        <v>19</v>
      </c>
      <c r="S1" s="4" t="s">
        <v>20</v>
      </c>
      <c r="T1" s="4" t="s">
        <v>21</v>
      </c>
      <c r="U1" s="4" t="s">
        <v>22</v>
      </c>
    </row>
    <row r="2" spans="1:21" x14ac:dyDescent="0.2">
      <c r="A2" s="17" t="s">
        <v>28</v>
      </c>
      <c r="B2" s="17" t="s">
        <v>29</v>
      </c>
      <c r="C2" s="17" t="s">
        <v>31</v>
      </c>
      <c r="D2" s="17" t="s">
        <v>77</v>
      </c>
      <c r="E2" s="17" t="s">
        <v>78</v>
      </c>
      <c r="F2" s="17" t="s">
        <v>79</v>
      </c>
      <c r="G2" s="17" t="s">
        <v>39</v>
      </c>
      <c r="H2" s="17" t="s">
        <v>23</v>
      </c>
      <c r="I2" s="17" t="s">
        <v>32</v>
      </c>
      <c r="J2" s="17" t="s">
        <v>33</v>
      </c>
      <c r="K2" s="17">
        <v>0.5</v>
      </c>
      <c r="L2" s="17" t="s">
        <v>35</v>
      </c>
      <c r="M2" s="17">
        <v>2019</v>
      </c>
      <c r="N2" s="18" t="s">
        <v>24</v>
      </c>
      <c r="O2" s="17" t="s">
        <v>24</v>
      </c>
      <c r="P2" s="18" t="s">
        <v>24</v>
      </c>
      <c r="Q2" s="19" t="s">
        <v>24</v>
      </c>
      <c r="R2" s="20">
        <v>100</v>
      </c>
      <c r="S2" s="20">
        <v>0.5</v>
      </c>
      <c r="T2" s="20">
        <v>0</v>
      </c>
      <c r="U2" s="33">
        <v>0</v>
      </c>
    </row>
    <row r="3" spans="1:21" x14ac:dyDescent="0.2">
      <c r="A3" s="17" t="s">
        <v>28</v>
      </c>
      <c r="B3" s="17" t="s">
        <v>29</v>
      </c>
      <c r="C3" s="17" t="s">
        <v>31</v>
      </c>
      <c r="D3" s="17" t="s">
        <v>74</v>
      </c>
      <c r="E3" s="17" t="s">
        <v>75</v>
      </c>
      <c r="F3" s="17" t="s">
        <v>76</v>
      </c>
      <c r="G3" s="17" t="s">
        <v>34</v>
      </c>
      <c r="H3" s="17" t="s">
        <v>23</v>
      </c>
      <c r="I3" s="17" t="s">
        <v>32</v>
      </c>
      <c r="J3" s="17" t="s">
        <v>33</v>
      </c>
      <c r="K3" s="17">
        <v>0.5</v>
      </c>
      <c r="L3" s="17" t="s">
        <v>35</v>
      </c>
      <c r="M3" s="17">
        <v>2019</v>
      </c>
      <c r="N3" s="18" t="s">
        <v>27</v>
      </c>
      <c r="O3" s="17" t="s">
        <v>26</v>
      </c>
      <c r="P3" s="18" t="s">
        <v>24</v>
      </c>
      <c r="Q3" s="19" t="s">
        <v>24</v>
      </c>
      <c r="R3" s="20">
        <v>20</v>
      </c>
      <c r="S3" s="20">
        <v>0.1</v>
      </c>
      <c r="T3" s="20">
        <v>0.4</v>
      </c>
      <c r="U3" s="33">
        <v>0</v>
      </c>
    </row>
    <row r="4" spans="1:21" x14ac:dyDescent="0.2">
      <c r="A4" s="15" t="s">
        <v>28</v>
      </c>
      <c r="B4" s="15" t="s">
        <v>29</v>
      </c>
      <c r="C4" s="15" t="s">
        <v>31</v>
      </c>
      <c r="D4" s="15" t="s">
        <v>81</v>
      </c>
      <c r="E4" s="15" t="s">
        <v>82</v>
      </c>
      <c r="F4" s="15" t="s">
        <v>83</v>
      </c>
      <c r="G4" s="15" t="s">
        <v>84</v>
      </c>
      <c r="H4" s="15" t="s">
        <v>23</v>
      </c>
      <c r="I4" s="15" t="s">
        <v>32</v>
      </c>
      <c r="J4" s="15" t="s">
        <v>33</v>
      </c>
      <c r="K4" s="21">
        <v>0.5</v>
      </c>
      <c r="L4" s="22" t="s">
        <v>35</v>
      </c>
      <c r="M4" s="15">
        <v>2019</v>
      </c>
      <c r="N4" s="16" t="s">
        <v>27</v>
      </c>
      <c r="O4" s="15">
        <v>50</v>
      </c>
      <c r="P4" s="16" t="s">
        <v>24</v>
      </c>
      <c r="Q4" s="15">
        <v>0</v>
      </c>
      <c r="R4" s="15">
        <v>50</v>
      </c>
      <c r="S4" s="15">
        <v>0.25</v>
      </c>
      <c r="T4" s="15">
        <v>0.25</v>
      </c>
      <c r="U4" s="33">
        <v>0</v>
      </c>
    </row>
    <row r="5" spans="1:21" ht="12" thickBot="1" x14ac:dyDescent="0.25">
      <c r="A5" s="15" t="s">
        <v>28</v>
      </c>
      <c r="B5" s="15" t="s">
        <v>29</v>
      </c>
      <c r="C5" s="15" t="s">
        <v>31</v>
      </c>
      <c r="D5" s="15" t="s">
        <v>81</v>
      </c>
      <c r="E5" s="15" t="s">
        <v>82</v>
      </c>
      <c r="F5" s="15" t="s">
        <v>83</v>
      </c>
      <c r="G5" s="15" t="s">
        <v>37</v>
      </c>
      <c r="H5" s="15" t="s">
        <v>23</v>
      </c>
      <c r="I5" s="15" t="s">
        <v>32</v>
      </c>
      <c r="J5" s="15" t="s">
        <v>33</v>
      </c>
      <c r="K5" s="21">
        <v>0.5</v>
      </c>
      <c r="L5" s="22" t="s">
        <v>35</v>
      </c>
      <c r="M5" s="15">
        <v>2019</v>
      </c>
      <c r="N5" s="16" t="s">
        <v>27</v>
      </c>
      <c r="O5" s="15">
        <v>80</v>
      </c>
      <c r="P5" s="16" t="s">
        <v>24</v>
      </c>
      <c r="Q5" s="15">
        <v>0</v>
      </c>
      <c r="R5" s="15">
        <v>20</v>
      </c>
      <c r="S5" s="15">
        <v>0.1</v>
      </c>
      <c r="T5" s="15">
        <v>0.4</v>
      </c>
      <c r="U5" s="33">
        <v>0</v>
      </c>
    </row>
    <row r="6" spans="1:21" ht="12" thickBot="1" x14ac:dyDescent="0.25">
      <c r="A6" s="23" t="s">
        <v>28</v>
      </c>
      <c r="B6" s="23" t="s">
        <v>29</v>
      </c>
      <c r="C6" s="23" t="s">
        <v>31</v>
      </c>
      <c r="D6" s="23" t="s">
        <v>85</v>
      </c>
      <c r="E6" s="23" t="s">
        <v>86</v>
      </c>
      <c r="F6" s="23" t="s">
        <v>87</v>
      </c>
      <c r="G6" s="24" t="s">
        <v>34</v>
      </c>
      <c r="H6" s="25" t="s">
        <v>23</v>
      </c>
      <c r="I6" s="25" t="s">
        <v>32</v>
      </c>
      <c r="J6" s="26" t="s">
        <v>33</v>
      </c>
      <c r="K6" s="21">
        <v>0.5</v>
      </c>
      <c r="L6" s="15" t="s">
        <v>35</v>
      </c>
      <c r="M6" s="15">
        <v>2020</v>
      </c>
      <c r="N6" s="16" t="s">
        <v>27</v>
      </c>
      <c r="O6" s="15">
        <v>80</v>
      </c>
      <c r="P6" s="16" t="s">
        <v>24</v>
      </c>
      <c r="Q6" s="15">
        <v>0</v>
      </c>
      <c r="R6" s="15">
        <v>20</v>
      </c>
      <c r="S6" s="15">
        <v>0.1</v>
      </c>
      <c r="T6" s="15">
        <v>0.4</v>
      </c>
      <c r="U6" s="33">
        <v>0</v>
      </c>
    </row>
    <row r="7" spans="1:21" ht="12" thickBot="1" x14ac:dyDescent="0.25">
      <c r="A7" s="23" t="s">
        <v>28</v>
      </c>
      <c r="B7" s="23" t="s">
        <v>29</v>
      </c>
      <c r="C7" s="23" t="s">
        <v>31</v>
      </c>
      <c r="D7" s="23" t="s">
        <v>88</v>
      </c>
      <c r="E7" s="23" t="s">
        <v>89</v>
      </c>
      <c r="F7" s="23" t="s">
        <v>90</v>
      </c>
      <c r="G7" s="24" t="s">
        <v>91</v>
      </c>
      <c r="H7" s="25" t="s">
        <v>25</v>
      </c>
      <c r="I7" s="25" t="s">
        <v>32</v>
      </c>
      <c r="J7" s="26" t="s">
        <v>33</v>
      </c>
      <c r="K7" s="21">
        <v>1</v>
      </c>
      <c r="L7" s="15" t="s">
        <v>35</v>
      </c>
      <c r="M7" s="15">
        <v>2020</v>
      </c>
      <c r="N7" s="16" t="s">
        <v>27</v>
      </c>
      <c r="O7" s="15">
        <v>80</v>
      </c>
      <c r="P7" s="16" t="s">
        <v>24</v>
      </c>
      <c r="Q7" s="15">
        <v>0</v>
      </c>
      <c r="R7" s="15">
        <v>20</v>
      </c>
      <c r="S7" s="15">
        <v>0.2</v>
      </c>
      <c r="T7" s="15">
        <v>0.8</v>
      </c>
      <c r="U7" s="33">
        <v>0</v>
      </c>
    </row>
    <row r="8" spans="1:21" ht="12" thickBot="1" x14ac:dyDescent="0.25">
      <c r="A8" s="23" t="s">
        <v>28</v>
      </c>
      <c r="B8" s="23" t="s">
        <v>29</v>
      </c>
      <c r="C8" s="23" t="s">
        <v>30</v>
      </c>
      <c r="D8" s="23" t="s">
        <v>92</v>
      </c>
      <c r="E8" s="23" t="s">
        <v>93</v>
      </c>
      <c r="F8" s="23" t="s">
        <v>94</v>
      </c>
      <c r="G8" s="24" t="s">
        <v>41</v>
      </c>
      <c r="H8" s="25" t="s">
        <v>25</v>
      </c>
      <c r="I8" s="25" t="s">
        <v>32</v>
      </c>
      <c r="J8" s="26" t="s">
        <v>33</v>
      </c>
      <c r="K8" s="21">
        <v>1</v>
      </c>
      <c r="L8" s="15" t="s">
        <v>35</v>
      </c>
      <c r="M8" s="15">
        <v>2020</v>
      </c>
      <c r="N8" s="16" t="s">
        <v>27</v>
      </c>
      <c r="O8" s="15">
        <v>80</v>
      </c>
      <c r="P8" s="16" t="s">
        <v>24</v>
      </c>
      <c r="Q8" s="15">
        <v>0</v>
      </c>
      <c r="R8" s="15">
        <v>20</v>
      </c>
      <c r="S8" s="15">
        <v>0.2</v>
      </c>
      <c r="T8" s="15">
        <v>0.8</v>
      </c>
      <c r="U8" s="33">
        <v>0</v>
      </c>
    </row>
    <row r="9" spans="1:21" x14ac:dyDescent="0.2">
      <c r="A9" s="15" t="s">
        <v>28</v>
      </c>
      <c r="B9" s="15" t="s">
        <v>29</v>
      </c>
      <c r="C9" s="15" t="s">
        <v>31</v>
      </c>
      <c r="D9" s="15" t="s">
        <v>98</v>
      </c>
      <c r="E9" s="15" t="s">
        <v>99</v>
      </c>
      <c r="F9" s="15" t="s">
        <v>100</v>
      </c>
      <c r="G9" s="15" t="s">
        <v>42</v>
      </c>
      <c r="H9" s="15" t="s">
        <v>23</v>
      </c>
      <c r="I9" s="15" t="s">
        <v>32</v>
      </c>
      <c r="J9" s="15" t="s">
        <v>33</v>
      </c>
      <c r="K9" s="21">
        <v>0.5</v>
      </c>
      <c r="L9" s="15" t="s">
        <v>35</v>
      </c>
      <c r="M9" s="15">
        <v>2021</v>
      </c>
      <c r="N9" s="16" t="s">
        <v>27</v>
      </c>
      <c r="O9" s="15">
        <v>80</v>
      </c>
      <c r="P9" s="16" t="s">
        <v>24</v>
      </c>
      <c r="Q9" s="15">
        <v>0</v>
      </c>
      <c r="R9" s="15">
        <v>20</v>
      </c>
      <c r="S9" s="15">
        <v>0.1</v>
      </c>
      <c r="T9" s="15">
        <v>0.4</v>
      </c>
      <c r="U9" s="33">
        <v>0</v>
      </c>
    </row>
    <row r="10" spans="1:21" x14ac:dyDescent="0.2">
      <c r="A10" s="15" t="s">
        <v>28</v>
      </c>
      <c r="B10" s="15" t="s">
        <v>29</v>
      </c>
      <c r="C10" s="15" t="s">
        <v>31</v>
      </c>
      <c r="D10" s="15" t="s">
        <v>101</v>
      </c>
      <c r="E10" s="15" t="s">
        <v>102</v>
      </c>
      <c r="F10" s="15" t="s">
        <v>103</v>
      </c>
      <c r="G10" s="15" t="s">
        <v>36</v>
      </c>
      <c r="H10" s="15" t="s">
        <v>23</v>
      </c>
      <c r="I10" s="15" t="s">
        <v>32</v>
      </c>
      <c r="J10" s="15" t="s">
        <v>33</v>
      </c>
      <c r="K10" s="21">
        <v>0.5</v>
      </c>
      <c r="L10" s="15" t="s">
        <v>35</v>
      </c>
      <c r="M10" s="15">
        <v>2021</v>
      </c>
      <c r="N10" s="16" t="s">
        <v>27</v>
      </c>
      <c r="O10" s="15">
        <v>80</v>
      </c>
      <c r="P10" s="16" t="s">
        <v>24</v>
      </c>
      <c r="Q10" s="15">
        <v>0</v>
      </c>
      <c r="R10" s="15">
        <v>20</v>
      </c>
      <c r="S10" s="15">
        <v>0.1</v>
      </c>
      <c r="T10" s="15">
        <v>0.4</v>
      </c>
      <c r="U10" s="33">
        <v>0</v>
      </c>
    </row>
    <row r="11" spans="1:21" x14ac:dyDescent="0.2">
      <c r="A11" s="15" t="s">
        <v>28</v>
      </c>
      <c r="B11" s="15" t="s">
        <v>29</v>
      </c>
      <c r="C11" s="15" t="s">
        <v>31</v>
      </c>
      <c r="D11" s="15" t="s">
        <v>104</v>
      </c>
      <c r="E11" s="15" t="s">
        <v>105</v>
      </c>
      <c r="F11" s="15" t="s">
        <v>106</v>
      </c>
      <c r="G11" s="15" t="s">
        <v>40</v>
      </c>
      <c r="H11" s="15" t="s">
        <v>25</v>
      </c>
      <c r="I11" s="15" t="s">
        <v>32</v>
      </c>
      <c r="J11" s="15" t="s">
        <v>33</v>
      </c>
      <c r="K11" s="21">
        <v>1</v>
      </c>
      <c r="L11" s="15" t="s">
        <v>35</v>
      </c>
      <c r="M11" s="15">
        <v>2021</v>
      </c>
      <c r="N11" s="16" t="s">
        <v>27</v>
      </c>
      <c r="O11" s="15">
        <v>80</v>
      </c>
      <c r="P11" s="16" t="s">
        <v>24</v>
      </c>
      <c r="Q11" s="15">
        <v>0</v>
      </c>
      <c r="R11" s="15">
        <v>20</v>
      </c>
      <c r="S11" s="15">
        <v>0.2</v>
      </c>
      <c r="T11" s="15">
        <v>0.8</v>
      </c>
      <c r="U11" s="33">
        <v>0</v>
      </c>
    </row>
    <row r="12" spans="1:21" x14ac:dyDescent="0.2">
      <c r="A12" s="15" t="s">
        <v>28</v>
      </c>
      <c r="B12" s="15" t="s">
        <v>29</v>
      </c>
      <c r="C12" s="15" t="s">
        <v>31</v>
      </c>
      <c r="D12" s="15" t="s">
        <v>107</v>
      </c>
      <c r="E12" s="15" t="s">
        <v>108</v>
      </c>
      <c r="F12" s="15" t="s">
        <v>109</v>
      </c>
      <c r="G12" s="15" t="s">
        <v>36</v>
      </c>
      <c r="H12" s="15" t="s">
        <v>25</v>
      </c>
      <c r="I12" s="15" t="s">
        <v>32</v>
      </c>
      <c r="J12" s="15" t="s">
        <v>33</v>
      </c>
      <c r="K12" s="21">
        <v>1</v>
      </c>
      <c r="L12" s="15" t="s">
        <v>35</v>
      </c>
      <c r="M12" s="15">
        <v>2021</v>
      </c>
      <c r="N12" s="16" t="s">
        <v>27</v>
      </c>
      <c r="O12" s="15">
        <v>80</v>
      </c>
      <c r="P12" s="16" t="s">
        <v>24</v>
      </c>
      <c r="Q12" s="15">
        <v>0</v>
      </c>
      <c r="R12" s="15">
        <v>20</v>
      </c>
      <c r="S12" s="15">
        <v>0.2</v>
      </c>
      <c r="T12" s="15">
        <v>0.8</v>
      </c>
      <c r="U12" s="33">
        <v>0</v>
      </c>
    </row>
    <row r="13" spans="1:21" x14ac:dyDescent="0.2">
      <c r="A13" s="15" t="s">
        <v>28</v>
      </c>
      <c r="B13" s="15" t="s">
        <v>29</v>
      </c>
      <c r="C13" s="15" t="s">
        <v>31</v>
      </c>
      <c r="D13" s="15" t="s">
        <v>110</v>
      </c>
      <c r="E13" s="15" t="s">
        <v>111</v>
      </c>
      <c r="F13" s="15" t="s">
        <v>112</v>
      </c>
      <c r="G13" s="15" t="s">
        <v>38</v>
      </c>
      <c r="H13" s="15" t="s">
        <v>25</v>
      </c>
      <c r="I13" s="15" t="s">
        <v>32</v>
      </c>
      <c r="J13" s="15" t="s">
        <v>33</v>
      </c>
      <c r="K13" s="21">
        <v>1</v>
      </c>
      <c r="L13" s="15" t="s">
        <v>35</v>
      </c>
      <c r="M13" s="15">
        <v>2021</v>
      </c>
      <c r="N13" s="16" t="s">
        <v>27</v>
      </c>
      <c r="O13" s="15">
        <v>80</v>
      </c>
      <c r="P13" s="16" t="s">
        <v>24</v>
      </c>
      <c r="Q13" s="15">
        <v>0</v>
      </c>
      <c r="R13" s="15">
        <v>20</v>
      </c>
      <c r="S13" s="15">
        <v>0.2</v>
      </c>
      <c r="T13" s="15">
        <v>0.8</v>
      </c>
      <c r="U13" s="33">
        <v>0</v>
      </c>
    </row>
    <row r="14" spans="1:21" x14ac:dyDescent="0.2">
      <c r="A14" s="15" t="s">
        <v>28</v>
      </c>
      <c r="B14" s="15" t="s">
        <v>29</v>
      </c>
      <c r="C14" s="15" t="s">
        <v>31</v>
      </c>
      <c r="D14" s="15" t="s">
        <v>174</v>
      </c>
      <c r="E14" s="15" t="s">
        <v>117</v>
      </c>
      <c r="F14" s="15" t="s">
        <v>118</v>
      </c>
      <c r="G14" s="15" t="s">
        <v>119</v>
      </c>
      <c r="H14" s="15" t="s">
        <v>25</v>
      </c>
      <c r="I14" s="15" t="s">
        <v>32</v>
      </c>
      <c r="J14" s="15" t="s">
        <v>33</v>
      </c>
      <c r="K14" s="33">
        <v>1</v>
      </c>
      <c r="L14" s="15" t="s">
        <v>35</v>
      </c>
      <c r="M14" s="33">
        <v>2022</v>
      </c>
      <c r="N14" s="33" t="s">
        <v>27</v>
      </c>
      <c r="O14" s="33">
        <v>80</v>
      </c>
      <c r="P14" s="33" t="s">
        <v>24</v>
      </c>
      <c r="Q14" s="33">
        <v>0</v>
      </c>
      <c r="R14" s="33">
        <v>20</v>
      </c>
      <c r="S14" s="33">
        <v>0.2</v>
      </c>
      <c r="T14" s="33">
        <v>0.8</v>
      </c>
      <c r="U14" s="33">
        <v>0</v>
      </c>
    </row>
    <row r="15" spans="1:21" x14ac:dyDescent="0.2">
      <c r="A15" s="15" t="s">
        <v>28</v>
      </c>
      <c r="B15" s="15" t="s">
        <v>29</v>
      </c>
      <c r="C15" s="15" t="s">
        <v>31</v>
      </c>
      <c r="D15" s="15" t="s">
        <v>175</v>
      </c>
      <c r="E15" s="15" t="s">
        <v>120</v>
      </c>
      <c r="F15" s="15" t="s">
        <v>121</v>
      </c>
      <c r="G15" s="15" t="s">
        <v>122</v>
      </c>
      <c r="H15" s="15" t="s">
        <v>25</v>
      </c>
      <c r="I15" s="15" t="s">
        <v>32</v>
      </c>
      <c r="J15" s="15" t="s">
        <v>33</v>
      </c>
      <c r="K15" s="33">
        <v>1</v>
      </c>
      <c r="L15" s="15" t="s">
        <v>35</v>
      </c>
      <c r="M15" s="33">
        <v>2022</v>
      </c>
      <c r="N15" s="33" t="s">
        <v>27</v>
      </c>
      <c r="O15" s="33">
        <v>80</v>
      </c>
      <c r="P15" s="33" t="s">
        <v>24</v>
      </c>
      <c r="Q15" s="33">
        <v>0</v>
      </c>
      <c r="R15" s="33">
        <v>20</v>
      </c>
      <c r="S15" s="33">
        <v>0.2</v>
      </c>
      <c r="T15" s="33">
        <v>0.8</v>
      </c>
      <c r="U15" s="33">
        <v>0</v>
      </c>
    </row>
    <row r="16" spans="1:21" x14ac:dyDescent="0.2">
      <c r="A16" s="15" t="s">
        <v>28</v>
      </c>
      <c r="B16" s="15" t="s">
        <v>29</v>
      </c>
      <c r="C16" s="15" t="s">
        <v>31</v>
      </c>
      <c r="D16" s="15" t="s">
        <v>176</v>
      </c>
      <c r="E16" s="15" t="s">
        <v>123</v>
      </c>
      <c r="F16" s="15" t="s">
        <v>124</v>
      </c>
      <c r="G16" s="15" t="s">
        <v>125</v>
      </c>
      <c r="H16" s="15" t="s">
        <v>23</v>
      </c>
      <c r="I16" s="15" t="s">
        <v>32</v>
      </c>
      <c r="J16" s="15" t="s">
        <v>33</v>
      </c>
      <c r="K16" s="33">
        <v>0.5</v>
      </c>
      <c r="L16" s="15" t="s">
        <v>35</v>
      </c>
      <c r="M16" s="33">
        <v>2022</v>
      </c>
      <c r="N16" s="33" t="s">
        <v>27</v>
      </c>
      <c r="O16" s="33">
        <v>80</v>
      </c>
      <c r="P16" s="33" t="s">
        <v>24</v>
      </c>
      <c r="Q16" s="33">
        <v>0</v>
      </c>
      <c r="R16" s="33">
        <v>20</v>
      </c>
      <c r="S16" s="33">
        <v>0.1</v>
      </c>
      <c r="T16" s="33">
        <v>0.4</v>
      </c>
      <c r="U16" s="33">
        <v>0</v>
      </c>
    </row>
    <row r="17" spans="1:22" x14ac:dyDescent="0.2">
      <c r="A17" s="15" t="s">
        <v>28</v>
      </c>
      <c r="B17" s="15" t="s">
        <v>29</v>
      </c>
      <c r="C17" s="15" t="s">
        <v>31</v>
      </c>
      <c r="D17" s="15" t="s">
        <v>177</v>
      </c>
      <c r="E17" s="15" t="s">
        <v>126</v>
      </c>
      <c r="F17" s="15" t="s">
        <v>127</v>
      </c>
      <c r="G17" s="15" t="s">
        <v>91</v>
      </c>
      <c r="H17" s="15" t="s">
        <v>25</v>
      </c>
      <c r="I17" s="15" t="s">
        <v>32</v>
      </c>
      <c r="J17" s="15" t="s">
        <v>33</v>
      </c>
      <c r="K17" s="33">
        <v>1</v>
      </c>
      <c r="L17" s="15" t="s">
        <v>35</v>
      </c>
      <c r="M17" s="33">
        <v>2022</v>
      </c>
      <c r="N17" s="33" t="s">
        <v>27</v>
      </c>
      <c r="O17" s="33">
        <v>80</v>
      </c>
      <c r="P17" s="33" t="s">
        <v>24</v>
      </c>
      <c r="Q17" s="33">
        <v>0</v>
      </c>
      <c r="R17" s="33">
        <v>20</v>
      </c>
      <c r="S17" s="33">
        <v>0.2</v>
      </c>
      <c r="T17" s="33">
        <v>0.8</v>
      </c>
      <c r="U17" s="33">
        <v>0</v>
      </c>
    </row>
    <row r="18" spans="1:22" x14ac:dyDescent="0.2">
      <c r="A18" s="33" t="s">
        <v>28</v>
      </c>
      <c r="B18" s="33" t="s">
        <v>29</v>
      </c>
      <c r="C18" s="33" t="s">
        <v>31</v>
      </c>
      <c r="D18" s="33" t="s">
        <v>178</v>
      </c>
      <c r="E18" s="33" t="s">
        <v>128</v>
      </c>
      <c r="F18" s="33" t="s">
        <v>129</v>
      </c>
      <c r="G18" s="33" t="s">
        <v>40</v>
      </c>
      <c r="H18" s="33" t="s">
        <v>23</v>
      </c>
      <c r="I18" s="33" t="s">
        <v>32</v>
      </c>
      <c r="J18" s="33" t="s">
        <v>33</v>
      </c>
      <c r="K18" s="33">
        <v>0.5</v>
      </c>
      <c r="L18" s="33" t="s">
        <v>35</v>
      </c>
      <c r="M18" s="33">
        <v>2022</v>
      </c>
      <c r="N18" s="33" t="s">
        <v>27</v>
      </c>
      <c r="O18" s="33">
        <v>80</v>
      </c>
      <c r="P18" s="33" t="s">
        <v>24</v>
      </c>
      <c r="Q18" s="33">
        <v>0</v>
      </c>
      <c r="R18" s="33">
        <v>20</v>
      </c>
      <c r="S18" s="33">
        <v>0.1</v>
      </c>
      <c r="T18" s="33">
        <v>0.4</v>
      </c>
      <c r="U18" s="33">
        <v>0</v>
      </c>
    </row>
    <row r="19" spans="1:22" x14ac:dyDescent="0.2">
      <c r="A19" s="33" t="s">
        <v>28</v>
      </c>
      <c r="B19" s="33" t="s">
        <v>29</v>
      </c>
      <c r="C19" s="33" t="s">
        <v>31</v>
      </c>
      <c r="D19" s="33" t="s">
        <v>179</v>
      </c>
      <c r="E19" s="33" t="s">
        <v>130</v>
      </c>
      <c r="F19" s="33" t="s">
        <v>131</v>
      </c>
      <c r="G19" s="33" t="s">
        <v>34</v>
      </c>
      <c r="H19" s="33" t="s">
        <v>25</v>
      </c>
      <c r="I19" s="33" t="s">
        <v>32</v>
      </c>
      <c r="J19" s="33" t="s">
        <v>33</v>
      </c>
      <c r="K19" s="33">
        <v>1</v>
      </c>
      <c r="L19" s="33" t="s">
        <v>35</v>
      </c>
      <c r="M19" s="33">
        <v>2022</v>
      </c>
      <c r="N19" s="33" t="s">
        <v>27</v>
      </c>
      <c r="O19" s="33">
        <v>80</v>
      </c>
      <c r="P19" s="33" t="s">
        <v>24</v>
      </c>
      <c r="Q19" s="33">
        <v>0</v>
      </c>
      <c r="R19" s="33">
        <v>20</v>
      </c>
      <c r="S19" s="33">
        <v>0.2</v>
      </c>
      <c r="T19" s="33">
        <v>0.8</v>
      </c>
      <c r="U19" s="33">
        <v>0</v>
      </c>
    </row>
    <row r="20" spans="1:22" x14ac:dyDescent="0.2">
      <c r="A20" s="33" t="s">
        <v>28</v>
      </c>
      <c r="B20" s="33" t="s">
        <v>29</v>
      </c>
      <c r="C20" s="33" t="s">
        <v>31</v>
      </c>
      <c r="D20" s="33" t="s">
        <v>180</v>
      </c>
      <c r="E20" s="33" t="s">
        <v>132</v>
      </c>
      <c r="F20" s="33" t="s">
        <v>133</v>
      </c>
      <c r="G20" s="33" t="s">
        <v>40</v>
      </c>
      <c r="H20" s="33" t="s">
        <v>25</v>
      </c>
      <c r="I20" s="33" t="s">
        <v>32</v>
      </c>
      <c r="J20" s="33" t="s">
        <v>33</v>
      </c>
      <c r="K20" s="33">
        <v>1</v>
      </c>
      <c r="L20" s="33" t="s">
        <v>35</v>
      </c>
      <c r="M20" s="33">
        <v>2022</v>
      </c>
      <c r="N20" s="33" t="s">
        <v>27</v>
      </c>
      <c r="O20" s="33">
        <v>80</v>
      </c>
      <c r="P20" s="33" t="s">
        <v>24</v>
      </c>
      <c r="Q20" s="33">
        <v>0</v>
      </c>
      <c r="R20" s="33">
        <v>20</v>
      </c>
      <c r="S20" s="33">
        <v>0.2</v>
      </c>
      <c r="T20" s="33">
        <v>0.8</v>
      </c>
      <c r="U20" s="33">
        <v>0</v>
      </c>
    </row>
    <row r="21" spans="1:22" x14ac:dyDescent="0.2">
      <c r="A21" s="33" t="s">
        <v>181</v>
      </c>
      <c r="B21" s="33" t="s">
        <v>148</v>
      </c>
      <c r="C21" s="33" t="s">
        <v>149</v>
      </c>
      <c r="D21" s="33" t="s">
        <v>182</v>
      </c>
      <c r="E21" s="33" t="s">
        <v>183</v>
      </c>
      <c r="F21" s="33" t="s">
        <v>184</v>
      </c>
      <c r="G21" s="33" t="s">
        <v>185</v>
      </c>
      <c r="H21" s="33" t="s">
        <v>158</v>
      </c>
      <c r="I21" s="33" t="s">
        <v>35</v>
      </c>
      <c r="J21" s="33" t="s">
        <v>154</v>
      </c>
      <c r="K21" s="33">
        <v>1</v>
      </c>
      <c r="L21" s="33" t="s">
        <v>35</v>
      </c>
      <c r="M21" s="33">
        <v>2022</v>
      </c>
      <c r="N21" s="33" t="s">
        <v>24</v>
      </c>
      <c r="O21" s="33" t="s">
        <v>24</v>
      </c>
      <c r="P21" s="33" t="s">
        <v>24</v>
      </c>
      <c r="Q21" s="33" t="s">
        <v>24</v>
      </c>
      <c r="R21" s="33">
        <v>100</v>
      </c>
      <c r="S21" s="33">
        <v>1</v>
      </c>
      <c r="T21" s="33">
        <v>0</v>
      </c>
      <c r="U21" s="33">
        <v>0</v>
      </c>
    </row>
    <row r="22" spans="1:22" x14ac:dyDescent="0.2">
      <c r="A22" s="33" t="s">
        <v>181</v>
      </c>
      <c r="B22" s="33" t="s">
        <v>148</v>
      </c>
      <c r="C22" s="33" t="s">
        <v>149</v>
      </c>
      <c r="D22" s="33" t="s">
        <v>186</v>
      </c>
      <c r="E22" s="33" t="s">
        <v>187</v>
      </c>
      <c r="F22" s="33" t="s">
        <v>188</v>
      </c>
      <c r="G22" s="33" t="s">
        <v>185</v>
      </c>
      <c r="H22" s="33" t="s">
        <v>158</v>
      </c>
      <c r="I22" s="33" t="s">
        <v>35</v>
      </c>
      <c r="J22" s="33" t="s">
        <v>154</v>
      </c>
      <c r="K22" s="33">
        <v>1</v>
      </c>
      <c r="L22" s="33" t="s">
        <v>35</v>
      </c>
      <c r="M22" s="33">
        <v>2022</v>
      </c>
      <c r="N22" s="33" t="s">
        <v>24</v>
      </c>
      <c r="O22" s="33" t="s">
        <v>24</v>
      </c>
      <c r="P22" s="33" t="s">
        <v>24</v>
      </c>
      <c r="Q22" s="33" t="s">
        <v>24</v>
      </c>
      <c r="R22" s="33">
        <v>100</v>
      </c>
      <c r="S22" s="33">
        <v>1</v>
      </c>
      <c r="T22" s="33">
        <v>0</v>
      </c>
      <c r="U22" s="33">
        <v>0</v>
      </c>
    </row>
    <row r="23" spans="1:22" x14ac:dyDescent="0.2">
      <c r="A23" s="33" t="s">
        <v>147</v>
      </c>
      <c r="B23" s="33" t="s">
        <v>148</v>
      </c>
      <c r="C23" s="33" t="s">
        <v>149</v>
      </c>
      <c r="D23" s="33" t="s">
        <v>150</v>
      </c>
      <c r="E23" s="33" t="s">
        <v>151</v>
      </c>
      <c r="F23" s="33" t="s">
        <v>152</v>
      </c>
      <c r="G23" s="33" t="s">
        <v>63</v>
      </c>
      <c r="H23" s="33" t="s">
        <v>153</v>
      </c>
      <c r="I23" s="33" t="s">
        <v>35</v>
      </c>
      <c r="J23" s="33" t="s">
        <v>154</v>
      </c>
      <c r="K23" s="33">
        <v>0.5</v>
      </c>
      <c r="L23" s="33" t="s">
        <v>35</v>
      </c>
      <c r="M23" s="33">
        <v>2023</v>
      </c>
      <c r="N23" s="33" t="s">
        <v>27</v>
      </c>
      <c r="O23" s="33" t="s">
        <v>26</v>
      </c>
      <c r="P23" s="33" t="s">
        <v>24</v>
      </c>
      <c r="Q23" s="33" t="s">
        <v>24</v>
      </c>
      <c r="R23" s="33">
        <v>20</v>
      </c>
      <c r="S23" s="33">
        <v>0.1</v>
      </c>
      <c r="T23" s="33">
        <v>0.4</v>
      </c>
      <c r="U23" s="33">
        <v>0</v>
      </c>
      <c r="V23" s="6" t="s">
        <v>135</v>
      </c>
    </row>
    <row r="24" spans="1:22" x14ac:dyDescent="0.2">
      <c r="A24" s="33" t="s">
        <v>147</v>
      </c>
      <c r="B24" s="33" t="s">
        <v>148</v>
      </c>
      <c r="C24" s="33" t="s">
        <v>149</v>
      </c>
      <c r="D24" s="33" t="s">
        <v>155</v>
      </c>
      <c r="E24" s="33" t="s">
        <v>156</v>
      </c>
      <c r="F24" s="33" t="s">
        <v>157</v>
      </c>
      <c r="G24" s="33" t="s">
        <v>57</v>
      </c>
      <c r="H24" s="33" t="s">
        <v>158</v>
      </c>
      <c r="I24" s="33" t="s">
        <v>35</v>
      </c>
      <c r="J24" s="33" t="s">
        <v>154</v>
      </c>
      <c r="K24" s="33">
        <v>1</v>
      </c>
      <c r="L24" s="33" t="s">
        <v>35</v>
      </c>
      <c r="M24" s="33">
        <v>2023</v>
      </c>
      <c r="N24" s="33" t="s">
        <v>24</v>
      </c>
      <c r="O24" s="33" t="s">
        <v>24</v>
      </c>
      <c r="P24" s="33" t="s">
        <v>24</v>
      </c>
      <c r="Q24" s="33" t="s">
        <v>24</v>
      </c>
      <c r="R24" s="33">
        <v>100</v>
      </c>
      <c r="S24" s="33">
        <v>1</v>
      </c>
      <c r="T24" s="33">
        <v>0</v>
      </c>
      <c r="U24" s="33">
        <v>0</v>
      </c>
      <c r="V24" s="6" t="s">
        <v>135</v>
      </c>
    </row>
    <row r="25" spans="1:22" x14ac:dyDescent="0.2">
      <c r="A25" s="33" t="s">
        <v>147</v>
      </c>
      <c r="B25" s="33" t="s">
        <v>148</v>
      </c>
      <c r="C25" s="33" t="s">
        <v>149</v>
      </c>
      <c r="D25" s="33" t="s">
        <v>159</v>
      </c>
      <c r="E25" s="33" t="s">
        <v>160</v>
      </c>
      <c r="F25" s="33" t="s">
        <v>161</v>
      </c>
      <c r="G25" s="33" t="s">
        <v>72</v>
      </c>
      <c r="H25" s="33" t="s">
        <v>153</v>
      </c>
      <c r="I25" s="33" t="s">
        <v>35</v>
      </c>
      <c r="J25" s="33" t="s">
        <v>154</v>
      </c>
      <c r="K25" s="33">
        <v>0.5</v>
      </c>
      <c r="L25" s="33" t="s">
        <v>35</v>
      </c>
      <c r="M25" s="33">
        <v>2023</v>
      </c>
      <c r="N25" s="33" t="s">
        <v>27</v>
      </c>
      <c r="O25" s="33" t="s">
        <v>26</v>
      </c>
      <c r="P25" s="33" t="s">
        <v>24</v>
      </c>
      <c r="Q25" s="33" t="s">
        <v>24</v>
      </c>
      <c r="R25" s="33">
        <v>20</v>
      </c>
      <c r="S25" s="33">
        <v>0.1</v>
      </c>
      <c r="T25" s="33">
        <v>0.4</v>
      </c>
      <c r="U25" s="33">
        <v>0</v>
      </c>
      <c r="V25" s="6" t="s">
        <v>135</v>
      </c>
    </row>
    <row r="26" spans="1:22" x14ac:dyDescent="0.2">
      <c r="A26" s="33" t="s">
        <v>147</v>
      </c>
      <c r="B26" s="33" t="s">
        <v>148</v>
      </c>
      <c r="C26" s="33" t="s">
        <v>149</v>
      </c>
      <c r="D26" s="33" t="s">
        <v>162</v>
      </c>
      <c r="E26" s="33" t="s">
        <v>163</v>
      </c>
      <c r="F26" s="33" t="s">
        <v>164</v>
      </c>
      <c r="G26" s="33" t="s">
        <v>80</v>
      </c>
      <c r="H26" s="33" t="s">
        <v>153</v>
      </c>
      <c r="I26" s="33" t="s">
        <v>35</v>
      </c>
      <c r="J26" s="33" t="s">
        <v>154</v>
      </c>
      <c r="K26" s="33">
        <v>0.5</v>
      </c>
      <c r="L26" s="33" t="s">
        <v>35</v>
      </c>
      <c r="M26" s="33">
        <v>2023</v>
      </c>
      <c r="N26" s="33" t="s">
        <v>27</v>
      </c>
      <c r="O26" s="33" t="s">
        <v>26</v>
      </c>
      <c r="P26" s="33" t="s">
        <v>24</v>
      </c>
      <c r="Q26" s="33" t="s">
        <v>24</v>
      </c>
      <c r="R26" s="33">
        <v>20</v>
      </c>
      <c r="S26" s="33">
        <v>0.1</v>
      </c>
      <c r="T26" s="33">
        <v>0.4</v>
      </c>
      <c r="U26" s="33">
        <v>0</v>
      </c>
      <c r="V26" s="6" t="s">
        <v>135</v>
      </c>
    </row>
    <row r="27" spans="1:22" x14ac:dyDescent="0.2">
      <c r="A27" s="33" t="s">
        <v>147</v>
      </c>
      <c r="B27" s="33" t="s">
        <v>148</v>
      </c>
      <c r="C27" s="33" t="s">
        <v>149</v>
      </c>
      <c r="D27" s="33" t="s">
        <v>162</v>
      </c>
      <c r="E27" s="33" t="s">
        <v>163</v>
      </c>
      <c r="F27" s="33" t="s">
        <v>164</v>
      </c>
      <c r="G27" s="33" t="s">
        <v>59</v>
      </c>
      <c r="H27" s="33" t="s">
        <v>153</v>
      </c>
      <c r="I27" s="33" t="s">
        <v>35</v>
      </c>
      <c r="J27" s="33" t="s">
        <v>154</v>
      </c>
      <c r="K27" s="33">
        <v>0.5</v>
      </c>
      <c r="L27" s="33" t="s">
        <v>35</v>
      </c>
      <c r="M27" s="33">
        <v>2023</v>
      </c>
      <c r="N27" s="33" t="s">
        <v>27</v>
      </c>
      <c r="O27" s="33" t="s">
        <v>26</v>
      </c>
      <c r="P27" s="33" t="s">
        <v>24</v>
      </c>
      <c r="Q27" s="33" t="s">
        <v>24</v>
      </c>
      <c r="R27" s="33">
        <v>20</v>
      </c>
      <c r="S27" s="33">
        <v>0.1</v>
      </c>
      <c r="T27" s="33">
        <v>0.4</v>
      </c>
      <c r="U27" s="33">
        <v>0</v>
      </c>
      <c r="V27" s="6" t="s">
        <v>135</v>
      </c>
    </row>
    <row r="28" spans="1:22" x14ac:dyDescent="0.2">
      <c r="A28" s="33" t="s">
        <v>165</v>
      </c>
      <c r="B28" s="33" t="s">
        <v>166</v>
      </c>
      <c r="C28" s="33" t="s">
        <v>149</v>
      </c>
      <c r="D28" s="33" t="s">
        <v>167</v>
      </c>
      <c r="E28" s="33" t="s">
        <v>168</v>
      </c>
      <c r="F28" s="33" t="s">
        <v>169</v>
      </c>
      <c r="G28" s="33" t="s">
        <v>62</v>
      </c>
      <c r="H28" s="33" t="s">
        <v>158</v>
      </c>
      <c r="I28" s="33" t="s">
        <v>35</v>
      </c>
      <c r="J28" s="33" t="s">
        <v>154</v>
      </c>
      <c r="K28" s="33">
        <v>1</v>
      </c>
      <c r="L28" s="33" t="s">
        <v>35</v>
      </c>
      <c r="M28" s="33">
        <v>2023</v>
      </c>
      <c r="N28" s="33" t="s">
        <v>27</v>
      </c>
      <c r="O28" s="33" t="s">
        <v>26</v>
      </c>
      <c r="P28" s="33" t="s">
        <v>24</v>
      </c>
      <c r="Q28" s="33" t="s">
        <v>24</v>
      </c>
      <c r="R28" s="33">
        <v>20</v>
      </c>
      <c r="S28" s="33">
        <v>0.2</v>
      </c>
      <c r="T28" s="33">
        <v>0.8</v>
      </c>
      <c r="U28" s="33">
        <v>0</v>
      </c>
      <c r="V28" s="6" t="s">
        <v>135</v>
      </c>
    </row>
    <row r="29" spans="1:22" x14ac:dyDescent="0.2">
      <c r="A29" s="33" t="s">
        <v>165</v>
      </c>
      <c r="B29" s="33" t="s">
        <v>166</v>
      </c>
      <c r="C29" s="33" t="s">
        <v>170</v>
      </c>
      <c r="D29" s="33" t="s">
        <v>171</v>
      </c>
      <c r="E29" s="33" t="s">
        <v>172</v>
      </c>
      <c r="F29" s="33" t="s">
        <v>173</v>
      </c>
      <c r="G29" s="33" t="s">
        <v>68</v>
      </c>
      <c r="H29" s="33" t="s">
        <v>153</v>
      </c>
      <c r="I29" s="33" t="s">
        <v>35</v>
      </c>
      <c r="J29" s="33" t="s">
        <v>154</v>
      </c>
      <c r="K29" s="33">
        <v>0.5</v>
      </c>
      <c r="L29" s="33" t="s">
        <v>35</v>
      </c>
      <c r="M29" s="33">
        <v>2023</v>
      </c>
      <c r="N29" s="33" t="s">
        <v>27</v>
      </c>
      <c r="O29" s="33" t="s">
        <v>26</v>
      </c>
      <c r="P29" s="33" t="s">
        <v>24</v>
      </c>
      <c r="Q29" s="33" t="s">
        <v>24</v>
      </c>
      <c r="R29" s="33">
        <v>20</v>
      </c>
      <c r="S29" s="33">
        <v>0.1</v>
      </c>
      <c r="T29" s="33">
        <v>0.4</v>
      </c>
      <c r="U29" s="33">
        <v>0</v>
      </c>
      <c r="V29" s="6" t="s">
        <v>135</v>
      </c>
    </row>
    <row r="30" spans="1:22" x14ac:dyDescent="0.2">
      <c r="A30" s="33" t="s">
        <v>147</v>
      </c>
      <c r="B30" s="33" t="s">
        <v>212</v>
      </c>
      <c r="C30" s="33" t="s">
        <v>149</v>
      </c>
      <c r="D30" s="33" t="s">
        <v>213</v>
      </c>
      <c r="E30" s="33" t="s">
        <v>214</v>
      </c>
      <c r="F30" s="33" t="s">
        <v>215</v>
      </c>
      <c r="G30" s="33" t="s">
        <v>59</v>
      </c>
      <c r="H30" s="33" t="s">
        <v>153</v>
      </c>
      <c r="I30" s="33" t="s">
        <v>35</v>
      </c>
      <c r="J30" s="33" t="s">
        <v>216</v>
      </c>
      <c r="K30" s="33">
        <v>0.5</v>
      </c>
      <c r="L30" s="33" t="s">
        <v>35</v>
      </c>
      <c r="M30" s="33">
        <v>2024</v>
      </c>
      <c r="N30" s="33" t="s">
        <v>27</v>
      </c>
      <c r="O30" s="33" t="s">
        <v>26</v>
      </c>
      <c r="P30" s="33" t="s">
        <v>24</v>
      </c>
      <c r="Q30" s="33" t="s">
        <v>24</v>
      </c>
      <c r="R30" s="33">
        <v>20</v>
      </c>
      <c r="S30" s="33">
        <v>0.1</v>
      </c>
      <c r="T30" s="33">
        <v>0.4</v>
      </c>
      <c r="U30" s="33">
        <v>0</v>
      </c>
    </row>
    <row r="31" spans="1:22" x14ac:dyDescent="0.2">
      <c r="A31" s="33" t="s">
        <v>147</v>
      </c>
      <c r="B31" s="33" t="s">
        <v>212</v>
      </c>
      <c r="C31" s="33" t="s">
        <v>149</v>
      </c>
      <c r="D31" s="33" t="s">
        <v>217</v>
      </c>
      <c r="E31" s="33" t="s">
        <v>218</v>
      </c>
      <c r="F31" s="33" t="s">
        <v>219</v>
      </c>
      <c r="G31" s="33" t="s">
        <v>63</v>
      </c>
      <c r="H31" s="33" t="s">
        <v>158</v>
      </c>
      <c r="I31" s="33" t="s">
        <v>35</v>
      </c>
      <c r="J31" s="33" t="s">
        <v>216</v>
      </c>
      <c r="K31" s="33">
        <v>1</v>
      </c>
      <c r="L31" s="33" t="s">
        <v>35</v>
      </c>
      <c r="M31" s="33">
        <v>2024</v>
      </c>
      <c r="N31" s="33" t="s">
        <v>27</v>
      </c>
      <c r="O31" s="33" t="s">
        <v>26</v>
      </c>
      <c r="P31" s="33" t="s">
        <v>24</v>
      </c>
      <c r="Q31" s="33" t="s">
        <v>24</v>
      </c>
      <c r="R31" s="33">
        <v>20</v>
      </c>
      <c r="S31" s="33">
        <v>0.2</v>
      </c>
      <c r="T31" s="33">
        <v>0.8</v>
      </c>
      <c r="U31" s="33">
        <v>0</v>
      </c>
    </row>
    <row r="32" spans="1:22" x14ac:dyDescent="0.2">
      <c r="A32" s="33" t="s">
        <v>147</v>
      </c>
      <c r="B32" s="33" t="s">
        <v>212</v>
      </c>
      <c r="C32" s="33" t="s">
        <v>149</v>
      </c>
      <c r="D32" s="33" t="s">
        <v>220</v>
      </c>
      <c r="E32" s="33" t="s">
        <v>221</v>
      </c>
      <c r="F32" s="33" t="s">
        <v>222</v>
      </c>
      <c r="G32" s="33" t="s">
        <v>69</v>
      </c>
      <c r="H32" s="33" t="s">
        <v>153</v>
      </c>
      <c r="I32" s="33" t="s">
        <v>35</v>
      </c>
      <c r="J32" s="33" t="s">
        <v>216</v>
      </c>
      <c r="K32" s="33">
        <v>0.5</v>
      </c>
      <c r="L32" s="33" t="s">
        <v>35</v>
      </c>
      <c r="M32" s="33">
        <v>2024</v>
      </c>
      <c r="N32" s="33" t="s">
        <v>27</v>
      </c>
      <c r="O32" s="33" t="s">
        <v>26</v>
      </c>
      <c r="P32" s="33" t="s">
        <v>24</v>
      </c>
      <c r="Q32" s="33" t="s">
        <v>24</v>
      </c>
      <c r="R32" s="33">
        <v>20</v>
      </c>
      <c r="S32" s="33">
        <v>0.1</v>
      </c>
      <c r="T32" s="33">
        <v>0.4</v>
      </c>
      <c r="U32" s="33">
        <v>0</v>
      </c>
    </row>
    <row r="33" spans="1:21" x14ac:dyDescent="0.2">
      <c r="A33" s="33" t="s">
        <v>147</v>
      </c>
      <c r="B33" s="33" t="s">
        <v>212</v>
      </c>
      <c r="C33" s="33" t="s">
        <v>149</v>
      </c>
      <c r="D33" s="33" t="s">
        <v>223</v>
      </c>
      <c r="E33" s="33" t="s">
        <v>224</v>
      </c>
      <c r="F33" s="33" t="s">
        <v>225</v>
      </c>
      <c r="G33" s="33" t="s">
        <v>58</v>
      </c>
      <c r="H33" s="33" t="s">
        <v>153</v>
      </c>
      <c r="I33" s="33" t="s">
        <v>35</v>
      </c>
      <c r="J33" s="33" t="s">
        <v>216</v>
      </c>
      <c r="K33" s="33">
        <v>0.5</v>
      </c>
      <c r="L33" s="33" t="s">
        <v>35</v>
      </c>
      <c r="M33" s="33">
        <v>2024</v>
      </c>
      <c r="N33" s="33" t="s">
        <v>24</v>
      </c>
      <c r="O33" s="33" t="s">
        <v>24</v>
      </c>
      <c r="P33" s="33" t="s">
        <v>24</v>
      </c>
      <c r="Q33" s="33" t="s">
        <v>24</v>
      </c>
      <c r="R33" s="33">
        <v>100</v>
      </c>
      <c r="S33" s="33">
        <v>0.5</v>
      </c>
      <c r="T33" s="33">
        <v>0</v>
      </c>
      <c r="U33" s="33">
        <v>0</v>
      </c>
    </row>
    <row r="34" spans="1:21" x14ac:dyDescent="0.2">
      <c r="A34" s="33" t="s">
        <v>147</v>
      </c>
      <c r="B34" s="33" t="s">
        <v>212</v>
      </c>
      <c r="C34" s="33" t="s">
        <v>149</v>
      </c>
      <c r="D34" s="33" t="s">
        <v>223</v>
      </c>
      <c r="E34" s="33" t="s">
        <v>224</v>
      </c>
      <c r="F34" s="33" t="s">
        <v>225</v>
      </c>
      <c r="G34" s="33" t="s">
        <v>68</v>
      </c>
      <c r="H34" s="33" t="s">
        <v>153</v>
      </c>
      <c r="I34" s="33" t="s">
        <v>35</v>
      </c>
      <c r="J34" s="33" t="s">
        <v>216</v>
      </c>
      <c r="K34" s="33">
        <v>0.5</v>
      </c>
      <c r="L34" s="33" t="s">
        <v>35</v>
      </c>
      <c r="M34" s="33">
        <v>2024</v>
      </c>
      <c r="N34" s="33" t="s">
        <v>27</v>
      </c>
      <c r="O34" s="33" t="s">
        <v>26</v>
      </c>
      <c r="P34" s="33" t="s">
        <v>24</v>
      </c>
      <c r="Q34" s="33" t="s">
        <v>24</v>
      </c>
      <c r="R34" s="33">
        <v>20</v>
      </c>
      <c r="S34" s="33">
        <v>0.1</v>
      </c>
      <c r="T34" s="33">
        <v>0.4</v>
      </c>
      <c r="U34" s="33">
        <v>0</v>
      </c>
    </row>
    <row r="35" spans="1:21" x14ac:dyDescent="0.2">
      <c r="A35" s="33" t="s">
        <v>147</v>
      </c>
      <c r="B35" s="33" t="s">
        <v>212</v>
      </c>
      <c r="C35" s="33" t="s">
        <v>149</v>
      </c>
      <c r="D35" s="33" t="s">
        <v>226</v>
      </c>
      <c r="E35" s="33" t="s">
        <v>227</v>
      </c>
      <c r="F35" s="33" t="s">
        <v>228</v>
      </c>
      <c r="G35" s="33" t="s">
        <v>72</v>
      </c>
      <c r="H35" s="33" t="s">
        <v>158</v>
      </c>
      <c r="I35" s="33" t="s">
        <v>35</v>
      </c>
      <c r="J35" s="33" t="s">
        <v>216</v>
      </c>
      <c r="K35" s="33">
        <v>1</v>
      </c>
      <c r="L35" s="33" t="s">
        <v>35</v>
      </c>
      <c r="M35" s="33">
        <v>2024</v>
      </c>
      <c r="N35" s="33" t="s">
        <v>27</v>
      </c>
      <c r="O35" s="33" t="s">
        <v>26</v>
      </c>
      <c r="P35" s="33" t="s">
        <v>24</v>
      </c>
      <c r="Q35" s="33" t="s">
        <v>24</v>
      </c>
      <c r="R35" s="33">
        <v>20</v>
      </c>
      <c r="S35" s="33">
        <v>0.2</v>
      </c>
      <c r="T35" s="33">
        <v>0.8</v>
      </c>
      <c r="U35" s="33">
        <v>0</v>
      </c>
    </row>
    <row r="36" spans="1:21" x14ac:dyDescent="0.2">
      <c r="A36" s="33" t="s">
        <v>147</v>
      </c>
      <c r="B36" s="33" t="s">
        <v>212</v>
      </c>
      <c r="C36" s="33" t="s">
        <v>149</v>
      </c>
      <c r="D36" s="33" t="s">
        <v>229</v>
      </c>
      <c r="E36" s="33" t="s">
        <v>230</v>
      </c>
      <c r="F36" s="33" t="s">
        <v>231</v>
      </c>
      <c r="G36" s="33" t="s">
        <v>59</v>
      </c>
      <c r="H36" s="33" t="s">
        <v>158</v>
      </c>
      <c r="I36" s="33" t="s">
        <v>35</v>
      </c>
      <c r="J36" s="33" t="s">
        <v>216</v>
      </c>
      <c r="K36" s="33">
        <v>1</v>
      </c>
      <c r="L36" s="33" t="s">
        <v>35</v>
      </c>
      <c r="M36" s="33">
        <v>2024</v>
      </c>
      <c r="N36" s="33" t="s">
        <v>27</v>
      </c>
      <c r="O36" s="33" t="s">
        <v>26</v>
      </c>
      <c r="P36" s="33" t="s">
        <v>24</v>
      </c>
      <c r="Q36" s="33" t="s">
        <v>24</v>
      </c>
      <c r="R36" s="33">
        <v>20</v>
      </c>
      <c r="S36" s="33">
        <v>0.2</v>
      </c>
      <c r="T36" s="33">
        <v>0.8</v>
      </c>
      <c r="U36" s="33">
        <v>0</v>
      </c>
    </row>
    <row r="37" spans="1:21" x14ac:dyDescent="0.2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5"/>
      <c r="P37" s="44"/>
      <c r="Q37" s="45"/>
      <c r="R37" s="44"/>
      <c r="S37" s="46">
        <f>SUM(S2:S36)</f>
        <v>8.5499999999999972</v>
      </c>
      <c r="T37" s="44"/>
      <c r="U37" s="44"/>
    </row>
  </sheetData>
  <autoFilter ref="A1:U1" xr:uid="{00000000-0009-0000-0000-000000000000}">
    <sortState xmlns:xlrd2="http://schemas.microsoft.com/office/spreadsheetml/2017/richdata2" ref="A2:T1866">
      <sortCondition ref="K2:K1866"/>
      <sortCondition ref="L2:L1866"/>
      <sortCondition ref="D2:D1866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2"/>
  <sheetViews>
    <sheetView tabSelected="1" zoomScaleNormal="100" workbookViewId="0">
      <selection activeCell="M30" sqref="M30"/>
    </sheetView>
  </sheetViews>
  <sheetFormatPr baseColWidth="10" defaultColWidth="11.42578125" defaultRowHeight="12.75" x14ac:dyDescent="0.2"/>
  <cols>
    <col min="1" max="1" width="10.5703125" style="11" bestFit="1" customWidth="1"/>
    <col min="2" max="2" width="39.42578125" style="11" bestFit="1" customWidth="1"/>
    <col min="3" max="3" width="17" style="11" bestFit="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3" width="5.7109375" style="11" bestFit="1" customWidth="1"/>
    <col min="14" max="14" width="5.7109375" style="12" bestFit="1" customWidth="1"/>
    <col min="15" max="15" width="5.7109375" style="11" bestFit="1" customWidth="1"/>
    <col min="16" max="16" width="5.7109375" style="12" bestFit="1" customWidth="1"/>
    <col min="17" max="19" width="5.7109375" style="11" bestFit="1" customWidth="1"/>
    <col min="20" max="16384" width="11.42578125" style="11"/>
  </cols>
  <sheetData>
    <row r="1" spans="1:20" s="10" customFormat="1" ht="60" customHeight="1" x14ac:dyDescent="0.2">
      <c r="A1" s="27" t="s">
        <v>43</v>
      </c>
      <c r="B1" s="27" t="s">
        <v>44</v>
      </c>
      <c r="C1" s="27" t="s">
        <v>45</v>
      </c>
      <c r="D1" s="28" t="s">
        <v>232</v>
      </c>
      <c r="E1" s="28" t="s">
        <v>233</v>
      </c>
      <c r="F1" s="28" t="s">
        <v>234</v>
      </c>
      <c r="G1" s="28" t="s">
        <v>235</v>
      </c>
      <c r="H1" s="28" t="s">
        <v>236</v>
      </c>
      <c r="I1" s="28" t="s">
        <v>237</v>
      </c>
      <c r="J1" s="27" t="s">
        <v>46</v>
      </c>
      <c r="K1" s="29" t="s">
        <v>113</v>
      </c>
      <c r="L1" s="8" t="s">
        <v>47</v>
      </c>
      <c r="M1" s="8" t="s">
        <v>48</v>
      </c>
      <c r="N1" s="8" t="s">
        <v>49</v>
      </c>
      <c r="O1" s="8" t="s">
        <v>50</v>
      </c>
      <c r="P1" s="9" t="s">
        <v>51</v>
      </c>
      <c r="Q1" s="9" t="s">
        <v>52</v>
      </c>
      <c r="R1" s="9" t="s">
        <v>53</v>
      </c>
      <c r="S1" s="9" t="s">
        <v>54</v>
      </c>
      <c r="T1" s="11"/>
    </row>
    <row r="2" spans="1:20" ht="15" x14ac:dyDescent="0.25">
      <c r="A2" s="13" t="s">
        <v>57</v>
      </c>
      <c r="B2" s="13" t="s">
        <v>238</v>
      </c>
      <c r="C2" s="14" t="s">
        <v>55</v>
      </c>
      <c r="D2" s="13"/>
      <c r="E2" s="13">
        <v>1</v>
      </c>
      <c r="F2" s="13"/>
      <c r="G2" s="13"/>
      <c r="H2" s="13"/>
      <c r="I2" s="13"/>
      <c r="J2" s="30">
        <v>1</v>
      </c>
      <c r="K2" s="30" t="s">
        <v>35</v>
      </c>
      <c r="L2" s="31">
        <v>0</v>
      </c>
      <c r="M2" s="31">
        <v>0</v>
      </c>
      <c r="N2" s="31" t="s">
        <v>24</v>
      </c>
      <c r="O2" s="31" t="s">
        <v>24</v>
      </c>
      <c r="P2" s="31">
        <v>100</v>
      </c>
      <c r="Q2" s="31">
        <v>0</v>
      </c>
      <c r="R2" s="31">
        <v>0</v>
      </c>
      <c r="S2" s="31">
        <v>1</v>
      </c>
    </row>
    <row r="3" spans="1:20" ht="15" x14ac:dyDescent="0.25">
      <c r="A3" s="13" t="s">
        <v>66</v>
      </c>
      <c r="B3" s="13" t="s">
        <v>239</v>
      </c>
      <c r="C3" s="14" t="s">
        <v>55</v>
      </c>
      <c r="D3" s="13"/>
      <c r="E3" s="13">
        <v>1</v>
      </c>
      <c r="F3" s="13"/>
      <c r="G3" s="13"/>
      <c r="H3" s="13"/>
      <c r="I3" s="13"/>
      <c r="J3" s="30">
        <v>1</v>
      </c>
      <c r="K3" s="30" t="s">
        <v>35</v>
      </c>
      <c r="L3" s="31" t="s">
        <v>27</v>
      </c>
      <c r="M3" s="31" t="s">
        <v>26</v>
      </c>
      <c r="N3" s="31" t="s">
        <v>24</v>
      </c>
      <c r="O3" s="31" t="s">
        <v>24</v>
      </c>
      <c r="P3" s="31">
        <v>20</v>
      </c>
      <c r="Q3" s="31">
        <v>0.8</v>
      </c>
      <c r="R3" s="31">
        <v>0</v>
      </c>
      <c r="S3" s="31">
        <v>0.2</v>
      </c>
    </row>
    <row r="4" spans="1:20" ht="15" x14ac:dyDescent="0.25">
      <c r="A4" s="30" t="s">
        <v>63</v>
      </c>
      <c r="B4" s="30" t="s">
        <v>240</v>
      </c>
      <c r="C4" s="30" t="s">
        <v>55</v>
      </c>
      <c r="D4" s="30"/>
      <c r="E4" s="30"/>
      <c r="F4" s="30"/>
      <c r="G4" s="30"/>
      <c r="H4" s="30">
        <v>1</v>
      </c>
      <c r="I4" s="30"/>
      <c r="J4" s="30">
        <v>1</v>
      </c>
      <c r="K4" s="30" t="s">
        <v>35</v>
      </c>
      <c r="L4" s="31" t="s">
        <v>27</v>
      </c>
      <c r="M4" s="31" t="s">
        <v>26</v>
      </c>
      <c r="N4" s="31" t="s">
        <v>24</v>
      </c>
      <c r="O4" s="31" t="s">
        <v>24</v>
      </c>
      <c r="P4" s="31">
        <v>20</v>
      </c>
      <c r="Q4" s="31">
        <v>0.8</v>
      </c>
      <c r="R4" s="31">
        <v>0</v>
      </c>
      <c r="S4" s="31">
        <v>0.2</v>
      </c>
    </row>
    <row r="5" spans="1:20" ht="15" x14ac:dyDescent="0.25">
      <c r="A5" s="30" t="s">
        <v>70</v>
      </c>
      <c r="B5" s="30" t="s">
        <v>241</v>
      </c>
      <c r="C5" s="30" t="s">
        <v>55</v>
      </c>
      <c r="D5" s="30"/>
      <c r="E5" s="30"/>
      <c r="F5" s="30"/>
      <c r="G5" s="30"/>
      <c r="H5" s="30">
        <v>3</v>
      </c>
      <c r="I5" s="30"/>
      <c r="J5" s="30">
        <v>3</v>
      </c>
      <c r="K5" s="30" t="s">
        <v>35</v>
      </c>
      <c r="L5" s="31">
        <v>0</v>
      </c>
      <c r="M5" s="31">
        <v>0</v>
      </c>
      <c r="N5" s="31" t="s">
        <v>24</v>
      </c>
      <c r="O5" s="31" t="s">
        <v>24</v>
      </c>
      <c r="P5" s="31">
        <v>100</v>
      </c>
      <c r="Q5" s="31">
        <v>0</v>
      </c>
      <c r="R5" s="31">
        <v>0</v>
      </c>
      <c r="S5" s="31">
        <v>3</v>
      </c>
    </row>
    <row r="6" spans="1:20" ht="15" x14ac:dyDescent="0.25">
      <c r="A6" s="30" t="s">
        <v>59</v>
      </c>
      <c r="B6" s="30" t="s">
        <v>242</v>
      </c>
      <c r="C6" s="30" t="s">
        <v>55</v>
      </c>
      <c r="D6" s="30"/>
      <c r="E6" s="30"/>
      <c r="F6" s="30"/>
      <c r="G6" s="30">
        <v>1</v>
      </c>
      <c r="H6" s="30"/>
      <c r="I6" s="30"/>
      <c r="J6" s="30">
        <v>1</v>
      </c>
      <c r="K6" s="30" t="s">
        <v>35</v>
      </c>
      <c r="L6" s="31" t="s">
        <v>27</v>
      </c>
      <c r="M6" s="31" t="s">
        <v>26</v>
      </c>
      <c r="N6" s="31" t="s">
        <v>24</v>
      </c>
      <c r="O6" s="31" t="s">
        <v>24</v>
      </c>
      <c r="P6" s="31">
        <v>20</v>
      </c>
      <c r="Q6" s="31">
        <v>0.8</v>
      </c>
      <c r="R6" s="31">
        <v>0</v>
      </c>
      <c r="S6" s="31">
        <v>0.2</v>
      </c>
    </row>
    <row r="7" spans="1:20" ht="15" x14ac:dyDescent="0.25">
      <c r="A7" s="30" t="s">
        <v>65</v>
      </c>
      <c r="B7" s="30" t="s">
        <v>243</v>
      </c>
      <c r="C7" s="30" t="s">
        <v>55</v>
      </c>
      <c r="D7" s="30">
        <v>1</v>
      </c>
      <c r="E7" s="30"/>
      <c r="F7" s="30"/>
      <c r="G7" s="30"/>
      <c r="H7" s="30"/>
      <c r="I7" s="30"/>
      <c r="J7" s="30">
        <v>1</v>
      </c>
      <c r="K7" s="30" t="s">
        <v>35</v>
      </c>
      <c r="L7" s="31" t="s">
        <v>27</v>
      </c>
      <c r="M7" s="31" t="s">
        <v>26</v>
      </c>
      <c r="N7" s="31" t="s">
        <v>24</v>
      </c>
      <c r="O7" s="31" t="s">
        <v>24</v>
      </c>
      <c r="P7" s="31">
        <v>20</v>
      </c>
      <c r="Q7" s="31">
        <v>0.8</v>
      </c>
      <c r="R7" s="31">
        <v>0</v>
      </c>
      <c r="S7" s="31">
        <v>0.2</v>
      </c>
    </row>
    <row r="8" spans="1:20" ht="15" x14ac:dyDescent="0.25">
      <c r="A8" s="30" t="s">
        <v>69</v>
      </c>
      <c r="B8" s="30" t="s">
        <v>244</v>
      </c>
      <c r="C8" s="30" t="s">
        <v>55</v>
      </c>
      <c r="D8" s="30"/>
      <c r="E8" s="30"/>
      <c r="F8" s="30"/>
      <c r="G8" s="30"/>
      <c r="H8" s="30"/>
      <c r="I8" s="30">
        <v>1</v>
      </c>
      <c r="J8" s="30">
        <v>1</v>
      </c>
      <c r="K8" s="30" t="s">
        <v>35</v>
      </c>
      <c r="L8" s="31" t="s">
        <v>27</v>
      </c>
      <c r="M8" s="31" t="s">
        <v>26</v>
      </c>
      <c r="N8" s="31" t="s">
        <v>24</v>
      </c>
      <c r="O8" s="31" t="s">
        <v>24</v>
      </c>
      <c r="P8" s="31">
        <v>20</v>
      </c>
      <c r="Q8" s="31">
        <v>0.8</v>
      </c>
      <c r="R8" s="31">
        <v>0</v>
      </c>
      <c r="S8" s="31">
        <v>0.2</v>
      </c>
    </row>
    <row r="9" spans="1:20" ht="15" x14ac:dyDescent="0.25">
      <c r="A9" s="30" t="s">
        <v>62</v>
      </c>
      <c r="B9" s="30" t="s">
        <v>245</v>
      </c>
      <c r="C9" s="30" t="s">
        <v>55</v>
      </c>
      <c r="D9" s="30"/>
      <c r="E9" s="30">
        <v>1</v>
      </c>
      <c r="F9" s="30"/>
      <c r="G9" s="30"/>
      <c r="H9" s="30"/>
      <c r="I9" s="30"/>
      <c r="J9" s="30">
        <v>1</v>
      </c>
      <c r="K9" s="30" t="s">
        <v>35</v>
      </c>
      <c r="L9" s="31" t="s">
        <v>27</v>
      </c>
      <c r="M9" s="31" t="s">
        <v>26</v>
      </c>
      <c r="N9" s="31" t="s">
        <v>24</v>
      </c>
      <c r="O9" s="31" t="s">
        <v>24</v>
      </c>
      <c r="P9" s="31">
        <v>20</v>
      </c>
      <c r="Q9" s="31">
        <v>0.8</v>
      </c>
      <c r="R9" s="31">
        <v>0</v>
      </c>
      <c r="S9" s="31">
        <v>0.2</v>
      </c>
    </row>
    <row r="10" spans="1:20" ht="15" x14ac:dyDescent="0.25">
      <c r="A10" s="30" t="s">
        <v>60</v>
      </c>
      <c r="B10" s="30" t="s">
        <v>246</v>
      </c>
      <c r="C10" s="30" t="s">
        <v>55</v>
      </c>
      <c r="D10" s="30"/>
      <c r="E10" s="30"/>
      <c r="F10" s="30"/>
      <c r="G10" s="30">
        <v>1</v>
      </c>
      <c r="H10" s="30"/>
      <c r="I10" s="30"/>
      <c r="J10" s="30">
        <v>1</v>
      </c>
      <c r="K10" s="30" t="s">
        <v>35</v>
      </c>
      <c r="L10" s="31" t="s">
        <v>27</v>
      </c>
      <c r="M10" s="31" t="s">
        <v>26</v>
      </c>
      <c r="N10" s="31" t="s">
        <v>24</v>
      </c>
      <c r="O10" s="31" t="s">
        <v>24</v>
      </c>
      <c r="P10" s="31">
        <v>20</v>
      </c>
      <c r="Q10" s="31">
        <v>0.8</v>
      </c>
      <c r="R10" s="31">
        <v>0</v>
      </c>
      <c r="S10" s="31">
        <v>0.2</v>
      </c>
    </row>
    <row r="11" spans="1:20" ht="15" x14ac:dyDescent="0.25">
      <c r="A11" s="30" t="s">
        <v>64</v>
      </c>
      <c r="B11" s="30" t="s">
        <v>247</v>
      </c>
      <c r="C11" s="30" t="s">
        <v>55</v>
      </c>
      <c r="D11" s="30"/>
      <c r="E11" s="30"/>
      <c r="F11" s="30"/>
      <c r="G11" s="30"/>
      <c r="H11" s="30">
        <v>1</v>
      </c>
      <c r="I11" s="30"/>
      <c r="J11" s="30">
        <v>1</v>
      </c>
      <c r="K11" s="30" t="s">
        <v>35</v>
      </c>
      <c r="L11" s="31" t="s">
        <v>27</v>
      </c>
      <c r="M11" s="31" t="s">
        <v>26</v>
      </c>
      <c r="N11" s="31" t="s">
        <v>24</v>
      </c>
      <c r="O11" s="31" t="s">
        <v>24</v>
      </c>
      <c r="P11" s="31">
        <v>20</v>
      </c>
      <c r="Q11" s="31">
        <v>0.8</v>
      </c>
      <c r="R11" s="31">
        <v>0</v>
      </c>
      <c r="S11" s="31">
        <v>0.2</v>
      </c>
    </row>
    <row r="12" spans="1:20" ht="15" x14ac:dyDescent="0.25">
      <c r="A12" s="30" t="s">
        <v>72</v>
      </c>
      <c r="B12" s="30" t="s">
        <v>248</v>
      </c>
      <c r="C12" s="30" t="s">
        <v>55</v>
      </c>
      <c r="D12" s="30"/>
      <c r="E12" s="30"/>
      <c r="F12" s="30"/>
      <c r="G12" s="30"/>
      <c r="H12" s="30"/>
      <c r="I12" s="30">
        <v>1</v>
      </c>
      <c r="J12" s="30">
        <v>1</v>
      </c>
      <c r="K12" s="30" t="s">
        <v>35</v>
      </c>
      <c r="L12" s="31" t="s">
        <v>27</v>
      </c>
      <c r="M12" s="31" t="s">
        <v>26</v>
      </c>
      <c r="N12" s="31" t="s">
        <v>24</v>
      </c>
      <c r="O12" s="31" t="s">
        <v>24</v>
      </c>
      <c r="P12" s="31">
        <v>20</v>
      </c>
      <c r="Q12" s="31">
        <v>0.8</v>
      </c>
      <c r="R12" s="31">
        <v>0</v>
      </c>
      <c r="S12" s="31">
        <v>0.2</v>
      </c>
    </row>
    <row r="13" spans="1:20" ht="15" x14ac:dyDescent="0.25">
      <c r="A13" s="30" t="s">
        <v>68</v>
      </c>
      <c r="B13" s="30" t="s">
        <v>249</v>
      </c>
      <c r="C13" s="30" t="s">
        <v>55</v>
      </c>
      <c r="D13" s="30"/>
      <c r="E13" s="30"/>
      <c r="F13" s="30"/>
      <c r="G13" s="30"/>
      <c r="H13" s="30"/>
      <c r="I13" s="30">
        <v>1</v>
      </c>
      <c r="J13" s="30">
        <v>1</v>
      </c>
      <c r="K13" s="30" t="s">
        <v>35</v>
      </c>
      <c r="L13" s="31" t="s">
        <v>27</v>
      </c>
      <c r="M13" s="31" t="s">
        <v>26</v>
      </c>
      <c r="N13" s="31" t="s">
        <v>24</v>
      </c>
      <c r="O13" s="31" t="s">
        <v>24</v>
      </c>
      <c r="P13" s="31">
        <v>20</v>
      </c>
      <c r="Q13" s="31">
        <v>0.8</v>
      </c>
      <c r="R13" s="31">
        <v>0</v>
      </c>
      <c r="S13" s="31">
        <v>0.2</v>
      </c>
    </row>
    <row r="14" spans="1:20" ht="15" x14ac:dyDescent="0.25">
      <c r="A14" s="30" t="s">
        <v>250</v>
      </c>
      <c r="B14" s="30" t="s">
        <v>251</v>
      </c>
      <c r="C14" s="30" t="s">
        <v>55</v>
      </c>
      <c r="D14" s="30"/>
      <c r="E14" s="30"/>
      <c r="F14" s="30"/>
      <c r="G14" s="30"/>
      <c r="H14" s="30">
        <v>3</v>
      </c>
      <c r="I14" s="30"/>
      <c r="J14" s="30">
        <v>3</v>
      </c>
      <c r="K14" s="30" t="s">
        <v>35</v>
      </c>
      <c r="L14" s="31">
        <v>0</v>
      </c>
      <c r="M14" s="31">
        <v>0</v>
      </c>
      <c r="N14" s="31" t="s">
        <v>24</v>
      </c>
      <c r="O14" s="31" t="s">
        <v>24</v>
      </c>
      <c r="P14" s="31">
        <v>100</v>
      </c>
      <c r="Q14" s="31">
        <v>0</v>
      </c>
      <c r="R14" s="31">
        <v>0</v>
      </c>
      <c r="S14" s="31">
        <v>3</v>
      </c>
    </row>
    <row r="15" spans="1:20" ht="15" x14ac:dyDescent="0.25">
      <c r="A15" s="30" t="s">
        <v>61</v>
      </c>
      <c r="B15" s="30" t="s">
        <v>252</v>
      </c>
      <c r="C15" s="30" t="s">
        <v>56</v>
      </c>
      <c r="D15" s="30"/>
      <c r="E15" s="30"/>
      <c r="F15" s="30"/>
      <c r="G15" s="30"/>
      <c r="H15" s="30">
        <v>1</v>
      </c>
      <c r="I15" s="30"/>
      <c r="J15" s="30">
        <v>1</v>
      </c>
      <c r="K15" s="30" t="s">
        <v>35</v>
      </c>
      <c r="L15" s="31">
        <v>0</v>
      </c>
      <c r="M15" s="31">
        <v>0</v>
      </c>
      <c r="N15" s="31" t="s">
        <v>24</v>
      </c>
      <c r="O15" s="31" t="s">
        <v>24</v>
      </c>
      <c r="P15" s="31">
        <v>100</v>
      </c>
      <c r="Q15" s="31">
        <v>0</v>
      </c>
      <c r="R15" s="31">
        <v>0</v>
      </c>
      <c r="S15" s="31">
        <v>1</v>
      </c>
    </row>
    <row r="16" spans="1:20" ht="15" x14ac:dyDescent="0.25">
      <c r="A16" s="30" t="s">
        <v>114</v>
      </c>
      <c r="B16" s="30" t="s">
        <v>253</v>
      </c>
      <c r="C16" s="30" t="s">
        <v>56</v>
      </c>
      <c r="D16" s="30"/>
      <c r="E16" s="30"/>
      <c r="F16" s="30"/>
      <c r="G16" s="30"/>
      <c r="H16" s="30">
        <v>1</v>
      </c>
      <c r="I16" s="30">
        <v>2</v>
      </c>
      <c r="J16" s="30">
        <v>3</v>
      </c>
      <c r="K16" s="30" t="s">
        <v>35</v>
      </c>
      <c r="L16" s="31" t="s">
        <v>27</v>
      </c>
      <c r="M16" s="31" t="s">
        <v>26</v>
      </c>
      <c r="N16" s="31" t="s">
        <v>24</v>
      </c>
      <c r="O16" s="31" t="s">
        <v>24</v>
      </c>
      <c r="P16" s="31">
        <v>20</v>
      </c>
      <c r="Q16" s="31">
        <v>2.4</v>
      </c>
      <c r="R16" s="31">
        <v>0</v>
      </c>
      <c r="S16" s="31">
        <v>0.6</v>
      </c>
    </row>
    <row r="17" spans="1:19" ht="15" x14ac:dyDescent="0.25">
      <c r="A17" s="30" t="s">
        <v>190</v>
      </c>
      <c r="B17" s="30" t="s">
        <v>254</v>
      </c>
      <c r="C17" s="30" t="s">
        <v>56</v>
      </c>
      <c r="D17" s="30"/>
      <c r="E17" s="30"/>
      <c r="F17" s="30"/>
      <c r="G17" s="30"/>
      <c r="H17" s="30">
        <v>1</v>
      </c>
      <c r="I17" s="30"/>
      <c r="J17" s="30">
        <v>1</v>
      </c>
      <c r="K17" s="30" t="s">
        <v>35</v>
      </c>
      <c r="L17" s="31" t="s">
        <v>27</v>
      </c>
      <c r="M17" s="31" t="s">
        <v>26</v>
      </c>
      <c r="N17" s="31" t="s">
        <v>24</v>
      </c>
      <c r="O17" s="31" t="s">
        <v>24</v>
      </c>
      <c r="P17" s="31">
        <v>20</v>
      </c>
      <c r="Q17" s="31">
        <v>0.8</v>
      </c>
      <c r="R17" s="31">
        <v>0</v>
      </c>
      <c r="S17" s="31">
        <v>0.2</v>
      </c>
    </row>
    <row r="18" spans="1:19" ht="15" x14ac:dyDescent="0.25">
      <c r="A18" s="30" t="s">
        <v>67</v>
      </c>
      <c r="B18" s="30" t="s">
        <v>255</v>
      </c>
      <c r="C18" s="30" t="s">
        <v>55</v>
      </c>
      <c r="D18" s="30"/>
      <c r="E18" s="30"/>
      <c r="F18" s="30"/>
      <c r="G18" s="30"/>
      <c r="H18" s="30">
        <v>2</v>
      </c>
      <c r="I18" s="30"/>
      <c r="J18" s="30">
        <v>2</v>
      </c>
      <c r="K18" s="30" t="s">
        <v>35</v>
      </c>
      <c r="L18" s="31" t="s">
        <v>27</v>
      </c>
      <c r="M18" s="31" t="s">
        <v>189</v>
      </c>
      <c r="N18" s="31" t="s">
        <v>24</v>
      </c>
      <c r="O18" s="31" t="s">
        <v>24</v>
      </c>
      <c r="P18" s="31">
        <v>50</v>
      </c>
      <c r="Q18" s="31">
        <v>1</v>
      </c>
      <c r="R18" s="31">
        <v>0</v>
      </c>
      <c r="S18" s="31">
        <v>1</v>
      </c>
    </row>
    <row r="19" spans="1:19" s="88" customFormat="1" ht="15" x14ac:dyDescent="0.25">
      <c r="A19" s="86" t="s">
        <v>256</v>
      </c>
      <c r="B19" s="86" t="s">
        <v>257</v>
      </c>
      <c r="C19" s="86" t="s">
        <v>56</v>
      </c>
      <c r="D19" s="86"/>
      <c r="E19" s="86"/>
      <c r="F19" s="86"/>
      <c r="G19" s="86"/>
      <c r="H19" s="86"/>
      <c r="I19" s="86">
        <v>1</v>
      </c>
      <c r="J19" s="86">
        <v>1</v>
      </c>
      <c r="K19" s="86" t="s">
        <v>35</v>
      </c>
      <c r="L19" s="87" t="s">
        <v>27</v>
      </c>
      <c r="M19" s="87" t="s">
        <v>26</v>
      </c>
      <c r="N19" s="87">
        <v>0</v>
      </c>
      <c r="O19" s="87">
        <v>0</v>
      </c>
      <c r="P19" s="87">
        <v>20</v>
      </c>
      <c r="Q19" s="87">
        <v>0.8</v>
      </c>
      <c r="R19" s="87">
        <v>0</v>
      </c>
      <c r="S19" s="87">
        <v>0.2</v>
      </c>
    </row>
    <row r="20" spans="1:19" ht="15" x14ac:dyDescent="0.25">
      <c r="A20" s="30" t="s">
        <v>80</v>
      </c>
      <c r="B20" s="30" t="s">
        <v>258</v>
      </c>
      <c r="C20" s="30" t="s">
        <v>55</v>
      </c>
      <c r="D20" s="30"/>
      <c r="E20" s="30"/>
      <c r="F20" s="30">
        <v>1</v>
      </c>
      <c r="G20" s="30">
        <v>1</v>
      </c>
      <c r="H20" s="30"/>
      <c r="I20" s="30"/>
      <c r="J20" s="30">
        <v>2</v>
      </c>
      <c r="K20" s="30" t="s">
        <v>35</v>
      </c>
      <c r="L20" s="31" t="s">
        <v>27</v>
      </c>
      <c r="M20" s="31" t="s">
        <v>26</v>
      </c>
      <c r="N20" s="31" t="s">
        <v>24</v>
      </c>
      <c r="O20" s="31" t="s">
        <v>24</v>
      </c>
      <c r="P20" s="31">
        <v>20</v>
      </c>
      <c r="Q20" s="31">
        <v>1.6</v>
      </c>
      <c r="R20" s="31">
        <v>0</v>
      </c>
      <c r="S20" s="31">
        <v>0.4</v>
      </c>
    </row>
    <row r="21" spans="1:19" ht="15" x14ac:dyDescent="0.25">
      <c r="A21" s="30" t="s">
        <v>71</v>
      </c>
      <c r="B21" s="30" t="s">
        <v>259</v>
      </c>
      <c r="C21" s="30" t="s">
        <v>55</v>
      </c>
      <c r="D21" s="30"/>
      <c r="E21" s="30"/>
      <c r="F21" s="30"/>
      <c r="G21" s="30"/>
      <c r="H21" s="30">
        <v>1</v>
      </c>
      <c r="I21" s="30"/>
      <c r="J21" s="30">
        <v>1</v>
      </c>
      <c r="K21" s="30" t="s">
        <v>35</v>
      </c>
      <c r="L21" s="31" t="s">
        <v>27</v>
      </c>
      <c r="M21" s="31" t="s">
        <v>26</v>
      </c>
      <c r="N21" s="31" t="s">
        <v>24</v>
      </c>
      <c r="O21" s="31" t="s">
        <v>24</v>
      </c>
      <c r="P21" s="31">
        <v>20</v>
      </c>
      <c r="Q21" s="31">
        <v>0.8</v>
      </c>
      <c r="R21" s="31">
        <v>0</v>
      </c>
      <c r="S21" s="31">
        <v>0.2</v>
      </c>
    </row>
    <row r="22" spans="1:19" ht="15" x14ac:dyDescent="0.25">
      <c r="A22" s="41"/>
      <c r="B22" s="41"/>
      <c r="C22" s="42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3">
        <f>SUM(S2:S21)</f>
        <v>12.6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899D-A8B0-4EDF-991F-D6ACFD11DBF0}">
  <dimension ref="A1:C4"/>
  <sheetViews>
    <sheetView workbookViewId="0">
      <selection activeCell="B13" sqref="B13"/>
    </sheetView>
  </sheetViews>
  <sheetFormatPr baseColWidth="10" defaultRowHeight="15" x14ac:dyDescent="0.25"/>
  <cols>
    <col min="1" max="1" width="16.42578125" customWidth="1"/>
    <col min="2" max="2" width="92.28515625" customWidth="1"/>
    <col min="3" max="3" width="15.42578125" customWidth="1"/>
  </cols>
  <sheetData>
    <row r="1" spans="1:3" x14ac:dyDescent="0.25">
      <c r="A1" s="50" t="s">
        <v>96</v>
      </c>
      <c r="B1" s="50" t="s">
        <v>97</v>
      </c>
      <c r="C1" s="50" t="s">
        <v>115</v>
      </c>
    </row>
    <row r="2" spans="1:3" x14ac:dyDescent="0.25">
      <c r="A2" s="52" t="s">
        <v>145</v>
      </c>
      <c r="B2" s="52" t="s">
        <v>146</v>
      </c>
      <c r="C2" s="56">
        <v>7400</v>
      </c>
    </row>
    <row r="3" spans="1:3" s="55" customFormat="1" x14ac:dyDescent="0.25">
      <c r="A3" s="53" t="s">
        <v>0</v>
      </c>
      <c r="B3" s="53"/>
      <c r="C3" s="62">
        <f>SUBTOTAL(109,Tabla2[Imp.cob.aplic.])</f>
        <v>7400</v>
      </c>
    </row>
    <row r="4" spans="1:3" x14ac:dyDescent="0.25">
      <c r="C4" s="4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28EF-F0ED-4F78-A0B6-5F0D6C49AB53}">
  <dimension ref="A1:C3"/>
  <sheetViews>
    <sheetView workbookViewId="0">
      <selection activeCell="B6" sqref="B6:C6"/>
    </sheetView>
  </sheetViews>
  <sheetFormatPr baseColWidth="10" defaultRowHeight="15" x14ac:dyDescent="0.25"/>
  <cols>
    <col min="2" max="2" width="37.85546875" customWidth="1"/>
    <col min="3" max="3" width="13.28515625" customWidth="1"/>
  </cols>
  <sheetData>
    <row r="1" spans="1:3" x14ac:dyDescent="0.25">
      <c r="A1" s="58" t="s">
        <v>192</v>
      </c>
      <c r="B1" s="58" t="s">
        <v>97</v>
      </c>
      <c r="C1" s="59" t="s">
        <v>193</v>
      </c>
    </row>
    <row r="2" spans="1:3" x14ac:dyDescent="0.25">
      <c r="A2" s="60" t="s">
        <v>95</v>
      </c>
      <c r="B2" s="60" t="s">
        <v>194</v>
      </c>
      <c r="C2" s="51">
        <v>-239</v>
      </c>
    </row>
    <row r="3" spans="1:3" s="55" customFormat="1" x14ac:dyDescent="0.25">
      <c r="A3" s="61" t="s">
        <v>0</v>
      </c>
      <c r="B3" s="61"/>
      <c r="C3" s="54">
        <f>SUBTOTAL(109,Tabla3[Imp. aplic.])</f>
        <v>-239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D6DF-9CDC-4F12-9776-7FEADE2D20E1}">
  <dimension ref="A1:C8"/>
  <sheetViews>
    <sheetView workbookViewId="0">
      <selection activeCell="C9" sqref="C9"/>
    </sheetView>
  </sheetViews>
  <sheetFormatPr baseColWidth="10" defaultRowHeight="15" x14ac:dyDescent="0.25"/>
  <cols>
    <col min="1" max="1" width="20" customWidth="1"/>
    <col min="2" max="2" width="41.42578125" customWidth="1"/>
    <col min="3" max="3" width="19.28515625" customWidth="1"/>
  </cols>
  <sheetData>
    <row r="1" spans="1:3" x14ac:dyDescent="0.25">
      <c r="A1" s="70" t="s">
        <v>192</v>
      </c>
      <c r="B1" s="71" t="s">
        <v>97</v>
      </c>
      <c r="C1" s="71" t="s">
        <v>193</v>
      </c>
    </row>
    <row r="2" spans="1:3" x14ac:dyDescent="0.25">
      <c r="A2" s="72" t="s">
        <v>260</v>
      </c>
      <c r="B2" s="73" t="s">
        <v>261</v>
      </c>
      <c r="C2" s="74">
        <v>-2044.59</v>
      </c>
    </row>
    <row r="3" spans="1:3" x14ac:dyDescent="0.25">
      <c r="A3" s="75" t="s">
        <v>262</v>
      </c>
      <c r="B3" s="76" t="s">
        <v>263</v>
      </c>
      <c r="C3" s="77">
        <v>7400</v>
      </c>
    </row>
    <row r="4" spans="1:3" ht="15.75" thickBot="1" x14ac:dyDescent="0.3">
      <c r="A4" s="72" t="s">
        <v>264</v>
      </c>
      <c r="B4" s="73" t="s">
        <v>263</v>
      </c>
      <c r="C4" s="74">
        <v>7400</v>
      </c>
    </row>
    <row r="5" spans="1:3" ht="15.75" thickTop="1" x14ac:dyDescent="0.25">
      <c r="A5" s="78" t="s">
        <v>0</v>
      </c>
      <c r="B5" s="79"/>
      <c r="C5" s="80">
        <v>12755.41</v>
      </c>
    </row>
    <row r="8" spans="1:3" x14ac:dyDescent="0.25">
      <c r="B8" s="68" t="s">
        <v>265</v>
      </c>
      <c r="C8" s="69">
        <f>C5+Tabla2[[#Totals],[Imp.cob.aplic.]]+Tabla3[[#Totals],[Imp. aplic.]]</f>
        <v>19916.41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0565-01D3-4AB3-A379-49EB77177D3E}">
  <dimension ref="A1:C14"/>
  <sheetViews>
    <sheetView workbookViewId="0">
      <selection activeCell="B16" sqref="B16"/>
    </sheetView>
  </sheetViews>
  <sheetFormatPr baseColWidth="10" defaultRowHeight="15" x14ac:dyDescent="0.25"/>
  <cols>
    <col min="1" max="1" width="28.28515625" customWidth="1"/>
    <col min="2" max="2" width="79" customWidth="1"/>
    <col min="3" max="3" width="15.42578125" customWidth="1"/>
  </cols>
  <sheetData>
    <row r="1" spans="1:3" x14ac:dyDescent="0.25">
      <c r="A1" s="63" t="s">
        <v>96</v>
      </c>
      <c r="B1" s="50" t="s">
        <v>97</v>
      </c>
      <c r="C1" s="50" t="s">
        <v>115</v>
      </c>
    </row>
    <row r="2" spans="1:3" x14ac:dyDescent="0.25">
      <c r="A2" s="34" t="s">
        <v>116</v>
      </c>
      <c r="B2" s="35" t="s">
        <v>134</v>
      </c>
      <c r="C2" s="36">
        <v>2342.08</v>
      </c>
    </row>
    <row r="3" spans="1:3" x14ac:dyDescent="0.25">
      <c r="A3" s="37" t="s">
        <v>116</v>
      </c>
      <c r="B3" s="38" t="s">
        <v>136</v>
      </c>
      <c r="C3" s="39">
        <v>879.75</v>
      </c>
    </row>
    <row r="4" spans="1:3" x14ac:dyDescent="0.25">
      <c r="A4" s="34" t="s">
        <v>116</v>
      </c>
      <c r="B4" s="35" t="s">
        <v>137</v>
      </c>
      <c r="C4" s="36">
        <v>1759.5</v>
      </c>
    </row>
    <row r="5" spans="1:3" x14ac:dyDescent="0.25">
      <c r="A5" s="37" t="s">
        <v>116</v>
      </c>
      <c r="B5" s="38" t="s">
        <v>138</v>
      </c>
      <c r="C5" s="39">
        <v>599.25</v>
      </c>
    </row>
    <row r="6" spans="1:3" x14ac:dyDescent="0.25">
      <c r="A6" s="34" t="s">
        <v>116</v>
      </c>
      <c r="B6" s="35" t="s">
        <v>139</v>
      </c>
      <c r="C6" s="36">
        <v>870.2</v>
      </c>
    </row>
    <row r="7" spans="1:3" x14ac:dyDescent="0.25">
      <c r="A7" s="37" t="s">
        <v>116</v>
      </c>
      <c r="B7" s="38" t="s">
        <v>140</v>
      </c>
      <c r="C7" s="39">
        <v>53455.29</v>
      </c>
    </row>
    <row r="8" spans="1:3" x14ac:dyDescent="0.25">
      <c r="A8" s="34" t="s">
        <v>116</v>
      </c>
      <c r="B8" s="35" t="s">
        <v>141</v>
      </c>
      <c r="C8" s="36">
        <v>-21504.01</v>
      </c>
    </row>
    <row r="9" spans="1:3" x14ac:dyDescent="0.25">
      <c r="A9" s="37" t="s">
        <v>116</v>
      </c>
      <c r="B9" s="38" t="s">
        <v>142</v>
      </c>
      <c r="C9" s="39">
        <v>-881.68</v>
      </c>
    </row>
    <row r="10" spans="1:3" x14ac:dyDescent="0.25">
      <c r="A10" s="34" t="s">
        <v>116</v>
      </c>
      <c r="B10" s="35" t="s">
        <v>143</v>
      </c>
      <c r="C10" s="36">
        <v>-188.77</v>
      </c>
    </row>
    <row r="11" spans="1:3" x14ac:dyDescent="0.25">
      <c r="A11" s="37" t="s">
        <v>116</v>
      </c>
      <c r="B11" s="38" t="s">
        <v>144</v>
      </c>
      <c r="C11" s="39">
        <v>12442.5</v>
      </c>
    </row>
    <row r="12" spans="1:3" s="49" customFormat="1" x14ac:dyDescent="0.25">
      <c r="A12" s="47" t="s">
        <v>1</v>
      </c>
      <c r="B12" s="47" t="s">
        <v>191</v>
      </c>
      <c r="C12" s="48">
        <v>810</v>
      </c>
    </row>
    <row r="13" spans="1:3" x14ac:dyDescent="0.25">
      <c r="A13" t="s">
        <v>0</v>
      </c>
      <c r="C13" s="40">
        <f>SUBTOTAL(109,Tabla5[Imp.cob.aplic.])</f>
        <v>50584.11</v>
      </c>
    </row>
    <row r="14" spans="1:3" x14ac:dyDescent="0.25">
      <c r="C14" s="40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0274-1852-4229-97FA-1779AC530BE6}">
  <dimension ref="A1:C21"/>
  <sheetViews>
    <sheetView topLeftCell="A7" workbookViewId="0">
      <selection activeCell="H34" sqref="H34"/>
    </sheetView>
  </sheetViews>
  <sheetFormatPr baseColWidth="10" defaultRowHeight="15" x14ac:dyDescent="0.25"/>
  <cols>
    <col min="2" max="2" width="50.7109375" customWidth="1"/>
    <col min="3" max="3" width="11.7109375" customWidth="1"/>
  </cols>
  <sheetData>
    <row r="1" spans="1:3" x14ac:dyDescent="0.25">
      <c r="A1" s="58" t="s">
        <v>192</v>
      </c>
      <c r="B1" s="58" t="s">
        <v>97</v>
      </c>
      <c r="C1" s="58" t="s">
        <v>193</v>
      </c>
    </row>
    <row r="2" spans="1:3" x14ac:dyDescent="0.25">
      <c r="A2" s="57" t="s">
        <v>1</v>
      </c>
      <c r="B2" s="57" t="s">
        <v>195</v>
      </c>
      <c r="C2" s="32">
        <v>-810</v>
      </c>
    </row>
    <row r="3" spans="1:3" x14ac:dyDescent="0.25">
      <c r="A3" s="64" t="s">
        <v>116</v>
      </c>
      <c r="B3" s="64" t="s">
        <v>196</v>
      </c>
      <c r="C3" s="65">
        <v>440.77</v>
      </c>
    </row>
    <row r="4" spans="1:3" x14ac:dyDescent="0.25">
      <c r="A4" s="57" t="s">
        <v>116</v>
      </c>
      <c r="B4" s="57" t="s">
        <v>197</v>
      </c>
      <c r="C4" s="32">
        <v>94.55</v>
      </c>
    </row>
    <row r="5" spans="1:3" x14ac:dyDescent="0.25">
      <c r="A5" s="64" t="s">
        <v>116</v>
      </c>
      <c r="B5" s="64" t="s">
        <v>198</v>
      </c>
      <c r="C5" s="65">
        <v>9234.2999999999993</v>
      </c>
    </row>
    <row r="6" spans="1:3" x14ac:dyDescent="0.25">
      <c r="A6" s="57" t="s">
        <v>116</v>
      </c>
      <c r="B6" s="57" t="s">
        <v>198</v>
      </c>
      <c r="C6" s="32">
        <v>475.95</v>
      </c>
    </row>
    <row r="7" spans="1:3" x14ac:dyDescent="0.25">
      <c r="A7" s="64" t="s">
        <v>116</v>
      </c>
      <c r="B7" s="64" t="s">
        <v>199</v>
      </c>
      <c r="C7" s="65">
        <v>-570.62</v>
      </c>
    </row>
    <row r="8" spans="1:3" x14ac:dyDescent="0.25">
      <c r="A8" s="57" t="s">
        <v>116</v>
      </c>
      <c r="B8" s="57" t="s">
        <v>200</v>
      </c>
      <c r="C8" s="32">
        <v>440.91</v>
      </c>
    </row>
    <row r="9" spans="1:3" x14ac:dyDescent="0.25">
      <c r="A9" s="64" t="s">
        <v>116</v>
      </c>
      <c r="B9" s="64" t="s">
        <v>201</v>
      </c>
      <c r="C9" s="65">
        <v>94.38</v>
      </c>
    </row>
    <row r="10" spans="1:3" x14ac:dyDescent="0.25">
      <c r="A10" s="57" t="s">
        <v>116</v>
      </c>
      <c r="B10" s="57" t="s">
        <v>202</v>
      </c>
      <c r="C10" s="32">
        <v>8214.99</v>
      </c>
    </row>
    <row r="11" spans="1:3" x14ac:dyDescent="0.25">
      <c r="A11" s="64" t="s">
        <v>116</v>
      </c>
      <c r="B11" s="64" t="s">
        <v>203</v>
      </c>
      <c r="C11" s="65">
        <v>3316.38</v>
      </c>
    </row>
    <row r="12" spans="1:3" x14ac:dyDescent="0.25">
      <c r="A12" s="57" t="s">
        <v>116</v>
      </c>
      <c r="B12" s="57" t="s">
        <v>203</v>
      </c>
      <c r="C12" s="32">
        <v>238.05</v>
      </c>
    </row>
    <row r="13" spans="1:3" x14ac:dyDescent="0.25">
      <c r="A13" s="64" t="s">
        <v>116</v>
      </c>
      <c r="B13" s="64" t="s">
        <v>204</v>
      </c>
      <c r="C13" s="65">
        <v>23678.93</v>
      </c>
    </row>
    <row r="14" spans="1:3" x14ac:dyDescent="0.25">
      <c r="A14" s="57" t="s">
        <v>116</v>
      </c>
      <c r="B14" s="57" t="s">
        <v>205</v>
      </c>
      <c r="C14" s="32">
        <v>1173</v>
      </c>
    </row>
    <row r="15" spans="1:3" x14ac:dyDescent="0.25">
      <c r="A15" s="64" t="s">
        <v>116</v>
      </c>
      <c r="B15" s="64" t="s">
        <v>206</v>
      </c>
      <c r="C15" s="65">
        <v>26403.35</v>
      </c>
    </row>
    <row r="16" spans="1:3" x14ac:dyDescent="0.25">
      <c r="A16" s="57" t="s">
        <v>116</v>
      </c>
      <c r="B16" s="57" t="s">
        <v>207</v>
      </c>
      <c r="C16" s="32">
        <v>-26403.35</v>
      </c>
    </row>
    <row r="17" spans="1:3" x14ac:dyDescent="0.25">
      <c r="A17" s="64" t="s">
        <v>116</v>
      </c>
      <c r="B17" s="64" t="s">
        <v>208</v>
      </c>
      <c r="C17" s="65">
        <v>1173</v>
      </c>
    </row>
    <row r="18" spans="1:3" x14ac:dyDescent="0.25">
      <c r="A18" s="57" t="s">
        <v>116</v>
      </c>
      <c r="B18" s="57" t="s">
        <v>209</v>
      </c>
      <c r="C18" s="32">
        <v>-1173</v>
      </c>
    </row>
    <row r="19" spans="1:3" x14ac:dyDescent="0.25">
      <c r="A19" s="64" t="s">
        <v>116</v>
      </c>
      <c r="B19" s="64" t="s">
        <v>210</v>
      </c>
      <c r="C19" s="65">
        <v>216.75</v>
      </c>
    </row>
    <row r="20" spans="1:3" x14ac:dyDescent="0.25">
      <c r="A20" s="60" t="s">
        <v>116</v>
      </c>
      <c r="B20" s="60" t="s">
        <v>211</v>
      </c>
      <c r="C20" s="51">
        <v>5033.0200000000004</v>
      </c>
    </row>
    <row r="21" spans="1:3" x14ac:dyDescent="0.25">
      <c r="A21" s="61" t="s">
        <v>0</v>
      </c>
      <c r="B21" s="61"/>
      <c r="C21" s="54">
        <f>SUBTOTAL(109,Tabla6[Imp. aplic.])</f>
        <v>51271.360000000001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86D2-A8CA-4CFB-A172-6DC81FE45081}">
  <dimension ref="A1:C26"/>
  <sheetViews>
    <sheetView topLeftCell="A4" workbookViewId="0">
      <selection activeCell="C30" sqref="C30"/>
    </sheetView>
  </sheetViews>
  <sheetFormatPr baseColWidth="10" defaultRowHeight="15" x14ac:dyDescent="0.25"/>
  <cols>
    <col min="1" max="1" width="17.7109375" customWidth="1"/>
    <col min="2" max="2" width="67.42578125" customWidth="1"/>
    <col min="3" max="3" width="25.42578125" customWidth="1"/>
  </cols>
  <sheetData>
    <row r="1" spans="1:3" x14ac:dyDescent="0.25">
      <c r="A1" s="81" t="s">
        <v>192</v>
      </c>
      <c r="B1" s="81" t="s">
        <v>97</v>
      </c>
      <c r="C1" s="82" t="s">
        <v>193</v>
      </c>
    </row>
    <row r="2" spans="1:3" x14ac:dyDescent="0.25">
      <c r="A2" s="73" t="s">
        <v>116</v>
      </c>
      <c r="B2" s="73" t="s">
        <v>266</v>
      </c>
      <c r="C2" s="74">
        <v>15405.14</v>
      </c>
    </row>
    <row r="3" spans="1:3" x14ac:dyDescent="0.25">
      <c r="A3" s="76" t="s">
        <v>116</v>
      </c>
      <c r="B3" s="76" t="s">
        <v>267</v>
      </c>
      <c r="C3" s="77">
        <v>586.5</v>
      </c>
    </row>
    <row r="4" spans="1:3" x14ac:dyDescent="0.25">
      <c r="A4" s="73" t="s">
        <v>116</v>
      </c>
      <c r="B4" s="73" t="s">
        <v>268</v>
      </c>
      <c r="C4" s="74">
        <v>6145.74</v>
      </c>
    </row>
    <row r="5" spans="1:3" x14ac:dyDescent="0.25">
      <c r="A5" s="76" t="s">
        <v>116</v>
      </c>
      <c r="B5" s="76" t="s">
        <v>269</v>
      </c>
      <c r="C5" s="77">
        <v>153.19999999999999</v>
      </c>
    </row>
    <row r="6" spans="1:3" x14ac:dyDescent="0.25">
      <c r="A6" s="73" t="s">
        <v>116</v>
      </c>
      <c r="B6" s="73" t="s">
        <v>270</v>
      </c>
      <c r="C6" s="74">
        <v>586.5</v>
      </c>
    </row>
    <row r="7" spans="1:3" x14ac:dyDescent="0.25">
      <c r="A7" s="76" t="s">
        <v>116</v>
      </c>
      <c r="B7" s="76" t="s">
        <v>271</v>
      </c>
      <c r="C7" s="77">
        <v>4590.34</v>
      </c>
    </row>
    <row r="8" spans="1:3" x14ac:dyDescent="0.25">
      <c r="A8" s="73" t="s">
        <v>116</v>
      </c>
      <c r="B8" s="73" t="s">
        <v>272</v>
      </c>
      <c r="C8" s="74">
        <v>988.78</v>
      </c>
    </row>
    <row r="9" spans="1:3" x14ac:dyDescent="0.25">
      <c r="A9" s="76" t="s">
        <v>273</v>
      </c>
      <c r="B9" s="76" t="s">
        <v>274</v>
      </c>
      <c r="C9" s="77">
        <v>2235.6</v>
      </c>
    </row>
    <row r="10" spans="1:3" x14ac:dyDescent="0.25">
      <c r="A10" s="73" t="s">
        <v>275</v>
      </c>
      <c r="B10" s="73" t="s">
        <v>276</v>
      </c>
      <c r="C10" s="74">
        <v>5670</v>
      </c>
    </row>
    <row r="11" spans="1:3" x14ac:dyDescent="0.25">
      <c r="A11" s="76" t="s">
        <v>73</v>
      </c>
      <c r="B11" s="76" t="s">
        <v>277</v>
      </c>
      <c r="C11" s="77">
        <v>-8.5</v>
      </c>
    </row>
    <row r="12" spans="1:3" x14ac:dyDescent="0.25">
      <c r="A12" s="73" t="s">
        <v>73</v>
      </c>
      <c r="B12" s="73" t="s">
        <v>278</v>
      </c>
      <c r="C12" s="74">
        <v>-6516.91</v>
      </c>
    </row>
    <row r="13" spans="1:3" x14ac:dyDescent="0.25">
      <c r="A13" s="76" t="s">
        <v>73</v>
      </c>
      <c r="B13" s="76" t="s">
        <v>279</v>
      </c>
      <c r="C13" s="77">
        <v>-8215.1299999999992</v>
      </c>
    </row>
    <row r="14" spans="1:3" x14ac:dyDescent="0.25">
      <c r="A14" s="73" t="s">
        <v>280</v>
      </c>
      <c r="B14" s="73" t="s">
        <v>281</v>
      </c>
      <c r="C14" s="74">
        <v>21861.52</v>
      </c>
    </row>
    <row r="15" spans="1:3" x14ac:dyDescent="0.25">
      <c r="A15" s="76" t="s">
        <v>280</v>
      </c>
      <c r="B15" s="76" t="s">
        <v>282</v>
      </c>
      <c r="C15" s="77">
        <v>551.94000000000005</v>
      </c>
    </row>
    <row r="16" spans="1:3" x14ac:dyDescent="0.25">
      <c r="A16" s="73" t="s">
        <v>280</v>
      </c>
      <c r="B16" s="73" t="s">
        <v>283</v>
      </c>
      <c r="C16" s="74">
        <v>1103.3699999999999</v>
      </c>
    </row>
    <row r="17" spans="1:3" x14ac:dyDescent="0.25">
      <c r="A17" s="76" t="s">
        <v>280</v>
      </c>
      <c r="B17" s="76" t="s">
        <v>283</v>
      </c>
      <c r="C17" s="77">
        <v>-1103.3699999999999</v>
      </c>
    </row>
    <row r="18" spans="1:3" x14ac:dyDescent="0.25">
      <c r="A18" s="73" t="s">
        <v>280</v>
      </c>
      <c r="B18" s="73" t="s">
        <v>284</v>
      </c>
      <c r="C18" s="74">
        <v>3246.66</v>
      </c>
    </row>
    <row r="19" spans="1:3" x14ac:dyDescent="0.25">
      <c r="A19" s="76" t="s">
        <v>280</v>
      </c>
      <c r="B19" s="76" t="s">
        <v>285</v>
      </c>
      <c r="C19" s="77">
        <v>22653.19</v>
      </c>
    </row>
    <row r="20" spans="1:3" x14ac:dyDescent="0.25">
      <c r="A20" s="73" t="s">
        <v>280</v>
      </c>
      <c r="B20" s="73" t="s">
        <v>285</v>
      </c>
      <c r="C20" s="74">
        <v>-22653.19</v>
      </c>
    </row>
    <row r="21" spans="1:3" x14ac:dyDescent="0.25">
      <c r="A21" s="83" t="s">
        <v>280</v>
      </c>
      <c r="B21" s="83" t="s">
        <v>286</v>
      </c>
      <c r="C21" s="84">
        <v>772.68</v>
      </c>
    </row>
    <row r="22" spans="1:3" x14ac:dyDescent="0.25">
      <c r="A22" s="83" t="s">
        <v>0</v>
      </c>
      <c r="B22" s="83"/>
      <c r="C22" s="85">
        <f>SUBTOTAL(109,Tabla1[Imp. aplic.])</f>
        <v>48054.060000000005</v>
      </c>
    </row>
    <row r="26" spans="1:3" x14ac:dyDescent="0.25">
      <c r="B26" s="66" t="s">
        <v>287</v>
      </c>
      <c r="C26" s="67">
        <f>Tabla1[[#Totals],[Imp. aplic.]]+Tabla5[[#Totals],[Imp.cob.aplic.]]+Tabla6[[#Totals],[Imp. aplic.]]</f>
        <v>149909.53000000003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2026-05-28T09:15:03Z</dcterms:modified>
</cp:coreProperties>
</file>