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F54D541F-9F5D-44D4-B7D4-90C679E329E5}" xr6:coauthVersionLast="47" xr6:coauthVersionMax="47" xr10:uidLastSave="{00000000-0000-0000-0000-000000000000}"/>
  <bookViews>
    <workbookView xWindow="-108" yWindow="-108" windowWidth="23256" windowHeight="13896" tabRatio="783" firstSheet="3" activeTab="7" xr2:uid="{00000000-000D-0000-FFFF-FFFF00000000}"/>
  </bookViews>
  <sheets>
    <sheet name="Tesis" sheetId="10" r:id="rId1"/>
    <sheet name="Sexenios" sheetId="11" r:id="rId2"/>
    <sheet name="Ingresos investigación 2023" sheetId="22" r:id="rId3"/>
    <sheet name="Ingresos investigación 2024" sheetId="24" r:id="rId4"/>
    <sheet name="Ingresos investigación 2025" sheetId="26" r:id="rId5"/>
    <sheet name="Ingresos formación 2023" sheetId="23" r:id="rId6"/>
    <sheet name="Ingresos formación 2024" sheetId="25" r:id="rId7"/>
    <sheet name="Ingresos formación 2025" sheetId="27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7" l="1"/>
  <c r="C9" i="26"/>
  <c r="C8" i="23"/>
  <c r="C14" i="24"/>
  <c r="C11" i="22"/>
  <c r="S31" i="11" l="1"/>
  <c r="S39" i="10"/>
</calcChain>
</file>

<file path=xl/sharedStrings.xml><?xml version="1.0" encoding="utf-8"?>
<sst xmlns="http://schemas.openxmlformats.org/spreadsheetml/2006/main" count="870" uniqueCount="251">
  <si>
    <t>Total</t>
  </si>
  <si>
    <t>34.20.6P.00.12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</si>
  <si>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</si>
  <si>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</si>
  <si>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</si>
  <si>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</si>
  <si>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</si>
  <si>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</si>
  <si>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</si>
  <si>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</si>
  <si>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</si>
  <si>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</si>
  <si>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</si>
  <si>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</si>
  <si>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</si>
  <si>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</si>
  <si>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</si>
  <si>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</si>
  <si>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</si>
  <si>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</si>
  <si>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</si>
  <si>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</si>
  <si>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</si>
  <si>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</si>
  <si>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</si>
  <si>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</si>
  <si>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</si>
  <si>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U023 </t>
  </si>
  <si>
    <t>ADM. FACULTAD DE FILOSOFIA Y LETRAS </t>
  </si>
  <si>
    <t>DOCTORADO EN TRANSFERENCIAS INTERCULTURALES E HISTÓRICAS EN LA EUROPA MEDIE </t>
  </si>
  <si>
    <t>DOCTORADO EN FILOSOFÍA Y LETRAS </t>
  </si>
  <si>
    <t>B142 </t>
  </si>
  <si>
    <t>FILOLOGÍA CATALANA </t>
  </si>
  <si>
    <t>21497069G </t>
  </si>
  <si>
    <t>B142</t>
  </si>
  <si>
    <t>10.08</t>
  </si>
  <si>
    <t>21439260V </t>
  </si>
  <si>
    <t>21644530N </t>
  </si>
  <si>
    <t>25122167A </t>
  </si>
  <si>
    <t>44762589N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</si>
  <si>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</si>
  <si>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</si>
  <si>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</si>
  <si>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</si>
  <si>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</si>
  <si>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</si>
  <si>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</si>
  <si>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</si>
  <si>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</si>
  <si>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</si>
  <si>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</si>
  <si>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</si>
  <si>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</si>
  <si>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</si>
  <si>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21374221E</t>
  </si>
  <si>
    <t>74228241L</t>
  </si>
  <si>
    <t>21437369N</t>
  </si>
  <si>
    <t>25127439P</t>
  </si>
  <si>
    <t>25126465T</t>
  </si>
  <si>
    <t>74231463K</t>
  </si>
  <si>
    <t>21650880Z</t>
  </si>
  <si>
    <t>48364664B</t>
  </si>
  <si>
    <t>52767687Y</t>
  </si>
  <si>
    <t>21668026W</t>
  </si>
  <si>
    <t>21439260V</t>
  </si>
  <si>
    <t>25122922E</t>
  </si>
  <si>
    <t>21644530N</t>
  </si>
  <si>
    <t>25119289T</t>
  </si>
  <si>
    <t>25122167A</t>
  </si>
  <si>
    <t>21497069G</t>
  </si>
  <si>
    <t>52911805Y</t>
  </si>
  <si>
    <t>22009507W</t>
  </si>
  <si>
    <t>21979558E</t>
  </si>
  <si>
    <t>21497100N</t>
  </si>
  <si>
    <t>Mangas Navarro, Natalia Anaís </t>
  </si>
  <si>
    <t>La criança y virtuosa dotrina de Pedro de Gracia Dei: estudio y edición crítica </t>
  </si>
  <si>
    <t>22/07/2020 </t>
  </si>
  <si>
    <t>21687362H</t>
  </si>
  <si>
    <t>36565677R</t>
  </si>
  <si>
    <t>COD DEP</t>
  </si>
  <si>
    <t>53232706B</t>
  </si>
  <si>
    <t>Ferrando Morales, Àngel Lluís </t>
  </si>
  <si>
    <t>EL TIRANT LO BLANC FET MÚSICA: LES COMPOSICIONS MUSICALS INSPIRADES EN EL TIRANT LO BLANC </t>
  </si>
  <si>
    <t>04/11/2020 </t>
  </si>
  <si>
    <t>Escolano Marín, Xènia </t>
  </si>
  <si>
    <t>Diccionari electrònic bilingüe català&gt;anglés de locucions referencials idiomàtiques de somatismes </t>
  </si>
  <si>
    <t>22/07/2021 </t>
  </si>
  <si>
    <t>Cód. org. aplic.</t>
  </si>
  <si>
    <t>Descripción justificante</t>
  </si>
  <si>
    <t>34.20.6M.00.11</t>
  </si>
  <si>
    <t>21381421E </t>
  </si>
  <si>
    <t>Antón Álvarez de Cienfuegos, María </t>
  </si>
  <si>
    <t>"LA TRANSMISSIÓ FAMILIAR DEL CATALÀ A LA CATALUNYA DEL NORD" </t>
  </si>
  <si>
    <t>14/12/2021 </t>
  </si>
  <si>
    <t>21418561H </t>
  </si>
  <si>
    <t>22146053C</t>
  </si>
  <si>
    <t>10.23</t>
  </si>
  <si>
    <t>44762589N</t>
  </si>
  <si>
    <t>Imp.cob.aplic.</t>
  </si>
  <si>
    <t>34.20.6P.00.20</t>
  </si>
  <si>
    <t>34.20.6P.00.21</t>
  </si>
  <si>
    <t>10.15</t>
  </si>
  <si>
    <t>Estudi i edició del Cançoner sagrat de vides de sants </t>
  </si>
  <si>
    <t>09/06/2023 </t>
  </si>
  <si>
    <t>Intercultural transmission perspective in using school leadership of social justice to include refugee and migrant children into Greek Public Primary Education:perceptions of school principals. </t>
  </si>
  <si>
    <t>17/03/2023 </t>
  </si>
  <si>
    <t>Intercultural transmission perspective in human, social and cultural capital reinforcement through the analysis of eLifelong Education in health services. Field of research: The human resources of the General Hospital of Patras Agios Andreas </t>
  </si>
  <si>
    <t>From the New Public Management to the New Public Governance through the social phenomenon of multiculturalism - the challenges and prospects for the modern societies. The case of Spain and Greece. </t>
  </si>
  <si>
    <t>21687362H </t>
  </si>
  <si>
    <t>LIFELONG TRAINING OF CIVIL SERVANTS ON INFORMATION SYSTEMS IN THE FIELD OF HEALTH </t>
  </si>
  <si>
    <t>Management and continue training of human resourses in Intercultural Europe-the case of Greek Public companies. </t>
  </si>
  <si>
    <t>20052061V</t>
  </si>
  <si>
    <t>Vivos</t>
  </si>
  <si>
    <t>34.20.6M.00.12</t>
  </si>
  <si>
    <t>Tutorización, orientación y acompañamiento en el aprendizaje de estudiantes de la asignatura "Poesia catalana contemporània" (cod. 07582)</t>
  </si>
  <si>
    <t xml:space="preserve">Tareas de tutorización, orientación y el acompañamiento en el aprendizaje de los estudiantes de la asignatura "Poesía catalana contemporània" (código 07.582) </t>
  </si>
  <si>
    <t>DEVOLUCIÓN DE INGRESOS_CARTA DE PAGO_ Referencia: FFI2017-86248-P</t>
  </si>
  <si>
    <t>DEVOLUCIÓN DE INGRESOS_MODELO 069_Expediente o Referencia: 173-P52778-202212210097804</t>
  </si>
  <si>
    <t xml:space="preserve">DEVOLUCIÓN DE INGRESOS_MODELO 047_Nº de liquidación:46/2023/RAS/10276/1_ Número de justificante:047/1/002376790_Nº de referencia:047/1/002376790 </t>
  </si>
  <si>
    <t>34.20.6P.00.22</t>
  </si>
  <si>
    <t>AYUDAS MEMUNI/2023/2, MEMUNI/2023/3, MEMUNI/2023/5</t>
  </si>
  <si>
    <t>34.20.6Q.00.01</t>
  </si>
  <si>
    <t>CÀTEDRA MULTILINGÜISME UNIVERSITAT D'ALACANT CONCESSIÓ DIRECTA ART. 168.A</t>
  </si>
  <si>
    <t>34.20.6Q.00.02</t>
  </si>
  <si>
    <t>CONVENIO DE COLABORACIÓN ENTRE LA UA Y EL AYUNTAMIENTO DE ALCOY PARA EL MANTENIMIENTO DE LA CÁTEDRA DE ARTE CONTEMPORÁNEO ANTONI MIRÓ DE LA UA.</t>
  </si>
  <si>
    <t xml:space="preserve">Cátedra Antoni Miró de Arte Contemporáneo (Solicitud de anticipo en base a Resolución GV) </t>
  </si>
  <si>
    <t>34.20.2E.00.16</t>
  </si>
  <si>
    <t xml:space="preserve">LIQUID_01 JyC_FiloCat_Curso_2022-23_Emitido_2023___XX Jornades d'estudiants de Filologia Catalana </t>
  </si>
  <si>
    <t xml:space="preserve">Liquid_04_JyC_FiloCat-XX_  </t>
  </si>
  <si>
    <t>Devolución de inscripción a la actividad XX Jornades d¿Estudiants de Filologia Catalana debido a no asistencia.</t>
  </si>
  <si>
    <t xml:space="preserve">Liquid_02_JyC_FiloCat-XX_  </t>
  </si>
  <si>
    <t xml:space="preserve">Liquid_03_JyC_FiloCat-XX_  </t>
  </si>
  <si>
    <t>Inscripció a XX Jornada d'estudiants de Filologia Catalana (29-31 març de 2023) de Laia Molà Galindo</t>
  </si>
  <si>
    <t>Barceló Trigueros, Sergi</t>
  </si>
  <si>
    <t>Rentzi , Argyro</t>
  </si>
  <si>
    <t>Giatra , Diamantina</t>
  </si>
  <si>
    <t>Kartezinis , Kosmas</t>
  </si>
  <si>
    <t>Lalos , Christos</t>
  </si>
  <si>
    <t>michalopoulos , petros</t>
  </si>
  <si>
    <t xml:space="preserve">U023 </t>
  </si>
  <si>
    <t>ADM. FACULTAD DE FILOSOFIA Y LETRAS</t>
  </si>
  <si>
    <t>DOCTORADO EN TRANSFERENCIAS INTERCULTURALES E HISTÓRICAS EN LA EUROPA MEDIE</t>
  </si>
  <si>
    <t>Castillo Ochoa, Ruth Carolina</t>
  </si>
  <si>
    <t>LA RELATIVIDAD GENERAL DE EINSTEIN Y EL PROBLEMA DE LOS TÉRMINOS TEORICOS E INOBSERVABLES: WEYL, HUSSERL, NEELAMKAVIL</t>
  </si>
  <si>
    <t>29/09/2023</t>
  </si>
  <si>
    <t xml:space="preserve">25122167A </t>
  </si>
  <si>
    <t>Codirector de tesis</t>
  </si>
  <si>
    <t>FILOLOGÍA CATALANA</t>
  </si>
  <si>
    <t>Iannaccone , Giuseppe</t>
  </si>
  <si>
    <t>La manipulación retórica en el discurso político: de la Antigüedad hasta nuestros días.Técnicas innovadoras para el estudio del discurso político</t>
  </si>
  <si>
    <t>U023</t>
  </si>
  <si>
    <t>DOCTORADO EN FILOSOFÍA Y LETRAS</t>
  </si>
  <si>
    <t>Ripoll Cervera, Juan Enrique</t>
  </si>
  <si>
    <t>Inteligencia artificial e incunables poéticos: creación de un modelo extendido de transcripción automática</t>
  </si>
  <si>
    <t>04/07/2024</t>
  </si>
  <si>
    <t>Director de tesis</t>
  </si>
  <si>
    <t>Martínez Pérez, Antoni Vicent</t>
  </si>
  <si>
    <t>Evolució semàntica i gramaticalització del verb pensar (segles XII-XVI): un estudi de corpus segons la semàntica diacrònica cognitiva i la Teoria de la Inferència Invitada</t>
  </si>
  <si>
    <t>10/09/2024</t>
  </si>
  <si>
    <t>10</t>
  </si>
  <si>
    <t>Konaki , Paraskevi</t>
  </si>
  <si>
    <t>Psychosocial difficulties of students with disabilities and special educational needs through counseling</t>
  </si>
  <si>
    <t>04/06/2024</t>
  </si>
  <si>
    <t>Tsekouras , Ilias</t>
  </si>
  <si>
    <t>Special Education in Greek Multicultural and Inclusive School Classrooms: A primary Research in Secondary Education Schools of Ioannina</t>
  </si>
  <si>
    <t>Priskomatis , Theodoros</t>
  </si>
  <si>
    <t>Multicultural/intercultural education prospective for the study of the relationship between extra-curricular athletic activities and academic performance in college students</t>
  </si>
  <si>
    <t>05/06/2024</t>
  </si>
  <si>
    <t>48719167S</t>
  </si>
  <si>
    <t>choleva , magdalini</t>
  </si>
  <si>
    <t>THE INTERCULTURAL APPROACH TO TRAINING OF ORGANIZATIONAL CULTURE AND HUMAN RESOURCES IN THE GREEK PUBLIC HOSPITAL SECTOR</t>
  </si>
  <si>
    <t>27/06/2024</t>
  </si>
  <si>
    <t>Bouchtsis , Marinos</t>
  </si>
  <si>
    <t>Management and lifelong training of human resources in Education Services and Educational Organizations. Evaluation methods and tools.</t>
  </si>
  <si>
    <t>79101713K</t>
  </si>
  <si>
    <t>48669570Y</t>
  </si>
  <si>
    <t>lamprou , charilaos</t>
  </si>
  <si>
    <t>Educational technologies in the teaching of mathematics to people with special educational The role of personality and the development of motivation.</t>
  </si>
  <si>
    <t>09/07/2024</t>
  </si>
  <si>
    <t>30</t>
  </si>
  <si>
    <t>20</t>
  </si>
  <si>
    <t>Org. aplic.</t>
  </si>
  <si>
    <t>Imp. aplic.</t>
  </si>
  <si>
    <t>34.20.6C.00.03</t>
  </si>
  <si>
    <t>Liquidación de derechos de autor de la obra colectiva "Ausias March, poesía completa, edición crítica del original con traducción completa a la lengua española"</t>
  </si>
  <si>
    <t>34.20.6C.00.16</t>
  </si>
  <si>
    <t>Servei de co-comissari, assessorament i organització de l'exposició sobre el teatre a Elx durant la segona meitat del segle XX.</t>
  </si>
  <si>
    <t xml:space="preserve">INGRESO PERCIBIDO POR LA UA CORRESPONDIENTE A "ANUALITAT 2023-CONVENI DE COL·LABORACIÓ EN ACTIVITATS D'INTERÈS GENERAL ENTRE L'AJUNTAMENT D'ALTEA I LA UNIVERSITAT D'ALACANT" </t>
  </si>
  <si>
    <t>34.20.6M.00.13</t>
  </si>
  <si>
    <t>"Tareas de tutorización, orientación y el acompañamiento en el aprendizaje de los estudiantes de la asignatura "Poesia catalana contemporània" (cód. 07.582)</t>
  </si>
  <si>
    <t>Tareas de tutorización, orientación y el acompañamiento en el aprendizaje de los estudiantes de la asignatura "Poesia catalana contemporània" (cód. 07.582)</t>
  </si>
  <si>
    <t>Tareas de tutorización, orientación y el acompañamiento en el aprendizaje de los estudiantes de la asignatura "Poesía catalana contemporània" (código 07.582)</t>
  </si>
  <si>
    <t>34.20.6M.00.14</t>
  </si>
  <si>
    <t>1er pago "Tareas de tutorización, oreintación y el acompañamiento en el aprendizaje de los estudiantes de la asignatura "Poesía catalana contemporània (cód. 07.582)</t>
  </si>
  <si>
    <t>PID2021-126485OB-I00-126858NB-I00-126990NB-I00-127332NB-I00-127426OB-C22-127566NB-I00-127967NB-I00-127999NB-I00-128381NB-I00-128761OB-C21-128766OB-I00-128805NA-I00-128876OB-I00</t>
  </si>
  <si>
    <t>ANULACIÓN POR MINORACIÓN AYUDAS MEMUNI/2023/2, MEMUNI/2023/5</t>
  </si>
  <si>
    <t>34.20.6P.00.23</t>
  </si>
  <si>
    <t xml:space="preserve">ayudas CIPROM/2023/2, CIPROM/2023/3, CIPROM/2023/6, CIPROM/2023/11, CIPROM/2023/35 </t>
  </si>
  <si>
    <t>Anulación de Derechos Cátedra Antoni Miró de Arte Contemporáneo por falta de justificación</t>
  </si>
  <si>
    <t>Cátedra de Arte Contemporáneo Antoni Miró (S128500000) Núm fact:6003251903</t>
  </si>
  <si>
    <t>SIN INGRESOS DE FORMACIÓN EN 2024</t>
  </si>
  <si>
    <t>Administración Facultad de Filosofía y Letras</t>
  </si>
  <si>
    <t>Mira Anton, Carla</t>
  </si>
  <si>
    <t>L'assaig en català escrit per dones (1961-2020): una panoràmica des de la perspectiva de gènere</t>
  </si>
  <si>
    <t>26/05/2025</t>
  </si>
  <si>
    <t>Filología Catalana</t>
  </si>
  <si>
    <t>CASTILLO PRATS, SERGI</t>
  </si>
  <si>
    <t>Els orígens i els primers vint anys de l'Acadèmia Valenciana de la Llengua (1995-2021)</t>
  </si>
  <si>
    <t>20/12/2024</t>
  </si>
  <si>
    <t>2020</t>
  </si>
  <si>
    <t>2021</t>
  </si>
  <si>
    <t>2022</t>
  </si>
  <si>
    <t>2023</t>
  </si>
  <si>
    <t>2024</t>
  </si>
  <si>
    <t>2025</t>
  </si>
  <si>
    <t>Mira Navarro, Irene</t>
  </si>
  <si>
    <t>Alemany Ferrer, Rafael</t>
  </si>
  <si>
    <t>Baldaquí Escandell, Josep Maria</t>
  </si>
  <si>
    <t>Garcia Sempere, Maria Manuela</t>
  </si>
  <si>
    <t>Martos Sánchez, Josep Lluis</t>
  </si>
  <si>
    <t>Segura Llópez, Josep Carles</t>
  </si>
  <si>
    <t>Martín Pascual, Llúcia</t>
  </si>
  <si>
    <t>Cortés Orts, Carles</t>
  </si>
  <si>
    <t>Francés Díez, Maria Àngels</t>
  </si>
  <si>
    <t>Antolí Martínez, Jordi Manuel</t>
  </si>
  <si>
    <t>Sansano I Belso, Gabriel</t>
  </si>
  <si>
    <t>Perujo Melgar, Joan Maria</t>
  </si>
  <si>
    <t>Maestre Brotons, Antoni</t>
  </si>
  <si>
    <t>Martínez Pérez, Josep</t>
  </si>
  <si>
    <t>Martínez Pérez, Vicent</t>
  </si>
  <si>
    <t>Llorca Ibi, Francesc Xavier</t>
  </si>
  <si>
    <t>Borja Sanz, Joan</t>
  </si>
  <si>
    <t>Beltran Calvo, Vicent</t>
  </si>
  <si>
    <t>Marcillas Piquer, Isabel</t>
  </si>
  <si>
    <t>Sánchez López, Elena</t>
  </si>
  <si>
    <t>Escandell Maestre, Dari</t>
  </si>
  <si>
    <t>Garcia Sebastià, Josep Vicent</t>
  </si>
  <si>
    <t>Martínez Martínez, Caterina</t>
  </si>
  <si>
    <t>Esteve Guillén, Anna Isabel</t>
  </si>
  <si>
    <t>Montserrat Buendia, Sandra</t>
  </si>
  <si>
    <t>Baile López, Eduard</t>
  </si>
  <si>
    <t>Arronis Llopis, Carmen</t>
  </si>
  <si>
    <t>Càmara Sempere, Hèctor</t>
  </si>
  <si>
    <t>Guardiola Savall, Maria Isabel</t>
  </si>
  <si>
    <t>34.20.6C.00.17</t>
  </si>
  <si>
    <t>1er pagament any 2025 Conveni de col·laboració "Atles Lingüístic Valencià". Ref. int. AVL1-25T</t>
  </si>
  <si>
    <t>2º pago "Tareas de tutorización, orientación y el acompañamiento en el aprendizaje de los estudiantes de la asignatura "Poesia catalana contemporània" (cód.07.582)</t>
  </si>
  <si>
    <t>CIPROM/2023/2/3/6/11/35</t>
  </si>
  <si>
    <t>Total ingresos de investigación 2023-25</t>
  </si>
  <si>
    <t>SIN INGRESOS DE FORMACIÓN EN 2025</t>
  </si>
  <si>
    <t>Total ingresos de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</si>
</sst>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7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4" borderId="1" xfId="1" applyFill="1" applyBorder="1"/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15" fillId="8" borderId="7" xfId="0" applyFont="1" applyFill="1" applyBorder="1"/>
    <xf numFmtId="0" fontId="15" fillId="0" borderId="7" xfId="0" applyFont="1" applyBorder="1"/>
    <xf numFmtId="43" fontId="0" fillId="0" borderId="0" xfId="0" applyNumberFormat="1"/>
    <xf numFmtId="0" fontId="2" fillId="9" borderId="0" xfId="1" applyFill="1"/>
    <xf numFmtId="0" fontId="2" fillId="9" borderId="0" xfId="1" applyFill="1" applyAlignment="1">
      <alignment horizontal="right"/>
    </xf>
    <xf numFmtId="0" fontId="0" fillId="0" borderId="8" xfId="0" applyBorder="1" applyAlignment="1">
      <alignment horizontal="left"/>
    </xf>
    <xf numFmtId="0" fontId="12" fillId="9" borderId="0" xfId="0" applyFont="1" applyFill="1" applyAlignment="1">
      <alignment horizontal="left"/>
    </xf>
    <xf numFmtId="165" fontId="3" fillId="9" borderId="0" xfId="1" applyNumberFormat="1" applyFont="1" applyFill="1"/>
    <xf numFmtId="43" fontId="0" fillId="8" borderId="10" xfId="6" applyNumberFormat="1" applyFont="1" applyFill="1" applyBorder="1"/>
    <xf numFmtId="0" fontId="9" fillId="10" borderId="10" xfId="0" applyFont="1" applyFill="1" applyBorder="1"/>
    <xf numFmtId="43" fontId="13" fillId="10" borderId="10" xfId="0" applyNumberFormat="1" applyFont="1" applyFill="1" applyBorder="1"/>
    <xf numFmtId="0" fontId="0" fillId="11" borderId="0" xfId="0" applyFill="1"/>
    <xf numFmtId="0" fontId="14" fillId="7" borderId="9" xfId="0" applyFont="1" applyFill="1" applyBorder="1"/>
    <xf numFmtId="0" fontId="15" fillId="8" borderId="10" xfId="0" applyFont="1" applyFill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0" fillId="7" borderId="9" xfId="0" applyFont="1" applyFill="1" applyBorder="1"/>
    <xf numFmtId="43" fontId="10" fillId="7" borderId="9" xfId="6" applyNumberFormat="1" applyFont="1" applyFill="1" applyBorder="1"/>
    <xf numFmtId="0" fontId="0" fillId="0" borderId="10" xfId="0" applyNumberFormat="1" applyFont="1" applyBorder="1"/>
    <xf numFmtId="43" fontId="0" fillId="0" borderId="10" xfId="6" applyNumberFormat="1" applyFont="1" applyBorder="1"/>
    <xf numFmtId="0" fontId="0" fillId="0" borderId="10" xfId="0" applyFont="1" applyBorder="1"/>
    <xf numFmtId="43" fontId="13" fillId="0" borderId="10" xfId="0" applyNumberFormat="1" applyFont="1" applyBorder="1"/>
    <xf numFmtId="0" fontId="15" fillId="0" borderId="10" xfId="0" applyFont="1" applyBorder="1"/>
    <xf numFmtId="0" fontId="9" fillId="0" borderId="10" xfId="0" applyFont="1" applyBorder="1"/>
    <xf numFmtId="0" fontId="12" fillId="0" borderId="1" xfId="0" applyFont="1" applyBorder="1"/>
    <xf numFmtId="164" fontId="12" fillId="0" borderId="1" xfId="6" applyFont="1" applyBorder="1"/>
    <xf numFmtId="0" fontId="16" fillId="12" borderId="11" xfId="0" applyFont="1" applyFill="1" applyBorder="1"/>
    <xf numFmtId="0" fontId="16" fillId="12" borderId="12" xfId="0" applyFont="1" applyFill="1" applyBorder="1"/>
    <xf numFmtId="0" fontId="17" fillId="13" borderId="11" xfId="0" applyFont="1" applyFill="1" applyBorder="1"/>
    <xf numFmtId="0" fontId="17" fillId="13" borderId="12" xfId="0" applyFont="1" applyFill="1" applyBorder="1"/>
    <xf numFmtId="164" fontId="17" fillId="13" borderId="12" xfId="6" applyFont="1" applyFill="1" applyBorder="1"/>
    <xf numFmtId="0" fontId="17" fillId="0" borderId="11" xfId="0" applyFont="1" applyBorder="1"/>
    <xf numFmtId="0" fontId="17" fillId="0" borderId="12" xfId="0" applyFont="1" applyBorder="1"/>
    <xf numFmtId="164" fontId="17" fillId="0" borderId="12" xfId="6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14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B9A8C-C142-49E3-9595-372401E75EF4}" name="Tabla2" displayName="Tabla2" ref="A1:C11" totalsRowCount="1" headerRowDxfId="29" totalsRowDxfId="26" headerRowBorderDxfId="28" tableBorderDxfId="27" totalsRowBorderDxfId="25">
  <autoFilter ref="A1:C10" xr:uid="{58CB9F07-BB3F-45C6-811A-4FFEFF72D6B2}"/>
  <tableColumns count="3">
    <tableColumn id="1" xr3:uid="{89C49C49-D324-495B-8316-976F620F05C9}" name="Cód. org. aplic." totalsRowLabel="Total" dataDxfId="24" totalsRowDxfId="23"/>
    <tableColumn id="2" xr3:uid="{0DA41473-66E0-4383-969D-E411855FD38B}" name="Descripción justificante" dataDxfId="22" totalsRowDxfId="21"/>
    <tableColumn id="3" xr3:uid="{4D13AF63-DE6D-46B3-8060-3CFA21470A40}" name="Imp.cob.aplic." totalsRowFunction="sum" dataDxfId="20" totalsRowDxfId="1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92D002-11BD-466F-9580-6A065A9E7318}" name="Tabla3" displayName="Tabla3" ref="A1:C14" totalsRowCount="1" headerRowBorderDxfId="18" tableBorderDxfId="17" totalsRowBorderDxfId="16">
  <autoFilter ref="A1:C13" xr:uid="{17D02547-6BC0-43E1-9F88-1A6376FBBCEF}"/>
  <tableColumns count="3">
    <tableColumn id="1" xr3:uid="{B001061D-0115-49FA-9593-7CB49A878673}" name="Org. aplic." totalsRowLabel="Total" dataDxfId="15" totalsRowDxfId="14"/>
    <tableColumn id="2" xr3:uid="{CE0A9BCE-A29A-4489-8D85-091E065A1A7D}" name="Descripción justificante" dataDxfId="13" totalsRowDxfId="12"/>
    <tableColumn id="3" xr3:uid="{F9BC86C0-58A8-4863-A1C8-5E5CB4BC3B9E}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F5B95B-1468-4B88-A811-EC7DA1ACA74F}" name="Tabla4" displayName="Tabla4" ref="A1:C8" totalsRowCount="1" headerRowDxfId="9" headerRowBorderDxfId="8" tableBorderDxfId="7" totalsRowBorderDxfId="6">
  <autoFilter ref="A1:C7" xr:uid="{347A92A1-B464-45F9-A46D-673D684265D1}"/>
  <tableColumns count="3">
    <tableColumn id="1" xr3:uid="{8312B3C5-F818-4313-B7A9-001B584E0735}" name="Cód. org. aplic." totalsRowLabel="Total" dataDxfId="5" totalsRowDxfId="4"/>
    <tableColumn id="2" xr3:uid="{B9A001F4-539E-43BE-B401-9DD6DEE7AAB3}" name="Descripción justificante" dataDxfId="3" totalsRowDxfId="2"/>
    <tableColumn id="3" xr3:uid="{89DD4DF8-6AC1-4211-8982-6D79451E1DD3}" name="Imp.cob.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43" sqref="E4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7" t="s">
        <v>27</v>
      </c>
      <c r="B2" s="17" t="s">
        <v>28</v>
      </c>
      <c r="C2" s="17" t="s">
        <v>30</v>
      </c>
      <c r="D2" s="17" t="s">
        <v>74</v>
      </c>
      <c r="E2" s="17" t="s">
        <v>75</v>
      </c>
      <c r="F2" s="17" t="s">
        <v>76</v>
      </c>
      <c r="G2" s="17" t="s">
        <v>33</v>
      </c>
      <c r="H2" s="17" t="s">
        <v>23</v>
      </c>
      <c r="I2" s="17" t="s">
        <v>31</v>
      </c>
      <c r="J2" s="17" t="s">
        <v>32</v>
      </c>
      <c r="K2" s="17">
        <v>0.5</v>
      </c>
      <c r="L2" s="17" t="s">
        <v>34</v>
      </c>
      <c r="M2" s="17">
        <v>2019</v>
      </c>
      <c r="N2" s="19" t="s">
        <v>35</v>
      </c>
      <c r="O2" s="17" t="s">
        <v>24</v>
      </c>
      <c r="P2" s="19" t="s">
        <v>25</v>
      </c>
      <c r="Q2" s="20" t="s">
        <v>25</v>
      </c>
      <c r="R2" s="18">
        <v>50</v>
      </c>
      <c r="S2" s="18">
        <v>0.25</v>
      </c>
      <c r="T2" s="18">
        <v>0.25</v>
      </c>
      <c r="U2" s="17">
        <v>0</v>
      </c>
    </row>
    <row r="3" spans="1:21" x14ac:dyDescent="0.2">
      <c r="A3" s="17" t="s">
        <v>27</v>
      </c>
      <c r="B3" s="17" t="s">
        <v>28</v>
      </c>
      <c r="C3" s="17" t="s">
        <v>30</v>
      </c>
      <c r="D3" s="17" t="s">
        <v>81</v>
      </c>
      <c r="E3" s="17" t="s">
        <v>82</v>
      </c>
      <c r="F3" s="17" t="s">
        <v>83</v>
      </c>
      <c r="G3" s="17" t="s">
        <v>90</v>
      </c>
      <c r="H3" s="17" t="s">
        <v>23</v>
      </c>
      <c r="I3" s="17" t="s">
        <v>31</v>
      </c>
      <c r="J3" s="17" t="s">
        <v>32</v>
      </c>
      <c r="K3" s="17">
        <v>0.5</v>
      </c>
      <c r="L3" s="17" t="s">
        <v>34</v>
      </c>
      <c r="M3" s="17">
        <v>2019</v>
      </c>
      <c r="N3" s="19" t="s">
        <v>25</v>
      </c>
      <c r="O3" s="17" t="s">
        <v>25</v>
      </c>
      <c r="P3" s="19" t="s">
        <v>25</v>
      </c>
      <c r="Q3" s="20" t="s">
        <v>25</v>
      </c>
      <c r="R3" s="18">
        <v>100</v>
      </c>
      <c r="S3" s="18">
        <v>0.5</v>
      </c>
      <c r="T3" s="18">
        <v>0</v>
      </c>
      <c r="U3" s="17">
        <v>0</v>
      </c>
    </row>
    <row r="4" spans="1:21" x14ac:dyDescent="0.2">
      <c r="A4" s="17" t="s">
        <v>27</v>
      </c>
      <c r="B4" s="17" t="s">
        <v>28</v>
      </c>
      <c r="C4" s="17" t="s">
        <v>30</v>
      </c>
      <c r="D4" s="17" t="s">
        <v>81</v>
      </c>
      <c r="E4" s="17" t="s">
        <v>82</v>
      </c>
      <c r="F4" s="17" t="s">
        <v>83</v>
      </c>
      <c r="G4" s="17" t="s">
        <v>37</v>
      </c>
      <c r="H4" s="17" t="s">
        <v>23</v>
      </c>
      <c r="I4" s="17" t="s">
        <v>31</v>
      </c>
      <c r="J4" s="17" t="s">
        <v>32</v>
      </c>
      <c r="K4" s="17">
        <v>0.5</v>
      </c>
      <c r="L4" s="17" t="s">
        <v>34</v>
      </c>
      <c r="M4" s="17">
        <v>2019</v>
      </c>
      <c r="N4" s="19" t="s">
        <v>35</v>
      </c>
      <c r="O4" s="17">
        <v>50</v>
      </c>
      <c r="P4" s="19" t="s">
        <v>25</v>
      </c>
      <c r="Q4" s="20">
        <v>0</v>
      </c>
      <c r="R4" s="18">
        <v>50</v>
      </c>
      <c r="S4" s="18">
        <v>0.25</v>
      </c>
      <c r="T4" s="18">
        <v>0.25</v>
      </c>
      <c r="U4" s="17">
        <v>0</v>
      </c>
    </row>
    <row r="5" spans="1:21" x14ac:dyDescent="0.2">
      <c r="A5" s="17" t="s">
        <v>27</v>
      </c>
      <c r="B5" s="17" t="s">
        <v>28</v>
      </c>
      <c r="C5" s="17" t="s">
        <v>29</v>
      </c>
      <c r="D5" s="17" t="s">
        <v>84</v>
      </c>
      <c r="E5" s="17" t="s">
        <v>85</v>
      </c>
      <c r="F5" s="17" t="s">
        <v>86</v>
      </c>
      <c r="G5" s="17" t="s">
        <v>39</v>
      </c>
      <c r="H5" s="17" t="s">
        <v>23</v>
      </c>
      <c r="I5" s="17" t="s">
        <v>31</v>
      </c>
      <c r="J5" s="17" t="s">
        <v>32</v>
      </c>
      <c r="K5" s="17">
        <v>0.5</v>
      </c>
      <c r="L5" s="17" t="s">
        <v>34</v>
      </c>
      <c r="M5" s="17">
        <v>2020</v>
      </c>
      <c r="N5" s="19" t="s">
        <v>35</v>
      </c>
      <c r="O5" s="17">
        <v>50</v>
      </c>
      <c r="P5" s="19" t="s">
        <v>101</v>
      </c>
      <c r="Q5" s="20">
        <v>10</v>
      </c>
      <c r="R5" s="18">
        <v>40</v>
      </c>
      <c r="S5" s="18">
        <v>0.2</v>
      </c>
      <c r="T5" s="18">
        <v>0.25</v>
      </c>
      <c r="U5" s="17">
        <v>0.05</v>
      </c>
    </row>
    <row r="6" spans="1:21" x14ac:dyDescent="0.2">
      <c r="A6" s="17" t="s">
        <v>27</v>
      </c>
      <c r="B6" s="17" t="s">
        <v>28</v>
      </c>
      <c r="C6" s="17" t="s">
        <v>29</v>
      </c>
      <c r="D6" s="17" t="s">
        <v>84</v>
      </c>
      <c r="E6" s="17" t="s">
        <v>85</v>
      </c>
      <c r="F6" s="17" t="s">
        <v>86</v>
      </c>
      <c r="G6" s="17" t="s">
        <v>38</v>
      </c>
      <c r="H6" s="17" t="s">
        <v>23</v>
      </c>
      <c r="I6" s="17" t="s">
        <v>31</v>
      </c>
      <c r="J6" s="17" t="s">
        <v>32</v>
      </c>
      <c r="K6" s="17">
        <v>0.5</v>
      </c>
      <c r="L6" s="17" t="s">
        <v>34</v>
      </c>
      <c r="M6" s="17">
        <v>2020</v>
      </c>
      <c r="N6" s="19" t="s">
        <v>35</v>
      </c>
      <c r="O6" s="17">
        <v>50</v>
      </c>
      <c r="P6" s="19" t="s">
        <v>101</v>
      </c>
      <c r="Q6" s="20">
        <v>10</v>
      </c>
      <c r="R6" s="18">
        <v>40</v>
      </c>
      <c r="S6" s="18">
        <v>0.2</v>
      </c>
      <c r="T6" s="18">
        <v>0.25</v>
      </c>
      <c r="U6" s="17">
        <v>0.05</v>
      </c>
    </row>
    <row r="7" spans="1:21" x14ac:dyDescent="0.2">
      <c r="A7" s="17" t="s">
        <v>27</v>
      </c>
      <c r="B7" s="17" t="s">
        <v>28</v>
      </c>
      <c r="C7" s="17" t="s">
        <v>30</v>
      </c>
      <c r="D7" s="17" t="s">
        <v>91</v>
      </c>
      <c r="E7" s="17" t="s">
        <v>92</v>
      </c>
      <c r="F7" s="17" t="s">
        <v>93</v>
      </c>
      <c r="G7" s="17" t="s">
        <v>94</v>
      </c>
      <c r="H7" s="17" t="s">
        <v>26</v>
      </c>
      <c r="I7" s="17" t="s">
        <v>31</v>
      </c>
      <c r="J7" s="17" t="s">
        <v>32</v>
      </c>
      <c r="K7" s="17">
        <v>1</v>
      </c>
      <c r="L7" s="17" t="s">
        <v>34</v>
      </c>
      <c r="M7" s="17">
        <v>2021</v>
      </c>
      <c r="N7" s="19" t="s">
        <v>35</v>
      </c>
      <c r="O7" s="17">
        <v>50</v>
      </c>
      <c r="P7" s="19" t="s">
        <v>25</v>
      </c>
      <c r="Q7" s="20">
        <v>0</v>
      </c>
      <c r="R7" s="18">
        <v>50</v>
      </c>
      <c r="S7" s="18">
        <v>0.5</v>
      </c>
      <c r="T7" s="18">
        <v>0.5</v>
      </c>
      <c r="U7" s="17">
        <v>0</v>
      </c>
    </row>
    <row r="8" spans="1:21" x14ac:dyDescent="0.2">
      <c r="A8" s="17" t="s">
        <v>27</v>
      </c>
      <c r="B8" s="17" t="s">
        <v>28</v>
      </c>
      <c r="C8" s="17" t="s">
        <v>30</v>
      </c>
      <c r="D8" s="17" t="s">
        <v>133</v>
      </c>
      <c r="E8" s="17" t="s">
        <v>102</v>
      </c>
      <c r="F8" s="17" t="s">
        <v>103</v>
      </c>
      <c r="G8" s="17" t="s">
        <v>36</v>
      </c>
      <c r="H8" s="17" t="s">
        <v>26</v>
      </c>
      <c r="I8" s="17" t="s">
        <v>31</v>
      </c>
      <c r="J8" s="17" t="s">
        <v>32</v>
      </c>
      <c r="K8" s="17">
        <v>1</v>
      </c>
      <c r="L8" s="17" t="s">
        <v>34</v>
      </c>
      <c r="M8" s="17">
        <v>2022</v>
      </c>
      <c r="N8" s="19" t="s">
        <v>35</v>
      </c>
      <c r="O8" s="17">
        <v>50</v>
      </c>
      <c r="P8" s="19" t="s">
        <v>25</v>
      </c>
      <c r="Q8" s="20">
        <v>0</v>
      </c>
      <c r="R8" s="18">
        <v>50</v>
      </c>
      <c r="S8" s="18">
        <v>0.5</v>
      </c>
      <c r="T8" s="18">
        <v>0.5</v>
      </c>
      <c r="U8" s="17">
        <v>0</v>
      </c>
    </row>
    <row r="9" spans="1:21" x14ac:dyDescent="0.2">
      <c r="A9" s="17" t="s">
        <v>27</v>
      </c>
      <c r="B9" s="17" t="s">
        <v>28</v>
      </c>
      <c r="C9" s="17" t="s">
        <v>29</v>
      </c>
      <c r="D9" s="17" t="s">
        <v>134</v>
      </c>
      <c r="E9" s="17" t="s">
        <v>104</v>
      </c>
      <c r="F9" s="17" t="s">
        <v>105</v>
      </c>
      <c r="G9" s="17" t="s">
        <v>39</v>
      </c>
      <c r="H9" s="17" t="s">
        <v>23</v>
      </c>
      <c r="I9" s="17" t="s">
        <v>31</v>
      </c>
      <c r="J9" s="17" t="s">
        <v>32</v>
      </c>
      <c r="K9" s="17">
        <v>0.5</v>
      </c>
      <c r="L9" s="17" t="s">
        <v>34</v>
      </c>
      <c r="M9" s="17">
        <v>2022</v>
      </c>
      <c r="N9" s="19" t="s">
        <v>35</v>
      </c>
      <c r="O9" s="17">
        <v>50</v>
      </c>
      <c r="P9" s="19" t="s">
        <v>101</v>
      </c>
      <c r="Q9" s="20">
        <v>10</v>
      </c>
      <c r="R9" s="18">
        <v>40</v>
      </c>
      <c r="S9" s="18">
        <v>0.2</v>
      </c>
      <c r="T9" s="18">
        <v>0.25</v>
      </c>
      <c r="U9" s="17">
        <v>0.05</v>
      </c>
    </row>
    <row r="10" spans="1:21" x14ac:dyDescent="0.2">
      <c r="A10" s="21" t="s">
        <v>27</v>
      </c>
      <c r="B10" s="21" t="s">
        <v>28</v>
      </c>
      <c r="C10" s="21" t="s">
        <v>29</v>
      </c>
      <c r="D10" s="21" t="s">
        <v>134</v>
      </c>
      <c r="E10" s="21" t="s">
        <v>104</v>
      </c>
      <c r="F10" s="21" t="s">
        <v>105</v>
      </c>
      <c r="G10" s="21" t="s">
        <v>38</v>
      </c>
      <c r="H10" s="21" t="s">
        <v>23</v>
      </c>
      <c r="I10" s="21" t="s">
        <v>31</v>
      </c>
      <c r="J10" s="21" t="s">
        <v>32</v>
      </c>
      <c r="K10" s="21">
        <v>0.5</v>
      </c>
      <c r="L10" s="21" t="s">
        <v>34</v>
      </c>
      <c r="M10" s="21">
        <v>2022</v>
      </c>
      <c r="N10" s="22" t="s">
        <v>35</v>
      </c>
      <c r="O10" s="21">
        <v>50</v>
      </c>
      <c r="P10" s="22" t="s">
        <v>101</v>
      </c>
      <c r="Q10" s="23">
        <v>10</v>
      </c>
      <c r="R10" s="24">
        <v>40</v>
      </c>
      <c r="S10" s="24">
        <v>0.2</v>
      </c>
      <c r="T10" s="24">
        <v>0.25</v>
      </c>
      <c r="U10" s="17">
        <v>0.05</v>
      </c>
    </row>
    <row r="11" spans="1:21" x14ac:dyDescent="0.2">
      <c r="A11" s="17" t="s">
        <v>27</v>
      </c>
      <c r="B11" s="17" t="s">
        <v>28</v>
      </c>
      <c r="C11" s="17" t="s">
        <v>29</v>
      </c>
      <c r="D11" s="17" t="s">
        <v>135</v>
      </c>
      <c r="E11" s="17" t="s">
        <v>106</v>
      </c>
      <c r="F11" s="17" t="s">
        <v>105</v>
      </c>
      <c r="G11" s="17" t="s">
        <v>39</v>
      </c>
      <c r="H11" s="17" t="s">
        <v>23</v>
      </c>
      <c r="I11" s="17" t="s">
        <v>31</v>
      </c>
      <c r="J11" s="17" t="s">
        <v>32</v>
      </c>
      <c r="K11" s="25">
        <v>0.5</v>
      </c>
      <c r="L11" s="26" t="s">
        <v>34</v>
      </c>
      <c r="M11" s="17">
        <v>2022</v>
      </c>
      <c r="N11" s="19" t="s">
        <v>35</v>
      </c>
      <c r="O11" s="17">
        <v>50</v>
      </c>
      <c r="P11" s="19" t="s">
        <v>101</v>
      </c>
      <c r="Q11" s="17">
        <v>10</v>
      </c>
      <c r="R11" s="17">
        <v>40</v>
      </c>
      <c r="S11" s="17">
        <v>0.2</v>
      </c>
      <c r="T11" s="17">
        <v>0.25</v>
      </c>
      <c r="U11" s="17">
        <v>0.05</v>
      </c>
    </row>
    <row r="12" spans="1:21" ht="10.8" thickBot="1" x14ac:dyDescent="0.25">
      <c r="A12" s="17" t="s">
        <v>27</v>
      </c>
      <c r="B12" s="17" t="s">
        <v>28</v>
      </c>
      <c r="C12" s="17" t="s">
        <v>29</v>
      </c>
      <c r="D12" s="17" t="s">
        <v>135</v>
      </c>
      <c r="E12" s="17" t="s">
        <v>106</v>
      </c>
      <c r="F12" s="17" t="s">
        <v>105</v>
      </c>
      <c r="G12" s="17" t="s">
        <v>38</v>
      </c>
      <c r="H12" s="17" t="s">
        <v>23</v>
      </c>
      <c r="I12" s="17" t="s">
        <v>31</v>
      </c>
      <c r="J12" s="17" t="s">
        <v>32</v>
      </c>
      <c r="K12" s="25">
        <v>0.5</v>
      </c>
      <c r="L12" s="26" t="s">
        <v>34</v>
      </c>
      <c r="M12" s="17">
        <v>2022</v>
      </c>
      <c r="N12" s="19" t="s">
        <v>35</v>
      </c>
      <c r="O12" s="17">
        <v>50</v>
      </c>
      <c r="P12" s="19" t="s">
        <v>101</v>
      </c>
      <c r="Q12" s="17">
        <v>10</v>
      </c>
      <c r="R12" s="17">
        <v>40</v>
      </c>
      <c r="S12" s="17">
        <v>0.2</v>
      </c>
      <c r="T12" s="17">
        <v>0.25</v>
      </c>
      <c r="U12" s="17">
        <v>0.05</v>
      </c>
    </row>
    <row r="13" spans="1:21" ht="10.8" thickBot="1" x14ac:dyDescent="0.25">
      <c r="A13" s="27" t="s">
        <v>27</v>
      </c>
      <c r="B13" s="27" t="s">
        <v>28</v>
      </c>
      <c r="C13" s="27" t="s">
        <v>29</v>
      </c>
      <c r="D13" s="27" t="s">
        <v>136</v>
      </c>
      <c r="E13" s="27" t="s">
        <v>107</v>
      </c>
      <c r="F13" s="27" t="s">
        <v>105</v>
      </c>
      <c r="G13" s="28" t="s">
        <v>108</v>
      </c>
      <c r="H13" s="29" t="s">
        <v>23</v>
      </c>
      <c r="I13" s="29" t="s">
        <v>31</v>
      </c>
      <c r="J13" s="30" t="s">
        <v>32</v>
      </c>
      <c r="K13" s="25">
        <v>0.5</v>
      </c>
      <c r="L13" s="17" t="s">
        <v>34</v>
      </c>
      <c r="M13" s="17">
        <v>2022</v>
      </c>
      <c r="N13" s="19" t="s">
        <v>35</v>
      </c>
      <c r="O13" s="17">
        <v>50</v>
      </c>
      <c r="P13" s="19" t="s">
        <v>101</v>
      </c>
      <c r="Q13" s="17">
        <v>10</v>
      </c>
      <c r="R13" s="17">
        <v>40</v>
      </c>
      <c r="S13" s="17">
        <v>0.2</v>
      </c>
      <c r="T13" s="17">
        <v>0.25</v>
      </c>
      <c r="U13" s="17">
        <v>0.05</v>
      </c>
    </row>
    <row r="14" spans="1:21" ht="10.8" thickBot="1" x14ac:dyDescent="0.25">
      <c r="A14" s="27" t="s">
        <v>27</v>
      </c>
      <c r="B14" s="27" t="s">
        <v>28</v>
      </c>
      <c r="C14" s="27" t="s">
        <v>29</v>
      </c>
      <c r="D14" s="27" t="s">
        <v>136</v>
      </c>
      <c r="E14" s="27" t="s">
        <v>107</v>
      </c>
      <c r="F14" s="27" t="s">
        <v>105</v>
      </c>
      <c r="G14" s="28" t="s">
        <v>38</v>
      </c>
      <c r="H14" s="29" t="s">
        <v>23</v>
      </c>
      <c r="I14" s="29" t="s">
        <v>31</v>
      </c>
      <c r="J14" s="30" t="s">
        <v>32</v>
      </c>
      <c r="K14" s="25">
        <v>0.5</v>
      </c>
      <c r="L14" s="17" t="s">
        <v>34</v>
      </c>
      <c r="M14" s="17">
        <v>2022</v>
      </c>
      <c r="N14" s="19" t="s">
        <v>35</v>
      </c>
      <c r="O14" s="17">
        <v>50</v>
      </c>
      <c r="P14" s="19" t="s">
        <v>101</v>
      </c>
      <c r="Q14" s="17">
        <v>10</v>
      </c>
      <c r="R14" s="17">
        <v>40</v>
      </c>
      <c r="S14" s="17">
        <v>0.2</v>
      </c>
      <c r="T14" s="17">
        <v>0.25</v>
      </c>
      <c r="U14" s="17">
        <v>0.05</v>
      </c>
    </row>
    <row r="15" spans="1:21" x14ac:dyDescent="0.2">
      <c r="A15" s="17" t="s">
        <v>27</v>
      </c>
      <c r="B15" s="17" t="s">
        <v>28</v>
      </c>
      <c r="C15" s="17" t="s">
        <v>29</v>
      </c>
      <c r="D15" s="17" t="s">
        <v>137</v>
      </c>
      <c r="E15" s="17" t="s">
        <v>109</v>
      </c>
      <c r="F15" s="17" t="s">
        <v>105</v>
      </c>
      <c r="G15" s="17" t="s">
        <v>39</v>
      </c>
      <c r="H15" s="17" t="s">
        <v>23</v>
      </c>
      <c r="I15" s="17" t="s">
        <v>31</v>
      </c>
      <c r="J15" s="17" t="s">
        <v>32</v>
      </c>
      <c r="K15" s="25">
        <v>0.5</v>
      </c>
      <c r="L15" s="17" t="s">
        <v>34</v>
      </c>
      <c r="M15" s="17">
        <v>2022</v>
      </c>
      <c r="N15" s="19" t="s">
        <v>35</v>
      </c>
      <c r="O15" s="17">
        <v>50</v>
      </c>
      <c r="P15" s="19" t="s">
        <v>101</v>
      </c>
      <c r="Q15" s="17">
        <v>10</v>
      </c>
      <c r="R15" s="17">
        <v>40</v>
      </c>
      <c r="S15" s="17">
        <v>0.2</v>
      </c>
      <c r="T15" s="17">
        <v>0.25</v>
      </c>
      <c r="U15" s="17">
        <v>0.05</v>
      </c>
    </row>
    <row r="16" spans="1:21" x14ac:dyDescent="0.2">
      <c r="A16" s="17" t="s">
        <v>27</v>
      </c>
      <c r="B16" s="17" t="s">
        <v>28</v>
      </c>
      <c r="C16" s="17" t="s">
        <v>29</v>
      </c>
      <c r="D16" s="17" t="s">
        <v>137</v>
      </c>
      <c r="E16" s="17" t="s">
        <v>109</v>
      </c>
      <c r="F16" s="17" t="s">
        <v>105</v>
      </c>
      <c r="G16" s="17" t="s">
        <v>38</v>
      </c>
      <c r="H16" s="17" t="s">
        <v>23</v>
      </c>
      <c r="I16" s="17" t="s">
        <v>31</v>
      </c>
      <c r="J16" s="17" t="s">
        <v>32</v>
      </c>
      <c r="K16" s="33">
        <v>0.5</v>
      </c>
      <c r="L16" s="17" t="s">
        <v>34</v>
      </c>
      <c r="M16" s="33">
        <v>2022</v>
      </c>
      <c r="N16" s="33" t="s">
        <v>35</v>
      </c>
      <c r="O16" s="33">
        <v>50</v>
      </c>
      <c r="P16" s="33" t="s">
        <v>101</v>
      </c>
      <c r="Q16" s="33">
        <v>10</v>
      </c>
      <c r="R16" s="33">
        <v>40</v>
      </c>
      <c r="S16" s="33">
        <v>0.2</v>
      </c>
      <c r="T16" s="33">
        <v>0.25</v>
      </c>
      <c r="U16" s="17">
        <v>0.05</v>
      </c>
    </row>
    <row r="17" spans="1:21" x14ac:dyDescent="0.2">
      <c r="A17" s="17" t="s">
        <v>27</v>
      </c>
      <c r="B17" s="17" t="s">
        <v>28</v>
      </c>
      <c r="C17" s="17" t="s">
        <v>29</v>
      </c>
      <c r="D17" s="17" t="s">
        <v>138</v>
      </c>
      <c r="E17" s="17" t="s">
        <v>110</v>
      </c>
      <c r="F17" s="17" t="s">
        <v>105</v>
      </c>
      <c r="G17" s="17" t="s">
        <v>108</v>
      </c>
      <c r="H17" s="17" t="s">
        <v>23</v>
      </c>
      <c r="I17" s="17" t="s">
        <v>31</v>
      </c>
      <c r="J17" s="17" t="s">
        <v>32</v>
      </c>
      <c r="K17" s="33">
        <v>0.5</v>
      </c>
      <c r="L17" s="17" t="s">
        <v>34</v>
      </c>
      <c r="M17" s="33">
        <v>2022</v>
      </c>
      <c r="N17" s="33" t="s">
        <v>35</v>
      </c>
      <c r="O17" s="33">
        <v>50</v>
      </c>
      <c r="P17" s="33" t="s">
        <v>101</v>
      </c>
      <c r="Q17" s="33">
        <v>10</v>
      </c>
      <c r="R17" s="33">
        <v>40</v>
      </c>
      <c r="S17" s="33">
        <v>0.2</v>
      </c>
      <c r="T17" s="33">
        <v>0.25</v>
      </c>
      <c r="U17" s="17">
        <v>0.05</v>
      </c>
    </row>
    <row r="18" spans="1:21" x14ac:dyDescent="0.2">
      <c r="A18" s="17" t="s">
        <v>27</v>
      </c>
      <c r="B18" s="17" t="s">
        <v>28</v>
      </c>
      <c r="C18" s="17" t="s">
        <v>29</v>
      </c>
      <c r="D18" s="17" t="s">
        <v>138</v>
      </c>
      <c r="E18" s="17" t="s">
        <v>110</v>
      </c>
      <c r="F18" s="17" t="s">
        <v>105</v>
      </c>
      <c r="G18" s="17" t="s">
        <v>38</v>
      </c>
      <c r="H18" s="17" t="s">
        <v>23</v>
      </c>
      <c r="I18" s="17" t="s">
        <v>31</v>
      </c>
      <c r="J18" s="17" t="s">
        <v>32</v>
      </c>
      <c r="K18" s="33">
        <v>0.5</v>
      </c>
      <c r="L18" s="17" t="s">
        <v>34</v>
      </c>
      <c r="M18" s="33">
        <v>2022</v>
      </c>
      <c r="N18" s="33" t="s">
        <v>35</v>
      </c>
      <c r="O18" s="33">
        <v>50</v>
      </c>
      <c r="P18" s="33" t="s">
        <v>101</v>
      </c>
      <c r="Q18" s="33">
        <v>10</v>
      </c>
      <c r="R18" s="33">
        <v>40</v>
      </c>
      <c r="S18" s="33">
        <v>0.2</v>
      </c>
      <c r="T18" s="33">
        <v>0.25</v>
      </c>
      <c r="U18" s="17">
        <v>0.05</v>
      </c>
    </row>
    <row r="19" spans="1:21" x14ac:dyDescent="0.2">
      <c r="A19" s="17" t="s">
        <v>139</v>
      </c>
      <c r="B19" s="17" t="s">
        <v>140</v>
      </c>
      <c r="C19" s="17" t="s">
        <v>141</v>
      </c>
      <c r="D19" s="17" t="s">
        <v>142</v>
      </c>
      <c r="E19" s="17" t="s">
        <v>143</v>
      </c>
      <c r="F19" s="17" t="s">
        <v>144</v>
      </c>
      <c r="G19" s="17" t="s">
        <v>145</v>
      </c>
      <c r="H19" s="17" t="s">
        <v>146</v>
      </c>
      <c r="I19" s="17" t="s">
        <v>34</v>
      </c>
      <c r="J19" s="17" t="s">
        <v>147</v>
      </c>
      <c r="K19" s="33">
        <v>0.5</v>
      </c>
      <c r="L19" s="17" t="s">
        <v>34</v>
      </c>
      <c r="M19" s="33">
        <v>2022</v>
      </c>
      <c r="N19" s="33" t="s">
        <v>35</v>
      </c>
      <c r="O19" s="33">
        <v>50</v>
      </c>
      <c r="P19" s="33" t="s">
        <v>101</v>
      </c>
      <c r="Q19" s="33">
        <v>10</v>
      </c>
      <c r="R19" s="33">
        <v>40</v>
      </c>
      <c r="S19" s="33">
        <v>0.2</v>
      </c>
      <c r="T19" s="33">
        <v>0.25</v>
      </c>
      <c r="U19" s="17">
        <v>0.05</v>
      </c>
    </row>
    <row r="20" spans="1:21" x14ac:dyDescent="0.2">
      <c r="A20" s="17" t="s">
        <v>139</v>
      </c>
      <c r="B20" s="17" t="s">
        <v>140</v>
      </c>
      <c r="C20" s="17" t="s">
        <v>141</v>
      </c>
      <c r="D20" s="17" t="s">
        <v>148</v>
      </c>
      <c r="E20" s="17" t="s">
        <v>149</v>
      </c>
      <c r="F20" s="17" t="s">
        <v>144</v>
      </c>
      <c r="G20" s="17" t="s">
        <v>145</v>
      </c>
      <c r="H20" s="17" t="s">
        <v>146</v>
      </c>
      <c r="I20" s="17" t="s">
        <v>34</v>
      </c>
      <c r="J20" s="17" t="s">
        <v>147</v>
      </c>
      <c r="K20" s="33">
        <v>0.5</v>
      </c>
      <c r="L20" s="17" t="s">
        <v>34</v>
      </c>
      <c r="M20" s="33">
        <v>2022</v>
      </c>
      <c r="N20" s="33" t="s">
        <v>35</v>
      </c>
      <c r="O20" s="33">
        <v>50</v>
      </c>
      <c r="P20" s="33" t="s">
        <v>101</v>
      </c>
      <c r="Q20" s="33">
        <v>10</v>
      </c>
      <c r="R20" s="33">
        <v>40</v>
      </c>
      <c r="S20" s="33">
        <v>0.2</v>
      </c>
      <c r="T20" s="33">
        <v>0.25</v>
      </c>
      <c r="U20" s="17">
        <v>0.05</v>
      </c>
    </row>
    <row r="21" spans="1:21" x14ac:dyDescent="0.2">
      <c r="A21" s="17" t="s">
        <v>150</v>
      </c>
      <c r="B21" s="17" t="s">
        <v>140</v>
      </c>
      <c r="C21" s="17" t="s">
        <v>151</v>
      </c>
      <c r="D21" s="17" t="s">
        <v>152</v>
      </c>
      <c r="E21" s="17" t="s">
        <v>153</v>
      </c>
      <c r="F21" s="17" t="s">
        <v>154</v>
      </c>
      <c r="G21" s="17" t="s">
        <v>69</v>
      </c>
      <c r="H21" s="17" t="s">
        <v>155</v>
      </c>
      <c r="I21" s="17" t="s">
        <v>34</v>
      </c>
      <c r="J21" s="17" t="s">
        <v>147</v>
      </c>
      <c r="K21" s="33">
        <v>1</v>
      </c>
      <c r="L21" s="17" t="s">
        <v>34</v>
      </c>
      <c r="M21" s="33">
        <v>2023</v>
      </c>
      <c r="N21" s="33" t="s">
        <v>35</v>
      </c>
      <c r="O21" s="33" t="s">
        <v>24</v>
      </c>
      <c r="P21" s="33" t="s">
        <v>25</v>
      </c>
      <c r="Q21" s="33" t="s">
        <v>25</v>
      </c>
      <c r="R21" s="33">
        <v>50</v>
      </c>
      <c r="S21" s="33">
        <v>0.5</v>
      </c>
      <c r="T21" s="33">
        <v>0.5</v>
      </c>
      <c r="U21" s="17">
        <v>0</v>
      </c>
    </row>
    <row r="22" spans="1:21" x14ac:dyDescent="0.2">
      <c r="A22" s="17" t="s">
        <v>150</v>
      </c>
      <c r="B22" s="17" t="s">
        <v>140</v>
      </c>
      <c r="C22" s="17" t="s">
        <v>141</v>
      </c>
      <c r="D22" s="17" t="s">
        <v>156</v>
      </c>
      <c r="E22" s="17" t="s">
        <v>157</v>
      </c>
      <c r="F22" s="17" t="s">
        <v>158</v>
      </c>
      <c r="G22" s="17" t="s">
        <v>70</v>
      </c>
      <c r="H22" s="17" t="s">
        <v>146</v>
      </c>
      <c r="I22" s="17" t="s">
        <v>34</v>
      </c>
      <c r="J22" s="17" t="s">
        <v>147</v>
      </c>
      <c r="K22" s="33">
        <v>0.5</v>
      </c>
      <c r="L22" s="17" t="s">
        <v>34</v>
      </c>
      <c r="M22" s="33">
        <v>2023</v>
      </c>
      <c r="N22" s="33" t="s">
        <v>35</v>
      </c>
      <c r="O22" s="33" t="s">
        <v>24</v>
      </c>
      <c r="P22" s="33" t="s">
        <v>101</v>
      </c>
      <c r="Q22" s="33" t="s">
        <v>159</v>
      </c>
      <c r="R22" s="33">
        <v>40</v>
      </c>
      <c r="S22" s="33">
        <v>0.2</v>
      </c>
      <c r="T22" s="33">
        <v>0.25</v>
      </c>
      <c r="U22" s="17">
        <v>0.05</v>
      </c>
    </row>
    <row r="23" spans="1:21" x14ac:dyDescent="0.2">
      <c r="A23" s="17" t="s">
        <v>150</v>
      </c>
      <c r="B23" s="17" t="s">
        <v>140</v>
      </c>
      <c r="C23" s="17" t="s">
        <v>141</v>
      </c>
      <c r="D23" s="17" t="s">
        <v>156</v>
      </c>
      <c r="E23" s="17" t="s">
        <v>157</v>
      </c>
      <c r="F23" s="17" t="s">
        <v>158</v>
      </c>
      <c r="G23" s="17" t="s">
        <v>67</v>
      </c>
      <c r="H23" s="17" t="s">
        <v>146</v>
      </c>
      <c r="I23" s="17" t="s">
        <v>34</v>
      </c>
      <c r="J23" s="17" t="s">
        <v>147</v>
      </c>
      <c r="K23" s="33">
        <v>0.5</v>
      </c>
      <c r="L23" s="17" t="s">
        <v>34</v>
      </c>
      <c r="M23" s="33">
        <v>2023</v>
      </c>
      <c r="N23" s="33" t="s">
        <v>35</v>
      </c>
      <c r="O23" s="33" t="s">
        <v>24</v>
      </c>
      <c r="P23" s="33" t="s">
        <v>101</v>
      </c>
      <c r="Q23" s="33" t="s">
        <v>159</v>
      </c>
      <c r="R23" s="33">
        <v>40</v>
      </c>
      <c r="S23" s="33">
        <v>0.2</v>
      </c>
      <c r="T23" s="33">
        <v>0.25</v>
      </c>
      <c r="U23" s="17">
        <v>0.05</v>
      </c>
    </row>
    <row r="24" spans="1:21" x14ac:dyDescent="0.2">
      <c r="A24" s="17" t="s">
        <v>150</v>
      </c>
      <c r="B24" s="17" t="s">
        <v>140</v>
      </c>
      <c r="C24" s="17" t="s">
        <v>141</v>
      </c>
      <c r="D24" s="17" t="s">
        <v>160</v>
      </c>
      <c r="E24" s="17" t="s">
        <v>161</v>
      </c>
      <c r="F24" s="17" t="s">
        <v>162</v>
      </c>
      <c r="G24" s="17" t="s">
        <v>97</v>
      </c>
      <c r="H24" s="17" t="s">
        <v>146</v>
      </c>
      <c r="I24" s="17" t="s">
        <v>34</v>
      </c>
      <c r="J24" s="17" t="s">
        <v>147</v>
      </c>
      <c r="K24" s="33">
        <v>0.5</v>
      </c>
      <c r="L24" s="17" t="s">
        <v>34</v>
      </c>
      <c r="M24" s="33">
        <v>2023</v>
      </c>
      <c r="N24" s="33" t="s">
        <v>35</v>
      </c>
      <c r="O24" s="33" t="s">
        <v>24</v>
      </c>
      <c r="P24" s="33" t="s">
        <v>101</v>
      </c>
      <c r="Q24" s="33" t="s">
        <v>159</v>
      </c>
      <c r="R24" s="33">
        <v>40</v>
      </c>
      <c r="S24" s="33">
        <v>0.2</v>
      </c>
      <c r="T24" s="33">
        <v>0.25</v>
      </c>
      <c r="U24" s="17">
        <v>0.05</v>
      </c>
    </row>
    <row r="25" spans="1:21" x14ac:dyDescent="0.2">
      <c r="A25" s="17" t="s">
        <v>150</v>
      </c>
      <c r="B25" s="17" t="s">
        <v>140</v>
      </c>
      <c r="C25" s="17" t="s">
        <v>141</v>
      </c>
      <c r="D25" s="17" t="s">
        <v>160</v>
      </c>
      <c r="E25" s="17" t="s">
        <v>161</v>
      </c>
      <c r="F25" s="17" t="s">
        <v>162</v>
      </c>
      <c r="G25" s="17" t="s">
        <v>77</v>
      </c>
      <c r="H25" s="17" t="s">
        <v>146</v>
      </c>
      <c r="I25" s="17" t="s">
        <v>34</v>
      </c>
      <c r="J25" s="17" t="s">
        <v>147</v>
      </c>
      <c r="K25" s="33">
        <v>0.5</v>
      </c>
      <c r="L25" s="17" t="s">
        <v>34</v>
      </c>
      <c r="M25" s="33">
        <v>2023</v>
      </c>
      <c r="N25" s="33" t="s">
        <v>35</v>
      </c>
      <c r="O25" s="33" t="s">
        <v>24</v>
      </c>
      <c r="P25" s="33" t="s">
        <v>101</v>
      </c>
      <c r="Q25" s="33" t="s">
        <v>159</v>
      </c>
      <c r="R25" s="33">
        <v>40</v>
      </c>
      <c r="S25" s="33">
        <v>0.2</v>
      </c>
      <c r="T25" s="33">
        <v>0.25</v>
      </c>
      <c r="U25" s="17">
        <v>0.05</v>
      </c>
    </row>
    <row r="26" spans="1:21" x14ac:dyDescent="0.2">
      <c r="A26" s="17" t="s">
        <v>150</v>
      </c>
      <c r="B26" s="17" t="s">
        <v>140</v>
      </c>
      <c r="C26" s="17" t="s">
        <v>141</v>
      </c>
      <c r="D26" s="17" t="s">
        <v>163</v>
      </c>
      <c r="E26" s="17" t="s">
        <v>164</v>
      </c>
      <c r="F26" s="17" t="s">
        <v>162</v>
      </c>
      <c r="G26" s="17" t="s">
        <v>97</v>
      </c>
      <c r="H26" s="17" t="s">
        <v>146</v>
      </c>
      <c r="I26" s="17" t="s">
        <v>34</v>
      </c>
      <c r="J26" s="17" t="s">
        <v>147</v>
      </c>
      <c r="K26" s="33">
        <v>0.5</v>
      </c>
      <c r="L26" s="17" t="s">
        <v>34</v>
      </c>
      <c r="M26" s="33">
        <v>2023</v>
      </c>
      <c r="N26" s="33" t="s">
        <v>35</v>
      </c>
      <c r="O26" s="33" t="s">
        <v>24</v>
      </c>
      <c r="P26" s="33" t="s">
        <v>101</v>
      </c>
      <c r="Q26" s="33" t="s">
        <v>159</v>
      </c>
      <c r="R26" s="33">
        <v>40</v>
      </c>
      <c r="S26" s="33">
        <v>0.2</v>
      </c>
      <c r="T26" s="33">
        <v>0.25</v>
      </c>
      <c r="U26" s="17">
        <v>0.05</v>
      </c>
    </row>
    <row r="27" spans="1:21" x14ac:dyDescent="0.2">
      <c r="A27" s="17" t="s">
        <v>150</v>
      </c>
      <c r="B27" s="17" t="s">
        <v>140</v>
      </c>
      <c r="C27" s="17" t="s">
        <v>141</v>
      </c>
      <c r="D27" s="17" t="s">
        <v>163</v>
      </c>
      <c r="E27" s="17" t="s">
        <v>164</v>
      </c>
      <c r="F27" s="17" t="s">
        <v>162</v>
      </c>
      <c r="G27" s="17" t="s">
        <v>77</v>
      </c>
      <c r="H27" s="17" t="s">
        <v>146</v>
      </c>
      <c r="I27" s="17" t="s">
        <v>34</v>
      </c>
      <c r="J27" s="17" t="s">
        <v>147</v>
      </c>
      <c r="K27" s="17">
        <v>0.5</v>
      </c>
      <c r="L27" s="17" t="s">
        <v>34</v>
      </c>
      <c r="M27" s="17">
        <v>2023</v>
      </c>
      <c r="N27" s="17" t="s">
        <v>35</v>
      </c>
      <c r="O27" s="17" t="s">
        <v>24</v>
      </c>
      <c r="P27" s="17" t="s">
        <v>101</v>
      </c>
      <c r="Q27" s="17" t="s">
        <v>159</v>
      </c>
      <c r="R27" s="17">
        <v>40</v>
      </c>
      <c r="S27" s="17">
        <v>0.2</v>
      </c>
      <c r="T27" s="17">
        <v>0.25</v>
      </c>
      <c r="U27" s="17">
        <v>0.05</v>
      </c>
    </row>
    <row r="28" spans="1:21" x14ac:dyDescent="0.2">
      <c r="A28" s="17" t="s">
        <v>150</v>
      </c>
      <c r="B28" s="17" t="s">
        <v>140</v>
      </c>
      <c r="C28" s="17" t="s">
        <v>141</v>
      </c>
      <c r="D28" s="17" t="s">
        <v>165</v>
      </c>
      <c r="E28" s="17" t="s">
        <v>166</v>
      </c>
      <c r="F28" s="17" t="s">
        <v>167</v>
      </c>
      <c r="G28" s="17" t="s">
        <v>77</v>
      </c>
      <c r="H28" s="17" t="s">
        <v>146</v>
      </c>
      <c r="I28" s="17" t="s">
        <v>34</v>
      </c>
      <c r="J28" s="17" t="s">
        <v>147</v>
      </c>
      <c r="K28" s="17">
        <v>0.5</v>
      </c>
      <c r="L28" s="17" t="s">
        <v>34</v>
      </c>
      <c r="M28" s="17">
        <v>2023</v>
      </c>
      <c r="N28" s="17" t="s">
        <v>35</v>
      </c>
      <c r="O28" s="17" t="s">
        <v>24</v>
      </c>
      <c r="P28" s="17" t="s">
        <v>101</v>
      </c>
      <c r="Q28" s="17" t="s">
        <v>159</v>
      </c>
      <c r="R28" s="17">
        <v>40</v>
      </c>
      <c r="S28" s="17">
        <v>0.2</v>
      </c>
      <c r="T28" s="17">
        <v>0.25</v>
      </c>
      <c r="U28" s="17">
        <v>0.05</v>
      </c>
    </row>
    <row r="29" spans="1:21" x14ac:dyDescent="0.2">
      <c r="A29" s="17" t="s">
        <v>150</v>
      </c>
      <c r="B29" s="17" t="s">
        <v>140</v>
      </c>
      <c r="C29" s="17" t="s">
        <v>141</v>
      </c>
      <c r="D29" s="17" t="s">
        <v>165</v>
      </c>
      <c r="E29" s="17" t="s">
        <v>166</v>
      </c>
      <c r="F29" s="17" t="s">
        <v>167</v>
      </c>
      <c r="G29" s="17" t="s">
        <v>168</v>
      </c>
      <c r="H29" s="17" t="s">
        <v>146</v>
      </c>
      <c r="I29" s="17" t="s">
        <v>34</v>
      </c>
      <c r="J29" s="17" t="s">
        <v>147</v>
      </c>
      <c r="K29" s="17">
        <v>0.5</v>
      </c>
      <c r="L29" s="17" t="s">
        <v>34</v>
      </c>
      <c r="M29" s="17">
        <v>2023</v>
      </c>
      <c r="N29" s="17" t="s">
        <v>101</v>
      </c>
      <c r="O29" s="17" t="s">
        <v>159</v>
      </c>
      <c r="P29" s="17" t="s">
        <v>35</v>
      </c>
      <c r="Q29" s="17" t="s">
        <v>24</v>
      </c>
      <c r="R29" s="17">
        <v>40</v>
      </c>
      <c r="S29" s="17">
        <v>0.2</v>
      </c>
      <c r="T29" s="17">
        <v>0.05</v>
      </c>
      <c r="U29" s="17">
        <v>0.25</v>
      </c>
    </row>
    <row r="30" spans="1:21" x14ac:dyDescent="0.2">
      <c r="A30" s="17" t="s">
        <v>150</v>
      </c>
      <c r="B30" s="17" t="s">
        <v>140</v>
      </c>
      <c r="C30" s="17" t="s">
        <v>141</v>
      </c>
      <c r="D30" s="17" t="s">
        <v>169</v>
      </c>
      <c r="E30" s="17" t="s">
        <v>170</v>
      </c>
      <c r="F30" s="17" t="s">
        <v>171</v>
      </c>
      <c r="G30" s="17" t="s">
        <v>77</v>
      </c>
      <c r="H30" s="17" t="s">
        <v>146</v>
      </c>
      <c r="I30" s="17" t="s">
        <v>34</v>
      </c>
      <c r="J30" s="17" t="s">
        <v>147</v>
      </c>
      <c r="K30" s="17">
        <v>0.5</v>
      </c>
      <c r="L30" s="17" t="s">
        <v>34</v>
      </c>
      <c r="M30" s="17">
        <v>2023</v>
      </c>
      <c r="N30" s="17" t="s">
        <v>35</v>
      </c>
      <c r="O30" s="17" t="s">
        <v>24</v>
      </c>
      <c r="P30" s="17" t="s">
        <v>101</v>
      </c>
      <c r="Q30" s="17" t="s">
        <v>159</v>
      </c>
      <c r="R30" s="17">
        <v>40</v>
      </c>
      <c r="S30" s="17">
        <v>0.2</v>
      </c>
      <c r="T30" s="17">
        <v>0.25</v>
      </c>
      <c r="U30" s="17">
        <v>0.05</v>
      </c>
    </row>
    <row r="31" spans="1:21" x14ac:dyDescent="0.2">
      <c r="A31" s="17" t="s">
        <v>150</v>
      </c>
      <c r="B31" s="17" t="s">
        <v>140</v>
      </c>
      <c r="C31" s="17" t="s">
        <v>141</v>
      </c>
      <c r="D31" s="17" t="s">
        <v>169</v>
      </c>
      <c r="E31" s="17" t="s">
        <v>170</v>
      </c>
      <c r="F31" s="17" t="s">
        <v>171</v>
      </c>
      <c r="G31" s="17" t="s">
        <v>68</v>
      </c>
      <c r="H31" s="17" t="s">
        <v>146</v>
      </c>
      <c r="I31" s="17" t="s">
        <v>34</v>
      </c>
      <c r="J31" s="17" t="s">
        <v>147</v>
      </c>
      <c r="K31" s="17">
        <v>0.5</v>
      </c>
      <c r="L31" s="17" t="s">
        <v>34</v>
      </c>
      <c r="M31" s="17">
        <v>2023</v>
      </c>
      <c r="N31" s="17" t="s">
        <v>35</v>
      </c>
      <c r="O31" s="17" t="s">
        <v>24</v>
      </c>
      <c r="P31" s="17" t="s">
        <v>101</v>
      </c>
      <c r="Q31" s="17" t="s">
        <v>159</v>
      </c>
      <c r="R31" s="17">
        <v>40</v>
      </c>
      <c r="S31" s="17">
        <v>0.2</v>
      </c>
      <c r="T31" s="17">
        <v>0.25</v>
      </c>
      <c r="U31" s="17">
        <v>0.05</v>
      </c>
    </row>
    <row r="32" spans="1:21" x14ac:dyDescent="0.2">
      <c r="A32" s="17" t="s">
        <v>150</v>
      </c>
      <c r="B32" s="17" t="s">
        <v>140</v>
      </c>
      <c r="C32" s="17" t="s">
        <v>141</v>
      </c>
      <c r="D32" s="17" t="s">
        <v>172</v>
      </c>
      <c r="E32" s="17" t="s">
        <v>173</v>
      </c>
      <c r="F32" s="17" t="s">
        <v>171</v>
      </c>
      <c r="G32" s="17" t="s">
        <v>174</v>
      </c>
      <c r="H32" s="17" t="s">
        <v>146</v>
      </c>
      <c r="I32" s="17" t="s">
        <v>34</v>
      </c>
      <c r="J32" s="17" t="s">
        <v>147</v>
      </c>
      <c r="K32" s="17">
        <v>0.5</v>
      </c>
      <c r="L32" s="17" t="s">
        <v>34</v>
      </c>
      <c r="M32" s="17">
        <v>2023</v>
      </c>
      <c r="N32" s="17" t="s">
        <v>35</v>
      </c>
      <c r="O32" s="17" t="s">
        <v>24</v>
      </c>
      <c r="P32" s="17" t="s">
        <v>101</v>
      </c>
      <c r="Q32" s="17" t="s">
        <v>159</v>
      </c>
      <c r="R32" s="17">
        <v>40</v>
      </c>
      <c r="S32" s="17">
        <v>0.2</v>
      </c>
      <c r="T32" s="17">
        <v>0.25</v>
      </c>
      <c r="U32" s="17">
        <v>0.05</v>
      </c>
    </row>
    <row r="33" spans="1:21" x14ac:dyDescent="0.2">
      <c r="A33" s="17" t="s">
        <v>150</v>
      </c>
      <c r="B33" s="17" t="s">
        <v>140</v>
      </c>
      <c r="C33" s="17" t="s">
        <v>141</v>
      </c>
      <c r="D33" s="17" t="s">
        <v>172</v>
      </c>
      <c r="E33" s="17" t="s">
        <v>173</v>
      </c>
      <c r="F33" s="17" t="s">
        <v>171</v>
      </c>
      <c r="G33" s="17" t="s">
        <v>175</v>
      </c>
      <c r="H33" s="17" t="s">
        <v>146</v>
      </c>
      <c r="I33" s="17" t="s">
        <v>34</v>
      </c>
      <c r="J33" s="17" t="s">
        <v>147</v>
      </c>
      <c r="K33" s="17">
        <v>0.5</v>
      </c>
      <c r="L33" s="17" t="s">
        <v>34</v>
      </c>
      <c r="M33" s="17">
        <v>2023</v>
      </c>
      <c r="N33" s="17" t="s">
        <v>101</v>
      </c>
      <c r="O33" s="17" t="s">
        <v>159</v>
      </c>
      <c r="P33" s="17" t="s">
        <v>35</v>
      </c>
      <c r="Q33" s="17" t="s">
        <v>24</v>
      </c>
      <c r="R33" s="17">
        <v>40</v>
      </c>
      <c r="S33" s="17">
        <v>0.2</v>
      </c>
      <c r="T33" s="17">
        <v>0.05</v>
      </c>
      <c r="U33" s="17">
        <v>0.25</v>
      </c>
    </row>
    <row r="34" spans="1:21" x14ac:dyDescent="0.2">
      <c r="A34" s="17" t="s">
        <v>150</v>
      </c>
      <c r="B34" s="17" t="s">
        <v>140</v>
      </c>
      <c r="C34" s="17" t="s">
        <v>141</v>
      </c>
      <c r="D34" s="17" t="s">
        <v>176</v>
      </c>
      <c r="E34" s="17" t="s">
        <v>177</v>
      </c>
      <c r="F34" s="17" t="s">
        <v>178</v>
      </c>
      <c r="G34" s="17" t="s">
        <v>174</v>
      </c>
      <c r="H34" s="17" t="s">
        <v>146</v>
      </c>
      <c r="I34" s="17" t="s">
        <v>34</v>
      </c>
      <c r="J34" s="17" t="s">
        <v>147</v>
      </c>
      <c r="K34" s="17">
        <v>0.5</v>
      </c>
      <c r="L34" s="17" t="s">
        <v>34</v>
      </c>
      <c r="M34" s="17">
        <v>2023</v>
      </c>
      <c r="N34" s="17" t="s">
        <v>35</v>
      </c>
      <c r="O34" s="17" t="s">
        <v>24</v>
      </c>
      <c r="P34" s="17" t="s">
        <v>101</v>
      </c>
      <c r="Q34" s="17" t="s">
        <v>159</v>
      </c>
      <c r="R34" s="17">
        <v>40</v>
      </c>
      <c r="S34" s="17">
        <v>0.2</v>
      </c>
      <c r="T34" s="17">
        <v>0.25</v>
      </c>
      <c r="U34" s="17">
        <v>0.05</v>
      </c>
    </row>
    <row r="35" spans="1:21" x14ac:dyDescent="0.2">
      <c r="A35" s="17" t="s">
        <v>150</v>
      </c>
      <c r="B35" s="17" t="s">
        <v>140</v>
      </c>
      <c r="C35" s="17" t="s">
        <v>141</v>
      </c>
      <c r="D35" s="17" t="s">
        <v>176</v>
      </c>
      <c r="E35" s="17" t="s">
        <v>177</v>
      </c>
      <c r="F35" s="17" t="s">
        <v>178</v>
      </c>
      <c r="G35" s="17" t="s">
        <v>175</v>
      </c>
      <c r="H35" s="17" t="s">
        <v>146</v>
      </c>
      <c r="I35" s="17" t="s">
        <v>34</v>
      </c>
      <c r="J35" s="17" t="s">
        <v>147</v>
      </c>
      <c r="K35" s="17">
        <v>0.5</v>
      </c>
      <c r="L35" s="17" t="s">
        <v>34</v>
      </c>
      <c r="M35" s="17">
        <v>2023</v>
      </c>
      <c r="N35" s="17" t="s">
        <v>101</v>
      </c>
      <c r="O35" s="17" t="s">
        <v>159</v>
      </c>
      <c r="P35" s="17" t="s">
        <v>35</v>
      </c>
      <c r="Q35" s="17" t="s">
        <v>24</v>
      </c>
      <c r="R35" s="17">
        <v>40</v>
      </c>
      <c r="S35" s="17">
        <v>0.2</v>
      </c>
      <c r="T35" s="17">
        <v>0.05</v>
      </c>
      <c r="U35" s="17">
        <v>0.25</v>
      </c>
    </row>
    <row r="36" spans="1:21" x14ac:dyDescent="0.2">
      <c r="A36" s="17" t="s">
        <v>150</v>
      </c>
      <c r="B36" s="17" t="s">
        <v>201</v>
      </c>
      <c r="C36" s="17" t="s">
        <v>151</v>
      </c>
      <c r="D36" s="17" t="s">
        <v>202</v>
      </c>
      <c r="E36" s="17" t="s">
        <v>203</v>
      </c>
      <c r="F36" s="17" t="s">
        <v>204</v>
      </c>
      <c r="G36" s="17" t="s">
        <v>62</v>
      </c>
      <c r="H36" s="17" t="s">
        <v>146</v>
      </c>
      <c r="I36" s="17" t="s">
        <v>34</v>
      </c>
      <c r="J36" s="17" t="s">
        <v>205</v>
      </c>
      <c r="K36" s="17">
        <v>0.5</v>
      </c>
      <c r="L36" s="17" t="s">
        <v>34</v>
      </c>
      <c r="M36" s="17">
        <v>2024</v>
      </c>
      <c r="N36" s="17" t="s">
        <v>35</v>
      </c>
      <c r="O36" s="17" t="s">
        <v>24</v>
      </c>
      <c r="P36" s="17" t="s">
        <v>25</v>
      </c>
      <c r="Q36" s="17" t="s">
        <v>25</v>
      </c>
      <c r="R36" s="17">
        <v>50</v>
      </c>
      <c r="S36" s="17">
        <v>0.25</v>
      </c>
      <c r="T36" s="17">
        <v>0.25</v>
      </c>
      <c r="U36" s="17">
        <v>0</v>
      </c>
    </row>
    <row r="37" spans="1:21" x14ac:dyDescent="0.2">
      <c r="A37" s="17" t="s">
        <v>150</v>
      </c>
      <c r="B37" s="17" t="s">
        <v>201</v>
      </c>
      <c r="C37" s="17" t="s">
        <v>151</v>
      </c>
      <c r="D37" s="17" t="s">
        <v>202</v>
      </c>
      <c r="E37" s="17" t="s">
        <v>203</v>
      </c>
      <c r="F37" s="17" t="s">
        <v>204</v>
      </c>
      <c r="G37" s="17" t="s">
        <v>63</v>
      </c>
      <c r="H37" s="17" t="s">
        <v>146</v>
      </c>
      <c r="I37" s="17" t="s">
        <v>34</v>
      </c>
      <c r="J37" s="17" t="s">
        <v>205</v>
      </c>
      <c r="K37" s="17">
        <v>0.5</v>
      </c>
      <c r="L37" s="17" t="s">
        <v>34</v>
      </c>
      <c r="M37" s="17">
        <v>2024</v>
      </c>
      <c r="N37" s="17" t="s">
        <v>35</v>
      </c>
      <c r="O37" s="17" t="s">
        <v>24</v>
      </c>
      <c r="P37" s="17" t="s">
        <v>25</v>
      </c>
      <c r="Q37" s="17" t="s">
        <v>25</v>
      </c>
      <c r="R37" s="17">
        <v>50</v>
      </c>
      <c r="S37" s="17">
        <v>0.25</v>
      </c>
      <c r="T37" s="17">
        <v>0.25</v>
      </c>
      <c r="U37" s="17">
        <v>0</v>
      </c>
    </row>
    <row r="38" spans="1:21" x14ac:dyDescent="0.2">
      <c r="A38" s="17" t="s">
        <v>150</v>
      </c>
      <c r="B38" s="17" t="s">
        <v>201</v>
      </c>
      <c r="C38" s="17" t="s">
        <v>151</v>
      </c>
      <c r="D38" s="17" t="s">
        <v>206</v>
      </c>
      <c r="E38" s="17" t="s">
        <v>207</v>
      </c>
      <c r="F38" s="17" t="s">
        <v>208</v>
      </c>
      <c r="G38" s="17" t="s">
        <v>54</v>
      </c>
      <c r="H38" s="17" t="s">
        <v>155</v>
      </c>
      <c r="I38" s="17" t="s">
        <v>34</v>
      </c>
      <c r="J38" s="17" t="s">
        <v>205</v>
      </c>
      <c r="K38" s="17">
        <v>1</v>
      </c>
      <c r="L38" s="17" t="s">
        <v>34</v>
      </c>
      <c r="M38" s="17">
        <v>2024</v>
      </c>
      <c r="N38" s="17" t="s">
        <v>35</v>
      </c>
      <c r="O38" s="17" t="s">
        <v>24</v>
      </c>
      <c r="P38" s="17" t="s">
        <v>25</v>
      </c>
      <c r="Q38" s="17" t="s">
        <v>25</v>
      </c>
      <c r="R38" s="17">
        <v>50</v>
      </c>
      <c r="S38" s="17">
        <v>0.5</v>
      </c>
      <c r="T38" s="17">
        <v>0.5</v>
      </c>
      <c r="U38" s="17">
        <v>0</v>
      </c>
    </row>
    <row r="39" spans="1:21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8"/>
      <c r="P39" s="37"/>
      <c r="Q39" s="38"/>
      <c r="R39" s="37"/>
      <c r="S39" s="41">
        <f>SUM(S2:S38)</f>
        <v>9.1000000000000032</v>
      </c>
      <c r="T39" s="37"/>
      <c r="U39" s="37"/>
    </row>
  </sheetData>
  <autoFilter ref="A1:U1" xr:uid="{00000000-0009-0000-0000-000000000000}">
    <sortState xmlns:xlrd2="http://schemas.microsoft.com/office/spreadsheetml/2017/richdata2" ref="A2:S1882">
      <sortCondition ref="K2:K1882"/>
      <sortCondition ref="D2:D188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4"/>
  <sheetViews>
    <sheetView zoomScaleNormal="100" workbookViewId="0">
      <selection activeCell="V13" sqref="V13"/>
    </sheetView>
  </sheetViews>
  <sheetFormatPr baseColWidth="10" defaultColWidth="11.44140625" defaultRowHeight="13.2" x14ac:dyDescent="0.25"/>
  <cols>
    <col min="1" max="1" width="10.88671875" style="11" bestFit="1" customWidth="1"/>
    <col min="2" max="2" width="36.10937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ht="30" x14ac:dyDescent="0.25">
      <c r="A1" s="13" t="s">
        <v>40</v>
      </c>
      <c r="B1" s="13" t="s">
        <v>41</v>
      </c>
      <c r="C1" s="13" t="s">
        <v>42</v>
      </c>
      <c r="D1" s="14" t="s">
        <v>209</v>
      </c>
      <c r="E1" s="14" t="s">
        <v>210</v>
      </c>
      <c r="F1" s="14" t="s">
        <v>211</v>
      </c>
      <c r="G1" s="14" t="s">
        <v>212</v>
      </c>
      <c r="H1" s="14" t="s">
        <v>213</v>
      </c>
      <c r="I1" s="14" t="s">
        <v>214</v>
      </c>
      <c r="J1" s="13" t="s">
        <v>43</v>
      </c>
      <c r="K1" s="15" t="s">
        <v>79</v>
      </c>
      <c r="L1" s="8" t="s">
        <v>44</v>
      </c>
      <c r="M1" s="8" t="s">
        <v>45</v>
      </c>
      <c r="N1" s="8" t="s">
        <v>46</v>
      </c>
      <c r="O1" s="8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T1" s="10"/>
    </row>
    <row r="2" spans="1:20" ht="14.4" x14ac:dyDescent="0.3">
      <c r="A2" s="16" t="s">
        <v>111</v>
      </c>
      <c r="B2" s="16" t="s">
        <v>215</v>
      </c>
      <c r="C2" s="16" t="s">
        <v>53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34</v>
      </c>
      <c r="L2" s="16" t="s">
        <v>35</v>
      </c>
      <c r="M2" s="16" t="s">
        <v>24</v>
      </c>
      <c r="N2" s="16" t="s">
        <v>25</v>
      </c>
      <c r="O2" s="16" t="s">
        <v>25</v>
      </c>
      <c r="P2" s="16">
        <v>50</v>
      </c>
      <c r="Q2" s="16">
        <v>0.5</v>
      </c>
      <c r="R2" s="16">
        <v>0</v>
      </c>
      <c r="S2" s="16">
        <v>0.5</v>
      </c>
    </row>
    <row r="3" spans="1:20" ht="14.4" x14ac:dyDescent="0.3">
      <c r="A3" s="16" t="s">
        <v>54</v>
      </c>
      <c r="B3" s="16" t="s">
        <v>216</v>
      </c>
      <c r="C3" s="16" t="s">
        <v>52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34</v>
      </c>
      <c r="L3" s="16" t="s">
        <v>35</v>
      </c>
      <c r="M3" s="16" t="s">
        <v>24</v>
      </c>
      <c r="N3" s="16" t="s">
        <v>25</v>
      </c>
      <c r="O3" s="16" t="s">
        <v>25</v>
      </c>
      <c r="P3" s="16">
        <v>50</v>
      </c>
      <c r="Q3" s="16">
        <v>0.5</v>
      </c>
      <c r="R3" s="16">
        <v>0</v>
      </c>
      <c r="S3" s="16">
        <v>0.5</v>
      </c>
    </row>
    <row r="4" spans="1:20" ht="14.4" x14ac:dyDescent="0.3">
      <c r="A4" s="16" t="s">
        <v>56</v>
      </c>
      <c r="B4" s="16" t="s">
        <v>217</v>
      </c>
      <c r="C4" s="16" t="s">
        <v>52</v>
      </c>
      <c r="D4" s="16"/>
      <c r="E4" s="16">
        <v>1</v>
      </c>
      <c r="F4" s="16"/>
      <c r="G4" s="16"/>
      <c r="H4" s="16"/>
      <c r="I4" s="16"/>
      <c r="J4" s="16">
        <v>1</v>
      </c>
      <c r="K4" s="16" t="s">
        <v>34</v>
      </c>
      <c r="L4" s="16" t="s">
        <v>35</v>
      </c>
      <c r="M4" s="16" t="s">
        <v>24</v>
      </c>
      <c r="N4" s="16" t="s">
        <v>25</v>
      </c>
      <c r="O4" s="16" t="s">
        <v>25</v>
      </c>
      <c r="P4" s="16">
        <v>50</v>
      </c>
      <c r="Q4" s="16">
        <v>0.5</v>
      </c>
      <c r="R4" s="16">
        <v>0</v>
      </c>
      <c r="S4" s="16">
        <v>0.5</v>
      </c>
    </row>
    <row r="5" spans="1:20" ht="14.4" x14ac:dyDescent="0.3">
      <c r="A5" s="16" t="s">
        <v>64</v>
      </c>
      <c r="B5" s="16" t="s">
        <v>218</v>
      </c>
      <c r="C5" s="16" t="s">
        <v>52</v>
      </c>
      <c r="D5" s="16">
        <v>1</v>
      </c>
      <c r="E5" s="16"/>
      <c r="F5" s="16"/>
      <c r="G5" s="16"/>
      <c r="H5" s="16"/>
      <c r="I5" s="16"/>
      <c r="J5" s="16">
        <v>1</v>
      </c>
      <c r="K5" s="16" t="s">
        <v>34</v>
      </c>
      <c r="L5" s="16" t="s">
        <v>35</v>
      </c>
      <c r="M5" s="16" t="s">
        <v>24</v>
      </c>
      <c r="N5" s="16" t="s">
        <v>25</v>
      </c>
      <c r="O5" s="16" t="s">
        <v>25</v>
      </c>
      <c r="P5" s="16">
        <v>50</v>
      </c>
      <c r="Q5" s="16">
        <v>0.5</v>
      </c>
      <c r="R5" s="16">
        <v>0</v>
      </c>
      <c r="S5" s="16">
        <v>0.5</v>
      </c>
    </row>
    <row r="6" spans="1:20" ht="14.4" x14ac:dyDescent="0.3">
      <c r="A6" s="16" t="s">
        <v>69</v>
      </c>
      <c r="B6" s="16" t="s">
        <v>219</v>
      </c>
      <c r="C6" s="16" t="s">
        <v>52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34</v>
      </c>
      <c r="L6" s="16" t="s">
        <v>35</v>
      </c>
      <c r="M6" s="16" t="s">
        <v>24</v>
      </c>
      <c r="N6" s="16" t="s">
        <v>25</v>
      </c>
      <c r="O6" s="16" t="s">
        <v>25</v>
      </c>
      <c r="P6" s="16">
        <v>50</v>
      </c>
      <c r="Q6" s="16">
        <v>0.5</v>
      </c>
      <c r="R6" s="16">
        <v>0</v>
      </c>
      <c r="S6" s="16">
        <v>0.5</v>
      </c>
    </row>
    <row r="7" spans="1:20" ht="14.4" x14ac:dyDescent="0.3">
      <c r="A7" s="16" t="s">
        <v>73</v>
      </c>
      <c r="B7" s="16" t="s">
        <v>220</v>
      </c>
      <c r="C7" s="16" t="s">
        <v>52</v>
      </c>
      <c r="D7" s="16"/>
      <c r="E7" s="16"/>
      <c r="F7" s="16"/>
      <c r="G7" s="16"/>
      <c r="H7" s="16">
        <v>1</v>
      </c>
      <c r="I7" s="16"/>
      <c r="J7" s="16">
        <v>1</v>
      </c>
      <c r="K7" s="16" t="s">
        <v>34</v>
      </c>
      <c r="L7" s="16" t="s">
        <v>35</v>
      </c>
      <c r="M7" s="16" t="s">
        <v>24</v>
      </c>
      <c r="N7" s="16" t="s">
        <v>25</v>
      </c>
      <c r="O7" s="16" t="s">
        <v>25</v>
      </c>
      <c r="P7" s="16">
        <v>50</v>
      </c>
      <c r="Q7" s="16">
        <v>0.5</v>
      </c>
      <c r="R7" s="16">
        <v>0</v>
      </c>
      <c r="S7" s="16">
        <v>0.5</v>
      </c>
    </row>
    <row r="8" spans="1:20" ht="14.4" x14ac:dyDescent="0.3">
      <c r="A8" s="16" t="s">
        <v>66</v>
      </c>
      <c r="B8" s="16" t="s">
        <v>221</v>
      </c>
      <c r="C8" s="16" t="s">
        <v>52</v>
      </c>
      <c r="D8" s="16"/>
      <c r="E8" s="16"/>
      <c r="F8" s="16"/>
      <c r="G8" s="16"/>
      <c r="H8" s="16"/>
      <c r="I8" s="16">
        <v>1</v>
      </c>
      <c r="J8" s="16">
        <v>1</v>
      </c>
      <c r="K8" s="16" t="s">
        <v>34</v>
      </c>
      <c r="L8" s="16" t="s">
        <v>35</v>
      </c>
      <c r="M8" s="16" t="s">
        <v>24</v>
      </c>
      <c r="N8" s="16" t="s">
        <v>25</v>
      </c>
      <c r="O8" s="16" t="s">
        <v>25</v>
      </c>
      <c r="P8" s="16">
        <v>50</v>
      </c>
      <c r="Q8" s="16">
        <v>0.5</v>
      </c>
      <c r="R8" s="16">
        <v>0</v>
      </c>
      <c r="S8" s="16">
        <v>0.5</v>
      </c>
    </row>
    <row r="9" spans="1:20" ht="14.4" x14ac:dyDescent="0.3">
      <c r="A9" s="16" t="s">
        <v>60</v>
      </c>
      <c r="B9" s="16" t="s">
        <v>222</v>
      </c>
      <c r="C9" s="16" t="s">
        <v>52</v>
      </c>
      <c r="D9" s="16"/>
      <c r="E9" s="16"/>
      <c r="F9" s="16"/>
      <c r="G9" s="16">
        <v>1</v>
      </c>
      <c r="H9" s="16"/>
      <c r="I9" s="16"/>
      <c r="J9" s="16">
        <v>1</v>
      </c>
      <c r="K9" s="16" t="s">
        <v>34</v>
      </c>
      <c r="L9" s="16" t="s">
        <v>35</v>
      </c>
      <c r="M9" s="16" t="s">
        <v>24</v>
      </c>
      <c r="N9" s="16" t="s">
        <v>25</v>
      </c>
      <c r="O9" s="16" t="s">
        <v>25</v>
      </c>
      <c r="P9" s="16">
        <v>50</v>
      </c>
      <c r="Q9" s="16">
        <v>0.5</v>
      </c>
      <c r="R9" s="16">
        <v>0</v>
      </c>
      <c r="S9" s="16">
        <v>0.5</v>
      </c>
    </row>
    <row r="10" spans="1:20" ht="14.4" x14ac:dyDescent="0.3">
      <c r="A10" s="16" t="s">
        <v>63</v>
      </c>
      <c r="B10" s="16" t="s">
        <v>223</v>
      </c>
      <c r="C10" s="16" t="s">
        <v>52</v>
      </c>
      <c r="D10" s="16"/>
      <c r="E10" s="16"/>
      <c r="F10" s="16"/>
      <c r="G10" s="16"/>
      <c r="H10" s="16"/>
      <c r="I10" s="16">
        <v>1</v>
      </c>
      <c r="J10" s="16">
        <v>1</v>
      </c>
      <c r="K10" s="16" t="s">
        <v>34</v>
      </c>
      <c r="L10" s="16" t="s">
        <v>35</v>
      </c>
      <c r="M10" s="16" t="s">
        <v>24</v>
      </c>
      <c r="N10" s="16" t="s">
        <v>25</v>
      </c>
      <c r="O10" s="16" t="s">
        <v>25</v>
      </c>
      <c r="P10" s="16">
        <v>50</v>
      </c>
      <c r="Q10" s="16">
        <v>0.5</v>
      </c>
      <c r="R10" s="16">
        <v>0</v>
      </c>
      <c r="S10" s="16">
        <v>0.5</v>
      </c>
    </row>
    <row r="11" spans="1:20" ht="14.4" x14ac:dyDescent="0.3">
      <c r="A11" s="16" t="s">
        <v>77</v>
      </c>
      <c r="B11" s="16" t="s">
        <v>224</v>
      </c>
      <c r="C11" s="16" t="s">
        <v>52</v>
      </c>
      <c r="D11" s="16"/>
      <c r="E11" s="16"/>
      <c r="F11" s="16"/>
      <c r="G11" s="16"/>
      <c r="H11" s="16">
        <v>1</v>
      </c>
      <c r="I11" s="16">
        <v>1</v>
      </c>
      <c r="J11" s="16">
        <v>2</v>
      </c>
      <c r="K11" s="16" t="s">
        <v>34</v>
      </c>
      <c r="L11" s="16" t="s">
        <v>101</v>
      </c>
      <c r="M11" s="16" t="s">
        <v>159</v>
      </c>
      <c r="N11" s="16" t="s">
        <v>35</v>
      </c>
      <c r="O11" s="16" t="s">
        <v>24</v>
      </c>
      <c r="P11" s="16">
        <v>40</v>
      </c>
      <c r="Q11" s="16">
        <v>0.2</v>
      </c>
      <c r="R11" s="16">
        <v>1</v>
      </c>
      <c r="S11" s="16">
        <v>0.8</v>
      </c>
    </row>
    <row r="12" spans="1:20" ht="14.4" x14ac:dyDescent="0.3">
      <c r="A12" s="16" t="s">
        <v>72</v>
      </c>
      <c r="B12" s="16" t="s">
        <v>225</v>
      </c>
      <c r="C12" s="16" t="s">
        <v>52</v>
      </c>
      <c r="D12" s="16"/>
      <c r="E12" s="16"/>
      <c r="F12" s="16"/>
      <c r="G12" s="16"/>
      <c r="H12" s="16">
        <v>1</v>
      </c>
      <c r="I12" s="16"/>
      <c r="J12" s="16">
        <v>1</v>
      </c>
      <c r="K12" s="16" t="s">
        <v>34</v>
      </c>
      <c r="L12" s="16">
        <v>0</v>
      </c>
      <c r="M12" s="16">
        <v>0</v>
      </c>
      <c r="N12" s="16" t="s">
        <v>25</v>
      </c>
      <c r="O12" s="16" t="s">
        <v>25</v>
      </c>
      <c r="P12" s="16">
        <v>100</v>
      </c>
      <c r="Q12" s="16">
        <v>0</v>
      </c>
      <c r="R12" s="16">
        <v>0</v>
      </c>
      <c r="S12" s="16">
        <v>1</v>
      </c>
    </row>
    <row r="13" spans="1:20" ht="14.4" x14ac:dyDescent="0.3">
      <c r="A13" s="16" t="s">
        <v>71</v>
      </c>
      <c r="B13" s="16" t="s">
        <v>226</v>
      </c>
      <c r="C13" s="16" t="s">
        <v>52</v>
      </c>
      <c r="D13" s="16"/>
      <c r="E13" s="16"/>
      <c r="F13" s="16"/>
      <c r="G13" s="16">
        <v>1</v>
      </c>
      <c r="H13" s="16"/>
      <c r="I13" s="16"/>
      <c r="J13" s="16">
        <v>1</v>
      </c>
      <c r="K13" s="16" t="s">
        <v>34</v>
      </c>
      <c r="L13" s="16" t="s">
        <v>35</v>
      </c>
      <c r="M13" s="16" t="s">
        <v>24</v>
      </c>
      <c r="N13" s="16" t="s">
        <v>25</v>
      </c>
      <c r="O13" s="16" t="s">
        <v>25</v>
      </c>
      <c r="P13" s="16">
        <v>50</v>
      </c>
      <c r="Q13" s="16">
        <v>0.5</v>
      </c>
      <c r="R13" s="16">
        <v>0</v>
      </c>
      <c r="S13" s="16">
        <v>0.5</v>
      </c>
    </row>
    <row r="14" spans="1:20" ht="14.4" x14ac:dyDescent="0.3">
      <c r="A14" s="16" t="s">
        <v>95</v>
      </c>
      <c r="B14" s="16" t="s">
        <v>227</v>
      </c>
      <c r="C14" s="16" t="s">
        <v>52</v>
      </c>
      <c r="D14" s="16"/>
      <c r="E14" s="16"/>
      <c r="F14" s="16"/>
      <c r="G14" s="16"/>
      <c r="H14" s="16"/>
      <c r="I14" s="16">
        <v>1</v>
      </c>
      <c r="J14" s="16">
        <v>1</v>
      </c>
      <c r="K14" s="16" t="s">
        <v>34</v>
      </c>
      <c r="L14" s="16" t="s">
        <v>35</v>
      </c>
      <c r="M14" s="16" t="s">
        <v>24</v>
      </c>
      <c r="N14" s="16" t="s">
        <v>96</v>
      </c>
      <c r="O14" s="16" t="s">
        <v>179</v>
      </c>
      <c r="P14" s="16">
        <v>20</v>
      </c>
      <c r="Q14" s="16">
        <v>0.5</v>
      </c>
      <c r="R14" s="16">
        <v>0.3</v>
      </c>
      <c r="S14" s="16">
        <v>0.2</v>
      </c>
    </row>
    <row r="15" spans="1:20" ht="14.4" x14ac:dyDescent="0.3">
      <c r="A15" s="16" t="s">
        <v>67</v>
      </c>
      <c r="B15" s="16" t="s">
        <v>228</v>
      </c>
      <c r="C15" s="16" t="s">
        <v>112</v>
      </c>
      <c r="D15" s="16"/>
      <c r="E15" s="16"/>
      <c r="F15" s="16"/>
      <c r="G15" s="16"/>
      <c r="H15" s="16"/>
      <c r="I15" s="16">
        <v>1</v>
      </c>
      <c r="J15" s="16">
        <v>1</v>
      </c>
      <c r="K15" s="16" t="s">
        <v>34</v>
      </c>
      <c r="L15" s="16" t="s">
        <v>101</v>
      </c>
      <c r="M15" s="16" t="s">
        <v>159</v>
      </c>
      <c r="N15" s="16" t="s">
        <v>35</v>
      </c>
      <c r="O15" s="16" t="s">
        <v>24</v>
      </c>
      <c r="P15" s="16">
        <v>40</v>
      </c>
      <c r="Q15" s="16">
        <v>0.1</v>
      </c>
      <c r="R15" s="16">
        <v>0.5</v>
      </c>
      <c r="S15" s="16">
        <v>0.4</v>
      </c>
    </row>
    <row r="16" spans="1:20" ht="14.4" x14ac:dyDescent="0.3">
      <c r="A16" s="16" t="s">
        <v>68</v>
      </c>
      <c r="B16" s="16" t="s">
        <v>229</v>
      </c>
      <c r="C16" s="16">
        <v>6</v>
      </c>
      <c r="D16" s="16"/>
      <c r="E16" s="16"/>
      <c r="F16" s="16"/>
      <c r="G16" s="16"/>
      <c r="H16" s="16"/>
      <c r="I16" s="16">
        <v>1</v>
      </c>
      <c r="J16" s="16">
        <v>1</v>
      </c>
      <c r="K16" s="16" t="s">
        <v>34</v>
      </c>
      <c r="L16" s="16" t="s">
        <v>101</v>
      </c>
      <c r="M16" s="16" t="s">
        <v>159</v>
      </c>
      <c r="N16" s="16" t="s">
        <v>35</v>
      </c>
      <c r="O16" s="16" t="s">
        <v>24</v>
      </c>
      <c r="P16" s="16">
        <v>40</v>
      </c>
      <c r="Q16" s="16">
        <v>0.1</v>
      </c>
      <c r="R16" s="16">
        <v>0.5</v>
      </c>
      <c r="S16" s="16">
        <v>0.4</v>
      </c>
    </row>
    <row r="17" spans="1:19" ht="14.4" x14ac:dyDescent="0.3">
      <c r="A17" s="16" t="s">
        <v>65</v>
      </c>
      <c r="B17" s="16" t="s">
        <v>230</v>
      </c>
      <c r="C17" s="16" t="s">
        <v>52</v>
      </c>
      <c r="D17" s="16"/>
      <c r="E17" s="16"/>
      <c r="F17" s="16"/>
      <c r="G17" s="16"/>
      <c r="H17" s="16"/>
      <c r="I17" s="16">
        <v>1</v>
      </c>
      <c r="J17" s="16">
        <v>1</v>
      </c>
      <c r="K17" s="16" t="s">
        <v>34</v>
      </c>
      <c r="L17" s="16" t="s">
        <v>35</v>
      </c>
      <c r="M17" s="16" t="s">
        <v>24</v>
      </c>
      <c r="N17" s="16" t="s">
        <v>25</v>
      </c>
      <c r="O17" s="16" t="s">
        <v>25</v>
      </c>
      <c r="P17" s="16">
        <v>50</v>
      </c>
      <c r="Q17" s="16">
        <v>0.5</v>
      </c>
      <c r="R17" s="16">
        <v>0</v>
      </c>
      <c r="S17" s="16">
        <v>0.5</v>
      </c>
    </row>
    <row r="18" spans="1:19" ht="14.4" x14ac:dyDescent="0.3">
      <c r="A18" s="16" t="s">
        <v>58</v>
      </c>
      <c r="B18" s="16" t="s">
        <v>231</v>
      </c>
      <c r="C18" s="16" t="s">
        <v>52</v>
      </c>
      <c r="D18" s="16"/>
      <c r="E18" s="16">
        <v>1</v>
      </c>
      <c r="F18" s="16"/>
      <c r="G18" s="16"/>
      <c r="H18" s="16"/>
      <c r="I18" s="16"/>
      <c r="J18" s="16">
        <v>1</v>
      </c>
      <c r="K18" s="16" t="s">
        <v>34</v>
      </c>
      <c r="L18" s="16" t="s">
        <v>35</v>
      </c>
      <c r="M18" s="16" t="s">
        <v>24</v>
      </c>
      <c r="N18" s="16" t="s">
        <v>25</v>
      </c>
      <c r="O18" s="16" t="s">
        <v>25</v>
      </c>
      <c r="P18" s="16">
        <v>50</v>
      </c>
      <c r="Q18" s="16">
        <v>0.5</v>
      </c>
      <c r="R18" s="16">
        <v>0</v>
      </c>
      <c r="S18" s="16">
        <v>0.5</v>
      </c>
    </row>
    <row r="19" spans="1:19" ht="14.4" x14ac:dyDescent="0.3">
      <c r="A19" s="16" t="s">
        <v>57</v>
      </c>
      <c r="B19" s="16" t="s">
        <v>232</v>
      </c>
      <c r="C19" s="16" t="s">
        <v>112</v>
      </c>
      <c r="D19" s="16"/>
      <c r="E19" s="16"/>
      <c r="F19" s="16"/>
      <c r="G19" s="16"/>
      <c r="H19" s="16"/>
      <c r="I19" s="16">
        <v>1</v>
      </c>
      <c r="J19" s="16">
        <v>1</v>
      </c>
      <c r="K19" s="16" t="s">
        <v>34</v>
      </c>
      <c r="L19" s="16" t="s">
        <v>35</v>
      </c>
      <c r="M19" s="16" t="s">
        <v>24</v>
      </c>
      <c r="N19" s="16" t="s">
        <v>25</v>
      </c>
      <c r="O19" s="16" t="s">
        <v>25</v>
      </c>
      <c r="P19" s="16">
        <v>50</v>
      </c>
      <c r="Q19" s="16">
        <v>0.5</v>
      </c>
      <c r="R19" s="16">
        <v>0</v>
      </c>
      <c r="S19" s="16">
        <v>0.5</v>
      </c>
    </row>
    <row r="20" spans="1:19" ht="14.4" x14ac:dyDescent="0.3">
      <c r="A20" s="16" t="s">
        <v>78</v>
      </c>
      <c r="B20" s="16" t="s">
        <v>233</v>
      </c>
      <c r="C20" s="16" t="s">
        <v>53</v>
      </c>
      <c r="D20" s="16"/>
      <c r="E20" s="16"/>
      <c r="F20" s="16">
        <v>1</v>
      </c>
      <c r="G20" s="16">
        <v>1</v>
      </c>
      <c r="H20" s="16"/>
      <c r="I20" s="16"/>
      <c r="J20" s="16">
        <v>2</v>
      </c>
      <c r="K20" s="16" t="s">
        <v>34</v>
      </c>
      <c r="L20" s="16" t="s">
        <v>96</v>
      </c>
      <c r="M20" s="16" t="s">
        <v>180</v>
      </c>
      <c r="N20" s="16" t="s">
        <v>25</v>
      </c>
      <c r="O20" s="16" t="s">
        <v>25</v>
      </c>
      <c r="P20" s="16">
        <v>80</v>
      </c>
      <c r="Q20" s="16">
        <v>0.4</v>
      </c>
      <c r="R20" s="16">
        <v>0</v>
      </c>
      <c r="S20" s="16">
        <v>1.6</v>
      </c>
    </row>
    <row r="21" spans="1:19" ht="14.4" x14ac:dyDescent="0.3">
      <c r="A21" s="16" t="s">
        <v>97</v>
      </c>
      <c r="B21" s="16" t="s">
        <v>234</v>
      </c>
      <c r="C21" s="16" t="s">
        <v>52</v>
      </c>
      <c r="D21" s="16"/>
      <c r="E21" s="16"/>
      <c r="F21" s="16">
        <v>1</v>
      </c>
      <c r="G21" s="16">
        <v>1</v>
      </c>
      <c r="H21" s="16"/>
      <c r="I21" s="16"/>
      <c r="J21" s="16">
        <v>2</v>
      </c>
      <c r="K21" s="16" t="s">
        <v>34</v>
      </c>
      <c r="L21" s="16" t="s">
        <v>101</v>
      </c>
      <c r="M21" s="16" t="s">
        <v>159</v>
      </c>
      <c r="N21" s="16" t="s">
        <v>35</v>
      </c>
      <c r="O21" s="16" t="s">
        <v>24</v>
      </c>
      <c r="P21" s="16">
        <v>40</v>
      </c>
      <c r="Q21" s="16">
        <v>0.2</v>
      </c>
      <c r="R21" s="16">
        <v>1</v>
      </c>
      <c r="S21" s="16">
        <v>0.8</v>
      </c>
    </row>
    <row r="22" spans="1:19" ht="14.4" x14ac:dyDescent="0.3">
      <c r="A22" s="16" t="s">
        <v>61</v>
      </c>
      <c r="B22" s="16" t="s">
        <v>235</v>
      </c>
      <c r="C22" s="16" t="s">
        <v>52</v>
      </c>
      <c r="D22" s="16"/>
      <c r="E22" s="16"/>
      <c r="F22" s="16"/>
      <c r="G22" s="16">
        <v>1</v>
      </c>
      <c r="H22" s="16">
        <v>1</v>
      </c>
      <c r="I22" s="16"/>
      <c r="J22" s="16">
        <v>2</v>
      </c>
      <c r="K22" s="16" t="s">
        <v>34</v>
      </c>
      <c r="L22" s="16" t="s">
        <v>35</v>
      </c>
      <c r="M22" s="16" t="s">
        <v>24</v>
      </c>
      <c r="N22" s="16" t="s">
        <v>25</v>
      </c>
      <c r="O22" s="16" t="s">
        <v>25</v>
      </c>
      <c r="P22" s="16">
        <v>50</v>
      </c>
      <c r="Q22" s="16">
        <v>1</v>
      </c>
      <c r="R22" s="16">
        <v>0</v>
      </c>
      <c r="S22" s="16">
        <v>1</v>
      </c>
    </row>
    <row r="23" spans="1:19" ht="14.4" x14ac:dyDescent="0.3">
      <c r="A23" s="16" t="s">
        <v>175</v>
      </c>
      <c r="B23" s="16" t="s">
        <v>236</v>
      </c>
      <c r="C23" s="16" t="s">
        <v>53</v>
      </c>
      <c r="D23" s="16"/>
      <c r="E23" s="16"/>
      <c r="F23" s="16"/>
      <c r="G23" s="16"/>
      <c r="H23" s="16"/>
      <c r="I23" s="16">
        <v>1</v>
      </c>
      <c r="J23" s="16">
        <v>1</v>
      </c>
      <c r="K23" s="16" t="s">
        <v>34</v>
      </c>
      <c r="L23" s="16" t="s">
        <v>35</v>
      </c>
      <c r="M23" s="16" t="s">
        <v>24</v>
      </c>
      <c r="N23" s="16" t="s">
        <v>101</v>
      </c>
      <c r="O23" s="16" t="s">
        <v>159</v>
      </c>
      <c r="P23" s="16">
        <v>40</v>
      </c>
      <c r="Q23" s="16">
        <v>0.5</v>
      </c>
      <c r="R23" s="16">
        <v>0.1</v>
      </c>
      <c r="S23" s="16">
        <v>0.4</v>
      </c>
    </row>
    <row r="24" spans="1:19" ht="14.4" x14ac:dyDescent="0.3">
      <c r="A24" s="16" t="s">
        <v>168</v>
      </c>
      <c r="B24" s="16" t="s">
        <v>237</v>
      </c>
      <c r="C24" s="16" t="s">
        <v>53</v>
      </c>
      <c r="D24" s="16"/>
      <c r="E24" s="16"/>
      <c r="F24" s="16"/>
      <c r="G24" s="16"/>
      <c r="H24" s="16"/>
      <c r="I24" s="16">
        <v>1</v>
      </c>
      <c r="J24" s="16">
        <v>1</v>
      </c>
      <c r="K24" s="16" t="s">
        <v>34</v>
      </c>
      <c r="L24" s="16" t="s">
        <v>35</v>
      </c>
      <c r="M24" s="16" t="s">
        <v>24</v>
      </c>
      <c r="N24" s="16" t="s">
        <v>101</v>
      </c>
      <c r="O24" s="16" t="s">
        <v>159</v>
      </c>
      <c r="P24" s="16">
        <v>40</v>
      </c>
      <c r="Q24" s="16">
        <v>0.5</v>
      </c>
      <c r="R24" s="16">
        <v>0.1</v>
      </c>
      <c r="S24" s="16">
        <v>0.4</v>
      </c>
    </row>
    <row r="25" spans="1:19" ht="14.4" x14ac:dyDescent="0.3">
      <c r="A25" s="16" t="s">
        <v>62</v>
      </c>
      <c r="B25" s="16" t="s">
        <v>238</v>
      </c>
      <c r="C25" s="16" t="s">
        <v>52</v>
      </c>
      <c r="D25" s="16">
        <v>1</v>
      </c>
      <c r="E25" s="16"/>
      <c r="F25" s="16"/>
      <c r="G25" s="16"/>
      <c r="H25" s="16"/>
      <c r="I25" s="16">
        <v>1</v>
      </c>
      <c r="J25" s="16">
        <v>2</v>
      </c>
      <c r="K25" s="16" t="s">
        <v>34</v>
      </c>
      <c r="L25" s="16" t="s">
        <v>35</v>
      </c>
      <c r="M25" s="16" t="s">
        <v>24</v>
      </c>
      <c r="N25" s="16" t="s">
        <v>25</v>
      </c>
      <c r="O25" s="16" t="s">
        <v>25</v>
      </c>
      <c r="P25" s="16">
        <v>50</v>
      </c>
      <c r="Q25" s="16">
        <v>1</v>
      </c>
      <c r="R25" s="16">
        <v>0</v>
      </c>
      <c r="S25" s="16">
        <v>1</v>
      </c>
    </row>
    <row r="26" spans="1:19" ht="14.4" x14ac:dyDescent="0.3">
      <c r="A26" s="16" t="s">
        <v>70</v>
      </c>
      <c r="B26" s="16" t="s">
        <v>239</v>
      </c>
      <c r="C26" s="16" t="s">
        <v>112</v>
      </c>
      <c r="D26" s="16"/>
      <c r="E26" s="16"/>
      <c r="F26" s="16"/>
      <c r="G26" s="16"/>
      <c r="H26" s="16"/>
      <c r="I26" s="16">
        <v>1</v>
      </c>
      <c r="J26" s="16">
        <v>1</v>
      </c>
      <c r="K26" s="16" t="s">
        <v>34</v>
      </c>
      <c r="L26" s="16" t="s">
        <v>101</v>
      </c>
      <c r="M26" s="16" t="s">
        <v>159</v>
      </c>
      <c r="N26" s="16" t="s">
        <v>35</v>
      </c>
      <c r="O26" s="16" t="s">
        <v>24</v>
      </c>
      <c r="P26" s="16">
        <v>40</v>
      </c>
      <c r="Q26" s="16">
        <v>0.1</v>
      </c>
      <c r="R26" s="16">
        <v>0.5</v>
      </c>
      <c r="S26" s="16">
        <v>0.4</v>
      </c>
    </row>
    <row r="27" spans="1:19" ht="14.4" x14ac:dyDescent="0.3">
      <c r="A27" s="16" t="s">
        <v>80</v>
      </c>
      <c r="B27" s="16" t="s">
        <v>240</v>
      </c>
      <c r="C27" s="16" t="s">
        <v>53</v>
      </c>
      <c r="D27" s="16"/>
      <c r="E27" s="16">
        <v>1</v>
      </c>
      <c r="F27" s="16"/>
      <c r="G27" s="16"/>
      <c r="H27" s="16"/>
      <c r="I27" s="16"/>
      <c r="J27" s="16">
        <v>1</v>
      </c>
      <c r="K27" s="16" t="s">
        <v>34</v>
      </c>
      <c r="L27" s="16" t="s">
        <v>35</v>
      </c>
      <c r="M27" s="16" t="s">
        <v>24</v>
      </c>
      <c r="N27" s="16" t="s">
        <v>25</v>
      </c>
      <c r="O27" s="16" t="s">
        <v>25</v>
      </c>
      <c r="P27" s="16">
        <v>50</v>
      </c>
      <c r="Q27" s="16">
        <v>0.5</v>
      </c>
      <c r="R27" s="16">
        <v>0</v>
      </c>
      <c r="S27" s="16">
        <v>0.5</v>
      </c>
    </row>
    <row r="28" spans="1:19" ht="14.4" x14ac:dyDescent="0.3">
      <c r="A28" s="16" t="s">
        <v>55</v>
      </c>
      <c r="B28" s="16" t="s">
        <v>241</v>
      </c>
      <c r="C28" s="16" t="s">
        <v>52</v>
      </c>
      <c r="D28" s="16"/>
      <c r="E28" s="16">
        <v>1</v>
      </c>
      <c r="F28" s="16"/>
      <c r="G28" s="16"/>
      <c r="H28" s="16">
        <v>1</v>
      </c>
      <c r="I28" s="16"/>
      <c r="J28" s="16">
        <v>2</v>
      </c>
      <c r="K28" s="16" t="s">
        <v>34</v>
      </c>
      <c r="L28" s="16" t="s">
        <v>35</v>
      </c>
      <c r="M28" s="16" t="s">
        <v>24</v>
      </c>
      <c r="N28" s="16" t="s">
        <v>25</v>
      </c>
      <c r="O28" s="16" t="s">
        <v>25</v>
      </c>
      <c r="P28" s="16">
        <v>50</v>
      </c>
      <c r="Q28" s="16">
        <v>1</v>
      </c>
      <c r="R28" s="16">
        <v>0</v>
      </c>
      <c r="S28" s="16">
        <v>1</v>
      </c>
    </row>
    <row r="29" spans="1:19" ht="14.4" x14ac:dyDescent="0.3">
      <c r="A29" s="39" t="s">
        <v>59</v>
      </c>
      <c r="B29" s="39" t="s">
        <v>242</v>
      </c>
      <c r="C29" s="39" t="s">
        <v>112</v>
      </c>
      <c r="D29" s="39"/>
      <c r="E29" s="39"/>
      <c r="F29" s="39"/>
      <c r="G29" s="39"/>
      <c r="H29" s="39"/>
      <c r="I29" s="39">
        <v>1</v>
      </c>
      <c r="J29" s="39">
        <v>1</v>
      </c>
      <c r="K29" s="39" t="s">
        <v>34</v>
      </c>
      <c r="L29" s="39">
        <v>0</v>
      </c>
      <c r="M29" s="39">
        <v>0</v>
      </c>
      <c r="N29" s="39" t="s">
        <v>25</v>
      </c>
      <c r="O29" s="39" t="s">
        <v>25</v>
      </c>
      <c r="P29" s="39">
        <v>100</v>
      </c>
      <c r="Q29" s="39">
        <v>0</v>
      </c>
      <c r="R29" s="39">
        <v>0</v>
      </c>
      <c r="S29" s="39">
        <v>1</v>
      </c>
    </row>
    <row r="30" spans="1:19" ht="14.4" x14ac:dyDescent="0.3">
      <c r="A30" s="39" t="s">
        <v>174</v>
      </c>
      <c r="B30" s="39" t="s">
        <v>243</v>
      </c>
      <c r="C30" s="39" t="s">
        <v>52</v>
      </c>
      <c r="D30" s="39"/>
      <c r="E30" s="39"/>
      <c r="F30" s="39"/>
      <c r="G30" s="39"/>
      <c r="H30" s="39">
        <v>1</v>
      </c>
      <c r="I30" s="39"/>
      <c r="J30" s="39">
        <v>1</v>
      </c>
      <c r="K30" s="39" t="s">
        <v>34</v>
      </c>
      <c r="L30" s="39" t="s">
        <v>101</v>
      </c>
      <c r="M30" s="39" t="s">
        <v>159</v>
      </c>
      <c r="N30" s="39" t="s">
        <v>35</v>
      </c>
      <c r="O30" s="39" t="s">
        <v>24</v>
      </c>
      <c r="P30" s="39">
        <v>40</v>
      </c>
      <c r="Q30" s="39">
        <v>0.1</v>
      </c>
      <c r="R30" s="39">
        <v>0.5</v>
      </c>
      <c r="S30" s="39">
        <v>0.4</v>
      </c>
    </row>
    <row r="31" spans="1:19" ht="14.4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>
        <f>SUM(S2:S30)</f>
        <v>17.8</v>
      </c>
    </row>
    <row r="34" spans="1:20" s="10" customFormat="1" ht="60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1"/>
      <c r="P34" s="12"/>
      <c r="Q34" s="11"/>
      <c r="R34" s="11"/>
      <c r="S34" s="11"/>
      <c r="T34" s="11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A5E2-23D8-42D1-98B8-A130330B06AB}">
  <dimension ref="A1:C12"/>
  <sheetViews>
    <sheetView workbookViewId="0">
      <selection activeCell="I17" sqref="I17"/>
    </sheetView>
  </sheetViews>
  <sheetFormatPr baseColWidth="10" defaultRowHeight="14.4" x14ac:dyDescent="0.3"/>
  <cols>
    <col min="1" max="1" width="17" customWidth="1"/>
    <col min="2" max="2" width="51" customWidth="1"/>
    <col min="3" max="3" width="16" customWidth="1"/>
  </cols>
  <sheetData>
    <row r="1" spans="1:3" x14ac:dyDescent="0.3">
      <c r="A1" s="46" t="s">
        <v>87</v>
      </c>
      <c r="B1" s="46" t="s">
        <v>88</v>
      </c>
      <c r="C1" s="46" t="s">
        <v>98</v>
      </c>
    </row>
    <row r="2" spans="1:3" x14ac:dyDescent="0.3">
      <c r="A2" s="34" t="s">
        <v>113</v>
      </c>
      <c r="B2" s="34" t="s">
        <v>114</v>
      </c>
      <c r="C2" s="31">
        <v>507.94</v>
      </c>
    </row>
    <row r="3" spans="1:3" x14ac:dyDescent="0.3">
      <c r="A3" s="35" t="s">
        <v>113</v>
      </c>
      <c r="B3" s="35" t="s">
        <v>115</v>
      </c>
      <c r="C3" s="32">
        <v>1201.2</v>
      </c>
    </row>
    <row r="4" spans="1:3" x14ac:dyDescent="0.3">
      <c r="A4" s="34" t="s">
        <v>1</v>
      </c>
      <c r="B4" s="34" t="s">
        <v>116</v>
      </c>
      <c r="C4" s="31">
        <v>-1358.36</v>
      </c>
    </row>
    <row r="5" spans="1:3" x14ac:dyDescent="0.3">
      <c r="A5" s="35" t="s">
        <v>1</v>
      </c>
      <c r="B5" s="35" t="s">
        <v>117</v>
      </c>
      <c r="C5" s="32">
        <v>-1358.37</v>
      </c>
    </row>
    <row r="6" spans="1:3" x14ac:dyDescent="0.3">
      <c r="A6" s="34" t="s">
        <v>100</v>
      </c>
      <c r="B6" s="34" t="s">
        <v>118</v>
      </c>
      <c r="C6" s="31">
        <v>-25.38</v>
      </c>
    </row>
    <row r="7" spans="1:3" x14ac:dyDescent="0.3">
      <c r="A7" s="35" t="s">
        <v>119</v>
      </c>
      <c r="B7" s="35" t="s">
        <v>120</v>
      </c>
      <c r="C7" s="32">
        <v>8015.9</v>
      </c>
    </row>
    <row r="8" spans="1:3" x14ac:dyDescent="0.3">
      <c r="A8" s="34" t="s">
        <v>121</v>
      </c>
      <c r="B8" s="34" t="s">
        <v>122</v>
      </c>
      <c r="C8" s="31">
        <v>28791.040000000001</v>
      </c>
    </row>
    <row r="9" spans="1:3" x14ac:dyDescent="0.3">
      <c r="A9" s="35" t="s">
        <v>123</v>
      </c>
      <c r="B9" s="35" t="s">
        <v>124</v>
      </c>
      <c r="C9" s="32">
        <v>6241.48</v>
      </c>
    </row>
    <row r="10" spans="1:3" x14ac:dyDescent="0.3">
      <c r="A10" s="47" t="s">
        <v>123</v>
      </c>
      <c r="B10" s="47" t="s">
        <v>125</v>
      </c>
      <c r="C10" s="42">
        <v>30000</v>
      </c>
    </row>
    <row r="11" spans="1:3" s="45" customFormat="1" x14ac:dyDescent="0.3">
      <c r="A11" s="43" t="s">
        <v>0</v>
      </c>
      <c r="B11" s="43"/>
      <c r="C11" s="44">
        <f>SUBTOTAL(109,Tabla2[Imp.cob.aplic.])</f>
        <v>72015.45</v>
      </c>
    </row>
    <row r="12" spans="1:3" x14ac:dyDescent="0.3">
      <c r="C12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F21A-4962-4C59-83D4-879C7620418D}">
  <dimension ref="A1:C14"/>
  <sheetViews>
    <sheetView workbookViewId="0">
      <selection activeCell="B18" sqref="B18:C18"/>
    </sheetView>
  </sheetViews>
  <sheetFormatPr baseColWidth="10" defaultRowHeight="14.4" x14ac:dyDescent="0.3"/>
  <cols>
    <col min="1" max="1" width="12" customWidth="1"/>
    <col min="2" max="2" width="71.5546875" customWidth="1"/>
    <col min="3" max="3" width="13.109375" customWidth="1"/>
  </cols>
  <sheetData>
    <row r="1" spans="1:3" x14ac:dyDescent="0.3">
      <c r="A1" s="50" t="s">
        <v>181</v>
      </c>
      <c r="B1" s="50" t="s">
        <v>88</v>
      </c>
      <c r="C1" s="51" t="s">
        <v>182</v>
      </c>
    </row>
    <row r="2" spans="1:3" x14ac:dyDescent="0.3">
      <c r="A2" s="48" t="s">
        <v>183</v>
      </c>
      <c r="B2" s="48" t="s">
        <v>184</v>
      </c>
      <c r="C2" s="31">
        <v>355.34</v>
      </c>
    </row>
    <row r="3" spans="1:3" x14ac:dyDescent="0.3">
      <c r="A3" s="49" t="s">
        <v>185</v>
      </c>
      <c r="B3" s="49" t="s">
        <v>186</v>
      </c>
      <c r="C3" s="32">
        <v>436.37</v>
      </c>
    </row>
    <row r="4" spans="1:3" x14ac:dyDescent="0.3">
      <c r="A4" s="48" t="s">
        <v>89</v>
      </c>
      <c r="B4" s="48" t="s">
        <v>187</v>
      </c>
      <c r="C4" s="31">
        <v>1760</v>
      </c>
    </row>
    <row r="5" spans="1:3" x14ac:dyDescent="0.3">
      <c r="A5" s="49" t="s">
        <v>188</v>
      </c>
      <c r="B5" s="49" t="s">
        <v>189</v>
      </c>
      <c r="C5" s="32">
        <v>1122</v>
      </c>
    </row>
    <row r="6" spans="1:3" x14ac:dyDescent="0.3">
      <c r="A6" s="48" t="s">
        <v>188</v>
      </c>
      <c r="B6" s="48" t="s">
        <v>190</v>
      </c>
      <c r="C6" s="31">
        <v>467.28</v>
      </c>
    </row>
    <row r="7" spans="1:3" x14ac:dyDescent="0.3">
      <c r="A7" s="49" t="s">
        <v>188</v>
      </c>
      <c r="B7" s="49" t="s">
        <v>191</v>
      </c>
      <c r="C7" s="32">
        <v>57.2</v>
      </c>
    </row>
    <row r="8" spans="1:3" x14ac:dyDescent="0.3">
      <c r="A8" s="48" t="s">
        <v>192</v>
      </c>
      <c r="B8" s="48" t="s">
        <v>193</v>
      </c>
      <c r="C8" s="31">
        <v>440.18</v>
      </c>
    </row>
    <row r="9" spans="1:3" x14ac:dyDescent="0.3">
      <c r="A9" s="49" t="s">
        <v>99</v>
      </c>
      <c r="B9" s="49" t="s">
        <v>194</v>
      </c>
      <c r="C9" s="32">
        <v>6100</v>
      </c>
    </row>
    <row r="10" spans="1:3" x14ac:dyDescent="0.3">
      <c r="A10" s="48" t="s">
        <v>119</v>
      </c>
      <c r="B10" s="48" t="s">
        <v>195</v>
      </c>
      <c r="C10" s="31">
        <v>-993.98</v>
      </c>
    </row>
    <row r="11" spans="1:3" x14ac:dyDescent="0.3">
      <c r="A11" s="49" t="s">
        <v>196</v>
      </c>
      <c r="B11" s="49" t="s">
        <v>197</v>
      </c>
      <c r="C11" s="32">
        <v>39496.839999999997</v>
      </c>
    </row>
    <row r="12" spans="1:3" x14ac:dyDescent="0.3">
      <c r="A12" s="48" t="s">
        <v>123</v>
      </c>
      <c r="B12" s="48" t="s">
        <v>198</v>
      </c>
      <c r="C12" s="31">
        <v>-11137.84</v>
      </c>
    </row>
    <row r="13" spans="1:3" x14ac:dyDescent="0.3">
      <c r="A13" s="52" t="s">
        <v>123</v>
      </c>
      <c r="B13" s="52" t="s">
        <v>199</v>
      </c>
      <c r="C13" s="53">
        <v>14954.2</v>
      </c>
    </row>
    <row r="14" spans="1:3" x14ac:dyDescent="0.3">
      <c r="A14" s="54" t="s">
        <v>0</v>
      </c>
      <c r="B14" s="54"/>
      <c r="C14" s="55">
        <f>SUBTOTAL(109,Tabla3[Imp. aplic.])</f>
        <v>53057.59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F793-7CDF-4E7B-8107-D0604C1285CF}">
  <dimension ref="A1:C9"/>
  <sheetViews>
    <sheetView workbookViewId="0">
      <selection activeCell="C10" sqref="C10"/>
    </sheetView>
  </sheetViews>
  <sheetFormatPr baseColWidth="10" defaultRowHeight="14.4" x14ac:dyDescent="0.3"/>
  <cols>
    <col min="1" max="1" width="15.88671875" customWidth="1"/>
    <col min="2" max="2" width="63.44140625" customWidth="1"/>
    <col min="3" max="3" width="24.5546875" customWidth="1"/>
  </cols>
  <sheetData>
    <row r="1" spans="1:3" x14ac:dyDescent="0.3">
      <c r="A1" s="60" t="s">
        <v>181</v>
      </c>
      <c r="B1" s="61" t="s">
        <v>88</v>
      </c>
      <c r="C1" s="61" t="s">
        <v>182</v>
      </c>
    </row>
    <row r="2" spans="1:3" x14ac:dyDescent="0.3">
      <c r="A2" s="62" t="s">
        <v>183</v>
      </c>
      <c r="B2" s="63" t="s">
        <v>184</v>
      </c>
      <c r="C2" s="64">
        <v>94.67</v>
      </c>
    </row>
    <row r="3" spans="1:3" x14ac:dyDescent="0.3">
      <c r="A3" s="65" t="s">
        <v>244</v>
      </c>
      <c r="B3" s="66" t="s">
        <v>245</v>
      </c>
      <c r="C3" s="67">
        <v>7726.72</v>
      </c>
    </row>
    <row r="4" spans="1:3" x14ac:dyDescent="0.3">
      <c r="A4" s="62" t="s">
        <v>192</v>
      </c>
      <c r="B4" s="63" t="s">
        <v>246</v>
      </c>
      <c r="C4" s="64">
        <v>924</v>
      </c>
    </row>
    <row r="5" spans="1:3" ht="15" thickBot="1" x14ac:dyDescent="0.35">
      <c r="A5" s="65" t="s">
        <v>196</v>
      </c>
      <c r="B5" s="66" t="s">
        <v>247</v>
      </c>
      <c r="C5" s="67">
        <v>118492.1</v>
      </c>
    </row>
    <row r="6" spans="1:3" ht="15" thickTop="1" x14ac:dyDescent="0.3">
      <c r="A6" s="68" t="s">
        <v>0</v>
      </c>
      <c r="B6" s="69"/>
      <c r="C6" s="70">
        <v>127237.49</v>
      </c>
    </row>
    <row r="9" spans="1:3" x14ac:dyDescent="0.3">
      <c r="B9" s="58" t="s">
        <v>248</v>
      </c>
      <c r="C9" s="59">
        <f>C6+Tabla2[[#Totals],[Imp.cob.aplic.]]+Tabla3[[#Totals],[Imp. aplic.]]</f>
        <v>252310.53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D737-6985-45DD-A44E-1B674CEEC0ED}">
  <dimension ref="A1:C9"/>
  <sheetViews>
    <sheetView workbookViewId="0">
      <selection activeCell="F27" sqref="F27"/>
    </sheetView>
  </sheetViews>
  <sheetFormatPr baseColWidth="10" defaultRowHeight="14.4" x14ac:dyDescent="0.3"/>
  <cols>
    <col min="1" max="1" width="17" customWidth="1"/>
    <col min="2" max="2" width="84" customWidth="1"/>
    <col min="3" max="3" width="16" customWidth="1"/>
  </cols>
  <sheetData>
    <row r="1" spans="1:3" x14ac:dyDescent="0.3">
      <c r="A1" s="46" t="s">
        <v>87</v>
      </c>
      <c r="B1" s="46" t="s">
        <v>88</v>
      </c>
      <c r="C1" s="46" t="s">
        <v>98</v>
      </c>
    </row>
    <row r="2" spans="1:3" x14ac:dyDescent="0.3">
      <c r="A2" s="34" t="s">
        <v>126</v>
      </c>
      <c r="B2" s="34" t="s">
        <v>127</v>
      </c>
      <c r="C2" s="31">
        <v>6870</v>
      </c>
    </row>
    <row r="3" spans="1:3" x14ac:dyDescent="0.3">
      <c r="A3" s="35" t="s">
        <v>126</v>
      </c>
      <c r="B3" s="35" t="s">
        <v>128</v>
      </c>
      <c r="C3" s="32">
        <v>70</v>
      </c>
    </row>
    <row r="4" spans="1:3" x14ac:dyDescent="0.3">
      <c r="A4" s="34" t="s">
        <v>126</v>
      </c>
      <c r="B4" s="34" t="s">
        <v>129</v>
      </c>
      <c r="C4" s="31">
        <v>-70</v>
      </c>
    </row>
    <row r="5" spans="1:3" x14ac:dyDescent="0.3">
      <c r="A5" s="35" t="s">
        <v>126</v>
      </c>
      <c r="B5" s="35" t="s">
        <v>130</v>
      </c>
      <c r="C5" s="32">
        <v>70</v>
      </c>
    </row>
    <row r="6" spans="1:3" x14ac:dyDescent="0.3">
      <c r="A6" s="34" t="s">
        <v>126</v>
      </c>
      <c r="B6" s="34" t="s">
        <v>131</v>
      </c>
      <c r="C6" s="31">
        <v>50</v>
      </c>
    </row>
    <row r="7" spans="1:3" x14ac:dyDescent="0.3">
      <c r="A7" s="56" t="s">
        <v>126</v>
      </c>
      <c r="B7" s="56" t="s">
        <v>132</v>
      </c>
      <c r="C7" s="53">
        <v>70</v>
      </c>
    </row>
    <row r="8" spans="1:3" x14ac:dyDescent="0.3">
      <c r="A8" s="57" t="s">
        <v>0</v>
      </c>
      <c r="B8" s="57"/>
      <c r="C8" s="55">
        <f>SUBTOTAL(109,Tabla4[Imp.cob.aplic.])</f>
        <v>7060</v>
      </c>
    </row>
    <row r="9" spans="1:3" x14ac:dyDescent="0.3">
      <c r="C9" s="3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8FE3-BFF6-49AA-AA54-BBA3CF120C5F}">
  <dimension ref="B1"/>
  <sheetViews>
    <sheetView workbookViewId="0">
      <selection activeCell="F16" sqref="F16"/>
    </sheetView>
  </sheetViews>
  <sheetFormatPr baseColWidth="10" defaultRowHeight="14.4" x14ac:dyDescent="0.3"/>
  <cols>
    <col min="3" max="3" width="42.88671875" customWidth="1"/>
  </cols>
  <sheetData>
    <row r="1" spans="2:2" x14ac:dyDescent="0.3">
      <c r="B1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1619-646C-4CAA-8303-9065A70721ED}">
  <dimension ref="B2:D6"/>
  <sheetViews>
    <sheetView tabSelected="1" workbookViewId="0">
      <selection activeCell="C14" sqref="C14"/>
    </sheetView>
  </sheetViews>
  <sheetFormatPr baseColWidth="10" defaultRowHeight="14.4" x14ac:dyDescent="0.3"/>
  <cols>
    <col min="3" max="3" width="35" customWidth="1"/>
  </cols>
  <sheetData>
    <row r="2" spans="2:4" x14ac:dyDescent="0.3">
      <c r="B2" t="s">
        <v>249</v>
      </c>
    </row>
    <row r="6" spans="2:4" x14ac:dyDescent="0.3">
      <c r="C6" s="58" t="s">
        <v>250</v>
      </c>
      <c r="D6" s="59">
        <f>Tabla4[[#Totals],[Imp.cob.aplic.]]</f>
        <v>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2026-05-26T11:12:11Z</dcterms:modified>
</cp:coreProperties>
</file>