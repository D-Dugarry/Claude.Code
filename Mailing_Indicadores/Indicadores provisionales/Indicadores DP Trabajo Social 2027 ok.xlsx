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286D9C33-9F09-4332-9594-71D545D9517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1" l="1"/>
  <c r="C11" i="10"/>
  <c r="C8" i="9"/>
  <c r="S12" i="3" l="1"/>
  <c r="S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21387280V</author>
  </authors>
  <commentList>
    <comment ref="B2" authorId="0" shapeId="0" xr:uid="{C209EC48-DBAD-453E-A940-3EA88C416C17}">
      <text>
        <r>
          <rPr>
            <sz val="8"/>
            <color indexed="81"/>
            <rFont val="Tahoma"/>
            <family val="2"/>
          </rPr>
          <t xml:space="preserve">Último sexenio 2013
</t>
        </r>
      </text>
    </comment>
  </commentList>
</comments>
</file>

<file path=xl/sharedStrings.xml><?xml version="1.0" encoding="utf-8"?>
<sst xmlns="http://schemas.openxmlformats.org/spreadsheetml/2006/main" count="227" uniqueCount="137">
  <si>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</si>
  <si>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</si>
  <si>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</si>
  <si>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</si>
  <si>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</si>
  <si>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</si>
  <si>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</si>
  <si>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</si>
  <si>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</si>
  <si>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</si>
  <si>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</si>
  <si>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</si>
  <si>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</si>
  <si>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</si>
  <si>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</si>
  <si>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</si>
  <si>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</si>
  <si>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</si>
  <si>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</si>
  <si>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</si>
  <si>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</si>
  <si>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</si>
  <si>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/>
  </si>
  <si>
    <t>U036 </t>
  </si>
  <si>
    <t>ADM. FACULTAD DE CIENCIAS ECONÓMICAS </t>
  </si>
  <si>
    <t>DOCTORADO EN EMPRESA, ECONOMÍA Y SOCIEDAD </t>
  </si>
  <si>
    <t>10.23</t>
  </si>
  <si>
    <t>10.22</t>
  </si>
  <si>
    <t>B159 </t>
  </si>
  <si>
    <t>TRABAJO SOCIAL Y SERVICIOS SOCIALES </t>
  </si>
  <si>
    <t>B159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</si>
  <si>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</si>
  <si>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</si>
  <si>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</si>
  <si>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</si>
  <si>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</si>
  <si>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</si>
  <si>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</si>
  <si>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</si>
  <si>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</si>
  <si>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</si>
  <si>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</si>
  <si>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</si>
  <si>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</si>
  <si>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07223951L</t>
  </si>
  <si>
    <t>21661002Q</t>
  </si>
  <si>
    <t>21473810K</t>
  </si>
  <si>
    <t>21515828H</t>
  </si>
  <si>
    <t>51091750X</t>
  </si>
  <si>
    <t>COD DEP</t>
  </si>
  <si>
    <t>Cód. org. aplic.</t>
  </si>
  <si>
    <t>Descripción justificante</t>
  </si>
  <si>
    <t>Cortés Florín, Elena María </t>
  </si>
  <si>
    <t>LA PARTICIPACIÓN Y/O COPRODUCCIÓN EN LOS SERVICIOS SOCIALES. Significados, alcance, estrategias e implicaciones desde la perspectiva de las personas usuarias y profesionales. </t>
  </si>
  <si>
    <t>16/09/2022 </t>
  </si>
  <si>
    <t>21473810K </t>
  </si>
  <si>
    <t>Director de tesis </t>
  </si>
  <si>
    <t>Imp.cob.aplic.</t>
  </si>
  <si>
    <t>35.80.6Q.00.01</t>
  </si>
  <si>
    <t>35.80.6C.00.11</t>
  </si>
  <si>
    <t>35.80.6C.00.15</t>
  </si>
  <si>
    <t>Ramírez García, José Emiliano </t>
  </si>
  <si>
    <t>De puertas adentro: un análisis sobre las visitas domiciliarias en España desde el Trabajo Social en los contextos de Servicios Sociales, Sanidad y Educación. Constructo y propuesta metodológica. </t>
  </si>
  <si>
    <t>27/06/2023 </t>
  </si>
  <si>
    <t>21661002Q </t>
  </si>
  <si>
    <t>01112688V</t>
  </si>
  <si>
    <t>S</t>
  </si>
  <si>
    <t xml:space="preserve">CONVENIO UNIVERSITAT D ' ALACANT FOMENTO IVESTIG.IND.SERV.SOC.- LABORATORIOS SOCIALES UA  2023. </t>
  </si>
  <si>
    <t>Contrato menor de servicios "Elaboración de un Proyecto Participativo sobre la situación de la Población Gitana en el Ayto. El Campello". Expediente 6884/2022 2ªFase.</t>
  </si>
  <si>
    <t>DEVOLUCIÓN DE INGRESOS_MODELO 047_Nº de liquidación:46/2023/RAS/10213/1_ Número de justificante:047/1/002358152_Nº de referencia:047/1/002358152</t>
  </si>
  <si>
    <t>PRIMER PAGO 65% CONVENIO UNIVERSIDAD ALICANTE CÁTEDRA CULTURA GITANA</t>
  </si>
  <si>
    <t>SEGUNDO PAGO (35%) CONVENIO UNIVERSIDADDE ALICANTE CÁTEDRA CULTURA GITANA</t>
  </si>
  <si>
    <t>35.80.6Q.00.02</t>
  </si>
  <si>
    <t>S1137 CATEDRA INTERUNIVERSITARIA -UNIVERSIDAD ALICANTE</t>
  </si>
  <si>
    <t>U036</t>
  </si>
  <si>
    <t>ADM. FACULTAD DE CIENCIAS ECONÓMICAS</t>
  </si>
  <si>
    <t>DOCTORADO EN EMPRESA, ECONOMÍA Y SOCIEDAD</t>
  </si>
  <si>
    <t>Cabrera Galisteo, Oscar Manuel</t>
  </si>
  <si>
    <t>El rol del Trabajo Social de los Servicios Sociales en los Planes Territoriales Municipales  de Emergencia</t>
  </si>
  <si>
    <t>23/07/2024</t>
  </si>
  <si>
    <t>Director de tesis</t>
  </si>
  <si>
    <t>TRABAJO SOCIAL Y SERVICIOS SOCIALES</t>
  </si>
  <si>
    <t>50</t>
  </si>
  <si>
    <t>40</t>
  </si>
  <si>
    <t>90</t>
  </si>
  <si>
    <t>Org. aplic.</t>
  </si>
  <si>
    <t>Imp. aplic.</t>
  </si>
  <si>
    <t>CONSELLERIASERVICIOSSOCIALES1-24T. G0116/S0700/2024/01. FRA.6003622007. PRESUP S070000000</t>
  </si>
  <si>
    <t>35.80.6C.00.16</t>
  </si>
  <si>
    <t>Realización del estudio "Análisis de la experiencia de la soledad percibida en la provincia de Alicante: Un estudio descriptivo"</t>
  </si>
  <si>
    <t>35.80.6C.00.17</t>
  </si>
  <si>
    <t>Trabajos de elaboración de un diagnóstico y propuesta de medidas y acciones para la puesta en marcha de un Plan Municipal de Salud Mental, durante el mes de septiembre Nº EXP.: 304/24</t>
  </si>
  <si>
    <t xml:space="preserve">Trabajos de elaboración de un diagnóstico y propuesta de medidas y acciones para la puesta en marcha de un plan municipal de Salud mental , durante el mes de septiembre 2024. </t>
  </si>
  <si>
    <t>Trabajos de elaboración de un diagnóstico y propuesta de medidas y acciones para la puesta en marcha de un plan municipal de Salud mental , durante el mes de octubre 2024.</t>
  </si>
  <si>
    <t>Trabajos de elaboración de un diagnóstico y propuesta de medidas y acciones para la puesta en marcha de un plan municipal de Salud mental , durante el mes de noviembre 2024.</t>
  </si>
  <si>
    <t>DEVOLUCIÓN DE INGRESOS_ MODELO 047_REFERENCIA: CÁTEDRA DE CULTURA GITANA</t>
  </si>
  <si>
    <t>CÁTEDRA SPVSS. G0116/S0630/2024/01. FRA. 6003627462. PRESUP S063000000</t>
  </si>
  <si>
    <t>2020</t>
  </si>
  <si>
    <t>2021</t>
  </si>
  <si>
    <t>2022</t>
  </si>
  <si>
    <t>2023</t>
  </si>
  <si>
    <t>2024</t>
  </si>
  <si>
    <t>2025</t>
  </si>
  <si>
    <t>Villegas Castrillo, Esther</t>
  </si>
  <si>
    <t>De Lucas Murillo De La Cueva, Fernando</t>
  </si>
  <si>
    <t>Giménez Bertomeu, Víctor Manuel</t>
  </si>
  <si>
    <t>Mateo Pérez, Miguel Ángel</t>
  </si>
  <si>
    <t>Domenech López, Yolanda</t>
  </si>
  <si>
    <t>21674595Q</t>
  </si>
  <si>
    <t>Pérez Belda, María Carmen</t>
  </si>
  <si>
    <t>NO FUNCIONARIO</t>
  </si>
  <si>
    <t>60</t>
  </si>
  <si>
    <t>48534766M</t>
  </si>
  <si>
    <t>Ferrer Aracil, Javier</t>
  </si>
  <si>
    <t>48614592K</t>
  </si>
  <si>
    <t>Caravaca Sánchez, Francisco</t>
  </si>
  <si>
    <t>Ramos Feijoo, Clarisa</t>
  </si>
  <si>
    <t>53239637L</t>
  </si>
  <si>
    <t>Cortés Florín, Elena María</t>
  </si>
  <si>
    <t>Trabajos de elaboración de un diagnóstico y propuesta de medidas y acciones para la puesta en marcha de un plan municipal de salud mental, durante el mes de diciembre 2024</t>
  </si>
  <si>
    <t>Trabajos de elaboración de un diagnóstico y propuesta de medidas y acciones para la puesta en marcha de un plan municipal de Salud mental , durante el mes de enero 2025.</t>
  </si>
  <si>
    <t>Trabajos de elaboración de un diagnóstico y propuesta de medidas y acciones para la puesta en marcha de un plan municipal de Salud mental, durante el mes de febrero 2025.</t>
  </si>
  <si>
    <t>Trabajos de elaboración de un diagnóstico y propuesta de medidas y acciones para la puesta en marcha de un plan municipal de salud mental, durante el mes de marzo de 2025.</t>
  </si>
  <si>
    <t>Trabajos de elaboración de un diagnóstico y propuesta de medidas y acciones para la puesta en marcha de un plan municipal de salud mental, durante el mes de abril de 2025.</t>
  </si>
  <si>
    <t>Trabajos de elaboración de un diagnóstico y propuesta de medidas y acciones para la puesta en marcha de un plan municipal de salud mental, durante el mes de mayo de 2025.</t>
  </si>
  <si>
    <t>Trabajos de elaboración de un diagnóstico y propuesta de medidas y acciones para la puesta en marcha de un plan municipal de salud mental, durante el mes de junio de 2025.</t>
  </si>
  <si>
    <t>Trabajos de elaboración de un diagnóstico y propuesta de medidas y acciones para la puesta en marcha de un plan municipal de salud mental, durante el mes de julio de 2025.</t>
  </si>
  <si>
    <t>Trabajos de elaboración de un diagnóstico y propuesta de medidas y acciones para la puesta en marcha de un plan municipal de salud mental, durante el mes de agosto de 2025</t>
  </si>
  <si>
    <t>35.80.6C.00.18</t>
  </si>
  <si>
    <t>COORDINACIÓN TÉCNICA EN LA REALIZACIÓN DEL INFORME DELPHI PARA LOGRAR UNA DEFINICIÓN DE CONSENSO SOBRE LA GESTIÓN DE CASOS (GDC). EXPLOTACIÓN Y EL ANÁLISIS DE DATOS DEL ESTUDIO</t>
  </si>
  <si>
    <t>35.80.6C.00.19</t>
  </si>
  <si>
    <t>Curso "Metodologías de participación y gobernanza en servicios sociales". Colaboración presencial: 20 horas los días 19, 20, 25 y 26 de junio de 2025 en el Centro Polivalente Carrús de Elche. Monitorización y tutorización no presencial de los trabajos presentados. 10 horas (del 15 al 20 de julio de 2025)  Nº AUTORIZADO: 7349</t>
  </si>
  <si>
    <t>35.80.6C.00.21</t>
  </si>
  <si>
    <t>PROYECTO: "PLAN ESTRATÉGICO PARA LA PREVENCIÓN Y ABORDAJE DE LA SOLEDAD EN LA PROVINCIA DE ALICANTE". REALIZACIÓN DE LAS LABORES DE PROCESO PARTICIPATIVO Y DESPLAZAMIENTOS ESTABLECIDAS EN LA PRIMERA FASE DEL PLAN ESTRATÉGICO</t>
  </si>
  <si>
    <t>Convenio entre GVA-UV-UPV-UMH-UA-UJI para fomentar la investigación, la innovación, la formación y la divulgación y transferencia del conocimiento relacionados con el modelo de Serv. Sociales de la Comunitat Valenciana - 2025</t>
  </si>
  <si>
    <t>Convenio entre GVA-UV-UPV-UMH-UA-UJI para fomentar la investigación, la innovación, la formación y la divulgación y transferencia del conocimiento relacionados con el modelo de Serv. Sociales de la Comunitat Valenciana - 2025. LS: S0731. Núm fact: 6003530886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</si>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</sst>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6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165" fontId="2" fillId="4" borderId="1" xfId="1" applyNumberFormat="1" applyFill="1" applyBorder="1"/>
    <xf numFmtId="43" fontId="0" fillId="7" borderId="3" xfId="6" applyNumberFormat="1" applyFont="1" applyFill="1" applyBorder="1"/>
    <xf numFmtId="43" fontId="0" fillId="0" borderId="3" xfId="6" applyNumberFormat="1" applyFont="1" applyBorder="1"/>
    <xf numFmtId="14" fontId="2" fillId="4" borderId="1" xfId="1" applyNumberFormat="1" applyFill="1" applyBorder="1"/>
    <xf numFmtId="0" fontId="2" fillId="0" borderId="1" xfId="0" applyFont="1" applyBorder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2" xfId="1" applyNumberFormat="1" applyFont="1" applyFill="1" applyBorder="1"/>
    <xf numFmtId="43" fontId="0" fillId="0" borderId="0" xfId="0" applyNumberFormat="1"/>
    <xf numFmtId="0" fontId="14" fillId="7" borderId="3" xfId="0" applyFont="1" applyFill="1" applyBorder="1"/>
    <xf numFmtId="0" fontId="14" fillId="0" borderId="3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15" fillId="8" borderId="0" xfId="0" applyFont="1" applyFill="1"/>
    <xf numFmtId="43" fontId="0" fillId="7" borderId="5" xfId="6" applyNumberFormat="1" applyFont="1" applyFill="1" applyBorder="1"/>
    <xf numFmtId="0" fontId="9" fillId="9" borderId="5" xfId="0" applyFont="1" applyFill="1" applyBorder="1"/>
    <xf numFmtId="43" fontId="10" fillId="9" borderId="5" xfId="0" applyNumberFormat="1" applyFont="1" applyFill="1" applyBorder="1"/>
    <xf numFmtId="0" fontId="0" fillId="10" borderId="0" xfId="0" applyFill="1"/>
    <xf numFmtId="0" fontId="13" fillId="6" borderId="4" xfId="0" applyFont="1" applyFill="1" applyBorder="1"/>
    <xf numFmtId="0" fontId="14" fillId="7" borderId="5" xfId="0" applyFont="1" applyFill="1" applyBorder="1"/>
    <xf numFmtId="0" fontId="0" fillId="7" borderId="3" xfId="0" applyNumberFormat="1" applyFont="1" applyFill="1" applyBorder="1"/>
    <xf numFmtId="0" fontId="0" fillId="0" borderId="3" xfId="0" applyNumberFormat="1" applyFont="1" applyBorder="1"/>
    <xf numFmtId="0" fontId="17" fillId="6" borderId="4" xfId="0" applyFont="1" applyFill="1" applyBorder="1"/>
    <xf numFmtId="43" fontId="17" fillId="6" borderId="4" xfId="6" applyNumberFormat="1" applyFont="1" applyFill="1" applyBorder="1"/>
    <xf numFmtId="0" fontId="0" fillId="7" borderId="5" xfId="0" applyNumberFormat="1" applyFont="1" applyFill="1" applyBorder="1"/>
    <xf numFmtId="0" fontId="0" fillId="9" borderId="5" xfId="0" applyFont="1" applyFill="1" applyBorder="1"/>
    <xf numFmtId="0" fontId="15" fillId="0" borderId="1" xfId="0" applyFont="1" applyBorder="1"/>
    <xf numFmtId="164" fontId="15" fillId="0" borderId="1" xfId="6" applyFont="1" applyBorder="1"/>
    <xf numFmtId="0" fontId="11" fillId="11" borderId="6" xfId="0" applyFont="1" applyFill="1" applyBorder="1"/>
    <xf numFmtId="0" fontId="11" fillId="11" borderId="7" xfId="0" applyFont="1" applyFill="1" applyBorder="1"/>
    <xf numFmtId="0" fontId="9" fillId="12" borderId="6" xfId="0" applyFont="1" applyFill="1" applyBorder="1"/>
    <xf numFmtId="0" fontId="9" fillId="12" borderId="7" xfId="0" applyFont="1" applyFill="1" applyBorder="1"/>
    <xf numFmtId="164" fontId="9" fillId="12" borderId="7" xfId="6" applyFont="1" applyFill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6" applyFont="1" applyBorder="1"/>
    <xf numFmtId="0" fontId="12" fillId="0" borderId="8" xfId="0" applyFont="1" applyBorder="1"/>
    <xf numFmtId="0" fontId="12" fillId="0" borderId="9" xfId="0" applyFont="1" applyBorder="1"/>
    <xf numFmtId="164" fontId="12" fillId="0" borderId="9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A9DA1-EEE8-4DE7-A85F-4732FAEEBEEC}" name="Tabla2" displayName="Tabla2" ref="A1:C8" totalsRowCount="1" headerRowDxfId="20" totalsRowDxfId="17" headerRowBorderDxfId="19" tableBorderDxfId="18" totalsRowBorderDxfId="16">
  <autoFilter ref="A1:C7" xr:uid="{EAE94CD7-0F33-424D-90FC-8D29BA19D85B}"/>
  <tableColumns count="3">
    <tableColumn id="1" xr3:uid="{45C7260C-B3D5-4B93-956E-B4DC2C493095}" name="Cód. org. aplic." totalsRowLabel="Total" dataDxfId="15" totalsRowDxfId="14"/>
    <tableColumn id="2" xr3:uid="{5908940D-12AA-48C8-A923-F66B636BC600}" name="Descripción justificante" dataDxfId="13" totalsRowDxfId="12"/>
    <tableColumn id="3" xr3:uid="{0D35D738-E926-4B55-970F-28EB40C39A00}" name="Imp.cob.aplic." totalsRowFunction="sum" dataDxfId="11" totalsRowDxfId="10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3D096D-E4AC-4B58-BCA4-E4B8E5FFBEA2}" name="Tabla3" displayName="Tabla3" ref="A1:C11" totalsRowCount="1" totalsRowDxfId="7" headerRowBorderDxfId="9" tableBorderDxfId="8" totalsRowBorderDxfId="6">
  <autoFilter ref="A1:C10" xr:uid="{9983CF32-8681-4980-B055-8A53E5FD90A3}"/>
  <tableColumns count="3">
    <tableColumn id="1" xr3:uid="{97D0ED9C-A0B4-41E5-A883-4F31A93AAA23}" name="Org. aplic." totalsRowLabel="Total" dataDxfId="5" totalsRowDxfId="4"/>
    <tableColumn id="2" xr3:uid="{19D948E8-0061-4F07-AEB6-81CCAFCFC88D}" name="Descripción justificante" dataDxfId="3" totalsRowDxfId="2"/>
    <tableColumn id="3" xr3:uid="{5D96981D-7DBE-4275-A87E-710F63E240E8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"/>
  <sheetViews>
    <sheetView showGridLines="0"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4" sqref="A4:U4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1" width="10.6640625" style="6" customWidth="1"/>
    <col min="12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2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2" x14ac:dyDescent="0.2">
      <c r="A2" s="18" t="s">
        <v>23</v>
      </c>
      <c r="B2" s="18" t="s">
        <v>24</v>
      </c>
      <c r="C2" s="18" t="s">
        <v>25</v>
      </c>
      <c r="D2" s="18" t="s">
        <v>52</v>
      </c>
      <c r="E2" s="18" t="s">
        <v>53</v>
      </c>
      <c r="F2" s="23" t="s">
        <v>54</v>
      </c>
      <c r="G2" s="18" t="s">
        <v>55</v>
      </c>
      <c r="H2" s="18" t="s">
        <v>56</v>
      </c>
      <c r="I2" s="18" t="s">
        <v>28</v>
      </c>
      <c r="J2" s="18" t="s">
        <v>29</v>
      </c>
      <c r="K2" s="20">
        <v>1</v>
      </c>
      <c r="L2" s="18" t="s">
        <v>30</v>
      </c>
      <c r="M2" s="18">
        <v>2021</v>
      </c>
      <c r="N2" s="18" t="s">
        <v>22</v>
      </c>
      <c r="O2" s="19" t="s">
        <v>22</v>
      </c>
      <c r="P2" s="18" t="s">
        <v>22</v>
      </c>
      <c r="Q2" s="19" t="s">
        <v>22</v>
      </c>
      <c r="R2" s="18">
        <v>100</v>
      </c>
      <c r="S2" s="18">
        <v>1</v>
      </c>
      <c r="T2" s="18">
        <v>0</v>
      </c>
      <c r="U2" s="18">
        <v>0</v>
      </c>
    </row>
    <row r="3" spans="1:22" x14ac:dyDescent="0.2">
      <c r="A3" s="18" t="s">
        <v>23</v>
      </c>
      <c r="B3" s="18" t="s">
        <v>24</v>
      </c>
      <c r="C3" s="18" t="s">
        <v>25</v>
      </c>
      <c r="D3" s="18" t="s">
        <v>61</v>
      </c>
      <c r="E3" s="18" t="s">
        <v>62</v>
      </c>
      <c r="F3" s="18" t="s">
        <v>63</v>
      </c>
      <c r="G3" s="18" t="s">
        <v>64</v>
      </c>
      <c r="H3" s="18" t="s">
        <v>56</v>
      </c>
      <c r="I3" s="18" t="s">
        <v>28</v>
      </c>
      <c r="J3" s="18" t="s">
        <v>29</v>
      </c>
      <c r="K3" s="24">
        <v>1</v>
      </c>
      <c r="L3" s="24" t="s">
        <v>30</v>
      </c>
      <c r="M3" s="18">
        <v>2022</v>
      </c>
      <c r="N3" s="24" t="s">
        <v>27</v>
      </c>
      <c r="O3" s="24">
        <v>50</v>
      </c>
      <c r="P3" s="24" t="s">
        <v>22</v>
      </c>
      <c r="Q3" s="24">
        <v>0</v>
      </c>
      <c r="R3" s="24">
        <v>50</v>
      </c>
      <c r="S3" s="24">
        <v>0.5</v>
      </c>
      <c r="T3" s="24">
        <v>0.5</v>
      </c>
      <c r="U3" s="24">
        <v>0</v>
      </c>
    </row>
    <row r="4" spans="1:22" x14ac:dyDescent="0.2">
      <c r="A4" s="24" t="s">
        <v>74</v>
      </c>
      <c r="B4" s="24" t="s">
        <v>75</v>
      </c>
      <c r="C4" s="24" t="s">
        <v>76</v>
      </c>
      <c r="D4" s="24" t="s">
        <v>77</v>
      </c>
      <c r="E4" s="24" t="s">
        <v>78</v>
      </c>
      <c r="F4" s="24" t="s">
        <v>79</v>
      </c>
      <c r="G4" s="24" t="s">
        <v>48</v>
      </c>
      <c r="H4" s="24" t="s">
        <v>80</v>
      </c>
      <c r="I4" s="24" t="s">
        <v>30</v>
      </c>
      <c r="J4" s="24" t="s">
        <v>81</v>
      </c>
      <c r="K4" s="24">
        <v>1</v>
      </c>
      <c r="L4" s="24" t="s">
        <v>30</v>
      </c>
      <c r="M4" s="24">
        <v>2023</v>
      </c>
      <c r="N4" s="24" t="s">
        <v>26</v>
      </c>
      <c r="O4" s="24" t="s">
        <v>82</v>
      </c>
      <c r="P4" s="24" t="s">
        <v>22</v>
      </c>
      <c r="Q4" s="24" t="s">
        <v>22</v>
      </c>
      <c r="R4" s="24">
        <v>50</v>
      </c>
      <c r="S4" s="24">
        <v>0.5</v>
      </c>
      <c r="T4" s="24">
        <v>0.5</v>
      </c>
      <c r="U4" s="24">
        <v>0</v>
      </c>
      <c r="V4" s="6" t="s">
        <v>66</v>
      </c>
    </row>
    <row r="5" spans="1:22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  <c r="P5" s="25"/>
      <c r="Q5" s="26"/>
      <c r="R5" s="25"/>
      <c r="S5" s="27">
        <f>SUM(S2:S4)</f>
        <v>2</v>
      </c>
      <c r="T5" s="25"/>
      <c r="U5" s="25"/>
    </row>
  </sheetData>
  <autoFilter ref="A1:U1" xr:uid="{00000000-0009-0000-0000-000000000000}">
    <sortState xmlns:xlrd2="http://schemas.microsoft.com/office/spreadsheetml/2017/richdata2" ref="A2:T1905">
      <sortCondition ref="K2:K1905"/>
      <sortCondition ref="L2:L1905"/>
      <sortCondition ref="D2:D190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"/>
  <sheetViews>
    <sheetView zoomScaleNormal="100" workbookViewId="0">
      <selection activeCell="C17" sqref="C17"/>
    </sheetView>
  </sheetViews>
  <sheetFormatPr baseColWidth="10" defaultColWidth="11.44140625" defaultRowHeight="13.2" x14ac:dyDescent="0.25"/>
  <cols>
    <col min="1" max="1" width="10.44140625" style="11" bestFit="1" customWidth="1"/>
    <col min="2" max="2" width="46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3" t="s">
        <v>31</v>
      </c>
      <c r="B1" s="13" t="s">
        <v>32</v>
      </c>
      <c r="C1" s="13" t="s">
        <v>33</v>
      </c>
      <c r="D1" s="14" t="s">
        <v>97</v>
      </c>
      <c r="E1" s="14" t="s">
        <v>98</v>
      </c>
      <c r="F1" s="14" t="s">
        <v>99</v>
      </c>
      <c r="G1" s="14" t="s">
        <v>100</v>
      </c>
      <c r="H1" s="14" t="s">
        <v>101</v>
      </c>
      <c r="I1" s="14" t="s">
        <v>102</v>
      </c>
      <c r="J1" s="13" t="s">
        <v>34</v>
      </c>
      <c r="K1" s="15" t="s">
        <v>49</v>
      </c>
      <c r="L1" s="8" t="s">
        <v>35</v>
      </c>
      <c r="M1" s="8" t="s">
        <v>36</v>
      </c>
      <c r="N1" s="8" t="s">
        <v>37</v>
      </c>
      <c r="O1" s="8" t="s">
        <v>38</v>
      </c>
      <c r="P1" s="9" t="s">
        <v>39</v>
      </c>
      <c r="Q1" s="9" t="s">
        <v>40</v>
      </c>
      <c r="R1" s="9" t="s">
        <v>41</v>
      </c>
      <c r="S1" s="9" t="s">
        <v>42</v>
      </c>
      <c r="T1" s="11"/>
    </row>
    <row r="2" spans="1:20" ht="14.4" x14ac:dyDescent="0.3">
      <c r="A2" s="31" t="s">
        <v>65</v>
      </c>
      <c r="B2" s="31" t="s">
        <v>103</v>
      </c>
      <c r="C2" s="32" t="s">
        <v>43</v>
      </c>
      <c r="D2" s="31"/>
      <c r="E2" s="31"/>
      <c r="F2" s="31"/>
      <c r="G2" s="31">
        <v>1</v>
      </c>
      <c r="H2" s="31"/>
      <c r="I2" s="31"/>
      <c r="J2" s="16">
        <v>1</v>
      </c>
      <c r="K2" s="16" t="s">
        <v>30</v>
      </c>
      <c r="L2" s="17" t="s">
        <v>26</v>
      </c>
      <c r="M2" s="17" t="s">
        <v>83</v>
      </c>
      <c r="N2" s="17" t="s">
        <v>22</v>
      </c>
      <c r="O2" s="17" t="s">
        <v>22</v>
      </c>
      <c r="P2" s="17">
        <v>60</v>
      </c>
      <c r="Q2" s="17">
        <v>0.4</v>
      </c>
      <c r="R2" s="17">
        <v>0</v>
      </c>
      <c r="S2" s="17">
        <v>0.6</v>
      </c>
    </row>
    <row r="3" spans="1:20" ht="14.4" x14ac:dyDescent="0.3">
      <c r="A3" s="16" t="s">
        <v>44</v>
      </c>
      <c r="B3" s="16" t="s">
        <v>104</v>
      </c>
      <c r="C3" s="16" t="s">
        <v>43</v>
      </c>
      <c r="D3" s="16">
        <v>1</v>
      </c>
      <c r="E3" s="16"/>
      <c r="F3" s="16"/>
      <c r="G3" s="16"/>
      <c r="H3" s="16"/>
      <c r="I3" s="16"/>
      <c r="J3" s="16">
        <v>1</v>
      </c>
      <c r="K3" s="16" t="s">
        <v>30</v>
      </c>
      <c r="L3" s="17" t="s">
        <v>27</v>
      </c>
      <c r="M3" s="17" t="s">
        <v>82</v>
      </c>
      <c r="N3" s="17" t="s">
        <v>22</v>
      </c>
      <c r="O3" s="17" t="s">
        <v>22</v>
      </c>
      <c r="P3" s="17">
        <v>50</v>
      </c>
      <c r="Q3" s="17">
        <v>0.5</v>
      </c>
      <c r="R3" s="17">
        <v>0</v>
      </c>
      <c r="S3" s="17">
        <v>0.5</v>
      </c>
    </row>
    <row r="4" spans="1:20" ht="14.4" x14ac:dyDescent="0.3">
      <c r="A4" s="16" t="s">
        <v>46</v>
      </c>
      <c r="B4" s="16" t="s">
        <v>105</v>
      </c>
      <c r="C4" s="16" t="s">
        <v>43</v>
      </c>
      <c r="D4" s="16"/>
      <c r="E4" s="16">
        <v>1</v>
      </c>
      <c r="F4" s="16"/>
      <c r="G4" s="16"/>
      <c r="H4" s="16"/>
      <c r="I4" s="16"/>
      <c r="J4" s="16">
        <v>1</v>
      </c>
      <c r="K4" s="16" t="s">
        <v>30</v>
      </c>
      <c r="L4" s="17">
        <v>0</v>
      </c>
      <c r="M4" s="17">
        <v>0</v>
      </c>
      <c r="N4" s="17" t="s">
        <v>22</v>
      </c>
      <c r="O4" s="17" t="s">
        <v>22</v>
      </c>
      <c r="P4" s="17">
        <v>100</v>
      </c>
      <c r="Q4" s="17">
        <v>0</v>
      </c>
      <c r="R4" s="17">
        <v>0</v>
      </c>
      <c r="S4" s="17">
        <v>1</v>
      </c>
    </row>
    <row r="5" spans="1:20" ht="14.4" x14ac:dyDescent="0.3">
      <c r="A5" s="16" t="s">
        <v>47</v>
      </c>
      <c r="B5" s="16" t="s">
        <v>106</v>
      </c>
      <c r="C5" s="16" t="s">
        <v>43</v>
      </c>
      <c r="D5" s="16"/>
      <c r="E5" s="16">
        <v>1</v>
      </c>
      <c r="F5" s="16"/>
      <c r="G5" s="16"/>
      <c r="H5" s="16"/>
      <c r="I5" s="16"/>
      <c r="J5" s="16">
        <v>1</v>
      </c>
      <c r="K5" s="16" t="s">
        <v>30</v>
      </c>
      <c r="L5" s="17" t="s">
        <v>27</v>
      </c>
      <c r="M5" s="17" t="s">
        <v>84</v>
      </c>
      <c r="N5" s="17" t="s">
        <v>22</v>
      </c>
      <c r="O5" s="17" t="s">
        <v>22</v>
      </c>
      <c r="P5" s="17">
        <v>10</v>
      </c>
      <c r="Q5" s="17">
        <v>0.9</v>
      </c>
      <c r="R5" s="17">
        <v>0</v>
      </c>
      <c r="S5" s="17">
        <v>0.1</v>
      </c>
    </row>
    <row r="6" spans="1:20" ht="14.4" x14ac:dyDescent="0.3">
      <c r="A6" s="16" t="s">
        <v>45</v>
      </c>
      <c r="B6" s="16" t="s">
        <v>107</v>
      </c>
      <c r="C6" s="16" t="s">
        <v>43</v>
      </c>
      <c r="D6" s="16"/>
      <c r="E6" s="16"/>
      <c r="F6" s="16"/>
      <c r="G6" s="16">
        <v>1</v>
      </c>
      <c r="H6" s="16"/>
      <c r="I6" s="16"/>
      <c r="J6" s="16">
        <v>1</v>
      </c>
      <c r="K6" s="16" t="s">
        <v>30</v>
      </c>
      <c r="L6" s="17" t="s">
        <v>27</v>
      </c>
      <c r="M6" s="17" t="s">
        <v>82</v>
      </c>
      <c r="N6" s="17" t="s">
        <v>22</v>
      </c>
      <c r="O6" s="17" t="s">
        <v>22</v>
      </c>
      <c r="P6" s="17">
        <v>50</v>
      </c>
      <c r="Q6" s="17">
        <v>0.5</v>
      </c>
      <c r="R6" s="17">
        <v>0</v>
      </c>
      <c r="S6" s="17">
        <v>0.5</v>
      </c>
    </row>
    <row r="7" spans="1:20" ht="14.4" x14ac:dyDescent="0.3">
      <c r="A7" s="16" t="s">
        <v>108</v>
      </c>
      <c r="B7" s="16" t="s">
        <v>109</v>
      </c>
      <c r="C7" s="16" t="s">
        <v>110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30</v>
      </c>
      <c r="L7" s="17" t="s">
        <v>27</v>
      </c>
      <c r="M7" s="17" t="s">
        <v>111</v>
      </c>
      <c r="N7" s="17" t="s">
        <v>22</v>
      </c>
      <c r="O7" s="17" t="s">
        <v>22</v>
      </c>
      <c r="P7" s="17">
        <v>40</v>
      </c>
      <c r="Q7" s="17">
        <v>0.6</v>
      </c>
      <c r="R7" s="17">
        <v>0</v>
      </c>
      <c r="S7" s="17">
        <v>0.4</v>
      </c>
    </row>
    <row r="8" spans="1:20" ht="14.4" x14ac:dyDescent="0.3">
      <c r="A8" s="16" t="s">
        <v>112</v>
      </c>
      <c r="B8" s="16" t="s">
        <v>113</v>
      </c>
      <c r="C8" s="16" t="s">
        <v>110</v>
      </c>
      <c r="D8" s="16"/>
      <c r="E8" s="16"/>
      <c r="F8" s="16"/>
      <c r="G8" s="16"/>
      <c r="H8" s="16"/>
      <c r="I8" s="16">
        <v>1</v>
      </c>
      <c r="J8" s="16">
        <v>1</v>
      </c>
      <c r="K8" s="16" t="s">
        <v>30</v>
      </c>
      <c r="L8" s="17">
        <v>0</v>
      </c>
      <c r="M8" s="17">
        <v>0</v>
      </c>
      <c r="N8" s="17" t="s">
        <v>22</v>
      </c>
      <c r="O8" s="17" t="s">
        <v>22</v>
      </c>
      <c r="P8" s="17">
        <v>100</v>
      </c>
      <c r="Q8" s="17">
        <v>0</v>
      </c>
      <c r="R8" s="17">
        <v>0</v>
      </c>
      <c r="S8" s="17">
        <v>1</v>
      </c>
    </row>
    <row r="9" spans="1:20" ht="14.4" x14ac:dyDescent="0.3">
      <c r="A9" s="16" t="s">
        <v>114</v>
      </c>
      <c r="B9" s="16" t="s">
        <v>115</v>
      </c>
      <c r="C9" s="16" t="s">
        <v>43</v>
      </c>
      <c r="D9" s="16"/>
      <c r="E9" s="16"/>
      <c r="F9" s="16"/>
      <c r="G9" s="16"/>
      <c r="H9" s="16">
        <v>1</v>
      </c>
      <c r="I9" s="16"/>
      <c r="J9" s="16">
        <v>1</v>
      </c>
      <c r="K9" s="16" t="s">
        <v>30</v>
      </c>
      <c r="L9" s="17">
        <v>0</v>
      </c>
      <c r="M9" s="17">
        <v>0</v>
      </c>
      <c r="N9" s="17" t="s">
        <v>22</v>
      </c>
      <c r="O9" s="17" t="s">
        <v>22</v>
      </c>
      <c r="P9" s="17">
        <v>100</v>
      </c>
      <c r="Q9" s="17">
        <v>0</v>
      </c>
      <c r="R9" s="17">
        <v>0</v>
      </c>
      <c r="S9" s="17">
        <v>1</v>
      </c>
    </row>
    <row r="10" spans="1:20" ht="14.4" x14ac:dyDescent="0.3">
      <c r="A10" s="16" t="s">
        <v>48</v>
      </c>
      <c r="B10" s="16" t="s">
        <v>116</v>
      </c>
      <c r="C10" s="16" t="s">
        <v>43</v>
      </c>
      <c r="D10" s="16">
        <v>1</v>
      </c>
      <c r="E10" s="16"/>
      <c r="F10" s="16"/>
      <c r="G10" s="16"/>
      <c r="H10" s="16"/>
      <c r="I10" s="16"/>
      <c r="J10" s="16">
        <v>1</v>
      </c>
      <c r="K10" s="16" t="s">
        <v>30</v>
      </c>
      <c r="L10" s="17" t="s">
        <v>26</v>
      </c>
      <c r="M10" s="17" t="s">
        <v>82</v>
      </c>
      <c r="N10" s="17" t="s">
        <v>22</v>
      </c>
      <c r="O10" s="17" t="s">
        <v>22</v>
      </c>
      <c r="P10" s="17">
        <v>50</v>
      </c>
      <c r="Q10" s="17">
        <v>0.5</v>
      </c>
      <c r="R10" s="17">
        <v>0</v>
      </c>
      <c r="S10" s="17">
        <v>0.5</v>
      </c>
    </row>
    <row r="11" spans="1:20" ht="14.4" x14ac:dyDescent="0.3">
      <c r="A11" s="16" t="s">
        <v>117</v>
      </c>
      <c r="B11" s="16" t="s">
        <v>118</v>
      </c>
      <c r="C11" s="16" t="s">
        <v>110</v>
      </c>
      <c r="D11" s="16"/>
      <c r="E11" s="16"/>
      <c r="F11" s="16"/>
      <c r="G11" s="16"/>
      <c r="H11" s="16"/>
      <c r="I11" s="16">
        <v>1</v>
      </c>
      <c r="J11" s="16">
        <v>1</v>
      </c>
      <c r="K11" s="16" t="s">
        <v>30</v>
      </c>
      <c r="L11" s="17">
        <v>0</v>
      </c>
      <c r="M11" s="17">
        <v>0</v>
      </c>
      <c r="N11" s="17" t="s">
        <v>22</v>
      </c>
      <c r="O11" s="17" t="s">
        <v>22</v>
      </c>
      <c r="P11" s="17">
        <v>100</v>
      </c>
      <c r="Q11" s="17">
        <v>0</v>
      </c>
      <c r="R11" s="17">
        <v>0</v>
      </c>
      <c r="S11" s="17">
        <v>1</v>
      </c>
    </row>
    <row r="12" spans="1:20" ht="14.4" x14ac:dyDescent="0.3">
      <c r="A12" s="33"/>
      <c r="B12" s="33"/>
      <c r="C12" s="34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5">
        <f>SUM(S2:S11)</f>
        <v>6.6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7C2-F566-4D34-A68F-D0D7A5359D9E}">
  <dimension ref="A1:C9"/>
  <sheetViews>
    <sheetView workbookViewId="0">
      <selection activeCell="C18" sqref="C18"/>
    </sheetView>
  </sheetViews>
  <sheetFormatPr baseColWidth="10" defaultRowHeight="14.4" x14ac:dyDescent="0.3"/>
  <cols>
    <col min="1" max="1" width="17" customWidth="1"/>
    <col min="2" max="2" width="71.88671875" customWidth="1"/>
    <col min="3" max="3" width="16" customWidth="1"/>
  </cols>
  <sheetData>
    <row r="1" spans="1:3" x14ac:dyDescent="0.3">
      <c r="A1" s="40" t="s">
        <v>50</v>
      </c>
      <c r="B1" s="40" t="s">
        <v>51</v>
      </c>
      <c r="C1" s="40" t="s">
        <v>57</v>
      </c>
    </row>
    <row r="2" spans="1:3" x14ac:dyDescent="0.3">
      <c r="A2" s="29" t="s">
        <v>59</v>
      </c>
      <c r="B2" s="29" t="s">
        <v>67</v>
      </c>
      <c r="C2" s="21">
        <v>43325.62</v>
      </c>
    </row>
    <row r="3" spans="1:3" x14ac:dyDescent="0.3">
      <c r="A3" s="29" t="s">
        <v>60</v>
      </c>
      <c r="B3" s="29" t="s">
        <v>68</v>
      </c>
      <c r="C3" s="21">
        <v>3960</v>
      </c>
    </row>
    <row r="4" spans="1:3" x14ac:dyDescent="0.3">
      <c r="A4" s="30" t="s">
        <v>58</v>
      </c>
      <c r="B4" s="30" t="s">
        <v>69</v>
      </c>
      <c r="C4" s="22">
        <v>-2263.12</v>
      </c>
    </row>
    <row r="5" spans="1:3" x14ac:dyDescent="0.3">
      <c r="A5" s="29" t="s">
        <v>58</v>
      </c>
      <c r="B5" s="29" t="s">
        <v>70</v>
      </c>
      <c r="C5" s="21">
        <v>26000</v>
      </c>
    </row>
    <row r="6" spans="1:3" x14ac:dyDescent="0.3">
      <c r="A6" s="30" t="s">
        <v>58</v>
      </c>
      <c r="B6" s="30" t="s">
        <v>71</v>
      </c>
      <c r="C6" s="22">
        <v>14000</v>
      </c>
    </row>
    <row r="7" spans="1:3" x14ac:dyDescent="0.3">
      <c r="A7" s="41" t="s">
        <v>72</v>
      </c>
      <c r="B7" s="41" t="s">
        <v>73</v>
      </c>
      <c r="C7" s="36">
        <v>40000</v>
      </c>
    </row>
    <row r="8" spans="1:3" s="39" customFormat="1" x14ac:dyDescent="0.3">
      <c r="A8" s="37" t="s">
        <v>0</v>
      </c>
      <c r="B8" s="37"/>
      <c r="C8" s="38">
        <f>SUBTOTAL(109,Tabla2[Imp.cob.aplic.])</f>
        <v>125022.5</v>
      </c>
    </row>
    <row r="9" spans="1:3" x14ac:dyDescent="0.3">
      <c r="C9" s="2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85E0-0033-463B-9504-910254FCB580}">
  <dimension ref="A1:C11"/>
  <sheetViews>
    <sheetView workbookViewId="0">
      <selection activeCell="B14" sqref="B14:C14"/>
    </sheetView>
  </sheetViews>
  <sheetFormatPr baseColWidth="10" defaultRowHeight="14.4" x14ac:dyDescent="0.3"/>
  <cols>
    <col min="1" max="1" width="18.44140625" customWidth="1"/>
    <col min="2" max="2" width="68.44140625" customWidth="1"/>
    <col min="3" max="3" width="13.109375" customWidth="1"/>
  </cols>
  <sheetData>
    <row r="1" spans="1:3" x14ac:dyDescent="0.3">
      <c r="A1" s="44" t="s">
        <v>85</v>
      </c>
      <c r="B1" s="44" t="s">
        <v>51</v>
      </c>
      <c r="C1" s="45" t="s">
        <v>86</v>
      </c>
    </row>
    <row r="2" spans="1:3" x14ac:dyDescent="0.3">
      <c r="A2" s="42" t="s">
        <v>59</v>
      </c>
      <c r="B2" s="42" t="s">
        <v>87</v>
      </c>
      <c r="C2" s="21">
        <v>38352.97</v>
      </c>
    </row>
    <row r="3" spans="1:3" x14ac:dyDescent="0.3">
      <c r="A3" s="43" t="s">
        <v>88</v>
      </c>
      <c r="B3" s="43" t="s">
        <v>89</v>
      </c>
      <c r="C3" s="22">
        <v>4400</v>
      </c>
    </row>
    <row r="4" spans="1:3" x14ac:dyDescent="0.3">
      <c r="A4" s="42" t="s">
        <v>90</v>
      </c>
      <c r="B4" s="42" t="s">
        <v>91</v>
      </c>
      <c r="C4" s="21">
        <v>1092.3</v>
      </c>
    </row>
    <row r="5" spans="1:3" x14ac:dyDescent="0.3">
      <c r="A5" s="43" t="s">
        <v>90</v>
      </c>
      <c r="B5" s="43" t="s">
        <v>92</v>
      </c>
      <c r="C5" s="22">
        <v>1092.3</v>
      </c>
    </row>
    <row r="6" spans="1:3" x14ac:dyDescent="0.3">
      <c r="A6" s="42" t="s">
        <v>90</v>
      </c>
      <c r="B6" s="42" t="s">
        <v>91</v>
      </c>
      <c r="C6" s="21">
        <v>-1092.3</v>
      </c>
    </row>
    <row r="7" spans="1:3" x14ac:dyDescent="0.3">
      <c r="A7" s="43" t="s">
        <v>90</v>
      </c>
      <c r="B7" s="43" t="s">
        <v>93</v>
      </c>
      <c r="C7" s="22">
        <v>1092.31</v>
      </c>
    </row>
    <row r="8" spans="1:3" x14ac:dyDescent="0.3">
      <c r="A8" s="42" t="s">
        <v>90</v>
      </c>
      <c r="B8" s="42" t="s">
        <v>94</v>
      </c>
      <c r="C8" s="21">
        <v>1092.3</v>
      </c>
    </row>
    <row r="9" spans="1:3" x14ac:dyDescent="0.3">
      <c r="A9" s="43" t="s">
        <v>58</v>
      </c>
      <c r="B9" s="43" t="s">
        <v>95</v>
      </c>
      <c r="C9" s="22">
        <v>-744.43</v>
      </c>
    </row>
    <row r="10" spans="1:3" x14ac:dyDescent="0.3">
      <c r="A10" s="46" t="s">
        <v>72</v>
      </c>
      <c r="B10" s="46" t="s">
        <v>96</v>
      </c>
      <c r="C10" s="36">
        <v>31921.83</v>
      </c>
    </row>
    <row r="11" spans="1:3" s="39" customFormat="1" x14ac:dyDescent="0.3">
      <c r="A11" s="47" t="s">
        <v>0</v>
      </c>
      <c r="B11" s="47"/>
      <c r="C11" s="38">
        <f>SUBTOTAL(109,Tabla3[Imp. aplic.])</f>
        <v>77207.28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293F-FFD9-4159-805E-7C08870D1BC5}">
  <dimension ref="A1:C19"/>
  <sheetViews>
    <sheetView tabSelected="1" workbookViewId="0">
      <selection activeCell="C20" sqref="C20"/>
    </sheetView>
  </sheetViews>
  <sheetFormatPr baseColWidth="10" defaultRowHeight="14.4" x14ac:dyDescent="0.3"/>
  <cols>
    <col min="1" max="1" width="18" customWidth="1"/>
    <col min="2" max="2" width="52.109375" customWidth="1"/>
    <col min="3" max="3" width="16.33203125" customWidth="1"/>
  </cols>
  <sheetData>
    <row r="1" spans="1:3" x14ac:dyDescent="0.3">
      <c r="A1" s="50" t="s">
        <v>85</v>
      </c>
      <c r="B1" s="51" t="s">
        <v>51</v>
      </c>
      <c r="C1" s="51" t="s">
        <v>86</v>
      </c>
    </row>
    <row r="2" spans="1:3" x14ac:dyDescent="0.3">
      <c r="A2" s="52" t="s">
        <v>90</v>
      </c>
      <c r="B2" s="53" t="s">
        <v>119</v>
      </c>
      <c r="C2" s="54">
        <v>1092.31</v>
      </c>
    </row>
    <row r="3" spans="1:3" x14ac:dyDescent="0.3">
      <c r="A3" s="55" t="s">
        <v>90</v>
      </c>
      <c r="B3" s="56" t="s">
        <v>120</v>
      </c>
      <c r="C3" s="57">
        <v>1092.3</v>
      </c>
    </row>
    <row r="4" spans="1:3" x14ac:dyDescent="0.3">
      <c r="A4" s="52" t="s">
        <v>90</v>
      </c>
      <c r="B4" s="53" t="s">
        <v>121</v>
      </c>
      <c r="C4" s="54">
        <v>1092.3</v>
      </c>
    </row>
    <row r="5" spans="1:3" x14ac:dyDescent="0.3">
      <c r="A5" s="55" t="s">
        <v>90</v>
      </c>
      <c r="B5" s="56" t="s">
        <v>122</v>
      </c>
      <c r="C5" s="57">
        <v>1092.3</v>
      </c>
    </row>
    <row r="6" spans="1:3" x14ac:dyDescent="0.3">
      <c r="A6" s="52" t="s">
        <v>90</v>
      </c>
      <c r="B6" s="53" t="s">
        <v>123</v>
      </c>
      <c r="C6" s="54">
        <v>1092.3</v>
      </c>
    </row>
    <row r="7" spans="1:3" x14ac:dyDescent="0.3">
      <c r="A7" s="55" t="s">
        <v>90</v>
      </c>
      <c r="B7" s="56" t="s">
        <v>124</v>
      </c>
      <c r="C7" s="57">
        <v>1092.3</v>
      </c>
    </row>
    <row r="8" spans="1:3" x14ac:dyDescent="0.3">
      <c r="A8" s="52" t="s">
        <v>90</v>
      </c>
      <c r="B8" s="53" t="s">
        <v>125</v>
      </c>
      <c r="C8" s="54">
        <v>1092.3</v>
      </c>
    </row>
    <row r="9" spans="1:3" x14ac:dyDescent="0.3">
      <c r="A9" s="55" t="s">
        <v>90</v>
      </c>
      <c r="B9" s="56" t="s">
        <v>126</v>
      </c>
      <c r="C9" s="57">
        <v>1092.29</v>
      </c>
    </row>
    <row r="10" spans="1:3" x14ac:dyDescent="0.3">
      <c r="A10" s="52" t="s">
        <v>90</v>
      </c>
      <c r="B10" s="53" t="s">
        <v>127</v>
      </c>
      <c r="C10" s="54">
        <v>1092.29</v>
      </c>
    </row>
    <row r="11" spans="1:3" x14ac:dyDescent="0.3">
      <c r="A11" s="55" t="s">
        <v>128</v>
      </c>
      <c r="B11" s="56" t="s">
        <v>129</v>
      </c>
      <c r="C11" s="57">
        <v>8000</v>
      </c>
    </row>
    <row r="12" spans="1:3" x14ac:dyDescent="0.3">
      <c r="A12" s="52" t="s">
        <v>130</v>
      </c>
      <c r="B12" s="53" t="s">
        <v>131</v>
      </c>
      <c r="C12" s="54">
        <v>4224</v>
      </c>
    </row>
    <row r="13" spans="1:3" x14ac:dyDescent="0.3">
      <c r="A13" s="55" t="s">
        <v>132</v>
      </c>
      <c r="B13" s="56" t="s">
        <v>133</v>
      </c>
      <c r="C13" s="57">
        <v>3432</v>
      </c>
    </row>
    <row r="14" spans="1:3" x14ac:dyDescent="0.3">
      <c r="A14" s="52" t="s">
        <v>72</v>
      </c>
      <c r="B14" s="53" t="s">
        <v>134</v>
      </c>
      <c r="C14" s="54">
        <v>5000</v>
      </c>
    </row>
    <row r="15" spans="1:3" ht="15" thickBot="1" x14ac:dyDescent="0.35">
      <c r="A15" s="55" t="s">
        <v>72</v>
      </c>
      <c r="B15" s="56" t="s">
        <v>135</v>
      </c>
      <c r="C15" s="57">
        <v>33224.18</v>
      </c>
    </row>
    <row r="16" spans="1:3" ht="15" thickTop="1" x14ac:dyDescent="0.3">
      <c r="A16" s="58" t="s">
        <v>0</v>
      </c>
      <c r="B16" s="59"/>
      <c r="C16" s="60">
        <v>63710.87</v>
      </c>
    </row>
    <row r="19" spans="2:3" x14ac:dyDescent="0.3">
      <c r="B19" s="48" t="s">
        <v>136</v>
      </c>
      <c r="C19" s="49">
        <f>C16+Tabla2[[#Totals],[Imp.cob.aplic.]]+Tabla3[[#Totals],[Imp. aplic.]]</f>
        <v>265940.65000000002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2026-05-22T11:46:04Z</dcterms:modified>
</cp:coreProperties>
</file>