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665A6E45-DC39-4E58-9DBC-94105485E94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sis" sheetId="1" r:id="rId1"/>
    <sheet name="Sexenios" sheetId="2" r:id="rId2"/>
    <sheet name="Ingresos investigación 2025" sheetId="3" r:id="rId3"/>
  </sheets>
  <definedNames>
    <definedName name="_xlnm._FilterDatabase" localSheetId="1" hidden="1">Sexenios!#REF!</definedName>
    <definedName name="_xlnm._FilterDatabase" localSheetId="0" hidden="1">Tesis!$A$1:$U$2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3" l="1"/>
  <c r="S7" i="2"/>
  <c r="S6" i="1"/>
</calcChain>
</file>

<file path=xl/sharedStrings.xml><?xml version="1.0" encoding="utf-8"?>
<sst xmlns="http://schemas.openxmlformats.org/spreadsheetml/2006/main" count="145" uniqueCount="100">
  <si>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</si>
  <si>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</si>
  <si>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</si>
  <si>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</si>
  <si>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</si>
  <si>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</si>
  <si>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</si>
  <si>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</si>
  <si>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</si>
  <si>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</si>
  <si>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</si>
  <si>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</si>
  <si>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</si>
  <si>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</si>
  <si>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</si>
  <si>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</si>
  <si>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</si>
  <si>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</si>
  <si>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</si>
  <si>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</si>
  <si>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</si>
  <si>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</si>
  <si>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</si>
  <si>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</si>
  <si>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U025 </t>
  </si>
  <si>
    <t>ADM. FACULTAD DE DERECHO </t>
  </si>
  <si>
    <t>DOCTORADO EN DERECHO </t>
  </si>
  <si>
    <t>B104 </t>
  </si>
  <si>
    <t>CIENCIAS HISTORICO-JURIDICAS </t>
  </si>
  <si>
    <t>B104</t>
  </si>
  <si>
    <t>10.05</t>
  </si>
  <si>
    <t>10.23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</si>
  <si>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</si>
  <si>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</si>
  <si>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</si>
  <si>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</si>
  <si>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</si>
  <si>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</si>
  <si>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</si>
  <si>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</si>
  <si>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</si>
  <si>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</si>
  <si>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</si>
  <si>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</si>
  <si>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</si>
  <si>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21423896V</t>
  </si>
  <si>
    <t>13114561F</t>
  </si>
  <si>
    <t>21435704A</t>
  </si>
  <si>
    <t>52987571X</t>
  </si>
  <si>
    <t>COD DEP</t>
  </si>
  <si>
    <t>Martínez Fernández, Álvaro </t>
  </si>
  <si>
    <t>Fundamentos históricos de la llamada Cautela Socini </t>
  </si>
  <si>
    <t>28/10/2020 </t>
  </si>
  <si>
    <t>13114561F </t>
  </si>
  <si>
    <t>21457967W</t>
  </si>
  <si>
    <t>U025</t>
  </si>
  <si>
    <t>ADM. FACULTAD DE DERECHO</t>
  </si>
  <si>
    <t>DOCTORADO EN DERECHO</t>
  </si>
  <si>
    <t>Yang , Yang</t>
  </si>
  <si>
    <t>Return to the continent legal system administrative trial organizations as the clue</t>
  </si>
  <si>
    <t>20/05/2024</t>
  </si>
  <si>
    <t>Director de tesis</t>
  </si>
  <si>
    <t>CIENCIAS HISTORICO-JURIDICAS</t>
  </si>
  <si>
    <t>U073</t>
  </si>
  <si>
    <t>I.U. INVESTIGACIÓN DE ESTUDIOS DE GÉNERO (10.23)</t>
  </si>
  <si>
    <t>DOCTORADO EN ESTUDIOS INTERDISCIPLINARES DE GÉNERO</t>
  </si>
  <si>
    <t>Fernández Cortés, María Jesús</t>
  </si>
  <si>
    <t>Mediación en la empresa familiar: el empoderamiento de las mujeres a través de la comunicación</t>
  </si>
  <si>
    <t>01/03/2024</t>
  </si>
  <si>
    <t>30</t>
  </si>
  <si>
    <t>U020</t>
  </si>
  <si>
    <t>Instituto Universitario Agua y Ciencias Ambientales (10.05)</t>
  </si>
  <si>
    <t>DOCTORADO EN AGUA Y DESARROLLO SOSTENIBLE</t>
  </si>
  <si>
    <t>Busarello , Fernando Rodrigo</t>
  </si>
  <si>
    <t>A FORÇA JURÍDICA DAS DECLARAÇÕES TÉCNICO-POLÍTICAS PRODUZIDAS PELOS FÓRUNS MUNDIAIS DA ÁGUA SOB A PERSPECTIVA PÓS-POSITIVISTA</t>
  </si>
  <si>
    <t>20/03/2025</t>
  </si>
  <si>
    <t>Codirector de tesis</t>
  </si>
  <si>
    <t>Ciencias Histórico-Jurídicas</t>
  </si>
  <si>
    <t>2020</t>
  </si>
  <si>
    <t>2021</t>
  </si>
  <si>
    <t>2022</t>
  </si>
  <si>
    <t>2023</t>
  </si>
  <si>
    <t>2024</t>
  </si>
  <si>
    <t>2025</t>
  </si>
  <si>
    <t>Calzada González, María Aránzazu</t>
  </si>
  <si>
    <t>Vivos</t>
  </si>
  <si>
    <t>Alenda Salinas, Manuel</t>
  </si>
  <si>
    <t>Martínez Almira, María Magdalena</t>
  </si>
  <si>
    <t>Pineda Marcos, Matilde</t>
  </si>
  <si>
    <t>Souto Galván, Beatriz</t>
  </si>
  <si>
    <t>Org. aplic.</t>
  </si>
  <si>
    <t>Descripción justificante</t>
  </si>
  <si>
    <t>Imp. aplic.</t>
  </si>
  <si>
    <t>31.50.6C.00.01</t>
  </si>
  <si>
    <t>Servicios de traducción y corrección. Primera fase del proceso</t>
  </si>
  <si>
    <t>31.50.6P.00.02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</si>
  <si>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</si>
  <si>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</si>
  <si>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Total</t>
  </si>
  <si>
    <t>Total ingresos investigación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</si>
</sst>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0\ _€_-;\-* #,##0.00\ _€_-;_-* &quot;-&quot;??\ _€_-;_-@_-"/>
  </numFmts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right" wrapText="1"/>
    </xf>
    <xf numFmtId="0" fontId="1" fillId="3" borderId="0" xfId="1" applyFill="1"/>
    <xf numFmtId="0" fontId="1" fillId="3" borderId="0" xfId="1" applyFill="1" applyAlignment="1">
      <alignment horizontal="right"/>
    </xf>
    <xf numFmtId="0" fontId="6" fillId="5" borderId="1" xfId="3" applyFont="1" applyFill="1" applyBorder="1" applyAlignment="1">
      <alignment horizontal="center" textRotation="90" wrapText="1"/>
    </xf>
    <xf numFmtId="0" fontId="6" fillId="2" borderId="1" xfId="3" applyFont="1" applyFill="1" applyBorder="1" applyAlignment="1">
      <alignment horizontal="center" textRotation="90" wrapText="1"/>
    </xf>
    <xf numFmtId="0" fontId="4" fillId="0" borderId="0" xfId="4" applyFont="1"/>
    <xf numFmtId="0" fontId="8" fillId="0" borderId="0" xfId="4" applyFont="1"/>
    <xf numFmtId="0" fontId="8" fillId="0" borderId="0" xfId="4" applyFont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textRotation="90"/>
    </xf>
    <xf numFmtId="0" fontId="6" fillId="2" borderId="1" xfId="3" applyFont="1" applyFill="1" applyBorder="1" applyAlignment="1">
      <alignment horizontal="center" wrapText="1"/>
    </xf>
    <xf numFmtId="0" fontId="1" fillId="6" borderId="0" xfId="1" applyFill="1"/>
    <xf numFmtId="0" fontId="1" fillId="6" borderId="0" xfId="1" applyFill="1" applyAlignment="1">
      <alignment horizontal="right"/>
    </xf>
    <xf numFmtId="0" fontId="8" fillId="6" borderId="0" xfId="4" applyFont="1" applyFill="1"/>
    <xf numFmtId="0" fontId="8" fillId="6" borderId="0" xfId="4" applyFont="1" applyFill="1" applyAlignment="1">
      <alignment horizontal="right"/>
    </xf>
    <xf numFmtId="0" fontId="9" fillId="6" borderId="0" xfId="4" applyFont="1" applyFill="1"/>
    <xf numFmtId="0" fontId="8" fillId="0" borderId="1" xfId="4" applyFont="1" applyBorder="1"/>
    <xf numFmtId="0" fontId="8" fillId="0" borderId="1" xfId="4" applyFont="1" applyBorder="1" applyAlignment="1">
      <alignment horizontal="right"/>
    </xf>
    <xf numFmtId="164" fontId="2" fillId="6" borderId="0" xfId="1" applyNumberFormat="1" applyFont="1" applyFill="1"/>
    <xf numFmtId="0" fontId="1" fillId="3" borderId="1" xfId="1" applyFont="1" applyFill="1" applyBorder="1"/>
    <xf numFmtId="0" fontId="1" fillId="0" borderId="1" xfId="1" applyFont="1" applyBorder="1"/>
    <xf numFmtId="0" fontId="1" fillId="3" borderId="2" xfId="1" applyFont="1" applyFill="1" applyBorder="1"/>
    <xf numFmtId="0" fontId="1" fillId="3" borderId="1" xfId="1" applyFont="1" applyFill="1" applyBorder="1" applyAlignment="1">
      <alignment horizontal="right"/>
    </xf>
    <xf numFmtId="0" fontId="1" fillId="3" borderId="0" xfId="1" applyFont="1" applyFill="1"/>
    <xf numFmtId="0" fontId="1" fillId="0" borderId="1" xfId="0" applyFont="1" applyBorder="1"/>
    <xf numFmtId="0" fontId="1" fillId="0" borderId="0" xfId="0" applyFont="1"/>
    <xf numFmtId="0" fontId="11" fillId="7" borderId="3" xfId="0" applyFont="1" applyFill="1" applyBorder="1"/>
    <xf numFmtId="0" fontId="11" fillId="7" borderId="4" xfId="0" applyFont="1" applyFill="1" applyBorder="1"/>
    <xf numFmtId="0" fontId="12" fillId="8" borderId="3" xfId="0" applyFont="1" applyFill="1" applyBorder="1"/>
    <xf numFmtId="0" fontId="12" fillId="8" borderId="4" xfId="0" applyFont="1" applyFill="1" applyBorder="1"/>
    <xf numFmtId="165" fontId="12" fillId="8" borderId="4" xfId="5" applyNumberFormat="1" applyFont="1" applyFill="1" applyBorder="1"/>
    <xf numFmtId="0" fontId="12" fillId="0" borderId="3" xfId="0" applyFont="1" applyBorder="1"/>
    <xf numFmtId="0" fontId="12" fillId="0" borderId="4" xfId="0" applyFont="1" applyBorder="1"/>
    <xf numFmtId="165" fontId="12" fillId="0" borderId="4" xfId="5" applyNumberFormat="1" applyFont="1" applyBorder="1"/>
    <xf numFmtId="0" fontId="13" fillId="0" borderId="5" xfId="0" applyFont="1" applyBorder="1"/>
    <xf numFmtId="0" fontId="13" fillId="0" borderId="6" xfId="0" applyFont="1" applyBorder="1"/>
    <xf numFmtId="165" fontId="13" fillId="0" borderId="6" xfId="5" applyNumberFormat="1" applyFont="1" applyBorder="1"/>
    <xf numFmtId="0" fontId="6" fillId="0" borderId="1" xfId="0" applyFont="1" applyBorder="1"/>
    <xf numFmtId="165" fontId="6" fillId="0" borderId="1" xfId="0" applyNumberFormat="1" applyFont="1" applyBorder="1"/>
  </cellXfs>
  <cellStyles count="6">
    <cellStyle name="Millares" xfId="5" builtinId="3"/>
    <cellStyle name="Normal" xfId="0" builtinId="0"/>
    <cellStyle name="Normal 3" xfId="4" xr:uid="{00000000-0005-0000-0000-000001000000}"/>
    <cellStyle name="Normal_Becas 14_9_2005" xfId="2" xr:uid="{00000000-0005-0000-0000-000002000000}"/>
    <cellStyle name="Normal_Ind.2010" xfId="1" xr:uid="{00000000-0005-0000-0000-000003000000}"/>
    <cellStyle name="Normal_PDI por Centro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N11" sqref="N11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2" ht="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2" s="28" customFormat="1" x14ac:dyDescent="0.2">
      <c r="A2" s="24" t="s">
        <v>24</v>
      </c>
      <c r="B2" s="24" t="s">
        <v>25</v>
      </c>
      <c r="C2" s="24" t="s">
        <v>26</v>
      </c>
      <c r="D2" s="24" t="s">
        <v>50</v>
      </c>
      <c r="E2" s="24" t="s">
        <v>51</v>
      </c>
      <c r="F2" s="24" t="s">
        <v>52</v>
      </c>
      <c r="G2" s="24" t="s">
        <v>53</v>
      </c>
      <c r="H2" s="24" t="s">
        <v>21</v>
      </c>
      <c r="I2" s="24" t="s">
        <v>27</v>
      </c>
      <c r="J2" s="24" t="s">
        <v>28</v>
      </c>
      <c r="K2" s="25">
        <v>0.5</v>
      </c>
      <c r="L2" s="25" t="s">
        <v>29</v>
      </c>
      <c r="M2" s="26">
        <v>2019</v>
      </c>
      <c r="N2" s="24" t="s">
        <v>23</v>
      </c>
      <c r="O2" s="27" t="s">
        <v>23</v>
      </c>
      <c r="P2" s="24" t="s">
        <v>23</v>
      </c>
      <c r="Q2" s="27" t="s">
        <v>23</v>
      </c>
      <c r="R2" s="24">
        <v>100</v>
      </c>
      <c r="S2" s="24">
        <v>0.5</v>
      </c>
      <c r="T2" s="24">
        <v>0</v>
      </c>
      <c r="U2" s="24">
        <v>0</v>
      </c>
    </row>
    <row r="3" spans="1:22" s="28" customFormat="1" x14ac:dyDescent="0.2">
      <c r="A3" s="24" t="s">
        <v>55</v>
      </c>
      <c r="B3" s="24" t="s">
        <v>56</v>
      </c>
      <c r="C3" s="24" t="s">
        <v>57</v>
      </c>
      <c r="D3" s="24" t="s">
        <v>58</v>
      </c>
      <c r="E3" s="24" t="s">
        <v>59</v>
      </c>
      <c r="F3" s="24" t="s">
        <v>60</v>
      </c>
      <c r="G3" s="24" t="s">
        <v>47</v>
      </c>
      <c r="H3" s="24" t="s">
        <v>61</v>
      </c>
      <c r="I3" s="25" t="s">
        <v>29</v>
      </c>
      <c r="J3" s="24" t="s">
        <v>62</v>
      </c>
      <c r="K3" s="29">
        <v>1</v>
      </c>
      <c r="L3" s="29" t="s">
        <v>29</v>
      </c>
      <c r="M3" s="29">
        <v>2023</v>
      </c>
      <c r="N3" s="29" t="s">
        <v>30</v>
      </c>
      <c r="O3" s="29" t="s">
        <v>22</v>
      </c>
      <c r="P3" s="29" t="s">
        <v>23</v>
      </c>
      <c r="Q3" s="29" t="s">
        <v>23</v>
      </c>
      <c r="R3" s="29">
        <v>50</v>
      </c>
      <c r="S3" s="29">
        <v>0.5</v>
      </c>
      <c r="T3" s="29">
        <v>0.5</v>
      </c>
      <c r="U3" s="29">
        <v>0</v>
      </c>
      <c r="V3" s="30"/>
    </row>
    <row r="4" spans="1:22" s="28" customFormat="1" x14ac:dyDescent="0.2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68</v>
      </c>
      <c r="G4" s="24" t="s">
        <v>48</v>
      </c>
      <c r="H4" s="24" t="s">
        <v>61</v>
      </c>
      <c r="I4" s="25" t="s">
        <v>29</v>
      </c>
      <c r="J4" s="24" t="s">
        <v>62</v>
      </c>
      <c r="K4" s="29">
        <v>1</v>
      </c>
      <c r="L4" s="29" t="s">
        <v>29</v>
      </c>
      <c r="M4" s="29">
        <v>2023</v>
      </c>
      <c r="N4" s="29" t="s">
        <v>31</v>
      </c>
      <c r="O4" s="29" t="s">
        <v>69</v>
      </c>
      <c r="P4" s="29" t="s">
        <v>23</v>
      </c>
      <c r="Q4" s="29" t="s">
        <v>23</v>
      </c>
      <c r="R4" s="29">
        <v>70</v>
      </c>
      <c r="S4" s="29">
        <v>0.7</v>
      </c>
      <c r="T4" s="29">
        <v>0.3</v>
      </c>
      <c r="U4" s="29">
        <v>0</v>
      </c>
    </row>
    <row r="5" spans="1:22" s="28" customFormat="1" x14ac:dyDescent="0.2">
      <c r="A5" s="24" t="s">
        <v>70</v>
      </c>
      <c r="B5" s="24" t="s">
        <v>71</v>
      </c>
      <c r="C5" s="24" t="s">
        <v>72</v>
      </c>
      <c r="D5" s="24" t="s">
        <v>73</v>
      </c>
      <c r="E5" s="24" t="s">
        <v>74</v>
      </c>
      <c r="F5" s="24" t="s">
        <v>75</v>
      </c>
      <c r="G5" s="24" t="s">
        <v>47</v>
      </c>
      <c r="H5" s="24" t="s">
        <v>76</v>
      </c>
      <c r="I5" s="25" t="s">
        <v>29</v>
      </c>
      <c r="J5" s="24" t="s">
        <v>77</v>
      </c>
      <c r="K5" s="29">
        <v>0.5</v>
      </c>
      <c r="L5" s="29" t="s">
        <v>29</v>
      </c>
      <c r="M5" s="29">
        <v>2024</v>
      </c>
      <c r="N5" s="29" t="s">
        <v>30</v>
      </c>
      <c r="O5" s="29" t="s">
        <v>22</v>
      </c>
      <c r="P5" s="29" t="s">
        <v>23</v>
      </c>
      <c r="Q5" s="29" t="s">
        <v>23</v>
      </c>
      <c r="R5" s="29">
        <v>50</v>
      </c>
      <c r="S5" s="29">
        <v>0.25</v>
      </c>
      <c r="T5" s="29">
        <v>0.25</v>
      </c>
      <c r="U5" s="29">
        <v>0</v>
      </c>
    </row>
    <row r="6" spans="1:22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6"/>
      <c r="Q6" s="17"/>
      <c r="R6" s="16"/>
      <c r="S6" s="23">
        <f>SUM(S2:S5)</f>
        <v>1.95</v>
      </c>
      <c r="T6" s="16"/>
      <c r="U6" s="16"/>
    </row>
  </sheetData>
  <autoFilter ref="A1:U2" xr:uid="{00000000-0009-0000-0000-000000000000}">
    <sortState xmlns:xlrd2="http://schemas.microsoft.com/office/spreadsheetml/2017/richdata2" ref="A2:T1904">
      <sortCondition ref="K2:K1904"/>
      <sortCondition ref="L2:L1904"/>
      <sortCondition ref="D2:D190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7"/>
  <sheetViews>
    <sheetView zoomScaleNormal="100" workbookViewId="0">
      <selection activeCell="J17" sqref="J17"/>
    </sheetView>
  </sheetViews>
  <sheetFormatPr baseColWidth="10" defaultColWidth="11.42578125" defaultRowHeight="12.75" x14ac:dyDescent="0.2"/>
  <cols>
    <col min="1" max="1" width="10.28515625" style="11" bestFit="1" customWidth="1"/>
    <col min="2" max="2" width="37.7109375" style="11" bestFit="1" customWidth="1"/>
    <col min="3" max="3" width="14.5703125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19" s="10" customFormat="1" ht="60" customHeight="1" x14ac:dyDescent="0.2">
      <c r="A1" s="13" t="s">
        <v>32</v>
      </c>
      <c r="B1" s="13" t="s">
        <v>33</v>
      </c>
      <c r="C1" s="13" t="s">
        <v>34</v>
      </c>
      <c r="D1" s="14" t="s">
        <v>78</v>
      </c>
      <c r="E1" s="14" t="s">
        <v>79</v>
      </c>
      <c r="F1" s="14" t="s">
        <v>80</v>
      </c>
      <c r="G1" s="14" t="s">
        <v>81</v>
      </c>
      <c r="H1" s="14" t="s">
        <v>82</v>
      </c>
      <c r="I1" s="14" t="s">
        <v>83</v>
      </c>
      <c r="J1" s="13" t="s">
        <v>35</v>
      </c>
      <c r="K1" s="15" t="s">
        <v>49</v>
      </c>
      <c r="L1" s="8" t="s">
        <v>36</v>
      </c>
      <c r="M1" s="8" t="s">
        <v>37</v>
      </c>
      <c r="N1" s="8" t="s">
        <v>38</v>
      </c>
      <c r="O1" s="8" t="s">
        <v>39</v>
      </c>
      <c r="P1" s="9" t="s">
        <v>40</v>
      </c>
      <c r="Q1" s="9" t="s">
        <v>41</v>
      </c>
      <c r="R1" s="9" t="s">
        <v>42</v>
      </c>
      <c r="S1" s="9" t="s">
        <v>43</v>
      </c>
    </row>
    <row r="2" spans="1:19" x14ac:dyDescent="0.2">
      <c r="A2" s="21" t="s">
        <v>46</v>
      </c>
      <c r="B2" s="21" t="s">
        <v>84</v>
      </c>
      <c r="C2" s="21" t="s">
        <v>85</v>
      </c>
      <c r="D2" s="21"/>
      <c r="E2" s="21"/>
      <c r="F2" s="21"/>
      <c r="G2" s="21"/>
      <c r="H2" s="21"/>
      <c r="I2" s="21">
        <v>1</v>
      </c>
      <c r="J2" s="21">
        <v>1</v>
      </c>
      <c r="K2" s="21" t="s">
        <v>29</v>
      </c>
      <c r="L2" s="21">
        <v>0</v>
      </c>
      <c r="M2" s="21">
        <v>0</v>
      </c>
      <c r="N2" s="22" t="s">
        <v>23</v>
      </c>
      <c r="O2" s="21" t="s">
        <v>23</v>
      </c>
      <c r="P2" s="22">
        <v>100</v>
      </c>
      <c r="Q2" s="21">
        <v>0</v>
      </c>
      <c r="R2" s="21">
        <v>0</v>
      </c>
      <c r="S2" s="21">
        <v>1</v>
      </c>
    </row>
    <row r="3" spans="1:19" x14ac:dyDescent="0.2">
      <c r="A3" s="21" t="s">
        <v>45</v>
      </c>
      <c r="B3" s="21" t="s">
        <v>86</v>
      </c>
      <c r="C3" s="21" t="s">
        <v>85</v>
      </c>
      <c r="D3" s="21"/>
      <c r="E3" s="21"/>
      <c r="F3" s="21"/>
      <c r="G3" s="21"/>
      <c r="H3" s="21"/>
      <c r="I3" s="21">
        <v>1</v>
      </c>
      <c r="J3" s="21">
        <v>1</v>
      </c>
      <c r="K3" s="21" t="s">
        <v>29</v>
      </c>
      <c r="L3" s="21">
        <v>0</v>
      </c>
      <c r="M3" s="21">
        <v>0</v>
      </c>
      <c r="N3" s="22" t="s">
        <v>23</v>
      </c>
      <c r="O3" s="21" t="s">
        <v>23</v>
      </c>
      <c r="P3" s="22">
        <v>100</v>
      </c>
      <c r="Q3" s="21">
        <v>0</v>
      </c>
      <c r="R3" s="21">
        <v>0</v>
      </c>
      <c r="S3" s="21">
        <v>1</v>
      </c>
    </row>
    <row r="4" spans="1:19" x14ac:dyDescent="0.2">
      <c r="A4" s="21" t="s">
        <v>47</v>
      </c>
      <c r="B4" s="21" t="s">
        <v>87</v>
      </c>
      <c r="C4" s="21" t="s">
        <v>44</v>
      </c>
      <c r="D4" s="21"/>
      <c r="E4" s="21"/>
      <c r="F4" s="21"/>
      <c r="G4" s="21"/>
      <c r="H4" s="21">
        <v>1</v>
      </c>
      <c r="I4" s="21"/>
      <c r="J4" s="21">
        <v>1</v>
      </c>
      <c r="K4" s="21" t="s">
        <v>29</v>
      </c>
      <c r="L4" s="21" t="s">
        <v>30</v>
      </c>
      <c r="M4" s="21" t="s">
        <v>22</v>
      </c>
      <c r="N4" s="22" t="s">
        <v>23</v>
      </c>
      <c r="O4" s="21" t="s">
        <v>23</v>
      </c>
      <c r="P4" s="22">
        <v>50</v>
      </c>
      <c r="Q4" s="21">
        <v>0.5</v>
      </c>
      <c r="R4" s="21">
        <v>0</v>
      </c>
      <c r="S4" s="21">
        <v>0.5</v>
      </c>
    </row>
    <row r="5" spans="1:19" x14ac:dyDescent="0.2">
      <c r="A5" s="21" t="s">
        <v>54</v>
      </c>
      <c r="B5" s="21" t="s">
        <v>88</v>
      </c>
      <c r="C5" s="21" t="s">
        <v>44</v>
      </c>
      <c r="D5" s="21"/>
      <c r="E5" s="21"/>
      <c r="F5" s="21"/>
      <c r="G5" s="21"/>
      <c r="H5" s="21"/>
      <c r="I5" s="21">
        <v>1</v>
      </c>
      <c r="J5" s="21">
        <v>1</v>
      </c>
      <c r="K5" s="21" t="s">
        <v>29</v>
      </c>
      <c r="L5" s="21">
        <v>0</v>
      </c>
      <c r="M5" s="21">
        <v>0</v>
      </c>
      <c r="N5" s="22" t="s">
        <v>23</v>
      </c>
      <c r="O5" s="21" t="s">
        <v>23</v>
      </c>
      <c r="P5" s="22">
        <v>100</v>
      </c>
      <c r="Q5" s="21">
        <v>0</v>
      </c>
      <c r="R5" s="21">
        <v>0</v>
      </c>
      <c r="S5" s="21">
        <v>1</v>
      </c>
    </row>
    <row r="6" spans="1:19" x14ac:dyDescent="0.2">
      <c r="A6" s="21" t="s">
        <v>48</v>
      </c>
      <c r="B6" s="21" t="s">
        <v>89</v>
      </c>
      <c r="C6" s="21" t="s">
        <v>44</v>
      </c>
      <c r="D6" s="21"/>
      <c r="E6" s="21"/>
      <c r="F6" s="21"/>
      <c r="G6" s="21">
        <v>1</v>
      </c>
      <c r="H6" s="21"/>
      <c r="I6" s="21"/>
      <c r="J6" s="21">
        <v>1</v>
      </c>
      <c r="K6" s="21" t="s">
        <v>29</v>
      </c>
      <c r="L6" s="21" t="s">
        <v>31</v>
      </c>
      <c r="M6" s="21" t="s">
        <v>69</v>
      </c>
      <c r="N6" s="22" t="s">
        <v>23</v>
      </c>
      <c r="O6" s="21" t="s">
        <v>23</v>
      </c>
      <c r="P6" s="22">
        <v>70</v>
      </c>
      <c r="Q6" s="21">
        <v>0.3</v>
      </c>
      <c r="R6" s="21">
        <v>0</v>
      </c>
      <c r="S6" s="21">
        <v>0.7</v>
      </c>
    </row>
    <row r="7" spans="1:19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18"/>
      <c r="P7" s="19"/>
      <c r="Q7" s="18"/>
      <c r="R7" s="18"/>
      <c r="S7" s="20">
        <f>SUM(S2:S6)</f>
        <v>4.2</v>
      </c>
    </row>
  </sheetData>
  <pageMargins left="0.39370078740157483" right="0.39370078740157483" top="0.39370078740157483" bottom="0.39370078740157483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B101-C527-4D5B-B6CB-759A01763856}">
  <dimension ref="A1:C8"/>
  <sheetViews>
    <sheetView tabSelected="1" workbookViewId="0">
      <selection activeCell="B27" sqref="B27"/>
    </sheetView>
  </sheetViews>
  <sheetFormatPr baseColWidth="10" defaultRowHeight="12.75" x14ac:dyDescent="0.2"/>
  <cols>
    <col min="1" max="1" width="18.42578125" customWidth="1"/>
    <col min="2" max="2" width="73.140625" customWidth="1"/>
    <col min="3" max="3" width="20.7109375" customWidth="1"/>
  </cols>
  <sheetData>
    <row r="1" spans="1:3" x14ac:dyDescent="0.2">
      <c r="A1" s="31" t="s">
        <v>90</v>
      </c>
      <c r="B1" s="32" t="s">
        <v>91</v>
      </c>
      <c r="C1" s="32" t="s">
        <v>92</v>
      </c>
    </row>
    <row r="2" spans="1:3" x14ac:dyDescent="0.2">
      <c r="A2" s="33" t="s">
        <v>93</v>
      </c>
      <c r="B2" s="34" t="s">
        <v>94</v>
      </c>
      <c r="C2" s="35">
        <v>38720</v>
      </c>
    </row>
    <row r="3" spans="1:3" x14ac:dyDescent="0.2">
      <c r="A3" s="36" t="s">
        <v>95</v>
      </c>
      <c r="B3" s="37" t="s">
        <v>96</v>
      </c>
      <c r="C3" s="38">
        <v>21000</v>
      </c>
    </row>
    <row r="4" spans="1:3" ht="13.5" thickBot="1" x14ac:dyDescent="0.25">
      <c r="A4" s="33" t="s">
        <v>95</v>
      </c>
      <c r="B4" s="34" t="s">
        <v>97</v>
      </c>
      <c r="C4" s="35">
        <v>11900</v>
      </c>
    </row>
    <row r="5" spans="1:3" ht="13.5" thickTop="1" x14ac:dyDescent="0.2">
      <c r="A5" s="39" t="s">
        <v>98</v>
      </c>
      <c r="B5" s="40"/>
      <c r="C5" s="41">
        <v>71620</v>
      </c>
    </row>
    <row r="8" spans="1:3" x14ac:dyDescent="0.2">
      <c r="B8" s="42" t="s">
        <v>99</v>
      </c>
      <c r="C8" s="43">
        <f>C5</f>
        <v>71620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Tesis</vt:lpstr>
      <vt:lpstr>Sexenios</vt:lpstr>
      <vt:lpstr>Ingresos investigación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2019-10-14T10:44:28Z</cp:lastPrinted>
  <dcterms:created xsi:type="dcterms:W3CDTF">2019-10-14T10:43:09Z</dcterms:created>
  <dcterms:modified xsi:type="dcterms:W3CDTF">2026-05-27T11:41:40Z</dcterms:modified>
</cp:coreProperties>
</file>