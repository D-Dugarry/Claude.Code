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3FAD18AC-0144-424A-B6E7-9B690E55CCC5}" xr6:coauthVersionLast="47" xr6:coauthVersionMax="47" xr10:uidLastSave="{00000000-0000-0000-0000-000000000000}"/>
  <bookViews>
    <workbookView xWindow="-120" yWindow="-120" windowWidth="29040" windowHeight="15720" activeTab="1" xr2:uid="{00000000-000D-0000-FFFF-FFFF00000000}"/>
  </bookViews>
  <sheets>
    <sheet name="Tesis" sheetId="2" r:id="rId1"/>
    <sheet name="Sexenios" sheetId="3" r:id="rId2"/>
    <sheet name="Ingresos investigación 2023" sheetId="10" r:id="rId3"/>
    <sheet name="Ingresos investigación 2024" sheetId="11" r:id="rId4"/>
    <sheet name="Ingresos investigación 2025" sheetId="12" r:id="rId5"/>
  </sheets>
  <definedNames>
    <definedName name="_xlnm._FilterDatabase" localSheetId="1" hidden="1">Sexenios!#REF!</definedName>
    <definedName name="_xlnm._FilterDatabase" localSheetId="0" hidden="1">Tesis!$A$1:$U$171</definedName>
    <definedName name="_xlnm.Print_Titles" localSheetId="1">Sexenios!#REF!</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43" i="3" l="1"/>
  <c r="C39" i="12"/>
  <c r="C43" i="10"/>
  <c r="C48" i="11"/>
  <c r="T57" i="2" l="1"/>
  <c r="S73" i="2" s="1"/>
  <c r="S57" i="2"/>
  <c r="T171" i="2" l="1"/>
</calcChain>
</file>

<file path=xl/sharedStrings.xml><?xml version="1.0" encoding="utf-8"?>
<sst xmlns="http://schemas.openxmlformats.org/spreadsheetml/2006/main" count="1618" uniqueCount="599">
  <si>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</si>
  <si>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</si>
  <si>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</si>
  <si>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</si>
  <si>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</si>
  <si>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</si>
  <si>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</si>
  <si>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</si>
  <si>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</si>
  <si>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</si>
  <si>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</si>
  <si>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</si>
  <si>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</si>
  <si>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</si>
  <si>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</si>
  <si>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</si>
  <si>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</si>
  <si>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</si>
  <si>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</si>
  <si>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</si>
  <si>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</si>
  <si>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</si>
  <si>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</si>
  <si>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10.05</t>
  </si>
  <si>
    <t/>
  </si>
  <si>
    <t>Director de tesis </t>
  </si>
  <si>
    <t>10.16</t>
  </si>
  <si>
    <t>50</t>
  </si>
  <si>
    <t>20</t>
  </si>
  <si>
    <t>10</t>
  </si>
  <si>
    <t>B157 </t>
  </si>
  <si>
    <t>ECOLOGIA </t>
  </si>
  <si>
    <t>DOCTORADO EN CONSERVACIÓN Y RESTAURACIÓN DE ECOSISTEMAS </t>
  </si>
  <si>
    <t>B156</t>
  </si>
  <si>
    <t>B171 </t>
  </si>
  <si>
    <t>CIENCIAS DEL MAR Y BIOLOGÍA APLICADA </t>
  </si>
  <si>
    <t>B171</t>
  </si>
  <si>
    <t>DOCTORADO EN CIENCIAS DEL MAR Y BIOLOGÍA APLICADA </t>
  </si>
  <si>
    <t>48568823E </t>
  </si>
  <si>
    <t>30</t>
  </si>
  <si>
    <t>B101 </t>
  </si>
  <si>
    <t>AGROQUIMICA Y BIOQUIMICA </t>
  </si>
  <si>
    <t>B101</t>
  </si>
  <si>
    <t>DOCTORADO EN BIOLOGÍA EXPERIMENTAL Y APLICADA </t>
  </si>
  <si>
    <t>74187810E </t>
  </si>
  <si>
    <t>B164 </t>
  </si>
  <si>
    <t>FISIOLOGÍA, GENÉTICA Y MICROBIOLOGÍA </t>
  </si>
  <si>
    <t>22106650Q </t>
  </si>
  <si>
    <t>B157</t>
  </si>
  <si>
    <t>31832052Y </t>
  </si>
  <si>
    <t>35004437R </t>
  </si>
  <si>
    <t>27294053E </t>
  </si>
  <si>
    <t>B164</t>
  </si>
  <si>
    <t>85</t>
  </si>
  <si>
    <t>22112038E </t>
  </si>
  <si>
    <t>21441866R </t>
  </si>
  <si>
    <t>08791611E </t>
  </si>
  <si>
    <t>21414651H </t>
  </si>
  <si>
    <t>48560510N </t>
  </si>
  <si>
    <t>21478607B </t>
  </si>
  <si>
    <t>NIF</t>
  </si>
  <si>
    <t>NOMBRE_COMPLETO</t>
  </si>
  <si>
    <t>TIPO_SEXENIO</t>
  </si>
  <si>
    <t>Total general</t>
  </si>
  <si>
    <t>INS
1</t>
  </si>
  <si>
    <t>DED
INS 1</t>
  </si>
  <si>
    <t>INS
2</t>
  </si>
  <si>
    <t>DED
INS 2</t>
  </si>
  <si>
    <t>DED
DEP</t>
  </si>
  <si>
    <t>SEX
INS 1</t>
  </si>
  <si>
    <t>SEX
INS 2</t>
  </si>
  <si>
    <t>SEX
DEP</t>
  </si>
  <si>
    <t>FUNCIONARIO</t>
  </si>
  <si>
    <t>NO FUNCIONARIO</t>
  </si>
  <si>
    <t>44554016A</t>
  </si>
  <si>
    <t>48568823E</t>
  </si>
  <si>
    <t>21441866R</t>
  </si>
  <si>
    <t>72519052Y</t>
  </si>
  <si>
    <t>31832052Y</t>
  </si>
  <si>
    <t>21437211S</t>
  </si>
  <si>
    <t>22102953E</t>
  </si>
  <si>
    <t>22106650Q</t>
  </si>
  <si>
    <t>74187810E</t>
  </si>
  <si>
    <t>21422350N</t>
  </si>
  <si>
    <t>02608919Y</t>
  </si>
  <si>
    <t>08791611E</t>
  </si>
  <si>
    <t>35052669W</t>
  </si>
  <si>
    <t>22112038E</t>
  </si>
  <si>
    <t>48316865Y</t>
  </si>
  <si>
    <t>21431941N</t>
  </si>
  <si>
    <t>23230314S</t>
  </si>
  <si>
    <t>21434080N</t>
  </si>
  <si>
    <t>21432737A</t>
  </si>
  <si>
    <t>21414651H</t>
  </si>
  <si>
    <t>21463234W</t>
  </si>
  <si>
    <t>27294053E</t>
  </si>
  <si>
    <t>44754725Z</t>
  </si>
  <si>
    <t>21989619D</t>
  </si>
  <si>
    <t>21487724C</t>
  </si>
  <si>
    <t>31829328L</t>
  </si>
  <si>
    <t>B167</t>
  </si>
  <si>
    <t>21478607B</t>
  </si>
  <si>
    <t>24161924X</t>
  </si>
  <si>
    <t>52736134D</t>
  </si>
  <si>
    <t>48560510N</t>
  </si>
  <si>
    <t>52583754G</t>
  </si>
  <si>
    <t>41.30.6C.00.40</t>
  </si>
  <si>
    <t>41.30.6P.00.10</t>
  </si>
  <si>
    <t>Kutsyr , Oksana </t>
  </si>
  <si>
    <t>EFFECTS OF ENVIRONMENTAL FACTORS AND NEUROPROTECTIVE COMPOUNDS ON OXIDATIVE STRESS AND INFLAMMATION IN RETINAL NEURODEGENERATIVE DISEASES </t>
  </si>
  <si>
    <t>11/09/2020 </t>
  </si>
  <si>
    <t>Terradas Fernández, Marc </t>
  </si>
  <si>
    <t>"Aspectos ecológicos del fitobentos asociado a las plataformas de algas y mermétidos del SE ibérico" </t>
  </si>
  <si>
    <t>23/09/2020 </t>
  </si>
  <si>
    <t>74235633M</t>
  </si>
  <si>
    <t>COD DEP</t>
  </si>
  <si>
    <t>48303841T</t>
  </si>
  <si>
    <t>52784140Z</t>
  </si>
  <si>
    <t>Hurtado Gaitan, Elias </t>
  </si>
  <si>
    <t>Exploring phosphoenolpyruvate carboxylase kinase as a potential key regulator of carbon flow towards phenylpropanoid - stilbenoid pathways in grapevine (Vitis vinifera L.) </t>
  </si>
  <si>
    <t>26/11/2020 </t>
  </si>
  <si>
    <t>Rodríguez Herrero, Verónica </t>
  </si>
  <si>
    <t>Análisis de los genes glnA y su relación con el metabolismo del nitrógeno en Haloferax mediterranei </t>
  </si>
  <si>
    <t>06/05/2021 </t>
  </si>
  <si>
    <t>48316865Y </t>
  </si>
  <si>
    <t>Labella Sanfrutos, Jose Ignacio </t>
  </si>
  <si>
    <t>Señalización mediada por PIPX en Cianobacterias: Componentes, Interacciones, Dianas y Señales </t>
  </si>
  <si>
    <t>22/02/2021 </t>
  </si>
  <si>
    <t>Villamor Serrano, Judit </t>
  </si>
  <si>
    <t>Estudio de las virosferas de Salinibacter ruber y Haloquadratum walsbyi </t>
  </si>
  <si>
    <t>07/05/2021 </t>
  </si>
  <si>
    <t>Casado Coy, Nuria </t>
  </si>
  <si>
    <t>Effects of fouling and organic matter wastes from marine aquaculture on the macrofauna and biogeochemistry of sediments. </t>
  </si>
  <si>
    <t>09/06/2021 </t>
  </si>
  <si>
    <t>74235633M </t>
  </si>
  <si>
    <t>Suárez Fernández, Marta </t>
  </si>
  <si>
    <t>MULTIOMICS STUDY OF POCHONIA CHLAMYDOSPORIA TRITROPHIC LIFESTYLE </t>
  </si>
  <si>
    <t>29/04/2021 </t>
  </si>
  <si>
    <t>U062 </t>
  </si>
  <si>
    <t>ADM. I.U. DE INVESTIGACIÓN INFORMÁTICA </t>
  </si>
  <si>
    <t>DOCTORADO EN INFORMÁTICA </t>
  </si>
  <si>
    <t>González Mora, César </t>
  </si>
  <si>
    <t>An APIfication Approach to Facilitate the Access and Reuse of Open Data </t>
  </si>
  <si>
    <t>10/09/2021 </t>
  </si>
  <si>
    <t>Sola Maciá, Iván </t>
  </si>
  <si>
    <t>02/09/2021 </t>
  </si>
  <si>
    <t>González Andrés, Cristina </t>
  </si>
  <si>
    <t>¿The role of marine offshore protected areas in protecting large pelagics. Practical case: Cocos Island National Park¿. </t>
  </si>
  <si>
    <t>26/02/2021 </t>
  </si>
  <si>
    <t>41.30.6C.00.51</t>
  </si>
  <si>
    <t>41.30.6P.00.17</t>
  </si>
  <si>
    <t>41.30.6X.00.05</t>
  </si>
  <si>
    <t>48352264P</t>
  </si>
  <si>
    <t>Cód. org. aplic.</t>
  </si>
  <si>
    <t>Descripción justificante</t>
  </si>
  <si>
    <t>41.30.6C.00.57</t>
  </si>
  <si>
    <t>41.30.6P.00.19</t>
  </si>
  <si>
    <t>41.30.6P.00.23</t>
  </si>
  <si>
    <t>41.30.6P.00.24</t>
  </si>
  <si>
    <t>41.30.6X.00.06</t>
  </si>
  <si>
    <t>41.30.6X.00.07</t>
  </si>
  <si>
    <t>41.30.6X.00.08</t>
  </si>
  <si>
    <t>10.19</t>
  </si>
  <si>
    <t>Maturano Ruiz, Adrián </t>
  </si>
  <si>
    <t>Impacts of water availability on shrublands: natural and experimental extreme drought in </t>
  </si>
  <si>
    <t>11/03/2022 </t>
  </si>
  <si>
    <t>05655788L </t>
  </si>
  <si>
    <t>Moghli , Aymen </t>
  </si>
  <si>
    <t>Functioning of Mediterranean ecosystems in response to forest fires and post-fire management activities. </t>
  </si>
  <si>
    <t>15/07/2022 </t>
  </si>
  <si>
    <t>72519052Y </t>
  </si>
  <si>
    <t>Aldeguer Riquelme, Borja </t>
  </si>
  <si>
    <t>Caracterización de las comunidades microbianas de los sedimentos del Mar Menor </t>
  </si>
  <si>
    <t>22/07/2022 </t>
  </si>
  <si>
    <t>Payá Cuadra, Gloria </t>
  </si>
  <si>
    <t>Small RNAs y proteínas reguladoras relacionadas con el metabolismo del nitrógeno en </t>
  </si>
  <si>
    <t>25/07/2022 </t>
  </si>
  <si>
    <t>Quereda Galvañ, Cristina </t>
  </si>
  <si>
    <t>Expresión en la retina y células tumorales de genes y proteínas asociados a distrofias neuromusculares congénitas </t>
  </si>
  <si>
    <t>Molina Martín, Luis Alberto </t>
  </si>
  <si>
    <t>Tomografía de coherencia óptica y ecografía orbitaria en el diagnóstico del deterioro cognitivo leve. </t>
  </si>
  <si>
    <t>09/09/2022 </t>
  </si>
  <si>
    <t>ASPECTOS AMBIENTALES DE LA DESALINIZACIÓN DE AGUA DE MAR : REGULACIÓN Y GESTIÓN DE LOS VERTIDOS </t>
  </si>
  <si>
    <t>Muñoz Muñoz, Pamela Tamara </t>
  </si>
  <si>
    <t>Respuestas Fisiológicas y metabólicas de macroalgas expuestas a estrés osmótico por hipersalinidad: mecanismos de tolerancia y herramientas de biomonitoreo </t>
  </si>
  <si>
    <t>26/11/2021 </t>
  </si>
  <si>
    <t>U020 </t>
  </si>
  <si>
    <t>ADM. I.U. DEL AGUA Y DE LAS CIENCIAS AMBIENTALES </t>
  </si>
  <si>
    <t>DOCTORADO EN AGUA Y DESARROLLO SOSTENIBLE </t>
  </si>
  <si>
    <t>Aldaghma , Saleh </t>
  </si>
  <si>
    <t>"The prospects of water sustainability in Gaza, Palestine in light of politics and technical challenges" </t>
  </si>
  <si>
    <t>09/02/2022 </t>
  </si>
  <si>
    <t>05655788L</t>
  </si>
  <si>
    <t>Imp.cob.aplic.</t>
  </si>
  <si>
    <t>Nataniel , Anildo Naftal </t>
  </si>
  <si>
    <t>A Socio-Ecological and Economic Approach to Tropical tuna Fisheries in the Mozambique Channel </t>
  </si>
  <si>
    <t>27/09/2021 </t>
  </si>
  <si>
    <t>Vicente Bartolí, Eduardo</t>
  </si>
  <si>
    <t>Forests ecohydrology in water-limited environments: the role of water use strategies, chronic decline, and acclimation of functional traits.</t>
  </si>
  <si>
    <t>41.30.6C.00.71</t>
  </si>
  <si>
    <t>41.30.6P.00.27</t>
  </si>
  <si>
    <t>41.30.6P.00.28</t>
  </si>
  <si>
    <t>41.30.6P.00.29</t>
  </si>
  <si>
    <t>41.30.6P.00.30</t>
  </si>
  <si>
    <t>41.30.6P.00.31</t>
  </si>
  <si>
    <t>41.30.6P.00.32</t>
  </si>
  <si>
    <t>41.30.6P.00.33</t>
  </si>
  <si>
    <t>41.30.6P.00.35</t>
  </si>
  <si>
    <t>41.30.6P.00.36</t>
  </si>
  <si>
    <t>41.30.6P.00.37</t>
  </si>
  <si>
    <t>41.30.6P.00.38</t>
  </si>
  <si>
    <t>41.30.6X.00.09</t>
  </si>
  <si>
    <t>Maestre Carballa, Lucía </t>
  </si>
  <si>
    <t>Historia de un viaje: dinámica de los genes de resistencia a antibióticos, del cuerpo humano al ecosistema. </t>
  </si>
  <si>
    <t>27/07/2022 </t>
  </si>
  <si>
    <t>48353206F </t>
  </si>
  <si>
    <t>Turrión Cerrejón, Diana </t>
  </si>
  <si>
    <t>Morpho-functional response of Aleppo pine to thinning pattern in dense post-fire forests. </t>
  </si>
  <si>
    <t>20/09/2023 </t>
  </si>
  <si>
    <t>Silva Morales, Elysa Inés </t>
  </si>
  <si>
    <t>Tools for participatory planning of ecological restoration </t>
  </si>
  <si>
    <t>30/06/2023 </t>
  </si>
  <si>
    <t>35052669W </t>
  </si>
  <si>
    <t>Aguilar Garavito, Mauricio </t>
  </si>
  <si>
    <t>Conservación y restauración ecológica de robledales andinos afectados por incendios </t>
  </si>
  <si>
    <t>18/05/2023 </t>
  </si>
  <si>
    <t>Ripolles Garcia, Ana </t>
  </si>
  <si>
    <t>Photoreceptor transplantation and characterization of vascular changes in canine inherited retinal degeneration </t>
  </si>
  <si>
    <t>13/01/2023 </t>
  </si>
  <si>
    <t>Sánchez Sáez, Xavier </t>
  </si>
  <si>
    <t>Retinal alterations and optic nerve degeneration as biomarkers for Parkinson's disease. </t>
  </si>
  <si>
    <t>25/10/2022 </t>
  </si>
  <si>
    <t>Aparicio Domingo, Silvia </t>
  </si>
  <si>
    <t>Novel stem cell-based retinal transplant and swine model of retina degeneration: enabling technologies for regenerative therapies </t>
  </si>
  <si>
    <t>05/07/2023 </t>
  </si>
  <si>
    <t>Esquerrà Ruvira, Belén </t>
  </si>
  <si>
    <t>Caracterización funcional y aplicación biotecnológica de nuevos sistemas CRISPR¿Cas identificados en ambientes naturales de la provincia de Alicante </t>
  </si>
  <si>
    <t>19/12/2022 </t>
  </si>
  <si>
    <t>21989619D </t>
  </si>
  <si>
    <t>B188 </t>
  </si>
  <si>
    <t>BIOQUÍMICA Y BIOLOGÍA MOLECULAR Y EDAFOLOGÍA Y QUÍMICA AGRÍCOLA </t>
  </si>
  <si>
    <t>B188</t>
  </si>
  <si>
    <t>Lozano Soria, Ana </t>
  </si>
  <si>
    <t>Biocontrol Fungi, Volatile Organic Compounds and Chitosan for Banana Pest Sustainable Management </t>
  </si>
  <si>
    <t>10/03/2023 </t>
  </si>
  <si>
    <t>U022 </t>
  </si>
  <si>
    <t>ADM. FACULTAD DE CIENCIAS </t>
  </si>
  <si>
    <t>DOCTORADO EN CIENCIAS EXPERIMENTALES Y BIOSANITARIAS </t>
  </si>
  <si>
    <t>Giani Alonso, Micaela </t>
  </si>
  <si>
    <t>CAROTENOGENESIS IN HALOARCHAEA. FROM GENETICS TO BIOTECHNOLOGICAL AND BIOMEDICAL APPLICATIONS </t>
  </si>
  <si>
    <t>04/02/2023 </t>
  </si>
  <si>
    <t>44754725Z </t>
  </si>
  <si>
    <t>Badaoui , Warda </t>
  </si>
  <si>
    <t>Traceability and food safety in escaped fish from marine aquaculture facilities. A metabolomic approach. </t>
  </si>
  <si>
    <t>28/09/2023 </t>
  </si>
  <si>
    <t>21463234W </t>
  </si>
  <si>
    <t>48353206F</t>
  </si>
  <si>
    <t>41.30.6P.00.34</t>
  </si>
  <si>
    <t>41.30.6C.00.05</t>
  </si>
  <si>
    <t>ANULACIÓN DERECHOS DE COBRO COOP. VALENCIANA AGRÍCOLA MONFORTE DEL CID, AL RESULTAR EL CRÉDITO INCOBRABLE SEGÚN INDICACIÓN DEL SERVICIO JURÍDICO. FRA.249/2011-I DE 4331,60€ Y FRA.360/2011-I DE 2165,80€</t>
  </si>
  <si>
    <t>IV adenda, MONITORIZACIÓN Y CONSERVACIÓN DE LAS POBLACIONES DE ALONDRA RICOTÍ  (CHERSOPHILUS DUPONTI) EN EL ENTORNO DEL MUNICIPIO DE VALLANCA Y RINCÓN DE ADEMUZ</t>
  </si>
  <si>
    <t>Proyecto estrategias microbiológicas Xylella (CONSELLERIAAGRICULTURA2-20I)</t>
  </si>
  <si>
    <t>FINAL PAYMENT 10%</t>
  </si>
  <si>
    <t>41.30.6C.00.70</t>
  </si>
  <si>
    <t xml:space="preserve">REDACCIÓN PARTE TÉCNICA PRUG-UNIVERSIDAD ALICANTE </t>
  </si>
  <si>
    <t>Corrección del PAM frente al riesgo sísmico para su aprobación por la AVSyRE, entrega de resultados y formación</t>
  </si>
  <si>
    <t>41.30.6C.00.76</t>
  </si>
  <si>
    <t>Finalización del trabajo mediante entrega de informe de el Estudio de tres zonas de la Finca El Chaconero (Villena): Arenas, cantos y fondo de laguna</t>
  </si>
  <si>
    <t>41.30.6C.00.77</t>
  </si>
  <si>
    <t>Evaluación de la aplicación del plan de gestión para la pesca del pulpo común, Octopus vulgaris cuvier 1797, con cadufos en la provincia de Alicante: temporada 2021-2022</t>
  </si>
  <si>
    <t>41.30.6C.00.79</t>
  </si>
  <si>
    <t>50%  DEL SERVICIO DE ASISTENCIA TÉCNICA PARA LA REDACCIÓN DE INFORME AMBIENTAL, PARA LA IMPUGNACIÓN DE LA AUTORIZACIÓN DE AMPLIACIÓN DEL ESTABLECIMIENTO DE ACUICULTURA SITUADO FRENTE A LA COSTA DE CALP</t>
  </si>
  <si>
    <t>25% DEL SERVICIO DE ASISTENCIA TÉCNICA PARA LA REDACCIÓN DE INFORME AMBIENTAL, PARA LA IMPUGNACIÓN DE LA AUTORIZACIÓN DE AMPLIACIÓN DEL ESTABLECIMIENTO DE ACUICULTURA SITUADO FRENTE A LA COSTA DE CALP</t>
  </si>
  <si>
    <t>41.30.6C.00.80</t>
  </si>
  <si>
    <t>SERVICIO DE ANÁLISIS PARA LA MODELIZACIÓN DE LA AMENAZA SÍSMICA EN EL MUNICIPIO DE CREVILLENT</t>
  </si>
  <si>
    <t>41.30.6C.00.81</t>
  </si>
  <si>
    <t>ASISTENCIA TÉCNICA PARA EL ASESORAMIENTO DE LA GERENCIA DEL GALP BAHÍA DE SANTA POLA, EN EL DESARROLLO Y APLICACIÓN DE LA ESTRATEGIA DE DESARROLLO LOCAL (EDL) PARTICIPATIVO PARA EL DESARROLLO SOSTENIBLE DE LA ZONA PESQUERA Y ACUÍCOLA DE LA BAHÍA DE SANTA POLA</t>
  </si>
  <si>
    <t>41.30.6C.00.82</t>
  </si>
  <si>
    <t>CÁLCULO DE LA COTA DE INUNDACIÓN EN LA PLAYA DE LES BOVETES FRENTE AL HOTEL LOS ÁNGELES EN DÉNIA PARA LA DEFINICIÓN DE LA "RIBERA DEL MAR" SEGÚN LA NORMATIVA DE COSTAS</t>
  </si>
  <si>
    <t>41.30.6M.00.04</t>
  </si>
  <si>
    <t>MECENAZGO DE ACTIVIDADES DE DIVULGACIÓN SOBRE CIENCIAS MARINAS Y CONSERVACIÓN DEL MAR A REALIZAR EN LA ZONA DEL PUERTO DE ALICATE ASOCIADO A THE OCEAN RACE DURANTE LA SALIDA DE LA OCEAN RACE</t>
  </si>
  <si>
    <t xml:space="preserve">CIDEGENT/2018/004 CIDEGENT/2018/040 CIDEGENT/2018/041 </t>
  </si>
  <si>
    <t xml:space="preserve">DEVOLUCIÓN DE INGRESOS_ MODELO 047_ Nº de liquidación:46/2023/RAS/10195/1_Número de justificante:047/1/002357696_Nº de referencia:047/1/002357696  </t>
  </si>
  <si>
    <t>Ingreso Fundación Biodiversidad ProyectoFbioMarina20-01</t>
  </si>
  <si>
    <t xml:space="preserve">PROMETEO/2020/093/006/017/024/030/055/057/073/079/088 </t>
  </si>
  <si>
    <t xml:space="preserve">Compensación de  la fra. de abono 2022/A00000000200 del viajes el corte inglés del justsificante 8603/2022 y compensado en el justificante 11046/2023  </t>
  </si>
  <si>
    <t>Reintegro en voluntaria de la referencia PCI2021-122103-2B, anualidad: 2021</t>
  </si>
  <si>
    <t>CIPROM/2021/001/006/017/021/022/027/057/060/062/068/070/074</t>
  </si>
  <si>
    <t>Resolución Secret Autonom de Universidades e Investigación para proyectos de investigación alineados con líneas de actuación de los programas de I+D+i de Agrolimentación (AGROALNEXT). AÑO 2023</t>
  </si>
  <si>
    <t xml:space="preserve">TED2021-131324B-C22, TED2021-131641B-C43, TED2021-130040B-C21, TED2021-129272B-C22, TED2021-130908B-C44, TED2021-130890B-C21 </t>
  </si>
  <si>
    <t>DEVOLUCIÓN DE INGRESOS_CARTA DE PAGO_Reintegro en voluntaria de la referencia EUR2022-134048, anualidad: 2022</t>
  </si>
  <si>
    <t>PCI2022-135092 -2PIA212022-1 2 ANUALIDAD LIBERADO</t>
  </si>
  <si>
    <t>41.30.6P.00.40</t>
  </si>
  <si>
    <t>RESOLUCIÓN DE LA DIRECCIÓN DE LA FUNDACIÓN BIODIVERSIDAD F.S.P. DE LA CONVOCATORIA DE SUBVENCIONES PARA APOYO A PROGRAMAS Y PROYECTOS DE INVESTIGACIÓN EN MATERIA DE GESTIÓN DE LA BIODIVERSIDAD. AYUDA I184</t>
  </si>
  <si>
    <t>41.30.6P.00.42</t>
  </si>
  <si>
    <t>AYUDAS RED2022-134759-T: PRP, RED2022-134306-T: PRP2</t>
  </si>
  <si>
    <t>41.30.6P.00.44</t>
  </si>
  <si>
    <t xml:space="preserve">Ayuda 412/FEMP/D1/03/2021/2020/1 </t>
  </si>
  <si>
    <t>41.30.6P.00.46</t>
  </si>
  <si>
    <t xml:space="preserve">ayudas JDC2022-048464-I, JDC2022-048464-I (Dot. Adicional), JDC2022-048845-I, JDC2022-048845-I, Dot. Adicional), JDC2022-049970-I, JDC2022-049970-I (Dot. Adicional) </t>
  </si>
  <si>
    <t>41.30.6S.00.16</t>
  </si>
  <si>
    <t xml:space="preserve">Abono  parcial del justificante de gasto 2022/0000000029015 con factura de abono 2022/A00000000619 y compensado en el justificante 13321/2023. Viajes El Corte inglés)  </t>
  </si>
  <si>
    <t xml:space="preserve">Abono total del jutificante 2022/000000029030 de El corte inglés. factura de abono 2022/A00000000620. Compensada en el justificante 13322/2023  </t>
  </si>
  <si>
    <t>41.30.6X.00.01</t>
  </si>
  <si>
    <t xml:space="preserve">Devolución proyecto CUBOMED - UA - LIFENAT/E000064 </t>
  </si>
  <si>
    <t>COBRO FINAL DEL PROYECTO MYFUN</t>
  </si>
  <si>
    <t>COBRO FINAL PROYECTO MYFUN.</t>
  </si>
  <si>
    <t>Segundo Cobro del Proyecto SOILGUARD</t>
  </si>
  <si>
    <t>TERCER COBRO DEL PROYECTO ACRO2CIRCULAR</t>
  </si>
  <si>
    <t>41.30.6X.00.10</t>
  </si>
  <si>
    <t>PRIMER COBRO DEL PROYECTO CLIMAREST</t>
  </si>
  <si>
    <t>41.30.6X.00.11</t>
  </si>
  <si>
    <t>Re. Sub award Agreement number: S591062 (ECOLOGICAL  AND MOLECULAR CONTROL OF METABOLIC ACTIVITY IN MICROBIAL INTERACTIONS DRIVING ECOSYSTEM-WIDE METHANE CYCLING) Total  costs  corresponding to the project first period covered: from 01st. September 2022 to 31th. August 2023 Detailed expenditures reported under the   "annex 6"of the refered Sub-award Agreement TOTAL DUE  121.935,17 EUROS   (Counter Value in US$:  133,940 US DOLLARS) Link conversor oanda date 30th November  2023 Link conversor: https://www1.oanda.com/lang/es/currency/converter/ Date:30/11/2023</t>
  </si>
  <si>
    <t>41.30.6X.00.13</t>
  </si>
  <si>
    <t>PRIMER COBRO DEL PROYECTO TEAM-UP</t>
  </si>
  <si>
    <t>41.30.6X.00.14</t>
  </si>
  <si>
    <t>Cobro del proyecto VISS</t>
  </si>
  <si>
    <t>ECOLOGIA</t>
  </si>
  <si>
    <t>DOCTORADO EN CONSERVACIÓN Y RESTAURACIÓN DE ECOSISTEMAS</t>
  </si>
  <si>
    <t>Yañez Dobson, John Antony</t>
  </si>
  <si>
    <t>Assessment of Jellyfish Dynamics and Their Impacts in the Mediterranean: Ecological,</t>
  </si>
  <si>
    <t>22/07/2024</t>
  </si>
  <si>
    <t>Director de tesis</t>
  </si>
  <si>
    <t>Sabater Blasco, Ana María</t>
  </si>
  <si>
    <t>Understanding the factors influencing transpiration and evapotranspiration in forests and their contribution to the water cycle</t>
  </si>
  <si>
    <t>12/01/2024</t>
  </si>
  <si>
    <t>Codirector de tesis</t>
  </si>
  <si>
    <t>70</t>
  </si>
  <si>
    <t>Lopezosa Estepa, Paula</t>
  </si>
  <si>
    <t>Identificando las consecuencias funcionales de cambios en la biodiversidad a varias escalas espaciales</t>
  </si>
  <si>
    <t>03/11/2023</t>
  </si>
  <si>
    <t>FISIOLOGÍA, GENÉTICA Y MICROBIOLOGÍA</t>
  </si>
  <si>
    <t>DOCTORADO EN BIOLOGÍA EXPERIMENTAL Y APLICADA</t>
  </si>
  <si>
    <t>Adda Nekrouf , Nadefa</t>
  </si>
  <si>
    <t>Whispering waves: unveiling the secrets of marine vesicles, from nature to the laboratory</t>
  </si>
  <si>
    <t>19/07/2024</t>
  </si>
  <si>
    <t>Jerez García, Carmen</t>
  </si>
  <si>
    <t>GENÓMICA FUNCIONAL EN CIANOBACTERIAS Y ANÁLISIS DE INTERACCIONES MEDIADAS POR PIPX</t>
  </si>
  <si>
    <t>Pastor Soler, Sandra</t>
  </si>
  <si>
    <t>Reguladores transcripcionales implicados en la asimilación del nitrógeno en Haloferax mediterranei</t>
  </si>
  <si>
    <t>01/12/2023</t>
  </si>
  <si>
    <t>BIOQUÍMICA Y BIOLOGÍA MOLECULAR Y EDAFOLOGÍA Y QUÍMICA AGRÍCOLA</t>
  </si>
  <si>
    <t>Ruiz Pastor, María José</t>
  </si>
  <si>
    <t>Fatty Acids in Retinal Degeneration and Expression of the DHA transporter, MFSD2a, in the Retina</t>
  </si>
  <si>
    <t>30/04/2024</t>
  </si>
  <si>
    <t>Sánchez Matarredona, Laura</t>
  </si>
  <si>
    <t>Respuesta de Haloferax mediterranei a condiciones de estrés: regulador Lrp y proteínas de estrés universal</t>
  </si>
  <si>
    <t>15/12/2023</t>
  </si>
  <si>
    <t>Llop Estevez, Antonio</t>
  </si>
  <si>
    <t>Synteny and genetic analysis as approaches to signal transduction in cyanobacteria</t>
  </si>
  <si>
    <t>09/01/2024</t>
  </si>
  <si>
    <t>Albertos Arranz, Henar</t>
  </si>
  <si>
    <t>Morphological and structural alterations in the neurons, glia and vascular network in human retinas affected by different diseases</t>
  </si>
  <si>
    <t>01/03/2024</t>
  </si>
  <si>
    <t>Marco Guzmán, Noemi</t>
  </si>
  <si>
    <t>Investigación del proceso de adaptación del sistema CRISPR-Cas I-E</t>
  </si>
  <si>
    <t>02/09/2024</t>
  </si>
  <si>
    <t>Miralles Robledillo, Jose María</t>
  </si>
  <si>
    <t>ESTUDIOS BIOINFORMÁTICOS Y MOLECULARES DE LA RUTA DE DESNITRIFICACIÓN EN HALOARQUEAS: UN ANÁLISIS INTEGRAL</t>
  </si>
  <si>
    <t>13/03/2024</t>
  </si>
  <si>
    <t>MATEMÁTICA APLICADA</t>
  </si>
  <si>
    <t>DOCTORADO EN MÉTODOS MATEMÁTICOS Y MODELIZACIÓN EN CIENCIAS E INGENIERÍA</t>
  </si>
  <si>
    <t>Mayorga Arias, Carlos</t>
  </si>
  <si>
    <t>Soluciones numéricas exactas y esquemas en diferencias finitas no estándar para ecuaciones diferenciales con retardo</t>
  </si>
  <si>
    <t>28/05/2024</t>
  </si>
  <si>
    <t>Lachachi , Fatima Zohra</t>
  </si>
  <si>
    <t>Ecohydrological Feedbacks and Random Perturbations in Semiarid Vegetation</t>
  </si>
  <si>
    <t>26/07/2024</t>
  </si>
  <si>
    <t>Medjahdi , Ikram</t>
  </si>
  <si>
    <t>Effects of delayed responses on dryland vegetation models</t>
  </si>
  <si>
    <t>30/07/2024</t>
  </si>
  <si>
    <t>CIENCIAS DEL MAR Y BIOLOGÍA APLICADA</t>
  </si>
  <si>
    <t>DOCTORADO EN CIENCIAS DEL MAR Y BIOLOGÍA APLICADA</t>
  </si>
  <si>
    <t>Picciotti , Ugo</t>
  </si>
  <si>
    <t>VECTORS¿ INFECTING ABILITY MODULATION FOR XYLELLA FASTIDIOSA INVASIONS MANAGEMENT IN ITALIAN OLIVE ORCHARDS</t>
  </si>
  <si>
    <t>11/12/2023</t>
  </si>
  <si>
    <t>U022</t>
  </si>
  <si>
    <t>ADM. FACULTAD DE CIENCIAS</t>
  </si>
  <si>
    <t>DOCTORADO EN CIENCIAS EXPERIMENTALES Y BIOSANITARIAS</t>
  </si>
  <si>
    <t>Belhadj , Radia Niamet Allah</t>
  </si>
  <si>
    <t>Valorization of invasive aquatic plants and algae species as potential bioactive sources for sustainable food packaging applications</t>
  </si>
  <si>
    <t>18/09/2024</t>
  </si>
  <si>
    <t>Blanco Murillo, Fabio</t>
  </si>
  <si>
    <t>Desalination discharge effects on seagrasses: unravelling mechanisms and novel biomonitoring tools</t>
  </si>
  <si>
    <t>19/01/2024</t>
  </si>
  <si>
    <t>Vivos</t>
  </si>
  <si>
    <t>Velásquez Flores, Carlos Andrés</t>
  </si>
  <si>
    <t>Modelos matemáticos para optimizacion de intervalos temporales de calibración y difusión del calor en tecnología SSL</t>
  </si>
  <si>
    <t>26/09/2024</t>
  </si>
  <si>
    <t>24251881Z</t>
  </si>
  <si>
    <t>Larsen , Elisabeth Karlstad </t>
  </si>
  <si>
    <t>Transpiration patterns of Pinus halepensis Mill. in response to environmental stresses in a Mediterranean climate </t>
  </si>
  <si>
    <t>24/05/2021 </t>
  </si>
  <si>
    <t>22102953E </t>
  </si>
  <si>
    <t>Org. aplic.</t>
  </si>
  <si>
    <t>Imp. aplic.</t>
  </si>
  <si>
    <t>V adenda, MONITORIZACIÓN Y CONSERVACIÓN DE LAS POBLACIONES DE ALONDRA RICOTÍ (CHERSOPHILUS DUPONTI) EN EL ENTORNO DEL MUNICIPIO DE VALLANCA Y RINCÓN DE ADEMUZ</t>
  </si>
  <si>
    <t>41.30.6C.00.83</t>
  </si>
  <si>
    <t>ASISTENCIA TÉCNICA PARA EL PARA EL ANÁLISIS DEL TERRITORIO DEL GALP BAHÍA DE SANTA POLA Coordinación de los diferentes equipos de trabajo. Recopilación y análisis de la información territorial del GALP Bahía de Santa Pola. Conjunción de los contenidos elaborados por todos los grupos de trabajo. Elaboración de la memoria final.</t>
  </si>
  <si>
    <t>41.30.6C.00.84</t>
  </si>
  <si>
    <t>PROPUESTA DE ASISTENCIA TÉCNICA PARA EL PARA EL ANÁLISIS DEL TERRITORIO DEL GALP LA MARINA Coordinación de los diferentes equipos de trabajo. Recopilación y análisis de la información territorial del GALP La Marina Conjunción de los contenidos elaborados por todos los grupos de trabajo. Elaboración de la memoria final.</t>
  </si>
  <si>
    <t>41.30.6C.00.85</t>
  </si>
  <si>
    <t>ASISTENCIA TÉCNICA PARA EL PARA APOYO EN EL ANÁLISIS DEL TERRITORIO DEL GALP BAHÍA DE SANTA POLA Apoyo en el trabajo de campo para la recolección de encuestas y entrevistas. Apoyo en el desarrollo de las reuniones sectoriales. Apoyo en el análisis de necesidades, planteamiento de la estrategia y plan de acción. Desarrollo de la validación, exposición pública, reuniones participativas y reformulación de propuestas iniciales.</t>
  </si>
  <si>
    <t>41.30.6C.00.86</t>
  </si>
  <si>
    <t>PROPUESTA DE ASISTENCIA TÉCNICA PARA APOYO EN EL ANÁLISIS DEL TERRITORIO DEL GALP LA MARINA Apoyo en el trabajo de campo para la recolección de encuestas y entrevistas. Apoyo en el desarrollo de las reuniones sectoriales. Apoyo en el análisis de necesidades, planteamiento de la estrategia y plan de acción. Desarrollo de la validación, exposición pública, reuniones participativas y reformulación de propuestas</t>
  </si>
  <si>
    <t>41.30.6C.00.87</t>
  </si>
  <si>
    <t xml:space="preserve">DESARROLLO DE UN MODELO MULTICRITERIO PARA LA PRIORIZACION DE LA RESTAURACION DE LA NATURALEZA EN ESPAÑA Y OTRAS TAREAS COMPLEMENTARIAS. </t>
  </si>
  <si>
    <t>41.30.6C.00.88</t>
  </si>
  <si>
    <t>CONSULTORÍA TÉCNICA EN EL ÁMBITO DE LA SOSTENIBILIDAD Y EL ESTUDIO Y CONSERVACIÓN MARINAS EN ACTIVIDADES PORTUARIAS (MARINAS Y VARADEROS)</t>
  </si>
  <si>
    <t>CONSULTORÍA TÉCNICA EN EL ÁMBITO DE LA SOSTENIBILIDAD Y EL ESTUDIO Y CONSERVACIÓN MARINAS EN ACTIVIDADES PORTUARIAS (MARINAS Y VARADEROS) Segundo plazo.</t>
  </si>
  <si>
    <t>41.30.6C.00.89</t>
  </si>
  <si>
    <t xml:space="preserve">CARTOGRAFÍA GEOLÓGICA A ESCALA 1:25.000 DEL CUADRANTE 0893-1 ELCHE/ELX DEL MAPA TOPOGRÁFICO NACIONAL. </t>
  </si>
  <si>
    <t>41.30.6C.00.90</t>
  </si>
  <si>
    <t>ASESORAMIENTO EN LA ESTRATIGRAFÍA Y ESTRUCTURA GEOLÓGICA DE LAS HOJAS DE ELCHE, ALTET, ST. V. DEL RASPEIG, BENEJÚZAR, GUARDAMAR DEL SEGURA Y LA MATA. Ref. proyecto IGME4-24APA</t>
  </si>
  <si>
    <t>41.30.6C.00.91</t>
  </si>
  <si>
    <t>PROYECTO AGRICONCIENCIA: "SEGUIMIENTO DE LA COMUNIDAD DE INVERTEBRADOS" Ref. proyecto: AILIMPO1-24I Primer pago noviembre 2024</t>
  </si>
  <si>
    <t>41.30.6C.00.92</t>
  </si>
  <si>
    <t>CONTRACTING A STUDY FOR SPECIES IDENTIFICATION ON THE PORT OF SAGUNTO USING ENVIRONMENTAL DNA (EDNA). First payment, 50% of the sum € 9000. Ref. proyecto FUNDACIONVALENCIAPORT-SPA-RAC1A-24I</t>
  </si>
  <si>
    <t>41.30.6C.00.93</t>
  </si>
  <si>
    <t>CONTRACTING A STUDY FOR SPECIES IDENTIFICATION ON THE PORT OF SAGUNTO USING ENVIRONMENTAL DNA (EDNA). PROYECTO ILIAD. First payment, 30 % of the sum € 50000. Ref. proyecto FUNDACIONVALENCIAPORT-SPA-RAC1B-24I</t>
  </si>
  <si>
    <t>41.30.6C.00.94</t>
  </si>
  <si>
    <t>REDACCIÓN DE PROYECTO DE EJECUCIÓN PARA SUMINISTRO, INSTALACIÓN Y MANTENIMIENTO DE SISTEMAS DE FONDEO DE BAJO IMPACTO PARA BALIZAMIENTO COSTERO DEL MUNICIPIO DE TEULADA. Aplicación presupuestaria 1700.6400023 Nº RC: 22024/4464 Ref. proyecto: AYTOTEULADA3-24TPA</t>
  </si>
  <si>
    <t>41.30.6D.00.01</t>
  </si>
  <si>
    <t xml:space="preserve">Convenio Universidad de Alicante y Ayto Torrevieja Funcionamiento de la Sede de la UA en Municipio de Torrevieja. Estudio de la biodiversidad microbiana de la Laguna de la Mata y Torrevieja. </t>
  </si>
  <si>
    <t>41.30.6G.00.01</t>
  </si>
  <si>
    <t xml:space="preserve">MECENAZGO DE LAS ACTIVIDADES DE ORGANIZACIÓN Y REALIZACIÓN DE REUNIÓN XVIII RED NACIONAL DE MICROORGANISMOS EXTREMÓFILOS (REDEX) POR LA UNIVERSIDAD DE ALICANTE. </t>
  </si>
  <si>
    <t xml:space="preserve">MECENAZGO de las actividades de organización y realización de reunión XVIII Red Nacional de Microorganismos Extremófilos (REDEX) por la Universidad de Alicante. </t>
  </si>
  <si>
    <t>41.30.6M.00.05</t>
  </si>
  <si>
    <t>MECENAZGO DE LAS ACTIVIDADES DE INVESTIGACIÓN AMBIENTAL Y MARINA REALIZADAS POR EL LABORATORIO MARINO DE LA UNIVERSIDAD DE ALICANTE EN DÉNIA. DICHO MECENAZGO SE OTORGA AL HABER SIDO GALARDONADO CON EL MEJOR PROYECTO MEDIOAMBIENTAL LA PROPUESTA REMITIDA POR EL INVESTIGADOR PRINCIPAL, EL DR CESAR BORDEHORE FONTANET A LA CONVOCATORIA DE 2023 "PREMIOS 100X100" DE LA FUNDACIÓ DÉNIA</t>
  </si>
  <si>
    <t>41.30.6M.00.07</t>
  </si>
  <si>
    <t>MECENAZGO. SUPPORT A STUDY ON MICROPLASTICS IN THE SEA AND PRODUCE EDUCATIONAL MATERIALS TO RAISE AWARENESS OF MARINE POLLUTION. IN CASE THE RESULTS WERE ADEQUATE, A SCIENTIFIC ARTICLE WOULD BE WRITTEN AND SUBMITTED FOR PUBLICATION IN A JOURNAL</t>
  </si>
  <si>
    <t>DEVOLUCIÓN DE INGRESOS_CARTA DE PAGO_REFERENCIA: PID2019-111332RB-C21,ANUALIDAD: 2020.</t>
  </si>
  <si>
    <t xml:space="preserve">ayudas PROMETEO/2021/006, PROMETEO/2021/017, PROMETEO/2021/030, PROMETEO/2021/055, PROMETEO/2021/057, PROMETEO/2021/073, PROMETEO/2021/079, PROMETEO/2021/088 </t>
  </si>
  <si>
    <t>Anualidad 2023 proyectos Thinkinazul</t>
  </si>
  <si>
    <t>AYUDA CIPROM/2021/001, CIPROM/2021/006, CIPROM/2021/017, CIPROM/2021/021, CIPROM/2021/022, CIPROM/2021/027, CIPROM/2021/057, CIPROM/2021/060, CIPROM/2021/062, CIPROM/2021/068, CIPROM/2021/070, CIPROM/2021/074</t>
  </si>
  <si>
    <t xml:space="preserve">PID2021-122263OB-C22 -122320NA-I00 -122397NB-C22 --122500OB-I00 -122685OB-I00 -122988NB-I00 -123079OB-I00 -123091NB-C22 -123118NA-I00 -123124OB-I00 -123699NB-I00-123135OB-C21 -123453NB-I00 -123956OB-I00 </t>
  </si>
  <si>
    <t>PID2021-124139NB-C21 -124237NB-I00 -124721NB-I00 -124741NB-I00 -124860NB-I00 -125175OB-I00 -125279OB-I00 -125387NB-I00 -125517OB-I00 -125883NB-C21-126056OA-I00 -126114NB-C41 -126155OB-I00</t>
  </si>
  <si>
    <t xml:space="preserve">ayudas AGROALNEXT/2022/052, AGROALNEXT/2022/057, AGROALNEXT/2022/066 </t>
  </si>
  <si>
    <t xml:space="preserve">ayudas RED2022-134759-T, RED2022-134306-T </t>
  </si>
  <si>
    <t xml:space="preserve">Minoración Ayuda 412/FEMP/D1/03/2021/2020/1 </t>
  </si>
  <si>
    <t>41.30.6P.00.45</t>
  </si>
  <si>
    <t>PROYECTO JUST-MPE-2024-301100-2-001</t>
  </si>
  <si>
    <t>DEVOLUCIÓN DE INGRESOS_CARTA DE PAGO_REFERENCIA: JDC2022-048845-I, ANUALIDAD: 2023</t>
  </si>
  <si>
    <t>41.30.6P.00.48</t>
  </si>
  <si>
    <t>BF296 LABORATORIOS VIVIENTES PARA EL PAISAJE RURAL</t>
  </si>
  <si>
    <t>41.30.6P.00.49</t>
  </si>
  <si>
    <t xml:space="preserve">AYUDAS CNS2023-145404, CNS2023-144791, CNS2023-145354 </t>
  </si>
  <si>
    <t>41.30.6P.00.50</t>
  </si>
  <si>
    <t>ayudas CIAORG/2023/2, CIAORG/2023/4, CIAORG/2023/11, CIAORG/2023/15, CIAORG/2023/28, CIAORG/2023/40, CIAORG/2023/43, CIAORG/2023/54, CIAORG/2023/62, CIAORG/2023/65, CIAORG/2023/73, CIAORG/2023/91, CIAORG/2023/152, CIAORG/2023/154, CIAORG/2023/169, CIAORG/2023/170, CIAORG/2023/178 (LINEA DE SUBVENCIÓN S0296)</t>
  </si>
  <si>
    <t>41.30.6P.00.51</t>
  </si>
  <si>
    <t xml:space="preserve">ayudas FBIOPLEAMAR23-119, FBIOPLEAMAR23-127, FBIOPLEAMAR23-161 </t>
  </si>
  <si>
    <t>41.30.6P.00.52</t>
  </si>
  <si>
    <t>CIAICO/2023/134/178/179/203/250/255/266/268</t>
  </si>
  <si>
    <t>TERCER COBRO DEL PROYECTO upPE-T</t>
  </si>
  <si>
    <t>Cuarto cobro del proyecto upPE-T</t>
  </si>
  <si>
    <t>Tercer cobro del Proyecto SOILGUARD</t>
  </si>
  <si>
    <t xml:space="preserve">Cuarto cobro del Proyecto AGRO2CIRCULAR </t>
  </si>
  <si>
    <t>Proyecto Europe MICROBIOCLIM</t>
  </si>
  <si>
    <t>41.30.6X.00.12</t>
  </si>
  <si>
    <t>Primer cobro del proyecto OASIS</t>
  </si>
  <si>
    <t xml:space="preserve">Cobro del proyecto VISS </t>
  </si>
  <si>
    <t>Ecología</t>
  </si>
  <si>
    <t>Marco Tresserras, Jana</t>
  </si>
  <si>
    <t>Ecology of urban hedgehogs (Erinaceus europaeus) in SE Spain: Activities, resting sites and movements</t>
  </si>
  <si>
    <t>24/02/2025</t>
  </si>
  <si>
    <t>Flores García, Adrián</t>
  </si>
  <si>
    <t>Dynamic modelling applied to population ecology and environmental problems.</t>
  </si>
  <si>
    <t>07/04/2025</t>
  </si>
  <si>
    <t>López Del Castillo, Pedro</t>
  </si>
  <si>
    <t>Ephemeroptera y Trichoptera (Clase: Insecta) en dos ríos de la Sierra Maestra: Composición, Distribución y Uso de Microhábitat</t>
  </si>
  <si>
    <t>30/10/2024</t>
  </si>
  <si>
    <t>Urgeghe , Anna Maria</t>
  </si>
  <si>
    <t>Ecohydrological links and feedbacks between vegetation pattern, diversity and resource redistribution in drylands</t>
  </si>
  <si>
    <t>20/06/2025</t>
  </si>
  <si>
    <t>Fisiología, Genética y Microbiología</t>
  </si>
  <si>
    <t>Bibak , Sirine</t>
  </si>
  <si>
    <t>Regulación genética y ambiental en la red de interacciones de PipX</t>
  </si>
  <si>
    <t>19/09/2025</t>
  </si>
  <si>
    <t>Sánchez Martínez, Rodrigo</t>
  </si>
  <si>
    <t>Interactions and evolutionary dynamics between Salinibacter ruber and its viruses</t>
  </si>
  <si>
    <t>31/01/2025</t>
  </si>
  <si>
    <t>Bernabeu Sempere, Eric</t>
  </si>
  <si>
    <t>From structure to function: integrative analysis of the TetR-family transcriptional regulator in Haloferax
mediterranei</t>
  </si>
  <si>
    <t>26/09/2025</t>
  </si>
  <si>
    <t>Bioquímica y Biología Molecular y Edafología y Química agrícola</t>
  </si>
  <si>
    <t>Vila Nistal, Marina</t>
  </si>
  <si>
    <t>Tackling unresolved questions in marine virology: from DNA to RNA viral world</t>
  </si>
  <si>
    <t>14/03/2025</t>
  </si>
  <si>
    <t>Juvier Riesgo, Tamara</t>
  </si>
  <si>
    <t>Análisis comparativo entre una plataforma de realidad virtual asistida por inteligencia artificial y el
examen convencional para la evaluación de funciones visuales en neuro-oftalmología</t>
  </si>
  <si>
    <t>09/06/2025</t>
  </si>
  <si>
    <t>Administración Facultad de Ciencias</t>
  </si>
  <si>
    <t>Narro Serrano, Jennifer</t>
  </si>
  <si>
    <t>Biomarcadores en orina y alteraciones metabólicas en la COVID-19: Integración de análisis clínicos y
metabolómicos</t>
  </si>
  <si>
    <t>23/09/2025</t>
  </si>
  <si>
    <t>ZZ</t>
  </si>
  <si>
    <t>SIN ASIGNAR</t>
  </si>
  <si>
    <t>Mendoza Santiesteban, Carlos Ernesto</t>
  </si>
  <si>
    <t>Examen de la función visual mediante una plataforma de realidad virtual: Transformando el
paradigma del examen oftalmológico en la sala de emergencias y en el monitoreo remoto en el
hogar</t>
  </si>
  <si>
    <t>López Núñez, Raquel</t>
  </si>
  <si>
    <t>Development of chitosan coacervates compatible with biological control agents for disease
management in crops</t>
  </si>
  <si>
    <t>27/06/2025</t>
  </si>
  <si>
    <t>Ciencias del Mar y Biologia Aplicada</t>
  </si>
  <si>
    <t>2020</t>
  </si>
  <si>
    <t>2021</t>
  </si>
  <si>
    <t>2022</t>
  </si>
  <si>
    <t>2023</t>
  </si>
  <si>
    <t>2024</t>
  </si>
  <si>
    <t>2025</t>
  </si>
  <si>
    <t>Cañaveras Jiménez, Juan Carlos</t>
  </si>
  <si>
    <t>Valdecantos Dema, Alejandro</t>
  </si>
  <si>
    <t>Contreras De Vera, Asunción</t>
  </si>
  <si>
    <t>López Llorca, Luis Vicente</t>
  </si>
  <si>
    <t>Camacho Carrasco, Mónica-Lourdes</t>
  </si>
  <si>
    <t>Ferrer Casanova, Juan</t>
  </si>
  <si>
    <t>López Iborra, Germán Manuel</t>
  </si>
  <si>
    <t>Jordá Guijarro, Juana Dolores</t>
  </si>
  <si>
    <t>Bayle Sempere, Just Tomàs</t>
  </si>
  <si>
    <t>Antón Botella, Josefa</t>
  </si>
  <si>
    <t>Marhuenda Egea, Frutos Carlos</t>
  </si>
  <si>
    <t>Sánchez Jerez, Pablo</t>
  </si>
  <si>
    <t>Pire Galiana, Carmen Lucía</t>
  </si>
  <si>
    <t>Martínez Mojica, Francisco Juan</t>
  </si>
  <si>
    <t>Bellot Abad, Juan Francisco</t>
  </si>
  <si>
    <t>Emérito</t>
  </si>
  <si>
    <t>Bonete Pérez, María José</t>
  </si>
  <si>
    <t>Cuenca Navarro, Nicolás</t>
  </si>
  <si>
    <t>22981766M</t>
  </si>
  <si>
    <t>Gallego Cambronero, Diego</t>
  </si>
  <si>
    <t>Giménez Casalduero, María Francisca</t>
  </si>
  <si>
    <t>Soria Mingorance, Jesús Miguel</t>
  </si>
  <si>
    <t>Martín Nieto, José</t>
  </si>
  <si>
    <t>Rodríguez Mateo, Francisco</t>
  </si>
  <si>
    <t>Bautista Aguilar, Susana</t>
  </si>
  <si>
    <t>B189</t>
  </si>
  <si>
    <t>Cortina Segarra, Jordi</t>
  </si>
  <si>
    <t>Garmendia López, Idoia</t>
  </si>
  <si>
    <t>Martínez Espinosa, Rosa María</t>
  </si>
  <si>
    <t>Gómez Doménech, Igor</t>
  </si>
  <si>
    <t>B190</t>
  </si>
  <si>
    <t>Esclapez Espliego, Julia María</t>
  </si>
  <si>
    <t>Soliveres Codina, Santiago</t>
  </si>
  <si>
    <t>Martínez García, Manuel</t>
  </si>
  <si>
    <t>48361759G</t>
  </si>
  <si>
    <t>Sebastián González, Esther</t>
  </si>
  <si>
    <t>Zubcoff Vallejo, Jose</t>
  </si>
  <si>
    <t>Sánchez Lizaso, José Luis</t>
  </si>
  <si>
    <t>Molina Palacios, Sergio</t>
  </si>
  <si>
    <t>Tent Manclús, José Enrique</t>
  </si>
  <si>
    <t>Bordehore Fontanet, Cesar</t>
  </si>
  <si>
    <t>Baeza Berná, Manuel Jaime</t>
  </si>
  <si>
    <t>Bru Martínez, Roque</t>
  </si>
  <si>
    <t>Sanz Lázaro, Carlos</t>
  </si>
  <si>
    <t>56036143R</t>
  </si>
  <si>
    <t>Sáez Avaria, Claudio Alejandro</t>
  </si>
  <si>
    <t>PROYECTO AGRICONCIENCIA: "SEGUIMIENTO DE LA COMUNIDAD DE INVERTEBRADOS". Ref: AILIMPO1-24I. Segundo pago</t>
  </si>
  <si>
    <t>CONTRACTING A STUDY FOR SPECIES IDENTIFICATION ON THE PORT OF SAGUNTO USING ENVIRONMENTAL DNA (EDNA). Second payment, 50% of the sum € 9000. Ref. proyecto FUNDACIONVALENCIAPORT-SPA/RAC1A-24I</t>
  </si>
  <si>
    <t>CONTRACTING A STUDY FOR SPECIES IDENTIFICATION ON THE PORT OF SAGUNTO USING ENVIRONMENTAL DNA (EDNA). PROYECTO ILIAD. Second payment, 30 % of the sum € 50000. Ref. proyecto: FUNDACIONVALENCIAPORT-SPA-RAC1B-24I</t>
  </si>
  <si>
    <t>CONTRACTING A STUDY FOR SPECIES IDENTIFICATION ON THE PORT OF SAGUNTO USING ENVIRONMENTAL DNA (EDNA). PROYECTO ILIAD. Third payment, 40 % of the sum € 50000. Ref. proyecto: FUNDACIONVALENCIAPORT-SPA-RAC1B-24I</t>
  </si>
  <si>
    <t>41.30.6C.00.95</t>
  </si>
  <si>
    <t>ELABORACIÓN DE PRUEBA PERICIAL PARA DETERMINAR LOS IMPACTOS DE LA PESCA DE ARRASTRE EN ÁREAS MARINAS PROTEGIDAS DE LA RED NATURA 2000 BAJO LA DIRECTIVA HÁBITAT EU. Ref. proyecto: FUNDACIONOCEANA1-24TPA</t>
  </si>
  <si>
    <t>41.30.6C.00.96</t>
  </si>
  <si>
    <t>ESTUDIO Y SEGUIMIENTO DE LAS POBLACIONES DE ALONDRA RICOTÍ PARA FAVORECER SU PRESERVACIÓN EN EL RINCÓN DE ADEMUZ. Investigador principal LOPEZ IBORRA, GERMAN MANUEL. Ref. proyecto: LEVANTINARM1-24I</t>
  </si>
  <si>
    <t>41.30.6C.00.97</t>
  </si>
  <si>
    <t>ESTUDIO SOBRE LA PESCA DE ARRASTRE EN LA PROVINCIA DE ALICANTE. Ref: DIPUTACION2-25T EXPEDIENTE NUM. 6110/2025 - DIPU/2025/25/0001</t>
  </si>
  <si>
    <t>41.30.6C.00.98</t>
  </si>
  <si>
    <t>ANÁLISIS TÉCNICO-JURÍDICO SOBRE UNA PLANTA ASFÁLTICA COMO UNA ACTIVIDAD POTENCIALMENTE CONTAMINADORA DE LA ATMÓSFERA: COMPATIBILIDAD URBANÍSTICA Y RIESGOS PARA LA SALUD EN RELACIÓN CON LOS DERECHOS FUNDAMENTALES. Ref.: PGARCIASANTIAGO1-25TPA Factura 1</t>
  </si>
  <si>
    <t>ANÁLISIS TÉCNICO-JURÍDICO SOBRE UNA PLANTA ASFÁLTICA COMO UNA ACTIVIDAD POTENCIALMENTE CONTAMINADORA DE LA ATMÓSFERA: COMPATIBILIDAD URBANÍSTICA Y RIESGOS PARA LA SALUD EN RELACIÓN CON LOS DERECHOS FUNDAMENTALES. Ref.: PGARCIASANTIAGO1-25TPA Factura 2</t>
  </si>
  <si>
    <t>41.30.6C.00.99</t>
  </si>
  <si>
    <t>Desarrollo y optimización de la Información Geográfica para la explotación de los datos de los planes de emergencia municipales de Protección Civil. Ref: AYTOALICANTE1-25TPA.  Departamento Técnico de Protección Civil y Gestión de Emergencias</t>
  </si>
  <si>
    <t>CONVENIO ENTRE LA UNIVERSIDAD DE ALICANTE Y EL AYUNTAMIENTO DE TORREVIEJA PARA EL FUNCIONAMIENTO DE LA SEDE DE LA UNIVERSIDAD DE ALICANTE EN EL MUNICIPIO DE TORREVIEJA</t>
  </si>
  <si>
    <t>Ingreso Ayto Torrevieja. Estudio biodiversidad microbiana de la Laguna de la Mata y Torrevieja</t>
  </si>
  <si>
    <t>41.30.6D.00.02</t>
  </si>
  <si>
    <t>INGRESO PERCIBIDO POR LA UNIVERSIDAD DE ALICANTE EN VIRTUD DE CONVENIO DE COLABORACIÓN EN ACTIVIDADES DE INVESTIGACIÓN FRENTE AL RIESGO SÍSMICO ENTRE LA UNIVERSIDAD DE ALICANTE Y EL AYUNTAMIENTO DE IBI.</t>
  </si>
  <si>
    <t>DEVOLUCIÓN DE INGRESOS_ MODELO 047_REFERENCIA CIDEGENT 2018/041/040/004</t>
  </si>
  <si>
    <t xml:space="preserve">DEVOLUCIÓN DE INGRESOS_MODELO 047_ REFERENCIA: PROMETEO 2021 EN 2024_PROMETEO/2021/006, PROMETEO/2021/017, PROMETEO/2021/030, PROMETEO/2021/055, PROMETEO/2021/057, PROMETEO/2021/073, PROMETEO/2021/079, PROMETEO/2021/088 </t>
  </si>
  <si>
    <t>GVA-THINKINAZUL/2021/014/015/016/035/039/041/043/044. Programa: Plan Recuperación, Transformación y Resilencia.</t>
  </si>
  <si>
    <t xml:space="preserve">CIPROM/2021/001/006/017/021/022/027/057/060/062/068/070/074 </t>
  </si>
  <si>
    <t>DEVOLUCIÓN DE INGRESOS_CARTA DE PAGO_REFERENCIA: TED2021-129272B-C22, ANUALIDAD: 2023</t>
  </si>
  <si>
    <t>Ingreso Universitat Pompue Fabra_proyecto 23S06121-001</t>
  </si>
  <si>
    <t>Minoración ayudas CIAORG/2023/2,  CIAORG/2023/11, CIAORG/2023/15, CIAORG/2023/28, CIAORG/2023/40, CIAORG/2023/43, CIAORG/2023/54, CIAORG/2023/62, CIAORG/2023/65, CIAORG/2023/73, CIAORG/2023/91, CIAORG/2023/152, CIAORG/2023/154,  CIAORG/2023/170, CIAORG/2023/178 (LINEA DE SUBVENCIÓN S0296)</t>
  </si>
  <si>
    <t>41.30.6P.00.54</t>
  </si>
  <si>
    <t>PROGRAMA PROPIO DEL CENTRO DE GASTRONOMÍA DEL MEDITERRÁNEO (GASTERRA) UA_DENIA PARA EL FOMENTO DE LA I+D+I EN EL ÁMBITO DE LA GASTRONOMÍA 2025</t>
  </si>
  <si>
    <t>41.30.6P.00.55</t>
  </si>
  <si>
    <t xml:space="preserve">CIAORG/2024/003. CIAORG/2024/005.  CIAORG/2024/017. CIAORG/2024/035. CIAORG/2024/079. CIAORG/2024/085. CIAORG/2024/098. CIAORG/2024/123. CIAORG/2024/158. CIAORG/2024/187. CIAORG/2024/193         </t>
  </si>
  <si>
    <t>41.30.6P.00.56</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</si>
  <si>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</si>
  <si>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</si>
  <si>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Proyecto: upPE-T. Programa: HORIZON EUROPE. Ref. Proyecto: 953214</t>
  </si>
  <si>
    <t>PROYECTO: SOILGUARD -  PROGRAMA: H2020 - REF. PROYECTO: 101000371</t>
  </si>
  <si>
    <t>Re. Sub award Agreement number: S591062 (ECOLOGICAL  AND MOLECULAR CONTROL OF METABOLIC ACTIVITY IN MICROBIAL INTERACTIONS DRIVING ECOSYSTEM-WIDE METHANE CYCLING)  Total  costs  corresponding to the project second period covered: from 01st. September 2023 to 31th. August 2024 Detailed expenditures reported under the   "annex 6"of the refered Sub-award Agreement TOTAL DUE  110.466,65 EUROS  (Counter Value in US$:  124.193,24 US DOLLARS) Link conversor oanda date 12th. May 2025 Link conversor: https://www1.oanda. com/lang/es/currency/converter/ Date:12/05/2025.</t>
  </si>
  <si>
    <t>Re. FINAL INVOICE of Sub award Agreement number: S591062 (ECOLOGICAL  AND MOLECULAR CONTROL OF METABOLIC ACTIVITY IN MICROBIAL INTERACTIONS DRIVING ECOSYSTEM-WIDE METHANE CYCLING)  FINAL INVOICE, total  costs  corresponding to the project third period covered: from 01st. September 2024 to 30th. December 2025 Detailed expenditures reported under the   "annex 6"of the refered Sub-award Agreement TOTAL DUE  109.445,83 EUROS  (Counter Value in US$:  126,895.87 US DOLLARS) Link conversor oanda date 28th. November 2025 Link conversor: https://www1.oanda. com/lang/es/currency/converter/ Date: 28/11/2025.</t>
  </si>
  <si>
    <t>Proyecto: TEAM-UP - Team-up knowledge on ecological restoration to maximize benefits for nature and people. Programa: ERASMUS+. Ref. Proyecto: 101103653</t>
  </si>
  <si>
    <t xml:space="preserve">Proyecto: VISS. Programa: HORIZON EUROPE. Ref. Proyecto: 101081931 </t>
  </si>
  <si>
    <t>41.30.6X.00.15</t>
  </si>
  <si>
    <t>Proyecto SEAMPHONI - Programa Horizon Europe - Ref. Proyecto 101206245</t>
  </si>
  <si>
    <t>Total ingresos investigación 2023-25</t>
  </si>
  <si>
    <t>46350843R</t>
  </si>
  <si>
    <t>Terradas Fernández, Marc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</si>
</sst>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16"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sz val="11"/>
      <color theme="1"/>
      <name val="Calibri"/>
      <family val="2"/>
      <scheme val="minor"/>
    </font>
    <font>
      <b/>
      <sz val="10"/>
      <color theme="0"/>
      <name val="Arial"/>
      <family val="2"/>
    </font>
    <font>
      <b/>
      <sz val="11"/>
      <color theme="1"/>
      <name val="Calibri"/>
      <family val="2"/>
      <scheme val="minor"/>
    </font>
    <font>
      <sz val="8"/>
      <color theme="1" tint="4.9989318521683403E-2"/>
      <name val="Arial"/>
      <family val="2"/>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4" tint="0.79998168889431442"/>
        <bgColor theme="4" tint="0.79998168889431442"/>
      </patternFill>
    </fill>
    <fill>
      <patternFill patternType="solid">
        <fgColor theme="4"/>
        <bgColor theme="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2" fillId="0" borderId="0" applyFont="0" applyFill="0" applyBorder="0" applyAlignment="0" applyProtection="0"/>
  </cellStyleXfs>
  <cellXfs count="88">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textRotation="90" wrapText="1"/>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2" fillId="4" borderId="1" xfId="1" applyFill="1" applyBorder="1"/>
    <xf numFmtId="0" fontId="2" fillId="4" borderId="1" xfId="1" applyFill="1" applyBorder="1" applyAlignment="1">
      <alignment horizontal="right"/>
    </xf>
    <xf numFmtId="1" fontId="2" fillId="4" borderId="1" xfId="1" applyNumberFormat="1" applyFill="1" applyBorder="1"/>
    <xf numFmtId="165" fontId="2" fillId="4" borderId="1" xfId="1" applyNumberFormat="1" applyFill="1" applyBorder="1"/>
    <xf numFmtId="0" fontId="2" fillId="4" borderId="2" xfId="1" applyFill="1" applyBorder="1"/>
    <xf numFmtId="0" fontId="2" fillId="4" borderId="2" xfId="1" applyFill="1" applyBorder="1" applyAlignment="1">
      <alignment horizontal="right"/>
    </xf>
    <xf numFmtId="1" fontId="2" fillId="4" borderId="2" xfId="1" applyNumberFormat="1" applyFill="1" applyBorder="1"/>
    <xf numFmtId="0" fontId="2" fillId="0" borderId="1" xfId="1" applyBorder="1"/>
    <xf numFmtId="0" fontId="2" fillId="4" borderId="3" xfId="1" applyFill="1" applyBorder="1"/>
    <xf numFmtId="0" fontId="11" fillId="6" borderId="1" xfId="0" applyFont="1" applyFill="1" applyBorder="1" applyAlignment="1">
      <alignment horizontal="left" vertical="center"/>
    </xf>
    <xf numFmtId="0" fontId="11" fillId="6" borderId="4" xfId="0" applyFont="1" applyFill="1" applyBorder="1" applyAlignment="1">
      <alignment horizontal="left" vertical="center"/>
    </xf>
    <xf numFmtId="0" fontId="11" fillId="6" borderId="5" xfId="0" applyFont="1" applyFill="1" applyBorder="1" applyAlignment="1">
      <alignment horizontal="left" vertical="center"/>
    </xf>
    <xf numFmtId="0" fontId="11" fillId="6" borderId="6" xfId="0" applyFont="1" applyFill="1" applyBorder="1" applyAlignment="1">
      <alignment horizontal="left" vertical="center"/>
    </xf>
    <xf numFmtId="14" fontId="2" fillId="4" borderId="1" xfId="1" applyNumberFormat="1" applyFill="1" applyBorder="1"/>
    <xf numFmtId="166" fontId="2" fillId="4" borderId="1" xfId="1" applyNumberFormat="1" applyFill="1" applyBorder="1"/>
    <xf numFmtId="166" fontId="2" fillId="4" borderId="2" xfId="1" applyNumberFormat="1" applyFill="1" applyBorder="1"/>
    <xf numFmtId="165" fontId="2" fillId="0" borderId="1" xfId="1" applyNumberFormat="1" applyBorder="1"/>
    <xf numFmtId="165" fontId="2" fillId="0" borderId="2" xfId="1" applyNumberFormat="1" applyBorder="1"/>
    <xf numFmtId="0" fontId="2" fillId="2" borderId="0" xfId="1" applyFill="1"/>
    <xf numFmtId="0" fontId="2" fillId="2" borderId="0" xfId="1" applyFill="1" applyAlignment="1">
      <alignment horizontal="right"/>
    </xf>
    <xf numFmtId="165" fontId="3" fillId="2" borderId="0" xfId="1" applyNumberFormat="1" applyFont="1" applyFill="1"/>
    <xf numFmtId="0" fontId="3" fillId="2" borderId="0" xfId="1" applyFont="1" applyFill="1"/>
    <xf numFmtId="43" fontId="6" fillId="8" borderId="7" xfId="6" applyNumberFormat="1" applyFont="1" applyFill="1" applyBorder="1"/>
    <xf numFmtId="43" fontId="6" fillId="0" borderId="7" xfId="6" applyNumberFormat="1" applyFont="1" applyBorder="1"/>
    <xf numFmtId="0" fontId="9" fillId="8" borderId="7" xfId="0" applyFont="1" applyFill="1" applyBorder="1"/>
    <xf numFmtId="0" fontId="9" fillId="0" borderId="7" xfId="0" applyFont="1" applyBorder="1"/>
    <xf numFmtId="43" fontId="0" fillId="0" borderId="0" xfId="0" applyNumberFormat="1"/>
    <xf numFmtId="14" fontId="2" fillId="4" borderId="0" xfId="1" applyNumberFormat="1" applyFill="1"/>
    <xf numFmtId="0" fontId="2" fillId="0" borderId="0" xfId="1"/>
    <xf numFmtId="165" fontId="2" fillId="0" borderId="0" xfId="1" applyNumberFormat="1"/>
    <xf numFmtId="0" fontId="2" fillId="9" borderId="0" xfId="1" applyFill="1"/>
    <xf numFmtId="14" fontId="2" fillId="9" borderId="0" xfId="1" applyNumberFormat="1" applyFill="1"/>
    <xf numFmtId="0" fontId="2" fillId="9" borderId="0" xfId="1" applyFill="1" applyAlignment="1">
      <alignment horizontal="right"/>
    </xf>
    <xf numFmtId="0" fontId="6" fillId="0" borderId="1" xfId="0" applyFont="1" applyBorder="1"/>
    <xf numFmtId="0" fontId="6" fillId="0" borderId="1" xfId="0" applyFont="1" applyBorder="1" applyAlignment="1">
      <alignment horizontal="left"/>
    </xf>
    <xf numFmtId="0" fontId="6" fillId="0" borderId="1" xfId="0" applyFont="1" applyBorder="1" applyAlignment="1">
      <alignment horizontal="center"/>
    </xf>
    <xf numFmtId="0" fontId="0" fillId="9" borderId="0" xfId="0" applyFill="1"/>
    <xf numFmtId="0" fontId="0" fillId="9" borderId="0" xfId="0" applyFill="1" applyAlignment="1">
      <alignment horizontal="left"/>
    </xf>
    <xf numFmtId="165" fontId="14" fillId="9" borderId="0" xfId="0" applyNumberFormat="1" applyFont="1" applyFill="1"/>
    <xf numFmtId="0" fontId="15" fillId="4" borderId="1" xfId="1" applyFont="1" applyFill="1" applyBorder="1"/>
    <xf numFmtId="0" fontId="15" fillId="4" borderId="0" xfId="1" applyFont="1" applyFill="1"/>
    <xf numFmtId="0" fontId="0" fillId="0" borderId="0" xfId="0" applyAlignment="1">
      <alignment wrapText="1"/>
    </xf>
    <xf numFmtId="164" fontId="0" fillId="0" borderId="0" xfId="6" applyFont="1"/>
    <xf numFmtId="0" fontId="14" fillId="0" borderId="1" xfId="0" applyFont="1" applyBorder="1"/>
    <xf numFmtId="164" fontId="14" fillId="0" borderId="1" xfId="0" applyNumberFormat="1" applyFont="1" applyBorder="1"/>
    <xf numFmtId="0" fontId="13" fillId="7" borderId="8" xfId="0" applyFont="1" applyFill="1" applyBorder="1"/>
    <xf numFmtId="0" fontId="9" fillId="8" borderId="9" xfId="0" applyFont="1" applyFill="1" applyBorder="1"/>
    <xf numFmtId="43" fontId="6" fillId="8" borderId="9" xfId="6" applyNumberFormat="1" applyFont="1" applyFill="1" applyBorder="1"/>
    <xf numFmtId="43" fontId="6" fillId="8" borderId="9" xfId="0" applyNumberFormat="1" applyFont="1" applyFill="1" applyBorder="1"/>
    <xf numFmtId="0" fontId="2" fillId="4" borderId="2" xfId="1" applyFont="1" applyFill="1" applyBorder="1"/>
    <xf numFmtId="0" fontId="2" fillId="6" borderId="1" xfId="0" applyFont="1" applyFill="1" applyBorder="1" applyAlignment="1">
      <alignment horizontal="left" vertical="center"/>
    </xf>
    <xf numFmtId="0" fontId="2" fillId="6" borderId="4" xfId="0" applyFont="1" applyFill="1" applyBorder="1" applyAlignment="1">
      <alignment horizontal="left" vertical="center"/>
    </xf>
    <xf numFmtId="0" fontId="2" fillId="6" borderId="5" xfId="0" applyFont="1" applyFill="1" applyBorder="1" applyAlignment="1">
      <alignment horizontal="left" vertical="center"/>
    </xf>
    <xf numFmtId="0" fontId="2" fillId="6" borderId="6" xfId="0" applyFont="1" applyFill="1" applyBorder="1" applyAlignment="1">
      <alignment horizontal="left" vertical="center"/>
    </xf>
    <xf numFmtId="0" fontId="2" fillId="0" borderId="1" xfId="1" applyFont="1" applyBorder="1"/>
    <xf numFmtId="0" fontId="2" fillId="4" borderId="1" xfId="1" applyFont="1" applyFill="1" applyBorder="1"/>
    <xf numFmtId="0" fontId="2" fillId="4" borderId="1" xfId="1" applyFont="1" applyFill="1" applyBorder="1" applyAlignment="1">
      <alignment horizontal="right"/>
    </xf>
    <xf numFmtId="0" fontId="13" fillId="11" borderId="10" xfId="0" applyFont="1" applyFill="1" applyBorder="1"/>
    <xf numFmtId="0" fontId="13" fillId="11" borderId="11" xfId="0" applyFont="1" applyFill="1" applyBorder="1"/>
    <xf numFmtId="0" fontId="9" fillId="10" borderId="10" xfId="0" applyFont="1" applyFill="1" applyBorder="1"/>
    <xf numFmtId="0" fontId="9" fillId="10" borderId="11" xfId="0" applyFont="1" applyFill="1" applyBorder="1"/>
    <xf numFmtId="164" fontId="9" fillId="10" borderId="11" xfId="6" applyFont="1" applyFill="1" applyBorder="1"/>
    <xf numFmtId="0" fontId="9" fillId="0" borderId="10" xfId="0" applyFont="1" applyBorder="1"/>
    <xf numFmtId="0" fontId="9" fillId="0" borderId="11" xfId="0" applyFont="1" applyBorder="1"/>
    <xf numFmtId="164" fontId="9" fillId="0" borderId="11" xfId="6" applyFont="1" applyBorder="1"/>
    <xf numFmtId="0" fontId="10" fillId="0" borderId="12" xfId="0" applyFont="1" applyBorder="1"/>
    <xf numFmtId="0" fontId="10" fillId="0" borderId="13" xfId="0" applyFont="1" applyBorder="1"/>
    <xf numFmtId="164" fontId="10" fillId="0" borderId="13" xfId="6" applyFont="1" applyBorder="1"/>
    <xf numFmtId="165" fontId="3" fillId="9" borderId="0" xfId="1" applyNumberFormat="1" applyFont="1" applyFill="1" applyAlignment="1">
      <alignment horizontal="center"/>
    </xf>
    <xf numFmtId="0" fontId="3" fillId="9" borderId="0" xfId="1" applyFont="1" applyFill="1" applyAlignment="1">
      <alignment horizontal="center"/>
    </xf>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12">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auto="1"/>
        <name val="Arial"/>
        <family val="2"/>
        <scheme val="none"/>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5C23C2-0A27-4668-9295-D3D7C60553C4}" name="Tabla2" displayName="Tabla2" ref="A1:C43" totalsRowCount="1" headerRowDxfId="11" headerRowBorderDxfId="10" tableBorderDxfId="9" totalsRowBorderDxfId="8">
  <autoFilter ref="A1:C42" xr:uid="{205C23C2-0A27-4668-9295-D3D7C60553C4}"/>
  <tableColumns count="3">
    <tableColumn id="1" xr3:uid="{2AFFB7D3-7EA6-44EA-A5F4-CAC28C00550A}" name="Cód. org. aplic." totalsRowLabel="Total" dataDxfId="7" totalsRowDxfId="6"/>
    <tableColumn id="2" xr3:uid="{E192464B-3975-4F31-96CA-8B86E86E4135}" name="Descripción justificante" dataDxfId="5" totalsRowDxfId="4"/>
    <tableColumn id="3" xr3:uid="{4E7DDF77-063C-4159-BB6F-E5317FB542DA}" name="Imp.cob.aplic." totalsRowFunction="sum" dataDxfId="3" totalsRowDxfId="2"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18D231-073B-440A-958B-ADDC64355674}" name="Tabla1" displayName="Tabla1" ref="A1:C48" totalsRowCount="1">
  <autoFilter ref="A1:C47" xr:uid="{5C18D231-073B-440A-958B-ADDC64355674}"/>
  <tableColumns count="3">
    <tableColumn id="1" xr3:uid="{E3C3A5E3-6166-48E8-A6C8-ADDCD042DA6F}" name="Org. aplic." totalsRowLabel="Total"/>
    <tableColumn id="2" xr3:uid="{F82B3133-3072-4642-AFDC-70AB3BCFA3CF}" name="Descripción justificante" dataDxfId="1" totalsRowDxfId="0"/>
    <tableColumn id="3" xr3:uid="{5794FEE5-932D-4A2B-A808-2DCCC481CA32}" name="Imp. aplic." totalsRowFunction="sum" data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71"/>
  <sheetViews>
    <sheetView showGridLines="0" topLeftCell="A36" zoomScaleNormal="100" workbookViewId="0">
      <selection activeCell="F82" sqref="F82"/>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5.28515625" style="7" customWidth="1"/>
    <col min="14" max="14" width="4.85546875" style="6" customWidth="1"/>
    <col min="15" max="15" width="5.28515625" style="7" customWidth="1"/>
    <col min="16" max="16" width="4.85546875" style="6" customWidth="1"/>
    <col min="17" max="17" width="3.5703125" style="7" customWidth="1"/>
    <col min="18" max="18" width="3.5703125" style="6" customWidth="1"/>
    <col min="19" max="21" width="5.140625" style="6" customWidth="1"/>
    <col min="22" max="16384" width="10.28515625" style="6"/>
  </cols>
  <sheetData>
    <row r="1" spans="1:21" ht="45"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1" x14ac:dyDescent="0.2">
      <c r="A2" s="18" t="s">
        <v>45</v>
      </c>
      <c r="B2" s="18" t="s">
        <v>46</v>
      </c>
      <c r="C2" s="18" t="s">
        <v>43</v>
      </c>
      <c r="D2" s="18" t="s">
        <v>108</v>
      </c>
      <c r="E2" s="18" t="s">
        <v>109</v>
      </c>
      <c r="F2" s="18" t="s">
        <v>110</v>
      </c>
      <c r="G2" s="18" t="s">
        <v>54</v>
      </c>
      <c r="H2" s="18" t="s">
        <v>22</v>
      </c>
      <c r="I2" s="18" t="s">
        <v>45</v>
      </c>
      <c r="J2" s="18" t="s">
        <v>46</v>
      </c>
      <c r="K2" s="21">
        <v>0.5</v>
      </c>
      <c r="L2" s="18" t="s">
        <v>52</v>
      </c>
      <c r="M2" s="18">
        <v>2019</v>
      </c>
      <c r="N2" s="18" t="s">
        <v>26</v>
      </c>
      <c r="O2" s="19" t="s">
        <v>53</v>
      </c>
      <c r="P2" s="18" t="s">
        <v>24</v>
      </c>
      <c r="Q2" s="19" t="s">
        <v>24</v>
      </c>
      <c r="R2" s="20">
        <v>15</v>
      </c>
      <c r="S2" s="34">
        <v>7.4999999999999997E-2</v>
      </c>
      <c r="T2" s="34">
        <v>0.42499999999999999</v>
      </c>
      <c r="U2" s="34">
        <v>0</v>
      </c>
    </row>
    <row r="3" spans="1:21" x14ac:dyDescent="0.2">
      <c r="A3" s="18" t="s">
        <v>34</v>
      </c>
      <c r="B3" s="18" t="s">
        <v>35</v>
      </c>
      <c r="C3" s="18" t="s">
        <v>37</v>
      </c>
      <c r="D3" s="18" t="s">
        <v>111</v>
      </c>
      <c r="E3" s="18" t="s">
        <v>112</v>
      </c>
      <c r="F3" s="18" t="s">
        <v>113</v>
      </c>
      <c r="G3" s="18" t="s">
        <v>58</v>
      </c>
      <c r="H3" s="18" t="s">
        <v>22</v>
      </c>
      <c r="I3" s="18" t="s">
        <v>34</v>
      </c>
      <c r="J3" s="18" t="s">
        <v>35</v>
      </c>
      <c r="K3" s="21">
        <v>0.5</v>
      </c>
      <c r="L3" s="18" t="s">
        <v>36</v>
      </c>
      <c r="M3" s="18">
        <v>2019</v>
      </c>
      <c r="N3" s="18" t="s">
        <v>26</v>
      </c>
      <c r="O3" s="19" t="s">
        <v>29</v>
      </c>
      <c r="P3" s="18" t="s">
        <v>24</v>
      </c>
      <c r="Q3" s="19" t="s">
        <v>24</v>
      </c>
      <c r="R3" s="20">
        <v>90</v>
      </c>
      <c r="S3" s="34">
        <v>0.45</v>
      </c>
      <c r="T3" s="34">
        <v>0.05</v>
      </c>
      <c r="U3" s="34">
        <v>0</v>
      </c>
    </row>
    <row r="4" spans="1:21" x14ac:dyDescent="0.2">
      <c r="A4" s="18" t="s">
        <v>45</v>
      </c>
      <c r="B4" s="18" t="s">
        <v>46</v>
      </c>
      <c r="C4" s="18" t="s">
        <v>43</v>
      </c>
      <c r="D4" s="18" t="s">
        <v>118</v>
      </c>
      <c r="E4" s="18" t="s">
        <v>119</v>
      </c>
      <c r="F4" s="18" t="s">
        <v>120</v>
      </c>
      <c r="G4" s="18" t="s">
        <v>44</v>
      </c>
      <c r="H4" s="18" t="s">
        <v>25</v>
      </c>
      <c r="I4" s="18" t="s">
        <v>40</v>
      </c>
      <c r="J4" s="18" t="s">
        <v>41</v>
      </c>
      <c r="K4" s="21">
        <v>1</v>
      </c>
      <c r="L4" s="18" t="s">
        <v>42</v>
      </c>
      <c r="M4" s="18">
        <v>2019</v>
      </c>
      <c r="N4" s="18" t="s">
        <v>26</v>
      </c>
      <c r="O4" s="19">
        <v>50</v>
      </c>
      <c r="P4" s="18" t="s">
        <v>24</v>
      </c>
      <c r="Q4" s="19">
        <v>0</v>
      </c>
      <c r="R4" s="20">
        <v>50</v>
      </c>
      <c r="S4" s="34">
        <v>0.5</v>
      </c>
      <c r="T4" s="34">
        <v>0.5</v>
      </c>
      <c r="U4" s="34">
        <v>0</v>
      </c>
    </row>
    <row r="5" spans="1:21" x14ac:dyDescent="0.2">
      <c r="A5" s="18" t="s">
        <v>45</v>
      </c>
      <c r="B5" s="18" t="s">
        <v>46</v>
      </c>
      <c r="C5" s="18" t="s">
        <v>43</v>
      </c>
      <c r="D5" s="18" t="s">
        <v>121</v>
      </c>
      <c r="E5" s="18" t="s">
        <v>122</v>
      </c>
      <c r="F5" s="18" t="s">
        <v>123</v>
      </c>
      <c r="G5" s="18" t="s">
        <v>124</v>
      </c>
      <c r="H5" s="18" t="s">
        <v>22</v>
      </c>
      <c r="I5" s="18" t="s">
        <v>40</v>
      </c>
      <c r="J5" s="18" t="s">
        <v>41</v>
      </c>
      <c r="K5" s="21">
        <v>0.5</v>
      </c>
      <c r="L5" s="18" t="s">
        <v>42</v>
      </c>
      <c r="M5" s="18">
        <v>2020</v>
      </c>
      <c r="N5" s="18" t="s">
        <v>26</v>
      </c>
      <c r="O5" s="19">
        <v>20</v>
      </c>
      <c r="P5" s="18" t="s">
        <v>24</v>
      </c>
      <c r="Q5" s="19">
        <v>0</v>
      </c>
      <c r="R5" s="20">
        <v>80</v>
      </c>
      <c r="S5" s="34">
        <v>0.4</v>
      </c>
      <c r="T5" s="34">
        <v>0.1</v>
      </c>
      <c r="U5" s="34">
        <v>0</v>
      </c>
    </row>
    <row r="6" spans="1:21" x14ac:dyDescent="0.2">
      <c r="A6" s="18" t="s">
        <v>45</v>
      </c>
      <c r="B6" s="18" t="s">
        <v>46</v>
      </c>
      <c r="C6" s="18" t="s">
        <v>43</v>
      </c>
      <c r="D6" s="18" t="s">
        <v>121</v>
      </c>
      <c r="E6" s="18" t="s">
        <v>122</v>
      </c>
      <c r="F6" s="18" t="s">
        <v>123</v>
      </c>
      <c r="G6" s="18" t="s">
        <v>47</v>
      </c>
      <c r="H6" s="18" t="s">
        <v>22</v>
      </c>
      <c r="I6" s="18" t="s">
        <v>40</v>
      </c>
      <c r="J6" s="18" t="s">
        <v>41</v>
      </c>
      <c r="K6" s="21">
        <v>0.5</v>
      </c>
      <c r="L6" s="18" t="s">
        <v>42</v>
      </c>
      <c r="M6" s="18">
        <v>2020</v>
      </c>
      <c r="N6" s="18" t="s">
        <v>26</v>
      </c>
      <c r="O6" s="19">
        <v>10</v>
      </c>
      <c r="P6" s="18" t="s">
        <v>24</v>
      </c>
      <c r="Q6" s="19">
        <v>0</v>
      </c>
      <c r="R6" s="20">
        <v>90</v>
      </c>
      <c r="S6" s="34">
        <v>0.45</v>
      </c>
      <c r="T6" s="34">
        <v>0.05</v>
      </c>
      <c r="U6" s="34">
        <v>0</v>
      </c>
    </row>
    <row r="7" spans="1:21" x14ac:dyDescent="0.2">
      <c r="A7" s="18" t="s">
        <v>45</v>
      </c>
      <c r="B7" s="18" t="s">
        <v>46</v>
      </c>
      <c r="C7" s="18" t="s">
        <v>43</v>
      </c>
      <c r="D7" s="18" t="s">
        <v>125</v>
      </c>
      <c r="E7" s="18" t="s">
        <v>126</v>
      </c>
      <c r="F7" s="18" t="s">
        <v>127</v>
      </c>
      <c r="G7" s="18" t="s">
        <v>56</v>
      </c>
      <c r="H7" s="18" t="s">
        <v>25</v>
      </c>
      <c r="I7" s="18" t="s">
        <v>45</v>
      </c>
      <c r="J7" s="18" t="s">
        <v>46</v>
      </c>
      <c r="K7" s="21">
        <v>1</v>
      </c>
      <c r="L7" s="18" t="s">
        <v>52</v>
      </c>
      <c r="M7" s="18">
        <v>2020</v>
      </c>
      <c r="N7" s="18" t="s">
        <v>26</v>
      </c>
      <c r="O7" s="19">
        <v>50</v>
      </c>
      <c r="P7" s="18" t="s">
        <v>24</v>
      </c>
      <c r="Q7" s="19">
        <v>0</v>
      </c>
      <c r="R7" s="20">
        <v>50</v>
      </c>
      <c r="S7" s="34">
        <v>0.5</v>
      </c>
      <c r="T7" s="34">
        <v>0.5</v>
      </c>
      <c r="U7" s="34">
        <v>0</v>
      </c>
    </row>
    <row r="8" spans="1:21" x14ac:dyDescent="0.2">
      <c r="A8" s="18" t="s">
        <v>45</v>
      </c>
      <c r="B8" s="18" t="s">
        <v>46</v>
      </c>
      <c r="C8" s="18" t="s">
        <v>43</v>
      </c>
      <c r="D8" s="18" t="s">
        <v>128</v>
      </c>
      <c r="E8" s="18" t="s">
        <v>129</v>
      </c>
      <c r="F8" s="18" t="s">
        <v>130</v>
      </c>
      <c r="G8" s="18" t="s">
        <v>55</v>
      </c>
      <c r="H8" s="18" t="s">
        <v>22</v>
      </c>
      <c r="I8" s="18" t="s">
        <v>45</v>
      </c>
      <c r="J8" s="18" t="s">
        <v>46</v>
      </c>
      <c r="K8" s="21">
        <v>0.5</v>
      </c>
      <c r="L8" s="18" t="s">
        <v>52</v>
      </c>
      <c r="M8" s="18">
        <v>2020</v>
      </c>
      <c r="N8" s="18" t="s">
        <v>26</v>
      </c>
      <c r="O8" s="19">
        <v>50</v>
      </c>
      <c r="P8" s="18" t="s">
        <v>24</v>
      </c>
      <c r="Q8" s="19">
        <v>0</v>
      </c>
      <c r="R8" s="20">
        <v>50</v>
      </c>
      <c r="S8" s="34">
        <v>0.25</v>
      </c>
      <c r="T8" s="34">
        <v>0.25</v>
      </c>
      <c r="U8" s="34">
        <v>0</v>
      </c>
    </row>
    <row r="9" spans="1:21" x14ac:dyDescent="0.2">
      <c r="A9" s="18" t="s">
        <v>34</v>
      </c>
      <c r="B9" s="18" t="s">
        <v>35</v>
      </c>
      <c r="C9" s="18" t="s">
        <v>37</v>
      </c>
      <c r="D9" s="18" t="s">
        <v>131</v>
      </c>
      <c r="E9" s="18" t="s">
        <v>132</v>
      </c>
      <c r="F9" s="31" t="s">
        <v>133</v>
      </c>
      <c r="G9" s="18" t="s">
        <v>59</v>
      </c>
      <c r="H9" s="18" t="s">
        <v>22</v>
      </c>
      <c r="I9" s="18" t="s">
        <v>34</v>
      </c>
      <c r="J9" s="18" t="s">
        <v>35</v>
      </c>
      <c r="K9" s="21">
        <v>0.5</v>
      </c>
      <c r="L9" s="18" t="s">
        <v>36</v>
      </c>
      <c r="M9" s="18">
        <v>2020</v>
      </c>
      <c r="N9" s="18" t="s">
        <v>26</v>
      </c>
      <c r="O9" s="19">
        <v>50</v>
      </c>
      <c r="P9" s="18" t="s">
        <v>24</v>
      </c>
      <c r="Q9" s="19">
        <v>0</v>
      </c>
      <c r="R9" s="20">
        <v>50</v>
      </c>
      <c r="S9" s="34">
        <v>0.25</v>
      </c>
      <c r="T9" s="34">
        <v>0.25</v>
      </c>
      <c r="U9" s="34">
        <v>0</v>
      </c>
    </row>
    <row r="10" spans="1:21" x14ac:dyDescent="0.2">
      <c r="A10" s="18" t="s">
        <v>34</v>
      </c>
      <c r="B10" s="18" t="s">
        <v>35</v>
      </c>
      <c r="C10" s="18" t="s">
        <v>37</v>
      </c>
      <c r="D10" s="18" t="s">
        <v>131</v>
      </c>
      <c r="E10" s="18" t="s">
        <v>132</v>
      </c>
      <c r="F10" s="18" t="s">
        <v>133</v>
      </c>
      <c r="G10" s="18" t="s">
        <v>134</v>
      </c>
      <c r="H10" s="18" t="s">
        <v>22</v>
      </c>
      <c r="I10" s="18" t="s">
        <v>30</v>
      </c>
      <c r="J10" s="18" t="s">
        <v>31</v>
      </c>
      <c r="K10" s="21">
        <v>0.5</v>
      </c>
      <c r="L10" s="18" t="s">
        <v>48</v>
      </c>
      <c r="M10" s="18">
        <v>2020</v>
      </c>
      <c r="N10" s="18" t="s">
        <v>26</v>
      </c>
      <c r="O10" s="19">
        <v>50</v>
      </c>
      <c r="P10" s="18" t="s">
        <v>24</v>
      </c>
      <c r="Q10" s="19">
        <v>0</v>
      </c>
      <c r="R10" s="20">
        <v>50</v>
      </c>
      <c r="S10" s="34">
        <v>0.25</v>
      </c>
      <c r="T10" s="34">
        <v>0.25</v>
      </c>
      <c r="U10" s="34">
        <v>0</v>
      </c>
    </row>
    <row r="11" spans="1:21" x14ac:dyDescent="0.2">
      <c r="A11" s="18" t="s">
        <v>34</v>
      </c>
      <c r="B11" s="18" t="s">
        <v>35</v>
      </c>
      <c r="C11" s="18" t="s">
        <v>37</v>
      </c>
      <c r="D11" s="18" t="s">
        <v>135</v>
      </c>
      <c r="E11" s="18" t="s">
        <v>136</v>
      </c>
      <c r="F11" s="18" t="s">
        <v>137</v>
      </c>
      <c r="G11" s="18" t="s">
        <v>57</v>
      </c>
      <c r="H11" s="18" t="s">
        <v>22</v>
      </c>
      <c r="I11" s="18" t="s">
        <v>34</v>
      </c>
      <c r="J11" s="18" t="s">
        <v>35</v>
      </c>
      <c r="K11" s="21">
        <v>0.5</v>
      </c>
      <c r="L11" s="18" t="s">
        <v>36</v>
      </c>
      <c r="M11" s="18">
        <v>2020</v>
      </c>
      <c r="N11" s="18" t="s">
        <v>26</v>
      </c>
      <c r="O11" s="19">
        <v>30</v>
      </c>
      <c r="P11" s="18" t="s">
        <v>24</v>
      </c>
      <c r="Q11" s="19">
        <v>0</v>
      </c>
      <c r="R11" s="20">
        <v>70</v>
      </c>
      <c r="S11" s="34">
        <v>0.35</v>
      </c>
      <c r="T11" s="34">
        <v>0.15</v>
      </c>
      <c r="U11" s="34">
        <v>0</v>
      </c>
    </row>
    <row r="12" spans="1:21" x14ac:dyDescent="0.2">
      <c r="A12" s="18" t="s">
        <v>138</v>
      </c>
      <c r="B12" s="18" t="s">
        <v>139</v>
      </c>
      <c r="C12" s="18" t="s">
        <v>140</v>
      </c>
      <c r="D12" s="18" t="s">
        <v>141</v>
      </c>
      <c r="E12" s="18" t="s">
        <v>142</v>
      </c>
      <c r="F12" s="18" t="s">
        <v>143</v>
      </c>
      <c r="G12" s="18" t="s">
        <v>58</v>
      </c>
      <c r="H12" s="18" t="s">
        <v>22</v>
      </c>
      <c r="I12" s="18" t="s">
        <v>34</v>
      </c>
      <c r="J12" s="18" t="s">
        <v>35</v>
      </c>
      <c r="K12" s="32">
        <v>0.5</v>
      </c>
      <c r="L12" s="18" t="s">
        <v>36</v>
      </c>
      <c r="M12" s="18">
        <v>2020</v>
      </c>
      <c r="N12" s="18" t="s">
        <v>26</v>
      </c>
      <c r="O12" s="19">
        <v>10</v>
      </c>
      <c r="P12" s="18" t="s">
        <v>162</v>
      </c>
      <c r="Q12" s="19">
        <v>10</v>
      </c>
      <c r="R12" s="20">
        <v>80</v>
      </c>
      <c r="S12" s="34">
        <v>0.4</v>
      </c>
      <c r="T12" s="34">
        <v>0.05</v>
      </c>
      <c r="U12" s="34">
        <v>0.05</v>
      </c>
    </row>
    <row r="13" spans="1:21" x14ac:dyDescent="0.2">
      <c r="A13" s="18" t="s">
        <v>30</v>
      </c>
      <c r="B13" s="18" t="s">
        <v>31</v>
      </c>
      <c r="C13" s="18" t="s">
        <v>32</v>
      </c>
      <c r="D13" s="18" t="s">
        <v>163</v>
      </c>
      <c r="E13" s="18" t="s">
        <v>164</v>
      </c>
      <c r="F13" s="18" t="s">
        <v>165</v>
      </c>
      <c r="G13" s="18" t="s">
        <v>166</v>
      </c>
      <c r="H13" s="18" t="s">
        <v>25</v>
      </c>
      <c r="I13" s="18" t="s">
        <v>30</v>
      </c>
      <c r="J13" s="18" t="s">
        <v>31</v>
      </c>
      <c r="K13" s="32">
        <v>1</v>
      </c>
      <c r="L13" s="18" t="s">
        <v>48</v>
      </c>
      <c r="M13" s="18">
        <v>2021</v>
      </c>
      <c r="N13" s="18" t="s">
        <v>26</v>
      </c>
      <c r="O13" s="19">
        <v>50</v>
      </c>
      <c r="P13" s="18" t="s">
        <v>24</v>
      </c>
      <c r="Q13" s="19">
        <v>0</v>
      </c>
      <c r="R13" s="20">
        <v>50</v>
      </c>
      <c r="S13" s="34">
        <v>0.5</v>
      </c>
      <c r="T13" s="34">
        <v>0.5</v>
      </c>
      <c r="U13" s="34">
        <v>0</v>
      </c>
    </row>
    <row r="14" spans="1:21" x14ac:dyDescent="0.2">
      <c r="A14" s="18" t="s">
        <v>30</v>
      </c>
      <c r="B14" s="18" t="s">
        <v>31</v>
      </c>
      <c r="C14" s="18" t="s">
        <v>32</v>
      </c>
      <c r="D14" s="18" t="s">
        <v>167</v>
      </c>
      <c r="E14" s="18" t="s">
        <v>168</v>
      </c>
      <c r="F14" s="18" t="s">
        <v>169</v>
      </c>
      <c r="G14" s="18" t="s">
        <v>170</v>
      </c>
      <c r="H14" s="18" t="s">
        <v>22</v>
      </c>
      <c r="I14" s="18" t="s">
        <v>30</v>
      </c>
      <c r="J14" s="18" t="s">
        <v>31</v>
      </c>
      <c r="K14" s="32">
        <v>0.5</v>
      </c>
      <c r="L14" s="18" t="s">
        <v>48</v>
      </c>
      <c r="M14" s="18">
        <v>2021</v>
      </c>
      <c r="N14" s="18" t="s">
        <v>26</v>
      </c>
      <c r="O14" s="19">
        <v>50</v>
      </c>
      <c r="P14" s="18" t="s">
        <v>24</v>
      </c>
      <c r="Q14" s="19">
        <v>0</v>
      </c>
      <c r="R14" s="20">
        <v>50</v>
      </c>
      <c r="S14" s="34">
        <v>0.25</v>
      </c>
      <c r="T14" s="34">
        <v>0.25</v>
      </c>
      <c r="U14" s="34">
        <v>0</v>
      </c>
    </row>
    <row r="15" spans="1:21" x14ac:dyDescent="0.2">
      <c r="A15" s="18" t="s">
        <v>30</v>
      </c>
      <c r="B15" s="18" t="s">
        <v>31</v>
      </c>
      <c r="C15" s="18" t="s">
        <v>32</v>
      </c>
      <c r="D15" s="18" t="s">
        <v>197</v>
      </c>
      <c r="E15" s="18" t="s">
        <v>198</v>
      </c>
      <c r="F15" s="31">
        <v>44825</v>
      </c>
      <c r="G15" s="18" t="s">
        <v>80</v>
      </c>
      <c r="H15" s="18" t="s">
        <v>22</v>
      </c>
      <c r="I15" s="18" t="s">
        <v>30</v>
      </c>
      <c r="J15" s="18" t="s">
        <v>31</v>
      </c>
      <c r="K15" s="32">
        <v>0.5</v>
      </c>
      <c r="L15" s="18" t="s">
        <v>48</v>
      </c>
      <c r="M15" s="18">
        <v>2021</v>
      </c>
      <c r="N15" s="18" t="s">
        <v>26</v>
      </c>
      <c r="O15" s="19">
        <v>70</v>
      </c>
      <c r="P15" s="18" t="s">
        <v>24</v>
      </c>
      <c r="Q15" s="19" t="s">
        <v>24</v>
      </c>
      <c r="R15" s="20">
        <v>30</v>
      </c>
      <c r="S15" s="34">
        <v>0.15</v>
      </c>
      <c r="T15" s="34">
        <v>0.35</v>
      </c>
      <c r="U15" s="34">
        <v>0</v>
      </c>
    </row>
    <row r="16" spans="1:21" x14ac:dyDescent="0.2">
      <c r="A16" s="18" t="s">
        <v>45</v>
      </c>
      <c r="B16" s="18" t="s">
        <v>46</v>
      </c>
      <c r="C16" s="18" t="s">
        <v>43</v>
      </c>
      <c r="D16" s="18" t="s">
        <v>171</v>
      </c>
      <c r="E16" s="18" t="s">
        <v>172</v>
      </c>
      <c r="F16" s="18" t="s">
        <v>173</v>
      </c>
      <c r="G16" s="18" t="s">
        <v>55</v>
      </c>
      <c r="H16" s="18" t="s">
        <v>22</v>
      </c>
      <c r="I16" s="18" t="s">
        <v>45</v>
      </c>
      <c r="J16" s="18" t="s">
        <v>46</v>
      </c>
      <c r="K16" s="32">
        <v>0.5</v>
      </c>
      <c r="L16" s="18" t="s">
        <v>52</v>
      </c>
      <c r="M16" s="18">
        <v>2021</v>
      </c>
      <c r="N16" s="18" t="s">
        <v>26</v>
      </c>
      <c r="O16" s="19">
        <v>50</v>
      </c>
      <c r="P16" s="18" t="s">
        <v>24</v>
      </c>
      <c r="Q16" s="19">
        <v>0</v>
      </c>
      <c r="R16" s="20">
        <v>50</v>
      </c>
      <c r="S16" s="34">
        <v>0.25</v>
      </c>
      <c r="T16" s="34">
        <v>0.25</v>
      </c>
      <c r="U16" s="34">
        <v>0</v>
      </c>
    </row>
    <row r="17" spans="1:21" x14ac:dyDescent="0.2">
      <c r="A17" s="18" t="s">
        <v>45</v>
      </c>
      <c r="B17" s="18" t="s">
        <v>46</v>
      </c>
      <c r="C17" s="18" t="s">
        <v>43</v>
      </c>
      <c r="D17" s="18" t="s">
        <v>174</v>
      </c>
      <c r="E17" s="18" t="s">
        <v>175</v>
      </c>
      <c r="F17" s="18" t="s">
        <v>176</v>
      </c>
      <c r="G17" s="18" t="s">
        <v>47</v>
      </c>
      <c r="H17" s="18" t="s">
        <v>22</v>
      </c>
      <c r="I17" s="18" t="s">
        <v>40</v>
      </c>
      <c r="J17" s="18" t="s">
        <v>41</v>
      </c>
      <c r="K17" s="32">
        <v>0.5</v>
      </c>
      <c r="L17" s="18" t="s">
        <v>42</v>
      </c>
      <c r="M17" s="18">
        <v>2021</v>
      </c>
      <c r="N17" s="18" t="s">
        <v>26</v>
      </c>
      <c r="O17" s="19">
        <v>10</v>
      </c>
      <c r="P17" s="18" t="s">
        <v>24</v>
      </c>
      <c r="Q17" s="19">
        <v>0</v>
      </c>
      <c r="R17" s="20">
        <v>90</v>
      </c>
      <c r="S17" s="34">
        <v>0.45</v>
      </c>
      <c r="T17" s="34">
        <v>0.05</v>
      </c>
      <c r="U17" s="34">
        <v>0</v>
      </c>
    </row>
    <row r="18" spans="1:21" x14ac:dyDescent="0.2">
      <c r="A18" s="18" t="s">
        <v>45</v>
      </c>
      <c r="B18" s="18" t="s">
        <v>46</v>
      </c>
      <c r="C18" s="18" t="s">
        <v>43</v>
      </c>
      <c r="D18" s="18" t="s">
        <v>212</v>
      </c>
      <c r="E18" s="18" t="s">
        <v>213</v>
      </c>
      <c r="F18" s="18" t="s">
        <v>214</v>
      </c>
      <c r="G18" s="18" t="s">
        <v>215</v>
      </c>
      <c r="H18" s="18" t="s">
        <v>25</v>
      </c>
      <c r="I18" s="18" t="s">
        <v>45</v>
      </c>
      <c r="J18" s="18" t="s">
        <v>46</v>
      </c>
      <c r="K18" s="32">
        <v>1</v>
      </c>
      <c r="L18" s="18" t="s">
        <v>52</v>
      </c>
      <c r="M18" s="18">
        <v>2021</v>
      </c>
      <c r="N18" s="18" t="s">
        <v>26</v>
      </c>
      <c r="O18" s="19">
        <v>50</v>
      </c>
      <c r="P18" s="18" t="s">
        <v>24</v>
      </c>
      <c r="Q18" s="19">
        <v>0</v>
      </c>
      <c r="R18" s="20">
        <v>50</v>
      </c>
      <c r="S18" s="34">
        <v>0.5</v>
      </c>
      <c r="T18" s="34">
        <v>0.5</v>
      </c>
      <c r="U18" s="34">
        <v>0</v>
      </c>
    </row>
    <row r="19" spans="1:21" x14ac:dyDescent="0.2">
      <c r="A19" s="18" t="s">
        <v>45</v>
      </c>
      <c r="B19" s="18" t="s">
        <v>46</v>
      </c>
      <c r="C19" s="18" t="s">
        <v>43</v>
      </c>
      <c r="D19" s="18" t="s">
        <v>177</v>
      </c>
      <c r="E19" s="18" t="s">
        <v>178</v>
      </c>
      <c r="F19" s="18" t="s">
        <v>173</v>
      </c>
      <c r="G19" s="18" t="s">
        <v>51</v>
      </c>
      <c r="H19" s="18" t="s">
        <v>25</v>
      </c>
      <c r="I19" s="18" t="s">
        <v>45</v>
      </c>
      <c r="J19" s="18" t="s">
        <v>46</v>
      </c>
      <c r="K19" s="32">
        <v>1</v>
      </c>
      <c r="L19" s="18" t="s">
        <v>52</v>
      </c>
      <c r="M19" s="18">
        <v>2021</v>
      </c>
      <c r="N19" s="18" t="s">
        <v>26</v>
      </c>
      <c r="O19" s="19">
        <v>85</v>
      </c>
      <c r="P19" s="18" t="s">
        <v>24</v>
      </c>
      <c r="Q19" s="19">
        <v>0</v>
      </c>
      <c r="R19" s="20">
        <v>15</v>
      </c>
      <c r="S19" s="34">
        <v>0.15</v>
      </c>
      <c r="T19" s="34">
        <v>0.85</v>
      </c>
      <c r="U19" s="34">
        <v>0</v>
      </c>
    </row>
    <row r="20" spans="1:21" x14ac:dyDescent="0.2">
      <c r="A20" s="18" t="s">
        <v>45</v>
      </c>
      <c r="B20" s="18" t="s">
        <v>46</v>
      </c>
      <c r="C20" s="18" t="s">
        <v>43</v>
      </c>
      <c r="D20" s="18" t="s">
        <v>179</v>
      </c>
      <c r="E20" s="18" t="s">
        <v>180</v>
      </c>
      <c r="F20" s="18" t="s">
        <v>181</v>
      </c>
      <c r="G20" s="18" t="s">
        <v>54</v>
      </c>
      <c r="H20" s="18" t="s">
        <v>22</v>
      </c>
      <c r="I20" s="18" t="s">
        <v>45</v>
      </c>
      <c r="J20" s="18" t="s">
        <v>46</v>
      </c>
      <c r="K20" s="32">
        <v>0.5</v>
      </c>
      <c r="L20" s="18" t="s">
        <v>52</v>
      </c>
      <c r="M20" s="18">
        <v>2021</v>
      </c>
      <c r="N20" s="18" t="s">
        <v>26</v>
      </c>
      <c r="O20" s="19">
        <v>85</v>
      </c>
      <c r="P20" s="18" t="s">
        <v>24</v>
      </c>
      <c r="Q20" s="19">
        <v>0</v>
      </c>
      <c r="R20" s="20">
        <v>15</v>
      </c>
      <c r="S20" s="34">
        <v>7.4999999999999997E-2</v>
      </c>
      <c r="T20" s="34">
        <v>0.42499999999999999</v>
      </c>
      <c r="U20" s="34">
        <v>0</v>
      </c>
    </row>
    <row r="21" spans="1:21" x14ac:dyDescent="0.2">
      <c r="A21" s="18" t="s">
        <v>30</v>
      </c>
      <c r="B21" s="18" t="s">
        <v>31</v>
      </c>
      <c r="C21" s="18" t="s">
        <v>32</v>
      </c>
      <c r="D21" s="18" t="s">
        <v>216</v>
      </c>
      <c r="E21" s="18" t="s">
        <v>217</v>
      </c>
      <c r="F21" s="18" t="s">
        <v>218</v>
      </c>
      <c r="G21" s="18" t="s">
        <v>49</v>
      </c>
      <c r="H21" s="18" t="s">
        <v>25</v>
      </c>
      <c r="I21" s="18" t="s">
        <v>30</v>
      </c>
      <c r="J21" s="18" t="s">
        <v>31</v>
      </c>
      <c r="K21" s="32">
        <v>1</v>
      </c>
      <c r="L21" s="18" t="s">
        <v>48</v>
      </c>
      <c r="M21" s="18">
        <v>2022</v>
      </c>
      <c r="N21" s="18" t="s">
        <v>26</v>
      </c>
      <c r="O21" s="19">
        <v>50</v>
      </c>
      <c r="P21" s="18" t="s">
        <v>24</v>
      </c>
      <c r="Q21" s="19">
        <v>0</v>
      </c>
      <c r="R21" s="20">
        <v>50</v>
      </c>
      <c r="S21" s="34">
        <v>0.5</v>
      </c>
      <c r="T21" s="34">
        <v>0.5</v>
      </c>
      <c r="U21" s="34">
        <v>0</v>
      </c>
    </row>
    <row r="22" spans="1:21" x14ac:dyDescent="0.2">
      <c r="A22" s="22" t="s">
        <v>30</v>
      </c>
      <c r="B22" s="22" t="s">
        <v>31</v>
      </c>
      <c r="C22" s="22" t="s">
        <v>32</v>
      </c>
      <c r="D22" s="22" t="s">
        <v>219</v>
      </c>
      <c r="E22" s="22" t="s">
        <v>220</v>
      </c>
      <c r="F22" s="22" t="s">
        <v>221</v>
      </c>
      <c r="G22" s="22" t="s">
        <v>50</v>
      </c>
      <c r="H22" s="22" t="s">
        <v>22</v>
      </c>
      <c r="I22" s="22" t="s">
        <v>30</v>
      </c>
      <c r="J22" s="22" t="s">
        <v>31</v>
      </c>
      <c r="K22" s="33">
        <v>0.5</v>
      </c>
      <c r="L22" s="22" t="s">
        <v>48</v>
      </c>
      <c r="M22" s="22">
        <v>2022</v>
      </c>
      <c r="N22" s="22" t="s">
        <v>26</v>
      </c>
      <c r="O22" s="23">
        <v>50</v>
      </c>
      <c r="P22" s="22" t="s">
        <v>24</v>
      </c>
      <c r="Q22" s="23">
        <v>0</v>
      </c>
      <c r="R22" s="24">
        <v>50</v>
      </c>
      <c r="S22" s="35">
        <v>0.25</v>
      </c>
      <c r="T22" s="35">
        <v>0.25</v>
      </c>
      <c r="U22" s="35">
        <v>0</v>
      </c>
    </row>
    <row r="23" spans="1:21" x14ac:dyDescent="0.2">
      <c r="A23" s="22" t="s">
        <v>30</v>
      </c>
      <c r="B23" s="22" t="s">
        <v>31</v>
      </c>
      <c r="C23" s="22" t="s">
        <v>32</v>
      </c>
      <c r="D23" s="22" t="s">
        <v>219</v>
      </c>
      <c r="E23" s="22" t="s">
        <v>220</v>
      </c>
      <c r="F23" s="22" t="s">
        <v>221</v>
      </c>
      <c r="G23" s="22" t="s">
        <v>222</v>
      </c>
      <c r="H23" s="22" t="s">
        <v>22</v>
      </c>
      <c r="I23" s="22" t="s">
        <v>30</v>
      </c>
      <c r="J23" s="22" t="s">
        <v>31</v>
      </c>
      <c r="K23" s="33">
        <v>0.5</v>
      </c>
      <c r="L23" s="22" t="s">
        <v>48</v>
      </c>
      <c r="M23" s="22">
        <v>2022</v>
      </c>
      <c r="N23" s="22" t="s">
        <v>26</v>
      </c>
      <c r="O23" s="23">
        <v>50</v>
      </c>
      <c r="P23" s="22" t="s">
        <v>24</v>
      </c>
      <c r="Q23" s="23">
        <v>0</v>
      </c>
      <c r="R23" s="24">
        <v>50</v>
      </c>
      <c r="S23" s="35">
        <v>0.25</v>
      </c>
      <c r="T23" s="35">
        <v>0.25</v>
      </c>
      <c r="U23" s="35">
        <v>0</v>
      </c>
    </row>
    <row r="24" spans="1:21" ht="12" thickBot="1" x14ac:dyDescent="0.25">
      <c r="A24" s="18" t="s">
        <v>30</v>
      </c>
      <c r="B24" s="18" t="s">
        <v>31</v>
      </c>
      <c r="C24" s="18" t="s">
        <v>32</v>
      </c>
      <c r="D24" s="18" t="s">
        <v>223</v>
      </c>
      <c r="E24" s="18" t="s">
        <v>224</v>
      </c>
      <c r="F24" s="18" t="s">
        <v>225</v>
      </c>
      <c r="G24" s="18" t="s">
        <v>222</v>
      </c>
      <c r="H24" s="18" t="s">
        <v>25</v>
      </c>
      <c r="I24" s="18" t="s">
        <v>30</v>
      </c>
      <c r="J24" s="18" t="s">
        <v>31</v>
      </c>
      <c r="K24" s="25">
        <v>1</v>
      </c>
      <c r="L24" s="25" t="s">
        <v>48</v>
      </c>
      <c r="M24" s="26">
        <v>2022</v>
      </c>
      <c r="N24" s="18" t="s">
        <v>26</v>
      </c>
      <c r="O24" s="19">
        <v>50</v>
      </c>
      <c r="P24" s="18" t="s">
        <v>24</v>
      </c>
      <c r="Q24" s="19">
        <v>0</v>
      </c>
      <c r="R24" s="18">
        <v>50</v>
      </c>
      <c r="S24" s="25">
        <v>0.5</v>
      </c>
      <c r="T24" s="25">
        <v>0.5</v>
      </c>
      <c r="U24" s="25">
        <v>0</v>
      </c>
    </row>
    <row r="25" spans="1:21" ht="12" thickBot="1" x14ac:dyDescent="0.25">
      <c r="A25" s="27" t="s">
        <v>45</v>
      </c>
      <c r="B25" s="27" t="s">
        <v>46</v>
      </c>
      <c r="C25" s="27" t="s">
        <v>43</v>
      </c>
      <c r="D25" s="27" t="s">
        <v>226</v>
      </c>
      <c r="E25" s="27" t="s">
        <v>227</v>
      </c>
      <c r="F25" s="27" t="s">
        <v>228</v>
      </c>
      <c r="G25" s="28" t="s">
        <v>54</v>
      </c>
      <c r="H25" s="29" t="s">
        <v>22</v>
      </c>
      <c r="I25" s="29" t="s">
        <v>45</v>
      </c>
      <c r="J25" s="30" t="s">
        <v>46</v>
      </c>
      <c r="K25" s="25">
        <v>0.5</v>
      </c>
      <c r="L25" s="25" t="s">
        <v>52</v>
      </c>
      <c r="M25" s="18">
        <v>2022</v>
      </c>
      <c r="N25" s="18" t="s">
        <v>26</v>
      </c>
      <c r="O25" s="19">
        <v>85</v>
      </c>
      <c r="P25" s="18" t="s">
        <v>24</v>
      </c>
      <c r="Q25" s="19">
        <v>0</v>
      </c>
      <c r="R25" s="18">
        <v>15</v>
      </c>
      <c r="S25" s="25">
        <v>7.4999999999999997E-2</v>
      </c>
      <c r="T25" s="34">
        <v>0.42499999999999999</v>
      </c>
      <c r="U25" s="25">
        <v>0</v>
      </c>
    </row>
    <row r="26" spans="1:21" ht="12" thickBot="1" x14ac:dyDescent="0.25">
      <c r="A26" s="27" t="s">
        <v>45</v>
      </c>
      <c r="B26" s="27" t="s">
        <v>46</v>
      </c>
      <c r="C26" s="27" t="s">
        <v>43</v>
      </c>
      <c r="D26" s="27" t="s">
        <v>229</v>
      </c>
      <c r="E26" s="27" t="s">
        <v>230</v>
      </c>
      <c r="F26" s="27" t="s">
        <v>231</v>
      </c>
      <c r="G26" s="28" t="s">
        <v>54</v>
      </c>
      <c r="H26" s="29" t="s">
        <v>25</v>
      </c>
      <c r="I26" s="29" t="s">
        <v>45</v>
      </c>
      <c r="J26" s="30" t="s">
        <v>46</v>
      </c>
      <c r="K26" s="25">
        <v>1</v>
      </c>
      <c r="L26" s="25" t="s">
        <v>52</v>
      </c>
      <c r="M26" s="18">
        <v>2022</v>
      </c>
      <c r="N26" s="18" t="s">
        <v>26</v>
      </c>
      <c r="O26" s="19">
        <v>85</v>
      </c>
      <c r="P26" s="18" t="s">
        <v>24</v>
      </c>
      <c r="Q26" s="19">
        <v>0</v>
      </c>
      <c r="R26" s="18">
        <v>15</v>
      </c>
      <c r="S26" s="25">
        <v>0.15</v>
      </c>
      <c r="T26" s="25">
        <v>0.85</v>
      </c>
      <c r="U26" s="25">
        <v>0</v>
      </c>
    </row>
    <row r="27" spans="1:21" ht="12" thickBot="1" x14ac:dyDescent="0.25">
      <c r="A27" s="27" t="s">
        <v>45</v>
      </c>
      <c r="B27" s="27" t="s">
        <v>46</v>
      </c>
      <c r="C27" s="27" t="s">
        <v>43</v>
      </c>
      <c r="D27" s="27" t="s">
        <v>232</v>
      </c>
      <c r="E27" s="27" t="s">
        <v>233</v>
      </c>
      <c r="F27" s="27" t="s">
        <v>234</v>
      </c>
      <c r="G27" s="28" t="s">
        <v>54</v>
      </c>
      <c r="H27" s="29" t="s">
        <v>22</v>
      </c>
      <c r="I27" s="29" t="s">
        <v>45</v>
      </c>
      <c r="J27" s="30" t="s">
        <v>46</v>
      </c>
      <c r="K27" s="25">
        <v>0.5</v>
      </c>
      <c r="L27" s="25" t="s">
        <v>52</v>
      </c>
      <c r="M27" s="18">
        <v>2022</v>
      </c>
      <c r="N27" s="18" t="s">
        <v>26</v>
      </c>
      <c r="O27" s="19">
        <v>85</v>
      </c>
      <c r="P27" s="18" t="s">
        <v>24</v>
      </c>
      <c r="Q27" s="19">
        <v>0</v>
      </c>
      <c r="R27" s="18">
        <v>15</v>
      </c>
      <c r="S27" s="25">
        <v>7.4999999999999997E-2</v>
      </c>
      <c r="T27" s="34">
        <v>0.42499999999999999</v>
      </c>
      <c r="U27" s="25">
        <v>0</v>
      </c>
    </row>
    <row r="28" spans="1:21" ht="12" thickBot="1" x14ac:dyDescent="0.25">
      <c r="A28" s="27" t="s">
        <v>45</v>
      </c>
      <c r="B28" s="27" t="s">
        <v>46</v>
      </c>
      <c r="C28" s="27" t="s">
        <v>43</v>
      </c>
      <c r="D28" s="27" t="s">
        <v>235</v>
      </c>
      <c r="E28" s="27" t="s">
        <v>236</v>
      </c>
      <c r="F28" s="27" t="s">
        <v>237</v>
      </c>
      <c r="G28" s="28" t="s">
        <v>238</v>
      </c>
      <c r="H28" s="29" t="s">
        <v>22</v>
      </c>
      <c r="I28" s="29" t="s">
        <v>45</v>
      </c>
      <c r="J28" s="30" t="s">
        <v>46</v>
      </c>
      <c r="K28" s="25">
        <v>0.5</v>
      </c>
      <c r="L28" s="25" t="s">
        <v>52</v>
      </c>
      <c r="M28" s="18">
        <v>2022</v>
      </c>
      <c r="N28" s="18" t="s">
        <v>26</v>
      </c>
      <c r="O28" s="19">
        <v>50</v>
      </c>
      <c r="P28" s="18" t="s">
        <v>24</v>
      </c>
      <c r="Q28" s="19">
        <v>0</v>
      </c>
      <c r="R28" s="18">
        <v>50</v>
      </c>
      <c r="S28" s="25">
        <v>0.25</v>
      </c>
      <c r="T28" s="25">
        <v>0.25</v>
      </c>
      <c r="U28" s="25">
        <v>0</v>
      </c>
    </row>
    <row r="29" spans="1:21" ht="12" thickBot="1" x14ac:dyDescent="0.25">
      <c r="A29" s="27" t="s">
        <v>45</v>
      </c>
      <c r="B29" s="27" t="s">
        <v>46</v>
      </c>
      <c r="C29" s="27" t="s">
        <v>43</v>
      </c>
      <c r="D29" s="27" t="s">
        <v>235</v>
      </c>
      <c r="E29" s="27" t="s">
        <v>236</v>
      </c>
      <c r="F29" s="27" t="s">
        <v>237</v>
      </c>
      <c r="G29" s="28" t="s">
        <v>47</v>
      </c>
      <c r="H29" s="29" t="s">
        <v>22</v>
      </c>
      <c r="I29" s="29" t="s">
        <v>239</v>
      </c>
      <c r="J29" s="30" t="s">
        <v>240</v>
      </c>
      <c r="K29" s="25">
        <v>0.5</v>
      </c>
      <c r="L29" s="25" t="s">
        <v>241</v>
      </c>
      <c r="M29" s="18">
        <v>2022</v>
      </c>
      <c r="N29" s="18" t="s">
        <v>26</v>
      </c>
      <c r="O29" s="19">
        <v>10</v>
      </c>
      <c r="P29" s="18" t="s">
        <v>24</v>
      </c>
      <c r="Q29" s="19">
        <v>0</v>
      </c>
      <c r="R29" s="18">
        <v>90</v>
      </c>
      <c r="S29" s="25">
        <v>0.45</v>
      </c>
      <c r="T29" s="34">
        <v>0.05</v>
      </c>
      <c r="U29" s="25">
        <v>0</v>
      </c>
    </row>
    <row r="30" spans="1:21" ht="12" thickBot="1" x14ac:dyDescent="0.25">
      <c r="A30" s="27" t="s">
        <v>34</v>
      </c>
      <c r="B30" s="27" t="s">
        <v>35</v>
      </c>
      <c r="C30" s="27" t="s">
        <v>37</v>
      </c>
      <c r="D30" s="27" t="s">
        <v>242</v>
      </c>
      <c r="E30" s="27" t="s">
        <v>243</v>
      </c>
      <c r="F30" s="27" t="s">
        <v>244</v>
      </c>
      <c r="G30" s="28" t="s">
        <v>57</v>
      </c>
      <c r="H30" s="29" t="s">
        <v>22</v>
      </c>
      <c r="I30" s="29" t="s">
        <v>34</v>
      </c>
      <c r="J30" s="30" t="s">
        <v>35</v>
      </c>
      <c r="K30" s="25">
        <v>0.5</v>
      </c>
      <c r="L30" s="25" t="s">
        <v>36</v>
      </c>
      <c r="M30" s="18">
        <v>2022</v>
      </c>
      <c r="N30" s="18" t="s">
        <v>26</v>
      </c>
      <c r="O30" s="19">
        <v>30</v>
      </c>
      <c r="P30" s="18" t="s">
        <v>24</v>
      </c>
      <c r="Q30" s="19">
        <v>0</v>
      </c>
      <c r="R30" s="18">
        <v>70</v>
      </c>
      <c r="S30" s="25">
        <v>0.35</v>
      </c>
      <c r="T30" s="34">
        <v>0.15</v>
      </c>
      <c r="U30" s="25">
        <v>0</v>
      </c>
    </row>
    <row r="31" spans="1:21" ht="12" thickBot="1" x14ac:dyDescent="0.25">
      <c r="A31" s="27" t="s">
        <v>245</v>
      </c>
      <c r="B31" s="27" t="s">
        <v>246</v>
      </c>
      <c r="C31" s="27" t="s">
        <v>247</v>
      </c>
      <c r="D31" s="27" t="s">
        <v>248</v>
      </c>
      <c r="E31" s="27" t="s">
        <v>249</v>
      </c>
      <c r="F31" s="27" t="s">
        <v>250</v>
      </c>
      <c r="G31" s="28" t="s">
        <v>251</v>
      </c>
      <c r="H31" s="29" t="s">
        <v>22</v>
      </c>
      <c r="I31" s="29" t="s">
        <v>239</v>
      </c>
      <c r="J31" s="30" t="s">
        <v>240</v>
      </c>
      <c r="K31" s="25">
        <v>0.5</v>
      </c>
      <c r="L31" s="25" t="s">
        <v>241</v>
      </c>
      <c r="M31" s="18">
        <v>2022</v>
      </c>
      <c r="N31" s="18" t="s">
        <v>26</v>
      </c>
      <c r="O31" s="19">
        <v>50</v>
      </c>
      <c r="P31" s="18" t="s">
        <v>24</v>
      </c>
      <c r="Q31" s="19">
        <v>0</v>
      </c>
      <c r="R31" s="18">
        <v>50</v>
      </c>
      <c r="S31" s="25">
        <v>0.25</v>
      </c>
      <c r="T31" s="34">
        <v>0.25</v>
      </c>
      <c r="U31" s="25">
        <v>0</v>
      </c>
    </row>
    <row r="32" spans="1:21" ht="12" thickBot="1" x14ac:dyDescent="0.25">
      <c r="A32" s="27" t="s">
        <v>245</v>
      </c>
      <c r="B32" s="27" t="s">
        <v>246</v>
      </c>
      <c r="C32" s="27" t="s">
        <v>247</v>
      </c>
      <c r="D32" s="27" t="s">
        <v>252</v>
      </c>
      <c r="E32" s="27" t="s">
        <v>253</v>
      </c>
      <c r="F32" s="27" t="s">
        <v>254</v>
      </c>
      <c r="G32" s="28" t="s">
        <v>255</v>
      </c>
      <c r="H32" s="29" t="s">
        <v>22</v>
      </c>
      <c r="I32" s="29" t="s">
        <v>239</v>
      </c>
      <c r="J32" s="30" t="s">
        <v>240</v>
      </c>
      <c r="K32" s="25">
        <v>0.5</v>
      </c>
      <c r="L32" s="25" t="s">
        <v>241</v>
      </c>
      <c r="M32" s="18">
        <v>2022</v>
      </c>
      <c r="N32" s="18" t="s">
        <v>26</v>
      </c>
      <c r="O32" s="19">
        <v>50</v>
      </c>
      <c r="P32" s="18" t="s">
        <v>24</v>
      </c>
      <c r="Q32" s="19">
        <v>0</v>
      </c>
      <c r="R32" s="18">
        <v>50</v>
      </c>
      <c r="S32" s="25">
        <v>0.25</v>
      </c>
      <c r="T32" s="34">
        <v>0.25</v>
      </c>
      <c r="U32" s="25">
        <v>0</v>
      </c>
    </row>
    <row r="33" spans="1:21" x14ac:dyDescent="0.2">
      <c r="A33" s="18" t="s">
        <v>34</v>
      </c>
      <c r="B33" s="18" t="s">
        <v>35</v>
      </c>
      <c r="C33" s="18" t="s">
        <v>37</v>
      </c>
      <c r="D33" s="18" t="s">
        <v>144</v>
      </c>
      <c r="E33" s="18" t="s">
        <v>182</v>
      </c>
      <c r="F33" s="18" t="s">
        <v>145</v>
      </c>
      <c r="G33" s="18" t="s">
        <v>38</v>
      </c>
      <c r="H33" s="18" t="s">
        <v>22</v>
      </c>
      <c r="I33" s="18" t="s">
        <v>34</v>
      </c>
      <c r="J33" s="18" t="s">
        <v>35</v>
      </c>
      <c r="K33" s="25">
        <v>0.33333333333333331</v>
      </c>
      <c r="L33" s="25" t="s">
        <v>36</v>
      </c>
      <c r="M33" s="18">
        <v>2020</v>
      </c>
      <c r="N33" s="18" t="s">
        <v>23</v>
      </c>
      <c r="O33" s="19">
        <v>10</v>
      </c>
      <c r="P33" s="18" t="s">
        <v>26</v>
      </c>
      <c r="Q33" s="19">
        <v>10</v>
      </c>
      <c r="R33" s="18">
        <v>80</v>
      </c>
      <c r="S33" s="25">
        <v>0.26666666666666666</v>
      </c>
      <c r="T33" s="34">
        <v>3.3333333333333333E-2</v>
      </c>
      <c r="U33" s="25">
        <v>3.3333333333333333E-2</v>
      </c>
    </row>
    <row r="34" spans="1:21" x14ac:dyDescent="0.2">
      <c r="A34" s="18" t="s">
        <v>34</v>
      </c>
      <c r="B34" s="18" t="s">
        <v>35</v>
      </c>
      <c r="C34" s="18" t="s">
        <v>37</v>
      </c>
      <c r="D34" s="18" t="s">
        <v>146</v>
      </c>
      <c r="E34" s="18" t="s">
        <v>147</v>
      </c>
      <c r="F34" s="18" t="s">
        <v>148</v>
      </c>
      <c r="G34" s="18" t="s">
        <v>38</v>
      </c>
      <c r="H34" s="18" t="s">
        <v>22</v>
      </c>
      <c r="I34" s="18" t="s">
        <v>34</v>
      </c>
      <c r="J34" s="18" t="s">
        <v>35</v>
      </c>
      <c r="K34" s="25">
        <v>0.5</v>
      </c>
      <c r="L34" s="25" t="s">
        <v>36</v>
      </c>
      <c r="M34" s="18">
        <v>2020</v>
      </c>
      <c r="N34" s="18" t="s">
        <v>23</v>
      </c>
      <c r="O34" s="19">
        <v>10</v>
      </c>
      <c r="P34" s="18" t="s">
        <v>26</v>
      </c>
      <c r="Q34" s="19">
        <v>10</v>
      </c>
      <c r="R34" s="18">
        <v>80</v>
      </c>
      <c r="S34" s="25">
        <v>0.4</v>
      </c>
      <c r="T34" s="34">
        <v>0.05</v>
      </c>
      <c r="U34" s="25">
        <v>0.05</v>
      </c>
    </row>
    <row r="35" spans="1:21" x14ac:dyDescent="0.2">
      <c r="A35" s="18" t="s">
        <v>34</v>
      </c>
      <c r="B35" s="18" t="s">
        <v>35</v>
      </c>
      <c r="C35" s="18" t="s">
        <v>37</v>
      </c>
      <c r="D35" s="18" t="s">
        <v>194</v>
      </c>
      <c r="E35" s="18" t="s">
        <v>195</v>
      </c>
      <c r="F35" s="18" t="s">
        <v>196</v>
      </c>
      <c r="G35" s="18" t="s">
        <v>38</v>
      </c>
      <c r="H35" s="18" t="s">
        <v>22</v>
      </c>
      <c r="I35" s="18" t="s">
        <v>34</v>
      </c>
      <c r="J35" s="18" t="s">
        <v>35</v>
      </c>
      <c r="K35" s="25">
        <v>0.5</v>
      </c>
      <c r="L35" s="25" t="s">
        <v>36</v>
      </c>
      <c r="M35" s="18">
        <v>2020</v>
      </c>
      <c r="N35" s="18" t="s">
        <v>23</v>
      </c>
      <c r="O35" s="19">
        <v>10</v>
      </c>
      <c r="P35" s="18" t="s">
        <v>26</v>
      </c>
      <c r="Q35" s="19">
        <v>10</v>
      </c>
      <c r="R35" s="18">
        <v>80</v>
      </c>
      <c r="S35" s="25">
        <v>0.4</v>
      </c>
      <c r="T35" s="34">
        <v>0.05</v>
      </c>
      <c r="U35" s="25">
        <v>0.05</v>
      </c>
    </row>
    <row r="36" spans="1:21" x14ac:dyDescent="0.2">
      <c r="A36" s="18" t="s">
        <v>34</v>
      </c>
      <c r="B36" s="18" t="s">
        <v>35</v>
      </c>
      <c r="C36" s="18" t="s">
        <v>37</v>
      </c>
      <c r="D36" s="18" t="s">
        <v>183</v>
      </c>
      <c r="E36" s="18" t="s">
        <v>184</v>
      </c>
      <c r="F36" s="18" t="s">
        <v>185</v>
      </c>
      <c r="G36" s="18" t="s">
        <v>38</v>
      </c>
      <c r="H36" s="18" t="s">
        <v>22</v>
      </c>
      <c r="I36" s="18" t="s">
        <v>34</v>
      </c>
      <c r="J36" s="18" t="s">
        <v>35</v>
      </c>
      <c r="K36" s="25">
        <v>0.5</v>
      </c>
      <c r="L36" s="25" t="s">
        <v>36</v>
      </c>
      <c r="M36" s="18">
        <v>2021</v>
      </c>
      <c r="N36" s="18" t="s">
        <v>23</v>
      </c>
      <c r="O36" s="19">
        <v>10</v>
      </c>
      <c r="P36" s="18" t="s">
        <v>26</v>
      </c>
      <c r="Q36" s="19">
        <v>10</v>
      </c>
      <c r="R36" s="18">
        <v>80</v>
      </c>
      <c r="S36" s="25">
        <v>0.4</v>
      </c>
      <c r="T36" s="34">
        <v>0.05</v>
      </c>
      <c r="U36" s="25">
        <v>0.05</v>
      </c>
    </row>
    <row r="37" spans="1:21" x14ac:dyDescent="0.2">
      <c r="A37" s="18" t="s">
        <v>186</v>
      </c>
      <c r="B37" s="18" t="s">
        <v>187</v>
      </c>
      <c r="C37" s="18" t="s">
        <v>188</v>
      </c>
      <c r="D37" s="18" t="s">
        <v>189</v>
      </c>
      <c r="E37" s="18" t="s">
        <v>190</v>
      </c>
      <c r="F37" s="31" t="s">
        <v>191</v>
      </c>
      <c r="G37" s="18" t="s">
        <v>38</v>
      </c>
      <c r="H37" s="18" t="s">
        <v>25</v>
      </c>
      <c r="I37" s="18" t="s">
        <v>34</v>
      </c>
      <c r="J37" s="18" t="s">
        <v>35</v>
      </c>
      <c r="K37" s="25">
        <v>1</v>
      </c>
      <c r="L37" s="25" t="s">
        <v>36</v>
      </c>
      <c r="M37" s="18">
        <v>2021</v>
      </c>
      <c r="N37" s="18" t="s">
        <v>23</v>
      </c>
      <c r="O37" s="19">
        <v>10</v>
      </c>
      <c r="P37" s="18" t="s">
        <v>26</v>
      </c>
      <c r="Q37" s="19">
        <v>10</v>
      </c>
      <c r="R37" s="18">
        <v>80</v>
      </c>
      <c r="S37" s="25">
        <v>0.8</v>
      </c>
      <c r="T37" s="34">
        <v>0.1</v>
      </c>
      <c r="U37" s="25">
        <v>0.1</v>
      </c>
    </row>
    <row r="38" spans="1:21" s="58" customFormat="1" x14ac:dyDescent="0.2">
      <c r="A38" s="57" t="s">
        <v>48</v>
      </c>
      <c r="B38" s="57" t="s">
        <v>317</v>
      </c>
      <c r="C38" s="57" t="s">
        <v>318</v>
      </c>
      <c r="D38" s="57" t="s">
        <v>319</v>
      </c>
      <c r="E38" s="57" t="s">
        <v>320</v>
      </c>
      <c r="F38" s="57" t="s">
        <v>321</v>
      </c>
      <c r="G38" s="57" t="s">
        <v>117</v>
      </c>
      <c r="H38" s="57" t="s">
        <v>322</v>
      </c>
      <c r="I38" s="57" t="s">
        <v>48</v>
      </c>
      <c r="J38" s="57" t="s">
        <v>317</v>
      </c>
      <c r="K38" s="57">
        <v>1</v>
      </c>
      <c r="L38" s="57" t="s">
        <v>48</v>
      </c>
      <c r="M38" s="57">
        <v>2023</v>
      </c>
      <c r="N38" s="57" t="s">
        <v>26</v>
      </c>
      <c r="O38" s="57" t="s">
        <v>27</v>
      </c>
      <c r="P38" s="57" t="s">
        <v>24</v>
      </c>
      <c r="Q38" s="57" t="s">
        <v>24</v>
      </c>
      <c r="R38" s="57">
        <v>50</v>
      </c>
      <c r="S38" s="57">
        <v>0.5</v>
      </c>
      <c r="T38" s="57">
        <v>0.5</v>
      </c>
      <c r="U38" s="57">
        <v>0</v>
      </c>
    </row>
    <row r="39" spans="1:21" x14ac:dyDescent="0.2">
      <c r="A39" s="18" t="s">
        <v>48</v>
      </c>
      <c r="B39" s="18" t="s">
        <v>317</v>
      </c>
      <c r="C39" s="18" t="s">
        <v>318</v>
      </c>
      <c r="D39" s="18" t="s">
        <v>323</v>
      </c>
      <c r="E39" s="18" t="s">
        <v>324</v>
      </c>
      <c r="F39" s="18" t="s">
        <v>325</v>
      </c>
      <c r="G39" s="18" t="s">
        <v>80</v>
      </c>
      <c r="H39" s="18" t="s">
        <v>326</v>
      </c>
      <c r="I39" s="18" t="s">
        <v>48</v>
      </c>
      <c r="J39" s="18" t="s">
        <v>317</v>
      </c>
      <c r="K39" s="18">
        <v>0.5</v>
      </c>
      <c r="L39" s="18" t="s">
        <v>48</v>
      </c>
      <c r="M39" s="18">
        <v>2023</v>
      </c>
      <c r="N39" s="18" t="s">
        <v>26</v>
      </c>
      <c r="O39" s="18" t="s">
        <v>327</v>
      </c>
      <c r="P39" s="18" t="s">
        <v>24</v>
      </c>
      <c r="Q39" s="18" t="s">
        <v>24</v>
      </c>
      <c r="R39" s="18">
        <v>30</v>
      </c>
      <c r="S39" s="18">
        <v>0.15</v>
      </c>
      <c r="T39" s="18">
        <v>0.35</v>
      </c>
      <c r="U39" s="18">
        <v>0</v>
      </c>
    </row>
    <row r="40" spans="1:21" x14ac:dyDescent="0.2">
      <c r="A40" s="18" t="s">
        <v>48</v>
      </c>
      <c r="B40" s="18" t="s">
        <v>317</v>
      </c>
      <c r="C40" s="18" t="s">
        <v>318</v>
      </c>
      <c r="D40" s="18" t="s">
        <v>328</v>
      </c>
      <c r="E40" s="18" t="s">
        <v>329</v>
      </c>
      <c r="F40" s="18" t="s">
        <v>330</v>
      </c>
      <c r="G40" s="18" t="s">
        <v>152</v>
      </c>
      <c r="H40" s="18" t="s">
        <v>326</v>
      </c>
      <c r="I40" s="18" t="s">
        <v>48</v>
      </c>
      <c r="J40" s="18" t="s">
        <v>317</v>
      </c>
      <c r="K40" s="18">
        <v>0.5</v>
      </c>
      <c r="L40" s="18" t="s">
        <v>48</v>
      </c>
      <c r="M40" s="18">
        <v>2023</v>
      </c>
      <c r="N40" s="18" t="s">
        <v>26</v>
      </c>
      <c r="O40" s="18" t="s">
        <v>27</v>
      </c>
      <c r="P40" s="18" t="s">
        <v>24</v>
      </c>
      <c r="Q40" s="18" t="s">
        <v>24</v>
      </c>
      <c r="R40" s="18">
        <v>50</v>
      </c>
      <c r="S40" s="18">
        <v>0.25</v>
      </c>
      <c r="T40" s="18">
        <v>0.25</v>
      </c>
      <c r="U40" s="18">
        <v>0</v>
      </c>
    </row>
    <row r="41" spans="1:21" x14ac:dyDescent="0.2">
      <c r="A41" s="18" t="s">
        <v>52</v>
      </c>
      <c r="B41" s="18" t="s">
        <v>331</v>
      </c>
      <c r="C41" s="18" t="s">
        <v>332</v>
      </c>
      <c r="D41" s="18" t="s">
        <v>333</v>
      </c>
      <c r="E41" s="18" t="s">
        <v>334</v>
      </c>
      <c r="F41" s="18" t="s">
        <v>335</v>
      </c>
      <c r="G41" s="18" t="s">
        <v>256</v>
      </c>
      <c r="H41" s="18" t="s">
        <v>322</v>
      </c>
      <c r="I41" s="18" t="s">
        <v>52</v>
      </c>
      <c r="J41" s="18" t="s">
        <v>331</v>
      </c>
      <c r="K41" s="18">
        <v>1</v>
      </c>
      <c r="L41" s="18" t="s">
        <v>52</v>
      </c>
      <c r="M41" s="18">
        <v>2023</v>
      </c>
      <c r="N41" s="18" t="s">
        <v>26</v>
      </c>
      <c r="O41" s="18" t="s">
        <v>27</v>
      </c>
      <c r="P41" s="18" t="s">
        <v>24</v>
      </c>
      <c r="Q41" s="18" t="s">
        <v>24</v>
      </c>
      <c r="R41" s="18">
        <v>50</v>
      </c>
      <c r="S41" s="18">
        <v>0.5</v>
      </c>
      <c r="T41" s="18">
        <v>0.5</v>
      </c>
      <c r="U41" s="18">
        <v>0</v>
      </c>
    </row>
    <row r="42" spans="1:21" x14ac:dyDescent="0.2">
      <c r="A42" s="18" t="s">
        <v>52</v>
      </c>
      <c r="B42" s="18" t="s">
        <v>331</v>
      </c>
      <c r="C42" s="18" t="s">
        <v>332</v>
      </c>
      <c r="D42" s="18" t="s">
        <v>336</v>
      </c>
      <c r="E42" s="18" t="s">
        <v>337</v>
      </c>
      <c r="F42" s="18" t="s">
        <v>335</v>
      </c>
      <c r="G42" s="18" t="s">
        <v>85</v>
      </c>
      <c r="H42" s="18" t="s">
        <v>322</v>
      </c>
      <c r="I42" s="18" t="s">
        <v>52</v>
      </c>
      <c r="J42" s="18" t="s">
        <v>331</v>
      </c>
      <c r="K42" s="18">
        <v>1</v>
      </c>
      <c r="L42" s="18" t="s">
        <v>52</v>
      </c>
      <c r="M42" s="18">
        <v>2023</v>
      </c>
      <c r="N42" s="18" t="s">
        <v>26</v>
      </c>
      <c r="O42" s="18" t="s">
        <v>27</v>
      </c>
      <c r="P42" s="18" t="s">
        <v>24</v>
      </c>
      <c r="Q42" s="18" t="s">
        <v>24</v>
      </c>
      <c r="R42" s="18">
        <v>50</v>
      </c>
      <c r="S42" s="18">
        <v>0.5</v>
      </c>
      <c r="T42" s="18">
        <v>0.5</v>
      </c>
      <c r="U42" s="18">
        <v>0</v>
      </c>
    </row>
    <row r="43" spans="1:21" x14ac:dyDescent="0.2">
      <c r="A43" s="18" t="s">
        <v>52</v>
      </c>
      <c r="B43" s="18" t="s">
        <v>331</v>
      </c>
      <c r="C43" s="18" t="s">
        <v>332</v>
      </c>
      <c r="D43" s="18" t="s">
        <v>338</v>
      </c>
      <c r="E43" s="18" t="s">
        <v>339</v>
      </c>
      <c r="F43" s="18" t="s">
        <v>340</v>
      </c>
      <c r="G43" s="18" t="s">
        <v>88</v>
      </c>
      <c r="H43" s="18" t="s">
        <v>326</v>
      </c>
      <c r="I43" s="18" t="s">
        <v>241</v>
      </c>
      <c r="J43" s="18" t="s">
        <v>341</v>
      </c>
      <c r="K43" s="18">
        <v>0.5</v>
      </c>
      <c r="L43" s="18" t="s">
        <v>241</v>
      </c>
      <c r="M43" s="18">
        <v>2023</v>
      </c>
      <c r="N43" s="18" t="s">
        <v>26</v>
      </c>
      <c r="O43" s="18" t="s">
        <v>28</v>
      </c>
      <c r="P43" s="18" t="s">
        <v>24</v>
      </c>
      <c r="Q43" s="18" t="s">
        <v>24</v>
      </c>
      <c r="R43" s="18">
        <v>80</v>
      </c>
      <c r="S43" s="18">
        <v>0.4</v>
      </c>
      <c r="T43" s="18">
        <v>0.1</v>
      </c>
      <c r="U43" s="18">
        <v>0</v>
      </c>
    </row>
    <row r="44" spans="1:21" x14ac:dyDescent="0.2">
      <c r="A44" s="18" t="s">
        <v>52</v>
      </c>
      <c r="B44" s="18" t="s">
        <v>331</v>
      </c>
      <c r="C44" s="18" t="s">
        <v>332</v>
      </c>
      <c r="D44" s="18" t="s">
        <v>338</v>
      </c>
      <c r="E44" s="18" t="s">
        <v>339</v>
      </c>
      <c r="F44" s="18" t="s">
        <v>340</v>
      </c>
      <c r="G44" s="18" t="s">
        <v>81</v>
      </c>
      <c r="H44" s="18" t="s">
        <v>326</v>
      </c>
      <c r="I44" s="18" t="s">
        <v>241</v>
      </c>
      <c r="J44" s="18" t="s">
        <v>341</v>
      </c>
      <c r="K44" s="18">
        <v>0.5</v>
      </c>
      <c r="L44" s="18" t="s">
        <v>241</v>
      </c>
      <c r="M44" s="18">
        <v>2023</v>
      </c>
      <c r="N44" s="18" t="s">
        <v>26</v>
      </c>
      <c r="O44" s="18" t="s">
        <v>29</v>
      </c>
      <c r="P44" s="18" t="s">
        <v>24</v>
      </c>
      <c r="Q44" s="18" t="s">
        <v>24</v>
      </c>
      <c r="R44" s="18">
        <v>90</v>
      </c>
      <c r="S44" s="18">
        <v>0.45</v>
      </c>
      <c r="T44" s="18">
        <v>0.05</v>
      </c>
      <c r="U44" s="18">
        <v>0</v>
      </c>
    </row>
    <row r="45" spans="1:21" x14ac:dyDescent="0.2">
      <c r="A45" s="18" t="s">
        <v>52</v>
      </c>
      <c r="B45" s="18" t="s">
        <v>331</v>
      </c>
      <c r="C45" s="18" t="s">
        <v>332</v>
      </c>
      <c r="D45" s="18" t="s">
        <v>342</v>
      </c>
      <c r="E45" s="18" t="s">
        <v>343</v>
      </c>
      <c r="F45" s="18" t="s">
        <v>344</v>
      </c>
      <c r="G45" s="18" t="s">
        <v>87</v>
      </c>
      <c r="H45" s="18" t="s">
        <v>322</v>
      </c>
      <c r="I45" s="18" t="s">
        <v>52</v>
      </c>
      <c r="J45" s="18" t="s">
        <v>331</v>
      </c>
      <c r="K45" s="18">
        <v>1</v>
      </c>
      <c r="L45" s="18" t="s">
        <v>52</v>
      </c>
      <c r="M45" s="18">
        <v>2023</v>
      </c>
      <c r="N45" s="18" t="s">
        <v>26</v>
      </c>
      <c r="O45" s="18" t="s">
        <v>53</v>
      </c>
      <c r="P45" s="18" t="s">
        <v>24</v>
      </c>
      <c r="Q45" s="18" t="s">
        <v>24</v>
      </c>
      <c r="R45" s="18">
        <v>15</v>
      </c>
      <c r="S45" s="18">
        <v>0.15</v>
      </c>
      <c r="T45" s="18">
        <v>0.85</v>
      </c>
      <c r="U45" s="18">
        <v>0</v>
      </c>
    </row>
    <row r="46" spans="1:21" x14ac:dyDescent="0.2">
      <c r="A46" s="18" t="s">
        <v>52</v>
      </c>
      <c r="B46" s="18" t="s">
        <v>331</v>
      </c>
      <c r="C46" s="18" t="s">
        <v>332</v>
      </c>
      <c r="D46" s="18" t="s">
        <v>345</v>
      </c>
      <c r="E46" s="18" t="s">
        <v>346</v>
      </c>
      <c r="F46" s="18" t="s">
        <v>347</v>
      </c>
      <c r="G46" s="18" t="s">
        <v>88</v>
      </c>
      <c r="H46" s="18" t="s">
        <v>326</v>
      </c>
      <c r="I46" s="18" t="s">
        <v>241</v>
      </c>
      <c r="J46" s="18" t="s">
        <v>341</v>
      </c>
      <c r="K46" s="18">
        <v>0.5</v>
      </c>
      <c r="L46" s="18" t="s">
        <v>241</v>
      </c>
      <c r="M46" s="18">
        <v>2023</v>
      </c>
      <c r="N46" s="18" t="s">
        <v>26</v>
      </c>
      <c r="O46" s="18" t="s">
        <v>28</v>
      </c>
      <c r="P46" s="18" t="s">
        <v>24</v>
      </c>
      <c r="Q46" s="18" t="s">
        <v>24</v>
      </c>
      <c r="R46" s="18">
        <v>80</v>
      </c>
      <c r="S46" s="18">
        <v>0.4</v>
      </c>
      <c r="T46" s="18">
        <v>0.1</v>
      </c>
      <c r="U46" s="18">
        <v>0</v>
      </c>
    </row>
    <row r="47" spans="1:21" x14ac:dyDescent="0.2">
      <c r="A47" s="18" t="s">
        <v>52</v>
      </c>
      <c r="B47" s="18" t="s">
        <v>331</v>
      </c>
      <c r="C47" s="18" t="s">
        <v>332</v>
      </c>
      <c r="D47" s="18" t="s">
        <v>345</v>
      </c>
      <c r="E47" s="18" t="s">
        <v>346</v>
      </c>
      <c r="F47" s="18" t="s">
        <v>347</v>
      </c>
      <c r="G47" s="18" t="s">
        <v>81</v>
      </c>
      <c r="H47" s="18" t="s">
        <v>326</v>
      </c>
      <c r="I47" s="18" t="s">
        <v>241</v>
      </c>
      <c r="J47" s="18" t="s">
        <v>341</v>
      </c>
      <c r="K47" s="18">
        <v>0.5</v>
      </c>
      <c r="L47" s="18" t="s">
        <v>241</v>
      </c>
      <c r="M47" s="18">
        <v>2023</v>
      </c>
      <c r="N47" s="18" t="s">
        <v>26</v>
      </c>
      <c r="O47" s="18" t="s">
        <v>29</v>
      </c>
      <c r="P47" s="18" t="s">
        <v>24</v>
      </c>
      <c r="Q47" s="18" t="s">
        <v>24</v>
      </c>
      <c r="R47" s="18">
        <v>90</v>
      </c>
      <c r="S47" s="18">
        <v>0.45</v>
      </c>
      <c r="T47" s="18">
        <v>0.05</v>
      </c>
      <c r="U47" s="18">
        <v>0</v>
      </c>
    </row>
    <row r="48" spans="1:21" x14ac:dyDescent="0.2">
      <c r="A48" s="18" t="s">
        <v>52</v>
      </c>
      <c r="B48" s="18" t="s">
        <v>331</v>
      </c>
      <c r="C48" s="18" t="s">
        <v>332</v>
      </c>
      <c r="D48" s="18" t="s">
        <v>348</v>
      </c>
      <c r="E48" s="18" t="s">
        <v>349</v>
      </c>
      <c r="F48" s="18" t="s">
        <v>350</v>
      </c>
      <c r="G48" s="18" t="s">
        <v>85</v>
      </c>
      <c r="H48" s="18" t="s">
        <v>322</v>
      </c>
      <c r="I48" s="18" t="s">
        <v>52</v>
      </c>
      <c r="J48" s="18" t="s">
        <v>331</v>
      </c>
      <c r="K48" s="18">
        <v>1</v>
      </c>
      <c r="L48" s="18" t="s">
        <v>52</v>
      </c>
      <c r="M48" s="18">
        <v>2023</v>
      </c>
      <c r="N48" s="18" t="s">
        <v>26</v>
      </c>
      <c r="O48" s="18" t="s">
        <v>27</v>
      </c>
      <c r="P48" s="18" t="s">
        <v>24</v>
      </c>
      <c r="Q48" s="18" t="s">
        <v>24</v>
      </c>
      <c r="R48" s="18">
        <v>50</v>
      </c>
      <c r="S48" s="18">
        <v>0.5</v>
      </c>
      <c r="T48" s="18">
        <v>0.5</v>
      </c>
      <c r="U48" s="18">
        <v>0</v>
      </c>
    </row>
    <row r="49" spans="1:21" x14ac:dyDescent="0.2">
      <c r="A49" s="18" t="s">
        <v>52</v>
      </c>
      <c r="B49" s="18" t="s">
        <v>331</v>
      </c>
      <c r="C49" s="18" t="s">
        <v>332</v>
      </c>
      <c r="D49" s="18" t="s">
        <v>351</v>
      </c>
      <c r="E49" s="18" t="s">
        <v>352</v>
      </c>
      <c r="F49" s="18" t="s">
        <v>353</v>
      </c>
      <c r="G49" s="18" t="s">
        <v>87</v>
      </c>
      <c r="H49" s="18" t="s">
        <v>326</v>
      </c>
      <c r="I49" s="18" t="s">
        <v>52</v>
      </c>
      <c r="J49" s="18" t="s">
        <v>331</v>
      </c>
      <c r="K49" s="18">
        <v>0.5</v>
      </c>
      <c r="L49" s="18" t="s">
        <v>52</v>
      </c>
      <c r="M49" s="18">
        <v>2023</v>
      </c>
      <c r="N49" s="18" t="s">
        <v>26</v>
      </c>
      <c r="O49" s="18" t="s">
        <v>53</v>
      </c>
      <c r="P49" s="18" t="s">
        <v>24</v>
      </c>
      <c r="Q49" s="18" t="s">
        <v>24</v>
      </c>
      <c r="R49" s="18">
        <v>15</v>
      </c>
      <c r="S49" s="18">
        <v>7.4999999999999997E-2</v>
      </c>
      <c r="T49" s="18">
        <v>0.42499999999999999</v>
      </c>
      <c r="U49" s="18">
        <v>0</v>
      </c>
    </row>
    <row r="50" spans="1:21" x14ac:dyDescent="0.2">
      <c r="A50" s="18" t="s">
        <v>52</v>
      </c>
      <c r="B50" s="18" t="s">
        <v>331</v>
      </c>
      <c r="C50" s="18" t="s">
        <v>332</v>
      </c>
      <c r="D50" s="18" t="s">
        <v>354</v>
      </c>
      <c r="E50" s="18" t="s">
        <v>355</v>
      </c>
      <c r="F50" s="18" t="s">
        <v>356</v>
      </c>
      <c r="G50" s="18" t="s">
        <v>97</v>
      </c>
      <c r="H50" s="18" t="s">
        <v>322</v>
      </c>
      <c r="I50" s="18" t="s">
        <v>52</v>
      </c>
      <c r="J50" s="18" t="s">
        <v>331</v>
      </c>
      <c r="K50" s="18">
        <v>1</v>
      </c>
      <c r="L50" s="18" t="s">
        <v>52</v>
      </c>
      <c r="M50" s="18">
        <v>2023</v>
      </c>
      <c r="N50" s="18" t="s">
        <v>26</v>
      </c>
      <c r="O50" s="18" t="s">
        <v>27</v>
      </c>
      <c r="P50" s="18" t="s">
        <v>24</v>
      </c>
      <c r="Q50" s="18" t="s">
        <v>24</v>
      </c>
      <c r="R50" s="18">
        <v>50</v>
      </c>
      <c r="S50" s="18">
        <v>0.5</v>
      </c>
      <c r="T50" s="18">
        <v>0.5</v>
      </c>
      <c r="U50" s="18">
        <v>0</v>
      </c>
    </row>
    <row r="51" spans="1:21" x14ac:dyDescent="0.2">
      <c r="A51" s="18" t="s">
        <v>52</v>
      </c>
      <c r="B51" s="18" t="s">
        <v>331</v>
      </c>
      <c r="C51" s="18" t="s">
        <v>332</v>
      </c>
      <c r="D51" s="18" t="s">
        <v>357</v>
      </c>
      <c r="E51" s="18" t="s">
        <v>358</v>
      </c>
      <c r="F51" s="18" t="s">
        <v>359</v>
      </c>
      <c r="G51" s="18" t="s">
        <v>98</v>
      </c>
      <c r="H51" s="18" t="s">
        <v>322</v>
      </c>
      <c r="I51" s="18" t="s">
        <v>241</v>
      </c>
      <c r="J51" s="18" t="s">
        <v>341</v>
      </c>
      <c r="K51" s="18">
        <v>1</v>
      </c>
      <c r="L51" s="18" t="s">
        <v>241</v>
      </c>
      <c r="M51" s="18">
        <v>2023</v>
      </c>
      <c r="N51" s="18" t="s">
        <v>26</v>
      </c>
      <c r="O51" s="18" t="s">
        <v>27</v>
      </c>
      <c r="P51" s="18" t="s">
        <v>24</v>
      </c>
      <c r="Q51" s="18" t="s">
        <v>24</v>
      </c>
      <c r="R51" s="18">
        <v>50</v>
      </c>
      <c r="S51" s="18">
        <v>0.5</v>
      </c>
      <c r="T51" s="18">
        <v>0.5</v>
      </c>
      <c r="U51" s="18">
        <v>0</v>
      </c>
    </row>
    <row r="52" spans="1:21" x14ac:dyDescent="0.2">
      <c r="A52" s="18" t="s">
        <v>100</v>
      </c>
      <c r="B52" s="18" t="s">
        <v>360</v>
      </c>
      <c r="C52" s="18" t="s">
        <v>361</v>
      </c>
      <c r="D52" s="18" t="s">
        <v>362</v>
      </c>
      <c r="E52" s="18" t="s">
        <v>363</v>
      </c>
      <c r="F52" s="18" t="s">
        <v>364</v>
      </c>
      <c r="G52" s="18" t="s">
        <v>99</v>
      </c>
      <c r="H52" s="18" t="s">
        <v>326</v>
      </c>
      <c r="I52" s="18" t="s">
        <v>100</v>
      </c>
      <c r="J52" s="18" t="s">
        <v>360</v>
      </c>
      <c r="K52" s="18">
        <v>0.5</v>
      </c>
      <c r="L52" s="18" t="s">
        <v>100</v>
      </c>
      <c r="M52" s="18">
        <v>2023</v>
      </c>
      <c r="N52" s="18" t="s">
        <v>26</v>
      </c>
      <c r="O52" s="18" t="s">
        <v>39</v>
      </c>
      <c r="P52" s="18" t="s">
        <v>24</v>
      </c>
      <c r="Q52" s="18" t="s">
        <v>24</v>
      </c>
      <c r="R52" s="18">
        <v>70</v>
      </c>
      <c r="S52" s="18">
        <v>0.35</v>
      </c>
      <c r="T52" s="18">
        <v>0.15</v>
      </c>
      <c r="U52" s="18">
        <v>0</v>
      </c>
    </row>
    <row r="53" spans="1:21" x14ac:dyDescent="0.2">
      <c r="A53" s="18" t="s">
        <v>100</v>
      </c>
      <c r="B53" s="18" t="s">
        <v>360</v>
      </c>
      <c r="C53" s="18" t="s">
        <v>361</v>
      </c>
      <c r="D53" s="18" t="s">
        <v>365</v>
      </c>
      <c r="E53" s="18" t="s">
        <v>366</v>
      </c>
      <c r="F53" s="18" t="s">
        <v>367</v>
      </c>
      <c r="G53" s="18" t="s">
        <v>99</v>
      </c>
      <c r="H53" s="18" t="s">
        <v>326</v>
      </c>
      <c r="I53" s="18" t="s">
        <v>100</v>
      </c>
      <c r="J53" s="18" t="s">
        <v>360</v>
      </c>
      <c r="K53" s="18">
        <v>0.5</v>
      </c>
      <c r="L53" s="18" t="s">
        <v>100</v>
      </c>
      <c r="M53" s="18">
        <v>2023</v>
      </c>
      <c r="N53" s="18" t="s">
        <v>26</v>
      </c>
      <c r="O53" s="18" t="s">
        <v>39</v>
      </c>
      <c r="P53" s="18" t="s">
        <v>24</v>
      </c>
      <c r="Q53" s="18" t="s">
        <v>24</v>
      </c>
      <c r="R53" s="18">
        <v>70</v>
      </c>
      <c r="S53" s="18">
        <v>0.35</v>
      </c>
      <c r="T53" s="18">
        <v>0.15</v>
      </c>
      <c r="U53" s="18">
        <v>0</v>
      </c>
    </row>
    <row r="54" spans="1:21" x14ac:dyDescent="0.2">
      <c r="A54" s="18" t="s">
        <v>100</v>
      </c>
      <c r="B54" s="18" t="s">
        <v>360</v>
      </c>
      <c r="C54" s="18" t="s">
        <v>361</v>
      </c>
      <c r="D54" s="18" t="s">
        <v>368</v>
      </c>
      <c r="E54" s="18" t="s">
        <v>369</v>
      </c>
      <c r="F54" s="18" t="s">
        <v>370</v>
      </c>
      <c r="G54" s="18" t="s">
        <v>99</v>
      </c>
      <c r="H54" s="18" t="s">
        <v>326</v>
      </c>
      <c r="I54" s="18" t="s">
        <v>100</v>
      </c>
      <c r="J54" s="18" t="s">
        <v>360</v>
      </c>
      <c r="K54" s="18">
        <v>0.5</v>
      </c>
      <c r="L54" s="18" t="s">
        <v>100</v>
      </c>
      <c r="M54" s="18">
        <v>2023</v>
      </c>
      <c r="N54" s="18" t="s">
        <v>26</v>
      </c>
      <c r="O54" s="18" t="s">
        <v>39</v>
      </c>
      <c r="P54" s="18" t="s">
        <v>24</v>
      </c>
      <c r="Q54" s="18" t="s">
        <v>24</v>
      </c>
      <c r="R54" s="18">
        <v>70</v>
      </c>
      <c r="S54" s="18">
        <v>0.35</v>
      </c>
      <c r="T54" s="18">
        <v>0.15</v>
      </c>
      <c r="U54" s="18">
        <v>0</v>
      </c>
    </row>
    <row r="55" spans="1:21" x14ac:dyDescent="0.2">
      <c r="A55" s="67" t="s">
        <v>100</v>
      </c>
      <c r="B55" s="67" t="s">
        <v>360</v>
      </c>
      <c r="C55" s="67" t="s">
        <v>361</v>
      </c>
      <c r="D55" s="67" t="s">
        <v>386</v>
      </c>
      <c r="E55" s="67" t="s">
        <v>387</v>
      </c>
      <c r="F55" s="67" t="s">
        <v>388</v>
      </c>
      <c r="G55" s="67" t="s">
        <v>389</v>
      </c>
      <c r="H55" s="67" t="s">
        <v>326</v>
      </c>
      <c r="I55" s="67" t="s">
        <v>100</v>
      </c>
      <c r="J55" s="67" t="s">
        <v>360</v>
      </c>
      <c r="K55" s="67">
        <v>0.5</v>
      </c>
      <c r="L55" s="67" t="s">
        <v>100</v>
      </c>
      <c r="M55" s="67">
        <v>2023</v>
      </c>
      <c r="N55" s="67" t="s">
        <v>24</v>
      </c>
      <c r="O55" s="67" t="s">
        <v>24</v>
      </c>
      <c r="P55" s="67" t="s">
        <v>24</v>
      </c>
      <c r="Q55" s="67" t="s">
        <v>24</v>
      </c>
      <c r="R55" s="67">
        <v>100</v>
      </c>
      <c r="S55" s="67">
        <v>0.5</v>
      </c>
      <c r="T55" s="67">
        <v>0</v>
      </c>
      <c r="U55" s="67">
        <v>0</v>
      </c>
    </row>
    <row r="56" spans="1:21" ht="12" thickBot="1" x14ac:dyDescent="0.25">
      <c r="A56" s="67" t="s">
        <v>100</v>
      </c>
      <c r="B56" s="67" t="s">
        <v>360</v>
      </c>
      <c r="C56" s="67" t="s">
        <v>361</v>
      </c>
      <c r="D56" s="67" t="s">
        <v>386</v>
      </c>
      <c r="E56" s="67" t="s">
        <v>387</v>
      </c>
      <c r="F56" s="67" t="s">
        <v>388</v>
      </c>
      <c r="G56" s="67" t="s">
        <v>99</v>
      </c>
      <c r="H56" s="67" t="s">
        <v>326</v>
      </c>
      <c r="I56" s="67" t="s">
        <v>100</v>
      </c>
      <c r="J56" s="67" t="s">
        <v>360</v>
      </c>
      <c r="K56" s="67">
        <v>0.5</v>
      </c>
      <c r="L56" s="67" t="s">
        <v>100</v>
      </c>
      <c r="M56" s="67">
        <v>2023</v>
      </c>
      <c r="N56" s="67" t="s">
        <v>26</v>
      </c>
      <c r="O56" s="67" t="s">
        <v>39</v>
      </c>
      <c r="P56" s="67" t="s">
        <v>24</v>
      </c>
      <c r="Q56" s="67" t="s">
        <v>24</v>
      </c>
      <c r="R56" s="67">
        <v>70</v>
      </c>
      <c r="S56" s="67">
        <v>0.35</v>
      </c>
      <c r="T56" s="67">
        <v>0.15</v>
      </c>
      <c r="U56" s="67">
        <v>0</v>
      </c>
    </row>
    <row r="57" spans="1:21" ht="12" thickBot="1" x14ac:dyDescent="0.25">
      <c r="A57" s="68" t="s">
        <v>30</v>
      </c>
      <c r="B57" s="68" t="s">
        <v>31</v>
      </c>
      <c r="C57" s="68" t="s">
        <v>32</v>
      </c>
      <c r="D57" s="68" t="s">
        <v>390</v>
      </c>
      <c r="E57" s="68" t="s">
        <v>391</v>
      </c>
      <c r="F57" s="68" t="s">
        <v>392</v>
      </c>
      <c r="G57" s="69" t="s">
        <v>393</v>
      </c>
      <c r="H57" s="70" t="s">
        <v>22</v>
      </c>
      <c r="I57" s="70" t="s">
        <v>30</v>
      </c>
      <c r="J57" s="71" t="s">
        <v>31</v>
      </c>
      <c r="K57" s="72">
        <v>0.33333333333333331</v>
      </c>
      <c r="L57" s="72" t="s">
        <v>48</v>
      </c>
      <c r="M57" s="73">
        <v>2020</v>
      </c>
      <c r="N57" s="73" t="s">
        <v>26</v>
      </c>
      <c r="O57" s="74">
        <v>70</v>
      </c>
      <c r="P57" s="73" t="s">
        <v>24</v>
      </c>
      <c r="Q57" s="74" t="s">
        <v>24</v>
      </c>
      <c r="R57" s="73">
        <v>30</v>
      </c>
      <c r="S57" s="73">
        <f>0.333333333333333*0.3</f>
        <v>9.9999999999999895E-2</v>
      </c>
      <c r="T57" s="73">
        <f>+K57*0.7</f>
        <v>0.23333333333333331</v>
      </c>
      <c r="U57" s="73">
        <v>0</v>
      </c>
    </row>
    <row r="58" spans="1:21" x14ac:dyDescent="0.2">
      <c r="A58" s="18" t="s">
        <v>36</v>
      </c>
      <c r="B58" s="18" t="s">
        <v>371</v>
      </c>
      <c r="C58" s="18" t="s">
        <v>372</v>
      </c>
      <c r="D58" s="18" t="s">
        <v>373</v>
      </c>
      <c r="E58" s="18" t="s">
        <v>374</v>
      </c>
      <c r="F58" s="18" t="s">
        <v>375</v>
      </c>
      <c r="G58" s="18" t="s">
        <v>93</v>
      </c>
      <c r="H58" s="18" t="s">
        <v>326</v>
      </c>
      <c r="I58" s="18" t="s">
        <v>36</v>
      </c>
      <c r="J58" s="18" t="s">
        <v>371</v>
      </c>
      <c r="K58" s="18">
        <v>0.5</v>
      </c>
      <c r="L58" s="18" t="s">
        <v>36</v>
      </c>
      <c r="M58" s="18">
        <v>2023</v>
      </c>
      <c r="N58" s="18" t="s">
        <v>26</v>
      </c>
      <c r="O58" s="18" t="s">
        <v>39</v>
      </c>
      <c r="P58" s="18" t="s">
        <v>24</v>
      </c>
      <c r="Q58" s="18" t="s">
        <v>24</v>
      </c>
      <c r="R58" s="18">
        <v>70</v>
      </c>
      <c r="S58" s="18">
        <v>0.35</v>
      </c>
      <c r="T58" s="18">
        <v>0.15</v>
      </c>
      <c r="U58" s="18">
        <v>0</v>
      </c>
    </row>
    <row r="59" spans="1:21" s="58" customFormat="1" x14ac:dyDescent="0.2">
      <c r="A59" s="57" t="s">
        <v>376</v>
      </c>
      <c r="B59" s="57" t="s">
        <v>377</v>
      </c>
      <c r="C59" s="57" t="s">
        <v>378</v>
      </c>
      <c r="D59" s="57" t="s">
        <v>379</v>
      </c>
      <c r="E59" s="57" t="s">
        <v>380</v>
      </c>
      <c r="F59" s="57" t="s">
        <v>381</v>
      </c>
      <c r="G59" s="57" t="s">
        <v>117</v>
      </c>
      <c r="H59" s="57" t="s">
        <v>326</v>
      </c>
      <c r="I59" s="57" t="s">
        <v>48</v>
      </c>
      <c r="J59" s="57" t="s">
        <v>317</v>
      </c>
      <c r="K59" s="57">
        <v>0.5</v>
      </c>
      <c r="L59" s="57" t="s">
        <v>48</v>
      </c>
      <c r="M59" s="57">
        <v>2023</v>
      </c>
      <c r="N59" s="57" t="s">
        <v>26</v>
      </c>
      <c r="O59" s="57" t="s">
        <v>27</v>
      </c>
      <c r="P59" s="57" t="s">
        <v>24</v>
      </c>
      <c r="Q59" s="57" t="s">
        <v>24</v>
      </c>
      <c r="R59" s="57">
        <v>50</v>
      </c>
      <c r="S59" s="57">
        <v>0.25</v>
      </c>
      <c r="T59" s="57">
        <v>0.25</v>
      </c>
      <c r="U59" s="57">
        <v>0</v>
      </c>
    </row>
    <row r="60" spans="1:21" x14ac:dyDescent="0.2">
      <c r="A60" s="18" t="s">
        <v>36</v>
      </c>
      <c r="B60" s="18" t="s">
        <v>371</v>
      </c>
      <c r="C60" s="18" t="s">
        <v>372</v>
      </c>
      <c r="D60" s="18" t="s">
        <v>382</v>
      </c>
      <c r="E60" s="18" t="s">
        <v>383</v>
      </c>
      <c r="F60" s="18" t="s">
        <v>384</v>
      </c>
      <c r="G60" s="18" t="s">
        <v>75</v>
      </c>
      <c r="H60" s="18" t="s">
        <v>326</v>
      </c>
      <c r="I60" s="18" t="s">
        <v>36</v>
      </c>
      <c r="J60" s="18" t="s">
        <v>371</v>
      </c>
      <c r="K60" s="18">
        <v>0.5</v>
      </c>
      <c r="L60" s="18" t="s">
        <v>36</v>
      </c>
      <c r="M60" s="18">
        <v>2023</v>
      </c>
      <c r="N60" s="18" t="s">
        <v>23</v>
      </c>
      <c r="O60" s="18" t="s">
        <v>29</v>
      </c>
      <c r="P60" s="18" t="s">
        <v>26</v>
      </c>
      <c r="Q60" s="18" t="s">
        <v>29</v>
      </c>
      <c r="R60" s="18">
        <v>80</v>
      </c>
      <c r="S60" s="18">
        <v>0.4</v>
      </c>
      <c r="T60" s="18">
        <v>0.05</v>
      </c>
      <c r="U60" s="18">
        <v>0.05</v>
      </c>
    </row>
    <row r="61" spans="1:21" x14ac:dyDescent="0.2">
      <c r="A61" s="18" t="s">
        <v>48</v>
      </c>
      <c r="B61" s="18" t="s">
        <v>461</v>
      </c>
      <c r="C61" s="18" t="s">
        <v>318</v>
      </c>
      <c r="D61" s="18" t="s">
        <v>462</v>
      </c>
      <c r="E61" s="18" t="s">
        <v>463</v>
      </c>
      <c r="F61" s="18" t="s">
        <v>464</v>
      </c>
      <c r="G61" s="18" t="s">
        <v>92</v>
      </c>
      <c r="H61" s="18" t="s">
        <v>322</v>
      </c>
      <c r="I61" s="18" t="s">
        <v>48</v>
      </c>
      <c r="J61" s="18" t="s">
        <v>461</v>
      </c>
      <c r="K61" s="18">
        <v>1</v>
      </c>
      <c r="L61" s="18" t="s">
        <v>48</v>
      </c>
      <c r="M61" s="18">
        <v>2024</v>
      </c>
      <c r="N61" s="18" t="s">
        <v>26</v>
      </c>
      <c r="O61" s="18" t="s">
        <v>39</v>
      </c>
      <c r="P61" s="18" t="s">
        <v>24</v>
      </c>
      <c r="Q61" s="18" t="s">
        <v>24</v>
      </c>
      <c r="R61" s="18">
        <v>70</v>
      </c>
      <c r="S61" s="18">
        <v>0.7</v>
      </c>
      <c r="T61" s="18">
        <v>0.3</v>
      </c>
      <c r="U61" s="18">
        <v>0</v>
      </c>
    </row>
    <row r="62" spans="1:21" x14ac:dyDescent="0.2">
      <c r="A62" s="18" t="s">
        <v>48</v>
      </c>
      <c r="B62" s="18" t="s">
        <v>461</v>
      </c>
      <c r="C62" s="18" t="s">
        <v>318</v>
      </c>
      <c r="D62" s="18" t="s">
        <v>465</v>
      </c>
      <c r="E62" s="18" t="s">
        <v>466</v>
      </c>
      <c r="F62" s="18" t="s">
        <v>467</v>
      </c>
      <c r="G62" s="18" t="s">
        <v>117</v>
      </c>
      <c r="H62" s="18" t="s">
        <v>326</v>
      </c>
      <c r="I62" s="18" t="s">
        <v>48</v>
      </c>
      <c r="J62" s="18" t="s">
        <v>461</v>
      </c>
      <c r="K62" s="18">
        <v>0.5</v>
      </c>
      <c r="L62" s="18" t="s">
        <v>48</v>
      </c>
      <c r="M62" s="18">
        <v>2024</v>
      </c>
      <c r="N62" s="18" t="s">
        <v>26</v>
      </c>
      <c r="O62" s="18" t="s">
        <v>27</v>
      </c>
      <c r="P62" s="18" t="s">
        <v>24</v>
      </c>
      <c r="Q62" s="18" t="s">
        <v>24</v>
      </c>
      <c r="R62" s="18">
        <v>50</v>
      </c>
      <c r="S62" s="18">
        <v>0.25</v>
      </c>
      <c r="T62" s="18">
        <v>0.25</v>
      </c>
      <c r="U62" s="18">
        <v>0</v>
      </c>
    </row>
    <row r="63" spans="1:21" x14ac:dyDescent="0.2">
      <c r="A63" s="18" t="s">
        <v>48</v>
      </c>
      <c r="B63" s="18" t="s">
        <v>461</v>
      </c>
      <c r="C63" s="18" t="s">
        <v>318</v>
      </c>
      <c r="D63" s="18" t="s">
        <v>468</v>
      </c>
      <c r="E63" s="18" t="s">
        <v>469</v>
      </c>
      <c r="F63" s="18" t="s">
        <v>470</v>
      </c>
      <c r="G63" s="18" t="s">
        <v>92</v>
      </c>
      <c r="H63" s="18" t="s">
        <v>326</v>
      </c>
      <c r="I63" s="18" t="s">
        <v>48</v>
      </c>
      <c r="J63" s="18" t="s">
        <v>461</v>
      </c>
      <c r="K63" s="18">
        <v>0.5</v>
      </c>
      <c r="L63" s="18" t="s">
        <v>48</v>
      </c>
      <c r="M63" s="18">
        <v>2024</v>
      </c>
      <c r="N63" s="18" t="s">
        <v>26</v>
      </c>
      <c r="O63" s="18" t="s">
        <v>39</v>
      </c>
      <c r="P63" s="18" t="s">
        <v>24</v>
      </c>
      <c r="Q63" s="18" t="s">
        <v>24</v>
      </c>
      <c r="R63" s="18">
        <v>70</v>
      </c>
      <c r="S63" s="18">
        <v>0.35</v>
      </c>
      <c r="T63" s="18">
        <v>0.15</v>
      </c>
      <c r="U63" s="18">
        <v>0</v>
      </c>
    </row>
    <row r="64" spans="1:21" x14ac:dyDescent="0.2">
      <c r="A64" s="18" t="s">
        <v>48</v>
      </c>
      <c r="B64" s="18" t="s">
        <v>461</v>
      </c>
      <c r="C64" s="18" t="s">
        <v>318</v>
      </c>
      <c r="D64" s="18" t="s">
        <v>471</v>
      </c>
      <c r="E64" s="18" t="s">
        <v>472</v>
      </c>
      <c r="F64" s="18" t="s">
        <v>473</v>
      </c>
      <c r="G64" s="18" t="s">
        <v>78</v>
      </c>
      <c r="H64" s="18" t="s">
        <v>322</v>
      </c>
      <c r="I64" s="18" t="s">
        <v>48</v>
      </c>
      <c r="J64" s="18" t="s">
        <v>461</v>
      </c>
      <c r="K64" s="18">
        <v>1</v>
      </c>
      <c r="L64" s="18" t="s">
        <v>48</v>
      </c>
      <c r="M64" s="18">
        <v>2024</v>
      </c>
      <c r="N64" s="18" t="s">
        <v>26</v>
      </c>
      <c r="O64" s="18" t="s">
        <v>27</v>
      </c>
      <c r="P64" s="18" t="s">
        <v>24</v>
      </c>
      <c r="Q64" s="18" t="s">
        <v>24</v>
      </c>
      <c r="R64" s="18">
        <v>50</v>
      </c>
      <c r="S64" s="18">
        <v>0.5</v>
      </c>
      <c r="T64" s="18">
        <v>0.5</v>
      </c>
      <c r="U64" s="18">
        <v>0</v>
      </c>
    </row>
    <row r="65" spans="1:21" x14ac:dyDescent="0.2">
      <c r="A65" s="18" t="s">
        <v>52</v>
      </c>
      <c r="B65" s="18" t="s">
        <v>474</v>
      </c>
      <c r="C65" s="18" t="s">
        <v>332</v>
      </c>
      <c r="D65" s="18" t="s">
        <v>475</v>
      </c>
      <c r="E65" s="18" t="s">
        <v>476</v>
      </c>
      <c r="F65" s="18" t="s">
        <v>477</v>
      </c>
      <c r="G65" s="18" t="s">
        <v>85</v>
      </c>
      <c r="H65" s="18" t="s">
        <v>322</v>
      </c>
      <c r="I65" s="18" t="s">
        <v>52</v>
      </c>
      <c r="J65" s="18" t="s">
        <v>474</v>
      </c>
      <c r="K65" s="18">
        <v>1</v>
      </c>
      <c r="L65" s="18" t="s">
        <v>52</v>
      </c>
      <c r="M65" s="18">
        <v>2024</v>
      </c>
      <c r="N65" s="18" t="s">
        <v>26</v>
      </c>
      <c r="O65" s="18" t="s">
        <v>27</v>
      </c>
      <c r="P65" s="18" t="s">
        <v>24</v>
      </c>
      <c r="Q65" s="18" t="s">
        <v>24</v>
      </c>
      <c r="R65" s="18">
        <v>50</v>
      </c>
      <c r="S65" s="18">
        <v>0.5</v>
      </c>
      <c r="T65" s="18">
        <v>0.5</v>
      </c>
      <c r="U65" s="18">
        <v>0</v>
      </c>
    </row>
    <row r="66" spans="1:21" x14ac:dyDescent="0.2">
      <c r="A66" s="18" t="s">
        <v>52</v>
      </c>
      <c r="B66" s="18" t="s">
        <v>474</v>
      </c>
      <c r="C66" s="18" t="s">
        <v>332</v>
      </c>
      <c r="D66" s="18" t="s">
        <v>478</v>
      </c>
      <c r="E66" s="18" t="s">
        <v>479</v>
      </c>
      <c r="F66" s="18" t="s">
        <v>480</v>
      </c>
      <c r="G66" s="18" t="s">
        <v>76</v>
      </c>
      <c r="H66" s="18" t="s">
        <v>326</v>
      </c>
      <c r="I66" s="18" t="s">
        <v>52</v>
      </c>
      <c r="J66" s="18" t="s">
        <v>474</v>
      </c>
      <c r="K66" s="18">
        <v>0.5</v>
      </c>
      <c r="L66" s="18" t="s">
        <v>52</v>
      </c>
      <c r="M66" s="18">
        <v>2024</v>
      </c>
      <c r="N66" s="18" t="s">
        <v>26</v>
      </c>
      <c r="O66" s="18" t="s">
        <v>27</v>
      </c>
      <c r="P66" s="18" t="s">
        <v>24</v>
      </c>
      <c r="Q66" s="18" t="s">
        <v>24</v>
      </c>
      <c r="R66" s="18">
        <v>50</v>
      </c>
      <c r="S66" s="18">
        <v>0.25</v>
      </c>
      <c r="T66" s="18">
        <v>0.25</v>
      </c>
      <c r="U66" s="18">
        <v>0</v>
      </c>
    </row>
    <row r="67" spans="1:21" x14ac:dyDescent="0.2">
      <c r="A67" s="18" t="s">
        <v>52</v>
      </c>
      <c r="B67" s="18" t="s">
        <v>474</v>
      </c>
      <c r="C67" s="18" t="s">
        <v>332</v>
      </c>
      <c r="D67" s="18" t="s">
        <v>481</v>
      </c>
      <c r="E67" s="18" t="s">
        <v>482</v>
      </c>
      <c r="F67" s="18" t="s">
        <v>483</v>
      </c>
      <c r="G67" s="18" t="s">
        <v>98</v>
      </c>
      <c r="H67" s="18" t="s">
        <v>322</v>
      </c>
      <c r="I67" s="18" t="s">
        <v>241</v>
      </c>
      <c r="J67" s="18" t="s">
        <v>484</v>
      </c>
      <c r="K67" s="18">
        <v>1</v>
      </c>
      <c r="L67" s="18" t="s">
        <v>241</v>
      </c>
      <c r="M67" s="18">
        <v>2024</v>
      </c>
      <c r="N67" s="18" t="s">
        <v>26</v>
      </c>
      <c r="O67" s="18" t="s">
        <v>27</v>
      </c>
      <c r="P67" s="18" t="s">
        <v>24</v>
      </c>
      <c r="Q67" s="18" t="s">
        <v>24</v>
      </c>
      <c r="R67" s="18">
        <v>50</v>
      </c>
      <c r="S67" s="18">
        <v>0.5</v>
      </c>
      <c r="T67" s="18">
        <v>0.5</v>
      </c>
      <c r="U67" s="18">
        <v>0</v>
      </c>
    </row>
    <row r="68" spans="1:21" x14ac:dyDescent="0.2">
      <c r="A68" s="18" t="s">
        <v>52</v>
      </c>
      <c r="B68" s="18" t="s">
        <v>474</v>
      </c>
      <c r="C68" s="18" t="s">
        <v>332</v>
      </c>
      <c r="D68" s="18" t="s">
        <v>485</v>
      </c>
      <c r="E68" s="18" t="s">
        <v>486</v>
      </c>
      <c r="F68" s="18" t="s">
        <v>487</v>
      </c>
      <c r="G68" s="18" t="s">
        <v>256</v>
      </c>
      <c r="H68" s="18" t="s">
        <v>322</v>
      </c>
      <c r="I68" s="18" t="s">
        <v>52</v>
      </c>
      <c r="J68" s="18" t="s">
        <v>474</v>
      </c>
      <c r="K68" s="18">
        <v>1</v>
      </c>
      <c r="L68" s="18" t="s">
        <v>52</v>
      </c>
      <c r="M68" s="18">
        <v>2024</v>
      </c>
      <c r="N68" s="18" t="s">
        <v>26</v>
      </c>
      <c r="O68" s="18" t="s">
        <v>27</v>
      </c>
      <c r="P68" s="18" t="s">
        <v>24</v>
      </c>
      <c r="Q68" s="18" t="s">
        <v>24</v>
      </c>
      <c r="R68" s="18">
        <v>50</v>
      </c>
      <c r="S68" s="18">
        <v>0.5</v>
      </c>
      <c r="T68" s="18">
        <v>0.5</v>
      </c>
      <c r="U68" s="18">
        <v>0</v>
      </c>
    </row>
    <row r="69" spans="1:21" x14ac:dyDescent="0.2">
      <c r="A69" s="18" t="s">
        <v>52</v>
      </c>
      <c r="B69" s="18" t="s">
        <v>474</v>
      </c>
      <c r="C69" s="18" t="s">
        <v>332</v>
      </c>
      <c r="D69" s="18" t="s">
        <v>488</v>
      </c>
      <c r="E69" s="18" t="s">
        <v>489</v>
      </c>
      <c r="F69" s="18" t="s">
        <v>490</v>
      </c>
      <c r="G69" s="18" t="s">
        <v>87</v>
      </c>
      <c r="H69" s="18" t="s">
        <v>326</v>
      </c>
      <c r="I69" s="18" t="s">
        <v>52</v>
      </c>
      <c r="J69" s="18" t="s">
        <v>474</v>
      </c>
      <c r="K69" s="18">
        <v>0.5</v>
      </c>
      <c r="L69" s="18" t="s">
        <v>52</v>
      </c>
      <c r="M69" s="18">
        <v>2024</v>
      </c>
      <c r="N69" s="18" t="s">
        <v>26</v>
      </c>
      <c r="O69" s="18" t="s">
        <v>53</v>
      </c>
      <c r="P69" s="18" t="s">
        <v>24</v>
      </c>
      <c r="Q69" s="18" t="s">
        <v>24</v>
      </c>
      <c r="R69" s="18">
        <v>15</v>
      </c>
      <c r="S69" s="18">
        <v>7.4999999999999997E-2</v>
      </c>
      <c r="T69" s="18">
        <v>0.42499999999999999</v>
      </c>
      <c r="U69" s="18">
        <v>0</v>
      </c>
    </row>
    <row r="70" spans="1:21" x14ac:dyDescent="0.2">
      <c r="A70" s="18" t="s">
        <v>376</v>
      </c>
      <c r="B70" s="18" t="s">
        <v>491</v>
      </c>
      <c r="C70" s="18" t="s">
        <v>378</v>
      </c>
      <c r="D70" s="18" t="s">
        <v>492</v>
      </c>
      <c r="E70" s="18" t="s">
        <v>493</v>
      </c>
      <c r="F70" s="18" t="s">
        <v>494</v>
      </c>
      <c r="G70" s="18" t="s">
        <v>94</v>
      </c>
      <c r="H70" s="18" t="s">
        <v>326</v>
      </c>
      <c r="I70" s="18" t="s">
        <v>241</v>
      </c>
      <c r="J70" s="18" t="s">
        <v>484</v>
      </c>
      <c r="K70" s="18">
        <v>0.5</v>
      </c>
      <c r="L70" s="18" t="s">
        <v>241</v>
      </c>
      <c r="M70" s="18">
        <v>2024</v>
      </c>
      <c r="N70" s="18" t="s">
        <v>26</v>
      </c>
      <c r="O70" s="18" t="s">
        <v>27</v>
      </c>
      <c r="P70" s="18" t="s">
        <v>24</v>
      </c>
      <c r="Q70" s="18" t="s">
        <v>24</v>
      </c>
      <c r="R70" s="18">
        <v>50</v>
      </c>
      <c r="S70" s="18">
        <v>0.25</v>
      </c>
      <c r="T70" s="18">
        <v>0.25</v>
      </c>
      <c r="U70" s="18">
        <v>0</v>
      </c>
    </row>
    <row r="71" spans="1:21" x14ac:dyDescent="0.2">
      <c r="A71" s="18" t="s">
        <v>495</v>
      </c>
      <c r="B71" s="18" t="s">
        <v>496</v>
      </c>
      <c r="C71" s="18" t="s">
        <v>332</v>
      </c>
      <c r="D71" s="18" t="s">
        <v>497</v>
      </c>
      <c r="E71" s="18" t="s">
        <v>498</v>
      </c>
      <c r="F71" s="18" t="s">
        <v>490</v>
      </c>
      <c r="G71" s="18" t="s">
        <v>87</v>
      </c>
      <c r="H71" s="18" t="s">
        <v>322</v>
      </c>
      <c r="I71" s="18" t="s">
        <v>52</v>
      </c>
      <c r="J71" s="18" t="s">
        <v>474</v>
      </c>
      <c r="K71" s="18">
        <v>1</v>
      </c>
      <c r="L71" s="18" t="s">
        <v>52</v>
      </c>
      <c r="M71" s="18">
        <v>2024</v>
      </c>
      <c r="N71" s="18" t="s">
        <v>26</v>
      </c>
      <c r="O71" s="18" t="s">
        <v>53</v>
      </c>
      <c r="P71" s="18" t="s">
        <v>24</v>
      </c>
      <c r="Q71" s="18" t="s">
        <v>24</v>
      </c>
      <c r="R71" s="18">
        <v>15</v>
      </c>
      <c r="S71" s="18">
        <v>0.15</v>
      </c>
      <c r="T71" s="18">
        <v>0.85</v>
      </c>
      <c r="U71" s="18">
        <v>0</v>
      </c>
    </row>
    <row r="72" spans="1:21" x14ac:dyDescent="0.2">
      <c r="A72" s="18" t="s">
        <v>495</v>
      </c>
      <c r="B72" s="18" t="s">
        <v>496</v>
      </c>
      <c r="C72" s="18" t="s">
        <v>372</v>
      </c>
      <c r="D72" s="18" t="s">
        <v>499</v>
      </c>
      <c r="E72" s="18" t="s">
        <v>500</v>
      </c>
      <c r="F72" s="18" t="s">
        <v>501</v>
      </c>
      <c r="G72" s="18" t="s">
        <v>93</v>
      </c>
      <c r="H72" s="18" t="s">
        <v>326</v>
      </c>
      <c r="I72" s="18" t="s">
        <v>36</v>
      </c>
      <c r="J72" s="18" t="s">
        <v>502</v>
      </c>
      <c r="K72" s="18">
        <v>0.5</v>
      </c>
      <c r="L72" s="18" t="s">
        <v>36</v>
      </c>
      <c r="M72" s="18">
        <v>2024</v>
      </c>
      <c r="N72" s="18" t="s">
        <v>26</v>
      </c>
      <c r="O72" s="18" t="s">
        <v>39</v>
      </c>
      <c r="P72" s="18" t="s">
        <v>24</v>
      </c>
      <c r="Q72" s="18" t="s">
        <v>24</v>
      </c>
      <c r="R72" s="18">
        <v>70</v>
      </c>
      <c r="S72" s="18">
        <v>0.35</v>
      </c>
      <c r="T72" s="18">
        <v>0.15</v>
      </c>
      <c r="U72" s="18">
        <v>0</v>
      </c>
    </row>
    <row r="73" spans="1:21" x14ac:dyDescent="0.2">
      <c r="A73" s="48"/>
      <c r="B73" s="48"/>
      <c r="C73" s="48"/>
      <c r="D73" s="48"/>
      <c r="E73" s="48"/>
      <c r="F73" s="49"/>
      <c r="G73" s="48"/>
      <c r="H73" s="48"/>
      <c r="I73" s="48"/>
      <c r="J73" s="48"/>
      <c r="K73" s="48"/>
      <c r="L73" s="48"/>
      <c r="M73" s="48"/>
      <c r="N73" s="48"/>
      <c r="O73" s="50"/>
      <c r="P73" s="48"/>
      <c r="Q73" s="50"/>
      <c r="R73" s="48"/>
      <c r="S73" s="86">
        <f>SUM(T38:T59,U33:U37,T2:T32,U60,T61:T72)</f>
        <v>21.266666666666669</v>
      </c>
      <c r="T73" s="87"/>
      <c r="U73" s="87"/>
    </row>
    <row r="74" spans="1:21" x14ac:dyDescent="0.2">
      <c r="F74" s="45"/>
      <c r="K74" s="46"/>
      <c r="L74" s="46"/>
      <c r="M74" s="6"/>
      <c r="S74" s="46"/>
      <c r="T74" s="47"/>
      <c r="U74" s="46"/>
    </row>
    <row r="75" spans="1:21" x14ac:dyDescent="0.2">
      <c r="F75" s="45"/>
      <c r="K75" s="46"/>
      <c r="L75" s="46"/>
      <c r="M75" s="6"/>
      <c r="S75" s="46"/>
      <c r="T75" s="47"/>
      <c r="U75" s="46"/>
    </row>
    <row r="76" spans="1:21" x14ac:dyDescent="0.2">
      <c r="F76" s="45"/>
      <c r="K76" s="46"/>
      <c r="L76" s="46"/>
      <c r="M76" s="6"/>
      <c r="S76" s="46"/>
      <c r="T76" s="47"/>
      <c r="U76" s="46"/>
    </row>
    <row r="77" spans="1:21" x14ac:dyDescent="0.2">
      <c r="F77" s="45"/>
      <c r="K77" s="46"/>
      <c r="L77" s="46"/>
      <c r="M77" s="6"/>
      <c r="S77" s="46"/>
      <c r="T77" s="47"/>
      <c r="U77" s="46"/>
    </row>
    <row r="78" spans="1:21" x14ac:dyDescent="0.2">
      <c r="F78" s="45"/>
      <c r="K78" s="46"/>
      <c r="L78" s="46"/>
      <c r="M78" s="6"/>
      <c r="S78" s="46"/>
      <c r="T78" s="47"/>
      <c r="U78" s="46"/>
    </row>
    <row r="79" spans="1:21" x14ac:dyDescent="0.2">
      <c r="F79" s="45"/>
      <c r="K79" s="46"/>
      <c r="L79" s="46"/>
      <c r="M79" s="6"/>
      <c r="S79" s="46"/>
      <c r="T79" s="47"/>
      <c r="U79" s="46"/>
    </row>
    <row r="80" spans="1:21" x14ac:dyDescent="0.2">
      <c r="F80" s="45"/>
      <c r="K80" s="46"/>
      <c r="L80" s="46"/>
      <c r="M80" s="6"/>
      <c r="S80" s="46"/>
      <c r="T80" s="47"/>
      <c r="U80" s="46"/>
    </row>
    <row r="81" spans="6:21" x14ac:dyDescent="0.2">
      <c r="F81" s="45"/>
      <c r="K81" s="46"/>
      <c r="L81" s="46"/>
      <c r="M81" s="6"/>
      <c r="S81" s="46"/>
      <c r="T81" s="47"/>
      <c r="U81" s="46"/>
    </row>
    <row r="82" spans="6:21" x14ac:dyDescent="0.2">
      <c r="F82" s="45"/>
      <c r="K82" s="46"/>
      <c r="L82" s="46"/>
      <c r="M82" s="6"/>
      <c r="S82" s="46"/>
      <c r="T82" s="47"/>
      <c r="U82" s="46"/>
    </row>
    <row r="83" spans="6:21" x14ac:dyDescent="0.2">
      <c r="F83" s="45"/>
      <c r="K83" s="46"/>
      <c r="L83" s="46"/>
      <c r="M83" s="6"/>
      <c r="S83" s="46"/>
      <c r="T83" s="47"/>
      <c r="U83" s="46"/>
    </row>
    <row r="84" spans="6:21" x14ac:dyDescent="0.2">
      <c r="F84" s="45"/>
      <c r="K84" s="46"/>
      <c r="L84" s="46"/>
      <c r="M84" s="6"/>
      <c r="S84" s="46"/>
      <c r="T84" s="47"/>
      <c r="U84" s="46"/>
    </row>
    <row r="85" spans="6:21" x14ac:dyDescent="0.2">
      <c r="F85" s="45"/>
      <c r="K85" s="46"/>
      <c r="L85" s="46"/>
      <c r="M85" s="6"/>
      <c r="S85" s="46"/>
      <c r="T85" s="47"/>
      <c r="U85" s="46"/>
    </row>
    <row r="86" spans="6:21" x14ac:dyDescent="0.2">
      <c r="F86" s="45"/>
      <c r="K86" s="46"/>
      <c r="L86" s="46"/>
      <c r="M86" s="6"/>
      <c r="S86" s="46"/>
      <c r="T86" s="47"/>
      <c r="U86" s="46"/>
    </row>
    <row r="87" spans="6:21" x14ac:dyDescent="0.2">
      <c r="F87" s="45"/>
      <c r="K87" s="46"/>
      <c r="L87" s="46"/>
      <c r="M87" s="6"/>
      <c r="S87" s="46"/>
      <c r="T87" s="47"/>
      <c r="U87" s="46"/>
    </row>
    <row r="88" spans="6:21" x14ac:dyDescent="0.2">
      <c r="F88" s="45"/>
      <c r="K88" s="46"/>
      <c r="L88" s="46"/>
      <c r="M88" s="6"/>
      <c r="S88" s="46"/>
      <c r="T88" s="47"/>
      <c r="U88" s="46"/>
    </row>
    <row r="89" spans="6:21" x14ac:dyDescent="0.2">
      <c r="F89" s="45"/>
      <c r="K89" s="46"/>
      <c r="L89" s="46"/>
      <c r="M89" s="6"/>
      <c r="S89" s="46"/>
      <c r="T89" s="47"/>
      <c r="U89" s="46"/>
    </row>
    <row r="90" spans="6:21" x14ac:dyDescent="0.2">
      <c r="F90" s="45"/>
      <c r="K90" s="46"/>
      <c r="L90" s="46"/>
      <c r="M90" s="6"/>
      <c r="S90" s="46"/>
      <c r="T90" s="47"/>
      <c r="U90" s="46"/>
    </row>
    <row r="91" spans="6:21" x14ac:dyDescent="0.2">
      <c r="F91" s="45"/>
      <c r="K91" s="46"/>
      <c r="L91" s="46"/>
      <c r="M91" s="6"/>
      <c r="S91" s="46"/>
      <c r="T91" s="47"/>
      <c r="U91" s="46"/>
    </row>
    <row r="92" spans="6:21" x14ac:dyDescent="0.2">
      <c r="F92" s="45"/>
      <c r="K92" s="46"/>
      <c r="L92" s="46"/>
      <c r="M92" s="6"/>
      <c r="S92" s="46"/>
      <c r="T92" s="47"/>
      <c r="U92" s="46"/>
    </row>
    <row r="93" spans="6:21" x14ac:dyDescent="0.2">
      <c r="F93" s="45"/>
      <c r="K93" s="46"/>
      <c r="L93" s="46"/>
      <c r="M93" s="6"/>
      <c r="S93" s="46"/>
      <c r="T93" s="47"/>
      <c r="U93" s="46"/>
    </row>
    <row r="94" spans="6:21" x14ac:dyDescent="0.2">
      <c r="F94" s="45"/>
      <c r="K94" s="46"/>
      <c r="L94" s="46"/>
      <c r="M94" s="6"/>
      <c r="S94" s="46"/>
      <c r="T94" s="47"/>
      <c r="U94" s="46"/>
    </row>
    <row r="95" spans="6:21" x14ac:dyDescent="0.2">
      <c r="F95" s="45"/>
      <c r="K95" s="46"/>
      <c r="L95" s="46"/>
      <c r="M95" s="6"/>
      <c r="S95" s="46"/>
      <c r="T95" s="47"/>
      <c r="U95" s="46"/>
    </row>
    <row r="96" spans="6:21" x14ac:dyDescent="0.2">
      <c r="F96" s="45"/>
      <c r="K96" s="46"/>
      <c r="L96" s="46"/>
      <c r="M96" s="6"/>
      <c r="S96" s="46"/>
      <c r="T96" s="47"/>
      <c r="U96" s="46"/>
    </row>
    <row r="97" spans="6:21" x14ac:dyDescent="0.2">
      <c r="F97" s="45"/>
      <c r="K97" s="46"/>
      <c r="L97" s="46"/>
      <c r="M97" s="6"/>
      <c r="S97" s="46"/>
      <c r="T97" s="47"/>
      <c r="U97" s="46"/>
    </row>
    <row r="98" spans="6:21" x14ac:dyDescent="0.2">
      <c r="F98" s="45"/>
      <c r="K98" s="46"/>
      <c r="L98" s="46"/>
      <c r="M98" s="6"/>
      <c r="S98" s="46"/>
      <c r="T98" s="47"/>
      <c r="U98" s="46"/>
    </row>
    <row r="99" spans="6:21" x14ac:dyDescent="0.2">
      <c r="F99" s="45"/>
      <c r="K99" s="46"/>
      <c r="L99" s="46"/>
      <c r="M99" s="6"/>
      <c r="S99" s="46"/>
      <c r="T99" s="47"/>
      <c r="U99" s="46"/>
    </row>
    <row r="100" spans="6:21" x14ac:dyDescent="0.2">
      <c r="F100" s="45"/>
      <c r="K100" s="46"/>
      <c r="L100" s="46"/>
      <c r="M100" s="6"/>
      <c r="S100" s="46"/>
      <c r="T100" s="47"/>
      <c r="U100" s="46"/>
    </row>
    <row r="101" spans="6:21" x14ac:dyDescent="0.2">
      <c r="F101" s="45"/>
      <c r="K101" s="46"/>
      <c r="L101" s="46"/>
      <c r="M101" s="6"/>
      <c r="S101" s="46"/>
      <c r="T101" s="47"/>
      <c r="U101" s="46"/>
    </row>
    <row r="102" spans="6:21" x14ac:dyDescent="0.2">
      <c r="F102" s="45"/>
      <c r="K102" s="46"/>
      <c r="L102" s="46"/>
      <c r="M102" s="6"/>
      <c r="S102" s="46"/>
      <c r="T102" s="47"/>
      <c r="U102" s="46"/>
    </row>
    <row r="103" spans="6:21" x14ac:dyDescent="0.2">
      <c r="F103" s="45"/>
      <c r="K103" s="46"/>
      <c r="L103" s="46"/>
      <c r="M103" s="6"/>
      <c r="S103" s="46"/>
      <c r="T103" s="47"/>
      <c r="U103" s="46"/>
    </row>
    <row r="104" spans="6:21" x14ac:dyDescent="0.2">
      <c r="F104" s="45"/>
      <c r="K104" s="46"/>
      <c r="L104" s="46"/>
      <c r="M104" s="6"/>
      <c r="S104" s="46"/>
      <c r="T104" s="47"/>
      <c r="U104" s="46"/>
    </row>
    <row r="105" spans="6:21" x14ac:dyDescent="0.2">
      <c r="F105" s="45"/>
      <c r="K105" s="46"/>
      <c r="L105" s="46"/>
      <c r="M105" s="6"/>
      <c r="S105" s="46"/>
      <c r="T105" s="47"/>
      <c r="U105" s="46"/>
    </row>
    <row r="106" spans="6:21" x14ac:dyDescent="0.2">
      <c r="F106" s="45"/>
      <c r="K106" s="46"/>
      <c r="L106" s="46"/>
      <c r="M106" s="6"/>
      <c r="S106" s="46"/>
      <c r="T106" s="47"/>
      <c r="U106" s="46"/>
    </row>
    <row r="107" spans="6:21" x14ac:dyDescent="0.2">
      <c r="F107" s="45"/>
      <c r="K107" s="46"/>
      <c r="L107" s="46"/>
      <c r="M107" s="6"/>
      <c r="S107" s="46"/>
      <c r="T107" s="47"/>
      <c r="U107" s="46"/>
    </row>
    <row r="108" spans="6:21" x14ac:dyDescent="0.2">
      <c r="F108" s="45"/>
      <c r="K108" s="46"/>
      <c r="L108" s="46"/>
      <c r="M108" s="6"/>
      <c r="S108" s="46"/>
      <c r="T108" s="47"/>
      <c r="U108" s="46"/>
    </row>
    <row r="109" spans="6:21" x14ac:dyDescent="0.2">
      <c r="F109" s="45"/>
      <c r="K109" s="46"/>
      <c r="L109" s="46"/>
      <c r="M109" s="6"/>
      <c r="S109" s="46"/>
      <c r="T109" s="47"/>
      <c r="U109" s="46"/>
    </row>
    <row r="110" spans="6:21" x14ac:dyDescent="0.2">
      <c r="F110" s="45"/>
      <c r="K110" s="46"/>
      <c r="L110" s="46"/>
      <c r="M110" s="6"/>
      <c r="S110" s="46"/>
      <c r="T110" s="47"/>
      <c r="U110" s="46"/>
    </row>
    <row r="111" spans="6:21" x14ac:dyDescent="0.2">
      <c r="F111" s="45"/>
      <c r="K111" s="46"/>
      <c r="L111" s="46"/>
      <c r="M111" s="6"/>
      <c r="S111" s="46"/>
      <c r="T111" s="47"/>
      <c r="U111" s="46"/>
    </row>
    <row r="112" spans="6:21" x14ac:dyDescent="0.2">
      <c r="F112" s="45"/>
      <c r="K112" s="46"/>
      <c r="L112" s="46"/>
      <c r="M112" s="6"/>
      <c r="S112" s="46"/>
      <c r="T112" s="47"/>
      <c r="U112" s="46"/>
    </row>
    <row r="113" spans="6:21" x14ac:dyDescent="0.2">
      <c r="F113" s="45"/>
      <c r="K113" s="46"/>
      <c r="L113" s="46"/>
      <c r="M113" s="6"/>
      <c r="S113" s="46"/>
      <c r="T113" s="47"/>
      <c r="U113" s="46"/>
    </row>
    <row r="114" spans="6:21" x14ac:dyDescent="0.2">
      <c r="F114" s="45"/>
      <c r="K114" s="46"/>
      <c r="L114" s="46"/>
      <c r="M114" s="6"/>
      <c r="S114" s="46"/>
      <c r="T114" s="47"/>
      <c r="U114" s="46"/>
    </row>
    <row r="115" spans="6:21" x14ac:dyDescent="0.2">
      <c r="F115" s="45"/>
      <c r="K115" s="46"/>
      <c r="L115" s="46"/>
      <c r="M115" s="6"/>
      <c r="S115" s="46"/>
      <c r="T115" s="47"/>
      <c r="U115" s="46"/>
    </row>
    <row r="116" spans="6:21" x14ac:dyDescent="0.2">
      <c r="F116" s="45"/>
      <c r="K116" s="46"/>
      <c r="L116" s="46"/>
      <c r="M116" s="6"/>
      <c r="S116" s="46"/>
      <c r="T116" s="47"/>
      <c r="U116" s="46"/>
    </row>
    <row r="117" spans="6:21" x14ac:dyDescent="0.2">
      <c r="F117" s="45"/>
      <c r="K117" s="46"/>
      <c r="L117" s="46"/>
      <c r="M117" s="6"/>
      <c r="S117" s="46"/>
      <c r="T117" s="47"/>
      <c r="U117" s="46"/>
    </row>
    <row r="118" spans="6:21" x14ac:dyDescent="0.2">
      <c r="F118" s="45"/>
      <c r="K118" s="46"/>
      <c r="L118" s="46"/>
      <c r="M118" s="6"/>
      <c r="S118" s="46"/>
      <c r="T118" s="47"/>
      <c r="U118" s="46"/>
    </row>
    <row r="119" spans="6:21" x14ac:dyDescent="0.2">
      <c r="F119" s="45"/>
      <c r="K119" s="46"/>
      <c r="L119" s="46"/>
      <c r="M119" s="6"/>
      <c r="S119" s="46"/>
      <c r="T119" s="47"/>
      <c r="U119" s="46"/>
    </row>
    <row r="120" spans="6:21" x14ac:dyDescent="0.2">
      <c r="F120" s="45"/>
      <c r="K120" s="46"/>
      <c r="L120" s="46"/>
      <c r="M120" s="6"/>
      <c r="S120" s="46"/>
      <c r="T120" s="47"/>
      <c r="U120" s="46"/>
    </row>
    <row r="121" spans="6:21" x14ac:dyDescent="0.2">
      <c r="F121" s="45"/>
      <c r="K121" s="46"/>
      <c r="L121" s="46"/>
      <c r="M121" s="6"/>
      <c r="S121" s="46"/>
      <c r="T121" s="47"/>
      <c r="U121" s="46"/>
    </row>
    <row r="122" spans="6:21" x14ac:dyDescent="0.2">
      <c r="F122" s="45"/>
      <c r="K122" s="46"/>
      <c r="L122" s="46"/>
      <c r="M122" s="6"/>
      <c r="S122" s="46"/>
      <c r="T122" s="47"/>
      <c r="U122" s="46"/>
    </row>
    <row r="123" spans="6:21" x14ac:dyDescent="0.2">
      <c r="F123" s="45"/>
      <c r="K123" s="46"/>
      <c r="L123" s="46"/>
      <c r="M123" s="6"/>
      <c r="S123" s="46"/>
      <c r="T123" s="47"/>
      <c r="U123" s="46"/>
    </row>
    <row r="124" spans="6:21" x14ac:dyDescent="0.2">
      <c r="F124" s="45"/>
      <c r="K124" s="46"/>
      <c r="L124" s="46"/>
      <c r="M124" s="6"/>
      <c r="S124" s="46"/>
      <c r="T124" s="47"/>
      <c r="U124" s="46"/>
    </row>
    <row r="125" spans="6:21" x14ac:dyDescent="0.2">
      <c r="F125" s="45"/>
      <c r="K125" s="46"/>
      <c r="L125" s="46"/>
      <c r="M125" s="6"/>
      <c r="S125" s="46"/>
      <c r="T125" s="47"/>
      <c r="U125" s="46"/>
    </row>
    <row r="126" spans="6:21" x14ac:dyDescent="0.2">
      <c r="F126" s="45"/>
      <c r="K126" s="46"/>
      <c r="L126" s="46"/>
      <c r="M126" s="6"/>
      <c r="S126" s="46"/>
      <c r="T126" s="47"/>
      <c r="U126" s="46"/>
    </row>
    <row r="127" spans="6:21" x14ac:dyDescent="0.2">
      <c r="F127" s="45"/>
      <c r="K127" s="46"/>
      <c r="L127" s="46"/>
      <c r="M127" s="6"/>
      <c r="S127" s="46"/>
      <c r="T127" s="47"/>
      <c r="U127" s="46"/>
    </row>
    <row r="128" spans="6:21" x14ac:dyDescent="0.2">
      <c r="F128" s="45"/>
      <c r="K128" s="46"/>
      <c r="L128" s="46"/>
      <c r="M128" s="6"/>
      <c r="S128" s="46"/>
      <c r="T128" s="47"/>
      <c r="U128" s="46"/>
    </row>
    <row r="129" spans="6:21" x14ac:dyDescent="0.2">
      <c r="F129" s="45"/>
      <c r="K129" s="46"/>
      <c r="L129" s="46"/>
      <c r="M129" s="6"/>
      <c r="S129" s="46"/>
      <c r="T129" s="47"/>
      <c r="U129" s="46"/>
    </row>
    <row r="130" spans="6:21" x14ac:dyDescent="0.2">
      <c r="F130" s="45"/>
      <c r="K130" s="46"/>
      <c r="L130" s="46"/>
      <c r="M130" s="6"/>
      <c r="S130" s="46"/>
      <c r="T130" s="47"/>
      <c r="U130" s="46"/>
    </row>
    <row r="131" spans="6:21" x14ac:dyDescent="0.2">
      <c r="F131" s="45"/>
      <c r="K131" s="46"/>
      <c r="L131" s="46"/>
      <c r="M131" s="6"/>
      <c r="S131" s="46"/>
      <c r="T131" s="47"/>
      <c r="U131" s="46"/>
    </row>
    <row r="132" spans="6:21" x14ac:dyDescent="0.2">
      <c r="F132" s="45"/>
      <c r="K132" s="46"/>
      <c r="L132" s="46"/>
      <c r="M132" s="6"/>
      <c r="S132" s="46"/>
      <c r="T132" s="47"/>
      <c r="U132" s="46"/>
    </row>
    <row r="133" spans="6:21" x14ac:dyDescent="0.2">
      <c r="F133" s="45"/>
      <c r="K133" s="46"/>
      <c r="L133" s="46"/>
      <c r="M133" s="6"/>
      <c r="S133" s="46"/>
      <c r="T133" s="47"/>
      <c r="U133" s="46"/>
    </row>
    <row r="134" spans="6:21" x14ac:dyDescent="0.2">
      <c r="F134" s="45"/>
      <c r="K134" s="46"/>
      <c r="L134" s="46"/>
      <c r="M134" s="6"/>
      <c r="S134" s="46"/>
      <c r="T134" s="47"/>
      <c r="U134" s="46"/>
    </row>
    <row r="135" spans="6:21" x14ac:dyDescent="0.2">
      <c r="F135" s="45"/>
      <c r="K135" s="46"/>
      <c r="L135" s="46"/>
      <c r="M135" s="6"/>
      <c r="S135" s="46"/>
      <c r="T135" s="47"/>
      <c r="U135" s="46"/>
    </row>
    <row r="136" spans="6:21" x14ac:dyDescent="0.2">
      <c r="F136" s="45"/>
      <c r="K136" s="46"/>
      <c r="L136" s="46"/>
      <c r="M136" s="6"/>
      <c r="S136" s="46"/>
      <c r="T136" s="47"/>
      <c r="U136" s="46"/>
    </row>
    <row r="137" spans="6:21" x14ac:dyDescent="0.2">
      <c r="F137" s="45"/>
      <c r="K137" s="46"/>
      <c r="L137" s="46"/>
      <c r="M137" s="6"/>
      <c r="S137" s="46"/>
      <c r="T137" s="47"/>
      <c r="U137" s="46"/>
    </row>
    <row r="138" spans="6:21" x14ac:dyDescent="0.2">
      <c r="F138" s="45"/>
      <c r="K138" s="46"/>
      <c r="L138" s="46"/>
      <c r="M138" s="6"/>
      <c r="S138" s="46"/>
      <c r="T138" s="47"/>
      <c r="U138" s="46"/>
    </row>
    <row r="139" spans="6:21" x14ac:dyDescent="0.2">
      <c r="F139" s="45"/>
      <c r="K139" s="46"/>
      <c r="L139" s="46"/>
      <c r="M139" s="6"/>
      <c r="S139" s="46"/>
      <c r="T139" s="47"/>
      <c r="U139" s="46"/>
    </row>
    <row r="140" spans="6:21" x14ac:dyDescent="0.2">
      <c r="F140" s="45"/>
      <c r="K140" s="46"/>
      <c r="L140" s="46"/>
      <c r="M140" s="6"/>
      <c r="S140" s="46"/>
      <c r="T140" s="47"/>
      <c r="U140" s="46"/>
    </row>
    <row r="141" spans="6:21" x14ac:dyDescent="0.2">
      <c r="F141" s="45"/>
      <c r="K141" s="46"/>
      <c r="L141" s="46"/>
      <c r="M141" s="6"/>
      <c r="S141" s="46"/>
      <c r="T141" s="47"/>
      <c r="U141" s="46"/>
    </row>
    <row r="142" spans="6:21" x14ac:dyDescent="0.2">
      <c r="F142" s="45"/>
      <c r="K142" s="46"/>
      <c r="L142" s="46"/>
      <c r="M142" s="6"/>
      <c r="S142" s="46"/>
      <c r="T142" s="47"/>
      <c r="U142" s="46"/>
    </row>
    <row r="143" spans="6:21" x14ac:dyDescent="0.2">
      <c r="F143" s="45"/>
      <c r="K143" s="46"/>
      <c r="L143" s="46"/>
      <c r="M143" s="6"/>
      <c r="S143" s="46"/>
      <c r="T143" s="47"/>
      <c r="U143" s="46"/>
    </row>
    <row r="144" spans="6:21" x14ac:dyDescent="0.2">
      <c r="F144" s="45"/>
      <c r="K144" s="46"/>
      <c r="L144" s="46"/>
      <c r="M144" s="6"/>
      <c r="S144" s="46"/>
      <c r="T144" s="47"/>
      <c r="U144" s="46"/>
    </row>
    <row r="145" spans="6:21" x14ac:dyDescent="0.2">
      <c r="F145" s="45"/>
      <c r="K145" s="46"/>
      <c r="L145" s="46"/>
      <c r="M145" s="6"/>
      <c r="S145" s="46"/>
      <c r="T145" s="47"/>
      <c r="U145" s="46"/>
    </row>
    <row r="146" spans="6:21" x14ac:dyDescent="0.2">
      <c r="F146" s="45"/>
      <c r="K146" s="46"/>
      <c r="L146" s="46"/>
      <c r="M146" s="6"/>
      <c r="S146" s="46"/>
      <c r="T146" s="47"/>
      <c r="U146" s="46"/>
    </row>
    <row r="147" spans="6:21" x14ac:dyDescent="0.2">
      <c r="F147" s="45"/>
      <c r="K147" s="46"/>
      <c r="L147" s="46"/>
      <c r="M147" s="6"/>
      <c r="S147" s="46"/>
      <c r="T147" s="47"/>
      <c r="U147" s="46"/>
    </row>
    <row r="148" spans="6:21" x14ac:dyDescent="0.2">
      <c r="F148" s="45"/>
      <c r="K148" s="46"/>
      <c r="L148" s="46"/>
      <c r="M148" s="6"/>
      <c r="S148" s="46"/>
      <c r="T148" s="47"/>
      <c r="U148" s="46"/>
    </row>
    <row r="149" spans="6:21" x14ac:dyDescent="0.2">
      <c r="F149" s="45"/>
      <c r="K149" s="46"/>
      <c r="L149" s="46"/>
      <c r="M149" s="6"/>
      <c r="S149" s="46"/>
      <c r="T149" s="47"/>
      <c r="U149" s="46"/>
    </row>
    <row r="150" spans="6:21" x14ac:dyDescent="0.2">
      <c r="F150" s="45"/>
      <c r="K150" s="46"/>
      <c r="L150" s="46"/>
      <c r="M150" s="6"/>
      <c r="S150" s="46"/>
      <c r="T150" s="47"/>
      <c r="U150" s="46"/>
    </row>
    <row r="151" spans="6:21" x14ac:dyDescent="0.2">
      <c r="F151" s="45"/>
      <c r="K151" s="46"/>
      <c r="L151" s="46"/>
      <c r="M151" s="6"/>
      <c r="S151" s="46"/>
      <c r="T151" s="47"/>
      <c r="U151" s="46"/>
    </row>
    <row r="152" spans="6:21" x14ac:dyDescent="0.2">
      <c r="F152" s="45"/>
      <c r="K152" s="46"/>
      <c r="L152" s="46"/>
      <c r="M152" s="6"/>
      <c r="S152" s="46"/>
      <c r="T152" s="47"/>
      <c r="U152" s="46"/>
    </row>
    <row r="153" spans="6:21" x14ac:dyDescent="0.2">
      <c r="F153" s="45"/>
      <c r="K153" s="46"/>
      <c r="L153" s="46"/>
      <c r="M153" s="6"/>
      <c r="S153" s="46"/>
      <c r="T153" s="47"/>
      <c r="U153" s="46"/>
    </row>
    <row r="154" spans="6:21" x14ac:dyDescent="0.2">
      <c r="F154" s="45"/>
      <c r="K154" s="46"/>
      <c r="L154" s="46"/>
      <c r="M154" s="6"/>
      <c r="S154" s="46"/>
      <c r="T154" s="47"/>
      <c r="U154" s="46"/>
    </row>
    <row r="155" spans="6:21" x14ac:dyDescent="0.2">
      <c r="F155" s="45"/>
      <c r="K155" s="46"/>
      <c r="L155" s="46"/>
      <c r="M155" s="6"/>
      <c r="S155" s="46"/>
      <c r="T155" s="47"/>
      <c r="U155" s="46"/>
    </row>
    <row r="156" spans="6:21" x14ac:dyDescent="0.2">
      <c r="F156" s="45"/>
      <c r="K156" s="46"/>
      <c r="L156" s="46"/>
      <c r="M156" s="6"/>
      <c r="S156" s="46"/>
      <c r="T156" s="47"/>
      <c r="U156" s="46"/>
    </row>
    <row r="157" spans="6:21" x14ac:dyDescent="0.2">
      <c r="F157" s="45"/>
      <c r="K157" s="46"/>
      <c r="L157" s="46"/>
      <c r="M157" s="6"/>
      <c r="S157" s="46"/>
      <c r="T157" s="47"/>
      <c r="U157" s="46"/>
    </row>
    <row r="158" spans="6:21" x14ac:dyDescent="0.2">
      <c r="F158" s="45"/>
      <c r="K158" s="46"/>
      <c r="L158" s="46"/>
      <c r="M158" s="6"/>
      <c r="S158" s="46"/>
      <c r="T158" s="47"/>
      <c r="U158" s="46"/>
    </row>
    <row r="159" spans="6:21" x14ac:dyDescent="0.2">
      <c r="F159" s="45"/>
      <c r="K159" s="46"/>
      <c r="L159" s="46"/>
      <c r="M159" s="6"/>
      <c r="S159" s="46"/>
      <c r="T159" s="47"/>
      <c r="U159" s="46"/>
    </row>
    <row r="160" spans="6:21" x14ac:dyDescent="0.2">
      <c r="F160" s="45"/>
      <c r="K160" s="46"/>
      <c r="L160" s="46"/>
      <c r="M160" s="6"/>
      <c r="S160" s="46"/>
      <c r="T160" s="47"/>
      <c r="U160" s="46"/>
    </row>
    <row r="161" spans="1:21" x14ac:dyDescent="0.2">
      <c r="F161" s="45"/>
      <c r="K161" s="46"/>
      <c r="L161" s="46"/>
      <c r="M161" s="6"/>
      <c r="S161" s="46"/>
      <c r="T161" s="47"/>
      <c r="U161" s="46"/>
    </row>
    <row r="162" spans="1:21" x14ac:dyDescent="0.2">
      <c r="F162" s="45"/>
      <c r="K162" s="46"/>
      <c r="L162" s="46"/>
      <c r="M162" s="6"/>
      <c r="S162" s="46"/>
      <c r="T162" s="47"/>
      <c r="U162" s="46"/>
    </row>
    <row r="163" spans="1:21" x14ac:dyDescent="0.2">
      <c r="F163" s="45"/>
      <c r="K163" s="46"/>
      <c r="L163" s="46"/>
      <c r="M163" s="6"/>
      <c r="S163" s="46"/>
      <c r="T163" s="47"/>
      <c r="U163" s="46"/>
    </row>
    <row r="164" spans="1:21" x14ac:dyDescent="0.2">
      <c r="F164" s="45"/>
      <c r="K164" s="46"/>
      <c r="L164" s="46"/>
      <c r="M164" s="6"/>
      <c r="S164" s="46"/>
      <c r="T164" s="47"/>
      <c r="U164" s="46"/>
    </row>
    <row r="165" spans="1:21" x14ac:dyDescent="0.2">
      <c r="F165" s="45"/>
      <c r="K165" s="46"/>
      <c r="L165" s="46"/>
      <c r="M165" s="6"/>
      <c r="S165" s="46"/>
      <c r="T165" s="47"/>
      <c r="U165" s="46"/>
    </row>
    <row r="166" spans="1:21" x14ac:dyDescent="0.2">
      <c r="F166" s="45"/>
      <c r="K166" s="46"/>
      <c r="L166" s="46"/>
      <c r="M166" s="6"/>
      <c r="S166" s="46"/>
      <c r="T166" s="47"/>
      <c r="U166" s="46"/>
    </row>
    <row r="167" spans="1:21" x14ac:dyDescent="0.2">
      <c r="F167" s="45"/>
      <c r="K167" s="46"/>
      <c r="L167" s="46"/>
      <c r="M167" s="6"/>
      <c r="S167" s="46"/>
      <c r="T167" s="47"/>
      <c r="U167" s="46"/>
    </row>
    <row r="168" spans="1:21" x14ac:dyDescent="0.2">
      <c r="F168" s="45"/>
      <c r="K168" s="46"/>
      <c r="L168" s="46"/>
      <c r="M168" s="6"/>
      <c r="S168" s="46"/>
      <c r="T168" s="47"/>
      <c r="U168" s="46"/>
    </row>
    <row r="169" spans="1:21" x14ac:dyDescent="0.2">
      <c r="F169" s="45"/>
      <c r="K169" s="46"/>
      <c r="L169" s="46"/>
      <c r="M169" s="6"/>
      <c r="S169" s="46"/>
      <c r="T169" s="47"/>
      <c r="U169" s="46"/>
    </row>
    <row r="170" spans="1:21" x14ac:dyDescent="0.2">
      <c r="F170" s="45"/>
      <c r="K170" s="46"/>
      <c r="L170" s="46"/>
      <c r="M170" s="6"/>
      <c r="S170" s="46"/>
      <c r="T170" s="47"/>
      <c r="U170" s="46"/>
    </row>
    <row r="171" spans="1:21" x14ac:dyDescent="0.2">
      <c r="A171" s="36"/>
      <c r="B171" s="36"/>
      <c r="C171" s="36"/>
      <c r="D171" s="36"/>
      <c r="E171" s="36"/>
      <c r="F171" s="36"/>
      <c r="G171" s="36"/>
      <c r="H171" s="36"/>
      <c r="I171" s="36"/>
      <c r="J171" s="36"/>
      <c r="K171" s="36"/>
      <c r="L171" s="36"/>
      <c r="M171" s="37"/>
      <c r="N171" s="36"/>
      <c r="O171" s="37"/>
      <c r="P171" s="36"/>
      <c r="Q171" s="37"/>
      <c r="R171" s="36"/>
      <c r="S171" s="38"/>
      <c r="T171" s="38">
        <f>SUM(T2:T32,U33:U37)</f>
        <v>10.183333333333335</v>
      </c>
      <c r="U171" s="39"/>
    </row>
  </sheetData>
  <autoFilter ref="A1:U171" xr:uid="{00000000-0009-0000-0000-000000000000}"/>
  <mergeCells count="1">
    <mergeCell ref="S73:U73"/>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43"/>
  <sheetViews>
    <sheetView tabSelected="1" topLeftCell="A17" zoomScaleNormal="100" workbookViewId="0">
      <selection activeCell="U48" sqref="U48"/>
    </sheetView>
  </sheetViews>
  <sheetFormatPr baseColWidth="10" defaultColWidth="11.42578125" defaultRowHeight="12.75" x14ac:dyDescent="0.2"/>
  <cols>
    <col min="1" max="1" width="10.85546875" style="10" bestFit="1" customWidth="1"/>
    <col min="2" max="2" width="41.42578125" style="10" bestFit="1" customWidth="1"/>
    <col min="3" max="3" width="17" style="10" bestFit="1" customWidth="1"/>
    <col min="4" max="9" width="3.28515625" style="10" bestFit="1" customWidth="1"/>
    <col min="10" max="10" width="13.140625" style="10" bestFit="1" customWidth="1"/>
    <col min="11" max="11" width="5.7109375" style="10" bestFit="1" customWidth="1"/>
    <col min="12" max="13" width="5.7109375" style="11" bestFit="1" customWidth="1"/>
    <col min="14" max="14" width="5.7109375" style="10" bestFit="1" customWidth="1"/>
    <col min="15" max="15" width="5.7109375" style="11" bestFit="1" customWidth="1"/>
    <col min="16" max="18" width="5.7109375" style="10" bestFit="1" customWidth="1"/>
    <col min="19" max="16384" width="11.42578125" style="10"/>
  </cols>
  <sheetData>
    <row r="1" spans="1:19" customFormat="1" ht="30" x14ac:dyDescent="0.25">
      <c r="A1" s="12" t="s">
        <v>60</v>
      </c>
      <c r="B1" s="12" t="s">
        <v>61</v>
      </c>
      <c r="C1" s="12" t="s">
        <v>62</v>
      </c>
      <c r="D1" s="13" t="s">
        <v>503</v>
      </c>
      <c r="E1" s="13" t="s">
        <v>504</v>
      </c>
      <c r="F1" s="13" t="s">
        <v>505</v>
      </c>
      <c r="G1" s="13" t="s">
        <v>506</v>
      </c>
      <c r="H1" s="13" t="s">
        <v>507</v>
      </c>
      <c r="I1" s="13" t="s">
        <v>508</v>
      </c>
      <c r="J1" s="12" t="s">
        <v>63</v>
      </c>
      <c r="K1" s="14" t="s">
        <v>115</v>
      </c>
      <c r="L1" s="8" t="s">
        <v>64</v>
      </c>
      <c r="M1" s="8" t="s">
        <v>65</v>
      </c>
      <c r="N1" s="8" t="s">
        <v>66</v>
      </c>
      <c r="O1" s="8" t="s">
        <v>67</v>
      </c>
      <c r="P1" s="9" t="s">
        <v>68</v>
      </c>
      <c r="Q1" s="9" t="s">
        <v>69</v>
      </c>
      <c r="R1" s="9" t="s">
        <v>70</v>
      </c>
      <c r="S1" s="9" t="s">
        <v>71</v>
      </c>
    </row>
    <row r="2" spans="1:19" customFormat="1" ht="15" x14ac:dyDescent="0.25">
      <c r="A2" s="15" t="s">
        <v>84</v>
      </c>
      <c r="B2" s="15" t="s">
        <v>509</v>
      </c>
      <c r="C2" s="15" t="s">
        <v>72</v>
      </c>
      <c r="D2" s="15"/>
      <c r="E2" s="15"/>
      <c r="F2" s="15"/>
      <c r="G2" s="15">
        <v>1</v>
      </c>
      <c r="H2" s="15"/>
      <c r="I2" s="15"/>
      <c r="J2" s="15">
        <v>1</v>
      </c>
      <c r="K2" s="15" t="s">
        <v>33</v>
      </c>
      <c r="L2" s="16" t="s">
        <v>26</v>
      </c>
      <c r="M2" s="16" t="s">
        <v>29</v>
      </c>
      <c r="N2" s="16" t="s">
        <v>24</v>
      </c>
      <c r="O2" s="16" t="s">
        <v>24</v>
      </c>
      <c r="P2" s="16">
        <v>90</v>
      </c>
      <c r="Q2" s="16">
        <v>0.1</v>
      </c>
      <c r="R2" s="16">
        <v>0</v>
      </c>
      <c r="S2" s="16">
        <v>0.9</v>
      </c>
    </row>
    <row r="3" spans="1:19" customFormat="1" ht="15" x14ac:dyDescent="0.25">
      <c r="A3" s="15" t="s">
        <v>192</v>
      </c>
      <c r="B3" s="15" t="s">
        <v>510</v>
      </c>
      <c r="C3" s="15" t="s">
        <v>72</v>
      </c>
      <c r="D3" s="15"/>
      <c r="E3" s="15"/>
      <c r="F3" s="15">
        <v>3</v>
      </c>
      <c r="G3" s="15"/>
      <c r="H3" s="15"/>
      <c r="I3" s="15"/>
      <c r="J3" s="15">
        <v>3</v>
      </c>
      <c r="K3" s="15" t="s">
        <v>48</v>
      </c>
      <c r="L3" s="16" t="s">
        <v>26</v>
      </c>
      <c r="M3" s="16" t="s">
        <v>27</v>
      </c>
      <c r="N3" s="16" t="s">
        <v>24</v>
      </c>
      <c r="O3" s="16" t="s">
        <v>24</v>
      </c>
      <c r="P3" s="16">
        <v>50</v>
      </c>
      <c r="Q3" s="16">
        <v>1.5</v>
      </c>
      <c r="R3" s="16">
        <v>0</v>
      </c>
      <c r="S3" s="16">
        <v>1.5</v>
      </c>
    </row>
    <row r="4" spans="1:19" customFormat="1" ht="15" x14ac:dyDescent="0.25">
      <c r="A4" s="15" t="s">
        <v>85</v>
      </c>
      <c r="B4" s="15" t="s">
        <v>511</v>
      </c>
      <c r="C4" s="15" t="s">
        <v>72</v>
      </c>
      <c r="D4" s="15"/>
      <c r="E4" s="15">
        <v>1</v>
      </c>
      <c r="F4" s="15"/>
      <c r="G4" s="15"/>
      <c r="H4" s="15"/>
      <c r="I4" s="15"/>
      <c r="J4" s="15">
        <v>1</v>
      </c>
      <c r="K4" s="15" t="s">
        <v>52</v>
      </c>
      <c r="L4" s="16" t="s">
        <v>26</v>
      </c>
      <c r="M4" s="16" t="s">
        <v>27</v>
      </c>
      <c r="N4" s="16" t="s">
        <v>24</v>
      </c>
      <c r="O4" s="16" t="s">
        <v>24</v>
      </c>
      <c r="P4" s="16">
        <v>50</v>
      </c>
      <c r="Q4" s="16">
        <v>0.5</v>
      </c>
      <c r="R4" s="16">
        <v>0</v>
      </c>
      <c r="S4" s="16">
        <v>0.5</v>
      </c>
    </row>
    <row r="5" spans="1:19" customFormat="1" ht="15" x14ac:dyDescent="0.25">
      <c r="A5" s="15" t="s">
        <v>93</v>
      </c>
      <c r="B5" s="15" t="s">
        <v>512</v>
      </c>
      <c r="C5" s="15">
        <v>6</v>
      </c>
      <c r="D5" s="15"/>
      <c r="E5" s="15"/>
      <c r="F5" s="15"/>
      <c r="G5" s="15"/>
      <c r="H5" s="15"/>
      <c r="I5" s="15">
        <v>1</v>
      </c>
      <c r="J5" s="15">
        <v>1</v>
      </c>
      <c r="K5" s="15" t="s">
        <v>36</v>
      </c>
      <c r="L5" s="16" t="s">
        <v>26</v>
      </c>
      <c r="M5" s="16" t="s">
        <v>39</v>
      </c>
      <c r="N5" s="16" t="s">
        <v>24</v>
      </c>
      <c r="O5" s="16" t="s">
        <v>24</v>
      </c>
      <c r="P5" s="16">
        <v>70</v>
      </c>
      <c r="Q5" s="16">
        <v>0.3</v>
      </c>
      <c r="R5" s="16">
        <v>0</v>
      </c>
      <c r="S5" s="16">
        <v>0.7</v>
      </c>
    </row>
    <row r="6" spans="1:19" customFormat="1" ht="15" x14ac:dyDescent="0.25">
      <c r="A6" s="15" t="s">
        <v>83</v>
      </c>
      <c r="B6" s="15" t="s">
        <v>513</v>
      </c>
      <c r="C6" s="15" t="s">
        <v>72</v>
      </c>
      <c r="D6" s="15"/>
      <c r="E6" s="15"/>
      <c r="F6" s="15">
        <v>1</v>
      </c>
      <c r="G6" s="15"/>
      <c r="H6" s="15"/>
      <c r="I6" s="15"/>
      <c r="J6" s="15">
        <v>1</v>
      </c>
      <c r="K6" s="15" t="s">
        <v>241</v>
      </c>
      <c r="L6" s="16" t="s">
        <v>26</v>
      </c>
      <c r="M6" s="16" t="s">
        <v>29</v>
      </c>
      <c r="N6" s="16" t="s">
        <v>24</v>
      </c>
      <c r="O6" s="16" t="s">
        <v>24</v>
      </c>
      <c r="P6" s="16">
        <v>90</v>
      </c>
      <c r="Q6" s="16">
        <v>0.1</v>
      </c>
      <c r="R6" s="16">
        <v>0</v>
      </c>
      <c r="S6" s="16">
        <v>0.9</v>
      </c>
    </row>
    <row r="7" spans="1:19" customFormat="1" ht="15" x14ac:dyDescent="0.25">
      <c r="A7" s="15" t="s">
        <v>89</v>
      </c>
      <c r="B7" s="15" t="s">
        <v>514</v>
      </c>
      <c r="C7" s="15" t="s">
        <v>385</v>
      </c>
      <c r="D7" s="15"/>
      <c r="E7" s="15"/>
      <c r="F7" s="15"/>
      <c r="G7" s="15"/>
      <c r="H7" s="15"/>
      <c r="I7" s="15">
        <v>1</v>
      </c>
      <c r="J7" s="15">
        <v>1</v>
      </c>
      <c r="K7" s="15" t="s">
        <v>241</v>
      </c>
      <c r="L7" s="16" t="s">
        <v>26</v>
      </c>
      <c r="M7" s="16" t="s">
        <v>27</v>
      </c>
      <c r="N7" s="16" t="s">
        <v>24</v>
      </c>
      <c r="O7" s="16" t="s">
        <v>24</v>
      </c>
      <c r="P7" s="16">
        <v>50</v>
      </c>
      <c r="Q7" s="16">
        <v>0.5</v>
      </c>
      <c r="R7" s="16">
        <v>0</v>
      </c>
      <c r="S7" s="16">
        <v>0.5</v>
      </c>
    </row>
    <row r="8" spans="1:19" customFormat="1" ht="15" x14ac:dyDescent="0.25">
      <c r="A8" s="15" t="s">
        <v>92</v>
      </c>
      <c r="B8" s="15" t="s">
        <v>515</v>
      </c>
      <c r="C8" s="15" t="s">
        <v>72</v>
      </c>
      <c r="D8" s="15"/>
      <c r="E8" s="15"/>
      <c r="F8" s="15"/>
      <c r="G8" s="15"/>
      <c r="H8" s="15"/>
      <c r="I8" s="15">
        <v>1</v>
      </c>
      <c r="J8" s="15">
        <v>1</v>
      </c>
      <c r="K8" s="15" t="s">
        <v>48</v>
      </c>
      <c r="L8" s="16" t="s">
        <v>26</v>
      </c>
      <c r="M8" s="16" t="s">
        <v>39</v>
      </c>
      <c r="N8" s="16" t="s">
        <v>24</v>
      </c>
      <c r="O8" s="16" t="s">
        <v>24</v>
      </c>
      <c r="P8" s="16">
        <v>70</v>
      </c>
      <c r="Q8" s="16">
        <v>0.3</v>
      </c>
      <c r="R8" s="16">
        <v>0</v>
      </c>
      <c r="S8" s="16">
        <v>0.7</v>
      </c>
    </row>
    <row r="9" spans="1:19" customFormat="1" ht="15" x14ac:dyDescent="0.25">
      <c r="A9" s="15" t="s">
        <v>91</v>
      </c>
      <c r="B9" s="15" t="s">
        <v>516</v>
      </c>
      <c r="C9" s="15" t="s">
        <v>72</v>
      </c>
      <c r="D9" s="15"/>
      <c r="E9" s="15"/>
      <c r="F9" s="15"/>
      <c r="G9" s="15"/>
      <c r="H9" s="15">
        <v>1</v>
      </c>
      <c r="I9" s="15"/>
      <c r="J9" s="15">
        <v>1</v>
      </c>
      <c r="K9" s="15" t="s">
        <v>241</v>
      </c>
      <c r="L9" s="16" t="s">
        <v>26</v>
      </c>
      <c r="M9" s="16" t="s">
        <v>27</v>
      </c>
      <c r="N9" s="16" t="s">
        <v>24</v>
      </c>
      <c r="O9" s="16" t="s">
        <v>24</v>
      </c>
      <c r="P9" s="16">
        <v>50</v>
      </c>
      <c r="Q9" s="16">
        <v>0.5</v>
      </c>
      <c r="R9" s="16">
        <v>0</v>
      </c>
      <c r="S9" s="16">
        <v>0.5</v>
      </c>
    </row>
    <row r="10" spans="1:19" customFormat="1" ht="15" x14ac:dyDescent="0.25">
      <c r="A10" s="15" t="s">
        <v>79</v>
      </c>
      <c r="B10" s="15" t="s">
        <v>517</v>
      </c>
      <c r="C10" s="15" t="s">
        <v>72</v>
      </c>
      <c r="D10" s="15"/>
      <c r="E10" s="15"/>
      <c r="F10" s="15"/>
      <c r="G10" s="15">
        <v>1</v>
      </c>
      <c r="H10" s="15"/>
      <c r="I10" s="15"/>
      <c r="J10" s="15">
        <v>1</v>
      </c>
      <c r="K10" s="15" t="s">
        <v>36</v>
      </c>
      <c r="L10" s="16" t="s">
        <v>26</v>
      </c>
      <c r="M10" s="16" t="s">
        <v>27</v>
      </c>
      <c r="N10" s="16" t="s">
        <v>24</v>
      </c>
      <c r="O10" s="16" t="s">
        <v>24</v>
      </c>
      <c r="P10" s="16">
        <v>50</v>
      </c>
      <c r="Q10" s="16">
        <v>0.5</v>
      </c>
      <c r="R10" s="16">
        <v>0</v>
      </c>
      <c r="S10" s="16">
        <v>0.5</v>
      </c>
    </row>
    <row r="11" spans="1:19" customFormat="1" ht="15" x14ac:dyDescent="0.25">
      <c r="A11" s="15" t="s">
        <v>76</v>
      </c>
      <c r="B11" s="15" t="s">
        <v>518</v>
      </c>
      <c r="C11" s="15" t="s">
        <v>72</v>
      </c>
      <c r="D11" s="15">
        <v>1</v>
      </c>
      <c r="E11" s="15"/>
      <c r="F11" s="15"/>
      <c r="G11" s="15"/>
      <c r="H11" s="15"/>
      <c r="I11" s="15"/>
      <c r="J11" s="15">
        <v>1</v>
      </c>
      <c r="K11" s="15" t="s">
        <v>52</v>
      </c>
      <c r="L11" s="16" t="s">
        <v>26</v>
      </c>
      <c r="M11" s="16" t="s">
        <v>27</v>
      </c>
      <c r="N11" s="16" t="s">
        <v>24</v>
      </c>
      <c r="O11" s="16" t="s">
        <v>24</v>
      </c>
      <c r="P11" s="16">
        <v>50</v>
      </c>
      <c r="Q11" s="16">
        <v>0.5</v>
      </c>
      <c r="R11" s="16">
        <v>0</v>
      </c>
      <c r="S11" s="16">
        <v>0.5</v>
      </c>
    </row>
    <row r="12" spans="1:19" customFormat="1" ht="15" x14ac:dyDescent="0.25">
      <c r="A12" s="15" t="s">
        <v>94</v>
      </c>
      <c r="B12" s="15" t="s">
        <v>519</v>
      </c>
      <c r="C12" s="15" t="s">
        <v>72</v>
      </c>
      <c r="D12" s="15"/>
      <c r="E12" s="15"/>
      <c r="F12" s="15"/>
      <c r="G12" s="15">
        <v>1</v>
      </c>
      <c r="H12" s="15"/>
      <c r="I12" s="15"/>
      <c r="J12" s="15">
        <v>1</v>
      </c>
      <c r="K12" s="15" t="s">
        <v>241</v>
      </c>
      <c r="L12" s="16" t="s">
        <v>26</v>
      </c>
      <c r="M12" s="16" t="s">
        <v>27</v>
      </c>
      <c r="N12" s="16" t="s">
        <v>24</v>
      </c>
      <c r="O12" s="16" t="s">
        <v>24</v>
      </c>
      <c r="P12" s="16">
        <v>50</v>
      </c>
      <c r="Q12" s="16">
        <v>0.5</v>
      </c>
      <c r="R12" s="16">
        <v>0</v>
      </c>
      <c r="S12" s="16">
        <v>0.5</v>
      </c>
    </row>
    <row r="13" spans="1:19" customFormat="1" ht="15" x14ac:dyDescent="0.25">
      <c r="A13" s="15" t="s">
        <v>101</v>
      </c>
      <c r="B13" s="15" t="s">
        <v>520</v>
      </c>
      <c r="C13" s="15" t="s">
        <v>72</v>
      </c>
      <c r="D13" s="15">
        <v>1</v>
      </c>
      <c r="E13" s="15"/>
      <c r="F13" s="15"/>
      <c r="G13" s="15"/>
      <c r="H13" s="15"/>
      <c r="I13" s="15"/>
      <c r="J13" s="15">
        <v>1</v>
      </c>
      <c r="K13" s="15" t="s">
        <v>36</v>
      </c>
      <c r="L13" s="16" t="s">
        <v>26</v>
      </c>
      <c r="M13" s="16" t="s">
        <v>27</v>
      </c>
      <c r="N13" s="16" t="s">
        <v>24</v>
      </c>
      <c r="O13" s="16" t="s">
        <v>24</v>
      </c>
      <c r="P13" s="16">
        <v>50</v>
      </c>
      <c r="Q13" s="16">
        <v>0.5</v>
      </c>
      <c r="R13" s="16">
        <v>0</v>
      </c>
      <c r="S13" s="16">
        <v>0.5</v>
      </c>
    </row>
    <row r="14" spans="1:19" customFormat="1" ht="15" x14ac:dyDescent="0.25">
      <c r="A14" s="15" t="s">
        <v>98</v>
      </c>
      <c r="B14" s="15" t="s">
        <v>521</v>
      </c>
      <c r="C14" s="15" t="s">
        <v>72</v>
      </c>
      <c r="D14" s="15"/>
      <c r="E14" s="15">
        <v>1</v>
      </c>
      <c r="F14" s="15"/>
      <c r="G14" s="15"/>
      <c r="H14" s="15"/>
      <c r="I14" s="15"/>
      <c r="J14" s="15">
        <v>1</v>
      </c>
      <c r="K14" s="15" t="s">
        <v>241</v>
      </c>
      <c r="L14" s="16" t="s">
        <v>26</v>
      </c>
      <c r="M14" s="16" t="s">
        <v>27</v>
      </c>
      <c r="N14" s="16" t="s">
        <v>24</v>
      </c>
      <c r="O14" s="16" t="s">
        <v>24</v>
      </c>
      <c r="P14" s="16">
        <v>50</v>
      </c>
      <c r="Q14" s="16">
        <v>0.5</v>
      </c>
      <c r="R14" s="16">
        <v>0</v>
      </c>
      <c r="S14" s="16">
        <v>0.5</v>
      </c>
    </row>
    <row r="15" spans="1:19" customFormat="1" ht="15" x14ac:dyDescent="0.25">
      <c r="A15" s="15" t="s">
        <v>97</v>
      </c>
      <c r="B15" s="15" t="s">
        <v>522</v>
      </c>
      <c r="C15" s="15" t="s">
        <v>72</v>
      </c>
      <c r="D15" s="15"/>
      <c r="E15" s="15"/>
      <c r="F15" s="15"/>
      <c r="G15" s="15"/>
      <c r="H15" s="15">
        <v>1</v>
      </c>
      <c r="I15" s="15"/>
      <c r="J15" s="15">
        <v>1</v>
      </c>
      <c r="K15" s="15" t="s">
        <v>52</v>
      </c>
      <c r="L15" s="16" t="s">
        <v>26</v>
      </c>
      <c r="M15" s="16" t="s">
        <v>27</v>
      </c>
      <c r="N15" s="16" t="s">
        <v>24</v>
      </c>
      <c r="O15" s="16" t="s">
        <v>24</v>
      </c>
      <c r="P15" s="16">
        <v>50</v>
      </c>
      <c r="Q15" s="16">
        <v>0.5</v>
      </c>
      <c r="R15" s="16">
        <v>0</v>
      </c>
      <c r="S15" s="16">
        <v>0.5</v>
      </c>
    </row>
    <row r="16" spans="1:19" customFormat="1" ht="15" x14ac:dyDescent="0.25">
      <c r="A16" s="51" t="s">
        <v>80</v>
      </c>
      <c r="B16" s="51" t="s">
        <v>523</v>
      </c>
      <c r="C16" s="52" t="s">
        <v>524</v>
      </c>
      <c r="D16" s="51"/>
      <c r="E16" s="51"/>
      <c r="F16" s="51"/>
      <c r="G16" s="51"/>
      <c r="H16" s="51"/>
      <c r="I16" s="51">
        <v>1</v>
      </c>
      <c r="J16" s="15">
        <v>1</v>
      </c>
      <c r="K16" s="15" t="s">
        <v>48</v>
      </c>
      <c r="L16" s="16" t="s">
        <v>26</v>
      </c>
      <c r="M16" s="16" t="s">
        <v>327</v>
      </c>
      <c r="N16" s="16" t="s">
        <v>24</v>
      </c>
      <c r="O16" s="16" t="s">
        <v>24</v>
      </c>
      <c r="P16" s="16">
        <v>30</v>
      </c>
      <c r="Q16" s="16">
        <v>0.7</v>
      </c>
      <c r="R16" s="16">
        <v>0</v>
      </c>
      <c r="S16" s="16">
        <v>0.3</v>
      </c>
    </row>
    <row r="17" spans="1:19" customFormat="1" ht="15" x14ac:dyDescent="0.25">
      <c r="A17" s="51" t="s">
        <v>81</v>
      </c>
      <c r="B17" s="51" t="s">
        <v>525</v>
      </c>
      <c r="C17" s="52" t="s">
        <v>72</v>
      </c>
      <c r="D17" s="51"/>
      <c r="E17" s="51"/>
      <c r="F17" s="51"/>
      <c r="G17" s="51">
        <v>1</v>
      </c>
      <c r="H17" s="51"/>
      <c r="I17" s="51"/>
      <c r="J17" s="15">
        <v>1</v>
      </c>
      <c r="K17" s="15" t="s">
        <v>241</v>
      </c>
      <c r="L17" s="16" t="s">
        <v>26</v>
      </c>
      <c r="M17" s="16" t="s">
        <v>29</v>
      </c>
      <c r="N17" s="16" t="s">
        <v>24</v>
      </c>
      <c r="O17" s="16" t="s">
        <v>24</v>
      </c>
      <c r="P17" s="16">
        <v>90</v>
      </c>
      <c r="Q17" s="16">
        <v>0.1</v>
      </c>
      <c r="R17" s="16">
        <v>0</v>
      </c>
      <c r="S17" s="16">
        <v>0.9</v>
      </c>
    </row>
    <row r="18" spans="1:19" customFormat="1" ht="15" x14ac:dyDescent="0.25">
      <c r="A18" s="15" t="s">
        <v>87</v>
      </c>
      <c r="B18" s="15" t="s">
        <v>526</v>
      </c>
      <c r="C18" s="15" t="s">
        <v>72</v>
      </c>
      <c r="D18" s="15"/>
      <c r="E18" s="15">
        <v>1</v>
      </c>
      <c r="F18" s="15"/>
      <c r="G18" s="15"/>
      <c r="H18" s="15"/>
      <c r="I18" s="15"/>
      <c r="J18" s="15">
        <v>1</v>
      </c>
      <c r="K18" s="15" t="s">
        <v>52</v>
      </c>
      <c r="L18" s="16" t="s">
        <v>26</v>
      </c>
      <c r="M18" s="16" t="s">
        <v>53</v>
      </c>
      <c r="N18" s="16" t="s">
        <v>24</v>
      </c>
      <c r="O18" s="16" t="s">
        <v>24</v>
      </c>
      <c r="P18" s="16">
        <v>15</v>
      </c>
      <c r="Q18" s="16">
        <v>0.85</v>
      </c>
      <c r="R18" s="16">
        <v>0</v>
      </c>
      <c r="S18" s="16">
        <v>0.15</v>
      </c>
    </row>
    <row r="19" spans="1:19" customFormat="1" ht="15" x14ac:dyDescent="0.25">
      <c r="A19" s="15" t="s">
        <v>527</v>
      </c>
      <c r="B19" s="15" t="s">
        <v>528</v>
      </c>
      <c r="C19" s="15" t="s">
        <v>72</v>
      </c>
      <c r="D19" s="15"/>
      <c r="E19" s="15"/>
      <c r="F19" s="15">
        <v>2</v>
      </c>
      <c r="G19" s="15"/>
      <c r="H19" s="15"/>
      <c r="I19" s="15"/>
      <c r="J19" s="15">
        <v>2</v>
      </c>
      <c r="K19" s="15" t="s">
        <v>48</v>
      </c>
      <c r="L19" s="16" t="s">
        <v>26</v>
      </c>
      <c r="M19" s="16" t="s">
        <v>27</v>
      </c>
      <c r="N19" s="16" t="s">
        <v>24</v>
      </c>
      <c r="O19" s="16" t="s">
        <v>24</v>
      </c>
      <c r="P19" s="16">
        <v>50</v>
      </c>
      <c r="Q19" s="16">
        <v>1</v>
      </c>
      <c r="R19" s="16">
        <v>0</v>
      </c>
      <c r="S19" s="16">
        <v>1</v>
      </c>
    </row>
    <row r="20" spans="1:19" customFormat="1" ht="15" x14ac:dyDescent="0.25">
      <c r="A20" s="15" t="s">
        <v>90</v>
      </c>
      <c r="B20" s="15" t="s">
        <v>529</v>
      </c>
      <c r="C20" s="15" t="s">
        <v>72</v>
      </c>
      <c r="D20" s="15"/>
      <c r="E20" s="15">
        <v>1</v>
      </c>
      <c r="F20" s="15"/>
      <c r="G20" s="15"/>
      <c r="H20" s="15"/>
      <c r="I20" s="15"/>
      <c r="J20" s="15">
        <v>1</v>
      </c>
      <c r="K20" s="15" t="s">
        <v>36</v>
      </c>
      <c r="L20" s="16" t="s">
        <v>26</v>
      </c>
      <c r="M20" s="16" t="s">
        <v>39</v>
      </c>
      <c r="N20" s="16" t="s">
        <v>24</v>
      </c>
      <c r="O20" s="16" t="s">
        <v>24</v>
      </c>
      <c r="P20" s="16">
        <v>70</v>
      </c>
      <c r="Q20" s="16">
        <v>0.3</v>
      </c>
      <c r="R20" s="16">
        <v>0</v>
      </c>
      <c r="S20" s="16">
        <v>0.7</v>
      </c>
    </row>
    <row r="21" spans="1:19" customFormat="1" ht="15" x14ac:dyDescent="0.25">
      <c r="A21" s="15" t="s">
        <v>102</v>
      </c>
      <c r="B21" s="15" t="s">
        <v>530</v>
      </c>
      <c r="C21" s="15" t="s">
        <v>72</v>
      </c>
      <c r="D21" s="15"/>
      <c r="E21" s="15"/>
      <c r="F21" s="15">
        <v>1</v>
      </c>
      <c r="G21" s="15"/>
      <c r="H21" s="15"/>
      <c r="I21" s="15"/>
      <c r="J21" s="15">
        <v>1</v>
      </c>
      <c r="K21" s="15" t="s">
        <v>33</v>
      </c>
      <c r="L21" s="16" t="s">
        <v>26</v>
      </c>
      <c r="M21" s="16" t="s">
        <v>27</v>
      </c>
      <c r="N21" s="16" t="s">
        <v>24</v>
      </c>
      <c r="O21" s="16" t="s">
        <v>24</v>
      </c>
      <c r="P21" s="16">
        <v>50</v>
      </c>
      <c r="Q21" s="16">
        <v>0.5</v>
      </c>
      <c r="R21" s="16">
        <v>0</v>
      </c>
      <c r="S21" s="16">
        <v>0.5</v>
      </c>
    </row>
    <row r="22" spans="1:19" customFormat="1" ht="15" x14ac:dyDescent="0.25">
      <c r="A22" s="15" t="s">
        <v>95</v>
      </c>
      <c r="B22" s="15" t="s">
        <v>531</v>
      </c>
      <c r="C22" s="15" t="s">
        <v>72</v>
      </c>
      <c r="D22" s="15"/>
      <c r="E22" s="15"/>
      <c r="F22" s="15"/>
      <c r="G22" s="15"/>
      <c r="H22" s="15">
        <v>1</v>
      </c>
      <c r="I22" s="15"/>
      <c r="J22" s="15">
        <v>1</v>
      </c>
      <c r="K22" s="15" t="s">
        <v>52</v>
      </c>
      <c r="L22" s="16" t="s">
        <v>26</v>
      </c>
      <c r="M22" s="16" t="s">
        <v>53</v>
      </c>
      <c r="N22" s="16" t="s">
        <v>24</v>
      </c>
      <c r="O22" s="16" t="s">
        <v>24</v>
      </c>
      <c r="P22" s="16">
        <v>15</v>
      </c>
      <c r="Q22" s="16">
        <v>0.85</v>
      </c>
      <c r="R22" s="16">
        <v>0</v>
      </c>
      <c r="S22" s="16">
        <v>0.15</v>
      </c>
    </row>
    <row r="23" spans="1:19" customFormat="1" ht="15" x14ac:dyDescent="0.25">
      <c r="A23" s="15" t="s">
        <v>99</v>
      </c>
      <c r="B23" s="15" t="s">
        <v>532</v>
      </c>
      <c r="C23" s="15" t="s">
        <v>72</v>
      </c>
      <c r="D23" s="15"/>
      <c r="E23" s="15"/>
      <c r="F23" s="15"/>
      <c r="G23" s="15"/>
      <c r="H23" s="15"/>
      <c r="I23" s="15">
        <v>1</v>
      </c>
      <c r="J23" s="15">
        <v>1</v>
      </c>
      <c r="K23" s="15" t="s">
        <v>534</v>
      </c>
      <c r="L23" s="16" t="s">
        <v>26</v>
      </c>
      <c r="M23" s="16" t="s">
        <v>39</v>
      </c>
      <c r="N23" s="16" t="s">
        <v>24</v>
      </c>
      <c r="O23" s="16" t="s">
        <v>24</v>
      </c>
      <c r="P23" s="16">
        <v>70</v>
      </c>
      <c r="Q23" s="16">
        <v>0.3</v>
      </c>
      <c r="R23" s="16">
        <v>0</v>
      </c>
      <c r="S23" s="16">
        <v>0.7</v>
      </c>
    </row>
    <row r="24" spans="1:19" customFormat="1" ht="15" x14ac:dyDescent="0.25">
      <c r="A24" s="15" t="s">
        <v>78</v>
      </c>
      <c r="B24" s="15" t="s">
        <v>533</v>
      </c>
      <c r="C24" s="15" t="s">
        <v>72</v>
      </c>
      <c r="D24" s="15"/>
      <c r="E24" s="15">
        <v>1</v>
      </c>
      <c r="F24" s="15"/>
      <c r="G24" s="15"/>
      <c r="H24" s="15"/>
      <c r="I24" s="15"/>
      <c r="J24" s="15">
        <v>1</v>
      </c>
      <c r="K24" s="15" t="s">
        <v>48</v>
      </c>
      <c r="L24" s="16" t="s">
        <v>26</v>
      </c>
      <c r="M24" s="16" t="s">
        <v>27</v>
      </c>
      <c r="N24" s="16" t="s">
        <v>24</v>
      </c>
      <c r="O24" s="16" t="s">
        <v>24</v>
      </c>
      <c r="P24" s="16">
        <v>50</v>
      </c>
      <c r="Q24" s="16">
        <v>0.5</v>
      </c>
      <c r="R24" s="16">
        <v>0</v>
      </c>
      <c r="S24" s="16">
        <v>0.5</v>
      </c>
    </row>
    <row r="25" spans="1:19" customFormat="1" ht="15" x14ac:dyDescent="0.25">
      <c r="A25" s="15" t="s">
        <v>86</v>
      </c>
      <c r="B25" s="15" t="s">
        <v>535</v>
      </c>
      <c r="C25" s="15" t="s">
        <v>72</v>
      </c>
      <c r="D25" s="15"/>
      <c r="E25" s="15"/>
      <c r="F25" s="15">
        <v>1</v>
      </c>
      <c r="G25" s="15"/>
      <c r="H25" s="15"/>
      <c r="I25" s="15"/>
      <c r="J25" s="15">
        <v>1</v>
      </c>
      <c r="K25" s="15" t="s">
        <v>48</v>
      </c>
      <c r="L25" s="16" t="s">
        <v>26</v>
      </c>
      <c r="M25" s="16" t="s">
        <v>27</v>
      </c>
      <c r="N25" s="16" t="s">
        <v>24</v>
      </c>
      <c r="O25" s="16" t="s">
        <v>24</v>
      </c>
      <c r="P25" s="16">
        <v>50</v>
      </c>
      <c r="Q25" s="16">
        <v>0.5</v>
      </c>
      <c r="R25" s="16">
        <v>0</v>
      </c>
      <c r="S25" s="16">
        <v>0.5</v>
      </c>
    </row>
    <row r="26" spans="1:19" customFormat="1" ht="15" x14ac:dyDescent="0.25">
      <c r="A26" s="15" t="s">
        <v>74</v>
      </c>
      <c r="B26" s="15" t="s">
        <v>536</v>
      </c>
      <c r="C26" s="15" t="s">
        <v>73</v>
      </c>
      <c r="D26" s="15">
        <v>1</v>
      </c>
      <c r="E26" s="15"/>
      <c r="F26" s="15"/>
      <c r="G26" s="15"/>
      <c r="H26" s="15"/>
      <c r="I26" s="15">
        <v>1</v>
      </c>
      <c r="J26" s="15">
        <v>2</v>
      </c>
      <c r="K26" s="15" t="s">
        <v>33</v>
      </c>
      <c r="L26" s="16" t="s">
        <v>26</v>
      </c>
      <c r="M26" s="16" t="s">
        <v>28</v>
      </c>
      <c r="N26" s="16" t="s">
        <v>23</v>
      </c>
      <c r="O26" s="16" t="s">
        <v>29</v>
      </c>
      <c r="P26" s="16">
        <v>70</v>
      </c>
      <c r="Q26" s="16">
        <v>0.4</v>
      </c>
      <c r="R26" s="16">
        <v>0.2</v>
      </c>
      <c r="S26" s="16">
        <v>1.4</v>
      </c>
    </row>
    <row r="27" spans="1:19" customFormat="1" ht="15" x14ac:dyDescent="0.25">
      <c r="A27" s="15" t="s">
        <v>96</v>
      </c>
      <c r="B27" s="15" t="s">
        <v>537</v>
      </c>
      <c r="C27" s="15" t="s">
        <v>72</v>
      </c>
      <c r="D27" s="15"/>
      <c r="E27" s="15"/>
      <c r="F27" s="15"/>
      <c r="G27" s="15"/>
      <c r="H27" s="15">
        <v>1</v>
      </c>
      <c r="I27" s="15"/>
      <c r="J27" s="15">
        <v>1</v>
      </c>
      <c r="K27" s="15" t="s">
        <v>241</v>
      </c>
      <c r="L27" s="16" t="s">
        <v>26</v>
      </c>
      <c r="M27" s="16" t="s">
        <v>27</v>
      </c>
      <c r="N27" s="16" t="s">
        <v>24</v>
      </c>
      <c r="O27" s="16" t="s">
        <v>24</v>
      </c>
      <c r="P27" s="16">
        <v>50</v>
      </c>
      <c r="Q27" s="16">
        <v>0.5</v>
      </c>
      <c r="R27" s="16">
        <v>0</v>
      </c>
      <c r="S27" s="16">
        <v>0.5</v>
      </c>
    </row>
    <row r="28" spans="1:19" customFormat="1" ht="15" x14ac:dyDescent="0.25">
      <c r="A28" s="15" t="s">
        <v>116</v>
      </c>
      <c r="B28" s="15" t="s">
        <v>538</v>
      </c>
      <c r="C28" s="15" t="s">
        <v>72</v>
      </c>
      <c r="D28" s="15"/>
      <c r="E28" s="15"/>
      <c r="F28" s="15">
        <v>2</v>
      </c>
      <c r="G28" s="15"/>
      <c r="H28" s="15"/>
      <c r="I28" s="15"/>
      <c r="J28" s="15">
        <v>2</v>
      </c>
      <c r="K28" s="15" t="s">
        <v>539</v>
      </c>
      <c r="L28" s="16" t="s">
        <v>26</v>
      </c>
      <c r="M28" s="16" t="s">
        <v>27</v>
      </c>
      <c r="N28" s="16" t="s">
        <v>24</v>
      </c>
      <c r="O28" s="16" t="s">
        <v>24</v>
      </c>
      <c r="P28" s="16">
        <v>50</v>
      </c>
      <c r="Q28" s="16">
        <v>1</v>
      </c>
      <c r="R28" s="16">
        <v>0</v>
      </c>
      <c r="S28" s="16">
        <v>1</v>
      </c>
    </row>
    <row r="29" spans="1:19" customFormat="1" ht="15" x14ac:dyDescent="0.25">
      <c r="A29" s="15" t="s">
        <v>88</v>
      </c>
      <c r="B29" s="15" t="s">
        <v>540</v>
      </c>
      <c r="C29" s="15" t="s">
        <v>72</v>
      </c>
      <c r="D29" s="15">
        <v>1</v>
      </c>
      <c r="E29" s="15"/>
      <c r="F29" s="15"/>
      <c r="G29" s="15"/>
      <c r="H29" s="15"/>
      <c r="I29" s="15">
        <v>1</v>
      </c>
      <c r="J29" s="15">
        <v>2</v>
      </c>
      <c r="K29" s="15" t="s">
        <v>241</v>
      </c>
      <c r="L29" s="16" t="s">
        <v>26</v>
      </c>
      <c r="M29" s="16" t="s">
        <v>28</v>
      </c>
      <c r="N29" s="16" t="s">
        <v>24</v>
      </c>
      <c r="O29" s="16" t="s">
        <v>24</v>
      </c>
      <c r="P29" s="16">
        <v>80</v>
      </c>
      <c r="Q29" s="16">
        <v>0.4</v>
      </c>
      <c r="R29" s="16">
        <v>0</v>
      </c>
      <c r="S29" s="16">
        <v>1.6</v>
      </c>
    </row>
    <row r="30" spans="1:19" customFormat="1" ht="15" x14ac:dyDescent="0.25">
      <c r="A30" s="15" t="s">
        <v>152</v>
      </c>
      <c r="B30" s="15" t="s">
        <v>541</v>
      </c>
      <c r="C30" s="15" t="s">
        <v>72</v>
      </c>
      <c r="D30" s="15"/>
      <c r="E30" s="15"/>
      <c r="F30" s="15">
        <v>2</v>
      </c>
      <c r="G30" s="15"/>
      <c r="H30" s="15">
        <v>1</v>
      </c>
      <c r="I30" s="15"/>
      <c r="J30" s="15">
        <v>3</v>
      </c>
      <c r="K30" s="15" t="s">
        <v>48</v>
      </c>
      <c r="L30" s="16" t="s">
        <v>26</v>
      </c>
      <c r="M30" s="16" t="s">
        <v>27</v>
      </c>
      <c r="N30" s="16" t="s">
        <v>24</v>
      </c>
      <c r="O30" s="16" t="s">
        <v>24</v>
      </c>
      <c r="P30" s="16">
        <v>50</v>
      </c>
      <c r="Q30" s="16">
        <v>1.5</v>
      </c>
      <c r="R30" s="16">
        <v>0</v>
      </c>
      <c r="S30" s="16">
        <v>1.5</v>
      </c>
    </row>
    <row r="31" spans="1:19" customFormat="1" ht="15" x14ac:dyDescent="0.25">
      <c r="A31" s="15" t="s">
        <v>256</v>
      </c>
      <c r="B31" s="15" t="s">
        <v>542</v>
      </c>
      <c r="C31" s="15" t="s">
        <v>72</v>
      </c>
      <c r="D31" s="15"/>
      <c r="E31" s="15">
        <v>1</v>
      </c>
      <c r="F31" s="15"/>
      <c r="G31" s="15"/>
      <c r="H31" s="15"/>
      <c r="I31" s="15"/>
      <c r="J31" s="15">
        <v>1</v>
      </c>
      <c r="K31" s="15" t="s">
        <v>52</v>
      </c>
      <c r="L31" s="16" t="s">
        <v>26</v>
      </c>
      <c r="M31" s="16" t="s">
        <v>27</v>
      </c>
      <c r="N31" s="16" t="s">
        <v>24</v>
      </c>
      <c r="O31" s="16" t="s">
        <v>24</v>
      </c>
      <c r="P31" s="16">
        <v>50</v>
      </c>
      <c r="Q31" s="16">
        <v>0.5</v>
      </c>
      <c r="R31" s="16">
        <v>0</v>
      </c>
      <c r="S31" s="16">
        <v>0.5</v>
      </c>
    </row>
    <row r="32" spans="1:19" customFormat="1" ht="15" x14ac:dyDescent="0.25">
      <c r="A32" s="15" t="s">
        <v>543</v>
      </c>
      <c r="B32" s="15" t="s">
        <v>544</v>
      </c>
      <c r="C32" s="15" t="s">
        <v>72</v>
      </c>
      <c r="D32" s="15"/>
      <c r="E32" s="15"/>
      <c r="F32" s="15"/>
      <c r="G32" s="15"/>
      <c r="H32" s="15"/>
      <c r="I32" s="15">
        <v>2</v>
      </c>
      <c r="J32" s="15">
        <v>2</v>
      </c>
      <c r="K32" s="15" t="s">
        <v>48</v>
      </c>
      <c r="L32" s="16" t="s">
        <v>26</v>
      </c>
      <c r="M32" s="16" t="s">
        <v>27</v>
      </c>
      <c r="N32" s="16" t="s">
        <v>24</v>
      </c>
      <c r="O32" s="16" t="s">
        <v>24</v>
      </c>
      <c r="P32" s="16">
        <v>50</v>
      </c>
      <c r="Q32" s="16">
        <v>1</v>
      </c>
      <c r="R32" s="16">
        <v>0</v>
      </c>
      <c r="S32" s="16">
        <v>1</v>
      </c>
    </row>
    <row r="33" spans="1:19" customFormat="1" ht="15" x14ac:dyDescent="0.25">
      <c r="A33" s="15" t="s">
        <v>104</v>
      </c>
      <c r="B33" s="15" t="s">
        <v>545</v>
      </c>
      <c r="C33" s="15" t="s">
        <v>72</v>
      </c>
      <c r="D33" s="15"/>
      <c r="E33" s="15"/>
      <c r="F33" s="15">
        <v>1</v>
      </c>
      <c r="G33" s="15"/>
      <c r="H33" s="15"/>
      <c r="I33" s="15"/>
      <c r="J33" s="15">
        <v>1</v>
      </c>
      <c r="K33" s="15" t="s">
        <v>36</v>
      </c>
      <c r="L33" s="16" t="s">
        <v>26</v>
      </c>
      <c r="M33" s="16" t="s">
        <v>39</v>
      </c>
      <c r="N33" s="16" t="s">
        <v>162</v>
      </c>
      <c r="O33" s="16" t="s">
        <v>29</v>
      </c>
      <c r="P33" s="16">
        <v>60</v>
      </c>
      <c r="Q33" s="16">
        <v>0.3</v>
      </c>
      <c r="R33" s="16">
        <v>0.1</v>
      </c>
      <c r="S33" s="16">
        <v>0.6</v>
      </c>
    </row>
    <row r="34" spans="1:19" customFormat="1" ht="15" x14ac:dyDescent="0.25">
      <c r="A34" s="15" t="s">
        <v>75</v>
      </c>
      <c r="B34" s="15" t="s">
        <v>546</v>
      </c>
      <c r="C34" s="17" t="s">
        <v>72</v>
      </c>
      <c r="D34" s="15"/>
      <c r="E34" s="15">
        <v>1</v>
      </c>
      <c r="F34" s="15"/>
      <c r="G34" s="15"/>
      <c r="H34" s="15"/>
      <c r="I34" s="15"/>
      <c r="J34" s="15">
        <v>1</v>
      </c>
      <c r="K34" s="15" t="s">
        <v>36</v>
      </c>
      <c r="L34" s="16" t="s">
        <v>26</v>
      </c>
      <c r="M34" s="16" t="s">
        <v>29</v>
      </c>
      <c r="N34" s="16" t="s">
        <v>23</v>
      </c>
      <c r="O34" s="16" t="s">
        <v>29</v>
      </c>
      <c r="P34" s="16">
        <v>80</v>
      </c>
      <c r="Q34" s="16">
        <v>0.1</v>
      </c>
      <c r="R34" s="16">
        <v>0.1</v>
      </c>
      <c r="S34" s="16">
        <v>0.8</v>
      </c>
    </row>
    <row r="35" spans="1:19" customFormat="1" ht="15" x14ac:dyDescent="0.25">
      <c r="A35" s="15" t="s">
        <v>105</v>
      </c>
      <c r="B35" s="15" t="s">
        <v>547</v>
      </c>
      <c r="C35" s="17" t="s">
        <v>72</v>
      </c>
      <c r="D35" s="15"/>
      <c r="E35" s="15"/>
      <c r="F35" s="15"/>
      <c r="G35" s="15">
        <v>1</v>
      </c>
      <c r="H35" s="15"/>
      <c r="I35" s="15"/>
      <c r="J35" s="15">
        <v>1</v>
      </c>
      <c r="K35" s="15" t="s">
        <v>539</v>
      </c>
      <c r="L35" s="16" t="s">
        <v>26</v>
      </c>
      <c r="M35" s="16" t="s">
        <v>27</v>
      </c>
      <c r="N35" s="16" t="s">
        <v>24</v>
      </c>
      <c r="O35" s="16" t="s">
        <v>24</v>
      </c>
      <c r="P35" s="16">
        <v>50</v>
      </c>
      <c r="Q35" s="16">
        <v>0.5</v>
      </c>
      <c r="R35" s="16">
        <v>0</v>
      </c>
      <c r="S35" s="16">
        <v>0.5</v>
      </c>
    </row>
    <row r="36" spans="1:19" customFormat="1" ht="15" x14ac:dyDescent="0.25">
      <c r="A36" s="51" t="s">
        <v>103</v>
      </c>
      <c r="B36" s="51" t="s">
        <v>548</v>
      </c>
      <c r="C36" s="52" t="s">
        <v>72</v>
      </c>
      <c r="D36" s="51"/>
      <c r="E36" s="51"/>
      <c r="F36" s="51"/>
      <c r="G36" s="51">
        <v>1</v>
      </c>
      <c r="H36" s="51"/>
      <c r="I36" s="51"/>
      <c r="J36" s="51">
        <v>1</v>
      </c>
      <c r="K36" s="15" t="s">
        <v>33</v>
      </c>
      <c r="L36" s="53" t="s">
        <v>26</v>
      </c>
      <c r="M36" s="53" t="s">
        <v>39</v>
      </c>
      <c r="N36" s="53" t="s">
        <v>24</v>
      </c>
      <c r="O36" s="53" t="s">
        <v>24</v>
      </c>
      <c r="P36" s="53">
        <v>70</v>
      </c>
      <c r="Q36" s="53">
        <v>0.3</v>
      </c>
      <c r="R36" s="53">
        <v>0</v>
      </c>
      <c r="S36" s="53">
        <v>0.7</v>
      </c>
    </row>
    <row r="37" spans="1:19" customFormat="1" ht="15" x14ac:dyDescent="0.25">
      <c r="A37" s="15" t="s">
        <v>117</v>
      </c>
      <c r="B37" s="15" t="s">
        <v>549</v>
      </c>
      <c r="C37" s="15" t="s">
        <v>72</v>
      </c>
      <c r="D37" s="15"/>
      <c r="E37" s="15"/>
      <c r="F37" s="15"/>
      <c r="G37" s="15"/>
      <c r="H37" s="15">
        <v>2</v>
      </c>
      <c r="I37" s="15"/>
      <c r="J37" s="15">
        <v>2</v>
      </c>
      <c r="K37" s="15" t="s">
        <v>48</v>
      </c>
      <c r="L37" s="16" t="s">
        <v>26</v>
      </c>
      <c r="M37" s="16" t="s">
        <v>27</v>
      </c>
      <c r="N37" s="16" t="s">
        <v>24</v>
      </c>
      <c r="O37" s="16" t="s">
        <v>24</v>
      </c>
      <c r="P37" s="16">
        <v>50</v>
      </c>
      <c r="Q37" s="16">
        <v>1</v>
      </c>
      <c r="R37" s="16">
        <v>0</v>
      </c>
      <c r="S37" s="16">
        <v>1</v>
      </c>
    </row>
    <row r="38" spans="1:19" customFormat="1" ht="15" x14ac:dyDescent="0.25">
      <c r="A38" s="15" t="s">
        <v>77</v>
      </c>
      <c r="B38" s="15" t="s">
        <v>550</v>
      </c>
      <c r="C38" s="15" t="s">
        <v>72</v>
      </c>
      <c r="D38" s="15"/>
      <c r="E38" s="15"/>
      <c r="F38" s="15"/>
      <c r="G38" s="15"/>
      <c r="H38" s="15"/>
      <c r="I38" s="15">
        <v>1</v>
      </c>
      <c r="J38" s="15">
        <v>1</v>
      </c>
      <c r="K38" s="15" t="s">
        <v>48</v>
      </c>
      <c r="L38" s="16" t="s">
        <v>26</v>
      </c>
      <c r="M38" s="16" t="s">
        <v>27</v>
      </c>
      <c r="N38" s="16" t="s">
        <v>24</v>
      </c>
      <c r="O38" s="16" t="s">
        <v>24</v>
      </c>
      <c r="P38" s="16">
        <v>50</v>
      </c>
      <c r="Q38" s="16">
        <v>0.5</v>
      </c>
      <c r="R38" s="16">
        <v>0</v>
      </c>
      <c r="S38" s="16">
        <v>0.5</v>
      </c>
    </row>
    <row r="39" spans="1:19" customFormat="1" ht="15" x14ac:dyDescent="0.25">
      <c r="A39" s="15" t="s">
        <v>82</v>
      </c>
      <c r="B39" s="15" t="s">
        <v>551</v>
      </c>
      <c r="C39" s="15" t="s">
        <v>72</v>
      </c>
      <c r="D39" s="15"/>
      <c r="E39" s="15"/>
      <c r="F39" s="15"/>
      <c r="G39" s="15"/>
      <c r="H39" s="15"/>
      <c r="I39" s="15">
        <v>1</v>
      </c>
      <c r="J39" s="15">
        <v>1</v>
      </c>
      <c r="K39" s="15" t="s">
        <v>241</v>
      </c>
      <c r="L39" s="16" t="s">
        <v>26</v>
      </c>
      <c r="M39" s="16" t="s">
        <v>27</v>
      </c>
      <c r="N39" s="16" t="s">
        <v>24</v>
      </c>
      <c r="O39" s="16" t="s">
        <v>24</v>
      </c>
      <c r="P39" s="16">
        <v>50</v>
      </c>
      <c r="Q39" s="16">
        <v>0.5</v>
      </c>
      <c r="R39" s="16">
        <v>0</v>
      </c>
      <c r="S39" s="16">
        <v>0.5</v>
      </c>
    </row>
    <row r="40" spans="1:19" customFormat="1" ht="15" x14ac:dyDescent="0.25">
      <c r="A40" s="15" t="s">
        <v>114</v>
      </c>
      <c r="B40" s="15" t="s">
        <v>552</v>
      </c>
      <c r="C40" s="15" t="s">
        <v>72</v>
      </c>
      <c r="D40" s="15"/>
      <c r="E40" s="15"/>
      <c r="F40" s="15">
        <v>2</v>
      </c>
      <c r="G40" s="15"/>
      <c r="H40" s="15"/>
      <c r="I40" s="15">
        <v>1</v>
      </c>
      <c r="J40" s="15">
        <v>3</v>
      </c>
      <c r="K40" s="15" t="s">
        <v>48</v>
      </c>
      <c r="L40" s="16" t="s">
        <v>26</v>
      </c>
      <c r="M40" s="16" t="s">
        <v>27</v>
      </c>
      <c r="N40" s="16" t="s">
        <v>24</v>
      </c>
      <c r="O40" s="16" t="s">
        <v>24</v>
      </c>
      <c r="P40" s="16">
        <v>50</v>
      </c>
      <c r="Q40" s="16">
        <v>1.5</v>
      </c>
      <c r="R40" s="16">
        <v>0</v>
      </c>
      <c r="S40" s="16">
        <v>1.5</v>
      </c>
    </row>
    <row r="41" spans="1:19" customFormat="1" ht="15" x14ac:dyDescent="0.25">
      <c r="A41" s="15" t="s">
        <v>597</v>
      </c>
      <c r="B41" s="15" t="s">
        <v>598</v>
      </c>
      <c r="C41" s="15" t="s">
        <v>73</v>
      </c>
      <c r="D41" s="15"/>
      <c r="E41" s="15"/>
      <c r="F41" s="15"/>
      <c r="G41" s="15"/>
      <c r="H41" s="15">
        <v>1</v>
      </c>
      <c r="I41" s="15">
        <v>1</v>
      </c>
      <c r="J41" s="15">
        <v>2</v>
      </c>
      <c r="K41" s="15" t="s">
        <v>36</v>
      </c>
      <c r="L41" s="16" t="s">
        <v>26</v>
      </c>
      <c r="M41" s="16" t="s">
        <v>27</v>
      </c>
      <c r="N41" s="16" t="s">
        <v>24</v>
      </c>
      <c r="O41" s="16" t="s">
        <v>24</v>
      </c>
      <c r="P41" s="16">
        <v>50</v>
      </c>
      <c r="Q41" s="16">
        <v>1</v>
      </c>
      <c r="R41" s="16">
        <v>0</v>
      </c>
      <c r="S41" s="16">
        <v>1</v>
      </c>
    </row>
    <row r="42" spans="1:19" customFormat="1" ht="15" x14ac:dyDescent="0.25">
      <c r="A42" s="15" t="s">
        <v>553</v>
      </c>
      <c r="B42" s="15" t="s">
        <v>554</v>
      </c>
      <c r="C42" s="15" t="s">
        <v>72</v>
      </c>
      <c r="D42" s="15"/>
      <c r="E42" s="15"/>
      <c r="F42" s="15"/>
      <c r="G42" s="15"/>
      <c r="H42" s="15"/>
      <c r="I42" s="15">
        <v>2</v>
      </c>
      <c r="J42" s="15">
        <v>2</v>
      </c>
      <c r="K42" s="15" t="s">
        <v>36</v>
      </c>
      <c r="L42" s="16" t="s">
        <v>23</v>
      </c>
      <c r="M42" s="16" t="s">
        <v>28</v>
      </c>
      <c r="N42" s="16" t="s">
        <v>26</v>
      </c>
      <c r="O42" s="16" t="s">
        <v>39</v>
      </c>
      <c r="P42" s="16">
        <v>50</v>
      </c>
      <c r="Q42" s="16">
        <v>0.4</v>
      </c>
      <c r="R42" s="16">
        <v>0.6</v>
      </c>
      <c r="S42" s="16">
        <v>1</v>
      </c>
    </row>
    <row r="43" spans="1:19" s="54" customFormat="1" ht="15" x14ac:dyDescent="0.25">
      <c r="C43" s="55"/>
      <c r="R43" s="56">
        <f>SUM(R42,Q2:Q41)</f>
        <v>24.000000000000004</v>
      </c>
    </row>
  </sheetData>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A363-E4CA-4A47-B0C5-BEEFB1D59BF9}">
  <dimension ref="A1:C44"/>
  <sheetViews>
    <sheetView workbookViewId="0">
      <selection activeCell="A5" sqref="A5:XFD5"/>
    </sheetView>
  </sheetViews>
  <sheetFormatPr baseColWidth="10" defaultRowHeight="15" x14ac:dyDescent="0.25"/>
  <cols>
    <col min="1" max="1" width="16.28515625" customWidth="1"/>
    <col min="2" max="2" width="76.140625" customWidth="1"/>
    <col min="3" max="3" width="14.85546875" customWidth="1"/>
  </cols>
  <sheetData>
    <row r="1" spans="1:3" x14ac:dyDescent="0.25">
      <c r="A1" s="63" t="s">
        <v>153</v>
      </c>
      <c r="B1" s="63" t="s">
        <v>154</v>
      </c>
      <c r="C1" s="63" t="s">
        <v>193</v>
      </c>
    </row>
    <row r="2" spans="1:3" x14ac:dyDescent="0.25">
      <c r="A2" s="42" t="s">
        <v>258</v>
      </c>
      <c r="B2" s="42" t="s">
        <v>259</v>
      </c>
      <c r="C2" s="40">
        <v>-6497.4</v>
      </c>
    </row>
    <row r="3" spans="1:3" x14ac:dyDescent="0.25">
      <c r="A3" s="43" t="s">
        <v>106</v>
      </c>
      <c r="B3" s="43" t="s">
        <v>260</v>
      </c>
      <c r="C3" s="41">
        <v>16720</v>
      </c>
    </row>
    <row r="4" spans="1:3" x14ac:dyDescent="0.25">
      <c r="A4" s="42" t="s">
        <v>149</v>
      </c>
      <c r="B4" s="42" t="s">
        <v>261</v>
      </c>
      <c r="C4" s="40">
        <v>88000</v>
      </c>
    </row>
    <row r="5" spans="1:3" x14ac:dyDescent="0.25">
      <c r="A5" s="42" t="s">
        <v>155</v>
      </c>
      <c r="B5" s="42" t="s">
        <v>262</v>
      </c>
      <c r="C5" s="40">
        <v>7361.15</v>
      </c>
    </row>
    <row r="6" spans="1:3" x14ac:dyDescent="0.25">
      <c r="A6" s="43" t="s">
        <v>263</v>
      </c>
      <c r="B6" s="43" t="s">
        <v>264</v>
      </c>
      <c r="C6" s="41">
        <v>4972</v>
      </c>
    </row>
    <row r="7" spans="1:3" x14ac:dyDescent="0.25">
      <c r="A7" s="42" t="s">
        <v>199</v>
      </c>
      <c r="B7" s="42" t="s">
        <v>265</v>
      </c>
      <c r="C7" s="40">
        <v>2694.54</v>
      </c>
    </row>
    <row r="8" spans="1:3" x14ac:dyDescent="0.25">
      <c r="A8" s="43" t="s">
        <v>266</v>
      </c>
      <c r="B8" s="43" t="s">
        <v>267</v>
      </c>
      <c r="C8" s="41">
        <v>1508.36</v>
      </c>
    </row>
    <row r="9" spans="1:3" x14ac:dyDescent="0.25">
      <c r="A9" s="42" t="s">
        <v>268</v>
      </c>
      <c r="B9" s="42" t="s">
        <v>269</v>
      </c>
      <c r="C9" s="40">
        <v>968</v>
      </c>
    </row>
    <row r="10" spans="1:3" x14ac:dyDescent="0.25">
      <c r="A10" s="43" t="s">
        <v>270</v>
      </c>
      <c r="B10" s="43" t="s">
        <v>271</v>
      </c>
      <c r="C10" s="41">
        <v>5280</v>
      </c>
    </row>
    <row r="11" spans="1:3" x14ac:dyDescent="0.25">
      <c r="A11" s="42" t="s">
        <v>270</v>
      </c>
      <c r="B11" s="42" t="s">
        <v>272</v>
      </c>
      <c r="C11" s="40">
        <v>2640</v>
      </c>
    </row>
    <row r="12" spans="1:3" x14ac:dyDescent="0.25">
      <c r="A12" s="43" t="s">
        <v>273</v>
      </c>
      <c r="B12" s="43" t="s">
        <v>274</v>
      </c>
      <c r="C12" s="41">
        <v>4092</v>
      </c>
    </row>
    <row r="13" spans="1:3" x14ac:dyDescent="0.25">
      <c r="A13" s="42" t="s">
        <v>275</v>
      </c>
      <c r="B13" s="42" t="s">
        <v>276</v>
      </c>
      <c r="C13" s="40">
        <v>7040</v>
      </c>
    </row>
    <row r="14" spans="1:3" x14ac:dyDescent="0.25">
      <c r="A14" s="43" t="s">
        <v>277</v>
      </c>
      <c r="B14" s="43" t="s">
        <v>278</v>
      </c>
      <c r="C14" s="41">
        <v>4840</v>
      </c>
    </row>
    <row r="15" spans="1:3" x14ac:dyDescent="0.25">
      <c r="A15" s="43" t="s">
        <v>279</v>
      </c>
      <c r="B15" s="43" t="s">
        <v>280</v>
      </c>
      <c r="C15" s="41">
        <v>2640</v>
      </c>
    </row>
    <row r="16" spans="1:3" x14ac:dyDescent="0.25">
      <c r="A16" s="42" t="s">
        <v>107</v>
      </c>
      <c r="B16" s="42" t="s">
        <v>281</v>
      </c>
      <c r="C16" s="40">
        <v>50000</v>
      </c>
    </row>
    <row r="17" spans="1:3" x14ac:dyDescent="0.25">
      <c r="A17" s="43" t="s">
        <v>107</v>
      </c>
      <c r="B17" s="43" t="s">
        <v>282</v>
      </c>
      <c r="C17" s="41">
        <v>-1270.67</v>
      </c>
    </row>
    <row r="18" spans="1:3" x14ac:dyDescent="0.25">
      <c r="A18" s="42" t="s">
        <v>156</v>
      </c>
      <c r="B18" s="42" t="s">
        <v>283</v>
      </c>
      <c r="C18" s="40">
        <v>29858.06</v>
      </c>
    </row>
    <row r="19" spans="1:3" x14ac:dyDescent="0.25">
      <c r="A19" s="43" t="s">
        <v>157</v>
      </c>
      <c r="B19" s="43" t="s">
        <v>284</v>
      </c>
      <c r="C19" s="41">
        <v>141224.45000000001</v>
      </c>
    </row>
    <row r="20" spans="1:3" x14ac:dyDescent="0.25">
      <c r="A20" s="42" t="s">
        <v>157</v>
      </c>
      <c r="B20" s="42" t="s">
        <v>285</v>
      </c>
      <c r="C20" s="40">
        <v>623.45000000000005</v>
      </c>
    </row>
    <row r="21" spans="1:3" x14ac:dyDescent="0.25">
      <c r="A21" s="43" t="s">
        <v>158</v>
      </c>
      <c r="B21" s="43" t="s">
        <v>286</v>
      </c>
      <c r="C21" s="41">
        <v>-42802.44</v>
      </c>
    </row>
    <row r="22" spans="1:3" x14ac:dyDescent="0.25">
      <c r="A22" s="42" t="s">
        <v>203</v>
      </c>
      <c r="B22" s="42" t="s">
        <v>287</v>
      </c>
      <c r="C22" s="40">
        <v>142500</v>
      </c>
    </row>
    <row r="23" spans="1:3" x14ac:dyDescent="0.25">
      <c r="A23" s="43" t="s">
        <v>257</v>
      </c>
      <c r="B23" s="43" t="s">
        <v>288</v>
      </c>
      <c r="C23" s="41">
        <v>30345</v>
      </c>
    </row>
    <row r="24" spans="1:3" x14ac:dyDescent="0.25">
      <c r="A24" s="42" t="s">
        <v>207</v>
      </c>
      <c r="B24" s="42" t="s">
        <v>289</v>
      </c>
      <c r="C24" s="40">
        <v>62720</v>
      </c>
    </row>
    <row r="25" spans="1:3" x14ac:dyDescent="0.25">
      <c r="A25" s="43" t="s">
        <v>208</v>
      </c>
      <c r="B25" s="43" t="s">
        <v>289</v>
      </c>
      <c r="C25" s="41">
        <v>90160</v>
      </c>
    </row>
    <row r="26" spans="1:3" x14ac:dyDescent="0.25">
      <c r="A26" s="42" t="s">
        <v>209</v>
      </c>
      <c r="B26" s="42" t="s">
        <v>290</v>
      </c>
      <c r="C26" s="40">
        <v>-89646.15</v>
      </c>
    </row>
    <row r="27" spans="1:3" x14ac:dyDescent="0.25">
      <c r="A27" s="43" t="s">
        <v>210</v>
      </c>
      <c r="B27" s="43" t="s">
        <v>291</v>
      </c>
      <c r="C27" s="41">
        <v>95669.59</v>
      </c>
    </row>
    <row r="28" spans="1:3" x14ac:dyDescent="0.25">
      <c r="A28" s="42" t="s">
        <v>292</v>
      </c>
      <c r="B28" s="42" t="s">
        <v>293</v>
      </c>
      <c r="C28" s="40">
        <v>271310.98</v>
      </c>
    </row>
    <row r="29" spans="1:3" x14ac:dyDescent="0.25">
      <c r="A29" s="43" t="s">
        <v>294</v>
      </c>
      <c r="B29" s="43" t="s">
        <v>295</v>
      </c>
      <c r="C29" s="41">
        <v>10000</v>
      </c>
    </row>
    <row r="30" spans="1:3" x14ac:dyDescent="0.25">
      <c r="A30" s="42" t="s">
        <v>296</v>
      </c>
      <c r="B30" s="42" t="s">
        <v>297</v>
      </c>
      <c r="C30" s="40">
        <v>199958</v>
      </c>
    </row>
    <row r="31" spans="1:3" x14ac:dyDescent="0.25">
      <c r="A31" s="43" t="s">
        <v>298</v>
      </c>
      <c r="B31" s="43" t="s">
        <v>299</v>
      </c>
      <c r="C31" s="41">
        <v>7400</v>
      </c>
    </row>
    <row r="32" spans="1:3" x14ac:dyDescent="0.25">
      <c r="A32" s="42" t="s">
        <v>300</v>
      </c>
      <c r="B32" s="42" t="s">
        <v>301</v>
      </c>
      <c r="C32" s="40">
        <v>159</v>
      </c>
    </row>
    <row r="33" spans="1:3" x14ac:dyDescent="0.25">
      <c r="A33" s="43" t="s">
        <v>300</v>
      </c>
      <c r="B33" s="43" t="s">
        <v>302</v>
      </c>
      <c r="C33" s="41">
        <v>159</v>
      </c>
    </row>
    <row r="34" spans="1:3" x14ac:dyDescent="0.25">
      <c r="A34" s="42" t="s">
        <v>303</v>
      </c>
      <c r="B34" s="42" t="s">
        <v>304</v>
      </c>
      <c r="C34" s="40">
        <v>-17395.689999999999</v>
      </c>
    </row>
    <row r="35" spans="1:3" x14ac:dyDescent="0.25">
      <c r="A35" s="43" t="s">
        <v>159</v>
      </c>
      <c r="B35" s="43" t="s">
        <v>305</v>
      </c>
      <c r="C35" s="41">
        <v>26822.080000000002</v>
      </c>
    </row>
    <row r="36" spans="1:3" x14ac:dyDescent="0.25">
      <c r="A36" s="42" t="s">
        <v>159</v>
      </c>
      <c r="B36" s="42" t="s">
        <v>306</v>
      </c>
      <c r="C36" s="40">
        <v>8046.62</v>
      </c>
    </row>
    <row r="37" spans="1:3" x14ac:dyDescent="0.25">
      <c r="A37" s="43" t="s">
        <v>160</v>
      </c>
      <c r="B37" s="43" t="s">
        <v>307</v>
      </c>
      <c r="C37" s="41">
        <v>64120.33</v>
      </c>
    </row>
    <row r="38" spans="1:3" x14ac:dyDescent="0.25">
      <c r="A38" s="42" t="s">
        <v>161</v>
      </c>
      <c r="B38" s="42" t="s">
        <v>308</v>
      </c>
      <c r="C38" s="40">
        <v>35351.25</v>
      </c>
    </row>
    <row r="39" spans="1:3" x14ac:dyDescent="0.25">
      <c r="A39" s="43" t="s">
        <v>309</v>
      </c>
      <c r="B39" s="43" t="s">
        <v>310</v>
      </c>
      <c r="C39" s="41">
        <v>198330</v>
      </c>
    </row>
    <row r="40" spans="1:3" x14ac:dyDescent="0.25">
      <c r="A40" s="42" t="s">
        <v>311</v>
      </c>
      <c r="B40" s="42" t="s">
        <v>312</v>
      </c>
      <c r="C40" s="40">
        <v>121935.17</v>
      </c>
    </row>
    <row r="41" spans="1:3" x14ac:dyDescent="0.25">
      <c r="A41" s="43" t="s">
        <v>313</v>
      </c>
      <c r="B41" s="43" t="s">
        <v>314</v>
      </c>
      <c r="C41" s="41">
        <v>167668.79999999999</v>
      </c>
    </row>
    <row r="42" spans="1:3" x14ac:dyDescent="0.25">
      <c r="A42" s="64" t="s">
        <v>315</v>
      </c>
      <c r="B42" s="64" t="s">
        <v>316</v>
      </c>
      <c r="C42" s="65">
        <v>30914.29</v>
      </c>
    </row>
    <row r="43" spans="1:3" x14ac:dyDescent="0.25">
      <c r="A43" s="64" t="s">
        <v>0</v>
      </c>
      <c r="B43" s="64"/>
      <c r="C43" s="66">
        <f>SUBTOTAL(109,Tabla2[Imp.cob.aplic.])</f>
        <v>1776419.7700000003</v>
      </c>
    </row>
    <row r="44" spans="1:3" x14ac:dyDescent="0.25">
      <c r="C44" s="4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195C-7F13-4B90-961E-F4A36ED7E2D0}">
  <dimension ref="A1:C48"/>
  <sheetViews>
    <sheetView topLeftCell="A40" workbookViewId="0">
      <selection activeCell="B51" sqref="B51:C51"/>
    </sheetView>
  </sheetViews>
  <sheetFormatPr baseColWidth="10" defaultRowHeight="15" x14ac:dyDescent="0.25"/>
  <cols>
    <col min="1" max="1" width="13.85546875" bestFit="1" customWidth="1"/>
    <col min="2" max="2" width="65.140625" customWidth="1"/>
    <col min="3" max="3" width="14.28515625" bestFit="1" customWidth="1"/>
  </cols>
  <sheetData>
    <row r="1" spans="1:3" x14ac:dyDescent="0.25">
      <c r="A1" t="s">
        <v>394</v>
      </c>
      <c r="B1" t="s">
        <v>154</v>
      </c>
      <c r="C1" t="s">
        <v>395</v>
      </c>
    </row>
    <row r="2" spans="1:3" ht="45" x14ac:dyDescent="0.25">
      <c r="A2" t="s">
        <v>106</v>
      </c>
      <c r="B2" s="59" t="s">
        <v>396</v>
      </c>
      <c r="C2" s="60">
        <v>17600</v>
      </c>
    </row>
    <row r="3" spans="1:3" ht="75" x14ac:dyDescent="0.25">
      <c r="A3" t="s">
        <v>397</v>
      </c>
      <c r="B3" s="59" t="s">
        <v>398</v>
      </c>
      <c r="C3" s="60">
        <v>6556</v>
      </c>
    </row>
    <row r="4" spans="1:3" ht="75" x14ac:dyDescent="0.25">
      <c r="A4" t="s">
        <v>399</v>
      </c>
      <c r="B4" s="59" t="s">
        <v>400</v>
      </c>
      <c r="C4" s="60">
        <v>6556</v>
      </c>
    </row>
    <row r="5" spans="1:3" ht="105" x14ac:dyDescent="0.25">
      <c r="A5" t="s">
        <v>401</v>
      </c>
      <c r="B5" s="59" t="s">
        <v>402</v>
      </c>
      <c r="C5" s="60">
        <v>6556</v>
      </c>
    </row>
    <row r="6" spans="1:3" ht="105" x14ac:dyDescent="0.25">
      <c r="A6" t="s">
        <v>403</v>
      </c>
      <c r="B6" s="59" t="s">
        <v>404</v>
      </c>
      <c r="C6" s="60">
        <v>6556</v>
      </c>
    </row>
    <row r="7" spans="1:3" ht="45" x14ac:dyDescent="0.25">
      <c r="A7" t="s">
        <v>405</v>
      </c>
      <c r="B7" s="59" t="s">
        <v>406</v>
      </c>
      <c r="C7" s="60">
        <v>13112</v>
      </c>
    </row>
    <row r="8" spans="1:3" ht="45" x14ac:dyDescent="0.25">
      <c r="A8" t="s">
        <v>407</v>
      </c>
      <c r="B8" s="59" t="s">
        <v>408</v>
      </c>
      <c r="C8" s="60">
        <v>9386.08</v>
      </c>
    </row>
    <row r="9" spans="1:3" ht="45" x14ac:dyDescent="0.25">
      <c r="A9" t="s">
        <v>407</v>
      </c>
      <c r="B9" s="59" t="s">
        <v>409</v>
      </c>
      <c r="C9" s="60">
        <v>9386.08</v>
      </c>
    </row>
    <row r="10" spans="1:3" ht="30" x14ac:dyDescent="0.25">
      <c r="A10" t="s">
        <v>410</v>
      </c>
      <c r="B10" s="59" t="s">
        <v>411</v>
      </c>
      <c r="C10" s="60">
        <v>2330</v>
      </c>
    </row>
    <row r="11" spans="1:3" ht="45" x14ac:dyDescent="0.25">
      <c r="A11" t="s">
        <v>412</v>
      </c>
      <c r="B11" s="59" t="s">
        <v>413</v>
      </c>
      <c r="C11" s="60">
        <v>3000</v>
      </c>
    </row>
    <row r="12" spans="1:3" ht="45" x14ac:dyDescent="0.25">
      <c r="A12" t="s">
        <v>414</v>
      </c>
      <c r="B12" s="59" t="s">
        <v>415</v>
      </c>
      <c r="C12" s="60">
        <v>17310.13</v>
      </c>
    </row>
    <row r="13" spans="1:3" ht="60" x14ac:dyDescent="0.25">
      <c r="A13" t="s">
        <v>416</v>
      </c>
      <c r="B13" s="59" t="s">
        <v>417</v>
      </c>
      <c r="C13" s="60">
        <v>3960</v>
      </c>
    </row>
    <row r="14" spans="1:3" ht="60" x14ac:dyDescent="0.25">
      <c r="A14" t="s">
        <v>418</v>
      </c>
      <c r="B14" s="59" t="s">
        <v>419</v>
      </c>
      <c r="C14" s="60">
        <v>13200</v>
      </c>
    </row>
    <row r="15" spans="1:3" ht="75" x14ac:dyDescent="0.25">
      <c r="A15" t="s">
        <v>420</v>
      </c>
      <c r="B15" s="59" t="s">
        <v>421</v>
      </c>
      <c r="C15" s="60">
        <v>10472</v>
      </c>
    </row>
    <row r="16" spans="1:3" ht="45" x14ac:dyDescent="0.25">
      <c r="A16" t="s">
        <v>422</v>
      </c>
      <c r="B16" s="59" t="s">
        <v>423</v>
      </c>
      <c r="C16" s="60">
        <v>30000</v>
      </c>
    </row>
    <row r="17" spans="1:3" ht="45" x14ac:dyDescent="0.25">
      <c r="A17" t="s">
        <v>424</v>
      </c>
      <c r="B17" s="59" t="s">
        <v>425</v>
      </c>
      <c r="C17" s="60">
        <v>264</v>
      </c>
    </row>
    <row r="18" spans="1:3" ht="45" x14ac:dyDescent="0.25">
      <c r="A18" t="s">
        <v>424</v>
      </c>
      <c r="B18" s="59" t="s">
        <v>425</v>
      </c>
      <c r="C18" s="60">
        <v>264</v>
      </c>
    </row>
    <row r="19" spans="1:3" ht="45" x14ac:dyDescent="0.25">
      <c r="A19" t="s">
        <v>424</v>
      </c>
      <c r="B19" s="59" t="s">
        <v>426</v>
      </c>
      <c r="C19" s="60">
        <v>264</v>
      </c>
    </row>
    <row r="20" spans="1:3" ht="105" x14ac:dyDescent="0.25">
      <c r="A20" t="s">
        <v>427</v>
      </c>
      <c r="B20" s="59" t="s">
        <v>428</v>
      </c>
      <c r="C20" s="60">
        <v>1760</v>
      </c>
    </row>
    <row r="21" spans="1:3" ht="75" x14ac:dyDescent="0.25">
      <c r="A21" t="s">
        <v>429</v>
      </c>
      <c r="B21" s="59" t="s">
        <v>430</v>
      </c>
      <c r="C21" s="60">
        <v>3960</v>
      </c>
    </row>
    <row r="22" spans="1:3" ht="30" x14ac:dyDescent="0.25">
      <c r="A22" t="s">
        <v>150</v>
      </c>
      <c r="B22" s="59" t="s">
        <v>431</v>
      </c>
      <c r="C22" s="60">
        <v>-2179.0100000000002</v>
      </c>
    </row>
    <row r="23" spans="1:3" ht="45" x14ac:dyDescent="0.25">
      <c r="A23" t="s">
        <v>157</v>
      </c>
      <c r="B23" s="59" t="s">
        <v>432</v>
      </c>
      <c r="C23" s="60">
        <v>141545.25</v>
      </c>
    </row>
    <row r="24" spans="1:3" x14ac:dyDescent="0.25">
      <c r="A24" t="s">
        <v>200</v>
      </c>
      <c r="B24" s="59" t="s">
        <v>433</v>
      </c>
      <c r="C24" s="60">
        <v>13249.93</v>
      </c>
    </row>
    <row r="25" spans="1:3" x14ac:dyDescent="0.25">
      <c r="A25" t="s">
        <v>201</v>
      </c>
      <c r="B25" s="59" t="s">
        <v>433</v>
      </c>
      <c r="C25" s="60">
        <v>18549.900000000001</v>
      </c>
    </row>
    <row r="26" spans="1:3" x14ac:dyDescent="0.25">
      <c r="A26" t="s">
        <v>202</v>
      </c>
      <c r="B26" s="59" t="s">
        <v>433</v>
      </c>
      <c r="C26" s="60">
        <v>15899.91</v>
      </c>
    </row>
    <row r="27" spans="1:3" ht="60" x14ac:dyDescent="0.25">
      <c r="A27" t="s">
        <v>203</v>
      </c>
      <c r="B27" s="59" t="s">
        <v>434</v>
      </c>
      <c r="C27" s="60">
        <v>142500</v>
      </c>
    </row>
    <row r="28" spans="1:3" ht="60" x14ac:dyDescent="0.25">
      <c r="A28" t="s">
        <v>204</v>
      </c>
      <c r="B28" s="59" t="s">
        <v>435</v>
      </c>
      <c r="C28" s="60">
        <v>3000</v>
      </c>
    </row>
    <row r="29" spans="1:3" ht="45" x14ac:dyDescent="0.25">
      <c r="A29" t="s">
        <v>205</v>
      </c>
      <c r="B29" s="59" t="s">
        <v>436</v>
      </c>
      <c r="C29" s="60">
        <v>7800</v>
      </c>
    </row>
    <row r="30" spans="1:3" ht="45" x14ac:dyDescent="0.25">
      <c r="A30" t="s">
        <v>206</v>
      </c>
      <c r="B30" s="59" t="s">
        <v>436</v>
      </c>
      <c r="C30" s="60">
        <v>4680</v>
      </c>
    </row>
    <row r="31" spans="1:3" ht="30" x14ac:dyDescent="0.25">
      <c r="A31" t="s">
        <v>257</v>
      </c>
      <c r="B31" s="59" t="s">
        <v>437</v>
      </c>
      <c r="C31" s="60">
        <v>30345</v>
      </c>
    </row>
    <row r="32" spans="1:3" x14ac:dyDescent="0.25">
      <c r="A32" t="s">
        <v>294</v>
      </c>
      <c r="B32" s="59" t="s">
        <v>438</v>
      </c>
      <c r="C32" s="60">
        <v>10000</v>
      </c>
    </row>
    <row r="33" spans="1:3" x14ac:dyDescent="0.25">
      <c r="A33" t="s">
        <v>296</v>
      </c>
      <c r="B33" s="59" t="s">
        <v>439</v>
      </c>
      <c r="C33" s="60">
        <v>-21504.01</v>
      </c>
    </row>
    <row r="34" spans="1:3" x14ac:dyDescent="0.25">
      <c r="A34" t="s">
        <v>440</v>
      </c>
      <c r="B34" s="59" t="s">
        <v>441</v>
      </c>
      <c r="C34" s="60">
        <v>18292.689999999999</v>
      </c>
    </row>
    <row r="35" spans="1:3" ht="30" x14ac:dyDescent="0.25">
      <c r="A35" t="s">
        <v>298</v>
      </c>
      <c r="B35" s="59" t="s">
        <v>442</v>
      </c>
      <c r="C35" s="60">
        <v>-5846.73</v>
      </c>
    </row>
    <row r="36" spans="1:3" x14ac:dyDescent="0.25">
      <c r="A36" t="s">
        <v>443</v>
      </c>
      <c r="B36" s="59" t="s">
        <v>444</v>
      </c>
      <c r="C36" s="60">
        <v>116528.9</v>
      </c>
    </row>
    <row r="37" spans="1:3" x14ac:dyDescent="0.25">
      <c r="A37" t="s">
        <v>445</v>
      </c>
      <c r="B37" s="59" t="s">
        <v>446</v>
      </c>
      <c r="C37" s="60">
        <v>107465</v>
      </c>
    </row>
    <row r="38" spans="1:3" ht="90" x14ac:dyDescent="0.25">
      <c r="A38" t="s">
        <v>447</v>
      </c>
      <c r="B38" s="59" t="s">
        <v>448</v>
      </c>
      <c r="C38" s="60">
        <v>9000</v>
      </c>
    </row>
    <row r="39" spans="1:3" ht="30" x14ac:dyDescent="0.25">
      <c r="A39" t="s">
        <v>449</v>
      </c>
      <c r="B39" s="59" t="s">
        <v>450</v>
      </c>
      <c r="C39" s="60">
        <v>132013</v>
      </c>
    </row>
    <row r="40" spans="1:3" x14ac:dyDescent="0.25">
      <c r="A40" t="s">
        <v>451</v>
      </c>
      <c r="B40" s="59" t="s">
        <v>452</v>
      </c>
      <c r="C40" s="60">
        <v>10000</v>
      </c>
    </row>
    <row r="41" spans="1:3" x14ac:dyDescent="0.25">
      <c r="A41" t="s">
        <v>151</v>
      </c>
      <c r="B41" s="59" t="s">
        <v>453</v>
      </c>
      <c r="C41" s="60">
        <v>16831.169999999998</v>
      </c>
    </row>
    <row r="42" spans="1:3" x14ac:dyDescent="0.25">
      <c r="A42" t="s">
        <v>151</v>
      </c>
      <c r="B42" s="59" t="s">
        <v>454</v>
      </c>
      <c r="C42" s="60">
        <v>16831.169999999998</v>
      </c>
    </row>
    <row r="43" spans="1:3" x14ac:dyDescent="0.25">
      <c r="A43" t="s">
        <v>160</v>
      </c>
      <c r="B43" s="59" t="s">
        <v>455</v>
      </c>
      <c r="C43" s="60">
        <v>39252.32</v>
      </c>
    </row>
    <row r="44" spans="1:3" x14ac:dyDescent="0.25">
      <c r="A44" t="s">
        <v>161</v>
      </c>
      <c r="B44" s="59" t="s">
        <v>456</v>
      </c>
      <c r="C44" s="60">
        <v>18854</v>
      </c>
    </row>
    <row r="45" spans="1:3" x14ac:dyDescent="0.25">
      <c r="A45" t="s">
        <v>211</v>
      </c>
      <c r="B45" s="59" t="s">
        <v>457</v>
      </c>
      <c r="C45" s="60">
        <v>5540.2</v>
      </c>
    </row>
    <row r="46" spans="1:3" x14ac:dyDescent="0.25">
      <c r="A46" t="s">
        <v>458</v>
      </c>
      <c r="B46" s="59" t="s">
        <v>459</v>
      </c>
      <c r="C46" s="60">
        <v>136297.42000000001</v>
      </c>
    </row>
    <row r="47" spans="1:3" x14ac:dyDescent="0.25">
      <c r="A47" t="s">
        <v>315</v>
      </c>
      <c r="B47" s="59" t="s">
        <v>460</v>
      </c>
      <c r="C47" s="60">
        <v>15457.14</v>
      </c>
    </row>
    <row r="48" spans="1:3" x14ac:dyDescent="0.25">
      <c r="A48" t="s">
        <v>0</v>
      </c>
      <c r="B48" s="59"/>
      <c r="C48">
        <f>SUBTOTAL(109,Tabla1[Imp. aplic.])</f>
        <v>1162895.5399999998</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F01B-43AE-4247-9274-D9F1025D149C}">
  <dimension ref="A1:C39"/>
  <sheetViews>
    <sheetView topLeftCell="A22" workbookViewId="0">
      <selection activeCell="C40" sqref="C40"/>
    </sheetView>
  </sheetViews>
  <sheetFormatPr baseColWidth="10" defaultRowHeight="15" x14ac:dyDescent="0.25"/>
  <cols>
    <col min="1" max="1" width="18.140625" customWidth="1"/>
    <col min="2" max="2" width="54.28515625" customWidth="1"/>
    <col min="3" max="3" width="17.42578125" customWidth="1"/>
  </cols>
  <sheetData>
    <row r="1" spans="1:3" x14ac:dyDescent="0.25">
      <c r="A1" s="75" t="s">
        <v>394</v>
      </c>
      <c r="B1" s="76" t="s">
        <v>154</v>
      </c>
      <c r="C1" s="76" t="s">
        <v>395</v>
      </c>
    </row>
    <row r="2" spans="1:3" x14ac:dyDescent="0.25">
      <c r="A2" s="77" t="s">
        <v>414</v>
      </c>
      <c r="B2" s="78" t="s">
        <v>555</v>
      </c>
      <c r="C2" s="79">
        <v>17304.939999999999</v>
      </c>
    </row>
    <row r="3" spans="1:3" x14ac:dyDescent="0.25">
      <c r="A3" s="80" t="s">
        <v>416</v>
      </c>
      <c r="B3" s="81" t="s">
        <v>556</v>
      </c>
      <c r="C3" s="82">
        <v>3960</v>
      </c>
    </row>
    <row r="4" spans="1:3" x14ac:dyDescent="0.25">
      <c r="A4" s="77" t="s">
        <v>418</v>
      </c>
      <c r="B4" s="78" t="s">
        <v>557</v>
      </c>
      <c r="C4" s="79">
        <v>13200</v>
      </c>
    </row>
    <row r="5" spans="1:3" x14ac:dyDescent="0.25">
      <c r="A5" s="80" t="s">
        <v>418</v>
      </c>
      <c r="B5" s="81" t="s">
        <v>558</v>
      </c>
      <c r="C5" s="82">
        <v>17600</v>
      </c>
    </row>
    <row r="6" spans="1:3" x14ac:dyDescent="0.25">
      <c r="A6" s="77" t="s">
        <v>559</v>
      </c>
      <c r="B6" s="78" t="s">
        <v>560</v>
      </c>
      <c r="C6" s="79">
        <v>3080</v>
      </c>
    </row>
    <row r="7" spans="1:3" x14ac:dyDescent="0.25">
      <c r="A7" s="80" t="s">
        <v>561</v>
      </c>
      <c r="B7" s="81" t="s">
        <v>562</v>
      </c>
      <c r="C7" s="82">
        <v>17600</v>
      </c>
    </row>
    <row r="8" spans="1:3" x14ac:dyDescent="0.25">
      <c r="A8" s="77" t="s">
        <v>563</v>
      </c>
      <c r="B8" s="78" t="s">
        <v>564</v>
      </c>
      <c r="C8" s="79">
        <v>12760</v>
      </c>
    </row>
    <row r="9" spans="1:3" x14ac:dyDescent="0.25">
      <c r="A9" s="80" t="s">
        <v>565</v>
      </c>
      <c r="B9" s="81" t="s">
        <v>566</v>
      </c>
      <c r="C9" s="82">
        <v>1760</v>
      </c>
    </row>
    <row r="10" spans="1:3" x14ac:dyDescent="0.25">
      <c r="A10" s="77" t="s">
        <v>565</v>
      </c>
      <c r="B10" s="78" t="s">
        <v>567</v>
      </c>
      <c r="C10" s="79">
        <v>1760</v>
      </c>
    </row>
    <row r="11" spans="1:3" x14ac:dyDescent="0.25">
      <c r="A11" s="80" t="s">
        <v>568</v>
      </c>
      <c r="B11" s="81" t="s">
        <v>569</v>
      </c>
      <c r="C11" s="82">
        <v>8800</v>
      </c>
    </row>
    <row r="12" spans="1:3" x14ac:dyDescent="0.25">
      <c r="A12" s="77" t="s">
        <v>422</v>
      </c>
      <c r="B12" s="78" t="s">
        <v>570</v>
      </c>
      <c r="C12" s="79">
        <v>40000</v>
      </c>
    </row>
    <row r="13" spans="1:3" x14ac:dyDescent="0.25">
      <c r="A13" s="80" t="s">
        <v>422</v>
      </c>
      <c r="B13" s="81" t="s">
        <v>571</v>
      </c>
      <c r="C13" s="82">
        <v>16103.11</v>
      </c>
    </row>
    <row r="14" spans="1:3" x14ac:dyDescent="0.25">
      <c r="A14" s="77" t="s">
        <v>572</v>
      </c>
      <c r="B14" s="78" t="s">
        <v>573</v>
      </c>
      <c r="C14" s="79">
        <v>15840</v>
      </c>
    </row>
    <row r="15" spans="1:3" x14ac:dyDescent="0.25">
      <c r="A15" s="80" t="s">
        <v>107</v>
      </c>
      <c r="B15" s="81" t="s">
        <v>574</v>
      </c>
      <c r="C15" s="82">
        <v>-18135.05</v>
      </c>
    </row>
    <row r="16" spans="1:3" x14ac:dyDescent="0.25">
      <c r="A16" s="77" t="s">
        <v>157</v>
      </c>
      <c r="B16" s="78" t="s">
        <v>575</v>
      </c>
      <c r="C16" s="79">
        <v>-92121.44</v>
      </c>
    </row>
    <row r="17" spans="1:3" x14ac:dyDescent="0.25">
      <c r="A17" s="80" t="s">
        <v>200</v>
      </c>
      <c r="B17" s="81" t="s">
        <v>576</v>
      </c>
      <c r="C17" s="82">
        <v>10964.36</v>
      </c>
    </row>
    <row r="18" spans="1:3" x14ac:dyDescent="0.25">
      <c r="A18" s="77" t="s">
        <v>201</v>
      </c>
      <c r="B18" s="78" t="s">
        <v>576</v>
      </c>
      <c r="C18" s="79">
        <v>16509.599999999999</v>
      </c>
    </row>
    <row r="19" spans="1:3" x14ac:dyDescent="0.25">
      <c r="A19" s="80" t="s">
        <v>202</v>
      </c>
      <c r="B19" s="81" t="s">
        <v>576</v>
      </c>
      <c r="C19" s="82">
        <v>10838.32</v>
      </c>
    </row>
    <row r="20" spans="1:3" x14ac:dyDescent="0.25">
      <c r="A20" s="77" t="s">
        <v>203</v>
      </c>
      <c r="B20" s="78" t="s">
        <v>577</v>
      </c>
      <c r="C20" s="79">
        <v>142500</v>
      </c>
    </row>
    <row r="21" spans="1:3" x14ac:dyDescent="0.25">
      <c r="A21" s="80" t="s">
        <v>207</v>
      </c>
      <c r="B21" s="81" t="s">
        <v>578</v>
      </c>
      <c r="C21" s="82">
        <v>-16775.919999999998</v>
      </c>
    </row>
    <row r="22" spans="1:3" x14ac:dyDescent="0.25">
      <c r="A22" s="77" t="s">
        <v>440</v>
      </c>
      <c r="B22" s="78" t="s">
        <v>579</v>
      </c>
      <c r="C22" s="79">
        <v>18292.689999999999</v>
      </c>
    </row>
    <row r="23" spans="1:3" x14ac:dyDescent="0.25">
      <c r="A23" s="80" t="s">
        <v>447</v>
      </c>
      <c r="B23" s="81" t="s">
        <v>580</v>
      </c>
      <c r="C23" s="82">
        <v>-744.8</v>
      </c>
    </row>
    <row r="24" spans="1:3" x14ac:dyDescent="0.25">
      <c r="A24" s="77" t="s">
        <v>451</v>
      </c>
      <c r="B24" s="78" t="s">
        <v>452</v>
      </c>
      <c r="C24" s="79">
        <v>30000</v>
      </c>
    </row>
    <row r="25" spans="1:3" x14ac:dyDescent="0.25">
      <c r="A25" s="80" t="s">
        <v>581</v>
      </c>
      <c r="B25" s="81" t="s">
        <v>582</v>
      </c>
      <c r="C25" s="82">
        <v>2300</v>
      </c>
    </row>
    <row r="26" spans="1:3" x14ac:dyDescent="0.25">
      <c r="A26" s="77" t="s">
        <v>583</v>
      </c>
      <c r="B26" s="78" t="s">
        <v>584</v>
      </c>
      <c r="C26" s="79">
        <v>9000</v>
      </c>
    </row>
    <row r="27" spans="1:3" x14ac:dyDescent="0.25">
      <c r="A27" s="80" t="s">
        <v>585</v>
      </c>
      <c r="B27" s="81" t="s">
        <v>586</v>
      </c>
      <c r="C27" s="82">
        <v>113400</v>
      </c>
    </row>
    <row r="28" spans="1:3" x14ac:dyDescent="0.25">
      <c r="A28" s="77" t="s">
        <v>585</v>
      </c>
      <c r="B28" s="78" t="s">
        <v>587</v>
      </c>
      <c r="C28" s="79">
        <v>64260</v>
      </c>
    </row>
    <row r="29" spans="1:3" x14ac:dyDescent="0.25">
      <c r="A29" s="80" t="s">
        <v>151</v>
      </c>
      <c r="B29" s="81" t="s">
        <v>588</v>
      </c>
      <c r="C29" s="82">
        <v>51191.25</v>
      </c>
    </row>
    <row r="30" spans="1:3" x14ac:dyDescent="0.25">
      <c r="A30" s="77" t="s">
        <v>160</v>
      </c>
      <c r="B30" s="78" t="s">
        <v>589</v>
      </c>
      <c r="C30" s="79">
        <v>58033.69</v>
      </c>
    </row>
    <row r="31" spans="1:3" x14ac:dyDescent="0.25">
      <c r="A31" s="80" t="s">
        <v>311</v>
      </c>
      <c r="B31" s="81" t="s">
        <v>590</v>
      </c>
      <c r="C31" s="82">
        <v>110466.65</v>
      </c>
    </row>
    <row r="32" spans="1:3" x14ac:dyDescent="0.25">
      <c r="A32" s="77" t="s">
        <v>311</v>
      </c>
      <c r="B32" s="78" t="s">
        <v>591</v>
      </c>
      <c r="C32" s="79">
        <v>109445.83</v>
      </c>
    </row>
    <row r="33" spans="1:3" x14ac:dyDescent="0.25">
      <c r="A33" s="80" t="s">
        <v>313</v>
      </c>
      <c r="B33" s="81" t="s">
        <v>592</v>
      </c>
      <c r="C33" s="82">
        <v>167668.79999999999</v>
      </c>
    </row>
    <row r="34" spans="1:3" x14ac:dyDescent="0.25">
      <c r="A34" s="77" t="s">
        <v>315</v>
      </c>
      <c r="B34" s="78" t="s">
        <v>593</v>
      </c>
      <c r="C34" s="79">
        <v>15475.15</v>
      </c>
    </row>
    <row r="35" spans="1:3" ht="15.75" thickBot="1" x14ac:dyDescent="0.3">
      <c r="A35" s="80" t="s">
        <v>594</v>
      </c>
      <c r="B35" s="81" t="s">
        <v>595</v>
      </c>
      <c r="C35" s="82">
        <v>111593.92</v>
      </c>
    </row>
    <row r="36" spans="1:3" ht="15.75" thickTop="1" x14ac:dyDescent="0.25">
      <c r="A36" s="83" t="s">
        <v>0</v>
      </c>
      <c r="B36" s="84"/>
      <c r="C36" s="85">
        <v>1083931.1000000001</v>
      </c>
    </row>
    <row r="39" spans="1:3" x14ac:dyDescent="0.25">
      <c r="B39" s="61" t="s">
        <v>596</v>
      </c>
      <c r="C39" s="62">
        <f>+Tabla1[[#Totals],[Imp. aplic.]]+Tabla2[[#Totals],[Imp.cob.aplic.]]+C36</f>
        <v>4023246.41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Tesis</vt:lpstr>
      <vt:lpstr>Sexenios</vt:lpstr>
      <vt:lpstr>Ingresos investigación 2023</vt:lpstr>
      <vt:lpstr>Ingresos investigación 2024</vt:lpstr>
      <vt:lpstr>Ingresos investigación 2025</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2019-07-03T07:26:29Z</cp:lastPrinted>
  <dcterms:created xsi:type="dcterms:W3CDTF">2019-07-03T07:15:54Z</dcterms:created>
  <dcterms:modified xsi:type="dcterms:W3CDTF">2026-05-28T11:36:58Z</dcterms:modified>
</cp:coreProperties>
</file>