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N:\_Unidad_Presupuestos\2_PRESUPUESTACIÓN\Presupuesto 2027\Datos\D-I\Indicadores provisionales\"/>
    </mc:Choice>
  </mc:AlternateContent>
  <xr:revisionPtr revIDLastSave="0" documentId="13_ncr:1_{40E8FBB6-BE54-4A1B-A9B2-8FC2D35DCDB2}" xr6:coauthVersionLast="47" xr6:coauthVersionMax="47" xr10:uidLastSave="{00000000-0000-0000-0000-000000000000}"/>
  <bookViews>
    <workbookView xWindow="-120" yWindow="-120" windowWidth="29040" windowHeight="15720" tabRatio="822" activeTab="7" xr2:uid="{00000000-000D-0000-FFFF-FFFF00000000}"/>
  </bookViews>
  <sheets>
    <sheet name="Tesis" sheetId="7" r:id="rId1"/>
    <sheet name="Sexenios" sheetId="8" r:id="rId2"/>
    <sheet name="Ingresos investigación 2023" sheetId="19" r:id="rId3"/>
    <sheet name="Ingresos investigación 2024" sheetId="22" r:id="rId4"/>
    <sheet name="Ingresos investigación 2025" sheetId="23" r:id="rId5"/>
    <sheet name="Ingresos formación 2023" sheetId="20" r:id="rId6"/>
    <sheet name="Ingresos formación 2024" sheetId="21" r:id="rId7"/>
    <sheet name="Ingresos formación 2025" sheetId="24" r:id="rId8"/>
  </sheets>
  <definedNames>
    <definedName name="_xlnm._FilterDatabase" localSheetId="1" hidden="1">Sexenios!#REF!</definedName>
    <definedName name="_xlnm._FilterDatabase" localSheetId="0" hidden="1">Tesis!$A$1:$U$1</definedName>
    <definedName name="_xlnm.Print_Titles" localSheetId="1">Sexenios!$1:$1</definedName>
    <definedName name="_xlnm.Print_Titles" localSheetId="0">Tesis!$D:$D,Tesis!$1:$1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56" i="24" l="1"/>
  <c r="C152" i="24"/>
  <c r="C17" i="23"/>
  <c r="C32" i="22"/>
  <c r="C13" i="20"/>
  <c r="C57" i="21"/>
  <c r="C18" i="19"/>
  <c r="S24" i="8"/>
  <c r="S54" i="7" l="1"/>
</calcChain>
</file>

<file path=xl/sharedStrings.xml><?xml version="1.0" encoding="utf-8"?>
<sst xmlns="http://schemas.openxmlformats.org/spreadsheetml/2006/main" count="1501" uniqueCount="578">
  <si>
    <t>Total</t>
  </si>
  <si>
    <t>32.80.6Q.00.02</t>
  </si>
  <si>
    <t>32.80.2T.00.02</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</si>
  <si>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</si>
  <si>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</si>
  <si>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</si>
  <si>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</si>
  <si>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</si>
  <si>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</si>
  <si>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</si>
  <si>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</si>
  <si>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</si>
  <si>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</si>
  <si>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</si>
  <si>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</si>
  <si>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</si>
  <si>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</si>
  <si>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</si>
  <si>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</si>
  <si>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</si>
  <si>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</si>
  <si>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</si>
  <si>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</si>
  <si>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</si>
  <si>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Codirector de tesis </t>
  </si>
  <si>
    <t>50</t>
  </si>
  <si>
    <t/>
  </si>
  <si>
    <t>Director de tesis </t>
  </si>
  <si>
    <t>10</t>
  </si>
  <si>
    <t>74218489L </t>
  </si>
  <si>
    <t>B110 </t>
  </si>
  <si>
    <t>ORGANIZACIÓN DE EMPRESAS </t>
  </si>
  <si>
    <t>B110</t>
  </si>
  <si>
    <t>10.17</t>
  </si>
  <si>
    <t>21360018X </t>
  </si>
  <si>
    <t>33481428Y </t>
  </si>
  <si>
    <t>U036 </t>
  </si>
  <si>
    <t>ADM. FACULTAD DE CIENCIAS ECONÓMICAS </t>
  </si>
  <si>
    <t>DOCTORADO EN EMPRESA, ECONOMÍA Y SOCIEDAD </t>
  </si>
  <si>
    <t>21470393P </t>
  </si>
  <si>
    <t>U058 </t>
  </si>
  <si>
    <t>ADM. I.U. DE INVESTIGACIONES TURÍSTICAS </t>
  </si>
  <si>
    <t>29020457T </t>
  </si>
  <si>
    <t>DOCTORADO EN TURISMO </t>
  </si>
  <si>
    <t>21645764G </t>
  </si>
  <si>
    <t>53210892R </t>
  </si>
  <si>
    <t>45561686C </t>
  </si>
  <si>
    <t>48457726S </t>
  </si>
  <si>
    <t>30</t>
  </si>
  <si>
    <t>NIF</t>
  </si>
  <si>
    <t>NOMBRE_COMPLETO</t>
  </si>
  <si>
    <t>TIPO_SEXENIO</t>
  </si>
  <si>
    <t>Total general</t>
  </si>
  <si>
    <t>INS
1</t>
  </si>
  <si>
    <t>DED
INS 1</t>
  </si>
  <si>
    <t>INS
2</t>
  </si>
  <si>
    <t>DED
INS 2</t>
  </si>
  <si>
    <t>DED
DEP</t>
  </si>
  <si>
    <t>SEX
INS 1</t>
  </si>
  <si>
    <t>SEX
INS 2</t>
  </si>
  <si>
    <t>SEX
DEP</t>
  </si>
  <si>
    <t>FUNCIONARIO</t>
  </si>
  <si>
    <t>48457726S</t>
  </si>
  <si>
    <t>74087122M</t>
  </si>
  <si>
    <t>21645764G</t>
  </si>
  <si>
    <t>21470393P</t>
  </si>
  <si>
    <t>53210892R</t>
  </si>
  <si>
    <t>48300176S</t>
  </si>
  <si>
    <t>74218489L</t>
  </si>
  <si>
    <t>74087347T</t>
  </si>
  <si>
    <t>48350547Q</t>
  </si>
  <si>
    <t>33495335K</t>
  </si>
  <si>
    <t>29020457T</t>
  </si>
  <si>
    <t>48378289C</t>
  </si>
  <si>
    <t>33481428Y</t>
  </si>
  <si>
    <t>29015181Z</t>
  </si>
  <si>
    <t>45561686C</t>
  </si>
  <si>
    <t>32.80.6C.00.05</t>
  </si>
  <si>
    <t>20/11/2019 </t>
  </si>
  <si>
    <t>DISTRITOS INDUSTRIALES Y COMPETITIVIDAD EMPRESARIAL: UN ANÁLISIS APLICADO A LOS DISTRITOS INDUSTRIALES ALIMENTARIOS (DIA) EN ESPAÑA </t>
  </si>
  <si>
    <t>Seva Larrosa, Pedro </t>
  </si>
  <si>
    <t>27/07/2020 </t>
  </si>
  <si>
    <t>Análisis de las capacidades dinámicas y su efecto sobre el rendimiento empresarial: Un estudio aplicado al sector hotelero en España </t>
  </si>
  <si>
    <t>Ruiz Fernandez, Lorena </t>
  </si>
  <si>
    <t>24/01/2020 </t>
  </si>
  <si>
    <t>La influencia de las agencias de desarrollo local en la atención y formación a emprendedores. El caso de la província de Alicante </t>
  </si>
  <si>
    <t>González Herreros, Ester </t>
  </si>
  <si>
    <t>30/09/2020 </t>
  </si>
  <si>
    <t>Valoración de empresas y riesgo país en Ecuador </t>
  </si>
  <si>
    <t>FARFAN PACHECO, GALO ADOLFO </t>
  </si>
  <si>
    <t>NO FUNCIONARIO</t>
  </si>
  <si>
    <t>16809134K</t>
  </si>
  <si>
    <t>Quizhpe Salinas, Luis Alcivar </t>
  </si>
  <si>
    <t>"Estrategias competitivas para el desarrollo de las PYMES, en el corredor turístico ferroviario del Ecuador, con enfoque sistémico." </t>
  </si>
  <si>
    <t>30/07/2020 </t>
  </si>
  <si>
    <t>ZZ </t>
  </si>
  <si>
    <t>SIN ASIGNAR </t>
  </si>
  <si>
    <t>Navarro Berbegal, Francisco Javier </t>
  </si>
  <si>
    <t>CULTURA DE CALIDAD: PARADIGMA DE DESARROLLO PARA LA EXCELENCIA. EVIDENCIA DEL CASO EN EMPRESAS DE LA PROVINCIA DE ALICANTE </t>
  </si>
  <si>
    <t>19/11/2020 </t>
  </si>
  <si>
    <t>21494583W </t>
  </si>
  <si>
    <t>MODELO DE ESTRATEGIAS PARA GESTIONAR EL CONOCIMENTO INSTITUCIONAL(Caso de Universidades Públicas Categoría A de Ecuador) </t>
  </si>
  <si>
    <t>30/09/2021 </t>
  </si>
  <si>
    <t>29015181Z </t>
  </si>
  <si>
    <t>Sánchez García, Eduardo </t>
  </si>
  <si>
    <t>Aglomeración industrial, capital social y capacidad de absorción como impulsores del desempeño innovador y empresarial: Una aplicación al sector de suministro de energía eléctrica, gas, vapor y aire acondicionado en España </t>
  </si>
  <si>
    <t>22/07/2021 </t>
  </si>
  <si>
    <t>74087122M </t>
  </si>
  <si>
    <t>Pedro De Blas, Jennifer </t>
  </si>
  <si>
    <t>La competitividad internacional en el fútbol: Un análisis comparativo entre España y China </t>
  </si>
  <si>
    <t>28/07/2021 </t>
  </si>
  <si>
    <t>Brotons Martínez, Matilde </t>
  </si>
  <si>
    <t>La gestión del conocimiento para la innovación en hoteles: la influencia de las prácticas de Recursos Humanos </t>
  </si>
  <si>
    <t>25/03/2021 </t>
  </si>
  <si>
    <t>Cód. org. aplic.</t>
  </si>
  <si>
    <t>Descripción justificante</t>
  </si>
  <si>
    <t>López Mayorga, Rosa Magdalena </t>
  </si>
  <si>
    <t>Poveda Pareja, Esther </t>
  </si>
  <si>
    <t>LOCALIZACIO¿N, RESPONSABILIDAD SOCIAL CORPORATIVA Y CREACIO¿N DE VALOR EN LOS HOTELES DE LA COSTA ESPAN¿OLA: INFLUENCIA DEL CAPITAL SOCIAL, LA AMBIDESTREZA INTERORGANIZATIVA, LA INNOVACIO¿N Y LA RESILIENCIA </t>
  </si>
  <si>
    <t>27/06/2022 </t>
  </si>
  <si>
    <t>Martínez Falcó, Javier </t>
  </si>
  <si>
    <t>EL CAPITAL INTELECTUAL SOSTENIBLE COMO ELEMENTO VERTEBRADOR DE LA PERFORMANCE ECONÓMICA, SOCIAL Y MEDIOAMBIENTAL: UN ANÁLISIS APLICADO A LA INDUSTRIA VINÍCOLA ESPAÑOLA </t>
  </si>
  <si>
    <t>19/07/2022 </t>
  </si>
  <si>
    <t>Fernández Vidal, Jorge </t>
  </si>
  <si>
    <t>15/07/2022 </t>
  </si>
  <si>
    <t>PARASKEVAS , THEODOROS </t>
  </si>
  <si>
    <t>The impact of suspending labor status on organizational culture of uniformed personnel outside the central government administration in Greece. The case study of Municipal Polic </t>
  </si>
  <si>
    <t>22/07/2022 </t>
  </si>
  <si>
    <t>Baliouskas , Petros </t>
  </si>
  <si>
    <t>TOURNAROUND STRATEGY DURING A DEPRESSED ECONOMY-CORRELATION WITH SUCCESSFUL TACTICS. A TOTAL TURNAROUND RESEARCH FOR THE GREEK COMPANIES (INDUSTRIAL AND TRADING SECTOR </t>
  </si>
  <si>
    <t>Yang , Yang </t>
  </si>
  <si>
    <t>LA INTENCIÓN DE INTERNACIONALIZACIÓN DE LAS PYMES ESPAÑOLAS HACIA CHINA EN LA ERA DE LA NUEVA RUTA DE LA SEDA- UN ESTUDIO DESDE EL ENFOQUE DE LAS REDES SOCIALES </t>
  </si>
  <si>
    <t>48378289C </t>
  </si>
  <si>
    <t>Rivas Tello, Augusta Carolina </t>
  </si>
  <si>
    <t>Gestión de calidad turística en los parques nacionales del Ecuador </t>
  </si>
  <si>
    <t>29/03/2022 </t>
  </si>
  <si>
    <t>48350547Q </t>
  </si>
  <si>
    <t>COD DEP</t>
  </si>
  <si>
    <t>Imp.cob.aplic.</t>
  </si>
  <si>
    <t>32.80.6P.00.04</t>
  </si>
  <si>
    <t>32.80.6P.00.05</t>
  </si>
  <si>
    <t>Solórzano González, Alexandra Mónica </t>
  </si>
  <si>
    <t>Impacto de la transferencia tecnológica universitaria en el sector de las empresas exportadoras de camarón en Ecuador: Un enfoque en la interacción entre Universidad, Estado y Empresa </t>
  </si>
  <si>
    <t>17/07/2023 </t>
  </si>
  <si>
    <t>Ramón Ramón, Dolores Isabel </t>
  </si>
  <si>
    <t>LIDERAZGO ÉTICO EN UNIVERSIDADES PÚBLICAS, VÍNCULO CON EL WORK ENGAGEMENT Y EFECTO MEDIADOR DEL CLIMA ÉTICO ORGANIZACIONAL </t>
  </si>
  <si>
    <t>19/07/2023 </t>
  </si>
  <si>
    <t>Sarmiento Chugcho, Carlos Bolívar </t>
  </si>
  <si>
    <t>Análisis de la incidencia de un set de capacidades dinámicas en la innovación de las empresas agroindustriales: Un modelo de confirmación. </t>
  </si>
  <si>
    <t>18/07/2023 </t>
  </si>
  <si>
    <t>Pérez Espinoza, María José </t>
  </si>
  <si>
    <t>ORIENTACIÓN EMPRENDEDORA E INFLUENCIA FAMILIAR COMO DETERMINANTES DEL DESEMPEÑO DE LAS EMPRESAS FAMILIARES EN ECUADOR </t>
  </si>
  <si>
    <t>23/03/2023 </t>
  </si>
  <si>
    <t>Payá Pérez, Virginia Sofía </t>
  </si>
  <si>
    <t>Ecosistema Urbano de Emprendimiento: Factores Clave para la Innovación en los Centros Históricos a través de la Economía Creativa. </t>
  </si>
  <si>
    <t>15/09/2023 </t>
  </si>
  <si>
    <t>I.U. DE INVESTIGACIONES TURÍSTICAS (10.17) </t>
  </si>
  <si>
    <t>Peng , Jianrong </t>
  </si>
  <si>
    <t>Turismo chino en América Latina: Influencia de las diferencias culturales </t>
  </si>
  <si>
    <t>24/11/2022 </t>
  </si>
  <si>
    <t>21515756S</t>
  </si>
  <si>
    <t>PRIMER PAGO CONTRATO DE ASISTENCIA TÉCNICA CON REFERENCIA "ASOCIACIONINSTITUTO1-23TD" CON EL PROF. D. FRANCISCO LLOPIS VAÑO</t>
  </si>
  <si>
    <t>S</t>
  </si>
  <si>
    <t>SEGUNDO Y ÚLTIMO PAGO DEL CONTRATO DE ASISTENCIA TÉCNICA CON REFERENCIA "ASOCIACIONINSTITUTO-23TD" CON EL PROF. FRANCISCO LLOPIS VAÑO.</t>
  </si>
  <si>
    <t>32.80.6C.00.20</t>
  </si>
  <si>
    <t>Pago único del "Estudio y propuesta de acciones estratégicas sobre economía circular , digitalización y sostenibilidad en el sector del mármol. Economía circular y estrategia empresarial en el sector del mármol de la Comunidad Valenciana".</t>
  </si>
  <si>
    <t>32.80.6C.00.21</t>
  </si>
  <si>
    <t>Pago único por colaboración en la elaboración del informe: Transición del sector turístico a la economía circular en la provincia de Alicante. Estudio de caso Bodegas Casa Sicilia. Y elaboración de un capítulo del libro: Managing the transition to circular economy. Action Plans in the Tourism Sector.</t>
  </si>
  <si>
    <t>32.80.6C.00.22</t>
  </si>
  <si>
    <t>Contrato de asistencia técnica con ref. INECA5-23TPA Diseñar, realizar y analizar mediante una encuesta el grado de digitalización de las empresas de la provincia de Alicante.</t>
  </si>
  <si>
    <t>32.80.6C.00.23</t>
  </si>
  <si>
    <t>Contrato de asistencia técnica con referencia INECA6-23TPA: Evolución y estado actual del sector secundario en la provincia de Alicante desde el año 2000 hasta la actualidad.</t>
  </si>
  <si>
    <t>32.80.6C.00.24</t>
  </si>
  <si>
    <t>Primer pago al mes de la firma del contrato con título "Dotar a la organización de mecanismos para responder de forma flexible, ágil y contundente a los cambios del entorno, impulsando así su resilencia".</t>
  </si>
  <si>
    <t xml:space="preserve">AICO/2021/184-189-192-196-331 </t>
  </si>
  <si>
    <t>DEVOLUCIÓN DE INGRESOS_MODELO 047_Nº de liquidación: 46/2023/RAS/10200/1_Número de justificante: 047/1/002359944_Nº de referencia:047/1/002359944</t>
  </si>
  <si>
    <t xml:space="preserve">CIAICO/2021/019/074/124/158/167/173/221/279/305/328/335/339/345/348 </t>
  </si>
  <si>
    <t>DEVOLUCIÓN DE INGRESOS_MODELO 047_CIACO 2021 EN 2022_Nº de liquidación:46/2023/RAS/10205/1 047/_Número de justificante:047/1/002362793_Nº de referencia:047/1/002362793</t>
  </si>
  <si>
    <t>32.80.6P.00.06</t>
  </si>
  <si>
    <t>CIPROM/2022/13/26/40. PROMETEO 2023</t>
  </si>
  <si>
    <t>Pago único del año 2023. Para financiación de los gastos de funcionamiento de la Cátedra de Empresa Familiar del curso 2022/2023.</t>
  </si>
  <si>
    <t>32.80.6Q.00.03</t>
  </si>
  <si>
    <t>Mecenazgo de la Cátedra Germán Bernácer. 2º semestre de la anualidad 2023.</t>
  </si>
  <si>
    <t>Mecenazgo de la Cátedra Germán Bernácer. 1º semestre de la anualidad 2023.</t>
  </si>
  <si>
    <t>Matrícula de Marcelo Miguel Costamagna al curso "Inteligencia Estratégica para Organizaciones Innovadoras".</t>
  </si>
  <si>
    <t xml:space="preserve">LIQ-TitProp_GI44-1 Curso_2023-24 AñoCont_2023 - INTELIGENCIA ESTRATÉGICA PARA ORGANIZACIONES INNOVADORAS </t>
  </si>
  <si>
    <t xml:space="preserve">Matrícula de Mª Dolores Romero Sánchez al curso Inteligencia Estratégica para Organizaciones Innovadoras. </t>
  </si>
  <si>
    <t xml:space="preserve">Matrícula de Ricardo Ruiz de España al curso Inteligencia Estratégica para Organizaciones Innovadoras. </t>
  </si>
  <si>
    <t>Matrícula de Elena Berga Montardit al curso Inteligencia Estratégica para Organizaciones Innovadoras.</t>
  </si>
  <si>
    <t>Matrícula de Lilliana Rojas Guillén en el curso "Inteligencia Estratégica para Organizaciónes Innovadoras"</t>
  </si>
  <si>
    <t xml:space="preserve">Matrícula de Beatriz Monfort Liniers al curso "Inteligencia Estratégica para Organizaciones Innovadoras". </t>
  </si>
  <si>
    <t xml:space="preserve">Plan_GC20 Curso_2021-22 Emitido_2021 ___ INTELIGENCIA ESTRATÉGICA PARA ORGANIZACIONES INNOVADORAS </t>
  </si>
  <si>
    <t>Matrícula de Héctor Alcar, al curso "Inteligencia Estratégica para Organizaciones Innovadoras".</t>
  </si>
  <si>
    <t>Matrícula de Sara Ponce Sánchez al curso Inteligencia Estratégica para Organizaciones Innovadoras.</t>
  </si>
  <si>
    <t>32.80.2T.00.03</t>
  </si>
  <si>
    <t xml:space="preserve">LIQ-TitProp_GJ85-1 Curso_2023-24 AñoCont_2023 - II JORNADA DE ECONOMÍA Y DIRECCIÓN DE EMPRESAS VITIVINÍCOLAS </t>
  </si>
  <si>
    <t>U036</t>
  </si>
  <si>
    <t>ADM. FACULTAD DE CIENCIAS ECONÓMICAS</t>
  </si>
  <si>
    <t>DOCTORADO EN EMPRESA, ECONOMÍA Y SOCIEDAD</t>
  </si>
  <si>
    <t>Suárez Gargallo, Carlos Manuel</t>
  </si>
  <si>
    <t>Analysis of the Balanced Scorecard and its Natural Evolution to a Sustainability Balanced Scorecard. Study of its State-of-the-Art and its Application to the Spanish Footwear Industry and to Spanish Government Units, integrating the Triple Bottom Lin</t>
  </si>
  <si>
    <t>12/02/2024</t>
  </si>
  <si>
    <t>Director de tesis</t>
  </si>
  <si>
    <t>ORGANIZACIÓN DE EMPRESAS</t>
  </si>
  <si>
    <t>Millán Tudela, Luis Antonio</t>
  </si>
  <si>
    <t>Capacidades dinámicas y longevidad empresarial: Un análisis aplicado a la industria española de alimentación y bebidas</t>
  </si>
  <si>
    <t>08/03/2024</t>
  </si>
  <si>
    <t>Alabbadi , Shadi khaled Mohammad</t>
  </si>
  <si>
    <t>The mediating effect of IT-business strategic alignment on the relationship between organizational behavior and firm performance: A study of the Jordanian maritime industry</t>
  </si>
  <si>
    <t>16/01/2024</t>
  </si>
  <si>
    <t>Codirector de tesis</t>
  </si>
  <si>
    <t>48557505C</t>
  </si>
  <si>
    <t>U058</t>
  </si>
  <si>
    <t>I.U. DE INVESTIGACIONES TURÍSTICAS (10.17)</t>
  </si>
  <si>
    <t>DOCTORADO EN TURISMO</t>
  </si>
  <si>
    <t>Intriago Torres, Jairo Enrique</t>
  </si>
  <si>
    <t>Los Ecosistemas de Emprendimiento y los Servicios Ecosistémicos Culturales en el</t>
  </si>
  <si>
    <t>01/02/2024</t>
  </si>
  <si>
    <t>21494583W</t>
  </si>
  <si>
    <t>40</t>
  </si>
  <si>
    <t>10.06</t>
  </si>
  <si>
    <t>45840652L</t>
  </si>
  <si>
    <t>15</t>
  </si>
  <si>
    <t>48851197W</t>
  </si>
  <si>
    <t>79109303K</t>
  </si>
  <si>
    <t>Org. aplic.</t>
  </si>
  <si>
    <t>Imp. aplic.</t>
  </si>
  <si>
    <t>Matrícula de Santiago Cantalapiedra Alcoceba  al curso "Inteligencia Estratégica para Organizaciones Innovadoras"</t>
  </si>
  <si>
    <t>Matrícula de Francesc Puiggròs LLavinès del curso "Inteligencia Estratégica para Organizaciones Innovadoras".</t>
  </si>
  <si>
    <t xml:space="preserve">Matrícula de Manuela Gómez Villalonga del curso "Inteligencia Estratégica para Organizaciones Innovadoras". </t>
  </si>
  <si>
    <t>Matrícula de Pablo Vergelin al curso "Inteligencia estratégica para Organizaciones Innovadoras". El curso se realizará mediante plataforma educativa</t>
  </si>
  <si>
    <t>Matrícula de Eva Villalón Martín al curso "Inteligencia Estratégica para Organizaciones Innovadoras".</t>
  </si>
  <si>
    <t>Matrícula de Marcelo Soto Soto al curso "Inteligencia Estratégica para Organizaciones Innovadoras".</t>
  </si>
  <si>
    <t>Matrícula de Cecilia Gallardo Lara al curso "Inteligencia Estratégica para Organizaciones Innovadoras".</t>
  </si>
  <si>
    <t>Matrícula de Javiera Fernanda Riquelme Bestete al curso "Inteligencia Estratégica para Organizaciones Innovadoras".</t>
  </si>
  <si>
    <t>Matrícula de Berenice Gómez Evangelista  al curso "Inteligencia Estratégica para Organizaciones Innovadoras".</t>
  </si>
  <si>
    <t>Matrícula de Lorena Oliver Villalobos  al curso "Inteligencia Estratégica para Organizaciones Innovadoras".</t>
  </si>
  <si>
    <t xml:space="preserve">LIQ-TitProp_GI44-1 Curso_2024-25 AñoCont_2024 - INTELIGENCIA ESTRATÉGICA PARA ORGANIZACIONES INNOVADORAS </t>
  </si>
  <si>
    <t>1º pago del contrato de asistencia técnica con referencia "Asociacioninstituto1-24TD" con el profesor D. Francisco LLopis Vaño.</t>
  </si>
  <si>
    <t>Segundo y último pago del contrato de asistencia técnica con ref. "ASOCIACIOINSTITUTO1-24TD" con el profesor D. Francisco LLopis Vaño.</t>
  </si>
  <si>
    <t>Segundo pago del contrato con título "Dotar a la organización de mecanismos para responder de forma flexible, ágil y contundente a los cambios del entorno, impulsando así su resilencia".</t>
  </si>
  <si>
    <t>32.80.6C.00.25</t>
  </si>
  <si>
    <t>Pago al envío del informe de resultados, de la prestación de servicio con el título "Impulso de living lab para promover la transformación del sector turístico valenciano a través de la incorporación de tecnologías circulares".</t>
  </si>
  <si>
    <t>32.80.6C.00.26</t>
  </si>
  <si>
    <t>1º pago por la  prestación de servicio para "Consolidación de avances en materia de capacidades y mecanismos de adaptación y respuesta a los cambios del entorno".</t>
  </si>
  <si>
    <t>2º pago por la prestación del servicio: "programa de asesoramiento para la consolidación de avances en materia de capacidades y mecanismos de adaptación y respuesta a los cambios del entorno".</t>
  </si>
  <si>
    <t>32.80.6C.00.27</t>
  </si>
  <si>
    <t>PAGO CONTRATO POR COORDINACIÓN ACADÉMICA DE LA ACTUALIZACIÓN DEL PROYECTO "INECA DATA BOARD" CON REFERENCIA "INECA2-24TPA" CON EL PROFESOR D. FRANCISCO LLOPIS VAÑO.</t>
  </si>
  <si>
    <t>32.80.6C.00.28</t>
  </si>
  <si>
    <t>Pago único a la firma del contrato para la realización de estudio sobre "La Economía Circular en el sector industrial de la provincia de Alicante".</t>
  </si>
  <si>
    <t>32.80.6G.00.01</t>
  </si>
  <si>
    <t>Pago único del mecenazgo de las actividades  de organización y realización del "IV Congreso Internacional de Legalcripto by Baes UNIDROIT" a celebrar en Alicante y Madrid  el 13,14 y 15 noviembre del 2024.</t>
  </si>
  <si>
    <t>Pago único del mecenazgo de las actividades de organización y realización del "IV Congreso Internacional de  Legalcripto by Baes UNIDROIT" a celebrar en Alicante y Madrid el 13,14 y 15 de noviembre de 2024.</t>
  </si>
  <si>
    <t>Pago único del mecenazgo de las actividades de organización y realización del "IV Congreso Internacional de Legalcripto by Baes UNIDROIT" a celebrar en Alicante y Madrid el 13,14 y 15 de noviembre del 2024.</t>
  </si>
  <si>
    <t>Pago único del mecenazgo de las actividades de organización y realización del "IV Congreso Internacional de Legalcrpito by Baes UNIDROIT" a celebrar en Alicante y Madrid el 13,14 y 15 de noviembre del 2024.</t>
  </si>
  <si>
    <t>32.80.6G.00.02</t>
  </si>
  <si>
    <t>JAKUB PIZON FULL FEE (SPEAKER) ."I INTERNATIONAL CONFERENCE ON FOOD AND WINE. TOURISM STATEGIC MANAGEMENT FOR SUSTAINABLE REGIONAL DEVELOPMENT. UNIVERSITY OF ALICANTE, SPAIN. OCTOBER 9-11.</t>
  </si>
  <si>
    <t>JOLANTA STONIEC. FULL FEE (SPEAKER) "I INTERNATIONAL CONFERENCE ON FOOD AND WINE. TOURISM STATEGIC MANAGEMENT FOR SUSTAINABLE REGIONAL DEVELOPMENT. UNIVERSITY OF ALICANTE,SPAIN. OCTUBER 9-11.</t>
  </si>
  <si>
    <t>Liq_JyC_2024__ICFWT_01__I International Conference on Food and Wine Tourism Strategic Management for Sustainable Regional Development</t>
  </si>
  <si>
    <t>CLAIRE LAMOUREUX. FULL FEE (SPEAKER) "I INTERNATIONAL CONFERENCE ON FOOD AND WINE. TOURISM STRATEGIC MANAGEMENT FOR SUSTAINABLE REGIONAL DEVELOPMENT. UNIVERSITY OF ALICANTE, SPAIN. OCTUBER 9-11.</t>
  </si>
  <si>
    <t>JEREMIAS MATE BALOCH BASIC FEE (SPEAKER): "I INTERNATIONAL CONFERENCE ON FOOD AND WINE. TOURISM STRATEGIC  MANAGEMENT FOR SUSTAINABLE REGIONAL DEVELOPMENT. UNIVERSITY OF ALICANTE, SPAIN. OCTUBER 9-11.</t>
  </si>
  <si>
    <t>Liq_JyC_2024__ICFWT_02__I International Conference on Food and Wine Tourism Strategic Management for Sustainable Regional Development</t>
  </si>
  <si>
    <t>Liq_JyC_2024__ICFWT_03__I International Conference on Food and Wine Tourism Strategic Management for Sustainable Regional Development</t>
  </si>
  <si>
    <t xml:space="preserve">MLADEN MICEVSKI. DOCTORAL STUDENT FEE  "I INTERNATIONAL CONFERENCE ON FOOD AND WINE. TOURISM STRATEGIC MANAGEMENT FOR SUSTAINABLE REGIONAL DEVELOPMENT. UNIVERSITY OF ALICANTE, SPAIN. OCTUBER 9-11. </t>
  </si>
  <si>
    <t>ANNA SLAWIK. FULL FEE (SPEAKER) "I INTERNATIONAL CONFERENCE ON FOOD AND WINE. TOURISM STRATEGIC MANAGEMENT FOR SUSTAINABLE REGIONAL DEVELOPMENT. UNIVERSITY OF ALICANTE, SPAIN. OCTUBER 9-11.</t>
  </si>
  <si>
    <t>Liq_JyC_2024__ICFWT_04__I International Conference on Food and Wine Tourism Strategic Management for Sustainable Regional Development</t>
  </si>
  <si>
    <t>Liq_JyC_2024__ICFWT_05__I International Conference on Food and Wine Tourism Strategic Management for Sustainable Regional Development</t>
  </si>
  <si>
    <t>DEVOLUCIÓN DE INGRESO_MODELO 047_SUBVENCIÓN AICO  ANUALIDAD_2023</t>
  </si>
  <si>
    <t xml:space="preserve">CIAICO/2021/019/074/124/158/167/173/279/305/328/335/345/348/339 </t>
  </si>
  <si>
    <t>DEVOLUCIÓN DE INGRESOS_MODELO 047_Nº DE LIQUIDACIÓN: 46/2024/RAS/10135/1_ Nº DE JUSTIFICANTE: 047/1/002493531/ Nº DE REFERENCIA: 047/1/002493531</t>
  </si>
  <si>
    <t xml:space="preserve">AYUDAS CIPROM/2022/13, CIPROM/2022/26, CIPROM/2022/40 </t>
  </si>
  <si>
    <t>Pago único del año 2024. Correspondiente a la financiación de los gastos de funcionamiento de la Cátedra de Empresa Familiar del curso 2023/2024.</t>
  </si>
  <si>
    <t>Mecenazgo de la Cátedra Germán Bernácer. 1º semestre de la anualidad de 2024.</t>
  </si>
  <si>
    <t>Mecenazgo de la Cátedra Germán Bernácer. 2º semestre de la anualidad de 2024.</t>
  </si>
  <si>
    <t>10.91.2T.00.26</t>
  </si>
  <si>
    <t xml:space="preserve">LIQ-TitProp_GK18-1 Curso_2023-24 AñoCont_2023 - ARTE DE EXCLUSIVIDAD: ESTRAT. CREACIÓN DE VALOR EN LA INDUST. VITIVINÍCOLA </t>
  </si>
  <si>
    <t>10.91.2T.00.31</t>
  </si>
  <si>
    <t xml:space="preserve">LIQ-TitProp_GL62-1 Curso_2024-25 AñoCont_2024 - I CONGRESO INTERNACIONAL DE TURISMO GASTRONÓMICO </t>
  </si>
  <si>
    <t>10.91.2T.00.35</t>
  </si>
  <si>
    <t>DESIRÉE GIL GRACIA -  GL07 PSICOLOGÍA POSITIVA Y DESARROLLO PERSONAL</t>
  </si>
  <si>
    <t>CÓD: GL07 . Microcredencial: PSICOLOGÍA POSITIVA Y DESARROLLO PERSONAL</t>
  </si>
  <si>
    <t>10.91.2T.00.36</t>
  </si>
  <si>
    <t xml:space="preserve">DESIRÉE GIL GRACIA -  Matrícula en curso GL06 HABILIDADES DE COMUNICACIÓN EN COACHING </t>
  </si>
  <si>
    <t>CÓD: GL06. Microcredencial: Habilidades de comunicación en Coaching</t>
  </si>
  <si>
    <t>10.91.2T.00.41</t>
  </si>
  <si>
    <t>CÓD: GL17. Microcredencial: FUNDAMENTOS DEL MENTORING</t>
  </si>
  <si>
    <t>10.91.2T.00.42</t>
  </si>
  <si>
    <t xml:space="preserve">CÓD: GL08. Microcredencial: COMPLIANCE </t>
  </si>
  <si>
    <t>10.91.2T.00.43</t>
  </si>
  <si>
    <t xml:space="preserve">LIQ-TitProp_GL63-1 Curso_2024-25 AñoCont_2024 - I JORNADA DE ENOTURISMO </t>
  </si>
  <si>
    <t>10.91.2T.00.50</t>
  </si>
  <si>
    <t>DESIRÉE GIL GRACIA - GL05 COACHING COMO HERRAMIENTA DE TRANSFORMACIÓN PERSONAL</t>
  </si>
  <si>
    <t>CÓD: GL05.Microcredencial: Coaching como Herramienta de Transformación Personal</t>
  </si>
  <si>
    <t>10.91.2T.00.55</t>
  </si>
  <si>
    <t>CÓD: GL18. Microcredencial: Proceso de Mentoring y Desarrollo de Competencias Clave</t>
  </si>
  <si>
    <t>10.91.2T.00.89</t>
  </si>
  <si>
    <t xml:space="preserve">CÓD: GL01. Microcredencial.  TÉCNICAS DE COACHING PARA IMPULSAR LA PRODUCTIVIDAD EMPRESARIAL_Plan_GL01-N Curso_2024-25_AñoCont_2024 </t>
  </si>
  <si>
    <t>10.91.2T.00.91</t>
  </si>
  <si>
    <t xml:space="preserve">CÓD: GL10. Microcredencial. DESARROLLO DE HABILIDADES PARA LA COMUNICACIÓN EFECTIVA_Plan_GL10-1 Curso_2024-25_AñoCont_2024 </t>
  </si>
  <si>
    <t>10.91.2T.01.01</t>
  </si>
  <si>
    <t xml:space="preserve">CÓD: GK99. Microcredencial. DESARROLLO DE COMPETENCIAS ESPECÍFICAS PARA LA GESTIÓN DE EQUIPOS _GK99-1 Curso_2024-25_AñoCont_2024  </t>
  </si>
  <si>
    <t>10.91.2T.01.03</t>
  </si>
  <si>
    <t xml:space="preserve">CÓD: GL11. Microcredencial. MOTIVACIÓN Y GESTIÓN DEL RENDIMIENTO_Plan_GL11-1Curso_2024-25_AñoCont_2024  </t>
  </si>
  <si>
    <t>10.91.2T.00.28</t>
  </si>
  <si>
    <t xml:space="preserve">LIQ-TitProp_GK21-1 Curso_2023-24 AñoCont_2023 - EL PODER DEL RELATO: ESTRATEGIAS DE STORYTELLING PARA EL ÉXITO EMPRESARIAL </t>
  </si>
  <si>
    <t xml:space="preserve">LIQ-TitProp_GK21-2 Curso_2023-24 AñoCont_2023 - EL PODER DEL RELATO: ESTRATEGIAS DE STORYTELLING PARA EL ÉXITO EMPRESARIAL </t>
  </si>
  <si>
    <t>10.91.2T.00.34</t>
  </si>
  <si>
    <t xml:space="preserve">LIQ-TitProp_GL64-1 Curso_2024-25 AñoCont_2024 - III JORNADA DE ECONOMÍA Y DIRECCIÓN DE EMPRESAS VITIVINÍCOLAS </t>
  </si>
  <si>
    <t>10.91.2T.00.37</t>
  </si>
  <si>
    <t>CÓD: GL19. Microcredencial: AUTOCONOCIMIENTO E INTELIGENCIA EMOCIONAL</t>
  </si>
  <si>
    <t>10.91.2T.00.51</t>
  </si>
  <si>
    <t>CÓD: GL09.Prevención de Riesgos Penales del Compliance</t>
  </si>
  <si>
    <t>10.91.2T.00.54</t>
  </si>
  <si>
    <t>CÓD: GL20 Microcredencial: Gestión y Motivación de Equipos de Trabajo</t>
  </si>
  <si>
    <t>10.91.2T.00.59</t>
  </si>
  <si>
    <t>CÓD: GL16. Microcredencial: Estrategias de Mentoring para el Liderazgo Efectivo</t>
  </si>
  <si>
    <t>10.91.2T.00.65</t>
  </si>
  <si>
    <t>ANDREA QUIÑONES ORHUELA Plan curso GL07 PSICOLOGÍA POSITIVA Y DESARROLLO PERSONAL</t>
  </si>
  <si>
    <t xml:space="preserve">VICENTE DOMENE MARTINEZ Plan curso GL07 PSICOLOGÍA POSITIVA Y DESARROLLO PERSONAL  </t>
  </si>
  <si>
    <t xml:space="preserve">CÓD: GL07. Microcredencial: PSICOLOGÍA POSITIVA Y DESARROLLO PERSONAL </t>
  </si>
  <si>
    <t>10.91.2T.00.66</t>
  </si>
  <si>
    <t>10.91.2T.00.67</t>
  </si>
  <si>
    <t xml:space="preserve">CÓD: GL17. Microcredenciales: FUNDAMENTOS DEL MENTORING </t>
  </si>
  <si>
    <t>10.91.2T.00.68</t>
  </si>
  <si>
    <t xml:space="preserve">CÓD: GL19. Microcredencial: AUTOCONOCIMIENTO E INTELIGENCIA EMOCIONAL </t>
  </si>
  <si>
    <t>10.91.2T.00.73</t>
  </si>
  <si>
    <t xml:space="preserve">ANDREA  QUIÑONES ORHUELA Plan curso GL06 HABILIDADES DE COMUNICACIÓN EN COACHING   </t>
  </si>
  <si>
    <t xml:space="preserve">VICENTE DOMENE MARTINEZ Plan curso GL06 HABILIDADES DE COMUNICACIÓN EN COACHING </t>
  </si>
  <si>
    <t xml:space="preserve">CÓD: GL06.Microcredencial: HABILIDADES DE COMUNICACIÓN EN COACHING </t>
  </si>
  <si>
    <t>10.91.2T.00.74</t>
  </si>
  <si>
    <t xml:space="preserve">CÓD: GL18. Microcredencial: PROCESO DE MENTORING Y DESARROLLO DE COMPETENCIAS CLAVE </t>
  </si>
  <si>
    <t>10.91.2T.00.75</t>
  </si>
  <si>
    <t xml:space="preserve">CÓD: GL20. Microcredencial:  GESTIÓN Y MOTIVACIÓN DE EQUIPOS DE TRABAJO </t>
  </si>
  <si>
    <t>10.91.2T.00.78</t>
  </si>
  <si>
    <t xml:space="preserve">CÓD: GL09. Microcredencial: PREVENCIÓN DE RIESGOS PENALES DEL COMPLIANCE </t>
  </si>
  <si>
    <t>10.91.2T.00.79</t>
  </si>
  <si>
    <t xml:space="preserve">ANDREA QUIÑONES ORHUELA Plan curso: GL05-COACHING COMO HERRAMIENTA DE TRANSFORMACIÓN PERSONAL </t>
  </si>
  <si>
    <t xml:space="preserve">VICENTE DOMENE MARTINEZ Plan curso GL05 COACHING COMO HERRAMIENTA DE TRANSFORMACIÓN PERSONAL </t>
  </si>
  <si>
    <t>CÓD: GL05. Microcredencial: Coaching como Herramienta de Transformación Personal</t>
  </si>
  <si>
    <t>10.91.2T.00.80</t>
  </si>
  <si>
    <t xml:space="preserve">CÓD: GL16. Microcrdencial. ESTRATEGIAS DE MENTORING PARA EL LIDERAZGO EFECTIVO _Plan_GL16-1 Curso_2024-25_AñoCont_2024 </t>
  </si>
  <si>
    <t>10.91.2T.00.81</t>
  </si>
  <si>
    <t>CÓD: GL21.Microcredencial: "NEGOCIACIÓN Y RESOLUCIÓN DE CONFLICTOS"</t>
  </si>
  <si>
    <t>10.91.2T.00.93</t>
  </si>
  <si>
    <t xml:space="preserve">CÓD: GL25. Microcredencial. BIENESTAR Y PRODUCTIVIDAD PERSONAL_Plan_GL25-1 Curso_2024-25_AñoCont_2024    </t>
  </si>
  <si>
    <t>10.91.2T.01.05</t>
  </si>
  <si>
    <t xml:space="preserve">CÓD: GL26. Microcredencial. ESTRATEGIAS AVANZADAS DE PRODUCTIVIDAD EJECUTIVA  _Plan_GL26-1 Curso_2024-25_AñoCont_2024 (PPUB ALUMNOS) </t>
  </si>
  <si>
    <t>10.91.2T.01.16</t>
  </si>
  <si>
    <t xml:space="preserve">CÓD: GL68. Microcredencia. OPORTUNIDADES Y HERRAMIENTAS PARA EL USO RESPONSABLE DE LA IA. NIVEL INTROD_Plan_GL68-N Curso_2024-25_AñoCont_2024  </t>
  </si>
  <si>
    <t>10.91.2T.00.60</t>
  </si>
  <si>
    <t>CÓD: GL21. Microcredencial: Negociación y Resolución de Conflictos</t>
  </si>
  <si>
    <t>Administración Facultad de Ciencias Económicas</t>
  </si>
  <si>
    <t>Martínez Falcó, Joaquín</t>
  </si>
  <si>
    <t>EL ENOTURISMO COMO CATALIZADOR DE LA SOSTENIBILIDAD: EVIDENCIA EMPÍRICA EN LA INDUSTRIA VINÍCOLA
ESPAÑOLA</t>
  </si>
  <si>
    <t>30/09/2025</t>
  </si>
  <si>
    <t>Organización de Empresas</t>
  </si>
  <si>
    <t>46084171Z</t>
  </si>
  <si>
    <t>Krasimirova Asenova, Martina</t>
  </si>
  <si>
    <t>Evolución de la industria hotelera: Del análisis de las páginas web y EWoM de los mejores hoteles a las oportunidades ocultas tras el COVID.</t>
  </si>
  <si>
    <t>20/12/2024</t>
  </si>
  <si>
    <t>Chartolani , Ekaterine</t>
  </si>
  <si>
    <t>ORGANIZATIONAL CULTURE: EXPLORING THE CULTURE OF MICHELIN STAR RESTAURANTS IN SPAIN</t>
  </si>
  <si>
    <t>13/12/2024</t>
  </si>
  <si>
    <t>Instituto Universitario de Investigaciones Turísticas (10.17)</t>
  </si>
  <si>
    <t>Villar García, Mario</t>
  </si>
  <si>
    <t>SISTEMA DE INTELIGENCIA TURÍSTICA EN LOS DESTINOS TURÍSTICOS INTELIGENTES</t>
  </si>
  <si>
    <t>02/06/2025</t>
  </si>
  <si>
    <t>2020</t>
  </si>
  <si>
    <t>2021</t>
  </si>
  <si>
    <t>2022</t>
  </si>
  <si>
    <t>2023</t>
  </si>
  <si>
    <t>2024</t>
  </si>
  <si>
    <t>2025</t>
  </si>
  <si>
    <t>De Juana Espinosa, Susana Amalia</t>
  </si>
  <si>
    <t>González Ramírez, María de los Reyes</t>
  </si>
  <si>
    <t>García Fernández, Mariano</t>
  </si>
  <si>
    <t>Gascó Gascó, José Luis</t>
  </si>
  <si>
    <t>Úbeda García, María Mercedes</t>
  </si>
  <si>
    <t>Quer Ramón, Diego Francisco</t>
  </si>
  <si>
    <t>Tarí Guilló, Juan José</t>
  </si>
  <si>
    <t>Pertusa Ortega, Eva María</t>
  </si>
  <si>
    <t>Zaragoza Sáez, Patrocinio Carmen</t>
  </si>
  <si>
    <t>Sánchez García, Eduardo</t>
  </si>
  <si>
    <t>45931288N</t>
  </si>
  <si>
    <t>Poveda Pareja, Esther</t>
  </si>
  <si>
    <t>López Gamero, María Dolores</t>
  </si>
  <si>
    <t>Pereira Moliner, Jorge</t>
  </si>
  <si>
    <t>Rienda García, Laura</t>
  </si>
  <si>
    <t>Andreu Guerrero, María Rosario</t>
  </si>
  <si>
    <t>Seva Larrosa, Pedro</t>
  </si>
  <si>
    <t>Ruiz Fernández, Lorena</t>
  </si>
  <si>
    <t>Llopis Taverner, Juan</t>
  </si>
  <si>
    <t>García Lillo, Francisco</t>
  </si>
  <si>
    <t>Molina Azorín, José Francisco</t>
  </si>
  <si>
    <t>Marco Lajara, Bartolomé</t>
  </si>
  <si>
    <t>Manresa Marhuenda, Encarnación</t>
  </si>
  <si>
    <t>32.80.6C.00.29</t>
  </si>
  <si>
    <t>PRIMER PAGO CONTRATO DE ASISTENCIA TÉCNICA CON REFERENCIA "ASOCIACIONINSTITUTO1-25T" CON EL PROF. D. FRANCISCO LLOPIS VAÑO.</t>
  </si>
  <si>
    <t>SEGUNDO Y ULTIMO PAGO DE CONTRATO DE ASISTENCIA TECNICA CON REFERENCIA "ASOCIACIONINSTITUTO1-25T" CON EL PROF. D. FRANCISCO LLOPIS VAÑO</t>
  </si>
  <si>
    <t>32.80.6C.00.30</t>
  </si>
  <si>
    <t>1ª Pago del contrato de  servicio "Desarrollo de sistemas de gestión eficientes y sostenibles en respuesta a las nuevas directrices europeas sobre digitalización y responsabilidad social corporativa"</t>
  </si>
  <si>
    <t>2º Pago del contrato de servicio "Desarrollo de sistemas de gestión eficientes y sostenibles en respuesta a las nuevas directrices europeas sobre digitalización y responsabilidad social corporativa"</t>
  </si>
  <si>
    <t>32.80.6C.00.31</t>
  </si>
  <si>
    <t>Pago único del contrato realización de actualización de los datos del proyecto INECA DATA BOARD con referencia "INECA1-25TPA" con el prof. D. Francisco LLopis Vaño</t>
  </si>
  <si>
    <t>32.80.6C.00.33</t>
  </si>
  <si>
    <t>Pago único al inicio de las actividades de Colaboración en el proyecto  "Impulso de un Living Lab para promover la transformación del sector turístico valenciano mediante la incorporación de tecnologías circulares".</t>
  </si>
  <si>
    <t>32.80.6C.00.34</t>
  </si>
  <si>
    <t>Pago único del contrato para realización de un anuario socioeconómico de la provincia de Alicante con referencia "INECA2-25TPA" con el profesor D. Francisco LLopis Vaño</t>
  </si>
  <si>
    <t>DEVOLUCIÓN DE INGRESOS_MODELO 047_  REFERENCIA: CIACO/2021/158/279/339/124/348/074/345/173</t>
  </si>
  <si>
    <t>CIPROM/2022/13/26/40</t>
  </si>
  <si>
    <t>CÁTEDRA EMPRESA FAMILIAR-FUNDACIÓN MANUEL PELÁEZ C.V.</t>
  </si>
  <si>
    <t>Pago único del año 2025 correspondiente a la financiación de los gastos de funcionamiento de la Cátedra de Empresa Familiar para el curso 2024/2025.</t>
  </si>
  <si>
    <t xml:space="preserve">INGRESO PERCIBIDO POR LA UNIVERSIDAD DE ALICANTE EN VIRTUD DE ADENDA AL ACUERDO DE COLABORACIÓN PARA EL MANTENIMIENTO DE LA CÁTEDRA GERMÁN BERNÁCER. </t>
  </si>
  <si>
    <t>Total ingresos investigación 2023-25</t>
  </si>
  <si>
    <t xml:space="preserve">LIQ-TitProp_GK18-N Curso_2024-25 AñoCont_2025 - ARTE DE EXCLUSIVIDAD: ESTRAT. CREACIÓN DE VALOR EN LA INDUST. VITIVINÍCOLA </t>
  </si>
  <si>
    <t xml:space="preserve">LIQ-TitProp_GK21-N Curso_2024-25 AñoCont_2025 - EL PODER DEL RELATO: ESTRATEGIAS DE STORYTELLING PARA EL ÉXITO EMPRESARIAL </t>
  </si>
  <si>
    <t xml:space="preserve">LIQ-TitProp_GN59-N Curso_2025-26 AñoCont_2025 - IV JORNADA DE ECONOMÍA Y DIRECCIÓN DE EMPRESAS VITIVINÍCOLAS </t>
  </si>
  <si>
    <t>RAMIREZ CUENCA, Mª DEL PILAR . MÁSTER DE FORMACIÓN PERMANENTE EN COACHING PROFESIONAL . Nº RECIBO 2025763799927</t>
  </si>
  <si>
    <t xml:space="preserve">LIQ-TitProp_GN58-N Curso_2025-26 AñoCont_2025 - II JORNADA DE ENOTURISMO  </t>
  </si>
  <si>
    <t xml:space="preserve">DEVOLUCIÓN DE PRECIOS PÚBLICOS, INGRESADOS INDEBIDAMENTE, EN REMESA CON Nº 2025DTR337662_RDT INVERSA 2025EXPADM2052  </t>
  </si>
  <si>
    <t xml:space="preserve">LIQ-TitProp_GN58-N Curso_2025-26 AñoCont_2025 - II JORNADA DE ENOTURISMO _ (Cierre-25) emitido-25 cobrado-25 </t>
  </si>
  <si>
    <t>CÓD: GL09. Microcredencial: Prevención de Riesgos Penales del Compliance</t>
  </si>
  <si>
    <t>Mª del PILAR RAMIREZ CUENCA  -  GL07  PSICOLOGÍA POSITIVA Y DESARROLLO PERSONAL -  número de pedido 0125PGAS-149</t>
  </si>
  <si>
    <t xml:space="preserve">MARÍA TERESA LABRADOR RECIO - GL08 - COMPLIANCE </t>
  </si>
  <si>
    <t xml:space="preserve">PABLO ANDRÉS VILLENA BARRADO - GL08 - COMPLIANCE </t>
  </si>
  <si>
    <t>Mª del PILAR RAMIREZ CUENCA  -  GL06  HABILIDADES DE COMUNICACIÓN EN COACHING - número de pedido 0125PGAS-138</t>
  </si>
  <si>
    <t xml:space="preserve">MARÍA TERESA LABRADOR RECIO - GL09 -  PREVENCIÓN DE RIESGOS PENALES DEL COMPLIANCE  </t>
  </si>
  <si>
    <t>PABLO ANDRÉS VILLENA BARRADO - GL09 -  PREVENCIÓN DE RIESGOS PENALES DEL COMPLIANCE</t>
  </si>
  <si>
    <t>Mª del PILAR RAMIREZ CUENCA - GL05 COACHING COMO HERRAMIENTA DE TRANSFORMACIÓN PERSONAL - número de pedido 0125PGAS-139</t>
  </si>
  <si>
    <t>10.91.2T.00.88</t>
  </si>
  <si>
    <t>CÓD: GL01. Microcredencial: Técnicas para Impulsar la Productividad Empresarial</t>
  </si>
  <si>
    <t>Mª del PILAR RAMIREZ CUENCA - GL01 TÉCNICAS DE COACHING PARA IMPULSAR LA PRODUCTIVIDAD EMPRESARIAL - número de pedido 0125PGAS-140</t>
  </si>
  <si>
    <t xml:space="preserve">CÓD: GL01. Microcredencial. TÉCNICAS DE COACHING PARA IMPULSAR LA PRODUCTIVIDAD EMPRESARIAL _GL01-1 Curso_2024-25 AñoCont_2025 </t>
  </si>
  <si>
    <t>DESIRÉE GIL GRACIA - GL01 TÉCNICAS DE COACHING PARA IMPULSAR LA PRODUCTIVIDAD EMPRESARIAL</t>
  </si>
  <si>
    <t>VICENTE DOMENE MARTINEZ - GL01 - TÉCNICAS DE COACHING PARA IMPULSAR LA PRODUCTIVIDAD EMPRESARIAL</t>
  </si>
  <si>
    <t>10.91.2T.00.90</t>
  </si>
  <si>
    <t>CÓD: GL10. Microcredencial: Desarrollo de Habilidades para la Comunicación Efectiva</t>
  </si>
  <si>
    <t xml:space="preserve">CÓD: GL10. Microcredencial.  DESARROLLO DE HABILIDADES PARA LA COMUNICACIÓN EFECTIVA_GL10-1 Curso_2024-25 AñoCont_2025 </t>
  </si>
  <si>
    <t>DEVOLUCIÓN DE PRECIOS PÚBLICOS INCLUIDOS EN LA REMESA DE DEVOLUCIÓN  Nº 2025DTR080718</t>
  </si>
  <si>
    <t>10.91.2T.00.92</t>
  </si>
  <si>
    <t>CÓD: GL25. Microcredencial: Bienestar y Productividad Personal</t>
  </si>
  <si>
    <t>DEVOLUCIÓN DE PRECIOS PÚBLICOS CORRESPONDIENTES A LA REMESA Nº 2025DTR032549_RDT INVERSA EXP 311</t>
  </si>
  <si>
    <t>10.91.2T.01.00</t>
  </si>
  <si>
    <t xml:space="preserve">CÓD: GK99. Microcredencial: Desarrollo de Competencias Específicas para la Gestión de Equipos de Trabajo. </t>
  </si>
  <si>
    <t>Mª del PILAR RAMIREZ CUENCA -  GK99  DESARROLLO DE COMPETENCIAS ESPECÍFICAS PARA LA GESTIÓN DE EQUIPOS DE TRABAJO - número de pedido 0125PGAS-226</t>
  </si>
  <si>
    <t xml:space="preserve">CÓD: GK99. Microcredencial. DESARROLLO DE COMPETENCIAS ESPECÍFICAS PARA LA GESTIÓN DE EQUIPOS _GK99-1 Curso_2024-25 AñoCont_2025 </t>
  </si>
  <si>
    <t>DESIRÉE GIL GRACIA - GK99 - DESARROLLO DE COMPETENCIAS ESPECÍFICAS PARA LA GESTIÓN DE EQUIPOS DE TRABAJO</t>
  </si>
  <si>
    <t>VICENTE DOMENE MARTINEZ  -  GK99-  DESARROLLO DE COMPETENCIAS ESPECÍFICAS PARA LA GESTIÓN DE EQUIPOS DE TRABAJO</t>
  </si>
  <si>
    <t xml:space="preserve">LIQ-TitProp_GK99-N Curso_2024-25 AñoCont_2025 - DESARROLLO DE COMPETENCIAS ESPECÍFICAS PARA LA GESTIÓN DE EQUIPOS _ (Cierre-25) emitido-25 cobrado-25 </t>
  </si>
  <si>
    <t>10.91.2T.01.02</t>
  </si>
  <si>
    <t xml:space="preserve">CÓD: GL11. Microcredencial: Motivación y Gestión del Rendimiento. </t>
  </si>
  <si>
    <t>CÓD: GL12. Microcredencial.  TÉCNICAS DE MENTORING PARA FOMENTAR EL DESARROLLO PERSONAL Y PROFESIONAL _Plan_GL12-N Curso_2024-25_AñoCont_2024 (JI-24-6895 QUE NO TENIA ORGANICA)</t>
  </si>
  <si>
    <t>10.91.2T.01.04</t>
  </si>
  <si>
    <t xml:space="preserve">CÓD: GL26. Microcredencial: Estrategias Avanzadas de Productividad Ejecutiva. </t>
  </si>
  <si>
    <t>10.91.2T.01.17</t>
  </si>
  <si>
    <t>Mª del PILAR RAMÍREZ CUENCA - GK98 - COMUNICACIÓN EFECTIVA PARA LA GESTIÓN DE EQUIPOS DE TRABAJO. Código pedido: 0125PGAS-225</t>
  </si>
  <si>
    <t>CÓD: GK98. Comunicación Efectiva para la Gestión de Equipos de Trabajo</t>
  </si>
  <si>
    <t>CÓD: GL12. Microcredencial. Téncinas de Mentoring para Fomentar</t>
  </si>
  <si>
    <t>10.91.2T.01.18</t>
  </si>
  <si>
    <t>DESIRÉE GIL GRACIA - GK98 - COMUNICACIÓN EFECTIVA PARA LA GESTIÓN DE EQUIPOS DE TRABAJO</t>
  </si>
  <si>
    <t>VICENTE DOMENE MARTINEZ  -  GK98 -  COMUNICACIÓN EFECTIVA PARA LA GESTIÓN DE EQUIPOS DE TRABAJO</t>
  </si>
  <si>
    <t>10.91.2T.01.21</t>
  </si>
  <si>
    <t>CÓD: GL27. Microcredencial. Liderazgo Transformador y Soporte Organizativa</t>
  </si>
  <si>
    <t>10.91.2T.01.22</t>
  </si>
  <si>
    <t>CÓD: GL27.Microcredencial. LIDERAZGO TRANSFORMADOR Y SOPORTE ORGANIZATIVO_Plan_GL27-1 Curso_2024-25_AñoCont_2024 (Ajustamos en el 2025, porque el ji-24 6903 no indica la orgánica del curso)</t>
  </si>
  <si>
    <t>CÓD: GL27.Microcredencial. LIDERAZGO TRANSFORMADOR Y SOPORTE ORGANIZATIVO_Plan_GL27-1 Curso_2024-25_AñoCont_2024</t>
  </si>
  <si>
    <t>DEVOLUCIÓN DE PRECIOS PÚBLICOS REFERENTE A LA REMESA Nº 2025DTR105115</t>
  </si>
  <si>
    <t>10.91.2T.01.29</t>
  </si>
  <si>
    <t>CÓD: GL04. Microcredencial. LIQ-TitProp_GL04-N Curso_2024-25 AñoCont_2025 - PSICOLOGÍA DEL COMPORTAMIENTO ORGANIZACIONAL [NEXT]</t>
  </si>
  <si>
    <t>10.91.2T.01.30</t>
  </si>
  <si>
    <t>MARIA DEL PILAR RAMIREZ CUENCA - GL04 - PSICOLOGÍA DEL COMPORTAMIENTO ORGANIZACIONAL. Código pedido: 0125PGAS-224</t>
  </si>
  <si>
    <t>VICENTE DOMENE MARTINEZ  - GL04 - PSICOLOGÍA DEL COMPORTAMIENTO ORGANIZACIONAL</t>
  </si>
  <si>
    <t xml:space="preserve">LIQ-TitProp_GL04-N Curso_2024-25 AñoCont_2025 - PSICOLOGÍA DEL COMPORTAMIENTO ORGANIZACIONAL </t>
  </si>
  <si>
    <t>DESIRÉE GIL GRACIA - GL04 - PSICOLOGÍA DEL COMPORTAMIENTO ORGANIZACIONAL.</t>
  </si>
  <si>
    <t>10.91.2T.01.31</t>
  </si>
  <si>
    <t xml:space="preserve">CÓD: GL15. Microcredencial. LIQ-TitProp_GL15-N Curso_2024-25 AñoCont_2025 - HERRAMIENTAS ESENCIALES PARA EL EMPRENDIMIENTO [NEXT]  </t>
  </si>
  <si>
    <t>10.91.2T.01.32</t>
  </si>
  <si>
    <t xml:space="preserve">LIQ-TitProp_GL15-N Curso_2024-25 AñoCont_2025 - HERRAMIENTAS ESENCIALES PARA EL EMPRENDIMIENTO (UNA PARTE ES DE ji-24-6898 que no tenía la orgánica.)  </t>
  </si>
  <si>
    <t>OSCAR PENALVA CISNEROS - GL15 -  HERRAMIENTAS ESENCIALES PARA EL EMPRENDIMIENTO</t>
  </si>
  <si>
    <t>10.91.2T.01.33</t>
  </si>
  <si>
    <t xml:space="preserve">CÓD: GL22. Microcredencial. LIQ-TitProp_GL22-N Curso_2024-25 AñoCont_2025 - MENTORING PARA EL DESARROLLO DE HABILIDADES SOCIOEMOCIONALES [NEXT] </t>
  </si>
  <si>
    <t>10.91.2T.01.34</t>
  </si>
  <si>
    <t xml:space="preserve">LIQ-TitProp_GL22-N Curso_2024-25 AñoCont_2025 - MENTORING PARA EL DESARROLLO DE HABILIDADES SOCIOEMOCIONALES -TIENE UNA PARTE DEL JI-24-6900 QUE NO TENÍA ORGÁNICA </t>
  </si>
  <si>
    <t>10.91.2T.01.38</t>
  </si>
  <si>
    <t>VICENTE DOMENE MARTINEZ - GL03 -  GESTIÓN DEL CAMBIO, ADAPTACIÓN Y RESILIENCIA ORGANIZACIONAL</t>
  </si>
  <si>
    <t>CÓD: GL03. MICROCREDENCIAL. GESTIÓN DEL CAMBIO, ADAPTACIÓN Y RESILIENCIA ORGANIZACIONAL</t>
  </si>
  <si>
    <t>10.91.2T.01.39</t>
  </si>
  <si>
    <t>Mª del PILAR RAMÍREZ CUENCA - GL03 - GESTIÓN DEL CAMBIO, ADAPTACIÓN Y RESILIENCIA ORGANIZACIONAL. Código de pedido: 0125PGAS-223</t>
  </si>
  <si>
    <t>CÓD: GL03. MICROCREDENCIAL. GESTIÓN DEL CAMBIO, ADAPTACIÓN Y RESILIENCIA ORGANIZACIONAL (PARTE DEL 24 JI-24-6890) QUE NO TENÍA ORGÁNICA Y SE UTILIZÓ LA 50.00.0G.00.00</t>
  </si>
  <si>
    <t>CÓD: GL03. MICROCREDENCIAL. GESTIÓN DEL CAMBIO, ADAPTACIÓN Y RESILIENCIA ORGANIZACIONAL  (PARTE 25)</t>
  </si>
  <si>
    <t>DESIRÉE GIL GRACIA - GL03 - GESTIÓN DEL CAMBIO, ADAPTACIÓN Y RESILIENCIA ORGANIZACIONAL.</t>
  </si>
  <si>
    <t xml:space="preserve">LIQ-TitProp_GL03-N Curso_2024-25 AñoCont_2025 - GESTIÓN DEL CAMBIO, ADAPTACIÓN Y RESILIENCIA ORGANIZACIONAL _ (Cierre-25) </t>
  </si>
  <si>
    <t>10.91.2T.01.40</t>
  </si>
  <si>
    <t>CÓD: GL13. MICROCREDENCIAL. DESCUBRIENDO AL EMPRENDEDOR QUE LLEVAMOS DENTRO</t>
  </si>
  <si>
    <t>10.91.2T.01.41</t>
  </si>
  <si>
    <t>CÓD: GL13. MICROCREDENCIAL. DESCUBRIENDO AL EMPRENDEDOR QUE LLEVAMOS DENTRO (PARTE DEL 2024 DEL JI-24 QUE NO TENIA ORGÁNCIA)</t>
  </si>
  <si>
    <t>CÓD: GL13. MICROCREDENCIAL. DESCUBRIENDO AL EMPRENDEDOR QUE LLEVAMOS DENTRO (PARTE DEL 2025)</t>
  </si>
  <si>
    <t xml:space="preserve">OSCAR PENALVA CISNEROS - GL13 - DESCUBRIENDO AL EMPRENDEDOR QUE LLEVAMOS DENTRO </t>
  </si>
  <si>
    <t>10.91.2T.01.42</t>
  </si>
  <si>
    <t>CÓD: GL23. MICROCREDENCIAL. PSICOLOGÍA DEL APRENDIZAJE Y ORIENTACIÓN VOCACIONAL</t>
  </si>
  <si>
    <t>10.91.2T.01.43</t>
  </si>
  <si>
    <t>CÓD: GL23. Microcredencial. PSICOLOGÍA DEL APRENDIZAJE Y ORIENTACIÓN VOCACIONAL (parte del 24 ji-24-6901 que no tenía orgánica)</t>
  </si>
  <si>
    <t>CÓD: GL23. Microcredencial. PSICOLOGÍA DEL APRENDIZAJE Y ORIENTACIÓN VOCACIONAL (parte del 25)</t>
  </si>
  <si>
    <t>10.91.2T.01.49</t>
  </si>
  <si>
    <t>Mª del PILAR RAMÍREZ CUENCA - GL02 - COACHING COMO HERRAMIENTA PARA IMPULSAR EL EMPRENDIMIENTO Y LA MEJORA CONTINUA. Código de pedido: 0125PGAS-222</t>
  </si>
  <si>
    <t>CÓD. GL02. MICROCREDENCIAL. COACHING COMO HERRAMIENTA PARA IMPULSAR EL EMPRENDIMIENTO Y LA MEJORA CONTINUA (NEXT)</t>
  </si>
  <si>
    <t>10.91.2T.01.50</t>
  </si>
  <si>
    <t xml:space="preserve">LIQ-TitProp_GL02-N Curso_2024-25 AñoCont_2025 - COACHING COMO HERRAMIENTA PARA IMPULSAR EL EMPRENDIMIENTO Y LA MEJORA (PARTE DEL JI DEL 24-6889 QUE NO TENIA ORGÁNICA) </t>
  </si>
  <si>
    <t xml:space="preserve">LIQ-TitProp_GL02-N Curso_2024-25 AñoCont_2025 - COACHING COMO HERRAMIENTA PARA IMPULSAR EL EMPRENDIMIENTO Y LA MEJORA (PARTE DEL 25) </t>
  </si>
  <si>
    <t>VICENTE DOMENE MARTINEZ - GL02 - COACHING COMO HERRAMIENTA PARA IMPULSAR EL EMPRENDIMIENTO Y LA MEJORA CONTINUA.</t>
  </si>
  <si>
    <t>DESIRÉE GIL GRACIA - GL02 - COACHING COMO HERRAMIENTA PARA IMPULSAR EL EMPRENDIMIENTO Y LA MEJORA CONTINUA.</t>
  </si>
  <si>
    <t xml:space="preserve">LIQ-TitProp_GL02-N Curso_2024-25 AñoCont_2025 - COACHING COMO HERRAMIENTA PARA IMPULSAR EL EMPRENDIMIENTO Y LA MEJORA _ (Cierre-25) EMITIDO-25 COBRADO-25  </t>
  </si>
  <si>
    <t>10.91.2T.01.51</t>
  </si>
  <si>
    <t>CÓD. GL14. MICROCREDENCIAL. DISEÑO Y LANZAMIENTO DE NEGOCIO</t>
  </si>
  <si>
    <t>10.91.2T.01.52</t>
  </si>
  <si>
    <t xml:space="preserve">LIQ-TitProp_GL14-N Curso_2024-25 AñoCont_2025 - DISEÑO Y LANZAMIENTO DE NEGOCIO (VIENE DEL JI-24-6897 QUE NO TENIA ORGÁNICA DEL 2024) </t>
  </si>
  <si>
    <t>LIQ-TitProp_GL14-N Curso_2024-25 AñoCont_2025 - DISEÑO Y LANZAMIENTO DE NEGOCIO (PARTE DEL 25)</t>
  </si>
  <si>
    <t>OSCAR PENALVA CISNEROS - GL14 - DISEÑO Y LANZAMIENTO DE NEGOCIO</t>
  </si>
  <si>
    <t>10.91.2T.01.53</t>
  </si>
  <si>
    <t>CÓD. GL24. MICROCREDENCIAL. RESOLUCIÓN DE CONFLICTOS, INCLUSIÓN Y DIVERSIDAD (NEXT)</t>
  </si>
  <si>
    <t>10.91.2T.01.54</t>
  </si>
  <si>
    <t xml:space="preserve">CÓD: GL24. MICROCREDENCIAL Curso_2024-25 AñoCont_2025 - RESOLUCIÓN DE CONFLICTOS, INCLUSIÓN Y DIVERSIDAD (parte del ji del 24-6902 que no tenía orgánica) </t>
  </si>
  <si>
    <t>CÓD: GL24. MICROCREDENCIAL Curso_2024-25 AñoCont_2025 - RESOLUCIÓN DE CONFLICTOS, INCLUSIÓN Y DIVERSIDAD (PARTE DEL 25)</t>
  </si>
  <si>
    <t>10.91.2T.01.59</t>
  </si>
  <si>
    <t>LIQ-TitProp_GM90-N Curso_2024-25 AñoCont_2025 - INICIACIÓN AL COMPLIANCE: FUNDAMENTOS Y APLICACIONES EN LA GESTIÓN EMPRES</t>
  </si>
  <si>
    <t xml:space="preserve">LIQ-TitProp_GM90-N Curso_2024-25 AñoCont_2025 - INICIACIÓN AL COMPLIANCE: FUNDAMENTOS Y APLICACIONES EN LA GESTIÓN EMPRES </t>
  </si>
  <si>
    <t>10.91.2T.01.64</t>
  </si>
  <si>
    <t>CÓD: GM32. MICROCREDENCIAL. DIRECCIÓN DE PARQUES EMPRESARIALES</t>
  </si>
  <si>
    <t>10.91.2T.01.65</t>
  </si>
  <si>
    <t>Pago de matrículas de los cursos:  -DIRECCIÓN DE PARQUES EMPRESARIALES (GM32) -APLICACIÓN PRÁCTICA DE DIRECCIÓN DE PARQUES EMPRESARIALES (GM33) de los alumnos:  ANTONIO VALENTIN BRITO CABRERA y ALEXIS BRITO CABRERA</t>
  </si>
  <si>
    <t xml:space="preserve">MARCIAL GUEDES RAMIREZ - MATRÍCULA CURSOS: DIRECCIÓN DE PARQUES EMPRESARIALES (GM32) APLICACIÓN PRÁCTICA DE DIRECCIÓN DE PARQUES EMPRESARIALES (GM33) </t>
  </si>
  <si>
    <t xml:space="preserve">GUIFRÉ DRUDIS VIRGILI- MATRÍCULA CURSOS: DIRECCIÓN DE PARQUES EMPRESARIALES (GM32) APLICACIÓN PRÁCTICA DE DIRECCIÓN DE PARQUES EMPRESARIALES (GM33) </t>
  </si>
  <si>
    <t>ERICO DOMINGO SANTANA BATISTA -  MATRÍCULA CURSOS: DIRECCIÓN DE PARQUES EMPRESARIALES (GM32) APLICACIÓN PRÁCTICA DE DIRECCIÓN DE PARQUES EMPRESARIALES (GM33)</t>
  </si>
  <si>
    <t xml:space="preserve">Mª LUISA ELGUEA FERNÁNDEZ -  MATRÍCULA CURSOS: DIRECCIÓN DE PARQUES EMPRESARIALES (GM32) APLICACIÓN PRÁCTICA DE DIRECCIÓN DE PARQUES EMPRESARIALES (GM33) </t>
  </si>
  <si>
    <t xml:space="preserve">MARTIN PUIG ISERN- MATRÍCULA CURSOS: DIRECCIÓN DE PARQUES EMPRESARIALES (GM32) APLICACIÓN PRÁCTICA DE DIRECCIÓN DE PARQUES EMPRESARIALES (GM33) </t>
  </si>
  <si>
    <t xml:space="preserve">MIGUEL AGUILAR PLATERO- MATRÍCULA CURSOS: DIRECCIÓN DE PARQUES EMPRESARIALES (GM32) APLICACIÓN PRÁCTICA DE DIRECCIÓN DE PARQUES EMPRESARIALES (GM33) </t>
  </si>
  <si>
    <t xml:space="preserve">MODESTO MARTINEZ SABATER - MATRÍCULA CURSOS: DIRECCIÓN DE PARQUES EMPRESARIALES (GM32) APLICACIÓN PRÁCTICA DE DIRECCIÓN DE PARQUES EMPRESARIALES (GM33) </t>
  </si>
  <si>
    <t xml:space="preserve">SERGIO RAFAEL ROBAINA GUTIÉRREZ- MATRÍCULA CURSOS: DIRECCIÓN DE PARQUES EMPRESARIALES (GM32) APLICACIÓN PRÁCTICA DE DIRECCIÓN DE PARQUES EMPRESARIALES (GM33) </t>
  </si>
  <si>
    <t>ARANZAZU HERRERO YUSTE Matrícula curso GM32 -  DIRECCIÓN DE PARQUES EMPRESARIALES Matrícula curso GM33 - APLICACIÓN PRÁCTICA DE DIRECCIÓN DE PARQUES EMPRESARIALES</t>
  </si>
  <si>
    <t xml:space="preserve">CÓD: GM32. MICROCREDENCIAL. LIQ-TitProp_GM32-N Curso_2024-25 AñoCont_2025 - DIRECCIÓN DE PARQUES EMPRESARIALES  </t>
  </si>
  <si>
    <t>MARIA ANGELES MARGAIX LLUCH MATRÍCULA CURSOS: DIRECCIÓN DE PARQUES EMPRESARIALES (GM32) APLICACIÓN PRÁCTICA DE DIRECCIÓN DE PARQUES EMPRESARIALES (GM33)</t>
  </si>
  <si>
    <t>MONTSERRAT CERVERA SORIA  MATRÍCULA CURSOS: DIRECCIÓN DE PARQUES EMPRESARIALES (GM32) APLICACIÓN PRÁCTICA DE DIRECCIÓN DE PARQUES EMPRESARIALES (GM33)</t>
  </si>
  <si>
    <t>ALICIA TRUJILLO SALAS -  MATRÍCULA CURSOS: DIRECCIÓN DE PARQUES EMPRESARIALES (GM32) Y APLICACIÓN PRÁCTICA DE DIRECCIÓN DE PARQUES EMPRESARIALES (GM33)</t>
  </si>
  <si>
    <t>LEIRE BARREIRO MORENO - MATRÍCULA CURSOS: DIRECCIÓN DE PARQUES EMPRESARIALES (GM32) APLICACIÓN PRÁCTICA DE DIRECCIÓN DE PARQUES EMPRESARIALES (GM33)</t>
  </si>
  <si>
    <t>10.91.2T.01.66</t>
  </si>
  <si>
    <t>CÓD: GM33. MICROCREDENCIAL. APLICACIÓN PRÁCTICA DE DIRECCIÓN DE PARQUES EMPRESARIALES</t>
  </si>
  <si>
    <t>10.91.2T.01.67</t>
  </si>
  <si>
    <t xml:space="preserve">CÓD: GM33. MICROCREDENCIAL. LIQ-TitProp_GM33-N Curso_2024-25 AñoCont_2025 - APLICACIÓN PRÁCTICA DE DIRECCIÓN DE PARQUES EMPRESARIALES </t>
  </si>
  <si>
    <t>10.91.2T.01.91</t>
  </si>
  <si>
    <t>IRENE ROMERO FERNÁNDEZ  Plan curso GN76 - FORMACIÓN EN CAPTACIÓN DE PROYECTOS INTERNACIONALES ERASMUS+ K2 CBHE. MÓDULO I: REDACCIÓN DE PROPUESTAS</t>
  </si>
  <si>
    <t>ENCARNACIÓN VALERO IBÁÑEZ Plan curso GN76 - FORMACIÓN EN CAPTACIÓN DE PROYECTOS INTERNACIONALES ERASMUS+ K2 CBHE. MÓDULO I: REDACCIÓN DE PROPUESTAS</t>
  </si>
  <si>
    <t xml:space="preserve">MIREN ARANTZA ZUBIZARRETA MUGICA Plan curso GN76 - FORMACIÓN EN CAPTACIÓN DE PROYECTOS INTERNACIONALES ERASMUS + K2 CBHE. MÓDULO I: REDACCIÓN DE PROPUESTAS </t>
  </si>
  <si>
    <t>ALBA VALLE IZQUIERDO Plan curso GN76 - FORMACIÓN EN CAPTACIÓN DE PROYECTOS INTERNACIONALES ERASMUS+ K2 CBHE. MÓDULO I: REDACCIÓN DE PROPUESTAS</t>
  </si>
  <si>
    <t>FERNANDA MIRANDA OLTRA. Matrícula Plan curso GN76 - FORMACIÓN EN CAPTACIÓN DE PROYECTOS INTERNACIONALES ERASMUS+ K2 CBHE. MÓDULO I: REDACCIÓN DE PROPUESTAS</t>
  </si>
  <si>
    <t>ELENA SAINZ DE LA MAZA QUINTANAL. Matrícula Plan curso GN76 - FORMACIÓN EN CAPTACIÓN DE PROYECTOS INTERNACIONALES ERASMUS+ K2 CBHE. MÓDULO I: REDACCIÓN DE PROPUESTAS</t>
  </si>
  <si>
    <t>MERCEDES DE LA CHICA MORENO Matrícula Plan curso GN76 - FORMACIÓN EN CAPTACIÓN DE PROYECTOS INTERNACIONALES ERASMUS+ K2 CBHE. MÓDULO I: REDACCIÓN DE PROPUESTAS</t>
  </si>
  <si>
    <t>EMILIO AYALA SEGURA Plan curso GN76 - FORMACIÓN EN CAPTACIÓN DE PROYECTOS INTERNACIONALES ERASMUS + K2 CBHE. MÓDULO I: REDACCIÓN DE PROPUESTAS</t>
  </si>
  <si>
    <t>MARTA CERVERA ARTACHO Matrícula Plan curso GN76 - FORMACIÓN EN CAPTACIÓN DE PROYECTOS INTERNACIONALES ERASMUS+ K2 CBHE. MÓDULO I: REDACCIÓN DE PROPUESTAS</t>
  </si>
  <si>
    <t>MERCHE GIMENO RICO Matrícula Plan curso GN76 - FORMACIÓN EN CAPTACIÓN DE PROYECTOS INTERNACIONALES ERASMUS+ K2 CBHE. MÓDULO I: REDACCIÓN DE PROPUESTAS</t>
  </si>
  <si>
    <t>Matrícula alumnas: ADRIANA SEGURA ÁVILA LAURA VALENZUELA DÍAZ MARISELA BONILLA FREER PAULA ULLOA MENESES Plan curso GN76 - FORMACIÓN EN CAPTACIÓN DE PROYECTOS INTERNACIONALES ERASMUS+ K2 CBHE. MÓDULO I: REDACCIÓN DE PROPUESTAS</t>
  </si>
  <si>
    <t>RAÚL SIFUENTES ARROYO Matrícula Plan curso - GN76- FORMACIÓN EN CAPTACIÓN DE PROYECTOS INTERNACIONALES ERASMUS+ K2 CBHE MÓDULO I: REDACCIÓN DE PROPUESTAS</t>
  </si>
  <si>
    <t>MARTA BASCO MASCARÓ. Matrícula Plan curso - GN76 - FORMACIÓN EN CAPTACIÓN DE PROYECTOS INTERNACIONALES ERASMUS+ K2 CBHE MÓDULO I: REDACCIÓN DE PROPUESTAS</t>
  </si>
  <si>
    <t>SAILY GONZÁLEZ PERDIGON Matrícula Plan curso - GN76 - FORMACIÓN EN CAPTACIÓN DE PROYECTOS INTERNACIONALES ERASMUS+ K2 CBHE MÓDULO I: REDACCIÓN DE PROPUESTAS</t>
  </si>
  <si>
    <t xml:space="preserve">LIQ-TitProp_GN76-1 Curso_2025-26 AñoCont_2025 - FORMACIÓN EN CAPTACIÓN DE PROYECTOS INTERNACIONALES ERASMUS+ K2 CBHE. MÓD I </t>
  </si>
  <si>
    <t>JOSÉ MANUEL GONZÁLEZ-CASANOVA CAMACHO Matrícula Plan GN76 - FORMACIÓN EN CAPTACIÓN DE PROYECTOS INTERNACIONALES ERASMUS+ K2 CBHE MÓDULO I: REDACCIÓN DE PROPUESTAS</t>
  </si>
  <si>
    <t xml:space="preserve">LIQ-TitProp_GN76-2 Curso_2025-26 AñoCont_2025 - FORMACIÓN EN CAPTACIÓN DE PROYECTOS INTERNACIONALES ERASMUS+ K2 CBHE. MÓD I </t>
  </si>
  <si>
    <t>10.91.2T.02.01</t>
  </si>
  <si>
    <t>DESIRÉE GIL GRACIA, MÁSTER DE FORMACIÓN PERMANENTE EN COACHING PROFESIONAL  Nº RECIBO 2025852394284.</t>
  </si>
  <si>
    <t xml:space="preserve">LIQ-TitProp_9444-N Curso_2025-26 AñoCont_2025 - MÁSTER DE FORMACIÓN PERMANENTE EN COACHING PROFESIONAL, EJECUTIVO Y ORGANIZ </t>
  </si>
  <si>
    <t xml:space="preserve">LIQ-TitProp_9448-N Curso_2025-26 AñoCont_2025 - MÁSTER DE FORMACIÓN PERMANENTE EN GESTIÓN DEL DESARROLLO HUMANO, INCLUSIÓN </t>
  </si>
  <si>
    <t xml:space="preserve">LIQ-TitProp_9452-N Curso_2025-26 AñoCont_2025 - MÁSTER DE FORMACIÓN PERMANENTE EN LIDERAZGO, PRODUCTIVIDAD Y EMPRENDIMIENTO  </t>
  </si>
  <si>
    <t xml:space="preserve">LIQ-TitProp_9452-N Curso_2025-26 AñoCont_2025 - MÁSTER DE FORMACIÓN PERMANENTE EN LIDERAZGO, PRODUCTIVIDAD Y EMPRENDIMIENTO (CIERRE 25 APLAZADO) </t>
  </si>
  <si>
    <t xml:space="preserve">LIQ-TitProp_9452-N Curso_2025-26 AñoCont_2025 - MÁSTER DE FORMACIÓN PERMANENTE EN LIDERAZGO, PRODUCTIVIDAD Y EMPRENDIMIENTO (CIERRE 25 EMITIDO-25 COBRADO-25 MATRICULA ANULADA) </t>
  </si>
  <si>
    <t>Matrícula de Eduardo Andarias Ivorra al curso "Inteligencia estratégica para organizaciones innovadoras".</t>
  </si>
  <si>
    <t>Matrícula de Ana Isabel Gracia Miana al curso "Inteligencia estratégica para organizaciones innovadoras".</t>
  </si>
  <si>
    <t>Matrícula de Carmen Gonzalo Gadea al curso "Inteligencia estratégica para organizaciones innovadoras".</t>
  </si>
  <si>
    <t xml:space="preserve">LIQ-TitProp_GI44-N Curso_2025-26 AñoCont_2025 - INTELIGENCIA ESTRATÉGICA PARA ORGANIZACIONES INNOVADORAS </t>
  </si>
  <si>
    <t>Total ingresos formación 2023-25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</si>
</sst>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 _€_-;\-* #,##0.00\ _€_-;_-* &quot;-&quot;??\ _€_-;_-@_-"/>
    <numFmt numFmtId="165" formatCode="0.0"/>
    <numFmt numFmtId="166" formatCode="#,##0.0"/>
  </numFmts>
  <fonts count="18" x14ac:knownFonts="1">
    <font>
      <sz val="11"/>
      <color theme="1"/>
      <name val="Calibri"/>
      <family val="2"/>
      <scheme val="minor"/>
    </font>
    <font>
      <sz val="8"/>
      <color theme="1"/>
      <name val="Arial"/>
      <family val="2"/>
    </font>
    <font>
      <sz val="8"/>
      <name val="Arial"/>
      <family val="2"/>
    </font>
    <font>
      <b/>
      <sz val="8"/>
      <name val="Arial"/>
      <family val="2"/>
    </font>
    <font>
      <b/>
      <sz val="8"/>
      <color indexed="8"/>
      <name val="Arial"/>
      <family val="2"/>
    </font>
    <font>
      <sz val="10"/>
      <color indexed="8"/>
      <name val="Arial"/>
      <family val="2"/>
    </font>
    <font>
      <sz val="10"/>
      <name val="Arial"/>
      <family val="2"/>
    </font>
    <font>
      <b/>
      <sz val="10"/>
      <color indexed="8"/>
      <name val="Arial"/>
      <family val="2"/>
    </font>
    <font>
      <b/>
      <sz val="10"/>
      <name val="Arial"/>
      <family val="2"/>
    </font>
    <font>
      <sz val="10"/>
      <color theme="1"/>
      <name val="Arial"/>
      <family val="2"/>
    </font>
    <font>
      <sz val="8"/>
      <color rgb="FF000000"/>
      <name val="Arial"/>
      <family val="2"/>
    </font>
    <font>
      <b/>
      <sz val="11"/>
      <color theme="0"/>
      <name val="Calibri"/>
      <family val="2"/>
      <scheme val="minor"/>
    </font>
    <font>
      <b/>
      <sz val="11"/>
      <color theme="1"/>
      <name val="Calibri"/>
      <family val="2"/>
      <scheme val="minor"/>
    </font>
    <font>
      <sz val="11"/>
      <color theme="1"/>
      <name val="Calibri"/>
      <family val="2"/>
      <scheme val="minor"/>
    </font>
    <font>
      <b/>
      <sz val="10"/>
      <color theme="0"/>
      <name val="Arial"/>
      <family val="2"/>
    </font>
    <font>
      <b/>
      <sz val="10"/>
      <color theme="0"/>
      <name val="Arial"/>
    </font>
    <font>
      <sz val="10"/>
      <color theme="1"/>
      <name val="Arial"/>
    </font>
    <font>
      <b/>
      <sz val="10"/>
      <color theme="1"/>
      <name val="Arial"/>
    </font>
  </fonts>
  <fills count="14">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
      <patternFill patternType="solid">
        <fgColor rgb="FFFFFFFF"/>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0" tint="-0.34998626667073579"/>
        <bgColor indexed="64"/>
      </patternFill>
    </fill>
    <fill>
      <patternFill patternType="solid">
        <fgColor theme="0"/>
        <bgColor theme="9" tint="0.79998168889431442"/>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
      <left/>
      <right/>
      <top style="thin">
        <color theme="9" tint="0.39997558519241921"/>
      </top>
      <bottom style="thin">
        <color theme="9" tint="0.39997558519241921"/>
      </bottom>
      <diagonal/>
    </border>
    <border>
      <left/>
      <right/>
      <top/>
      <bottom style="thin">
        <color theme="9" tint="0.39997558519241921"/>
      </bottom>
      <diagonal/>
    </border>
    <border>
      <left/>
      <right/>
      <top style="thin">
        <color theme="9"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double">
        <color theme="4"/>
      </top>
      <bottom style="thin">
        <color theme="4" tint="0.39997558519241921"/>
      </bottom>
      <diagonal/>
    </border>
    <border>
      <left/>
      <right/>
      <top style="double">
        <color theme="4"/>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s>
  <cellStyleXfs count="7">
    <xf numFmtId="0" fontId="0" fillId="0" borderId="0"/>
    <xf numFmtId="0" fontId="2" fillId="0" borderId="0"/>
    <xf numFmtId="0" fontId="5" fillId="0" borderId="0"/>
    <xf numFmtId="0" fontId="5" fillId="0" borderId="0"/>
    <xf numFmtId="0" fontId="6" fillId="0" borderId="0"/>
    <xf numFmtId="0" fontId="1" fillId="0" borderId="0"/>
    <xf numFmtId="164" fontId="13" fillId="0" borderId="0" applyFont="0" applyFill="0" applyBorder="0" applyAlignment="0" applyProtection="0"/>
  </cellStyleXfs>
  <cellXfs count="84">
    <xf numFmtId="0" fontId="0" fillId="0" borderId="0" xfId="0"/>
    <xf numFmtId="0" fontId="3" fillId="3" borderId="1" xfId="1" applyFont="1" applyFill="1" applyBorder="1" applyAlignment="1">
      <alignment horizontal="center"/>
    </xf>
    <xf numFmtId="0" fontId="4" fillId="3" borderId="1" xfId="1" applyFont="1" applyFill="1" applyBorder="1" applyAlignment="1">
      <alignment horizontal="center"/>
    </xf>
    <xf numFmtId="0" fontId="4" fillId="3" borderId="1" xfId="2" applyFont="1" applyFill="1" applyBorder="1" applyAlignment="1">
      <alignment horizontal="center"/>
    </xf>
    <xf numFmtId="0" fontId="4" fillId="3" borderId="1" xfId="3" applyFont="1" applyFill="1" applyBorder="1" applyAlignment="1">
      <alignment horizontal="center" wrapText="1"/>
    </xf>
    <xf numFmtId="0" fontId="4" fillId="3" borderId="1" xfId="3" applyFont="1" applyFill="1" applyBorder="1" applyAlignment="1">
      <alignment horizontal="right" wrapText="1"/>
    </xf>
    <xf numFmtId="0" fontId="2" fillId="4" borderId="0" xfId="1" applyFill="1"/>
    <xf numFmtId="0" fontId="2" fillId="4" borderId="0" xfId="1" applyFill="1" applyAlignment="1">
      <alignment horizontal="right"/>
    </xf>
    <xf numFmtId="0" fontId="8" fillId="5" borderId="1" xfId="3" applyFont="1" applyFill="1" applyBorder="1" applyAlignment="1">
      <alignment horizontal="center" textRotation="90" wrapText="1"/>
    </xf>
    <xf numFmtId="0" fontId="8" fillId="3" borderId="1" xfId="3" applyFont="1" applyFill="1" applyBorder="1" applyAlignment="1">
      <alignment horizontal="center" textRotation="90" wrapText="1"/>
    </xf>
    <xf numFmtId="0" fontId="5" fillId="0" borderId="0" xfId="5" applyFont="1"/>
    <xf numFmtId="0" fontId="9" fillId="0" borderId="0" xfId="5" applyFont="1"/>
    <xf numFmtId="0" fontId="9" fillId="0" borderId="0" xfId="5" applyFont="1" applyAlignment="1">
      <alignment horizontal="right"/>
    </xf>
    <xf numFmtId="0" fontId="6" fillId="0" borderId="1" xfId="0" applyFont="1" applyBorder="1"/>
    <xf numFmtId="0" fontId="6" fillId="0" borderId="1" xfId="0" applyFont="1" applyBorder="1" applyAlignment="1">
      <alignment horizontal="left"/>
    </xf>
    <xf numFmtId="0" fontId="2" fillId="4" borderId="1" xfId="1" applyFill="1" applyBorder="1"/>
    <xf numFmtId="0" fontId="2" fillId="4" borderId="1" xfId="1" applyFill="1" applyBorder="1" applyAlignment="1">
      <alignment horizontal="right"/>
    </xf>
    <xf numFmtId="0" fontId="2" fillId="4" borderId="2" xfId="1" applyFill="1" applyBorder="1"/>
    <xf numFmtId="0" fontId="2" fillId="4" borderId="2" xfId="1" applyFill="1" applyBorder="1" applyAlignment="1">
      <alignment horizontal="right"/>
    </xf>
    <xf numFmtId="1" fontId="2" fillId="4" borderId="2" xfId="1" applyNumberFormat="1" applyFill="1" applyBorder="1"/>
    <xf numFmtId="165" fontId="2" fillId="4" borderId="2" xfId="1" applyNumberFormat="1" applyFill="1" applyBorder="1"/>
    <xf numFmtId="0" fontId="2" fillId="0" borderId="1" xfId="1" applyBorder="1"/>
    <xf numFmtId="0" fontId="2" fillId="4" borderId="3" xfId="1" applyFill="1" applyBorder="1"/>
    <xf numFmtId="0" fontId="10" fillId="6" borderId="1" xfId="0" applyFont="1" applyFill="1" applyBorder="1" applyAlignment="1">
      <alignment horizontal="left" vertical="center"/>
    </xf>
    <xf numFmtId="0" fontId="10" fillId="6" borderId="4" xfId="0" applyFont="1" applyFill="1" applyBorder="1" applyAlignment="1">
      <alignment horizontal="left" vertical="center"/>
    </xf>
    <xf numFmtId="0" fontId="10" fillId="6" borderId="5" xfId="0" applyFont="1" applyFill="1" applyBorder="1" applyAlignment="1">
      <alignment horizontal="left" vertical="center"/>
    </xf>
    <xf numFmtId="0" fontId="10" fillId="6" borderId="6" xfId="0" applyFont="1" applyFill="1" applyBorder="1" applyAlignment="1">
      <alignment horizontal="left" vertical="center"/>
    </xf>
    <xf numFmtId="166" fontId="2" fillId="4" borderId="2" xfId="1" applyNumberFormat="1" applyFill="1" applyBorder="1"/>
    <xf numFmtId="0" fontId="7" fillId="2" borderId="1" xfId="0" applyFont="1" applyFill="1" applyBorder="1"/>
    <xf numFmtId="0" fontId="7" fillId="2" borderId="1" xfId="0" applyFont="1" applyFill="1" applyBorder="1" applyAlignment="1">
      <alignment textRotation="90"/>
    </xf>
    <xf numFmtId="0" fontId="8" fillId="3" borderId="1" xfId="3" applyFont="1" applyFill="1" applyBorder="1" applyAlignment="1">
      <alignment horizontal="center" wrapText="1"/>
    </xf>
    <xf numFmtId="0" fontId="0" fillId="0" borderId="1" xfId="0" applyBorder="1"/>
    <xf numFmtId="0" fontId="0" fillId="0" borderId="1" xfId="0" applyBorder="1" applyAlignment="1">
      <alignment horizontal="center"/>
    </xf>
    <xf numFmtId="0" fontId="2" fillId="0" borderId="1" xfId="0" applyFont="1" applyBorder="1"/>
    <xf numFmtId="43" fontId="6" fillId="8" borderId="7" xfId="6" applyNumberFormat="1" applyFont="1" applyFill="1" applyBorder="1"/>
    <xf numFmtId="43" fontId="6" fillId="0" borderId="7" xfId="6" applyNumberFormat="1" applyFont="1" applyBorder="1"/>
    <xf numFmtId="0" fontId="9" fillId="8" borderId="7" xfId="0" applyFont="1" applyFill="1" applyBorder="1"/>
    <xf numFmtId="0" fontId="9" fillId="0" borderId="7" xfId="0" applyFont="1" applyBorder="1"/>
    <xf numFmtId="43" fontId="0" fillId="0" borderId="0" xfId="0" applyNumberFormat="1"/>
    <xf numFmtId="0" fontId="0" fillId="0" borderId="1" xfId="0" applyBorder="1" applyAlignment="1">
      <alignment horizontal="left"/>
    </xf>
    <xf numFmtId="0" fontId="6" fillId="0" borderId="1" xfId="0" applyFont="1" applyBorder="1" applyAlignment="1">
      <alignment horizontal="center"/>
    </xf>
    <xf numFmtId="0" fontId="0" fillId="9" borderId="0" xfId="0" applyFill="1"/>
    <xf numFmtId="0" fontId="0" fillId="9" borderId="0" xfId="0" applyFill="1" applyAlignment="1">
      <alignment horizontal="left"/>
    </xf>
    <xf numFmtId="0" fontId="12" fillId="9" borderId="0" xfId="0" applyFont="1" applyFill="1"/>
    <xf numFmtId="0" fontId="3" fillId="2" borderId="0" xfId="1" applyFont="1" applyFill="1"/>
    <xf numFmtId="0" fontId="3" fillId="2" borderId="0" xfId="1" applyFont="1" applyFill="1" applyAlignment="1">
      <alignment horizontal="right"/>
    </xf>
    <xf numFmtId="165" fontId="3" fillId="2" borderId="0" xfId="1" applyNumberFormat="1" applyFont="1" applyFill="1"/>
    <xf numFmtId="0" fontId="0" fillId="0" borderId="9" xfId="0" applyBorder="1"/>
    <xf numFmtId="0" fontId="9" fillId="0" borderId="9" xfId="0" applyFont="1" applyBorder="1"/>
    <xf numFmtId="43" fontId="6" fillId="0" borderId="9" xfId="0" applyNumberFormat="1" applyFont="1" applyBorder="1"/>
    <xf numFmtId="0" fontId="14" fillId="7" borderId="8" xfId="0" applyFont="1" applyFill="1" applyBorder="1"/>
    <xf numFmtId="0" fontId="0" fillId="8" borderId="7" xfId="0" applyFill="1" applyBorder="1"/>
    <xf numFmtId="43" fontId="0" fillId="8" borderId="7" xfId="6" applyNumberFormat="1" applyFont="1" applyFill="1" applyBorder="1"/>
    <xf numFmtId="0" fontId="0" fillId="0" borderId="7" xfId="0" applyBorder="1"/>
    <xf numFmtId="43" fontId="0" fillId="0" borderId="7" xfId="6" applyNumberFormat="1" applyFont="1" applyBorder="1"/>
    <xf numFmtId="0" fontId="11" fillId="7" borderId="8" xfId="0" applyFont="1" applyFill="1" applyBorder="1"/>
    <xf numFmtId="0" fontId="0" fillId="10" borderId="9" xfId="0" applyFill="1" applyBorder="1"/>
    <xf numFmtId="0" fontId="0" fillId="11" borderId="0" xfId="0" applyFill="1"/>
    <xf numFmtId="0" fontId="9" fillId="8" borderId="9" xfId="0" applyFont="1" applyFill="1" applyBorder="1"/>
    <xf numFmtId="0" fontId="9" fillId="10" borderId="9" xfId="0" applyFont="1" applyFill="1" applyBorder="1"/>
    <xf numFmtId="43" fontId="6" fillId="8" borderId="9" xfId="6" applyNumberFormat="1" applyFont="1" applyFill="1" applyBorder="1"/>
    <xf numFmtId="43" fontId="6" fillId="10" borderId="9" xfId="0" applyNumberFormat="1" applyFont="1" applyFill="1" applyBorder="1"/>
    <xf numFmtId="43" fontId="11" fillId="7" borderId="8" xfId="6" applyNumberFormat="1" applyFont="1" applyFill="1" applyBorder="1"/>
    <xf numFmtId="43" fontId="0" fillId="0" borderId="9" xfId="6" applyNumberFormat="1" applyFont="1" applyBorder="1"/>
    <xf numFmtId="43" fontId="13" fillId="0" borderId="9" xfId="0" applyNumberFormat="1" applyFont="1" applyBorder="1"/>
    <xf numFmtId="43" fontId="0" fillId="10" borderId="9" xfId="0" applyNumberFormat="1" applyFont="1" applyFill="1" applyBorder="1"/>
    <xf numFmtId="0" fontId="12" fillId="0" borderId="1" xfId="0" applyFont="1" applyBorder="1"/>
    <xf numFmtId="43" fontId="12" fillId="0" borderId="1" xfId="0" applyNumberFormat="1" applyFont="1" applyBorder="1"/>
    <xf numFmtId="0" fontId="15" fillId="12" borderId="10" xfId="0" applyFont="1" applyFill="1" applyBorder="1"/>
    <xf numFmtId="0" fontId="15" fillId="12" borderId="11" xfId="0" applyFont="1" applyFill="1" applyBorder="1"/>
    <xf numFmtId="0" fontId="16" fillId="13" borderId="10" xfId="0" applyFont="1" applyFill="1" applyBorder="1"/>
    <xf numFmtId="0" fontId="16" fillId="13" borderId="11" xfId="0" applyFont="1" applyFill="1" applyBorder="1"/>
    <xf numFmtId="164" fontId="16" fillId="13" borderId="11" xfId="6" applyFont="1" applyFill="1" applyBorder="1"/>
    <xf numFmtId="0" fontId="16" fillId="0" borderId="10" xfId="0" applyFont="1" applyBorder="1"/>
    <xf numFmtId="0" fontId="16" fillId="0" borderId="11" xfId="0" applyFont="1" applyBorder="1"/>
    <xf numFmtId="164" fontId="16" fillId="0" borderId="11" xfId="6" applyFont="1" applyBorder="1"/>
    <xf numFmtId="0" fontId="17" fillId="0" borderId="12" xfId="0" applyFont="1" applyBorder="1"/>
    <xf numFmtId="0" fontId="17" fillId="0" borderId="13" xfId="0" applyFont="1" applyBorder="1"/>
    <xf numFmtId="164" fontId="17" fillId="0" borderId="13" xfId="6" applyFont="1" applyBorder="1"/>
    <xf numFmtId="0" fontId="15" fillId="12" borderId="14" xfId="0" applyFont="1" applyFill="1" applyBorder="1"/>
    <xf numFmtId="164" fontId="15" fillId="12" borderId="14" xfId="6" applyFont="1" applyFill="1" applyBorder="1"/>
    <xf numFmtId="0" fontId="16" fillId="0" borderId="15" xfId="0" applyFont="1" applyBorder="1"/>
    <xf numFmtId="164" fontId="16" fillId="0" borderId="15" xfId="6" applyFont="1" applyBorder="1"/>
    <xf numFmtId="164" fontId="16" fillId="0" borderId="15" xfId="0" applyNumberFormat="1" applyFont="1" applyBorder="1"/>
  </cellXfs>
  <cellStyles count="7">
    <cellStyle name="Millares" xfId="6" builtinId="3"/>
    <cellStyle name="Normal" xfId="0" builtinId="0"/>
    <cellStyle name="Normal 2" xfId="4" xr:uid="{00000000-0005-0000-0000-000001000000}"/>
    <cellStyle name="Normal 3" xfId="5" xr:uid="{00000000-0005-0000-0000-000002000000}"/>
    <cellStyle name="Normal_Becas 14_9_2005" xfId="2" xr:uid="{00000000-0005-0000-0000-000003000000}"/>
    <cellStyle name="Normal_Ind.2010" xfId="1" xr:uid="{00000000-0005-0000-0000-000004000000}"/>
    <cellStyle name="Normal_PDI por Centro" xfId="3" xr:uid="{00000000-0005-0000-0000-000007000000}"/>
  </cellStyles>
  <dxfs count="51">
    <dxf>
      <font>
        <b val="0"/>
        <i val="0"/>
        <strike val="0"/>
        <condense val="0"/>
        <extend val="0"/>
        <outline val="0"/>
        <shadow val="0"/>
        <u val="none"/>
        <vertAlign val="baseline"/>
        <sz val="10"/>
        <color theme="1"/>
        <name val="Arial"/>
        <scheme val="none"/>
      </font>
      <border diagonalUp="0" diagonalDown="0" outline="0">
        <left/>
        <right/>
        <top/>
        <bottom/>
      </border>
    </dxf>
    <dxf>
      <font>
        <b val="0"/>
        <i val="0"/>
        <strike val="0"/>
        <condense val="0"/>
        <extend val="0"/>
        <outline val="0"/>
        <shadow val="0"/>
        <u val="none"/>
        <vertAlign val="baseline"/>
        <sz val="10"/>
        <color theme="1"/>
        <name val="Arial"/>
        <scheme val="none"/>
      </font>
      <border diagonalUp="0" diagonalDown="0" outline="0">
        <left/>
        <right/>
        <top/>
        <bottom/>
      </border>
    </dxf>
    <dxf>
      <font>
        <b val="0"/>
        <i val="0"/>
        <strike val="0"/>
        <condense val="0"/>
        <extend val="0"/>
        <outline val="0"/>
        <shadow val="0"/>
        <u val="none"/>
        <vertAlign val="baseline"/>
        <sz val="10"/>
        <color theme="1"/>
        <name val="Arial"/>
        <scheme val="none"/>
      </font>
      <border diagonalUp="0" diagonalDown="0" outline="0">
        <left/>
        <right/>
        <top/>
        <bottom/>
      </border>
    </dxf>
    <dxf>
      <font>
        <b/>
        <i val="0"/>
        <strike val="0"/>
        <condense val="0"/>
        <extend val="0"/>
        <outline val="0"/>
        <shadow val="0"/>
        <u val="none"/>
        <vertAlign val="baseline"/>
        <sz val="10"/>
        <color theme="0"/>
        <name val="Arial"/>
        <scheme val="none"/>
      </font>
      <fill>
        <patternFill patternType="solid">
          <fgColor theme="4"/>
          <bgColor theme="4"/>
        </patternFill>
      </fill>
    </dxf>
    <dxf>
      <font>
        <b val="0"/>
        <i val="0"/>
        <strike val="0"/>
        <condense val="0"/>
        <extend val="0"/>
        <outline val="0"/>
        <shadow val="0"/>
        <u val="none"/>
        <vertAlign val="baseline"/>
        <sz val="10"/>
        <color theme="1"/>
        <name val="Arial"/>
        <scheme val="none"/>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scheme val="none"/>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scheme val="none"/>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numFmt numFmtId="35" formatCode="_-* #,##0.00_-;\-* #,##0.00_-;_-* &quot;-&quot;??_-;_-@_-"/>
      <fill>
        <patternFill patternType="solid">
          <fgColor theme="9" tint="0.79998168889431442"/>
          <bgColor theme="0"/>
        </patternFill>
      </fil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35" formatCode="_-* #,##0.00_-;\-* #,##0.00_-;_-* &quot;-&quot;??_-;_-@_-"/>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0"/>
        </patternFill>
      </fill>
      <border diagonalUp="0" diagonalDown="0" outline="0">
        <left/>
        <right/>
        <top style="thin">
          <color theme="9" tint="0.39997558519241921"/>
        </top>
        <bottom/>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0"/>
        </patternFill>
      </fill>
      <border diagonalUp="0" diagonalDown="0" outline="0">
        <left/>
        <right/>
        <top style="thin">
          <color theme="9" tint="0.39997558519241921"/>
        </top>
        <bottom/>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fill>
        <patternFill>
          <bgColor theme="0"/>
        </patternFill>
      </fill>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0"/>
        <color auto="1"/>
        <name val="Arial"/>
        <family val="2"/>
        <scheme val="none"/>
      </font>
      <fill>
        <patternFill patternType="solid">
          <fgColor theme="9" tint="0.79998168889431442"/>
          <bgColor theme="0"/>
        </patternFill>
      </fill>
    </dxf>
    <dxf>
      <font>
        <b val="0"/>
        <i val="0"/>
        <strike val="0"/>
        <condense val="0"/>
        <extend val="0"/>
        <outline val="0"/>
        <shadow val="0"/>
        <u val="none"/>
        <vertAlign val="baseline"/>
        <sz val="10"/>
        <color auto="1"/>
        <name val="Arial"/>
        <family val="2"/>
        <scheme val="none"/>
      </font>
      <numFmt numFmtId="35" formatCode="_-* #,##0.00_-;\-* #,##0.00_-;_-* &quot;-&quot;??_-;_-@_-"/>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0"/>
        </patternFill>
      </fill>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0"/>
        </patternFill>
      </fill>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fill>
        <patternFill>
          <bgColor theme="0"/>
        </patternFill>
      </fill>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i val="0"/>
        <strike val="0"/>
        <condense val="0"/>
        <extend val="0"/>
        <outline val="0"/>
        <shadow val="0"/>
        <u val="none"/>
        <vertAlign val="baseline"/>
        <sz val="10"/>
        <color theme="0"/>
        <name val="Arial"/>
        <family val="2"/>
        <scheme val="none"/>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35" formatCode="_-* #,##0.00_-;\-* #,##0.00_-;_-* &quot;-&quot;??_-;_-@_-"/>
      <border diagonalUp="0" diagonalDown="0">
        <left/>
        <right/>
        <top style="thin">
          <color theme="9" tint="0.39997558519241921"/>
        </top>
        <bottom style="thin">
          <color theme="9" tint="0.39997558519241921"/>
        </bottom>
        <vertical/>
        <horizontal/>
      </border>
    </dxf>
    <dxf>
      <border diagonalUp="0" diagonalDown="0" outline="0">
        <left/>
        <right/>
        <top/>
        <bottom/>
      </border>
    </dxf>
    <dxf>
      <border diagonalUp="0" diagonalDown="0">
        <left/>
        <right/>
        <top style="thin">
          <color theme="9" tint="0.39997558519241921"/>
        </top>
        <bottom style="thin">
          <color theme="9" tint="0.39997558519241921"/>
        </bottom>
        <vertical/>
        <horizontal/>
      </border>
    </dxf>
    <dxf>
      <border diagonalUp="0" diagonalDown="0" outline="0">
        <left/>
        <right/>
        <top/>
        <bottom/>
      </border>
    </dxf>
    <dxf>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val="0"/>
        <i val="0"/>
        <strike val="0"/>
        <condense val="0"/>
        <extend val="0"/>
        <outline val="0"/>
        <shadow val="0"/>
        <u val="none"/>
        <vertAlign val="baseline"/>
        <sz val="10"/>
        <color auto="1"/>
        <name val="Arial"/>
        <family val="2"/>
        <scheme val="none"/>
      </font>
      <border diagonalUp="0" diagonalDown="0" outline="0">
        <left/>
        <right/>
        <top/>
        <bottom/>
      </border>
    </dxf>
    <dxf>
      <font>
        <b val="0"/>
        <i val="0"/>
        <strike val="0"/>
        <condense val="0"/>
        <extend val="0"/>
        <outline val="0"/>
        <shadow val="0"/>
        <u val="none"/>
        <vertAlign val="baseline"/>
        <sz val="10"/>
        <color auto="1"/>
        <name val="Arial"/>
        <family val="2"/>
        <scheme val="none"/>
      </font>
      <numFmt numFmtId="35" formatCode="_-* #,##0.00_-;\-* #,##0.00_-;_-* &quot;-&quot;??_-;_-@_-"/>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border diagonalUp="0" diagonalDown="0" outline="0">
        <left/>
        <right/>
        <top/>
        <bottom/>
      </border>
    </dxf>
    <dxf>
      <font>
        <b val="0"/>
        <i val="0"/>
        <strike val="0"/>
        <condense val="0"/>
        <extend val="0"/>
        <outline val="0"/>
        <shadow val="0"/>
        <u val="none"/>
        <vertAlign val="baseline"/>
        <sz val="10"/>
        <color theme="1"/>
        <name val="Arial"/>
        <family val="2"/>
        <scheme val="none"/>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border diagonalUp="0" diagonalDown="0" outline="0">
        <left/>
        <right/>
        <top/>
        <bottom/>
      </border>
    </dxf>
    <dxf>
      <font>
        <b val="0"/>
        <i val="0"/>
        <strike val="0"/>
        <condense val="0"/>
        <extend val="0"/>
        <outline val="0"/>
        <shadow val="0"/>
        <u val="none"/>
        <vertAlign val="baseline"/>
        <sz val="10"/>
        <color theme="1"/>
        <name val="Arial"/>
        <family val="2"/>
        <scheme val="none"/>
      </font>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i val="0"/>
        <strike val="0"/>
        <condense val="0"/>
        <extend val="0"/>
        <outline val="0"/>
        <shadow val="0"/>
        <u val="none"/>
        <vertAlign val="baseline"/>
        <sz val="10"/>
        <color theme="0"/>
        <name val="Arial"/>
        <family val="2"/>
        <scheme val="none"/>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348BD04-AEAA-4EC8-98D0-127F6246095B}" name="Tabla2" displayName="Tabla2" ref="A1:C18" totalsRowCount="1" headerRowDxfId="50" headerRowBorderDxfId="49" tableBorderDxfId="48" totalsRowBorderDxfId="47">
  <autoFilter ref="A1:C17" xr:uid="{A348BD04-AEAA-4EC8-98D0-127F6246095B}"/>
  <tableColumns count="3">
    <tableColumn id="1" xr3:uid="{6241C1C8-C8FC-46E1-819B-7C0970B220C1}" name="Cód. org. aplic." totalsRowLabel="Total" dataDxfId="46" totalsRowDxfId="45"/>
    <tableColumn id="2" xr3:uid="{29583FE3-EE03-4B11-B99D-B9F16D796D79}" name="Descripción justificante" dataDxfId="44" totalsRowDxfId="43"/>
    <tableColumn id="3" xr3:uid="{ABC453D2-6981-41F9-A235-7659B0A44440}" name="Imp.cob.aplic." totalsRowFunction="sum" dataDxfId="42" totalsRowDxfId="41" dataCellStyle="Millares" totalsRowCellStyle="Millares"/>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5F8CF14-88AA-47C2-94B2-F606537F1E0A}" name="Tabla6" displayName="Tabla6" ref="A1:C32" totalsRowCount="1" headerRowBorderDxfId="40" tableBorderDxfId="39" totalsRowBorderDxfId="38">
  <autoFilter ref="A1:C31" xr:uid="{E5F8CF14-88AA-47C2-94B2-F606537F1E0A}"/>
  <tableColumns count="3">
    <tableColumn id="1" xr3:uid="{AB41A4FF-1238-4915-A907-66EBBF5FA26E}" name="Org. aplic." totalsRowLabel="Total" dataDxfId="37" totalsRowDxfId="36"/>
    <tableColumn id="2" xr3:uid="{73936C37-22D3-4909-B758-0BCB65C5DD4C}" name="Descripción justificante" dataDxfId="35" totalsRowDxfId="34"/>
    <tableColumn id="3" xr3:uid="{65F658EB-7C58-465A-812C-607ED84F176D}" name="Imp. aplic." totalsRowFunction="sum" dataDxfId="33" totalsRowDxfId="32" dataCellStyle="Millares" totalsRowCellStyle="Millar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46E06AF-A69D-44D9-B430-A5C57F6D16F1}" name="Tabla5" displayName="Tabla5" ref="A1:C13" totalsRowCount="1" headerRowDxfId="31" totalsRowDxfId="28" headerRowBorderDxfId="30" tableBorderDxfId="29" totalsRowBorderDxfId="27">
  <autoFilter ref="A1:C12" xr:uid="{846E06AF-A69D-44D9-B430-A5C57F6D16F1}"/>
  <tableColumns count="3">
    <tableColumn id="1" xr3:uid="{2CD6EB6A-93A5-45FC-91C7-71957481DEDA}" name="Cód. org. aplic." totalsRowLabel="Total" dataDxfId="26" totalsRowDxfId="25"/>
    <tableColumn id="2" xr3:uid="{AECB9DAF-00E4-4EE4-BF24-B49CFFCAF839}" name="Descripción justificante" dataDxfId="24" totalsRowDxfId="23"/>
    <tableColumn id="3" xr3:uid="{D87F63B4-8F88-4804-9C47-17C3817C185F}" name="Imp.cob.aplic." totalsRowFunction="sum" dataDxfId="22" totalsRowDxfId="21" dataCellStyle="Millares" totalsRowCellStyle="Millar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A79930C-F092-4E01-8D12-F1E54098A34E}" name="Tabla3" displayName="Tabla3" ref="A1:C57" totalsRowCount="1" headerRowDxfId="20" totalsRowDxfId="17" headerRowBorderDxfId="19" tableBorderDxfId="18" totalsRowBorderDxfId="16">
  <autoFilter ref="A1:C56" xr:uid="{EA79930C-F092-4E01-8D12-F1E54098A34E}"/>
  <tableColumns count="3">
    <tableColumn id="1" xr3:uid="{894586B8-796D-4D48-82CC-30526ACA0876}" name="Org. aplic." totalsRowLabel="Total" dataDxfId="15" totalsRowDxfId="14"/>
    <tableColumn id="2" xr3:uid="{5DEE2A39-E014-4890-87DE-AD4246801F16}" name="Descripción justificante" dataDxfId="13" totalsRowDxfId="12"/>
    <tableColumn id="3" xr3:uid="{0E36C6C0-CD29-4529-912A-5E48810DF675}" name="Imp. aplic." totalsRowFunction="sum" dataDxfId="11" totalsRowDxfId="10" dataCellStyle="Millares"/>
  </tableColumns>
  <tableStyleInfo name="TableStyleLight2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76218F-2CBC-44CA-9971-B459D6022954}" name="Tabla1" displayName="Tabla1" ref="A1:C152" totalsRowCount="1" headerRowDxfId="3" headerRowBorderDxfId="8" tableBorderDxfId="9" totalsRowBorderDxfId="7">
  <autoFilter ref="A1:C151" xr:uid="{A376218F-2CBC-44CA-9971-B459D6022954}"/>
  <tableColumns count="3">
    <tableColumn id="1" xr3:uid="{66278720-964C-462F-B318-AE7D4FC70121}" name="Org. aplic." totalsRowLabel="Total" dataDxfId="6" totalsRowDxfId="2"/>
    <tableColumn id="2" xr3:uid="{662558DC-179F-43A0-9E6B-59870BA79586}" name="Descripción justificante" dataDxfId="5" totalsRowDxfId="1"/>
    <tableColumn id="3" xr3:uid="{5183D684-5132-4994-90E6-862E016183CB}" name="Imp. aplic." totalsRowFunction="sum" dataDxfId="4" totalsRowDxfId="0" dataCellStyle="Millares" totalsRowCellStyle="Millares"/>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54"/>
  <sheetViews>
    <sheetView showGridLines="0" zoomScale="120" zoomScaleNormal="120" workbookViewId="0">
      <pane xSplit="1" ySplit="1" topLeftCell="F2" activePane="bottomRight" state="frozen"/>
      <selection pane="topRight" activeCell="B1" sqref="B1"/>
      <selection pane="bottomLeft" activeCell="A2" sqref="A2"/>
      <selection pane="bottomRight" activeCell="W33" sqref="W33"/>
    </sheetView>
  </sheetViews>
  <sheetFormatPr baseColWidth="10" defaultColWidth="10.28515625" defaultRowHeight="11.25" x14ac:dyDescent="0.2"/>
  <cols>
    <col min="1" max="1" width="5" style="6" customWidth="1"/>
    <col min="2" max="4" width="29.7109375" style="6" customWidth="1"/>
    <col min="5" max="5" width="40.7109375" style="6" customWidth="1"/>
    <col min="6" max="6" width="9.140625" style="6" customWidth="1"/>
    <col min="7" max="7" width="9.7109375" style="6" customWidth="1"/>
    <col min="8" max="8" width="14.42578125" style="6" customWidth="1"/>
    <col min="9" max="9" width="5.85546875" style="6" customWidth="1"/>
    <col min="10" max="10" width="25.7109375" style="6" customWidth="1"/>
    <col min="11" max="12" width="5.140625" style="6" customWidth="1"/>
    <col min="13" max="13" width="4.42578125" style="6" customWidth="1"/>
    <col min="14" max="14" width="4.85546875" style="6" customWidth="1"/>
    <col min="15" max="15" width="4.85546875" style="7" customWidth="1"/>
    <col min="16" max="16" width="4.85546875" style="6" customWidth="1"/>
    <col min="17" max="17" width="3.5703125" style="7" customWidth="1"/>
    <col min="18" max="18" width="3.5703125" style="6" customWidth="1"/>
    <col min="19" max="21" width="5.140625" style="6" customWidth="1"/>
    <col min="22" max="16384" width="10.28515625" style="6"/>
  </cols>
  <sheetData>
    <row r="1" spans="1:21" ht="45" x14ac:dyDescent="0.2">
      <c r="A1" s="1" t="s">
        <v>3</v>
      </c>
      <c r="B1" s="2" t="s">
        <v>4</v>
      </c>
      <c r="C1" s="2" t="s">
        <v>5</v>
      </c>
      <c r="D1" s="2" t="s">
        <v>6</v>
      </c>
      <c r="E1" s="2" t="s">
        <v>7</v>
      </c>
      <c r="F1" s="2" t="s">
        <v>8</v>
      </c>
      <c r="G1" s="2" t="s">
        <v>9</v>
      </c>
      <c r="H1" s="2" t="s">
        <v>10</v>
      </c>
      <c r="I1" s="1" t="s">
        <v>11</v>
      </c>
      <c r="J1" s="2" t="s">
        <v>12</v>
      </c>
      <c r="K1" s="1" t="s">
        <v>13</v>
      </c>
      <c r="L1" s="2" t="s">
        <v>14</v>
      </c>
      <c r="M1" s="3" t="s">
        <v>15</v>
      </c>
      <c r="N1" s="4" t="s">
        <v>16</v>
      </c>
      <c r="O1" s="5" t="s">
        <v>17</v>
      </c>
      <c r="P1" s="4" t="s">
        <v>18</v>
      </c>
      <c r="Q1" s="5" t="s">
        <v>19</v>
      </c>
      <c r="R1" s="4" t="s">
        <v>20</v>
      </c>
      <c r="S1" s="4" t="s">
        <v>21</v>
      </c>
      <c r="T1" s="4" t="s">
        <v>22</v>
      </c>
      <c r="U1" s="4" t="s">
        <v>23</v>
      </c>
    </row>
    <row r="2" spans="1:21" x14ac:dyDescent="0.2">
      <c r="A2" s="17" t="s">
        <v>36</v>
      </c>
      <c r="B2" s="17" t="s">
        <v>37</v>
      </c>
      <c r="C2" s="17" t="s">
        <v>38</v>
      </c>
      <c r="D2" s="17" t="s">
        <v>89</v>
      </c>
      <c r="E2" s="17" t="s">
        <v>88</v>
      </c>
      <c r="F2" s="17" t="s">
        <v>87</v>
      </c>
      <c r="G2" s="17" t="s">
        <v>44</v>
      </c>
      <c r="H2" s="17" t="s">
        <v>24</v>
      </c>
      <c r="I2" s="17" t="s">
        <v>30</v>
      </c>
      <c r="J2" s="17" t="s">
        <v>31</v>
      </c>
      <c r="K2" s="27">
        <v>0.5</v>
      </c>
      <c r="L2" s="17" t="s">
        <v>32</v>
      </c>
      <c r="M2" s="17">
        <v>2019</v>
      </c>
      <c r="N2" s="17" t="s">
        <v>33</v>
      </c>
      <c r="O2" s="18" t="s">
        <v>25</v>
      </c>
      <c r="P2" s="17" t="s">
        <v>26</v>
      </c>
      <c r="Q2" s="18" t="s">
        <v>26</v>
      </c>
      <c r="R2" s="19">
        <v>50</v>
      </c>
      <c r="S2" s="20">
        <v>0.25</v>
      </c>
      <c r="T2" s="20">
        <v>0.25</v>
      </c>
      <c r="U2" s="20">
        <v>0</v>
      </c>
    </row>
    <row r="3" spans="1:21" x14ac:dyDescent="0.2">
      <c r="A3" s="17" t="s">
        <v>36</v>
      </c>
      <c r="B3" s="17" t="s">
        <v>37</v>
      </c>
      <c r="C3" s="17" t="s">
        <v>38</v>
      </c>
      <c r="D3" s="17" t="s">
        <v>89</v>
      </c>
      <c r="E3" s="17" t="s">
        <v>88</v>
      </c>
      <c r="F3" s="17" t="s">
        <v>87</v>
      </c>
      <c r="G3" s="17" t="s">
        <v>45</v>
      </c>
      <c r="H3" s="17" t="s">
        <v>24</v>
      </c>
      <c r="I3" s="17" t="s">
        <v>30</v>
      </c>
      <c r="J3" s="17" t="s">
        <v>31</v>
      </c>
      <c r="K3" s="27">
        <v>0.5</v>
      </c>
      <c r="L3" s="17" t="s">
        <v>32</v>
      </c>
      <c r="M3" s="17">
        <v>2019</v>
      </c>
      <c r="N3" s="17" t="s">
        <v>33</v>
      </c>
      <c r="O3" s="18" t="s">
        <v>25</v>
      </c>
      <c r="P3" s="17" t="s">
        <v>26</v>
      </c>
      <c r="Q3" s="18" t="s">
        <v>26</v>
      </c>
      <c r="R3" s="19">
        <v>50</v>
      </c>
      <c r="S3" s="20">
        <v>0.25</v>
      </c>
      <c r="T3" s="20">
        <v>0.25</v>
      </c>
      <c r="U3" s="20">
        <v>0</v>
      </c>
    </row>
    <row r="4" spans="1:21" x14ac:dyDescent="0.2">
      <c r="A4" s="17" t="s">
        <v>36</v>
      </c>
      <c r="B4" s="17" t="s">
        <v>37</v>
      </c>
      <c r="C4" s="17" t="s">
        <v>38</v>
      </c>
      <c r="D4" s="17" t="s">
        <v>86</v>
      </c>
      <c r="E4" s="17" t="s">
        <v>85</v>
      </c>
      <c r="F4" s="17" t="s">
        <v>84</v>
      </c>
      <c r="G4" s="17" t="s">
        <v>39</v>
      </c>
      <c r="H4" s="17" t="s">
        <v>24</v>
      </c>
      <c r="I4" s="17" t="s">
        <v>30</v>
      </c>
      <c r="J4" s="17" t="s">
        <v>31</v>
      </c>
      <c r="K4" s="27">
        <v>0.5</v>
      </c>
      <c r="L4" s="17" t="s">
        <v>32</v>
      </c>
      <c r="M4" s="17">
        <v>2019</v>
      </c>
      <c r="N4" s="17" t="s">
        <v>33</v>
      </c>
      <c r="O4" s="18" t="s">
        <v>25</v>
      </c>
      <c r="P4" s="17" t="s">
        <v>26</v>
      </c>
      <c r="Q4" s="18" t="s">
        <v>26</v>
      </c>
      <c r="R4" s="19">
        <v>50</v>
      </c>
      <c r="S4" s="20">
        <v>0.25</v>
      </c>
      <c r="T4" s="20">
        <v>0.25</v>
      </c>
      <c r="U4" s="20">
        <v>0</v>
      </c>
    </row>
    <row r="5" spans="1:21" x14ac:dyDescent="0.2">
      <c r="A5" s="17" t="s">
        <v>36</v>
      </c>
      <c r="B5" s="17" t="s">
        <v>37</v>
      </c>
      <c r="C5" s="17" t="s">
        <v>38</v>
      </c>
      <c r="D5" s="17" t="s">
        <v>86</v>
      </c>
      <c r="E5" s="17" t="s">
        <v>85</v>
      </c>
      <c r="F5" s="17" t="s">
        <v>84</v>
      </c>
      <c r="G5" s="17" t="s">
        <v>45</v>
      </c>
      <c r="H5" s="17" t="s">
        <v>24</v>
      </c>
      <c r="I5" s="17" t="s">
        <v>30</v>
      </c>
      <c r="J5" s="17" t="s">
        <v>31</v>
      </c>
      <c r="K5" s="27">
        <v>0.5</v>
      </c>
      <c r="L5" s="17" t="s">
        <v>32</v>
      </c>
      <c r="M5" s="17">
        <v>2019</v>
      </c>
      <c r="N5" s="17" t="s">
        <v>33</v>
      </c>
      <c r="O5" s="18" t="s">
        <v>25</v>
      </c>
      <c r="P5" s="17" t="s">
        <v>26</v>
      </c>
      <c r="Q5" s="18" t="s">
        <v>26</v>
      </c>
      <c r="R5" s="19">
        <v>50</v>
      </c>
      <c r="S5" s="20">
        <v>0.25</v>
      </c>
      <c r="T5" s="20">
        <v>0.25</v>
      </c>
      <c r="U5" s="20">
        <v>0</v>
      </c>
    </row>
    <row r="6" spans="1:21" x14ac:dyDescent="0.2">
      <c r="A6" s="17" t="s">
        <v>36</v>
      </c>
      <c r="B6" s="17" t="s">
        <v>37</v>
      </c>
      <c r="C6" s="17" t="s">
        <v>38</v>
      </c>
      <c r="D6" s="17" t="s">
        <v>80</v>
      </c>
      <c r="E6" s="17" t="s">
        <v>79</v>
      </c>
      <c r="F6" s="17" t="s">
        <v>78</v>
      </c>
      <c r="G6" s="17" t="s">
        <v>34</v>
      </c>
      <c r="H6" s="17" t="s">
        <v>24</v>
      </c>
      <c r="I6" s="17" t="s">
        <v>30</v>
      </c>
      <c r="J6" s="17" t="s">
        <v>31</v>
      </c>
      <c r="K6" s="27">
        <v>0.5</v>
      </c>
      <c r="L6" s="17" t="s">
        <v>32</v>
      </c>
      <c r="M6" s="17">
        <v>2019</v>
      </c>
      <c r="N6" s="17" t="s">
        <v>26</v>
      </c>
      <c r="O6" s="18" t="s">
        <v>26</v>
      </c>
      <c r="P6" s="17" t="s">
        <v>26</v>
      </c>
      <c r="Q6" s="18" t="s">
        <v>26</v>
      </c>
      <c r="R6" s="19">
        <v>100</v>
      </c>
      <c r="S6" s="20">
        <v>0.5</v>
      </c>
      <c r="T6" s="20">
        <v>0</v>
      </c>
      <c r="U6" s="20">
        <v>0</v>
      </c>
    </row>
    <row r="7" spans="1:21" x14ac:dyDescent="0.2">
      <c r="A7" s="17" t="s">
        <v>36</v>
      </c>
      <c r="B7" s="17" t="s">
        <v>37</v>
      </c>
      <c r="C7" s="17" t="s">
        <v>38</v>
      </c>
      <c r="D7" s="17" t="s">
        <v>80</v>
      </c>
      <c r="E7" s="17" t="s">
        <v>79</v>
      </c>
      <c r="F7" s="17" t="s">
        <v>78</v>
      </c>
      <c r="G7" s="17" t="s">
        <v>29</v>
      </c>
      <c r="H7" s="17" t="s">
        <v>24</v>
      </c>
      <c r="I7" s="17" t="s">
        <v>30</v>
      </c>
      <c r="J7" s="17" t="s">
        <v>31</v>
      </c>
      <c r="K7" s="27">
        <v>0.5</v>
      </c>
      <c r="L7" s="17" t="s">
        <v>32</v>
      </c>
      <c r="M7" s="17">
        <v>2019</v>
      </c>
      <c r="N7" s="17" t="s">
        <v>33</v>
      </c>
      <c r="O7" s="18" t="s">
        <v>28</v>
      </c>
      <c r="P7" s="17" t="s">
        <v>26</v>
      </c>
      <c r="Q7" s="18" t="s">
        <v>26</v>
      </c>
      <c r="R7" s="19">
        <v>90</v>
      </c>
      <c r="S7" s="20">
        <v>0.45</v>
      </c>
      <c r="T7" s="20">
        <v>0.05</v>
      </c>
      <c r="U7" s="20">
        <v>0</v>
      </c>
    </row>
    <row r="8" spans="1:21" x14ac:dyDescent="0.2">
      <c r="A8" s="17" t="s">
        <v>36</v>
      </c>
      <c r="B8" s="17" t="s">
        <v>37</v>
      </c>
      <c r="C8" s="17" t="s">
        <v>38</v>
      </c>
      <c r="D8" s="17" t="s">
        <v>83</v>
      </c>
      <c r="E8" s="17" t="s">
        <v>82</v>
      </c>
      <c r="F8" s="17" t="s">
        <v>81</v>
      </c>
      <c r="G8" s="17" t="s">
        <v>34</v>
      </c>
      <c r="H8" s="17" t="s">
        <v>24</v>
      </c>
      <c r="I8" s="17" t="s">
        <v>30</v>
      </c>
      <c r="J8" s="17" t="s">
        <v>31</v>
      </c>
      <c r="K8" s="27">
        <v>0.5</v>
      </c>
      <c r="L8" s="17" t="s">
        <v>32</v>
      </c>
      <c r="M8" s="17">
        <v>2019</v>
      </c>
      <c r="N8" s="17" t="s">
        <v>26</v>
      </c>
      <c r="O8" s="18" t="s">
        <v>26</v>
      </c>
      <c r="P8" s="17" t="s">
        <v>26</v>
      </c>
      <c r="Q8" s="18" t="s">
        <v>26</v>
      </c>
      <c r="R8" s="19">
        <v>100</v>
      </c>
      <c r="S8" s="20">
        <v>0.5</v>
      </c>
      <c r="T8" s="20">
        <v>0</v>
      </c>
      <c r="U8" s="20">
        <v>0</v>
      </c>
    </row>
    <row r="9" spans="1:21" x14ac:dyDescent="0.2">
      <c r="A9" s="17" t="s">
        <v>36</v>
      </c>
      <c r="B9" s="17" t="s">
        <v>37</v>
      </c>
      <c r="C9" s="17" t="s">
        <v>38</v>
      </c>
      <c r="D9" s="17" t="s">
        <v>83</v>
      </c>
      <c r="E9" s="17" t="s">
        <v>82</v>
      </c>
      <c r="F9" s="17" t="s">
        <v>81</v>
      </c>
      <c r="G9" s="17" t="s">
        <v>29</v>
      </c>
      <c r="H9" s="17" t="s">
        <v>24</v>
      </c>
      <c r="I9" s="17" t="s">
        <v>30</v>
      </c>
      <c r="J9" s="17" t="s">
        <v>31</v>
      </c>
      <c r="K9" s="27">
        <v>0.5</v>
      </c>
      <c r="L9" s="17" t="s">
        <v>32</v>
      </c>
      <c r="M9" s="17">
        <v>2019</v>
      </c>
      <c r="N9" s="17" t="s">
        <v>33</v>
      </c>
      <c r="O9" s="18" t="s">
        <v>28</v>
      </c>
      <c r="P9" s="17" t="s">
        <v>26</v>
      </c>
      <c r="Q9" s="18" t="s">
        <v>26</v>
      </c>
      <c r="R9" s="19">
        <v>90</v>
      </c>
      <c r="S9" s="20">
        <v>0.45</v>
      </c>
      <c r="T9" s="20">
        <v>0.05</v>
      </c>
      <c r="U9" s="20">
        <v>0</v>
      </c>
    </row>
    <row r="10" spans="1:21" x14ac:dyDescent="0.2">
      <c r="A10" s="15" t="s">
        <v>36</v>
      </c>
      <c r="B10" s="15" t="s">
        <v>37</v>
      </c>
      <c r="C10" s="15" t="s">
        <v>38</v>
      </c>
      <c r="D10" s="15" t="s">
        <v>92</v>
      </c>
      <c r="E10" s="15" t="s">
        <v>93</v>
      </c>
      <c r="F10" s="15" t="s">
        <v>94</v>
      </c>
      <c r="G10" s="15" t="s">
        <v>34</v>
      </c>
      <c r="H10" s="15" t="s">
        <v>24</v>
      </c>
      <c r="I10" s="15" t="s">
        <v>30</v>
      </c>
      <c r="J10" s="15" t="s">
        <v>31</v>
      </c>
      <c r="K10" s="21">
        <v>0.5</v>
      </c>
      <c r="L10" s="21" t="s">
        <v>32</v>
      </c>
      <c r="M10" s="22">
        <v>2019</v>
      </c>
      <c r="N10" s="15" t="s">
        <v>26</v>
      </c>
      <c r="O10" s="16" t="s">
        <v>26</v>
      </c>
      <c r="P10" s="15" t="s">
        <v>26</v>
      </c>
      <c r="Q10" s="16" t="s">
        <v>26</v>
      </c>
      <c r="R10" s="15">
        <v>100</v>
      </c>
      <c r="S10" s="15">
        <v>0.5</v>
      </c>
      <c r="T10" s="15">
        <v>0</v>
      </c>
      <c r="U10" s="15">
        <v>0</v>
      </c>
    </row>
    <row r="11" spans="1:21" x14ac:dyDescent="0.2">
      <c r="A11" s="15" t="s">
        <v>36</v>
      </c>
      <c r="B11" s="15" t="s">
        <v>37</v>
      </c>
      <c r="C11" s="15" t="s">
        <v>38</v>
      </c>
      <c r="D11" s="15" t="s">
        <v>92</v>
      </c>
      <c r="E11" s="15" t="s">
        <v>93</v>
      </c>
      <c r="F11" s="15" t="s">
        <v>94</v>
      </c>
      <c r="G11" s="15" t="s">
        <v>29</v>
      </c>
      <c r="H11" s="15" t="s">
        <v>24</v>
      </c>
      <c r="I11" s="15" t="s">
        <v>30</v>
      </c>
      <c r="J11" s="15" t="s">
        <v>31</v>
      </c>
      <c r="K11" s="21">
        <v>0.5</v>
      </c>
      <c r="L11" s="21" t="s">
        <v>32</v>
      </c>
      <c r="M11" s="22">
        <v>2019</v>
      </c>
      <c r="N11" s="15" t="s">
        <v>33</v>
      </c>
      <c r="O11" s="16">
        <v>10</v>
      </c>
      <c r="P11" s="15" t="s">
        <v>26</v>
      </c>
      <c r="Q11" s="16">
        <v>0</v>
      </c>
      <c r="R11" s="15">
        <v>90</v>
      </c>
      <c r="S11" s="15">
        <v>0.45</v>
      </c>
      <c r="T11" s="15">
        <v>0.05</v>
      </c>
      <c r="U11" s="15">
        <v>0</v>
      </c>
    </row>
    <row r="12" spans="1:21" ht="12" thickBot="1" x14ac:dyDescent="0.25">
      <c r="A12" s="15" t="s">
        <v>95</v>
      </c>
      <c r="B12" s="15" t="s">
        <v>96</v>
      </c>
      <c r="C12" s="15" t="s">
        <v>38</v>
      </c>
      <c r="D12" s="15" t="s">
        <v>97</v>
      </c>
      <c r="E12" s="15" t="s">
        <v>98</v>
      </c>
      <c r="F12" s="15" t="s">
        <v>99</v>
      </c>
      <c r="G12" s="15" t="s">
        <v>100</v>
      </c>
      <c r="H12" s="15" t="s">
        <v>27</v>
      </c>
      <c r="I12" s="15" t="s">
        <v>30</v>
      </c>
      <c r="J12" s="15" t="s">
        <v>31</v>
      </c>
      <c r="K12" s="21">
        <v>1</v>
      </c>
      <c r="L12" s="21" t="s">
        <v>32</v>
      </c>
      <c r="M12" s="15">
        <v>2019</v>
      </c>
      <c r="N12" s="15" t="s">
        <v>33</v>
      </c>
      <c r="O12" s="16">
        <v>10</v>
      </c>
      <c r="P12" s="15" t="s">
        <v>26</v>
      </c>
      <c r="Q12" s="16">
        <v>0</v>
      </c>
      <c r="R12" s="15">
        <v>90</v>
      </c>
      <c r="S12" s="15">
        <v>0.9</v>
      </c>
      <c r="T12" s="15">
        <v>0.1</v>
      </c>
      <c r="U12" s="15">
        <v>0</v>
      </c>
    </row>
    <row r="13" spans="1:21" ht="12" thickBot="1" x14ac:dyDescent="0.25">
      <c r="A13" s="23" t="s">
        <v>36</v>
      </c>
      <c r="B13" s="23" t="s">
        <v>37</v>
      </c>
      <c r="C13" s="23" t="s">
        <v>38</v>
      </c>
      <c r="D13" s="23" t="s">
        <v>116</v>
      </c>
      <c r="E13" s="23" t="s">
        <v>101</v>
      </c>
      <c r="F13" s="23" t="s">
        <v>102</v>
      </c>
      <c r="G13" s="24" t="s">
        <v>103</v>
      </c>
      <c r="H13" s="25" t="s">
        <v>24</v>
      </c>
      <c r="I13" s="25" t="s">
        <v>30</v>
      </c>
      <c r="J13" s="26" t="s">
        <v>31</v>
      </c>
      <c r="K13" s="21">
        <v>0.5</v>
      </c>
      <c r="L13" s="21" t="s">
        <v>32</v>
      </c>
      <c r="M13" s="15">
        <v>2020</v>
      </c>
      <c r="N13" s="15" t="s">
        <v>33</v>
      </c>
      <c r="O13" s="16">
        <v>10</v>
      </c>
      <c r="P13" s="15" t="s">
        <v>26</v>
      </c>
      <c r="Q13" s="16">
        <v>0</v>
      </c>
      <c r="R13" s="15">
        <v>90</v>
      </c>
      <c r="S13" s="15">
        <v>0.45</v>
      </c>
      <c r="T13" s="15">
        <v>0.05</v>
      </c>
      <c r="U13" s="15">
        <v>0</v>
      </c>
    </row>
    <row r="14" spans="1:21" ht="12" thickBot="1" x14ac:dyDescent="0.25">
      <c r="A14" s="23" t="s">
        <v>36</v>
      </c>
      <c r="B14" s="23" t="s">
        <v>37</v>
      </c>
      <c r="C14" s="23" t="s">
        <v>38</v>
      </c>
      <c r="D14" s="23" t="s">
        <v>116</v>
      </c>
      <c r="E14" s="23" t="s">
        <v>101</v>
      </c>
      <c r="F14" s="23" t="s">
        <v>102</v>
      </c>
      <c r="G14" s="24" t="s">
        <v>29</v>
      </c>
      <c r="H14" s="25" t="s">
        <v>24</v>
      </c>
      <c r="I14" s="25" t="s">
        <v>30</v>
      </c>
      <c r="J14" s="26" t="s">
        <v>31</v>
      </c>
      <c r="K14" s="21">
        <v>0.5</v>
      </c>
      <c r="L14" s="21" t="s">
        <v>32</v>
      </c>
      <c r="M14" s="15">
        <v>2020</v>
      </c>
      <c r="N14" s="15" t="s">
        <v>33</v>
      </c>
      <c r="O14" s="16">
        <v>10</v>
      </c>
      <c r="P14" s="15" t="s">
        <v>26</v>
      </c>
      <c r="Q14" s="16">
        <v>0</v>
      </c>
      <c r="R14" s="15">
        <v>90</v>
      </c>
      <c r="S14" s="15">
        <v>0.45</v>
      </c>
      <c r="T14" s="15">
        <v>0.05</v>
      </c>
      <c r="U14" s="15">
        <v>0</v>
      </c>
    </row>
    <row r="15" spans="1:21" ht="12" thickBot="1" x14ac:dyDescent="0.25">
      <c r="A15" s="23" t="s">
        <v>36</v>
      </c>
      <c r="B15" s="23" t="s">
        <v>37</v>
      </c>
      <c r="C15" s="23" t="s">
        <v>38</v>
      </c>
      <c r="D15" s="23" t="s">
        <v>104</v>
      </c>
      <c r="E15" s="23" t="s">
        <v>105</v>
      </c>
      <c r="F15" s="23" t="s">
        <v>106</v>
      </c>
      <c r="G15" s="24" t="s">
        <v>107</v>
      </c>
      <c r="H15" s="25" t="s">
        <v>24</v>
      </c>
      <c r="I15" s="25" t="s">
        <v>30</v>
      </c>
      <c r="J15" s="26" t="s">
        <v>31</v>
      </c>
      <c r="K15" s="21">
        <v>0.5</v>
      </c>
      <c r="L15" s="21" t="s">
        <v>32</v>
      </c>
      <c r="M15" s="15">
        <v>2020</v>
      </c>
      <c r="N15" s="15" t="s">
        <v>33</v>
      </c>
      <c r="O15" s="16">
        <v>10</v>
      </c>
      <c r="P15" s="15" t="s">
        <v>26</v>
      </c>
      <c r="Q15" s="16">
        <v>0</v>
      </c>
      <c r="R15" s="15">
        <v>90</v>
      </c>
      <c r="S15" s="15">
        <v>0.45</v>
      </c>
      <c r="T15" s="15">
        <v>0.05</v>
      </c>
      <c r="U15" s="15">
        <v>0</v>
      </c>
    </row>
    <row r="16" spans="1:21" ht="12" thickBot="1" x14ac:dyDescent="0.25">
      <c r="A16" s="23" t="s">
        <v>36</v>
      </c>
      <c r="B16" s="23" t="s">
        <v>37</v>
      </c>
      <c r="C16" s="23" t="s">
        <v>38</v>
      </c>
      <c r="D16" s="23" t="s">
        <v>104</v>
      </c>
      <c r="E16" s="23" t="s">
        <v>105</v>
      </c>
      <c r="F16" s="23" t="s">
        <v>106</v>
      </c>
      <c r="G16" s="24" t="s">
        <v>29</v>
      </c>
      <c r="H16" s="25" t="s">
        <v>24</v>
      </c>
      <c r="I16" s="25" t="s">
        <v>30</v>
      </c>
      <c r="J16" s="26" t="s">
        <v>31</v>
      </c>
      <c r="K16" s="21">
        <v>0.5</v>
      </c>
      <c r="L16" s="21" t="s">
        <v>32</v>
      </c>
      <c r="M16" s="15">
        <v>2020</v>
      </c>
      <c r="N16" s="15" t="s">
        <v>33</v>
      </c>
      <c r="O16" s="16">
        <v>10</v>
      </c>
      <c r="P16" s="15" t="s">
        <v>26</v>
      </c>
      <c r="Q16" s="16">
        <v>0</v>
      </c>
      <c r="R16" s="15">
        <v>90</v>
      </c>
      <c r="S16" s="15">
        <v>0.45</v>
      </c>
      <c r="T16" s="15">
        <v>0.05</v>
      </c>
      <c r="U16" s="15">
        <v>0</v>
      </c>
    </row>
    <row r="17" spans="1:21" ht="12" thickBot="1" x14ac:dyDescent="0.25">
      <c r="A17" s="23" t="s">
        <v>36</v>
      </c>
      <c r="B17" s="23" t="s">
        <v>37</v>
      </c>
      <c r="C17" s="23" t="s">
        <v>38</v>
      </c>
      <c r="D17" s="23" t="s">
        <v>108</v>
      </c>
      <c r="E17" s="23" t="s">
        <v>109</v>
      </c>
      <c r="F17" s="23" t="s">
        <v>110</v>
      </c>
      <c r="G17" s="24" t="s">
        <v>42</v>
      </c>
      <c r="H17" s="25" t="s">
        <v>27</v>
      </c>
      <c r="I17" s="25" t="s">
        <v>30</v>
      </c>
      <c r="J17" s="26" t="s">
        <v>31</v>
      </c>
      <c r="K17" s="21">
        <v>1</v>
      </c>
      <c r="L17" s="21" t="s">
        <v>32</v>
      </c>
      <c r="M17" s="15">
        <v>2020</v>
      </c>
      <c r="N17" s="15" t="s">
        <v>33</v>
      </c>
      <c r="O17" s="16">
        <v>10</v>
      </c>
      <c r="P17" s="15" t="s">
        <v>26</v>
      </c>
      <c r="Q17" s="16">
        <v>0</v>
      </c>
      <c r="R17" s="15">
        <v>90</v>
      </c>
      <c r="S17" s="15">
        <v>0.9</v>
      </c>
      <c r="T17" s="15">
        <v>0.1</v>
      </c>
      <c r="U17" s="15">
        <v>0</v>
      </c>
    </row>
    <row r="18" spans="1:21" ht="12" thickBot="1" x14ac:dyDescent="0.25">
      <c r="A18" s="23" t="s">
        <v>40</v>
      </c>
      <c r="B18" s="23" t="s">
        <v>41</v>
      </c>
      <c r="C18" s="23" t="s">
        <v>43</v>
      </c>
      <c r="D18" s="23" t="s">
        <v>111</v>
      </c>
      <c r="E18" s="23" t="s">
        <v>112</v>
      </c>
      <c r="F18" s="23" t="s">
        <v>113</v>
      </c>
      <c r="G18" s="24" t="s">
        <v>100</v>
      </c>
      <c r="H18" s="25" t="s">
        <v>24</v>
      </c>
      <c r="I18" s="25" t="s">
        <v>30</v>
      </c>
      <c r="J18" s="26" t="s">
        <v>31</v>
      </c>
      <c r="K18" s="21">
        <v>0.5</v>
      </c>
      <c r="L18" s="21" t="s">
        <v>32</v>
      </c>
      <c r="M18" s="15">
        <v>2020</v>
      </c>
      <c r="N18" s="15" t="s">
        <v>33</v>
      </c>
      <c r="O18" s="16">
        <v>10</v>
      </c>
      <c r="P18" s="15" t="s">
        <v>26</v>
      </c>
      <c r="Q18" s="16">
        <v>0</v>
      </c>
      <c r="R18" s="15">
        <v>90</v>
      </c>
      <c r="S18" s="15">
        <v>0.45</v>
      </c>
      <c r="T18" s="15">
        <v>0.05</v>
      </c>
      <c r="U18" s="15">
        <v>0</v>
      </c>
    </row>
    <row r="19" spans="1:21" x14ac:dyDescent="0.2">
      <c r="A19" s="15" t="s">
        <v>36</v>
      </c>
      <c r="B19" s="15" t="s">
        <v>37</v>
      </c>
      <c r="C19" s="15" t="s">
        <v>38</v>
      </c>
      <c r="D19" s="15" t="s">
        <v>117</v>
      </c>
      <c r="E19" s="15" t="s">
        <v>118</v>
      </c>
      <c r="F19" s="15" t="s">
        <v>119</v>
      </c>
      <c r="G19" s="15" t="s">
        <v>103</v>
      </c>
      <c r="H19" s="15" t="s">
        <v>24</v>
      </c>
      <c r="I19" s="15" t="s">
        <v>30</v>
      </c>
      <c r="J19" s="15" t="s">
        <v>31</v>
      </c>
      <c r="K19" s="21">
        <v>0.5</v>
      </c>
      <c r="L19" s="21" t="s">
        <v>32</v>
      </c>
      <c r="M19" s="15">
        <v>2021</v>
      </c>
      <c r="N19" s="15" t="s">
        <v>33</v>
      </c>
      <c r="O19" s="16">
        <v>10</v>
      </c>
      <c r="P19" s="15" t="s">
        <v>26</v>
      </c>
      <c r="Q19" s="16">
        <v>0</v>
      </c>
      <c r="R19" s="15">
        <v>90</v>
      </c>
      <c r="S19" s="15">
        <v>0.45</v>
      </c>
      <c r="T19" s="15">
        <v>0.05</v>
      </c>
      <c r="U19" s="15">
        <v>0</v>
      </c>
    </row>
    <row r="20" spans="1:21" x14ac:dyDescent="0.2">
      <c r="A20" s="15" t="s">
        <v>36</v>
      </c>
      <c r="B20" s="15" t="s">
        <v>37</v>
      </c>
      <c r="C20" s="15" t="s">
        <v>38</v>
      </c>
      <c r="D20" s="15" t="s">
        <v>117</v>
      </c>
      <c r="E20" s="15" t="s">
        <v>118</v>
      </c>
      <c r="F20" s="15" t="s">
        <v>119</v>
      </c>
      <c r="G20" s="15" t="s">
        <v>29</v>
      </c>
      <c r="H20" s="15" t="s">
        <v>24</v>
      </c>
      <c r="I20" s="15" t="s">
        <v>30</v>
      </c>
      <c r="J20" s="15" t="s">
        <v>31</v>
      </c>
      <c r="K20" s="21">
        <v>0.5</v>
      </c>
      <c r="L20" s="21" t="s">
        <v>32</v>
      </c>
      <c r="M20" s="15">
        <v>2021</v>
      </c>
      <c r="N20" s="15" t="s">
        <v>33</v>
      </c>
      <c r="O20" s="16">
        <v>10</v>
      </c>
      <c r="P20" s="15" t="s">
        <v>26</v>
      </c>
      <c r="Q20" s="16">
        <v>0</v>
      </c>
      <c r="R20" s="15">
        <v>90</v>
      </c>
      <c r="S20" s="15">
        <v>0.45</v>
      </c>
      <c r="T20" s="15">
        <v>0.05</v>
      </c>
      <c r="U20" s="15">
        <v>0</v>
      </c>
    </row>
    <row r="21" spans="1:21" x14ac:dyDescent="0.2">
      <c r="A21" s="15" t="s">
        <v>36</v>
      </c>
      <c r="B21" s="15" t="s">
        <v>37</v>
      </c>
      <c r="C21" s="15" t="s">
        <v>38</v>
      </c>
      <c r="D21" s="15" t="s">
        <v>120</v>
      </c>
      <c r="E21" s="15" t="s">
        <v>121</v>
      </c>
      <c r="F21" s="15" t="s">
        <v>122</v>
      </c>
      <c r="G21" s="15" t="s">
        <v>46</v>
      </c>
      <c r="H21" s="15" t="s">
        <v>24</v>
      </c>
      <c r="I21" s="15" t="s">
        <v>30</v>
      </c>
      <c r="J21" s="15" t="s">
        <v>31</v>
      </c>
      <c r="K21" s="21">
        <v>0.5</v>
      </c>
      <c r="L21" s="21" t="s">
        <v>32</v>
      </c>
      <c r="M21" s="15">
        <v>2021</v>
      </c>
      <c r="N21" s="15" t="s">
        <v>33</v>
      </c>
      <c r="O21" s="16">
        <v>10</v>
      </c>
      <c r="P21" s="15" t="s">
        <v>26</v>
      </c>
      <c r="Q21" s="16">
        <v>0</v>
      </c>
      <c r="R21" s="15">
        <v>90</v>
      </c>
      <c r="S21" s="15">
        <v>0.45</v>
      </c>
      <c r="T21" s="15">
        <v>0.05</v>
      </c>
      <c r="U21" s="15">
        <v>0</v>
      </c>
    </row>
    <row r="22" spans="1:21" x14ac:dyDescent="0.2">
      <c r="A22" s="15" t="s">
        <v>36</v>
      </c>
      <c r="B22" s="15" t="s">
        <v>37</v>
      </c>
      <c r="C22" s="15" t="s">
        <v>38</v>
      </c>
      <c r="D22" s="15" t="s">
        <v>120</v>
      </c>
      <c r="E22" s="15" t="s">
        <v>121</v>
      </c>
      <c r="F22" s="15" t="s">
        <v>122</v>
      </c>
      <c r="G22" s="15" t="s">
        <v>29</v>
      </c>
      <c r="H22" s="15" t="s">
        <v>24</v>
      </c>
      <c r="I22" s="15" t="s">
        <v>30</v>
      </c>
      <c r="J22" s="15" t="s">
        <v>31</v>
      </c>
      <c r="K22" s="21">
        <v>0.5</v>
      </c>
      <c r="L22" s="21" t="s">
        <v>32</v>
      </c>
      <c r="M22" s="15">
        <v>2021</v>
      </c>
      <c r="N22" s="15" t="s">
        <v>33</v>
      </c>
      <c r="O22" s="16">
        <v>10</v>
      </c>
      <c r="P22" s="15" t="s">
        <v>26</v>
      </c>
      <c r="Q22" s="16">
        <v>0</v>
      </c>
      <c r="R22" s="15">
        <v>90</v>
      </c>
      <c r="S22" s="15">
        <v>0.45</v>
      </c>
      <c r="T22" s="15">
        <v>0.05</v>
      </c>
      <c r="U22" s="15">
        <v>0</v>
      </c>
    </row>
    <row r="23" spans="1:21" x14ac:dyDescent="0.2">
      <c r="A23" s="15" t="s">
        <v>36</v>
      </c>
      <c r="B23" s="15" t="s">
        <v>37</v>
      </c>
      <c r="C23" s="15" t="s">
        <v>38</v>
      </c>
      <c r="D23" s="15" t="s">
        <v>123</v>
      </c>
      <c r="E23" s="15" t="s">
        <v>121</v>
      </c>
      <c r="F23" s="15" t="s">
        <v>124</v>
      </c>
      <c r="G23" s="15" t="s">
        <v>39</v>
      </c>
      <c r="H23" s="15" t="s">
        <v>24</v>
      </c>
      <c r="I23" s="15" t="s">
        <v>30</v>
      </c>
      <c r="J23" s="15" t="s">
        <v>31</v>
      </c>
      <c r="K23" s="21">
        <v>0.5</v>
      </c>
      <c r="L23" s="21" t="s">
        <v>32</v>
      </c>
      <c r="M23" s="15">
        <v>2021</v>
      </c>
      <c r="N23" s="15" t="s">
        <v>33</v>
      </c>
      <c r="O23" s="16">
        <v>50</v>
      </c>
      <c r="P23" s="15" t="s">
        <v>26</v>
      </c>
      <c r="Q23" s="16">
        <v>0</v>
      </c>
      <c r="R23" s="15">
        <v>50</v>
      </c>
      <c r="S23" s="15">
        <v>0.25</v>
      </c>
      <c r="T23" s="15">
        <v>0.25</v>
      </c>
      <c r="U23" s="15">
        <v>0</v>
      </c>
    </row>
    <row r="24" spans="1:21" x14ac:dyDescent="0.2">
      <c r="A24" s="15" t="s">
        <v>36</v>
      </c>
      <c r="B24" s="15" t="s">
        <v>37</v>
      </c>
      <c r="C24" s="15" t="s">
        <v>38</v>
      </c>
      <c r="D24" s="15" t="s">
        <v>123</v>
      </c>
      <c r="E24" s="15" t="s">
        <v>121</v>
      </c>
      <c r="F24" s="15" t="s">
        <v>124</v>
      </c>
      <c r="G24" s="15" t="s">
        <v>44</v>
      </c>
      <c r="H24" s="15" t="s">
        <v>24</v>
      </c>
      <c r="I24" s="15" t="s">
        <v>30</v>
      </c>
      <c r="J24" s="15" t="s">
        <v>31</v>
      </c>
      <c r="K24" s="21">
        <v>0.5</v>
      </c>
      <c r="L24" s="21" t="s">
        <v>32</v>
      </c>
      <c r="M24" s="15">
        <v>2021</v>
      </c>
      <c r="N24" s="15" t="s">
        <v>33</v>
      </c>
      <c r="O24" s="16">
        <v>50</v>
      </c>
      <c r="P24" s="15" t="s">
        <v>26</v>
      </c>
      <c r="Q24" s="16">
        <v>0</v>
      </c>
      <c r="R24" s="15">
        <v>50</v>
      </c>
      <c r="S24" s="15">
        <v>0.25</v>
      </c>
      <c r="T24" s="15">
        <v>0.25</v>
      </c>
      <c r="U24" s="15">
        <v>0</v>
      </c>
    </row>
    <row r="25" spans="1:21" x14ac:dyDescent="0.2">
      <c r="A25" s="15" t="s">
        <v>36</v>
      </c>
      <c r="B25" s="15" t="s">
        <v>37</v>
      </c>
      <c r="C25" s="15" t="s">
        <v>38</v>
      </c>
      <c r="D25" s="15" t="s">
        <v>125</v>
      </c>
      <c r="E25" s="15" t="s">
        <v>126</v>
      </c>
      <c r="F25" s="15" t="s">
        <v>127</v>
      </c>
      <c r="G25" s="15" t="s">
        <v>100</v>
      </c>
      <c r="H25" s="15" t="s">
        <v>24</v>
      </c>
      <c r="I25" s="15" t="s">
        <v>30</v>
      </c>
      <c r="J25" s="15" t="s">
        <v>31</v>
      </c>
      <c r="K25" s="21">
        <v>0.5</v>
      </c>
      <c r="L25" s="21" t="s">
        <v>32</v>
      </c>
      <c r="M25" s="15">
        <v>2021</v>
      </c>
      <c r="N25" s="15" t="s">
        <v>33</v>
      </c>
      <c r="O25" s="16">
        <v>10</v>
      </c>
      <c r="P25" s="15" t="s">
        <v>26</v>
      </c>
      <c r="Q25" s="16">
        <v>0</v>
      </c>
      <c r="R25" s="15">
        <v>90</v>
      </c>
      <c r="S25" s="15">
        <v>0.45</v>
      </c>
      <c r="T25" s="15">
        <v>0.05</v>
      </c>
      <c r="U25" s="15">
        <v>0</v>
      </c>
    </row>
    <row r="26" spans="1:21" x14ac:dyDescent="0.2">
      <c r="A26" s="15" t="s">
        <v>36</v>
      </c>
      <c r="B26" s="15" t="s">
        <v>37</v>
      </c>
      <c r="C26" s="15" t="s">
        <v>38</v>
      </c>
      <c r="D26" s="15" t="s">
        <v>125</v>
      </c>
      <c r="E26" s="15" t="s">
        <v>126</v>
      </c>
      <c r="F26" s="15" t="s">
        <v>127</v>
      </c>
      <c r="G26" s="15" t="s">
        <v>103</v>
      </c>
      <c r="H26" s="15" t="s">
        <v>24</v>
      </c>
      <c r="I26" s="15" t="s">
        <v>30</v>
      </c>
      <c r="J26" s="15" t="s">
        <v>31</v>
      </c>
      <c r="K26" s="21">
        <v>0.5</v>
      </c>
      <c r="L26" s="21" t="s">
        <v>32</v>
      </c>
      <c r="M26" s="15">
        <v>2021</v>
      </c>
      <c r="N26" s="15" t="s">
        <v>33</v>
      </c>
      <c r="O26" s="16">
        <v>10</v>
      </c>
      <c r="P26" s="15" t="s">
        <v>26</v>
      </c>
      <c r="Q26" s="16">
        <v>0</v>
      </c>
      <c r="R26" s="15">
        <v>90</v>
      </c>
      <c r="S26" s="15">
        <v>0.45</v>
      </c>
      <c r="T26" s="15">
        <v>0.05</v>
      </c>
      <c r="U26" s="15">
        <v>0</v>
      </c>
    </row>
    <row r="27" spans="1:21" x14ac:dyDescent="0.2">
      <c r="A27" s="15" t="s">
        <v>36</v>
      </c>
      <c r="B27" s="15" t="s">
        <v>37</v>
      </c>
      <c r="C27" s="15" t="s">
        <v>38</v>
      </c>
      <c r="D27" s="15" t="s">
        <v>128</v>
      </c>
      <c r="E27" s="15" t="s">
        <v>129</v>
      </c>
      <c r="F27" s="15" t="s">
        <v>127</v>
      </c>
      <c r="G27" s="15" t="s">
        <v>44</v>
      </c>
      <c r="H27" s="15" t="s">
        <v>24</v>
      </c>
      <c r="I27" s="15" t="s">
        <v>30</v>
      </c>
      <c r="J27" s="15" t="s">
        <v>31</v>
      </c>
      <c r="K27" s="21">
        <v>0.5</v>
      </c>
      <c r="L27" s="21" t="s">
        <v>32</v>
      </c>
      <c r="M27" s="15">
        <v>2021</v>
      </c>
      <c r="N27" s="15" t="s">
        <v>33</v>
      </c>
      <c r="O27" s="16">
        <v>50</v>
      </c>
      <c r="P27" s="15" t="s">
        <v>26</v>
      </c>
      <c r="Q27" s="16">
        <v>0</v>
      </c>
      <c r="R27" s="15">
        <v>50</v>
      </c>
      <c r="S27" s="15">
        <v>0.25</v>
      </c>
      <c r="T27" s="15">
        <v>0.25</v>
      </c>
      <c r="U27" s="15">
        <v>0</v>
      </c>
    </row>
    <row r="28" spans="1:21" x14ac:dyDescent="0.2">
      <c r="A28" s="15" t="s">
        <v>36</v>
      </c>
      <c r="B28" s="15" t="s">
        <v>37</v>
      </c>
      <c r="C28" s="15" t="s">
        <v>38</v>
      </c>
      <c r="D28" s="15" t="s">
        <v>128</v>
      </c>
      <c r="E28" s="15" t="s">
        <v>129</v>
      </c>
      <c r="F28" s="15" t="s">
        <v>127</v>
      </c>
      <c r="G28" s="15" t="s">
        <v>45</v>
      </c>
      <c r="H28" s="15" t="s">
        <v>24</v>
      </c>
      <c r="I28" s="15" t="s">
        <v>30</v>
      </c>
      <c r="J28" s="15" t="s">
        <v>31</v>
      </c>
      <c r="K28" s="21">
        <v>0.5</v>
      </c>
      <c r="L28" s="21" t="s">
        <v>32</v>
      </c>
      <c r="M28" s="15">
        <v>2021</v>
      </c>
      <c r="N28" s="15" t="s">
        <v>33</v>
      </c>
      <c r="O28" s="16">
        <v>50</v>
      </c>
      <c r="P28" s="15" t="s">
        <v>26</v>
      </c>
      <c r="Q28" s="16">
        <v>0</v>
      </c>
      <c r="R28" s="15">
        <v>50</v>
      </c>
      <c r="S28" s="15">
        <v>0.25</v>
      </c>
      <c r="T28" s="15">
        <v>0.25</v>
      </c>
      <c r="U28" s="15">
        <v>0</v>
      </c>
    </row>
    <row r="29" spans="1:21" x14ac:dyDescent="0.2">
      <c r="A29" s="15" t="s">
        <v>36</v>
      </c>
      <c r="B29" s="15" t="s">
        <v>37</v>
      </c>
      <c r="C29" s="15" t="s">
        <v>38</v>
      </c>
      <c r="D29" s="15" t="s">
        <v>130</v>
      </c>
      <c r="E29" s="15" t="s">
        <v>131</v>
      </c>
      <c r="F29" s="15" t="s">
        <v>124</v>
      </c>
      <c r="G29" s="15" t="s">
        <v>132</v>
      </c>
      <c r="H29" s="15" t="s">
        <v>24</v>
      </c>
      <c r="I29" s="15" t="s">
        <v>30</v>
      </c>
      <c r="J29" s="15" t="s">
        <v>31</v>
      </c>
      <c r="K29" s="21">
        <v>0.5</v>
      </c>
      <c r="L29" s="21" t="s">
        <v>32</v>
      </c>
      <c r="M29" s="15">
        <v>2021</v>
      </c>
      <c r="N29" s="15" t="s">
        <v>26</v>
      </c>
      <c r="O29" s="16" t="s">
        <v>26</v>
      </c>
      <c r="P29" s="15" t="s">
        <v>26</v>
      </c>
      <c r="Q29" s="16" t="s">
        <v>26</v>
      </c>
      <c r="R29" s="15">
        <v>100</v>
      </c>
      <c r="S29" s="15">
        <v>0.5</v>
      </c>
      <c r="T29" s="15">
        <v>0</v>
      </c>
      <c r="U29" s="15">
        <v>0</v>
      </c>
    </row>
    <row r="30" spans="1:21" x14ac:dyDescent="0.2">
      <c r="A30" s="15" t="s">
        <v>36</v>
      </c>
      <c r="B30" s="15" t="s">
        <v>37</v>
      </c>
      <c r="C30" s="15" t="s">
        <v>38</v>
      </c>
      <c r="D30" s="15" t="s">
        <v>130</v>
      </c>
      <c r="E30" s="15" t="s">
        <v>131</v>
      </c>
      <c r="F30" s="15" t="s">
        <v>124</v>
      </c>
      <c r="G30" s="15" t="s">
        <v>47</v>
      </c>
      <c r="H30" s="15" t="s">
        <v>24</v>
      </c>
      <c r="I30" s="15" t="s">
        <v>30</v>
      </c>
      <c r="J30" s="15" t="s">
        <v>31</v>
      </c>
      <c r="K30" s="21">
        <v>0.5</v>
      </c>
      <c r="L30" s="21" t="s">
        <v>32</v>
      </c>
      <c r="M30" s="15">
        <v>2021</v>
      </c>
      <c r="N30" s="15" t="s">
        <v>33</v>
      </c>
      <c r="O30" s="16">
        <v>30</v>
      </c>
      <c r="P30" s="15" t="s">
        <v>26</v>
      </c>
      <c r="Q30" s="16">
        <v>0</v>
      </c>
      <c r="R30" s="15">
        <v>70</v>
      </c>
      <c r="S30" s="15">
        <v>0.35</v>
      </c>
      <c r="T30" s="15">
        <v>0.15</v>
      </c>
      <c r="U30" s="15">
        <v>0</v>
      </c>
    </row>
    <row r="31" spans="1:21" x14ac:dyDescent="0.2">
      <c r="A31" s="15" t="s">
        <v>40</v>
      </c>
      <c r="B31" s="15" t="s">
        <v>41</v>
      </c>
      <c r="C31" s="15" t="s">
        <v>43</v>
      </c>
      <c r="D31" s="15" t="s">
        <v>133</v>
      </c>
      <c r="E31" s="15" t="s">
        <v>134</v>
      </c>
      <c r="F31" s="15" t="s">
        <v>135</v>
      </c>
      <c r="G31" s="15" t="s">
        <v>136</v>
      </c>
      <c r="H31" s="15" t="s">
        <v>24</v>
      </c>
      <c r="I31" s="15" t="s">
        <v>30</v>
      </c>
      <c r="J31" s="15" t="s">
        <v>31</v>
      </c>
      <c r="K31" s="21">
        <v>0.5</v>
      </c>
      <c r="L31" s="21" t="s">
        <v>32</v>
      </c>
      <c r="M31" s="15">
        <v>2021</v>
      </c>
      <c r="N31" s="15" t="s">
        <v>33</v>
      </c>
      <c r="O31" s="16">
        <v>15</v>
      </c>
      <c r="P31" s="15" t="s">
        <v>26</v>
      </c>
      <c r="Q31" s="16">
        <v>0</v>
      </c>
      <c r="R31" s="15">
        <v>85</v>
      </c>
      <c r="S31" s="15">
        <v>0.42499999999999999</v>
      </c>
      <c r="T31" s="15">
        <v>7.4999999999999997E-2</v>
      </c>
      <c r="U31" s="15">
        <v>0</v>
      </c>
    </row>
    <row r="32" spans="1:21" x14ac:dyDescent="0.2">
      <c r="A32" s="15" t="s">
        <v>40</v>
      </c>
      <c r="B32" s="15" t="s">
        <v>41</v>
      </c>
      <c r="C32" s="15" t="s">
        <v>43</v>
      </c>
      <c r="D32" s="15" t="s">
        <v>133</v>
      </c>
      <c r="E32" s="15" t="s">
        <v>134</v>
      </c>
      <c r="F32" s="15" t="s">
        <v>135</v>
      </c>
      <c r="G32" s="15" t="s">
        <v>35</v>
      </c>
      <c r="H32" s="15" t="s">
        <v>24</v>
      </c>
      <c r="I32" s="15" t="s">
        <v>30</v>
      </c>
      <c r="J32" s="15" t="s">
        <v>31</v>
      </c>
      <c r="K32" s="21">
        <v>0.5</v>
      </c>
      <c r="L32" s="21" t="s">
        <v>32</v>
      </c>
      <c r="M32" s="15">
        <v>2021</v>
      </c>
      <c r="N32" s="15" t="s">
        <v>33</v>
      </c>
      <c r="O32" s="16">
        <v>10</v>
      </c>
      <c r="P32" s="15" t="s">
        <v>26</v>
      </c>
      <c r="Q32" s="16">
        <v>0</v>
      </c>
      <c r="R32" s="15">
        <v>90</v>
      </c>
      <c r="S32" s="15">
        <v>0.45</v>
      </c>
      <c r="T32" s="15">
        <v>0.05</v>
      </c>
      <c r="U32" s="15">
        <v>0</v>
      </c>
    </row>
    <row r="33" spans="1:22" x14ac:dyDescent="0.2">
      <c r="A33" s="15" t="s">
        <v>36</v>
      </c>
      <c r="B33" s="15" t="s">
        <v>37</v>
      </c>
      <c r="C33" s="15" t="s">
        <v>38</v>
      </c>
      <c r="D33" s="15" t="s">
        <v>141</v>
      </c>
      <c r="E33" s="15" t="s">
        <v>142</v>
      </c>
      <c r="F33" s="15" t="s">
        <v>143</v>
      </c>
      <c r="G33" s="15" t="s">
        <v>46</v>
      </c>
      <c r="H33" s="15" t="s">
        <v>24</v>
      </c>
      <c r="I33" s="15" t="s">
        <v>30</v>
      </c>
      <c r="J33" s="15" t="s">
        <v>31</v>
      </c>
      <c r="K33" s="33">
        <v>0.5</v>
      </c>
      <c r="L33" s="33" t="s">
        <v>32</v>
      </c>
      <c r="M33" s="15">
        <v>2022</v>
      </c>
      <c r="N33" s="33" t="s">
        <v>33</v>
      </c>
      <c r="O33" s="33">
        <v>10</v>
      </c>
      <c r="P33" s="33" t="s">
        <v>26</v>
      </c>
      <c r="Q33" s="33">
        <v>0</v>
      </c>
      <c r="R33" s="33">
        <v>90</v>
      </c>
      <c r="S33" s="33">
        <v>0.45</v>
      </c>
      <c r="T33" s="33">
        <v>0.05</v>
      </c>
      <c r="U33" s="33">
        <v>0</v>
      </c>
    </row>
    <row r="34" spans="1:22" x14ac:dyDescent="0.2">
      <c r="A34" s="15" t="s">
        <v>36</v>
      </c>
      <c r="B34" s="15" t="s">
        <v>37</v>
      </c>
      <c r="C34" s="15" t="s">
        <v>38</v>
      </c>
      <c r="D34" s="15" t="s">
        <v>141</v>
      </c>
      <c r="E34" s="15" t="s">
        <v>142</v>
      </c>
      <c r="F34" s="15" t="s">
        <v>143</v>
      </c>
      <c r="G34" s="15" t="s">
        <v>29</v>
      </c>
      <c r="H34" s="15" t="s">
        <v>24</v>
      </c>
      <c r="I34" s="15" t="s">
        <v>30</v>
      </c>
      <c r="J34" s="15" t="s">
        <v>31</v>
      </c>
      <c r="K34" s="33">
        <v>0.5</v>
      </c>
      <c r="L34" s="33" t="s">
        <v>32</v>
      </c>
      <c r="M34" s="15">
        <v>2022</v>
      </c>
      <c r="N34" s="33" t="s">
        <v>33</v>
      </c>
      <c r="O34" s="33">
        <v>10</v>
      </c>
      <c r="P34" s="33" t="s">
        <v>26</v>
      </c>
      <c r="Q34" s="33">
        <v>0</v>
      </c>
      <c r="R34" s="33">
        <v>90</v>
      </c>
      <c r="S34" s="33">
        <v>0.45</v>
      </c>
      <c r="T34" s="33">
        <v>0.05</v>
      </c>
      <c r="U34" s="33">
        <v>0</v>
      </c>
    </row>
    <row r="35" spans="1:22" x14ac:dyDescent="0.2">
      <c r="A35" s="15" t="s">
        <v>36</v>
      </c>
      <c r="B35" s="15" t="s">
        <v>37</v>
      </c>
      <c r="C35" s="15" t="s">
        <v>38</v>
      </c>
      <c r="D35" s="15" t="s">
        <v>144</v>
      </c>
      <c r="E35" s="15" t="s">
        <v>145</v>
      </c>
      <c r="F35" s="15" t="s">
        <v>146</v>
      </c>
      <c r="G35" s="15" t="s">
        <v>100</v>
      </c>
      <c r="H35" s="15" t="s">
        <v>24</v>
      </c>
      <c r="I35" s="15" t="s">
        <v>30</v>
      </c>
      <c r="J35" s="15" t="s">
        <v>31</v>
      </c>
      <c r="K35" s="33">
        <v>0.5</v>
      </c>
      <c r="L35" s="33" t="s">
        <v>32</v>
      </c>
      <c r="M35" s="15">
        <v>2022</v>
      </c>
      <c r="N35" s="33" t="s">
        <v>33</v>
      </c>
      <c r="O35" s="33">
        <v>10</v>
      </c>
      <c r="P35" s="33" t="s">
        <v>26</v>
      </c>
      <c r="Q35" s="33">
        <v>0</v>
      </c>
      <c r="R35" s="33">
        <v>90</v>
      </c>
      <c r="S35" s="33">
        <v>0.45</v>
      </c>
      <c r="T35" s="33">
        <v>0.05</v>
      </c>
      <c r="U35" s="33">
        <v>0</v>
      </c>
    </row>
    <row r="36" spans="1:22" x14ac:dyDescent="0.2">
      <c r="A36" s="15" t="s">
        <v>36</v>
      </c>
      <c r="B36" s="15" t="s">
        <v>37</v>
      </c>
      <c r="C36" s="15" t="s">
        <v>38</v>
      </c>
      <c r="D36" s="15" t="s">
        <v>144</v>
      </c>
      <c r="E36" s="15" t="s">
        <v>145</v>
      </c>
      <c r="F36" s="15" t="s">
        <v>146</v>
      </c>
      <c r="G36" s="15" t="s">
        <v>103</v>
      </c>
      <c r="H36" s="15" t="s">
        <v>24</v>
      </c>
      <c r="I36" s="15" t="s">
        <v>30</v>
      </c>
      <c r="J36" s="15" t="s">
        <v>31</v>
      </c>
      <c r="K36" s="33">
        <v>0.5</v>
      </c>
      <c r="L36" s="33" t="s">
        <v>32</v>
      </c>
      <c r="M36" s="15">
        <v>2022</v>
      </c>
      <c r="N36" s="33" t="s">
        <v>33</v>
      </c>
      <c r="O36" s="33">
        <v>10</v>
      </c>
      <c r="P36" s="33" t="s">
        <v>26</v>
      </c>
      <c r="Q36" s="33">
        <v>0</v>
      </c>
      <c r="R36" s="33">
        <v>90</v>
      </c>
      <c r="S36" s="33">
        <v>0.45</v>
      </c>
      <c r="T36" s="33">
        <v>0.05</v>
      </c>
      <c r="U36" s="33">
        <v>0</v>
      </c>
    </row>
    <row r="37" spans="1:22" x14ac:dyDescent="0.2">
      <c r="A37" s="15" t="s">
        <v>36</v>
      </c>
      <c r="B37" s="15" t="s">
        <v>37</v>
      </c>
      <c r="C37" s="15" t="s">
        <v>38</v>
      </c>
      <c r="D37" s="15" t="s">
        <v>147</v>
      </c>
      <c r="E37" s="15" t="s">
        <v>148</v>
      </c>
      <c r="F37" s="15" t="s">
        <v>149</v>
      </c>
      <c r="G37" s="15" t="s">
        <v>107</v>
      </c>
      <c r="H37" s="15" t="s">
        <v>24</v>
      </c>
      <c r="I37" s="15" t="s">
        <v>30</v>
      </c>
      <c r="J37" s="15" t="s">
        <v>31</v>
      </c>
      <c r="K37" s="33">
        <v>0.5</v>
      </c>
      <c r="L37" s="33" t="s">
        <v>32</v>
      </c>
      <c r="M37" s="15">
        <v>2022</v>
      </c>
      <c r="N37" s="33" t="s">
        <v>33</v>
      </c>
      <c r="O37" s="33">
        <v>10</v>
      </c>
      <c r="P37" s="33" t="s">
        <v>26</v>
      </c>
      <c r="Q37" s="33">
        <v>0</v>
      </c>
      <c r="R37" s="33">
        <v>90</v>
      </c>
      <c r="S37" s="33">
        <v>0.45</v>
      </c>
      <c r="T37" s="33">
        <v>0.05</v>
      </c>
      <c r="U37" s="33">
        <v>0</v>
      </c>
    </row>
    <row r="38" spans="1:22" x14ac:dyDescent="0.2">
      <c r="A38" s="15" t="s">
        <v>36</v>
      </c>
      <c r="B38" s="15" t="s">
        <v>37</v>
      </c>
      <c r="C38" s="15" t="s">
        <v>38</v>
      </c>
      <c r="D38" s="15" t="s">
        <v>147</v>
      </c>
      <c r="E38" s="15" t="s">
        <v>148</v>
      </c>
      <c r="F38" s="15" t="s">
        <v>149</v>
      </c>
      <c r="G38" s="15" t="s">
        <v>29</v>
      </c>
      <c r="H38" s="15" t="s">
        <v>24</v>
      </c>
      <c r="I38" s="15" t="s">
        <v>30</v>
      </c>
      <c r="J38" s="15" t="s">
        <v>31</v>
      </c>
      <c r="K38" s="33">
        <v>0.5</v>
      </c>
      <c r="L38" s="33" t="s">
        <v>32</v>
      </c>
      <c r="M38" s="15">
        <v>2022</v>
      </c>
      <c r="N38" s="33" t="s">
        <v>33</v>
      </c>
      <c r="O38" s="33">
        <v>10</v>
      </c>
      <c r="P38" s="33" t="s">
        <v>26</v>
      </c>
      <c r="Q38" s="33">
        <v>0</v>
      </c>
      <c r="R38" s="33">
        <v>90</v>
      </c>
      <c r="S38" s="33">
        <v>0.45</v>
      </c>
      <c r="T38" s="33">
        <v>0.05</v>
      </c>
      <c r="U38" s="33">
        <v>0</v>
      </c>
    </row>
    <row r="39" spans="1:22" x14ac:dyDescent="0.2">
      <c r="A39" s="15" t="s">
        <v>36</v>
      </c>
      <c r="B39" s="15" t="s">
        <v>37</v>
      </c>
      <c r="C39" s="15" t="s">
        <v>38</v>
      </c>
      <c r="D39" s="15" t="s">
        <v>150</v>
      </c>
      <c r="E39" s="15" t="s">
        <v>151</v>
      </c>
      <c r="F39" s="15" t="s">
        <v>152</v>
      </c>
      <c r="G39" s="15" t="s">
        <v>100</v>
      </c>
      <c r="H39" s="15" t="s">
        <v>27</v>
      </c>
      <c r="I39" s="15" t="s">
        <v>30</v>
      </c>
      <c r="J39" s="15" t="s">
        <v>31</v>
      </c>
      <c r="K39" s="33">
        <v>1</v>
      </c>
      <c r="L39" s="33" t="s">
        <v>32</v>
      </c>
      <c r="M39" s="15">
        <v>2022</v>
      </c>
      <c r="N39" s="33" t="s">
        <v>33</v>
      </c>
      <c r="O39" s="33">
        <v>10</v>
      </c>
      <c r="P39" s="33" t="s">
        <v>26</v>
      </c>
      <c r="Q39" s="33">
        <v>0</v>
      </c>
      <c r="R39" s="33">
        <v>90</v>
      </c>
      <c r="S39" s="33">
        <v>0.9</v>
      </c>
      <c r="T39" s="33">
        <v>0.1</v>
      </c>
      <c r="U39" s="33">
        <v>0</v>
      </c>
    </row>
    <row r="40" spans="1:22" x14ac:dyDescent="0.2">
      <c r="A40" s="15" t="s">
        <v>36</v>
      </c>
      <c r="B40" s="15" t="s">
        <v>37</v>
      </c>
      <c r="C40" s="15" t="s">
        <v>38</v>
      </c>
      <c r="D40" s="15" t="s">
        <v>153</v>
      </c>
      <c r="E40" s="15" t="s">
        <v>154</v>
      </c>
      <c r="F40" s="15" t="s">
        <v>155</v>
      </c>
      <c r="G40" s="15" t="s">
        <v>100</v>
      </c>
      <c r="H40" s="15" t="s">
        <v>24</v>
      </c>
      <c r="I40" s="15" t="s">
        <v>30</v>
      </c>
      <c r="J40" s="15" t="s">
        <v>31</v>
      </c>
      <c r="K40" s="33">
        <v>0.5</v>
      </c>
      <c r="L40" s="33" t="s">
        <v>32</v>
      </c>
      <c r="M40" s="15">
        <v>2022</v>
      </c>
      <c r="N40" s="33" t="s">
        <v>33</v>
      </c>
      <c r="O40" s="33">
        <v>10</v>
      </c>
      <c r="P40" s="33" t="s">
        <v>26</v>
      </c>
      <c r="Q40" s="33">
        <v>0</v>
      </c>
      <c r="R40" s="33">
        <v>90</v>
      </c>
      <c r="S40" s="33">
        <v>0.45</v>
      </c>
      <c r="T40" s="33">
        <v>0.05</v>
      </c>
      <c r="U40" s="33">
        <v>0</v>
      </c>
    </row>
    <row r="41" spans="1:22" x14ac:dyDescent="0.2">
      <c r="A41" s="15" t="s">
        <v>40</v>
      </c>
      <c r="B41" s="15" t="s">
        <v>156</v>
      </c>
      <c r="C41" s="15" t="s">
        <v>43</v>
      </c>
      <c r="D41" s="15" t="s">
        <v>157</v>
      </c>
      <c r="E41" s="15" t="s">
        <v>158</v>
      </c>
      <c r="F41" s="15" t="s">
        <v>159</v>
      </c>
      <c r="G41" s="15" t="s">
        <v>42</v>
      </c>
      <c r="H41" s="15" t="s">
        <v>27</v>
      </c>
      <c r="I41" s="15" t="s">
        <v>30</v>
      </c>
      <c r="J41" s="15" t="s">
        <v>31</v>
      </c>
      <c r="K41" s="33">
        <v>1</v>
      </c>
      <c r="L41" s="33" t="s">
        <v>32</v>
      </c>
      <c r="M41" s="15">
        <v>2022</v>
      </c>
      <c r="N41" s="33" t="s">
        <v>33</v>
      </c>
      <c r="O41" s="33">
        <v>10</v>
      </c>
      <c r="P41" s="33" t="s">
        <v>26</v>
      </c>
      <c r="Q41" s="33">
        <v>0</v>
      </c>
      <c r="R41" s="33">
        <v>90</v>
      </c>
      <c r="S41" s="33">
        <v>0.9</v>
      </c>
      <c r="T41" s="33">
        <v>0.1</v>
      </c>
      <c r="U41" s="33">
        <v>0</v>
      </c>
    </row>
    <row r="42" spans="1:22" x14ac:dyDescent="0.2">
      <c r="A42" s="33" t="s">
        <v>196</v>
      </c>
      <c r="B42" s="33" t="s">
        <v>197</v>
      </c>
      <c r="C42" s="33" t="s">
        <v>198</v>
      </c>
      <c r="D42" s="33" t="s">
        <v>199</v>
      </c>
      <c r="E42" s="33" t="s">
        <v>200</v>
      </c>
      <c r="F42" s="33" t="s">
        <v>201</v>
      </c>
      <c r="G42" s="33" t="s">
        <v>76</v>
      </c>
      <c r="H42" s="33" t="s">
        <v>202</v>
      </c>
      <c r="I42" s="33" t="s">
        <v>32</v>
      </c>
      <c r="J42" s="33" t="s">
        <v>203</v>
      </c>
      <c r="K42" s="33">
        <v>1</v>
      </c>
      <c r="L42" s="33" t="s">
        <v>32</v>
      </c>
      <c r="M42" s="33">
        <v>2023</v>
      </c>
      <c r="N42" s="33" t="s">
        <v>33</v>
      </c>
      <c r="O42" s="33" t="s">
        <v>28</v>
      </c>
      <c r="P42" s="33" t="s">
        <v>26</v>
      </c>
      <c r="Q42" s="33" t="s">
        <v>26</v>
      </c>
      <c r="R42" s="33">
        <v>90</v>
      </c>
      <c r="S42" s="33">
        <v>0.9</v>
      </c>
      <c r="T42" s="33">
        <v>0.1</v>
      </c>
      <c r="U42" s="33">
        <v>0</v>
      </c>
      <c r="V42" s="6" t="s">
        <v>162</v>
      </c>
    </row>
    <row r="43" spans="1:22" x14ac:dyDescent="0.2">
      <c r="A43" s="33" t="s">
        <v>196</v>
      </c>
      <c r="B43" s="33" t="s">
        <v>197</v>
      </c>
      <c r="C43" s="33" t="s">
        <v>198</v>
      </c>
      <c r="D43" s="33" t="s">
        <v>204</v>
      </c>
      <c r="E43" s="33" t="s">
        <v>205</v>
      </c>
      <c r="F43" s="33" t="s">
        <v>206</v>
      </c>
      <c r="G43" s="33" t="s">
        <v>68</v>
      </c>
      <c r="H43" s="33" t="s">
        <v>202</v>
      </c>
      <c r="I43" s="33" t="s">
        <v>32</v>
      </c>
      <c r="J43" s="33" t="s">
        <v>203</v>
      </c>
      <c r="K43" s="33">
        <v>1</v>
      </c>
      <c r="L43" s="33" t="s">
        <v>32</v>
      </c>
      <c r="M43" s="33">
        <v>2023</v>
      </c>
      <c r="N43" s="33" t="s">
        <v>33</v>
      </c>
      <c r="O43" s="33" t="s">
        <v>28</v>
      </c>
      <c r="P43" s="33" t="s">
        <v>26</v>
      </c>
      <c r="Q43" s="33" t="s">
        <v>26</v>
      </c>
      <c r="R43" s="33">
        <v>90</v>
      </c>
      <c r="S43" s="33">
        <v>0.9</v>
      </c>
      <c r="T43" s="33">
        <v>0.1</v>
      </c>
      <c r="U43" s="33">
        <v>0</v>
      </c>
      <c r="V43" s="6" t="s">
        <v>162</v>
      </c>
    </row>
    <row r="44" spans="1:22" x14ac:dyDescent="0.2">
      <c r="A44" s="33" t="s">
        <v>196</v>
      </c>
      <c r="B44" s="33" t="s">
        <v>197</v>
      </c>
      <c r="C44" s="33" t="s">
        <v>198</v>
      </c>
      <c r="D44" s="33" t="s">
        <v>207</v>
      </c>
      <c r="E44" s="33" t="s">
        <v>208</v>
      </c>
      <c r="F44" s="33" t="s">
        <v>209</v>
      </c>
      <c r="G44" s="33" t="s">
        <v>63</v>
      </c>
      <c r="H44" s="33" t="s">
        <v>210</v>
      </c>
      <c r="I44" s="33" t="s">
        <v>32</v>
      </c>
      <c r="J44" s="33" t="s">
        <v>203</v>
      </c>
      <c r="K44" s="33">
        <v>0.5</v>
      </c>
      <c r="L44" s="33" t="s">
        <v>32</v>
      </c>
      <c r="M44" s="33">
        <v>2023</v>
      </c>
      <c r="N44" s="33" t="s">
        <v>33</v>
      </c>
      <c r="O44" s="33" t="s">
        <v>28</v>
      </c>
      <c r="P44" s="33" t="s">
        <v>26</v>
      </c>
      <c r="Q44" s="33" t="s">
        <v>26</v>
      </c>
      <c r="R44" s="33">
        <v>90</v>
      </c>
      <c r="S44" s="33">
        <v>0.45</v>
      </c>
      <c r="T44" s="33">
        <v>0.05</v>
      </c>
      <c r="U44" s="33">
        <v>0</v>
      </c>
      <c r="V44" s="6" t="s">
        <v>162</v>
      </c>
    </row>
    <row r="45" spans="1:22" x14ac:dyDescent="0.2">
      <c r="A45" s="33" t="s">
        <v>196</v>
      </c>
      <c r="B45" s="33" t="s">
        <v>197</v>
      </c>
      <c r="C45" s="33" t="s">
        <v>198</v>
      </c>
      <c r="D45" s="33" t="s">
        <v>207</v>
      </c>
      <c r="E45" s="33" t="s">
        <v>208</v>
      </c>
      <c r="F45" s="33" t="s">
        <v>209</v>
      </c>
      <c r="G45" s="33" t="s">
        <v>211</v>
      </c>
      <c r="H45" s="33" t="s">
        <v>210</v>
      </c>
      <c r="I45" s="33" t="s">
        <v>32</v>
      </c>
      <c r="J45" s="33" t="s">
        <v>203</v>
      </c>
      <c r="K45" s="33">
        <v>0.5</v>
      </c>
      <c r="L45" s="33" t="s">
        <v>32</v>
      </c>
      <c r="M45" s="33">
        <v>2023</v>
      </c>
      <c r="N45" s="33" t="s">
        <v>26</v>
      </c>
      <c r="O45" s="33" t="s">
        <v>26</v>
      </c>
      <c r="P45" s="33" t="s">
        <v>26</v>
      </c>
      <c r="Q45" s="33" t="s">
        <v>26</v>
      </c>
      <c r="R45" s="33">
        <v>100</v>
      </c>
      <c r="S45" s="33">
        <v>0.5</v>
      </c>
      <c r="T45" s="33">
        <v>0</v>
      </c>
      <c r="U45" s="33">
        <v>0</v>
      </c>
      <c r="V45" s="6" t="s">
        <v>162</v>
      </c>
    </row>
    <row r="46" spans="1:22" x14ac:dyDescent="0.2">
      <c r="A46" s="33" t="s">
        <v>212</v>
      </c>
      <c r="B46" s="33" t="s">
        <v>213</v>
      </c>
      <c r="C46" s="33" t="s">
        <v>214</v>
      </c>
      <c r="D46" s="33" t="s">
        <v>215</v>
      </c>
      <c r="E46" s="33" t="s">
        <v>216</v>
      </c>
      <c r="F46" s="33" t="s">
        <v>217</v>
      </c>
      <c r="G46" s="33" t="s">
        <v>218</v>
      </c>
      <c r="H46" s="33" t="s">
        <v>202</v>
      </c>
      <c r="I46" s="33" t="s">
        <v>32</v>
      </c>
      <c r="J46" s="33" t="s">
        <v>203</v>
      </c>
      <c r="K46" s="33">
        <v>1</v>
      </c>
      <c r="L46" s="33" t="s">
        <v>32</v>
      </c>
      <c r="M46" s="33">
        <v>2023</v>
      </c>
      <c r="N46" s="33" t="s">
        <v>33</v>
      </c>
      <c r="O46" s="33" t="s">
        <v>28</v>
      </c>
      <c r="P46" s="33" t="s">
        <v>26</v>
      </c>
      <c r="Q46" s="33" t="s">
        <v>26</v>
      </c>
      <c r="R46" s="33">
        <v>90</v>
      </c>
      <c r="S46" s="33">
        <v>0.9</v>
      </c>
      <c r="T46" s="33">
        <v>0.1</v>
      </c>
      <c r="U46" s="33">
        <v>0</v>
      </c>
      <c r="V46" s="6" t="s">
        <v>162</v>
      </c>
    </row>
    <row r="47" spans="1:22" x14ac:dyDescent="0.2">
      <c r="A47" s="33" t="s">
        <v>196</v>
      </c>
      <c r="B47" s="33" t="s">
        <v>351</v>
      </c>
      <c r="C47" s="33" t="s">
        <v>198</v>
      </c>
      <c r="D47" s="33" t="s">
        <v>352</v>
      </c>
      <c r="E47" s="33" t="s">
        <v>353</v>
      </c>
      <c r="F47" s="33" t="s">
        <v>354</v>
      </c>
      <c r="G47" s="33" t="s">
        <v>68</v>
      </c>
      <c r="H47" s="33" t="s">
        <v>210</v>
      </c>
      <c r="I47" s="33" t="s">
        <v>32</v>
      </c>
      <c r="J47" s="33" t="s">
        <v>355</v>
      </c>
      <c r="K47" s="33">
        <v>0.5</v>
      </c>
      <c r="L47" s="33" t="s">
        <v>32</v>
      </c>
      <c r="M47" s="33">
        <v>2024</v>
      </c>
      <c r="N47" s="33" t="s">
        <v>33</v>
      </c>
      <c r="O47" s="33" t="s">
        <v>28</v>
      </c>
      <c r="P47" s="33" t="s">
        <v>26</v>
      </c>
      <c r="Q47" s="33" t="s">
        <v>26</v>
      </c>
      <c r="R47" s="33">
        <v>90</v>
      </c>
      <c r="S47" s="33">
        <v>0.45</v>
      </c>
      <c r="T47" s="33">
        <v>0.05</v>
      </c>
      <c r="U47" s="33">
        <v>0</v>
      </c>
    </row>
    <row r="48" spans="1:22" x14ac:dyDescent="0.2">
      <c r="A48" s="33" t="s">
        <v>196</v>
      </c>
      <c r="B48" s="33" t="s">
        <v>351</v>
      </c>
      <c r="C48" s="33" t="s">
        <v>198</v>
      </c>
      <c r="D48" s="33" t="s">
        <v>352</v>
      </c>
      <c r="E48" s="33" t="s">
        <v>353</v>
      </c>
      <c r="F48" s="33" t="s">
        <v>354</v>
      </c>
      <c r="G48" s="33" t="s">
        <v>356</v>
      </c>
      <c r="H48" s="33" t="s">
        <v>210</v>
      </c>
      <c r="I48" s="33" t="s">
        <v>32</v>
      </c>
      <c r="J48" s="33" t="s">
        <v>355</v>
      </c>
      <c r="K48" s="33">
        <v>0.5</v>
      </c>
      <c r="L48" s="33" t="s">
        <v>32</v>
      </c>
      <c r="M48" s="33">
        <v>2024</v>
      </c>
      <c r="N48" s="33" t="s">
        <v>26</v>
      </c>
      <c r="O48" s="33" t="s">
        <v>26</v>
      </c>
      <c r="P48" s="33" t="s">
        <v>26</v>
      </c>
      <c r="Q48" s="33" t="s">
        <v>26</v>
      </c>
      <c r="R48" s="33">
        <v>100</v>
      </c>
      <c r="S48" s="33">
        <v>0.5</v>
      </c>
      <c r="T48" s="33">
        <v>0</v>
      </c>
      <c r="U48" s="33">
        <v>0</v>
      </c>
    </row>
    <row r="49" spans="1:21" x14ac:dyDescent="0.2">
      <c r="A49" s="33" t="s">
        <v>196</v>
      </c>
      <c r="B49" s="33" t="s">
        <v>351</v>
      </c>
      <c r="C49" s="33" t="s">
        <v>198</v>
      </c>
      <c r="D49" s="33" t="s">
        <v>357</v>
      </c>
      <c r="E49" s="33" t="s">
        <v>358</v>
      </c>
      <c r="F49" s="33" t="s">
        <v>359</v>
      </c>
      <c r="G49" s="33" t="s">
        <v>64</v>
      </c>
      <c r="H49" s="33" t="s">
        <v>210</v>
      </c>
      <c r="I49" s="33" t="s">
        <v>32</v>
      </c>
      <c r="J49" s="33" t="s">
        <v>355</v>
      </c>
      <c r="K49" s="33">
        <v>0.5</v>
      </c>
      <c r="L49" s="33" t="s">
        <v>32</v>
      </c>
      <c r="M49" s="33">
        <v>2024</v>
      </c>
      <c r="N49" s="33" t="s">
        <v>33</v>
      </c>
      <c r="O49" s="33" t="s">
        <v>219</v>
      </c>
      <c r="P49" s="33" t="s">
        <v>220</v>
      </c>
      <c r="Q49" s="33" t="s">
        <v>28</v>
      </c>
      <c r="R49" s="33">
        <v>50</v>
      </c>
      <c r="S49" s="33">
        <v>0.25</v>
      </c>
      <c r="T49" s="33">
        <v>0.2</v>
      </c>
      <c r="U49" s="33">
        <v>0.05</v>
      </c>
    </row>
    <row r="50" spans="1:21" x14ac:dyDescent="0.2">
      <c r="A50" s="33" t="s">
        <v>196</v>
      </c>
      <c r="B50" s="33" t="s">
        <v>351</v>
      </c>
      <c r="C50" s="33" t="s">
        <v>198</v>
      </c>
      <c r="D50" s="33" t="s">
        <v>357</v>
      </c>
      <c r="E50" s="33" t="s">
        <v>358</v>
      </c>
      <c r="F50" s="33" t="s">
        <v>359</v>
      </c>
      <c r="G50" s="33" t="s">
        <v>66</v>
      </c>
      <c r="H50" s="33" t="s">
        <v>210</v>
      </c>
      <c r="I50" s="33" t="s">
        <v>32</v>
      </c>
      <c r="J50" s="33" t="s">
        <v>355</v>
      </c>
      <c r="K50" s="33">
        <v>0.5</v>
      </c>
      <c r="L50" s="33" t="s">
        <v>32</v>
      </c>
      <c r="M50" s="33">
        <v>2024</v>
      </c>
      <c r="N50" s="33" t="s">
        <v>33</v>
      </c>
      <c r="O50" s="33" t="s">
        <v>219</v>
      </c>
      <c r="P50" s="33" t="s">
        <v>220</v>
      </c>
      <c r="Q50" s="33" t="s">
        <v>28</v>
      </c>
      <c r="R50" s="33">
        <v>50</v>
      </c>
      <c r="S50" s="33">
        <v>0.25</v>
      </c>
      <c r="T50" s="33">
        <v>0.2</v>
      </c>
      <c r="U50" s="33">
        <v>0.05</v>
      </c>
    </row>
    <row r="51" spans="1:21" x14ac:dyDescent="0.2">
      <c r="A51" s="33" t="s">
        <v>196</v>
      </c>
      <c r="B51" s="33" t="s">
        <v>351</v>
      </c>
      <c r="C51" s="33" t="s">
        <v>198</v>
      </c>
      <c r="D51" s="33" t="s">
        <v>360</v>
      </c>
      <c r="E51" s="33" t="s">
        <v>361</v>
      </c>
      <c r="F51" s="33" t="s">
        <v>362</v>
      </c>
      <c r="G51" s="33" t="s">
        <v>64</v>
      </c>
      <c r="H51" s="33" t="s">
        <v>210</v>
      </c>
      <c r="I51" s="33" t="s">
        <v>32</v>
      </c>
      <c r="J51" s="33" t="s">
        <v>355</v>
      </c>
      <c r="K51" s="33">
        <v>0.5</v>
      </c>
      <c r="L51" s="33" t="s">
        <v>32</v>
      </c>
      <c r="M51" s="33">
        <v>2024</v>
      </c>
      <c r="N51" s="33" t="s">
        <v>33</v>
      </c>
      <c r="O51" s="33" t="s">
        <v>219</v>
      </c>
      <c r="P51" s="33" t="s">
        <v>220</v>
      </c>
      <c r="Q51" s="33" t="s">
        <v>28</v>
      </c>
      <c r="R51" s="33">
        <v>50</v>
      </c>
      <c r="S51" s="33">
        <v>0.25</v>
      </c>
      <c r="T51" s="33">
        <v>0.2</v>
      </c>
      <c r="U51" s="33">
        <v>0.05</v>
      </c>
    </row>
    <row r="52" spans="1:21" x14ac:dyDescent="0.2">
      <c r="A52" s="33" t="s">
        <v>196</v>
      </c>
      <c r="B52" s="33" t="s">
        <v>351</v>
      </c>
      <c r="C52" s="33" t="s">
        <v>198</v>
      </c>
      <c r="D52" s="33" t="s">
        <v>360</v>
      </c>
      <c r="E52" s="33" t="s">
        <v>361</v>
      </c>
      <c r="F52" s="33" t="s">
        <v>362</v>
      </c>
      <c r="G52" s="33" t="s">
        <v>66</v>
      </c>
      <c r="H52" s="33" t="s">
        <v>210</v>
      </c>
      <c r="I52" s="33" t="s">
        <v>32</v>
      </c>
      <c r="J52" s="33" t="s">
        <v>355</v>
      </c>
      <c r="K52" s="33">
        <v>0.5</v>
      </c>
      <c r="L52" s="33" t="s">
        <v>32</v>
      </c>
      <c r="M52" s="33">
        <v>2024</v>
      </c>
      <c r="N52" s="33" t="s">
        <v>33</v>
      </c>
      <c r="O52" s="33" t="s">
        <v>219</v>
      </c>
      <c r="P52" s="33" t="s">
        <v>220</v>
      </c>
      <c r="Q52" s="33" t="s">
        <v>28</v>
      </c>
      <c r="R52" s="33">
        <v>50</v>
      </c>
      <c r="S52" s="33">
        <v>0.25</v>
      </c>
      <c r="T52" s="33">
        <v>0.2</v>
      </c>
      <c r="U52" s="33">
        <v>0.05</v>
      </c>
    </row>
    <row r="53" spans="1:21" x14ac:dyDescent="0.2">
      <c r="A53" s="33" t="s">
        <v>212</v>
      </c>
      <c r="B53" s="33" t="s">
        <v>363</v>
      </c>
      <c r="C53" s="33" t="s">
        <v>214</v>
      </c>
      <c r="D53" s="33" t="s">
        <v>364</v>
      </c>
      <c r="E53" s="33" t="s">
        <v>365</v>
      </c>
      <c r="F53" s="33" t="s">
        <v>366</v>
      </c>
      <c r="G53" s="33" t="s">
        <v>70</v>
      </c>
      <c r="H53" s="33" t="s">
        <v>202</v>
      </c>
      <c r="I53" s="33" t="s">
        <v>32</v>
      </c>
      <c r="J53" s="33" t="s">
        <v>355</v>
      </c>
      <c r="K53" s="33">
        <v>1</v>
      </c>
      <c r="L53" s="33" t="s">
        <v>32</v>
      </c>
      <c r="M53" s="33">
        <v>2024</v>
      </c>
      <c r="N53" s="33" t="s">
        <v>33</v>
      </c>
      <c r="O53" s="33" t="s">
        <v>222</v>
      </c>
      <c r="P53" s="33" t="s">
        <v>26</v>
      </c>
      <c r="Q53" s="33" t="s">
        <v>26</v>
      </c>
      <c r="R53" s="33">
        <v>85</v>
      </c>
      <c r="S53" s="33">
        <v>0.85</v>
      </c>
      <c r="T53" s="33">
        <v>0.15</v>
      </c>
      <c r="U53" s="33">
        <v>0</v>
      </c>
    </row>
    <row r="54" spans="1:21" x14ac:dyDescent="0.2">
      <c r="A54" s="44"/>
      <c r="B54" s="44"/>
      <c r="C54" s="44"/>
      <c r="D54" s="44"/>
      <c r="E54" s="44"/>
      <c r="F54" s="44"/>
      <c r="G54" s="44"/>
      <c r="H54" s="44"/>
      <c r="I54" s="44"/>
      <c r="J54" s="44"/>
      <c r="K54" s="44"/>
      <c r="L54" s="44"/>
      <c r="M54" s="44"/>
      <c r="N54" s="44"/>
      <c r="O54" s="45"/>
      <c r="P54" s="44"/>
      <c r="Q54" s="45"/>
      <c r="R54" s="44"/>
      <c r="S54" s="46">
        <f>SUM(S2:S53)</f>
        <v>24.724999999999987</v>
      </c>
      <c r="T54" s="44"/>
      <c r="U54" s="44"/>
    </row>
  </sheetData>
  <autoFilter ref="A1:U1" xr:uid="{00000000-0009-0000-0000-000000000000}">
    <sortState xmlns:xlrd2="http://schemas.microsoft.com/office/spreadsheetml/2017/richdata2" ref="A2:T1866">
      <sortCondition ref="K2:K1866"/>
      <sortCondition ref="L2:L1866"/>
      <sortCondition ref="D2:D1866"/>
    </sortState>
  </autoFilter>
  <printOptions horizontalCentered="1"/>
  <pageMargins left="0.19685039370078741" right="0.19685039370078741" top="0.39370078740157483" bottom="0.39370078740157483" header="0.78740157480314965" footer="0"/>
  <pageSetup paperSize="9" scale="93" fitToWidth="2" fitToHeight="5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24"/>
  <sheetViews>
    <sheetView zoomScaleNormal="100" workbookViewId="0">
      <selection activeCell="U18" sqref="U18"/>
    </sheetView>
  </sheetViews>
  <sheetFormatPr baseColWidth="10" defaultColWidth="11.42578125" defaultRowHeight="12.75" x14ac:dyDescent="0.2"/>
  <cols>
    <col min="1" max="1" width="9.28515625" style="11" customWidth="1"/>
    <col min="2" max="2" width="39" style="11" bestFit="1" customWidth="1"/>
    <col min="3" max="3" width="17" style="11" bestFit="1" customWidth="1"/>
    <col min="4" max="9" width="3" style="11" customWidth="1"/>
    <col min="10" max="10" width="5.140625" style="11" customWidth="1"/>
    <col min="11" max="11" width="31.85546875" style="11" customWidth="1"/>
    <col min="12" max="12" width="5.28515625" style="11" customWidth="1"/>
    <col min="13" max="13" width="4.85546875" style="11" customWidth="1"/>
    <col min="14" max="14" width="4.7109375" style="12" customWidth="1"/>
    <col min="15" max="15" width="4.85546875" style="11" customWidth="1"/>
    <col min="16" max="16" width="4.7109375" style="12" customWidth="1"/>
    <col min="17" max="19" width="4.85546875" style="11" customWidth="1"/>
    <col min="20" max="16384" width="11.42578125" style="11"/>
  </cols>
  <sheetData>
    <row r="1" spans="1:20" s="10" customFormat="1" ht="60" customHeight="1" x14ac:dyDescent="0.2">
      <c r="A1" s="28" t="s">
        <v>49</v>
      </c>
      <c r="B1" s="28" t="s">
        <v>50</v>
      </c>
      <c r="C1" s="28" t="s">
        <v>51</v>
      </c>
      <c r="D1" s="29" t="s">
        <v>367</v>
      </c>
      <c r="E1" s="29" t="s">
        <v>368</v>
      </c>
      <c r="F1" s="29" t="s">
        <v>369</v>
      </c>
      <c r="G1" s="29" t="s">
        <v>370</v>
      </c>
      <c r="H1" s="29" t="s">
        <v>371</v>
      </c>
      <c r="I1" s="29" t="s">
        <v>372</v>
      </c>
      <c r="J1" s="28" t="s">
        <v>52</v>
      </c>
      <c r="K1" s="30" t="s">
        <v>137</v>
      </c>
      <c r="L1" s="8" t="s">
        <v>53</v>
      </c>
      <c r="M1" s="8" t="s">
        <v>54</v>
      </c>
      <c r="N1" s="8" t="s">
        <v>55</v>
      </c>
      <c r="O1" s="8" t="s">
        <v>56</v>
      </c>
      <c r="P1" s="9" t="s">
        <v>57</v>
      </c>
      <c r="Q1" s="9" t="s">
        <v>58</v>
      </c>
      <c r="R1" s="9" t="s">
        <v>59</v>
      </c>
      <c r="S1" s="9" t="s">
        <v>60</v>
      </c>
      <c r="T1" s="11"/>
    </row>
    <row r="2" spans="1:20" ht="15" x14ac:dyDescent="0.25">
      <c r="A2" s="31" t="s">
        <v>91</v>
      </c>
      <c r="B2" s="31" t="s">
        <v>373</v>
      </c>
      <c r="C2" s="31" t="s">
        <v>90</v>
      </c>
      <c r="D2" s="31"/>
      <c r="E2" s="31">
        <v>1</v>
      </c>
      <c r="F2" s="31"/>
      <c r="G2" s="31"/>
      <c r="H2" s="31"/>
      <c r="I2" s="31"/>
      <c r="J2" s="31">
        <v>1</v>
      </c>
      <c r="K2" s="31" t="s">
        <v>32</v>
      </c>
      <c r="L2" s="32" t="s">
        <v>33</v>
      </c>
      <c r="M2" s="32" t="s">
        <v>28</v>
      </c>
      <c r="N2" s="32" t="s">
        <v>26</v>
      </c>
      <c r="O2" s="32" t="s">
        <v>26</v>
      </c>
      <c r="P2" s="32">
        <v>90</v>
      </c>
      <c r="Q2" s="32">
        <v>0.1</v>
      </c>
      <c r="R2" s="32">
        <v>0</v>
      </c>
      <c r="S2" s="32">
        <v>0.9</v>
      </c>
    </row>
    <row r="3" spans="1:20" ht="15" x14ac:dyDescent="0.25">
      <c r="A3" s="31" t="s">
        <v>65</v>
      </c>
      <c r="B3" s="31" t="s">
        <v>374</v>
      </c>
      <c r="C3" s="31" t="s">
        <v>61</v>
      </c>
      <c r="D3" s="31"/>
      <c r="E3" s="31"/>
      <c r="F3" s="31">
        <v>1</v>
      </c>
      <c r="G3" s="31"/>
      <c r="H3" s="31"/>
      <c r="I3" s="31"/>
      <c r="J3" s="31">
        <v>1</v>
      </c>
      <c r="K3" s="31" t="s">
        <v>32</v>
      </c>
      <c r="L3" s="32" t="s">
        <v>220</v>
      </c>
      <c r="M3" s="32" t="s">
        <v>28</v>
      </c>
      <c r="N3" s="32" t="s">
        <v>33</v>
      </c>
      <c r="O3" s="32" t="s">
        <v>219</v>
      </c>
      <c r="P3" s="32">
        <v>50</v>
      </c>
      <c r="Q3" s="32">
        <v>0.1</v>
      </c>
      <c r="R3" s="32">
        <v>0.4</v>
      </c>
      <c r="S3" s="32">
        <v>0.5</v>
      </c>
    </row>
    <row r="4" spans="1:20" ht="15" x14ac:dyDescent="0.25">
      <c r="A4" s="31" t="s">
        <v>160</v>
      </c>
      <c r="B4" s="31" t="s">
        <v>375</v>
      </c>
      <c r="C4" s="31" t="s">
        <v>90</v>
      </c>
      <c r="D4" s="31"/>
      <c r="E4" s="31"/>
      <c r="F4" s="31"/>
      <c r="G4" s="31">
        <v>1</v>
      </c>
      <c r="H4" s="31"/>
      <c r="I4" s="31"/>
      <c r="J4" s="31">
        <v>1</v>
      </c>
      <c r="K4" s="31" t="s">
        <v>32</v>
      </c>
      <c r="L4" s="32">
        <v>0</v>
      </c>
      <c r="M4" s="32">
        <v>0</v>
      </c>
      <c r="N4" s="32" t="s">
        <v>26</v>
      </c>
      <c r="O4" s="32" t="s">
        <v>26</v>
      </c>
      <c r="P4" s="32">
        <v>100</v>
      </c>
      <c r="Q4" s="32">
        <v>0</v>
      </c>
      <c r="R4" s="32">
        <v>0</v>
      </c>
      <c r="S4" s="32">
        <v>1</v>
      </c>
    </row>
    <row r="5" spans="1:20" ht="15" x14ac:dyDescent="0.25">
      <c r="A5" s="31" t="s">
        <v>64</v>
      </c>
      <c r="B5" s="31" t="s">
        <v>376</v>
      </c>
      <c r="C5" s="31" t="s">
        <v>61</v>
      </c>
      <c r="D5" s="31"/>
      <c r="E5" s="31">
        <v>1</v>
      </c>
      <c r="F5" s="31"/>
      <c r="G5" s="31"/>
      <c r="H5" s="31"/>
      <c r="I5" s="31"/>
      <c r="J5" s="31">
        <v>1</v>
      </c>
      <c r="K5" s="31" t="s">
        <v>32</v>
      </c>
      <c r="L5" s="32" t="s">
        <v>33</v>
      </c>
      <c r="M5" s="32" t="s">
        <v>219</v>
      </c>
      <c r="N5" s="32" t="s">
        <v>220</v>
      </c>
      <c r="O5" s="32" t="s">
        <v>28</v>
      </c>
      <c r="P5" s="32">
        <v>50</v>
      </c>
      <c r="Q5" s="32">
        <v>0.4</v>
      </c>
      <c r="R5" s="32">
        <v>0.1</v>
      </c>
      <c r="S5" s="32">
        <v>0.5</v>
      </c>
    </row>
    <row r="6" spans="1:20" ht="15" x14ac:dyDescent="0.25">
      <c r="A6" s="31" t="s">
        <v>75</v>
      </c>
      <c r="B6" s="31" t="s">
        <v>377</v>
      </c>
      <c r="C6" s="31" t="s">
        <v>61</v>
      </c>
      <c r="D6" s="31">
        <v>1</v>
      </c>
      <c r="E6" s="31"/>
      <c r="F6" s="31"/>
      <c r="G6" s="31"/>
      <c r="H6" s="31"/>
      <c r="I6" s="31"/>
      <c r="J6" s="31">
        <v>1</v>
      </c>
      <c r="K6" s="31" t="s">
        <v>32</v>
      </c>
      <c r="L6" s="32" t="s">
        <v>33</v>
      </c>
      <c r="M6" s="32" t="s">
        <v>28</v>
      </c>
      <c r="N6" s="32" t="s">
        <v>26</v>
      </c>
      <c r="O6" s="32" t="s">
        <v>26</v>
      </c>
      <c r="P6" s="32">
        <v>90</v>
      </c>
      <c r="Q6" s="32">
        <v>0.1</v>
      </c>
      <c r="R6" s="32">
        <v>0</v>
      </c>
      <c r="S6" s="32">
        <v>0.9</v>
      </c>
    </row>
    <row r="7" spans="1:20" ht="15" x14ac:dyDescent="0.25">
      <c r="A7" s="31" t="s">
        <v>72</v>
      </c>
      <c r="B7" s="31" t="s">
        <v>378</v>
      </c>
      <c r="C7" s="31" t="s">
        <v>61</v>
      </c>
      <c r="D7" s="31"/>
      <c r="E7" s="31">
        <v>1</v>
      </c>
      <c r="F7" s="31"/>
      <c r="G7" s="31"/>
      <c r="H7" s="31"/>
      <c r="I7" s="31"/>
      <c r="J7" s="31">
        <v>1</v>
      </c>
      <c r="K7" s="31" t="s">
        <v>32</v>
      </c>
      <c r="L7" s="32" t="s">
        <v>33</v>
      </c>
      <c r="M7" s="32" t="s">
        <v>28</v>
      </c>
      <c r="N7" s="32" t="s">
        <v>26</v>
      </c>
      <c r="O7" s="32" t="s">
        <v>26</v>
      </c>
      <c r="P7" s="32">
        <v>90</v>
      </c>
      <c r="Q7" s="32">
        <v>0.1</v>
      </c>
      <c r="R7" s="32">
        <v>0</v>
      </c>
      <c r="S7" s="32">
        <v>0.9</v>
      </c>
    </row>
    <row r="8" spans="1:20" ht="15" x14ac:dyDescent="0.25">
      <c r="A8" s="31" t="s">
        <v>74</v>
      </c>
      <c r="B8" s="31" t="s">
        <v>379</v>
      </c>
      <c r="C8" s="31" t="s">
        <v>61</v>
      </c>
      <c r="D8" s="31"/>
      <c r="E8" s="31"/>
      <c r="F8" s="31"/>
      <c r="G8" s="31">
        <v>1</v>
      </c>
      <c r="H8" s="31"/>
      <c r="I8" s="31"/>
      <c r="J8" s="31">
        <v>1</v>
      </c>
      <c r="K8" s="31" t="s">
        <v>32</v>
      </c>
      <c r="L8" s="32" t="s">
        <v>33</v>
      </c>
      <c r="M8" s="32" t="s">
        <v>28</v>
      </c>
      <c r="N8" s="32" t="s">
        <v>26</v>
      </c>
      <c r="O8" s="32" t="s">
        <v>26</v>
      </c>
      <c r="P8" s="32">
        <v>90</v>
      </c>
      <c r="Q8" s="32">
        <v>0.1</v>
      </c>
      <c r="R8" s="32">
        <v>0</v>
      </c>
      <c r="S8" s="32">
        <v>0.9</v>
      </c>
    </row>
    <row r="9" spans="1:20" ht="15" x14ac:dyDescent="0.25">
      <c r="A9" s="31" t="s">
        <v>71</v>
      </c>
      <c r="B9" s="31" t="s">
        <v>380</v>
      </c>
      <c r="C9" s="31" t="s">
        <v>61</v>
      </c>
      <c r="D9" s="31"/>
      <c r="E9" s="31"/>
      <c r="F9" s="31">
        <v>1</v>
      </c>
      <c r="G9" s="31"/>
      <c r="H9" s="31"/>
      <c r="I9" s="31"/>
      <c r="J9" s="31">
        <v>1</v>
      </c>
      <c r="K9" s="31" t="s">
        <v>32</v>
      </c>
      <c r="L9" s="32" t="s">
        <v>33</v>
      </c>
      <c r="M9" s="32" t="s">
        <v>28</v>
      </c>
      <c r="N9" s="32" t="s">
        <v>26</v>
      </c>
      <c r="O9" s="32" t="s">
        <v>26</v>
      </c>
      <c r="P9" s="32">
        <v>90</v>
      </c>
      <c r="Q9" s="32">
        <v>0.1</v>
      </c>
      <c r="R9" s="32">
        <v>0</v>
      </c>
      <c r="S9" s="32">
        <v>0.9</v>
      </c>
    </row>
    <row r="10" spans="1:20" ht="15" x14ac:dyDescent="0.25">
      <c r="A10" s="31" t="s">
        <v>76</v>
      </c>
      <c r="B10" s="31" t="s">
        <v>381</v>
      </c>
      <c r="C10" s="31" t="s">
        <v>61</v>
      </c>
      <c r="D10" s="31"/>
      <c r="E10" s="31"/>
      <c r="F10" s="31"/>
      <c r="G10" s="31">
        <v>1</v>
      </c>
      <c r="H10" s="31"/>
      <c r="I10" s="31"/>
      <c r="J10" s="31">
        <v>1</v>
      </c>
      <c r="K10" s="31" t="s">
        <v>32</v>
      </c>
      <c r="L10" s="32" t="s">
        <v>33</v>
      </c>
      <c r="M10" s="32" t="s">
        <v>28</v>
      </c>
      <c r="N10" s="32" t="s">
        <v>26</v>
      </c>
      <c r="O10" s="32" t="s">
        <v>26</v>
      </c>
      <c r="P10" s="32">
        <v>90</v>
      </c>
      <c r="Q10" s="32">
        <v>0.1</v>
      </c>
      <c r="R10" s="32">
        <v>0</v>
      </c>
      <c r="S10" s="32">
        <v>0.9</v>
      </c>
    </row>
    <row r="11" spans="1:20" ht="15" x14ac:dyDescent="0.25">
      <c r="A11" s="31" t="s">
        <v>221</v>
      </c>
      <c r="B11" s="31" t="s">
        <v>382</v>
      </c>
      <c r="C11" s="31" t="s">
        <v>90</v>
      </c>
      <c r="D11" s="31"/>
      <c r="E11" s="31"/>
      <c r="F11" s="31"/>
      <c r="G11" s="31"/>
      <c r="H11" s="31">
        <v>1</v>
      </c>
      <c r="I11" s="31"/>
      <c r="J11" s="31">
        <v>1</v>
      </c>
      <c r="K11" s="31" t="s">
        <v>32</v>
      </c>
      <c r="L11" s="32">
        <v>0</v>
      </c>
      <c r="M11" s="32">
        <v>0</v>
      </c>
      <c r="N11" s="32" t="s">
        <v>26</v>
      </c>
      <c r="O11" s="32" t="s">
        <v>26</v>
      </c>
      <c r="P11" s="32">
        <v>100</v>
      </c>
      <c r="Q11" s="32">
        <v>0</v>
      </c>
      <c r="R11" s="32">
        <v>0</v>
      </c>
      <c r="S11" s="32">
        <v>1</v>
      </c>
    </row>
    <row r="12" spans="1:20" ht="15" x14ac:dyDescent="0.25">
      <c r="A12" s="31" t="s">
        <v>383</v>
      </c>
      <c r="B12" s="31" t="s">
        <v>384</v>
      </c>
      <c r="C12" s="31" t="s">
        <v>90</v>
      </c>
      <c r="D12" s="31"/>
      <c r="E12" s="31"/>
      <c r="F12" s="31"/>
      <c r="G12" s="31"/>
      <c r="H12" s="31"/>
      <c r="I12" s="31">
        <v>1</v>
      </c>
      <c r="J12" s="31">
        <v>1</v>
      </c>
      <c r="K12" s="31" t="s">
        <v>32</v>
      </c>
      <c r="L12" s="32">
        <v>0</v>
      </c>
      <c r="M12" s="32">
        <v>0</v>
      </c>
      <c r="N12" s="32" t="s">
        <v>26</v>
      </c>
      <c r="O12" s="32" t="s">
        <v>26</v>
      </c>
      <c r="P12" s="32">
        <v>100</v>
      </c>
      <c r="Q12" s="32">
        <v>0</v>
      </c>
      <c r="R12" s="32">
        <v>0</v>
      </c>
      <c r="S12" s="32">
        <v>1</v>
      </c>
    </row>
    <row r="13" spans="1:20" ht="15" x14ac:dyDescent="0.25">
      <c r="A13" s="31" t="s">
        <v>67</v>
      </c>
      <c r="B13" s="31" t="s">
        <v>385</v>
      </c>
      <c r="C13" s="31" t="s">
        <v>61</v>
      </c>
      <c r="D13" s="31"/>
      <c r="E13" s="31"/>
      <c r="F13" s="31">
        <v>1</v>
      </c>
      <c r="G13" s="31"/>
      <c r="H13" s="31"/>
      <c r="I13" s="31"/>
      <c r="J13" s="31">
        <v>1</v>
      </c>
      <c r="K13" s="31" t="s">
        <v>32</v>
      </c>
      <c r="L13" s="32" t="s">
        <v>33</v>
      </c>
      <c r="M13" s="32" t="s">
        <v>28</v>
      </c>
      <c r="N13" s="32" t="s">
        <v>26</v>
      </c>
      <c r="O13" s="32" t="s">
        <v>26</v>
      </c>
      <c r="P13" s="32">
        <v>90</v>
      </c>
      <c r="Q13" s="32">
        <v>0.1</v>
      </c>
      <c r="R13" s="32">
        <v>0</v>
      </c>
      <c r="S13" s="32">
        <v>0.9</v>
      </c>
    </row>
    <row r="14" spans="1:20" ht="15" x14ac:dyDescent="0.25">
      <c r="A14" s="31" t="s">
        <v>70</v>
      </c>
      <c r="B14" s="31" t="s">
        <v>386</v>
      </c>
      <c r="C14" s="31" t="s">
        <v>61</v>
      </c>
      <c r="D14" s="31"/>
      <c r="E14" s="31"/>
      <c r="F14" s="31">
        <v>1</v>
      </c>
      <c r="G14" s="31"/>
      <c r="H14" s="31"/>
      <c r="I14" s="31"/>
      <c r="J14" s="31">
        <v>1</v>
      </c>
      <c r="K14" s="31" t="s">
        <v>32</v>
      </c>
      <c r="L14" s="32" t="s">
        <v>33</v>
      </c>
      <c r="M14" s="32" t="s">
        <v>222</v>
      </c>
      <c r="N14" s="32" t="s">
        <v>26</v>
      </c>
      <c r="O14" s="32" t="s">
        <v>26</v>
      </c>
      <c r="P14" s="32">
        <v>85</v>
      </c>
      <c r="Q14" s="32">
        <v>0.15</v>
      </c>
      <c r="R14" s="32">
        <v>0</v>
      </c>
      <c r="S14" s="32">
        <v>0.85</v>
      </c>
    </row>
    <row r="15" spans="1:20" ht="15" x14ac:dyDescent="0.25">
      <c r="A15" s="31" t="s">
        <v>73</v>
      </c>
      <c r="B15" s="31" t="s">
        <v>387</v>
      </c>
      <c r="C15" s="31" t="s">
        <v>61</v>
      </c>
      <c r="D15" s="31"/>
      <c r="E15" s="31"/>
      <c r="F15" s="31">
        <v>1</v>
      </c>
      <c r="G15" s="31"/>
      <c r="H15" s="31"/>
      <c r="I15" s="31"/>
      <c r="J15" s="31">
        <v>1</v>
      </c>
      <c r="K15" s="31" t="s">
        <v>32</v>
      </c>
      <c r="L15" s="32">
        <v>0</v>
      </c>
      <c r="M15" s="32">
        <v>0</v>
      </c>
      <c r="N15" s="32" t="s">
        <v>26</v>
      </c>
      <c r="O15" s="32" t="s">
        <v>26</v>
      </c>
      <c r="P15" s="32">
        <v>100</v>
      </c>
      <c r="Q15" s="32">
        <v>0</v>
      </c>
      <c r="R15" s="32">
        <v>0</v>
      </c>
      <c r="S15" s="32">
        <v>1</v>
      </c>
    </row>
    <row r="16" spans="1:20" ht="15" x14ac:dyDescent="0.25">
      <c r="A16" s="31" t="s">
        <v>62</v>
      </c>
      <c r="B16" s="31" t="s">
        <v>388</v>
      </c>
      <c r="C16" s="31" t="s">
        <v>61</v>
      </c>
      <c r="D16" s="31"/>
      <c r="E16" s="31">
        <v>2</v>
      </c>
      <c r="F16" s="31"/>
      <c r="G16" s="31"/>
      <c r="H16" s="31"/>
      <c r="I16" s="31"/>
      <c r="J16" s="31">
        <v>2</v>
      </c>
      <c r="K16" s="31" t="s">
        <v>32</v>
      </c>
      <c r="L16" s="32" t="s">
        <v>33</v>
      </c>
      <c r="M16" s="32" t="s">
        <v>48</v>
      </c>
      <c r="N16" s="32" t="s">
        <v>26</v>
      </c>
      <c r="O16" s="32" t="s">
        <v>26</v>
      </c>
      <c r="P16" s="32">
        <v>70</v>
      </c>
      <c r="Q16" s="32">
        <v>0.6</v>
      </c>
      <c r="R16" s="32">
        <v>0</v>
      </c>
      <c r="S16" s="32">
        <v>1.4</v>
      </c>
    </row>
    <row r="17" spans="1:19" ht="15" x14ac:dyDescent="0.25">
      <c r="A17" s="31" t="s">
        <v>211</v>
      </c>
      <c r="B17" s="31" t="s">
        <v>389</v>
      </c>
      <c r="C17" s="39" t="s">
        <v>61</v>
      </c>
      <c r="D17" s="31"/>
      <c r="E17" s="31"/>
      <c r="F17" s="31"/>
      <c r="G17" s="31"/>
      <c r="H17" s="31"/>
      <c r="I17" s="31">
        <v>1</v>
      </c>
      <c r="J17" s="31">
        <v>1</v>
      </c>
      <c r="K17" s="31" t="s">
        <v>32</v>
      </c>
      <c r="L17" s="32">
        <v>0</v>
      </c>
      <c r="M17" s="32">
        <v>0</v>
      </c>
      <c r="N17" s="32" t="s">
        <v>26</v>
      </c>
      <c r="O17" s="32" t="s">
        <v>26</v>
      </c>
      <c r="P17" s="32">
        <v>100</v>
      </c>
      <c r="Q17" s="32">
        <v>0</v>
      </c>
      <c r="R17" s="32">
        <v>0</v>
      </c>
      <c r="S17" s="32">
        <v>1</v>
      </c>
    </row>
    <row r="18" spans="1:19" ht="15" x14ac:dyDescent="0.25">
      <c r="A18" s="31" t="s">
        <v>223</v>
      </c>
      <c r="B18" s="31" t="s">
        <v>390</v>
      </c>
      <c r="C18" s="39" t="s">
        <v>61</v>
      </c>
      <c r="D18" s="31"/>
      <c r="E18" s="31"/>
      <c r="F18" s="31"/>
      <c r="G18" s="31"/>
      <c r="H18" s="31"/>
      <c r="I18" s="31">
        <v>1</v>
      </c>
      <c r="J18" s="31">
        <v>1</v>
      </c>
      <c r="K18" s="31" t="s">
        <v>32</v>
      </c>
      <c r="L18" s="32">
        <v>0</v>
      </c>
      <c r="M18" s="32">
        <v>0</v>
      </c>
      <c r="N18" s="32" t="s">
        <v>26</v>
      </c>
      <c r="O18" s="32" t="s">
        <v>26</v>
      </c>
      <c r="P18" s="32">
        <v>100</v>
      </c>
      <c r="Q18" s="32">
        <v>0</v>
      </c>
      <c r="R18" s="32">
        <v>0</v>
      </c>
      <c r="S18" s="32">
        <v>1</v>
      </c>
    </row>
    <row r="19" spans="1:19" ht="15" x14ac:dyDescent="0.25">
      <c r="A19" s="31" t="s">
        <v>66</v>
      </c>
      <c r="B19" s="31" t="s">
        <v>391</v>
      </c>
      <c r="C19" s="39" t="s">
        <v>61</v>
      </c>
      <c r="D19" s="31"/>
      <c r="E19" s="31"/>
      <c r="F19" s="31"/>
      <c r="G19" s="31"/>
      <c r="H19" s="31"/>
      <c r="I19" s="31">
        <v>1</v>
      </c>
      <c r="J19" s="31">
        <v>1</v>
      </c>
      <c r="K19" s="31" t="s">
        <v>32</v>
      </c>
      <c r="L19" s="32" t="s">
        <v>33</v>
      </c>
      <c r="M19" s="32" t="s">
        <v>219</v>
      </c>
      <c r="N19" s="32" t="s">
        <v>220</v>
      </c>
      <c r="O19" s="32" t="s">
        <v>28</v>
      </c>
      <c r="P19" s="32">
        <v>50</v>
      </c>
      <c r="Q19" s="32">
        <v>0.4</v>
      </c>
      <c r="R19" s="32">
        <v>0.1</v>
      </c>
      <c r="S19" s="32">
        <v>0.5</v>
      </c>
    </row>
    <row r="20" spans="1:19" ht="15" x14ac:dyDescent="0.25">
      <c r="A20" s="31" t="s">
        <v>63</v>
      </c>
      <c r="B20" s="31" t="s">
        <v>392</v>
      </c>
      <c r="C20" s="39" t="s">
        <v>61</v>
      </c>
      <c r="D20" s="31"/>
      <c r="E20" s="31"/>
      <c r="F20" s="31"/>
      <c r="G20" s="31">
        <v>1</v>
      </c>
      <c r="H20" s="31"/>
      <c r="I20" s="31"/>
      <c r="J20" s="31">
        <v>1</v>
      </c>
      <c r="K20" s="31" t="s">
        <v>32</v>
      </c>
      <c r="L20" s="32" t="s">
        <v>33</v>
      </c>
      <c r="M20" s="32" t="s">
        <v>28</v>
      </c>
      <c r="N20" s="32" t="s">
        <v>26</v>
      </c>
      <c r="O20" s="32" t="s">
        <v>26</v>
      </c>
      <c r="P20" s="32">
        <v>90</v>
      </c>
      <c r="Q20" s="32">
        <v>0.1</v>
      </c>
      <c r="R20" s="32">
        <v>0</v>
      </c>
      <c r="S20" s="32">
        <v>0.9</v>
      </c>
    </row>
    <row r="21" spans="1:19" ht="15" x14ac:dyDescent="0.25">
      <c r="A21" s="13" t="s">
        <v>69</v>
      </c>
      <c r="B21" s="13" t="s">
        <v>393</v>
      </c>
      <c r="C21" s="14" t="s">
        <v>61</v>
      </c>
      <c r="D21" s="13">
        <v>1</v>
      </c>
      <c r="E21" s="13"/>
      <c r="F21" s="13"/>
      <c r="G21" s="13"/>
      <c r="H21" s="13"/>
      <c r="I21" s="13"/>
      <c r="J21" s="13">
        <v>1</v>
      </c>
      <c r="K21" s="31" t="s">
        <v>32</v>
      </c>
      <c r="L21" s="40" t="s">
        <v>33</v>
      </c>
      <c r="M21" s="40" t="s">
        <v>28</v>
      </c>
      <c r="N21" s="40" t="s">
        <v>26</v>
      </c>
      <c r="O21" s="40" t="s">
        <v>26</v>
      </c>
      <c r="P21" s="40">
        <v>90</v>
      </c>
      <c r="Q21" s="40">
        <v>0.1</v>
      </c>
      <c r="R21" s="40">
        <v>0</v>
      </c>
      <c r="S21" s="40">
        <v>0.9</v>
      </c>
    </row>
    <row r="22" spans="1:19" ht="15" x14ac:dyDescent="0.25">
      <c r="A22" s="13" t="s">
        <v>68</v>
      </c>
      <c r="B22" s="13" t="s">
        <v>394</v>
      </c>
      <c r="C22" s="14" t="s">
        <v>61</v>
      </c>
      <c r="D22" s="13"/>
      <c r="E22" s="13">
        <v>1</v>
      </c>
      <c r="F22" s="13"/>
      <c r="G22" s="13"/>
      <c r="H22" s="13"/>
      <c r="I22" s="13"/>
      <c r="J22" s="13">
        <v>1</v>
      </c>
      <c r="K22" s="31" t="s">
        <v>32</v>
      </c>
      <c r="L22" s="40" t="s">
        <v>33</v>
      </c>
      <c r="M22" s="40" t="s">
        <v>28</v>
      </c>
      <c r="N22" s="40" t="s">
        <v>26</v>
      </c>
      <c r="O22" s="40" t="s">
        <v>26</v>
      </c>
      <c r="P22" s="40">
        <v>90</v>
      </c>
      <c r="Q22" s="40">
        <v>0.1</v>
      </c>
      <c r="R22" s="40">
        <v>0</v>
      </c>
      <c r="S22" s="40">
        <v>0.9</v>
      </c>
    </row>
    <row r="23" spans="1:19" ht="15" x14ac:dyDescent="0.25">
      <c r="A23" s="31" t="s">
        <v>224</v>
      </c>
      <c r="B23" s="31" t="s">
        <v>395</v>
      </c>
      <c r="C23" s="39" t="s">
        <v>61</v>
      </c>
      <c r="D23" s="31"/>
      <c r="E23" s="31"/>
      <c r="F23" s="31"/>
      <c r="G23" s="31"/>
      <c r="H23" s="31"/>
      <c r="I23" s="31">
        <v>1</v>
      </c>
      <c r="J23" s="31">
        <v>1</v>
      </c>
      <c r="K23" s="31" t="s">
        <v>32</v>
      </c>
      <c r="L23" s="40">
        <v>0</v>
      </c>
      <c r="M23" s="40">
        <v>0</v>
      </c>
      <c r="N23" s="40" t="s">
        <v>26</v>
      </c>
      <c r="O23" s="40" t="s">
        <v>26</v>
      </c>
      <c r="P23" s="40">
        <v>100</v>
      </c>
      <c r="Q23" s="40">
        <v>0</v>
      </c>
      <c r="R23" s="40">
        <v>0</v>
      </c>
      <c r="S23" s="40">
        <v>1</v>
      </c>
    </row>
    <row r="24" spans="1:19" ht="15" x14ac:dyDescent="0.25">
      <c r="A24" s="41"/>
      <c r="B24" s="41"/>
      <c r="C24" s="42"/>
      <c r="D24" s="41"/>
      <c r="E24" s="41"/>
      <c r="F24" s="41"/>
      <c r="G24" s="41"/>
      <c r="H24" s="41"/>
      <c r="I24" s="41"/>
      <c r="J24" s="41"/>
      <c r="K24" s="41"/>
      <c r="L24" s="41"/>
      <c r="M24" s="41"/>
      <c r="N24" s="41"/>
      <c r="O24" s="41"/>
      <c r="P24" s="41"/>
      <c r="Q24" s="41"/>
      <c r="R24" s="41"/>
      <c r="S24" s="43">
        <f>SUM(S2:S23)</f>
        <v>19.75</v>
      </c>
    </row>
  </sheetData>
  <pageMargins left="0.39370078740157483" right="0.39370078740157483" top="0.39370078740157483" bottom="0.39370078740157483" header="0.31496062992125984" footer="0.31496062992125984"/>
  <pageSetup paperSize="9" scale="1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E2DE9-7AC0-42A0-98CF-4FF46D8AC527}">
  <dimension ref="A1:C19"/>
  <sheetViews>
    <sheetView workbookViewId="0">
      <selection activeCell="B20" sqref="B20"/>
    </sheetView>
  </sheetViews>
  <sheetFormatPr baseColWidth="10" defaultRowHeight="15" x14ac:dyDescent="0.25"/>
  <cols>
    <col min="1" max="1" width="16.42578125" customWidth="1"/>
    <col min="2" max="2" width="103.140625" customWidth="1"/>
    <col min="3" max="3" width="15.42578125" customWidth="1"/>
  </cols>
  <sheetData>
    <row r="1" spans="1:3" x14ac:dyDescent="0.25">
      <c r="A1" s="50" t="s">
        <v>114</v>
      </c>
      <c r="B1" s="50" t="s">
        <v>115</v>
      </c>
      <c r="C1" s="50" t="s">
        <v>138</v>
      </c>
    </row>
    <row r="2" spans="1:3" x14ac:dyDescent="0.25">
      <c r="A2" s="36" t="s">
        <v>77</v>
      </c>
      <c r="B2" s="36" t="s">
        <v>161</v>
      </c>
      <c r="C2" s="34">
        <v>4180</v>
      </c>
    </row>
    <row r="3" spans="1:3" x14ac:dyDescent="0.25">
      <c r="A3" s="37" t="s">
        <v>77</v>
      </c>
      <c r="B3" s="37" t="s">
        <v>163</v>
      </c>
      <c r="C3" s="35">
        <v>4180</v>
      </c>
    </row>
    <row r="4" spans="1:3" x14ac:dyDescent="0.25">
      <c r="A4" s="36" t="s">
        <v>164</v>
      </c>
      <c r="B4" s="36" t="s">
        <v>165</v>
      </c>
      <c r="C4" s="34">
        <v>13200</v>
      </c>
    </row>
    <row r="5" spans="1:3" x14ac:dyDescent="0.25">
      <c r="A5" s="37" t="s">
        <v>166</v>
      </c>
      <c r="B5" s="37" t="s">
        <v>167</v>
      </c>
      <c r="C5" s="35">
        <v>2376</v>
      </c>
    </row>
    <row r="6" spans="1:3" x14ac:dyDescent="0.25">
      <c r="A6" s="36" t="s">
        <v>168</v>
      </c>
      <c r="B6" s="36" t="s">
        <v>169</v>
      </c>
      <c r="C6" s="34">
        <v>5280</v>
      </c>
    </row>
    <row r="7" spans="1:3" x14ac:dyDescent="0.25">
      <c r="A7" s="37" t="s">
        <v>170</v>
      </c>
      <c r="B7" s="37" t="s">
        <v>171</v>
      </c>
      <c r="C7" s="35">
        <v>7920</v>
      </c>
    </row>
    <row r="8" spans="1:3" x14ac:dyDescent="0.25">
      <c r="A8" s="36" t="s">
        <v>172</v>
      </c>
      <c r="B8" s="36" t="s">
        <v>173</v>
      </c>
      <c r="C8" s="34">
        <v>4796</v>
      </c>
    </row>
    <row r="9" spans="1:3" x14ac:dyDescent="0.25">
      <c r="A9" s="37" t="s">
        <v>139</v>
      </c>
      <c r="B9" s="37" t="s">
        <v>174</v>
      </c>
      <c r="C9" s="35">
        <v>30000</v>
      </c>
    </row>
    <row r="10" spans="1:3" x14ac:dyDescent="0.25">
      <c r="A10" s="36" t="s">
        <v>139</v>
      </c>
      <c r="B10" s="36" t="s">
        <v>175</v>
      </c>
      <c r="C10" s="34">
        <v>-3.36</v>
      </c>
    </row>
    <row r="11" spans="1:3" x14ac:dyDescent="0.25">
      <c r="A11" s="37" t="s">
        <v>140</v>
      </c>
      <c r="B11" s="37" t="s">
        <v>176</v>
      </c>
      <c r="C11" s="35">
        <v>14200</v>
      </c>
    </row>
    <row r="12" spans="1:3" x14ac:dyDescent="0.25">
      <c r="A12" s="36" t="s">
        <v>140</v>
      </c>
      <c r="B12" s="36" t="s">
        <v>177</v>
      </c>
      <c r="C12" s="34">
        <v>-50.03</v>
      </c>
    </row>
    <row r="13" spans="1:3" x14ac:dyDescent="0.25">
      <c r="A13" s="37" t="s">
        <v>178</v>
      </c>
      <c r="B13" s="37" t="s">
        <v>179</v>
      </c>
      <c r="C13" s="35">
        <v>118500</v>
      </c>
    </row>
    <row r="14" spans="1:3" x14ac:dyDescent="0.25">
      <c r="A14" s="36" t="s">
        <v>1</v>
      </c>
      <c r="B14" s="36" t="s">
        <v>180</v>
      </c>
      <c r="C14" s="34">
        <v>5000</v>
      </c>
    </row>
    <row r="15" spans="1:3" x14ac:dyDescent="0.25">
      <c r="A15" s="36" t="s">
        <v>1</v>
      </c>
      <c r="B15" s="36" t="s">
        <v>180</v>
      </c>
      <c r="C15" s="34">
        <v>7000</v>
      </c>
    </row>
    <row r="16" spans="1:3" x14ac:dyDescent="0.25">
      <c r="A16" s="37" t="s">
        <v>181</v>
      </c>
      <c r="B16" s="37" t="s">
        <v>182</v>
      </c>
      <c r="C16" s="35">
        <v>7500</v>
      </c>
    </row>
    <row r="17" spans="1:3" x14ac:dyDescent="0.25">
      <c r="A17" s="36" t="s">
        <v>181</v>
      </c>
      <c r="B17" s="36" t="s">
        <v>183</v>
      </c>
      <c r="C17" s="34">
        <v>7500</v>
      </c>
    </row>
    <row r="18" spans="1:3" x14ac:dyDescent="0.25">
      <c r="A18" s="48" t="s">
        <v>0</v>
      </c>
      <c r="B18" s="48"/>
      <c r="C18" s="49">
        <f>SUBTOTAL(109,Tabla2[Imp.cob.aplic.])</f>
        <v>231578.61</v>
      </c>
    </row>
    <row r="19" spans="1:3" x14ac:dyDescent="0.25">
      <c r="C19" s="38"/>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9CE70-C153-49FA-86C3-51CB8D41FD4E}">
  <dimension ref="A1:C32"/>
  <sheetViews>
    <sheetView topLeftCell="A22" workbookViewId="0">
      <selection activeCell="B35" sqref="B35:C35"/>
    </sheetView>
  </sheetViews>
  <sheetFormatPr baseColWidth="10" defaultRowHeight="15" x14ac:dyDescent="0.25"/>
  <cols>
    <col min="2" max="2" width="46.5703125" customWidth="1"/>
    <col min="3" max="3" width="13.28515625" customWidth="1"/>
  </cols>
  <sheetData>
    <row r="1" spans="1:3" x14ac:dyDescent="0.25">
      <c r="A1" s="55" t="s">
        <v>225</v>
      </c>
      <c r="B1" s="55" t="s">
        <v>115</v>
      </c>
      <c r="C1" s="62" t="s">
        <v>226</v>
      </c>
    </row>
    <row r="2" spans="1:3" x14ac:dyDescent="0.25">
      <c r="A2" s="51" t="s">
        <v>77</v>
      </c>
      <c r="B2" s="51" t="s">
        <v>238</v>
      </c>
      <c r="C2" s="52">
        <v>4180</v>
      </c>
    </row>
    <row r="3" spans="1:3" x14ac:dyDescent="0.25">
      <c r="A3" s="53" t="s">
        <v>77</v>
      </c>
      <c r="B3" s="53" t="s">
        <v>239</v>
      </c>
      <c r="C3" s="54">
        <v>4180</v>
      </c>
    </row>
    <row r="4" spans="1:3" x14ac:dyDescent="0.25">
      <c r="A4" s="51" t="s">
        <v>172</v>
      </c>
      <c r="B4" s="51" t="s">
        <v>240</v>
      </c>
      <c r="C4" s="52">
        <v>4796</v>
      </c>
    </row>
    <row r="5" spans="1:3" x14ac:dyDescent="0.25">
      <c r="A5" s="53" t="s">
        <v>241</v>
      </c>
      <c r="B5" s="53" t="s">
        <v>242</v>
      </c>
      <c r="C5" s="54">
        <v>1320</v>
      </c>
    </row>
    <row r="6" spans="1:3" x14ac:dyDescent="0.25">
      <c r="A6" s="51" t="s">
        <v>243</v>
      </c>
      <c r="B6" s="51" t="s">
        <v>244</v>
      </c>
      <c r="C6" s="52">
        <v>3999.6</v>
      </c>
    </row>
    <row r="7" spans="1:3" x14ac:dyDescent="0.25">
      <c r="A7" s="53" t="s">
        <v>243</v>
      </c>
      <c r="B7" s="53" t="s">
        <v>245</v>
      </c>
      <c r="C7" s="54">
        <v>3999.6</v>
      </c>
    </row>
    <row r="8" spans="1:3" x14ac:dyDescent="0.25">
      <c r="A8" s="51" t="s">
        <v>246</v>
      </c>
      <c r="B8" s="51" t="s">
        <v>247</v>
      </c>
      <c r="C8" s="52">
        <v>1056</v>
      </c>
    </row>
    <row r="9" spans="1:3" x14ac:dyDescent="0.25">
      <c r="A9" s="53" t="s">
        <v>248</v>
      </c>
      <c r="B9" s="53" t="s">
        <v>249</v>
      </c>
      <c r="C9" s="54">
        <v>8725.2000000000007</v>
      </c>
    </row>
    <row r="10" spans="1:3" x14ac:dyDescent="0.25">
      <c r="A10" s="51" t="s">
        <v>250</v>
      </c>
      <c r="B10" s="51" t="s">
        <v>251</v>
      </c>
      <c r="C10" s="52">
        <v>2640</v>
      </c>
    </row>
    <row r="11" spans="1:3" x14ac:dyDescent="0.25">
      <c r="A11" s="53" t="s">
        <v>250</v>
      </c>
      <c r="B11" s="53" t="s">
        <v>252</v>
      </c>
      <c r="C11" s="54">
        <v>880</v>
      </c>
    </row>
    <row r="12" spans="1:3" x14ac:dyDescent="0.25">
      <c r="A12" s="51" t="s">
        <v>250</v>
      </c>
      <c r="B12" s="51" t="s">
        <v>253</v>
      </c>
      <c r="C12" s="52">
        <v>880</v>
      </c>
    </row>
    <row r="13" spans="1:3" x14ac:dyDescent="0.25">
      <c r="A13" s="53" t="s">
        <v>250</v>
      </c>
      <c r="B13" s="53" t="s">
        <v>254</v>
      </c>
      <c r="C13" s="54">
        <v>2640</v>
      </c>
    </row>
    <row r="14" spans="1:3" x14ac:dyDescent="0.25">
      <c r="A14" s="51" t="s">
        <v>255</v>
      </c>
      <c r="B14" s="51" t="s">
        <v>256</v>
      </c>
      <c r="C14" s="52">
        <v>275</v>
      </c>
    </row>
    <row r="15" spans="1:3" x14ac:dyDescent="0.25">
      <c r="A15" s="53" t="s">
        <v>255</v>
      </c>
      <c r="B15" s="53" t="s">
        <v>257</v>
      </c>
      <c r="C15" s="54">
        <v>275</v>
      </c>
    </row>
    <row r="16" spans="1:3" x14ac:dyDescent="0.25">
      <c r="A16" s="51" t="s">
        <v>255</v>
      </c>
      <c r="B16" s="51" t="s">
        <v>258</v>
      </c>
      <c r="C16" s="52">
        <v>725</v>
      </c>
    </row>
    <row r="17" spans="1:3" x14ac:dyDescent="0.25">
      <c r="A17" s="53" t="s">
        <v>255</v>
      </c>
      <c r="B17" s="53" t="s">
        <v>259</v>
      </c>
      <c r="C17" s="54">
        <v>275</v>
      </c>
    </row>
    <row r="18" spans="1:3" x14ac:dyDescent="0.25">
      <c r="A18" s="51" t="s">
        <v>255</v>
      </c>
      <c r="B18" s="51" t="s">
        <v>260</v>
      </c>
      <c r="C18" s="52">
        <v>175</v>
      </c>
    </row>
    <row r="19" spans="1:3" x14ac:dyDescent="0.25">
      <c r="A19" s="53" t="s">
        <v>255</v>
      </c>
      <c r="B19" s="53" t="s">
        <v>261</v>
      </c>
      <c r="C19" s="54">
        <v>900</v>
      </c>
    </row>
    <row r="20" spans="1:3" x14ac:dyDescent="0.25">
      <c r="A20" s="51" t="s">
        <v>255</v>
      </c>
      <c r="B20" s="51" t="s">
        <v>262</v>
      </c>
      <c r="C20" s="52">
        <v>1350</v>
      </c>
    </row>
    <row r="21" spans="1:3" x14ac:dyDescent="0.25">
      <c r="A21" s="53" t="s">
        <v>255</v>
      </c>
      <c r="B21" s="53" t="s">
        <v>263</v>
      </c>
      <c r="C21" s="54">
        <v>220</v>
      </c>
    </row>
    <row r="22" spans="1:3" x14ac:dyDescent="0.25">
      <c r="A22" s="51" t="s">
        <v>255</v>
      </c>
      <c r="B22" s="51" t="s">
        <v>264</v>
      </c>
      <c r="C22" s="52">
        <v>275</v>
      </c>
    </row>
    <row r="23" spans="1:3" x14ac:dyDescent="0.25">
      <c r="A23" s="53" t="s">
        <v>255</v>
      </c>
      <c r="B23" s="53" t="s">
        <v>265</v>
      </c>
      <c r="C23" s="54">
        <v>320</v>
      </c>
    </row>
    <row r="24" spans="1:3" x14ac:dyDescent="0.25">
      <c r="A24" s="51" t="s">
        <v>255</v>
      </c>
      <c r="B24" s="51" t="s">
        <v>266</v>
      </c>
      <c r="C24" s="52">
        <v>2000</v>
      </c>
    </row>
    <row r="25" spans="1:3" x14ac:dyDescent="0.25">
      <c r="A25" s="53" t="s">
        <v>139</v>
      </c>
      <c r="B25" s="53" t="s">
        <v>267</v>
      </c>
      <c r="C25" s="54">
        <v>-6.93</v>
      </c>
    </row>
    <row r="26" spans="1:3" x14ac:dyDescent="0.25">
      <c r="A26" s="51" t="s">
        <v>140</v>
      </c>
      <c r="B26" s="51" t="s">
        <v>268</v>
      </c>
      <c r="C26" s="52">
        <v>18300</v>
      </c>
    </row>
    <row r="27" spans="1:3" x14ac:dyDescent="0.25">
      <c r="A27" s="53" t="s">
        <v>140</v>
      </c>
      <c r="B27" s="53" t="s">
        <v>269</v>
      </c>
      <c r="C27" s="54">
        <v>-1717.11</v>
      </c>
    </row>
    <row r="28" spans="1:3" x14ac:dyDescent="0.25">
      <c r="A28" s="51" t="s">
        <v>178</v>
      </c>
      <c r="B28" s="51" t="s">
        <v>270</v>
      </c>
      <c r="C28" s="52">
        <v>118500</v>
      </c>
    </row>
    <row r="29" spans="1:3" x14ac:dyDescent="0.25">
      <c r="A29" s="53" t="s">
        <v>1</v>
      </c>
      <c r="B29" s="53" t="s">
        <v>271</v>
      </c>
      <c r="C29" s="54">
        <v>7000</v>
      </c>
    </row>
    <row r="30" spans="1:3" x14ac:dyDescent="0.25">
      <c r="A30" s="51" t="s">
        <v>181</v>
      </c>
      <c r="B30" s="51" t="s">
        <v>272</v>
      </c>
      <c r="C30" s="52">
        <v>7500</v>
      </c>
    </row>
    <row r="31" spans="1:3" x14ac:dyDescent="0.25">
      <c r="A31" s="47" t="s">
        <v>181</v>
      </c>
      <c r="B31" s="47" t="s">
        <v>273</v>
      </c>
      <c r="C31" s="63">
        <v>7500</v>
      </c>
    </row>
    <row r="32" spans="1:3" x14ac:dyDescent="0.25">
      <c r="A32" s="47" t="s">
        <v>0</v>
      </c>
      <c r="B32" s="47"/>
      <c r="C32" s="64">
        <f>SUBTOTAL(109,Tabla6[Imp. aplic.])</f>
        <v>203162.36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E3BFA-BF12-4D29-9AD7-A2BAC35C7CEC}">
  <dimension ref="A1:C17"/>
  <sheetViews>
    <sheetView workbookViewId="0">
      <selection activeCell="B23" sqref="B23"/>
    </sheetView>
  </sheetViews>
  <sheetFormatPr baseColWidth="10" defaultRowHeight="15" x14ac:dyDescent="0.25"/>
  <cols>
    <col min="1" max="1" width="16.7109375" customWidth="1"/>
    <col min="2" max="2" width="51.7109375" customWidth="1"/>
    <col min="3" max="3" width="14.7109375" customWidth="1"/>
  </cols>
  <sheetData>
    <row r="1" spans="1:3" x14ac:dyDescent="0.25">
      <c r="A1" s="68" t="s">
        <v>225</v>
      </c>
      <c r="B1" s="69" t="s">
        <v>115</v>
      </c>
      <c r="C1" s="69" t="s">
        <v>226</v>
      </c>
    </row>
    <row r="2" spans="1:3" x14ac:dyDescent="0.25">
      <c r="A2" s="70" t="s">
        <v>396</v>
      </c>
      <c r="B2" s="71" t="s">
        <v>397</v>
      </c>
      <c r="C2" s="72">
        <v>4290</v>
      </c>
    </row>
    <row r="3" spans="1:3" x14ac:dyDescent="0.25">
      <c r="A3" s="73" t="s">
        <v>396</v>
      </c>
      <c r="B3" s="74" t="s">
        <v>398</v>
      </c>
      <c r="C3" s="75">
        <v>4290</v>
      </c>
    </row>
    <row r="4" spans="1:3" x14ac:dyDescent="0.25">
      <c r="A4" s="70" t="s">
        <v>399</v>
      </c>
      <c r="B4" s="71" t="s">
        <v>400</v>
      </c>
      <c r="C4" s="72">
        <v>4796</v>
      </c>
    </row>
    <row r="5" spans="1:3" x14ac:dyDescent="0.25">
      <c r="A5" s="73" t="s">
        <v>399</v>
      </c>
      <c r="B5" s="74" t="s">
        <v>401</v>
      </c>
      <c r="C5" s="75">
        <v>4796</v>
      </c>
    </row>
    <row r="6" spans="1:3" x14ac:dyDescent="0.25">
      <c r="A6" s="70" t="s">
        <v>402</v>
      </c>
      <c r="B6" s="71" t="s">
        <v>403</v>
      </c>
      <c r="C6" s="72">
        <v>1760</v>
      </c>
    </row>
    <row r="7" spans="1:3" x14ac:dyDescent="0.25">
      <c r="A7" s="73" t="s">
        <v>404</v>
      </c>
      <c r="B7" s="74" t="s">
        <v>405</v>
      </c>
      <c r="C7" s="75">
        <v>2200</v>
      </c>
    </row>
    <row r="8" spans="1:3" x14ac:dyDescent="0.25">
      <c r="A8" s="70" t="s">
        <v>406</v>
      </c>
      <c r="B8" s="71" t="s">
        <v>407</v>
      </c>
      <c r="C8" s="72">
        <v>3960</v>
      </c>
    </row>
    <row r="9" spans="1:3" x14ac:dyDescent="0.25">
      <c r="A9" s="73" t="s">
        <v>140</v>
      </c>
      <c r="B9" s="74" t="s">
        <v>408</v>
      </c>
      <c r="C9" s="75">
        <v>-4132.49</v>
      </c>
    </row>
    <row r="10" spans="1:3" x14ac:dyDescent="0.25">
      <c r="A10" s="70" t="s">
        <v>178</v>
      </c>
      <c r="B10" s="71" t="s">
        <v>409</v>
      </c>
      <c r="C10" s="72">
        <v>118500</v>
      </c>
    </row>
    <row r="11" spans="1:3" x14ac:dyDescent="0.25">
      <c r="A11" s="73" t="s">
        <v>1</v>
      </c>
      <c r="B11" s="74" t="s">
        <v>410</v>
      </c>
      <c r="C11" s="75">
        <v>10000</v>
      </c>
    </row>
    <row r="12" spans="1:3" x14ac:dyDescent="0.25">
      <c r="A12" s="70" t="s">
        <v>1</v>
      </c>
      <c r="B12" s="71" t="s">
        <v>411</v>
      </c>
      <c r="C12" s="72">
        <v>7000</v>
      </c>
    </row>
    <row r="13" spans="1:3" ht="15.75" thickBot="1" x14ac:dyDescent="0.3">
      <c r="A13" s="73" t="s">
        <v>181</v>
      </c>
      <c r="B13" s="74" t="s">
        <v>412</v>
      </c>
      <c r="C13" s="75">
        <v>426.4</v>
      </c>
    </row>
    <row r="14" spans="1:3" ht="15.75" thickTop="1" x14ac:dyDescent="0.25">
      <c r="A14" s="76" t="s">
        <v>0</v>
      </c>
      <c r="B14" s="77"/>
      <c r="C14" s="78">
        <v>157885.91</v>
      </c>
    </row>
    <row r="17" spans="2:3" x14ac:dyDescent="0.25">
      <c r="B17" s="66" t="s">
        <v>413</v>
      </c>
      <c r="C17" s="67">
        <f>C14+Tabla2[[#Totals],[Imp.cob.aplic.]]+Tabla6[[#Totals],[Imp. aplic.]]</f>
        <v>592626.88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ABC70-3691-4EA7-9F99-556B02ACA43B}">
  <dimension ref="A1:C14"/>
  <sheetViews>
    <sheetView workbookViewId="0">
      <selection activeCell="F7" sqref="F7"/>
    </sheetView>
  </sheetViews>
  <sheetFormatPr baseColWidth="10" defaultRowHeight="15" x14ac:dyDescent="0.25"/>
  <cols>
    <col min="1" max="1" width="16.42578125" customWidth="1"/>
    <col min="2" max="2" width="86.140625" customWidth="1"/>
    <col min="3" max="3" width="15.42578125" customWidth="1"/>
  </cols>
  <sheetData>
    <row r="1" spans="1:3" x14ac:dyDescent="0.25">
      <c r="A1" s="50" t="s">
        <v>114</v>
      </c>
      <c r="B1" s="50" t="s">
        <v>115</v>
      </c>
      <c r="C1" s="50" t="s">
        <v>138</v>
      </c>
    </row>
    <row r="2" spans="1:3" x14ac:dyDescent="0.25">
      <c r="A2" s="36" t="s">
        <v>2</v>
      </c>
      <c r="B2" s="36" t="s">
        <v>184</v>
      </c>
      <c r="C2" s="34">
        <v>450</v>
      </c>
    </row>
    <row r="3" spans="1:3" x14ac:dyDescent="0.25">
      <c r="A3" s="37" t="s">
        <v>2</v>
      </c>
      <c r="B3" s="37" t="s">
        <v>185</v>
      </c>
      <c r="C3" s="35">
        <v>9720</v>
      </c>
    </row>
    <row r="4" spans="1:3" x14ac:dyDescent="0.25">
      <c r="A4" s="36" t="s">
        <v>2</v>
      </c>
      <c r="B4" s="36" t="s">
        <v>186</v>
      </c>
      <c r="C4" s="34">
        <v>450</v>
      </c>
    </row>
    <row r="5" spans="1:3" x14ac:dyDescent="0.25">
      <c r="A5" s="37" t="s">
        <v>2</v>
      </c>
      <c r="B5" s="37" t="s">
        <v>187</v>
      </c>
      <c r="C5" s="35">
        <v>450</v>
      </c>
    </row>
    <row r="6" spans="1:3" x14ac:dyDescent="0.25">
      <c r="A6" s="36" t="s">
        <v>2</v>
      </c>
      <c r="B6" s="36" t="s">
        <v>188</v>
      </c>
      <c r="C6" s="34">
        <v>450</v>
      </c>
    </row>
    <row r="7" spans="1:3" x14ac:dyDescent="0.25">
      <c r="A7" s="37" t="s">
        <v>2</v>
      </c>
      <c r="B7" s="37" t="s">
        <v>189</v>
      </c>
      <c r="C7" s="35">
        <v>450</v>
      </c>
    </row>
    <row r="8" spans="1:3" x14ac:dyDescent="0.25">
      <c r="A8" s="36" t="s">
        <v>2</v>
      </c>
      <c r="B8" s="36" t="s">
        <v>190</v>
      </c>
      <c r="C8" s="34">
        <v>450</v>
      </c>
    </row>
    <row r="9" spans="1:3" x14ac:dyDescent="0.25">
      <c r="A9" s="37" t="s">
        <v>2</v>
      </c>
      <c r="B9" s="37" t="s">
        <v>191</v>
      </c>
      <c r="C9" s="35">
        <v>5265</v>
      </c>
    </row>
    <row r="10" spans="1:3" x14ac:dyDescent="0.25">
      <c r="A10" s="36" t="s">
        <v>2</v>
      </c>
      <c r="B10" s="36" t="s">
        <v>192</v>
      </c>
      <c r="C10" s="34">
        <v>450</v>
      </c>
    </row>
    <row r="11" spans="1:3" x14ac:dyDescent="0.25">
      <c r="A11" s="37" t="s">
        <v>2</v>
      </c>
      <c r="B11" s="37" t="s">
        <v>193</v>
      </c>
      <c r="C11" s="35">
        <v>450</v>
      </c>
    </row>
    <row r="12" spans="1:3" x14ac:dyDescent="0.25">
      <c r="A12" s="58" t="s">
        <v>194</v>
      </c>
      <c r="B12" s="58" t="s">
        <v>195</v>
      </c>
      <c r="C12" s="60">
        <v>1830.6</v>
      </c>
    </row>
    <row r="13" spans="1:3" s="57" customFormat="1" x14ac:dyDescent="0.25">
      <c r="A13" s="59" t="s">
        <v>0</v>
      </c>
      <c r="B13" s="59"/>
      <c r="C13" s="61">
        <f>SUBTOTAL(109,Tabla5[Imp.cob.aplic.])</f>
        <v>20415.599999999999</v>
      </c>
    </row>
    <row r="14" spans="1:3" x14ac:dyDescent="0.25">
      <c r="C14" s="38"/>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7E13E-CB8E-4AFD-9330-1848458534C7}">
  <dimension ref="A1:C57"/>
  <sheetViews>
    <sheetView topLeftCell="A52" workbookViewId="0">
      <selection activeCell="B62" sqref="B62:C62"/>
    </sheetView>
  </sheetViews>
  <sheetFormatPr baseColWidth="10" defaultRowHeight="15" x14ac:dyDescent="0.25"/>
  <cols>
    <col min="1" max="1" width="16" customWidth="1"/>
    <col min="2" max="2" width="58.7109375" customWidth="1"/>
    <col min="3" max="3" width="11.7109375" customWidth="1"/>
  </cols>
  <sheetData>
    <row r="1" spans="1:3" x14ac:dyDescent="0.25">
      <c r="A1" s="55" t="s">
        <v>225</v>
      </c>
      <c r="B1" s="55" t="s">
        <v>115</v>
      </c>
      <c r="C1" s="55" t="s">
        <v>226</v>
      </c>
    </row>
    <row r="2" spans="1:3" x14ac:dyDescent="0.25">
      <c r="A2" s="51" t="s">
        <v>2</v>
      </c>
      <c r="B2" s="51" t="s">
        <v>227</v>
      </c>
      <c r="C2" s="52">
        <v>450</v>
      </c>
    </row>
    <row r="3" spans="1:3" x14ac:dyDescent="0.25">
      <c r="A3" s="53" t="s">
        <v>2</v>
      </c>
      <c r="B3" s="53" t="s">
        <v>228</v>
      </c>
      <c r="C3" s="54">
        <v>450</v>
      </c>
    </row>
    <row r="4" spans="1:3" x14ac:dyDescent="0.25">
      <c r="A4" s="51" t="s">
        <v>2</v>
      </c>
      <c r="B4" s="51" t="s">
        <v>229</v>
      </c>
      <c r="C4" s="52">
        <v>450</v>
      </c>
    </row>
    <row r="5" spans="1:3" x14ac:dyDescent="0.25">
      <c r="A5" s="53" t="s">
        <v>2</v>
      </c>
      <c r="B5" s="53" t="s">
        <v>230</v>
      </c>
      <c r="C5" s="54">
        <v>450</v>
      </c>
    </row>
    <row r="6" spans="1:3" x14ac:dyDescent="0.25">
      <c r="A6" s="51" t="s">
        <v>2</v>
      </c>
      <c r="B6" s="51" t="s">
        <v>231</v>
      </c>
      <c r="C6" s="52">
        <v>450</v>
      </c>
    </row>
    <row r="7" spans="1:3" x14ac:dyDescent="0.25">
      <c r="A7" s="53" t="s">
        <v>2</v>
      </c>
      <c r="B7" s="53" t="s">
        <v>232</v>
      </c>
      <c r="C7" s="54">
        <v>450</v>
      </c>
    </row>
    <row r="8" spans="1:3" x14ac:dyDescent="0.25">
      <c r="A8" s="51" t="s">
        <v>2</v>
      </c>
      <c r="B8" s="51" t="s">
        <v>233</v>
      </c>
      <c r="C8" s="52">
        <v>450</v>
      </c>
    </row>
    <row r="9" spans="1:3" x14ac:dyDescent="0.25">
      <c r="A9" s="53" t="s">
        <v>2</v>
      </c>
      <c r="B9" s="53" t="s">
        <v>234</v>
      </c>
      <c r="C9" s="54">
        <v>450</v>
      </c>
    </row>
    <row r="10" spans="1:3" x14ac:dyDescent="0.25">
      <c r="A10" s="51" t="s">
        <v>2</v>
      </c>
      <c r="B10" s="51" t="s">
        <v>235</v>
      </c>
      <c r="C10" s="52">
        <v>450</v>
      </c>
    </row>
    <row r="11" spans="1:3" x14ac:dyDescent="0.25">
      <c r="A11" s="53" t="s">
        <v>2</v>
      </c>
      <c r="B11" s="53" t="s">
        <v>236</v>
      </c>
      <c r="C11" s="54">
        <v>450</v>
      </c>
    </row>
    <row r="12" spans="1:3" x14ac:dyDescent="0.25">
      <c r="A12" s="51" t="s">
        <v>2</v>
      </c>
      <c r="B12" s="51" t="s">
        <v>237</v>
      </c>
      <c r="C12" s="52">
        <v>8910</v>
      </c>
    </row>
    <row r="13" spans="1:3" s="57" customFormat="1" x14ac:dyDescent="0.25">
      <c r="A13" s="53" t="s">
        <v>274</v>
      </c>
      <c r="B13" s="53" t="s">
        <v>275</v>
      </c>
      <c r="C13" s="54">
        <v>2340.9</v>
      </c>
    </row>
    <row r="14" spans="1:3" x14ac:dyDescent="0.25">
      <c r="A14" s="51" t="s">
        <v>276</v>
      </c>
      <c r="B14" s="51" t="s">
        <v>277</v>
      </c>
      <c r="C14" s="52">
        <v>397.8</v>
      </c>
    </row>
    <row r="15" spans="1:3" x14ac:dyDescent="0.25">
      <c r="A15" s="53" t="s">
        <v>278</v>
      </c>
      <c r="B15" s="53" t="s">
        <v>279</v>
      </c>
      <c r="C15" s="54">
        <v>126</v>
      </c>
    </row>
    <row r="16" spans="1:3" x14ac:dyDescent="0.25">
      <c r="A16" s="51" t="s">
        <v>278</v>
      </c>
      <c r="B16" s="51" t="s">
        <v>280</v>
      </c>
      <c r="C16" s="52">
        <v>2927.4</v>
      </c>
    </row>
    <row r="17" spans="1:3" x14ac:dyDescent="0.25">
      <c r="A17" s="53" t="s">
        <v>281</v>
      </c>
      <c r="B17" s="53" t="s">
        <v>282</v>
      </c>
      <c r="C17" s="54">
        <v>126</v>
      </c>
    </row>
    <row r="18" spans="1:3" x14ac:dyDescent="0.25">
      <c r="A18" s="51" t="s">
        <v>281</v>
      </c>
      <c r="B18" s="51" t="s">
        <v>283</v>
      </c>
      <c r="C18" s="52">
        <v>3320.1</v>
      </c>
    </row>
    <row r="19" spans="1:3" x14ac:dyDescent="0.25">
      <c r="A19" s="53" t="s">
        <v>284</v>
      </c>
      <c r="B19" s="53" t="s">
        <v>285</v>
      </c>
      <c r="C19" s="54">
        <v>2391.9</v>
      </c>
    </row>
    <row r="20" spans="1:3" x14ac:dyDescent="0.25">
      <c r="A20" s="51" t="s">
        <v>286</v>
      </c>
      <c r="B20" s="51" t="s">
        <v>287</v>
      </c>
      <c r="C20" s="52">
        <v>2409.75</v>
      </c>
    </row>
    <row r="21" spans="1:3" x14ac:dyDescent="0.25">
      <c r="A21" s="53" t="s">
        <v>288</v>
      </c>
      <c r="B21" s="53" t="s">
        <v>289</v>
      </c>
      <c r="C21" s="54">
        <v>321.3</v>
      </c>
    </row>
    <row r="22" spans="1:3" x14ac:dyDescent="0.25">
      <c r="A22" s="51" t="s">
        <v>290</v>
      </c>
      <c r="B22" s="51" t="s">
        <v>291</v>
      </c>
      <c r="C22" s="52">
        <v>126</v>
      </c>
    </row>
    <row r="23" spans="1:3" x14ac:dyDescent="0.25">
      <c r="A23" s="53" t="s">
        <v>290</v>
      </c>
      <c r="B23" s="53" t="s">
        <v>292</v>
      </c>
      <c r="C23" s="54">
        <v>3534.3</v>
      </c>
    </row>
    <row r="24" spans="1:3" x14ac:dyDescent="0.25">
      <c r="A24" s="51" t="s">
        <v>293</v>
      </c>
      <c r="B24" s="51" t="s">
        <v>294</v>
      </c>
      <c r="C24" s="52">
        <v>3462.9</v>
      </c>
    </row>
    <row r="25" spans="1:3" x14ac:dyDescent="0.25">
      <c r="A25" s="53" t="s">
        <v>295</v>
      </c>
      <c r="B25" s="53" t="s">
        <v>296</v>
      </c>
      <c r="C25" s="54">
        <v>567</v>
      </c>
    </row>
    <row r="26" spans="1:3" x14ac:dyDescent="0.25">
      <c r="A26" s="51" t="s">
        <v>297</v>
      </c>
      <c r="B26" s="51" t="s">
        <v>298</v>
      </c>
      <c r="C26" s="52">
        <v>107.1</v>
      </c>
    </row>
    <row r="27" spans="1:3" x14ac:dyDescent="0.25">
      <c r="A27" s="53" t="s">
        <v>299</v>
      </c>
      <c r="B27" s="53" t="s">
        <v>300</v>
      </c>
      <c r="C27" s="54">
        <v>749.7</v>
      </c>
    </row>
    <row r="28" spans="1:3" x14ac:dyDescent="0.25">
      <c r="A28" s="51" t="s">
        <v>301</v>
      </c>
      <c r="B28" s="51" t="s">
        <v>302</v>
      </c>
      <c r="C28" s="52">
        <v>428.4</v>
      </c>
    </row>
    <row r="29" spans="1:3" x14ac:dyDescent="0.25">
      <c r="A29" s="53" t="s">
        <v>303</v>
      </c>
      <c r="B29" s="53" t="s">
        <v>304</v>
      </c>
      <c r="C29" s="54">
        <v>1560.6</v>
      </c>
    </row>
    <row r="30" spans="1:3" x14ac:dyDescent="0.25">
      <c r="A30" s="51" t="s">
        <v>303</v>
      </c>
      <c r="B30" s="51" t="s">
        <v>305</v>
      </c>
      <c r="C30" s="52">
        <v>45.9</v>
      </c>
    </row>
    <row r="31" spans="1:3" x14ac:dyDescent="0.25">
      <c r="A31" s="53" t="s">
        <v>306</v>
      </c>
      <c r="B31" s="53" t="s">
        <v>307</v>
      </c>
      <c r="C31" s="54">
        <v>306</v>
      </c>
    </row>
    <row r="32" spans="1:3" x14ac:dyDescent="0.25">
      <c r="A32" s="51" t="s">
        <v>308</v>
      </c>
      <c r="B32" s="51" t="s">
        <v>309</v>
      </c>
      <c r="C32" s="52">
        <v>3391.5</v>
      </c>
    </row>
    <row r="33" spans="1:3" x14ac:dyDescent="0.25">
      <c r="A33" s="53" t="s">
        <v>310</v>
      </c>
      <c r="B33" s="53" t="s">
        <v>311</v>
      </c>
      <c r="C33" s="54">
        <v>2409</v>
      </c>
    </row>
    <row r="34" spans="1:3" x14ac:dyDescent="0.25">
      <c r="A34" s="51" t="s">
        <v>312</v>
      </c>
      <c r="B34" s="51" t="s">
        <v>313</v>
      </c>
      <c r="C34" s="52">
        <v>3391.5</v>
      </c>
    </row>
    <row r="35" spans="1:3" x14ac:dyDescent="0.25">
      <c r="A35" s="53" t="s">
        <v>314</v>
      </c>
      <c r="B35" s="53" t="s">
        <v>315</v>
      </c>
      <c r="C35" s="54">
        <v>3819.9</v>
      </c>
    </row>
    <row r="36" spans="1:3" x14ac:dyDescent="0.25">
      <c r="A36" s="51" t="s">
        <v>349</v>
      </c>
      <c r="B36" s="51" t="s">
        <v>350</v>
      </c>
      <c r="C36" s="52">
        <v>3391.5</v>
      </c>
    </row>
    <row r="37" spans="1:3" x14ac:dyDescent="0.25">
      <c r="A37" s="53" t="s">
        <v>316</v>
      </c>
      <c r="B37" s="53" t="s">
        <v>317</v>
      </c>
      <c r="C37" s="54">
        <v>126</v>
      </c>
    </row>
    <row r="38" spans="1:3" x14ac:dyDescent="0.25">
      <c r="A38" s="51" t="s">
        <v>316</v>
      </c>
      <c r="B38" s="51" t="s">
        <v>318</v>
      </c>
      <c r="C38" s="52">
        <v>126</v>
      </c>
    </row>
    <row r="39" spans="1:3" x14ac:dyDescent="0.25">
      <c r="A39" s="53" t="s">
        <v>316</v>
      </c>
      <c r="B39" s="53" t="s">
        <v>319</v>
      </c>
      <c r="C39" s="54">
        <v>749.7</v>
      </c>
    </row>
    <row r="40" spans="1:3" x14ac:dyDescent="0.25">
      <c r="A40" s="51" t="s">
        <v>320</v>
      </c>
      <c r="B40" s="51" t="s">
        <v>287</v>
      </c>
      <c r="C40" s="52">
        <v>1549.12</v>
      </c>
    </row>
    <row r="41" spans="1:3" x14ac:dyDescent="0.25">
      <c r="A41" s="53" t="s">
        <v>321</v>
      </c>
      <c r="B41" s="53" t="s">
        <v>322</v>
      </c>
      <c r="C41" s="54">
        <v>107.1</v>
      </c>
    </row>
    <row r="42" spans="1:3" x14ac:dyDescent="0.25">
      <c r="A42" s="51" t="s">
        <v>323</v>
      </c>
      <c r="B42" s="51" t="s">
        <v>324</v>
      </c>
      <c r="C42" s="52">
        <v>535.5</v>
      </c>
    </row>
    <row r="43" spans="1:3" x14ac:dyDescent="0.25">
      <c r="A43" s="53" t="s">
        <v>325</v>
      </c>
      <c r="B43" s="53" t="s">
        <v>326</v>
      </c>
      <c r="C43" s="54">
        <v>126</v>
      </c>
    </row>
    <row r="44" spans="1:3" x14ac:dyDescent="0.25">
      <c r="A44" s="51" t="s">
        <v>325</v>
      </c>
      <c r="B44" s="51" t="s">
        <v>327</v>
      </c>
      <c r="C44" s="52">
        <v>126</v>
      </c>
    </row>
    <row r="45" spans="1:3" x14ac:dyDescent="0.25">
      <c r="A45" s="53" t="s">
        <v>325</v>
      </c>
      <c r="B45" s="53" t="s">
        <v>328</v>
      </c>
      <c r="C45" s="54">
        <v>963.9</v>
      </c>
    </row>
    <row r="46" spans="1:3" x14ac:dyDescent="0.25">
      <c r="A46" s="51" t="s">
        <v>329</v>
      </c>
      <c r="B46" s="51" t="s">
        <v>330</v>
      </c>
      <c r="C46" s="52">
        <v>107.1</v>
      </c>
    </row>
    <row r="47" spans="1:3" x14ac:dyDescent="0.25">
      <c r="A47" s="53" t="s">
        <v>331</v>
      </c>
      <c r="B47" s="53" t="s">
        <v>332</v>
      </c>
      <c r="C47" s="54">
        <v>535.5</v>
      </c>
    </row>
    <row r="48" spans="1:3" x14ac:dyDescent="0.25">
      <c r="A48" s="51" t="s">
        <v>333</v>
      </c>
      <c r="B48" s="51" t="s">
        <v>334</v>
      </c>
      <c r="C48" s="52">
        <v>1147.5</v>
      </c>
    </row>
    <row r="49" spans="1:3" x14ac:dyDescent="0.25">
      <c r="A49" s="53" t="s">
        <v>335</v>
      </c>
      <c r="B49" s="53" t="s">
        <v>336</v>
      </c>
      <c r="C49" s="54">
        <v>126</v>
      </c>
    </row>
    <row r="50" spans="1:3" x14ac:dyDescent="0.25">
      <c r="A50" s="51" t="s">
        <v>335</v>
      </c>
      <c r="B50" s="51" t="s">
        <v>337</v>
      </c>
      <c r="C50" s="52">
        <v>126</v>
      </c>
    </row>
    <row r="51" spans="1:3" x14ac:dyDescent="0.25">
      <c r="A51" s="53" t="s">
        <v>335</v>
      </c>
      <c r="B51" s="53" t="s">
        <v>338</v>
      </c>
      <c r="C51" s="54">
        <v>749.7</v>
      </c>
    </row>
    <row r="52" spans="1:3" x14ac:dyDescent="0.25">
      <c r="A52" s="51" t="s">
        <v>339</v>
      </c>
      <c r="B52" s="51" t="s">
        <v>340</v>
      </c>
      <c r="C52" s="52">
        <v>107.1</v>
      </c>
    </row>
    <row r="53" spans="1:3" x14ac:dyDescent="0.25">
      <c r="A53" s="53" t="s">
        <v>341</v>
      </c>
      <c r="B53" s="53" t="s">
        <v>342</v>
      </c>
      <c r="C53" s="54">
        <v>535.5</v>
      </c>
    </row>
    <row r="54" spans="1:3" x14ac:dyDescent="0.25">
      <c r="A54" s="51" t="s">
        <v>343</v>
      </c>
      <c r="B54" s="51" t="s">
        <v>344</v>
      </c>
      <c r="C54" s="52">
        <v>642.6</v>
      </c>
    </row>
    <row r="55" spans="1:3" x14ac:dyDescent="0.25">
      <c r="A55" s="53" t="s">
        <v>345</v>
      </c>
      <c r="B55" s="53" t="s">
        <v>346</v>
      </c>
      <c r="C55" s="54">
        <v>963.9</v>
      </c>
    </row>
    <row r="56" spans="1:3" x14ac:dyDescent="0.25">
      <c r="A56" s="51" t="s">
        <v>347</v>
      </c>
      <c r="B56" s="51" t="s">
        <v>348</v>
      </c>
      <c r="C56" s="52">
        <v>98.17</v>
      </c>
    </row>
    <row r="57" spans="1:3" x14ac:dyDescent="0.25">
      <c r="A57" s="56" t="s">
        <v>0</v>
      </c>
      <c r="B57" s="56"/>
      <c r="C57" s="65">
        <f>SUBTOTAL(109,Tabla3[Imp. aplic.])</f>
        <v>64610.839999999989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D8E84-A7D2-4529-AA5A-348C4F07E76B}">
  <dimension ref="A1:C156"/>
  <sheetViews>
    <sheetView tabSelected="1" topLeftCell="A139" workbookViewId="0">
      <selection activeCell="C157" sqref="C157"/>
    </sheetView>
  </sheetViews>
  <sheetFormatPr baseColWidth="10" defaultRowHeight="15" x14ac:dyDescent="0.25"/>
  <cols>
    <col min="1" max="1" width="20.28515625" customWidth="1"/>
    <col min="2" max="2" width="83.5703125" customWidth="1"/>
    <col min="3" max="3" width="19.140625" customWidth="1"/>
  </cols>
  <sheetData>
    <row r="1" spans="1:3" x14ac:dyDescent="0.25">
      <c r="A1" s="79" t="s">
        <v>225</v>
      </c>
      <c r="B1" s="79" t="s">
        <v>115</v>
      </c>
      <c r="C1" s="80" t="s">
        <v>226</v>
      </c>
    </row>
    <row r="2" spans="1:3" x14ac:dyDescent="0.25">
      <c r="A2" s="71" t="s">
        <v>274</v>
      </c>
      <c r="B2" s="71" t="s">
        <v>414</v>
      </c>
      <c r="C2" s="72">
        <v>872.1</v>
      </c>
    </row>
    <row r="3" spans="1:3" x14ac:dyDescent="0.25">
      <c r="A3" s="74" t="s">
        <v>303</v>
      </c>
      <c r="B3" s="74" t="s">
        <v>415</v>
      </c>
      <c r="C3" s="75">
        <v>918</v>
      </c>
    </row>
    <row r="4" spans="1:3" x14ac:dyDescent="0.25">
      <c r="A4" s="71" t="s">
        <v>306</v>
      </c>
      <c r="B4" s="71" t="s">
        <v>416</v>
      </c>
      <c r="C4" s="72">
        <v>474.3</v>
      </c>
    </row>
    <row r="5" spans="1:3" x14ac:dyDescent="0.25">
      <c r="A5" s="74" t="s">
        <v>278</v>
      </c>
      <c r="B5" s="74" t="s">
        <v>280</v>
      </c>
      <c r="C5" s="75">
        <v>249.9</v>
      </c>
    </row>
    <row r="6" spans="1:3" x14ac:dyDescent="0.25">
      <c r="A6" s="71" t="s">
        <v>281</v>
      </c>
      <c r="B6" s="71" t="s">
        <v>417</v>
      </c>
      <c r="C6" s="72">
        <v>354.97</v>
      </c>
    </row>
    <row r="7" spans="1:3" x14ac:dyDescent="0.25">
      <c r="A7" s="74" t="s">
        <v>288</v>
      </c>
      <c r="B7" s="74" t="s">
        <v>418</v>
      </c>
      <c r="C7" s="75">
        <v>872.1</v>
      </c>
    </row>
    <row r="8" spans="1:3" x14ac:dyDescent="0.25">
      <c r="A8" s="71" t="s">
        <v>288</v>
      </c>
      <c r="B8" s="71" t="s">
        <v>419</v>
      </c>
      <c r="C8" s="72">
        <v>-15.3</v>
      </c>
    </row>
    <row r="9" spans="1:3" x14ac:dyDescent="0.25">
      <c r="A9" s="74" t="s">
        <v>288</v>
      </c>
      <c r="B9" s="74" t="s">
        <v>420</v>
      </c>
      <c r="C9" s="75">
        <v>76.5</v>
      </c>
    </row>
    <row r="10" spans="1:3" x14ac:dyDescent="0.25">
      <c r="A10" s="71" t="s">
        <v>310</v>
      </c>
      <c r="B10" s="71" t="s">
        <v>421</v>
      </c>
      <c r="C10" s="72">
        <v>267.75</v>
      </c>
    </row>
    <row r="11" spans="1:3" x14ac:dyDescent="0.25">
      <c r="A11" s="74" t="s">
        <v>316</v>
      </c>
      <c r="B11" s="74" t="s">
        <v>422</v>
      </c>
      <c r="C11" s="75">
        <v>126</v>
      </c>
    </row>
    <row r="12" spans="1:3" x14ac:dyDescent="0.25">
      <c r="A12" s="71" t="s">
        <v>320</v>
      </c>
      <c r="B12" s="71" t="s">
        <v>423</v>
      </c>
      <c r="C12" s="72">
        <v>202.5</v>
      </c>
    </row>
    <row r="13" spans="1:3" x14ac:dyDescent="0.25">
      <c r="A13" s="74" t="s">
        <v>320</v>
      </c>
      <c r="B13" s="74" t="s">
        <v>424</v>
      </c>
      <c r="C13" s="75">
        <v>202.5</v>
      </c>
    </row>
    <row r="14" spans="1:3" x14ac:dyDescent="0.25">
      <c r="A14" s="71" t="s">
        <v>325</v>
      </c>
      <c r="B14" s="71" t="s">
        <v>425</v>
      </c>
      <c r="C14" s="72">
        <v>126</v>
      </c>
    </row>
    <row r="15" spans="1:3" x14ac:dyDescent="0.25">
      <c r="A15" s="74" t="s">
        <v>333</v>
      </c>
      <c r="B15" s="74" t="s">
        <v>426</v>
      </c>
      <c r="C15" s="75">
        <v>135</v>
      </c>
    </row>
    <row r="16" spans="1:3" x14ac:dyDescent="0.25">
      <c r="A16" s="71" t="s">
        <v>333</v>
      </c>
      <c r="B16" s="71" t="s">
        <v>427</v>
      </c>
      <c r="C16" s="72">
        <v>135</v>
      </c>
    </row>
    <row r="17" spans="1:3" x14ac:dyDescent="0.25">
      <c r="A17" s="74" t="s">
        <v>335</v>
      </c>
      <c r="B17" s="74" t="s">
        <v>428</v>
      </c>
      <c r="C17" s="75">
        <v>126</v>
      </c>
    </row>
    <row r="18" spans="1:3" x14ac:dyDescent="0.25">
      <c r="A18" s="71" t="s">
        <v>429</v>
      </c>
      <c r="B18" s="71" t="s">
        <v>430</v>
      </c>
      <c r="C18" s="72">
        <v>3070.2</v>
      </c>
    </row>
    <row r="19" spans="1:3" x14ac:dyDescent="0.25">
      <c r="A19" s="74" t="s">
        <v>295</v>
      </c>
      <c r="B19" s="74" t="s">
        <v>431</v>
      </c>
      <c r="C19" s="75">
        <v>126</v>
      </c>
    </row>
    <row r="20" spans="1:3" x14ac:dyDescent="0.25">
      <c r="A20" s="71" t="s">
        <v>295</v>
      </c>
      <c r="B20" s="71" t="s">
        <v>432</v>
      </c>
      <c r="C20" s="72">
        <v>321.3</v>
      </c>
    </row>
    <row r="21" spans="1:3" x14ac:dyDescent="0.25">
      <c r="A21" s="74" t="s">
        <v>295</v>
      </c>
      <c r="B21" s="74" t="s">
        <v>433</v>
      </c>
      <c r="C21" s="75">
        <v>126</v>
      </c>
    </row>
    <row r="22" spans="1:3" x14ac:dyDescent="0.25">
      <c r="A22" s="71" t="s">
        <v>295</v>
      </c>
      <c r="B22" s="71" t="s">
        <v>434</v>
      </c>
      <c r="C22" s="72">
        <v>126</v>
      </c>
    </row>
    <row r="23" spans="1:3" x14ac:dyDescent="0.25">
      <c r="A23" s="74" t="s">
        <v>435</v>
      </c>
      <c r="B23" s="74" t="s">
        <v>436</v>
      </c>
      <c r="C23" s="75">
        <v>2391.9</v>
      </c>
    </row>
    <row r="24" spans="1:3" x14ac:dyDescent="0.25">
      <c r="A24" s="71" t="s">
        <v>297</v>
      </c>
      <c r="B24" s="71" t="s">
        <v>437</v>
      </c>
      <c r="C24" s="72">
        <v>107.1</v>
      </c>
    </row>
    <row r="25" spans="1:3" x14ac:dyDescent="0.25">
      <c r="A25" s="74" t="s">
        <v>297</v>
      </c>
      <c r="B25" s="74" t="s">
        <v>438</v>
      </c>
      <c r="C25" s="75">
        <v>-107.1</v>
      </c>
    </row>
    <row r="26" spans="1:3" x14ac:dyDescent="0.25">
      <c r="A26" s="71" t="s">
        <v>439</v>
      </c>
      <c r="B26" s="71" t="s">
        <v>440</v>
      </c>
      <c r="C26" s="72">
        <v>3034.5</v>
      </c>
    </row>
    <row r="27" spans="1:3" x14ac:dyDescent="0.25">
      <c r="A27" s="74" t="s">
        <v>343</v>
      </c>
      <c r="B27" s="74" t="s">
        <v>441</v>
      </c>
      <c r="C27" s="75">
        <v>-107.1</v>
      </c>
    </row>
    <row r="28" spans="1:3" x14ac:dyDescent="0.25">
      <c r="A28" s="71" t="s">
        <v>442</v>
      </c>
      <c r="B28" s="71" t="s">
        <v>443</v>
      </c>
      <c r="C28" s="72">
        <v>3677.1</v>
      </c>
    </row>
    <row r="29" spans="1:3" x14ac:dyDescent="0.25">
      <c r="A29" s="74" t="s">
        <v>299</v>
      </c>
      <c r="B29" s="74" t="s">
        <v>444</v>
      </c>
      <c r="C29" s="75">
        <v>126</v>
      </c>
    </row>
    <row r="30" spans="1:3" x14ac:dyDescent="0.25">
      <c r="A30" s="71" t="s">
        <v>299</v>
      </c>
      <c r="B30" s="71" t="s">
        <v>445</v>
      </c>
      <c r="C30" s="72">
        <v>107.1</v>
      </c>
    </row>
    <row r="31" spans="1:3" x14ac:dyDescent="0.25">
      <c r="A31" s="74" t="s">
        <v>299</v>
      </c>
      <c r="B31" s="74" t="s">
        <v>446</v>
      </c>
      <c r="C31" s="75">
        <v>126</v>
      </c>
    </row>
    <row r="32" spans="1:3" x14ac:dyDescent="0.25">
      <c r="A32" s="71" t="s">
        <v>299</v>
      </c>
      <c r="B32" s="71" t="s">
        <v>447</v>
      </c>
      <c r="C32" s="72">
        <v>126</v>
      </c>
    </row>
    <row r="33" spans="1:3" x14ac:dyDescent="0.25">
      <c r="A33" s="74" t="s">
        <v>299</v>
      </c>
      <c r="B33" s="74" t="s">
        <v>448</v>
      </c>
      <c r="C33" s="75">
        <v>321.3</v>
      </c>
    </row>
    <row r="34" spans="1:3" x14ac:dyDescent="0.25">
      <c r="A34" s="71" t="s">
        <v>449</v>
      </c>
      <c r="B34" s="71" t="s">
        <v>450</v>
      </c>
      <c r="C34" s="72">
        <v>2391.9</v>
      </c>
    </row>
    <row r="35" spans="1:3" x14ac:dyDescent="0.25">
      <c r="A35" s="74" t="s">
        <v>449</v>
      </c>
      <c r="B35" s="74" t="s">
        <v>451</v>
      </c>
      <c r="C35" s="75">
        <v>107.1</v>
      </c>
    </row>
    <row r="36" spans="1:3" x14ac:dyDescent="0.25">
      <c r="A36" s="71" t="s">
        <v>452</v>
      </c>
      <c r="B36" s="71" t="s">
        <v>453</v>
      </c>
      <c r="C36" s="72">
        <v>3034.5</v>
      </c>
    </row>
    <row r="37" spans="1:3" x14ac:dyDescent="0.25">
      <c r="A37" s="74" t="s">
        <v>345</v>
      </c>
      <c r="B37" s="74" t="s">
        <v>438</v>
      </c>
      <c r="C37" s="75">
        <v>-107.1</v>
      </c>
    </row>
    <row r="38" spans="1:3" x14ac:dyDescent="0.25">
      <c r="A38" s="71" t="s">
        <v>347</v>
      </c>
      <c r="B38" s="71" t="s">
        <v>438</v>
      </c>
      <c r="C38" s="72">
        <v>-68.42</v>
      </c>
    </row>
    <row r="39" spans="1:3" x14ac:dyDescent="0.25">
      <c r="A39" s="74" t="s">
        <v>454</v>
      </c>
      <c r="B39" s="74" t="s">
        <v>455</v>
      </c>
      <c r="C39" s="75">
        <v>126</v>
      </c>
    </row>
    <row r="40" spans="1:3" x14ac:dyDescent="0.25">
      <c r="A40" s="71" t="s">
        <v>454</v>
      </c>
      <c r="B40" s="71" t="s">
        <v>456</v>
      </c>
      <c r="C40" s="72">
        <v>2820.3</v>
      </c>
    </row>
    <row r="41" spans="1:3" x14ac:dyDescent="0.25">
      <c r="A41" s="74" t="s">
        <v>454</v>
      </c>
      <c r="B41" s="74" t="s">
        <v>457</v>
      </c>
      <c r="C41" s="75">
        <v>2391.9</v>
      </c>
    </row>
    <row r="42" spans="1:3" x14ac:dyDescent="0.25">
      <c r="A42" s="71" t="s">
        <v>458</v>
      </c>
      <c r="B42" s="71" t="s">
        <v>459</v>
      </c>
      <c r="C42" s="72">
        <v>126</v>
      </c>
    </row>
    <row r="43" spans="1:3" x14ac:dyDescent="0.25">
      <c r="A43" s="74" t="s">
        <v>458</v>
      </c>
      <c r="B43" s="74" t="s">
        <v>438</v>
      </c>
      <c r="C43" s="75">
        <v>-107.1</v>
      </c>
    </row>
    <row r="44" spans="1:3" x14ac:dyDescent="0.25">
      <c r="A44" s="71" t="s">
        <v>458</v>
      </c>
      <c r="B44" s="71" t="s">
        <v>460</v>
      </c>
      <c r="C44" s="72">
        <v>126</v>
      </c>
    </row>
    <row r="45" spans="1:3" x14ac:dyDescent="0.25">
      <c r="A45" s="74" t="s">
        <v>461</v>
      </c>
      <c r="B45" s="74" t="s">
        <v>462</v>
      </c>
      <c r="C45" s="75">
        <v>3284.4</v>
      </c>
    </row>
    <row r="46" spans="1:3" x14ac:dyDescent="0.25">
      <c r="A46" s="71" t="s">
        <v>463</v>
      </c>
      <c r="B46" s="71" t="s">
        <v>464</v>
      </c>
      <c r="C46" s="72">
        <v>642.6</v>
      </c>
    </row>
    <row r="47" spans="1:3" x14ac:dyDescent="0.25">
      <c r="A47" s="74" t="s">
        <v>463</v>
      </c>
      <c r="B47" s="74" t="s">
        <v>438</v>
      </c>
      <c r="C47" s="75">
        <v>-107.1</v>
      </c>
    </row>
    <row r="48" spans="1:3" x14ac:dyDescent="0.25">
      <c r="A48" s="71" t="s">
        <v>463</v>
      </c>
      <c r="B48" s="71" t="s">
        <v>465</v>
      </c>
      <c r="C48" s="72">
        <v>214.2</v>
      </c>
    </row>
    <row r="49" spans="1:3" x14ac:dyDescent="0.25">
      <c r="A49" s="74" t="s">
        <v>463</v>
      </c>
      <c r="B49" s="74" t="s">
        <v>466</v>
      </c>
      <c r="C49" s="75">
        <v>-107.1</v>
      </c>
    </row>
    <row r="50" spans="1:3" x14ac:dyDescent="0.25">
      <c r="A50" s="71" t="s">
        <v>467</v>
      </c>
      <c r="B50" s="71" t="s">
        <v>468</v>
      </c>
      <c r="C50" s="72">
        <v>3677.1</v>
      </c>
    </row>
    <row r="51" spans="1:3" x14ac:dyDescent="0.25">
      <c r="A51" s="74" t="s">
        <v>469</v>
      </c>
      <c r="B51" s="74" t="s">
        <v>470</v>
      </c>
      <c r="C51" s="75">
        <v>126</v>
      </c>
    </row>
    <row r="52" spans="1:3" x14ac:dyDescent="0.25">
      <c r="A52" s="71" t="s">
        <v>469</v>
      </c>
      <c r="B52" s="71" t="s">
        <v>438</v>
      </c>
      <c r="C52" s="72">
        <v>-107.1</v>
      </c>
    </row>
    <row r="53" spans="1:3" x14ac:dyDescent="0.25">
      <c r="A53" s="74" t="s">
        <v>469</v>
      </c>
      <c r="B53" s="74" t="s">
        <v>471</v>
      </c>
      <c r="C53" s="75">
        <v>126</v>
      </c>
    </row>
    <row r="54" spans="1:3" x14ac:dyDescent="0.25">
      <c r="A54" s="71" t="s">
        <v>469</v>
      </c>
      <c r="B54" s="71" t="s">
        <v>472</v>
      </c>
      <c r="C54" s="72">
        <v>1071</v>
      </c>
    </row>
    <row r="55" spans="1:3" x14ac:dyDescent="0.25">
      <c r="A55" s="74" t="s">
        <v>469</v>
      </c>
      <c r="B55" s="74" t="s">
        <v>473</v>
      </c>
      <c r="C55" s="75">
        <v>126</v>
      </c>
    </row>
    <row r="56" spans="1:3" x14ac:dyDescent="0.25">
      <c r="A56" s="71" t="s">
        <v>474</v>
      </c>
      <c r="B56" s="71" t="s">
        <v>475</v>
      </c>
      <c r="C56" s="72">
        <v>2427.6</v>
      </c>
    </row>
    <row r="57" spans="1:3" x14ac:dyDescent="0.25">
      <c r="A57" s="74" t="s">
        <v>476</v>
      </c>
      <c r="B57" s="74" t="s">
        <v>477</v>
      </c>
      <c r="C57" s="75">
        <v>428.4</v>
      </c>
    </row>
    <row r="58" spans="1:3" x14ac:dyDescent="0.25">
      <c r="A58" s="71" t="s">
        <v>476</v>
      </c>
      <c r="B58" s="71" t="s">
        <v>478</v>
      </c>
      <c r="C58" s="72">
        <v>126</v>
      </c>
    </row>
    <row r="59" spans="1:3" x14ac:dyDescent="0.25">
      <c r="A59" s="74" t="s">
        <v>479</v>
      </c>
      <c r="B59" s="74" t="s">
        <v>480</v>
      </c>
      <c r="C59" s="75">
        <v>2891.7</v>
      </c>
    </row>
    <row r="60" spans="1:3" x14ac:dyDescent="0.25">
      <c r="A60" s="71" t="s">
        <v>481</v>
      </c>
      <c r="B60" s="71" t="s">
        <v>482</v>
      </c>
      <c r="C60" s="72">
        <v>321.3</v>
      </c>
    </row>
    <row r="61" spans="1:3" x14ac:dyDescent="0.25">
      <c r="A61" s="74" t="s">
        <v>483</v>
      </c>
      <c r="B61" s="74" t="s">
        <v>484</v>
      </c>
      <c r="C61" s="75">
        <v>126</v>
      </c>
    </row>
    <row r="62" spans="1:3" x14ac:dyDescent="0.25">
      <c r="A62" s="71" t="s">
        <v>483</v>
      </c>
      <c r="B62" s="71" t="s">
        <v>485</v>
      </c>
      <c r="C62" s="72">
        <v>3070.2</v>
      </c>
    </row>
    <row r="63" spans="1:3" x14ac:dyDescent="0.25">
      <c r="A63" s="74" t="s">
        <v>486</v>
      </c>
      <c r="B63" s="74" t="s">
        <v>438</v>
      </c>
      <c r="C63" s="75">
        <v>-107.1</v>
      </c>
    </row>
    <row r="64" spans="1:3" x14ac:dyDescent="0.25">
      <c r="A64" s="71" t="s">
        <v>486</v>
      </c>
      <c r="B64" s="71" t="s">
        <v>487</v>
      </c>
      <c r="C64" s="72">
        <v>126</v>
      </c>
    </row>
    <row r="65" spans="1:3" x14ac:dyDescent="0.25">
      <c r="A65" s="74" t="s">
        <v>486</v>
      </c>
      <c r="B65" s="74" t="s">
        <v>488</v>
      </c>
      <c r="C65" s="75">
        <v>428.4</v>
      </c>
    </row>
    <row r="66" spans="1:3" x14ac:dyDescent="0.25">
      <c r="A66" s="71" t="s">
        <v>486</v>
      </c>
      <c r="B66" s="71" t="s">
        <v>489</v>
      </c>
      <c r="C66" s="72">
        <v>428.4</v>
      </c>
    </row>
    <row r="67" spans="1:3" x14ac:dyDescent="0.25">
      <c r="A67" s="74" t="s">
        <v>486</v>
      </c>
      <c r="B67" s="74" t="s">
        <v>490</v>
      </c>
      <c r="C67" s="75">
        <v>126</v>
      </c>
    </row>
    <row r="68" spans="1:3" x14ac:dyDescent="0.25">
      <c r="A68" s="71" t="s">
        <v>486</v>
      </c>
      <c r="B68" s="71" t="s">
        <v>491</v>
      </c>
      <c r="C68" s="72">
        <v>107.1</v>
      </c>
    </row>
    <row r="69" spans="1:3" x14ac:dyDescent="0.25">
      <c r="A69" s="74" t="s">
        <v>492</v>
      </c>
      <c r="B69" s="74" t="s">
        <v>493</v>
      </c>
      <c r="C69" s="75">
        <v>2427.6</v>
      </c>
    </row>
    <row r="70" spans="1:3" x14ac:dyDescent="0.25">
      <c r="A70" s="71" t="s">
        <v>494</v>
      </c>
      <c r="B70" s="71" t="s">
        <v>495</v>
      </c>
      <c r="C70" s="72">
        <v>214.2</v>
      </c>
    </row>
    <row r="71" spans="1:3" x14ac:dyDescent="0.25">
      <c r="A71" s="74" t="s">
        <v>494</v>
      </c>
      <c r="B71" s="74" t="s">
        <v>496</v>
      </c>
      <c r="C71" s="75">
        <v>214.2</v>
      </c>
    </row>
    <row r="72" spans="1:3" x14ac:dyDescent="0.25">
      <c r="A72" s="71" t="s">
        <v>494</v>
      </c>
      <c r="B72" s="71" t="s">
        <v>497</v>
      </c>
      <c r="C72" s="72">
        <v>126</v>
      </c>
    </row>
    <row r="73" spans="1:3" x14ac:dyDescent="0.25">
      <c r="A73" s="74" t="s">
        <v>498</v>
      </c>
      <c r="B73" s="74" t="s">
        <v>499</v>
      </c>
      <c r="C73" s="75">
        <v>2998.8</v>
      </c>
    </row>
    <row r="74" spans="1:3" x14ac:dyDescent="0.25">
      <c r="A74" s="71" t="s">
        <v>500</v>
      </c>
      <c r="B74" s="71" t="s">
        <v>501</v>
      </c>
      <c r="C74" s="72">
        <v>107.1</v>
      </c>
    </row>
    <row r="75" spans="1:3" x14ac:dyDescent="0.25">
      <c r="A75" s="74" t="s">
        <v>500</v>
      </c>
      <c r="B75" s="74" t="s">
        <v>502</v>
      </c>
      <c r="C75" s="75">
        <v>107.1</v>
      </c>
    </row>
    <row r="76" spans="1:3" x14ac:dyDescent="0.25">
      <c r="A76" s="71" t="s">
        <v>503</v>
      </c>
      <c r="B76" s="71" t="s">
        <v>504</v>
      </c>
      <c r="C76" s="72">
        <v>126</v>
      </c>
    </row>
    <row r="77" spans="1:3" x14ac:dyDescent="0.25">
      <c r="A77" s="74" t="s">
        <v>503</v>
      </c>
      <c r="B77" s="74" t="s">
        <v>505</v>
      </c>
      <c r="C77" s="75">
        <v>3177.3</v>
      </c>
    </row>
    <row r="78" spans="1:3" x14ac:dyDescent="0.25">
      <c r="A78" s="71" t="s">
        <v>506</v>
      </c>
      <c r="B78" s="71" t="s">
        <v>507</v>
      </c>
      <c r="C78" s="72">
        <v>340.2</v>
      </c>
    </row>
    <row r="79" spans="1:3" x14ac:dyDescent="0.25">
      <c r="A79" s="74" t="s">
        <v>506</v>
      </c>
      <c r="B79" s="74" t="s">
        <v>508</v>
      </c>
      <c r="C79" s="75">
        <v>453.6</v>
      </c>
    </row>
    <row r="80" spans="1:3" x14ac:dyDescent="0.25">
      <c r="A80" s="71" t="s">
        <v>506</v>
      </c>
      <c r="B80" s="71" t="s">
        <v>509</v>
      </c>
      <c r="C80" s="72">
        <v>126</v>
      </c>
    </row>
    <row r="81" spans="1:3" x14ac:dyDescent="0.25">
      <c r="A81" s="74" t="s">
        <v>506</v>
      </c>
      <c r="B81" s="74" t="s">
        <v>510</v>
      </c>
      <c r="C81" s="75">
        <v>126</v>
      </c>
    </row>
    <row r="82" spans="1:3" x14ac:dyDescent="0.25">
      <c r="A82" s="71" t="s">
        <v>506</v>
      </c>
      <c r="B82" s="71" t="s">
        <v>511</v>
      </c>
      <c r="C82" s="72">
        <v>107.1</v>
      </c>
    </row>
    <row r="83" spans="1:3" x14ac:dyDescent="0.25">
      <c r="A83" s="74" t="s">
        <v>512</v>
      </c>
      <c r="B83" s="74" t="s">
        <v>513</v>
      </c>
      <c r="C83" s="75">
        <v>2427.6</v>
      </c>
    </row>
    <row r="84" spans="1:3" x14ac:dyDescent="0.25">
      <c r="A84" s="71" t="s">
        <v>514</v>
      </c>
      <c r="B84" s="71" t="s">
        <v>515</v>
      </c>
      <c r="C84" s="72">
        <v>214.2</v>
      </c>
    </row>
    <row r="85" spans="1:3" x14ac:dyDescent="0.25">
      <c r="A85" s="74" t="s">
        <v>514</v>
      </c>
      <c r="B85" s="74" t="s">
        <v>516</v>
      </c>
      <c r="C85" s="75">
        <v>214.2</v>
      </c>
    </row>
    <row r="86" spans="1:3" x14ac:dyDescent="0.25">
      <c r="A86" s="71" t="s">
        <v>514</v>
      </c>
      <c r="B86" s="71" t="s">
        <v>517</v>
      </c>
      <c r="C86" s="72">
        <v>126</v>
      </c>
    </row>
    <row r="87" spans="1:3" x14ac:dyDescent="0.25">
      <c r="A87" s="74" t="s">
        <v>518</v>
      </c>
      <c r="B87" s="74" t="s">
        <v>519</v>
      </c>
      <c r="C87" s="75">
        <v>2998.8</v>
      </c>
    </row>
    <row r="88" spans="1:3" x14ac:dyDescent="0.25">
      <c r="A88" s="71" t="s">
        <v>520</v>
      </c>
      <c r="B88" s="71" t="s">
        <v>521</v>
      </c>
      <c r="C88" s="72">
        <v>107.1</v>
      </c>
    </row>
    <row r="89" spans="1:3" x14ac:dyDescent="0.25">
      <c r="A89" s="74" t="s">
        <v>520</v>
      </c>
      <c r="B89" s="74" t="s">
        <v>522</v>
      </c>
      <c r="C89" s="75">
        <v>107.1</v>
      </c>
    </row>
    <row r="90" spans="1:3" x14ac:dyDescent="0.25">
      <c r="A90" s="71" t="s">
        <v>523</v>
      </c>
      <c r="B90" s="71" t="s">
        <v>524</v>
      </c>
      <c r="C90" s="72">
        <v>153</v>
      </c>
    </row>
    <row r="91" spans="1:3" x14ac:dyDescent="0.25">
      <c r="A91" s="74" t="s">
        <v>523</v>
      </c>
      <c r="B91" s="74" t="s">
        <v>525</v>
      </c>
      <c r="C91" s="75">
        <v>15.3</v>
      </c>
    </row>
    <row r="92" spans="1:3" x14ac:dyDescent="0.25">
      <c r="A92" s="71" t="s">
        <v>526</v>
      </c>
      <c r="B92" s="71" t="s">
        <v>527</v>
      </c>
      <c r="C92" s="72">
        <v>10901.25</v>
      </c>
    </row>
    <row r="93" spans="1:3" x14ac:dyDescent="0.25">
      <c r="A93" s="74" t="s">
        <v>528</v>
      </c>
      <c r="B93" s="74" t="s">
        <v>529</v>
      </c>
      <c r="C93" s="75">
        <v>450</v>
      </c>
    </row>
    <row r="94" spans="1:3" x14ac:dyDescent="0.25">
      <c r="A94" s="71" t="s">
        <v>528</v>
      </c>
      <c r="B94" s="71" t="s">
        <v>530</v>
      </c>
      <c r="C94" s="72">
        <v>225</v>
      </c>
    </row>
    <row r="95" spans="1:3" x14ac:dyDescent="0.25">
      <c r="A95" s="74" t="s">
        <v>528</v>
      </c>
      <c r="B95" s="74" t="s">
        <v>531</v>
      </c>
      <c r="C95" s="75">
        <v>225</v>
      </c>
    </row>
    <row r="96" spans="1:3" x14ac:dyDescent="0.25">
      <c r="A96" s="71" t="s">
        <v>528</v>
      </c>
      <c r="B96" s="71" t="s">
        <v>532</v>
      </c>
      <c r="C96" s="72">
        <v>225</v>
      </c>
    </row>
    <row r="97" spans="1:3" x14ac:dyDescent="0.25">
      <c r="A97" s="74" t="s">
        <v>528</v>
      </c>
      <c r="B97" s="74" t="s">
        <v>533</v>
      </c>
      <c r="C97" s="75">
        <v>225</v>
      </c>
    </row>
    <row r="98" spans="1:3" x14ac:dyDescent="0.25">
      <c r="A98" s="71" t="s">
        <v>528</v>
      </c>
      <c r="B98" s="71" t="s">
        <v>534</v>
      </c>
      <c r="C98" s="72">
        <v>225</v>
      </c>
    </row>
    <row r="99" spans="1:3" x14ac:dyDescent="0.25">
      <c r="A99" s="74" t="s">
        <v>528</v>
      </c>
      <c r="B99" s="74" t="s">
        <v>535</v>
      </c>
      <c r="C99" s="75">
        <v>225</v>
      </c>
    </row>
    <row r="100" spans="1:3" x14ac:dyDescent="0.25">
      <c r="A100" s="71" t="s">
        <v>528</v>
      </c>
      <c r="B100" s="71" t="s">
        <v>536</v>
      </c>
      <c r="C100" s="72">
        <v>225</v>
      </c>
    </row>
    <row r="101" spans="1:3" x14ac:dyDescent="0.25">
      <c r="A101" s="74" t="s">
        <v>528</v>
      </c>
      <c r="B101" s="74" t="s">
        <v>537</v>
      </c>
      <c r="C101" s="75">
        <v>225</v>
      </c>
    </row>
    <row r="102" spans="1:3" x14ac:dyDescent="0.25">
      <c r="A102" s="71" t="s">
        <v>528</v>
      </c>
      <c r="B102" s="71" t="s">
        <v>538</v>
      </c>
      <c r="C102" s="72">
        <v>225</v>
      </c>
    </row>
    <row r="103" spans="1:3" x14ac:dyDescent="0.25">
      <c r="A103" s="74" t="s">
        <v>528</v>
      </c>
      <c r="B103" s="74" t="s">
        <v>539</v>
      </c>
      <c r="C103" s="75">
        <v>5036.25</v>
      </c>
    </row>
    <row r="104" spans="1:3" x14ac:dyDescent="0.25">
      <c r="A104" s="71" t="s">
        <v>528</v>
      </c>
      <c r="B104" s="71" t="s">
        <v>540</v>
      </c>
      <c r="C104" s="72">
        <v>225</v>
      </c>
    </row>
    <row r="105" spans="1:3" x14ac:dyDescent="0.25">
      <c r="A105" s="74" t="s">
        <v>528</v>
      </c>
      <c r="B105" s="74" t="s">
        <v>541</v>
      </c>
      <c r="C105" s="75">
        <v>225</v>
      </c>
    </row>
    <row r="106" spans="1:3" x14ac:dyDescent="0.25">
      <c r="A106" s="71" t="s">
        <v>528</v>
      </c>
      <c r="B106" s="71" t="s">
        <v>542</v>
      </c>
      <c r="C106" s="72">
        <v>225</v>
      </c>
    </row>
    <row r="107" spans="1:3" x14ac:dyDescent="0.25">
      <c r="A107" s="74" t="s">
        <v>528</v>
      </c>
      <c r="B107" s="74" t="s">
        <v>543</v>
      </c>
      <c r="C107" s="75">
        <v>225</v>
      </c>
    </row>
    <row r="108" spans="1:3" x14ac:dyDescent="0.25">
      <c r="A108" s="71" t="s">
        <v>544</v>
      </c>
      <c r="B108" s="71" t="s">
        <v>545</v>
      </c>
      <c r="C108" s="72">
        <v>10901.25</v>
      </c>
    </row>
    <row r="109" spans="1:3" x14ac:dyDescent="0.25">
      <c r="A109" s="74" t="s">
        <v>546</v>
      </c>
      <c r="B109" s="74" t="s">
        <v>529</v>
      </c>
      <c r="C109" s="75">
        <v>450</v>
      </c>
    </row>
    <row r="110" spans="1:3" x14ac:dyDescent="0.25">
      <c r="A110" s="71" t="s">
        <v>546</v>
      </c>
      <c r="B110" s="71" t="s">
        <v>530</v>
      </c>
      <c r="C110" s="72">
        <v>225</v>
      </c>
    </row>
    <row r="111" spans="1:3" x14ac:dyDescent="0.25">
      <c r="A111" s="74" t="s">
        <v>546</v>
      </c>
      <c r="B111" s="74" t="s">
        <v>531</v>
      </c>
      <c r="C111" s="75">
        <v>225</v>
      </c>
    </row>
    <row r="112" spans="1:3" x14ac:dyDescent="0.25">
      <c r="A112" s="71" t="s">
        <v>546</v>
      </c>
      <c r="B112" s="71" t="s">
        <v>532</v>
      </c>
      <c r="C112" s="72">
        <v>225</v>
      </c>
    </row>
    <row r="113" spans="1:3" x14ac:dyDescent="0.25">
      <c r="A113" s="74" t="s">
        <v>546</v>
      </c>
      <c r="B113" s="74" t="s">
        <v>533</v>
      </c>
      <c r="C113" s="75">
        <v>225</v>
      </c>
    </row>
    <row r="114" spans="1:3" x14ac:dyDescent="0.25">
      <c r="A114" s="71" t="s">
        <v>546</v>
      </c>
      <c r="B114" s="71" t="s">
        <v>534</v>
      </c>
      <c r="C114" s="72">
        <v>225</v>
      </c>
    </row>
    <row r="115" spans="1:3" x14ac:dyDescent="0.25">
      <c r="A115" s="74" t="s">
        <v>546</v>
      </c>
      <c r="B115" s="74" t="s">
        <v>535</v>
      </c>
      <c r="C115" s="75">
        <v>225</v>
      </c>
    </row>
    <row r="116" spans="1:3" x14ac:dyDescent="0.25">
      <c r="A116" s="71" t="s">
        <v>546</v>
      </c>
      <c r="B116" s="71" t="s">
        <v>536</v>
      </c>
      <c r="C116" s="72">
        <v>225</v>
      </c>
    </row>
    <row r="117" spans="1:3" x14ac:dyDescent="0.25">
      <c r="A117" s="74" t="s">
        <v>546</v>
      </c>
      <c r="B117" s="74" t="s">
        <v>537</v>
      </c>
      <c r="C117" s="75">
        <v>225</v>
      </c>
    </row>
    <row r="118" spans="1:3" x14ac:dyDescent="0.25">
      <c r="A118" s="71" t="s">
        <v>546</v>
      </c>
      <c r="B118" s="71" t="s">
        <v>538</v>
      </c>
      <c r="C118" s="72">
        <v>225</v>
      </c>
    </row>
    <row r="119" spans="1:3" x14ac:dyDescent="0.25">
      <c r="A119" s="74" t="s">
        <v>546</v>
      </c>
      <c r="B119" s="74" t="s">
        <v>547</v>
      </c>
      <c r="C119" s="75">
        <v>5036.25</v>
      </c>
    </row>
    <row r="120" spans="1:3" x14ac:dyDescent="0.25">
      <c r="A120" s="71" t="s">
        <v>546</v>
      </c>
      <c r="B120" s="71" t="s">
        <v>540</v>
      </c>
      <c r="C120" s="72">
        <v>225</v>
      </c>
    </row>
    <row r="121" spans="1:3" x14ac:dyDescent="0.25">
      <c r="A121" s="74" t="s">
        <v>546</v>
      </c>
      <c r="B121" s="74" t="s">
        <v>541</v>
      </c>
      <c r="C121" s="75">
        <v>225</v>
      </c>
    </row>
    <row r="122" spans="1:3" x14ac:dyDescent="0.25">
      <c r="A122" s="71" t="s">
        <v>546</v>
      </c>
      <c r="B122" s="71" t="s">
        <v>542</v>
      </c>
      <c r="C122" s="72">
        <v>225</v>
      </c>
    </row>
    <row r="123" spans="1:3" x14ac:dyDescent="0.25">
      <c r="A123" s="74" t="s">
        <v>546</v>
      </c>
      <c r="B123" s="74" t="s">
        <v>543</v>
      </c>
      <c r="C123" s="75">
        <v>225</v>
      </c>
    </row>
    <row r="124" spans="1:3" x14ac:dyDescent="0.25">
      <c r="A124" s="71" t="s">
        <v>548</v>
      </c>
      <c r="B124" s="71" t="s">
        <v>549</v>
      </c>
      <c r="C124" s="72">
        <v>995</v>
      </c>
    </row>
    <row r="125" spans="1:3" x14ac:dyDescent="0.25">
      <c r="A125" s="74" t="s">
        <v>548</v>
      </c>
      <c r="B125" s="74" t="s">
        <v>550</v>
      </c>
      <c r="C125" s="75">
        <v>995</v>
      </c>
    </row>
    <row r="126" spans="1:3" x14ac:dyDescent="0.25">
      <c r="A126" s="71" t="s">
        <v>548</v>
      </c>
      <c r="B126" s="71" t="s">
        <v>551</v>
      </c>
      <c r="C126" s="72">
        <v>995</v>
      </c>
    </row>
    <row r="127" spans="1:3" x14ac:dyDescent="0.25">
      <c r="A127" s="74" t="s">
        <v>548</v>
      </c>
      <c r="B127" s="74" t="s">
        <v>552</v>
      </c>
      <c r="C127" s="75">
        <v>995</v>
      </c>
    </row>
    <row r="128" spans="1:3" x14ac:dyDescent="0.25">
      <c r="A128" s="71" t="s">
        <v>548</v>
      </c>
      <c r="B128" s="71" t="s">
        <v>553</v>
      </c>
      <c r="C128" s="72">
        <v>995</v>
      </c>
    </row>
    <row r="129" spans="1:3" x14ac:dyDescent="0.25">
      <c r="A129" s="74" t="s">
        <v>548</v>
      </c>
      <c r="B129" s="74" t="s">
        <v>554</v>
      </c>
      <c r="C129" s="75">
        <v>995</v>
      </c>
    </row>
    <row r="130" spans="1:3" x14ac:dyDescent="0.25">
      <c r="A130" s="71" t="s">
        <v>548</v>
      </c>
      <c r="B130" s="71" t="s">
        <v>555</v>
      </c>
      <c r="C130" s="72">
        <v>995</v>
      </c>
    </row>
    <row r="131" spans="1:3" x14ac:dyDescent="0.25">
      <c r="A131" s="74" t="s">
        <v>548</v>
      </c>
      <c r="B131" s="74" t="s">
        <v>556</v>
      </c>
      <c r="C131" s="75">
        <v>995</v>
      </c>
    </row>
    <row r="132" spans="1:3" x14ac:dyDescent="0.25">
      <c r="A132" s="71" t="s">
        <v>548</v>
      </c>
      <c r="B132" s="71" t="s">
        <v>557</v>
      </c>
      <c r="C132" s="72">
        <v>995</v>
      </c>
    </row>
    <row r="133" spans="1:3" x14ac:dyDescent="0.25">
      <c r="A133" s="74" t="s">
        <v>548</v>
      </c>
      <c r="B133" s="74" t="s">
        <v>558</v>
      </c>
      <c r="C133" s="75">
        <v>995</v>
      </c>
    </row>
    <row r="134" spans="1:3" x14ac:dyDescent="0.25">
      <c r="A134" s="71" t="s">
        <v>548</v>
      </c>
      <c r="B134" s="71" t="s">
        <v>559</v>
      </c>
      <c r="C134" s="72">
        <v>3980</v>
      </c>
    </row>
    <row r="135" spans="1:3" x14ac:dyDescent="0.25">
      <c r="A135" s="74" t="s">
        <v>548</v>
      </c>
      <c r="B135" s="74" t="s">
        <v>560</v>
      </c>
      <c r="C135" s="75">
        <v>995</v>
      </c>
    </row>
    <row r="136" spans="1:3" x14ac:dyDescent="0.25">
      <c r="A136" s="71" t="s">
        <v>548</v>
      </c>
      <c r="B136" s="71" t="s">
        <v>561</v>
      </c>
      <c r="C136" s="72">
        <v>995</v>
      </c>
    </row>
    <row r="137" spans="1:3" x14ac:dyDescent="0.25">
      <c r="A137" s="74" t="s">
        <v>548</v>
      </c>
      <c r="B137" s="74" t="s">
        <v>562</v>
      </c>
      <c r="C137" s="75">
        <v>995</v>
      </c>
    </row>
    <row r="138" spans="1:3" x14ac:dyDescent="0.25">
      <c r="A138" s="71" t="s">
        <v>548</v>
      </c>
      <c r="B138" s="71" t="s">
        <v>563</v>
      </c>
      <c r="C138" s="72">
        <v>8457.5</v>
      </c>
    </row>
    <row r="139" spans="1:3" x14ac:dyDescent="0.25">
      <c r="A139" s="74" t="s">
        <v>548</v>
      </c>
      <c r="B139" s="74" t="s">
        <v>564</v>
      </c>
      <c r="C139" s="75">
        <v>995</v>
      </c>
    </row>
    <row r="140" spans="1:3" x14ac:dyDescent="0.25">
      <c r="A140" s="71" t="s">
        <v>548</v>
      </c>
      <c r="B140" s="71" t="s">
        <v>565</v>
      </c>
      <c r="C140" s="72">
        <v>7611.75</v>
      </c>
    </row>
    <row r="141" spans="1:3" x14ac:dyDescent="0.25">
      <c r="A141" s="74" t="s">
        <v>566</v>
      </c>
      <c r="B141" s="74" t="s">
        <v>567</v>
      </c>
      <c r="C141" s="75">
        <v>354.97</v>
      </c>
    </row>
    <row r="142" spans="1:3" x14ac:dyDescent="0.25">
      <c r="A142" s="71" t="s">
        <v>566</v>
      </c>
      <c r="B142" s="71" t="s">
        <v>568</v>
      </c>
      <c r="C142" s="72">
        <v>765.26</v>
      </c>
    </row>
    <row r="143" spans="1:3" x14ac:dyDescent="0.25">
      <c r="A143" s="74" t="s">
        <v>566</v>
      </c>
      <c r="B143" s="74" t="s">
        <v>569</v>
      </c>
      <c r="C143" s="75">
        <v>255.09</v>
      </c>
    </row>
    <row r="144" spans="1:3" x14ac:dyDescent="0.25">
      <c r="A144" s="71" t="s">
        <v>566</v>
      </c>
      <c r="B144" s="71" t="s">
        <v>570</v>
      </c>
      <c r="C144" s="72">
        <v>127.89</v>
      </c>
    </row>
    <row r="145" spans="1:3" x14ac:dyDescent="0.25">
      <c r="A145" s="74" t="s">
        <v>566</v>
      </c>
      <c r="B145" s="74" t="s">
        <v>571</v>
      </c>
      <c r="C145" s="75">
        <v>126.51</v>
      </c>
    </row>
    <row r="146" spans="1:3" x14ac:dyDescent="0.25">
      <c r="A146" s="71" t="s">
        <v>566</v>
      </c>
      <c r="B146" s="71" t="s">
        <v>571</v>
      </c>
      <c r="C146" s="72">
        <v>-126.51</v>
      </c>
    </row>
    <row r="147" spans="1:3" x14ac:dyDescent="0.25">
      <c r="A147" s="74" t="s">
        <v>566</v>
      </c>
      <c r="B147" s="74" t="s">
        <v>572</v>
      </c>
      <c r="C147" s="75">
        <v>2544</v>
      </c>
    </row>
    <row r="148" spans="1:3" x14ac:dyDescent="0.25">
      <c r="A148" s="71" t="s">
        <v>2</v>
      </c>
      <c r="B148" s="71" t="s">
        <v>573</v>
      </c>
      <c r="C148" s="72">
        <v>450</v>
      </c>
    </row>
    <row r="149" spans="1:3" x14ac:dyDescent="0.25">
      <c r="A149" s="74" t="s">
        <v>2</v>
      </c>
      <c r="B149" s="74" t="s">
        <v>574</v>
      </c>
      <c r="C149" s="75">
        <v>450</v>
      </c>
    </row>
    <row r="150" spans="1:3" x14ac:dyDescent="0.25">
      <c r="A150" s="71" t="s">
        <v>2</v>
      </c>
      <c r="B150" s="71" t="s">
        <v>575</v>
      </c>
      <c r="C150" s="72">
        <v>450</v>
      </c>
    </row>
    <row r="151" spans="1:3" x14ac:dyDescent="0.25">
      <c r="A151" s="81" t="s">
        <v>2</v>
      </c>
      <c r="B151" s="81" t="s">
        <v>576</v>
      </c>
      <c r="C151" s="82">
        <v>6885</v>
      </c>
    </row>
    <row r="152" spans="1:3" x14ac:dyDescent="0.25">
      <c r="A152" s="81" t="s">
        <v>0</v>
      </c>
      <c r="B152" s="81"/>
      <c r="C152" s="83">
        <f>SUBTOTAL(109,Tabla1[Imp. aplic.])</f>
        <v>150883.66000000003</v>
      </c>
    </row>
    <row r="156" spans="1:3" x14ac:dyDescent="0.25">
      <c r="B156" s="66" t="s">
        <v>577</v>
      </c>
      <c r="C156" s="67">
        <f>Tabla1[[#Totals],[Imp. aplic.]]+Tabla5[[#Totals],[Imp.cob.aplic.]]+Tabla3[[#Totals],[Imp. aplic.]]</f>
        <v>235910.10000000003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2</vt:i4>
      </vt:variant>
    </vt:vector>
  </HeadingPairs>
  <TitlesOfParts>
    <vt:vector size="10" baseType="lpstr">
      <vt:lpstr>Tesis</vt:lpstr>
      <vt:lpstr>Sexenios</vt:lpstr>
      <vt:lpstr>Ingresos investigación 2023</vt:lpstr>
      <vt:lpstr>Ingresos investigación 2024</vt:lpstr>
      <vt:lpstr>Ingresos investigación 2025</vt:lpstr>
      <vt:lpstr>Ingresos formación 2023</vt:lpstr>
      <vt:lpstr>Ingresos formación 2024</vt:lpstr>
      <vt:lpstr>Ingresos formación 2025</vt:lpstr>
      <vt:lpstr>Sexenios!Títulos_a_imprimir</vt:lpstr>
      <vt:lpstr>Tesis!Títulos_a_imprimir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mayte.pujalte</cp:lastModifiedBy>
  <dcterms:created xsi:type="dcterms:W3CDTF">2019-07-03T07:15:54Z</dcterms:created>
  <dcterms:modified xsi:type="dcterms:W3CDTF">2026-05-27T09:24:17Z</dcterms:modified>
</cp:coreProperties>
</file>