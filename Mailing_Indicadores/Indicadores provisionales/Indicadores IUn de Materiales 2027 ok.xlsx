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C6237071-C965-44C7-AEC0-1B43763C40A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Sexenios!$A$1:$S$39</definedName>
    <definedName name="_xlnm._FilterDatabase" localSheetId="0" hidden="1">Tesis!$A$1:$U$101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9" i="3" l="1"/>
  <c r="C40" i="11"/>
  <c r="T101" i="2" l="1"/>
  <c r="C54" i="9"/>
  <c r="C39" i="10"/>
</calcChain>
</file>

<file path=xl/sharedStrings.xml><?xml version="1.0" encoding="utf-8"?>
<sst xmlns="http://schemas.openxmlformats.org/spreadsheetml/2006/main" count="1984" uniqueCount="562">
  <si>
    <t>Total</t>
  </si>
  <si>
    <t>41.10.6X.00.02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</si>
  <si>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</si>
  <si>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</si>
  <si>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</si>
  <si>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</si>
  <si>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</si>
  <si>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</si>
  <si>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</si>
  <si>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</si>
  <si>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</si>
  <si>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</si>
  <si>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</si>
  <si>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</si>
  <si>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</si>
  <si>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</si>
  <si>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</si>
  <si>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</si>
  <si>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</si>
  <si>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</si>
  <si>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</si>
  <si>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</si>
  <si>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</si>
  <si>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- </t>
  </si>
  <si>
    <t>Codirector de tesis </t>
  </si>
  <si>
    <t/>
  </si>
  <si>
    <t>Director de tesis </t>
  </si>
  <si>
    <t>U052 </t>
  </si>
  <si>
    <t>ADM. I.U. DE MATERIALES </t>
  </si>
  <si>
    <t>DOCTORADO EN CIENCIA DE MATERIALES </t>
  </si>
  <si>
    <t>10.14</t>
  </si>
  <si>
    <t>QUÍMICA INORGÁNICA </t>
  </si>
  <si>
    <t>50</t>
  </si>
  <si>
    <t>20</t>
  </si>
  <si>
    <t>ZZ </t>
  </si>
  <si>
    <t>SIN ASIGNAR </t>
  </si>
  <si>
    <t>10</t>
  </si>
  <si>
    <t>B169 </t>
  </si>
  <si>
    <t>QUÍMICA ANALÍTICA, NUTRICIÓN Y BROMATOLOGÍA </t>
  </si>
  <si>
    <t>B169</t>
  </si>
  <si>
    <t>40</t>
  </si>
  <si>
    <t>B128 </t>
  </si>
  <si>
    <t>QUÍMICA FÍSICA </t>
  </si>
  <si>
    <t>B128</t>
  </si>
  <si>
    <t>52776283T </t>
  </si>
  <si>
    <t>B117 </t>
  </si>
  <si>
    <t>FISICA APLICADA </t>
  </si>
  <si>
    <t>DOCTORADO EN NANOCIENCIA Y NANOTECNOLOGÍA </t>
  </si>
  <si>
    <t>B117</t>
  </si>
  <si>
    <t>51396407D </t>
  </si>
  <si>
    <t>21462156M </t>
  </si>
  <si>
    <t>B129 </t>
  </si>
  <si>
    <t>B129</t>
  </si>
  <si>
    <t>21994647T </t>
  </si>
  <si>
    <t>48318313M </t>
  </si>
  <si>
    <t>21516469S </t>
  </si>
  <si>
    <t>22131716N </t>
  </si>
  <si>
    <t>21462916Y </t>
  </si>
  <si>
    <t>21996705B </t>
  </si>
  <si>
    <t>52775130C </t>
  </si>
  <si>
    <t>21445209D </t>
  </si>
  <si>
    <t>22138935D </t>
  </si>
  <si>
    <t>21507611N </t>
  </si>
  <si>
    <t>33364292D </t>
  </si>
  <si>
    <t>21415868Q </t>
  </si>
  <si>
    <t>44766117K </t>
  </si>
  <si>
    <t>B178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</si>
  <si>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</si>
  <si>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</si>
  <si>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</si>
  <si>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</si>
  <si>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</si>
  <si>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</si>
  <si>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</si>
  <si>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</si>
  <si>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</si>
  <si>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</si>
  <si>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</si>
  <si>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</si>
  <si>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</si>
  <si>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23213158V</t>
  </si>
  <si>
    <t>25127766J</t>
  </si>
  <si>
    <t>52776283T</t>
  </si>
  <si>
    <t>21396421G</t>
  </si>
  <si>
    <t>21507611N</t>
  </si>
  <si>
    <t>21415868Q</t>
  </si>
  <si>
    <t>21475467E</t>
  </si>
  <si>
    <t>21994647T</t>
  </si>
  <si>
    <t>48765309L</t>
  </si>
  <si>
    <t>51396407D</t>
  </si>
  <si>
    <t>22138935D</t>
  </si>
  <si>
    <t>33364292D</t>
  </si>
  <si>
    <t>21462916Y</t>
  </si>
  <si>
    <t>48318313M</t>
  </si>
  <si>
    <t>52775130C</t>
  </si>
  <si>
    <t>22131716N</t>
  </si>
  <si>
    <t>21669783B</t>
  </si>
  <si>
    <t>33492585P</t>
  </si>
  <si>
    <t>21462156M</t>
  </si>
  <si>
    <t>21445209D</t>
  </si>
  <si>
    <t>21477076K</t>
  </si>
  <si>
    <t>21996705B</t>
  </si>
  <si>
    <t>52770995W</t>
  </si>
  <si>
    <t>21980176L</t>
  </si>
  <si>
    <t>21516469S</t>
  </si>
  <si>
    <t>07495796G</t>
  </si>
  <si>
    <t>44766117K</t>
  </si>
  <si>
    <t>04567901D</t>
  </si>
  <si>
    <t>41.10.6C.00.01</t>
  </si>
  <si>
    <t>41.10.6P.00.34</t>
  </si>
  <si>
    <t>Murillo Acevedo, Yesid Sneider </t>
  </si>
  <si>
    <t>Estudio del efecto de las propiedades fisicoquímicas del carbón activado como soporte catálitico y fotocatalizador para la degradación de fenol desde solución acuosa </t>
  </si>
  <si>
    <t>13/08/2020 </t>
  </si>
  <si>
    <t>B164 </t>
  </si>
  <si>
    <t>FISIOLOGÍA, GENÉTICA Y MICROBIOLOGÍA </t>
  </si>
  <si>
    <t>DOCTORADO EN BIOLOGÍA EXPERIMENTAL Y APLICADA </t>
  </si>
  <si>
    <t>Alustiza Fernandez, Miren </t>
  </si>
  <si>
    <t>Búsqueda de biomarcadores para la detección de enfermedades gastrointestinales </t>
  </si>
  <si>
    <t>18/09/2020 </t>
  </si>
  <si>
    <t>Baile Pomares, Paola </t>
  </si>
  <si>
    <t>DESARROLLO DE NUEVAS METODOLOGÍAS ECOLÓGICAS APLICADAS AL ANÁLISIS CLÍNICO </t>
  </si>
  <si>
    <t>18/11/2019 </t>
  </si>
  <si>
    <t>Campello Gómez, Ignacio </t>
  </si>
  <si>
    <t>Estudio de los mecanismos de activación y aplicabilidad de materiales carbonosos derivados de espumas de poliuretano en procesos de adsorción, separación de gases y biomedicina </t>
  </si>
  <si>
    <t>20/12/2019 </t>
  </si>
  <si>
    <t>Fernández Catalá, Javier </t>
  </si>
  <si>
    <t>Catalizadores micro- y nanoestructurados para la oxidación de hidrocarburos y producción de hidrógeno </t>
  </si>
  <si>
    <t>20/03/2020 </t>
  </si>
  <si>
    <t>Quílez Bermejo, Javier </t>
  </si>
  <si>
    <t>Design of N-doped carbon materials for ORR electrocatalysts through the combination of computational modelling and chemical synthesis </t>
  </si>
  <si>
    <t>04/09/2020 </t>
  </si>
  <si>
    <t>Quintero Jaime, Andrés Felipe </t>
  </si>
  <si>
    <t>Electrochemical functionalization of nanostructured carbon materials for bioelectrochemical applications </t>
  </si>
  <si>
    <t>22/07/2020 </t>
  </si>
  <si>
    <t>COD DEP</t>
  </si>
  <si>
    <t>Gandara Loe, Jesus </t>
  </si>
  <si>
    <t>LARGE VERSATILITY OF METAL-ORGANIC FRAMEWORKS (MOFS) IN GAS/LIQUID ADSORPTION PROCESSES </t>
  </si>
  <si>
    <t>08/10/2020 </t>
  </si>
  <si>
    <t>Ripoll Seguer, Laura </t>
  </si>
  <si>
    <t>Sensibilización de la técnica Espectroscopía de Plasmas Producidos por Laser para el análisis de muestras líquidas mediante el uso de procedimientos de preparación de la muestra eficientes y fácilmente automatizables </t>
  </si>
  <si>
    <t>28/10/2020 </t>
  </si>
  <si>
    <t>Cuadrado Collados, Carlos </t>
  </si>
  <si>
    <t>FORMATION AND GROWTH OF CH4 HYDRATES IN THE CONFINED SPACE OF POROUS MATERIALS </t>
  </si>
  <si>
    <t>20/10/2020 </t>
  </si>
  <si>
    <t>García Martínez, Noel Alberto </t>
  </si>
  <si>
    <t>Functionalized Bilayer Graphene For Quantum Technologies </t>
  </si>
  <si>
    <t>28/09/2021 </t>
  </si>
  <si>
    <t>00832982Z </t>
  </si>
  <si>
    <t>Merino González, Camilo </t>
  </si>
  <si>
    <t>Diseño y prototipo de supercondensador asimétrico en electrolito acuoso basado en materiales carbonosos </t>
  </si>
  <si>
    <t>18/01/2021 </t>
  </si>
  <si>
    <t>García Martínez, Miriam </t>
  </si>
  <si>
    <t>Diseño, construcción y evaluación de un nuevo nebulizador multiconducto como estrategia innovadora para mejorar los parámetros analíticos de calidad en los análisis de muestras de matriz compleja mediante técnicas basadas en plasma: (ICP OES e ICP-MS </t>
  </si>
  <si>
    <t>10/05/2021 </t>
  </si>
  <si>
    <t>Ortiz Cano, Ricardo </t>
  </si>
  <si>
    <t>Electronic and spin properties of open-shell nanographenes </t>
  </si>
  <si>
    <t>29/09/2021 </t>
  </si>
  <si>
    <t>52770995W </t>
  </si>
  <si>
    <t>Ortega Murcia, Alejandro </t>
  </si>
  <si>
    <t>Preparación y caracterización de (electro)catalizadores basados en nanopartículas de paladio soportadas sobre materiales de carbón </t>
  </si>
  <si>
    <t>22/03/2021 </t>
  </si>
  <si>
    <t>Torregrosa Rivero, Verónica </t>
  </si>
  <si>
    <t>BaMnO3 perovskite-based catalysts for pollution control generated by higlhy efficient automotive engines </t>
  </si>
  <si>
    <t>17/09/2021 </t>
  </si>
  <si>
    <t>Ferrández Gómez, Borja </t>
  </si>
  <si>
    <t>Regeneración electroquímica de carbón activado usado en plantas potabilizadoras de agua: escalado, optimización y validación de prototipos </t>
  </si>
  <si>
    <t>Flores Lasluisa, Jhony Xavier </t>
  </si>
  <si>
    <t>Síntesis de electrocatalizadores basados en perovskitas, espinelas y materiales carbonosos para reacciones de almacenamiento y producción de energía </t>
  </si>
  <si>
    <t>11/06/2021 </t>
  </si>
  <si>
    <t>Chaparro Garnica, Cristian Yesid </t>
  </si>
  <si>
    <t>Design of monolithic supports by 3D printing for its application in catalysis </t>
  </si>
  <si>
    <t>05/02/2021 </t>
  </si>
  <si>
    <t>Cárdenas Arenas, Liliana Andrea </t>
  </si>
  <si>
    <t>Ni-based catalysts supported on CeO2 for CO2 valorisation </t>
  </si>
  <si>
    <t>02/02/2021 </t>
  </si>
  <si>
    <t>75483529J </t>
  </si>
  <si>
    <t>41.10.6P.00.41</t>
  </si>
  <si>
    <t>41.10.6P.00.42</t>
  </si>
  <si>
    <t>41.10.6X.00.03</t>
  </si>
  <si>
    <t>Cód. org. aplic.</t>
  </si>
  <si>
    <t>Descripción justificante</t>
  </si>
  <si>
    <t>41.10.6C.00.71</t>
  </si>
  <si>
    <t>41.10.6P.00.48</t>
  </si>
  <si>
    <t>41.10.6P.00.49</t>
  </si>
  <si>
    <t>41.10.6P.00.52</t>
  </si>
  <si>
    <t>41.10.6P.00.53</t>
  </si>
  <si>
    <t>Ramírez Arias, Aida Mireya </t>
  </si>
  <si>
    <t>Síntesis de materiales adsorbentes obtenidos a partir de desechos para la eliminación de surfactantes vertidos en aguas residuales </t>
  </si>
  <si>
    <t>02/08/2021 </t>
  </si>
  <si>
    <t>Kedir , Chahineze Nawel </t>
  </si>
  <si>
    <t>Synthesis of polyaniline-based conducting polymer and their hydrogels. Electrochemical applications </t>
  </si>
  <si>
    <t>17/01/2022 </t>
  </si>
  <si>
    <t>Chaparro Garnica, Jessica Alejandra </t>
  </si>
  <si>
    <t>Diseño de materiales carbonosos porosos de alta durabilidad y bajo coste para el almacenamiento y producción de energía </t>
  </si>
  <si>
    <t>17/12/2021 </t>
  </si>
  <si>
    <t>73571968M </t>
  </si>
  <si>
    <t>Muñoz Mármol, Rafael </t>
  </si>
  <si>
    <t>Photophysical and Laser Studies on Perylenediimides and Nanographenes </t>
  </si>
  <si>
    <t>19/11/2021 </t>
  </si>
  <si>
    <t>Maiorano Lauria, Lucila Paola </t>
  </si>
  <si>
    <t>Materiales espumados metálicos con inclusiones térmicas de base carbono y nanoingeniería interfacial </t>
  </si>
  <si>
    <t>24/03/2022 </t>
  </si>
  <si>
    <t>21669783B </t>
  </si>
  <si>
    <t>Durmus ., Fatma Cagla </t>
  </si>
  <si>
    <t>DEVELOPMENT OF NEW APPROACHES FOR THE FABRICATION OF MULTIPOROUS METALLIC FOAMS </t>
  </si>
  <si>
    <t>23/12/2021 </t>
  </si>
  <si>
    <t>NO FUNCIONARIO</t>
  </si>
  <si>
    <t>48790125H</t>
  </si>
  <si>
    <t>73995007M</t>
  </si>
  <si>
    <t>74005750F</t>
  </si>
  <si>
    <t>Imp.cob.aplic.</t>
  </si>
  <si>
    <t>41.10.6H.00.02</t>
  </si>
  <si>
    <t>41.10.6C.01.03</t>
  </si>
  <si>
    <t>41.10.6C.01.14</t>
  </si>
  <si>
    <t>41.10.6P.00.57</t>
  </si>
  <si>
    <t>41.10.6P.00.58</t>
  </si>
  <si>
    <t>41.10.6P.00.59</t>
  </si>
  <si>
    <t>41.10.6P.00.62</t>
  </si>
  <si>
    <t>41.10.6P.00.63</t>
  </si>
  <si>
    <t>41.10.6P.00.69</t>
  </si>
  <si>
    <t>41.10.6P.00.70</t>
  </si>
  <si>
    <t>41.10.6P.00.71</t>
  </si>
  <si>
    <t>41.10.6P.00.73</t>
  </si>
  <si>
    <t>41.10.6X.00.04</t>
  </si>
  <si>
    <t>I.U. DE MATERIALES (10.14) </t>
  </si>
  <si>
    <t>Ortega Trigueros, Adrián </t>
  </si>
  <si>
    <t>Desarrollo de nuevos materiales basados en carburo de Molibdeno y Silicio (Mo2C y SiC) para su aplicación en catálisis </t>
  </si>
  <si>
    <t>23/09/2022 </t>
  </si>
  <si>
    <t>X8225445R </t>
  </si>
  <si>
    <t>Sorolla Rosario, Débora </t>
  </si>
  <si>
    <t>Detección y caracterización de microplásticos: Preocupación emergente en el ciclo integral del agua </t>
  </si>
  <si>
    <t>17/02/2023 </t>
  </si>
  <si>
    <t>Fernández Aguirre, Maribel Gabriela </t>
  </si>
  <si>
    <t>Eliminación de contaminantes emergentes en aguas sobre electrodos SnO2-Sb dopados </t>
  </si>
  <si>
    <t>02/02/2023 </t>
  </si>
  <si>
    <t>52762689E </t>
  </si>
  <si>
    <t>Mohamed , Kiari </t>
  </si>
  <si>
    <t>Design and development of advanced electro-active clay/polymer hybrid materials for environmental applications </t>
  </si>
  <si>
    <t>07/03/2023 </t>
  </si>
  <si>
    <t>Reljic ., Snezana </t>
  </si>
  <si>
    <t>Nanoporous materials for CH4 and CO2 adsorption: from powders to monoliths. </t>
  </si>
  <si>
    <t>16/09/2022 </t>
  </si>
  <si>
    <t>Martínez Munuera, Juan Carlos </t>
  </si>
  <si>
    <t>Ceria-based catalysts for exhaust aftertreatment systems in last generation diesel and asoline engines </t>
  </si>
  <si>
    <t>28/09/2022 </t>
  </si>
  <si>
    <t>López Rodríguez, Sergio </t>
  </si>
  <si>
    <t>CeO2 based catalysts for CO2 methanation </t>
  </si>
  <si>
    <t>30/09/2022 </t>
  </si>
  <si>
    <t>Villora Picó, Juan José </t>
  </si>
  <si>
    <t>Doped carbons for adsorption and catalysis applications </t>
  </si>
  <si>
    <t>28/02/2023 </t>
  </si>
  <si>
    <t>21477076K </t>
  </si>
  <si>
    <t>21980176L </t>
  </si>
  <si>
    <t>Bonal Díaz, Víctor </t>
  </si>
  <si>
    <t>Thin film organic lasers with polymeric resonators </t>
  </si>
  <si>
    <t>26/10/2022 </t>
  </si>
  <si>
    <t>Ruiz Bernal, Zaira </t>
  </si>
  <si>
    <t>Design and optimization of catalysts for biomass transformation to obtain value-added </t>
  </si>
  <si>
    <t>15/09/2023 </t>
  </si>
  <si>
    <t>Martínez Sánchez, Beatriz </t>
  </si>
  <si>
    <t>FUNCIONALIZACIÓN ELECTROQUÍMICA DE MATERIALES CARBONOSOS PARA APLICACIONES ENERGÉTICAS Y MEDIOAMBIENTALES </t>
  </si>
  <si>
    <t>22/09/2023 </t>
  </si>
  <si>
    <t>22008854Q</t>
  </si>
  <si>
    <t>Delgado Marin, Jose Javier </t>
  </si>
  <si>
    <t>Síntesis innovadora de materiales híbridos y su impacto en la valorización de CO2 </t>
  </si>
  <si>
    <t>27/09/2023 </t>
  </si>
  <si>
    <t>74663636R </t>
  </si>
  <si>
    <t>41.10.6P.00.60</t>
  </si>
  <si>
    <t>41.10.6P.00.64</t>
  </si>
  <si>
    <t>41.10.6P.00.65</t>
  </si>
  <si>
    <t>41.10.6P.00.66</t>
  </si>
  <si>
    <t>41.10.6P.00.67</t>
  </si>
  <si>
    <t>41.10.6P.00.68</t>
  </si>
  <si>
    <t>Pago mínimo regalías 2022 por transferencia de tecnología</t>
  </si>
  <si>
    <t xml:space="preserve">FABRICACIÓN DE MATERIALES DE CARBÓN ADITIVADOS CON SILICIO. 4º PAGO </t>
  </si>
  <si>
    <t>41.10.6C.00.93</t>
  </si>
  <si>
    <t>H2S AND CO2/CH4 BREAKTHROUGH COLUMN ANALYSIS OF SEVERAL SAMPLES PROVIDEDBY THE 10.070,0 1 COMPANY. ANALYSIS OF CO2/CH4 1,00 0 10.070,00 0,00 0,00 10.070,00 ADSORPTION ISOTHERMS IN DIFFERENT CARBON AND ZEOLITE SAMPLES</t>
  </si>
  <si>
    <t>REF. PEDIDO : 6059534 PROYECTO: EVALUACIÓN DEL PROYECTO DE I+D+I SMARTWINDW (2021) EXPERTO 4D: EMILIA MORALLÓN NÚÑEZ</t>
  </si>
  <si>
    <t>Ref. pdo. 6055526. Proyecto: VIDRIONUEV (2021). Experto 4D: Emilia Morallón Núñez  Importe: 100 euros + IVA</t>
  </si>
  <si>
    <t xml:space="preserve">Ref. pdo. 6058547. Proyecto: EVALUACIÓN DEL PROYECTO DE I+D+I TRIMPALA21 (2021) Experto 4 D: Emilia Morallón Núñez. Importe: 200 euros + IVA </t>
  </si>
  <si>
    <t xml:space="preserve">Ref. pdo. 6059535. Proyecto: SOFTENVOLV (2021).  Experto 4D: Emilia Morallón Núñez </t>
  </si>
  <si>
    <t>Ref. pdo. 6056871. Proyecto:POLIBIO022. Experto 4D: Emilia Morallón Núñez  Importe: 200 Euros + IVA</t>
  </si>
  <si>
    <t>41.10.6C.01.04</t>
  </si>
  <si>
    <t>ANÁLISIS DE 8 MUESTRAS METÁLICAS Y 23 DE CARÁCTER CONSTRUCTIVO PROCEDENTES DEL YACIMIENTO ARQUEOLÓGICO DEL CASTELL DE CASTALLA</t>
  </si>
  <si>
    <t>41.10.6C.01.13</t>
  </si>
  <si>
    <t xml:space="preserve">EVALUACIÓN DE LA CAPACIDAD DE ADSORCIÓN DE H2S DE 5 MUESTRAS Y ANÁLISIS DEL PUNTO ISOELÉCTRICO DE DOS MUESTRAS DE ÓXIDO </t>
  </si>
  <si>
    <t>VALORIZACIÓN DE BIOMASA PROCEDENTE DE RESIDUOS Y SUBPRODUCTOS OLIVÍCOLAS PARA LA OBTENCIÓN DE CARBONES ACTIVOS DE ALTO VALOR AÑADIDO. SEGUNDO PAGO SEGÚN CONTRATO. "Esta factura deberá ser abonada en el plazo máximo de 30-60 días a contar desde la fecha de expedición"</t>
  </si>
  <si>
    <t>41.10.6C.01.15</t>
  </si>
  <si>
    <t>EVALUACIÓN DE LA CAPACIDAD DE ADSORCIÓN DE H2S DE CUATRO MUESTRAS SUMINISTRADAS POR LA EMPRESA PROMINDSA</t>
  </si>
  <si>
    <t>41.10.6C.01.16</t>
  </si>
  <si>
    <t>Segundo Pago ASESORAMIENTO Y ASISTENCIA CIENTÍFICO-TÉCNICA PARA LA CARACTERIZACIÓN DE MATERIALES CONDUCTORES PARA ESTRATEGIAS DE ELECTROMETANOGÉNESIS Y "DIRECT ELECTRON TRANSFER" (DIET) 2. Pedido de Compra Nº 23-PC03408 de fecha 26/06/23.</t>
  </si>
  <si>
    <t>ASESORAMIENTO Y ASISTENCIA CIENTÍFICO-TÉCNICA PARA LA CARACTERIZACIÓN DE MATERIALES CONDUCTORES PARA ESTRATEGIAS DE ELECTROMETANOGÉNESIS Y "DIRECT ELECTRON TRANSFER" (DIET)</t>
  </si>
  <si>
    <t>41.10.6C.01.17</t>
  </si>
  <si>
    <t>EVALUACIÓN DE LAS PROPIEDADES TEXTURALES DE DOS MUESTRAS DE CARBÓN ACTIVO DE LA EMPRESA CHIEMIVALL</t>
  </si>
  <si>
    <t>41.10.6C.01.18</t>
  </si>
  <si>
    <t>Caracterització de 3 mostres de carbó activat utilitzant les següents tècniques: Índex de iode</t>
  </si>
  <si>
    <t>41.10.6C.01.19</t>
  </si>
  <si>
    <t>EVALUACIÓN DE LAS PROPIEDADES TEXTURALES DE TRES MUESTRAS DE CARBÓN ACTIVADO. ANÁLISIS DEL CONTENIDO EN ZINC DE CUATRO MUESTRAS DE CARBÓN ACTIVADO Y DEL CONTENIDO EN SOLUBLES DE CUATRO  MUESTRAS DE CARBÓN ACTIVO</t>
  </si>
  <si>
    <t>41.10.6C.01.20</t>
  </si>
  <si>
    <t>Evaluación de la capacidad de adsorción de H2S de 7 muestras suministradas por la empresa Promindsa</t>
  </si>
  <si>
    <t>41.10.6C.01.21</t>
  </si>
  <si>
    <t>Estudio Preliminar De Carbonización Hidrotermal Y Licuefacción Hidrotermal De Residuos Textiles. Dentro Del Marco Del Proyecto WASTE2CHEMVALUE: "Desarrollo y Estudio De Viabilidad De la obtención De Productos químicos Y Vectores De almacenamiento de Energía A partir De Residuos" - Nº De Pedido: Pc.23-3188 - Proyecto: WASTE2CHEMVALUES</t>
  </si>
  <si>
    <t>41.10.6C.01.22</t>
  </si>
  <si>
    <t>SCIENTIFIC-TECHNICAL ASSISTANCE FOR THE CHARACTERIZATION OF BIOCHAR-BASED MATERIALS IN THE FRAMEWORK OF THE PROJECT"ELECTRO-ACTIVE BIOCHAR: SCALABLE BIOELECTRODES TO "POWER"CIRCULAR RESOURCE RECOVERY AND CARBON SINKS" CUP B45F22000130007</t>
  </si>
  <si>
    <t>41.10.6C.01.23</t>
  </si>
  <si>
    <t>Synthesis of 16 activated carbons from 4 different coals Characterization (N2 isotherms, caramel test, butane activity) of 16 activated carbons prepared above + characterization of two ACs from ILUKA</t>
  </si>
  <si>
    <t>41.10.6C.01.24</t>
  </si>
  <si>
    <t>Evaluación de la capacidad de adsorción de H2S en 4 muestras de óxidos metálicos</t>
  </si>
  <si>
    <t>41.10.6C.01.25</t>
  </si>
  <si>
    <t>Evaluación de la capacidad de adsorción de H2S de 9 muestras suministradas por la empresa Promindsa</t>
  </si>
  <si>
    <t>41.10.6C.01.26</t>
  </si>
  <si>
    <t>EVALUACIÓN DEL CONTENIDO METÁLICO DE DOS MUESTRAS POR FLUORESCENCIA DE RAYOS X Y ANÁLISIS DE TRES MUESTRAS POR ADSORCIÓN DE NITRÓGENO A 77K</t>
  </si>
  <si>
    <t>41.10.6C.01.27</t>
  </si>
  <si>
    <t>IMPREGNATION OF TWO ACTIVATEC CARBORN (ACS) WITH N-NONANE AND UNDECANE; N2 ADSORPTION ISOTHERMS OF THE TWO ACs BEFORE AND AFTER IMPREGNATION, I.E. 6 MEASUREMENTS; AND N2 ISOTHERMS OF THE 4 IMPREGNATED SAMPLES (2*2) AFTER A THERMAL TREATMENT AT 150º C</t>
  </si>
  <si>
    <t>41.10.6C.01.28</t>
  </si>
  <si>
    <t>ESTUDIO DE LA VIABILIDAD DE LA PREPARACION DE CARBON ACTIVADO A PARTIR DE RESIDUOS TEXTILES.  - Nº pedido: PC23-6364 - Proyecto: P23-016 E-uplast</t>
  </si>
  <si>
    <t xml:space="preserve">EDGJID/2021/262, EDGJID/2021/313, EDGJID/2021/330 </t>
  </si>
  <si>
    <t>Devolución de ingresos_Carta de pago_Reintegro en voluntaria de la referencia RYC-2017-23618, anualidad: 2022 FA.</t>
  </si>
  <si>
    <t>PID2020-115956GB-I00/116185GB-I00/116496RB-C21/116514GB-I00/116998RB-I00/117303GBC22/118006RB-I00/118322RB-I00/118447RA-I00/118476RR-C22</t>
  </si>
  <si>
    <t>CIPROM/2021/001/006/017/021/022/027/057/060/062/068/070/074</t>
  </si>
  <si>
    <t xml:space="preserve">CIAPOT/2021/11-16-23-29 </t>
  </si>
  <si>
    <t>41.10.6P.00.61</t>
  </si>
  <si>
    <t xml:space="preserve">INNVA1/2022/16 INNVA1/2022/26 INNVA1/2022/34 INNVA1/2022/36 </t>
  </si>
  <si>
    <t>MINORACIÓN INNVA1/2022/26</t>
  </si>
  <si>
    <t>Anulación de derechos por minoración del importe justificado. Se adjunta resolución de minoración. Propuesta Resolución Provisional Concesión Ayudas al Dllo y Aplicación de proyectos I+D+i en materia medioambiental de adaptación, mitigación del cambio climático y transición ecológica en la CV (Consellería Agricultura)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</si>
  <si>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</si>
  <si>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 xml:space="preserve">TED2021-131324B-C22, TED2021-131641B-C43, TED2021-130040B-C21, TED2021-129272B-C22, TED2021-130908B-C44, TED2021-130890B-C21 </t>
  </si>
  <si>
    <t>41.10.6P.00.72</t>
  </si>
  <si>
    <t xml:space="preserve">RYC2021-033153-I RYC2021-033153-I (DOT. ADICIONAL) RYC2021-034199-I RYC2021-034199-I (DOT. ADICIONAL) RYC2021-034791-I RYC2021-034791-I (DOT. ADICIONAL)      </t>
  </si>
  <si>
    <t>RYC2021-033153-I. -033153-I (DOT. ADICIONAL). RYC2021-034199-I.RYC2021-034199-I (DOT. ADICIONAL)</t>
  </si>
  <si>
    <t>41.10.6P.00.75</t>
  </si>
  <si>
    <t xml:space="preserve">AYUDAS CIAORG/2022/45, CIAORG/2022/15, CIAORG/2022/44, CIAORG/2022/140, CIAORG/2022/89, CIAORG/2022/10, CIAORG/2022/115, CIAORG/2022/27, CIAORG/2022/117, CIAORG/2022/128, CIAORG/2022/83, CIAORG/2022/74, CIAORG/2022/125 </t>
  </si>
  <si>
    <t>41.10.6P.00.76</t>
  </si>
  <si>
    <t xml:space="preserve">ayudas INNEST/2023/7, INNEST/2023/20, INNEST/2023/15, INNEST/2023/14, INNEST/2023/13, INNEST/2023/11, INNEST/2023/10 </t>
  </si>
  <si>
    <t>41.10.6P.00.77</t>
  </si>
  <si>
    <t>41.10.6P.00.78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</si>
  <si>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</si>
  <si>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41.10.6P.00.79</t>
  </si>
  <si>
    <t xml:space="preserve">PLEC2023-010216. ANUALIDAD 2023 PROEYCTOS LÍNEAS ESTRATÉGICAS COLABORACIÓN </t>
  </si>
  <si>
    <t>41.10.6S.00.01</t>
  </si>
  <si>
    <t>INGRESO FORMALIZACIÓN NÓMINA ENERO 2023</t>
  </si>
  <si>
    <t>COBRO FINAL DEL PROYECTO eForFuel</t>
  </si>
  <si>
    <t>TERCER COBRO DEL PROYECTO NATO SP</t>
  </si>
  <si>
    <t>Segundo Cobro del Proyecto MOST-H2</t>
  </si>
  <si>
    <t>41.10.6X.00.05</t>
  </si>
  <si>
    <t>SEGUNDO COBRO DEL PROYECTO "E-PROT" (Se produce una devolución de este ingreso, se hace por fuera, puesto que ha cambiado el concepto económico de este ingreso. JI (DI) 2024-4081)</t>
  </si>
  <si>
    <t>41.10.6X.00.06</t>
  </si>
  <si>
    <t>ILL-2065.2 CLAHY2 project</t>
  </si>
  <si>
    <t>U052</t>
  </si>
  <si>
    <t>I.U. DE MATERIALES (10.14)</t>
  </si>
  <si>
    <t>DOCTORADO EN CIENCIA DE MATERIALES</t>
  </si>
  <si>
    <t>Loughlani , Rayane Ichrak</t>
  </si>
  <si>
    <t>Silica-Modified Electrodes by the Sol-Gel Method towards Advanced Sensing Applications</t>
  </si>
  <si>
    <t>25/07/2024</t>
  </si>
  <si>
    <t>Y1797046R</t>
  </si>
  <si>
    <t>Codirector de tesis</t>
  </si>
  <si>
    <t>FISICA APLICADA</t>
  </si>
  <si>
    <t>DOCTORADO EN NANOCIENCIA Y NANOTECNOLOGÍA</t>
  </si>
  <si>
    <t>de Ara García, Tamara</t>
  </si>
  <si>
    <t>Conformational Dependence and Capacitance in the Study of Helicenes for Molecular Electronics.</t>
  </si>
  <si>
    <t>21/03/2024</t>
  </si>
  <si>
    <t>B151</t>
  </si>
  <si>
    <t>INGENIERÍA QUÍMICA</t>
  </si>
  <si>
    <t>DOCTORADO EN INGENIERÍA QUÍMICA</t>
  </si>
  <si>
    <t>García Fernández, María Jesús</t>
  </si>
  <si>
    <t>Polymeric materials for catalysis applications</t>
  </si>
  <si>
    <t>26/01/2024</t>
  </si>
  <si>
    <t>QUÍMICA INORGÁNICA</t>
  </si>
  <si>
    <t>Jaimes Paez, Cristian Daniel</t>
  </si>
  <si>
    <t>Desarrollo de electrocatalizadores basados en grafeno coloidal por métodos electroquímicos y otros materiales carbonosos para la generación de energía</t>
  </si>
  <si>
    <t>10/05/2024</t>
  </si>
  <si>
    <t>QUÍMICA FÍSICA</t>
  </si>
  <si>
    <t>Guidoum , Maroua</t>
  </si>
  <si>
    <t>Foams Containing Guest Phases (Guefoams) For Emerging Applications: Thermal Management And Pathogen Microorganism Capture</t>
  </si>
  <si>
    <t>15/07/2024</t>
  </si>
  <si>
    <t>Director de tesis</t>
  </si>
  <si>
    <t>Nawel , Ghezali</t>
  </si>
  <si>
    <t>Perovskite catalysts for the removal of pollutants from new highly efficient gasoline engine exhaust</t>
  </si>
  <si>
    <t>05/07/2024</t>
  </si>
  <si>
    <t>Mekki , Imene</t>
  </si>
  <si>
    <t>Study of the uncatalyzed and catalyzed soot combustion in the exhaust of last generation   combustion engines. Kinetic analysis and optimization of the catalytic formulations</t>
  </si>
  <si>
    <t>30</t>
  </si>
  <si>
    <t>48561318S</t>
  </si>
  <si>
    <t>Org. aplic.</t>
  </si>
  <si>
    <t>Imp. aplic.</t>
  </si>
  <si>
    <t>Pago regalías 2023 por transferencia de tecnología  - Ref. contrato G2MT1(EBT)-11O</t>
  </si>
  <si>
    <t xml:space="preserve">VALORIZACIÓN DE BIOMASA PROCEDENTE DE RESIDUOS Y SUBPRODUCTOS OLIVÍCOLAS PARA LA OBTENCIÓN DE CARBONES ACTIVOS DE ALTO VALOR AÑADIDO. TERCER PAGO SEGÚN CONTRATO. </t>
  </si>
  <si>
    <t>41.10.6C.01.29</t>
  </si>
  <si>
    <t>FUNDACIÓN CENTRO DE INVESTIGACIÓN COOPERATIVA EN ENERGÍAS ALTERNATIVAS (CIC ENERGIGUNE) EVALUACIÓN DEL PROYECTO DE I+D+I CON NÚMERO DE EXPEDIENTE AENOR 2014/1108/PIV/09</t>
  </si>
  <si>
    <t>41.10.6C.01.30</t>
  </si>
  <si>
    <t>EVALUACIÓN DE LAS PROPIEDADES TEXTURALES DE 7 MUESTRAS DE CARBÓN ACTIVADO MEDIANTE: ADSORCIÓN DE NITRÓGENO A 77 K. MEDIDA DEL ÍNDICE DE IODO. Ref. proyecto EKOBAL1-24TPA Nº de pedido 4700591337</t>
  </si>
  <si>
    <t>41.10.6C.01.31</t>
  </si>
  <si>
    <t>FUNDACIÓN CENTRO DE INVESTIGACIÓN COOPERATIVA EN ENERGÍAS ALTERNATIVAS (CIC ENERGIGUNE) EVALUACIÓN DEL PROYECTO DE I+D+I CON NÚMERO DE EXPEDIENTE AENOR2014/1108/PIV/10</t>
  </si>
  <si>
    <t>41.10.6C.01.32</t>
  </si>
  <si>
    <t>WASTE2CHEMVALUES 2024: VALORIZACIÓN DE RESIDUOS TEXTILES Y DE BIOMASA POR TRATAMIENTOS TERMOQUÍMICOS. Nº de pedido: PC.24-3453 Ref. proyecto: AITEX3-24T</t>
  </si>
  <si>
    <t>41.10.6C.01.33</t>
  </si>
  <si>
    <t>EVALUACIÓN DE LA CAPACIDAD DE ADSORCIÓN DE H2S EN DOS MUESTRAS SUMINISTRADAS POR LA EMPRESA</t>
  </si>
  <si>
    <t>41.10.6C.01.34</t>
  </si>
  <si>
    <t xml:space="preserve">SYNTHESIS AND CHARACTERIZATION OF 8 ACTIVATED CARBONS FROM 2 DIFFERENT COALS. </t>
  </si>
  <si>
    <t>DEVOLUCIÓN DE INGRESOS_CARTA DE PAGO_ REFERENCIA: PID2019-106114GB-I00, ANUALIDAD: 2020</t>
  </si>
  <si>
    <t>DEVOLUCIÓN DE INGRESOS_CARTA DE PAGO_REFERENCIA: PID2019-108453GB-C21, ANUALIDAD: 2020</t>
  </si>
  <si>
    <t>DEVOLUCIÓN DE INGRESOS_CARTA DE PAGO_ REFERENCIA: PCI2020-111968, anualidad: 2022</t>
  </si>
  <si>
    <t>DEVOLUCIÓN DE INGRESOS_CARTA DE PAGO_REFERENCIA: PDC2021-120884-I00, ANUALIDAD: 2021</t>
  </si>
  <si>
    <t>Anualidad 2023 proyectos Thinkinazul</t>
  </si>
  <si>
    <t>AYUDA CIPROM/2021/001, CIPROM/2021/006, CIPROM/2021/017, CIPROM/2021/021, CIPROM/2021/022, CIPROM/2021/027, CIPROM/2021/057, CIPROM/2021/060, CIPROM/2021/062, CIPROM/2021/068, CIPROM/2021/070, CIPROM/2021/074</t>
  </si>
  <si>
    <t xml:space="preserve">ayudas INNVA1/2022/16, INNVA1/2022/26, INNVA1/2022/34, INNVA1/2022/36 </t>
  </si>
  <si>
    <t xml:space="preserve">PID2021-122263OB-C22 -122320NA-I00 -122397NB-C22 --122500OB-I00 -122685OB-I00 -122988NB-I00 -123079OB-I00 -123091NB-C22 -123118NA-I00 -123124OB-I00 -123699NB-I00-123135OB-C21 -123453NB-I00 -123956OB-I00 </t>
  </si>
  <si>
    <t>PID2021-124139NB-C21 -124237NB-I00 -124721NB-I00 -124741NB-I00 -124860NB-I00 -125175OB-I00 -125279OB-I00 -125387NB-I00 -125517OB-I00 -125883NB-C21-126056OA-I00 -126114NB-C41 -126155OB-I00</t>
  </si>
  <si>
    <t xml:space="preserve">Ayudas MFA/2022/001, MFA/2022/036, MFA/2022/045, MFA/2022/048, MFA/2022/058, MFA/2022/059, MFA/2022/061, MFA/2022/062 </t>
  </si>
  <si>
    <t xml:space="preserve">Ayudas MFA/2022/001, MFA/2022/036, MFA/2022/045, MFA/2022/048, MFA/2022/058, MFA/2022/059, MFA/2022/061, MFA/2022/062 (ANUALIDAD 2023) </t>
  </si>
  <si>
    <t xml:space="preserve">DEVOLUCIÓN DE INGRESOS_MODELO 047_ Nº LIQUIDACIÓN:46/2024/RAS/10317/1 Nº DE JUSTIFICANTE: 047/1/002550144_Nº DE REFERENCIA:  047/1/002550144 </t>
  </si>
  <si>
    <t xml:space="preserve">INNEST/2023/7/10/11/13/14/15/20  </t>
  </si>
  <si>
    <t>PID2022-139105OB-I00-141712NB-C22-142356NB-I00-141694NB-I00-136399NB-C21-142159OB-I00-137566OB-I00-139552OB-C22-137302NB-C33-139820NB-I00-142960OB-C21</t>
  </si>
  <si>
    <t>41.10.6P.00.82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</si>
  <si>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</si>
  <si>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41.10.6P.00.83</t>
  </si>
  <si>
    <t>41.10.6P.00.84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</si>
  <si>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</si>
  <si>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</si>
  <si>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41.10.6P.00.85</t>
  </si>
  <si>
    <t>Anualidad 2024 INNVA1/2024/48</t>
  </si>
  <si>
    <t>Tercer cobro del proyecto MOST-H2</t>
  </si>
  <si>
    <t>DEVOLUCIÓN INGRESO PROYECTO "E-PROT" (Hacemos la devolución de un proyecto que su ingreso original se conceptúo como 1795.00 en un inicio ,JI-2023-3839, pero este año,2024, se cambiaron los conceptos económicos y hacemos el DI sin asociarlo al JI original, 2023-3839, y hacemos la devolución por "fuera" al nuevo concepto económico, 1780.01)</t>
  </si>
  <si>
    <t>I.U. de Materiales (10.14)</t>
  </si>
  <si>
    <t>Sáez Torregrosa, Carmen Joaquina</t>
  </si>
  <si>
    <t>Biomonitorización humana a metales y evaluación del riesgo en la población de la Comunidad Valenciana</t>
  </si>
  <si>
    <t>15/09/2025</t>
  </si>
  <si>
    <t>'-</t>
  </si>
  <si>
    <t>ZZ</t>
  </si>
  <si>
    <t>SIN ASIGNAR</t>
  </si>
  <si>
    <t>Henríquez Guerra, Eudomar Rafael</t>
  </si>
  <si>
    <t>Strain engineering of quantum phenomena in 2D materials</t>
  </si>
  <si>
    <t>26/09/2025</t>
  </si>
  <si>
    <t>05683727J</t>
  </si>
  <si>
    <t>Gadea García, Marcos</t>
  </si>
  <si>
    <t>Optoelectronics based on organic compounds and 2D materials</t>
  </si>
  <si>
    <t>25/09/2025</t>
  </si>
  <si>
    <t>FIGUEROA QUINTERO, LEIDY PATRICIA</t>
  </si>
  <si>
    <t>Desarrollo de materiales tipo MOF para captura y valorización de contaminantes atmosféricos</t>
  </si>
  <si>
    <t>19/12/2024</t>
  </si>
  <si>
    <t>74663636R</t>
  </si>
  <si>
    <t>Química Inorgánica</t>
  </si>
  <si>
    <t>Pabón Román, Keila Melissa</t>
  </si>
  <si>
    <t>Diseño de electrocatalizadores basados en metales no preciosos y materiales carbonosos dopados con heteroátomos a partir de biomasa</t>
  </si>
  <si>
    <t>09/01/2025</t>
  </si>
  <si>
    <t>Química Física</t>
  </si>
  <si>
    <t>García Rodríguez, Mario</t>
  </si>
  <si>
    <t>High-Performance and Environmentally Friendly Electrocatalysts: Perovskite, Metal Hexacyanoferrate, and Carbon Composites for Zn-Batteries and Beyond</t>
  </si>
  <si>
    <t>11/11/2024</t>
  </si>
  <si>
    <t>Farrando Pérez, Judit</t>
  </si>
  <si>
    <t>Design and modification of nanoporous adsorbents for enhanced hydrogen storage systems</t>
  </si>
  <si>
    <t>14/05/2025</t>
  </si>
  <si>
    <t>Química Analítica, Nutrición y Bromatología</t>
  </si>
  <si>
    <t>Alemany Molina, Gabriel</t>
  </si>
  <si>
    <t>Electrocatalizadores basados en materiales carbonosos y metales de transición para su aplicación en la producción y uso del hidrógeno</t>
  </si>
  <si>
    <t>08/11/2024</t>
  </si>
  <si>
    <t>Duran Uribe, Edgar Stiven</t>
  </si>
  <si>
    <t>Development of new nanoporous carbons and their use as catalysts and catalyst supports</t>
  </si>
  <si>
    <t>11/04/2025</t>
  </si>
  <si>
    <t>Belda Marco, Sergio</t>
  </si>
  <si>
    <t>Development and optimization of TiO2-based photocatalysts modified with non-noble metals for the photoreforming of cellulose to generate H2 and added-value compounds in solution</t>
  </si>
  <si>
    <t>13/06/2025</t>
  </si>
  <si>
    <t>dos Santos Moraes, Carlos Weldo</t>
  </si>
  <si>
    <t>Utilización de MOFs en aplicaciones catalíticas relacionadas con el hidrógeno</t>
  </si>
  <si>
    <t>22/07/2025</t>
  </si>
  <si>
    <t>Abellán Martín, Sergio José</t>
  </si>
  <si>
    <t>DESARROLLO DE MÉTODOS ANALÍTICOS SENSIBLES, RÁPIDOS Y ECOLÓGICOS PARA ANÁLISIS ELEMENTAL CON TÉCNICAS</t>
  </si>
  <si>
    <t>Navlani García, Miriam</t>
  </si>
  <si>
    <t>74242883X</t>
  </si>
  <si>
    <t>Pastor Pérez, Laura</t>
  </si>
  <si>
    <t>2020</t>
  </si>
  <si>
    <t>2021</t>
  </si>
  <si>
    <t>2022</t>
  </si>
  <si>
    <t>2023</t>
  </si>
  <si>
    <t>2024</t>
  </si>
  <si>
    <t>2025</t>
  </si>
  <si>
    <t>Villalvilla Soria, Jose Moises</t>
  </si>
  <si>
    <t>B190</t>
  </si>
  <si>
    <t>Untiedt Lecuona, Carlos</t>
  </si>
  <si>
    <t>Boj Giménez, Pedro José</t>
  </si>
  <si>
    <t>Vivos</t>
  </si>
  <si>
    <t>Canals Hernández, Antonio</t>
  </si>
  <si>
    <t>Narciso Romero, Francisco Javier</t>
  </si>
  <si>
    <t>Morallón Núñez, Emilia</t>
  </si>
  <si>
    <t>Illan Gómez, Maria Jose</t>
  </si>
  <si>
    <t>Caturla Terol, María José</t>
  </si>
  <si>
    <t>Pastor Blas, María Mercedes</t>
  </si>
  <si>
    <t>Bueno López, Agustín</t>
  </si>
  <si>
    <t>Silvestre Albero, Joaquín</t>
  </si>
  <si>
    <t>Molina Jordá, José Miguel</t>
  </si>
  <si>
    <t>Sepúlveda Escribano, Antonio</t>
  </si>
  <si>
    <t>Cazorla Amorós, Diego</t>
  </si>
  <si>
    <t>Román Martínez, María Carmen</t>
  </si>
  <si>
    <t>Sánchez Adsuar, María Salvadora</t>
  </si>
  <si>
    <t>Martínez Escandell, Manuel</t>
  </si>
  <si>
    <t>García García, Avelina Antonia</t>
  </si>
  <si>
    <t>Abril Sánchez, Isabel</t>
  </si>
  <si>
    <t>Alcañiz Monge, Juan Antonio</t>
  </si>
  <si>
    <t>Hidalgo Núñez, María Montserrat</t>
  </si>
  <si>
    <t>Montilla Jiménez, Francisco Rafael</t>
  </si>
  <si>
    <t>Vidal Martínez, Lorena</t>
  </si>
  <si>
    <t>Lillo Ródenas, María Ángeles</t>
  </si>
  <si>
    <t>48356456Z</t>
  </si>
  <si>
    <t>Gosálbez Martínez, Daniel</t>
  </si>
  <si>
    <t>Aguirre Pastor, Miguel Ángel</t>
  </si>
  <si>
    <t>Chiappe Acosta, Guillermo</t>
  </si>
  <si>
    <t>Denton Zanello, Cristian Diego</t>
  </si>
  <si>
    <t>Díaz García, María Ángeles</t>
  </si>
  <si>
    <t>52762689E</t>
  </si>
  <si>
    <t>Berenguer Betrián, Raúl</t>
  </si>
  <si>
    <t>Sancho García, Juan Carlos</t>
  </si>
  <si>
    <t>Lozano Castello, Dolores</t>
  </si>
  <si>
    <t>Berenguer Murcia, Ángel</t>
  </si>
  <si>
    <t>Pago de regalías por la sublicencia a la empresa Anton Paar ejercicio 2024 (Regalías 25.385,31 x 20% UA = 5.077,06€)  -  Ref. contrato de licencia G2MT(EBT)1-11O</t>
  </si>
  <si>
    <t>Pago por la sublicencia de la tecnología transferida a la empresa Anton Paar Quantum Tec Inc (500.000€ x 20% UA = 100.000€)  -  Ref. contrato de licencia G2MT(EBT)1-11O</t>
  </si>
  <si>
    <t>Pago de regalías por trasferencia de tecnología, ejercicio 2024  -  Ref. contrato de licencia G2MT(EBT)1-11O</t>
  </si>
  <si>
    <t>41.10.6C.01.35</t>
  </si>
  <si>
    <t>INVESTIGACIÓN EN MICROPROPULSIÓN MATRICIAL INTEGRADA EN PCB CON TÉCNICAS MEMS PARA CONTROL INTELIGENTE DE NANOSATÉLITES Ref. proyecto: SOLARMEMS1-25Y Investigadora responsable: Emilia Morallón Núñez.</t>
  </si>
  <si>
    <t>41.10.6C.01.36</t>
  </si>
  <si>
    <t>REALIZAR LA SÍNTESIS Y CARACTERIZACIÓN DE MATERIALES DE CARBÓN. Ref. proyecto: ILUKA1-25TPA</t>
  </si>
  <si>
    <t>41.10.6C.01.37</t>
  </si>
  <si>
    <t>SÍNTESIS Y CARACTERIZACIÓN DE CARBONES ACTIVADOS A PARTIR DE CARBONES MINERALES. Ref. proyecto: ILUKA2-25TPA</t>
  </si>
  <si>
    <t>41.10.6C.01.38</t>
  </si>
  <si>
    <t>SÍNTESIS Y CARACTERIZACIÓN DE MATERIALES DE CARBÓN A PARTIR DE RESIDUOS MINERALES. Ref. proyecto: ILUKA3-25TPA</t>
  </si>
  <si>
    <t>41.10.6C.01.39</t>
  </si>
  <si>
    <t>EVALUACIÓN DE 4 MUESTRAS DE CARBÓN ACTIVADO PROCEDENTES DE LA EMPRESA CHIEMIVALL (ANÁLISIS DE DRX, TG, FRX, FTIR,..) Ref. proyecto: CHIEMIVALL1-25TPA</t>
  </si>
  <si>
    <t>41.10.6C.01.41</t>
  </si>
  <si>
    <t xml:space="preserve">ESTUDIO DE LA APLICABILIDAD DE MATERIALES DE CARBÓN MODIFICADOS EN PROCESOS DE ADSORCIÓN DE AGUA. Ref. proyecto:  AITEX8-25TPA . Nº de pedido: PC.25-0949 Proyecto: MATPOROUS </t>
  </si>
  <si>
    <t>41.10.6C.01.42</t>
  </si>
  <si>
    <t>REVISIÓN DE LOS DIFERENTES POLÍMEROS CONDUCTORES Y SUS PROPIEDADES. Ref. proyecto: AITEX9-25TPA Nº de Pedido: PC.25-4579 Proyecto: BIOFLEX 2024</t>
  </si>
  <si>
    <t>41.10.6C.01.43</t>
  </si>
  <si>
    <t>CARACTERIZACIÓN ELECTROQUÍMICA DE ELECTRODOS CON INTERES PARA PROCESOS DE TRATAMIENTO DE AGUAS. Ref. proyecto: GEODESIC1-25T Investigador responsable: Raúl Berenguer Betrián</t>
  </si>
  <si>
    <t>CARACTERIZACIÓN ELECTROQUÍMICA DE ELECTRODOS CON INTERÉS PARA PROCESOS DE TRATAMIENTO DE AGUAS. Segundo pago.Ref.: GEODESIC1-25T. Investigador responsable: Raúl Berenguer Betrián</t>
  </si>
  <si>
    <t>41.10.6C.01.44</t>
  </si>
  <si>
    <t xml:space="preserve">ASESORAMIENTO CIENTIFICO- TECNICO EN EL PROYECTO DE I+D SELF-SENS&gt; - &lt;(BIO)SENSORES WEARABLE CON METODOLOGIAS DE EXTRACCION Y RECOLECCION AUTONOMA DE SUDOR Y LIQUIDO INTERSTICIA. Ref: AITEX10-25A  Nº de Pedido: PC.25-4887. Proyecto: P25-054 SELF-SENS </t>
  </si>
  <si>
    <t xml:space="preserve">ASESORAMIENTO CIENTIFICO- TECNICO EN EL PROYECTO DE I+D SELF-SENS&gt; - &lt;(BIO)SENSORES WEARABLE CON METODOLOGIAS DE EXTRACCION Y RECOLECCION AUTONOMA DE SUDOR Y LIQUIDO INTERSTICIA. Ref.: AITEX10-25A Nº de Pedido: PC.25-4887. Proyecto: P25-054 SELF-SENS </t>
  </si>
  <si>
    <t>41.10.6C.01.48</t>
  </si>
  <si>
    <t>Estudio del potencial de valorización de residuos poliméricos del sector calzado mediante su conversión en materiales de carbón activado funcionales para la captura de CO2d. Ref. proyecto: INESCOP3-25IPA Nº de pedido: NP068457</t>
  </si>
  <si>
    <t>41.10.6M.00.06</t>
  </si>
  <si>
    <t xml:space="preserve">ACTIVIDADES FORMATIVAS ADICIONALES EN TÉCNICAS DE CARACTERIZACIÓN QUÍMICA.  SERVICIO DE ACTIVIDADES FORMATIVAS EN INVESTIGACIÓN. Ref: UNI-LIMA1-25FPA </t>
  </si>
  <si>
    <t>DEVOLUCIÓN DE INGRESOS_CARTA DE PAGO_ REFERENCIA: PDC2021-121617-C21, ANUALIDAD: 2022</t>
  </si>
  <si>
    <t>GVA-THINKINAZUL/2021/014/015/016/035/039/041/043/044. Programa: Plan Recuperación, Transformación y Resilencia.</t>
  </si>
  <si>
    <t xml:space="preserve">CIPROM/2021/001/006/017/021/022/027/057/060/062/068/070/074 </t>
  </si>
  <si>
    <t xml:space="preserve">MInoración INNVA1/2022/26  </t>
  </si>
  <si>
    <t xml:space="preserve">Minoración INNVA1/2022/26 </t>
  </si>
  <si>
    <t>DEVOLUCIÓN DE INGRESO DEBIDO A CAMBIO DE ENTIDAD BENEFICIARIA EN PROYECTO TED2021-131641B-C43.</t>
  </si>
  <si>
    <t>Ayudas INNEST/2023/7, INNEST/2023/10, INNEST/2023/11, INNEST/2023/13, INNEST/2023/14, INNEST/2023/15, INNEST/2023/20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</si>
  <si>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</si>
  <si>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</si>
  <si>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</si>
  <si>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 xml:space="preserve">Ayudas INNVA1/2024/48 </t>
  </si>
  <si>
    <t>Disminución Anualidad 2024 INNVA1/2024/48</t>
  </si>
  <si>
    <t>41.10.6P.00.86</t>
  </si>
  <si>
    <t xml:space="preserve">AYUDAS RYC2023-043965-I, RYC2023-043965-I (DOT. ADICIONAL), RYC2023-045149-I, RYC2023-045149-I , (DOT. ADICIONAL), RYC2023-045813-I, RYC2023-045813-I (DOT. ADICIONAL) </t>
  </si>
  <si>
    <t>41.10.6P.00.90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</si>
  <si>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</si>
  <si>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Segundo Pago Proyecto MOST-H2. Programa: HorizonEU. Referencia Proyecto: 101058547</t>
  </si>
  <si>
    <t>Proyecto: MOST-H2. Programa: Horizonte Europa. Ref. Proyecto: 101058547</t>
  </si>
  <si>
    <t>Total ingresos investigación 2023-25</t>
  </si>
  <si>
    <t>73571968M</t>
  </si>
  <si>
    <t>Salinas Torres, David</t>
  </si>
  <si>
    <t>Sabater Piqueres,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</si>
</sst>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81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5" fontId="2" fillId="4" borderId="1" xfId="1" applyNumberFormat="1" applyFill="1" applyBorder="1"/>
    <xf numFmtId="0" fontId="2" fillId="0" borderId="1" xfId="1" applyBorder="1"/>
    <xf numFmtId="0" fontId="10" fillId="6" borderId="1" xfId="0" applyFont="1" applyFill="1" applyBorder="1" applyAlignment="1">
      <alignment horizontal="left" vertical="center"/>
    </xf>
    <xf numFmtId="166" fontId="2" fillId="4" borderId="1" xfId="1" applyNumberFormat="1" applyFill="1" applyBorder="1"/>
    <xf numFmtId="165" fontId="2" fillId="0" borderId="1" xfId="1" applyNumberFormat="1" applyBorder="1"/>
    <xf numFmtId="2" fontId="2" fillId="0" borderId="1" xfId="1" applyNumberFormat="1" applyBorder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15" fillId="8" borderId="2" xfId="0" applyFont="1" applyFill="1" applyBorder="1"/>
    <xf numFmtId="43" fontId="0" fillId="8" borderId="2" xfId="6" applyNumberFormat="1" applyFont="1" applyFill="1" applyBorder="1"/>
    <xf numFmtId="0" fontId="15" fillId="0" borderId="2" xfId="0" applyFont="1" applyBorder="1"/>
    <xf numFmtId="43" fontId="0" fillId="0" borderId="2" xfId="6" applyNumberFormat="1" applyFont="1" applyBorder="1"/>
    <xf numFmtId="0" fontId="16" fillId="4" borderId="1" xfId="1" applyFont="1" applyFill="1" applyBorder="1"/>
    <xf numFmtId="0" fontId="16" fillId="0" borderId="1" xfId="1" applyFont="1" applyBorder="1"/>
    <xf numFmtId="0" fontId="16" fillId="0" borderId="1" xfId="0" applyFont="1" applyBorder="1"/>
    <xf numFmtId="0" fontId="16" fillId="0" borderId="0" xfId="0" applyFont="1"/>
    <xf numFmtId="0" fontId="0" fillId="0" borderId="1" xfId="0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17" fillId="9" borderId="0" xfId="0" applyFont="1" applyFill="1"/>
    <xf numFmtId="0" fontId="0" fillId="0" borderId="0" xfId="0" applyFill="1"/>
    <xf numFmtId="164" fontId="0" fillId="0" borderId="0" xfId="6" applyFont="1"/>
    <xf numFmtId="0" fontId="0" fillId="0" borderId="0" xfId="0" applyAlignment="1">
      <alignment wrapText="1"/>
    </xf>
    <xf numFmtId="164" fontId="0" fillId="0" borderId="0" xfId="0" applyNumberFormat="1"/>
    <xf numFmtId="0" fontId="14" fillId="7" borderId="3" xfId="0" applyFont="1" applyFill="1" applyBorder="1"/>
    <xf numFmtId="0" fontId="15" fillId="8" borderId="4" xfId="0" applyFont="1" applyFill="1" applyBorder="1"/>
    <xf numFmtId="43" fontId="0" fillId="8" borderId="4" xfId="6" applyNumberFormat="1" applyFont="1" applyFill="1" applyBorder="1"/>
    <xf numFmtId="0" fontId="9" fillId="8" borderId="4" xfId="0" applyFont="1" applyFill="1" applyBorder="1"/>
    <xf numFmtId="43" fontId="12" fillId="8" borderId="4" xfId="0" applyNumberFormat="1" applyFont="1" applyFill="1" applyBorder="1"/>
    <xf numFmtId="0" fontId="15" fillId="8" borderId="2" xfId="0" applyFont="1" applyFill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8" borderId="4" xfId="0" applyFont="1" applyFill="1" applyBorder="1" applyAlignment="1">
      <alignment wrapText="1"/>
    </xf>
    <xf numFmtId="0" fontId="17" fillId="0" borderId="1" xfId="0" applyFont="1" applyBorder="1"/>
    <xf numFmtId="164" fontId="17" fillId="0" borderId="1" xfId="6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0" xfId="0" applyFont="1"/>
    <xf numFmtId="0" fontId="18" fillId="0" borderId="1" xfId="5" applyFont="1" applyBorder="1"/>
    <xf numFmtId="0" fontId="18" fillId="0" borderId="1" xfId="5" applyFont="1" applyBorder="1" applyAlignment="1">
      <alignment horizontal="left"/>
    </xf>
    <xf numFmtId="0" fontId="18" fillId="0" borderId="0" xfId="5" applyFont="1"/>
    <xf numFmtId="0" fontId="14" fillId="11" borderId="5" xfId="0" applyFont="1" applyFill="1" applyBorder="1"/>
    <xf numFmtId="0" fontId="14" fillId="11" borderId="6" xfId="0" applyFont="1" applyFill="1" applyBorder="1"/>
    <xf numFmtId="0" fontId="9" fillId="10" borderId="5" xfId="0" applyFont="1" applyFill="1" applyBorder="1"/>
    <xf numFmtId="0" fontId="9" fillId="10" borderId="6" xfId="0" applyFont="1" applyFill="1" applyBorder="1"/>
    <xf numFmtId="164" fontId="9" fillId="10" borderId="6" xfId="6" applyFont="1" applyFill="1" applyBorder="1"/>
    <xf numFmtId="0" fontId="9" fillId="0" borderId="5" xfId="0" applyFont="1" applyBorder="1"/>
    <xf numFmtId="0" fontId="9" fillId="0" borderId="6" xfId="0" applyFont="1" applyBorder="1"/>
    <xf numFmtId="164" fontId="9" fillId="0" borderId="6" xfId="6" applyFont="1" applyBorder="1"/>
    <xf numFmtId="0" fontId="11" fillId="0" borderId="7" xfId="0" applyFont="1" applyBorder="1"/>
    <xf numFmtId="0" fontId="11" fillId="0" borderId="8" xfId="0" applyFont="1" applyBorder="1"/>
    <xf numFmtId="164" fontId="11" fillId="0" borderId="8" xfId="6" applyFont="1" applyBorder="1"/>
    <xf numFmtId="0" fontId="0" fillId="12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0" fillId="12" borderId="0" xfId="0" applyFill="1"/>
    <xf numFmtId="0" fontId="9" fillId="12" borderId="0" xfId="5" applyFont="1" applyFill="1"/>
    <xf numFmtId="0" fontId="18" fillId="12" borderId="1" xfId="0" applyFont="1" applyFill="1" applyBorder="1" applyAlignment="1">
      <alignment horizontal="center"/>
    </xf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8112E2-0315-424E-8901-AABB4C7AA303}" name="Tabla3" displayName="Tabla3" ref="A1:C54" totalsRowCount="1" headerRowDxfId="11" headerRowBorderDxfId="10" tableBorderDxfId="9" totalsRowBorderDxfId="8">
  <autoFilter ref="A1:C53" xr:uid="{578112E2-0315-424E-8901-AABB4C7AA303}"/>
  <tableColumns count="3">
    <tableColumn id="1" xr3:uid="{35981E23-316A-4A4E-AD98-6DB7CE24B782}" name="Cód. org. aplic." totalsRowLabel="Total" dataDxfId="7" totalsRowDxfId="6"/>
    <tableColumn id="2" xr3:uid="{20225F3C-E555-44AE-A930-29D2D0568ECB}" name="Descripción justificante" dataDxfId="5" totalsRowDxfId="4"/>
    <tableColumn id="3" xr3:uid="{4B8B779E-F498-4589-A819-2D6A8FEA9203}" name="Imp.cob.aplic." totalsRowFunction="sum" dataDxfId="3" totalsRowDxfId="2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7A7E7-409F-4393-81AC-692039690815}" name="Tabla1" displayName="Tabla1" ref="A1:C39" totalsRowCount="1">
  <autoFilter ref="A1:C38" xr:uid="{1227A7E7-409F-4393-81AC-692039690815}"/>
  <tableColumns count="3">
    <tableColumn id="1" xr3:uid="{1C25D563-65C7-451F-8878-8E642A2BDC6A}" name="Org. aplic." totalsRowLabel="Total"/>
    <tableColumn id="2" xr3:uid="{B54A06BB-D1F0-4ED2-9CF6-80D5D6EE638F}" name="Descripción justificante" dataDxfId="1" totalsRowDxfId="0"/>
    <tableColumn id="3" xr3:uid="{E670F278-75B8-43A3-979A-C1A4783BFE6A}" name="Imp. aplic." totalsRowFunction="sum" dataCellStyle="Millares" totalsRow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1"/>
  <sheetViews>
    <sheetView showGridLines="0" topLeftCell="C78" zoomScale="120" zoomScaleNormal="120" workbookViewId="0">
      <selection activeCell="D106" sqref="D106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5.28515625" style="7" customWidth="1"/>
    <col min="14" max="14" width="4.85546875" style="6" customWidth="1"/>
    <col min="15" max="15" width="5.28515625" style="7" customWidth="1"/>
    <col min="16" max="16" width="4.85546875" style="6" customWidth="1"/>
    <col min="17" max="17" width="3.5703125" style="7" customWidth="1"/>
    <col min="18" max="18" width="7.140625" style="6" bestFit="1" customWidth="1"/>
    <col min="19" max="21" width="5.140625" style="6" customWidth="1"/>
    <col min="22" max="16384" width="10.28515625" style="6"/>
  </cols>
  <sheetData>
    <row r="1" spans="1:21" ht="45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18" t="s">
        <v>27</v>
      </c>
      <c r="B2" s="18" t="s">
        <v>28</v>
      </c>
      <c r="C2" s="18" t="s">
        <v>29</v>
      </c>
      <c r="D2" s="18" t="s">
        <v>110</v>
      </c>
      <c r="E2" s="18" t="s">
        <v>111</v>
      </c>
      <c r="F2" s="18" t="s">
        <v>112</v>
      </c>
      <c r="G2" s="18" t="s">
        <v>23</v>
      </c>
      <c r="H2" s="18" t="s">
        <v>24</v>
      </c>
      <c r="I2" s="18" t="s">
        <v>27</v>
      </c>
      <c r="J2" s="18" t="s">
        <v>28</v>
      </c>
      <c r="K2" s="21">
        <v>0.5</v>
      </c>
      <c r="L2" s="18" t="s">
        <v>30</v>
      </c>
      <c r="M2" s="18">
        <v>2019</v>
      </c>
      <c r="N2" s="18" t="s">
        <v>25</v>
      </c>
      <c r="O2" s="19" t="s">
        <v>25</v>
      </c>
      <c r="P2" s="18" t="s">
        <v>25</v>
      </c>
      <c r="Q2" s="19" t="s">
        <v>25</v>
      </c>
      <c r="R2" s="20">
        <v>100</v>
      </c>
      <c r="S2" s="25">
        <v>0.5</v>
      </c>
      <c r="T2" s="25">
        <v>0</v>
      </c>
      <c r="U2" s="21">
        <v>0</v>
      </c>
    </row>
    <row r="3" spans="1:21" x14ac:dyDescent="0.2">
      <c r="A3" s="18" t="s">
        <v>27</v>
      </c>
      <c r="B3" s="18" t="s">
        <v>28</v>
      </c>
      <c r="C3" s="18" t="s">
        <v>29</v>
      </c>
      <c r="D3" s="18" t="s">
        <v>166</v>
      </c>
      <c r="E3" s="18" t="s">
        <v>167</v>
      </c>
      <c r="F3" s="18" t="s">
        <v>168</v>
      </c>
      <c r="G3" s="18" t="s">
        <v>23</v>
      </c>
      <c r="H3" s="18" t="s">
        <v>24</v>
      </c>
      <c r="I3" s="18" t="s">
        <v>27</v>
      </c>
      <c r="J3" s="18" t="s">
        <v>28</v>
      </c>
      <c r="K3" s="24">
        <v>0.5</v>
      </c>
      <c r="L3" s="18" t="s">
        <v>30</v>
      </c>
      <c r="M3" s="18">
        <v>2020</v>
      </c>
      <c r="N3" s="18" t="s">
        <v>25</v>
      </c>
      <c r="O3" s="19" t="s">
        <v>25</v>
      </c>
      <c r="P3" s="18" t="s">
        <v>25</v>
      </c>
      <c r="Q3" s="19" t="s">
        <v>25</v>
      </c>
      <c r="R3" s="20">
        <v>100</v>
      </c>
      <c r="S3" s="25">
        <v>0.5</v>
      </c>
      <c r="T3" s="25">
        <v>0</v>
      </c>
      <c r="U3" s="21">
        <v>0</v>
      </c>
    </row>
    <row r="4" spans="1:21" x14ac:dyDescent="0.2">
      <c r="A4" s="18" t="s">
        <v>27</v>
      </c>
      <c r="B4" s="18" t="s">
        <v>28</v>
      </c>
      <c r="C4" s="18" t="s">
        <v>29</v>
      </c>
      <c r="D4" s="18" t="s">
        <v>186</v>
      </c>
      <c r="E4" s="18" t="s">
        <v>187</v>
      </c>
      <c r="F4" s="18" t="s">
        <v>188</v>
      </c>
      <c r="G4" s="18" t="s">
        <v>23</v>
      </c>
      <c r="H4" s="18" t="s">
        <v>24</v>
      </c>
      <c r="I4" s="18" t="s">
        <v>27</v>
      </c>
      <c r="J4" s="18" t="s">
        <v>28</v>
      </c>
      <c r="K4" s="24">
        <v>0.5</v>
      </c>
      <c r="L4" s="18" t="s">
        <v>30</v>
      </c>
      <c r="M4" s="18">
        <v>2020</v>
      </c>
      <c r="N4" s="18" t="s">
        <v>25</v>
      </c>
      <c r="O4" s="19" t="s">
        <v>25</v>
      </c>
      <c r="P4" s="18" t="s">
        <v>25</v>
      </c>
      <c r="Q4" s="19" t="s">
        <v>25</v>
      </c>
      <c r="R4" s="20">
        <v>100</v>
      </c>
      <c r="S4" s="25">
        <v>0.5</v>
      </c>
      <c r="T4" s="25">
        <v>0</v>
      </c>
      <c r="U4" s="21">
        <v>0</v>
      </c>
    </row>
    <row r="5" spans="1:21" x14ac:dyDescent="0.2">
      <c r="A5" s="18" t="s">
        <v>27</v>
      </c>
      <c r="B5" s="18" t="s">
        <v>28</v>
      </c>
      <c r="C5" s="18" t="s">
        <v>29</v>
      </c>
      <c r="D5" s="18" t="s">
        <v>169</v>
      </c>
      <c r="E5" s="18" t="s">
        <v>170</v>
      </c>
      <c r="F5" s="18" t="s">
        <v>171</v>
      </c>
      <c r="G5" s="18" t="s">
        <v>175</v>
      </c>
      <c r="H5" s="18" t="s">
        <v>24</v>
      </c>
      <c r="I5" s="18" t="s">
        <v>27</v>
      </c>
      <c r="J5" s="18" t="s">
        <v>28</v>
      </c>
      <c r="K5" s="24">
        <v>0.5</v>
      </c>
      <c r="L5" s="18" t="s">
        <v>30</v>
      </c>
      <c r="M5" s="18">
        <v>2020</v>
      </c>
      <c r="N5" s="18" t="s">
        <v>25</v>
      </c>
      <c r="O5" s="19" t="s">
        <v>25</v>
      </c>
      <c r="P5" s="18" t="s">
        <v>25</v>
      </c>
      <c r="Q5" s="19" t="s">
        <v>25</v>
      </c>
      <c r="R5" s="20">
        <v>100</v>
      </c>
      <c r="S5" s="25">
        <v>0.5</v>
      </c>
      <c r="T5" s="25">
        <v>0</v>
      </c>
      <c r="U5" s="21">
        <v>0</v>
      </c>
    </row>
    <row r="6" spans="1:21" x14ac:dyDescent="0.2">
      <c r="A6" s="23" t="s">
        <v>27</v>
      </c>
      <c r="B6" s="23" t="s">
        <v>28</v>
      </c>
      <c r="C6" s="23" t="s">
        <v>29</v>
      </c>
      <c r="D6" s="23" t="s">
        <v>189</v>
      </c>
      <c r="E6" s="23" t="s">
        <v>190</v>
      </c>
      <c r="F6" s="23" t="s">
        <v>191</v>
      </c>
      <c r="G6" s="23" t="s">
        <v>23</v>
      </c>
      <c r="H6" s="23" t="s">
        <v>24</v>
      </c>
      <c r="I6" s="23" t="s">
        <v>27</v>
      </c>
      <c r="J6" s="23" t="s">
        <v>28</v>
      </c>
      <c r="K6" s="22">
        <v>0.5</v>
      </c>
      <c r="L6" s="22" t="s">
        <v>30</v>
      </c>
      <c r="M6" s="18">
        <v>2021</v>
      </c>
      <c r="N6" s="18" t="s">
        <v>25</v>
      </c>
      <c r="O6" s="19" t="s">
        <v>25</v>
      </c>
      <c r="P6" s="18" t="s">
        <v>25</v>
      </c>
      <c r="Q6" s="19" t="s">
        <v>25</v>
      </c>
      <c r="R6" s="18">
        <v>100</v>
      </c>
      <c r="S6" s="22">
        <v>0.5</v>
      </c>
      <c r="T6" s="22">
        <v>0</v>
      </c>
      <c r="U6" s="18">
        <v>0</v>
      </c>
    </row>
    <row r="7" spans="1:21" x14ac:dyDescent="0.2">
      <c r="A7" s="23" t="s">
        <v>27</v>
      </c>
      <c r="B7" s="23" t="s">
        <v>28</v>
      </c>
      <c r="C7" s="23" t="s">
        <v>29</v>
      </c>
      <c r="D7" s="23" t="s">
        <v>192</v>
      </c>
      <c r="E7" s="23" t="s">
        <v>193</v>
      </c>
      <c r="F7" s="23" t="s">
        <v>194</v>
      </c>
      <c r="G7" s="23" t="s">
        <v>195</v>
      </c>
      <c r="H7" s="23" t="s">
        <v>24</v>
      </c>
      <c r="I7" s="23" t="s">
        <v>27</v>
      </c>
      <c r="J7" s="23" t="s">
        <v>28</v>
      </c>
      <c r="K7" s="22">
        <v>0.5</v>
      </c>
      <c r="L7" s="22" t="s">
        <v>30</v>
      </c>
      <c r="M7" s="18">
        <v>2021</v>
      </c>
      <c r="N7" s="18" t="s">
        <v>25</v>
      </c>
      <c r="O7" s="19" t="s">
        <v>25</v>
      </c>
      <c r="P7" s="18" t="s">
        <v>25</v>
      </c>
      <c r="Q7" s="19" t="s">
        <v>25</v>
      </c>
      <c r="R7" s="18">
        <v>100</v>
      </c>
      <c r="S7" s="22">
        <v>0.5</v>
      </c>
      <c r="T7" s="22">
        <v>0</v>
      </c>
      <c r="U7" s="18">
        <v>0</v>
      </c>
    </row>
    <row r="8" spans="1:21" x14ac:dyDescent="0.2">
      <c r="A8" s="23" t="s">
        <v>27</v>
      </c>
      <c r="B8" s="23" t="s">
        <v>224</v>
      </c>
      <c r="C8" s="23" t="s">
        <v>29</v>
      </c>
      <c r="D8" s="23" t="s">
        <v>225</v>
      </c>
      <c r="E8" s="23" t="s">
        <v>226</v>
      </c>
      <c r="F8" s="23" t="s">
        <v>227</v>
      </c>
      <c r="G8" s="23" t="s">
        <v>228</v>
      </c>
      <c r="H8" s="23" t="s">
        <v>24</v>
      </c>
      <c r="I8" s="23" t="s">
        <v>27</v>
      </c>
      <c r="J8" s="23" t="s">
        <v>224</v>
      </c>
      <c r="K8" s="22">
        <v>0.5</v>
      </c>
      <c r="L8" s="22" t="s">
        <v>30</v>
      </c>
      <c r="M8" s="18">
        <v>2021</v>
      </c>
      <c r="N8" s="18" t="s">
        <v>25</v>
      </c>
      <c r="O8" s="19" t="s">
        <v>25</v>
      </c>
      <c r="P8" s="18" t="s">
        <v>25</v>
      </c>
      <c r="Q8" s="19" t="s">
        <v>25</v>
      </c>
      <c r="R8" s="18">
        <v>100</v>
      </c>
      <c r="S8" s="22">
        <v>0.5</v>
      </c>
      <c r="T8" s="22">
        <v>0</v>
      </c>
      <c r="U8" s="18">
        <v>0</v>
      </c>
    </row>
    <row r="9" spans="1:21" x14ac:dyDescent="0.2">
      <c r="A9" s="18" t="s">
        <v>27</v>
      </c>
      <c r="B9" s="18" t="s">
        <v>224</v>
      </c>
      <c r="C9" s="18" t="s">
        <v>29</v>
      </c>
      <c r="D9" s="18" t="s">
        <v>229</v>
      </c>
      <c r="E9" s="18" t="s">
        <v>230</v>
      </c>
      <c r="F9" s="18" t="s">
        <v>231</v>
      </c>
      <c r="G9" s="18" t="s">
        <v>23</v>
      </c>
      <c r="H9" s="18" t="s">
        <v>24</v>
      </c>
      <c r="I9" s="18" t="s">
        <v>27</v>
      </c>
      <c r="J9" s="18" t="s">
        <v>224</v>
      </c>
      <c r="K9" s="22">
        <v>0.33</v>
      </c>
      <c r="L9" s="22" t="s">
        <v>30</v>
      </c>
      <c r="M9" s="18">
        <v>2022</v>
      </c>
      <c r="N9" s="18" t="s">
        <v>25</v>
      </c>
      <c r="O9" s="19" t="s">
        <v>25</v>
      </c>
      <c r="P9" s="18" t="s">
        <v>25</v>
      </c>
      <c r="Q9" s="19" t="s">
        <v>25</v>
      </c>
      <c r="R9" s="18">
        <v>100</v>
      </c>
      <c r="S9" s="22">
        <v>0.33</v>
      </c>
      <c r="T9" s="22">
        <v>0</v>
      </c>
      <c r="U9" s="18">
        <v>0</v>
      </c>
    </row>
    <row r="10" spans="1:21" x14ac:dyDescent="0.2">
      <c r="A10" s="18" t="s">
        <v>27</v>
      </c>
      <c r="B10" s="18" t="s">
        <v>224</v>
      </c>
      <c r="C10" s="18" t="s">
        <v>29</v>
      </c>
      <c r="D10" s="18" t="s">
        <v>232</v>
      </c>
      <c r="E10" s="18" t="s">
        <v>233</v>
      </c>
      <c r="F10" s="18" t="s">
        <v>234</v>
      </c>
      <c r="G10" s="18" t="s">
        <v>235</v>
      </c>
      <c r="H10" s="18" t="s">
        <v>24</v>
      </c>
      <c r="I10" s="18" t="s">
        <v>27</v>
      </c>
      <c r="J10" s="18" t="s">
        <v>224</v>
      </c>
      <c r="K10" s="22">
        <v>0.5</v>
      </c>
      <c r="L10" s="22" t="s">
        <v>30</v>
      </c>
      <c r="M10" s="18">
        <v>2022</v>
      </c>
      <c r="N10" s="18" t="s">
        <v>30</v>
      </c>
      <c r="O10" s="19">
        <v>100</v>
      </c>
      <c r="P10" s="18" t="s">
        <v>25</v>
      </c>
      <c r="Q10" s="19">
        <v>0</v>
      </c>
      <c r="R10" s="18">
        <v>0</v>
      </c>
      <c r="S10" s="22">
        <v>0</v>
      </c>
      <c r="T10" s="22">
        <v>0.5</v>
      </c>
      <c r="U10" s="18">
        <v>0</v>
      </c>
    </row>
    <row r="11" spans="1:21" x14ac:dyDescent="0.2">
      <c r="A11" s="18" t="s">
        <v>27</v>
      </c>
      <c r="B11" s="18" t="s">
        <v>224</v>
      </c>
      <c r="C11" s="18" t="s">
        <v>29</v>
      </c>
      <c r="D11" s="18" t="s">
        <v>236</v>
      </c>
      <c r="E11" s="18" t="s">
        <v>237</v>
      </c>
      <c r="F11" s="18" t="s">
        <v>238</v>
      </c>
      <c r="G11" s="18" t="s">
        <v>235</v>
      </c>
      <c r="H11" s="18" t="s">
        <v>24</v>
      </c>
      <c r="I11" s="18" t="s">
        <v>27</v>
      </c>
      <c r="J11" s="18" t="s">
        <v>224</v>
      </c>
      <c r="K11" s="21">
        <v>0.5</v>
      </c>
      <c r="L11" s="18" t="s">
        <v>30</v>
      </c>
      <c r="M11" s="18">
        <v>2022</v>
      </c>
      <c r="N11" s="18" t="s">
        <v>30</v>
      </c>
      <c r="O11" s="19">
        <v>100</v>
      </c>
      <c r="P11" s="18" t="s">
        <v>25</v>
      </c>
      <c r="Q11" s="19">
        <v>0</v>
      </c>
      <c r="R11" s="20">
        <v>0</v>
      </c>
      <c r="S11" s="25">
        <v>0</v>
      </c>
      <c r="T11" s="25">
        <v>0.5</v>
      </c>
      <c r="U11" s="21">
        <v>0</v>
      </c>
    </row>
    <row r="12" spans="1:21" x14ac:dyDescent="0.2">
      <c r="A12" s="18" t="s">
        <v>113</v>
      </c>
      <c r="B12" s="18" t="s">
        <v>114</v>
      </c>
      <c r="C12" s="18" t="s">
        <v>115</v>
      </c>
      <c r="D12" s="18" t="s">
        <v>116</v>
      </c>
      <c r="E12" s="18" t="s">
        <v>117</v>
      </c>
      <c r="F12" s="18" t="s">
        <v>118</v>
      </c>
      <c r="G12" s="18" t="s">
        <v>65</v>
      </c>
      <c r="H12" s="18" t="s">
        <v>24</v>
      </c>
      <c r="I12" s="18" t="s">
        <v>37</v>
      </c>
      <c r="J12" s="18" t="s">
        <v>38</v>
      </c>
      <c r="K12" s="21">
        <v>0.5</v>
      </c>
      <c r="L12" s="18" t="s">
        <v>39</v>
      </c>
      <c r="M12" s="18">
        <v>2019</v>
      </c>
      <c r="N12" s="18" t="s">
        <v>30</v>
      </c>
      <c r="O12" s="19" t="s">
        <v>33</v>
      </c>
      <c r="P12" s="18" t="s">
        <v>25</v>
      </c>
      <c r="Q12" s="19" t="s">
        <v>25</v>
      </c>
      <c r="R12" s="20">
        <v>80</v>
      </c>
      <c r="S12" s="25">
        <v>0.4</v>
      </c>
      <c r="T12" s="25">
        <v>0.1</v>
      </c>
      <c r="U12" s="21">
        <v>0</v>
      </c>
    </row>
    <row r="13" spans="1:21" x14ac:dyDescent="0.2">
      <c r="A13" s="18" t="s">
        <v>27</v>
      </c>
      <c r="B13" s="18" t="s">
        <v>28</v>
      </c>
      <c r="C13" s="18" t="s">
        <v>29</v>
      </c>
      <c r="D13" s="18" t="s">
        <v>131</v>
      </c>
      <c r="E13" s="18" t="s">
        <v>132</v>
      </c>
      <c r="F13" s="18" t="s">
        <v>133</v>
      </c>
      <c r="G13" s="18" t="s">
        <v>50</v>
      </c>
      <c r="H13" s="18" t="s">
        <v>24</v>
      </c>
      <c r="I13" s="18" t="s">
        <v>41</v>
      </c>
      <c r="J13" s="18" t="s">
        <v>42</v>
      </c>
      <c r="K13" s="21">
        <v>0.5</v>
      </c>
      <c r="L13" s="18" t="s">
        <v>43</v>
      </c>
      <c r="M13" s="18">
        <v>2019</v>
      </c>
      <c r="N13" s="18" t="s">
        <v>30</v>
      </c>
      <c r="O13" s="19" t="s">
        <v>32</v>
      </c>
      <c r="P13" s="18" t="s">
        <v>25</v>
      </c>
      <c r="Q13" s="19" t="s">
        <v>25</v>
      </c>
      <c r="R13" s="20">
        <v>50</v>
      </c>
      <c r="S13" s="25">
        <v>0.25</v>
      </c>
      <c r="T13" s="25">
        <v>0.25</v>
      </c>
      <c r="U13" s="21">
        <v>0</v>
      </c>
    </row>
    <row r="14" spans="1:21" x14ac:dyDescent="0.2">
      <c r="A14" s="18" t="s">
        <v>27</v>
      </c>
      <c r="B14" s="18" t="s">
        <v>28</v>
      </c>
      <c r="C14" s="18" t="s">
        <v>29</v>
      </c>
      <c r="D14" s="18" t="s">
        <v>131</v>
      </c>
      <c r="E14" s="18" t="s">
        <v>132</v>
      </c>
      <c r="F14" s="18" t="s">
        <v>133</v>
      </c>
      <c r="G14" s="18" t="s">
        <v>53</v>
      </c>
      <c r="H14" s="18" t="s">
        <v>24</v>
      </c>
      <c r="I14" s="18" t="s">
        <v>51</v>
      </c>
      <c r="J14" s="18" t="s">
        <v>31</v>
      </c>
      <c r="K14" s="21">
        <v>0.5</v>
      </c>
      <c r="L14" s="18" t="s">
        <v>52</v>
      </c>
      <c r="M14" s="18">
        <v>2019</v>
      </c>
      <c r="N14" s="18" t="s">
        <v>30</v>
      </c>
      <c r="O14" s="19" t="s">
        <v>32</v>
      </c>
      <c r="P14" s="18" t="s">
        <v>25</v>
      </c>
      <c r="Q14" s="19" t="s">
        <v>25</v>
      </c>
      <c r="R14" s="20">
        <v>50</v>
      </c>
      <c r="S14" s="25">
        <v>0.25</v>
      </c>
      <c r="T14" s="25">
        <v>0.25</v>
      </c>
      <c r="U14" s="21">
        <v>0</v>
      </c>
    </row>
    <row r="15" spans="1:21" x14ac:dyDescent="0.2">
      <c r="A15" s="18" t="s">
        <v>27</v>
      </c>
      <c r="B15" s="18" t="s">
        <v>28</v>
      </c>
      <c r="C15" s="18" t="s">
        <v>29</v>
      </c>
      <c r="D15" s="18" t="s">
        <v>125</v>
      </c>
      <c r="E15" s="18" t="s">
        <v>126</v>
      </c>
      <c r="F15" s="18" t="s">
        <v>127</v>
      </c>
      <c r="G15" s="18" t="s">
        <v>44</v>
      </c>
      <c r="H15" s="18" t="s">
        <v>24</v>
      </c>
      <c r="I15" s="18" t="s">
        <v>51</v>
      </c>
      <c r="J15" s="18" t="s">
        <v>31</v>
      </c>
      <c r="K15" s="24">
        <v>0.5</v>
      </c>
      <c r="L15" s="18" t="s">
        <v>52</v>
      </c>
      <c r="M15" s="18">
        <v>2019</v>
      </c>
      <c r="N15" s="18" t="s">
        <v>30</v>
      </c>
      <c r="O15" s="19" t="s">
        <v>32</v>
      </c>
      <c r="P15" s="18" t="s">
        <v>25</v>
      </c>
      <c r="Q15" s="19" t="s">
        <v>25</v>
      </c>
      <c r="R15" s="20">
        <v>50</v>
      </c>
      <c r="S15" s="25">
        <v>0.25</v>
      </c>
      <c r="T15" s="25">
        <v>0.25</v>
      </c>
      <c r="U15" s="21">
        <v>0</v>
      </c>
    </row>
    <row r="16" spans="1:21" x14ac:dyDescent="0.2">
      <c r="A16" s="18" t="s">
        <v>27</v>
      </c>
      <c r="B16" s="18" t="s">
        <v>28</v>
      </c>
      <c r="C16" s="18" t="s">
        <v>29</v>
      </c>
      <c r="D16" s="18" t="s">
        <v>125</v>
      </c>
      <c r="E16" s="18" t="s">
        <v>126</v>
      </c>
      <c r="F16" s="18" t="s">
        <v>127</v>
      </c>
      <c r="G16" s="18" t="s">
        <v>53</v>
      </c>
      <c r="H16" s="18" t="s">
        <v>24</v>
      </c>
      <c r="I16" s="18" t="s">
        <v>51</v>
      </c>
      <c r="J16" s="18" t="s">
        <v>31</v>
      </c>
      <c r="K16" s="24">
        <v>0.5</v>
      </c>
      <c r="L16" s="18" t="s">
        <v>52</v>
      </c>
      <c r="M16" s="18">
        <v>2019</v>
      </c>
      <c r="N16" s="18" t="s">
        <v>30</v>
      </c>
      <c r="O16" s="19" t="s">
        <v>32</v>
      </c>
      <c r="P16" s="18" t="s">
        <v>25</v>
      </c>
      <c r="Q16" s="19" t="s">
        <v>25</v>
      </c>
      <c r="R16" s="20">
        <v>50</v>
      </c>
      <c r="S16" s="25">
        <v>0.25</v>
      </c>
      <c r="T16" s="25">
        <v>0.25</v>
      </c>
      <c r="U16" s="21">
        <v>0</v>
      </c>
    </row>
    <row r="17" spans="1:21" x14ac:dyDescent="0.2">
      <c r="A17" s="18" t="s">
        <v>27</v>
      </c>
      <c r="B17" s="18" t="s">
        <v>28</v>
      </c>
      <c r="C17" s="18" t="s">
        <v>29</v>
      </c>
      <c r="D17" s="18" t="s">
        <v>128</v>
      </c>
      <c r="E17" s="18" t="s">
        <v>129</v>
      </c>
      <c r="F17" s="18" t="s">
        <v>130</v>
      </c>
      <c r="G17" s="18" t="s">
        <v>50</v>
      </c>
      <c r="H17" s="18" t="s">
        <v>24</v>
      </c>
      <c r="I17" s="18" t="s">
        <v>41</v>
      </c>
      <c r="J17" s="18" t="s">
        <v>42</v>
      </c>
      <c r="K17" s="24">
        <v>0.5</v>
      </c>
      <c r="L17" s="18" t="s">
        <v>43</v>
      </c>
      <c r="M17" s="18">
        <v>2019</v>
      </c>
      <c r="N17" s="18" t="s">
        <v>30</v>
      </c>
      <c r="O17" s="19" t="s">
        <v>32</v>
      </c>
      <c r="P17" s="18" t="s">
        <v>25</v>
      </c>
      <c r="Q17" s="19" t="s">
        <v>25</v>
      </c>
      <c r="R17" s="20">
        <v>50</v>
      </c>
      <c r="S17" s="25">
        <v>0.25</v>
      </c>
      <c r="T17" s="25">
        <v>0.25</v>
      </c>
      <c r="U17" s="21">
        <v>0</v>
      </c>
    </row>
    <row r="18" spans="1:21" x14ac:dyDescent="0.2">
      <c r="A18" s="18" t="s">
        <v>27</v>
      </c>
      <c r="B18" s="18" t="s">
        <v>28</v>
      </c>
      <c r="C18" s="18" t="s">
        <v>29</v>
      </c>
      <c r="D18" s="18" t="s">
        <v>128</v>
      </c>
      <c r="E18" s="18" t="s">
        <v>129</v>
      </c>
      <c r="F18" s="18" t="s">
        <v>130</v>
      </c>
      <c r="G18" s="18" t="s">
        <v>53</v>
      </c>
      <c r="H18" s="18" t="s">
        <v>24</v>
      </c>
      <c r="I18" s="18" t="s">
        <v>51</v>
      </c>
      <c r="J18" s="18" t="s">
        <v>31</v>
      </c>
      <c r="K18" s="24">
        <v>0.5</v>
      </c>
      <c r="L18" s="18" t="s">
        <v>52</v>
      </c>
      <c r="M18" s="18">
        <v>2019</v>
      </c>
      <c r="N18" s="18" t="s">
        <v>30</v>
      </c>
      <c r="O18" s="19" t="s">
        <v>32</v>
      </c>
      <c r="P18" s="18" t="s">
        <v>25</v>
      </c>
      <c r="Q18" s="19" t="s">
        <v>25</v>
      </c>
      <c r="R18" s="20">
        <v>50</v>
      </c>
      <c r="S18" s="25">
        <v>0.25</v>
      </c>
      <c r="T18" s="25">
        <v>0.25</v>
      </c>
      <c r="U18" s="21">
        <v>0</v>
      </c>
    </row>
    <row r="19" spans="1:21" x14ac:dyDescent="0.2">
      <c r="A19" s="18" t="s">
        <v>27</v>
      </c>
      <c r="B19" s="18" t="s">
        <v>28</v>
      </c>
      <c r="C19" s="18" t="s">
        <v>29</v>
      </c>
      <c r="D19" s="18" t="s">
        <v>119</v>
      </c>
      <c r="E19" s="18" t="s">
        <v>120</v>
      </c>
      <c r="F19" s="18" t="s">
        <v>121</v>
      </c>
      <c r="G19" s="18" t="s">
        <v>65</v>
      </c>
      <c r="H19" s="18" t="s">
        <v>24</v>
      </c>
      <c r="I19" s="18" t="s">
        <v>37</v>
      </c>
      <c r="J19" s="18" t="s">
        <v>38</v>
      </c>
      <c r="K19" s="24">
        <v>0.5</v>
      </c>
      <c r="L19" s="18" t="s">
        <v>39</v>
      </c>
      <c r="M19" s="18">
        <v>2019</v>
      </c>
      <c r="N19" s="18" t="s">
        <v>30</v>
      </c>
      <c r="O19" s="19" t="s">
        <v>33</v>
      </c>
      <c r="P19" s="18" t="s">
        <v>25</v>
      </c>
      <c r="Q19" s="19" t="s">
        <v>25</v>
      </c>
      <c r="R19" s="20">
        <v>80</v>
      </c>
      <c r="S19" s="25">
        <v>0.4</v>
      </c>
      <c r="T19" s="25">
        <v>0.1</v>
      </c>
      <c r="U19" s="21">
        <v>0</v>
      </c>
    </row>
    <row r="20" spans="1:21" x14ac:dyDescent="0.2">
      <c r="A20" s="18" t="s">
        <v>27</v>
      </c>
      <c r="B20" s="18" t="s">
        <v>28</v>
      </c>
      <c r="C20" s="18" t="s">
        <v>29</v>
      </c>
      <c r="D20" s="18" t="s">
        <v>119</v>
      </c>
      <c r="E20" s="18" t="s">
        <v>120</v>
      </c>
      <c r="F20" s="18" t="s">
        <v>121</v>
      </c>
      <c r="G20" s="18" t="s">
        <v>64</v>
      </c>
      <c r="H20" s="18" t="s">
        <v>24</v>
      </c>
      <c r="I20" s="18" t="s">
        <v>37</v>
      </c>
      <c r="J20" s="18" t="s">
        <v>38</v>
      </c>
      <c r="K20" s="24">
        <v>0.5</v>
      </c>
      <c r="L20" s="18" t="s">
        <v>39</v>
      </c>
      <c r="M20" s="18">
        <v>2019</v>
      </c>
      <c r="N20" s="18" t="s">
        <v>30</v>
      </c>
      <c r="O20" s="19" t="s">
        <v>32</v>
      </c>
      <c r="P20" s="18" t="s">
        <v>25</v>
      </c>
      <c r="Q20" s="19" t="s">
        <v>25</v>
      </c>
      <c r="R20" s="20">
        <v>50</v>
      </c>
      <c r="S20" s="25">
        <v>0.25</v>
      </c>
      <c r="T20" s="25">
        <v>0.25</v>
      </c>
      <c r="U20" s="21">
        <v>0</v>
      </c>
    </row>
    <row r="21" spans="1:21" x14ac:dyDescent="0.2">
      <c r="A21" s="18" t="s">
        <v>27</v>
      </c>
      <c r="B21" s="18" t="s">
        <v>28</v>
      </c>
      <c r="C21" s="18" t="s">
        <v>29</v>
      </c>
      <c r="D21" s="18" t="s">
        <v>110</v>
      </c>
      <c r="E21" s="18" t="s">
        <v>111</v>
      </c>
      <c r="F21" s="18" t="s">
        <v>112</v>
      </c>
      <c r="G21" s="18" t="s">
        <v>55</v>
      </c>
      <c r="H21" s="18" t="s">
        <v>24</v>
      </c>
      <c r="I21" s="18" t="s">
        <v>51</v>
      </c>
      <c r="J21" s="18" t="s">
        <v>31</v>
      </c>
      <c r="K21" s="24">
        <v>0.5</v>
      </c>
      <c r="L21" s="18" t="s">
        <v>52</v>
      </c>
      <c r="M21" s="18">
        <v>2019</v>
      </c>
      <c r="N21" s="18" t="s">
        <v>30</v>
      </c>
      <c r="O21" s="19" t="s">
        <v>33</v>
      </c>
      <c r="P21" s="18" t="s">
        <v>25</v>
      </c>
      <c r="Q21" s="19" t="s">
        <v>25</v>
      </c>
      <c r="R21" s="20">
        <v>80</v>
      </c>
      <c r="S21" s="25">
        <v>0.4</v>
      </c>
      <c r="T21" s="25">
        <v>0.1</v>
      </c>
      <c r="U21" s="21">
        <v>0</v>
      </c>
    </row>
    <row r="22" spans="1:21" x14ac:dyDescent="0.2">
      <c r="A22" s="18" t="s">
        <v>34</v>
      </c>
      <c r="B22" s="18" t="s">
        <v>35</v>
      </c>
      <c r="C22" s="18" t="s">
        <v>29</v>
      </c>
      <c r="D22" s="18" t="s">
        <v>122</v>
      </c>
      <c r="E22" s="18" t="s">
        <v>123</v>
      </c>
      <c r="F22" s="18" t="s">
        <v>124</v>
      </c>
      <c r="G22" s="18" t="s">
        <v>55</v>
      </c>
      <c r="H22" s="18" t="s">
        <v>24</v>
      </c>
      <c r="I22" s="18" t="s">
        <v>51</v>
      </c>
      <c r="J22" s="18" t="s">
        <v>31</v>
      </c>
      <c r="K22" s="24">
        <v>0.5</v>
      </c>
      <c r="L22" s="18" t="s">
        <v>52</v>
      </c>
      <c r="M22" s="18">
        <v>2019</v>
      </c>
      <c r="N22" s="18" t="s">
        <v>30</v>
      </c>
      <c r="O22" s="19" t="s">
        <v>33</v>
      </c>
      <c r="P22" s="18" t="s">
        <v>25</v>
      </c>
      <c r="Q22" s="19" t="s">
        <v>25</v>
      </c>
      <c r="R22" s="20">
        <v>80</v>
      </c>
      <c r="S22" s="25">
        <v>0.4</v>
      </c>
      <c r="T22" s="25">
        <v>0.1</v>
      </c>
      <c r="U22" s="21">
        <v>0</v>
      </c>
    </row>
    <row r="23" spans="1:21" x14ac:dyDescent="0.2">
      <c r="A23" s="18" t="s">
        <v>34</v>
      </c>
      <c r="B23" s="18" t="s">
        <v>35</v>
      </c>
      <c r="C23" s="18" t="s">
        <v>29</v>
      </c>
      <c r="D23" s="18" t="s">
        <v>122</v>
      </c>
      <c r="E23" s="18" t="s">
        <v>123</v>
      </c>
      <c r="F23" s="18" t="s">
        <v>124</v>
      </c>
      <c r="G23" s="18" t="s">
        <v>56</v>
      </c>
      <c r="H23" s="18" t="s">
        <v>24</v>
      </c>
      <c r="I23" s="18" t="s">
        <v>51</v>
      </c>
      <c r="J23" s="18" t="s">
        <v>31</v>
      </c>
      <c r="K23" s="24">
        <v>0.5</v>
      </c>
      <c r="L23" s="18" t="s">
        <v>52</v>
      </c>
      <c r="M23" s="18">
        <v>2019</v>
      </c>
      <c r="N23" s="18" t="s">
        <v>30</v>
      </c>
      <c r="O23" s="19" t="s">
        <v>33</v>
      </c>
      <c r="P23" s="18" t="s">
        <v>25</v>
      </c>
      <c r="Q23" s="19" t="s">
        <v>25</v>
      </c>
      <c r="R23" s="20">
        <v>80</v>
      </c>
      <c r="S23" s="25">
        <v>0.4</v>
      </c>
      <c r="T23" s="25">
        <v>0.1</v>
      </c>
      <c r="U23" s="21">
        <v>0</v>
      </c>
    </row>
    <row r="24" spans="1:21" x14ac:dyDescent="0.2">
      <c r="A24" s="18" t="s">
        <v>27</v>
      </c>
      <c r="B24" s="18" t="s">
        <v>28</v>
      </c>
      <c r="C24" s="18" t="s">
        <v>29</v>
      </c>
      <c r="D24" s="18" t="s">
        <v>135</v>
      </c>
      <c r="E24" s="18" t="s">
        <v>136</v>
      </c>
      <c r="F24" s="18" t="s">
        <v>137</v>
      </c>
      <c r="G24" s="18" t="s">
        <v>55</v>
      </c>
      <c r="H24" s="18" t="s">
        <v>26</v>
      </c>
      <c r="I24" s="18" t="s">
        <v>51</v>
      </c>
      <c r="J24" s="18" t="s">
        <v>31</v>
      </c>
      <c r="K24" s="24">
        <v>1</v>
      </c>
      <c r="L24" s="18" t="s">
        <v>52</v>
      </c>
      <c r="M24" s="18">
        <v>2019</v>
      </c>
      <c r="N24" s="18" t="s">
        <v>30</v>
      </c>
      <c r="O24" s="19">
        <v>20</v>
      </c>
      <c r="P24" s="18" t="s">
        <v>25</v>
      </c>
      <c r="Q24" s="19">
        <v>0</v>
      </c>
      <c r="R24" s="20">
        <v>80</v>
      </c>
      <c r="S24" s="25">
        <v>0.8</v>
      </c>
      <c r="T24" s="25">
        <v>0.2</v>
      </c>
      <c r="U24" s="21">
        <v>0</v>
      </c>
    </row>
    <row r="25" spans="1:21" x14ac:dyDescent="0.2">
      <c r="A25" s="18" t="s">
        <v>27</v>
      </c>
      <c r="B25" s="18" t="s">
        <v>28</v>
      </c>
      <c r="C25" s="18" t="s">
        <v>29</v>
      </c>
      <c r="D25" s="18" t="s">
        <v>138</v>
      </c>
      <c r="E25" s="18" t="s">
        <v>139</v>
      </c>
      <c r="F25" s="18" t="s">
        <v>140</v>
      </c>
      <c r="G25" s="18" t="s">
        <v>63</v>
      </c>
      <c r="H25" s="18" t="s">
        <v>26</v>
      </c>
      <c r="I25" s="18" t="s">
        <v>37</v>
      </c>
      <c r="J25" s="18" t="s">
        <v>38</v>
      </c>
      <c r="K25" s="24">
        <v>1</v>
      </c>
      <c r="L25" s="18" t="s">
        <v>39</v>
      </c>
      <c r="M25" s="18">
        <v>2019</v>
      </c>
      <c r="N25" s="18" t="s">
        <v>30</v>
      </c>
      <c r="O25" s="19">
        <v>50</v>
      </c>
      <c r="P25" s="18" t="s">
        <v>25</v>
      </c>
      <c r="Q25" s="19">
        <v>0</v>
      </c>
      <c r="R25" s="20">
        <v>50</v>
      </c>
      <c r="S25" s="25">
        <v>0.5</v>
      </c>
      <c r="T25" s="25">
        <v>0.5</v>
      </c>
      <c r="U25" s="21">
        <v>0</v>
      </c>
    </row>
    <row r="26" spans="1:21" x14ac:dyDescent="0.2">
      <c r="A26" s="18" t="s">
        <v>27</v>
      </c>
      <c r="B26" s="18" t="s">
        <v>28</v>
      </c>
      <c r="C26" s="18" t="s">
        <v>29</v>
      </c>
      <c r="D26" s="18" t="s">
        <v>141</v>
      </c>
      <c r="E26" s="18" t="s">
        <v>142</v>
      </c>
      <c r="F26" s="18" t="s">
        <v>143</v>
      </c>
      <c r="G26" s="18" t="s">
        <v>55</v>
      </c>
      <c r="H26" s="18" t="s">
        <v>26</v>
      </c>
      <c r="I26" s="18" t="s">
        <v>51</v>
      </c>
      <c r="J26" s="18" t="s">
        <v>31</v>
      </c>
      <c r="K26" s="24">
        <v>1</v>
      </c>
      <c r="L26" s="18" t="s">
        <v>52</v>
      </c>
      <c r="M26" s="18">
        <v>2019</v>
      </c>
      <c r="N26" s="18" t="s">
        <v>30</v>
      </c>
      <c r="O26" s="19">
        <v>20</v>
      </c>
      <c r="P26" s="18" t="s">
        <v>25</v>
      </c>
      <c r="Q26" s="19">
        <v>0</v>
      </c>
      <c r="R26" s="20">
        <v>80</v>
      </c>
      <c r="S26" s="25">
        <v>0.8</v>
      </c>
      <c r="T26" s="25">
        <v>0.2</v>
      </c>
      <c r="U26" s="21">
        <v>0</v>
      </c>
    </row>
    <row r="27" spans="1:21" x14ac:dyDescent="0.2">
      <c r="A27" s="18" t="s">
        <v>45</v>
      </c>
      <c r="B27" s="18" t="s">
        <v>46</v>
      </c>
      <c r="C27" s="18" t="s">
        <v>47</v>
      </c>
      <c r="D27" s="18" t="s">
        <v>144</v>
      </c>
      <c r="E27" s="18" t="s">
        <v>145</v>
      </c>
      <c r="F27" s="18" t="s">
        <v>146</v>
      </c>
      <c r="G27" s="18" t="s">
        <v>147</v>
      </c>
      <c r="H27" s="18" t="s">
        <v>26</v>
      </c>
      <c r="I27" s="18" t="s">
        <v>45</v>
      </c>
      <c r="J27" s="18" t="s">
        <v>46</v>
      </c>
      <c r="K27" s="24">
        <v>1</v>
      </c>
      <c r="L27" s="18" t="s">
        <v>48</v>
      </c>
      <c r="M27" s="18">
        <v>2020</v>
      </c>
      <c r="N27" s="18" t="s">
        <v>30</v>
      </c>
      <c r="O27" s="19">
        <v>10</v>
      </c>
      <c r="P27" s="18" t="s">
        <v>25</v>
      </c>
      <c r="Q27" s="19">
        <v>0</v>
      </c>
      <c r="R27" s="20">
        <v>90</v>
      </c>
      <c r="S27" s="25">
        <v>0.9</v>
      </c>
      <c r="T27" s="25">
        <v>0.1</v>
      </c>
      <c r="U27" s="21">
        <v>0</v>
      </c>
    </row>
    <row r="28" spans="1:21" x14ac:dyDescent="0.2">
      <c r="A28" s="18" t="s">
        <v>27</v>
      </c>
      <c r="B28" s="18" t="s">
        <v>28</v>
      </c>
      <c r="C28" s="18" t="s">
        <v>29</v>
      </c>
      <c r="D28" s="18" t="s">
        <v>148</v>
      </c>
      <c r="E28" s="18" t="s">
        <v>149</v>
      </c>
      <c r="F28" s="18" t="s">
        <v>150</v>
      </c>
      <c r="G28" s="18" t="s">
        <v>50</v>
      </c>
      <c r="H28" s="18" t="s">
        <v>24</v>
      </c>
      <c r="I28" s="18" t="s">
        <v>41</v>
      </c>
      <c r="J28" s="18" t="s">
        <v>42</v>
      </c>
      <c r="K28" s="24">
        <v>0.5</v>
      </c>
      <c r="L28" s="18" t="s">
        <v>43</v>
      </c>
      <c r="M28" s="18">
        <v>2020</v>
      </c>
      <c r="N28" s="18" t="s">
        <v>30</v>
      </c>
      <c r="O28" s="19">
        <v>50</v>
      </c>
      <c r="P28" s="18" t="s">
        <v>25</v>
      </c>
      <c r="Q28" s="19">
        <v>0</v>
      </c>
      <c r="R28" s="20">
        <v>50</v>
      </c>
      <c r="S28" s="25">
        <v>0.25</v>
      </c>
      <c r="T28" s="25">
        <v>0.25</v>
      </c>
      <c r="U28" s="21">
        <v>0</v>
      </c>
    </row>
    <row r="29" spans="1:21" x14ac:dyDescent="0.2">
      <c r="A29" s="18" t="s">
        <v>27</v>
      </c>
      <c r="B29" s="18" t="s">
        <v>28</v>
      </c>
      <c r="C29" s="18" t="s">
        <v>29</v>
      </c>
      <c r="D29" s="18" t="s">
        <v>148</v>
      </c>
      <c r="E29" s="18" t="s">
        <v>149</v>
      </c>
      <c r="F29" s="18" t="s">
        <v>150</v>
      </c>
      <c r="G29" s="18" t="s">
        <v>53</v>
      </c>
      <c r="H29" s="18" t="s">
        <v>24</v>
      </c>
      <c r="I29" s="18" t="s">
        <v>51</v>
      </c>
      <c r="J29" s="18" t="s">
        <v>31</v>
      </c>
      <c r="K29" s="24">
        <v>0.5</v>
      </c>
      <c r="L29" s="18" t="s">
        <v>52</v>
      </c>
      <c r="M29" s="18">
        <v>2020</v>
      </c>
      <c r="N29" s="18" t="s">
        <v>30</v>
      </c>
      <c r="O29" s="19">
        <v>50</v>
      </c>
      <c r="P29" s="18" t="s">
        <v>25</v>
      </c>
      <c r="Q29" s="19">
        <v>0</v>
      </c>
      <c r="R29" s="20">
        <v>50</v>
      </c>
      <c r="S29" s="25">
        <v>0.25</v>
      </c>
      <c r="T29" s="25">
        <v>0.25</v>
      </c>
      <c r="U29" s="21">
        <v>0</v>
      </c>
    </row>
    <row r="30" spans="1:21" x14ac:dyDescent="0.2">
      <c r="A30" s="18" t="s">
        <v>27</v>
      </c>
      <c r="B30" s="18" t="s">
        <v>28</v>
      </c>
      <c r="C30" s="18" t="s">
        <v>29</v>
      </c>
      <c r="D30" s="18" t="s">
        <v>151</v>
      </c>
      <c r="E30" s="18" t="s">
        <v>152</v>
      </c>
      <c r="F30" s="18" t="s">
        <v>153</v>
      </c>
      <c r="G30" s="18" t="s">
        <v>64</v>
      </c>
      <c r="H30" s="18" t="s">
        <v>24</v>
      </c>
      <c r="I30" s="18" t="s">
        <v>37</v>
      </c>
      <c r="J30" s="18" t="s">
        <v>38</v>
      </c>
      <c r="K30" s="24">
        <v>0.5</v>
      </c>
      <c r="L30" s="18" t="s">
        <v>39</v>
      </c>
      <c r="M30" s="18">
        <v>2020</v>
      </c>
      <c r="N30" s="18" t="s">
        <v>30</v>
      </c>
      <c r="O30" s="19">
        <v>50</v>
      </c>
      <c r="P30" s="18" t="s">
        <v>25</v>
      </c>
      <c r="Q30" s="19">
        <v>0</v>
      </c>
      <c r="R30" s="20">
        <v>50</v>
      </c>
      <c r="S30" s="25">
        <v>0.25</v>
      </c>
      <c r="T30" s="25">
        <v>0.25</v>
      </c>
      <c r="U30" s="21">
        <v>0</v>
      </c>
    </row>
    <row r="31" spans="1:21" x14ac:dyDescent="0.2">
      <c r="A31" s="18" t="s">
        <v>27</v>
      </c>
      <c r="B31" s="18" t="s">
        <v>28</v>
      </c>
      <c r="C31" s="18" t="s">
        <v>29</v>
      </c>
      <c r="D31" s="18" t="s">
        <v>154</v>
      </c>
      <c r="E31" s="18" t="s">
        <v>155</v>
      </c>
      <c r="F31" s="18" t="s">
        <v>156</v>
      </c>
      <c r="G31" s="18" t="s">
        <v>157</v>
      </c>
      <c r="H31" s="18" t="s">
        <v>24</v>
      </c>
      <c r="I31" s="18" t="s">
        <v>41</v>
      </c>
      <c r="J31" s="18" t="s">
        <v>42</v>
      </c>
      <c r="K31" s="24">
        <v>0.5</v>
      </c>
      <c r="L31" s="18" t="s">
        <v>43</v>
      </c>
      <c r="M31" s="18">
        <v>2020</v>
      </c>
      <c r="N31" s="18" t="s">
        <v>30</v>
      </c>
      <c r="O31" s="19">
        <v>50</v>
      </c>
      <c r="P31" s="18" t="s">
        <v>25</v>
      </c>
      <c r="Q31" s="19">
        <v>0</v>
      </c>
      <c r="R31" s="20">
        <v>50</v>
      </c>
      <c r="S31" s="25">
        <v>0.25</v>
      </c>
      <c r="T31" s="25">
        <v>0.25</v>
      </c>
      <c r="U31" s="21">
        <v>0</v>
      </c>
    </row>
    <row r="32" spans="1:21" x14ac:dyDescent="0.2">
      <c r="A32" s="18" t="s">
        <v>27</v>
      </c>
      <c r="B32" s="18" t="s">
        <v>28</v>
      </c>
      <c r="C32" s="18" t="s">
        <v>29</v>
      </c>
      <c r="D32" s="18" t="s">
        <v>154</v>
      </c>
      <c r="E32" s="18" t="s">
        <v>155</v>
      </c>
      <c r="F32" s="18" t="s">
        <v>156</v>
      </c>
      <c r="G32" s="18" t="s">
        <v>147</v>
      </c>
      <c r="H32" s="18" t="s">
        <v>24</v>
      </c>
      <c r="I32" s="18" t="s">
        <v>45</v>
      </c>
      <c r="J32" s="18" t="s">
        <v>46</v>
      </c>
      <c r="K32" s="24">
        <v>0.5</v>
      </c>
      <c r="L32" s="18" t="s">
        <v>48</v>
      </c>
      <c r="M32" s="18">
        <v>2020</v>
      </c>
      <c r="N32" s="18" t="s">
        <v>30</v>
      </c>
      <c r="O32" s="19">
        <v>10</v>
      </c>
      <c r="P32" s="18" t="s">
        <v>25</v>
      </c>
      <c r="Q32" s="19">
        <v>0</v>
      </c>
      <c r="R32" s="20">
        <v>90</v>
      </c>
      <c r="S32" s="25">
        <v>0.45</v>
      </c>
      <c r="T32" s="25">
        <v>0.05</v>
      </c>
      <c r="U32" s="21">
        <v>0</v>
      </c>
    </row>
    <row r="33" spans="1:21" x14ac:dyDescent="0.2">
      <c r="A33" s="18" t="s">
        <v>27</v>
      </c>
      <c r="B33" s="18" t="s">
        <v>28</v>
      </c>
      <c r="C33" s="18" t="s">
        <v>29</v>
      </c>
      <c r="D33" s="18" t="s">
        <v>158</v>
      </c>
      <c r="E33" s="18" t="s">
        <v>159</v>
      </c>
      <c r="F33" s="18" t="s">
        <v>160</v>
      </c>
      <c r="G33" s="18" t="s">
        <v>50</v>
      </c>
      <c r="H33" s="18" t="s">
        <v>24</v>
      </c>
      <c r="I33" s="18" t="s">
        <v>41</v>
      </c>
      <c r="J33" s="18" t="s">
        <v>42</v>
      </c>
      <c r="K33" s="24">
        <v>0.5</v>
      </c>
      <c r="L33" s="18" t="s">
        <v>43</v>
      </c>
      <c r="M33" s="18">
        <v>2020</v>
      </c>
      <c r="N33" s="18" t="s">
        <v>30</v>
      </c>
      <c r="O33" s="19">
        <v>50</v>
      </c>
      <c r="P33" s="18" t="s">
        <v>25</v>
      </c>
      <c r="Q33" s="19">
        <v>0</v>
      </c>
      <c r="R33" s="20">
        <v>50</v>
      </c>
      <c r="S33" s="25">
        <v>0.25</v>
      </c>
      <c r="T33" s="25">
        <v>0.25</v>
      </c>
      <c r="U33" s="21">
        <v>0</v>
      </c>
    </row>
    <row r="34" spans="1:21" x14ac:dyDescent="0.2">
      <c r="A34" s="18" t="s">
        <v>27</v>
      </c>
      <c r="B34" s="18" t="s">
        <v>28</v>
      </c>
      <c r="C34" s="18" t="s">
        <v>29</v>
      </c>
      <c r="D34" s="18" t="s">
        <v>158</v>
      </c>
      <c r="E34" s="18" t="s">
        <v>159</v>
      </c>
      <c r="F34" s="18" t="s">
        <v>160</v>
      </c>
      <c r="G34" s="18" t="s">
        <v>53</v>
      </c>
      <c r="H34" s="18" t="s">
        <v>24</v>
      </c>
      <c r="I34" s="18" t="s">
        <v>51</v>
      </c>
      <c r="J34" s="18" t="s">
        <v>31</v>
      </c>
      <c r="K34" s="24">
        <v>0.5</v>
      </c>
      <c r="L34" s="18" t="s">
        <v>52</v>
      </c>
      <c r="M34" s="18">
        <v>2020</v>
      </c>
      <c r="N34" s="18" t="s">
        <v>30</v>
      </c>
      <c r="O34" s="19">
        <v>50</v>
      </c>
      <c r="P34" s="18" t="s">
        <v>25</v>
      </c>
      <c r="Q34" s="19">
        <v>0</v>
      </c>
      <c r="R34" s="20">
        <v>50</v>
      </c>
      <c r="S34" s="25">
        <v>0.25</v>
      </c>
      <c r="T34" s="25">
        <v>0.25</v>
      </c>
      <c r="U34" s="21">
        <v>0</v>
      </c>
    </row>
    <row r="35" spans="1:21" x14ac:dyDescent="0.2">
      <c r="A35" s="18" t="s">
        <v>27</v>
      </c>
      <c r="B35" s="18" t="s">
        <v>28</v>
      </c>
      <c r="C35" s="18" t="s">
        <v>29</v>
      </c>
      <c r="D35" s="18" t="s">
        <v>161</v>
      </c>
      <c r="E35" s="18" t="s">
        <v>162</v>
      </c>
      <c r="F35" s="18" t="s">
        <v>163</v>
      </c>
      <c r="G35" s="18" t="s">
        <v>57</v>
      </c>
      <c r="H35" s="18" t="s">
        <v>26</v>
      </c>
      <c r="I35" s="18" t="s">
        <v>51</v>
      </c>
      <c r="J35" s="18" t="s">
        <v>31</v>
      </c>
      <c r="K35" s="24">
        <v>1</v>
      </c>
      <c r="L35" s="18" t="s">
        <v>52</v>
      </c>
      <c r="M35" s="18">
        <v>2020</v>
      </c>
      <c r="N35" s="18" t="s">
        <v>30</v>
      </c>
      <c r="O35" s="19">
        <v>40</v>
      </c>
      <c r="P35" s="18" t="s">
        <v>25</v>
      </c>
      <c r="Q35" s="19">
        <v>0</v>
      </c>
      <c r="R35" s="20">
        <v>60</v>
      </c>
      <c r="S35" s="25">
        <v>0.6</v>
      </c>
      <c r="T35" s="25">
        <v>0.4</v>
      </c>
      <c r="U35" s="21">
        <v>0</v>
      </c>
    </row>
    <row r="36" spans="1:21" x14ac:dyDescent="0.2">
      <c r="A36" s="18" t="s">
        <v>27</v>
      </c>
      <c r="B36" s="18" t="s">
        <v>28</v>
      </c>
      <c r="C36" s="18" t="s">
        <v>29</v>
      </c>
      <c r="D36" s="18" t="s">
        <v>164</v>
      </c>
      <c r="E36" s="18" t="s">
        <v>165</v>
      </c>
      <c r="F36" s="18" t="s">
        <v>163</v>
      </c>
      <c r="G36" s="18" t="s">
        <v>50</v>
      </c>
      <c r="H36" s="18" t="s">
        <v>24</v>
      </c>
      <c r="I36" s="18" t="s">
        <v>41</v>
      </c>
      <c r="J36" s="18" t="s">
        <v>42</v>
      </c>
      <c r="K36" s="24">
        <v>0.5</v>
      </c>
      <c r="L36" s="18" t="s">
        <v>43</v>
      </c>
      <c r="M36" s="18">
        <v>2020</v>
      </c>
      <c r="N36" s="18" t="s">
        <v>30</v>
      </c>
      <c r="O36" s="19">
        <v>50</v>
      </c>
      <c r="P36" s="18" t="s">
        <v>25</v>
      </c>
      <c r="Q36" s="19">
        <v>0</v>
      </c>
      <c r="R36" s="20">
        <v>50</v>
      </c>
      <c r="S36" s="25">
        <v>0.25</v>
      </c>
      <c r="T36" s="25">
        <v>0.25</v>
      </c>
      <c r="U36" s="21">
        <v>0</v>
      </c>
    </row>
    <row r="37" spans="1:21" x14ac:dyDescent="0.2">
      <c r="A37" s="18" t="s">
        <v>27</v>
      </c>
      <c r="B37" s="18" t="s">
        <v>28</v>
      </c>
      <c r="C37" s="18" t="s">
        <v>29</v>
      </c>
      <c r="D37" s="18" t="s">
        <v>164</v>
      </c>
      <c r="E37" s="18" t="s">
        <v>165</v>
      </c>
      <c r="F37" s="18" t="s">
        <v>163</v>
      </c>
      <c r="G37" s="18" t="s">
        <v>53</v>
      </c>
      <c r="H37" s="18" t="s">
        <v>24</v>
      </c>
      <c r="I37" s="18" t="s">
        <v>51</v>
      </c>
      <c r="J37" s="18" t="s">
        <v>31</v>
      </c>
      <c r="K37" s="24">
        <v>0.5</v>
      </c>
      <c r="L37" s="18" t="s">
        <v>52</v>
      </c>
      <c r="M37" s="18">
        <v>2020</v>
      </c>
      <c r="N37" s="18" t="s">
        <v>30</v>
      </c>
      <c r="O37" s="19">
        <v>50</v>
      </c>
      <c r="P37" s="18" t="s">
        <v>25</v>
      </c>
      <c r="Q37" s="19">
        <v>0</v>
      </c>
      <c r="R37" s="20">
        <v>50</v>
      </c>
      <c r="S37" s="25">
        <v>0.25</v>
      </c>
      <c r="T37" s="25">
        <v>0.25</v>
      </c>
      <c r="U37" s="21">
        <v>0</v>
      </c>
    </row>
    <row r="38" spans="1:21" x14ac:dyDescent="0.2">
      <c r="A38" s="18" t="s">
        <v>27</v>
      </c>
      <c r="B38" s="18" t="s">
        <v>28</v>
      </c>
      <c r="C38" s="18" t="s">
        <v>29</v>
      </c>
      <c r="D38" s="18" t="s">
        <v>166</v>
      </c>
      <c r="E38" s="18" t="s">
        <v>167</v>
      </c>
      <c r="F38" s="18" t="s">
        <v>168</v>
      </c>
      <c r="G38" s="18" t="s">
        <v>50</v>
      </c>
      <c r="H38" s="18" t="s">
        <v>24</v>
      </c>
      <c r="I38" s="18" t="s">
        <v>41</v>
      </c>
      <c r="J38" s="18" t="s">
        <v>42</v>
      </c>
      <c r="K38" s="24">
        <v>0.5</v>
      </c>
      <c r="L38" s="18" t="s">
        <v>43</v>
      </c>
      <c r="M38" s="18">
        <v>2020</v>
      </c>
      <c r="N38" s="18" t="s">
        <v>30</v>
      </c>
      <c r="O38" s="19">
        <v>50</v>
      </c>
      <c r="P38" s="18" t="s">
        <v>25</v>
      </c>
      <c r="Q38" s="19">
        <v>0</v>
      </c>
      <c r="R38" s="20">
        <v>50</v>
      </c>
      <c r="S38" s="25">
        <v>0.25</v>
      </c>
      <c r="T38" s="25">
        <v>0.25</v>
      </c>
      <c r="U38" s="21">
        <v>0</v>
      </c>
    </row>
    <row r="39" spans="1:21" x14ac:dyDescent="0.2">
      <c r="A39" s="18" t="s">
        <v>27</v>
      </c>
      <c r="B39" s="18" t="s">
        <v>28</v>
      </c>
      <c r="C39" s="18" t="s">
        <v>29</v>
      </c>
      <c r="D39" s="18" t="s">
        <v>186</v>
      </c>
      <c r="E39" s="18" t="s">
        <v>187</v>
      </c>
      <c r="F39" s="18" t="s">
        <v>188</v>
      </c>
      <c r="G39" s="18" t="s">
        <v>55</v>
      </c>
      <c r="H39" s="18" t="s">
        <v>24</v>
      </c>
      <c r="I39" s="18" t="s">
        <v>51</v>
      </c>
      <c r="J39" s="18" t="s">
        <v>31</v>
      </c>
      <c r="K39" s="24">
        <v>0.5</v>
      </c>
      <c r="L39" s="18" t="s">
        <v>52</v>
      </c>
      <c r="M39" s="18">
        <v>2020</v>
      </c>
      <c r="N39" s="18" t="s">
        <v>30</v>
      </c>
      <c r="O39" s="19">
        <v>20</v>
      </c>
      <c r="P39" s="18" t="s">
        <v>25</v>
      </c>
      <c r="Q39" s="19">
        <v>0</v>
      </c>
      <c r="R39" s="20">
        <v>80</v>
      </c>
      <c r="S39" s="25">
        <v>0.4</v>
      </c>
      <c r="T39" s="25">
        <v>0.1</v>
      </c>
      <c r="U39" s="21">
        <v>0</v>
      </c>
    </row>
    <row r="40" spans="1:21" x14ac:dyDescent="0.2">
      <c r="A40" s="18" t="s">
        <v>27</v>
      </c>
      <c r="B40" s="18" t="s">
        <v>28</v>
      </c>
      <c r="C40" s="18" t="s">
        <v>29</v>
      </c>
      <c r="D40" s="18" t="s">
        <v>169</v>
      </c>
      <c r="E40" s="18" t="s">
        <v>170</v>
      </c>
      <c r="F40" s="18" t="s">
        <v>171</v>
      </c>
      <c r="G40" s="18" t="s">
        <v>62</v>
      </c>
      <c r="H40" s="18" t="s">
        <v>24</v>
      </c>
      <c r="I40" s="18" t="s">
        <v>51</v>
      </c>
      <c r="J40" s="18" t="s">
        <v>31</v>
      </c>
      <c r="K40" s="24">
        <v>0.5</v>
      </c>
      <c r="L40" s="18" t="s">
        <v>52</v>
      </c>
      <c r="M40" s="18">
        <v>2020</v>
      </c>
      <c r="N40" s="18" t="s">
        <v>30</v>
      </c>
      <c r="O40" s="19">
        <v>50</v>
      </c>
      <c r="P40" s="18" t="s">
        <v>25</v>
      </c>
      <c r="Q40" s="19">
        <v>0</v>
      </c>
      <c r="R40" s="20">
        <v>50</v>
      </c>
      <c r="S40" s="25">
        <v>0.25</v>
      </c>
      <c r="T40" s="25">
        <v>0.25</v>
      </c>
      <c r="U40" s="21">
        <v>0</v>
      </c>
    </row>
    <row r="41" spans="1:21" x14ac:dyDescent="0.2">
      <c r="A41" s="18" t="s">
        <v>27</v>
      </c>
      <c r="B41" s="18" t="s">
        <v>28</v>
      </c>
      <c r="C41" s="18" t="s">
        <v>29</v>
      </c>
      <c r="D41" s="18" t="s">
        <v>172</v>
      </c>
      <c r="E41" s="18" t="s">
        <v>173</v>
      </c>
      <c r="F41" s="18" t="s">
        <v>174</v>
      </c>
      <c r="G41" s="18" t="s">
        <v>62</v>
      </c>
      <c r="H41" s="18" t="s">
        <v>24</v>
      </c>
      <c r="I41" s="18" t="s">
        <v>51</v>
      </c>
      <c r="J41" s="18" t="s">
        <v>31</v>
      </c>
      <c r="K41" s="22">
        <v>0.5</v>
      </c>
      <c r="L41" s="22" t="s">
        <v>52</v>
      </c>
      <c r="M41" s="18">
        <v>2020</v>
      </c>
      <c r="N41" s="18" t="s">
        <v>30</v>
      </c>
      <c r="O41" s="19">
        <v>50</v>
      </c>
      <c r="P41" s="18" t="s">
        <v>25</v>
      </c>
      <c r="Q41" s="19">
        <v>0</v>
      </c>
      <c r="R41" s="18">
        <v>50</v>
      </c>
      <c r="S41" s="22">
        <v>0.25</v>
      </c>
      <c r="T41" s="22">
        <v>0.25</v>
      </c>
      <c r="U41" s="18">
        <v>0</v>
      </c>
    </row>
    <row r="42" spans="1:21" x14ac:dyDescent="0.2">
      <c r="A42" s="18" t="s">
        <v>27</v>
      </c>
      <c r="B42" s="18" t="s">
        <v>28</v>
      </c>
      <c r="C42" s="18" t="s">
        <v>29</v>
      </c>
      <c r="D42" s="18" t="s">
        <v>172</v>
      </c>
      <c r="E42" s="18" t="s">
        <v>173</v>
      </c>
      <c r="F42" s="18" t="s">
        <v>174</v>
      </c>
      <c r="G42" s="18" t="s">
        <v>59</v>
      </c>
      <c r="H42" s="18" t="s">
        <v>24</v>
      </c>
      <c r="I42" s="18" t="s">
        <v>51</v>
      </c>
      <c r="J42" s="18" t="s">
        <v>31</v>
      </c>
      <c r="K42" s="22">
        <v>0.5</v>
      </c>
      <c r="L42" s="22" t="s">
        <v>52</v>
      </c>
      <c r="M42" s="18">
        <v>2020</v>
      </c>
      <c r="N42" s="18" t="s">
        <v>30</v>
      </c>
      <c r="O42" s="19">
        <v>50</v>
      </c>
      <c r="P42" s="18" t="s">
        <v>25</v>
      </c>
      <c r="Q42" s="19">
        <v>0</v>
      </c>
      <c r="R42" s="18">
        <v>50</v>
      </c>
      <c r="S42" s="22">
        <v>0.25</v>
      </c>
      <c r="T42" s="22">
        <v>0.25</v>
      </c>
      <c r="U42" s="18">
        <v>0</v>
      </c>
    </row>
    <row r="43" spans="1:21" x14ac:dyDescent="0.2">
      <c r="A43" s="18" t="s">
        <v>27</v>
      </c>
      <c r="B43" s="18" t="s">
        <v>28</v>
      </c>
      <c r="C43" s="18" t="s">
        <v>29</v>
      </c>
      <c r="D43" s="18" t="s">
        <v>189</v>
      </c>
      <c r="E43" s="18" t="s">
        <v>190</v>
      </c>
      <c r="F43" s="18" t="s">
        <v>191</v>
      </c>
      <c r="G43" s="18" t="s">
        <v>50</v>
      </c>
      <c r="H43" s="18" t="s">
        <v>24</v>
      </c>
      <c r="I43" s="18" t="s">
        <v>41</v>
      </c>
      <c r="J43" s="18" t="s">
        <v>42</v>
      </c>
      <c r="K43" s="22">
        <v>0.5</v>
      </c>
      <c r="L43" s="22" t="s">
        <v>43</v>
      </c>
      <c r="M43" s="18">
        <v>2021</v>
      </c>
      <c r="N43" s="18" t="s">
        <v>30</v>
      </c>
      <c r="O43" s="19">
        <v>50</v>
      </c>
      <c r="P43" s="18" t="s">
        <v>25</v>
      </c>
      <c r="Q43" s="19">
        <v>0</v>
      </c>
      <c r="R43" s="18">
        <v>50</v>
      </c>
      <c r="S43" s="22">
        <v>0.25</v>
      </c>
      <c r="T43" s="22">
        <v>0.25</v>
      </c>
      <c r="U43" s="18">
        <v>0</v>
      </c>
    </row>
    <row r="44" spans="1:21" x14ac:dyDescent="0.2">
      <c r="A44" s="23" t="s">
        <v>27</v>
      </c>
      <c r="B44" s="23" t="s">
        <v>28</v>
      </c>
      <c r="C44" s="23" t="s">
        <v>29</v>
      </c>
      <c r="D44" s="23" t="s">
        <v>196</v>
      </c>
      <c r="E44" s="23" t="s">
        <v>197</v>
      </c>
      <c r="F44" s="23" t="s">
        <v>198</v>
      </c>
      <c r="G44" s="23" t="s">
        <v>49</v>
      </c>
      <c r="H44" s="23" t="s">
        <v>26</v>
      </c>
      <c r="I44" s="23" t="s">
        <v>45</v>
      </c>
      <c r="J44" s="23" t="s">
        <v>46</v>
      </c>
      <c r="K44" s="22">
        <v>1</v>
      </c>
      <c r="L44" s="22" t="s">
        <v>48</v>
      </c>
      <c r="M44" s="18">
        <v>2021</v>
      </c>
      <c r="N44" s="18" t="s">
        <v>30</v>
      </c>
      <c r="O44" s="19">
        <v>50</v>
      </c>
      <c r="P44" s="18" t="s">
        <v>25</v>
      </c>
      <c r="Q44" s="19">
        <v>0</v>
      </c>
      <c r="R44" s="18">
        <v>50</v>
      </c>
      <c r="S44" s="22">
        <v>0.5</v>
      </c>
      <c r="T44" s="22">
        <v>0.5</v>
      </c>
      <c r="U44" s="18">
        <v>0</v>
      </c>
    </row>
    <row r="45" spans="1:21" x14ac:dyDescent="0.2">
      <c r="A45" s="23" t="s">
        <v>27</v>
      </c>
      <c r="B45" s="23" t="s">
        <v>28</v>
      </c>
      <c r="C45" s="23" t="s">
        <v>29</v>
      </c>
      <c r="D45" s="23" t="s">
        <v>199</v>
      </c>
      <c r="E45" s="23" t="s">
        <v>200</v>
      </c>
      <c r="F45" s="23" t="s">
        <v>201</v>
      </c>
      <c r="G45" s="23" t="s">
        <v>202</v>
      </c>
      <c r="H45" s="23" t="s">
        <v>26</v>
      </c>
      <c r="I45" s="23" t="s">
        <v>51</v>
      </c>
      <c r="J45" s="23" t="s">
        <v>31</v>
      </c>
      <c r="K45" s="22">
        <v>1</v>
      </c>
      <c r="L45" s="22" t="s">
        <v>52</v>
      </c>
      <c r="M45" s="18">
        <v>2021</v>
      </c>
      <c r="N45" s="18" t="s">
        <v>30</v>
      </c>
      <c r="O45" s="19">
        <v>20</v>
      </c>
      <c r="P45" s="18" t="s">
        <v>25</v>
      </c>
      <c r="Q45" s="19">
        <v>0</v>
      </c>
      <c r="R45" s="18">
        <v>80</v>
      </c>
      <c r="S45" s="22">
        <v>0.8</v>
      </c>
      <c r="T45" s="22">
        <v>0.2</v>
      </c>
      <c r="U45" s="18">
        <v>0</v>
      </c>
    </row>
    <row r="46" spans="1:21" x14ac:dyDescent="0.2">
      <c r="A46" s="23" t="s">
        <v>27</v>
      </c>
      <c r="B46" s="23" t="s">
        <v>28</v>
      </c>
      <c r="C46" s="23" t="s">
        <v>29</v>
      </c>
      <c r="D46" s="23" t="s">
        <v>203</v>
      </c>
      <c r="E46" s="23" t="s">
        <v>204</v>
      </c>
      <c r="F46" s="23" t="s">
        <v>205</v>
      </c>
      <c r="G46" s="23" t="s">
        <v>202</v>
      </c>
      <c r="H46" s="23" t="s">
        <v>26</v>
      </c>
      <c r="I46" s="23" t="s">
        <v>51</v>
      </c>
      <c r="J46" s="23" t="s">
        <v>31</v>
      </c>
      <c r="K46" s="22">
        <v>1</v>
      </c>
      <c r="L46" s="22" t="s">
        <v>52</v>
      </c>
      <c r="M46" s="18">
        <v>2021</v>
      </c>
      <c r="N46" s="18" t="s">
        <v>30</v>
      </c>
      <c r="O46" s="19">
        <v>20</v>
      </c>
      <c r="P46" s="18" t="s">
        <v>25</v>
      </c>
      <c r="Q46" s="19">
        <v>0</v>
      </c>
      <c r="R46" s="18">
        <v>80</v>
      </c>
      <c r="S46" s="22">
        <v>0.8</v>
      </c>
      <c r="T46" s="22">
        <v>0.2</v>
      </c>
      <c r="U46" s="18">
        <v>0</v>
      </c>
    </row>
    <row r="47" spans="1:21" x14ac:dyDescent="0.2">
      <c r="A47" s="23" t="s">
        <v>27</v>
      </c>
      <c r="B47" s="23" t="s">
        <v>28</v>
      </c>
      <c r="C47" s="23" t="s">
        <v>29</v>
      </c>
      <c r="D47" s="23" t="s">
        <v>192</v>
      </c>
      <c r="E47" s="23" t="s">
        <v>193</v>
      </c>
      <c r="F47" s="23" t="s">
        <v>194</v>
      </c>
      <c r="G47" s="23" t="s">
        <v>53</v>
      </c>
      <c r="H47" s="23" t="s">
        <v>24</v>
      </c>
      <c r="I47" s="23" t="s">
        <v>51</v>
      </c>
      <c r="J47" s="23" t="s">
        <v>31</v>
      </c>
      <c r="K47" s="22">
        <v>0.5</v>
      </c>
      <c r="L47" s="22" t="s">
        <v>52</v>
      </c>
      <c r="M47" s="18">
        <v>2021</v>
      </c>
      <c r="N47" s="18" t="s">
        <v>30</v>
      </c>
      <c r="O47" s="19">
        <v>50</v>
      </c>
      <c r="P47" s="18" t="s">
        <v>25</v>
      </c>
      <c r="Q47" s="19">
        <v>0</v>
      </c>
      <c r="R47" s="18">
        <v>50</v>
      </c>
      <c r="S47" s="22">
        <v>0.25</v>
      </c>
      <c r="T47" s="22">
        <v>0.25</v>
      </c>
      <c r="U47" s="18">
        <v>0</v>
      </c>
    </row>
    <row r="48" spans="1:21" x14ac:dyDescent="0.2">
      <c r="A48" s="23" t="s">
        <v>27</v>
      </c>
      <c r="B48" s="23" t="s">
        <v>28</v>
      </c>
      <c r="C48" s="23" t="s">
        <v>29</v>
      </c>
      <c r="D48" s="23" t="s">
        <v>239</v>
      </c>
      <c r="E48" s="23" t="s">
        <v>240</v>
      </c>
      <c r="F48" s="23" t="s">
        <v>241</v>
      </c>
      <c r="G48" s="23" t="s">
        <v>55</v>
      </c>
      <c r="H48" s="23" t="s">
        <v>24</v>
      </c>
      <c r="I48" s="23" t="s">
        <v>51</v>
      </c>
      <c r="J48" s="23" t="s">
        <v>31</v>
      </c>
      <c r="K48" s="22">
        <v>0.5</v>
      </c>
      <c r="L48" s="22" t="s">
        <v>52</v>
      </c>
      <c r="M48" s="18">
        <v>2021</v>
      </c>
      <c r="N48" s="18" t="s">
        <v>30</v>
      </c>
      <c r="O48" s="19">
        <v>20</v>
      </c>
      <c r="P48" s="18" t="s">
        <v>25</v>
      </c>
      <c r="Q48" s="19">
        <v>0</v>
      </c>
      <c r="R48" s="18">
        <v>80</v>
      </c>
      <c r="S48" s="22">
        <v>0.4</v>
      </c>
      <c r="T48" s="22">
        <v>0.1</v>
      </c>
      <c r="U48" s="18">
        <v>0</v>
      </c>
    </row>
    <row r="49" spans="1:21" x14ac:dyDescent="0.2">
      <c r="A49" s="23" t="s">
        <v>27</v>
      </c>
      <c r="B49" s="23" t="s">
        <v>28</v>
      </c>
      <c r="C49" s="23" t="s">
        <v>29</v>
      </c>
      <c r="D49" s="23" t="s">
        <v>239</v>
      </c>
      <c r="E49" s="23" t="s">
        <v>240</v>
      </c>
      <c r="F49" s="23" t="s">
        <v>241</v>
      </c>
      <c r="G49" s="23" t="s">
        <v>56</v>
      </c>
      <c r="H49" s="23" t="s">
        <v>24</v>
      </c>
      <c r="I49" s="23" t="s">
        <v>51</v>
      </c>
      <c r="J49" s="23" t="s">
        <v>31</v>
      </c>
      <c r="K49" s="22">
        <v>0.5</v>
      </c>
      <c r="L49" s="22" t="s">
        <v>52</v>
      </c>
      <c r="M49" s="18">
        <v>2021</v>
      </c>
      <c r="N49" s="18" t="s">
        <v>30</v>
      </c>
      <c r="O49" s="19">
        <v>20</v>
      </c>
      <c r="P49" s="18" t="s">
        <v>25</v>
      </c>
      <c r="Q49" s="19">
        <v>0</v>
      </c>
      <c r="R49" s="18">
        <v>80</v>
      </c>
      <c r="S49" s="22">
        <v>0.4</v>
      </c>
      <c r="T49" s="22">
        <v>0.1</v>
      </c>
      <c r="U49" s="18">
        <v>0</v>
      </c>
    </row>
    <row r="50" spans="1:21" x14ac:dyDescent="0.2">
      <c r="A50" s="23" t="s">
        <v>27</v>
      </c>
      <c r="B50" s="23" t="s">
        <v>224</v>
      </c>
      <c r="C50" s="23" t="s">
        <v>29</v>
      </c>
      <c r="D50" s="23" t="s">
        <v>225</v>
      </c>
      <c r="E50" s="23" t="s">
        <v>226</v>
      </c>
      <c r="F50" s="23" t="s">
        <v>227</v>
      </c>
      <c r="G50" s="23" t="s">
        <v>60</v>
      </c>
      <c r="H50" s="23" t="s">
        <v>24</v>
      </c>
      <c r="I50" s="23" t="s">
        <v>51</v>
      </c>
      <c r="J50" s="23" t="s">
        <v>31</v>
      </c>
      <c r="K50" s="22">
        <v>0.5</v>
      </c>
      <c r="L50" s="22" t="s">
        <v>52</v>
      </c>
      <c r="M50" s="18">
        <v>2021</v>
      </c>
      <c r="N50" s="18" t="s">
        <v>30</v>
      </c>
      <c r="O50" s="19">
        <v>20</v>
      </c>
      <c r="P50" s="18" t="s">
        <v>25</v>
      </c>
      <c r="Q50" s="19">
        <v>0</v>
      </c>
      <c r="R50" s="18">
        <v>80</v>
      </c>
      <c r="S50" s="22">
        <v>0.4</v>
      </c>
      <c r="T50" s="22">
        <v>0.1</v>
      </c>
      <c r="U50" s="18">
        <v>0</v>
      </c>
    </row>
    <row r="51" spans="1:21" x14ac:dyDescent="0.2">
      <c r="A51" s="23" t="s">
        <v>27</v>
      </c>
      <c r="B51" s="23" t="s">
        <v>224</v>
      </c>
      <c r="C51" s="23" t="s">
        <v>29</v>
      </c>
      <c r="D51" s="23" t="s">
        <v>242</v>
      </c>
      <c r="E51" s="23" t="s">
        <v>243</v>
      </c>
      <c r="F51" s="23" t="s">
        <v>244</v>
      </c>
      <c r="G51" s="23" t="s">
        <v>61</v>
      </c>
      <c r="H51" s="23" t="s">
        <v>26</v>
      </c>
      <c r="I51" s="23" t="s">
        <v>51</v>
      </c>
      <c r="J51" s="23" t="s">
        <v>31</v>
      </c>
      <c r="K51" s="22">
        <v>1</v>
      </c>
      <c r="L51" s="22" t="s">
        <v>52</v>
      </c>
      <c r="M51" s="18">
        <v>2021</v>
      </c>
      <c r="N51" s="18" t="s">
        <v>30</v>
      </c>
      <c r="O51" s="19">
        <v>40</v>
      </c>
      <c r="P51" s="18" t="s">
        <v>25</v>
      </c>
      <c r="Q51" s="19">
        <v>0</v>
      </c>
      <c r="R51" s="18">
        <v>60</v>
      </c>
      <c r="S51" s="26">
        <v>0.6</v>
      </c>
      <c r="T51" s="22">
        <v>0.4</v>
      </c>
      <c r="U51" s="18">
        <v>0</v>
      </c>
    </row>
    <row r="52" spans="1:21" x14ac:dyDescent="0.2">
      <c r="A52" s="23" t="s">
        <v>27</v>
      </c>
      <c r="B52" s="23" t="s">
        <v>224</v>
      </c>
      <c r="C52" s="23" t="s">
        <v>29</v>
      </c>
      <c r="D52" s="23" t="s">
        <v>245</v>
      </c>
      <c r="E52" s="23" t="s">
        <v>246</v>
      </c>
      <c r="F52" s="23" t="s">
        <v>247</v>
      </c>
      <c r="G52" s="23" t="s">
        <v>62</v>
      </c>
      <c r="H52" s="23" t="s">
        <v>24</v>
      </c>
      <c r="I52" s="23" t="s">
        <v>51</v>
      </c>
      <c r="J52" s="23" t="s">
        <v>31</v>
      </c>
      <c r="K52" s="22">
        <v>0.5</v>
      </c>
      <c r="L52" s="22" t="s">
        <v>52</v>
      </c>
      <c r="M52" s="18">
        <v>2021</v>
      </c>
      <c r="N52" s="18" t="s">
        <v>30</v>
      </c>
      <c r="O52" s="19">
        <v>50</v>
      </c>
      <c r="P52" s="18" t="s">
        <v>25</v>
      </c>
      <c r="Q52" s="19">
        <v>0</v>
      </c>
      <c r="R52" s="18">
        <v>50</v>
      </c>
      <c r="S52" s="22">
        <v>0.25</v>
      </c>
      <c r="T52" s="22">
        <v>0.25</v>
      </c>
      <c r="U52" s="18">
        <v>0</v>
      </c>
    </row>
    <row r="53" spans="1:21" x14ac:dyDescent="0.2">
      <c r="A53" s="23" t="s">
        <v>27</v>
      </c>
      <c r="B53" s="23" t="s">
        <v>224</v>
      </c>
      <c r="C53" s="23" t="s">
        <v>29</v>
      </c>
      <c r="D53" s="23" t="s">
        <v>245</v>
      </c>
      <c r="E53" s="23" t="s">
        <v>246</v>
      </c>
      <c r="F53" s="23" t="s">
        <v>247</v>
      </c>
      <c r="G53" s="23" t="s">
        <v>59</v>
      </c>
      <c r="H53" s="23" t="s">
        <v>24</v>
      </c>
      <c r="I53" s="23" t="s">
        <v>51</v>
      </c>
      <c r="J53" s="23" t="s">
        <v>31</v>
      </c>
      <c r="K53" s="22">
        <v>0.5</v>
      </c>
      <c r="L53" s="22" t="s">
        <v>52</v>
      </c>
      <c r="M53" s="18">
        <v>2021</v>
      </c>
      <c r="N53" s="18" t="s">
        <v>30</v>
      </c>
      <c r="O53" s="19">
        <v>50</v>
      </c>
      <c r="P53" s="18" t="s">
        <v>25</v>
      </c>
      <c r="Q53" s="19">
        <v>0</v>
      </c>
      <c r="R53" s="18">
        <v>50</v>
      </c>
      <c r="S53" s="22">
        <v>0.25</v>
      </c>
      <c r="T53" s="22">
        <v>0.25</v>
      </c>
      <c r="U53" s="18">
        <v>0</v>
      </c>
    </row>
    <row r="54" spans="1:21" x14ac:dyDescent="0.2">
      <c r="A54" s="23" t="s">
        <v>27</v>
      </c>
      <c r="B54" s="23" t="s">
        <v>224</v>
      </c>
      <c r="C54" s="23" t="s">
        <v>29</v>
      </c>
      <c r="D54" s="23" t="s">
        <v>248</v>
      </c>
      <c r="E54" s="23" t="s">
        <v>249</v>
      </c>
      <c r="F54" s="23" t="s">
        <v>250</v>
      </c>
      <c r="G54" s="23" t="s">
        <v>251</v>
      </c>
      <c r="H54" s="23" t="s">
        <v>24</v>
      </c>
      <c r="I54" s="23" t="s">
        <v>51</v>
      </c>
      <c r="J54" s="23" t="s">
        <v>31</v>
      </c>
      <c r="K54" s="22">
        <v>0.5</v>
      </c>
      <c r="L54" s="22" t="s">
        <v>52</v>
      </c>
      <c r="M54" s="18">
        <v>2022</v>
      </c>
      <c r="N54" s="18" t="s">
        <v>30</v>
      </c>
      <c r="O54" s="19">
        <v>20</v>
      </c>
      <c r="P54" s="18" t="s">
        <v>25</v>
      </c>
      <c r="Q54" s="19">
        <v>0</v>
      </c>
      <c r="R54" s="18">
        <v>80</v>
      </c>
      <c r="S54" s="26">
        <v>0.4</v>
      </c>
      <c r="T54" s="22">
        <v>0.1</v>
      </c>
      <c r="U54" s="18">
        <v>0</v>
      </c>
    </row>
    <row r="55" spans="1:21" x14ac:dyDescent="0.2">
      <c r="A55" s="23" t="s">
        <v>27</v>
      </c>
      <c r="B55" s="23" t="s">
        <v>224</v>
      </c>
      <c r="C55" s="23" t="s">
        <v>29</v>
      </c>
      <c r="D55" s="23" t="s">
        <v>248</v>
      </c>
      <c r="E55" s="23" t="s">
        <v>249</v>
      </c>
      <c r="F55" s="23" t="s">
        <v>250</v>
      </c>
      <c r="G55" s="23" t="s">
        <v>252</v>
      </c>
      <c r="H55" s="23" t="s">
        <v>24</v>
      </c>
      <c r="I55" s="23" t="s">
        <v>51</v>
      </c>
      <c r="J55" s="23" t="s">
        <v>31</v>
      </c>
      <c r="K55" s="22">
        <v>0.5</v>
      </c>
      <c r="L55" s="22" t="s">
        <v>52</v>
      </c>
      <c r="M55" s="18">
        <v>2022</v>
      </c>
      <c r="N55" s="18" t="s">
        <v>30</v>
      </c>
      <c r="O55" s="19">
        <v>20</v>
      </c>
      <c r="P55" s="18" t="s">
        <v>25</v>
      </c>
      <c r="Q55" s="19">
        <v>0</v>
      </c>
      <c r="R55" s="18">
        <v>80</v>
      </c>
      <c r="S55" s="22">
        <v>0.4</v>
      </c>
      <c r="T55" s="22">
        <v>0.1</v>
      </c>
      <c r="U55" s="18">
        <v>0</v>
      </c>
    </row>
    <row r="56" spans="1:21" x14ac:dyDescent="0.2">
      <c r="A56" s="23" t="s">
        <v>27</v>
      </c>
      <c r="B56" s="23" t="s">
        <v>224</v>
      </c>
      <c r="C56" s="23" t="s">
        <v>29</v>
      </c>
      <c r="D56" s="23" t="s">
        <v>229</v>
      </c>
      <c r="E56" s="23" t="s">
        <v>230</v>
      </c>
      <c r="F56" s="23" t="s">
        <v>231</v>
      </c>
      <c r="G56" s="23" t="s">
        <v>62</v>
      </c>
      <c r="H56" s="23" t="s">
        <v>24</v>
      </c>
      <c r="I56" s="23" t="s">
        <v>51</v>
      </c>
      <c r="J56" s="23" t="s">
        <v>31</v>
      </c>
      <c r="K56" s="22">
        <v>0.33</v>
      </c>
      <c r="L56" s="22" t="s">
        <v>52</v>
      </c>
      <c r="M56" s="18">
        <v>2022</v>
      </c>
      <c r="N56" s="18" t="s">
        <v>30</v>
      </c>
      <c r="O56" s="19">
        <v>50</v>
      </c>
      <c r="P56" s="18" t="s">
        <v>25</v>
      </c>
      <c r="Q56" s="19">
        <v>0</v>
      </c>
      <c r="R56" s="18">
        <v>50</v>
      </c>
      <c r="S56" s="22">
        <v>0.16500000000000001</v>
      </c>
      <c r="T56" s="22">
        <v>0.16500000000000001</v>
      </c>
      <c r="U56" s="18">
        <v>0</v>
      </c>
    </row>
    <row r="57" spans="1:21" x14ac:dyDescent="0.2">
      <c r="A57" s="23" t="s">
        <v>27</v>
      </c>
      <c r="B57" s="23" t="s">
        <v>224</v>
      </c>
      <c r="C57" s="23" t="s">
        <v>29</v>
      </c>
      <c r="D57" s="23" t="s">
        <v>229</v>
      </c>
      <c r="E57" s="23" t="s">
        <v>230</v>
      </c>
      <c r="F57" s="23" t="s">
        <v>231</v>
      </c>
      <c r="G57" s="23" t="s">
        <v>59</v>
      </c>
      <c r="H57" s="23" t="s">
        <v>24</v>
      </c>
      <c r="I57" s="23" t="s">
        <v>51</v>
      </c>
      <c r="J57" s="23" t="s">
        <v>31</v>
      </c>
      <c r="K57" s="22">
        <v>0.33</v>
      </c>
      <c r="L57" s="22" t="s">
        <v>52</v>
      </c>
      <c r="M57" s="18">
        <v>2022</v>
      </c>
      <c r="N57" s="18" t="s">
        <v>30</v>
      </c>
      <c r="O57" s="19">
        <v>50</v>
      </c>
      <c r="P57" s="18" t="s">
        <v>25</v>
      </c>
      <c r="Q57" s="19">
        <v>0</v>
      </c>
      <c r="R57" s="18">
        <v>50</v>
      </c>
      <c r="S57" s="22">
        <v>0.16500000000000001</v>
      </c>
      <c r="T57" s="22">
        <v>0.16500000000000001</v>
      </c>
      <c r="U57" s="18">
        <v>0</v>
      </c>
    </row>
    <row r="58" spans="1:21" x14ac:dyDescent="0.2">
      <c r="A58" s="23" t="s">
        <v>27</v>
      </c>
      <c r="B58" s="23" t="s">
        <v>224</v>
      </c>
      <c r="C58" s="23" t="s">
        <v>29</v>
      </c>
      <c r="D58" s="23" t="s">
        <v>253</v>
      </c>
      <c r="E58" s="23" t="s">
        <v>254</v>
      </c>
      <c r="F58" s="23" t="s">
        <v>255</v>
      </c>
      <c r="G58" s="23" t="s">
        <v>49</v>
      </c>
      <c r="H58" s="23" t="s">
        <v>26</v>
      </c>
      <c r="I58" s="23" t="s">
        <v>45</v>
      </c>
      <c r="J58" s="23" t="s">
        <v>46</v>
      </c>
      <c r="K58" s="22">
        <v>1</v>
      </c>
      <c r="L58" s="22" t="s">
        <v>48</v>
      </c>
      <c r="M58" s="18">
        <v>2022</v>
      </c>
      <c r="N58" s="18" t="s">
        <v>30</v>
      </c>
      <c r="O58" s="19">
        <v>50</v>
      </c>
      <c r="P58" s="18" t="s">
        <v>25</v>
      </c>
      <c r="Q58" s="19">
        <v>0</v>
      </c>
      <c r="R58" s="18">
        <v>50</v>
      </c>
      <c r="S58" s="22">
        <v>0.5</v>
      </c>
      <c r="T58" s="22">
        <v>0.5</v>
      </c>
      <c r="U58" s="18">
        <v>0</v>
      </c>
    </row>
    <row r="59" spans="1:21" x14ac:dyDescent="0.2">
      <c r="A59" s="23" t="s">
        <v>27</v>
      </c>
      <c r="B59" s="23" t="s">
        <v>224</v>
      </c>
      <c r="C59" s="23" t="s">
        <v>29</v>
      </c>
      <c r="D59" s="23" t="s">
        <v>256</v>
      </c>
      <c r="E59" s="23" t="s">
        <v>257</v>
      </c>
      <c r="F59" s="23" t="s">
        <v>258</v>
      </c>
      <c r="G59" s="23" t="s">
        <v>54</v>
      </c>
      <c r="H59" s="23" t="s">
        <v>24</v>
      </c>
      <c r="I59" s="23" t="s">
        <v>51</v>
      </c>
      <c r="J59" s="23" t="s">
        <v>31</v>
      </c>
      <c r="K59" s="22">
        <v>0.5</v>
      </c>
      <c r="L59" s="22" t="s">
        <v>52</v>
      </c>
      <c r="M59" s="18">
        <v>2022</v>
      </c>
      <c r="N59" s="18" t="s">
        <v>30</v>
      </c>
      <c r="O59" s="19">
        <v>50</v>
      </c>
      <c r="P59" s="18" t="s">
        <v>25</v>
      </c>
      <c r="Q59" s="19">
        <v>0</v>
      </c>
      <c r="R59" s="18">
        <v>50</v>
      </c>
      <c r="S59" s="22">
        <v>0.25</v>
      </c>
      <c r="T59" s="22">
        <v>0.25</v>
      </c>
      <c r="U59" s="18">
        <v>0</v>
      </c>
    </row>
    <row r="60" spans="1:21" x14ac:dyDescent="0.2">
      <c r="A60" s="18" t="s">
        <v>27</v>
      </c>
      <c r="B60" s="18" t="s">
        <v>224</v>
      </c>
      <c r="C60" s="18" t="s">
        <v>29</v>
      </c>
      <c r="D60" s="18" t="s">
        <v>256</v>
      </c>
      <c r="E60" s="18" t="s">
        <v>257</v>
      </c>
      <c r="F60" s="18" t="s">
        <v>258</v>
      </c>
      <c r="G60" s="18" t="s">
        <v>58</v>
      </c>
      <c r="H60" s="18" t="s">
        <v>24</v>
      </c>
      <c r="I60" s="18" t="s">
        <v>51</v>
      </c>
      <c r="J60" s="18" t="s">
        <v>31</v>
      </c>
      <c r="K60" s="22">
        <v>0.5</v>
      </c>
      <c r="L60" s="22" t="s">
        <v>52</v>
      </c>
      <c r="M60" s="18">
        <v>2022</v>
      </c>
      <c r="N60" s="18" t="s">
        <v>30</v>
      </c>
      <c r="O60" s="19">
        <v>50</v>
      </c>
      <c r="P60" s="18" t="s">
        <v>25</v>
      </c>
      <c r="Q60" s="19">
        <v>0</v>
      </c>
      <c r="R60" s="18">
        <v>50</v>
      </c>
      <c r="S60" s="22">
        <v>0.25</v>
      </c>
      <c r="T60" s="22">
        <v>0.25</v>
      </c>
      <c r="U60" s="18">
        <v>0</v>
      </c>
    </row>
    <row r="61" spans="1:21" x14ac:dyDescent="0.2">
      <c r="A61" s="18" t="s">
        <v>27</v>
      </c>
      <c r="B61" s="18" t="s">
        <v>224</v>
      </c>
      <c r="C61" s="18" t="s">
        <v>29</v>
      </c>
      <c r="D61" s="18" t="s">
        <v>259</v>
      </c>
      <c r="E61" s="18" t="s">
        <v>260</v>
      </c>
      <c r="F61" s="18" t="s">
        <v>261</v>
      </c>
      <c r="G61" s="18" t="s">
        <v>50</v>
      </c>
      <c r="H61" s="18" t="s">
        <v>24</v>
      </c>
      <c r="I61" s="18" t="s">
        <v>41</v>
      </c>
      <c r="J61" s="18" t="s">
        <v>42</v>
      </c>
      <c r="K61" s="22">
        <v>0.5</v>
      </c>
      <c r="L61" s="22" t="s">
        <v>43</v>
      </c>
      <c r="M61" s="18">
        <v>2022</v>
      </c>
      <c r="N61" s="18" t="s">
        <v>30</v>
      </c>
      <c r="O61" s="19">
        <v>50</v>
      </c>
      <c r="P61" s="18" t="s">
        <v>25</v>
      </c>
      <c r="Q61" s="19">
        <v>0</v>
      </c>
      <c r="R61" s="18">
        <v>50</v>
      </c>
      <c r="S61" s="22">
        <v>0.25</v>
      </c>
      <c r="T61" s="22">
        <v>0.25</v>
      </c>
      <c r="U61" s="18">
        <v>0</v>
      </c>
    </row>
    <row r="62" spans="1:21" x14ac:dyDescent="0.2">
      <c r="A62" s="18" t="s">
        <v>27</v>
      </c>
      <c r="B62" s="18" t="s">
        <v>224</v>
      </c>
      <c r="C62" s="18" t="s">
        <v>29</v>
      </c>
      <c r="D62" s="18" t="s">
        <v>259</v>
      </c>
      <c r="E62" s="18" t="s">
        <v>260</v>
      </c>
      <c r="F62" s="18" t="s">
        <v>261</v>
      </c>
      <c r="G62" s="18" t="s">
        <v>53</v>
      </c>
      <c r="H62" s="18" t="s">
        <v>24</v>
      </c>
      <c r="I62" s="18" t="s">
        <v>51</v>
      </c>
      <c r="J62" s="18" t="s">
        <v>31</v>
      </c>
      <c r="K62" s="22">
        <v>0.5</v>
      </c>
      <c r="L62" s="22" t="s">
        <v>52</v>
      </c>
      <c r="M62" s="18">
        <v>2022</v>
      </c>
      <c r="N62" s="18" t="s">
        <v>30</v>
      </c>
      <c r="O62" s="19">
        <v>50</v>
      </c>
      <c r="P62" s="18" t="s">
        <v>25</v>
      </c>
      <c r="Q62" s="19">
        <v>0</v>
      </c>
      <c r="R62" s="18">
        <v>50</v>
      </c>
      <c r="S62" s="22">
        <v>0.25</v>
      </c>
      <c r="T62" s="22">
        <v>0.25</v>
      </c>
      <c r="U62" s="18">
        <v>0</v>
      </c>
    </row>
    <row r="63" spans="1:21" x14ac:dyDescent="0.2">
      <c r="A63" s="18" t="s">
        <v>27</v>
      </c>
      <c r="B63" s="18" t="s">
        <v>224</v>
      </c>
      <c r="C63" s="18" t="s">
        <v>29</v>
      </c>
      <c r="D63" s="18" t="s">
        <v>232</v>
      </c>
      <c r="E63" s="18" t="s">
        <v>233</v>
      </c>
      <c r="F63" s="18" t="s">
        <v>234</v>
      </c>
      <c r="G63" s="18" t="s">
        <v>50</v>
      </c>
      <c r="H63" s="18" t="s">
        <v>24</v>
      </c>
      <c r="I63" s="18" t="s">
        <v>41</v>
      </c>
      <c r="J63" s="18" t="s">
        <v>42</v>
      </c>
      <c r="K63" s="22">
        <v>0.5</v>
      </c>
      <c r="L63" s="22" t="s">
        <v>43</v>
      </c>
      <c r="M63" s="18">
        <v>2022</v>
      </c>
      <c r="N63" s="18" t="s">
        <v>30</v>
      </c>
      <c r="O63" s="19">
        <v>50</v>
      </c>
      <c r="P63" s="18" t="s">
        <v>25</v>
      </c>
      <c r="Q63" s="19">
        <v>0</v>
      </c>
      <c r="R63" s="18">
        <v>50</v>
      </c>
      <c r="S63" s="22">
        <v>0.25</v>
      </c>
      <c r="T63" s="22">
        <v>0.25</v>
      </c>
      <c r="U63" s="18">
        <v>0</v>
      </c>
    </row>
    <row r="64" spans="1:21" x14ac:dyDescent="0.2">
      <c r="A64" s="18" t="s">
        <v>27</v>
      </c>
      <c r="B64" s="18" t="s">
        <v>224</v>
      </c>
      <c r="C64" s="18" t="s">
        <v>29</v>
      </c>
      <c r="D64" s="18" t="s">
        <v>236</v>
      </c>
      <c r="E64" s="18" t="s">
        <v>237</v>
      </c>
      <c r="F64" s="18" t="s">
        <v>238</v>
      </c>
      <c r="G64" s="18" t="s">
        <v>50</v>
      </c>
      <c r="H64" s="18" t="s">
        <v>24</v>
      </c>
      <c r="I64" s="18" t="s">
        <v>41</v>
      </c>
      <c r="J64" s="18" t="s">
        <v>42</v>
      </c>
      <c r="K64" s="18">
        <v>0.5</v>
      </c>
      <c r="L64" s="18" t="s">
        <v>43</v>
      </c>
      <c r="M64" s="19">
        <v>2022</v>
      </c>
      <c r="N64" s="18" t="s">
        <v>30</v>
      </c>
      <c r="O64" s="19">
        <v>50</v>
      </c>
      <c r="P64" s="18" t="s">
        <v>25</v>
      </c>
      <c r="Q64" s="19">
        <v>0</v>
      </c>
      <c r="R64" s="18">
        <v>50</v>
      </c>
      <c r="S64" s="18">
        <v>0.25</v>
      </c>
      <c r="T64" s="18">
        <v>0.25</v>
      </c>
      <c r="U64" s="18">
        <v>0</v>
      </c>
    </row>
    <row r="65" spans="1:22" x14ac:dyDescent="0.2">
      <c r="A65" s="18" t="s">
        <v>27</v>
      </c>
      <c r="B65" s="18" t="s">
        <v>224</v>
      </c>
      <c r="C65" s="18" t="s">
        <v>29</v>
      </c>
      <c r="D65" s="18" t="s">
        <v>263</v>
      </c>
      <c r="E65" s="18" t="s">
        <v>264</v>
      </c>
      <c r="F65" s="18" t="s">
        <v>265</v>
      </c>
      <c r="G65" s="18" t="s">
        <v>266</v>
      </c>
      <c r="H65" s="18" t="s">
        <v>24</v>
      </c>
      <c r="I65" s="18" t="s">
        <v>51</v>
      </c>
      <c r="J65" s="18" t="s">
        <v>31</v>
      </c>
      <c r="K65" s="18">
        <v>0.5</v>
      </c>
      <c r="L65" s="18" t="s">
        <v>52</v>
      </c>
      <c r="M65" s="19">
        <v>2022</v>
      </c>
      <c r="N65" s="18" t="s">
        <v>30</v>
      </c>
      <c r="O65" s="19">
        <v>20</v>
      </c>
      <c r="P65" s="18" t="s">
        <v>25</v>
      </c>
      <c r="Q65" s="19">
        <v>0</v>
      </c>
      <c r="R65" s="18">
        <v>80</v>
      </c>
      <c r="S65" s="18">
        <v>0.4</v>
      </c>
      <c r="T65" s="18">
        <v>0.1</v>
      </c>
      <c r="U65" s="18">
        <v>0</v>
      </c>
    </row>
    <row r="66" spans="1:22" x14ac:dyDescent="0.2">
      <c r="A66" s="18" t="s">
        <v>27</v>
      </c>
      <c r="B66" s="18" t="s">
        <v>224</v>
      </c>
      <c r="C66" s="18" t="s">
        <v>29</v>
      </c>
      <c r="D66" s="18" t="s">
        <v>263</v>
      </c>
      <c r="E66" s="18" t="s">
        <v>264</v>
      </c>
      <c r="F66" s="18" t="s">
        <v>265</v>
      </c>
      <c r="G66" s="18" t="s">
        <v>60</v>
      </c>
      <c r="H66" s="18" t="s">
        <v>24</v>
      </c>
      <c r="I66" s="18" t="s">
        <v>51</v>
      </c>
      <c r="J66" s="18" t="s">
        <v>31</v>
      </c>
      <c r="K66" s="18">
        <v>0.5</v>
      </c>
      <c r="L66" s="18" t="s">
        <v>52</v>
      </c>
      <c r="M66" s="19">
        <v>2022</v>
      </c>
      <c r="N66" s="18" t="s">
        <v>30</v>
      </c>
      <c r="O66" s="19">
        <v>20</v>
      </c>
      <c r="P66" s="18" t="s">
        <v>25</v>
      </c>
      <c r="Q66" s="19">
        <v>0</v>
      </c>
      <c r="R66" s="18">
        <v>80</v>
      </c>
      <c r="S66" s="18">
        <v>0.4</v>
      </c>
      <c r="T66" s="18">
        <v>0.1</v>
      </c>
      <c r="U66" s="18">
        <v>0</v>
      </c>
    </row>
    <row r="67" spans="1:22" x14ac:dyDescent="0.2">
      <c r="A67" s="36" t="s">
        <v>348</v>
      </c>
      <c r="B67" s="36" t="s">
        <v>349</v>
      </c>
      <c r="C67" s="36" t="s">
        <v>350</v>
      </c>
      <c r="D67" s="36" t="s">
        <v>351</v>
      </c>
      <c r="E67" s="36" t="s">
        <v>352</v>
      </c>
      <c r="F67" s="36" t="s">
        <v>353</v>
      </c>
      <c r="G67" s="36" t="s">
        <v>354</v>
      </c>
      <c r="H67" s="36" t="s">
        <v>355</v>
      </c>
      <c r="I67" s="37" t="s">
        <v>348</v>
      </c>
      <c r="J67" s="36" t="s">
        <v>349</v>
      </c>
      <c r="K67" s="38">
        <v>0.5</v>
      </c>
      <c r="L67" s="38" t="s">
        <v>30</v>
      </c>
      <c r="M67" s="38">
        <v>2023</v>
      </c>
      <c r="N67" s="38" t="s">
        <v>25</v>
      </c>
      <c r="O67" s="38" t="s">
        <v>25</v>
      </c>
      <c r="P67" s="38" t="s">
        <v>25</v>
      </c>
      <c r="Q67" s="38" t="s">
        <v>25</v>
      </c>
      <c r="R67" s="38">
        <v>100</v>
      </c>
      <c r="S67" s="38">
        <v>0.5</v>
      </c>
      <c r="T67" s="38">
        <v>0</v>
      </c>
      <c r="U67" s="38">
        <v>0</v>
      </c>
      <c r="V67" s="39"/>
    </row>
    <row r="68" spans="1:22" x14ac:dyDescent="0.2">
      <c r="A68" s="18" t="s">
        <v>48</v>
      </c>
      <c r="B68" s="18" t="s">
        <v>356</v>
      </c>
      <c r="C68" s="18" t="s">
        <v>357</v>
      </c>
      <c r="D68" s="18" t="s">
        <v>358</v>
      </c>
      <c r="E68" s="18" t="s">
        <v>359</v>
      </c>
      <c r="F68" s="18" t="s">
        <v>360</v>
      </c>
      <c r="G68" s="18" t="s">
        <v>105</v>
      </c>
      <c r="H68" s="18" t="s">
        <v>355</v>
      </c>
      <c r="I68" s="18" t="s">
        <v>48</v>
      </c>
      <c r="J68" s="18" t="s">
        <v>356</v>
      </c>
      <c r="K68" s="18">
        <v>0.5</v>
      </c>
      <c r="L68" s="18" t="s">
        <v>48</v>
      </c>
      <c r="M68" s="18">
        <v>2023</v>
      </c>
      <c r="N68" s="18" t="s">
        <v>30</v>
      </c>
      <c r="O68" s="18" t="s">
        <v>36</v>
      </c>
      <c r="P68" s="18" t="s">
        <v>25</v>
      </c>
      <c r="Q68" s="18" t="s">
        <v>25</v>
      </c>
      <c r="R68" s="18">
        <v>90</v>
      </c>
      <c r="S68" s="18">
        <v>0.45</v>
      </c>
      <c r="T68" s="18">
        <v>0.05</v>
      </c>
      <c r="U68" s="18">
        <v>0</v>
      </c>
      <c r="V68" s="39"/>
    </row>
    <row r="69" spans="1:22" x14ac:dyDescent="0.2">
      <c r="A69" s="18" t="s">
        <v>48</v>
      </c>
      <c r="B69" s="18" t="s">
        <v>356</v>
      </c>
      <c r="C69" s="18" t="s">
        <v>357</v>
      </c>
      <c r="D69" s="18" t="s">
        <v>358</v>
      </c>
      <c r="E69" s="18" t="s">
        <v>359</v>
      </c>
      <c r="F69" s="18" t="s">
        <v>360</v>
      </c>
      <c r="G69" s="18" t="s">
        <v>208</v>
      </c>
      <c r="H69" s="18" t="s">
        <v>355</v>
      </c>
      <c r="I69" s="18" t="s">
        <v>48</v>
      </c>
      <c r="J69" s="18" t="s">
        <v>356</v>
      </c>
      <c r="K69" s="18">
        <v>0.5</v>
      </c>
      <c r="L69" s="18" t="s">
        <v>48</v>
      </c>
      <c r="M69" s="18">
        <v>2023</v>
      </c>
      <c r="N69" s="18" t="s">
        <v>30</v>
      </c>
      <c r="O69" s="18" t="s">
        <v>32</v>
      </c>
      <c r="P69" s="18" t="s">
        <v>25</v>
      </c>
      <c r="Q69" s="18" t="s">
        <v>25</v>
      </c>
      <c r="R69" s="18">
        <v>50</v>
      </c>
      <c r="S69" s="18">
        <v>0.25</v>
      </c>
      <c r="T69" s="18">
        <v>0.25</v>
      </c>
      <c r="U69" s="18">
        <v>0</v>
      </c>
      <c r="V69" s="39"/>
    </row>
    <row r="70" spans="1:22" x14ac:dyDescent="0.2">
      <c r="A70" s="18" t="s">
        <v>361</v>
      </c>
      <c r="B70" s="18" t="s">
        <v>362</v>
      </c>
      <c r="C70" s="18" t="s">
        <v>363</v>
      </c>
      <c r="D70" s="18" t="s">
        <v>364</v>
      </c>
      <c r="E70" s="18" t="s">
        <v>365</v>
      </c>
      <c r="F70" s="18" t="s">
        <v>366</v>
      </c>
      <c r="G70" s="18" t="s">
        <v>100</v>
      </c>
      <c r="H70" s="18" t="s">
        <v>355</v>
      </c>
      <c r="I70" s="18" t="s">
        <v>52</v>
      </c>
      <c r="J70" s="18" t="s">
        <v>367</v>
      </c>
      <c r="K70" s="18">
        <v>0.5</v>
      </c>
      <c r="L70" s="18" t="s">
        <v>52</v>
      </c>
      <c r="M70" s="18">
        <v>2023</v>
      </c>
      <c r="N70" s="18" t="s">
        <v>30</v>
      </c>
      <c r="O70" s="18" t="s">
        <v>33</v>
      </c>
      <c r="P70" s="18" t="s">
        <v>25</v>
      </c>
      <c r="Q70" s="18" t="s">
        <v>25</v>
      </c>
      <c r="R70" s="18">
        <v>80</v>
      </c>
      <c r="S70" s="18">
        <v>0.4</v>
      </c>
      <c r="T70" s="18">
        <v>0.1</v>
      </c>
      <c r="U70" s="18">
        <v>0</v>
      </c>
      <c r="V70" s="39"/>
    </row>
    <row r="71" spans="1:22" x14ac:dyDescent="0.2">
      <c r="A71" s="18" t="s">
        <v>361</v>
      </c>
      <c r="B71" s="18" t="s">
        <v>362</v>
      </c>
      <c r="C71" s="18" t="s">
        <v>363</v>
      </c>
      <c r="D71" s="18" t="s">
        <v>364</v>
      </c>
      <c r="E71" s="18" t="s">
        <v>365</v>
      </c>
      <c r="F71" s="18" t="s">
        <v>366</v>
      </c>
      <c r="G71" s="18" t="s">
        <v>103</v>
      </c>
      <c r="H71" s="18" t="s">
        <v>355</v>
      </c>
      <c r="I71" s="18" t="s">
        <v>52</v>
      </c>
      <c r="J71" s="18" t="s">
        <v>367</v>
      </c>
      <c r="K71" s="18">
        <v>0.5</v>
      </c>
      <c r="L71" s="18" t="s">
        <v>52</v>
      </c>
      <c r="M71" s="18">
        <v>2023</v>
      </c>
      <c r="N71" s="18" t="s">
        <v>30</v>
      </c>
      <c r="O71" s="18" t="s">
        <v>33</v>
      </c>
      <c r="P71" s="18" t="s">
        <v>25</v>
      </c>
      <c r="Q71" s="18" t="s">
        <v>25</v>
      </c>
      <c r="R71" s="18">
        <v>80</v>
      </c>
      <c r="S71" s="18">
        <v>0.4</v>
      </c>
      <c r="T71" s="18">
        <v>0.1</v>
      </c>
      <c r="U71" s="18">
        <v>0</v>
      </c>
      <c r="V71" s="39"/>
    </row>
    <row r="72" spans="1:22" x14ac:dyDescent="0.2">
      <c r="A72" s="18" t="s">
        <v>348</v>
      </c>
      <c r="B72" s="18" t="s">
        <v>349</v>
      </c>
      <c r="C72" s="18" t="s">
        <v>350</v>
      </c>
      <c r="D72" s="18" t="s">
        <v>368</v>
      </c>
      <c r="E72" s="18" t="s">
        <v>369</v>
      </c>
      <c r="F72" s="18" t="s">
        <v>370</v>
      </c>
      <c r="G72" s="18" t="s">
        <v>98</v>
      </c>
      <c r="H72" s="18" t="s">
        <v>355</v>
      </c>
      <c r="I72" s="18" t="s">
        <v>43</v>
      </c>
      <c r="J72" s="18" t="s">
        <v>371</v>
      </c>
      <c r="K72" s="18">
        <v>0.5</v>
      </c>
      <c r="L72" s="18" t="s">
        <v>43</v>
      </c>
      <c r="M72" s="18">
        <v>2023</v>
      </c>
      <c r="N72" s="18" t="s">
        <v>30</v>
      </c>
      <c r="O72" s="18" t="s">
        <v>32</v>
      </c>
      <c r="P72" s="18" t="s">
        <v>25</v>
      </c>
      <c r="Q72" s="18" t="s">
        <v>25</v>
      </c>
      <c r="R72" s="18">
        <v>50</v>
      </c>
      <c r="S72" s="18">
        <v>0.25</v>
      </c>
      <c r="T72" s="18">
        <v>0.25</v>
      </c>
      <c r="U72" s="18">
        <v>0</v>
      </c>
      <c r="V72" s="39"/>
    </row>
    <row r="73" spans="1:22" x14ac:dyDescent="0.2">
      <c r="A73" s="18" t="s">
        <v>348</v>
      </c>
      <c r="B73" s="18" t="s">
        <v>349</v>
      </c>
      <c r="C73" s="18" t="s">
        <v>350</v>
      </c>
      <c r="D73" s="18" t="s">
        <v>368</v>
      </c>
      <c r="E73" s="18" t="s">
        <v>369</v>
      </c>
      <c r="F73" s="18" t="s">
        <v>370</v>
      </c>
      <c r="G73" s="18" t="s">
        <v>87</v>
      </c>
      <c r="H73" s="18" t="s">
        <v>355</v>
      </c>
      <c r="I73" s="18" t="s">
        <v>52</v>
      </c>
      <c r="J73" s="18" t="s">
        <v>367</v>
      </c>
      <c r="K73" s="18">
        <v>0.5</v>
      </c>
      <c r="L73" s="18" t="s">
        <v>52</v>
      </c>
      <c r="M73" s="18">
        <v>2023</v>
      </c>
      <c r="N73" s="18" t="s">
        <v>30</v>
      </c>
      <c r="O73" s="18" t="s">
        <v>32</v>
      </c>
      <c r="P73" s="18" t="s">
        <v>25</v>
      </c>
      <c r="Q73" s="18" t="s">
        <v>25</v>
      </c>
      <c r="R73" s="18">
        <v>50</v>
      </c>
      <c r="S73" s="18">
        <v>0.25</v>
      </c>
      <c r="T73" s="18">
        <v>0.25</v>
      </c>
      <c r="U73" s="18">
        <v>0</v>
      </c>
      <c r="V73" s="39"/>
    </row>
    <row r="74" spans="1:22" x14ac:dyDescent="0.2">
      <c r="A74" s="18" t="s">
        <v>348</v>
      </c>
      <c r="B74" s="18" t="s">
        <v>349</v>
      </c>
      <c r="C74" s="18" t="s">
        <v>350</v>
      </c>
      <c r="D74" s="18" t="s">
        <v>372</v>
      </c>
      <c r="E74" s="18" t="s">
        <v>373</v>
      </c>
      <c r="F74" s="18" t="s">
        <v>374</v>
      </c>
      <c r="G74" s="18" t="s">
        <v>96</v>
      </c>
      <c r="H74" s="18" t="s">
        <v>375</v>
      </c>
      <c r="I74" s="18" t="s">
        <v>52</v>
      </c>
      <c r="J74" s="18" t="s">
        <v>367</v>
      </c>
      <c r="K74" s="18">
        <v>1</v>
      </c>
      <c r="L74" s="18" t="s">
        <v>52</v>
      </c>
      <c r="M74" s="18">
        <v>2023</v>
      </c>
      <c r="N74" s="18" t="s">
        <v>30</v>
      </c>
      <c r="O74" s="18" t="s">
        <v>33</v>
      </c>
      <c r="P74" s="18" t="s">
        <v>25</v>
      </c>
      <c r="Q74" s="18" t="s">
        <v>25</v>
      </c>
      <c r="R74" s="18">
        <v>80</v>
      </c>
      <c r="S74" s="18">
        <v>0.8</v>
      </c>
      <c r="T74" s="18">
        <v>0.2</v>
      </c>
      <c r="U74" s="18">
        <v>0</v>
      </c>
      <c r="V74" s="39"/>
    </row>
    <row r="75" spans="1:22" x14ac:dyDescent="0.2">
      <c r="A75" s="18" t="s">
        <v>348</v>
      </c>
      <c r="B75" s="18" t="s">
        <v>349</v>
      </c>
      <c r="C75" s="18" t="s">
        <v>350</v>
      </c>
      <c r="D75" s="18" t="s">
        <v>351</v>
      </c>
      <c r="E75" s="18" t="s">
        <v>352</v>
      </c>
      <c r="F75" s="18" t="s">
        <v>353</v>
      </c>
      <c r="G75" s="18" t="s">
        <v>97</v>
      </c>
      <c r="H75" s="18" t="s">
        <v>355</v>
      </c>
      <c r="I75" s="18" t="s">
        <v>43</v>
      </c>
      <c r="J75" s="18" t="s">
        <v>371</v>
      </c>
      <c r="K75" s="18">
        <v>0.5</v>
      </c>
      <c r="L75" s="18" t="s">
        <v>43</v>
      </c>
      <c r="M75" s="18">
        <v>2023</v>
      </c>
      <c r="N75" s="18" t="s">
        <v>30</v>
      </c>
      <c r="O75" s="18" t="s">
        <v>33</v>
      </c>
      <c r="P75" s="18" t="s">
        <v>25</v>
      </c>
      <c r="Q75" s="18" t="s">
        <v>25</v>
      </c>
      <c r="R75" s="18">
        <v>80</v>
      </c>
      <c r="S75" s="18">
        <v>0.4</v>
      </c>
      <c r="T75" s="18">
        <v>0.1</v>
      </c>
      <c r="U75" s="18">
        <v>0</v>
      </c>
      <c r="V75" s="39"/>
    </row>
    <row r="76" spans="1:22" x14ac:dyDescent="0.2">
      <c r="A76" s="18" t="s">
        <v>348</v>
      </c>
      <c r="B76" s="18" t="s">
        <v>349</v>
      </c>
      <c r="C76" s="18" t="s">
        <v>350</v>
      </c>
      <c r="D76" s="18" t="s">
        <v>376</v>
      </c>
      <c r="E76" s="18" t="s">
        <v>377</v>
      </c>
      <c r="F76" s="18" t="s">
        <v>378</v>
      </c>
      <c r="G76" s="18" t="s">
        <v>92</v>
      </c>
      <c r="H76" s="18" t="s">
        <v>375</v>
      </c>
      <c r="I76" s="18" t="s">
        <v>52</v>
      </c>
      <c r="J76" s="18" t="s">
        <v>367</v>
      </c>
      <c r="K76" s="18">
        <v>1</v>
      </c>
      <c r="L76" s="18" t="s">
        <v>52</v>
      </c>
      <c r="M76" s="18">
        <v>2023</v>
      </c>
      <c r="N76" s="18" t="s">
        <v>30</v>
      </c>
      <c r="O76" s="18" t="s">
        <v>40</v>
      </c>
      <c r="P76" s="18" t="s">
        <v>25</v>
      </c>
      <c r="Q76" s="18" t="s">
        <v>25</v>
      </c>
      <c r="R76" s="18">
        <v>60</v>
      </c>
      <c r="S76" s="18">
        <v>0.6</v>
      </c>
      <c r="T76" s="18">
        <v>0.4</v>
      </c>
      <c r="U76" s="18">
        <v>0</v>
      </c>
    </row>
    <row r="77" spans="1:22" x14ac:dyDescent="0.2">
      <c r="A77" s="18" t="s">
        <v>348</v>
      </c>
      <c r="B77" s="18" t="s">
        <v>349</v>
      </c>
      <c r="C77" s="18" t="s">
        <v>350</v>
      </c>
      <c r="D77" s="18" t="s">
        <v>379</v>
      </c>
      <c r="E77" s="18" t="s">
        <v>380</v>
      </c>
      <c r="F77" s="18" t="s">
        <v>353</v>
      </c>
      <c r="G77" s="18" t="s">
        <v>90</v>
      </c>
      <c r="H77" s="18" t="s">
        <v>355</v>
      </c>
      <c r="I77" s="18" t="s">
        <v>52</v>
      </c>
      <c r="J77" s="18" t="s">
        <v>367</v>
      </c>
      <c r="K77" s="18">
        <v>0.5</v>
      </c>
      <c r="L77" s="18" t="s">
        <v>52</v>
      </c>
      <c r="M77" s="18">
        <v>2023</v>
      </c>
      <c r="N77" s="18" t="s">
        <v>30</v>
      </c>
      <c r="O77" s="18" t="s">
        <v>40</v>
      </c>
      <c r="P77" s="18" t="s">
        <v>25</v>
      </c>
      <c r="Q77" s="18" t="s">
        <v>25</v>
      </c>
      <c r="R77" s="18">
        <v>60</v>
      </c>
      <c r="S77" s="18">
        <v>0.3</v>
      </c>
      <c r="T77" s="18">
        <v>0.2</v>
      </c>
      <c r="U77" s="18">
        <v>0</v>
      </c>
    </row>
    <row r="78" spans="1:22" x14ac:dyDescent="0.2">
      <c r="A78" s="18" t="s">
        <v>348</v>
      </c>
      <c r="B78" s="18" t="s">
        <v>423</v>
      </c>
      <c r="C78" s="18" t="s">
        <v>350</v>
      </c>
      <c r="D78" s="18" t="s">
        <v>424</v>
      </c>
      <c r="E78" s="18" t="s">
        <v>425</v>
      </c>
      <c r="F78" s="18" t="s">
        <v>426</v>
      </c>
      <c r="G78" s="18" t="s">
        <v>427</v>
      </c>
      <c r="H78" s="18" t="s">
        <v>355</v>
      </c>
      <c r="I78" s="18" t="s">
        <v>348</v>
      </c>
      <c r="J78" s="18" t="s">
        <v>423</v>
      </c>
      <c r="K78" s="18">
        <v>0.33333333333333331</v>
      </c>
      <c r="L78" s="18" t="s">
        <v>30</v>
      </c>
      <c r="M78" s="18">
        <v>2024</v>
      </c>
      <c r="N78" s="18" t="s">
        <v>25</v>
      </c>
      <c r="O78" s="18" t="s">
        <v>25</v>
      </c>
      <c r="P78" s="18" t="s">
        <v>25</v>
      </c>
      <c r="Q78" s="18" t="s">
        <v>25</v>
      </c>
      <c r="R78" s="18">
        <v>100</v>
      </c>
      <c r="S78" s="18">
        <v>0.33333333333333326</v>
      </c>
      <c r="T78" s="18">
        <v>0</v>
      </c>
      <c r="U78" s="18">
        <v>0</v>
      </c>
    </row>
    <row r="79" spans="1:22" x14ac:dyDescent="0.2">
      <c r="A79" s="18" t="s">
        <v>428</v>
      </c>
      <c r="B79" s="18" t="s">
        <v>429</v>
      </c>
      <c r="C79" s="18" t="s">
        <v>350</v>
      </c>
      <c r="D79" s="18" t="s">
        <v>430</v>
      </c>
      <c r="E79" s="18" t="s">
        <v>431</v>
      </c>
      <c r="F79" s="18" t="s">
        <v>432</v>
      </c>
      <c r="G79" s="18" t="s">
        <v>433</v>
      </c>
      <c r="H79" s="18" t="s">
        <v>375</v>
      </c>
      <c r="I79" s="18" t="s">
        <v>348</v>
      </c>
      <c r="J79" s="18" t="s">
        <v>423</v>
      </c>
      <c r="K79" s="18">
        <v>1</v>
      </c>
      <c r="L79" s="18" t="s">
        <v>30</v>
      </c>
      <c r="M79" s="18">
        <v>2024</v>
      </c>
      <c r="N79" s="18" t="s">
        <v>25</v>
      </c>
      <c r="O79" s="18" t="s">
        <v>25</v>
      </c>
      <c r="P79" s="18" t="s">
        <v>25</v>
      </c>
      <c r="Q79" s="18" t="s">
        <v>25</v>
      </c>
      <c r="R79" s="18">
        <v>100</v>
      </c>
      <c r="S79" s="18">
        <v>1</v>
      </c>
      <c r="T79" s="18">
        <v>0</v>
      </c>
      <c r="U79" s="18">
        <v>0</v>
      </c>
    </row>
    <row r="80" spans="1:22" x14ac:dyDescent="0.2">
      <c r="A80" s="18" t="s">
        <v>428</v>
      </c>
      <c r="B80" s="18" t="s">
        <v>429</v>
      </c>
      <c r="C80" s="18" t="s">
        <v>350</v>
      </c>
      <c r="D80" s="18" t="s">
        <v>434</v>
      </c>
      <c r="E80" s="18" t="s">
        <v>435</v>
      </c>
      <c r="F80" s="18" t="s">
        <v>436</v>
      </c>
      <c r="G80" s="18" t="s">
        <v>433</v>
      </c>
      <c r="H80" s="18" t="s">
        <v>355</v>
      </c>
      <c r="I80" s="18" t="s">
        <v>348</v>
      </c>
      <c r="J80" s="18" t="s">
        <v>423</v>
      </c>
      <c r="K80" s="18">
        <v>0.5</v>
      </c>
      <c r="L80" s="18" t="s">
        <v>30</v>
      </c>
      <c r="M80" s="18">
        <v>2024</v>
      </c>
      <c r="N80" s="18" t="s">
        <v>25</v>
      </c>
      <c r="O80" s="18" t="s">
        <v>25</v>
      </c>
      <c r="P80" s="18" t="s">
        <v>25</v>
      </c>
      <c r="Q80" s="18" t="s">
        <v>25</v>
      </c>
      <c r="R80" s="18">
        <v>100</v>
      </c>
      <c r="S80" s="18">
        <v>0.5</v>
      </c>
      <c r="T80" s="18">
        <v>0</v>
      </c>
      <c r="U80" s="18">
        <v>0</v>
      </c>
    </row>
    <row r="81" spans="1:21" x14ac:dyDescent="0.2">
      <c r="A81" s="18" t="s">
        <v>348</v>
      </c>
      <c r="B81" s="18" t="s">
        <v>423</v>
      </c>
      <c r="C81" s="18" t="s">
        <v>350</v>
      </c>
      <c r="D81" s="18" t="s">
        <v>437</v>
      </c>
      <c r="E81" s="18" t="s">
        <v>438</v>
      </c>
      <c r="F81" s="18" t="s">
        <v>439</v>
      </c>
      <c r="G81" s="18" t="s">
        <v>440</v>
      </c>
      <c r="H81" s="18" t="s">
        <v>355</v>
      </c>
      <c r="I81" s="18" t="s">
        <v>52</v>
      </c>
      <c r="J81" s="18" t="s">
        <v>441</v>
      </c>
      <c r="K81" s="18">
        <v>0.5</v>
      </c>
      <c r="L81" s="18" t="s">
        <v>52</v>
      </c>
      <c r="M81" s="18">
        <v>2024</v>
      </c>
      <c r="N81" s="18" t="s">
        <v>30</v>
      </c>
      <c r="O81" s="18" t="s">
        <v>33</v>
      </c>
      <c r="P81" s="18" t="s">
        <v>25</v>
      </c>
      <c r="Q81" s="18" t="s">
        <v>25</v>
      </c>
      <c r="R81" s="18">
        <v>80</v>
      </c>
      <c r="S81" s="18">
        <v>0.4</v>
      </c>
      <c r="T81" s="18">
        <v>0.1</v>
      </c>
      <c r="U81" s="18">
        <v>0</v>
      </c>
    </row>
    <row r="82" spans="1:21" x14ac:dyDescent="0.2">
      <c r="A82" s="18" t="s">
        <v>348</v>
      </c>
      <c r="B82" s="18" t="s">
        <v>423</v>
      </c>
      <c r="C82" s="18" t="s">
        <v>350</v>
      </c>
      <c r="D82" s="18" t="s">
        <v>437</v>
      </c>
      <c r="E82" s="18" t="s">
        <v>438</v>
      </c>
      <c r="F82" s="18" t="s">
        <v>439</v>
      </c>
      <c r="G82" s="18" t="s">
        <v>99</v>
      </c>
      <c r="H82" s="18" t="s">
        <v>355</v>
      </c>
      <c r="I82" s="18" t="s">
        <v>52</v>
      </c>
      <c r="J82" s="18" t="s">
        <v>441</v>
      </c>
      <c r="K82" s="18">
        <v>0.5</v>
      </c>
      <c r="L82" s="18" t="s">
        <v>52</v>
      </c>
      <c r="M82" s="18">
        <v>2024</v>
      </c>
      <c r="N82" s="18" t="s">
        <v>30</v>
      </c>
      <c r="O82" s="18" t="s">
        <v>33</v>
      </c>
      <c r="P82" s="18" t="s">
        <v>25</v>
      </c>
      <c r="Q82" s="18" t="s">
        <v>25</v>
      </c>
      <c r="R82" s="18">
        <v>80</v>
      </c>
      <c r="S82" s="18">
        <v>0.4</v>
      </c>
      <c r="T82" s="18">
        <v>0.1</v>
      </c>
      <c r="U82" s="18">
        <v>0</v>
      </c>
    </row>
    <row r="83" spans="1:21" x14ac:dyDescent="0.2">
      <c r="A83" s="18" t="s">
        <v>348</v>
      </c>
      <c r="B83" s="18" t="s">
        <v>423</v>
      </c>
      <c r="C83" s="18" t="s">
        <v>350</v>
      </c>
      <c r="D83" s="18" t="s">
        <v>442</v>
      </c>
      <c r="E83" s="18" t="s">
        <v>443</v>
      </c>
      <c r="F83" s="18" t="s">
        <v>444</v>
      </c>
      <c r="G83" s="18" t="s">
        <v>98</v>
      </c>
      <c r="H83" s="18" t="s">
        <v>355</v>
      </c>
      <c r="I83" s="18" t="s">
        <v>43</v>
      </c>
      <c r="J83" s="18" t="s">
        <v>445</v>
      </c>
      <c r="K83" s="18">
        <v>0.5</v>
      </c>
      <c r="L83" s="18" t="s">
        <v>43</v>
      </c>
      <c r="M83" s="18">
        <v>2024</v>
      </c>
      <c r="N83" s="18" t="s">
        <v>30</v>
      </c>
      <c r="O83" s="18" t="s">
        <v>32</v>
      </c>
      <c r="P83" s="18" t="s">
        <v>25</v>
      </c>
      <c r="Q83" s="18" t="s">
        <v>25</v>
      </c>
      <c r="R83" s="18">
        <v>50</v>
      </c>
      <c r="S83" s="18">
        <v>0.25</v>
      </c>
      <c r="T83" s="18">
        <v>0.25</v>
      </c>
      <c r="U83" s="18">
        <v>0</v>
      </c>
    </row>
    <row r="84" spans="1:21" x14ac:dyDescent="0.2">
      <c r="A84" s="18" t="s">
        <v>348</v>
      </c>
      <c r="B84" s="18" t="s">
        <v>423</v>
      </c>
      <c r="C84" s="18" t="s">
        <v>350</v>
      </c>
      <c r="D84" s="18" t="s">
        <v>442</v>
      </c>
      <c r="E84" s="18" t="s">
        <v>443</v>
      </c>
      <c r="F84" s="18" t="s">
        <v>444</v>
      </c>
      <c r="G84" s="18" t="s">
        <v>87</v>
      </c>
      <c r="H84" s="18" t="s">
        <v>355</v>
      </c>
      <c r="I84" s="18" t="s">
        <v>52</v>
      </c>
      <c r="J84" s="18" t="s">
        <v>441</v>
      </c>
      <c r="K84" s="18">
        <v>0.5</v>
      </c>
      <c r="L84" s="18" t="s">
        <v>52</v>
      </c>
      <c r="M84" s="18">
        <v>2024</v>
      </c>
      <c r="N84" s="18" t="s">
        <v>30</v>
      </c>
      <c r="O84" s="18" t="s">
        <v>32</v>
      </c>
      <c r="P84" s="18" t="s">
        <v>25</v>
      </c>
      <c r="Q84" s="18" t="s">
        <v>25</v>
      </c>
      <c r="R84" s="18">
        <v>50</v>
      </c>
      <c r="S84" s="18">
        <v>0.25</v>
      </c>
      <c r="T84" s="18">
        <v>0.25</v>
      </c>
      <c r="U84" s="18">
        <v>0</v>
      </c>
    </row>
    <row r="85" spans="1:21" x14ac:dyDescent="0.2">
      <c r="A85" s="18" t="s">
        <v>348</v>
      </c>
      <c r="B85" s="18" t="s">
        <v>423</v>
      </c>
      <c r="C85" s="18" t="s">
        <v>350</v>
      </c>
      <c r="D85" s="18" t="s">
        <v>446</v>
      </c>
      <c r="E85" s="18" t="s">
        <v>447</v>
      </c>
      <c r="F85" s="18" t="s">
        <v>448</v>
      </c>
      <c r="G85" s="18" t="s">
        <v>98</v>
      </c>
      <c r="H85" s="18" t="s">
        <v>355</v>
      </c>
      <c r="I85" s="18" t="s">
        <v>43</v>
      </c>
      <c r="J85" s="18" t="s">
        <v>445</v>
      </c>
      <c r="K85" s="18">
        <v>0.5</v>
      </c>
      <c r="L85" s="18" t="s">
        <v>43</v>
      </c>
      <c r="M85" s="18">
        <v>2024</v>
      </c>
      <c r="N85" s="18" t="s">
        <v>30</v>
      </c>
      <c r="O85" s="18" t="s">
        <v>32</v>
      </c>
      <c r="P85" s="18" t="s">
        <v>25</v>
      </c>
      <c r="Q85" s="18" t="s">
        <v>25</v>
      </c>
      <c r="R85" s="18">
        <v>50</v>
      </c>
      <c r="S85" s="18">
        <v>0.25</v>
      </c>
      <c r="T85" s="18">
        <v>0.25</v>
      </c>
      <c r="U85" s="18">
        <v>0</v>
      </c>
    </row>
    <row r="86" spans="1:21" x14ac:dyDescent="0.2">
      <c r="A86" s="18" t="s">
        <v>348</v>
      </c>
      <c r="B86" s="18" t="s">
        <v>423</v>
      </c>
      <c r="C86" s="18" t="s">
        <v>350</v>
      </c>
      <c r="D86" s="18" t="s">
        <v>446</v>
      </c>
      <c r="E86" s="18" t="s">
        <v>447</v>
      </c>
      <c r="F86" s="18" t="s">
        <v>448</v>
      </c>
      <c r="G86" s="18" t="s">
        <v>87</v>
      </c>
      <c r="H86" s="18" t="s">
        <v>355</v>
      </c>
      <c r="I86" s="18" t="s">
        <v>52</v>
      </c>
      <c r="J86" s="18" t="s">
        <v>441</v>
      </c>
      <c r="K86" s="18">
        <v>0.5</v>
      </c>
      <c r="L86" s="18" t="s">
        <v>52</v>
      </c>
      <c r="M86" s="18">
        <v>2024</v>
      </c>
      <c r="N86" s="18" t="s">
        <v>30</v>
      </c>
      <c r="O86" s="18" t="s">
        <v>32</v>
      </c>
      <c r="P86" s="18" t="s">
        <v>25</v>
      </c>
      <c r="Q86" s="18" t="s">
        <v>25</v>
      </c>
      <c r="R86" s="18">
        <v>50</v>
      </c>
      <c r="S86" s="18">
        <v>0.25</v>
      </c>
      <c r="T86" s="18">
        <v>0.25</v>
      </c>
      <c r="U86" s="18">
        <v>0</v>
      </c>
    </row>
    <row r="87" spans="1:21" x14ac:dyDescent="0.2">
      <c r="A87" s="18" t="s">
        <v>348</v>
      </c>
      <c r="B87" s="18" t="s">
        <v>423</v>
      </c>
      <c r="C87" s="18" t="s">
        <v>350</v>
      </c>
      <c r="D87" s="18" t="s">
        <v>449</v>
      </c>
      <c r="E87" s="18" t="s">
        <v>450</v>
      </c>
      <c r="F87" s="18" t="s">
        <v>451</v>
      </c>
      <c r="G87" s="18" t="s">
        <v>104</v>
      </c>
      <c r="H87" s="18" t="s">
        <v>375</v>
      </c>
      <c r="I87" s="18" t="s">
        <v>52</v>
      </c>
      <c r="J87" s="18" t="s">
        <v>441</v>
      </c>
      <c r="K87" s="18">
        <v>1</v>
      </c>
      <c r="L87" s="18" t="s">
        <v>52</v>
      </c>
      <c r="M87" s="18">
        <v>2024</v>
      </c>
      <c r="N87" s="18" t="s">
        <v>30</v>
      </c>
      <c r="O87" s="18" t="s">
        <v>33</v>
      </c>
      <c r="P87" s="18" t="s">
        <v>25</v>
      </c>
      <c r="Q87" s="18" t="s">
        <v>25</v>
      </c>
      <c r="R87" s="18">
        <v>80</v>
      </c>
      <c r="S87" s="18">
        <v>0.8</v>
      </c>
      <c r="T87" s="18">
        <v>0.2</v>
      </c>
      <c r="U87" s="18">
        <v>0</v>
      </c>
    </row>
    <row r="88" spans="1:21" x14ac:dyDescent="0.2">
      <c r="A88" s="18" t="s">
        <v>348</v>
      </c>
      <c r="B88" s="18" t="s">
        <v>423</v>
      </c>
      <c r="C88" s="18" t="s">
        <v>350</v>
      </c>
      <c r="D88" s="18" t="s">
        <v>424</v>
      </c>
      <c r="E88" s="18" t="s">
        <v>425</v>
      </c>
      <c r="F88" s="18" t="s">
        <v>426</v>
      </c>
      <c r="G88" s="18" t="s">
        <v>382</v>
      </c>
      <c r="H88" s="18" t="s">
        <v>355</v>
      </c>
      <c r="I88" s="18" t="s">
        <v>39</v>
      </c>
      <c r="J88" s="18" t="s">
        <v>452</v>
      </c>
      <c r="K88" s="18">
        <v>0.33333333333333331</v>
      </c>
      <c r="L88" s="18" t="s">
        <v>39</v>
      </c>
      <c r="M88" s="18">
        <v>2024</v>
      </c>
      <c r="N88" s="18" t="s">
        <v>30</v>
      </c>
      <c r="O88" s="18" t="s">
        <v>32</v>
      </c>
      <c r="P88" s="18" t="s">
        <v>25</v>
      </c>
      <c r="Q88" s="18" t="s">
        <v>25</v>
      </c>
      <c r="R88" s="18">
        <v>50</v>
      </c>
      <c r="S88" s="18">
        <v>0.16666666666666663</v>
      </c>
      <c r="T88" s="18">
        <v>0.16666666666666663</v>
      </c>
      <c r="U88" s="18">
        <v>0</v>
      </c>
    </row>
    <row r="89" spans="1:21" x14ac:dyDescent="0.2">
      <c r="A89" s="18" t="s">
        <v>348</v>
      </c>
      <c r="B89" s="18" t="s">
        <v>423</v>
      </c>
      <c r="C89" s="18" t="s">
        <v>350</v>
      </c>
      <c r="D89" s="18" t="s">
        <v>424</v>
      </c>
      <c r="E89" s="18" t="s">
        <v>425</v>
      </c>
      <c r="F89" s="18" t="s">
        <v>426</v>
      </c>
      <c r="G89" s="18" t="s">
        <v>85</v>
      </c>
      <c r="H89" s="18" t="s">
        <v>355</v>
      </c>
      <c r="I89" s="18" t="s">
        <v>39</v>
      </c>
      <c r="J89" s="18" t="s">
        <v>452</v>
      </c>
      <c r="K89" s="18">
        <v>0.33333333333333331</v>
      </c>
      <c r="L89" s="18" t="s">
        <v>39</v>
      </c>
      <c r="M89" s="18">
        <v>2024</v>
      </c>
      <c r="N89" s="18" t="s">
        <v>30</v>
      </c>
      <c r="O89" s="18" t="s">
        <v>32</v>
      </c>
      <c r="P89" s="18" t="s">
        <v>25</v>
      </c>
      <c r="Q89" s="18" t="s">
        <v>25</v>
      </c>
      <c r="R89" s="18">
        <v>50</v>
      </c>
      <c r="S89" s="18">
        <v>0.16666666666666663</v>
      </c>
      <c r="T89" s="18">
        <v>0.16666666666666663</v>
      </c>
      <c r="U89" s="18">
        <v>0</v>
      </c>
    </row>
    <row r="90" spans="1:21" x14ac:dyDescent="0.2">
      <c r="A90" s="18" t="s">
        <v>348</v>
      </c>
      <c r="B90" s="18" t="s">
        <v>423</v>
      </c>
      <c r="C90" s="18" t="s">
        <v>350</v>
      </c>
      <c r="D90" s="18" t="s">
        <v>453</v>
      </c>
      <c r="E90" s="18" t="s">
        <v>454</v>
      </c>
      <c r="F90" s="18" t="s">
        <v>455</v>
      </c>
      <c r="G90" s="18" t="s">
        <v>98</v>
      </c>
      <c r="H90" s="18" t="s">
        <v>355</v>
      </c>
      <c r="I90" s="18" t="s">
        <v>43</v>
      </c>
      <c r="J90" s="18" t="s">
        <v>445</v>
      </c>
      <c r="K90" s="18">
        <v>0.5</v>
      </c>
      <c r="L90" s="18" t="s">
        <v>43</v>
      </c>
      <c r="M90" s="18">
        <v>2024</v>
      </c>
      <c r="N90" s="18" t="s">
        <v>30</v>
      </c>
      <c r="O90" s="18" t="s">
        <v>32</v>
      </c>
      <c r="P90" s="18" t="s">
        <v>25</v>
      </c>
      <c r="Q90" s="18" t="s">
        <v>25</v>
      </c>
      <c r="R90" s="18">
        <v>50</v>
      </c>
      <c r="S90" s="18">
        <v>0.25</v>
      </c>
      <c r="T90" s="18">
        <v>0.25</v>
      </c>
      <c r="U90" s="18">
        <v>0</v>
      </c>
    </row>
    <row r="91" spans="1:21" x14ac:dyDescent="0.2">
      <c r="A91" s="18" t="s">
        <v>348</v>
      </c>
      <c r="B91" s="18" t="s">
        <v>423</v>
      </c>
      <c r="C91" s="18" t="s">
        <v>350</v>
      </c>
      <c r="D91" s="18" t="s">
        <v>453</v>
      </c>
      <c r="E91" s="18" t="s">
        <v>454</v>
      </c>
      <c r="F91" s="18" t="s">
        <v>455</v>
      </c>
      <c r="G91" s="18" t="s">
        <v>87</v>
      </c>
      <c r="H91" s="18" t="s">
        <v>355</v>
      </c>
      <c r="I91" s="18" t="s">
        <v>52</v>
      </c>
      <c r="J91" s="18" t="s">
        <v>441</v>
      </c>
      <c r="K91" s="18">
        <v>0.5</v>
      </c>
      <c r="L91" s="18" t="s">
        <v>52</v>
      </c>
      <c r="M91" s="18">
        <v>2024</v>
      </c>
      <c r="N91" s="18" t="s">
        <v>30</v>
      </c>
      <c r="O91" s="18" t="s">
        <v>32</v>
      </c>
      <c r="P91" s="18" t="s">
        <v>25</v>
      </c>
      <c r="Q91" s="18" t="s">
        <v>25</v>
      </c>
      <c r="R91" s="18">
        <v>50</v>
      </c>
      <c r="S91" s="18">
        <v>0.25</v>
      </c>
      <c r="T91" s="18">
        <v>0.25</v>
      </c>
      <c r="U91" s="18">
        <v>0</v>
      </c>
    </row>
    <row r="92" spans="1:21" x14ac:dyDescent="0.2">
      <c r="A92" s="18" t="s">
        <v>348</v>
      </c>
      <c r="B92" s="18" t="s">
        <v>423</v>
      </c>
      <c r="C92" s="18" t="s">
        <v>350</v>
      </c>
      <c r="D92" s="18" t="s">
        <v>456</v>
      </c>
      <c r="E92" s="18" t="s">
        <v>457</v>
      </c>
      <c r="F92" s="18" t="s">
        <v>458</v>
      </c>
      <c r="G92" s="18" t="s">
        <v>440</v>
      </c>
      <c r="H92" s="18" t="s">
        <v>355</v>
      </c>
      <c r="I92" s="18" t="s">
        <v>52</v>
      </c>
      <c r="J92" s="18" t="s">
        <v>441</v>
      </c>
      <c r="K92" s="18">
        <v>0.5</v>
      </c>
      <c r="L92" s="18" t="s">
        <v>52</v>
      </c>
      <c r="M92" s="18">
        <v>2024</v>
      </c>
      <c r="N92" s="18" t="s">
        <v>30</v>
      </c>
      <c r="O92" s="18" t="s">
        <v>33</v>
      </c>
      <c r="P92" s="18" t="s">
        <v>25</v>
      </c>
      <c r="Q92" s="18" t="s">
        <v>25</v>
      </c>
      <c r="R92" s="18">
        <v>80</v>
      </c>
      <c r="S92" s="18">
        <v>0.4</v>
      </c>
      <c r="T92" s="18">
        <v>0.1</v>
      </c>
      <c r="U92" s="18">
        <v>0</v>
      </c>
    </row>
    <row r="93" spans="1:21" x14ac:dyDescent="0.2">
      <c r="A93" s="18" t="s">
        <v>348</v>
      </c>
      <c r="B93" s="18" t="s">
        <v>423</v>
      </c>
      <c r="C93" s="18" t="s">
        <v>350</v>
      </c>
      <c r="D93" s="18" t="s">
        <v>456</v>
      </c>
      <c r="E93" s="18" t="s">
        <v>457</v>
      </c>
      <c r="F93" s="18" t="s">
        <v>458</v>
      </c>
      <c r="G93" s="18" t="s">
        <v>103</v>
      </c>
      <c r="H93" s="18" t="s">
        <v>355</v>
      </c>
      <c r="I93" s="18" t="s">
        <v>52</v>
      </c>
      <c r="J93" s="18" t="s">
        <v>441</v>
      </c>
      <c r="K93" s="18">
        <v>0.5</v>
      </c>
      <c r="L93" s="18" t="s">
        <v>52</v>
      </c>
      <c r="M93" s="18">
        <v>2024</v>
      </c>
      <c r="N93" s="18" t="s">
        <v>30</v>
      </c>
      <c r="O93" s="18" t="s">
        <v>33</v>
      </c>
      <c r="P93" s="18" t="s">
        <v>25</v>
      </c>
      <c r="Q93" s="18" t="s">
        <v>25</v>
      </c>
      <c r="R93" s="18">
        <v>80</v>
      </c>
      <c r="S93" s="18">
        <v>0.4</v>
      </c>
      <c r="T93" s="18">
        <v>0.1</v>
      </c>
      <c r="U93" s="18">
        <v>0</v>
      </c>
    </row>
    <row r="94" spans="1:21" x14ac:dyDescent="0.2">
      <c r="A94" s="18" t="s">
        <v>348</v>
      </c>
      <c r="B94" s="18" t="s">
        <v>423</v>
      </c>
      <c r="C94" s="18" t="s">
        <v>350</v>
      </c>
      <c r="D94" s="18" t="s">
        <v>459</v>
      </c>
      <c r="E94" s="18" t="s">
        <v>460</v>
      </c>
      <c r="F94" s="18" t="s">
        <v>461</v>
      </c>
      <c r="G94" s="18" t="s">
        <v>93</v>
      </c>
      <c r="H94" s="18" t="s">
        <v>355</v>
      </c>
      <c r="I94" s="18" t="s">
        <v>52</v>
      </c>
      <c r="J94" s="18" t="s">
        <v>441</v>
      </c>
      <c r="K94" s="18">
        <v>0.5</v>
      </c>
      <c r="L94" s="18" t="s">
        <v>52</v>
      </c>
      <c r="M94" s="18">
        <v>2024</v>
      </c>
      <c r="N94" s="18" t="s">
        <v>30</v>
      </c>
      <c r="O94" s="18" t="s">
        <v>32</v>
      </c>
      <c r="P94" s="18" t="s">
        <v>25</v>
      </c>
      <c r="Q94" s="18" t="s">
        <v>25</v>
      </c>
      <c r="R94" s="18">
        <v>50</v>
      </c>
      <c r="S94" s="18">
        <v>0.25</v>
      </c>
      <c r="T94" s="18">
        <v>0.25</v>
      </c>
      <c r="U94" s="18">
        <v>0</v>
      </c>
    </row>
    <row r="95" spans="1:21" x14ac:dyDescent="0.2">
      <c r="A95" s="18" t="s">
        <v>348</v>
      </c>
      <c r="B95" s="18" t="s">
        <v>423</v>
      </c>
      <c r="C95" s="18" t="s">
        <v>350</v>
      </c>
      <c r="D95" s="18" t="s">
        <v>459</v>
      </c>
      <c r="E95" s="18" t="s">
        <v>460</v>
      </c>
      <c r="F95" s="18" t="s">
        <v>461</v>
      </c>
      <c r="G95" s="18" t="s">
        <v>101</v>
      </c>
      <c r="H95" s="18" t="s">
        <v>355</v>
      </c>
      <c r="I95" s="18" t="s">
        <v>52</v>
      </c>
      <c r="J95" s="18" t="s">
        <v>441</v>
      </c>
      <c r="K95" s="18">
        <v>0.5</v>
      </c>
      <c r="L95" s="18" t="s">
        <v>52</v>
      </c>
      <c r="M95" s="18">
        <v>2024</v>
      </c>
      <c r="N95" s="18" t="s">
        <v>30</v>
      </c>
      <c r="O95" s="18" t="s">
        <v>32</v>
      </c>
      <c r="P95" s="18" t="s">
        <v>25</v>
      </c>
      <c r="Q95" s="18" t="s">
        <v>25</v>
      </c>
      <c r="R95" s="18">
        <v>50</v>
      </c>
      <c r="S95" s="18">
        <v>0.25</v>
      </c>
      <c r="T95" s="18">
        <v>0.25</v>
      </c>
      <c r="U95" s="18">
        <v>0</v>
      </c>
    </row>
    <row r="96" spans="1:21" x14ac:dyDescent="0.2">
      <c r="A96" s="18" t="s">
        <v>348</v>
      </c>
      <c r="B96" s="18" t="s">
        <v>423</v>
      </c>
      <c r="C96" s="18" t="s">
        <v>350</v>
      </c>
      <c r="D96" s="18" t="s">
        <v>462</v>
      </c>
      <c r="E96" s="18" t="s">
        <v>463</v>
      </c>
      <c r="F96" s="18" t="s">
        <v>464</v>
      </c>
      <c r="G96" s="18" t="s">
        <v>84</v>
      </c>
      <c r="H96" s="18" t="s">
        <v>355</v>
      </c>
      <c r="I96" s="18" t="s">
        <v>52</v>
      </c>
      <c r="J96" s="18" t="s">
        <v>441</v>
      </c>
      <c r="K96" s="18">
        <v>0.5</v>
      </c>
      <c r="L96" s="18" t="s">
        <v>52</v>
      </c>
      <c r="M96" s="18">
        <v>2024</v>
      </c>
      <c r="N96" s="18" t="s">
        <v>30</v>
      </c>
      <c r="O96" s="18" t="s">
        <v>32</v>
      </c>
      <c r="P96" s="18" t="s">
        <v>25</v>
      </c>
      <c r="Q96" s="18" t="s">
        <v>25</v>
      </c>
      <c r="R96" s="18">
        <v>50</v>
      </c>
      <c r="S96" s="18">
        <v>0.25</v>
      </c>
      <c r="T96" s="18">
        <v>0.25</v>
      </c>
      <c r="U96" s="18">
        <v>0</v>
      </c>
    </row>
    <row r="97" spans="1:21" x14ac:dyDescent="0.2">
      <c r="A97" s="18" t="s">
        <v>348</v>
      </c>
      <c r="B97" s="18" t="s">
        <v>423</v>
      </c>
      <c r="C97" s="18" t="s">
        <v>350</v>
      </c>
      <c r="D97" s="18" t="s">
        <v>462</v>
      </c>
      <c r="E97" s="18" t="s">
        <v>463</v>
      </c>
      <c r="F97" s="18" t="s">
        <v>464</v>
      </c>
      <c r="G97" s="18" t="s">
        <v>94</v>
      </c>
      <c r="H97" s="18" t="s">
        <v>355</v>
      </c>
      <c r="I97" s="18" t="s">
        <v>52</v>
      </c>
      <c r="J97" s="18" t="s">
        <v>441</v>
      </c>
      <c r="K97" s="18">
        <v>0.5</v>
      </c>
      <c r="L97" s="18" t="s">
        <v>52</v>
      </c>
      <c r="M97" s="18">
        <v>2024</v>
      </c>
      <c r="N97" s="18" t="s">
        <v>30</v>
      </c>
      <c r="O97" s="18" t="s">
        <v>32</v>
      </c>
      <c r="P97" s="18" t="s">
        <v>25</v>
      </c>
      <c r="Q97" s="18" t="s">
        <v>25</v>
      </c>
      <c r="R97" s="18">
        <v>50</v>
      </c>
      <c r="S97" s="18">
        <v>0.25</v>
      </c>
      <c r="T97" s="18">
        <v>0.25</v>
      </c>
      <c r="U97" s="18">
        <v>0</v>
      </c>
    </row>
    <row r="98" spans="1:21" x14ac:dyDescent="0.2">
      <c r="A98" s="18" t="s">
        <v>428</v>
      </c>
      <c r="B98" s="18" t="s">
        <v>429</v>
      </c>
      <c r="C98" s="18" t="s">
        <v>350</v>
      </c>
      <c r="D98" s="18" t="s">
        <v>434</v>
      </c>
      <c r="E98" s="18" t="s">
        <v>435</v>
      </c>
      <c r="F98" s="18" t="s">
        <v>436</v>
      </c>
      <c r="G98" s="18" t="s">
        <v>89</v>
      </c>
      <c r="H98" s="18" t="s">
        <v>355</v>
      </c>
      <c r="I98" s="18" t="s">
        <v>48</v>
      </c>
      <c r="J98" s="18" t="s">
        <v>356</v>
      </c>
      <c r="K98" s="18">
        <v>0.5</v>
      </c>
      <c r="L98" s="18" t="s">
        <v>48</v>
      </c>
      <c r="M98" s="18">
        <v>2024</v>
      </c>
      <c r="N98" s="18" t="s">
        <v>30</v>
      </c>
      <c r="O98" s="18" t="s">
        <v>32</v>
      </c>
      <c r="P98" s="18" t="s">
        <v>25</v>
      </c>
      <c r="Q98" s="18" t="s">
        <v>25</v>
      </c>
      <c r="R98" s="18">
        <v>50</v>
      </c>
      <c r="S98" s="18">
        <v>0.25</v>
      </c>
      <c r="T98" s="18">
        <v>0.25</v>
      </c>
      <c r="U98" s="18">
        <v>0</v>
      </c>
    </row>
    <row r="99" spans="1:21" x14ac:dyDescent="0.2">
      <c r="A99" s="18" t="s">
        <v>428</v>
      </c>
      <c r="B99" s="18" t="s">
        <v>429</v>
      </c>
      <c r="C99" s="18" t="s">
        <v>350</v>
      </c>
      <c r="D99" s="18" t="s">
        <v>465</v>
      </c>
      <c r="E99" s="18" t="s">
        <v>466</v>
      </c>
      <c r="F99" s="18" t="s">
        <v>432</v>
      </c>
      <c r="G99" s="18" t="s">
        <v>382</v>
      </c>
      <c r="H99" s="18" t="s">
        <v>355</v>
      </c>
      <c r="I99" s="18" t="s">
        <v>39</v>
      </c>
      <c r="J99" s="18" t="s">
        <v>452</v>
      </c>
      <c r="K99" s="18">
        <v>0.5</v>
      </c>
      <c r="L99" s="18" t="s">
        <v>39</v>
      </c>
      <c r="M99" s="18">
        <v>2024</v>
      </c>
      <c r="N99" s="18" t="s">
        <v>30</v>
      </c>
      <c r="O99" s="18" t="s">
        <v>32</v>
      </c>
      <c r="P99" s="18" t="s">
        <v>25</v>
      </c>
      <c r="Q99" s="18" t="s">
        <v>25</v>
      </c>
      <c r="R99" s="18">
        <v>50</v>
      </c>
      <c r="S99" s="18">
        <v>0.25</v>
      </c>
      <c r="T99" s="18">
        <v>0.25</v>
      </c>
      <c r="U99" s="18">
        <v>0</v>
      </c>
    </row>
    <row r="100" spans="1:21" x14ac:dyDescent="0.2">
      <c r="A100" s="18" t="s">
        <v>428</v>
      </c>
      <c r="B100" s="18" t="s">
        <v>429</v>
      </c>
      <c r="C100" s="18" t="s">
        <v>350</v>
      </c>
      <c r="D100" s="18" t="s">
        <v>465</v>
      </c>
      <c r="E100" s="18" t="s">
        <v>466</v>
      </c>
      <c r="F100" s="18" t="s">
        <v>432</v>
      </c>
      <c r="G100" s="18" t="s">
        <v>85</v>
      </c>
      <c r="H100" s="18" t="s">
        <v>355</v>
      </c>
      <c r="I100" s="18" t="s">
        <v>39</v>
      </c>
      <c r="J100" s="18" t="s">
        <v>452</v>
      </c>
      <c r="K100" s="18">
        <v>0.5</v>
      </c>
      <c r="L100" s="18" t="s">
        <v>39</v>
      </c>
      <c r="M100" s="18">
        <v>2024</v>
      </c>
      <c r="N100" s="18" t="s">
        <v>30</v>
      </c>
      <c r="O100" s="18" t="s">
        <v>32</v>
      </c>
      <c r="P100" s="18" t="s">
        <v>25</v>
      </c>
      <c r="Q100" s="18" t="s">
        <v>25</v>
      </c>
      <c r="R100" s="18">
        <v>50</v>
      </c>
      <c r="S100" s="18">
        <v>0.25</v>
      </c>
      <c r="T100" s="18">
        <v>0.25</v>
      </c>
      <c r="U100" s="18">
        <v>0</v>
      </c>
    </row>
    <row r="101" spans="1:2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8"/>
      <c r="N101" s="27"/>
      <c r="O101" s="28"/>
      <c r="P101" s="27"/>
      <c r="Q101" s="28"/>
      <c r="R101" s="27"/>
      <c r="S101" s="27"/>
      <c r="T101" s="29">
        <f>SUM(S2:S9,T10:T66,S67,T68:T77,S78:S80,T81:T100)</f>
        <v>25.376666666666672</v>
      </c>
      <c r="U101" s="27"/>
    </row>
  </sheetData>
  <autoFilter ref="A1:U101" xr:uid="{00000000-0009-0000-0000-000000000000}"/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9"/>
  <sheetViews>
    <sheetView topLeftCell="A13" zoomScaleNormal="100" workbookViewId="0">
      <selection activeCell="U8" sqref="U8"/>
    </sheetView>
  </sheetViews>
  <sheetFormatPr baseColWidth="10" defaultColWidth="11.42578125" defaultRowHeight="12.75" x14ac:dyDescent="0.2"/>
  <cols>
    <col min="1" max="1" width="10.85546875" style="11" bestFit="1" customWidth="1"/>
    <col min="2" max="2" width="40.140625" style="11" bestFit="1" customWidth="1"/>
    <col min="3" max="3" width="20.140625" style="1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2" width="5.7109375" style="11" bestFit="1" customWidth="1"/>
    <col min="13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1" s="10" customFormat="1" ht="65.099999999999994" customHeight="1" x14ac:dyDescent="0.25">
      <c r="A1" s="13" t="s">
        <v>67</v>
      </c>
      <c r="B1" s="13" t="s">
        <v>68</v>
      </c>
      <c r="C1" s="13" t="s">
        <v>69</v>
      </c>
      <c r="D1" s="14" t="s">
        <v>470</v>
      </c>
      <c r="E1" s="14" t="s">
        <v>471</v>
      </c>
      <c r="F1" s="14" t="s">
        <v>472</v>
      </c>
      <c r="G1" s="14" t="s">
        <v>473</v>
      </c>
      <c r="H1" s="14" t="s">
        <v>474</v>
      </c>
      <c r="I1" s="14" t="s">
        <v>475</v>
      </c>
      <c r="J1" s="13" t="s">
        <v>70</v>
      </c>
      <c r="K1" s="15" t="s">
        <v>134</v>
      </c>
      <c r="L1" s="8" t="s">
        <v>71</v>
      </c>
      <c r="M1" s="8" t="s">
        <v>72</v>
      </c>
      <c r="N1" s="8" t="s">
        <v>73</v>
      </c>
      <c r="O1" s="8" t="s">
        <v>74</v>
      </c>
      <c r="P1" s="9" t="s">
        <v>75</v>
      </c>
      <c r="Q1" s="9" t="s">
        <v>76</v>
      </c>
      <c r="R1" s="9" t="s">
        <v>77</v>
      </c>
      <c r="S1" s="9" t="s">
        <v>78</v>
      </c>
      <c r="T1"/>
      <c r="U1" s="11"/>
    </row>
    <row r="2" spans="1:21" ht="15" x14ac:dyDescent="0.25">
      <c r="A2" s="17" t="s">
        <v>107</v>
      </c>
      <c r="B2" s="17" t="s">
        <v>476</v>
      </c>
      <c r="C2" s="17" t="s">
        <v>79</v>
      </c>
      <c r="D2" s="17"/>
      <c r="E2" s="17"/>
      <c r="F2" s="17"/>
      <c r="G2" s="17"/>
      <c r="H2" s="17">
        <v>1</v>
      </c>
      <c r="I2" s="17"/>
      <c r="J2" s="17">
        <v>1</v>
      </c>
      <c r="K2" s="17" t="s">
        <v>477</v>
      </c>
      <c r="L2" s="16" t="s">
        <v>30</v>
      </c>
      <c r="M2" s="16" t="s">
        <v>33</v>
      </c>
      <c r="N2" s="16">
        <v>0</v>
      </c>
      <c r="O2" s="16">
        <v>0</v>
      </c>
      <c r="P2" s="16">
        <v>80</v>
      </c>
      <c r="Q2" s="77">
        <v>0.2</v>
      </c>
      <c r="R2" s="16">
        <v>0</v>
      </c>
      <c r="S2" s="16">
        <v>0.8</v>
      </c>
      <c r="T2"/>
    </row>
    <row r="3" spans="1:21" ht="15" x14ac:dyDescent="0.25">
      <c r="A3" s="17" t="s">
        <v>105</v>
      </c>
      <c r="B3" s="17" t="s">
        <v>478</v>
      </c>
      <c r="C3" s="17" t="s">
        <v>79</v>
      </c>
      <c r="D3" s="17">
        <v>1</v>
      </c>
      <c r="E3" s="17"/>
      <c r="F3" s="17"/>
      <c r="G3" s="17"/>
      <c r="H3" s="17"/>
      <c r="I3" s="17"/>
      <c r="J3" s="17">
        <v>1</v>
      </c>
      <c r="K3" s="17" t="s">
        <v>477</v>
      </c>
      <c r="L3" s="16" t="s">
        <v>30</v>
      </c>
      <c r="M3" s="16" t="s">
        <v>32</v>
      </c>
      <c r="N3" s="16" t="s">
        <v>25</v>
      </c>
      <c r="O3" s="16" t="s">
        <v>25</v>
      </c>
      <c r="P3" s="16">
        <v>50</v>
      </c>
      <c r="Q3" s="77">
        <v>0.5</v>
      </c>
      <c r="R3" s="16">
        <v>0</v>
      </c>
      <c r="S3" s="16">
        <v>0.5</v>
      </c>
      <c r="T3"/>
    </row>
    <row r="4" spans="1:21" ht="15" x14ac:dyDescent="0.25">
      <c r="A4" s="17" t="s">
        <v>83</v>
      </c>
      <c r="B4" s="17" t="s">
        <v>479</v>
      </c>
      <c r="C4" s="40" t="s">
        <v>480</v>
      </c>
      <c r="D4" s="17"/>
      <c r="E4" s="17"/>
      <c r="F4" s="17"/>
      <c r="G4" s="17"/>
      <c r="H4" s="17"/>
      <c r="I4" s="17">
        <v>1</v>
      </c>
      <c r="J4" s="17">
        <v>1</v>
      </c>
      <c r="K4" s="17" t="s">
        <v>66</v>
      </c>
      <c r="L4" s="16" t="s">
        <v>30</v>
      </c>
      <c r="M4" s="16" t="s">
        <v>36</v>
      </c>
      <c r="N4" s="16" t="s">
        <v>25</v>
      </c>
      <c r="O4" s="16" t="s">
        <v>25</v>
      </c>
      <c r="P4" s="16">
        <v>90</v>
      </c>
      <c r="Q4" s="77">
        <v>0.1</v>
      </c>
      <c r="R4" s="16">
        <v>0</v>
      </c>
      <c r="S4" s="16">
        <v>0.9</v>
      </c>
      <c r="T4"/>
    </row>
    <row r="5" spans="1:21" ht="15" x14ac:dyDescent="0.25">
      <c r="A5" s="17" t="s">
        <v>85</v>
      </c>
      <c r="B5" s="17" t="s">
        <v>481</v>
      </c>
      <c r="C5" s="17">
        <v>6</v>
      </c>
      <c r="D5" s="17"/>
      <c r="E5" s="17"/>
      <c r="F5" s="17"/>
      <c r="G5" s="17"/>
      <c r="H5" s="17"/>
      <c r="I5" s="17">
        <v>1</v>
      </c>
      <c r="J5" s="17">
        <v>1</v>
      </c>
      <c r="K5" s="17" t="s">
        <v>39</v>
      </c>
      <c r="L5" s="16" t="s">
        <v>30</v>
      </c>
      <c r="M5" s="16" t="s">
        <v>32</v>
      </c>
      <c r="N5" s="16" t="s">
        <v>25</v>
      </c>
      <c r="O5" s="16" t="s">
        <v>25</v>
      </c>
      <c r="P5" s="16">
        <v>50</v>
      </c>
      <c r="Q5" s="77">
        <v>0.5</v>
      </c>
      <c r="R5" s="16">
        <v>0</v>
      </c>
      <c r="S5" s="16">
        <v>0.5</v>
      </c>
      <c r="T5"/>
    </row>
    <row r="6" spans="1:21" ht="15" x14ac:dyDescent="0.25">
      <c r="A6" s="17" t="s">
        <v>99</v>
      </c>
      <c r="B6" s="17" t="s">
        <v>482</v>
      </c>
      <c r="C6" s="17" t="s">
        <v>79</v>
      </c>
      <c r="D6" s="17"/>
      <c r="E6" s="17"/>
      <c r="F6" s="17"/>
      <c r="G6" s="17"/>
      <c r="H6" s="17"/>
      <c r="I6" s="17">
        <v>1</v>
      </c>
      <c r="J6" s="17">
        <v>1</v>
      </c>
      <c r="K6" s="17" t="s">
        <v>52</v>
      </c>
      <c r="L6" s="16" t="s">
        <v>30</v>
      </c>
      <c r="M6" s="16" t="s">
        <v>33</v>
      </c>
      <c r="N6" s="16" t="s">
        <v>25</v>
      </c>
      <c r="O6" s="16" t="s">
        <v>25</v>
      </c>
      <c r="P6" s="16">
        <v>80</v>
      </c>
      <c r="Q6" s="77">
        <v>0.2</v>
      </c>
      <c r="R6" s="16">
        <v>0</v>
      </c>
      <c r="S6" s="16">
        <v>0.8</v>
      </c>
      <c r="T6"/>
    </row>
    <row r="7" spans="1:21" ht="15" x14ac:dyDescent="0.25">
      <c r="A7" s="17" t="s">
        <v>98</v>
      </c>
      <c r="B7" s="17" t="s">
        <v>483</v>
      </c>
      <c r="C7" s="17" t="s">
        <v>79</v>
      </c>
      <c r="D7" s="17">
        <v>1</v>
      </c>
      <c r="E7" s="17"/>
      <c r="F7" s="17"/>
      <c r="G7" s="17"/>
      <c r="H7" s="17"/>
      <c r="I7" s="17"/>
      <c r="J7" s="17">
        <v>1</v>
      </c>
      <c r="K7" s="17" t="s">
        <v>43</v>
      </c>
      <c r="L7" s="16" t="s">
        <v>30</v>
      </c>
      <c r="M7" s="16" t="s">
        <v>32</v>
      </c>
      <c r="N7" s="16" t="s">
        <v>25</v>
      </c>
      <c r="O7" s="16" t="s">
        <v>25</v>
      </c>
      <c r="P7" s="16">
        <v>50</v>
      </c>
      <c r="Q7" s="77">
        <v>0.5</v>
      </c>
      <c r="R7" s="16">
        <v>0</v>
      </c>
      <c r="S7" s="16">
        <v>0.5</v>
      </c>
      <c r="T7"/>
    </row>
    <row r="8" spans="1:21" ht="15" x14ac:dyDescent="0.25">
      <c r="A8" s="17" t="s">
        <v>92</v>
      </c>
      <c r="B8" s="17" t="s">
        <v>484</v>
      </c>
      <c r="C8" s="17" t="s">
        <v>79</v>
      </c>
      <c r="D8" s="17">
        <v>1</v>
      </c>
      <c r="E8" s="17"/>
      <c r="F8" s="17"/>
      <c r="G8" s="17"/>
      <c r="H8" s="17"/>
      <c r="I8" s="17"/>
      <c r="J8" s="17">
        <v>1</v>
      </c>
      <c r="K8" s="17" t="s">
        <v>52</v>
      </c>
      <c r="L8" s="16" t="s">
        <v>30</v>
      </c>
      <c r="M8" s="16" t="s">
        <v>40</v>
      </c>
      <c r="N8" s="16" t="s">
        <v>25</v>
      </c>
      <c r="O8" s="16" t="s">
        <v>25</v>
      </c>
      <c r="P8" s="16">
        <v>60</v>
      </c>
      <c r="Q8" s="77">
        <v>0.4</v>
      </c>
      <c r="R8" s="16">
        <v>0</v>
      </c>
      <c r="S8" s="16">
        <v>0.6</v>
      </c>
      <c r="T8"/>
    </row>
    <row r="9" spans="1:21" ht="15" x14ac:dyDescent="0.25">
      <c r="A9" s="17" t="s">
        <v>86</v>
      </c>
      <c r="B9" s="17" t="s">
        <v>485</v>
      </c>
      <c r="C9" s="17" t="s">
        <v>79</v>
      </c>
      <c r="D9" s="17"/>
      <c r="E9" s="17"/>
      <c r="F9" s="17"/>
      <c r="G9" s="17"/>
      <c r="H9" s="17">
        <v>1</v>
      </c>
      <c r="I9" s="17"/>
      <c r="J9" s="17">
        <v>1</v>
      </c>
      <c r="K9" s="17" t="s">
        <v>477</v>
      </c>
      <c r="L9" s="16" t="s">
        <v>30</v>
      </c>
      <c r="M9" s="16" t="s">
        <v>36</v>
      </c>
      <c r="N9" s="16" t="s">
        <v>25</v>
      </c>
      <c r="O9" s="16" t="s">
        <v>25</v>
      </c>
      <c r="P9" s="16">
        <v>90</v>
      </c>
      <c r="Q9" s="77">
        <v>0.1</v>
      </c>
      <c r="R9" s="16">
        <v>0</v>
      </c>
      <c r="S9" s="16">
        <v>0.9</v>
      </c>
      <c r="T9"/>
    </row>
    <row r="10" spans="1:21" ht="15" x14ac:dyDescent="0.25">
      <c r="A10" s="17" t="s">
        <v>100</v>
      </c>
      <c r="B10" s="17" t="s">
        <v>486</v>
      </c>
      <c r="C10" s="17" t="s">
        <v>79</v>
      </c>
      <c r="D10" s="17"/>
      <c r="E10" s="17"/>
      <c r="F10" s="17"/>
      <c r="G10" s="17"/>
      <c r="H10" s="17"/>
      <c r="I10" s="17">
        <v>1</v>
      </c>
      <c r="J10" s="17">
        <v>1</v>
      </c>
      <c r="K10" s="17" t="s">
        <v>52</v>
      </c>
      <c r="L10" s="16" t="s">
        <v>30</v>
      </c>
      <c r="M10" s="16" t="s">
        <v>33</v>
      </c>
      <c r="N10" s="16" t="s">
        <v>25</v>
      </c>
      <c r="O10" s="16" t="s">
        <v>25</v>
      </c>
      <c r="P10" s="16">
        <v>80</v>
      </c>
      <c r="Q10" s="77">
        <v>0.2</v>
      </c>
      <c r="R10" s="16">
        <v>0</v>
      </c>
      <c r="S10" s="16">
        <v>0.8</v>
      </c>
      <c r="T10"/>
    </row>
    <row r="11" spans="1:21" ht="15" x14ac:dyDescent="0.25">
      <c r="A11" s="17" t="s">
        <v>84</v>
      </c>
      <c r="B11" s="17" t="s">
        <v>487</v>
      </c>
      <c r="C11" s="17" t="s">
        <v>79</v>
      </c>
      <c r="D11" s="17"/>
      <c r="E11" s="17"/>
      <c r="F11" s="17">
        <v>1</v>
      </c>
      <c r="G11" s="17"/>
      <c r="H11" s="17"/>
      <c r="I11" s="17"/>
      <c r="J11" s="17">
        <v>1</v>
      </c>
      <c r="K11" s="17" t="s">
        <v>52</v>
      </c>
      <c r="L11" s="16" t="s">
        <v>30</v>
      </c>
      <c r="M11" s="16" t="s">
        <v>32</v>
      </c>
      <c r="N11" s="16" t="s">
        <v>25</v>
      </c>
      <c r="O11" s="16" t="s">
        <v>25</v>
      </c>
      <c r="P11" s="16">
        <v>50</v>
      </c>
      <c r="Q11" s="77">
        <v>0.5</v>
      </c>
      <c r="R11" s="16">
        <v>0</v>
      </c>
      <c r="S11" s="16">
        <v>0.5</v>
      </c>
      <c r="T11"/>
    </row>
    <row r="12" spans="1:21" ht="15" x14ac:dyDescent="0.25">
      <c r="A12" s="17" t="s">
        <v>104</v>
      </c>
      <c r="B12" s="17" t="s">
        <v>488</v>
      </c>
      <c r="C12" s="17" t="s">
        <v>79</v>
      </c>
      <c r="D12" s="17"/>
      <c r="E12" s="17"/>
      <c r="F12" s="17"/>
      <c r="G12" s="17">
        <v>1</v>
      </c>
      <c r="H12" s="17"/>
      <c r="I12" s="17"/>
      <c r="J12" s="17">
        <v>1</v>
      </c>
      <c r="K12" s="17" t="s">
        <v>52</v>
      </c>
      <c r="L12" s="16" t="s">
        <v>30</v>
      </c>
      <c r="M12" s="16" t="s">
        <v>33</v>
      </c>
      <c r="N12" s="16" t="s">
        <v>25</v>
      </c>
      <c r="O12" s="16" t="s">
        <v>25</v>
      </c>
      <c r="P12" s="16">
        <v>80</v>
      </c>
      <c r="Q12" s="77">
        <v>0.2</v>
      </c>
      <c r="R12" s="16">
        <v>0</v>
      </c>
      <c r="S12" s="16">
        <v>0.8</v>
      </c>
      <c r="T12"/>
    </row>
    <row r="13" spans="1:21" ht="15" x14ac:dyDescent="0.25">
      <c r="A13" s="17" t="s">
        <v>96</v>
      </c>
      <c r="B13" s="17" t="s">
        <v>489</v>
      </c>
      <c r="C13" s="17" t="s">
        <v>79</v>
      </c>
      <c r="D13" s="17">
        <v>3</v>
      </c>
      <c r="E13" s="17"/>
      <c r="F13" s="17"/>
      <c r="G13" s="17"/>
      <c r="H13" s="17">
        <v>1</v>
      </c>
      <c r="I13" s="17"/>
      <c r="J13" s="17">
        <v>4</v>
      </c>
      <c r="K13" s="17" t="s">
        <v>52</v>
      </c>
      <c r="L13" s="16" t="s">
        <v>30</v>
      </c>
      <c r="M13" s="16" t="s">
        <v>33</v>
      </c>
      <c r="N13" s="16" t="s">
        <v>25</v>
      </c>
      <c r="O13" s="16" t="s">
        <v>25</v>
      </c>
      <c r="P13" s="16">
        <v>80</v>
      </c>
      <c r="Q13" s="77">
        <v>0.8</v>
      </c>
      <c r="R13" s="16">
        <v>0</v>
      </c>
      <c r="S13" s="16">
        <v>3.2</v>
      </c>
      <c r="T13"/>
    </row>
    <row r="14" spans="1:21" ht="15" x14ac:dyDescent="0.25">
      <c r="A14" s="17" t="s">
        <v>103</v>
      </c>
      <c r="B14" s="17" t="s">
        <v>490</v>
      </c>
      <c r="C14" s="17" t="s">
        <v>79</v>
      </c>
      <c r="D14" s="17"/>
      <c r="E14" s="17"/>
      <c r="F14" s="17"/>
      <c r="G14" s="17">
        <v>1</v>
      </c>
      <c r="H14" s="17"/>
      <c r="I14" s="17"/>
      <c r="J14" s="17">
        <v>1</v>
      </c>
      <c r="K14" s="17" t="s">
        <v>52</v>
      </c>
      <c r="L14" s="16" t="s">
        <v>30</v>
      </c>
      <c r="M14" s="16" t="s">
        <v>33</v>
      </c>
      <c r="N14" s="16" t="s">
        <v>25</v>
      </c>
      <c r="O14" s="16" t="s">
        <v>25</v>
      </c>
      <c r="P14" s="16">
        <v>80</v>
      </c>
      <c r="Q14" s="77">
        <v>0.2</v>
      </c>
      <c r="R14" s="16">
        <v>0</v>
      </c>
      <c r="S14" s="16">
        <v>0.8</v>
      </c>
      <c r="T14"/>
    </row>
    <row r="15" spans="1:21" ht="15" x14ac:dyDescent="0.25">
      <c r="A15" s="17" t="s">
        <v>87</v>
      </c>
      <c r="B15" s="17" t="s">
        <v>491</v>
      </c>
      <c r="C15" s="17" t="s">
        <v>79</v>
      </c>
      <c r="D15" s="17"/>
      <c r="E15" s="17"/>
      <c r="F15" s="17"/>
      <c r="G15" s="17"/>
      <c r="H15" s="17"/>
      <c r="I15" s="17">
        <v>1</v>
      </c>
      <c r="J15" s="17">
        <v>1</v>
      </c>
      <c r="K15" s="17" t="s">
        <v>52</v>
      </c>
      <c r="L15" s="16" t="s">
        <v>30</v>
      </c>
      <c r="M15" s="16" t="s">
        <v>32</v>
      </c>
      <c r="N15" s="16" t="s">
        <v>25</v>
      </c>
      <c r="O15" s="16" t="s">
        <v>25</v>
      </c>
      <c r="P15" s="16">
        <v>50</v>
      </c>
      <c r="Q15" s="77">
        <v>0.5</v>
      </c>
      <c r="R15" s="16">
        <v>0</v>
      </c>
      <c r="S15" s="16">
        <v>0.5</v>
      </c>
      <c r="T15"/>
    </row>
    <row r="16" spans="1:21" ht="15" x14ac:dyDescent="0.25">
      <c r="A16" s="17" t="s">
        <v>101</v>
      </c>
      <c r="B16" s="17" t="s">
        <v>492</v>
      </c>
      <c r="C16" s="17" t="s">
        <v>79</v>
      </c>
      <c r="D16" s="17"/>
      <c r="E16" s="17">
        <v>1</v>
      </c>
      <c r="F16" s="17"/>
      <c r="G16" s="17"/>
      <c r="H16" s="17"/>
      <c r="I16" s="17"/>
      <c r="J16" s="17">
        <v>1</v>
      </c>
      <c r="K16" s="17" t="s">
        <v>52</v>
      </c>
      <c r="L16" s="16" t="s">
        <v>30</v>
      </c>
      <c r="M16" s="16" t="s">
        <v>32</v>
      </c>
      <c r="N16" s="16" t="s">
        <v>25</v>
      </c>
      <c r="O16" s="16" t="s">
        <v>25</v>
      </c>
      <c r="P16" s="16">
        <v>50</v>
      </c>
      <c r="Q16" s="77">
        <v>0.5</v>
      </c>
      <c r="R16" s="16">
        <v>0</v>
      </c>
      <c r="S16" s="16">
        <v>0.5</v>
      </c>
      <c r="T16"/>
    </row>
    <row r="17" spans="1:20" ht="15" x14ac:dyDescent="0.25">
      <c r="A17" s="17" t="s">
        <v>262</v>
      </c>
      <c r="B17" s="17" t="s">
        <v>493</v>
      </c>
      <c r="C17" s="17" t="s">
        <v>79</v>
      </c>
      <c r="D17" s="17"/>
      <c r="E17" s="17"/>
      <c r="F17" s="17">
        <v>1</v>
      </c>
      <c r="G17" s="17"/>
      <c r="H17" s="17"/>
      <c r="I17" s="17"/>
      <c r="J17" s="17">
        <v>1</v>
      </c>
      <c r="K17" s="17" t="s">
        <v>52</v>
      </c>
      <c r="L17" s="16" t="s">
        <v>30</v>
      </c>
      <c r="M17" s="16" t="s">
        <v>40</v>
      </c>
      <c r="N17" s="16" t="s">
        <v>25</v>
      </c>
      <c r="O17" s="16" t="s">
        <v>25</v>
      </c>
      <c r="P17" s="16">
        <v>60</v>
      </c>
      <c r="Q17" s="77">
        <v>0.4</v>
      </c>
      <c r="R17" s="16">
        <v>0</v>
      </c>
      <c r="S17" s="16">
        <v>0.6</v>
      </c>
      <c r="T17"/>
    </row>
    <row r="18" spans="1:20" ht="15" x14ac:dyDescent="0.25">
      <c r="A18" s="17" t="s">
        <v>95</v>
      </c>
      <c r="B18" s="17" t="s">
        <v>494</v>
      </c>
      <c r="C18" s="17" t="s">
        <v>79</v>
      </c>
      <c r="D18" s="17"/>
      <c r="E18" s="17"/>
      <c r="F18" s="17"/>
      <c r="G18" s="17"/>
      <c r="H18" s="17">
        <v>1</v>
      </c>
      <c r="I18" s="17"/>
      <c r="J18" s="17">
        <v>1</v>
      </c>
      <c r="K18" s="17" t="s">
        <v>52</v>
      </c>
      <c r="L18" s="16" t="s">
        <v>30</v>
      </c>
      <c r="M18" s="16" t="s">
        <v>33</v>
      </c>
      <c r="N18" s="16" t="s">
        <v>25</v>
      </c>
      <c r="O18" s="16" t="s">
        <v>25</v>
      </c>
      <c r="P18" s="16">
        <v>80</v>
      </c>
      <c r="Q18" s="77">
        <v>0.2</v>
      </c>
      <c r="R18" s="16">
        <v>0</v>
      </c>
      <c r="S18" s="16">
        <v>0.8</v>
      </c>
      <c r="T18"/>
    </row>
    <row r="19" spans="1:20" ht="15" x14ac:dyDescent="0.25">
      <c r="A19" s="30" t="s">
        <v>90</v>
      </c>
      <c r="B19" s="30" t="s">
        <v>495</v>
      </c>
      <c r="C19" s="31" t="s">
        <v>79</v>
      </c>
      <c r="D19" s="30"/>
      <c r="E19" s="30"/>
      <c r="F19" s="30"/>
      <c r="G19" s="30"/>
      <c r="H19" s="30">
        <v>1</v>
      </c>
      <c r="I19" s="30"/>
      <c r="J19" s="17">
        <v>1</v>
      </c>
      <c r="K19" s="17" t="s">
        <v>52</v>
      </c>
      <c r="L19" s="16" t="s">
        <v>30</v>
      </c>
      <c r="M19" s="16" t="s">
        <v>40</v>
      </c>
      <c r="N19" s="16" t="s">
        <v>25</v>
      </c>
      <c r="O19" s="16" t="s">
        <v>25</v>
      </c>
      <c r="P19" s="16">
        <v>60</v>
      </c>
      <c r="Q19" s="77">
        <v>0.4</v>
      </c>
      <c r="R19" s="16">
        <v>0</v>
      </c>
      <c r="S19" s="16">
        <v>0.6</v>
      </c>
      <c r="T19"/>
    </row>
    <row r="20" spans="1:20" ht="15" x14ac:dyDescent="0.25">
      <c r="A20" s="17" t="s">
        <v>80</v>
      </c>
      <c r="B20" s="17" t="s">
        <v>496</v>
      </c>
      <c r="C20" s="17" t="s">
        <v>79</v>
      </c>
      <c r="D20" s="17"/>
      <c r="E20" s="17"/>
      <c r="F20" s="17"/>
      <c r="G20" s="17"/>
      <c r="H20" s="17">
        <v>1</v>
      </c>
      <c r="I20" s="17"/>
      <c r="J20" s="17">
        <v>1</v>
      </c>
      <c r="K20" s="17" t="s">
        <v>477</v>
      </c>
      <c r="L20" s="16" t="s">
        <v>30</v>
      </c>
      <c r="M20" s="16" t="s">
        <v>32</v>
      </c>
      <c r="N20" s="16" t="s">
        <v>25</v>
      </c>
      <c r="O20" s="16" t="s">
        <v>25</v>
      </c>
      <c r="P20" s="16">
        <v>50</v>
      </c>
      <c r="Q20" s="77">
        <v>0.5</v>
      </c>
      <c r="R20" s="16">
        <v>0</v>
      </c>
      <c r="S20" s="16">
        <v>0.5</v>
      </c>
      <c r="T20"/>
    </row>
    <row r="21" spans="1:20" ht="15" x14ac:dyDescent="0.25">
      <c r="A21" s="17" t="s">
        <v>81</v>
      </c>
      <c r="B21" s="17" t="s">
        <v>497</v>
      </c>
      <c r="C21" s="17" t="s">
        <v>79</v>
      </c>
      <c r="D21" s="17"/>
      <c r="E21" s="17"/>
      <c r="F21" s="17"/>
      <c r="G21" s="17">
        <v>1</v>
      </c>
      <c r="H21" s="17"/>
      <c r="I21" s="17"/>
      <c r="J21" s="17">
        <v>1</v>
      </c>
      <c r="K21" s="17" t="s">
        <v>52</v>
      </c>
      <c r="L21" s="16" t="s">
        <v>30</v>
      </c>
      <c r="M21" s="16" t="s">
        <v>381</v>
      </c>
      <c r="N21" s="16" t="s">
        <v>25</v>
      </c>
      <c r="O21" s="16" t="s">
        <v>25</v>
      </c>
      <c r="P21" s="16">
        <v>70</v>
      </c>
      <c r="Q21" s="77">
        <v>0.3</v>
      </c>
      <c r="R21" s="16">
        <v>0</v>
      </c>
      <c r="S21" s="16">
        <v>0.7</v>
      </c>
      <c r="T21"/>
    </row>
    <row r="22" spans="1:20" ht="15" x14ac:dyDescent="0.25">
      <c r="A22" s="17" t="s">
        <v>91</v>
      </c>
      <c r="B22" s="17" t="s">
        <v>498</v>
      </c>
      <c r="C22" s="17" t="s">
        <v>79</v>
      </c>
      <c r="D22" s="17"/>
      <c r="E22" s="17"/>
      <c r="F22" s="17"/>
      <c r="G22" s="17">
        <v>1</v>
      </c>
      <c r="H22" s="17"/>
      <c r="I22" s="17"/>
      <c r="J22" s="17">
        <v>1</v>
      </c>
      <c r="K22" s="17" t="s">
        <v>39</v>
      </c>
      <c r="L22" s="16" t="s">
        <v>30</v>
      </c>
      <c r="M22" s="16" t="s">
        <v>32</v>
      </c>
      <c r="N22" s="16" t="s">
        <v>25</v>
      </c>
      <c r="O22" s="16" t="s">
        <v>25</v>
      </c>
      <c r="P22" s="16">
        <v>50</v>
      </c>
      <c r="Q22" s="77">
        <v>0.5</v>
      </c>
      <c r="R22" s="16">
        <v>0</v>
      </c>
      <c r="S22" s="16">
        <v>0.5</v>
      </c>
      <c r="T22"/>
    </row>
    <row r="23" spans="1:20" ht="15" x14ac:dyDescent="0.25">
      <c r="A23" s="17" t="s">
        <v>97</v>
      </c>
      <c r="B23" s="17" t="s">
        <v>499</v>
      </c>
      <c r="C23" s="17" t="s">
        <v>79</v>
      </c>
      <c r="D23" s="17"/>
      <c r="E23" s="17"/>
      <c r="F23" s="17"/>
      <c r="G23" s="17">
        <v>1</v>
      </c>
      <c r="H23" s="17"/>
      <c r="I23" s="17"/>
      <c r="J23" s="17">
        <v>1</v>
      </c>
      <c r="K23" s="17" t="s">
        <v>43</v>
      </c>
      <c r="L23" s="16" t="s">
        <v>30</v>
      </c>
      <c r="M23" s="16" t="s">
        <v>33</v>
      </c>
      <c r="N23" s="16" t="s">
        <v>25</v>
      </c>
      <c r="O23" s="16" t="s">
        <v>25</v>
      </c>
      <c r="P23" s="16">
        <v>80</v>
      </c>
      <c r="Q23" s="77">
        <v>0.2</v>
      </c>
      <c r="R23" s="16">
        <v>0</v>
      </c>
      <c r="S23" s="16">
        <v>0.8</v>
      </c>
      <c r="T23"/>
    </row>
    <row r="24" spans="1:20" ht="15" x14ac:dyDescent="0.25">
      <c r="A24" s="17" t="s">
        <v>106</v>
      </c>
      <c r="B24" s="17" t="s">
        <v>500</v>
      </c>
      <c r="C24" s="17" t="s">
        <v>79</v>
      </c>
      <c r="D24" s="17"/>
      <c r="E24" s="17"/>
      <c r="F24" s="17"/>
      <c r="G24" s="17"/>
      <c r="H24" s="17"/>
      <c r="I24" s="17">
        <v>1</v>
      </c>
      <c r="J24" s="17">
        <v>1</v>
      </c>
      <c r="K24" s="17" t="s">
        <v>39</v>
      </c>
      <c r="L24" s="16" t="s">
        <v>30</v>
      </c>
      <c r="M24" s="16" t="s">
        <v>32</v>
      </c>
      <c r="N24" s="16" t="s">
        <v>25</v>
      </c>
      <c r="O24" s="16" t="s">
        <v>25</v>
      </c>
      <c r="P24" s="16">
        <v>50</v>
      </c>
      <c r="Q24" s="77">
        <v>0.5</v>
      </c>
      <c r="R24" s="16">
        <v>0</v>
      </c>
      <c r="S24" s="16">
        <v>0.5</v>
      </c>
      <c r="T24"/>
    </row>
    <row r="25" spans="1:20" ht="15" x14ac:dyDescent="0.25">
      <c r="A25" s="17" t="s">
        <v>93</v>
      </c>
      <c r="B25" s="17" t="s">
        <v>501</v>
      </c>
      <c r="C25" s="17" t="s">
        <v>79</v>
      </c>
      <c r="D25" s="17"/>
      <c r="E25" s="17"/>
      <c r="F25" s="17"/>
      <c r="G25" s="17">
        <v>1</v>
      </c>
      <c r="H25" s="17"/>
      <c r="I25" s="17"/>
      <c r="J25" s="17">
        <v>1</v>
      </c>
      <c r="K25" s="17" t="s">
        <v>52</v>
      </c>
      <c r="L25" s="16" t="s">
        <v>30</v>
      </c>
      <c r="M25" s="16" t="s">
        <v>32</v>
      </c>
      <c r="N25" s="16" t="s">
        <v>25</v>
      </c>
      <c r="O25" s="16" t="s">
        <v>25</v>
      </c>
      <c r="P25" s="16">
        <v>50</v>
      </c>
      <c r="Q25" s="77">
        <v>0.5</v>
      </c>
      <c r="R25" s="16">
        <v>0</v>
      </c>
      <c r="S25" s="16">
        <v>0.5</v>
      </c>
      <c r="T25"/>
    </row>
    <row r="26" spans="1:20" ht="15" x14ac:dyDescent="0.25">
      <c r="A26" s="17" t="s">
        <v>502</v>
      </c>
      <c r="B26" s="17" t="s">
        <v>503</v>
      </c>
      <c r="C26" s="17" t="s">
        <v>206</v>
      </c>
      <c r="D26" s="17"/>
      <c r="E26" s="17"/>
      <c r="F26" s="17"/>
      <c r="G26" s="17"/>
      <c r="H26" s="17"/>
      <c r="I26" s="17">
        <v>1</v>
      </c>
      <c r="J26" s="17">
        <v>1</v>
      </c>
      <c r="K26" s="17" t="s">
        <v>477</v>
      </c>
      <c r="L26" s="16" t="s">
        <v>30</v>
      </c>
      <c r="M26" s="16" t="s">
        <v>36</v>
      </c>
      <c r="N26" s="16" t="s">
        <v>25</v>
      </c>
      <c r="O26" s="16" t="s">
        <v>25</v>
      </c>
      <c r="P26" s="16">
        <v>90</v>
      </c>
      <c r="Q26" s="77">
        <v>0.1</v>
      </c>
      <c r="R26" s="16">
        <v>0</v>
      </c>
      <c r="S26" s="16">
        <v>0.9</v>
      </c>
      <c r="T26"/>
    </row>
    <row r="27" spans="1:20" ht="15" x14ac:dyDescent="0.25">
      <c r="A27" s="17" t="s">
        <v>382</v>
      </c>
      <c r="B27" s="17" t="s">
        <v>504</v>
      </c>
      <c r="C27" s="17" t="s">
        <v>79</v>
      </c>
      <c r="D27" s="17"/>
      <c r="E27" s="17"/>
      <c r="F27" s="17"/>
      <c r="G27" s="17">
        <v>2</v>
      </c>
      <c r="H27" s="17"/>
      <c r="I27" s="17"/>
      <c r="J27" s="17">
        <v>2</v>
      </c>
      <c r="K27" s="17" t="s">
        <v>39</v>
      </c>
      <c r="L27" s="16" t="s">
        <v>30</v>
      </c>
      <c r="M27" s="16" t="s">
        <v>32</v>
      </c>
      <c r="N27" s="16" t="s">
        <v>25</v>
      </c>
      <c r="O27" s="16" t="s">
        <v>25</v>
      </c>
      <c r="P27" s="16">
        <v>50</v>
      </c>
      <c r="Q27" s="77">
        <v>1</v>
      </c>
      <c r="R27" s="16">
        <v>0</v>
      </c>
      <c r="S27" s="16">
        <v>1</v>
      </c>
      <c r="T27"/>
    </row>
    <row r="28" spans="1:20" ht="15" x14ac:dyDescent="0.25">
      <c r="A28" s="17" t="s">
        <v>88</v>
      </c>
      <c r="B28" s="17" t="s">
        <v>505</v>
      </c>
      <c r="C28" s="17" t="s">
        <v>79</v>
      </c>
      <c r="D28" s="17"/>
      <c r="E28" s="17"/>
      <c r="F28" s="17"/>
      <c r="G28" s="17">
        <v>1</v>
      </c>
      <c r="H28" s="17"/>
      <c r="I28" s="17"/>
      <c r="J28" s="17">
        <v>1</v>
      </c>
      <c r="K28" s="17" t="s">
        <v>477</v>
      </c>
      <c r="L28" s="16" t="s">
        <v>30</v>
      </c>
      <c r="M28" s="16" t="s">
        <v>32</v>
      </c>
      <c r="N28" s="16" t="s">
        <v>25</v>
      </c>
      <c r="O28" s="16" t="s">
        <v>25</v>
      </c>
      <c r="P28" s="16">
        <v>50</v>
      </c>
      <c r="Q28" s="77">
        <v>0.5</v>
      </c>
      <c r="R28" s="16">
        <v>0</v>
      </c>
      <c r="S28" s="16">
        <v>0.5</v>
      </c>
      <c r="T28"/>
    </row>
    <row r="29" spans="1:20" ht="15" x14ac:dyDescent="0.25">
      <c r="A29" s="17" t="s">
        <v>207</v>
      </c>
      <c r="B29" s="17" t="s">
        <v>506</v>
      </c>
      <c r="C29" s="17" t="s">
        <v>79</v>
      </c>
      <c r="D29" s="17"/>
      <c r="E29" s="17"/>
      <c r="F29" s="17">
        <v>1</v>
      </c>
      <c r="G29" s="17"/>
      <c r="H29" s="17"/>
      <c r="I29" s="17"/>
      <c r="J29" s="17">
        <v>1</v>
      </c>
      <c r="K29" s="17" t="s">
        <v>477</v>
      </c>
      <c r="L29" s="16" t="s">
        <v>30</v>
      </c>
      <c r="M29" s="16" t="s">
        <v>36</v>
      </c>
      <c r="N29" s="16" t="s">
        <v>25</v>
      </c>
      <c r="O29" s="16" t="s">
        <v>25</v>
      </c>
      <c r="P29" s="16">
        <v>90</v>
      </c>
      <c r="Q29" s="77">
        <v>0.1</v>
      </c>
      <c r="R29" s="16">
        <v>0</v>
      </c>
      <c r="S29" s="16">
        <v>0.9</v>
      </c>
      <c r="T29"/>
    </row>
    <row r="30" spans="1:20" ht="15" x14ac:dyDescent="0.25">
      <c r="A30" s="17" t="s">
        <v>89</v>
      </c>
      <c r="B30" s="17" t="s">
        <v>507</v>
      </c>
      <c r="C30" s="17" t="s">
        <v>79</v>
      </c>
      <c r="D30" s="17"/>
      <c r="E30" s="17"/>
      <c r="F30" s="17">
        <v>1</v>
      </c>
      <c r="G30" s="17"/>
      <c r="H30" s="17"/>
      <c r="I30" s="17"/>
      <c r="J30" s="17">
        <v>1</v>
      </c>
      <c r="K30" s="17" t="s">
        <v>477</v>
      </c>
      <c r="L30" s="16" t="s">
        <v>30</v>
      </c>
      <c r="M30" s="16" t="s">
        <v>32</v>
      </c>
      <c r="N30" s="16" t="s">
        <v>25</v>
      </c>
      <c r="O30" s="16" t="s">
        <v>25</v>
      </c>
      <c r="P30" s="16">
        <v>50</v>
      </c>
      <c r="Q30" s="77">
        <v>0.5</v>
      </c>
      <c r="R30" s="16">
        <v>0</v>
      </c>
      <c r="S30" s="16">
        <v>0.5</v>
      </c>
      <c r="T30"/>
    </row>
    <row r="31" spans="1:20" ht="15" x14ac:dyDescent="0.25">
      <c r="A31" s="17" t="s">
        <v>508</v>
      </c>
      <c r="B31" s="17" t="s">
        <v>509</v>
      </c>
      <c r="C31" s="17" t="s">
        <v>79</v>
      </c>
      <c r="D31" s="17"/>
      <c r="E31" s="17"/>
      <c r="F31" s="17"/>
      <c r="G31" s="17"/>
      <c r="H31" s="17">
        <v>3</v>
      </c>
      <c r="I31" s="17"/>
      <c r="J31" s="17">
        <v>3</v>
      </c>
      <c r="K31" s="17" t="s">
        <v>43</v>
      </c>
      <c r="L31" s="16" t="s">
        <v>30</v>
      </c>
      <c r="M31" s="16" t="s">
        <v>32</v>
      </c>
      <c r="N31" s="16" t="s">
        <v>25</v>
      </c>
      <c r="O31" s="16" t="s">
        <v>25</v>
      </c>
      <c r="P31" s="16">
        <v>50</v>
      </c>
      <c r="Q31" s="77">
        <v>1.5</v>
      </c>
      <c r="R31" s="16">
        <v>0</v>
      </c>
      <c r="S31" s="16">
        <v>1.5</v>
      </c>
      <c r="T31"/>
    </row>
    <row r="32" spans="1:20" s="63" customFormat="1" ht="15" x14ac:dyDescent="0.25">
      <c r="A32" s="61" t="s">
        <v>102</v>
      </c>
      <c r="B32" s="61" t="s">
        <v>510</v>
      </c>
      <c r="C32" s="62" t="s">
        <v>79</v>
      </c>
      <c r="D32" s="61"/>
      <c r="E32" s="61"/>
      <c r="F32" s="61"/>
      <c r="G32" s="61"/>
      <c r="H32" s="61">
        <v>1</v>
      </c>
      <c r="I32" s="61"/>
      <c r="J32" s="58">
        <v>1</v>
      </c>
      <c r="K32" s="58" t="s">
        <v>43</v>
      </c>
      <c r="L32" s="59" t="s">
        <v>30</v>
      </c>
      <c r="M32" s="59" t="s">
        <v>32</v>
      </c>
      <c r="N32" s="59" t="s">
        <v>25</v>
      </c>
      <c r="O32" s="59" t="s">
        <v>25</v>
      </c>
      <c r="P32" s="59">
        <v>50</v>
      </c>
      <c r="Q32" s="80">
        <v>0.5</v>
      </c>
      <c r="R32" s="59">
        <v>0</v>
      </c>
      <c r="S32" s="59">
        <v>0.5</v>
      </c>
      <c r="T32" s="60"/>
    </row>
    <row r="33" spans="1:20" s="63" customFormat="1" ht="15" x14ac:dyDescent="0.25">
      <c r="A33" s="61" t="s">
        <v>94</v>
      </c>
      <c r="B33" s="61" t="s">
        <v>511</v>
      </c>
      <c r="C33" s="62" t="s">
        <v>79</v>
      </c>
      <c r="D33" s="61"/>
      <c r="E33" s="61"/>
      <c r="F33" s="61">
        <v>1</v>
      </c>
      <c r="G33" s="61"/>
      <c r="H33" s="61"/>
      <c r="I33" s="61"/>
      <c r="J33" s="58">
        <v>1</v>
      </c>
      <c r="K33" s="58" t="s">
        <v>52</v>
      </c>
      <c r="L33" s="59" t="s">
        <v>30</v>
      </c>
      <c r="M33" s="59" t="s">
        <v>32</v>
      </c>
      <c r="N33" s="59" t="s">
        <v>25</v>
      </c>
      <c r="O33" s="59" t="s">
        <v>25</v>
      </c>
      <c r="P33" s="59">
        <v>50</v>
      </c>
      <c r="Q33" s="80">
        <v>0.5</v>
      </c>
      <c r="R33" s="59">
        <v>0</v>
      </c>
      <c r="S33" s="59">
        <v>0.5</v>
      </c>
      <c r="T33" s="60"/>
    </row>
    <row r="34" spans="1:20" s="63" customFormat="1" ht="15" x14ac:dyDescent="0.25">
      <c r="A34" s="61" t="s">
        <v>82</v>
      </c>
      <c r="B34" s="61" t="s">
        <v>512</v>
      </c>
      <c r="C34" s="62" t="s">
        <v>79</v>
      </c>
      <c r="D34" s="61"/>
      <c r="E34" s="61"/>
      <c r="F34" s="61"/>
      <c r="G34" s="61"/>
      <c r="H34" s="61"/>
      <c r="I34" s="61">
        <v>1</v>
      </c>
      <c r="J34" s="58">
        <v>1</v>
      </c>
      <c r="K34" s="58" t="s">
        <v>52</v>
      </c>
      <c r="L34" s="59" t="s">
        <v>30</v>
      </c>
      <c r="M34" s="59" t="s">
        <v>32</v>
      </c>
      <c r="N34" s="59" t="s">
        <v>25</v>
      </c>
      <c r="O34" s="59" t="s">
        <v>25</v>
      </c>
      <c r="P34" s="59">
        <v>50</v>
      </c>
      <c r="Q34" s="80">
        <v>0.5</v>
      </c>
      <c r="R34" s="59">
        <v>0</v>
      </c>
      <c r="S34" s="59">
        <v>0.5</v>
      </c>
      <c r="T34" s="60"/>
    </row>
    <row r="35" spans="1:20" ht="15" x14ac:dyDescent="0.25">
      <c r="A35" s="17" t="s">
        <v>209</v>
      </c>
      <c r="B35" s="17" t="s">
        <v>467</v>
      </c>
      <c r="C35" s="40" t="s">
        <v>206</v>
      </c>
      <c r="D35" s="17"/>
      <c r="E35" s="17"/>
      <c r="F35" s="17"/>
      <c r="G35" s="17"/>
      <c r="H35" s="17"/>
      <c r="I35" s="17">
        <v>2</v>
      </c>
      <c r="J35" s="17">
        <v>2</v>
      </c>
      <c r="K35" s="17" t="s">
        <v>30</v>
      </c>
      <c r="L35" s="16" t="s">
        <v>30</v>
      </c>
      <c r="M35" s="16" t="s">
        <v>32</v>
      </c>
      <c r="N35" s="16" t="s">
        <v>25</v>
      </c>
      <c r="O35" s="16" t="s">
        <v>25</v>
      </c>
      <c r="P35" s="16">
        <v>50</v>
      </c>
      <c r="Q35" s="77">
        <v>1</v>
      </c>
      <c r="R35" s="16">
        <v>0</v>
      </c>
      <c r="S35" s="16">
        <v>1</v>
      </c>
      <c r="T35"/>
    </row>
    <row r="36" spans="1:20" ht="15" x14ac:dyDescent="0.25">
      <c r="A36" s="17" t="s">
        <v>559</v>
      </c>
      <c r="B36" s="17" t="s">
        <v>560</v>
      </c>
      <c r="C36" s="40" t="s">
        <v>206</v>
      </c>
      <c r="D36" s="17">
        <v>1</v>
      </c>
      <c r="E36" s="17">
        <v>1</v>
      </c>
      <c r="F36" s="17"/>
      <c r="G36" s="17"/>
      <c r="H36" s="17"/>
      <c r="I36" s="17"/>
      <c r="J36" s="17">
        <v>2</v>
      </c>
      <c r="K36" s="17" t="s">
        <v>52</v>
      </c>
      <c r="L36" s="16" t="s">
        <v>30</v>
      </c>
      <c r="M36" s="16" t="s">
        <v>32</v>
      </c>
      <c r="N36" s="16">
        <v>0</v>
      </c>
      <c r="O36" s="16">
        <v>0</v>
      </c>
      <c r="P36" s="16">
        <v>50</v>
      </c>
      <c r="Q36" s="77">
        <v>1</v>
      </c>
      <c r="R36" s="16">
        <v>0</v>
      </c>
      <c r="S36" s="16">
        <v>1</v>
      </c>
      <c r="T36"/>
    </row>
    <row r="37" spans="1:20" ht="15" x14ac:dyDescent="0.25">
      <c r="A37" s="17" t="s">
        <v>208</v>
      </c>
      <c r="B37" s="17" t="s">
        <v>561</v>
      </c>
      <c r="C37" s="40" t="s">
        <v>206</v>
      </c>
      <c r="D37" s="17"/>
      <c r="E37" s="17"/>
      <c r="F37" s="17">
        <v>2</v>
      </c>
      <c r="G37" s="17"/>
      <c r="H37" s="17"/>
      <c r="I37" s="17"/>
      <c r="J37" s="17">
        <v>2</v>
      </c>
      <c r="K37" s="17" t="s">
        <v>477</v>
      </c>
      <c r="L37" s="16" t="s">
        <v>30</v>
      </c>
      <c r="M37" s="16" t="s">
        <v>32</v>
      </c>
      <c r="N37" s="16">
        <v>0</v>
      </c>
      <c r="O37" s="16">
        <v>0</v>
      </c>
      <c r="P37" s="16">
        <v>50</v>
      </c>
      <c r="Q37" s="77">
        <v>1</v>
      </c>
      <c r="R37" s="16">
        <v>0</v>
      </c>
      <c r="S37" s="16">
        <v>1</v>
      </c>
      <c r="T37"/>
    </row>
    <row r="38" spans="1:20" s="79" customFormat="1" ht="15" x14ac:dyDescent="0.25">
      <c r="A38" s="75" t="s">
        <v>468</v>
      </c>
      <c r="B38" s="75" t="s">
        <v>469</v>
      </c>
      <c r="C38" s="76" t="s">
        <v>206</v>
      </c>
      <c r="D38" s="75"/>
      <c r="E38" s="75"/>
      <c r="F38" s="75"/>
      <c r="G38" s="75"/>
      <c r="H38" s="75"/>
      <c r="I38" s="75">
        <v>2</v>
      </c>
      <c r="J38" s="75">
        <v>2</v>
      </c>
      <c r="K38" s="75" t="s">
        <v>30</v>
      </c>
      <c r="L38" s="75" t="s">
        <v>30</v>
      </c>
      <c r="M38" s="77">
        <v>100</v>
      </c>
      <c r="N38" s="77" t="s">
        <v>25</v>
      </c>
      <c r="O38" s="77" t="s">
        <v>25</v>
      </c>
      <c r="P38" s="77">
        <v>0</v>
      </c>
      <c r="Q38" s="77">
        <v>2</v>
      </c>
      <c r="R38" s="77">
        <v>0</v>
      </c>
      <c r="S38" s="77">
        <v>0</v>
      </c>
      <c r="T38" s="78"/>
    </row>
    <row r="39" spans="1:20" ht="15" x14ac:dyDescent="0.25">
      <c r="A39" s="41"/>
      <c r="B39" s="41"/>
      <c r="C39" s="4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3">
        <f>SUM(Q2:Q38)</f>
        <v>19.100000000000001</v>
      </c>
      <c r="R39" s="41"/>
      <c r="S39" s="41"/>
      <c r="T39" s="44"/>
    </row>
    <row r="44" spans="1:20" customFormat="1" ht="1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  <c r="N44" s="12"/>
      <c r="O44" s="11"/>
      <c r="P44" s="12"/>
      <c r="Q44" s="11"/>
      <c r="R44" s="11"/>
      <c r="S44" s="11"/>
      <c r="T44" s="11"/>
    </row>
    <row r="45" spans="1:20" customFormat="1" ht="1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2"/>
      <c r="O45" s="11"/>
      <c r="P45" s="12"/>
      <c r="Q45" s="11"/>
      <c r="R45" s="11"/>
      <c r="S45" s="11"/>
      <c r="T45" s="11"/>
    </row>
    <row r="46" spans="1:20" customFormat="1" ht="1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2"/>
      <c r="O46" s="11"/>
      <c r="P46" s="12"/>
      <c r="Q46" s="11"/>
      <c r="R46" s="11"/>
      <c r="S46" s="11"/>
      <c r="T46" s="11"/>
    </row>
    <row r="47" spans="1:20" customFormat="1" ht="1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2"/>
      <c r="O47" s="11"/>
      <c r="P47" s="12"/>
      <c r="Q47" s="11"/>
      <c r="R47" s="11"/>
      <c r="S47" s="11"/>
      <c r="T47" s="11"/>
    </row>
    <row r="48" spans="1:20" customFormat="1" ht="1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2"/>
      <c r="O48" s="11"/>
      <c r="P48" s="12"/>
      <c r="Q48" s="11"/>
      <c r="R48" s="11"/>
      <c r="S48" s="11"/>
      <c r="T48" s="11"/>
    </row>
    <row r="49" spans="1:20" customFormat="1" ht="1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2"/>
      <c r="N49" s="12"/>
      <c r="O49" s="11"/>
      <c r="P49" s="12"/>
      <c r="Q49" s="11"/>
      <c r="R49" s="11"/>
      <c r="S49" s="11"/>
      <c r="T49" s="11"/>
    </row>
    <row r="50" spans="1:20" customFormat="1" ht="15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2"/>
      <c r="O50" s="11"/>
      <c r="P50" s="12"/>
      <c r="Q50" s="11"/>
      <c r="R50" s="11"/>
      <c r="S50" s="11"/>
      <c r="T50" s="11"/>
    </row>
    <row r="51" spans="1:20" customFormat="1" ht="1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2"/>
      <c r="O51" s="11"/>
      <c r="P51" s="12"/>
      <c r="Q51" s="11"/>
      <c r="R51" s="11"/>
      <c r="S51" s="11"/>
      <c r="T51" s="11"/>
    </row>
    <row r="52" spans="1:20" customFormat="1" ht="1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2"/>
      <c r="O52" s="11"/>
      <c r="P52" s="12"/>
      <c r="Q52" s="11"/>
      <c r="R52" s="11"/>
      <c r="S52" s="11"/>
      <c r="T52" s="11"/>
    </row>
    <row r="53" spans="1:20" customFormat="1" ht="1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2"/>
      <c r="O53" s="11"/>
      <c r="P53" s="12"/>
      <c r="Q53" s="11"/>
      <c r="R53" s="11"/>
      <c r="S53" s="11"/>
      <c r="T53" s="11"/>
    </row>
    <row r="54" spans="1:20" customFormat="1" ht="1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2"/>
      <c r="O54" s="11"/>
      <c r="P54" s="12"/>
      <c r="Q54" s="11"/>
      <c r="R54" s="11"/>
      <c r="S54" s="11"/>
      <c r="T54" s="11"/>
    </row>
    <row r="55" spans="1:20" customFormat="1" ht="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2"/>
      <c r="O55" s="11"/>
      <c r="P55" s="12"/>
      <c r="Q55" s="11"/>
      <c r="R55" s="11"/>
      <c r="S55" s="11"/>
      <c r="T55" s="11"/>
    </row>
    <row r="56" spans="1:20" customFormat="1" ht="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2"/>
      <c r="O56" s="11"/>
      <c r="P56" s="12"/>
      <c r="Q56" s="11"/>
      <c r="R56" s="11"/>
      <c r="S56" s="11"/>
      <c r="T56" s="11"/>
    </row>
    <row r="57" spans="1:20" customFormat="1" ht="1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  <c r="N57" s="12"/>
      <c r="O57" s="11"/>
      <c r="P57" s="12"/>
      <c r="Q57" s="11"/>
      <c r="R57" s="11"/>
      <c r="S57" s="11"/>
      <c r="T57" s="11"/>
    </row>
    <row r="58" spans="1:20" customFormat="1" ht="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N58" s="12"/>
      <c r="O58" s="11"/>
      <c r="P58" s="12"/>
      <c r="Q58" s="11"/>
      <c r="R58" s="11"/>
      <c r="S58" s="11"/>
      <c r="T58" s="11"/>
    </row>
    <row r="59" spans="1:20" customFormat="1" ht="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2"/>
      <c r="O59" s="11"/>
      <c r="P59" s="12"/>
      <c r="Q59" s="11"/>
      <c r="R59" s="11"/>
      <c r="S59" s="11"/>
      <c r="T59" s="11"/>
    </row>
    <row r="60" spans="1:20" customFormat="1" ht="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  <c r="N60" s="12"/>
      <c r="O60" s="11"/>
      <c r="P60" s="12"/>
      <c r="Q60" s="11"/>
      <c r="R60" s="11"/>
      <c r="S60" s="11"/>
      <c r="T60" s="11"/>
    </row>
    <row r="61" spans="1:20" customFormat="1" ht="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  <c r="N61" s="12"/>
      <c r="O61" s="11"/>
      <c r="P61" s="12"/>
      <c r="Q61" s="11"/>
      <c r="R61" s="11"/>
      <c r="S61" s="11"/>
      <c r="T61" s="11"/>
    </row>
    <row r="62" spans="1:20" customFormat="1" ht="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2"/>
      <c r="O62" s="11"/>
      <c r="P62" s="12"/>
      <c r="Q62" s="11"/>
      <c r="R62" s="11"/>
      <c r="S62" s="11"/>
      <c r="T62" s="11"/>
    </row>
    <row r="63" spans="1:20" customFormat="1" ht="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  <c r="N63" s="12"/>
      <c r="O63" s="11"/>
      <c r="P63" s="12"/>
      <c r="Q63" s="11"/>
      <c r="R63" s="11"/>
      <c r="S63" s="11"/>
      <c r="T63" s="11"/>
    </row>
    <row r="64" spans="1:20" customFormat="1" ht="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/>
      <c r="N64" s="12"/>
      <c r="O64" s="11"/>
      <c r="P64" s="12"/>
      <c r="Q64" s="11"/>
      <c r="R64" s="11"/>
      <c r="S64" s="11"/>
      <c r="T64" s="11"/>
    </row>
    <row r="65" spans="1:20" customFormat="1" ht="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2"/>
      <c r="O65" s="11"/>
      <c r="P65" s="12"/>
      <c r="Q65" s="11"/>
      <c r="R65" s="11"/>
      <c r="S65" s="11"/>
      <c r="T65" s="11"/>
    </row>
    <row r="66" spans="1:20" customFormat="1" ht="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/>
      <c r="N66" s="12"/>
      <c r="O66" s="11"/>
      <c r="P66" s="12"/>
      <c r="Q66" s="11"/>
      <c r="R66" s="11"/>
      <c r="S66" s="11"/>
      <c r="T66" s="11"/>
    </row>
    <row r="67" spans="1:20" customFormat="1" ht="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2"/>
      <c r="N67" s="12"/>
      <c r="O67" s="11"/>
      <c r="P67" s="12"/>
      <c r="Q67" s="11"/>
      <c r="R67" s="11"/>
      <c r="S67" s="11"/>
      <c r="T67" s="11"/>
    </row>
    <row r="68" spans="1:20" customFormat="1" ht="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2"/>
      <c r="N68" s="12"/>
      <c r="O68" s="11"/>
      <c r="P68" s="12"/>
      <c r="Q68" s="11"/>
      <c r="R68" s="11"/>
      <c r="S68" s="11"/>
      <c r="T68" s="11"/>
    </row>
    <row r="69" spans="1:20" customFormat="1" ht="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2"/>
      <c r="N69" s="12"/>
      <c r="O69" s="11"/>
      <c r="P69" s="12"/>
      <c r="Q69" s="11"/>
      <c r="R69" s="11"/>
      <c r="S69" s="11"/>
      <c r="T69" s="11"/>
    </row>
    <row r="70" spans="1:20" customFormat="1" ht="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2"/>
      <c r="N70" s="12"/>
      <c r="O70" s="11"/>
      <c r="P70" s="12"/>
      <c r="Q70" s="11"/>
      <c r="R70" s="11"/>
      <c r="S70" s="11"/>
      <c r="T70" s="11"/>
    </row>
    <row r="71" spans="1:20" customFormat="1" ht="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  <c r="N71" s="12"/>
      <c r="O71" s="11"/>
      <c r="P71" s="12"/>
      <c r="Q71" s="11"/>
      <c r="R71" s="11"/>
      <c r="S71" s="11"/>
      <c r="T71" s="11"/>
    </row>
    <row r="72" spans="1:20" customFormat="1" ht="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2"/>
      <c r="N72" s="12"/>
      <c r="O72" s="11"/>
      <c r="P72" s="12"/>
      <c r="Q72" s="11"/>
      <c r="R72" s="11"/>
      <c r="S72" s="11"/>
      <c r="T72" s="11"/>
    </row>
    <row r="73" spans="1:20" customFormat="1" ht="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2"/>
      <c r="N73" s="12"/>
      <c r="O73" s="11"/>
      <c r="P73" s="12"/>
      <c r="Q73" s="11"/>
      <c r="R73" s="11"/>
      <c r="S73" s="11"/>
      <c r="T73" s="11"/>
    </row>
    <row r="74" spans="1:20" customFormat="1" ht="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2"/>
      <c r="N74" s="12"/>
      <c r="O74" s="11"/>
      <c r="P74" s="12"/>
      <c r="Q74" s="11"/>
      <c r="R74" s="11"/>
      <c r="S74" s="11"/>
      <c r="T74" s="11"/>
    </row>
    <row r="75" spans="1:20" customFormat="1" ht="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2"/>
      <c r="N75" s="12"/>
      <c r="O75" s="11"/>
      <c r="P75" s="12"/>
      <c r="Q75" s="11"/>
      <c r="R75" s="11"/>
      <c r="S75" s="11"/>
      <c r="T75" s="11"/>
    </row>
    <row r="76" spans="1:20" customFormat="1" ht="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2"/>
      <c r="N76" s="12"/>
      <c r="O76" s="11"/>
      <c r="P76" s="12"/>
      <c r="Q76" s="11"/>
      <c r="R76" s="11"/>
      <c r="S76" s="11"/>
      <c r="T76" s="11"/>
    </row>
    <row r="77" spans="1:20" customFormat="1" ht="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2"/>
      <c r="N77" s="12"/>
      <c r="O77" s="11"/>
      <c r="P77" s="12"/>
      <c r="Q77" s="11"/>
      <c r="R77" s="11"/>
      <c r="S77" s="11"/>
      <c r="T77" s="11"/>
    </row>
    <row r="78" spans="1:20" customFormat="1" ht="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2"/>
      <c r="N78" s="12"/>
      <c r="O78" s="11"/>
      <c r="P78" s="12"/>
      <c r="Q78" s="11"/>
      <c r="R78" s="11"/>
      <c r="S78" s="11"/>
      <c r="T78" s="11"/>
    </row>
    <row r="79" spans="1:20" s="41" customFormat="1" ht="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/>
      <c r="N79" s="12"/>
      <c r="O79" s="11"/>
      <c r="P79" s="12"/>
      <c r="Q79" s="11"/>
      <c r="R79" s="11"/>
      <c r="S79" s="11"/>
      <c r="T79" s="11"/>
    </row>
  </sheetData>
  <autoFilter ref="A1:S39" xr:uid="{00000000-0001-0000-0100-000000000000}"/>
  <phoneticPr fontId="13" type="noConversion"/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0938-12CD-40B5-8C09-FE466F135618}">
  <dimension ref="A1:C54"/>
  <sheetViews>
    <sheetView topLeftCell="A42" workbookViewId="0">
      <selection activeCell="A48" sqref="A48:XFD48"/>
    </sheetView>
  </sheetViews>
  <sheetFormatPr baseColWidth="10" defaultRowHeight="15" x14ac:dyDescent="0.25"/>
  <cols>
    <col min="1" max="1" width="16.28515625" customWidth="1"/>
    <col min="2" max="2" width="116.42578125" customWidth="1"/>
    <col min="3" max="3" width="14.85546875" customWidth="1"/>
  </cols>
  <sheetData>
    <row r="1" spans="1:3" x14ac:dyDescent="0.25">
      <c r="A1" s="48" t="s">
        <v>179</v>
      </c>
      <c r="B1" s="48" t="s">
        <v>180</v>
      </c>
      <c r="C1" s="48" t="s">
        <v>210</v>
      </c>
    </row>
    <row r="2" spans="1:3" x14ac:dyDescent="0.25">
      <c r="A2" s="32" t="s">
        <v>108</v>
      </c>
      <c r="B2" s="53" t="s">
        <v>273</v>
      </c>
      <c r="C2" s="33">
        <v>11492.56</v>
      </c>
    </row>
    <row r="3" spans="1:3" x14ac:dyDescent="0.25">
      <c r="A3" s="34" t="s">
        <v>181</v>
      </c>
      <c r="B3" s="54" t="s">
        <v>274</v>
      </c>
      <c r="C3" s="35">
        <v>9979.2000000000007</v>
      </c>
    </row>
    <row r="4" spans="1:3" ht="39" x14ac:dyDescent="0.25">
      <c r="A4" s="32" t="s">
        <v>275</v>
      </c>
      <c r="B4" s="53" t="s">
        <v>276</v>
      </c>
      <c r="C4" s="33">
        <v>8861.6</v>
      </c>
    </row>
    <row r="5" spans="1:3" ht="26.25" x14ac:dyDescent="0.25">
      <c r="A5" s="34" t="s">
        <v>212</v>
      </c>
      <c r="B5" s="54" t="s">
        <v>277</v>
      </c>
      <c r="C5" s="35">
        <v>176</v>
      </c>
    </row>
    <row r="6" spans="1:3" x14ac:dyDescent="0.25">
      <c r="A6" s="32" t="s">
        <v>212</v>
      </c>
      <c r="B6" s="53" t="s">
        <v>278</v>
      </c>
      <c r="C6" s="33">
        <v>88</v>
      </c>
    </row>
    <row r="7" spans="1:3" ht="26.25" x14ac:dyDescent="0.25">
      <c r="A7" s="34" t="s">
        <v>212</v>
      </c>
      <c r="B7" s="54" t="s">
        <v>279</v>
      </c>
      <c r="C7" s="35">
        <v>176</v>
      </c>
    </row>
    <row r="8" spans="1:3" x14ac:dyDescent="0.25">
      <c r="A8" s="32" t="s">
        <v>212</v>
      </c>
      <c r="B8" s="53" t="s">
        <v>280</v>
      </c>
      <c r="C8" s="33">
        <v>176</v>
      </c>
    </row>
    <row r="9" spans="1:3" x14ac:dyDescent="0.25">
      <c r="A9" s="34" t="s">
        <v>212</v>
      </c>
      <c r="B9" s="54" t="s">
        <v>281</v>
      </c>
      <c r="C9" s="35">
        <v>176</v>
      </c>
    </row>
    <row r="10" spans="1:3" ht="26.25" x14ac:dyDescent="0.25">
      <c r="A10" s="32" t="s">
        <v>282</v>
      </c>
      <c r="B10" s="53" t="s">
        <v>283</v>
      </c>
      <c r="C10" s="33">
        <v>4556.43</v>
      </c>
    </row>
    <row r="11" spans="1:3" ht="26.25" x14ac:dyDescent="0.25">
      <c r="A11" s="34" t="s">
        <v>284</v>
      </c>
      <c r="B11" s="54" t="s">
        <v>285</v>
      </c>
      <c r="C11" s="35">
        <v>1601.6</v>
      </c>
    </row>
    <row r="12" spans="1:3" ht="39" x14ac:dyDescent="0.25">
      <c r="A12" s="32" t="s">
        <v>213</v>
      </c>
      <c r="B12" s="53" t="s">
        <v>286</v>
      </c>
      <c r="C12" s="33">
        <v>12584</v>
      </c>
    </row>
    <row r="13" spans="1:3" ht="26.25" x14ac:dyDescent="0.25">
      <c r="A13" s="34" t="s">
        <v>287</v>
      </c>
      <c r="B13" s="54" t="s">
        <v>288</v>
      </c>
      <c r="C13" s="35">
        <v>1179.2</v>
      </c>
    </row>
    <row r="14" spans="1:3" ht="39" x14ac:dyDescent="0.25">
      <c r="A14" s="32" t="s">
        <v>289</v>
      </c>
      <c r="B14" s="53" t="s">
        <v>290</v>
      </c>
      <c r="C14" s="33">
        <v>3688.96</v>
      </c>
    </row>
    <row r="15" spans="1:3" ht="26.25" x14ac:dyDescent="0.25">
      <c r="A15" s="34" t="s">
        <v>289</v>
      </c>
      <c r="B15" s="54" t="s">
        <v>291</v>
      </c>
      <c r="C15" s="35">
        <v>8800</v>
      </c>
    </row>
    <row r="16" spans="1:3" x14ac:dyDescent="0.25">
      <c r="A16" s="32" t="s">
        <v>292</v>
      </c>
      <c r="B16" s="53" t="s">
        <v>293</v>
      </c>
      <c r="C16" s="33">
        <v>228.8</v>
      </c>
    </row>
    <row r="17" spans="1:3" x14ac:dyDescent="0.25">
      <c r="A17" s="34" t="s">
        <v>294</v>
      </c>
      <c r="B17" s="54" t="s">
        <v>295</v>
      </c>
      <c r="C17" s="35">
        <v>171.6</v>
      </c>
    </row>
    <row r="18" spans="1:3" ht="39" x14ac:dyDescent="0.25">
      <c r="A18" s="32" t="s">
        <v>296</v>
      </c>
      <c r="B18" s="53" t="s">
        <v>297</v>
      </c>
      <c r="C18" s="33">
        <v>800.8</v>
      </c>
    </row>
    <row r="19" spans="1:3" x14ac:dyDescent="0.25">
      <c r="A19" s="34" t="s">
        <v>298</v>
      </c>
      <c r="B19" s="54" t="s">
        <v>299</v>
      </c>
      <c r="C19" s="35">
        <v>2063.6</v>
      </c>
    </row>
    <row r="20" spans="1:3" ht="39" x14ac:dyDescent="0.25">
      <c r="A20" s="32" t="s">
        <v>300</v>
      </c>
      <c r="B20" s="53" t="s">
        <v>301</v>
      </c>
      <c r="C20" s="33">
        <v>12320</v>
      </c>
    </row>
    <row r="21" spans="1:3" ht="39" x14ac:dyDescent="0.25">
      <c r="A21" s="34" t="s">
        <v>302</v>
      </c>
      <c r="B21" s="54" t="s">
        <v>303</v>
      </c>
      <c r="C21" s="35">
        <v>6160</v>
      </c>
    </row>
    <row r="22" spans="1:3" ht="26.25" x14ac:dyDescent="0.25">
      <c r="A22" s="32" t="s">
        <v>304</v>
      </c>
      <c r="B22" s="53" t="s">
        <v>305</v>
      </c>
      <c r="C22" s="33">
        <v>10472</v>
      </c>
    </row>
    <row r="23" spans="1:3" x14ac:dyDescent="0.25">
      <c r="A23" s="34" t="s">
        <v>306</v>
      </c>
      <c r="B23" s="54" t="s">
        <v>307</v>
      </c>
      <c r="C23" s="35">
        <v>704</v>
      </c>
    </row>
    <row r="24" spans="1:3" x14ac:dyDescent="0.25">
      <c r="A24" s="32" t="s">
        <v>308</v>
      </c>
      <c r="B24" s="53" t="s">
        <v>309</v>
      </c>
      <c r="C24" s="33">
        <v>2481.6</v>
      </c>
    </row>
    <row r="25" spans="1:3" ht="26.25" x14ac:dyDescent="0.25">
      <c r="A25" s="34" t="s">
        <v>310</v>
      </c>
      <c r="B25" s="54" t="s">
        <v>311</v>
      </c>
      <c r="C25" s="35">
        <v>501.6</v>
      </c>
    </row>
    <row r="26" spans="1:3" ht="39" x14ac:dyDescent="0.25">
      <c r="A26" s="32" t="s">
        <v>312</v>
      </c>
      <c r="B26" s="53" t="s">
        <v>313</v>
      </c>
      <c r="C26" s="33">
        <v>1590.16</v>
      </c>
    </row>
    <row r="27" spans="1:3" ht="26.25" x14ac:dyDescent="0.25">
      <c r="A27" s="34" t="s">
        <v>314</v>
      </c>
      <c r="B27" s="54" t="s">
        <v>315</v>
      </c>
      <c r="C27" s="35">
        <v>1997.6</v>
      </c>
    </row>
    <row r="28" spans="1:3" x14ac:dyDescent="0.25">
      <c r="A28" s="32" t="s">
        <v>211</v>
      </c>
      <c r="B28" s="53" t="s">
        <v>316</v>
      </c>
      <c r="C28" s="33">
        <v>18663.62</v>
      </c>
    </row>
    <row r="29" spans="1:3" x14ac:dyDescent="0.25">
      <c r="A29" s="34" t="s">
        <v>109</v>
      </c>
      <c r="B29" s="54" t="s">
        <v>317</v>
      </c>
      <c r="C29" s="35">
        <v>-7924.52</v>
      </c>
    </row>
    <row r="30" spans="1:3" ht="26.25" x14ac:dyDescent="0.25">
      <c r="A30" s="32" t="s">
        <v>183</v>
      </c>
      <c r="B30" s="53" t="s">
        <v>318</v>
      </c>
      <c r="C30" s="33">
        <v>49183.23</v>
      </c>
    </row>
    <row r="31" spans="1:3" x14ac:dyDescent="0.25">
      <c r="A31" s="34" t="s">
        <v>215</v>
      </c>
      <c r="B31" s="54" t="s">
        <v>319</v>
      </c>
      <c r="C31" s="35">
        <v>137929.91</v>
      </c>
    </row>
    <row r="32" spans="1:3" x14ac:dyDescent="0.25">
      <c r="A32" s="32" t="s">
        <v>216</v>
      </c>
      <c r="B32" s="53" t="s">
        <v>319</v>
      </c>
      <c r="C32" s="33">
        <v>142500</v>
      </c>
    </row>
    <row r="33" spans="1:3" x14ac:dyDescent="0.25">
      <c r="A33" s="34" t="s">
        <v>267</v>
      </c>
      <c r="B33" s="54" t="s">
        <v>320</v>
      </c>
      <c r="C33" s="35">
        <v>16500</v>
      </c>
    </row>
    <row r="34" spans="1:3" x14ac:dyDescent="0.25">
      <c r="A34" s="32" t="s">
        <v>321</v>
      </c>
      <c r="B34" s="53" t="s">
        <v>322</v>
      </c>
      <c r="C34" s="33">
        <v>68556.399999999994</v>
      </c>
    </row>
    <row r="35" spans="1:3" x14ac:dyDescent="0.25">
      <c r="A35" s="34" t="s">
        <v>321</v>
      </c>
      <c r="B35" s="54" t="s">
        <v>323</v>
      </c>
      <c r="C35" s="35">
        <v>-2691.97</v>
      </c>
    </row>
    <row r="36" spans="1:3" ht="39" x14ac:dyDescent="0.25">
      <c r="A36" s="32" t="s">
        <v>272</v>
      </c>
      <c r="B36" s="53" t="s">
        <v>324</v>
      </c>
      <c r="C36" s="33">
        <v>-15117.58</v>
      </c>
    </row>
    <row r="37" spans="1:3" ht="26.25" x14ac:dyDescent="0.25">
      <c r="A37" s="34" t="s">
        <v>219</v>
      </c>
      <c r="B37" s="54" t="s">
        <v>325</v>
      </c>
      <c r="C37" s="35">
        <v>41650</v>
      </c>
    </row>
    <row r="38" spans="1:3" ht="26.25" x14ac:dyDescent="0.25">
      <c r="A38" s="32" t="s">
        <v>220</v>
      </c>
      <c r="B38" s="53" t="s">
        <v>326</v>
      </c>
      <c r="C38" s="33">
        <v>86240</v>
      </c>
    </row>
    <row r="39" spans="1:3" ht="26.25" x14ac:dyDescent="0.25">
      <c r="A39" s="34" t="s">
        <v>221</v>
      </c>
      <c r="B39" s="54" t="s">
        <v>326</v>
      </c>
      <c r="C39" s="35">
        <v>44100</v>
      </c>
    </row>
    <row r="40" spans="1:3" ht="26.25" x14ac:dyDescent="0.25">
      <c r="A40" s="32" t="s">
        <v>327</v>
      </c>
      <c r="B40" s="53" t="s">
        <v>328</v>
      </c>
      <c r="C40" s="33">
        <v>19000</v>
      </c>
    </row>
    <row r="41" spans="1:3" x14ac:dyDescent="0.25">
      <c r="A41" s="34" t="s">
        <v>327</v>
      </c>
      <c r="B41" s="54" t="s">
        <v>329</v>
      </c>
      <c r="C41" s="35">
        <v>23000</v>
      </c>
    </row>
    <row r="42" spans="1:3" ht="26.25" x14ac:dyDescent="0.25">
      <c r="A42" s="32" t="s">
        <v>222</v>
      </c>
      <c r="B42" s="53" t="s">
        <v>328</v>
      </c>
      <c r="C42" s="33">
        <v>19000</v>
      </c>
    </row>
    <row r="43" spans="1:3" ht="26.25" x14ac:dyDescent="0.25">
      <c r="A43" s="34" t="s">
        <v>330</v>
      </c>
      <c r="B43" s="54" t="s">
        <v>331</v>
      </c>
      <c r="C43" s="35">
        <v>3800</v>
      </c>
    </row>
    <row r="44" spans="1:3" x14ac:dyDescent="0.25">
      <c r="A44" s="32" t="s">
        <v>332</v>
      </c>
      <c r="B44" s="53" t="s">
        <v>333</v>
      </c>
      <c r="C44" s="33">
        <v>23211.89</v>
      </c>
    </row>
    <row r="45" spans="1:3" x14ac:dyDescent="0.25">
      <c r="A45" s="34" t="s">
        <v>334</v>
      </c>
      <c r="B45" s="54" t="s">
        <v>333</v>
      </c>
      <c r="C45" s="35">
        <v>26650</v>
      </c>
    </row>
    <row r="46" spans="1:3" ht="39" x14ac:dyDescent="0.25">
      <c r="A46" s="32" t="s">
        <v>335</v>
      </c>
      <c r="B46" s="53" t="s">
        <v>336</v>
      </c>
      <c r="C46" s="33">
        <v>154041.60000000001</v>
      </c>
    </row>
    <row r="47" spans="1:3" x14ac:dyDescent="0.25">
      <c r="A47" s="34" t="s">
        <v>337</v>
      </c>
      <c r="B47" s="54" t="s">
        <v>338</v>
      </c>
      <c r="C47" s="35">
        <v>350582.23</v>
      </c>
    </row>
    <row r="48" spans="1:3" x14ac:dyDescent="0.25">
      <c r="A48" s="34" t="s">
        <v>339</v>
      </c>
      <c r="B48" s="54" t="s">
        <v>340</v>
      </c>
      <c r="C48" s="35">
        <v>533.51</v>
      </c>
    </row>
    <row r="49" spans="1:3" x14ac:dyDescent="0.25">
      <c r="A49" s="32" t="s">
        <v>1</v>
      </c>
      <c r="B49" s="53" t="s">
        <v>341</v>
      </c>
      <c r="C49" s="33">
        <v>53320.160000000003</v>
      </c>
    </row>
    <row r="50" spans="1:3" x14ac:dyDescent="0.25">
      <c r="A50" s="34" t="s">
        <v>178</v>
      </c>
      <c r="B50" s="54" t="s">
        <v>342</v>
      </c>
      <c r="C50" s="35">
        <v>31000</v>
      </c>
    </row>
    <row r="51" spans="1:3" x14ac:dyDescent="0.25">
      <c r="A51" s="32" t="s">
        <v>223</v>
      </c>
      <c r="B51" s="53" t="s">
        <v>343</v>
      </c>
      <c r="C51" s="33">
        <v>29355.97</v>
      </c>
    </row>
    <row r="52" spans="1:3" ht="26.25" x14ac:dyDescent="0.25">
      <c r="A52" s="34" t="s">
        <v>344</v>
      </c>
      <c r="B52" s="54" t="s">
        <v>345</v>
      </c>
      <c r="C52" s="35">
        <v>119230.55</v>
      </c>
    </row>
    <row r="53" spans="1:3" x14ac:dyDescent="0.25">
      <c r="A53" s="49" t="s">
        <v>346</v>
      </c>
      <c r="B53" s="55" t="s">
        <v>347</v>
      </c>
      <c r="C53" s="50">
        <v>38000</v>
      </c>
    </row>
    <row r="54" spans="1:3" x14ac:dyDescent="0.25">
      <c r="A54" s="51" t="s">
        <v>0</v>
      </c>
      <c r="B54" s="51"/>
      <c r="C54" s="52">
        <f>SUBTOTAL(109,Tabla3[Imp.cob.aplic.])</f>
        <v>1573342.31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F352-1784-4F78-AD0B-BF142FF0DA32}">
  <dimension ref="A1:C39"/>
  <sheetViews>
    <sheetView topLeftCell="A37" workbookViewId="0">
      <selection activeCell="B41" sqref="B41:C41"/>
    </sheetView>
  </sheetViews>
  <sheetFormatPr baseColWidth="10" defaultRowHeight="15" x14ac:dyDescent="0.25"/>
  <cols>
    <col min="1" max="1" width="13.28515625" bestFit="1" customWidth="1"/>
    <col min="2" max="2" width="72.28515625" customWidth="1"/>
    <col min="3" max="3" width="14.28515625" style="45" bestFit="1" customWidth="1"/>
  </cols>
  <sheetData>
    <row r="1" spans="1:3" x14ac:dyDescent="0.25">
      <c r="A1" t="s">
        <v>383</v>
      </c>
      <c r="B1" t="s">
        <v>180</v>
      </c>
      <c r="C1" s="45" t="s">
        <v>384</v>
      </c>
    </row>
    <row r="2" spans="1:3" ht="30" x14ac:dyDescent="0.25">
      <c r="A2" t="s">
        <v>108</v>
      </c>
      <c r="B2" s="46" t="s">
        <v>385</v>
      </c>
      <c r="C2" s="45">
        <v>14964.07</v>
      </c>
    </row>
    <row r="3" spans="1:3" ht="45" x14ac:dyDescent="0.25">
      <c r="A3" t="s">
        <v>213</v>
      </c>
      <c r="B3" s="46" t="s">
        <v>386</v>
      </c>
      <c r="C3" s="45">
        <v>22440</v>
      </c>
    </row>
    <row r="4" spans="1:3" ht="45" x14ac:dyDescent="0.25">
      <c r="A4" t="s">
        <v>387</v>
      </c>
      <c r="B4" s="46" t="s">
        <v>388</v>
      </c>
      <c r="C4" s="45">
        <v>1716</v>
      </c>
    </row>
    <row r="5" spans="1:3" ht="45" x14ac:dyDescent="0.25">
      <c r="A5" t="s">
        <v>389</v>
      </c>
      <c r="B5" s="46" t="s">
        <v>390</v>
      </c>
      <c r="C5" s="45">
        <v>1293.5999999999999</v>
      </c>
    </row>
    <row r="6" spans="1:3" ht="45" x14ac:dyDescent="0.25">
      <c r="A6" t="s">
        <v>391</v>
      </c>
      <c r="B6" s="46" t="s">
        <v>392</v>
      </c>
      <c r="C6" s="45">
        <v>1716</v>
      </c>
    </row>
    <row r="7" spans="1:3" ht="45" x14ac:dyDescent="0.25">
      <c r="A7" t="s">
        <v>393</v>
      </c>
      <c r="B7" s="46" t="s">
        <v>394</v>
      </c>
      <c r="C7" s="45">
        <v>18260</v>
      </c>
    </row>
    <row r="8" spans="1:3" ht="30" x14ac:dyDescent="0.25">
      <c r="A8" t="s">
        <v>395</v>
      </c>
      <c r="B8" s="46" t="s">
        <v>396</v>
      </c>
      <c r="C8" s="45">
        <v>396</v>
      </c>
    </row>
    <row r="9" spans="1:3" ht="30" x14ac:dyDescent="0.25">
      <c r="A9" t="s">
        <v>397</v>
      </c>
      <c r="B9" s="46" t="s">
        <v>398</v>
      </c>
      <c r="C9" s="45">
        <v>5727.92</v>
      </c>
    </row>
    <row r="10" spans="1:3" ht="30" x14ac:dyDescent="0.25">
      <c r="A10" t="s">
        <v>176</v>
      </c>
      <c r="B10" s="46" t="s">
        <v>399</v>
      </c>
      <c r="C10" s="45">
        <v>-1884.65</v>
      </c>
    </row>
    <row r="11" spans="1:3" ht="30" x14ac:dyDescent="0.25">
      <c r="A11" t="s">
        <v>177</v>
      </c>
      <c r="B11" s="46" t="s">
        <v>400</v>
      </c>
      <c r="C11" s="45">
        <v>-1315.04</v>
      </c>
    </row>
    <row r="12" spans="1:3" ht="30" x14ac:dyDescent="0.25">
      <c r="A12" t="s">
        <v>182</v>
      </c>
      <c r="B12" s="46" t="s">
        <v>401</v>
      </c>
      <c r="C12" s="45">
        <v>-37343.360000000001</v>
      </c>
    </row>
    <row r="13" spans="1:3" ht="30" x14ac:dyDescent="0.25">
      <c r="A13" t="s">
        <v>184</v>
      </c>
      <c r="B13" s="46" t="s">
        <v>402</v>
      </c>
      <c r="C13" s="45">
        <v>-315.70999999999998</v>
      </c>
    </row>
    <row r="14" spans="1:3" x14ac:dyDescent="0.25">
      <c r="A14" t="s">
        <v>214</v>
      </c>
      <c r="B14" s="46" t="s">
        <v>403</v>
      </c>
      <c r="C14" s="45">
        <v>10776.6</v>
      </c>
    </row>
    <row r="15" spans="1:3" ht="60" x14ac:dyDescent="0.25">
      <c r="A15" t="s">
        <v>215</v>
      </c>
      <c r="B15" s="46" t="s">
        <v>404</v>
      </c>
      <c r="C15" s="45">
        <v>130947.41</v>
      </c>
    </row>
    <row r="16" spans="1:3" ht="60" x14ac:dyDescent="0.25">
      <c r="A16" t="s">
        <v>216</v>
      </c>
      <c r="B16" s="46" t="s">
        <v>404</v>
      </c>
      <c r="C16" s="45">
        <v>142500</v>
      </c>
    </row>
    <row r="17" spans="1:3" x14ac:dyDescent="0.25">
      <c r="A17" t="s">
        <v>321</v>
      </c>
      <c r="B17" s="46" t="s">
        <v>405</v>
      </c>
      <c r="C17" s="45">
        <v>80338.2</v>
      </c>
    </row>
    <row r="18" spans="1:3" ht="45" x14ac:dyDescent="0.25">
      <c r="A18" t="s">
        <v>217</v>
      </c>
      <c r="B18" s="46" t="s">
        <v>406</v>
      </c>
      <c r="C18" s="45">
        <v>6975.4</v>
      </c>
    </row>
    <row r="19" spans="1:3" ht="45" x14ac:dyDescent="0.25">
      <c r="A19" t="s">
        <v>218</v>
      </c>
      <c r="B19" s="46" t="s">
        <v>407</v>
      </c>
      <c r="C19" s="45">
        <v>3200</v>
      </c>
    </row>
    <row r="20" spans="1:3" ht="30" x14ac:dyDescent="0.25">
      <c r="A20" t="s">
        <v>268</v>
      </c>
      <c r="B20" s="46" t="s">
        <v>408</v>
      </c>
      <c r="C20" s="45">
        <v>21511.19</v>
      </c>
    </row>
    <row r="21" spans="1:3" ht="45" x14ac:dyDescent="0.25">
      <c r="A21" t="s">
        <v>268</v>
      </c>
      <c r="B21" s="46" t="s">
        <v>409</v>
      </c>
      <c r="C21" s="45">
        <v>21511.200000000001</v>
      </c>
    </row>
    <row r="22" spans="1:3" ht="30" x14ac:dyDescent="0.25">
      <c r="A22" t="s">
        <v>269</v>
      </c>
      <c r="B22" s="46" t="s">
        <v>408</v>
      </c>
      <c r="C22" s="45">
        <v>40893.440000000002</v>
      </c>
    </row>
    <row r="23" spans="1:3" ht="45" x14ac:dyDescent="0.25">
      <c r="A23" t="s">
        <v>269</v>
      </c>
      <c r="B23" s="46" t="s">
        <v>409</v>
      </c>
      <c r="C23" s="45">
        <v>40893.440000000002</v>
      </c>
    </row>
    <row r="24" spans="1:3" ht="30" x14ac:dyDescent="0.25">
      <c r="A24" t="s">
        <v>270</v>
      </c>
      <c r="B24" s="46" t="s">
        <v>408</v>
      </c>
      <c r="C24" s="45">
        <v>40768</v>
      </c>
    </row>
    <row r="25" spans="1:3" ht="45" x14ac:dyDescent="0.25">
      <c r="A25" t="s">
        <v>270</v>
      </c>
      <c r="B25" s="46" t="s">
        <v>409</v>
      </c>
      <c r="C25" s="45">
        <v>40768</v>
      </c>
    </row>
    <row r="26" spans="1:3" ht="30" x14ac:dyDescent="0.25">
      <c r="A26" t="s">
        <v>271</v>
      </c>
      <c r="B26" s="46" t="s">
        <v>408</v>
      </c>
      <c r="C26" s="45">
        <v>27871.4</v>
      </c>
    </row>
    <row r="27" spans="1:3" ht="45" x14ac:dyDescent="0.25">
      <c r="A27" t="s">
        <v>271</v>
      </c>
      <c r="B27" s="46" t="s">
        <v>409</v>
      </c>
      <c r="C27" s="45">
        <v>27871.39</v>
      </c>
    </row>
    <row r="28" spans="1:3" ht="45" x14ac:dyDescent="0.25">
      <c r="A28" t="s">
        <v>330</v>
      </c>
      <c r="B28" s="46" t="s">
        <v>410</v>
      </c>
      <c r="C28" s="45">
        <v>-1311.73</v>
      </c>
    </row>
    <row r="29" spans="1:3" x14ac:dyDescent="0.25">
      <c r="A29" t="s">
        <v>332</v>
      </c>
      <c r="B29" s="46" t="s">
        <v>411</v>
      </c>
      <c r="C29" s="45">
        <v>61257.01</v>
      </c>
    </row>
    <row r="30" spans="1:3" x14ac:dyDescent="0.25">
      <c r="A30" t="s">
        <v>334</v>
      </c>
      <c r="B30" s="46" t="s">
        <v>411</v>
      </c>
      <c r="C30" s="45">
        <v>68924</v>
      </c>
    </row>
    <row r="31" spans="1:3" ht="45" x14ac:dyDescent="0.25">
      <c r="A31" t="s">
        <v>335</v>
      </c>
      <c r="B31" s="46" t="s">
        <v>412</v>
      </c>
      <c r="C31" s="45">
        <v>23052</v>
      </c>
    </row>
    <row r="32" spans="1:3" ht="75" x14ac:dyDescent="0.25">
      <c r="A32" t="s">
        <v>413</v>
      </c>
      <c r="B32" s="46" t="s">
        <v>414</v>
      </c>
      <c r="C32" s="45">
        <v>4800</v>
      </c>
    </row>
    <row r="33" spans="1:3" ht="75" x14ac:dyDescent="0.25">
      <c r="A33" t="s">
        <v>415</v>
      </c>
      <c r="B33" s="46" t="s">
        <v>414</v>
      </c>
      <c r="C33" s="45">
        <v>9000</v>
      </c>
    </row>
    <row r="34" spans="1:3" ht="90" x14ac:dyDescent="0.25">
      <c r="A34" t="s">
        <v>416</v>
      </c>
      <c r="B34" s="46" t="s">
        <v>417</v>
      </c>
      <c r="C34" s="45">
        <v>57720</v>
      </c>
    </row>
    <row r="35" spans="1:3" ht="120" x14ac:dyDescent="0.25">
      <c r="A35" t="s">
        <v>416</v>
      </c>
      <c r="B35" s="46" t="s">
        <v>418</v>
      </c>
      <c r="C35" s="45">
        <v>29167.84</v>
      </c>
    </row>
    <row r="36" spans="1:3" x14ac:dyDescent="0.25">
      <c r="A36" t="s">
        <v>419</v>
      </c>
      <c r="B36" s="46" t="s">
        <v>420</v>
      </c>
      <c r="C36" s="45">
        <v>11040</v>
      </c>
    </row>
    <row r="37" spans="1:3" x14ac:dyDescent="0.25">
      <c r="A37" t="s">
        <v>223</v>
      </c>
      <c r="B37" s="46" t="s">
        <v>421</v>
      </c>
      <c r="C37" s="45">
        <v>64430.78</v>
      </c>
    </row>
    <row r="38" spans="1:3" ht="75" x14ac:dyDescent="0.25">
      <c r="A38" t="s">
        <v>344</v>
      </c>
      <c r="B38" s="46" t="s">
        <v>422</v>
      </c>
      <c r="C38" s="45">
        <v>-59193.49</v>
      </c>
    </row>
    <row r="39" spans="1:3" x14ac:dyDescent="0.25">
      <c r="A39" t="s">
        <v>0</v>
      </c>
      <c r="B39" s="46"/>
      <c r="C39" s="47">
        <f>SUBTOTAL(109,Tabla1[Imp. aplic.])</f>
        <v>931366.91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D315-334F-49CE-AE58-7111E5840C91}">
  <dimension ref="A1:C40"/>
  <sheetViews>
    <sheetView tabSelected="1" topLeftCell="A19" workbookViewId="0">
      <selection activeCell="C41" sqref="C41"/>
    </sheetView>
  </sheetViews>
  <sheetFormatPr baseColWidth="10" defaultRowHeight="15" x14ac:dyDescent="0.25"/>
  <cols>
    <col min="1" max="1" width="15.140625" customWidth="1"/>
    <col min="2" max="2" width="50" customWidth="1"/>
    <col min="3" max="3" width="15" customWidth="1"/>
  </cols>
  <sheetData>
    <row r="1" spans="1:3" x14ac:dyDescent="0.25">
      <c r="A1" s="64" t="s">
        <v>383</v>
      </c>
      <c r="B1" s="65" t="s">
        <v>180</v>
      </c>
      <c r="C1" s="65" t="s">
        <v>384</v>
      </c>
    </row>
    <row r="2" spans="1:3" x14ac:dyDescent="0.25">
      <c r="A2" s="66" t="s">
        <v>108</v>
      </c>
      <c r="B2" s="67" t="s">
        <v>513</v>
      </c>
      <c r="C2" s="68">
        <v>2030.82</v>
      </c>
    </row>
    <row r="3" spans="1:3" x14ac:dyDescent="0.25">
      <c r="A3" s="69" t="s">
        <v>108</v>
      </c>
      <c r="B3" s="70" t="s">
        <v>514</v>
      </c>
      <c r="C3" s="71">
        <v>40000</v>
      </c>
    </row>
    <row r="4" spans="1:3" x14ac:dyDescent="0.25">
      <c r="A4" s="66" t="s">
        <v>108</v>
      </c>
      <c r="B4" s="67" t="s">
        <v>515</v>
      </c>
      <c r="C4" s="68">
        <v>6685.71</v>
      </c>
    </row>
    <row r="5" spans="1:3" x14ac:dyDescent="0.25">
      <c r="A5" s="69" t="s">
        <v>516</v>
      </c>
      <c r="B5" s="70" t="s">
        <v>517</v>
      </c>
      <c r="C5" s="71">
        <v>15840</v>
      </c>
    </row>
    <row r="6" spans="1:3" x14ac:dyDescent="0.25">
      <c r="A6" s="66" t="s">
        <v>518</v>
      </c>
      <c r="B6" s="67" t="s">
        <v>519</v>
      </c>
      <c r="C6" s="68">
        <v>3102</v>
      </c>
    </row>
    <row r="7" spans="1:3" x14ac:dyDescent="0.25">
      <c r="A7" s="69" t="s">
        <v>520</v>
      </c>
      <c r="B7" s="70" t="s">
        <v>521</v>
      </c>
      <c r="C7" s="71">
        <v>5359.2</v>
      </c>
    </row>
    <row r="8" spans="1:3" x14ac:dyDescent="0.25">
      <c r="A8" s="66" t="s">
        <v>522</v>
      </c>
      <c r="B8" s="67" t="s">
        <v>523</v>
      </c>
      <c r="C8" s="68">
        <v>2965.6</v>
      </c>
    </row>
    <row r="9" spans="1:3" x14ac:dyDescent="0.25">
      <c r="A9" s="69" t="s">
        <v>524</v>
      </c>
      <c r="B9" s="70" t="s">
        <v>525</v>
      </c>
      <c r="C9" s="71">
        <v>1584</v>
      </c>
    </row>
    <row r="10" spans="1:3" x14ac:dyDescent="0.25">
      <c r="A10" s="66" t="s">
        <v>526</v>
      </c>
      <c r="B10" s="67" t="s">
        <v>527</v>
      </c>
      <c r="C10" s="68">
        <v>4391.2</v>
      </c>
    </row>
    <row r="11" spans="1:3" x14ac:dyDescent="0.25">
      <c r="A11" s="69" t="s">
        <v>528</v>
      </c>
      <c r="B11" s="70" t="s">
        <v>529</v>
      </c>
      <c r="C11" s="71">
        <v>880</v>
      </c>
    </row>
    <row r="12" spans="1:3" x14ac:dyDescent="0.25">
      <c r="A12" s="66" t="s">
        <v>530</v>
      </c>
      <c r="B12" s="67" t="s">
        <v>531</v>
      </c>
      <c r="C12" s="68">
        <v>7142.85</v>
      </c>
    </row>
    <row r="13" spans="1:3" x14ac:dyDescent="0.25">
      <c r="A13" s="69" t="s">
        <v>530</v>
      </c>
      <c r="B13" s="70" t="s">
        <v>532</v>
      </c>
      <c r="C13" s="71">
        <v>7142.85</v>
      </c>
    </row>
    <row r="14" spans="1:3" x14ac:dyDescent="0.25">
      <c r="A14" s="66" t="s">
        <v>533</v>
      </c>
      <c r="B14" s="67" t="s">
        <v>534</v>
      </c>
      <c r="C14" s="68">
        <v>4400</v>
      </c>
    </row>
    <row r="15" spans="1:3" x14ac:dyDescent="0.25">
      <c r="A15" s="69" t="s">
        <v>533</v>
      </c>
      <c r="B15" s="70" t="s">
        <v>535</v>
      </c>
      <c r="C15" s="71">
        <v>4400</v>
      </c>
    </row>
    <row r="16" spans="1:3" x14ac:dyDescent="0.25">
      <c r="A16" s="66" t="s">
        <v>536</v>
      </c>
      <c r="B16" s="67" t="s">
        <v>537</v>
      </c>
      <c r="C16" s="68">
        <v>4400</v>
      </c>
    </row>
    <row r="17" spans="1:3" x14ac:dyDescent="0.25">
      <c r="A17" s="69" t="s">
        <v>538</v>
      </c>
      <c r="B17" s="70" t="s">
        <v>539</v>
      </c>
      <c r="C17" s="71">
        <v>10560</v>
      </c>
    </row>
    <row r="18" spans="1:3" x14ac:dyDescent="0.25">
      <c r="A18" s="66" t="s">
        <v>185</v>
      </c>
      <c r="B18" s="67" t="s">
        <v>540</v>
      </c>
      <c r="C18" s="68">
        <v>-1165.2</v>
      </c>
    </row>
    <row r="19" spans="1:3" x14ac:dyDescent="0.25">
      <c r="A19" s="69" t="s">
        <v>214</v>
      </c>
      <c r="B19" s="70" t="s">
        <v>541</v>
      </c>
      <c r="C19" s="71">
        <v>15526.1</v>
      </c>
    </row>
    <row r="20" spans="1:3" x14ac:dyDescent="0.25">
      <c r="A20" s="66" t="s">
        <v>215</v>
      </c>
      <c r="B20" s="67" t="s">
        <v>542</v>
      </c>
      <c r="C20" s="68">
        <v>131560.28</v>
      </c>
    </row>
    <row r="21" spans="1:3" x14ac:dyDescent="0.25">
      <c r="A21" s="69" t="s">
        <v>216</v>
      </c>
      <c r="B21" s="70" t="s">
        <v>542</v>
      </c>
      <c r="C21" s="71">
        <v>142500</v>
      </c>
    </row>
    <row r="22" spans="1:3" x14ac:dyDescent="0.25">
      <c r="A22" s="66" t="s">
        <v>321</v>
      </c>
      <c r="B22" s="67" t="s">
        <v>543</v>
      </c>
      <c r="C22" s="68">
        <v>-2253.1999999999998</v>
      </c>
    </row>
    <row r="23" spans="1:3" x14ac:dyDescent="0.25">
      <c r="A23" s="69" t="s">
        <v>321</v>
      </c>
      <c r="B23" s="70" t="s">
        <v>544</v>
      </c>
      <c r="C23" s="71">
        <v>-858.04</v>
      </c>
    </row>
    <row r="24" spans="1:3" x14ac:dyDescent="0.25">
      <c r="A24" s="66" t="s">
        <v>221</v>
      </c>
      <c r="B24" s="67" t="s">
        <v>545</v>
      </c>
      <c r="C24" s="68">
        <v>-26952.86</v>
      </c>
    </row>
    <row r="25" spans="1:3" x14ac:dyDescent="0.25">
      <c r="A25" s="69" t="s">
        <v>332</v>
      </c>
      <c r="B25" s="70" t="s">
        <v>546</v>
      </c>
      <c r="C25" s="71">
        <v>69400.31</v>
      </c>
    </row>
    <row r="26" spans="1:3" x14ac:dyDescent="0.25">
      <c r="A26" s="66" t="s">
        <v>334</v>
      </c>
      <c r="B26" s="67" t="s">
        <v>546</v>
      </c>
      <c r="C26" s="68">
        <v>81249</v>
      </c>
    </row>
    <row r="27" spans="1:3" x14ac:dyDescent="0.25">
      <c r="A27" s="69" t="s">
        <v>335</v>
      </c>
      <c r="B27" s="70" t="s">
        <v>547</v>
      </c>
      <c r="C27" s="71">
        <v>15910.4</v>
      </c>
    </row>
    <row r="28" spans="1:3" x14ac:dyDescent="0.25">
      <c r="A28" s="66" t="s">
        <v>413</v>
      </c>
      <c r="B28" s="67" t="s">
        <v>548</v>
      </c>
      <c r="C28" s="68">
        <v>-2620.92</v>
      </c>
    </row>
    <row r="29" spans="1:3" x14ac:dyDescent="0.25">
      <c r="A29" s="69" t="s">
        <v>415</v>
      </c>
      <c r="B29" s="70" t="s">
        <v>548</v>
      </c>
      <c r="C29" s="71">
        <v>-442.3</v>
      </c>
    </row>
    <row r="30" spans="1:3" x14ac:dyDescent="0.25">
      <c r="A30" s="66" t="s">
        <v>416</v>
      </c>
      <c r="B30" s="67" t="s">
        <v>549</v>
      </c>
      <c r="C30" s="68">
        <v>5079.3599999999997</v>
      </c>
    </row>
    <row r="31" spans="1:3" x14ac:dyDescent="0.25">
      <c r="A31" s="69" t="s">
        <v>419</v>
      </c>
      <c r="B31" s="70" t="s">
        <v>550</v>
      </c>
      <c r="C31" s="71">
        <v>39763</v>
      </c>
    </row>
    <row r="32" spans="1:3" x14ac:dyDescent="0.25">
      <c r="A32" s="66" t="s">
        <v>419</v>
      </c>
      <c r="B32" s="67" t="s">
        <v>551</v>
      </c>
      <c r="C32" s="68">
        <v>-717.12</v>
      </c>
    </row>
    <row r="33" spans="1:3" x14ac:dyDescent="0.25">
      <c r="A33" s="69" t="s">
        <v>552</v>
      </c>
      <c r="B33" s="70" t="s">
        <v>553</v>
      </c>
      <c r="C33" s="71">
        <v>25000</v>
      </c>
    </row>
    <row r="34" spans="1:3" x14ac:dyDescent="0.25">
      <c r="A34" s="66" t="s">
        <v>554</v>
      </c>
      <c r="B34" s="67" t="s">
        <v>555</v>
      </c>
      <c r="C34" s="68">
        <v>102696.5</v>
      </c>
    </row>
    <row r="35" spans="1:3" x14ac:dyDescent="0.25">
      <c r="A35" s="69" t="s">
        <v>223</v>
      </c>
      <c r="B35" s="70" t="s">
        <v>556</v>
      </c>
      <c r="C35" s="71">
        <v>21476.93</v>
      </c>
    </row>
    <row r="36" spans="1:3" ht="15.75" thickBot="1" x14ac:dyDescent="0.3">
      <c r="A36" s="66" t="s">
        <v>223</v>
      </c>
      <c r="B36" s="67" t="s">
        <v>557</v>
      </c>
      <c r="C36" s="68">
        <v>3172.5</v>
      </c>
    </row>
    <row r="37" spans="1:3" ht="15.75" thickTop="1" x14ac:dyDescent="0.25">
      <c r="A37" s="72" t="s">
        <v>0</v>
      </c>
      <c r="B37" s="73"/>
      <c r="C37" s="74">
        <v>739208.97000000009</v>
      </c>
    </row>
    <row r="40" spans="1:3" x14ac:dyDescent="0.25">
      <c r="B40" s="56" t="s">
        <v>558</v>
      </c>
      <c r="C40" s="57">
        <f>+Tabla1[[#Totals],[Imp. aplic.]]+Tabla3[[#Totals],[Imp.cob.aplic.]]+C37</f>
        <v>3243918.1900000004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2026-05-28T10:58:59Z</dcterms:modified>
</cp:coreProperties>
</file>