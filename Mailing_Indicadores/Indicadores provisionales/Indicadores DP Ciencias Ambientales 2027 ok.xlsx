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49F44298-EAD9-41FE-A766-9091CC4244A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esis" sheetId="2" r:id="rId1"/>
    <sheet name="Sexenios" sheetId="3" r:id="rId2"/>
    <sheet name="Ingresos investigación 2023" sheetId="10" r:id="rId3"/>
    <sheet name="Ingresos investigación 2024" sheetId="11" r:id="rId4"/>
    <sheet name="Ingresos investigación 2025" sheetId="12" r:id="rId5"/>
  </sheets>
  <definedNames>
    <definedName name="_xlnm._FilterDatabase" localSheetId="1" hidden="1">Sexenios!#REF!</definedName>
    <definedName name="_xlnm._FilterDatabase" localSheetId="0" hidden="1">Tesis!$A$1:$T$10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2" l="1"/>
  <c r="C14" i="11"/>
  <c r="C10" i="10"/>
  <c r="S20" i="3" l="1"/>
  <c r="S40" i="2"/>
</calcChain>
</file>

<file path=xl/sharedStrings.xml><?xml version="1.0" encoding="utf-8"?>
<sst xmlns="http://schemas.openxmlformats.org/spreadsheetml/2006/main" count="786" uniqueCount="243">
  <si>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</si>
  <si>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</si>
  <si>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</si>
  <si>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</si>
  <si>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</si>
  <si>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</si>
  <si>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</si>
  <si>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</si>
  <si>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</si>
  <si>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</si>
  <si>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</si>
  <si>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</si>
  <si>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</si>
  <si>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</si>
  <si>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</si>
  <si>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</si>
  <si>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</si>
  <si>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</si>
  <si>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</si>
  <si>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</si>
  <si>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</si>
  <si>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Codirector de tesis </t>
  </si>
  <si>
    <t>10.13</t>
  </si>
  <si>
    <t/>
  </si>
  <si>
    <t>U022 </t>
  </si>
  <si>
    <t>ADM. FACULTAD DE CIENCIAS </t>
  </si>
  <si>
    <t>DOCTORADO EN CIENCIAS EXPERIMENTALES Y BIOSANITARIAS </t>
  </si>
  <si>
    <t>U013 </t>
  </si>
  <si>
    <t>ADM. I.U. BIODIVERSIDAD (CIBIO) </t>
  </si>
  <si>
    <t>18157732Z </t>
  </si>
  <si>
    <t>B103 </t>
  </si>
  <si>
    <t>CIENCIAS AMBIENTALES Y RECURSOS NATURALES </t>
  </si>
  <si>
    <t>B103</t>
  </si>
  <si>
    <t>21501710E </t>
  </si>
  <si>
    <t>DOCTORADO EN BIODIVERSIDAD Y CONSERVACIÓN </t>
  </si>
  <si>
    <t>09288920W </t>
  </si>
  <si>
    <t>44750133E </t>
  </si>
  <si>
    <t>19834950A </t>
  </si>
  <si>
    <t>100</t>
  </si>
  <si>
    <t>12715224L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</si>
  <si>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</si>
  <si>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</si>
  <si>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</si>
  <si>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</si>
  <si>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</si>
  <si>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</si>
  <si>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</si>
  <si>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</si>
  <si>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</si>
  <si>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</si>
  <si>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</si>
  <si>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</si>
  <si>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</si>
  <si>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</si>
  <si>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29071038G</t>
  </si>
  <si>
    <t>74083066C</t>
  </si>
  <si>
    <t>27456413W</t>
  </si>
  <si>
    <t>22682002T</t>
  </si>
  <si>
    <t>18157732Z</t>
  </si>
  <si>
    <t>22139388W</t>
  </si>
  <si>
    <t>12715224L</t>
  </si>
  <si>
    <t>44750133E</t>
  </si>
  <si>
    <t>21501710E</t>
  </si>
  <si>
    <t>22140989Q</t>
  </si>
  <si>
    <t>74336031P</t>
  </si>
  <si>
    <t>09288920W</t>
  </si>
  <si>
    <t>19834950A</t>
  </si>
  <si>
    <t>21487975H</t>
  </si>
  <si>
    <t>35.60.6X.00.01</t>
  </si>
  <si>
    <t>COD DEP</t>
  </si>
  <si>
    <t>Murillo Pacheco, Henry </t>
  </si>
  <si>
    <t>Interactions and mechanisms involved in host range expansion of endoparasitoids to native and invasive species of lepidopteran pests in horticultural agroecosystems in southwestern Ontario Canada </t>
  </si>
  <si>
    <t>10/12/2020 </t>
  </si>
  <si>
    <t>Hernández Corral, Jesús </t>
  </si>
  <si>
    <t>"Diversidad y ecología de araneae y pseudoscorpiones en oquedades arbóreas de quercus pyrenaica en bosques mediterráneos" </t>
  </si>
  <si>
    <t>16/11/2020 </t>
  </si>
  <si>
    <t>Pérez Sánchez, Diana </t>
  </si>
  <si>
    <t>Structure and function of the communities of saproxylic beetles in Mediterranean forests </t>
  </si>
  <si>
    <t>11/12/2020 </t>
  </si>
  <si>
    <t>Rubio Silva, Patricia </t>
  </si>
  <si>
    <t>Determinación del contenido elemental de "Hermetia illucens" y otros dípteros descomponedores, como fuentes de proteínas en alimentación animal </t>
  </si>
  <si>
    <t>30/11/2020 </t>
  </si>
  <si>
    <t>Soria Boix, María del Carmen </t>
  </si>
  <si>
    <t>ZOOGEOGRAFIA Y ECOLOGÍA EVOLUTIVA EL JABALÍ (SUS SCROFA) Y LAS LIEBRES (LEPUS SPP.) EN EL NOROESTE DE ÁFRICA </t>
  </si>
  <si>
    <t>14/10/2020 </t>
  </si>
  <si>
    <t>Lillo , Maria Inés </t>
  </si>
  <si>
    <t>Mejora de la cría artificial de dípteros (Diptera: Syrphidae, Stratiomyidae) con potencial para su utilización en servicios ecosistémicos. Bases para su aplicación en Argentina" </t>
  </si>
  <si>
    <t>19/11/2020 </t>
  </si>
  <si>
    <t>22140989Q </t>
  </si>
  <si>
    <t>Thomas , Arianna </t>
  </si>
  <si>
    <t>Rhiniidae (Diptera: Oestroidea) diversity in South Africa. Taxonomic review and phylogenetic advances for the Afrotropical region </t>
  </si>
  <si>
    <t>24/11/2020 </t>
  </si>
  <si>
    <t>Nolasco Soto, Janet </t>
  </si>
  <si>
    <t>Procesos históricos y contemporáneos que influyen en la estructura filogeográfica y diversidad fenotípica del complejo Canthon cyanellus LeConte (Scarabaeidae: Scarabaeinae) en el Neotrópico de México. </t>
  </si>
  <si>
    <t>01/03/2021 </t>
  </si>
  <si>
    <t>Campoy Pomares, Andrés </t>
  </si>
  <si>
    <t>Análisis y mejora de los principales parámetros biológicos relacionados con la cría artificial de Eristalinus aeneus y Eristalis tenax (Diptera, Syrphidae) para su uso como polinizadores </t>
  </si>
  <si>
    <t>19/02/2021 </t>
  </si>
  <si>
    <t>35.60.6C.00.16</t>
  </si>
  <si>
    <t>Cruz González, Carlos Antonio </t>
  </si>
  <si>
    <t>Ecología del movimiento del jaguar a distintas escalas espaciales </t>
  </si>
  <si>
    <t>03/06/2021 </t>
  </si>
  <si>
    <t>Sáez Forcada, Lidia </t>
  </si>
  <si>
    <t>Effectiveness and management of eristaline hoverflies (Diptera: Syrphidae) as pollinators of protected crops. </t>
  </si>
  <si>
    <t>01/03/2022 </t>
  </si>
  <si>
    <t>Cód. org. aplic.</t>
  </si>
  <si>
    <t>Descripción justificante</t>
  </si>
  <si>
    <t>Imp.cob.aplic.</t>
  </si>
  <si>
    <t>35.60.6C.00.19</t>
  </si>
  <si>
    <t>Aznar Esquembre, Daniel </t>
  </si>
  <si>
    <t>Improvement of the captive rearing and mass production of eristaline hoverflies (Diptera, Syrphidae) </t>
  </si>
  <si>
    <t>22/09/2022 </t>
  </si>
  <si>
    <t>S</t>
  </si>
  <si>
    <t>I.U. BIODIVERSIDAD (CIBIO) </t>
  </si>
  <si>
    <t>Martínez Francés, Vanessa </t>
  </si>
  <si>
    <t>ETHNOBOTANY AND ETHNOPHARMACOLOGY OF WESTERN MEDITERRANEAN HERBAL LIQUORS: FORMULAS AND INGREDIENTS. </t>
  </si>
  <si>
    <t>21/03/2023 </t>
  </si>
  <si>
    <t>74336031P </t>
  </si>
  <si>
    <t>Morollón Ruiz, Sara Teresa </t>
  </si>
  <si>
    <t>Comportamiento espacial y territorial del a¿guila-azor perdicera Aquila fasciata y del a¿guila real Aquila chrysaetos en el sudeste de Espan¿a </t>
  </si>
  <si>
    <t>11/05/2023 </t>
  </si>
  <si>
    <t>53232946K</t>
  </si>
  <si>
    <t>Tercer pago del contrato proyecto Enerstar1-21I</t>
  </si>
  <si>
    <t>SECOND PAYMENT OF SPRING COURSES (COURSES IN SPAIN AND PORTUGAL) SUBCONTRACT (RA-227/21)</t>
  </si>
  <si>
    <t>35.60.6C.00.23</t>
  </si>
  <si>
    <t>Elaboración de la argumentación científica para las propuestas de la inclusión, exclusión o cambio de categoría de taxones en el Listado de Especies Silvestres en Régimen de Protección Especial o en el Catálogo Español de Especies Amenazadas en relación al grupo DIPTERA (4 especies). Contrato nº: 85700</t>
  </si>
  <si>
    <t>35.60.6C.00.24</t>
  </si>
  <si>
    <t>Analizar y escribir la monografía del Programa Migres del aguilucho pálido.</t>
  </si>
  <si>
    <t>35.60.6C.00.25</t>
  </si>
  <si>
    <t>Asistencia científico - técnica y asesoramiento en la efectividad de plaguicidas para dípteros.</t>
  </si>
  <si>
    <t>35.60.6M.00.02</t>
  </si>
  <si>
    <t xml:space="preserve">Impartición curso de Formación Regional Avanzada de sírfidos (Diptera: Syrphidae) </t>
  </si>
  <si>
    <t>35.60.6M.00.03</t>
  </si>
  <si>
    <t>Actividad 1 y 2. Formación avanzada del personal de campo sobre cambios en metodología europea de muestreos de dípteros para técnicos de campo y voluntarios. Contrato MC-88839</t>
  </si>
  <si>
    <t>Segundo Cobro del Proyecto WaysTUP</t>
  </si>
  <si>
    <t>B177</t>
  </si>
  <si>
    <t>PSICOLOGÍA EVOLUTIVA Y DIDÁCTICA</t>
  </si>
  <si>
    <t>DOCTORADO EN INVESTIGACIÓN EDUCATIVA</t>
  </si>
  <si>
    <t>Almeida Shapán, Rita</t>
  </si>
  <si>
    <t>Integración de la etnobotánica en la formación del futuro profesorado de la carrera de pedagogía de las ciencias experimentales química y biología de la universidad central del ecuador.</t>
  </si>
  <si>
    <t>23/10/2023</t>
  </si>
  <si>
    <t>48351430W</t>
  </si>
  <si>
    <t>Codirector de tesis</t>
  </si>
  <si>
    <t>CIENCIAS AMBIENTALES Y RECURSOS NATURALES</t>
  </si>
  <si>
    <t>U013</t>
  </si>
  <si>
    <t>I.U. BIODIVERSIDAD (CIBIO)</t>
  </si>
  <si>
    <t>DOCTORADO EN BIODIVERSIDAD Y CONSERVACIÓN</t>
  </si>
  <si>
    <t>Monzo Gimenez, Jose Carlos</t>
  </si>
  <si>
    <t>Rehabilitación de infraestructuras hidráulicas tradicionales como estrategia de conservación de la biodiversidad en el humedal de Pinoso (Alicante)</t>
  </si>
  <si>
    <t>17/04/2024</t>
  </si>
  <si>
    <t>Director de tesis</t>
  </si>
  <si>
    <t>Aguado Aranda, Pablo</t>
  </si>
  <si>
    <t>Revisión taxonómica y sistemática del género Eumerus Meigen, 1822 (Diptera:Syrphidae) en el Mediterráneo occidental, con énfasis en el área ibero-balear</t>
  </si>
  <si>
    <t>03/07/2024</t>
  </si>
  <si>
    <t>Orengo Green, José Javier</t>
  </si>
  <si>
    <t>Morfología funcional de las fases preimaginales de sírfidos de Eristalinae y Syrphinae (Diptera: Syrphidae)</t>
  </si>
  <si>
    <t>06/05/2024</t>
  </si>
  <si>
    <t>Martínez Pérez, Sandra</t>
  </si>
  <si>
    <t>COLEÓPTEROS SAPROXÍLICOS EN BOSQUE MEDITERRÁNEO: UNA APROXIMACIÓN</t>
  </si>
  <si>
    <t>24/10/2023</t>
  </si>
  <si>
    <t>Becerra Ramirez, Maria Teresa</t>
  </si>
  <si>
    <t>APORTES A LA TAXONOMÍA Y CONSERVACIÓN DE LAS ESPECIES DEL GÉNERO ESPELETIA (ASTERACEAE) EN COLOMBIA</t>
  </si>
  <si>
    <t>06/09/2024</t>
  </si>
  <si>
    <t>Urrutia Sánchez, Miguel Ángel</t>
  </si>
  <si>
    <t>Estudio de nuevos protocolos para analizar los efectos de la ivermectina en la ecofisiología y diversidad de los coleópteros coprófagos (Coleoptera: Scarabaeoidea: Aphodiidae, Geotrupidae, Scarabaeidae)</t>
  </si>
  <si>
    <t>13/09/2024</t>
  </si>
  <si>
    <t>U022</t>
  </si>
  <si>
    <t>ADM. FACULTAD DE CIENCIAS</t>
  </si>
  <si>
    <t>DOCTORADO EN CIENCIAS EXPERIMENTALES Y BIOSANITARIAS</t>
  </si>
  <si>
    <t>Aracil Gisbert, Andrea</t>
  </si>
  <si>
    <t>Morphological studies, life cycle and applied research on hoverflies: an approach from the tribes Merodontini and Eristalini (Diptera: Syrphidae, Eristalinae)</t>
  </si>
  <si>
    <t>02/05/2024</t>
  </si>
  <si>
    <t>García Macía, Jorge</t>
  </si>
  <si>
    <t>Comportamiento espacial y migratorio de aves rapaces (Accipitridae y Falconidae) en el Paleártico Occidental</t>
  </si>
  <si>
    <t>28/02/2024</t>
  </si>
  <si>
    <t>48316388N</t>
  </si>
  <si>
    <t>48349578J</t>
  </si>
  <si>
    <t>Org. aplic.</t>
  </si>
  <si>
    <t>Imp. aplic.</t>
  </si>
  <si>
    <t>THIRD PAYMENT OF SPRING COURSES (COURSES IN SPAIN AND PORTUGAL) SUBCONTRACT (RA-227/21)</t>
  </si>
  <si>
    <t>Asistencia científico-técnica y asesoramiento en la efectividad de plaguicidas para dípteros.</t>
  </si>
  <si>
    <t>35.60.6C.00.26</t>
  </si>
  <si>
    <t>PROCESADO y SEPARADO de polinizadores del orden DÍPTEROS familia Syrphidae  (MC 91155)</t>
  </si>
  <si>
    <t>35.60.6C.00.27</t>
  </si>
  <si>
    <t>CONTRATO MENOR PARA LA PREVENCIÓN DE IMPACTOS NEGATIVOS Y LA DETECCIÓN TEMPRANA DEL ALGA EXÓTICA INVASORA Rugulopterix okamurae EN AGUAS DE LA COMUNITAT VALENCIANA MEDIANTE LA CREACIÓN DE UNA RED DE SEGUIMIENTO. CMENOR/2023/07N06/457</t>
  </si>
  <si>
    <t>35.60.6C.00.28</t>
  </si>
  <si>
    <t>PERITACIÓN JUDICIAL Y REDACCIÓN DE INFORME/DICTAMEN SOBRE LA PRESENCIA DE TEUCRIUM LEPICEPHALUM Y BARLIA ROBERTIANA Y EL EFECTO QUE SOBRE SUS POBLACIONES Y HÁBITATS PUEDAN TENER LAS TRANSFORMACIONES QUE AFECTAN AL PROGRAMA DE ACTUACIÓN INTEGRADA DE LA UNIDAD DE EJECUCIÓN Nº 1 DEL SECTOR LA SERRETA</t>
  </si>
  <si>
    <t>35.60.6C.00.29</t>
  </si>
  <si>
    <t>MARCAJE Y SEGUIMIENTO DE LA COLONIA DE CERNÍCALOS PRIMILLAS DE "CASAS DE LA MORALEJA" DEL AÑO 2024 (PRIMER PAGO - Referencia: GECAMA1-24I)</t>
  </si>
  <si>
    <t>MARCAJE Y SEGUIMIENTO DE LA COLONIA DE CERNÍCALOS PRIMILLAS DE "CASAS DE LA MORALEJA" DEL AÑO 2024) (SEGUNDO PAGO- Referencia: GECAMA1-24I)</t>
  </si>
  <si>
    <t>35.60.6C.00.30</t>
  </si>
  <si>
    <t>Trabajo de campo de rapaces migradoras, análisis y publicación de los resultados. (Primer pago)</t>
  </si>
  <si>
    <t>Trabajo de campo de rapaces migradoras, análisis y publicación de los resultados. (Segundo pago)</t>
  </si>
  <si>
    <t>35.60.6C.00.31</t>
  </si>
  <si>
    <t>REVISIÓN TAXONÓMICA Y CONSULTA DE COLECCIÓN DÍPTERA SYRPHIDAE. PRIMER PAGO. MC 105117</t>
  </si>
  <si>
    <t>Actividad 3. Formación avanzada del personal de campo sobre cambios en metodología europea de muestreos de dípteros para técnicos de campo. Contrato MC-88839</t>
  </si>
  <si>
    <t>ÚLTIMO COBRO DEL PROYECTO WAYSTUP!</t>
  </si>
  <si>
    <t>Administración Centro Iberoamericano de la Biodiversidad</t>
  </si>
  <si>
    <t>Terrones Contreras, Alejandro</t>
  </si>
  <si>
    <t>Filogeografía y procesos de hibridación a diferentes escalas en especies mediterráneas del género Tamarix (Tamaricaceae)</t>
  </si>
  <si>
    <t>26/05/2025</t>
  </si>
  <si>
    <t>Ciencias Ambientales y Recursos Naturales</t>
  </si>
  <si>
    <t>Administración Facultad de Ciencias</t>
  </si>
  <si>
    <t>Doménech Pérez, Carles</t>
  </si>
  <si>
    <t>Avances en sistemática, taxonomía, nomenclatura y distribución geográfica de ciempiés del
orden Scolopendromorpha (Myriapoda: Chilopoda), incluyendo la descripción de una nueva especie
del género Scolopendra Linnaeus, 1758</t>
  </si>
  <si>
    <t>19/09/2025</t>
  </si>
  <si>
    <t>Abellán Zárate, Mónica</t>
  </si>
  <si>
    <t>From basic biology to applied research: Multidisciplinary research on the housefly (Musca domestica) in the European context</t>
  </si>
  <si>
    <t>16/07/2025</t>
  </si>
  <si>
    <t>2020</t>
  </si>
  <si>
    <t>2021</t>
  </si>
  <si>
    <t>2022</t>
  </si>
  <si>
    <t>2023</t>
  </si>
  <si>
    <t>2024</t>
  </si>
  <si>
    <t>2025</t>
  </si>
  <si>
    <t>Rojo Velasco, Santos</t>
  </si>
  <si>
    <t>Marcos García, María de los Ángeles</t>
  </si>
  <si>
    <t>Galante Patiño, Eduardo</t>
  </si>
  <si>
    <t>Emérito</t>
  </si>
  <si>
    <t>Urios Moliner, Vicente</t>
  </si>
  <si>
    <t>Verdú Faraco, José Ramón</t>
  </si>
  <si>
    <t xml:space="preserve">Micó  Balaguer, Estefanía </t>
  </si>
  <si>
    <t>Juan Gallardo, Ana Isabel</t>
  </si>
  <si>
    <t>Pérez Bañón, Mª Celeste</t>
  </si>
  <si>
    <t>Crespo Villalba, Manuel Benito</t>
  </si>
  <si>
    <t>Casas Martínez, José Luis</t>
  </si>
  <si>
    <t>Alonso Vargas, María Ángeles</t>
  </si>
  <si>
    <t>Martínez Sánchez, Ana Isabel</t>
  </si>
  <si>
    <t>Pena Martin, Carolina</t>
  </si>
  <si>
    <t>Mazón Morales, Marina</t>
  </si>
  <si>
    <t>Martínez Azorin, Mario</t>
  </si>
  <si>
    <t>Ricarte Sabater, Antonio Ramón</t>
  </si>
  <si>
    <t>Bordera Sanjuán, Santiago</t>
  </si>
  <si>
    <t>Ríos Ruiz, Segundo</t>
  </si>
  <si>
    <t>REVISIÓN TAXONÓMICA Y CONSULTA DE COLECCIÓN DÍPTERA SYRPHIDAE.  SEGUNDO PAGO. MC 105117.</t>
  </si>
  <si>
    <t>35.60.6C.00.32</t>
  </si>
  <si>
    <t>MARCAJE Y SEGUIMIENTO DE LA COLONIA DE CERNÍCALOS PRIMILLAS DE "CASAS DE LA MORALEJA" DEL AÑO 2025 (PRIMER PAGO-Referencia: GECAMA1-25I)</t>
  </si>
  <si>
    <t>MARCAJE Y SEGUIMIENTO DE LA COLONIA DE CERNÍCALOS PRIMILLAS DE "CASAS DE LA MORALEJA" DEL AÑO 2025 (SEGUNDO PAGO-Referencia: GECAMA1-25I)</t>
  </si>
  <si>
    <t>35.60.6C.00.33</t>
  </si>
  <si>
    <t>Apoyo al seguimiento de sírfidos en el proyecto APISOST:  diseño metodología muestreos, tratamiento de muestras en laboratorio e identificación taxonómica de especímenes.</t>
  </si>
  <si>
    <t>35.60.6C.00.34</t>
  </si>
  <si>
    <t>Pupae required for experiments under Task 4 of the Wild Posh project: Subcontracting for the purpose of production of pupae of several species of hoverflies that were used in the EU-funded research project titled Wild Posh (Pan-European assessment, monitoring and mitigation of chemical stressors on the health of wild pollinators).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</si>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</sst>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0" fillId="0" borderId="0" applyFont="0" applyFill="0" applyBorder="0" applyAlignment="0" applyProtection="0"/>
  </cellStyleXfs>
  <cellXfs count="6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0" fillId="0" borderId="1" xfId="0" applyBorder="1"/>
    <xf numFmtId="0" fontId="8" fillId="3" borderId="1" xfId="3" applyFont="1" applyFill="1" applyBorder="1" applyAlignment="1">
      <alignment horizontal="center" wrapText="1"/>
    </xf>
    <xf numFmtId="43" fontId="0" fillId="7" borderId="2" xfId="6" applyNumberFormat="1" applyFont="1" applyFill="1" applyBorder="1"/>
    <xf numFmtId="43" fontId="0" fillId="0" borderId="2" xfId="6" applyNumberFormat="1" applyFont="1" applyBorder="1"/>
    <xf numFmtId="0" fontId="2" fillId="0" borderId="1" xfId="1" applyBorder="1"/>
    <xf numFmtId="0" fontId="2" fillId="4" borderId="3" xfId="1" applyFill="1" applyBorder="1"/>
    <xf numFmtId="0" fontId="13" fillId="8" borderId="1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3" fillId="8" borderId="6" xfId="0" applyFont="1" applyFill="1" applyBorder="1" applyAlignment="1">
      <alignment horizontal="left" vertical="center"/>
    </xf>
    <xf numFmtId="0" fontId="2" fillId="0" borderId="1" xfId="0" applyFont="1" applyBorder="1"/>
    <xf numFmtId="0" fontId="6" fillId="0" borderId="0" xfId="0" applyFont="1"/>
    <xf numFmtId="0" fontId="2" fillId="2" borderId="0" xfId="1" applyFill="1"/>
    <xf numFmtId="165" fontId="2" fillId="2" borderId="0" xfId="1" applyNumberFormat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0" fontId="9" fillId="7" borderId="2" xfId="0" applyFont="1" applyFill="1" applyBorder="1"/>
    <xf numFmtId="43" fontId="6" fillId="7" borderId="2" xfId="6" applyNumberFormat="1" applyFont="1" applyFill="1" applyBorder="1"/>
    <xf numFmtId="0" fontId="9" fillId="0" borderId="2" xfId="0" applyFont="1" applyBorder="1"/>
    <xf numFmtId="43" fontId="6" fillId="0" borderId="2" xfId="6" applyNumberFormat="1" applyFont="1" applyBorder="1"/>
    <xf numFmtId="43" fontId="0" fillId="0" borderId="0" xfId="0" applyNumberFormat="1"/>
    <xf numFmtId="0" fontId="9" fillId="2" borderId="0" xfId="5" applyFont="1" applyFill="1"/>
    <xf numFmtId="0" fontId="9" fillId="2" borderId="0" xfId="5" applyFont="1" applyFill="1" applyAlignment="1">
      <alignment horizontal="right"/>
    </xf>
    <xf numFmtId="0" fontId="9" fillId="0" borderId="1" xfId="5" applyFont="1" applyBorder="1"/>
    <xf numFmtId="0" fontId="9" fillId="0" borderId="1" xfId="5" applyFont="1" applyBorder="1" applyAlignment="1">
      <alignment horizontal="right"/>
    </xf>
    <xf numFmtId="0" fontId="12" fillId="2" borderId="0" xfId="5" applyFont="1" applyFill="1"/>
    <xf numFmtId="0" fontId="11" fillId="6" borderId="7" xfId="0" applyFont="1" applyFill="1" applyBorder="1"/>
    <xf numFmtId="0" fontId="9" fillId="0" borderId="8" xfId="0" applyFont="1" applyBorder="1"/>
    <xf numFmtId="43" fontId="6" fillId="0" borderId="8" xfId="6" applyNumberFormat="1" applyFont="1" applyBorder="1"/>
    <xf numFmtId="43" fontId="6" fillId="0" borderId="8" xfId="0" applyNumberFormat="1" applyFont="1" applyBorder="1"/>
    <xf numFmtId="0" fontId="0" fillId="7" borderId="2" xfId="0" applyNumberFormat="1" applyFont="1" applyFill="1" applyBorder="1"/>
    <xf numFmtId="0" fontId="0" fillId="0" borderId="2" xfId="0" applyNumberFormat="1" applyFont="1" applyBorder="1"/>
    <xf numFmtId="0" fontId="14" fillId="6" borderId="7" xfId="0" applyFont="1" applyFill="1" applyBorder="1"/>
    <xf numFmtId="43" fontId="14" fillId="6" borderId="7" xfId="6" applyNumberFormat="1" applyFont="1" applyFill="1" applyBorder="1"/>
    <xf numFmtId="0" fontId="0" fillId="0" borderId="8" xfId="0" applyNumberFormat="1" applyFont="1" applyBorder="1"/>
    <xf numFmtId="43" fontId="0" fillId="0" borderId="8" xfId="6" applyNumberFormat="1" applyFont="1" applyBorder="1"/>
    <xf numFmtId="0" fontId="0" fillId="0" borderId="8" xfId="0" applyFont="1" applyBorder="1"/>
    <xf numFmtId="43" fontId="10" fillId="0" borderId="8" xfId="0" applyNumberFormat="1" applyFont="1" applyBorder="1"/>
    <xf numFmtId="4" fontId="15" fillId="0" borderId="1" xfId="0" applyNumberFormat="1" applyFont="1" applyBorder="1"/>
    <xf numFmtId="0" fontId="1" fillId="0" borderId="1" xfId="0" applyFont="1" applyBorder="1"/>
    <xf numFmtId="0" fontId="11" fillId="9" borderId="9" xfId="0" applyFont="1" applyFill="1" applyBorder="1"/>
    <xf numFmtId="0" fontId="11" fillId="9" borderId="10" xfId="0" applyFont="1" applyFill="1" applyBorder="1"/>
    <xf numFmtId="0" fontId="9" fillId="10" borderId="9" xfId="0" applyFont="1" applyFill="1" applyBorder="1"/>
    <xf numFmtId="0" fontId="9" fillId="10" borderId="10" xfId="0" applyFont="1" applyFill="1" applyBorder="1"/>
    <xf numFmtId="164" fontId="9" fillId="10" borderId="10" xfId="6" applyFont="1" applyFill="1" applyBorder="1"/>
    <xf numFmtId="0" fontId="9" fillId="0" borderId="9" xfId="0" applyFont="1" applyBorder="1"/>
    <xf numFmtId="0" fontId="9" fillId="0" borderId="10" xfId="0" applyFont="1" applyBorder="1"/>
    <xf numFmtId="164" fontId="9" fillId="0" borderId="10" xfId="6" applyFont="1" applyBorder="1"/>
    <xf numFmtId="0" fontId="12" fillId="0" borderId="11" xfId="0" applyFont="1" applyBorder="1"/>
    <xf numFmtId="0" fontId="12" fillId="0" borderId="12" xfId="0" applyFont="1" applyBorder="1"/>
    <xf numFmtId="164" fontId="12" fillId="0" borderId="12" xfId="6" applyFont="1" applyBorder="1"/>
    <xf numFmtId="0" fontId="15" fillId="0" borderId="1" xfId="0" applyFont="1" applyBorder="1" applyAlignment="1">
      <alignment horizontal="left"/>
    </xf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DEBB63-7A22-4D01-961D-6D3212CF1878}" name="Tabla3" displayName="Tabla3" ref="A1:C10" totalsRowCount="1" headerRowDxfId="18" headerRowBorderDxfId="17" tableBorderDxfId="16" totalsRowBorderDxfId="15">
  <autoFilter ref="A1:C9" xr:uid="{F20B4116-78D5-487E-A5B9-ABC62E1E28DF}"/>
  <tableColumns count="3">
    <tableColumn id="1" xr3:uid="{523773B2-9E70-492D-AE7B-FA3C7EC0AF65}" name="Cód. org. aplic." totalsRowLabel="Total" dataDxfId="14" totalsRowDxfId="13"/>
    <tableColumn id="2" xr3:uid="{24210C12-6100-4F52-9E98-6F913E2D9B89}" name="Descripción justificante" dataDxfId="12" totalsRowDxfId="11"/>
    <tableColumn id="3" xr3:uid="{A793DEFB-CA09-4FDE-B3D9-B26B10B0AC79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A4114B-0D1D-498C-9A68-82C9DE74DCF2}" name="Tabla4" displayName="Tabla4" ref="A1:C14" totalsRowCount="1" headerRowBorderDxfId="8" tableBorderDxfId="7" totalsRowBorderDxfId="6">
  <autoFilter ref="A1:C13" xr:uid="{50845119-2FA0-4DFB-84C8-A91C3A064BF3}"/>
  <tableColumns count="3">
    <tableColumn id="1" xr3:uid="{F9C130BE-2573-40B6-9B21-4C9E628846C8}" name="Org. aplic." totalsRowLabel="Total" dataDxfId="5" totalsRowDxfId="4"/>
    <tableColumn id="2" xr3:uid="{A2BE0AD9-643A-448F-BA2D-67AE6F505AAD}" name="Descripción justificante" dataDxfId="3" totalsRowDxfId="2"/>
    <tableColumn id="3" xr3:uid="{350D7F05-81E3-4227-B79F-F4461549EC56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0"/>
  <sheetViews>
    <sheetView showGridLines="0" zoomScale="146" zoomScaleNormal="146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Q46" sqref="Q46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39.7109375" style="6" customWidth="1"/>
    <col min="11" max="11" width="5.140625" style="6" customWidth="1"/>
    <col min="12" max="12" width="4.42578125" style="6" customWidth="1"/>
    <col min="13" max="13" width="4.85546875" style="6" customWidth="1"/>
    <col min="14" max="14" width="4.85546875" style="7" customWidth="1"/>
    <col min="15" max="15" width="4.85546875" style="6" customWidth="1"/>
    <col min="16" max="16" width="3.5703125" style="7" customWidth="1"/>
    <col min="17" max="17" width="3.5703125" style="6" customWidth="1"/>
    <col min="18" max="20" width="5.140625" style="6" customWidth="1"/>
    <col min="21" max="16384" width="10.28515625" style="6"/>
  </cols>
  <sheetData>
    <row r="1" spans="1:20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</row>
    <row r="2" spans="1:20" x14ac:dyDescent="0.2">
      <c r="A2" s="15" t="s">
        <v>27</v>
      </c>
      <c r="B2" s="15" t="s">
        <v>28</v>
      </c>
      <c r="C2" s="15" t="s">
        <v>34</v>
      </c>
      <c r="D2" s="15" t="s">
        <v>70</v>
      </c>
      <c r="E2" s="15" t="s">
        <v>71</v>
      </c>
      <c r="F2" s="15" t="s">
        <v>72</v>
      </c>
      <c r="G2" s="15" t="s">
        <v>39</v>
      </c>
      <c r="H2" s="15" t="s">
        <v>21</v>
      </c>
      <c r="I2" s="15" t="s">
        <v>30</v>
      </c>
      <c r="J2" s="15" t="s">
        <v>31</v>
      </c>
      <c r="K2" s="21">
        <v>0.5</v>
      </c>
      <c r="L2" s="21" t="s">
        <v>32</v>
      </c>
      <c r="M2" s="22">
        <v>2019</v>
      </c>
      <c r="N2" s="15" t="s">
        <v>22</v>
      </c>
      <c r="O2" s="16">
        <v>100</v>
      </c>
      <c r="P2" s="15" t="s">
        <v>23</v>
      </c>
      <c r="Q2" s="16">
        <v>0</v>
      </c>
      <c r="R2" s="15">
        <v>0</v>
      </c>
      <c r="S2" s="15">
        <v>0</v>
      </c>
      <c r="T2" s="15">
        <v>0.5</v>
      </c>
    </row>
    <row r="3" spans="1:20" x14ac:dyDescent="0.2">
      <c r="A3" s="15" t="s">
        <v>27</v>
      </c>
      <c r="B3" s="15" t="s">
        <v>28</v>
      </c>
      <c r="C3" s="15" t="s">
        <v>34</v>
      </c>
      <c r="D3" s="15" t="s">
        <v>73</v>
      </c>
      <c r="E3" s="15" t="s">
        <v>74</v>
      </c>
      <c r="F3" s="15" t="s">
        <v>75</v>
      </c>
      <c r="G3" s="15" t="s">
        <v>33</v>
      </c>
      <c r="H3" s="15" t="s">
        <v>21</v>
      </c>
      <c r="I3" s="15" t="s">
        <v>30</v>
      </c>
      <c r="J3" s="15" t="s">
        <v>31</v>
      </c>
      <c r="K3" s="21">
        <v>0.5</v>
      </c>
      <c r="L3" s="21" t="s">
        <v>32</v>
      </c>
      <c r="M3" s="22">
        <v>2019</v>
      </c>
      <c r="N3" s="15" t="s">
        <v>22</v>
      </c>
      <c r="O3" s="16">
        <v>100</v>
      </c>
      <c r="P3" s="15" t="s">
        <v>23</v>
      </c>
      <c r="Q3" s="16">
        <v>0</v>
      </c>
      <c r="R3" s="15">
        <v>0</v>
      </c>
      <c r="S3" s="15">
        <v>0</v>
      </c>
      <c r="T3" s="15">
        <v>0.5</v>
      </c>
    </row>
    <row r="4" spans="1:20" x14ac:dyDescent="0.2">
      <c r="A4" s="15" t="s">
        <v>27</v>
      </c>
      <c r="B4" s="15" t="s">
        <v>28</v>
      </c>
      <c r="C4" s="15" t="s">
        <v>34</v>
      </c>
      <c r="D4" s="15" t="s">
        <v>76</v>
      </c>
      <c r="E4" s="15" t="s">
        <v>77</v>
      </c>
      <c r="F4" s="15" t="s">
        <v>78</v>
      </c>
      <c r="G4" s="15" t="s">
        <v>29</v>
      </c>
      <c r="H4" s="15" t="s">
        <v>21</v>
      </c>
      <c r="I4" s="15" t="s">
        <v>30</v>
      </c>
      <c r="J4" s="15" t="s">
        <v>31</v>
      </c>
      <c r="K4" s="21">
        <v>0.5</v>
      </c>
      <c r="L4" s="21" t="s">
        <v>32</v>
      </c>
      <c r="M4" s="22">
        <v>2019</v>
      </c>
      <c r="N4" s="15" t="s">
        <v>22</v>
      </c>
      <c r="O4" s="16">
        <v>100</v>
      </c>
      <c r="P4" s="15" t="s">
        <v>23</v>
      </c>
      <c r="Q4" s="16">
        <v>0</v>
      </c>
      <c r="R4" s="15">
        <v>0</v>
      </c>
      <c r="S4" s="15">
        <v>0</v>
      </c>
      <c r="T4" s="15">
        <v>0.5</v>
      </c>
    </row>
    <row r="5" spans="1:20" x14ac:dyDescent="0.2">
      <c r="A5" s="15" t="s">
        <v>27</v>
      </c>
      <c r="B5" s="15" t="s">
        <v>28</v>
      </c>
      <c r="C5" s="15" t="s">
        <v>34</v>
      </c>
      <c r="D5" s="15" t="s">
        <v>76</v>
      </c>
      <c r="E5" s="15" t="s">
        <v>77</v>
      </c>
      <c r="F5" s="15" t="s">
        <v>78</v>
      </c>
      <c r="G5" s="15" t="s">
        <v>33</v>
      </c>
      <c r="H5" s="15" t="s">
        <v>21</v>
      </c>
      <c r="I5" s="15" t="s">
        <v>30</v>
      </c>
      <c r="J5" s="15" t="s">
        <v>31</v>
      </c>
      <c r="K5" s="21">
        <v>0.5</v>
      </c>
      <c r="L5" s="21" t="s">
        <v>32</v>
      </c>
      <c r="M5" s="22">
        <v>2019</v>
      </c>
      <c r="N5" s="15" t="s">
        <v>22</v>
      </c>
      <c r="O5" s="16">
        <v>100</v>
      </c>
      <c r="P5" s="15" t="s">
        <v>23</v>
      </c>
      <c r="Q5" s="16">
        <v>0</v>
      </c>
      <c r="R5" s="15">
        <v>0</v>
      </c>
      <c r="S5" s="15">
        <v>0</v>
      </c>
      <c r="T5" s="15">
        <v>0.5</v>
      </c>
    </row>
    <row r="6" spans="1:20" x14ac:dyDescent="0.2">
      <c r="A6" s="15" t="s">
        <v>24</v>
      </c>
      <c r="B6" s="15" t="s">
        <v>25</v>
      </c>
      <c r="C6" s="15" t="s">
        <v>26</v>
      </c>
      <c r="D6" s="15" t="s">
        <v>79</v>
      </c>
      <c r="E6" s="15" t="s">
        <v>80</v>
      </c>
      <c r="F6" s="15" t="s">
        <v>81</v>
      </c>
      <c r="G6" s="15" t="s">
        <v>35</v>
      </c>
      <c r="H6" s="15" t="s">
        <v>21</v>
      </c>
      <c r="I6" s="15" t="s">
        <v>30</v>
      </c>
      <c r="J6" s="15" t="s">
        <v>31</v>
      </c>
      <c r="K6" s="21">
        <v>0.33333333333333331</v>
      </c>
      <c r="L6" s="21" t="s">
        <v>32</v>
      </c>
      <c r="M6" s="22">
        <v>2019</v>
      </c>
      <c r="N6" s="15" t="s">
        <v>23</v>
      </c>
      <c r="O6" s="16" t="s">
        <v>23</v>
      </c>
      <c r="P6" s="15" t="s">
        <v>23</v>
      </c>
      <c r="Q6" s="16" t="s">
        <v>23</v>
      </c>
      <c r="R6" s="15">
        <v>100</v>
      </c>
      <c r="S6" s="15">
        <v>0.33333333333333326</v>
      </c>
      <c r="T6" s="15">
        <v>0</v>
      </c>
    </row>
    <row r="7" spans="1:20" x14ac:dyDescent="0.2">
      <c r="A7" s="15" t="s">
        <v>24</v>
      </c>
      <c r="B7" s="15" t="s">
        <v>25</v>
      </c>
      <c r="C7" s="15" t="s">
        <v>26</v>
      </c>
      <c r="D7" s="15" t="s">
        <v>79</v>
      </c>
      <c r="E7" s="15" t="s">
        <v>80</v>
      </c>
      <c r="F7" s="15" t="s">
        <v>81</v>
      </c>
      <c r="G7" s="15" t="s">
        <v>36</v>
      </c>
      <c r="H7" s="15" t="s">
        <v>21</v>
      </c>
      <c r="I7" s="15" t="s">
        <v>30</v>
      </c>
      <c r="J7" s="15" t="s">
        <v>31</v>
      </c>
      <c r="K7" s="21">
        <v>0.33333333333333331</v>
      </c>
      <c r="L7" s="21" t="s">
        <v>32</v>
      </c>
      <c r="M7" s="22">
        <v>2019</v>
      </c>
      <c r="N7" s="15" t="s">
        <v>23</v>
      </c>
      <c r="O7" s="16" t="s">
        <v>23</v>
      </c>
      <c r="P7" s="15" t="s">
        <v>23</v>
      </c>
      <c r="Q7" s="16" t="s">
        <v>23</v>
      </c>
      <c r="R7" s="15">
        <v>100</v>
      </c>
      <c r="S7" s="15">
        <v>0.33333333333333326</v>
      </c>
      <c r="T7" s="15">
        <v>0</v>
      </c>
    </row>
    <row r="8" spans="1:20" x14ac:dyDescent="0.2">
      <c r="A8" s="15" t="s">
        <v>24</v>
      </c>
      <c r="B8" s="15" t="s">
        <v>25</v>
      </c>
      <c r="C8" s="15" t="s">
        <v>26</v>
      </c>
      <c r="D8" s="15" t="s">
        <v>82</v>
      </c>
      <c r="E8" s="15" t="s">
        <v>83</v>
      </c>
      <c r="F8" s="15" t="s">
        <v>84</v>
      </c>
      <c r="G8" s="15" t="s">
        <v>37</v>
      </c>
      <c r="H8" s="15" t="s">
        <v>21</v>
      </c>
      <c r="I8" s="15" t="s">
        <v>30</v>
      </c>
      <c r="J8" s="15" t="s">
        <v>31</v>
      </c>
      <c r="K8" s="21">
        <v>0.5</v>
      </c>
      <c r="L8" s="21" t="s">
        <v>32</v>
      </c>
      <c r="M8" s="22">
        <v>2019</v>
      </c>
      <c r="N8" s="15" t="s">
        <v>23</v>
      </c>
      <c r="O8" s="16" t="s">
        <v>23</v>
      </c>
      <c r="P8" s="15" t="s">
        <v>23</v>
      </c>
      <c r="Q8" s="16" t="s">
        <v>23</v>
      </c>
      <c r="R8" s="15">
        <v>100</v>
      </c>
      <c r="S8" s="15">
        <v>0.5</v>
      </c>
      <c r="T8" s="15">
        <v>0</v>
      </c>
    </row>
    <row r="9" spans="1:20" x14ac:dyDescent="0.2">
      <c r="A9" s="15" t="s">
        <v>24</v>
      </c>
      <c r="B9" s="15" t="s">
        <v>25</v>
      </c>
      <c r="C9" s="15" t="s">
        <v>26</v>
      </c>
      <c r="D9" s="15" t="s">
        <v>85</v>
      </c>
      <c r="E9" s="15" t="s">
        <v>86</v>
      </c>
      <c r="F9" s="15" t="s">
        <v>87</v>
      </c>
      <c r="G9" s="15" t="s">
        <v>35</v>
      </c>
      <c r="H9" s="15" t="s">
        <v>21</v>
      </c>
      <c r="I9" s="15" t="s">
        <v>30</v>
      </c>
      <c r="J9" s="15" t="s">
        <v>31</v>
      </c>
      <c r="K9" s="21">
        <v>0.5</v>
      </c>
      <c r="L9" s="21" t="s">
        <v>32</v>
      </c>
      <c r="M9" s="22">
        <v>2019</v>
      </c>
      <c r="N9" s="15" t="s">
        <v>23</v>
      </c>
      <c r="O9" s="16" t="s">
        <v>23</v>
      </c>
      <c r="P9" s="15" t="s">
        <v>23</v>
      </c>
      <c r="Q9" s="16" t="s">
        <v>23</v>
      </c>
      <c r="R9" s="15">
        <v>100</v>
      </c>
      <c r="S9" s="15">
        <v>0.5</v>
      </c>
      <c r="T9" s="15">
        <v>0</v>
      </c>
    </row>
    <row r="10" spans="1:20" x14ac:dyDescent="0.2">
      <c r="A10" s="15" t="s">
        <v>24</v>
      </c>
      <c r="B10" s="15" t="s">
        <v>25</v>
      </c>
      <c r="C10" s="15" t="s">
        <v>26</v>
      </c>
      <c r="D10" s="15" t="s">
        <v>85</v>
      </c>
      <c r="E10" s="15" t="s">
        <v>86</v>
      </c>
      <c r="F10" s="15" t="s">
        <v>87</v>
      </c>
      <c r="G10" s="15" t="s">
        <v>88</v>
      </c>
      <c r="H10" s="15" t="s">
        <v>21</v>
      </c>
      <c r="I10" s="15" t="s">
        <v>30</v>
      </c>
      <c r="J10" s="15" t="s">
        <v>31</v>
      </c>
      <c r="K10" s="21">
        <v>0.5</v>
      </c>
      <c r="L10" s="21" t="s">
        <v>32</v>
      </c>
      <c r="M10" s="22">
        <v>2019</v>
      </c>
      <c r="N10" s="15" t="s">
        <v>23</v>
      </c>
      <c r="O10" s="16" t="s">
        <v>23</v>
      </c>
      <c r="P10" s="15" t="s">
        <v>23</v>
      </c>
      <c r="Q10" s="16" t="s">
        <v>23</v>
      </c>
      <c r="R10" s="15">
        <v>100</v>
      </c>
      <c r="S10" s="15">
        <v>0.5</v>
      </c>
      <c r="T10" s="15">
        <v>0</v>
      </c>
    </row>
    <row r="11" spans="1:20" x14ac:dyDescent="0.2">
      <c r="A11" s="15" t="s">
        <v>24</v>
      </c>
      <c r="B11" s="15" t="s">
        <v>25</v>
      </c>
      <c r="C11" s="15" t="s">
        <v>26</v>
      </c>
      <c r="D11" s="15" t="s">
        <v>89</v>
      </c>
      <c r="E11" s="15" t="s">
        <v>90</v>
      </c>
      <c r="F11" s="15" t="s">
        <v>91</v>
      </c>
      <c r="G11" s="15" t="s">
        <v>35</v>
      </c>
      <c r="H11" s="15" t="s">
        <v>21</v>
      </c>
      <c r="I11" s="15" t="s">
        <v>30</v>
      </c>
      <c r="J11" s="15" t="s">
        <v>31</v>
      </c>
      <c r="K11" s="21">
        <v>0.5</v>
      </c>
      <c r="L11" s="21" t="s">
        <v>32</v>
      </c>
      <c r="M11" s="22">
        <v>2019</v>
      </c>
      <c r="N11" s="15" t="s">
        <v>23</v>
      </c>
      <c r="O11" s="16" t="s">
        <v>23</v>
      </c>
      <c r="P11" s="15" t="s">
        <v>23</v>
      </c>
      <c r="Q11" s="16" t="s">
        <v>23</v>
      </c>
      <c r="R11" s="15">
        <v>100</v>
      </c>
      <c r="S11" s="15">
        <v>0.5</v>
      </c>
      <c r="T11" s="15">
        <v>0</v>
      </c>
    </row>
    <row r="12" spans="1:20" ht="12" thickBot="1" x14ac:dyDescent="0.25">
      <c r="A12" s="15" t="s">
        <v>24</v>
      </c>
      <c r="B12" s="15" t="s">
        <v>25</v>
      </c>
      <c r="C12" s="15" t="s">
        <v>26</v>
      </c>
      <c r="D12" s="15" t="s">
        <v>89</v>
      </c>
      <c r="E12" s="15" t="s">
        <v>90</v>
      </c>
      <c r="F12" s="15" t="s">
        <v>91</v>
      </c>
      <c r="G12" s="15" t="s">
        <v>36</v>
      </c>
      <c r="H12" s="15" t="s">
        <v>21</v>
      </c>
      <c r="I12" s="15" t="s">
        <v>30</v>
      </c>
      <c r="J12" s="15" t="s">
        <v>31</v>
      </c>
      <c r="K12" s="21">
        <v>0.5</v>
      </c>
      <c r="L12" s="21" t="s">
        <v>32</v>
      </c>
      <c r="M12" s="22">
        <v>2019</v>
      </c>
      <c r="N12" s="15" t="s">
        <v>23</v>
      </c>
      <c r="O12" s="16" t="s">
        <v>23</v>
      </c>
      <c r="P12" s="15" t="s">
        <v>23</v>
      </c>
      <c r="Q12" s="16" t="s">
        <v>23</v>
      </c>
      <c r="R12" s="15">
        <v>100</v>
      </c>
      <c r="S12" s="15">
        <v>0.5</v>
      </c>
      <c r="T12" s="15">
        <v>0</v>
      </c>
    </row>
    <row r="13" spans="1:20" ht="12" thickBot="1" x14ac:dyDescent="0.25">
      <c r="A13" s="23" t="s">
        <v>27</v>
      </c>
      <c r="B13" s="23" t="s">
        <v>28</v>
      </c>
      <c r="C13" s="23" t="s">
        <v>34</v>
      </c>
      <c r="D13" s="23" t="s">
        <v>92</v>
      </c>
      <c r="E13" s="23" t="s">
        <v>93</v>
      </c>
      <c r="F13" s="23" t="s">
        <v>94</v>
      </c>
      <c r="G13" s="24" t="s">
        <v>29</v>
      </c>
      <c r="H13" s="25" t="s">
        <v>21</v>
      </c>
      <c r="I13" s="25" t="s">
        <v>30</v>
      </c>
      <c r="J13" s="26" t="s">
        <v>31</v>
      </c>
      <c r="K13" s="21">
        <v>0.5</v>
      </c>
      <c r="L13" s="21" t="s">
        <v>32</v>
      </c>
      <c r="M13" s="15">
        <v>2020</v>
      </c>
      <c r="N13" s="15" t="s">
        <v>22</v>
      </c>
      <c r="O13" s="16">
        <v>100</v>
      </c>
      <c r="P13" s="15" t="s">
        <v>23</v>
      </c>
      <c r="Q13" s="16">
        <v>0</v>
      </c>
      <c r="R13" s="15">
        <v>0</v>
      </c>
      <c r="S13" s="15">
        <v>0</v>
      </c>
      <c r="T13" s="15">
        <v>0.5</v>
      </c>
    </row>
    <row r="14" spans="1:20" ht="12" thickBot="1" x14ac:dyDescent="0.25">
      <c r="A14" s="23" t="s">
        <v>24</v>
      </c>
      <c r="B14" s="23" t="s">
        <v>25</v>
      </c>
      <c r="C14" s="23" t="s">
        <v>26</v>
      </c>
      <c r="D14" s="23" t="s">
        <v>95</v>
      </c>
      <c r="E14" s="23" t="s">
        <v>96</v>
      </c>
      <c r="F14" s="23" t="s">
        <v>97</v>
      </c>
      <c r="G14" s="24" t="s">
        <v>35</v>
      </c>
      <c r="H14" s="25" t="s">
        <v>21</v>
      </c>
      <c r="I14" s="25" t="s">
        <v>30</v>
      </c>
      <c r="J14" s="26" t="s">
        <v>31</v>
      </c>
      <c r="K14" s="21">
        <v>0.5</v>
      </c>
      <c r="L14" s="21" t="s">
        <v>32</v>
      </c>
      <c r="M14" s="15">
        <v>2020</v>
      </c>
      <c r="N14" s="15" t="s">
        <v>23</v>
      </c>
      <c r="O14" s="16" t="s">
        <v>23</v>
      </c>
      <c r="P14" s="15" t="s">
        <v>23</v>
      </c>
      <c r="Q14" s="16" t="s">
        <v>23</v>
      </c>
      <c r="R14" s="15">
        <v>100</v>
      </c>
      <c r="S14" s="15">
        <v>0.5</v>
      </c>
      <c r="T14" s="15">
        <v>0</v>
      </c>
    </row>
    <row r="15" spans="1:20" ht="12" thickBot="1" x14ac:dyDescent="0.25">
      <c r="A15" s="23" t="s">
        <v>24</v>
      </c>
      <c r="B15" s="23" t="s">
        <v>25</v>
      </c>
      <c r="C15" s="23" t="s">
        <v>26</v>
      </c>
      <c r="D15" s="23" t="s">
        <v>95</v>
      </c>
      <c r="E15" s="23" t="s">
        <v>96</v>
      </c>
      <c r="F15" s="23" t="s">
        <v>97</v>
      </c>
      <c r="G15" s="24" t="s">
        <v>88</v>
      </c>
      <c r="H15" s="25" t="s">
        <v>21</v>
      </c>
      <c r="I15" s="25" t="s">
        <v>30</v>
      </c>
      <c r="J15" s="26" t="s">
        <v>31</v>
      </c>
      <c r="K15" s="21">
        <v>0.5</v>
      </c>
      <c r="L15" s="21" t="s">
        <v>32</v>
      </c>
      <c r="M15" s="15">
        <v>2020</v>
      </c>
      <c r="N15" s="15" t="s">
        <v>23</v>
      </c>
      <c r="O15" s="16" t="s">
        <v>23</v>
      </c>
      <c r="P15" s="15" t="s">
        <v>23</v>
      </c>
      <c r="Q15" s="16" t="s">
        <v>23</v>
      </c>
      <c r="R15" s="15">
        <v>100</v>
      </c>
      <c r="S15" s="15">
        <v>0.5</v>
      </c>
      <c r="T15" s="15">
        <v>0</v>
      </c>
    </row>
    <row r="16" spans="1:20" ht="12" thickBot="1" x14ac:dyDescent="0.25">
      <c r="A16" s="23" t="s">
        <v>24</v>
      </c>
      <c r="B16" s="23" t="s">
        <v>25</v>
      </c>
      <c r="C16" s="23" t="s">
        <v>26</v>
      </c>
      <c r="D16" s="23" t="s">
        <v>99</v>
      </c>
      <c r="E16" s="23" t="s">
        <v>100</v>
      </c>
      <c r="F16" s="23" t="s">
        <v>101</v>
      </c>
      <c r="G16" s="24" t="s">
        <v>37</v>
      </c>
      <c r="H16" s="25" t="s">
        <v>21</v>
      </c>
      <c r="I16" s="25" t="s">
        <v>30</v>
      </c>
      <c r="J16" s="26" t="s">
        <v>31</v>
      </c>
      <c r="K16" s="21">
        <v>0.5</v>
      </c>
      <c r="L16" s="21" t="s">
        <v>32</v>
      </c>
      <c r="M16" s="15">
        <v>2020</v>
      </c>
      <c r="N16" s="15" t="s">
        <v>23</v>
      </c>
      <c r="O16" s="16" t="s">
        <v>23</v>
      </c>
      <c r="P16" s="15" t="s">
        <v>23</v>
      </c>
      <c r="Q16" s="16" t="s">
        <v>23</v>
      </c>
      <c r="R16" s="15">
        <v>100</v>
      </c>
      <c r="S16" s="15">
        <v>0.5</v>
      </c>
      <c r="T16" s="15">
        <v>0</v>
      </c>
    </row>
    <row r="17" spans="1:21" x14ac:dyDescent="0.2">
      <c r="A17" s="15" t="s">
        <v>24</v>
      </c>
      <c r="B17" s="15" t="s">
        <v>25</v>
      </c>
      <c r="C17" s="15" t="s">
        <v>26</v>
      </c>
      <c r="D17" s="15" t="s">
        <v>102</v>
      </c>
      <c r="E17" s="15" t="s">
        <v>103</v>
      </c>
      <c r="F17" s="15" t="s">
        <v>104</v>
      </c>
      <c r="G17" s="15" t="s">
        <v>35</v>
      </c>
      <c r="H17" s="15" t="s">
        <v>21</v>
      </c>
      <c r="I17" s="15" t="s">
        <v>30</v>
      </c>
      <c r="J17" s="15" t="s">
        <v>31</v>
      </c>
      <c r="K17" s="21">
        <v>0.5</v>
      </c>
      <c r="L17" s="21" t="s">
        <v>32</v>
      </c>
      <c r="M17" s="15">
        <v>2021</v>
      </c>
      <c r="N17" s="15" t="s">
        <v>23</v>
      </c>
      <c r="O17" s="16" t="s">
        <v>23</v>
      </c>
      <c r="P17" s="15" t="s">
        <v>23</v>
      </c>
      <c r="Q17" s="16" t="s">
        <v>23</v>
      </c>
      <c r="R17" s="15">
        <v>100</v>
      </c>
      <c r="S17" s="15">
        <v>0.5</v>
      </c>
      <c r="T17" s="15">
        <v>0</v>
      </c>
    </row>
    <row r="18" spans="1:21" x14ac:dyDescent="0.2">
      <c r="A18" s="15" t="s">
        <v>24</v>
      </c>
      <c r="B18" s="15" t="s">
        <v>25</v>
      </c>
      <c r="C18" s="15" t="s">
        <v>26</v>
      </c>
      <c r="D18" s="15" t="s">
        <v>102</v>
      </c>
      <c r="E18" s="15" t="s">
        <v>103</v>
      </c>
      <c r="F18" s="15" t="s">
        <v>104</v>
      </c>
      <c r="G18" s="15" t="s">
        <v>88</v>
      </c>
      <c r="H18" s="15" t="s">
        <v>21</v>
      </c>
      <c r="I18" s="15" t="s">
        <v>30</v>
      </c>
      <c r="J18" s="15" t="s">
        <v>31</v>
      </c>
      <c r="K18" s="21">
        <v>0.5</v>
      </c>
      <c r="L18" s="21" t="s">
        <v>32</v>
      </c>
      <c r="M18" s="15">
        <v>2021</v>
      </c>
      <c r="N18" s="15" t="s">
        <v>23</v>
      </c>
      <c r="O18" s="16" t="s">
        <v>23</v>
      </c>
      <c r="P18" s="15" t="s">
        <v>23</v>
      </c>
      <c r="Q18" s="16" t="s">
        <v>23</v>
      </c>
      <c r="R18" s="15">
        <v>100</v>
      </c>
      <c r="S18" s="15">
        <v>0.5</v>
      </c>
      <c r="T18" s="15">
        <v>0</v>
      </c>
    </row>
    <row r="19" spans="1:21" customFormat="1" ht="15" x14ac:dyDescent="0.25">
      <c r="A19" s="15" t="s">
        <v>24</v>
      </c>
      <c r="B19" s="15" t="s">
        <v>25</v>
      </c>
      <c r="C19" s="15" t="s">
        <v>26</v>
      </c>
      <c r="D19" s="15" t="s">
        <v>109</v>
      </c>
      <c r="E19" s="15" t="s">
        <v>110</v>
      </c>
      <c r="F19" s="15" t="s">
        <v>111</v>
      </c>
      <c r="G19" s="15" t="s">
        <v>35</v>
      </c>
      <c r="H19" s="15" t="s">
        <v>21</v>
      </c>
      <c r="I19" s="15" t="s">
        <v>30</v>
      </c>
      <c r="J19" s="15" t="s">
        <v>31</v>
      </c>
      <c r="K19" s="27">
        <v>0.5</v>
      </c>
      <c r="L19" s="27" t="s">
        <v>32</v>
      </c>
      <c r="M19" s="15">
        <v>2021</v>
      </c>
      <c r="N19" s="27" t="s">
        <v>23</v>
      </c>
      <c r="O19" s="27" t="s">
        <v>23</v>
      </c>
      <c r="P19" s="27" t="s">
        <v>23</v>
      </c>
      <c r="Q19" s="27" t="s">
        <v>23</v>
      </c>
      <c r="R19" s="27">
        <v>100</v>
      </c>
      <c r="S19" s="27">
        <v>0.5</v>
      </c>
      <c r="T19" s="27">
        <v>0</v>
      </c>
      <c r="U19" s="28" t="s">
        <v>112</v>
      </c>
    </row>
    <row r="20" spans="1:21" customFormat="1" ht="15" x14ac:dyDescent="0.25">
      <c r="A20" s="15" t="s">
        <v>24</v>
      </c>
      <c r="B20" s="15" t="s">
        <v>25</v>
      </c>
      <c r="C20" s="15" t="s">
        <v>26</v>
      </c>
      <c r="D20" s="15" t="s">
        <v>109</v>
      </c>
      <c r="E20" s="15" t="s">
        <v>110</v>
      </c>
      <c r="F20" s="15" t="s">
        <v>111</v>
      </c>
      <c r="G20" s="15" t="s">
        <v>88</v>
      </c>
      <c r="H20" s="15" t="s">
        <v>21</v>
      </c>
      <c r="I20" s="15" t="s">
        <v>30</v>
      </c>
      <c r="J20" s="15" t="s">
        <v>31</v>
      </c>
      <c r="K20" s="27">
        <v>0.5</v>
      </c>
      <c r="L20" s="27" t="s">
        <v>32</v>
      </c>
      <c r="M20" s="15">
        <v>2021</v>
      </c>
      <c r="N20" s="27" t="s">
        <v>23</v>
      </c>
      <c r="O20" s="27" t="s">
        <v>23</v>
      </c>
      <c r="P20" s="27" t="s">
        <v>23</v>
      </c>
      <c r="Q20" s="27" t="s">
        <v>23</v>
      </c>
      <c r="R20" s="27">
        <v>100</v>
      </c>
      <c r="S20" s="27">
        <v>0.5</v>
      </c>
      <c r="T20" s="27">
        <v>0</v>
      </c>
      <c r="U20" s="28" t="s">
        <v>112</v>
      </c>
    </row>
    <row r="21" spans="1:21" customFormat="1" ht="15" x14ac:dyDescent="0.25">
      <c r="A21" s="15" t="s">
        <v>27</v>
      </c>
      <c r="B21" s="15" t="s">
        <v>113</v>
      </c>
      <c r="C21" s="15" t="s">
        <v>34</v>
      </c>
      <c r="D21" s="15" t="s">
        <v>114</v>
      </c>
      <c r="E21" s="15" t="s">
        <v>115</v>
      </c>
      <c r="F21" s="15" t="s">
        <v>116</v>
      </c>
      <c r="G21" s="15" t="s">
        <v>117</v>
      </c>
      <c r="H21" s="15" t="s">
        <v>21</v>
      </c>
      <c r="I21" s="15" t="s">
        <v>30</v>
      </c>
      <c r="J21" s="15" t="s">
        <v>31</v>
      </c>
      <c r="K21" s="27">
        <v>0.5</v>
      </c>
      <c r="L21" s="27" t="s">
        <v>32</v>
      </c>
      <c r="M21" s="15">
        <v>2022</v>
      </c>
      <c r="N21" s="27" t="s">
        <v>22</v>
      </c>
      <c r="O21" s="27">
        <v>100</v>
      </c>
      <c r="P21" s="27" t="s">
        <v>23</v>
      </c>
      <c r="Q21" s="27">
        <v>0</v>
      </c>
      <c r="R21" s="27">
        <v>0</v>
      </c>
      <c r="S21" s="27">
        <v>0</v>
      </c>
      <c r="T21" s="27">
        <v>0.5</v>
      </c>
    </row>
    <row r="22" spans="1:21" customFormat="1" ht="15" x14ac:dyDescent="0.25">
      <c r="A22" s="15" t="s">
        <v>24</v>
      </c>
      <c r="B22" s="15" t="s">
        <v>25</v>
      </c>
      <c r="C22" s="15" t="s">
        <v>26</v>
      </c>
      <c r="D22" s="15" t="s">
        <v>118</v>
      </c>
      <c r="E22" s="15" t="s">
        <v>119</v>
      </c>
      <c r="F22" s="15" t="s">
        <v>120</v>
      </c>
      <c r="G22" s="15" t="s">
        <v>37</v>
      </c>
      <c r="H22" s="15" t="s">
        <v>21</v>
      </c>
      <c r="I22" s="15" t="s">
        <v>30</v>
      </c>
      <c r="J22" s="15" t="s">
        <v>31</v>
      </c>
      <c r="K22" s="27">
        <v>0.5</v>
      </c>
      <c r="L22" s="27" t="s">
        <v>32</v>
      </c>
      <c r="M22" s="15">
        <v>2022</v>
      </c>
      <c r="N22" s="27" t="s">
        <v>23</v>
      </c>
      <c r="O22" s="27" t="s">
        <v>23</v>
      </c>
      <c r="P22" s="27" t="s">
        <v>23</v>
      </c>
      <c r="Q22" s="27" t="s">
        <v>23</v>
      </c>
      <c r="R22" s="27">
        <v>100</v>
      </c>
      <c r="S22" s="27">
        <v>0.5</v>
      </c>
      <c r="T22" s="27">
        <v>0</v>
      </c>
    </row>
    <row r="23" spans="1:21" customFormat="1" ht="15" x14ac:dyDescent="0.25">
      <c r="A23" s="15" t="s">
        <v>135</v>
      </c>
      <c r="B23" s="15" t="s">
        <v>136</v>
      </c>
      <c r="C23" s="15" t="s">
        <v>137</v>
      </c>
      <c r="D23" s="15" t="s">
        <v>138</v>
      </c>
      <c r="E23" s="15" t="s">
        <v>139</v>
      </c>
      <c r="F23" s="15" t="s">
        <v>140</v>
      </c>
      <c r="G23" s="15" t="s">
        <v>141</v>
      </c>
      <c r="H23" s="15" t="s">
        <v>142</v>
      </c>
      <c r="I23" s="15" t="s">
        <v>32</v>
      </c>
      <c r="J23" s="15" t="s">
        <v>143</v>
      </c>
      <c r="K23" s="27">
        <v>0.5</v>
      </c>
      <c r="L23" s="15" t="s">
        <v>32</v>
      </c>
      <c r="M23" s="27">
        <v>2023</v>
      </c>
      <c r="N23" s="27" t="s">
        <v>23</v>
      </c>
      <c r="O23" s="27" t="s">
        <v>23</v>
      </c>
      <c r="P23" s="27" t="s">
        <v>23</v>
      </c>
      <c r="Q23" s="27" t="s">
        <v>23</v>
      </c>
      <c r="R23" s="27">
        <v>100</v>
      </c>
      <c r="S23" s="27">
        <v>0.5</v>
      </c>
      <c r="T23" s="17">
        <v>0</v>
      </c>
    </row>
    <row r="24" spans="1:21" customFormat="1" ht="15" x14ac:dyDescent="0.25">
      <c r="A24" s="15" t="s">
        <v>144</v>
      </c>
      <c r="B24" s="15" t="s">
        <v>145</v>
      </c>
      <c r="C24" s="15" t="s">
        <v>146</v>
      </c>
      <c r="D24" s="15" t="s">
        <v>147</v>
      </c>
      <c r="E24" s="15" t="s">
        <v>148</v>
      </c>
      <c r="F24" s="15" t="s">
        <v>149</v>
      </c>
      <c r="G24" s="15" t="s">
        <v>67</v>
      </c>
      <c r="H24" s="15" t="s">
        <v>150</v>
      </c>
      <c r="I24" s="15" t="s">
        <v>32</v>
      </c>
      <c r="J24" s="15" t="s">
        <v>143</v>
      </c>
      <c r="K24" s="27">
        <v>1</v>
      </c>
      <c r="L24" s="15" t="s">
        <v>32</v>
      </c>
      <c r="M24" s="27">
        <v>2023</v>
      </c>
      <c r="N24" s="27" t="s">
        <v>22</v>
      </c>
      <c r="O24" s="27" t="s">
        <v>38</v>
      </c>
      <c r="P24" s="27" t="s">
        <v>23</v>
      </c>
      <c r="Q24" s="27" t="s">
        <v>23</v>
      </c>
      <c r="R24" s="27">
        <v>0</v>
      </c>
      <c r="S24" s="27">
        <v>0</v>
      </c>
      <c r="T24" s="56">
        <v>1</v>
      </c>
    </row>
    <row r="25" spans="1:21" customFormat="1" ht="15" x14ac:dyDescent="0.25">
      <c r="A25" s="15" t="s">
        <v>144</v>
      </c>
      <c r="B25" s="15" t="s">
        <v>145</v>
      </c>
      <c r="C25" s="15" t="s">
        <v>146</v>
      </c>
      <c r="D25" s="15" t="s">
        <v>151</v>
      </c>
      <c r="E25" s="15" t="s">
        <v>152</v>
      </c>
      <c r="F25" s="15" t="s">
        <v>153</v>
      </c>
      <c r="G25" s="15" t="s">
        <v>121</v>
      </c>
      <c r="H25" s="15" t="s">
        <v>142</v>
      </c>
      <c r="I25" s="15" t="s">
        <v>32</v>
      </c>
      <c r="J25" s="15" t="s">
        <v>143</v>
      </c>
      <c r="K25" s="27">
        <v>0.5</v>
      </c>
      <c r="L25" s="15" t="s">
        <v>32</v>
      </c>
      <c r="M25" s="27">
        <v>2023</v>
      </c>
      <c r="N25" s="27" t="s">
        <v>22</v>
      </c>
      <c r="O25" s="27" t="s">
        <v>38</v>
      </c>
      <c r="P25" s="27" t="s">
        <v>23</v>
      </c>
      <c r="Q25" s="27" t="s">
        <v>23</v>
      </c>
      <c r="R25" s="27">
        <v>0</v>
      </c>
      <c r="S25" s="27">
        <v>0</v>
      </c>
      <c r="T25" s="56">
        <v>0.5</v>
      </c>
    </row>
    <row r="26" spans="1:21" customFormat="1" ht="15" x14ac:dyDescent="0.25">
      <c r="A26" s="15" t="s">
        <v>144</v>
      </c>
      <c r="B26" s="15" t="s">
        <v>145</v>
      </c>
      <c r="C26" s="15" t="s">
        <v>146</v>
      </c>
      <c r="D26" s="15" t="s">
        <v>151</v>
      </c>
      <c r="E26" s="15" t="s">
        <v>152</v>
      </c>
      <c r="F26" s="15" t="s">
        <v>153</v>
      </c>
      <c r="G26" s="15" t="s">
        <v>60</v>
      </c>
      <c r="H26" s="15" t="s">
        <v>142</v>
      </c>
      <c r="I26" s="15" t="s">
        <v>32</v>
      </c>
      <c r="J26" s="15" t="s">
        <v>143</v>
      </c>
      <c r="K26" s="27">
        <v>0.5</v>
      </c>
      <c r="L26" s="15" t="s">
        <v>32</v>
      </c>
      <c r="M26" s="27">
        <v>2023</v>
      </c>
      <c r="N26" s="27" t="s">
        <v>22</v>
      </c>
      <c r="O26" s="27" t="s">
        <v>38</v>
      </c>
      <c r="P26" s="27" t="s">
        <v>23</v>
      </c>
      <c r="Q26" s="27" t="s">
        <v>23</v>
      </c>
      <c r="R26" s="27">
        <v>0</v>
      </c>
      <c r="S26" s="27">
        <v>0</v>
      </c>
      <c r="T26" s="56">
        <v>0.5</v>
      </c>
    </row>
    <row r="27" spans="1:21" customFormat="1" ht="15" x14ac:dyDescent="0.25">
      <c r="A27" s="15" t="s">
        <v>144</v>
      </c>
      <c r="B27" s="15" t="s">
        <v>145</v>
      </c>
      <c r="C27" s="15" t="s">
        <v>146</v>
      </c>
      <c r="D27" s="15" t="s">
        <v>154</v>
      </c>
      <c r="E27" s="15" t="s">
        <v>155</v>
      </c>
      <c r="F27" s="15" t="s">
        <v>156</v>
      </c>
      <c r="G27" s="15" t="s">
        <v>121</v>
      </c>
      <c r="H27" s="15" t="s">
        <v>142</v>
      </c>
      <c r="I27" s="15" t="s">
        <v>32</v>
      </c>
      <c r="J27" s="15" t="s">
        <v>143</v>
      </c>
      <c r="K27" s="27">
        <v>0.5</v>
      </c>
      <c r="L27" s="15" t="s">
        <v>32</v>
      </c>
      <c r="M27" s="27">
        <v>2023</v>
      </c>
      <c r="N27" s="27" t="s">
        <v>22</v>
      </c>
      <c r="O27" s="27" t="s">
        <v>38</v>
      </c>
      <c r="P27" s="27" t="s">
        <v>23</v>
      </c>
      <c r="Q27" s="27" t="s">
        <v>23</v>
      </c>
      <c r="R27" s="27">
        <v>0</v>
      </c>
      <c r="S27" s="27">
        <v>0</v>
      </c>
      <c r="T27" s="56">
        <v>0.5</v>
      </c>
    </row>
    <row r="28" spans="1:21" customFormat="1" ht="15" x14ac:dyDescent="0.25">
      <c r="A28" s="15" t="s">
        <v>144</v>
      </c>
      <c r="B28" s="15" t="s">
        <v>145</v>
      </c>
      <c r="C28" s="15" t="s">
        <v>146</v>
      </c>
      <c r="D28" s="15" t="s">
        <v>154</v>
      </c>
      <c r="E28" s="15" t="s">
        <v>155</v>
      </c>
      <c r="F28" s="15" t="s">
        <v>156</v>
      </c>
      <c r="G28" s="15" t="s">
        <v>60</v>
      </c>
      <c r="H28" s="15" t="s">
        <v>142</v>
      </c>
      <c r="I28" s="15" t="s">
        <v>32</v>
      </c>
      <c r="J28" s="15" t="s">
        <v>143</v>
      </c>
      <c r="K28" s="27">
        <v>0.5</v>
      </c>
      <c r="L28" s="15" t="s">
        <v>32</v>
      </c>
      <c r="M28" s="27">
        <v>2023</v>
      </c>
      <c r="N28" s="27" t="s">
        <v>22</v>
      </c>
      <c r="O28" s="27" t="s">
        <v>38</v>
      </c>
      <c r="P28" s="27" t="s">
        <v>23</v>
      </c>
      <c r="Q28" s="27" t="s">
        <v>23</v>
      </c>
      <c r="R28" s="27">
        <v>0</v>
      </c>
      <c r="S28" s="27">
        <v>0</v>
      </c>
      <c r="T28" s="56">
        <v>0.5</v>
      </c>
    </row>
    <row r="29" spans="1:21" customFormat="1" ht="15" x14ac:dyDescent="0.25">
      <c r="A29" s="15" t="s">
        <v>144</v>
      </c>
      <c r="B29" s="15" t="s">
        <v>145</v>
      </c>
      <c r="C29" s="15" t="s">
        <v>146</v>
      </c>
      <c r="D29" s="15" t="s">
        <v>157</v>
      </c>
      <c r="E29" s="15" t="s">
        <v>158</v>
      </c>
      <c r="F29" s="15" t="s">
        <v>159</v>
      </c>
      <c r="G29" s="15" t="s">
        <v>58</v>
      </c>
      <c r="H29" s="15" t="s">
        <v>142</v>
      </c>
      <c r="I29" s="15" t="s">
        <v>32</v>
      </c>
      <c r="J29" s="15" t="s">
        <v>143</v>
      </c>
      <c r="K29" s="27">
        <v>0.5</v>
      </c>
      <c r="L29" s="15" t="s">
        <v>32</v>
      </c>
      <c r="M29" s="27">
        <v>2023</v>
      </c>
      <c r="N29" s="27" t="s">
        <v>22</v>
      </c>
      <c r="O29" s="27" t="s">
        <v>38</v>
      </c>
      <c r="P29" s="27" t="s">
        <v>23</v>
      </c>
      <c r="Q29" s="27" t="s">
        <v>23</v>
      </c>
      <c r="R29" s="27">
        <v>0</v>
      </c>
      <c r="S29" s="27">
        <v>0</v>
      </c>
      <c r="T29" s="56">
        <v>0.5</v>
      </c>
    </row>
    <row r="30" spans="1:21" customFormat="1" ht="15" x14ac:dyDescent="0.25">
      <c r="A30" s="15" t="s">
        <v>144</v>
      </c>
      <c r="B30" s="15" t="s">
        <v>145</v>
      </c>
      <c r="C30" s="15" t="s">
        <v>146</v>
      </c>
      <c r="D30" s="15" t="s">
        <v>157</v>
      </c>
      <c r="E30" s="15" t="s">
        <v>158</v>
      </c>
      <c r="F30" s="15" t="s">
        <v>159</v>
      </c>
      <c r="G30" s="15" t="s">
        <v>62</v>
      </c>
      <c r="H30" s="15" t="s">
        <v>142</v>
      </c>
      <c r="I30" s="15" t="s">
        <v>32</v>
      </c>
      <c r="J30" s="15" t="s">
        <v>143</v>
      </c>
      <c r="K30" s="27">
        <v>0.5</v>
      </c>
      <c r="L30" s="15" t="s">
        <v>32</v>
      </c>
      <c r="M30" s="27">
        <v>2023</v>
      </c>
      <c r="N30" s="27" t="s">
        <v>22</v>
      </c>
      <c r="O30" s="27" t="s">
        <v>38</v>
      </c>
      <c r="P30" s="27" t="s">
        <v>23</v>
      </c>
      <c r="Q30" s="27" t="s">
        <v>23</v>
      </c>
      <c r="R30" s="27">
        <v>0</v>
      </c>
      <c r="S30" s="27">
        <v>0</v>
      </c>
      <c r="T30" s="56">
        <v>0.5</v>
      </c>
    </row>
    <row r="31" spans="1:21" customFormat="1" ht="15" x14ac:dyDescent="0.25">
      <c r="A31" s="15" t="s">
        <v>144</v>
      </c>
      <c r="B31" s="15" t="s">
        <v>145</v>
      </c>
      <c r="C31" s="15" t="s">
        <v>146</v>
      </c>
      <c r="D31" s="15" t="s">
        <v>160</v>
      </c>
      <c r="E31" s="15" t="s">
        <v>161</v>
      </c>
      <c r="F31" s="15" t="s">
        <v>162</v>
      </c>
      <c r="G31" s="15" t="s">
        <v>57</v>
      </c>
      <c r="H31" s="15" t="s">
        <v>150</v>
      </c>
      <c r="I31" s="15" t="s">
        <v>32</v>
      </c>
      <c r="J31" s="15" t="s">
        <v>143</v>
      </c>
      <c r="K31" s="27">
        <v>1</v>
      </c>
      <c r="L31" s="15" t="s">
        <v>32</v>
      </c>
      <c r="M31" s="27">
        <v>2023</v>
      </c>
      <c r="N31" s="27" t="s">
        <v>23</v>
      </c>
      <c r="O31" s="27" t="s">
        <v>23</v>
      </c>
      <c r="P31" s="27" t="s">
        <v>23</v>
      </c>
      <c r="Q31" s="27" t="s">
        <v>23</v>
      </c>
      <c r="R31" s="27">
        <v>100</v>
      </c>
      <c r="S31" s="27">
        <v>1</v>
      </c>
      <c r="T31" s="56">
        <v>0</v>
      </c>
    </row>
    <row r="32" spans="1:21" customFormat="1" ht="15" x14ac:dyDescent="0.25">
      <c r="A32" s="15" t="s">
        <v>144</v>
      </c>
      <c r="B32" s="15" t="s">
        <v>145</v>
      </c>
      <c r="C32" s="15" t="s">
        <v>146</v>
      </c>
      <c r="D32" s="15" t="s">
        <v>163</v>
      </c>
      <c r="E32" s="15" t="s">
        <v>164</v>
      </c>
      <c r="F32" s="15" t="s">
        <v>165</v>
      </c>
      <c r="G32" s="15" t="s">
        <v>67</v>
      </c>
      <c r="H32" s="15" t="s">
        <v>142</v>
      </c>
      <c r="I32" s="15" t="s">
        <v>32</v>
      </c>
      <c r="J32" s="15" t="s">
        <v>143</v>
      </c>
      <c r="K32" s="27">
        <v>0.5</v>
      </c>
      <c r="L32" s="15" t="s">
        <v>32</v>
      </c>
      <c r="M32" s="27">
        <v>2023</v>
      </c>
      <c r="N32" s="27" t="s">
        <v>22</v>
      </c>
      <c r="O32" s="27" t="s">
        <v>38</v>
      </c>
      <c r="P32" s="27" t="s">
        <v>23</v>
      </c>
      <c r="Q32" s="27" t="s">
        <v>23</v>
      </c>
      <c r="R32" s="27">
        <v>0</v>
      </c>
      <c r="S32" s="27">
        <v>0</v>
      </c>
      <c r="T32" s="56">
        <v>0.5</v>
      </c>
    </row>
    <row r="33" spans="1:20" customFormat="1" ht="15" x14ac:dyDescent="0.25">
      <c r="A33" s="15" t="s">
        <v>166</v>
      </c>
      <c r="B33" s="15" t="s">
        <v>167</v>
      </c>
      <c r="C33" s="15" t="s">
        <v>168</v>
      </c>
      <c r="D33" s="15" t="s">
        <v>169</v>
      </c>
      <c r="E33" s="15" t="s">
        <v>170</v>
      </c>
      <c r="F33" s="15" t="s">
        <v>171</v>
      </c>
      <c r="G33" s="15" t="s">
        <v>65</v>
      </c>
      <c r="H33" s="15" t="s">
        <v>142</v>
      </c>
      <c r="I33" s="15" t="s">
        <v>32</v>
      </c>
      <c r="J33" s="15" t="s">
        <v>143</v>
      </c>
      <c r="K33" s="27">
        <v>0.5</v>
      </c>
      <c r="L33" s="15" t="s">
        <v>32</v>
      </c>
      <c r="M33" s="27">
        <v>2023</v>
      </c>
      <c r="N33" s="27" t="s">
        <v>23</v>
      </c>
      <c r="O33" s="27" t="s">
        <v>23</v>
      </c>
      <c r="P33" s="27" t="s">
        <v>23</v>
      </c>
      <c r="Q33" s="27" t="s">
        <v>23</v>
      </c>
      <c r="R33" s="27">
        <v>100</v>
      </c>
      <c r="S33" s="27">
        <v>0.5</v>
      </c>
      <c r="T33" s="56">
        <v>0</v>
      </c>
    </row>
    <row r="34" spans="1:20" customFormat="1" ht="15" x14ac:dyDescent="0.25">
      <c r="A34" s="15" t="s">
        <v>166</v>
      </c>
      <c r="B34" s="15" t="s">
        <v>167</v>
      </c>
      <c r="C34" s="15" t="s">
        <v>168</v>
      </c>
      <c r="D34" s="15" t="s">
        <v>169</v>
      </c>
      <c r="E34" s="15" t="s">
        <v>170</v>
      </c>
      <c r="F34" s="15" t="s">
        <v>171</v>
      </c>
      <c r="G34" s="15" t="s">
        <v>63</v>
      </c>
      <c r="H34" s="15" t="s">
        <v>142</v>
      </c>
      <c r="I34" s="15" t="s">
        <v>32</v>
      </c>
      <c r="J34" s="15" t="s">
        <v>143</v>
      </c>
      <c r="K34" s="27">
        <v>0.5</v>
      </c>
      <c r="L34" s="15" t="s">
        <v>32</v>
      </c>
      <c r="M34" s="27">
        <v>2023</v>
      </c>
      <c r="N34" s="27" t="s">
        <v>23</v>
      </c>
      <c r="O34" s="27" t="s">
        <v>23</v>
      </c>
      <c r="P34" s="27" t="s">
        <v>23</v>
      </c>
      <c r="Q34" s="27" t="s">
        <v>23</v>
      </c>
      <c r="R34" s="27">
        <v>100</v>
      </c>
      <c r="S34" s="27">
        <v>0.5</v>
      </c>
      <c r="T34" s="56">
        <v>0</v>
      </c>
    </row>
    <row r="35" spans="1:20" customFormat="1" ht="15" x14ac:dyDescent="0.25">
      <c r="A35" s="15" t="s">
        <v>166</v>
      </c>
      <c r="B35" s="15" t="s">
        <v>167</v>
      </c>
      <c r="C35" s="15" t="s">
        <v>168</v>
      </c>
      <c r="D35" s="15" t="s">
        <v>172</v>
      </c>
      <c r="E35" s="15" t="s">
        <v>173</v>
      </c>
      <c r="F35" s="15" t="s">
        <v>174</v>
      </c>
      <c r="G35" s="15" t="s">
        <v>66</v>
      </c>
      <c r="H35" s="15" t="s">
        <v>150</v>
      </c>
      <c r="I35" s="15" t="s">
        <v>32</v>
      </c>
      <c r="J35" s="15" t="s">
        <v>143</v>
      </c>
      <c r="K35" s="27">
        <v>1</v>
      </c>
      <c r="L35" s="15" t="s">
        <v>32</v>
      </c>
      <c r="M35" s="27">
        <v>2023</v>
      </c>
      <c r="N35" s="27" t="s">
        <v>23</v>
      </c>
      <c r="O35" s="27" t="s">
        <v>23</v>
      </c>
      <c r="P35" s="27" t="s">
        <v>23</v>
      </c>
      <c r="Q35" s="27" t="s">
        <v>23</v>
      </c>
      <c r="R35" s="27">
        <v>100</v>
      </c>
      <c r="S35" s="27">
        <v>1</v>
      </c>
      <c r="T35" s="56">
        <v>0</v>
      </c>
    </row>
    <row r="36" spans="1:20" customFormat="1" ht="15" x14ac:dyDescent="0.25">
      <c r="A36" s="15" t="s">
        <v>144</v>
      </c>
      <c r="B36" s="15" t="s">
        <v>197</v>
      </c>
      <c r="C36" s="15" t="s">
        <v>146</v>
      </c>
      <c r="D36" s="15" t="s">
        <v>198</v>
      </c>
      <c r="E36" s="15" t="s">
        <v>199</v>
      </c>
      <c r="F36" s="15" t="s">
        <v>200</v>
      </c>
      <c r="G36" s="15" t="s">
        <v>59</v>
      </c>
      <c r="H36" s="15" t="s">
        <v>150</v>
      </c>
      <c r="I36" s="15" t="s">
        <v>32</v>
      </c>
      <c r="J36" s="15" t="s">
        <v>201</v>
      </c>
      <c r="K36" s="27">
        <v>1</v>
      </c>
      <c r="L36" s="15" t="s">
        <v>32</v>
      </c>
      <c r="M36" s="27">
        <v>2024</v>
      </c>
      <c r="N36" s="27" t="s">
        <v>23</v>
      </c>
      <c r="O36" s="27" t="s">
        <v>23</v>
      </c>
      <c r="P36" s="27" t="s">
        <v>23</v>
      </c>
      <c r="Q36" s="27" t="s">
        <v>23</v>
      </c>
      <c r="R36" s="27">
        <v>100</v>
      </c>
      <c r="S36" s="27">
        <v>1</v>
      </c>
      <c r="T36" s="56">
        <v>0</v>
      </c>
    </row>
    <row r="37" spans="1:20" customFormat="1" ht="15" x14ac:dyDescent="0.25">
      <c r="A37" s="15" t="s">
        <v>166</v>
      </c>
      <c r="B37" s="15" t="s">
        <v>202</v>
      </c>
      <c r="C37" s="15" t="s">
        <v>168</v>
      </c>
      <c r="D37" s="15" t="s">
        <v>203</v>
      </c>
      <c r="E37" s="15" t="s">
        <v>204</v>
      </c>
      <c r="F37" s="15" t="s">
        <v>205</v>
      </c>
      <c r="G37" s="15" t="s">
        <v>65</v>
      </c>
      <c r="H37" s="15" t="s">
        <v>142</v>
      </c>
      <c r="I37" s="15" t="s">
        <v>32</v>
      </c>
      <c r="J37" s="15" t="s">
        <v>201</v>
      </c>
      <c r="K37" s="27">
        <v>0.33333333333333331</v>
      </c>
      <c r="L37" s="15" t="s">
        <v>32</v>
      </c>
      <c r="M37" s="27">
        <v>2024</v>
      </c>
      <c r="N37" s="27" t="s">
        <v>23</v>
      </c>
      <c r="O37" s="27" t="s">
        <v>23</v>
      </c>
      <c r="P37" s="27" t="s">
        <v>23</v>
      </c>
      <c r="Q37" s="27" t="s">
        <v>23</v>
      </c>
      <c r="R37" s="27">
        <v>100</v>
      </c>
      <c r="S37" s="27">
        <v>0.33333333333333326</v>
      </c>
      <c r="T37" s="56">
        <v>0</v>
      </c>
    </row>
    <row r="38" spans="1:20" customFormat="1" ht="15" x14ac:dyDescent="0.25">
      <c r="A38" s="15" t="s">
        <v>166</v>
      </c>
      <c r="B38" s="15" t="s">
        <v>202</v>
      </c>
      <c r="C38" s="15" t="s">
        <v>168</v>
      </c>
      <c r="D38" s="15" t="s">
        <v>206</v>
      </c>
      <c r="E38" s="15" t="s">
        <v>207</v>
      </c>
      <c r="F38" s="15" t="s">
        <v>208</v>
      </c>
      <c r="G38" s="15" t="s">
        <v>65</v>
      </c>
      <c r="H38" s="15" t="s">
        <v>142</v>
      </c>
      <c r="I38" s="15" t="s">
        <v>32</v>
      </c>
      <c r="J38" s="15" t="s">
        <v>201</v>
      </c>
      <c r="K38" s="27">
        <v>0.5</v>
      </c>
      <c r="L38" s="15" t="s">
        <v>32</v>
      </c>
      <c r="M38" s="27">
        <v>2024</v>
      </c>
      <c r="N38" s="27" t="s">
        <v>23</v>
      </c>
      <c r="O38" s="27" t="s">
        <v>23</v>
      </c>
      <c r="P38" s="27" t="s">
        <v>23</v>
      </c>
      <c r="Q38" s="27" t="s">
        <v>23</v>
      </c>
      <c r="R38" s="27">
        <v>100</v>
      </c>
      <c r="S38" s="27">
        <v>0.5</v>
      </c>
      <c r="T38" s="56">
        <v>0</v>
      </c>
    </row>
    <row r="39" spans="1:20" customFormat="1" ht="15" x14ac:dyDescent="0.25">
      <c r="A39" s="15" t="s">
        <v>166</v>
      </c>
      <c r="B39" s="15" t="s">
        <v>202</v>
      </c>
      <c r="C39" s="15" t="s">
        <v>168</v>
      </c>
      <c r="D39" s="15" t="s">
        <v>206</v>
      </c>
      <c r="E39" s="15" t="s">
        <v>207</v>
      </c>
      <c r="F39" s="15" t="s">
        <v>208</v>
      </c>
      <c r="G39" s="15" t="s">
        <v>61</v>
      </c>
      <c r="H39" s="15" t="s">
        <v>142</v>
      </c>
      <c r="I39" s="15" t="s">
        <v>32</v>
      </c>
      <c r="J39" s="15" t="s">
        <v>201</v>
      </c>
      <c r="K39" s="27">
        <v>0.5</v>
      </c>
      <c r="L39" s="15" t="s">
        <v>32</v>
      </c>
      <c r="M39" s="27">
        <v>2024</v>
      </c>
      <c r="N39" s="27" t="s">
        <v>23</v>
      </c>
      <c r="O39" s="27" t="s">
        <v>23</v>
      </c>
      <c r="P39" s="27" t="s">
        <v>23</v>
      </c>
      <c r="Q39" s="27" t="s">
        <v>23</v>
      </c>
      <c r="R39" s="27">
        <v>100</v>
      </c>
      <c r="S39" s="27">
        <v>0.5</v>
      </c>
      <c r="T39" s="56">
        <v>0</v>
      </c>
    </row>
    <row r="40" spans="1:20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1"/>
      <c r="O40" s="29"/>
      <c r="P40" s="31"/>
      <c r="Q40" s="29"/>
      <c r="R40" s="30"/>
      <c r="S40" s="32">
        <f>SUM(S2:S39)</f>
        <v>13</v>
      </c>
      <c r="T40" s="29"/>
    </row>
  </sheetData>
  <autoFilter ref="A1:T10" xr:uid="{00000000-0009-0000-0000-000000000000}">
    <sortState xmlns:xlrd2="http://schemas.microsoft.com/office/spreadsheetml/2017/richdata2" ref="A2:T1871">
      <sortCondition ref="K2:K1871"/>
      <sortCondition ref="L2:L1871"/>
      <sortCondition ref="D2:D1871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zoomScaleNormal="100" workbookViewId="0">
      <selection activeCell="K29" sqref="K29"/>
    </sheetView>
  </sheetViews>
  <sheetFormatPr baseColWidth="10" defaultColWidth="11.42578125" defaultRowHeight="12.75" x14ac:dyDescent="0.2"/>
  <cols>
    <col min="1" max="1" width="10.85546875" style="11" bestFit="1" customWidth="1"/>
    <col min="2" max="2" width="41.28515625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19" s="10" customFormat="1" ht="30" x14ac:dyDescent="0.2">
      <c r="A1" s="13" t="s">
        <v>40</v>
      </c>
      <c r="B1" s="13" t="s">
        <v>41</v>
      </c>
      <c r="C1" s="13" t="s">
        <v>42</v>
      </c>
      <c r="D1" s="14" t="s">
        <v>209</v>
      </c>
      <c r="E1" s="14" t="s">
        <v>210</v>
      </c>
      <c r="F1" s="14" t="s">
        <v>211</v>
      </c>
      <c r="G1" s="14" t="s">
        <v>212</v>
      </c>
      <c r="H1" s="14" t="s">
        <v>213</v>
      </c>
      <c r="I1" s="14" t="s">
        <v>214</v>
      </c>
      <c r="J1" s="13" t="s">
        <v>43</v>
      </c>
      <c r="K1" s="18" t="s">
        <v>69</v>
      </c>
      <c r="L1" s="8" t="s">
        <v>44</v>
      </c>
      <c r="M1" s="8" t="s">
        <v>45</v>
      </c>
      <c r="N1" s="8" t="s">
        <v>46</v>
      </c>
      <c r="O1" s="8" t="s">
        <v>47</v>
      </c>
      <c r="P1" s="9" t="s">
        <v>48</v>
      </c>
      <c r="Q1" s="9" t="s">
        <v>49</v>
      </c>
      <c r="R1" s="9" t="s">
        <v>50</v>
      </c>
      <c r="S1" s="9" t="s">
        <v>51</v>
      </c>
    </row>
    <row r="2" spans="1:19" x14ac:dyDescent="0.2">
      <c r="A2" s="40" t="s">
        <v>65</v>
      </c>
      <c r="B2" s="40" t="s">
        <v>215</v>
      </c>
      <c r="C2" s="40" t="s">
        <v>52</v>
      </c>
      <c r="D2" s="40">
        <v>1</v>
      </c>
      <c r="E2" s="40"/>
      <c r="F2" s="40"/>
      <c r="G2" s="40"/>
      <c r="H2" s="40"/>
      <c r="I2" s="40"/>
      <c r="J2" s="40">
        <v>1</v>
      </c>
      <c r="K2" s="40" t="s">
        <v>32</v>
      </c>
      <c r="L2" s="40">
        <v>0</v>
      </c>
      <c r="M2" s="40">
        <v>0</v>
      </c>
      <c r="N2" s="41" t="s">
        <v>23</v>
      </c>
      <c r="O2" s="40" t="s">
        <v>23</v>
      </c>
      <c r="P2" s="41">
        <v>100</v>
      </c>
      <c r="Q2" s="40">
        <v>0</v>
      </c>
      <c r="R2" s="40">
        <v>0</v>
      </c>
      <c r="S2" s="40">
        <v>1</v>
      </c>
    </row>
    <row r="3" spans="1:19" x14ac:dyDescent="0.2">
      <c r="A3" s="40" t="s">
        <v>60</v>
      </c>
      <c r="B3" s="40" t="s">
        <v>216</v>
      </c>
      <c r="C3" s="40" t="s">
        <v>52</v>
      </c>
      <c r="D3" s="40"/>
      <c r="E3" s="40"/>
      <c r="F3" s="40">
        <v>1</v>
      </c>
      <c r="G3" s="40"/>
      <c r="H3" s="40"/>
      <c r="I3" s="40"/>
      <c r="J3" s="40">
        <v>1</v>
      </c>
      <c r="K3" s="40" t="s">
        <v>32</v>
      </c>
      <c r="L3" s="40" t="s">
        <v>22</v>
      </c>
      <c r="M3" s="40" t="s">
        <v>38</v>
      </c>
      <c r="N3" s="41" t="s">
        <v>23</v>
      </c>
      <c r="O3" s="40" t="s">
        <v>23</v>
      </c>
      <c r="P3" s="41">
        <v>0</v>
      </c>
      <c r="Q3" s="40">
        <v>1</v>
      </c>
      <c r="R3" s="40">
        <v>0</v>
      </c>
      <c r="S3" s="40">
        <v>0</v>
      </c>
    </row>
    <row r="4" spans="1:19" x14ac:dyDescent="0.2">
      <c r="A4" s="40" t="s">
        <v>58</v>
      </c>
      <c r="B4" s="40" t="s">
        <v>217</v>
      </c>
      <c r="C4" s="40" t="s">
        <v>218</v>
      </c>
      <c r="D4" s="40"/>
      <c r="E4" s="40"/>
      <c r="F4" s="40"/>
      <c r="G4" s="40"/>
      <c r="H4" s="40"/>
      <c r="I4" s="40">
        <v>1</v>
      </c>
      <c r="J4" s="40">
        <v>1</v>
      </c>
      <c r="K4" s="40" t="s">
        <v>32</v>
      </c>
      <c r="L4" s="40" t="s">
        <v>22</v>
      </c>
      <c r="M4" s="40" t="s">
        <v>38</v>
      </c>
      <c r="N4" s="41" t="s">
        <v>23</v>
      </c>
      <c r="O4" s="40" t="s">
        <v>23</v>
      </c>
      <c r="P4" s="41">
        <v>0</v>
      </c>
      <c r="Q4" s="40">
        <v>1</v>
      </c>
      <c r="R4" s="40">
        <v>0</v>
      </c>
      <c r="S4" s="40">
        <v>0</v>
      </c>
    </row>
    <row r="5" spans="1:19" x14ac:dyDescent="0.2">
      <c r="A5" s="40" t="s">
        <v>66</v>
      </c>
      <c r="B5" s="40" t="s">
        <v>219</v>
      </c>
      <c r="C5" s="40" t="s">
        <v>52</v>
      </c>
      <c r="D5" s="40"/>
      <c r="E5" s="40"/>
      <c r="F5" s="40"/>
      <c r="G5" s="40"/>
      <c r="H5" s="40"/>
      <c r="I5" s="40">
        <v>1</v>
      </c>
      <c r="J5" s="40">
        <v>1</v>
      </c>
      <c r="K5" s="40" t="s">
        <v>32</v>
      </c>
      <c r="L5" s="40">
        <v>0</v>
      </c>
      <c r="M5" s="40">
        <v>0</v>
      </c>
      <c r="N5" s="41" t="s">
        <v>23</v>
      </c>
      <c r="O5" s="40" t="s">
        <v>23</v>
      </c>
      <c r="P5" s="41">
        <v>100</v>
      </c>
      <c r="Q5" s="40">
        <v>0</v>
      </c>
      <c r="R5" s="40">
        <v>0</v>
      </c>
      <c r="S5" s="40">
        <v>1</v>
      </c>
    </row>
    <row r="6" spans="1:19" x14ac:dyDescent="0.2">
      <c r="A6" s="40" t="s">
        <v>67</v>
      </c>
      <c r="B6" s="40" t="s">
        <v>220</v>
      </c>
      <c r="C6" s="40" t="s">
        <v>52</v>
      </c>
      <c r="D6" s="40"/>
      <c r="E6" s="40">
        <v>1</v>
      </c>
      <c r="F6" s="40"/>
      <c r="G6" s="40"/>
      <c r="H6" s="40"/>
      <c r="I6" s="40"/>
      <c r="J6" s="40">
        <v>1</v>
      </c>
      <c r="K6" s="40" t="s">
        <v>32</v>
      </c>
      <c r="L6" s="40" t="s">
        <v>22</v>
      </c>
      <c r="M6" s="40" t="s">
        <v>38</v>
      </c>
      <c r="N6" s="41" t="s">
        <v>23</v>
      </c>
      <c r="O6" s="40" t="s">
        <v>23</v>
      </c>
      <c r="P6" s="41">
        <v>0</v>
      </c>
      <c r="Q6" s="40">
        <v>1</v>
      </c>
      <c r="R6" s="40">
        <v>0</v>
      </c>
      <c r="S6" s="40">
        <v>0</v>
      </c>
    </row>
    <row r="7" spans="1:19" x14ac:dyDescent="0.2">
      <c r="A7" s="40" t="s">
        <v>62</v>
      </c>
      <c r="B7" s="40" t="s">
        <v>221</v>
      </c>
      <c r="C7" s="40" t="s">
        <v>52</v>
      </c>
      <c r="D7" s="40"/>
      <c r="E7" s="40"/>
      <c r="F7" s="40">
        <v>1</v>
      </c>
      <c r="G7" s="40"/>
      <c r="H7" s="40"/>
      <c r="I7" s="40"/>
      <c r="J7" s="40">
        <v>1</v>
      </c>
      <c r="K7" s="40" t="s">
        <v>32</v>
      </c>
      <c r="L7" s="40" t="s">
        <v>22</v>
      </c>
      <c r="M7" s="40" t="s">
        <v>38</v>
      </c>
      <c r="N7" s="41" t="s">
        <v>23</v>
      </c>
      <c r="O7" s="40" t="s">
        <v>23</v>
      </c>
      <c r="P7" s="41">
        <v>0</v>
      </c>
      <c r="Q7" s="40">
        <v>1</v>
      </c>
      <c r="R7" s="40">
        <v>0</v>
      </c>
      <c r="S7" s="40">
        <v>0</v>
      </c>
    </row>
    <row r="8" spans="1:19" x14ac:dyDescent="0.2">
      <c r="A8" s="40" t="s">
        <v>59</v>
      </c>
      <c r="B8" s="40" t="s">
        <v>222</v>
      </c>
      <c r="C8" s="40" t="s">
        <v>52</v>
      </c>
      <c r="D8" s="40"/>
      <c r="E8" s="40"/>
      <c r="F8" s="40"/>
      <c r="G8" s="40"/>
      <c r="H8" s="40">
        <v>1</v>
      </c>
      <c r="I8" s="40"/>
      <c r="J8" s="40">
        <v>1</v>
      </c>
      <c r="K8" s="40" t="s">
        <v>32</v>
      </c>
      <c r="L8" s="40">
        <v>0</v>
      </c>
      <c r="M8" s="40">
        <v>0</v>
      </c>
      <c r="N8" s="41" t="s">
        <v>23</v>
      </c>
      <c r="O8" s="40" t="s">
        <v>23</v>
      </c>
      <c r="P8" s="41">
        <v>100</v>
      </c>
      <c r="Q8" s="40">
        <v>0</v>
      </c>
      <c r="R8" s="40">
        <v>0</v>
      </c>
      <c r="S8" s="40">
        <v>1</v>
      </c>
    </row>
    <row r="9" spans="1:19" x14ac:dyDescent="0.2">
      <c r="A9" s="40" t="s">
        <v>63</v>
      </c>
      <c r="B9" s="40" t="s">
        <v>223</v>
      </c>
      <c r="C9" s="40" t="s">
        <v>52</v>
      </c>
      <c r="D9" s="40"/>
      <c r="E9" s="40"/>
      <c r="F9" s="40">
        <v>1</v>
      </c>
      <c r="G9" s="40"/>
      <c r="H9" s="40"/>
      <c r="I9" s="40"/>
      <c r="J9" s="40">
        <v>1</v>
      </c>
      <c r="K9" s="40" t="s">
        <v>32</v>
      </c>
      <c r="L9" s="40">
        <v>0</v>
      </c>
      <c r="M9" s="40">
        <v>0</v>
      </c>
      <c r="N9" s="41" t="s">
        <v>23</v>
      </c>
      <c r="O9" s="40" t="s">
        <v>23</v>
      </c>
      <c r="P9" s="41">
        <v>100</v>
      </c>
      <c r="Q9" s="40">
        <v>0</v>
      </c>
      <c r="R9" s="40">
        <v>0</v>
      </c>
      <c r="S9" s="40">
        <v>1</v>
      </c>
    </row>
    <row r="10" spans="1:19" x14ac:dyDescent="0.2">
      <c r="A10" s="40" t="s">
        <v>57</v>
      </c>
      <c r="B10" s="40" t="s">
        <v>224</v>
      </c>
      <c r="C10" s="40" t="s">
        <v>52</v>
      </c>
      <c r="D10" s="40"/>
      <c r="E10" s="40">
        <v>1</v>
      </c>
      <c r="F10" s="40"/>
      <c r="G10" s="40"/>
      <c r="H10" s="40"/>
      <c r="I10" s="40"/>
      <c r="J10" s="40">
        <v>1</v>
      </c>
      <c r="K10" s="40" t="s">
        <v>32</v>
      </c>
      <c r="L10" s="40">
        <v>0</v>
      </c>
      <c r="M10" s="40">
        <v>0</v>
      </c>
      <c r="N10" s="41" t="s">
        <v>23</v>
      </c>
      <c r="O10" s="40" t="s">
        <v>23</v>
      </c>
      <c r="P10" s="41">
        <v>100</v>
      </c>
      <c r="Q10" s="40">
        <v>0</v>
      </c>
      <c r="R10" s="40">
        <v>0</v>
      </c>
      <c r="S10" s="40">
        <v>1</v>
      </c>
    </row>
    <row r="11" spans="1:19" x14ac:dyDescent="0.2">
      <c r="A11" s="40" t="s">
        <v>56</v>
      </c>
      <c r="B11" s="40" t="s">
        <v>225</v>
      </c>
      <c r="C11" s="40" t="s">
        <v>52</v>
      </c>
      <c r="D11" s="40"/>
      <c r="E11" s="40"/>
      <c r="F11" s="40"/>
      <c r="G11" s="40">
        <v>1</v>
      </c>
      <c r="H11" s="40"/>
      <c r="I11" s="40"/>
      <c r="J11" s="40">
        <v>1</v>
      </c>
      <c r="K11" s="40" t="s">
        <v>32</v>
      </c>
      <c r="L11" s="40" t="s">
        <v>22</v>
      </c>
      <c r="M11" s="40" t="s">
        <v>38</v>
      </c>
      <c r="N11" s="41" t="s">
        <v>23</v>
      </c>
      <c r="O11" s="40" t="s">
        <v>23</v>
      </c>
      <c r="P11" s="41">
        <v>0</v>
      </c>
      <c r="Q11" s="40">
        <v>1</v>
      </c>
      <c r="R11" s="40">
        <v>0</v>
      </c>
      <c r="S11" s="40">
        <v>0</v>
      </c>
    </row>
    <row r="12" spans="1:19" x14ac:dyDescent="0.2">
      <c r="A12" s="40" t="s">
        <v>54</v>
      </c>
      <c r="B12" s="40" t="s">
        <v>226</v>
      </c>
      <c r="C12" s="40" t="s">
        <v>52</v>
      </c>
      <c r="D12" s="40">
        <v>1</v>
      </c>
      <c r="E12" s="40"/>
      <c r="F12" s="40"/>
      <c r="G12" s="40"/>
      <c r="H12" s="40"/>
      <c r="I12" s="40"/>
      <c r="J12" s="40">
        <v>1</v>
      </c>
      <c r="K12" s="40" t="s">
        <v>32</v>
      </c>
      <c r="L12" s="40">
        <v>0</v>
      </c>
      <c r="M12" s="40">
        <v>0</v>
      </c>
      <c r="N12" s="41" t="s">
        <v>23</v>
      </c>
      <c r="O12" s="40" t="s">
        <v>23</v>
      </c>
      <c r="P12" s="41">
        <v>100</v>
      </c>
      <c r="Q12" s="40">
        <v>0</v>
      </c>
      <c r="R12" s="40">
        <v>0</v>
      </c>
      <c r="S12" s="40">
        <v>1</v>
      </c>
    </row>
    <row r="13" spans="1:19" x14ac:dyDescent="0.2">
      <c r="A13" s="40" t="s">
        <v>61</v>
      </c>
      <c r="B13" s="40" t="s">
        <v>227</v>
      </c>
      <c r="C13" s="40" t="s">
        <v>52</v>
      </c>
      <c r="D13" s="40"/>
      <c r="E13" s="40"/>
      <c r="F13" s="40"/>
      <c r="G13" s="40">
        <v>1</v>
      </c>
      <c r="H13" s="40"/>
      <c r="I13" s="40"/>
      <c r="J13" s="40">
        <v>1</v>
      </c>
      <c r="K13" s="40" t="s">
        <v>32</v>
      </c>
      <c r="L13" s="40">
        <v>0</v>
      </c>
      <c r="M13" s="40">
        <v>0</v>
      </c>
      <c r="N13" s="41" t="s">
        <v>23</v>
      </c>
      <c r="O13" s="40" t="s">
        <v>23</v>
      </c>
      <c r="P13" s="41">
        <v>100</v>
      </c>
      <c r="Q13" s="40">
        <v>0</v>
      </c>
      <c r="R13" s="40">
        <v>0</v>
      </c>
      <c r="S13" s="40">
        <v>1</v>
      </c>
    </row>
    <row r="14" spans="1:19" x14ac:dyDescent="0.2">
      <c r="A14" s="40" t="s">
        <v>175</v>
      </c>
      <c r="B14" s="40" t="s">
        <v>228</v>
      </c>
      <c r="C14" s="40" t="s">
        <v>53</v>
      </c>
      <c r="D14" s="40"/>
      <c r="E14" s="40"/>
      <c r="F14" s="40"/>
      <c r="G14" s="40"/>
      <c r="H14" s="40">
        <v>1</v>
      </c>
      <c r="I14" s="40"/>
      <c r="J14" s="40">
        <v>1</v>
      </c>
      <c r="K14" s="40" t="s">
        <v>32</v>
      </c>
      <c r="L14" s="40">
        <v>0</v>
      </c>
      <c r="M14" s="40">
        <v>0</v>
      </c>
      <c r="N14" s="41" t="s">
        <v>23</v>
      </c>
      <c r="O14" s="40" t="s">
        <v>23</v>
      </c>
      <c r="P14" s="41">
        <v>100</v>
      </c>
      <c r="Q14" s="40">
        <v>0</v>
      </c>
      <c r="R14" s="40">
        <v>0</v>
      </c>
      <c r="S14" s="40">
        <v>1</v>
      </c>
    </row>
    <row r="15" spans="1:19" x14ac:dyDescent="0.2">
      <c r="A15" s="40" t="s">
        <v>176</v>
      </c>
      <c r="B15" s="40" t="s">
        <v>229</v>
      </c>
      <c r="C15" s="40" t="s">
        <v>53</v>
      </c>
      <c r="D15" s="40"/>
      <c r="E15" s="40"/>
      <c r="F15" s="40"/>
      <c r="G15" s="40"/>
      <c r="H15" s="40">
        <v>1</v>
      </c>
      <c r="I15" s="40">
        <v>1</v>
      </c>
      <c r="J15" s="40">
        <v>2</v>
      </c>
      <c r="K15" s="40" t="s">
        <v>32</v>
      </c>
      <c r="L15" s="40">
        <v>0</v>
      </c>
      <c r="M15" s="40">
        <v>0</v>
      </c>
      <c r="N15" s="41" t="s">
        <v>23</v>
      </c>
      <c r="O15" s="40" t="s">
        <v>23</v>
      </c>
      <c r="P15" s="41">
        <v>100</v>
      </c>
      <c r="Q15" s="40">
        <v>0</v>
      </c>
      <c r="R15" s="40">
        <v>0</v>
      </c>
      <c r="S15" s="40">
        <v>2</v>
      </c>
    </row>
    <row r="16" spans="1:19" x14ac:dyDescent="0.2">
      <c r="A16" s="40" t="s">
        <v>141</v>
      </c>
      <c r="B16" s="40" t="s">
        <v>230</v>
      </c>
      <c r="C16" s="40" t="s">
        <v>52</v>
      </c>
      <c r="D16" s="40"/>
      <c r="E16" s="40"/>
      <c r="F16" s="40"/>
      <c r="G16" s="40"/>
      <c r="H16" s="40">
        <v>1</v>
      </c>
      <c r="I16" s="40">
        <v>1</v>
      </c>
      <c r="J16" s="40">
        <v>2</v>
      </c>
      <c r="K16" s="40" t="s">
        <v>32</v>
      </c>
      <c r="L16" s="40">
        <v>0</v>
      </c>
      <c r="M16" s="40">
        <v>0</v>
      </c>
      <c r="N16" s="41" t="s">
        <v>23</v>
      </c>
      <c r="O16" s="40" t="s">
        <v>23</v>
      </c>
      <c r="P16" s="41">
        <v>100</v>
      </c>
      <c r="Q16" s="40">
        <v>0</v>
      </c>
      <c r="R16" s="40">
        <v>0</v>
      </c>
      <c r="S16" s="40">
        <v>2</v>
      </c>
    </row>
    <row r="17" spans="1:19" x14ac:dyDescent="0.2">
      <c r="A17" s="40" t="s">
        <v>121</v>
      </c>
      <c r="B17" s="40" t="s">
        <v>231</v>
      </c>
      <c r="C17" s="40" t="s">
        <v>52</v>
      </c>
      <c r="D17" s="40"/>
      <c r="E17" s="40"/>
      <c r="F17" s="40"/>
      <c r="G17" s="40">
        <v>2</v>
      </c>
      <c r="H17" s="40"/>
      <c r="I17" s="40"/>
      <c r="J17" s="40">
        <v>2</v>
      </c>
      <c r="K17" s="40" t="s">
        <v>32</v>
      </c>
      <c r="L17" s="40" t="s">
        <v>22</v>
      </c>
      <c r="M17" s="40" t="s">
        <v>38</v>
      </c>
      <c r="N17" s="41" t="s">
        <v>23</v>
      </c>
      <c r="O17" s="40" t="s">
        <v>23</v>
      </c>
      <c r="P17" s="41">
        <v>0</v>
      </c>
      <c r="Q17" s="40">
        <v>2</v>
      </c>
      <c r="R17" s="40">
        <v>0</v>
      </c>
      <c r="S17" s="40">
        <v>0</v>
      </c>
    </row>
    <row r="18" spans="1:19" x14ac:dyDescent="0.2">
      <c r="A18" s="40" t="s">
        <v>55</v>
      </c>
      <c r="B18" s="40" t="s">
        <v>232</v>
      </c>
      <c r="C18" s="40" t="s">
        <v>52</v>
      </c>
      <c r="D18" s="40"/>
      <c r="E18" s="40">
        <v>1</v>
      </c>
      <c r="F18" s="40"/>
      <c r="G18" s="40"/>
      <c r="H18" s="40"/>
      <c r="I18" s="40"/>
      <c r="J18" s="40">
        <v>1</v>
      </c>
      <c r="K18" s="40" t="s">
        <v>32</v>
      </c>
      <c r="L18" s="40">
        <v>0</v>
      </c>
      <c r="M18" s="40">
        <v>0</v>
      </c>
      <c r="N18" s="41" t="s">
        <v>23</v>
      </c>
      <c r="O18" s="40" t="s">
        <v>23</v>
      </c>
      <c r="P18" s="41">
        <v>100</v>
      </c>
      <c r="Q18" s="40">
        <v>0</v>
      </c>
      <c r="R18" s="40">
        <v>0</v>
      </c>
      <c r="S18" s="40">
        <v>1</v>
      </c>
    </row>
    <row r="19" spans="1:19" x14ac:dyDescent="0.2">
      <c r="A19" s="40" t="s">
        <v>64</v>
      </c>
      <c r="B19" s="40" t="s">
        <v>233</v>
      </c>
      <c r="C19" s="40" t="s">
        <v>52</v>
      </c>
      <c r="D19" s="40">
        <v>1</v>
      </c>
      <c r="E19" s="40"/>
      <c r="F19" s="40"/>
      <c r="G19" s="40"/>
      <c r="H19" s="40"/>
      <c r="I19" s="40"/>
      <c r="J19" s="40">
        <v>1</v>
      </c>
      <c r="K19" s="40" t="s">
        <v>32</v>
      </c>
      <c r="L19" s="40" t="s">
        <v>22</v>
      </c>
      <c r="M19" s="40" t="s">
        <v>38</v>
      </c>
      <c r="N19" s="41" t="s">
        <v>23</v>
      </c>
      <c r="O19" s="40" t="s">
        <v>23</v>
      </c>
      <c r="P19" s="41">
        <v>0</v>
      </c>
      <c r="Q19" s="40">
        <v>1</v>
      </c>
      <c r="R19" s="40">
        <v>0</v>
      </c>
      <c r="S19" s="40">
        <v>0</v>
      </c>
    </row>
    <row r="20" spans="1:19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  <c r="O20" s="38"/>
      <c r="P20" s="39"/>
      <c r="Q20" s="38"/>
      <c r="R20" s="38"/>
      <c r="S20" s="42">
        <f>SUM(S2:S19)</f>
        <v>13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0723-2E49-4055-ACBD-63C0E4DE4323}">
  <dimension ref="A1:C11"/>
  <sheetViews>
    <sheetView workbookViewId="0">
      <selection activeCell="G21" sqref="G21"/>
    </sheetView>
  </sheetViews>
  <sheetFormatPr baseColWidth="10" defaultRowHeight="15" x14ac:dyDescent="0.25"/>
  <cols>
    <col min="1" max="1" width="17" customWidth="1"/>
    <col min="2" max="2" width="93.28515625" customWidth="1"/>
    <col min="3" max="3" width="16" customWidth="1"/>
  </cols>
  <sheetData>
    <row r="1" spans="1:3" x14ac:dyDescent="0.25">
      <c r="A1" s="43" t="s">
        <v>105</v>
      </c>
      <c r="B1" s="43" t="s">
        <v>106</v>
      </c>
      <c r="C1" s="43" t="s">
        <v>107</v>
      </c>
    </row>
    <row r="2" spans="1:3" x14ac:dyDescent="0.25">
      <c r="A2" s="33" t="s">
        <v>98</v>
      </c>
      <c r="B2" s="33" t="s">
        <v>122</v>
      </c>
      <c r="C2" s="34">
        <v>15050</v>
      </c>
    </row>
    <row r="3" spans="1:3" x14ac:dyDescent="0.25">
      <c r="A3" s="35" t="s">
        <v>108</v>
      </c>
      <c r="B3" s="35" t="s">
        <v>123</v>
      </c>
      <c r="C3" s="36">
        <v>11100</v>
      </c>
    </row>
    <row r="4" spans="1:3" x14ac:dyDescent="0.25">
      <c r="A4" s="33" t="s">
        <v>124</v>
      </c>
      <c r="B4" s="33" t="s">
        <v>125</v>
      </c>
      <c r="C4" s="34">
        <v>6688</v>
      </c>
    </row>
    <row r="5" spans="1:3" x14ac:dyDescent="0.25">
      <c r="A5" s="35" t="s">
        <v>126</v>
      </c>
      <c r="B5" s="35" t="s">
        <v>127</v>
      </c>
      <c r="C5" s="36">
        <v>5280</v>
      </c>
    </row>
    <row r="6" spans="1:3" x14ac:dyDescent="0.25">
      <c r="A6" s="33" t="s">
        <v>128</v>
      </c>
      <c r="B6" s="33" t="s">
        <v>129</v>
      </c>
      <c r="C6" s="34">
        <v>192.6</v>
      </c>
    </row>
    <row r="7" spans="1:3" x14ac:dyDescent="0.25">
      <c r="A7" s="35" t="s">
        <v>130</v>
      </c>
      <c r="B7" s="35" t="s">
        <v>131</v>
      </c>
      <c r="C7" s="36">
        <v>4048</v>
      </c>
    </row>
    <row r="8" spans="1:3" x14ac:dyDescent="0.25">
      <c r="A8" s="33" t="s">
        <v>132</v>
      </c>
      <c r="B8" s="33" t="s">
        <v>133</v>
      </c>
      <c r="C8" s="34">
        <v>1760</v>
      </c>
    </row>
    <row r="9" spans="1:3" x14ac:dyDescent="0.25">
      <c r="A9" s="44" t="s">
        <v>68</v>
      </c>
      <c r="B9" s="44" t="s">
        <v>134</v>
      </c>
      <c r="C9" s="45">
        <v>14808.84</v>
      </c>
    </row>
    <row r="10" spans="1:3" x14ac:dyDescent="0.25">
      <c r="A10" s="44" t="s">
        <v>0</v>
      </c>
      <c r="B10" s="44"/>
      <c r="C10" s="46">
        <f>SUBTOTAL(109,Tabla3[Imp.cob.aplic.])</f>
        <v>58927.44</v>
      </c>
    </row>
    <row r="11" spans="1:3" x14ac:dyDescent="0.25">
      <c r="C11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1C6E-A4AD-482B-B8D1-18933AF8D4A7}">
  <dimension ref="A1:C14"/>
  <sheetViews>
    <sheetView workbookViewId="0">
      <selection activeCell="B18" sqref="B18:C18"/>
    </sheetView>
  </sheetViews>
  <sheetFormatPr baseColWidth="10" defaultRowHeight="15" x14ac:dyDescent="0.25"/>
  <cols>
    <col min="1" max="1" width="15.85546875" customWidth="1"/>
    <col min="2" max="2" width="77.5703125" customWidth="1"/>
    <col min="3" max="3" width="14.42578125" customWidth="1"/>
  </cols>
  <sheetData>
    <row r="1" spans="1:3" x14ac:dyDescent="0.25">
      <c r="A1" s="49" t="s">
        <v>177</v>
      </c>
      <c r="B1" s="49" t="s">
        <v>106</v>
      </c>
      <c r="C1" s="50" t="s">
        <v>178</v>
      </c>
    </row>
    <row r="2" spans="1:3" x14ac:dyDescent="0.25">
      <c r="A2" s="47" t="s">
        <v>108</v>
      </c>
      <c r="B2" s="47" t="s">
        <v>179</v>
      </c>
      <c r="C2" s="19">
        <v>14800</v>
      </c>
    </row>
    <row r="3" spans="1:3" x14ac:dyDescent="0.25">
      <c r="A3" s="48" t="s">
        <v>128</v>
      </c>
      <c r="B3" s="48" t="s">
        <v>180</v>
      </c>
      <c r="C3" s="20">
        <v>287.52</v>
      </c>
    </row>
    <row r="4" spans="1:3" x14ac:dyDescent="0.25">
      <c r="A4" s="47" t="s">
        <v>181</v>
      </c>
      <c r="B4" s="47" t="s">
        <v>182</v>
      </c>
      <c r="C4" s="19">
        <v>4268</v>
      </c>
    </row>
    <row r="5" spans="1:3" x14ac:dyDescent="0.25">
      <c r="A5" s="48" t="s">
        <v>183</v>
      </c>
      <c r="B5" s="48" t="s">
        <v>184</v>
      </c>
      <c r="C5" s="20">
        <v>10731.56</v>
      </c>
    </row>
    <row r="6" spans="1:3" x14ac:dyDescent="0.25">
      <c r="A6" s="47" t="s">
        <v>185</v>
      </c>
      <c r="B6" s="47" t="s">
        <v>186</v>
      </c>
      <c r="C6" s="19">
        <v>872.08</v>
      </c>
    </row>
    <row r="7" spans="1:3" x14ac:dyDescent="0.25">
      <c r="A7" s="48" t="s">
        <v>187</v>
      </c>
      <c r="B7" s="48" t="s">
        <v>188</v>
      </c>
      <c r="C7" s="20">
        <v>20103.599999999999</v>
      </c>
    </row>
    <row r="8" spans="1:3" x14ac:dyDescent="0.25">
      <c r="A8" s="47" t="s">
        <v>187</v>
      </c>
      <c r="B8" s="47" t="s">
        <v>189</v>
      </c>
      <c r="C8" s="19">
        <v>13772.4</v>
      </c>
    </row>
    <row r="9" spans="1:3" x14ac:dyDescent="0.25">
      <c r="A9" s="48" t="s">
        <v>190</v>
      </c>
      <c r="B9" s="48" t="s">
        <v>191</v>
      </c>
      <c r="C9" s="20">
        <v>2200</v>
      </c>
    </row>
    <row r="10" spans="1:3" x14ac:dyDescent="0.25">
      <c r="A10" s="47" t="s">
        <v>190</v>
      </c>
      <c r="B10" s="47" t="s">
        <v>192</v>
      </c>
      <c r="C10" s="19">
        <v>2200</v>
      </c>
    </row>
    <row r="11" spans="1:3" x14ac:dyDescent="0.25">
      <c r="A11" s="48" t="s">
        <v>193</v>
      </c>
      <c r="B11" s="48" t="s">
        <v>194</v>
      </c>
      <c r="C11" s="20">
        <v>2200</v>
      </c>
    </row>
    <row r="12" spans="1:3" x14ac:dyDescent="0.25">
      <c r="A12" s="47" t="s">
        <v>132</v>
      </c>
      <c r="B12" s="47" t="s">
        <v>195</v>
      </c>
      <c r="C12" s="19">
        <v>880</v>
      </c>
    </row>
    <row r="13" spans="1:3" x14ac:dyDescent="0.25">
      <c r="A13" s="51" t="s">
        <v>68</v>
      </c>
      <c r="B13" s="51" t="s">
        <v>196</v>
      </c>
      <c r="C13" s="52">
        <v>17538.61</v>
      </c>
    </row>
    <row r="14" spans="1:3" x14ac:dyDescent="0.25">
      <c r="A14" s="53" t="s">
        <v>0</v>
      </c>
      <c r="B14" s="53"/>
      <c r="C14" s="54">
        <f>SUBTOTAL(109,Tabla4[Imp. aplic.])</f>
        <v>89853.77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9BD3-A5A4-4C63-83E1-F2913B9B5C96}">
  <dimension ref="A1:C12"/>
  <sheetViews>
    <sheetView tabSelected="1" workbookViewId="0">
      <selection activeCell="C20" sqref="C20"/>
    </sheetView>
  </sheetViews>
  <sheetFormatPr baseColWidth="10" defaultRowHeight="15" x14ac:dyDescent="0.25"/>
  <cols>
    <col min="1" max="1" width="23" customWidth="1"/>
    <col min="2" max="2" width="62.7109375" customWidth="1"/>
    <col min="3" max="3" width="23.42578125" customWidth="1"/>
  </cols>
  <sheetData>
    <row r="1" spans="1:3" x14ac:dyDescent="0.25">
      <c r="A1" s="57" t="s">
        <v>177</v>
      </c>
      <c r="B1" s="58" t="s">
        <v>106</v>
      </c>
      <c r="C1" s="58" t="s">
        <v>178</v>
      </c>
    </row>
    <row r="2" spans="1:3" x14ac:dyDescent="0.25">
      <c r="A2" s="59" t="s">
        <v>128</v>
      </c>
      <c r="B2" s="60" t="s">
        <v>180</v>
      </c>
      <c r="C2" s="61">
        <v>125.47</v>
      </c>
    </row>
    <row r="3" spans="1:3" x14ac:dyDescent="0.25">
      <c r="A3" s="62" t="s">
        <v>193</v>
      </c>
      <c r="B3" s="63" t="s">
        <v>234</v>
      </c>
      <c r="C3" s="64">
        <v>2200</v>
      </c>
    </row>
    <row r="4" spans="1:3" x14ac:dyDescent="0.25">
      <c r="A4" s="59" t="s">
        <v>235</v>
      </c>
      <c r="B4" s="60" t="s">
        <v>236</v>
      </c>
      <c r="C4" s="61">
        <v>25080</v>
      </c>
    </row>
    <row r="5" spans="1:3" x14ac:dyDescent="0.25">
      <c r="A5" s="62" t="s">
        <v>235</v>
      </c>
      <c r="B5" s="63" t="s">
        <v>237</v>
      </c>
      <c r="C5" s="64">
        <v>16945</v>
      </c>
    </row>
    <row r="6" spans="1:3" x14ac:dyDescent="0.25">
      <c r="A6" s="59" t="s">
        <v>238</v>
      </c>
      <c r="B6" s="60" t="s">
        <v>239</v>
      </c>
      <c r="C6" s="61">
        <v>1454.54</v>
      </c>
    </row>
    <row r="7" spans="1:3" ht="15.75" thickBot="1" x14ac:dyDescent="0.3">
      <c r="A7" s="62" t="s">
        <v>240</v>
      </c>
      <c r="B7" s="63" t="s">
        <v>241</v>
      </c>
      <c r="C7" s="64">
        <v>2640</v>
      </c>
    </row>
    <row r="8" spans="1:3" ht="15.75" thickTop="1" x14ac:dyDescent="0.25">
      <c r="A8" s="65" t="s">
        <v>0</v>
      </c>
      <c r="B8" s="66"/>
      <c r="C8" s="67">
        <v>48445.01</v>
      </c>
    </row>
    <row r="12" spans="1:3" x14ac:dyDescent="0.25">
      <c r="B12" s="68" t="s">
        <v>242</v>
      </c>
      <c r="C12" s="55">
        <f>'Ingresos investigación 2024'!C14+Tabla3[[#Totals],[Imp.cob.aplic.]]+C8</f>
        <v>197226.22000000003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Tesis</vt:lpstr>
      <vt:lpstr>Sexenios</vt:lpstr>
      <vt:lpstr>Ingresos investigación 2023</vt:lpstr>
      <vt:lpstr>Ingresos investigación 2024</vt:lpstr>
      <vt:lpstr>Ingresos investigación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2026-05-20T12:22:25Z</dcterms:modified>
</cp:coreProperties>
</file>