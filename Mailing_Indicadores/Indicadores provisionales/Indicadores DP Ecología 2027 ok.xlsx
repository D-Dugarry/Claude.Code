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ttps://nexe.ua.es/remote.php/dav/files/mayte.pujalte@ua.es/_Unidad_Presupuestos/2_PRESUPUESTACIÓN/Presupuesto 2027/Datos/D-I/Indicadores provisionales/"/>
    </mc:Choice>
  </mc:AlternateContent>
  <xr:revisionPtr revIDLastSave="0" documentId="13_ncr:1_{F894544C-6453-414A-B35D-42311FEE3578}" xr6:coauthVersionLast="47" xr6:coauthVersionMax="47" xr10:uidLastSave="{00000000-0000-0000-0000-000000000000}"/>
  <bookViews>
    <workbookView xWindow="-108" yWindow="-108" windowWidth="23256" windowHeight="13896" firstSheet="2" activeTab="5" xr2:uid="{00000000-000D-0000-FFFF-FFFF00000000}"/>
  </bookViews>
  <sheets>
    <sheet name="Tesis" sheetId="2" r:id="rId1"/>
    <sheet name="Sexenios" sheetId="3" r:id="rId2"/>
    <sheet name="Ingresos investigación 2023" sheetId="10" r:id="rId3"/>
    <sheet name="Ingresos investigación 2024" sheetId="11" r:id="rId4"/>
    <sheet name="Ingresos investigación 2025" sheetId="12" r:id="rId5"/>
    <sheet name="Ingresos formación 2025" sheetId="13" r:id="rId6"/>
  </sheets>
  <definedNames>
    <definedName name="_xlnm._FilterDatabase" localSheetId="1" hidden="1">Sexenios!#REF!</definedName>
    <definedName name="_xlnm._FilterDatabase" localSheetId="0" hidden="1">Tesis!$A$1:$U$14</definedName>
    <definedName name="_xlnm.Print_Titles" localSheetId="1">Sexenios!#REF!</definedName>
    <definedName name="_xlnm.Print_Titles" localSheetId="0">Tesis!$D:$D,Tesis!$1:$1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7" i="12" l="1"/>
  <c r="C20" i="11"/>
  <c r="C15" i="10"/>
  <c r="S28" i="2"/>
  <c r="S16" i="3" l="1"/>
</calcChain>
</file>

<file path=xl/sharedStrings.xml><?xml version="1.0" encoding="utf-8"?>
<sst xmlns="http://schemas.openxmlformats.org/spreadsheetml/2006/main" count="627" uniqueCount="234">
  <si>
    <t>Total</t>
  </si>
  <si>
    <t>35.50.6C.00.01</t>
  </si>
  <si>
    <t>35.50.6X.00.03</t>
  </si>
  <si>
    <t>C.D.</t>
  </si>
  <si>
    <t>Departamento</t>
  </si>
  <si>
    <t>Plan</t>
  </si>
  <si>
    <t>Alumno</t>
  </si>
  <si>
    <t>Tesis</t>
  </si>
  <si>
    <t>Fecha</t>
  </si>
  <si>
    <t>Tutor</t>
  </si>
  <si>
    <t>Rol</t>
  </si>
  <si>
    <t>C.DEP.</t>
  </si>
  <si>
    <t>Departamento Tutor</t>
  </si>
  <si>
    <t>ASIGNACIÓN</t>
  </si>
  <si>
    <t>DEP.ASIG.</t>
  </si>
  <si>
    <t>EJERCICIO</t>
  </si>
  <si>
    <t>INS 1</t>
  </si>
  <si>
    <t>DED INS 1</t>
  </si>
  <si>
    <t>INS 2</t>
  </si>
  <si>
    <t>DED INS 2</t>
  </si>
  <si>
    <t>DED DEP</t>
  </si>
  <si>
    <t>TDOC DEP</t>
  </si>
  <si>
    <t>TDOC INST 1</t>
  </si>
  <si>
    <t>TDOC INST 2</t>
  </si>
  <si>
    <t>Codirector de tesis </t>
  </si>
  <si>
    <t/>
  </si>
  <si>
    <t>10.16</t>
  </si>
  <si>
    <t>Director de tesis </t>
  </si>
  <si>
    <t>- </t>
  </si>
  <si>
    <t>30</t>
  </si>
  <si>
    <t>B157 </t>
  </si>
  <si>
    <t>ECOLOGIA </t>
  </si>
  <si>
    <t>DOCTORADO EN CONSERVACIÓN Y RESTAURACIÓN DE ECOSISTEMAS </t>
  </si>
  <si>
    <t>B157</t>
  </si>
  <si>
    <t>31832052Y </t>
  </si>
  <si>
    <t>48624838D </t>
  </si>
  <si>
    <t>22102953E </t>
  </si>
  <si>
    <t>35004437R </t>
  </si>
  <si>
    <t>NIF</t>
  </si>
  <si>
    <t>NOMBRE_COMPLETO</t>
  </si>
  <si>
    <t>TIPO_SEXENIO</t>
  </si>
  <si>
    <t>Total general</t>
  </si>
  <si>
    <t>INS
1</t>
  </si>
  <si>
    <t>DED
INS 1</t>
  </si>
  <si>
    <t>INS
2</t>
  </si>
  <si>
    <t>DED
INS 2</t>
  </si>
  <si>
    <t>DED
DEP</t>
  </si>
  <si>
    <t>SEX
INS 1</t>
  </si>
  <si>
    <t>SEX
INS 2</t>
  </si>
  <si>
    <t>SEX
DEP</t>
  </si>
  <si>
    <t>FUNCIONARIO</t>
  </si>
  <si>
    <t>NO FUNCIONARIO</t>
  </si>
  <si>
    <t>72519052Y</t>
  </si>
  <si>
    <t>31832052Y</t>
  </si>
  <si>
    <t>22102953E</t>
  </si>
  <si>
    <t>35052669W</t>
  </si>
  <si>
    <t>21432737A</t>
  </si>
  <si>
    <t>22981766M</t>
  </si>
  <si>
    <t>48534429J</t>
  </si>
  <si>
    <t>74235633M</t>
  </si>
  <si>
    <t>COD DEP</t>
  </si>
  <si>
    <t>52784140Z</t>
  </si>
  <si>
    <t>Larsen , Elisabeth Karlstad </t>
  </si>
  <si>
    <t>Transpiration patterns of Pinus halepensis Mill. in response to environmental stresses in a Mediterranean climate </t>
  </si>
  <si>
    <t>24/05/2021 </t>
  </si>
  <si>
    <t>B171 </t>
  </si>
  <si>
    <t>CIENCIAS DEL MAR Y BIOLOGÍA APLICADA </t>
  </si>
  <si>
    <t>DOCTORADO EN CIENCIAS DEL MAR Y BIOLOGÍA APLICADA </t>
  </si>
  <si>
    <t>Casado Coy, Nuria </t>
  </si>
  <si>
    <t>Effects of fouling and organic matter wastes from marine aquaculture on the macrofauna and biogeochemistry of sediments. </t>
  </si>
  <si>
    <t>09/06/2021 </t>
  </si>
  <si>
    <t>74235633M </t>
  </si>
  <si>
    <t>35.50.6P.00.15</t>
  </si>
  <si>
    <t>48352264P</t>
  </si>
  <si>
    <t>05655788L</t>
  </si>
  <si>
    <t>37741679J</t>
  </si>
  <si>
    <t>Maturano Ruiz, Adrián </t>
  </si>
  <si>
    <t>Impacts of water availability on shrublands: natural and experimental extreme drought in </t>
  </si>
  <si>
    <t>11/03/2022 </t>
  </si>
  <si>
    <t>05655788L </t>
  </si>
  <si>
    <t>Moghli , Aymen </t>
  </si>
  <si>
    <t>Functioning of Mediterranean ecosystems in response to forest fires and post-fire management activities. </t>
  </si>
  <si>
    <t>15/07/2022 </t>
  </si>
  <si>
    <t>72519052Y </t>
  </si>
  <si>
    <t>48534429J </t>
  </si>
  <si>
    <t>48361759G</t>
  </si>
  <si>
    <t>74367693E</t>
  </si>
  <si>
    <t>Vicente Bartolí, Eduardo</t>
  </si>
  <si>
    <t>Forests ecohydrology in water-limited environments: the role of water use strategies, chronic decline, and acclimation of functional traits.</t>
  </si>
  <si>
    <t>Cód. org. aplic.</t>
  </si>
  <si>
    <t>Descripción justificante</t>
  </si>
  <si>
    <t>Imp.cob.aplic.</t>
  </si>
  <si>
    <t>35.50.6C.00.10</t>
  </si>
  <si>
    <t>35.50.6P.00.19</t>
  </si>
  <si>
    <t>35.50.6P.00.21</t>
  </si>
  <si>
    <t>35.50.6X.00.04</t>
  </si>
  <si>
    <t>Turrión Cerrejón, Diana </t>
  </si>
  <si>
    <t>Morpho-functional response of Aleppo pine to thinning pattern in dense post-fire forests. </t>
  </si>
  <si>
    <t>20/09/2023 </t>
  </si>
  <si>
    <t>Silva Morales, Elysa Inés </t>
  </si>
  <si>
    <t>Tools for participatory planning of ecological restoration </t>
  </si>
  <si>
    <t>30/06/2023 </t>
  </si>
  <si>
    <t>35052669W </t>
  </si>
  <si>
    <t>Aguilar Garavito, Mauricio </t>
  </si>
  <si>
    <t>Conservación y restauración ecológica de robledales andinos afectados por incendios </t>
  </si>
  <si>
    <t>18/05/2023 </t>
  </si>
  <si>
    <t>Gastos derivados del uso de las instalaciones de la Universidad de Alicante por parte de la unidad Mixta CEAM -UA</t>
  </si>
  <si>
    <t>MONITORIZACIÓN Y CONSERVACIÓN DE LA POBLACION DE CAMACHUELO TROMPETERO Y OTROS PASSERIFORMES EN LA ZEPA DEL RÍO MONTNEGRE Y ENTORNO DE LA PLANTA DE TRATAMIENTO Y VERTEDERO CONTROLADO DE R.S.U. PIEDRA NEGRA.  Nº PEDIDO 7722062771</t>
  </si>
  <si>
    <t>35.50.6C.00.13</t>
  </si>
  <si>
    <t>REALIZACIÓN DE CENSOS Y MUESTRO DEL HÁBITAT OCUPADO Y POTENCIAL DE LA AMENAZADA ALONDRA RICOTÍ EN LA PROVINCIA DE ALICANTE</t>
  </si>
  <si>
    <t>35.50.6C.00.14</t>
  </si>
  <si>
    <t>ASESORAMIENTO CIENTÍFICO-TÉCNICO EN LA ORGANIZACIÓN DEL 13º CONGRESO SERE, COORDINACIÓN Y LOCALIZACIÓN DE PONENTES Y OTRAS TAREAS DE ÍNDOLE CIENTÍFICA DEL CONGRESO</t>
  </si>
  <si>
    <t>PAGO 10 BECAS LEONARDO 2020 FUNDACION BBVA</t>
  </si>
  <si>
    <t>35.50.6P.00.18</t>
  </si>
  <si>
    <t xml:space="preserve">CIDEIG/2022/44 </t>
  </si>
  <si>
    <t xml:space="preserve">DEVOLUCIÓN DE INGRESOS_MODELO 047_Nº de liquidación:46/2023/RAS/10276/1_ Número de justificante:047/1/002376790_Nº de referencia:047/1/002376790 </t>
  </si>
  <si>
    <t>PCI2022-135020-2PIA212022 ANUALIDAD LIBERADO</t>
  </si>
  <si>
    <t>35.50.6P.00.22</t>
  </si>
  <si>
    <t xml:space="preserve">AYUDAS CIAORG/2022/45, CIAORG/2022/15, CIAORG/2022/44, CIAORG/2022/140, CIAORG/2022/89, CIAORG/2022/10, CIAORG/2022/115, CIAORG/2022/27, CIAORG/2022/117, CIAORG/2022/128, CIAORG/2022/83, CIAORG/2022/74, CIAORG/2022/125 </t>
  </si>
  <si>
    <t>35.50.6P.00.23</t>
  </si>
  <si>
    <t xml:space="preserve">AYUDAS FCT-22-18218, FCT-22-18048, FCT-22-17730 </t>
  </si>
  <si>
    <t>35.50.6P.00.24</t>
  </si>
  <si>
    <t xml:space="preserve">ayudas PID2022  138464NB-142516OB-139990NB-141382OB-137350NB-139899OB--136847NB-137385NB-139294NB-137873NA-138786NB-141712NB-136590OB-139105OB-142356NB-141694NB-136399NB  </t>
  </si>
  <si>
    <t>35.50.6P.00.25</t>
  </si>
  <si>
    <t xml:space="preserve">ayudas JDC2022-048464-I, JDC2022-048464-I (Dot. Adicional), JDC2022-048845-I, JDC2022-048845-I, Dot. Adicional), JDC2022-049970-I, JDC2022-049970-I (Dot. Adicional) </t>
  </si>
  <si>
    <t>ÚLTIMO COBRO DEL PROYECTO SAMFIX</t>
  </si>
  <si>
    <t>ECOLOGIA</t>
  </si>
  <si>
    <t>DOCTORADO EN CONSERVACIÓN Y RESTAURACIÓN DE ECOSISTEMAS</t>
  </si>
  <si>
    <t>Yañez Dobson, John Antony</t>
  </si>
  <si>
    <t>Assessment of Jellyfish Dynamics and Their Impacts in the Mediterranean: Ecological,</t>
  </si>
  <si>
    <t>22/07/2024</t>
  </si>
  <si>
    <t>Director de tesis</t>
  </si>
  <si>
    <t>50</t>
  </si>
  <si>
    <t>Sabater Blasco, Ana María</t>
  </si>
  <si>
    <t>Understanding the factors influencing transpiration and evapotranspiration in forests and their contribution to the water cycle</t>
  </si>
  <si>
    <t>12/01/2024</t>
  </si>
  <si>
    <t>Codirector de tesis</t>
  </si>
  <si>
    <t>70</t>
  </si>
  <si>
    <t>Lopezosa Estepa, Paula</t>
  </si>
  <si>
    <t>Identificando las consecuencias funcionales de cambios en la biodiversidad a varias escalas espaciales</t>
  </si>
  <si>
    <t>03/11/2023</t>
  </si>
  <si>
    <t>50768881S</t>
  </si>
  <si>
    <t>U022</t>
  </si>
  <si>
    <t>ADM. FACULTAD DE CIENCIAS</t>
  </si>
  <si>
    <t>DOCTORADO EN CIENCIAS EXPERIMENTALES Y BIOSANITARIAS</t>
  </si>
  <si>
    <t>Belhadj , Radia Niamet Allah</t>
  </si>
  <si>
    <t>Valorization of invasive aquatic plants and algae species as potential bioactive sources for sustainable food packaging applications</t>
  </si>
  <si>
    <t>18/09/2024</t>
  </si>
  <si>
    <t>Orihuela Torres, Adrian Antonio</t>
  </si>
  <si>
    <t>Scavenging in wetlands: State of the art, vertebrate assemblages and impact of humanrelated activities</t>
  </si>
  <si>
    <t>19/07/2024</t>
  </si>
  <si>
    <t>'-</t>
  </si>
  <si>
    <t>Org. aplic.</t>
  </si>
  <si>
    <t>Imp. aplic.</t>
  </si>
  <si>
    <t>MONOTORIZACIÓN Y CONSERVACIÓN DE LA POBLACIÓN DE CAMACHUELO TROMPETERO Y OTROS PASSERIFORMES EN LA ZEPA DEL RÍO MONTNEGRE Y ENTORNO DE LA PLANTA DE TRATAMIENTO Y VERTEDERO CONTROLADO DE R.S.U. "PIEDRA NEGRA" Nº Pedido 7724021518</t>
  </si>
  <si>
    <t>MONITORIZACIÓN Y CONSERVACIÓN DE LA POBLACION DE CAMACHUELO TROMPETERO Y OTROS PASSERIFORMES EN LA ZEPA DEL RÍO MONTNEGRE Y ENTORNO DE LA PLANTA DE TRATAMIENTO Y VERTEDERO CONTROLADO DE R.S.U. PIEDRA NEGRA Nº Pedido 7724021518</t>
  </si>
  <si>
    <t>35.50.6C.00.11</t>
  </si>
  <si>
    <t>ESTUDIO DE LA SELECCIÓN DE HÁBITAT DEL ENDEMISMO MURCIANO-ALICANTINO DE DISTRIBUCIÓN RESTRINGIDA CEPHALOTA DESERTICOLOIDES (COLEOPTERA, CICINCELIDAE) EN EL ESPACIO NATURAL PROTEGIDO SALADARES DE GUADALENTÍN</t>
  </si>
  <si>
    <t>35.50.6C.00.12</t>
  </si>
  <si>
    <t>ASISTENCIA PARA EL TRABAJO DENOMINADO "ESTUDIO DE LAS COMUNIDADES DE INSECTOS ASOCIADAS A ESCOLÍTIDOS Y DEFOLIADORES DE OLMOS EN LA REGIÓN DE MURCIA. ASESORAMIENTO EN EL DISEÑO DE MUESTREO, IDENTIFICACIÓN DE INSECTOS Y CARACTERIZACIÓN DE LAS COMUNIDADES ASOCIADAS, ELABORACIÓN DE MAPAS DE DISTRIBUCIÓN Y CURVAS FENOLÓGICAS".</t>
  </si>
  <si>
    <t>35.50.6C.00.15</t>
  </si>
  <si>
    <t>1º PAGO "ESTUDIO DEL SEGUIMIENTO DE PLAGAS DE INSECTOS FORESTALES Y ESPECIES DE INSECTOS INVASORES DE CUARENTENA FITOSANITARIA, ASÍ COMO DE LAS COMUNIDADES DE INSECTOS FORESTALES ASOCIADAS A LAS REDES DE SEGUIMIENTO FORESTAL DE LA REGIÓN DE MURCIA"</t>
  </si>
  <si>
    <t>Proyecto: NATURFOREST1-24T. Profesor: D. Diego Gallego Cambronero. ESTUDIO DEL SEGUIMIENTO DE PLAGAS DE INSECTOS FORESTALES Y ESPECIES DE INSECTOS INVASORES DE CUARENTENA FITOSANITARIA, ASÍ COMO DE LAS COMUNIDADES DE INSECTOS FORESTALES ASOCIADAS A LAS REDES DE SEGUIMIENTO FORESTAL DE LA REGIÓN DE MURCIA</t>
  </si>
  <si>
    <t>35.50.6C.00.16</t>
  </si>
  <si>
    <t>Evaluación de las poblaciones de alzacola en la provincia de Alicante y particularmente en el entorno del proyecto de planta fotovoltaica Mediterráneo IV</t>
  </si>
  <si>
    <t>35.50.6C.00.17</t>
  </si>
  <si>
    <t>Evaluación de las poblaciones de alzacola en la provincia de Alicante y particularmente en el entorno del proyecto de planta fotovoltaica Mediterráneo I</t>
  </si>
  <si>
    <t>35.50.6C.00.18</t>
  </si>
  <si>
    <t>Evaluación de las poblaciones de alzacola en la provincia de Alicante y particularmente en el entorno del proyecto de planta fotovoltaica Mediterráneo II</t>
  </si>
  <si>
    <t>35.50.6C.00.19</t>
  </si>
  <si>
    <t>Evaluación de las poblaciones de alzacola en la provincia de Alicante y particularmente en el entorno del proyecto de planta fotovoltaica Mediterráneo III</t>
  </si>
  <si>
    <t>35.50.6C.00.20</t>
  </si>
  <si>
    <t>PREZERO1-24I Nº DE PEDIDO 7724077528 SEGUIMIENTO DE LAS POBLACIONES DE CAMACHUELO TROMPETERO Y OTROS PASSERIFORMES EN LA ZEPA DEL RÍO MONTNEGRE Y ENTORNO DE LAS INSTALACIONES DE VALORIZACIÓN Y ELIMINACIÓN DEL PLAN ZONAL DE RESIDUOS 7 ÁREA DE GESTIÓN A2 PARA CONTRIBUIR A SU CONSERVACIÓN</t>
  </si>
  <si>
    <t xml:space="preserve">ayudas CIDEIG/2022/44, CIDEIG/2022/44 </t>
  </si>
  <si>
    <t xml:space="preserve">DEVOLUCIÓN DE INGRESOS_MODELO 047_ Nº LIQUIDACIÓN:46/2024/RAS/10317/1 Nº DE JUSTIFICANTE: 047/1/002550144_Nº DE REFERENCIA:  047/1/002550144 </t>
  </si>
  <si>
    <t>PID2022-138464NB-I00-142516OB-I00-139990NB-I00-141382OB-I00-139899OB-I00-136847NB-I00-137385NB-I00-139294NB-I00-137873NA-I00-138786NB-I00-136590OB-C43</t>
  </si>
  <si>
    <t>35.50.6P.00.26</t>
  </si>
  <si>
    <t>ayudas CIAORG/2023/2, CIAORG/2023/4, CIAORG/2023/11, CIAORG/2023/15, CIAORG/2023/28, CIAORG/2023/40, CIAORG/2023/43, CIAORG/2023/54, CIAORG/2023/62, CIAORG/2023/65, CIAORG/2023/73, CIAORG/2023/91, CIAORG/2023/152, CIAORG/2023/154, CIAORG/2023/169, CIAORG/2023/170, CIAORG/2023/178 (LINEA DE SUBVENCIÓN S0296)</t>
  </si>
  <si>
    <t>35.50.6P.00.27</t>
  </si>
  <si>
    <t>Minoración ji-2024-3628 por renuncia CIAORG/2023/169</t>
  </si>
  <si>
    <t xml:space="preserve">Cobro final del proyecto TRAINER </t>
  </si>
  <si>
    <t>Ecología</t>
  </si>
  <si>
    <t>Marco Tresserras, Jana</t>
  </si>
  <si>
    <t>Ecology of urban hedgehogs (Erinaceus europaeus) in SE Spain: Activities, resting sites and movements</t>
  </si>
  <si>
    <t>24/02/2025</t>
  </si>
  <si>
    <t>Flores García, Adrián</t>
  </si>
  <si>
    <t>Dynamic modelling applied to population ecology and environmental problems.</t>
  </si>
  <si>
    <t>07/04/2025</t>
  </si>
  <si>
    <t>López Del Castillo, Pedro</t>
  </si>
  <si>
    <t>Ephemeroptera y Trichoptera (Clase: Insecta) en dos ríos de la Sierra Maestra: Composición, Distribución y Uso de Microhábitat</t>
  </si>
  <si>
    <t>30/10/2024</t>
  </si>
  <si>
    <t>Urgeghe , Anna Maria</t>
  </si>
  <si>
    <t>Ecohydrological links and feedbacks between vegetation pattern, diversity and resource redistribution in drylands</t>
  </si>
  <si>
    <t>20/06/2025</t>
  </si>
  <si>
    <t>2020</t>
  </si>
  <si>
    <t>2021</t>
  </si>
  <si>
    <t>2022</t>
  </si>
  <si>
    <t>2023</t>
  </si>
  <si>
    <t>2024</t>
  </si>
  <si>
    <t>2025</t>
  </si>
  <si>
    <t>Valdecantos Dema, Alejandro</t>
  </si>
  <si>
    <t>López Iborra, Germán Manuel</t>
  </si>
  <si>
    <t>Bellot Abad, Juan Francisco</t>
  </si>
  <si>
    <t>Emérito</t>
  </si>
  <si>
    <t>Gallego Cambronero, Diego</t>
  </si>
  <si>
    <t>Bautista Aguilar, Susana</t>
  </si>
  <si>
    <t>Cortina Segarra, Jordi</t>
  </si>
  <si>
    <t>Vilagrosa Carmona, Alberto</t>
  </si>
  <si>
    <t>Soliveres Codina, Santiago</t>
  </si>
  <si>
    <t>Sebastián González, Esther</t>
  </si>
  <si>
    <t>Santana Pastor, Víctor Manuel</t>
  </si>
  <si>
    <t>Bordehore Fontanet, Cesar</t>
  </si>
  <si>
    <t>Baeza Berná, Manuel Jaime</t>
  </si>
  <si>
    <t>Sanz Lázaro, Carlos</t>
  </si>
  <si>
    <t>Rodríguez Caro, Roberto Carlos</t>
  </si>
  <si>
    <t>Proyecto: NATURFOREST1-24T. Profesor: D. Diego Gallego Cambronero ESTUDIO DEL SEGUIMIENTO DE PLAGAS DE INSECTOS FORESTALES Y ESPECIES DE INSECTOS INVASORES DE CUARENTENA FITOSANITARIA, ASÍ COMO DE LAS COMUNIDADES DE INSECTOS FORESTALES ASOCIADAS A LAS REDES DE SEGUIMIENTO FORESTAL DE LA REGIÓN DE MURCIA.</t>
  </si>
  <si>
    <t>PREZERO1-25ID PEDIDO Nº 7725029628 Profesor principal D. Germán Manuel López Iborra SEGUIMIENTO DE LAS POBLACIONES DE CAMACHUELO TROMPETERO Y OTROS PASSERIFORMES EN LA ZEPA DEL RÍO MONTNEGRE Y ENTORNO DE LAS INSTALACIONES DE VALORIZACIÓN Y ELIMINACIÓN DEL PLAN ZONAL DE RESIDUOS 7 ÁREA DE GESTIÓN A2 PARA CONTRIBUIR A SU CONSERVACIÓN</t>
  </si>
  <si>
    <t xml:space="preserve">Ayudas CIDEIG/2022/44, CIDEIG/2022/44 </t>
  </si>
  <si>
    <t>ANULACIÓN DE DERECHOS REFERENTE AL INGRESO PREVISTO DESTINADO A LA ORGÁNICA 35.50.6P.00.23_ REFERENCIA  AYUDAS FCT-22-18218</t>
  </si>
  <si>
    <t>AYUDAS PID2022-138464NB-I00, PID2022-142516OB-I00, PID2022-139990NB-I00, PID2022-141382OB-, 00, PID2022-139899OB-I00, PID2022-136847NB-I00, PID2022-137385NB-I00, PID2022-139294NB-I00, PID2022-137873NA-I00, PID2022-138786NB-I00,PID2022-136590OB-C43, PID2022-139105OB-I00, PID2022-141712NB-C22, PID2022-142356NB-I00, PID2022-141694NB-I00, PID2022-136399NB-C21, PID2022-142159OB-I00,PID2022-137566OB-I00, PID2022-139552OB-C22, PID2022-137302NB-C33, PID2022-139820NB-I00, PID2022-142960OB-C21, PID2022-138111NB-I00, PID2022-141543OB-I00, PID2022-137350NB-I00, PID2022-138491OB-C32, PID2022-137364OB-I00, PID2022-138329NB-I00, PID2022-142830NB-I00, PID2022-138453OB-I00, PID2022-138696OB-C22, PID2022-138853NB-I00, PID2022-142712NB-I00,</t>
  </si>
  <si>
    <t xml:space="preserve">Minoración PID2022-139294NB-100 </t>
  </si>
  <si>
    <t>DEVOLUCIÓN DE INGRESOS PROCEDENTE DE LOS JI 20230000000004893 y 20240000000000674 DEBIDO TRASLADO DE REMANENTE DE PROYECTO A OTRA ENTIDAD.</t>
  </si>
  <si>
    <t>Minoración ayudas CIAORG/2023/2,  CIAORG/2023/11, CIAORG/2023/15, CIAORG/2023/28, CIAORG/2023/40, CIAORG/2023/43, CIAORG/2023/54, CIAORG/2023/62, CIAORG/2023/65, CIAORG/2023/73, CIAORG/2023/91, CIAORG/2023/152, CIAORG/2023/154,  CIAORG/2023/170, CIAORG/2023/178 (LINEA DE SUBVENCIÓN S0296)</t>
  </si>
  <si>
    <t>35.50.6P.00.28</t>
  </si>
  <si>
    <t xml:space="preserve">CIAORG/2024/003. CIAORG/2024/005.  CIAORG/2024/017. CIAORG/2024/035. CIAORG/2024/079. CIAORG/2024/085. CIAORG/2024/098. CIAORG/2024/123. CIAORG/2024/158. CIAORG/2024/187. CIAORG/2024/193         </t>
  </si>
  <si>
    <t>35.50.6P.00.29</t>
  </si>
  <si>
    <t>INGRESO MICIU (AR FEDER). PID2024-157422OA-I00. PID2024-161522OA-I00. PID2024-157087OA-I00. PID2024-162784OB-I00. PID2024-160976NB-I00. PID2024-156526OB-I00. PID2024-158829NB-C41. PID2024-162730NB-I00. PID2024-160791OB-I00. PID2024-158157OB-C31. PID2024-160373OB-C22. PID2024-162431OB-I00. PID2024-159329NB-C22. PID2024-157026OB-I00. PID2024-159638OB-I00. PID2024-155511NB-I00. PID2024-157839NB-I00. PID2024-161912OB-I00. PID2024-155779OB-C33. PID2024-157037OB-I00. PID2024-156263OB-C22. PID2024-161188OB-C22. PID2024-161711OB-I00. PID2024-159363NB-I00. PID2024-155338NB-I00. PID2024-158514NB-I00. PID2024-160604NB-I00</t>
  </si>
  <si>
    <t xml:space="preserve">AEI (SUBVENCIÓN).PID2024-155372OB-I00. PID2024-157422OA-I00. PID2024-161522OA-I00. PID2024-157087OA-I00. PID2024-162784OB-I00. PID2024-155652NA-I00. PID2024-160976NB-I00. PID2024-161610OB-I00. PID2024-156526OB-I00. PID2024-158829NB-C41. PID2024-162730NB-I00. PID2024-160791OB-I00. PID2024-155363OB-C43. PID2024-158157OB-C31. PID2024-160373OB-C22. PID2024-162431OB-I00. PID2024-159329NB-C22. PID2024-155726OB-I00. PID2024-157026OB-I00. PID2024-159638OB-I00. PID2024-158024NB-I00. PID2024-160371NB-I00. PID2024-157115NB-I00. PID2024-155511NB-I00. PID2024-157839NB-I00. PID2024-161912OB-I00. PID2024-155779OB-C33. PID2024-155232NB-I00. PID2024-157037OB-I00. PID2024-156263OB-C22. PID2024-161188OB-C22. PID2024-161711OB-I00. PID2024-159363NB-I00. PID2024-156796OB-I00. PID2024-158760NB-I00. PID2024-155338NB-I00. PID2024-158514NB-I00. PID2024-160151NB-I00. PID2024-161439NB-I00. PID2024-162487OB-C21. PID2024-160604NB-I00. </t>
  </si>
  <si>
    <t>35.50.6P.00.30</t>
  </si>
  <si>
    <t>Ayudas CIAICO 2024/6/31/81/130/150/168/186/204/238/296/319</t>
  </si>
  <si>
    <t>Total ingresos investigación 2023-25</t>
  </si>
  <si>
    <t>10.91.2T.02.08</t>
  </si>
  <si>
    <t>LIQ-TitProp_GN39-N Curso_2025-26 AñoCont_2025 - RESTAURACIÓN ECOLÓGICA. TECNOLOGÍAS INNOVADORAS PARA EL DISEÑO E IMPLEMENTA (CIERRE 25 APLAZADO)</t>
  </si>
  <si>
    <t>LIQ-TitProp_GN39-N Curso_2025-26 AñoCont_2025 - RESTAURACIÓN ECOLÓGICA. TECNOLOGÍAS INNOVADORAS PARA EL DISEÑO E IMPLEMENTA _ (Cierre-25)_EMITIDO 25 COBRADO 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</si>
</sst>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.00\ _€_-;\-* #,##0.00\ _€_-;_-* &quot;-&quot;??\ _€_-;_-@_-"/>
    <numFmt numFmtId="165" formatCode="0.0"/>
  </numFmts>
  <fonts count="21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8"/>
      <color indexed="8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sz val="8"/>
      <name val="Calibri"/>
      <family val="2"/>
      <scheme val="minor"/>
    </font>
    <font>
      <sz val="8"/>
      <color rgb="FF000000"/>
      <name val="Arial"/>
      <family val="2"/>
    </font>
    <font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sz val="8"/>
      <color rgb="FFFF0000"/>
      <name val="Arial"/>
      <family val="2"/>
    </font>
    <font>
      <b/>
      <sz val="11"/>
      <color theme="0"/>
      <name val="Calibri"/>
      <family val="2"/>
      <scheme val="minor"/>
    </font>
    <font>
      <b/>
      <sz val="10"/>
      <color theme="0"/>
      <name val="Arial"/>
    </font>
    <font>
      <sz val="10"/>
      <color theme="1"/>
      <name val="Arial"/>
    </font>
    <font>
      <b/>
      <sz val="10"/>
      <color theme="1"/>
      <name val="Arial"/>
    </font>
  </fonts>
  <fills count="1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/>
        <bgColor theme="9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theme="9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878787"/>
      </right>
      <top style="medium">
        <color rgb="FF878787"/>
      </top>
      <bottom style="medium">
        <color rgb="FF878787"/>
      </bottom>
      <diagonal/>
    </border>
    <border>
      <left style="medium">
        <color rgb="FF878787"/>
      </left>
      <right style="medium">
        <color rgb="FF878787"/>
      </right>
      <top style="medium">
        <color rgb="FF878787"/>
      </top>
      <bottom style="medium">
        <color rgb="FF878787"/>
      </bottom>
      <diagonal/>
    </border>
    <border>
      <left style="medium">
        <color rgb="FF878787"/>
      </left>
      <right/>
      <top style="medium">
        <color rgb="FF878787"/>
      </top>
      <bottom style="medium">
        <color rgb="FF878787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  <border>
      <left/>
      <right/>
      <top style="thin">
        <color theme="9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double">
        <color theme="4"/>
      </top>
      <bottom style="thin">
        <color theme="4" tint="0.39997558519241921"/>
      </bottom>
      <diagonal/>
    </border>
    <border>
      <left/>
      <right/>
      <top style="double">
        <color theme="4"/>
      </top>
      <bottom style="thin">
        <color theme="4" tint="0.39997558519241921"/>
      </bottom>
      <diagonal/>
    </border>
  </borders>
  <cellStyleXfs count="7">
    <xf numFmtId="0" fontId="0" fillId="0" borderId="0"/>
    <xf numFmtId="0" fontId="2" fillId="0" borderId="0"/>
    <xf numFmtId="0" fontId="5" fillId="0" borderId="0"/>
    <xf numFmtId="0" fontId="5" fillId="0" borderId="0"/>
    <xf numFmtId="0" fontId="6" fillId="0" borderId="0"/>
    <xf numFmtId="0" fontId="1" fillId="0" borderId="0"/>
    <xf numFmtId="164" fontId="12" fillId="0" borderId="0" applyFont="0" applyFill="0" applyBorder="0" applyAlignment="0" applyProtection="0"/>
  </cellStyleXfs>
  <cellXfs count="79">
    <xf numFmtId="0" fontId="0" fillId="0" borderId="0" xfId="0"/>
    <xf numFmtId="0" fontId="3" fillId="3" borderId="1" xfId="1" applyFont="1" applyFill="1" applyBorder="1" applyAlignment="1">
      <alignment horizontal="center"/>
    </xf>
    <xf numFmtId="0" fontId="4" fillId="3" borderId="1" xfId="1" applyFont="1" applyFill="1" applyBorder="1" applyAlignment="1">
      <alignment horizontal="center"/>
    </xf>
    <xf numFmtId="0" fontId="4" fillId="3" borderId="1" xfId="2" applyFont="1" applyFill="1" applyBorder="1" applyAlignment="1">
      <alignment horizontal="center"/>
    </xf>
    <xf numFmtId="0" fontId="4" fillId="3" borderId="1" xfId="3" applyFont="1" applyFill="1" applyBorder="1" applyAlignment="1">
      <alignment horizontal="center" wrapText="1"/>
    </xf>
    <xf numFmtId="0" fontId="4" fillId="3" borderId="1" xfId="3" applyFont="1" applyFill="1" applyBorder="1" applyAlignment="1">
      <alignment horizontal="right" wrapText="1"/>
    </xf>
    <xf numFmtId="0" fontId="2" fillId="4" borderId="0" xfId="1" applyFill="1"/>
    <xf numFmtId="0" fontId="2" fillId="2" borderId="0" xfId="1" applyFill="1"/>
    <xf numFmtId="0" fontId="2" fillId="2" borderId="0" xfId="1" applyFill="1" applyAlignment="1">
      <alignment horizontal="right"/>
    </xf>
    <xf numFmtId="0" fontId="2" fillId="4" borderId="0" xfId="1" applyFill="1" applyAlignment="1">
      <alignment horizontal="right"/>
    </xf>
    <xf numFmtId="0" fontId="8" fillId="5" borderId="1" xfId="3" applyFont="1" applyFill="1" applyBorder="1" applyAlignment="1">
      <alignment horizontal="center" textRotation="90" wrapText="1"/>
    </xf>
    <xf numFmtId="0" fontId="8" fillId="3" borderId="1" xfId="3" applyFont="1" applyFill="1" applyBorder="1" applyAlignment="1">
      <alignment horizontal="center" textRotation="90" wrapText="1"/>
    </xf>
    <xf numFmtId="0" fontId="9" fillId="0" borderId="0" xfId="5" applyFont="1"/>
    <xf numFmtId="0" fontId="9" fillId="0" borderId="0" xfId="5" applyFont="1" applyAlignment="1">
      <alignment horizontal="right"/>
    </xf>
    <xf numFmtId="0" fontId="7" fillId="2" borderId="1" xfId="0" applyFont="1" applyFill="1" applyBorder="1"/>
    <xf numFmtId="0" fontId="7" fillId="2" borderId="1" xfId="0" applyFont="1" applyFill="1" applyBorder="1" applyAlignment="1">
      <alignment textRotation="90"/>
    </xf>
    <xf numFmtId="0" fontId="8" fillId="3" borderId="1" xfId="3" applyFont="1" applyFill="1" applyBorder="1" applyAlignment="1">
      <alignment horizont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2" fillId="4" borderId="1" xfId="1" applyFill="1" applyBorder="1"/>
    <xf numFmtId="14" fontId="2" fillId="4" borderId="1" xfId="1" applyNumberFormat="1" applyFill="1" applyBorder="1"/>
    <xf numFmtId="0" fontId="11" fillId="6" borderId="1" xfId="0" applyFont="1" applyFill="1" applyBorder="1" applyAlignment="1">
      <alignment horizontal="left" vertical="center"/>
    </xf>
    <xf numFmtId="0" fontId="11" fillId="6" borderId="2" xfId="0" applyFont="1" applyFill="1" applyBorder="1" applyAlignment="1">
      <alignment horizontal="left" vertical="center"/>
    </xf>
    <xf numFmtId="0" fontId="11" fillId="6" borderId="3" xfId="0" applyFont="1" applyFill="1" applyBorder="1" applyAlignment="1">
      <alignment horizontal="left" vertical="center"/>
    </xf>
    <xf numFmtId="0" fontId="11" fillId="6" borderId="4" xfId="0" applyFont="1" applyFill="1" applyBorder="1" applyAlignment="1">
      <alignment horizontal="left" vertical="center"/>
    </xf>
    <xf numFmtId="165" fontId="2" fillId="4" borderId="1" xfId="1" applyNumberFormat="1" applyFill="1" applyBorder="1"/>
    <xf numFmtId="0" fontId="2" fillId="4" borderId="1" xfId="1" applyFill="1" applyBorder="1" applyAlignment="1">
      <alignment horizontal="right"/>
    </xf>
    <xf numFmtId="0" fontId="2" fillId="0" borderId="1" xfId="1" applyBorder="1"/>
    <xf numFmtId="0" fontId="0" fillId="0" borderId="1" xfId="0" applyBorder="1" applyAlignment="1">
      <alignment horizontal="left"/>
    </xf>
    <xf numFmtId="43" fontId="0" fillId="7" borderId="5" xfId="6" applyNumberFormat="1" applyFont="1" applyFill="1" applyBorder="1"/>
    <xf numFmtId="43" fontId="0" fillId="0" borderId="5" xfId="6" applyNumberFormat="1" applyFont="1" applyBorder="1"/>
    <xf numFmtId="0" fontId="2" fillId="0" borderId="1" xfId="0" applyFont="1" applyBorder="1"/>
    <xf numFmtId="0" fontId="6" fillId="0" borderId="1" xfId="0" applyFont="1" applyBorder="1"/>
    <xf numFmtId="0" fontId="6" fillId="0" borderId="1" xfId="0" applyFont="1" applyBorder="1" applyAlignment="1">
      <alignment horizontal="left"/>
    </xf>
    <xf numFmtId="0" fontId="14" fillId="7" borderId="5" xfId="0" applyFont="1" applyFill="1" applyBorder="1"/>
    <xf numFmtId="0" fontId="14" fillId="0" borderId="5" xfId="0" applyFont="1" applyBorder="1"/>
    <xf numFmtId="43" fontId="0" fillId="0" borderId="0" xfId="0" applyNumberFormat="1"/>
    <xf numFmtId="0" fontId="0" fillId="9" borderId="0" xfId="0" applyFill="1"/>
    <xf numFmtId="0" fontId="0" fillId="9" borderId="0" xfId="0" applyFill="1" applyAlignment="1">
      <alignment horizontal="left"/>
    </xf>
    <xf numFmtId="165" fontId="3" fillId="2" borderId="0" xfId="1" applyNumberFormat="1" applyFont="1" applyFill="1"/>
    <xf numFmtId="0" fontId="15" fillId="9" borderId="0" xfId="0" applyFont="1" applyFill="1"/>
    <xf numFmtId="0" fontId="16" fillId="6" borderId="1" xfId="0" applyFont="1" applyFill="1" applyBorder="1" applyAlignment="1">
      <alignment horizontal="left" vertical="center"/>
    </xf>
    <xf numFmtId="0" fontId="16" fillId="6" borderId="2" xfId="0" applyFont="1" applyFill="1" applyBorder="1" applyAlignment="1">
      <alignment horizontal="left" vertical="center"/>
    </xf>
    <xf numFmtId="0" fontId="16" fillId="6" borderId="3" xfId="0" applyFont="1" applyFill="1" applyBorder="1" applyAlignment="1">
      <alignment horizontal="left" vertical="center"/>
    </xf>
    <xf numFmtId="0" fontId="16" fillId="6" borderId="4" xfId="0" applyFont="1" applyFill="1" applyBorder="1" applyAlignment="1">
      <alignment horizontal="left" vertical="center"/>
    </xf>
    <xf numFmtId="0" fontId="16" fillId="0" borderId="1" xfId="1" applyFont="1" applyBorder="1"/>
    <xf numFmtId="0" fontId="16" fillId="4" borderId="1" xfId="1" applyFont="1" applyFill="1" applyBorder="1"/>
    <xf numFmtId="0" fontId="16" fillId="4" borderId="1" xfId="1" applyFont="1" applyFill="1" applyBorder="1" applyAlignment="1">
      <alignment horizontal="right"/>
    </xf>
    <xf numFmtId="0" fontId="16" fillId="4" borderId="0" xfId="1" applyFont="1" applyFill="1"/>
    <xf numFmtId="0" fontId="2" fillId="4" borderId="1" xfId="1" applyFont="1" applyFill="1" applyBorder="1"/>
    <xf numFmtId="0" fontId="2" fillId="4" borderId="0" xfId="1" applyFont="1" applyFill="1"/>
    <xf numFmtId="43" fontId="0" fillId="0" borderId="7" xfId="6" applyNumberFormat="1" applyFont="1" applyBorder="1"/>
    <xf numFmtId="0" fontId="0" fillId="0" borderId="7" xfId="0" applyBorder="1"/>
    <xf numFmtId="43" fontId="12" fillId="0" borderId="7" xfId="0" applyNumberFormat="1" applyFont="1" applyBorder="1"/>
    <xf numFmtId="0" fontId="13" fillId="8" borderId="6" xfId="0" applyFont="1" applyFill="1" applyBorder="1"/>
    <xf numFmtId="0" fontId="14" fillId="7" borderId="7" xfId="0" applyFont="1" applyFill="1" applyBorder="1"/>
    <xf numFmtId="43" fontId="0" fillId="7" borderId="7" xfId="6" applyNumberFormat="1" applyFont="1" applyFill="1" applyBorder="1"/>
    <xf numFmtId="0" fontId="9" fillId="10" borderId="7" xfId="0" applyFont="1" applyFill="1" applyBorder="1"/>
    <xf numFmtId="43" fontId="12" fillId="10" borderId="7" xfId="0" applyNumberFormat="1" applyFont="1" applyFill="1" applyBorder="1"/>
    <xf numFmtId="0" fontId="0" fillId="11" borderId="0" xfId="0" applyFill="1"/>
    <xf numFmtId="0" fontId="0" fillId="7" borderId="5" xfId="0" applyFill="1" applyBorder="1"/>
    <xf numFmtId="0" fontId="0" fillId="0" borderId="5" xfId="0" applyBorder="1"/>
    <xf numFmtId="0" fontId="17" fillId="8" borderId="6" xfId="0" applyFont="1" applyFill="1" applyBorder="1"/>
    <xf numFmtId="43" fontId="17" fillId="8" borderId="6" xfId="6" applyNumberFormat="1" applyFont="1" applyFill="1" applyBorder="1"/>
    <xf numFmtId="0" fontId="18" fillId="12" borderId="8" xfId="0" applyFont="1" applyFill="1" applyBorder="1"/>
    <xf numFmtId="0" fontId="18" fillId="12" borderId="9" xfId="0" applyFont="1" applyFill="1" applyBorder="1"/>
    <xf numFmtId="0" fontId="19" fillId="13" borderId="8" xfId="0" applyFont="1" applyFill="1" applyBorder="1"/>
    <xf numFmtId="0" fontId="19" fillId="13" borderId="9" xfId="0" applyFont="1" applyFill="1" applyBorder="1"/>
    <xf numFmtId="164" fontId="19" fillId="13" borderId="9" xfId="6" applyFont="1" applyFill="1" applyBorder="1"/>
    <xf numFmtId="0" fontId="19" fillId="0" borderId="8" xfId="0" applyFont="1" applyBorder="1"/>
    <xf numFmtId="0" fontId="19" fillId="0" borderId="9" xfId="0" applyFont="1" applyBorder="1"/>
    <xf numFmtId="164" fontId="19" fillId="0" borderId="9" xfId="6" applyFont="1" applyBorder="1"/>
    <xf numFmtId="0" fontId="20" fillId="0" borderId="10" xfId="0" applyFont="1" applyBorder="1"/>
    <xf numFmtId="0" fontId="20" fillId="0" borderId="11" xfId="0" applyFont="1" applyBorder="1"/>
    <xf numFmtId="164" fontId="20" fillId="0" borderId="11" xfId="6" applyFont="1" applyBorder="1"/>
    <xf numFmtId="0" fontId="15" fillId="0" borderId="1" xfId="0" applyFont="1" applyBorder="1"/>
    <xf numFmtId="43" fontId="15" fillId="0" borderId="1" xfId="0" applyNumberFormat="1" applyFont="1" applyBorder="1"/>
    <xf numFmtId="164" fontId="18" fillId="12" borderId="9" xfId="6" applyFont="1" applyFill="1" applyBorder="1"/>
    <xf numFmtId="164" fontId="20" fillId="0" borderId="11" xfId="0" applyNumberFormat="1" applyFont="1" applyBorder="1"/>
  </cellXfs>
  <cellStyles count="7">
    <cellStyle name="Millares" xfId="6" builtinId="3"/>
    <cellStyle name="Normal" xfId="0" builtinId="0"/>
    <cellStyle name="Normal 2" xfId="4" xr:uid="{00000000-0005-0000-0000-000001000000}"/>
    <cellStyle name="Normal 3" xfId="5" xr:uid="{00000000-0005-0000-0000-000002000000}"/>
    <cellStyle name="Normal_Becas 14_9_2005" xfId="2" xr:uid="{00000000-0005-0000-0000-000003000000}"/>
    <cellStyle name="Normal_Ind.2010" xfId="1" xr:uid="{00000000-0005-0000-0000-000004000000}"/>
    <cellStyle name="Normal_PDI por Centro" xfId="3" xr:uid="{00000000-0005-0000-0000-000007000000}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 outline="0">
        <left/>
        <right/>
        <top/>
        <bottom/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 outline="0">
        <left/>
        <right/>
        <top/>
        <bottom/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border outline="0">
        <left style="thin">
          <color theme="9" tint="0.39997558519241921"/>
        </left>
        <top style="thin">
          <color theme="9" tint="0.39997558519241921"/>
        </top>
        <bottom style="thin">
          <color theme="9" tint="0.39997558519241921"/>
        </bottom>
      </border>
    </dxf>
    <dxf>
      <border outline="0"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-* #,##0.00_-;\-* #,##0.00_-;_-* &quot;-&quot;??_-;_-@_-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9" tint="0.79998168889431442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9" tint="0.79998168889431442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fill>
        <patternFill>
          <bgColor theme="0"/>
        </patternFill>
      </fill>
    </dxf>
    <dxf>
      <border outline="0">
        <left style="thin">
          <color theme="9" tint="0.39997558519241921"/>
        </left>
        <top style="thin">
          <color theme="9" tint="0.39997558519241921"/>
        </top>
        <bottom style="thin">
          <color theme="9" tint="0.39997558519241921"/>
        </bottom>
      </border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theme="9"/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3C940DB-85FF-4F12-9624-471A1F828F59}" name="Tabla2" displayName="Tabla2" ref="A1:C15" totalsRowCount="1" headerRowDxfId="19" totalsRowDxfId="16" headerRowBorderDxfId="18" tableBorderDxfId="17" totalsRowBorderDxfId="15">
  <autoFilter ref="A1:C14" xr:uid="{53C940DB-85FF-4F12-9624-471A1F828F59}"/>
  <tableColumns count="3">
    <tableColumn id="1" xr3:uid="{DD9EA986-895A-4D4D-828B-C5BC02C2970D}" name="Cód. org. aplic." totalsRowLabel="Total" dataDxfId="14" totalsRowDxfId="13"/>
    <tableColumn id="2" xr3:uid="{2F16F17D-2AA4-41E3-9C9B-0A96B8A955D1}" name="Descripción justificante" dataDxfId="12" totalsRowDxfId="11"/>
    <tableColumn id="3" xr3:uid="{64346E39-1A2B-4A40-867A-87076AA2B6DD}" name="Imp.cob.aplic." totalsRowFunction="sum" dataDxfId="10" totalsRowDxfId="9" dataCellStyle="Millares" totalsRowCellStyle="Millar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AAA6166-15A7-43D9-BE2A-12DE48A264A4}" name="Tabla3" displayName="Tabla3" ref="A1:C20" totalsRowCount="1" headerRowBorderDxfId="8" tableBorderDxfId="7" totalsRowBorderDxfId="6">
  <autoFilter ref="A1:C19" xr:uid="{BAAA6166-15A7-43D9-BE2A-12DE48A264A4}"/>
  <tableColumns count="3">
    <tableColumn id="1" xr3:uid="{9734C975-F35C-49FB-B2ED-051BB40F34AD}" name="Org. aplic." totalsRowLabel="Total" dataDxfId="5" totalsRowDxfId="4"/>
    <tableColumn id="2" xr3:uid="{D75DA087-A742-4E8D-A63D-7C603D247074}" name="Descripción justificante" dataDxfId="3" totalsRowDxfId="2"/>
    <tableColumn id="3" xr3:uid="{FE927F91-94B0-4A50-A554-6D640CA74DA5}" name="Imp. aplic." totalsRowFunction="sum" dataDxfId="1" totalsRowDxfId="0" dataCellStyle="Millares" totalsRowCellStyle="Millar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28"/>
  <sheetViews>
    <sheetView showGridLines="0" zoomScale="120" zoomScaleNormal="120" workbookViewId="0">
      <pane xSplit="1" ySplit="1" topLeftCell="I2" activePane="bottomRight" state="frozen"/>
      <selection pane="topRight" activeCell="B1" sqref="B1"/>
      <selection pane="bottomLeft" activeCell="A2" sqref="A2"/>
      <selection pane="bottomRight" activeCell="H32" sqref="H32"/>
    </sheetView>
  </sheetViews>
  <sheetFormatPr baseColWidth="10" defaultColWidth="10.33203125" defaultRowHeight="10.199999999999999" x14ac:dyDescent="0.2"/>
  <cols>
    <col min="1" max="1" width="5" style="6" customWidth="1"/>
    <col min="2" max="4" width="29.6640625" style="6" customWidth="1"/>
    <col min="5" max="5" width="40.6640625" style="6" customWidth="1"/>
    <col min="6" max="6" width="9.109375" style="6" customWidth="1"/>
    <col min="7" max="7" width="9.6640625" style="6" customWidth="1"/>
    <col min="8" max="8" width="14.44140625" style="6" customWidth="1"/>
    <col min="9" max="9" width="5.88671875" style="6" customWidth="1"/>
    <col min="10" max="10" width="25.6640625" style="6" customWidth="1"/>
    <col min="11" max="12" width="5.109375" style="6" customWidth="1"/>
    <col min="13" max="13" width="4.44140625" style="6" customWidth="1"/>
    <col min="14" max="14" width="4.88671875" style="6" customWidth="1"/>
    <col min="15" max="15" width="4.88671875" style="9" customWidth="1"/>
    <col min="16" max="16" width="4.88671875" style="6" customWidth="1"/>
    <col min="17" max="17" width="3.5546875" style="9" customWidth="1"/>
    <col min="18" max="18" width="3.5546875" style="6" customWidth="1"/>
    <col min="19" max="21" width="5.109375" style="6" customWidth="1"/>
    <col min="22" max="16384" width="10.33203125" style="6"/>
  </cols>
  <sheetData>
    <row r="1" spans="1:21" ht="41.4" thickBot="1" x14ac:dyDescent="0.25">
      <c r="A1" s="1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1" t="s">
        <v>11</v>
      </c>
      <c r="J1" s="2" t="s">
        <v>12</v>
      </c>
      <c r="K1" s="1" t="s">
        <v>13</v>
      </c>
      <c r="L1" s="2" t="s">
        <v>14</v>
      </c>
      <c r="M1" s="3" t="s">
        <v>15</v>
      </c>
      <c r="N1" s="4" t="s">
        <v>16</v>
      </c>
      <c r="O1" s="5" t="s">
        <v>17</v>
      </c>
      <c r="P1" s="4" t="s">
        <v>18</v>
      </c>
      <c r="Q1" s="5" t="s">
        <v>19</v>
      </c>
      <c r="R1" s="4" t="s">
        <v>20</v>
      </c>
      <c r="S1" s="4" t="s">
        <v>21</v>
      </c>
      <c r="T1" s="4" t="s">
        <v>22</v>
      </c>
      <c r="U1" s="4" t="s">
        <v>23</v>
      </c>
    </row>
    <row r="2" spans="1:21" ht="10.8" thickBot="1" x14ac:dyDescent="0.25">
      <c r="A2" s="21" t="s">
        <v>30</v>
      </c>
      <c r="B2" s="21" t="s">
        <v>31</v>
      </c>
      <c r="C2" s="21" t="s">
        <v>32</v>
      </c>
      <c r="D2" s="21" t="s">
        <v>62</v>
      </c>
      <c r="E2" s="21" t="s">
        <v>63</v>
      </c>
      <c r="F2" s="21" t="s">
        <v>64</v>
      </c>
      <c r="G2" s="22" t="s">
        <v>35</v>
      </c>
      <c r="H2" s="23" t="s">
        <v>24</v>
      </c>
      <c r="I2" s="23" t="s">
        <v>30</v>
      </c>
      <c r="J2" s="24" t="s">
        <v>31</v>
      </c>
      <c r="K2" s="27">
        <v>0.33333333333333331</v>
      </c>
      <c r="L2" s="27" t="s">
        <v>33</v>
      </c>
      <c r="M2" s="19">
        <v>2020</v>
      </c>
      <c r="N2" s="19" t="s">
        <v>25</v>
      </c>
      <c r="O2" s="26" t="s">
        <v>25</v>
      </c>
      <c r="P2" s="19" t="s">
        <v>25</v>
      </c>
      <c r="Q2" s="26" t="s">
        <v>25</v>
      </c>
      <c r="R2" s="19">
        <v>100</v>
      </c>
      <c r="S2" s="19">
        <v>0.33333333333333326</v>
      </c>
      <c r="T2" s="19">
        <v>0</v>
      </c>
      <c r="U2" s="19">
        <v>0</v>
      </c>
    </row>
    <row r="3" spans="1:21" s="48" customFormat="1" ht="10.8" thickBot="1" x14ac:dyDescent="0.25">
      <c r="A3" s="41" t="s">
        <v>30</v>
      </c>
      <c r="B3" s="41" t="s">
        <v>31</v>
      </c>
      <c r="C3" s="41" t="s">
        <v>32</v>
      </c>
      <c r="D3" s="41" t="s">
        <v>62</v>
      </c>
      <c r="E3" s="41" t="s">
        <v>63</v>
      </c>
      <c r="F3" s="41" t="s">
        <v>64</v>
      </c>
      <c r="G3" s="42" t="s">
        <v>36</v>
      </c>
      <c r="H3" s="43" t="s">
        <v>24</v>
      </c>
      <c r="I3" s="43" t="s">
        <v>30</v>
      </c>
      <c r="J3" s="44" t="s">
        <v>31</v>
      </c>
      <c r="K3" s="45">
        <v>0.33333333333333331</v>
      </c>
      <c r="L3" s="45" t="s">
        <v>33</v>
      </c>
      <c r="M3" s="46">
        <v>2020</v>
      </c>
      <c r="N3" s="46" t="s">
        <v>26</v>
      </c>
      <c r="O3" s="47">
        <v>70</v>
      </c>
      <c r="P3" s="46" t="s">
        <v>25</v>
      </c>
      <c r="Q3" s="47" t="s">
        <v>25</v>
      </c>
      <c r="R3" s="46">
        <v>30</v>
      </c>
      <c r="S3" s="46">
        <v>9.9999999999999895E-2</v>
      </c>
      <c r="T3" s="46">
        <v>0.23333333333333306</v>
      </c>
      <c r="U3" s="46">
        <v>0</v>
      </c>
    </row>
    <row r="4" spans="1:21" ht="10.8" thickBot="1" x14ac:dyDescent="0.25">
      <c r="A4" s="21" t="s">
        <v>30</v>
      </c>
      <c r="B4" s="21" t="s">
        <v>31</v>
      </c>
      <c r="C4" s="21" t="s">
        <v>32</v>
      </c>
      <c r="D4" s="21" t="s">
        <v>62</v>
      </c>
      <c r="E4" s="21" t="s">
        <v>63</v>
      </c>
      <c r="F4" s="21" t="s">
        <v>64</v>
      </c>
      <c r="G4" s="22" t="s">
        <v>28</v>
      </c>
      <c r="H4" s="23" t="s">
        <v>24</v>
      </c>
      <c r="I4" s="23" t="s">
        <v>30</v>
      </c>
      <c r="J4" s="24" t="s">
        <v>31</v>
      </c>
      <c r="K4" s="27">
        <v>0.33333333333333331</v>
      </c>
      <c r="L4" s="27" t="s">
        <v>33</v>
      </c>
      <c r="M4" s="19">
        <v>2020</v>
      </c>
      <c r="N4" s="19" t="s">
        <v>25</v>
      </c>
      <c r="O4" s="26" t="s">
        <v>25</v>
      </c>
      <c r="P4" s="19" t="s">
        <v>25</v>
      </c>
      <c r="Q4" s="26" t="s">
        <v>25</v>
      </c>
      <c r="R4" s="19">
        <v>100</v>
      </c>
      <c r="S4" s="19">
        <v>0.33333333333333326</v>
      </c>
      <c r="T4" s="19">
        <v>0</v>
      </c>
      <c r="U4" s="19">
        <v>0</v>
      </c>
    </row>
    <row r="5" spans="1:21" ht="10.8" thickBot="1" x14ac:dyDescent="0.25">
      <c r="A5" s="21" t="s">
        <v>65</v>
      </c>
      <c r="B5" s="21" t="s">
        <v>66</v>
      </c>
      <c r="C5" s="21" t="s">
        <v>67</v>
      </c>
      <c r="D5" s="21" t="s">
        <v>68</v>
      </c>
      <c r="E5" s="21" t="s">
        <v>69</v>
      </c>
      <c r="F5" s="21" t="s">
        <v>70</v>
      </c>
      <c r="G5" s="22" t="s">
        <v>71</v>
      </c>
      <c r="H5" s="23" t="s">
        <v>24</v>
      </c>
      <c r="I5" s="23" t="s">
        <v>30</v>
      </c>
      <c r="J5" s="24" t="s">
        <v>31</v>
      </c>
      <c r="K5" s="27">
        <v>0.5</v>
      </c>
      <c r="L5" s="27" t="s">
        <v>33</v>
      </c>
      <c r="M5" s="19">
        <v>2020</v>
      </c>
      <c r="N5" s="19" t="s">
        <v>26</v>
      </c>
      <c r="O5" s="26">
        <v>50</v>
      </c>
      <c r="P5" s="19" t="s">
        <v>25</v>
      </c>
      <c r="Q5" s="26">
        <v>0</v>
      </c>
      <c r="R5" s="19">
        <v>50</v>
      </c>
      <c r="S5" s="19">
        <v>0.25</v>
      </c>
      <c r="T5" s="19">
        <v>0.25</v>
      </c>
      <c r="U5" s="19">
        <v>0</v>
      </c>
    </row>
    <row r="6" spans="1:21" x14ac:dyDescent="0.2">
      <c r="A6" s="19" t="s">
        <v>30</v>
      </c>
      <c r="B6" s="19" t="s">
        <v>31</v>
      </c>
      <c r="C6" s="19" t="s">
        <v>32</v>
      </c>
      <c r="D6" s="19" t="s">
        <v>76</v>
      </c>
      <c r="E6" s="19" t="s">
        <v>77</v>
      </c>
      <c r="F6" s="19" t="s">
        <v>78</v>
      </c>
      <c r="G6" s="19" t="s">
        <v>79</v>
      </c>
      <c r="H6" s="19" t="s">
        <v>27</v>
      </c>
      <c r="I6" s="19" t="s">
        <v>30</v>
      </c>
      <c r="J6" s="19" t="s">
        <v>31</v>
      </c>
      <c r="K6" s="27">
        <v>1</v>
      </c>
      <c r="L6" s="27" t="s">
        <v>33</v>
      </c>
      <c r="M6" s="19">
        <v>2021</v>
      </c>
      <c r="N6" s="19" t="s">
        <v>26</v>
      </c>
      <c r="O6" s="26">
        <v>50</v>
      </c>
      <c r="P6" s="19" t="s">
        <v>25</v>
      </c>
      <c r="Q6" s="26">
        <v>0</v>
      </c>
      <c r="R6" s="19">
        <v>50</v>
      </c>
      <c r="S6" s="19">
        <v>0.5</v>
      </c>
      <c r="T6" s="19">
        <v>0.5</v>
      </c>
      <c r="U6" s="19">
        <v>0</v>
      </c>
    </row>
    <row r="7" spans="1:21" x14ac:dyDescent="0.2">
      <c r="A7" s="19" t="s">
        <v>30</v>
      </c>
      <c r="B7" s="19" t="s">
        <v>31</v>
      </c>
      <c r="C7" s="19" t="s">
        <v>32</v>
      </c>
      <c r="D7" s="19" t="s">
        <v>80</v>
      </c>
      <c r="E7" s="19" t="s">
        <v>81</v>
      </c>
      <c r="F7" s="19" t="s">
        <v>82</v>
      </c>
      <c r="G7" s="19" t="s">
        <v>83</v>
      </c>
      <c r="H7" s="19" t="s">
        <v>24</v>
      </c>
      <c r="I7" s="19" t="s">
        <v>30</v>
      </c>
      <c r="J7" s="19" t="s">
        <v>31</v>
      </c>
      <c r="K7" s="27">
        <v>0.5</v>
      </c>
      <c r="L7" s="27" t="s">
        <v>33</v>
      </c>
      <c r="M7" s="19">
        <v>2021</v>
      </c>
      <c r="N7" s="19" t="s">
        <v>26</v>
      </c>
      <c r="O7" s="26">
        <v>50</v>
      </c>
      <c r="P7" s="19" t="s">
        <v>25</v>
      </c>
      <c r="Q7" s="26">
        <v>0</v>
      </c>
      <c r="R7" s="19">
        <v>50</v>
      </c>
      <c r="S7" s="19">
        <v>0.25</v>
      </c>
      <c r="T7" s="19">
        <v>0.25</v>
      </c>
      <c r="U7" s="19">
        <v>0</v>
      </c>
    </row>
    <row r="8" spans="1:21" x14ac:dyDescent="0.2">
      <c r="A8" s="19" t="s">
        <v>30</v>
      </c>
      <c r="B8" s="19" t="s">
        <v>31</v>
      </c>
      <c r="C8" s="19" t="s">
        <v>32</v>
      </c>
      <c r="D8" s="19" t="s">
        <v>80</v>
      </c>
      <c r="E8" s="19" t="s">
        <v>81</v>
      </c>
      <c r="F8" s="19" t="s">
        <v>82</v>
      </c>
      <c r="G8" s="19" t="s">
        <v>84</v>
      </c>
      <c r="H8" s="19" t="s">
        <v>24</v>
      </c>
      <c r="I8" s="19" t="s">
        <v>30</v>
      </c>
      <c r="J8" s="19" t="s">
        <v>31</v>
      </c>
      <c r="K8" s="27">
        <v>0.5</v>
      </c>
      <c r="L8" s="27" t="s">
        <v>33</v>
      </c>
      <c r="M8" s="19">
        <v>2021</v>
      </c>
      <c r="N8" s="19" t="s">
        <v>25</v>
      </c>
      <c r="O8" s="26" t="s">
        <v>25</v>
      </c>
      <c r="P8" s="19" t="s">
        <v>25</v>
      </c>
      <c r="Q8" s="26" t="s">
        <v>25</v>
      </c>
      <c r="R8" s="19">
        <v>100</v>
      </c>
      <c r="S8" s="19">
        <v>0.5</v>
      </c>
      <c r="T8" s="19">
        <v>0</v>
      </c>
      <c r="U8" s="19">
        <v>0</v>
      </c>
    </row>
    <row r="9" spans="1:21" x14ac:dyDescent="0.2">
      <c r="A9" s="19" t="s">
        <v>30</v>
      </c>
      <c r="B9" s="19" t="s">
        <v>31</v>
      </c>
      <c r="C9" s="19" t="s">
        <v>32</v>
      </c>
      <c r="D9" s="19" t="s">
        <v>87</v>
      </c>
      <c r="E9" s="19" t="s">
        <v>88</v>
      </c>
      <c r="F9" s="20">
        <v>44825</v>
      </c>
      <c r="G9" s="19" t="s">
        <v>75</v>
      </c>
      <c r="H9" s="19" t="s">
        <v>24</v>
      </c>
      <c r="I9" s="19" t="s">
        <v>30</v>
      </c>
      <c r="J9" s="19" t="s">
        <v>31</v>
      </c>
      <c r="K9" s="25">
        <v>0.5</v>
      </c>
      <c r="L9" s="19" t="s">
        <v>33</v>
      </c>
      <c r="M9" s="19">
        <v>2021</v>
      </c>
      <c r="N9" s="19" t="s">
        <v>25</v>
      </c>
      <c r="O9" s="26" t="s">
        <v>25</v>
      </c>
      <c r="P9" s="19" t="s">
        <v>25</v>
      </c>
      <c r="Q9" s="26" t="s">
        <v>25</v>
      </c>
      <c r="R9" s="19">
        <v>100</v>
      </c>
      <c r="S9" s="19">
        <v>0.5</v>
      </c>
      <c r="T9" s="19">
        <v>0</v>
      </c>
      <c r="U9" s="19">
        <v>0</v>
      </c>
    </row>
    <row r="10" spans="1:21" x14ac:dyDescent="0.2">
      <c r="A10" s="19" t="s">
        <v>30</v>
      </c>
      <c r="B10" s="19" t="s">
        <v>31</v>
      </c>
      <c r="C10" s="19" t="s">
        <v>32</v>
      </c>
      <c r="D10" s="19" t="s">
        <v>87</v>
      </c>
      <c r="E10" s="19" t="s">
        <v>88</v>
      </c>
      <c r="F10" s="20">
        <v>44825</v>
      </c>
      <c r="G10" s="19" t="s">
        <v>54</v>
      </c>
      <c r="H10" s="19" t="s">
        <v>24</v>
      </c>
      <c r="I10" s="19" t="s">
        <v>30</v>
      </c>
      <c r="J10" s="19" t="s">
        <v>31</v>
      </c>
      <c r="K10" s="25">
        <v>0.5</v>
      </c>
      <c r="L10" s="19" t="s">
        <v>33</v>
      </c>
      <c r="M10" s="19">
        <v>2021</v>
      </c>
      <c r="N10" s="19" t="s">
        <v>26</v>
      </c>
      <c r="O10" s="26">
        <v>70</v>
      </c>
      <c r="P10" s="19" t="s">
        <v>25</v>
      </c>
      <c r="Q10" s="26" t="s">
        <v>25</v>
      </c>
      <c r="R10" s="19">
        <v>30</v>
      </c>
      <c r="S10" s="19">
        <v>0.15</v>
      </c>
      <c r="T10" s="19">
        <v>0.35</v>
      </c>
      <c r="U10" s="19">
        <v>0</v>
      </c>
    </row>
    <row r="11" spans="1:21" x14ac:dyDescent="0.2">
      <c r="A11" s="19" t="s">
        <v>30</v>
      </c>
      <c r="B11" s="19" t="s">
        <v>31</v>
      </c>
      <c r="C11" s="19" t="s">
        <v>32</v>
      </c>
      <c r="D11" s="19" t="s">
        <v>96</v>
      </c>
      <c r="E11" s="19" t="s">
        <v>97</v>
      </c>
      <c r="F11" s="19" t="s">
        <v>98</v>
      </c>
      <c r="G11" s="19" t="s">
        <v>34</v>
      </c>
      <c r="H11" s="19" t="s">
        <v>27</v>
      </c>
      <c r="I11" s="19" t="s">
        <v>30</v>
      </c>
      <c r="J11" s="19" t="s">
        <v>31</v>
      </c>
      <c r="K11" s="31">
        <v>1</v>
      </c>
      <c r="L11" s="31" t="s">
        <v>33</v>
      </c>
      <c r="M11" s="19">
        <v>2022</v>
      </c>
      <c r="N11" s="31" t="s">
        <v>26</v>
      </c>
      <c r="O11" s="31">
        <v>50</v>
      </c>
      <c r="P11" s="31" t="s">
        <v>25</v>
      </c>
      <c r="Q11" s="31">
        <v>0</v>
      </c>
      <c r="R11" s="31">
        <v>50</v>
      </c>
      <c r="S11" s="31">
        <v>0.5</v>
      </c>
      <c r="T11" s="31">
        <v>0.5</v>
      </c>
      <c r="U11" s="31">
        <v>0</v>
      </c>
    </row>
    <row r="12" spans="1:21" x14ac:dyDescent="0.2">
      <c r="A12" s="19" t="s">
        <v>30</v>
      </c>
      <c r="B12" s="19" t="s">
        <v>31</v>
      </c>
      <c r="C12" s="19" t="s">
        <v>32</v>
      </c>
      <c r="D12" s="19" t="s">
        <v>99</v>
      </c>
      <c r="E12" s="19" t="s">
        <v>100</v>
      </c>
      <c r="F12" s="19" t="s">
        <v>101</v>
      </c>
      <c r="G12" s="19" t="s">
        <v>37</v>
      </c>
      <c r="H12" s="19" t="s">
        <v>24</v>
      </c>
      <c r="I12" s="19" t="s">
        <v>30</v>
      </c>
      <c r="J12" s="19" t="s">
        <v>31</v>
      </c>
      <c r="K12" s="31">
        <v>0.5</v>
      </c>
      <c r="L12" s="31" t="s">
        <v>33</v>
      </c>
      <c r="M12" s="19">
        <v>2022</v>
      </c>
      <c r="N12" s="31" t="s">
        <v>26</v>
      </c>
      <c r="O12" s="31">
        <v>50</v>
      </c>
      <c r="P12" s="31" t="s">
        <v>25</v>
      </c>
      <c r="Q12" s="31">
        <v>0</v>
      </c>
      <c r="R12" s="31">
        <v>50</v>
      </c>
      <c r="S12" s="31">
        <v>0.25</v>
      </c>
      <c r="T12" s="31">
        <v>0.25</v>
      </c>
      <c r="U12" s="31">
        <v>0</v>
      </c>
    </row>
    <row r="13" spans="1:21" x14ac:dyDescent="0.2">
      <c r="A13" s="19" t="s">
        <v>30</v>
      </c>
      <c r="B13" s="19" t="s">
        <v>31</v>
      </c>
      <c r="C13" s="19" t="s">
        <v>32</v>
      </c>
      <c r="D13" s="19" t="s">
        <v>99</v>
      </c>
      <c r="E13" s="19" t="s">
        <v>100</v>
      </c>
      <c r="F13" s="19" t="s">
        <v>101</v>
      </c>
      <c r="G13" s="19" t="s">
        <v>102</v>
      </c>
      <c r="H13" s="19" t="s">
        <v>24</v>
      </c>
      <c r="I13" s="19" t="s">
        <v>30</v>
      </c>
      <c r="J13" s="19" t="s">
        <v>31</v>
      </c>
      <c r="K13" s="31">
        <v>0.5</v>
      </c>
      <c r="L13" s="31" t="s">
        <v>33</v>
      </c>
      <c r="M13" s="19">
        <v>2022</v>
      </c>
      <c r="N13" s="31" t="s">
        <v>26</v>
      </c>
      <c r="O13" s="31">
        <v>50</v>
      </c>
      <c r="P13" s="31" t="s">
        <v>25</v>
      </c>
      <c r="Q13" s="31">
        <v>0</v>
      </c>
      <c r="R13" s="31">
        <v>50</v>
      </c>
      <c r="S13" s="31">
        <v>0.25</v>
      </c>
      <c r="T13" s="31">
        <v>0.25</v>
      </c>
      <c r="U13" s="31">
        <v>0</v>
      </c>
    </row>
    <row r="14" spans="1:21" x14ac:dyDescent="0.2">
      <c r="A14" s="19" t="s">
        <v>30</v>
      </c>
      <c r="B14" s="19" t="s">
        <v>31</v>
      </c>
      <c r="C14" s="19" t="s">
        <v>32</v>
      </c>
      <c r="D14" s="19" t="s">
        <v>103</v>
      </c>
      <c r="E14" s="19" t="s">
        <v>104</v>
      </c>
      <c r="F14" s="19" t="s">
        <v>105</v>
      </c>
      <c r="G14" s="19" t="s">
        <v>102</v>
      </c>
      <c r="H14" s="19" t="s">
        <v>27</v>
      </c>
      <c r="I14" s="19" t="s">
        <v>30</v>
      </c>
      <c r="J14" s="19" t="s">
        <v>31</v>
      </c>
      <c r="K14" s="31">
        <v>1</v>
      </c>
      <c r="L14" s="31" t="s">
        <v>33</v>
      </c>
      <c r="M14" s="19">
        <v>2022</v>
      </c>
      <c r="N14" s="31" t="s">
        <v>26</v>
      </c>
      <c r="O14" s="31">
        <v>50</v>
      </c>
      <c r="P14" s="31" t="s">
        <v>25</v>
      </c>
      <c r="Q14" s="31">
        <v>0</v>
      </c>
      <c r="R14" s="31">
        <v>50</v>
      </c>
      <c r="S14" s="31">
        <v>0.5</v>
      </c>
      <c r="T14" s="31">
        <v>0.5</v>
      </c>
      <c r="U14" s="31">
        <v>0</v>
      </c>
    </row>
    <row r="15" spans="1:21" x14ac:dyDescent="0.2">
      <c r="A15" s="19" t="s">
        <v>33</v>
      </c>
      <c r="B15" s="19" t="s">
        <v>126</v>
      </c>
      <c r="C15" s="19" t="s">
        <v>127</v>
      </c>
      <c r="D15" s="19" t="s">
        <v>128</v>
      </c>
      <c r="E15" s="19" t="s">
        <v>129</v>
      </c>
      <c r="F15" s="19" t="s">
        <v>130</v>
      </c>
      <c r="G15" s="19" t="s">
        <v>61</v>
      </c>
      <c r="H15" s="19" t="s">
        <v>131</v>
      </c>
      <c r="I15" s="19" t="s">
        <v>33</v>
      </c>
      <c r="J15" s="19" t="s">
        <v>126</v>
      </c>
      <c r="K15" s="19">
        <v>1</v>
      </c>
      <c r="L15" s="19" t="s">
        <v>33</v>
      </c>
      <c r="M15" s="19">
        <v>2023</v>
      </c>
      <c r="N15" s="19" t="s">
        <v>26</v>
      </c>
      <c r="O15" s="19" t="s">
        <v>132</v>
      </c>
      <c r="P15" s="19" t="s">
        <v>25</v>
      </c>
      <c r="Q15" s="19" t="s">
        <v>25</v>
      </c>
      <c r="R15" s="19">
        <v>50</v>
      </c>
      <c r="S15" s="19">
        <v>0.5</v>
      </c>
      <c r="T15" s="19">
        <v>0.5</v>
      </c>
      <c r="U15" s="19">
        <v>0</v>
      </c>
    </row>
    <row r="16" spans="1:21" x14ac:dyDescent="0.2">
      <c r="A16" s="19" t="s">
        <v>33</v>
      </c>
      <c r="B16" s="19" t="s">
        <v>126</v>
      </c>
      <c r="C16" s="19" t="s">
        <v>127</v>
      </c>
      <c r="D16" s="19" t="s">
        <v>133</v>
      </c>
      <c r="E16" s="19" t="s">
        <v>134</v>
      </c>
      <c r="F16" s="19" t="s">
        <v>135</v>
      </c>
      <c r="G16" s="19" t="s">
        <v>75</v>
      </c>
      <c r="H16" s="19" t="s">
        <v>136</v>
      </c>
      <c r="I16" s="19" t="s">
        <v>33</v>
      </c>
      <c r="J16" s="19" t="s">
        <v>126</v>
      </c>
      <c r="K16" s="19">
        <v>0.5</v>
      </c>
      <c r="L16" s="19" t="s">
        <v>33</v>
      </c>
      <c r="M16" s="19">
        <v>2023</v>
      </c>
      <c r="N16" s="19" t="s">
        <v>25</v>
      </c>
      <c r="O16" s="19" t="s">
        <v>25</v>
      </c>
      <c r="P16" s="19" t="s">
        <v>25</v>
      </c>
      <c r="Q16" s="19" t="s">
        <v>25</v>
      </c>
      <c r="R16" s="19">
        <v>100</v>
      </c>
      <c r="S16" s="19">
        <v>0.5</v>
      </c>
      <c r="T16" s="19">
        <v>0</v>
      </c>
      <c r="U16" s="19">
        <v>0</v>
      </c>
    </row>
    <row r="17" spans="1:21" x14ac:dyDescent="0.2">
      <c r="A17" s="19" t="s">
        <v>33</v>
      </c>
      <c r="B17" s="19" t="s">
        <v>126</v>
      </c>
      <c r="C17" s="19" t="s">
        <v>127</v>
      </c>
      <c r="D17" s="19" t="s">
        <v>133</v>
      </c>
      <c r="E17" s="19" t="s">
        <v>134</v>
      </c>
      <c r="F17" s="19" t="s">
        <v>135</v>
      </c>
      <c r="G17" s="19" t="s">
        <v>54</v>
      </c>
      <c r="H17" s="19" t="s">
        <v>136</v>
      </c>
      <c r="I17" s="19" t="s">
        <v>33</v>
      </c>
      <c r="J17" s="19" t="s">
        <v>126</v>
      </c>
      <c r="K17" s="19">
        <v>0.5</v>
      </c>
      <c r="L17" s="19" t="s">
        <v>33</v>
      </c>
      <c r="M17" s="19">
        <v>2023</v>
      </c>
      <c r="N17" s="19" t="s">
        <v>26</v>
      </c>
      <c r="O17" s="19" t="s">
        <v>137</v>
      </c>
      <c r="P17" s="19" t="s">
        <v>25</v>
      </c>
      <c r="Q17" s="19" t="s">
        <v>25</v>
      </c>
      <c r="R17" s="19">
        <v>30</v>
      </c>
      <c r="S17" s="19">
        <v>0.15</v>
      </c>
      <c r="T17" s="19">
        <v>0.35</v>
      </c>
      <c r="U17" s="19">
        <v>0</v>
      </c>
    </row>
    <row r="18" spans="1:21" x14ac:dyDescent="0.2">
      <c r="A18" s="19" t="s">
        <v>33</v>
      </c>
      <c r="B18" s="19" t="s">
        <v>126</v>
      </c>
      <c r="C18" s="19" t="s">
        <v>127</v>
      </c>
      <c r="D18" s="19" t="s">
        <v>138</v>
      </c>
      <c r="E18" s="19" t="s">
        <v>139</v>
      </c>
      <c r="F18" s="19" t="s">
        <v>140</v>
      </c>
      <c r="G18" s="19" t="s">
        <v>73</v>
      </c>
      <c r="H18" s="19" t="s">
        <v>136</v>
      </c>
      <c r="I18" s="19" t="s">
        <v>33</v>
      </c>
      <c r="J18" s="19" t="s">
        <v>126</v>
      </c>
      <c r="K18" s="19">
        <v>0.5</v>
      </c>
      <c r="L18" s="19" t="s">
        <v>33</v>
      </c>
      <c r="M18" s="19">
        <v>2023</v>
      </c>
      <c r="N18" s="19" t="s">
        <v>26</v>
      </c>
      <c r="O18" s="19" t="s">
        <v>132</v>
      </c>
      <c r="P18" s="19" t="s">
        <v>25</v>
      </c>
      <c r="Q18" s="19" t="s">
        <v>25</v>
      </c>
      <c r="R18" s="19">
        <v>50</v>
      </c>
      <c r="S18" s="19">
        <v>0.25</v>
      </c>
      <c r="T18" s="19">
        <v>0.25</v>
      </c>
      <c r="U18" s="19">
        <v>0</v>
      </c>
    </row>
    <row r="19" spans="1:21" x14ac:dyDescent="0.2">
      <c r="A19" s="19" t="s">
        <v>33</v>
      </c>
      <c r="B19" s="19" t="s">
        <v>126</v>
      </c>
      <c r="C19" s="19" t="s">
        <v>127</v>
      </c>
      <c r="D19" s="19" t="s">
        <v>138</v>
      </c>
      <c r="E19" s="19" t="s">
        <v>139</v>
      </c>
      <c r="F19" s="19" t="s">
        <v>140</v>
      </c>
      <c r="G19" s="19" t="s">
        <v>141</v>
      </c>
      <c r="H19" s="19" t="s">
        <v>136</v>
      </c>
      <c r="I19" s="19" t="s">
        <v>33</v>
      </c>
      <c r="J19" s="19" t="s">
        <v>126</v>
      </c>
      <c r="K19" s="19">
        <v>0.5</v>
      </c>
      <c r="L19" s="19" t="s">
        <v>33</v>
      </c>
      <c r="M19" s="19">
        <v>2023</v>
      </c>
      <c r="N19" s="19" t="s">
        <v>25</v>
      </c>
      <c r="O19" s="19" t="s">
        <v>25</v>
      </c>
      <c r="P19" s="19" t="s">
        <v>25</v>
      </c>
      <c r="Q19" s="19" t="s">
        <v>25</v>
      </c>
      <c r="R19" s="19">
        <v>100</v>
      </c>
      <c r="S19" s="19">
        <v>0.5</v>
      </c>
      <c r="T19" s="19">
        <v>0</v>
      </c>
      <c r="U19" s="19">
        <v>0</v>
      </c>
    </row>
    <row r="20" spans="1:21" s="50" customFormat="1" x14ac:dyDescent="0.2">
      <c r="A20" s="49" t="s">
        <v>33</v>
      </c>
      <c r="B20" s="49" t="s">
        <v>126</v>
      </c>
      <c r="C20" s="49" t="s">
        <v>127</v>
      </c>
      <c r="D20" s="49" t="s">
        <v>148</v>
      </c>
      <c r="E20" s="49" t="s">
        <v>149</v>
      </c>
      <c r="F20" s="49" t="s">
        <v>150</v>
      </c>
      <c r="G20" s="49" t="s">
        <v>85</v>
      </c>
      <c r="H20" s="49" t="s">
        <v>136</v>
      </c>
      <c r="I20" s="49" t="s">
        <v>33</v>
      </c>
      <c r="J20" s="49" t="s">
        <v>126</v>
      </c>
      <c r="K20" s="49">
        <v>0.5</v>
      </c>
      <c r="L20" s="49" t="s">
        <v>33</v>
      </c>
      <c r="M20" s="49">
        <v>2023</v>
      </c>
      <c r="N20" s="49" t="s">
        <v>25</v>
      </c>
      <c r="O20" s="49" t="s">
        <v>25</v>
      </c>
      <c r="P20" s="49" t="s">
        <v>25</v>
      </c>
      <c r="Q20" s="49" t="s">
        <v>25</v>
      </c>
      <c r="R20" s="49">
        <v>100</v>
      </c>
      <c r="S20" s="49">
        <v>0.5</v>
      </c>
      <c r="T20" s="49">
        <v>0</v>
      </c>
      <c r="U20" s="49">
        <v>0</v>
      </c>
    </row>
    <row r="21" spans="1:21" s="50" customFormat="1" x14ac:dyDescent="0.2">
      <c r="A21" s="49" t="s">
        <v>33</v>
      </c>
      <c r="B21" s="49" t="s">
        <v>126</v>
      </c>
      <c r="C21" s="49" t="s">
        <v>127</v>
      </c>
      <c r="D21" s="49" t="s">
        <v>148</v>
      </c>
      <c r="E21" s="49" t="s">
        <v>149</v>
      </c>
      <c r="F21" s="49" t="s">
        <v>150</v>
      </c>
      <c r="G21" s="49" t="s">
        <v>151</v>
      </c>
      <c r="H21" s="49" t="s">
        <v>136</v>
      </c>
      <c r="I21" s="49" t="s">
        <v>33</v>
      </c>
      <c r="J21" s="49" t="s">
        <v>126</v>
      </c>
      <c r="K21" s="49">
        <v>0.5</v>
      </c>
      <c r="L21" s="49" t="s">
        <v>33</v>
      </c>
      <c r="M21" s="49">
        <v>2023</v>
      </c>
      <c r="N21" s="49" t="s">
        <v>25</v>
      </c>
      <c r="O21" s="49" t="s">
        <v>25</v>
      </c>
      <c r="P21" s="49" t="s">
        <v>25</v>
      </c>
      <c r="Q21" s="49" t="s">
        <v>25</v>
      </c>
      <c r="R21" s="49">
        <v>100</v>
      </c>
      <c r="S21" s="49">
        <v>0.5</v>
      </c>
      <c r="T21" s="49">
        <v>0</v>
      </c>
      <c r="U21" s="49">
        <v>0</v>
      </c>
    </row>
    <row r="22" spans="1:21" x14ac:dyDescent="0.2">
      <c r="A22" s="19" t="s">
        <v>142</v>
      </c>
      <c r="B22" s="19" t="s">
        <v>143</v>
      </c>
      <c r="C22" s="19" t="s">
        <v>144</v>
      </c>
      <c r="D22" s="19" t="s">
        <v>145</v>
      </c>
      <c r="E22" s="19" t="s">
        <v>146</v>
      </c>
      <c r="F22" s="19" t="s">
        <v>147</v>
      </c>
      <c r="G22" s="19" t="s">
        <v>61</v>
      </c>
      <c r="H22" s="19" t="s">
        <v>136</v>
      </c>
      <c r="I22" s="19" t="s">
        <v>33</v>
      </c>
      <c r="J22" s="19" t="s">
        <v>126</v>
      </c>
      <c r="K22" s="19">
        <v>0.5</v>
      </c>
      <c r="L22" s="19" t="s">
        <v>33</v>
      </c>
      <c r="M22" s="19">
        <v>2023</v>
      </c>
      <c r="N22" s="19" t="s">
        <v>26</v>
      </c>
      <c r="O22" s="19" t="s">
        <v>132</v>
      </c>
      <c r="P22" s="19" t="s">
        <v>25</v>
      </c>
      <c r="Q22" s="19" t="s">
        <v>25</v>
      </c>
      <c r="R22" s="19">
        <v>50</v>
      </c>
      <c r="S22" s="19">
        <v>0.25</v>
      </c>
      <c r="T22" s="19">
        <v>0.25</v>
      </c>
      <c r="U22" s="19">
        <v>0</v>
      </c>
    </row>
    <row r="23" spans="1:21" s="50" customFormat="1" x14ac:dyDescent="0.2">
      <c r="A23" s="49" t="s">
        <v>33</v>
      </c>
      <c r="B23" s="49" t="s">
        <v>181</v>
      </c>
      <c r="C23" s="49" t="s">
        <v>127</v>
      </c>
      <c r="D23" s="49" t="s">
        <v>182</v>
      </c>
      <c r="E23" s="49" t="s">
        <v>183</v>
      </c>
      <c r="F23" s="49" t="s">
        <v>184</v>
      </c>
      <c r="G23" s="49" t="s">
        <v>56</v>
      </c>
      <c r="H23" s="49" t="s">
        <v>131</v>
      </c>
      <c r="I23" s="49" t="s">
        <v>33</v>
      </c>
      <c r="J23" s="49" t="s">
        <v>181</v>
      </c>
      <c r="K23" s="49">
        <v>1</v>
      </c>
      <c r="L23" s="49" t="s">
        <v>33</v>
      </c>
      <c r="M23" s="49">
        <v>2024</v>
      </c>
      <c r="N23" s="49" t="s">
        <v>26</v>
      </c>
      <c r="O23" s="49" t="s">
        <v>29</v>
      </c>
      <c r="P23" s="49" t="s">
        <v>25</v>
      </c>
      <c r="Q23" s="49" t="s">
        <v>25</v>
      </c>
      <c r="R23" s="49">
        <v>70</v>
      </c>
      <c r="S23" s="49">
        <v>0.7</v>
      </c>
      <c r="T23" s="49">
        <v>0.3</v>
      </c>
      <c r="U23" s="49">
        <v>0</v>
      </c>
    </row>
    <row r="24" spans="1:21" s="50" customFormat="1" x14ac:dyDescent="0.2">
      <c r="A24" s="49" t="s">
        <v>33</v>
      </c>
      <c r="B24" s="49" t="s">
        <v>181</v>
      </c>
      <c r="C24" s="49" t="s">
        <v>127</v>
      </c>
      <c r="D24" s="49" t="s">
        <v>185</v>
      </c>
      <c r="E24" s="49" t="s">
        <v>186</v>
      </c>
      <c r="F24" s="49" t="s">
        <v>187</v>
      </c>
      <c r="G24" s="49" t="s">
        <v>61</v>
      </c>
      <c r="H24" s="49" t="s">
        <v>136</v>
      </c>
      <c r="I24" s="49" t="s">
        <v>33</v>
      </c>
      <c r="J24" s="49" t="s">
        <v>181</v>
      </c>
      <c r="K24" s="49">
        <v>0.5</v>
      </c>
      <c r="L24" s="49" t="s">
        <v>33</v>
      </c>
      <c r="M24" s="49">
        <v>2024</v>
      </c>
      <c r="N24" s="49" t="s">
        <v>26</v>
      </c>
      <c r="O24" s="49" t="s">
        <v>132</v>
      </c>
      <c r="P24" s="49" t="s">
        <v>25</v>
      </c>
      <c r="Q24" s="49" t="s">
        <v>25</v>
      </c>
      <c r="R24" s="49">
        <v>50</v>
      </c>
      <c r="S24" s="49">
        <v>0.25</v>
      </c>
      <c r="T24" s="49">
        <v>0.25</v>
      </c>
      <c r="U24" s="49">
        <v>0</v>
      </c>
    </row>
    <row r="25" spans="1:21" s="50" customFormat="1" x14ac:dyDescent="0.2">
      <c r="A25" s="49" t="s">
        <v>33</v>
      </c>
      <c r="B25" s="49" t="s">
        <v>181</v>
      </c>
      <c r="C25" s="49" t="s">
        <v>127</v>
      </c>
      <c r="D25" s="49" t="s">
        <v>188</v>
      </c>
      <c r="E25" s="49" t="s">
        <v>189</v>
      </c>
      <c r="F25" s="49" t="s">
        <v>190</v>
      </c>
      <c r="G25" s="49" t="s">
        <v>56</v>
      </c>
      <c r="H25" s="49" t="s">
        <v>136</v>
      </c>
      <c r="I25" s="49" t="s">
        <v>33</v>
      </c>
      <c r="J25" s="49" t="s">
        <v>181</v>
      </c>
      <c r="K25" s="49">
        <v>0.5</v>
      </c>
      <c r="L25" s="49" t="s">
        <v>33</v>
      </c>
      <c r="M25" s="49">
        <v>2024</v>
      </c>
      <c r="N25" s="49" t="s">
        <v>26</v>
      </c>
      <c r="O25" s="49" t="s">
        <v>29</v>
      </c>
      <c r="P25" s="49" t="s">
        <v>25</v>
      </c>
      <c r="Q25" s="49" t="s">
        <v>25</v>
      </c>
      <c r="R25" s="49">
        <v>70</v>
      </c>
      <c r="S25" s="49">
        <v>0.35</v>
      </c>
      <c r="T25" s="49">
        <v>0.15</v>
      </c>
      <c r="U25" s="49">
        <v>0</v>
      </c>
    </row>
    <row r="26" spans="1:21" s="50" customFormat="1" x14ac:dyDescent="0.2">
      <c r="A26" s="49" t="s">
        <v>33</v>
      </c>
      <c r="B26" s="49" t="s">
        <v>181</v>
      </c>
      <c r="C26" s="49" t="s">
        <v>127</v>
      </c>
      <c r="D26" s="49" t="s">
        <v>188</v>
      </c>
      <c r="E26" s="49" t="s">
        <v>189</v>
      </c>
      <c r="F26" s="49" t="s">
        <v>190</v>
      </c>
      <c r="G26" s="49" t="s">
        <v>151</v>
      </c>
      <c r="H26" s="49" t="s">
        <v>136</v>
      </c>
      <c r="I26" s="49" t="s">
        <v>33</v>
      </c>
      <c r="J26" s="49" t="s">
        <v>181</v>
      </c>
      <c r="K26" s="49">
        <v>0.5</v>
      </c>
      <c r="L26" s="49" t="s">
        <v>33</v>
      </c>
      <c r="M26" s="49">
        <v>2024</v>
      </c>
      <c r="N26" s="49" t="s">
        <v>25</v>
      </c>
      <c r="O26" s="49" t="s">
        <v>25</v>
      </c>
      <c r="P26" s="49" t="s">
        <v>25</v>
      </c>
      <c r="Q26" s="49" t="s">
        <v>25</v>
      </c>
      <c r="R26" s="49">
        <v>100</v>
      </c>
      <c r="S26" s="49">
        <v>0.5</v>
      </c>
      <c r="T26" s="49">
        <v>0</v>
      </c>
      <c r="U26" s="49">
        <v>0</v>
      </c>
    </row>
    <row r="27" spans="1:21" x14ac:dyDescent="0.2">
      <c r="A27" s="19" t="s">
        <v>33</v>
      </c>
      <c r="B27" s="19" t="s">
        <v>181</v>
      </c>
      <c r="C27" s="19" t="s">
        <v>127</v>
      </c>
      <c r="D27" s="19" t="s">
        <v>191</v>
      </c>
      <c r="E27" s="19" t="s">
        <v>192</v>
      </c>
      <c r="F27" s="19" t="s">
        <v>193</v>
      </c>
      <c r="G27" s="19" t="s">
        <v>53</v>
      </c>
      <c r="H27" s="19" t="s">
        <v>131</v>
      </c>
      <c r="I27" s="19" t="s">
        <v>33</v>
      </c>
      <c r="J27" s="19" t="s">
        <v>181</v>
      </c>
      <c r="K27" s="19">
        <v>1</v>
      </c>
      <c r="L27" s="19" t="s">
        <v>33</v>
      </c>
      <c r="M27" s="19">
        <v>2024</v>
      </c>
      <c r="N27" s="19" t="s">
        <v>26</v>
      </c>
      <c r="O27" s="19" t="s">
        <v>132</v>
      </c>
      <c r="P27" s="19" t="s">
        <v>25</v>
      </c>
      <c r="Q27" s="19" t="s">
        <v>25</v>
      </c>
      <c r="R27" s="19">
        <v>50</v>
      </c>
      <c r="S27" s="19">
        <v>0.5</v>
      </c>
      <c r="T27" s="19">
        <v>0.5</v>
      </c>
      <c r="U27" s="19">
        <v>0</v>
      </c>
    </row>
    <row r="28" spans="1:21" x14ac:dyDescent="0.2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8"/>
      <c r="P28" s="7"/>
      <c r="Q28" s="8"/>
      <c r="R28" s="7"/>
      <c r="S28" s="39">
        <f>SUM(S2:S27)</f>
        <v>9.8666666666666654</v>
      </c>
      <c r="T28" s="7"/>
      <c r="U28" s="7"/>
    </row>
  </sheetData>
  <autoFilter ref="A1:U14" xr:uid="{00000000-0009-0000-0000-000000000000}">
    <sortState xmlns:xlrd2="http://schemas.microsoft.com/office/spreadsheetml/2017/richdata2" ref="A2:U1868">
      <sortCondition ref="L2:L1868"/>
      <sortCondition ref="M2:M1868"/>
      <sortCondition ref="D2:D1868"/>
    </sortState>
  </autoFilter>
  <printOptions horizontalCentered="1"/>
  <pageMargins left="0.19685039370078741" right="0.19685039370078741" top="0.39370078740157483" bottom="0.39370078740157483" header="0.78740157480314965" footer="0"/>
  <pageSetup paperSize="9" scale="93" fitToWidth="2" fitToHeight="5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S16"/>
  <sheetViews>
    <sheetView zoomScaleNormal="100" workbookViewId="0">
      <selection activeCell="V11" sqref="V11"/>
    </sheetView>
  </sheetViews>
  <sheetFormatPr baseColWidth="10" defaultColWidth="11.44140625" defaultRowHeight="13.2" x14ac:dyDescent="0.25"/>
  <cols>
    <col min="1" max="1" width="10.88671875" style="12" bestFit="1" customWidth="1"/>
    <col min="2" max="2" width="35.6640625" style="12" bestFit="1" customWidth="1"/>
    <col min="3" max="3" width="17" style="12" bestFit="1" customWidth="1"/>
    <col min="4" max="9" width="3.33203125" style="12" bestFit="1" customWidth="1"/>
    <col min="10" max="10" width="13.109375" style="12" bestFit="1" customWidth="1"/>
    <col min="11" max="11" width="5.33203125" style="12" bestFit="1" customWidth="1"/>
    <col min="12" max="13" width="5.6640625" style="12" bestFit="1" customWidth="1"/>
    <col min="14" max="14" width="5.6640625" style="13" bestFit="1" customWidth="1"/>
    <col min="15" max="15" width="5.6640625" style="12" bestFit="1" customWidth="1"/>
    <col min="16" max="16" width="5.6640625" style="13" bestFit="1" customWidth="1"/>
    <col min="17" max="19" width="5.6640625" style="12" bestFit="1" customWidth="1"/>
    <col min="20" max="16384" width="11.44140625" style="12"/>
  </cols>
  <sheetData>
    <row r="1" spans="1:19" ht="30" x14ac:dyDescent="0.25">
      <c r="A1" s="14" t="s">
        <v>38</v>
      </c>
      <c r="B1" s="14" t="s">
        <v>39</v>
      </c>
      <c r="C1" s="14" t="s">
        <v>40</v>
      </c>
      <c r="D1" s="15" t="s">
        <v>194</v>
      </c>
      <c r="E1" s="15" t="s">
        <v>195</v>
      </c>
      <c r="F1" s="15" t="s">
        <v>196</v>
      </c>
      <c r="G1" s="15" t="s">
        <v>197</v>
      </c>
      <c r="H1" s="15" t="s">
        <v>198</v>
      </c>
      <c r="I1" s="15" t="s">
        <v>199</v>
      </c>
      <c r="J1" s="14" t="s">
        <v>41</v>
      </c>
      <c r="K1" s="16" t="s">
        <v>60</v>
      </c>
      <c r="L1" s="10" t="s">
        <v>42</v>
      </c>
      <c r="M1" s="10" t="s">
        <v>43</v>
      </c>
      <c r="N1" s="10" t="s">
        <v>44</v>
      </c>
      <c r="O1" s="10" t="s">
        <v>45</v>
      </c>
      <c r="P1" s="11" t="s">
        <v>46</v>
      </c>
      <c r="Q1" s="11" t="s">
        <v>47</v>
      </c>
      <c r="R1" s="11" t="s">
        <v>48</v>
      </c>
      <c r="S1" s="11" t="s">
        <v>49</v>
      </c>
    </row>
    <row r="2" spans="1:19" ht="14.4" x14ac:dyDescent="0.3">
      <c r="A2" s="17" t="s">
        <v>74</v>
      </c>
      <c r="B2" s="17" t="s">
        <v>200</v>
      </c>
      <c r="C2" s="17" t="s">
        <v>50</v>
      </c>
      <c r="D2" s="17"/>
      <c r="E2" s="17"/>
      <c r="F2" s="17">
        <v>3</v>
      </c>
      <c r="G2" s="17"/>
      <c r="H2" s="17"/>
      <c r="I2" s="17"/>
      <c r="J2" s="17">
        <v>3</v>
      </c>
      <c r="K2" s="17" t="s">
        <v>33</v>
      </c>
      <c r="L2" s="18" t="s">
        <v>26</v>
      </c>
      <c r="M2" s="18" t="s">
        <v>132</v>
      </c>
      <c r="N2" s="18" t="s">
        <v>25</v>
      </c>
      <c r="O2" s="18" t="s">
        <v>25</v>
      </c>
      <c r="P2" s="18">
        <v>50</v>
      </c>
      <c r="Q2" s="18">
        <v>1.5</v>
      </c>
      <c r="R2" s="18">
        <v>0</v>
      </c>
      <c r="S2" s="18">
        <v>1.5</v>
      </c>
    </row>
    <row r="3" spans="1:19" ht="14.4" x14ac:dyDescent="0.3">
      <c r="A3" s="17" t="s">
        <v>56</v>
      </c>
      <c r="B3" s="17" t="s">
        <v>201</v>
      </c>
      <c r="C3" s="17" t="s">
        <v>50</v>
      </c>
      <c r="D3" s="17"/>
      <c r="E3" s="17"/>
      <c r="F3" s="17"/>
      <c r="G3" s="17"/>
      <c r="H3" s="17"/>
      <c r="I3" s="17">
        <v>1</v>
      </c>
      <c r="J3" s="17">
        <v>1</v>
      </c>
      <c r="K3" s="17" t="s">
        <v>33</v>
      </c>
      <c r="L3" s="18" t="s">
        <v>26</v>
      </c>
      <c r="M3" s="18" t="s">
        <v>29</v>
      </c>
      <c r="N3" s="18" t="s">
        <v>25</v>
      </c>
      <c r="O3" s="18" t="s">
        <v>25</v>
      </c>
      <c r="P3" s="18">
        <v>70</v>
      </c>
      <c r="Q3" s="18">
        <v>0.3</v>
      </c>
      <c r="R3" s="18">
        <v>0</v>
      </c>
      <c r="S3" s="18">
        <v>0.7</v>
      </c>
    </row>
    <row r="4" spans="1:19" ht="14.4" x14ac:dyDescent="0.3">
      <c r="A4" s="32" t="s">
        <v>54</v>
      </c>
      <c r="B4" s="32" t="s">
        <v>202</v>
      </c>
      <c r="C4" s="33" t="s">
        <v>203</v>
      </c>
      <c r="D4" s="32"/>
      <c r="E4" s="32"/>
      <c r="F4" s="32"/>
      <c r="G4" s="32"/>
      <c r="H4" s="32"/>
      <c r="I4" s="32">
        <v>1</v>
      </c>
      <c r="J4" s="17">
        <v>1</v>
      </c>
      <c r="K4" s="17" t="s">
        <v>33</v>
      </c>
      <c r="L4" s="18" t="s">
        <v>26</v>
      </c>
      <c r="M4" s="18" t="s">
        <v>137</v>
      </c>
      <c r="N4" s="18" t="s">
        <v>25</v>
      </c>
      <c r="O4" s="18" t="s">
        <v>25</v>
      </c>
      <c r="P4" s="18">
        <v>30</v>
      </c>
      <c r="Q4" s="18">
        <v>0.7</v>
      </c>
      <c r="R4" s="18">
        <v>0</v>
      </c>
      <c r="S4" s="18">
        <v>0.3</v>
      </c>
    </row>
    <row r="5" spans="1:19" ht="14.4" x14ac:dyDescent="0.3">
      <c r="A5" s="17" t="s">
        <v>57</v>
      </c>
      <c r="B5" s="17" t="s">
        <v>204</v>
      </c>
      <c r="C5" s="17" t="s">
        <v>50</v>
      </c>
      <c r="D5" s="17"/>
      <c r="E5" s="17"/>
      <c r="F5" s="17">
        <v>2</v>
      </c>
      <c r="G5" s="17"/>
      <c r="H5" s="17"/>
      <c r="I5" s="17"/>
      <c r="J5" s="17">
        <v>2</v>
      </c>
      <c r="K5" s="17" t="s">
        <v>33</v>
      </c>
      <c r="L5" s="18" t="s">
        <v>26</v>
      </c>
      <c r="M5" s="18" t="s">
        <v>132</v>
      </c>
      <c r="N5" s="18" t="s">
        <v>25</v>
      </c>
      <c r="O5" s="18" t="s">
        <v>25</v>
      </c>
      <c r="P5" s="18">
        <v>50</v>
      </c>
      <c r="Q5" s="18">
        <v>1</v>
      </c>
      <c r="R5" s="18">
        <v>0</v>
      </c>
      <c r="S5" s="18">
        <v>1</v>
      </c>
    </row>
    <row r="6" spans="1:19" ht="14.4" x14ac:dyDescent="0.3">
      <c r="A6" s="17" t="s">
        <v>53</v>
      </c>
      <c r="B6" s="17" t="s">
        <v>205</v>
      </c>
      <c r="C6" s="17" t="s">
        <v>50</v>
      </c>
      <c r="D6" s="17"/>
      <c r="E6" s="17">
        <v>1</v>
      </c>
      <c r="F6" s="17"/>
      <c r="G6" s="17"/>
      <c r="H6" s="17"/>
      <c r="I6" s="17"/>
      <c r="J6" s="17">
        <v>1</v>
      </c>
      <c r="K6" s="17" t="s">
        <v>33</v>
      </c>
      <c r="L6" s="18" t="s">
        <v>26</v>
      </c>
      <c r="M6" s="18" t="s">
        <v>132</v>
      </c>
      <c r="N6" s="18" t="s">
        <v>25</v>
      </c>
      <c r="O6" s="18" t="s">
        <v>25</v>
      </c>
      <c r="P6" s="18">
        <v>50</v>
      </c>
      <c r="Q6" s="18">
        <v>0.5</v>
      </c>
      <c r="R6" s="18">
        <v>0</v>
      </c>
      <c r="S6" s="18">
        <v>0.5</v>
      </c>
    </row>
    <row r="7" spans="1:19" ht="14.4" x14ac:dyDescent="0.3">
      <c r="A7" s="17" t="s">
        <v>55</v>
      </c>
      <c r="B7" s="17" t="s">
        <v>206</v>
      </c>
      <c r="C7" s="17" t="s">
        <v>50</v>
      </c>
      <c r="D7" s="17"/>
      <c r="E7" s="17"/>
      <c r="F7" s="17">
        <v>1</v>
      </c>
      <c r="G7" s="17"/>
      <c r="H7" s="17"/>
      <c r="I7" s="17"/>
      <c r="J7" s="17">
        <v>1</v>
      </c>
      <c r="K7" s="17" t="s">
        <v>33</v>
      </c>
      <c r="L7" s="18" t="s">
        <v>26</v>
      </c>
      <c r="M7" s="18" t="s">
        <v>132</v>
      </c>
      <c r="N7" s="18" t="s">
        <v>25</v>
      </c>
      <c r="O7" s="18" t="s">
        <v>25</v>
      </c>
      <c r="P7" s="18">
        <v>50</v>
      </c>
      <c r="Q7" s="18">
        <v>0.5</v>
      </c>
      <c r="R7" s="18">
        <v>0</v>
      </c>
      <c r="S7" s="18">
        <v>0.5</v>
      </c>
    </row>
    <row r="8" spans="1:19" ht="14.4" x14ac:dyDescent="0.3">
      <c r="A8" s="17" t="s">
        <v>75</v>
      </c>
      <c r="B8" s="17" t="s">
        <v>207</v>
      </c>
      <c r="C8" s="17" t="s">
        <v>51</v>
      </c>
      <c r="D8" s="17"/>
      <c r="E8" s="17">
        <v>1</v>
      </c>
      <c r="F8" s="17"/>
      <c r="G8" s="17"/>
      <c r="H8" s="17"/>
      <c r="I8" s="17"/>
      <c r="J8" s="17">
        <v>1</v>
      </c>
      <c r="K8" s="17" t="s">
        <v>33</v>
      </c>
      <c r="L8" s="18">
        <v>0</v>
      </c>
      <c r="M8" s="18">
        <v>0</v>
      </c>
      <c r="N8" s="18" t="s">
        <v>25</v>
      </c>
      <c r="O8" s="18" t="s">
        <v>25</v>
      </c>
      <c r="P8" s="18">
        <v>100</v>
      </c>
      <c r="Q8" s="18">
        <v>0</v>
      </c>
      <c r="R8" s="18">
        <v>0</v>
      </c>
      <c r="S8" s="18">
        <v>1</v>
      </c>
    </row>
    <row r="9" spans="1:19" ht="14.4" x14ac:dyDescent="0.3">
      <c r="A9" s="17" t="s">
        <v>73</v>
      </c>
      <c r="B9" s="17" t="s">
        <v>208</v>
      </c>
      <c r="C9" s="17" t="s">
        <v>50</v>
      </c>
      <c r="D9" s="17"/>
      <c r="E9" s="17"/>
      <c r="F9" s="17">
        <v>2</v>
      </c>
      <c r="G9" s="17"/>
      <c r="H9" s="17">
        <v>1</v>
      </c>
      <c r="I9" s="17"/>
      <c r="J9" s="17">
        <v>3</v>
      </c>
      <c r="K9" s="17" t="s">
        <v>33</v>
      </c>
      <c r="L9" s="18" t="s">
        <v>26</v>
      </c>
      <c r="M9" s="18" t="s">
        <v>132</v>
      </c>
      <c r="N9" s="18" t="s">
        <v>25</v>
      </c>
      <c r="O9" s="18" t="s">
        <v>25</v>
      </c>
      <c r="P9" s="18">
        <v>50</v>
      </c>
      <c r="Q9" s="18">
        <v>1.5</v>
      </c>
      <c r="R9" s="18">
        <v>0</v>
      </c>
      <c r="S9" s="18">
        <v>1.5</v>
      </c>
    </row>
    <row r="10" spans="1:19" ht="14.4" x14ac:dyDescent="0.3">
      <c r="A10" s="17" t="s">
        <v>85</v>
      </c>
      <c r="B10" s="17" t="s">
        <v>209</v>
      </c>
      <c r="C10" s="17" t="s">
        <v>50</v>
      </c>
      <c r="D10" s="17"/>
      <c r="E10" s="17"/>
      <c r="F10" s="17"/>
      <c r="G10" s="17"/>
      <c r="H10" s="17"/>
      <c r="I10" s="17">
        <v>2</v>
      </c>
      <c r="J10" s="17">
        <v>2</v>
      </c>
      <c r="K10" s="17" t="s">
        <v>33</v>
      </c>
      <c r="L10" s="18" t="s">
        <v>26</v>
      </c>
      <c r="M10" s="18" t="s">
        <v>132</v>
      </c>
      <c r="N10" s="18" t="s">
        <v>25</v>
      </c>
      <c r="O10" s="18" t="s">
        <v>25</v>
      </c>
      <c r="P10" s="18">
        <v>50</v>
      </c>
      <c r="Q10" s="18">
        <v>1</v>
      </c>
      <c r="R10" s="18">
        <v>0</v>
      </c>
      <c r="S10" s="18">
        <v>1</v>
      </c>
    </row>
    <row r="11" spans="1:19" ht="14.4" x14ac:dyDescent="0.3">
      <c r="A11" s="17" t="s">
        <v>58</v>
      </c>
      <c r="B11" s="17" t="s">
        <v>210</v>
      </c>
      <c r="C11" s="17" t="s">
        <v>50</v>
      </c>
      <c r="D11" s="17"/>
      <c r="E11" s="17"/>
      <c r="F11" s="17"/>
      <c r="G11" s="17"/>
      <c r="H11" s="17">
        <v>2</v>
      </c>
      <c r="I11" s="17"/>
      <c r="J11" s="17">
        <v>2</v>
      </c>
      <c r="K11" s="17" t="s">
        <v>33</v>
      </c>
      <c r="L11" s="18">
        <v>0</v>
      </c>
      <c r="M11" s="18">
        <v>0</v>
      </c>
      <c r="N11" s="18" t="s">
        <v>25</v>
      </c>
      <c r="O11" s="18" t="s">
        <v>25</v>
      </c>
      <c r="P11" s="18">
        <v>100</v>
      </c>
      <c r="Q11" s="18">
        <v>0</v>
      </c>
      <c r="R11" s="18">
        <v>0</v>
      </c>
      <c r="S11" s="18">
        <v>2</v>
      </c>
    </row>
    <row r="12" spans="1:19" ht="14.4" x14ac:dyDescent="0.3">
      <c r="A12" s="17" t="s">
        <v>61</v>
      </c>
      <c r="B12" s="17" t="s">
        <v>211</v>
      </c>
      <c r="C12" s="17" t="s">
        <v>50</v>
      </c>
      <c r="D12" s="17"/>
      <c r="E12" s="17"/>
      <c r="F12" s="17"/>
      <c r="G12" s="17"/>
      <c r="H12" s="17">
        <v>2</v>
      </c>
      <c r="I12" s="17"/>
      <c r="J12" s="17">
        <v>2</v>
      </c>
      <c r="K12" s="17" t="s">
        <v>33</v>
      </c>
      <c r="L12" s="18" t="s">
        <v>26</v>
      </c>
      <c r="M12" s="18" t="s">
        <v>132</v>
      </c>
      <c r="N12" s="18" t="s">
        <v>25</v>
      </c>
      <c r="O12" s="18" t="s">
        <v>25</v>
      </c>
      <c r="P12" s="18">
        <v>50</v>
      </c>
      <c r="Q12" s="18">
        <v>1</v>
      </c>
      <c r="R12" s="18">
        <v>0</v>
      </c>
      <c r="S12" s="18">
        <v>1</v>
      </c>
    </row>
    <row r="13" spans="1:19" ht="14.4" x14ac:dyDescent="0.3">
      <c r="A13" s="17" t="s">
        <v>52</v>
      </c>
      <c r="B13" s="17" t="s">
        <v>212</v>
      </c>
      <c r="C13" s="17" t="s">
        <v>50</v>
      </c>
      <c r="D13" s="17"/>
      <c r="E13" s="17"/>
      <c r="F13" s="17"/>
      <c r="G13" s="17"/>
      <c r="H13" s="17"/>
      <c r="I13" s="17">
        <v>1</v>
      </c>
      <c r="J13" s="17">
        <v>1</v>
      </c>
      <c r="K13" s="17" t="s">
        <v>33</v>
      </c>
      <c r="L13" s="18" t="s">
        <v>26</v>
      </c>
      <c r="M13" s="18" t="s">
        <v>132</v>
      </c>
      <c r="N13" s="18" t="s">
        <v>25</v>
      </c>
      <c r="O13" s="18" t="s">
        <v>25</v>
      </c>
      <c r="P13" s="18">
        <v>50</v>
      </c>
      <c r="Q13" s="18">
        <v>0.5</v>
      </c>
      <c r="R13" s="18">
        <v>0</v>
      </c>
      <c r="S13" s="18">
        <v>0.5</v>
      </c>
    </row>
    <row r="14" spans="1:19" ht="14.4" x14ac:dyDescent="0.3">
      <c r="A14" s="17" t="s">
        <v>59</v>
      </c>
      <c r="B14" s="17" t="s">
        <v>213</v>
      </c>
      <c r="C14" s="17" t="s">
        <v>50</v>
      </c>
      <c r="D14" s="17"/>
      <c r="E14" s="17"/>
      <c r="F14" s="17">
        <v>2</v>
      </c>
      <c r="G14" s="17"/>
      <c r="H14" s="17"/>
      <c r="I14" s="17">
        <v>1</v>
      </c>
      <c r="J14" s="17">
        <v>3</v>
      </c>
      <c r="K14" s="17" t="s">
        <v>33</v>
      </c>
      <c r="L14" s="18" t="s">
        <v>26</v>
      </c>
      <c r="M14" s="18" t="s">
        <v>132</v>
      </c>
      <c r="N14" s="18" t="s">
        <v>25</v>
      </c>
      <c r="O14" s="18" t="s">
        <v>25</v>
      </c>
      <c r="P14" s="18">
        <v>50</v>
      </c>
      <c r="Q14" s="18">
        <v>1.5</v>
      </c>
      <c r="R14" s="18">
        <v>0</v>
      </c>
      <c r="S14" s="18">
        <v>1.5</v>
      </c>
    </row>
    <row r="15" spans="1:19" ht="14.4" x14ac:dyDescent="0.3">
      <c r="A15" s="17" t="s">
        <v>86</v>
      </c>
      <c r="B15" s="17" t="s">
        <v>214</v>
      </c>
      <c r="C15" s="28" t="s">
        <v>51</v>
      </c>
      <c r="D15" s="17"/>
      <c r="E15" s="17"/>
      <c r="F15" s="17"/>
      <c r="G15" s="17"/>
      <c r="H15" s="17"/>
      <c r="I15" s="17">
        <v>1</v>
      </c>
      <c r="J15" s="17">
        <v>1</v>
      </c>
      <c r="K15" s="17" t="s">
        <v>33</v>
      </c>
      <c r="L15" s="18">
        <v>0</v>
      </c>
      <c r="M15" s="18">
        <v>0</v>
      </c>
      <c r="N15" s="18" t="s">
        <v>25</v>
      </c>
      <c r="O15" s="18" t="s">
        <v>25</v>
      </c>
      <c r="P15" s="18">
        <v>100</v>
      </c>
      <c r="Q15" s="18">
        <v>0</v>
      </c>
      <c r="R15" s="18">
        <v>0</v>
      </c>
      <c r="S15" s="18">
        <v>1</v>
      </c>
    </row>
    <row r="16" spans="1:19" ht="14.4" x14ac:dyDescent="0.3">
      <c r="A16" s="37"/>
      <c r="B16" s="37"/>
      <c r="C16" s="38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40">
        <f>SUM(S2:S15)</f>
        <v>14</v>
      </c>
    </row>
  </sheetData>
  <phoneticPr fontId="10" type="noConversion"/>
  <pageMargins left="0.39370078740157483" right="0.39370078740157483" top="0.39370078740157483" bottom="0.39370078740157483" header="0.31496062992125984" footer="0.31496062992125984"/>
  <pageSetup paperSize="9" scale="1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BBE77-27A3-44FA-A122-8B56A78F8F39}">
  <dimension ref="A1:C16"/>
  <sheetViews>
    <sheetView workbookViewId="0">
      <selection activeCell="C20" sqref="C20"/>
    </sheetView>
  </sheetViews>
  <sheetFormatPr baseColWidth="10" defaultRowHeight="14.4" x14ac:dyDescent="0.3"/>
  <cols>
    <col min="1" max="1" width="16.44140625" customWidth="1"/>
    <col min="2" max="2" width="85" customWidth="1"/>
    <col min="3" max="3" width="15.44140625" customWidth="1"/>
  </cols>
  <sheetData>
    <row r="1" spans="1:3" x14ac:dyDescent="0.3">
      <c r="A1" s="54" t="s">
        <v>89</v>
      </c>
      <c r="B1" s="54" t="s">
        <v>90</v>
      </c>
      <c r="C1" s="54" t="s">
        <v>91</v>
      </c>
    </row>
    <row r="2" spans="1:3" x14ac:dyDescent="0.3">
      <c r="A2" s="34" t="s">
        <v>1</v>
      </c>
      <c r="B2" s="34" t="s">
        <v>106</v>
      </c>
      <c r="C2" s="29">
        <v>246.4</v>
      </c>
    </row>
    <row r="3" spans="1:3" x14ac:dyDescent="0.3">
      <c r="A3" s="35" t="s">
        <v>92</v>
      </c>
      <c r="B3" s="35" t="s">
        <v>107</v>
      </c>
      <c r="C3" s="30">
        <v>17556</v>
      </c>
    </row>
    <row r="4" spans="1:3" x14ac:dyDescent="0.3">
      <c r="A4" s="34" t="s">
        <v>108</v>
      </c>
      <c r="B4" s="34" t="s">
        <v>109</v>
      </c>
      <c r="C4" s="29">
        <v>3399.57</v>
      </c>
    </row>
    <row r="5" spans="1:3" x14ac:dyDescent="0.3">
      <c r="A5" s="35" t="s">
        <v>110</v>
      </c>
      <c r="B5" s="35" t="s">
        <v>111</v>
      </c>
      <c r="C5" s="30">
        <v>8026.22</v>
      </c>
    </row>
    <row r="6" spans="1:3" x14ac:dyDescent="0.3">
      <c r="A6" s="34" t="s">
        <v>72</v>
      </c>
      <c r="B6" s="34" t="s">
        <v>112</v>
      </c>
      <c r="C6" s="29">
        <v>3995</v>
      </c>
    </row>
    <row r="7" spans="1:3" x14ac:dyDescent="0.3">
      <c r="A7" s="35" t="s">
        <v>113</v>
      </c>
      <c r="B7" s="35" t="s">
        <v>114</v>
      </c>
      <c r="C7" s="30">
        <v>28500</v>
      </c>
    </row>
    <row r="8" spans="1:3" x14ac:dyDescent="0.3">
      <c r="A8" s="34" t="s">
        <v>93</v>
      </c>
      <c r="B8" s="34" t="s">
        <v>115</v>
      </c>
      <c r="C8" s="29">
        <v>-2309.8200000000002</v>
      </c>
    </row>
    <row r="9" spans="1:3" x14ac:dyDescent="0.3">
      <c r="A9" s="35" t="s">
        <v>94</v>
      </c>
      <c r="B9" s="35" t="s">
        <v>116</v>
      </c>
      <c r="C9" s="30">
        <v>84638.83</v>
      </c>
    </row>
    <row r="10" spans="1:3" x14ac:dyDescent="0.3">
      <c r="A10" s="34" t="s">
        <v>117</v>
      </c>
      <c r="B10" s="34" t="s">
        <v>118</v>
      </c>
      <c r="C10" s="29">
        <v>9000</v>
      </c>
    </row>
    <row r="11" spans="1:3" x14ac:dyDescent="0.3">
      <c r="A11" s="35" t="s">
        <v>119</v>
      </c>
      <c r="B11" s="35" t="s">
        <v>120</v>
      </c>
      <c r="C11" s="30">
        <v>12000</v>
      </c>
    </row>
    <row r="12" spans="1:3" x14ac:dyDescent="0.3">
      <c r="A12" s="34" t="s">
        <v>121</v>
      </c>
      <c r="B12" s="34" t="s">
        <v>122</v>
      </c>
      <c r="C12" s="29">
        <v>105412</v>
      </c>
    </row>
    <row r="13" spans="1:3" x14ac:dyDescent="0.3">
      <c r="A13" s="35" t="s">
        <v>123</v>
      </c>
      <c r="B13" s="35" t="s">
        <v>124</v>
      </c>
      <c r="C13" s="30">
        <v>7400</v>
      </c>
    </row>
    <row r="14" spans="1:3" x14ac:dyDescent="0.3">
      <c r="A14" s="55" t="s">
        <v>2</v>
      </c>
      <c r="B14" s="55" t="s">
        <v>125</v>
      </c>
      <c r="C14" s="56">
        <v>29517.62</v>
      </c>
    </row>
    <row r="15" spans="1:3" s="59" customFormat="1" x14ac:dyDescent="0.3">
      <c r="A15" s="57" t="s">
        <v>0</v>
      </c>
      <c r="B15" s="57"/>
      <c r="C15" s="58">
        <f>SUBTOTAL(109,Tabla2[Imp.cob.aplic.])</f>
        <v>307381.82</v>
      </c>
    </row>
    <row r="16" spans="1:3" x14ac:dyDescent="0.3">
      <c r="C16" s="36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5D565-76F1-44CC-B3E1-D4615A6BCA82}">
  <dimension ref="A1:C20"/>
  <sheetViews>
    <sheetView workbookViewId="0">
      <selection activeCell="B23" sqref="B23:C23"/>
    </sheetView>
  </sheetViews>
  <sheetFormatPr baseColWidth="10" defaultRowHeight="14.4" x14ac:dyDescent="0.3"/>
  <cols>
    <col min="2" max="2" width="54.109375" customWidth="1"/>
    <col min="3" max="3" width="13.33203125" customWidth="1"/>
  </cols>
  <sheetData>
    <row r="1" spans="1:3" x14ac:dyDescent="0.3">
      <c r="A1" s="62" t="s">
        <v>152</v>
      </c>
      <c r="B1" s="62" t="s">
        <v>90</v>
      </c>
      <c r="C1" s="63" t="s">
        <v>153</v>
      </c>
    </row>
    <row r="2" spans="1:3" x14ac:dyDescent="0.3">
      <c r="A2" s="60" t="s">
        <v>92</v>
      </c>
      <c r="B2" s="60" t="s">
        <v>154</v>
      </c>
      <c r="C2" s="29">
        <v>2676.96</v>
      </c>
    </row>
    <row r="3" spans="1:3" x14ac:dyDescent="0.3">
      <c r="A3" s="61" t="s">
        <v>92</v>
      </c>
      <c r="B3" s="61" t="s">
        <v>155</v>
      </c>
      <c r="C3" s="30">
        <v>4595.3599999999997</v>
      </c>
    </row>
    <row r="4" spans="1:3" x14ac:dyDescent="0.3">
      <c r="A4" s="60" t="s">
        <v>156</v>
      </c>
      <c r="B4" s="60" t="s">
        <v>157</v>
      </c>
      <c r="C4" s="29">
        <v>2181.8200000000002</v>
      </c>
    </row>
    <row r="5" spans="1:3" x14ac:dyDescent="0.3">
      <c r="A5" s="61" t="s">
        <v>158</v>
      </c>
      <c r="B5" s="61" t="s">
        <v>159</v>
      </c>
      <c r="C5" s="30">
        <v>218.18</v>
      </c>
    </row>
    <row r="6" spans="1:3" x14ac:dyDescent="0.3">
      <c r="A6" s="60" t="s">
        <v>160</v>
      </c>
      <c r="B6" s="60" t="s">
        <v>161</v>
      </c>
      <c r="C6" s="29">
        <v>14080</v>
      </c>
    </row>
    <row r="7" spans="1:3" x14ac:dyDescent="0.3">
      <c r="A7" s="61" t="s">
        <v>160</v>
      </c>
      <c r="B7" s="61" t="s">
        <v>162</v>
      </c>
      <c r="C7" s="30">
        <v>14080</v>
      </c>
    </row>
    <row r="8" spans="1:3" x14ac:dyDescent="0.3">
      <c r="A8" s="60" t="s">
        <v>163</v>
      </c>
      <c r="B8" s="60" t="s">
        <v>164</v>
      </c>
      <c r="C8" s="29">
        <v>1100</v>
      </c>
    </row>
    <row r="9" spans="1:3" x14ac:dyDescent="0.3">
      <c r="A9" s="61" t="s">
        <v>165</v>
      </c>
      <c r="B9" s="61" t="s">
        <v>166</v>
      </c>
      <c r="C9" s="30">
        <v>1100</v>
      </c>
    </row>
    <row r="10" spans="1:3" x14ac:dyDescent="0.3">
      <c r="A10" s="60" t="s">
        <v>167</v>
      </c>
      <c r="B10" s="60" t="s">
        <v>168</v>
      </c>
      <c r="C10" s="29">
        <v>1100</v>
      </c>
    </row>
    <row r="11" spans="1:3" x14ac:dyDescent="0.3">
      <c r="A11" s="61" t="s">
        <v>169</v>
      </c>
      <c r="B11" s="61" t="s">
        <v>170</v>
      </c>
      <c r="C11" s="30">
        <v>1100</v>
      </c>
    </row>
    <row r="12" spans="1:3" x14ac:dyDescent="0.3">
      <c r="A12" s="60" t="s">
        <v>171</v>
      </c>
      <c r="B12" s="60" t="s">
        <v>172</v>
      </c>
      <c r="C12" s="29">
        <v>11161.04</v>
      </c>
    </row>
    <row r="13" spans="1:3" x14ac:dyDescent="0.3">
      <c r="A13" s="61" t="s">
        <v>113</v>
      </c>
      <c r="B13" s="61" t="s">
        <v>173</v>
      </c>
      <c r="C13" s="30">
        <v>28500</v>
      </c>
    </row>
    <row r="14" spans="1:3" x14ac:dyDescent="0.3">
      <c r="A14" s="60" t="s">
        <v>117</v>
      </c>
      <c r="B14" s="60" t="s">
        <v>174</v>
      </c>
      <c r="C14" s="29">
        <v>-741.18</v>
      </c>
    </row>
    <row r="15" spans="1:3" x14ac:dyDescent="0.3">
      <c r="A15" s="61" t="s">
        <v>121</v>
      </c>
      <c r="B15" s="61" t="s">
        <v>175</v>
      </c>
      <c r="C15" s="30">
        <v>25112</v>
      </c>
    </row>
    <row r="16" spans="1:3" x14ac:dyDescent="0.3">
      <c r="A16" s="60" t="s">
        <v>176</v>
      </c>
      <c r="B16" s="60" t="s">
        <v>177</v>
      </c>
      <c r="C16" s="29">
        <v>9000</v>
      </c>
    </row>
    <row r="17" spans="1:3" x14ac:dyDescent="0.3">
      <c r="A17" s="61" t="s">
        <v>178</v>
      </c>
      <c r="B17" s="61" t="s">
        <v>177</v>
      </c>
      <c r="C17" s="30">
        <v>9000</v>
      </c>
    </row>
    <row r="18" spans="1:3" x14ac:dyDescent="0.3">
      <c r="A18" s="60" t="s">
        <v>178</v>
      </c>
      <c r="B18" s="60" t="s">
        <v>179</v>
      </c>
      <c r="C18" s="29">
        <v>-9000</v>
      </c>
    </row>
    <row r="19" spans="1:3" x14ac:dyDescent="0.3">
      <c r="A19" s="52" t="s">
        <v>95</v>
      </c>
      <c r="B19" s="52" t="s">
        <v>180</v>
      </c>
      <c r="C19" s="51">
        <v>2092</v>
      </c>
    </row>
    <row r="20" spans="1:3" x14ac:dyDescent="0.3">
      <c r="A20" s="52" t="s">
        <v>0</v>
      </c>
      <c r="B20" s="52"/>
      <c r="C20" s="53">
        <f>SUBTOTAL(109,Tabla3[Imp. aplic.])</f>
        <v>117356.18000000001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E134B-62B4-4582-8254-496E2ABFF9D5}">
  <dimension ref="A1:C17"/>
  <sheetViews>
    <sheetView workbookViewId="0">
      <selection activeCell="B17" sqref="B17"/>
    </sheetView>
  </sheetViews>
  <sheetFormatPr baseColWidth="10" defaultRowHeight="14.4" x14ac:dyDescent="0.3"/>
  <cols>
    <col min="1" max="1" width="17.44140625" customWidth="1"/>
    <col min="2" max="2" width="64.109375" customWidth="1"/>
    <col min="3" max="3" width="17.109375" customWidth="1"/>
  </cols>
  <sheetData>
    <row r="1" spans="1:3" x14ac:dyDescent="0.3">
      <c r="A1" s="64" t="s">
        <v>152</v>
      </c>
      <c r="B1" s="65" t="s">
        <v>90</v>
      </c>
      <c r="C1" s="65" t="s">
        <v>153</v>
      </c>
    </row>
    <row r="2" spans="1:3" x14ac:dyDescent="0.3">
      <c r="A2" s="66" t="s">
        <v>160</v>
      </c>
      <c r="B2" s="67" t="s">
        <v>215</v>
      </c>
      <c r="C2" s="68">
        <v>12475.19</v>
      </c>
    </row>
    <row r="3" spans="1:3" x14ac:dyDescent="0.3">
      <c r="A3" s="69" t="s">
        <v>171</v>
      </c>
      <c r="B3" s="70" t="s">
        <v>216</v>
      </c>
      <c r="C3" s="71">
        <v>18480</v>
      </c>
    </row>
    <row r="4" spans="1:3" x14ac:dyDescent="0.3">
      <c r="A4" s="66" t="s">
        <v>113</v>
      </c>
      <c r="B4" s="67" t="s">
        <v>217</v>
      </c>
      <c r="C4" s="68">
        <v>28500</v>
      </c>
    </row>
    <row r="5" spans="1:3" x14ac:dyDescent="0.3">
      <c r="A5" s="69" t="s">
        <v>119</v>
      </c>
      <c r="B5" s="70" t="s">
        <v>218</v>
      </c>
      <c r="C5" s="71">
        <v>-54.95</v>
      </c>
    </row>
    <row r="6" spans="1:3" x14ac:dyDescent="0.3">
      <c r="A6" s="66" t="s">
        <v>121</v>
      </c>
      <c r="B6" s="67" t="s">
        <v>219</v>
      </c>
      <c r="C6" s="68">
        <v>15476</v>
      </c>
    </row>
    <row r="7" spans="1:3" x14ac:dyDescent="0.3">
      <c r="A7" s="69" t="s">
        <v>121</v>
      </c>
      <c r="B7" s="70" t="s">
        <v>220</v>
      </c>
      <c r="C7" s="71">
        <v>-15476</v>
      </c>
    </row>
    <row r="8" spans="1:3" x14ac:dyDescent="0.3">
      <c r="A8" s="66" t="s">
        <v>121</v>
      </c>
      <c r="B8" s="67" t="s">
        <v>221</v>
      </c>
      <c r="C8" s="68">
        <v>-85741.66</v>
      </c>
    </row>
    <row r="9" spans="1:3" x14ac:dyDescent="0.3">
      <c r="A9" s="69" t="s">
        <v>176</v>
      </c>
      <c r="B9" s="70" t="s">
        <v>222</v>
      </c>
      <c r="C9" s="71">
        <v>-211.85</v>
      </c>
    </row>
    <row r="10" spans="1:3" x14ac:dyDescent="0.3">
      <c r="A10" s="66" t="s">
        <v>223</v>
      </c>
      <c r="B10" s="67" t="s">
        <v>224</v>
      </c>
      <c r="C10" s="68">
        <v>9000</v>
      </c>
    </row>
    <row r="11" spans="1:3" x14ac:dyDescent="0.3">
      <c r="A11" s="69" t="s">
        <v>225</v>
      </c>
      <c r="B11" s="70" t="s">
        <v>226</v>
      </c>
      <c r="C11" s="71">
        <v>58800</v>
      </c>
    </row>
    <row r="12" spans="1:3" x14ac:dyDescent="0.3">
      <c r="A12" s="66" t="s">
        <v>225</v>
      </c>
      <c r="B12" s="67" t="s">
        <v>227</v>
      </c>
      <c r="C12" s="68">
        <v>33320</v>
      </c>
    </row>
    <row r="13" spans="1:3" ht="15" thickBot="1" x14ac:dyDescent="0.35">
      <c r="A13" s="69" t="s">
        <v>228</v>
      </c>
      <c r="B13" s="70" t="s">
        <v>229</v>
      </c>
      <c r="C13" s="71">
        <v>5000</v>
      </c>
    </row>
    <row r="14" spans="1:3" ht="15" thickTop="1" x14ac:dyDescent="0.3">
      <c r="A14" s="72" t="s">
        <v>0</v>
      </c>
      <c r="B14" s="73"/>
      <c r="C14" s="74">
        <v>79566.73000000001</v>
      </c>
    </row>
    <row r="17" spans="2:3" x14ac:dyDescent="0.3">
      <c r="B17" s="75" t="s">
        <v>230</v>
      </c>
      <c r="C17" s="76">
        <f>Tabla3[[#Totals],[Imp. aplic.]]+Tabla2[[#Totals],[Imp.cob.aplic.]]+C14</f>
        <v>504304.73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25B3B-DA0E-433F-A5AC-3C74B8C30D0E}">
  <dimension ref="A1:C5"/>
  <sheetViews>
    <sheetView tabSelected="1" workbookViewId="0">
      <selection activeCell="B11" sqref="B11"/>
    </sheetView>
  </sheetViews>
  <sheetFormatPr baseColWidth="10" defaultRowHeight="14.4" x14ac:dyDescent="0.3"/>
  <cols>
    <col min="1" max="1" width="14.33203125" customWidth="1"/>
    <col min="2" max="2" width="43.33203125" customWidth="1"/>
    <col min="3" max="3" width="15.44140625" customWidth="1"/>
  </cols>
  <sheetData>
    <row r="1" spans="1:3" x14ac:dyDescent="0.3">
      <c r="A1" s="64" t="s">
        <v>152</v>
      </c>
      <c r="B1" s="65" t="s">
        <v>90</v>
      </c>
      <c r="C1" s="77" t="s">
        <v>153</v>
      </c>
    </row>
    <row r="2" spans="1:3" x14ac:dyDescent="0.3">
      <c r="A2" s="66" t="s">
        <v>231</v>
      </c>
      <c r="B2" s="67" t="s">
        <v>232</v>
      </c>
      <c r="C2" s="68">
        <v>168.3</v>
      </c>
    </row>
    <row r="3" spans="1:3" x14ac:dyDescent="0.3">
      <c r="A3" s="69" t="s">
        <v>231</v>
      </c>
      <c r="B3" s="70" t="s">
        <v>232</v>
      </c>
      <c r="C3" s="71">
        <v>-168.3</v>
      </c>
    </row>
    <row r="4" spans="1:3" ht="15" thickBot="1" x14ac:dyDescent="0.35">
      <c r="A4" s="66" t="s">
        <v>231</v>
      </c>
      <c r="B4" s="67" t="s">
        <v>233</v>
      </c>
      <c r="C4" s="68">
        <v>224.4</v>
      </c>
    </row>
    <row r="5" spans="1:3" ht="15" thickTop="1" x14ac:dyDescent="0.3">
      <c r="A5" s="72" t="s">
        <v>0</v>
      </c>
      <c r="B5" s="73"/>
      <c r="C5" s="78">
        <v>224.4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Tesis</vt:lpstr>
      <vt:lpstr>Sexenios</vt:lpstr>
      <vt:lpstr>Ingresos investigación 2023</vt:lpstr>
      <vt:lpstr>Ingresos investigación 2024</vt:lpstr>
      <vt:lpstr>Ingresos investigación 2025</vt:lpstr>
      <vt:lpstr>Ingresos formación 2025</vt:lpstr>
      <vt:lpstr>Tesis!Títulos_a_imprimir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21387280V</dc:creator>
  <cp:lastModifiedBy>MARIA TERESA PUJALTE DEVIS</cp:lastModifiedBy>
  <dcterms:created xsi:type="dcterms:W3CDTF">2019-07-03T07:15:54Z</dcterms:created>
  <dcterms:modified xsi:type="dcterms:W3CDTF">2026-05-26T10:35:47Z</dcterms:modified>
</cp:coreProperties>
</file>