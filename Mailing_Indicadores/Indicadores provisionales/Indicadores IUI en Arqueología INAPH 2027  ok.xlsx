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375897AB-F17C-435B-A48C-A7919132B207}" xr6:coauthVersionLast="47" xr6:coauthVersionMax="47" xr10:uidLastSave="{00000000-0000-0000-0000-000000000000}"/>
  <bookViews>
    <workbookView xWindow="-120" yWindow="-120" windowWidth="29040" windowHeight="15720" firstSheet="3" activeTab="7" xr2:uid="{00000000-000D-0000-FFFF-FFFF00000000}"/>
  </bookViews>
  <sheets>
    <sheet name="Tesis" sheetId="2" r:id="rId1"/>
    <sheet name="Sexenios" sheetId="3" r:id="rId2"/>
    <sheet name="Ingresos investigación 2023" sheetId="10" r:id="rId3"/>
    <sheet name="Ingresos investigación 2024" sheetId="11" r:id="rId4"/>
    <sheet name="Ingresos investigación 2025" sheetId="15" r:id="rId5"/>
    <sheet name="Ingresos formación 2023" sheetId="13" r:id="rId6"/>
    <sheet name="Ingresos formación 2024" sheetId="14" r:id="rId7"/>
    <sheet name="Ingresos formación 2025" sheetId="16" r:id="rId8"/>
  </sheets>
  <definedNames>
    <definedName name="_xlnm._FilterDatabase" localSheetId="1" hidden="1">Sexenios!#REF!</definedName>
    <definedName name="_xlnm._FilterDatabase" localSheetId="0" hidden="1">Tesis!$A$1:$U$42</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7" i="15" l="1"/>
  <c r="Q24" i="3"/>
  <c r="C3" i="14" l="1"/>
  <c r="D7" i="16" s="1"/>
  <c r="C50" i="10" l="1"/>
  <c r="C57" i="11"/>
  <c r="T42" i="2" l="1"/>
</calcChain>
</file>

<file path=xl/sharedStrings.xml><?xml version="1.0" encoding="utf-8"?>
<sst xmlns="http://schemas.openxmlformats.org/spreadsheetml/2006/main" count="1078" uniqueCount="499">
  <si>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</si>
  <si>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</si>
  <si>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</si>
  <si>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</si>
  <si>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</si>
  <si>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</si>
  <si>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</si>
  <si>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</si>
  <si>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</si>
  <si>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</si>
  <si>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</si>
  <si>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</si>
  <si>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</si>
  <si>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</si>
  <si>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</si>
  <si>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</si>
  <si>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</si>
  <si>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</si>
  <si>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</si>
  <si>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</si>
  <si>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</si>
  <si>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</si>
  <si>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</si>
  <si>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</si>
  <si>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Director de tesis </t>
  </si>
  <si>
    <t>B113 </t>
  </si>
  <si>
    <t>ESTUDIOS JURIDICOS DEL ESTADO </t>
  </si>
  <si>
    <t>B113</t>
  </si>
  <si>
    <t>B147 </t>
  </si>
  <si>
    <t>CONSTRUCCIONES ARQUITECTONICAS </t>
  </si>
  <si>
    <t>B147</t>
  </si>
  <si>
    <t>10</t>
  </si>
  <si>
    <t>80</t>
  </si>
  <si>
    <t>U023 </t>
  </si>
  <si>
    <t>ADM. FACULTAD DE FILOSOFIA Y LETRAS </t>
  </si>
  <si>
    <t>DOCTORADO EN FILOSOFÍA Y LETRAS </t>
  </si>
  <si>
    <t>DOCTORADO EN TRANSFERENCIAS INTERCULTURALES E HISTÓRICAS EN LA EUROPA MEDIE </t>
  </si>
  <si>
    <t>B160 </t>
  </si>
  <si>
    <t>BIOTECNOLOGIA </t>
  </si>
  <si>
    <t>B160</t>
  </si>
  <si>
    <t>B130 </t>
  </si>
  <si>
    <t>PREHISTORIA, ARQUEOLOGÍA, HIST. ANTIGUA, FILOL. GRIEGA Y FILOL. LATINA </t>
  </si>
  <si>
    <t>21384689W </t>
  </si>
  <si>
    <t>10.24</t>
  </si>
  <si>
    <t>07210590K </t>
  </si>
  <si>
    <t>B130</t>
  </si>
  <si>
    <t>25120571V </t>
  </si>
  <si>
    <t>21431893X </t>
  </si>
  <si>
    <t>21474593E </t>
  </si>
  <si>
    <t>22131713D </t>
  </si>
  <si>
    <t>25145934B </t>
  </si>
  <si>
    <t>21657385X </t>
  </si>
  <si>
    <t>48319966W </t>
  </si>
  <si>
    <t>NIF</t>
  </si>
  <si>
    <t>NOMBRE_COMPLETO</t>
  </si>
  <si>
    <t>TIPO_SEXENIO</t>
  </si>
  <si>
    <t>Total general</t>
  </si>
  <si>
    <t>INS
1</t>
  </si>
  <si>
    <t>DED
INS 1</t>
  </si>
  <si>
    <t>INS
2</t>
  </si>
  <si>
    <t>DED
INS 2</t>
  </si>
  <si>
    <t>DED
DEP</t>
  </si>
  <si>
    <t>SEX
INS 1</t>
  </si>
  <si>
    <t>SEX
INS 2</t>
  </si>
  <si>
    <t>SEX
DEP</t>
  </si>
  <si>
    <t>FUNCIONARIO</t>
  </si>
  <si>
    <t>NO FUNCIONARIO</t>
  </si>
  <si>
    <t>21384689W</t>
  </si>
  <si>
    <t>21452732B</t>
  </si>
  <si>
    <t>21672478S</t>
  </si>
  <si>
    <t>21657385X</t>
  </si>
  <si>
    <t>21431893X</t>
  </si>
  <si>
    <t>22131713D</t>
  </si>
  <si>
    <t>21454765C</t>
  </si>
  <si>
    <t>07210590K</t>
  </si>
  <si>
    <t>25145934B</t>
  </si>
  <si>
    <t>21474593E</t>
  </si>
  <si>
    <t>52860484K</t>
  </si>
  <si>
    <t>48319966W</t>
  </si>
  <si>
    <t>25120571V</t>
  </si>
  <si>
    <t>33478305B</t>
  </si>
  <si>
    <t>42.00.6P.00.19</t>
  </si>
  <si>
    <t>42.00.6P.00.27</t>
  </si>
  <si>
    <t>Castillo Vizcaíno, Laura </t>
  </si>
  <si>
    <t>El espacio ibérico del sur de Albacete entre los siglos VI y II a.C.: Los oppida de La Peña (Peñas de San Pedro) y Saltigi/Chinchilla y sus territorios </t>
  </si>
  <si>
    <t>25/09/2020 </t>
  </si>
  <si>
    <t>U044 </t>
  </si>
  <si>
    <t>ADM. FACULTAD DE CIENCIAS DE LA SALUD </t>
  </si>
  <si>
    <t>DOCTORADO EN CIENCIAS DE LA SALUD </t>
  </si>
  <si>
    <t>Saez Espinosa, Paula </t>
  </si>
  <si>
    <t>"Análisis de biomarcadores en el espermatozoide y su implicación en Biología de la Reproducción" </t>
  </si>
  <si>
    <t>24/07/2020 </t>
  </si>
  <si>
    <t>48569460S</t>
  </si>
  <si>
    <t>52774862M</t>
  </si>
  <si>
    <t>COD DEP</t>
  </si>
  <si>
    <t>Santana Onrubia, Rubén </t>
  </si>
  <si>
    <t>LAS TRANSFORMACIONES DEL MODELO TERRITORIAL EN EL LITORAL CENTRAL DE LA TARRACONENSE EN EL BAJO IMPERIO </t>
  </si>
  <si>
    <t>22/01/2021 </t>
  </si>
  <si>
    <t>48569460S </t>
  </si>
  <si>
    <t>B185 </t>
  </si>
  <si>
    <t>INGENIERÍA CIVIL </t>
  </si>
  <si>
    <t>DOCTORADO EN INGENIERÍA DE MATERIALES, ESTRUCTURAS Y TERRENO: CONSTR. SOST. </t>
  </si>
  <si>
    <t>Huesca Tortosa, José Antonio </t>
  </si>
  <si>
    <t>La iglesia de Biar y su portada protorrenacentista. Análisis histórico, arquitectónico, constructivo y estudio diagnóstico. Aplicación de técnica LIDAR. </t>
  </si>
  <si>
    <t>19/02/2021 </t>
  </si>
  <si>
    <t>33478305B </t>
  </si>
  <si>
    <t>Molina Burguera, Guillermo </t>
  </si>
  <si>
    <t>LA GESTIÓN DEL ENTORNO HISTÓRICO: CASOS DE ESTUDIO EN ESPAÑA, FRANCIA Y REINO UNIDO </t>
  </si>
  <si>
    <t>02/03/2021 </t>
  </si>
  <si>
    <t>Rabuñal Gayo, José Ramón </t>
  </si>
  <si>
    <t>"Análisis de la distribución espacial y estudio morfo-técnico de la industria lítica de los yacimientos mesolíticos de El Arenal de la Virgen y Casa Corona (Villena, Alicante)" </t>
  </si>
  <si>
    <t>21/07/2021 </t>
  </si>
  <si>
    <t>29022960L </t>
  </si>
  <si>
    <t>U074 </t>
  </si>
  <si>
    <t>ADM. I.U. INVESTIGACIÓN DE ARQUEOLOGÍA Y PATRIMONIO HISTÓRICO </t>
  </si>
  <si>
    <t>Torres Gomariz, Octavio </t>
  </si>
  <si>
    <t>La sociedad postalayótica bajo la órbita púnica: viviendas y grupos domésticos en el archipiélago balear (VI-II a.C.) </t>
  </si>
  <si>
    <t>12/02/2021 </t>
  </si>
  <si>
    <t>52860484K </t>
  </si>
  <si>
    <t>Terzopoulou , Anastasia </t>
  </si>
  <si>
    <t>Los desastres de la guerra troyana sobre las heroínas de Eurípides y Séneca: Estudio comparativo </t>
  </si>
  <si>
    <t>09/06/2021 </t>
  </si>
  <si>
    <t>42.00.6O.00.01</t>
  </si>
  <si>
    <t>42.00.6P.00.36</t>
  </si>
  <si>
    <t>42.00.6X.00.01</t>
  </si>
  <si>
    <t>29022960L</t>
  </si>
  <si>
    <t>Cód. org. aplic.</t>
  </si>
  <si>
    <t>Descripción justificante</t>
  </si>
  <si>
    <t>42.00.6P.00.44</t>
  </si>
  <si>
    <t>42.00.6P.00.45</t>
  </si>
  <si>
    <t>42.00.6P.00.48</t>
  </si>
  <si>
    <t>Alba Luzón, Miriam </t>
  </si>
  <si>
    <t>Las comunidades de montaña de la edad de hierro en la cuenca del Taibilla </t>
  </si>
  <si>
    <t>19/07/2022 </t>
  </si>
  <si>
    <t>Rosell Garrido, Patricia </t>
  </si>
  <si>
    <t>Espacios cotidianos, espacios de trabajo. La mujer íbera de los territorios valencianos a través de las actividades textil y culinaria. </t>
  </si>
  <si>
    <t>14/09/2022 </t>
  </si>
  <si>
    <t>Basso Rial, Ricardo Emanuel </t>
  </si>
  <si>
    <t>La producción textil en el Sudeste y el Levante de la península ibérica durante la prehistoria reciente (3500-550 CAL BC) </t>
  </si>
  <si>
    <t>24/05/2022 </t>
  </si>
  <si>
    <t>Perdiguero Asensi, Pascual </t>
  </si>
  <si>
    <t>Producción y comercio en la esfera de influencia púnica. Relaciones y dinámicas productivas en la contestania ibérica. </t>
  </si>
  <si>
    <t>13/09/2022 </t>
  </si>
  <si>
    <t>Ruiz Molina, Liborio </t>
  </si>
  <si>
    <t>Yakka. Un castillo rural de Sarq al-Andalus durante el periodo almohade. Siglos XII-XIII.Yecla. Murcia </t>
  </si>
  <si>
    <t>11/04/2022 </t>
  </si>
  <si>
    <t>Robles Gómez, María Laura </t>
  </si>
  <si>
    <t>Implicación del glicocálix en la fisiología espermática de mamíferos: estudio comparado. </t>
  </si>
  <si>
    <t>27/05/2022 </t>
  </si>
  <si>
    <t>43727316S</t>
  </si>
  <si>
    <t>Imp.cob.aplic.</t>
  </si>
  <si>
    <t>42.00.6H.00.01</t>
  </si>
  <si>
    <t>42.00.6P.00.47</t>
  </si>
  <si>
    <t>42.00.6P.00.46</t>
  </si>
  <si>
    <t>42.00.6P.00.53</t>
  </si>
  <si>
    <t>42.00.6P.00.54</t>
  </si>
  <si>
    <t>42.00.6P.00.55</t>
  </si>
  <si>
    <t>42.00.6P.00.56</t>
  </si>
  <si>
    <t>Cucart Mora, Carolina </t>
  </si>
  <si>
    <t>Aplicación de métodos computacionales al estudio de dinámicas demográficas del Pleistoceno superior y redes sociales del Holoceno inicial de la Península Ibérica. </t>
  </si>
  <si>
    <t>16/12/2022 </t>
  </si>
  <si>
    <t>I.U. INVESTIGACIÓN DE ARQUEOLOGÍA Y PATRIMONIO HISTÓRICO (10.24) </t>
  </si>
  <si>
    <t>U058 </t>
  </si>
  <si>
    <t>ADM. I.U. DE INVESTIGACIONES TURÍSTICAS</t>
  </si>
  <si>
    <t>DOCTORADO EN TURISMO </t>
  </si>
  <si>
    <t>Garulo Ramón, Carlos</t>
  </si>
  <si>
    <t>Externalización de servicios de información turística en la red tourist info de la provincia de Alicante.</t>
  </si>
  <si>
    <t>20/09/2022 </t>
  </si>
  <si>
    <t>Martínez Amorós, Silvia </t>
  </si>
  <si>
    <t>Las producciones cerámicas neolíticas durante VI/V milenio cal BC en el Levante peninsular. </t>
  </si>
  <si>
    <t>10/02/2023 </t>
  </si>
  <si>
    <t>21672478S </t>
  </si>
  <si>
    <t>OLCINA DOMÉNECH, MANUEL HIPOLITO </t>
  </si>
  <si>
    <t>El Tossal de Manises (Alicante): historia de la investigación y la etapa prerromana </t>
  </si>
  <si>
    <t>25/04/2023 </t>
  </si>
  <si>
    <t>31379115P </t>
  </si>
  <si>
    <t>Olcina Lagos, Santiago </t>
  </si>
  <si>
    <t>Institucionalización, gestión y difusión del patrimonio arqueológico en la provincia de Alicante entre los siglos XIX y XX: la Comisión Provincial de Monumentos Histórico-Artísticos (1844-1964). </t>
  </si>
  <si>
    <t>30/06/2023 </t>
  </si>
  <si>
    <t>21452732B </t>
  </si>
  <si>
    <t>Carbonell Pastor, Sonia </t>
  </si>
  <si>
    <t>Complejización social y procesos de cambio en el I milenio a.n.e. Un análisis de la </t>
  </si>
  <si>
    <t>03/03/2023 </t>
  </si>
  <si>
    <t>Mayor Benadero, Alejandro </t>
  </si>
  <si>
    <t>Las pistas que nos dejaron: gestión del sílex y movilidad neandertal en la unidad estratigráfica VIII del abrigo de El Salt (Alcoi, Alacant) </t>
  </si>
  <si>
    <t>12/05/2023 </t>
  </si>
  <si>
    <t>Vinader Antón, Irene </t>
  </si>
  <si>
    <t>Tradición y continuidad de las producciones cerámicas a mano entre el bronce final y el hierro antiguo: Peña Negra (Crevillent) y la Fonteta (Guardamar del Segura) </t>
  </si>
  <si>
    <t>19/12/2022 </t>
  </si>
  <si>
    <t>Cabezas Romero, Rubén </t>
  </si>
  <si>
    <t>La Edad del Bronce en el corredor de Yecla (Murcia)- Caudete (Albacete): Datos para su estudio </t>
  </si>
  <si>
    <t>15/09/2023 </t>
  </si>
  <si>
    <t>B187</t>
  </si>
  <si>
    <t>21432168D</t>
  </si>
  <si>
    <t>48671336R</t>
  </si>
  <si>
    <t>42.00.6C.00.56</t>
  </si>
  <si>
    <t>Estudio directo del impacto del incendio de la Vall d'Ebo sobre los Bienes de Interés Cultural, con especial atención a los conjuntos de arte rupestre. Análisis in situ de las afecciones sobre los bienes patrimoniales y su entorno de protección e informe especializado correspondiente para su remisión a la Conselleria de Cultura</t>
  </si>
  <si>
    <t>42.00.6C.00.57</t>
  </si>
  <si>
    <t>CONFECCIÓN DE PLAN DIRECTOR DEL BIC PICOLA 670- museos y patrimonio histórico RC nº 2.2023.1.00716</t>
  </si>
  <si>
    <t>42.00.6C.00.58</t>
  </si>
  <si>
    <t>Segundo pago al finalizar los trabajos de campo y tras la entrega del informe final</t>
  </si>
  <si>
    <t xml:space="preserve">Primer pago tras la firma del Convenio </t>
  </si>
  <si>
    <t>42.00.6C.00.59</t>
  </si>
  <si>
    <t>Primer pago tras la firma del convenio</t>
  </si>
  <si>
    <t>Segundo pago al finalizar los trabajos de campo y tras la entrega del informe final.</t>
  </si>
  <si>
    <t>42.00.6C.00.60</t>
  </si>
  <si>
    <t>RESTAURACIÓN ARQUEOLÓGICA EN LOS SALADARES. SEGUNDA FASE 2023. Número de operación 2023.2.0009091.000 Aplicación presupuestaria 2022-004-3361-22706 Estudios y trabajos técnicos (PGCP 623)</t>
  </si>
  <si>
    <t>42.00.6C.00.61</t>
  </si>
  <si>
    <t>Primer pago junio 2023 contrato "Estudio, protección y puesta en valor del Patrimonio Cultural del yacimiento arqueológico de Sa Caleta en el municipio de Ibiza"</t>
  </si>
  <si>
    <t>42.00.6C.00.62</t>
  </si>
  <si>
    <t>Documentación audiovisual, fotográfica y fotogrametría submarina del yacimiento arqueológico Pecio Fenicio Mazarrón 2 de Mazarrón (Murcia).</t>
  </si>
  <si>
    <t>42.00.6C.00.63</t>
  </si>
  <si>
    <t>Primer pago tras la firma del convenio para acometer los trabajos de campo</t>
  </si>
  <si>
    <t>42.00.6C.00.65</t>
  </si>
  <si>
    <t>Evaluación y análisis de la afección de la instalación de acuicultura de la Vila Joiosa sobre el yacimiento arqueológico del pecio Bou Ferrer. 77-8-0-0-000-8 Servicios de acuicultura Aplicación presupuestaria: 09.03.01.0000.45410.22799</t>
  </si>
  <si>
    <t>42.00.6C.00.66</t>
  </si>
  <si>
    <t>DOCUMENTACIÓN FOTOGRÁFICA Y FOTOGRAMETRÍA SUBACUÁTICA DEL PECIO DE SAN PEDRO DE ALCÁNTARA</t>
  </si>
  <si>
    <t>42.00.6C.00.67</t>
  </si>
  <si>
    <t>Estudio de las técnicas constructivas y modelos arquitectónicos de la necrópolis de Urso (Osuna, Sevilla)</t>
  </si>
  <si>
    <t>42.00.6C.00.68</t>
  </si>
  <si>
    <t>CONFERENCIA A CARGO DE VIRGINIA BARCIELA EN EL ACTO DE CELEBRACIÓN DEL 25 ANIVERSARIO DE LA INCLUSIÓN EN LA LISTA DE PATRIMONIO MUNDIAL DE LA UNESCO DEL ARTE RUPESTRE DEL ARCO MEDITERRÁNEO DE LA PENÍNSULA IBÉRICA, EN ULLDECONA EXPEDIENTE CU-2023-1813</t>
  </si>
  <si>
    <t>42.00.6C.00.69</t>
  </si>
  <si>
    <t>PROYECTO DE RECUPERACIÓN, RESTAURACIÓN Y RECONSTRUCCIÓN DE LOS ELEMENTOS DE PIEDRA SECA DEL CAMINO HISTÓRICO DE BENIAIA A ALCALÀ DE LA JOVADA (LA VALL D'ALCALÀ). VALORACIÓN HISTÓRICA E INFORME TÉCNICO  ALEBUS2-23TPA</t>
  </si>
  <si>
    <t>42.00.6D.00.01</t>
  </si>
  <si>
    <t>CONVENIO ENTRE EL AYUNTAMIENTO DE ALTEA Y LA UA PARA FACILITAR LA COLABORACIÓN EN EL PROYECTO DE INVESTIGACIÓN ARQUEOLÓGICA DE SOGAI (ALTEA, MARINA BAJA).</t>
  </si>
  <si>
    <t xml:space="preserve">EDGJID/2021/262, EDGJID/2021/313, EDGJID/2021/330 </t>
  </si>
  <si>
    <t xml:space="preserve">EDGJID/2021/262, se complementa con 3851,22 euros en orgánica 42.00.6H.00.01 </t>
  </si>
  <si>
    <t>42.00.6M.00.11</t>
  </si>
  <si>
    <t>COORDINACIÓN Y DESARROLLO DEL PROYECTO "EL ORO EN LA EDAD DEL BROCE: ANÁLISIS DE COMPOSICIÓN Y PROCEDENCIA DE LOS OBJETOS DE ÁUREOS DE CABEZO REDONDO, TESORILLO Y TESORO DE VILLENA"</t>
  </si>
  <si>
    <t>DEVOLUCIÓN DE INGRESO DE CONVENIO DE COLABORACIÓN CON LA UA EN EL EJERCICIO 2021 EXPTE. 2022/5957X</t>
  </si>
  <si>
    <t>DEVOLUCIÓN DE INGRESO DE REMANENTE NO EJECUTADO DEL CONVENIO DE COLABORACIÓN ENTRE LA UA Y EL AYUNTAMIENTO DE ELCHE PARA LA REALIZACIÓN DE ACTIVIDADES DE INTERÉS GENERAL EN EL YACIMIENTO ARQUEOLÓGICO DE LA ALCUDIA.</t>
  </si>
  <si>
    <t>CONVENIO DE COLABORACIÓN ENTRE LA UA Y EL AYUNTAMIENTO DE ELCHE PARA LA REALIZACIÓN DE ACTIVIDADES DE INTERÉS GENREAL EN EL YACIMIENTO ARQUEOLÓGICO DE LA ALCUDIA - ANUALIDAD 2023.</t>
  </si>
  <si>
    <t xml:space="preserve">CIDEGENT/2018/004 CIDEGENT/2018/040 CIDEGENT/2018/041 </t>
  </si>
  <si>
    <t xml:space="preserve">DEVOLUCIÓN DE INGRESOS_ MODELO 047_ Nº de liquidación:46/2023/RAS/10195/1_Número de justificante:047/1/002357696_Nº de referencia:047/1/002357696  </t>
  </si>
  <si>
    <t xml:space="preserve">DEVOLUCIÓN DE INGRESOS_MODELO 047_Nº DE LIQUIDACIÓN:46/2023RAS/10426/1_ Nº DE JUSTIFICANTE: 047/1/002415081/_Nº DE REFERENCIA: 047/1/002415081 </t>
  </si>
  <si>
    <t xml:space="preserve">PID2019-104980GB-I00/107265GB-I00/108192GB-I00/109627GB-I00/111208GB-I00/105542RB-I00/106230RB-I00/106601RB-I00 </t>
  </si>
  <si>
    <t>PID2020-115956GB-I00/116185GB-I00/116496RB-C21/116514GB-I00/116998RB-I00/117303GBC22/118006RB-I00/118322RB-I00/118447RA-I00/118476RR-C22</t>
  </si>
  <si>
    <t xml:space="preserve">PID2020-118574GB-I00/118816GB-I00/119124RB-I00/119144RB-I00/119320GB-I00/119383GB-I00/119734RB-I00/119878GB-I00/119959GB-I00/120213RB-I00 </t>
  </si>
  <si>
    <t>DEVOLUCIÓN DE INGRESOS_MODELO 047_Nº de liquidación: 46/2023/RAS/10200/1_Número de justificante: 047/1/002359944_Nº de referencia:047/1/002359944</t>
  </si>
  <si>
    <t xml:space="preserve">AICO/2021/184-189-192-196-331 </t>
  </si>
  <si>
    <t>Ajuts patrimoni hist.ric 2021 - Linia 2 Intervencions - Projecte Modular a Son Catlar IV Fase (Anualitat 2022)</t>
  </si>
  <si>
    <t xml:space="preserve">Devolució ajut patrimoni històric 2022 (L2-01) </t>
  </si>
  <si>
    <t xml:space="preserve">PID2021-122320NA-I00/123699NB-I00/124741NB-I00/124860NB-I00/125387NB-I00/126485OB-I00/127332NB-I00/127566NB-I00/127967NB-I00 </t>
  </si>
  <si>
    <t xml:space="preserve">DEVOLUCIÓN DE INGRESOS_MODELO 047_Nº de liquidación:46/2023/RAS/10276/1_ Número de justificante:047/1/002376790_Nº de referencia:047/1/002376790 </t>
  </si>
  <si>
    <t>42.00.6P.00.57</t>
  </si>
  <si>
    <t>RYC2021-033153-I. -033153-I (DOT. ADICIONAL). RYC2021-034199-I.RYC2021-034199-I (DOT. ADICIONAL)</t>
  </si>
  <si>
    <t xml:space="preserve">RYC2021-033153-I RYC2021-033153-I (DOT. ADICIONAL) RYC2021-034199-I RYC2021-034199-I (DOT. ADICIONAL) RYC2021-034791-I RYC2021-034791-I (DOT. ADICIONAL)      </t>
  </si>
  <si>
    <t>42.00.6P.00.58</t>
  </si>
  <si>
    <t xml:space="preserve">ARQ22-01  ARQ22-02 </t>
  </si>
  <si>
    <t>42.00.6P.00.59</t>
  </si>
  <si>
    <t>42.00.6P.00.64</t>
  </si>
  <si>
    <t xml:space="preserve">AYUDAS CIAORG/2022/45, CIAORG/2022/15, CIAORG/2022/44, CIAORG/2022/140, CIAORG/2022/89, CIAORG/2022/10, CIAORG/2022/115, CIAORG/2022/27, CIAORG/2022/117, CIAORG/2022/128, CIAORG/2022/83, CIAORG/2022/74, CIAORG/2022/125 </t>
  </si>
  <si>
    <t>42.00.6P.00.65</t>
  </si>
  <si>
    <t>ayudas CIGE/2022/4-6-8-10-15-16-21-30-36-45-46-51-52- 54-55-105-170-179</t>
  </si>
  <si>
    <t>42.00.6P.00.66</t>
  </si>
  <si>
    <t xml:space="preserve">Ayudas CIAPE/2022/9 y CIAPE/2022/25 </t>
  </si>
  <si>
    <t>42.00.6P.00.67</t>
  </si>
  <si>
    <t xml:space="preserve">AYUDAS SBPLY/23/180801/000001 </t>
  </si>
  <si>
    <t>42.00.6P.00.68</t>
  </si>
  <si>
    <t>ayudas CIAICO/2022/017, CIAICO/2022/019, CIAICO/2022/038, CIAICO/2022/046, CIAICO/2022/047, CIAICO/2022/049, CIAICO/2022/077, CIAICO/2022/078, CIAICO/2022/079, CIAICO/2022/112, CIAICO/2022/132 , CIAICO/2022/167, CIAICO/2022/177</t>
  </si>
  <si>
    <t>42.00.6P.00.69</t>
  </si>
  <si>
    <t xml:space="preserve">ayudas PID2022 142159OB--137566OB-I00--139552OB-C22--142960OB-C21--137302NB-C33--139820NB-I00--138111NB-I00--141543OB-I00--138491OB-C32--137364OB-I00--138329NB-I00--142830NB-I00--138453OB-I00 PID2022-138696OB-C22 PID2022-138853NB-I00 PID2022-142712NB-I00 </t>
  </si>
  <si>
    <t>42.00.6P.00.70</t>
  </si>
  <si>
    <t>INGRESO PROYECTO PALEODEM, DIRIGIDO POR EL PROFESOR J.F. DEL INAPH. INFORMA DEL INGRESO EL SERVICIO DE GESTIÓN DE LA INVESTIGACIÓN.</t>
  </si>
  <si>
    <t>U023</t>
  </si>
  <si>
    <t>ADM. FACULTAD DE FILOSOFIA Y LETRAS</t>
  </si>
  <si>
    <t>DOCTORADO EN FILOSOFÍA Y LETRAS</t>
  </si>
  <si>
    <t>Moya Ruiz, Raquel</t>
  </si>
  <si>
    <t>Estrategias de subsistencia y adaptaciones postglaciales en medios litorales de la región central del Mediterráneo de la Península Ibérica: Estudio Zooarqueológico, Tafonómico y Paleoecológico de El Collado (Oliva, Valencia)</t>
  </si>
  <si>
    <t>26/01/2024</t>
  </si>
  <si>
    <t>Codirector de tesis</t>
  </si>
  <si>
    <t>U074</t>
  </si>
  <si>
    <t>I.U. INVESTIGACIÓN DE ARQUEOLOGÍA Y PATRIMONIO HISTÓRICO (10.24)</t>
  </si>
  <si>
    <t>100</t>
  </si>
  <si>
    <t>B185</t>
  </si>
  <si>
    <t>INGENIERÍA CIVIL</t>
  </si>
  <si>
    <t>DOCTORADO EN INGENIERÍA DE MATERIALES, ESTRUCTURAS Y TERRENO: CONSTR. SOST.</t>
  </si>
  <si>
    <t>Moreno Ortolano, Juan</t>
  </si>
  <si>
    <t>La modernidad diluida. Juan Antonio Molina Serrano. Arquitecturas: 1970-2010</t>
  </si>
  <si>
    <t>10/07/2024</t>
  </si>
  <si>
    <t>Director de tesis</t>
  </si>
  <si>
    <t>EXPRESION GRAFICA, COMPOSICIÓN Y PROYECTOS</t>
  </si>
  <si>
    <t>50</t>
  </si>
  <si>
    <t>Moreno Narganes, Jose Maria</t>
  </si>
  <si>
    <t>TRABAJANDO EN CASA: ACTIVIDADES DE HILADO Y TEJIDO EN EL ESPACIO DOMÉSTICO DE AL-ANDALUS (SS. IX-XIII)</t>
  </si>
  <si>
    <t>23/07/2024</t>
  </si>
  <si>
    <t>PREHISTORIA, ARQUEOLOGÍA, HIST. ANTIGUA, FILOL. GRIEGA Y FILOL. LATINA</t>
  </si>
  <si>
    <t>Martínez Boix, Jose Luis</t>
  </si>
  <si>
    <t>ESTUDIO ARQUEOLÓGICO E ICONOGRÁFICO DE LA CERÁMICA PINTADA IBERORROMANA: EL CASO DE LA CERÁMICA ILICITANA</t>
  </si>
  <si>
    <t>28/02/2024</t>
  </si>
  <si>
    <t>Bujalance Silva, Raquel</t>
  </si>
  <si>
    <t>Desarrollo del urbanismo islámico en el sureste peninsular. Análisis y comparativas. Fases, modelos y características urbanas</t>
  </si>
  <si>
    <t>06/09/2024</t>
  </si>
  <si>
    <t>ZZ</t>
  </si>
  <si>
    <t>SIN ASIGNAR</t>
  </si>
  <si>
    <t>San Quirico García, Raquel</t>
  </si>
  <si>
    <t>SOCIEDADES DE CASAS EN EL SURESTE PENINSULAR DURANTE LA EDAD DEL HIERRO IBÉRICA (ss. IX-III a.n.e.)</t>
  </si>
  <si>
    <t>04/09/2024</t>
  </si>
  <si>
    <t>DOCTORADO EN TRANSFERENCIAS INTERCULTURALES E HISTÓRICAS EN LA EUROPA MEDIE</t>
  </si>
  <si>
    <t>Nicolás Flores, Fernando</t>
  </si>
  <si>
    <t>EL TEATRO DE TEMÁTICA GRECOLATINA Y SU APLICACIÓN DIDÁCTICA EN EL ÁMBITO LAS HUMANIDADES. ESTUDIO DE CASO PARTICULAR</t>
  </si>
  <si>
    <t>17/07/2024</t>
  </si>
  <si>
    <t>48364694H</t>
  </si>
  <si>
    <t>Org. aplic.</t>
  </si>
  <si>
    <t>Imp. aplic.</t>
  </si>
  <si>
    <t>Segundo pago proyecto LOS ALMADENES tras la entrega del informe preliminar</t>
  </si>
  <si>
    <t>42.00.6C.00.64</t>
  </si>
  <si>
    <t>PRIMER PAGO A LA FIRMA DEL CONVENIO</t>
  </si>
  <si>
    <t>Segundo pago proyecto TOLMO DE MINATEDA tras la entrega del informe final</t>
  </si>
  <si>
    <t>Evaluación y análisis de la afección de la instalación de acuicultura de la Vila Joiosa sobre el yacimiento arqueológico del pecio Bou Ferrer.</t>
  </si>
  <si>
    <t>42.00.6C.00.70</t>
  </si>
  <si>
    <t>REALIZACIÓN DE LA RECREACIÓN VIRTUAL 3D DE UNA VIVIENDA DE LA EDAD DEL BRONCE</t>
  </si>
  <si>
    <t>42.00.6C.00.71</t>
  </si>
  <si>
    <t>ESTUDIO ARQUEOLÓGICO Y PUESTA EN VALOR DEL YACIMIENTO "COVA DE LES BRUIXES". Primer pago tras la firma del presente Convenio para acometer los trabajos de campo de la anualidad 2024</t>
  </si>
  <si>
    <t>42.00.6C.00.72</t>
  </si>
  <si>
    <t>EJECUCIÓN DE SERVICIOS Y TAREAS DE INVESTIGACIÓN ASOCIADAS AL PROYECTO "LA VILLA ROMANA DE BALAZOTE: UN EJEMPLO DE PAISAJE RURAL RESILIENTE (FASE III)"</t>
  </si>
  <si>
    <t>42.00.6C.00.73</t>
  </si>
  <si>
    <t>Asistencia técnica para el diseño y desarrollo de un recurso tecnológico de realidad virtual para la divulgación del yacimiento arqueológico de la villa romana de l'Albir dentro de la actuación "Protección y Valorización Turística y Patrimonial del Sector V de la Villa Romana de l'Albir" a través de la convocatoria del Plan Provincial para rehabilitación y puesta en valor del patrimonio arquitectónico de carácter histórico municipal de menos de 75.000 habitantes de la Provincia de Alicante. Anualidad 2022. CME 95/2023</t>
  </si>
  <si>
    <t>Asistencia técnica para el diseño y desarrollo de un recurso tecnológico de realidad virtual para la divulgación del yacimiento arqueológico de la villa romana de l'Albir dentro de la actuación "Protección y Valorización Turística y Patrimonial del Sector V de la Villa Romana de l'Albir" a través de la convocatoria del Plan Provincial para rehabilitación y puesta en valor del patrimonio arquitectónico de carácter histórico municipal de menos de 75.000 habitantes de la Provincia de Alicante. Anualidad 2022. CME 95/2023. Factura 2/2</t>
  </si>
  <si>
    <t>42.00.6C.00.74</t>
  </si>
  <si>
    <t>TRABAJOS DE RESTAURACIÓN, CONSOLIDACIÓN Y EXCAVACIÓN ARQUEOLÓGICA EN EL YACIMENTO DE LOS SALADARES (ORIHUELA, ALICANTE), TERCERA FASE 2024</t>
  </si>
  <si>
    <t>42.00.6C.00.75</t>
  </si>
  <si>
    <t xml:space="preserve">Primer pago tras la firma del presente Convenio para acometer los trabajos de campo </t>
  </si>
  <si>
    <t>2º pago a la entrega del informe final de los trabajos de LIMPIEZA, DOCUMENTACION ARQUEOLOGICA Y ANALISIS ESTRUCTURAL DEL CASTILLO DE HELLIN, ALBACETE. BASES PARA SU PUESTA EN VALOR</t>
  </si>
  <si>
    <t>42.00.6C.00.76</t>
  </si>
  <si>
    <t>Primer pago tras la firma del presente Convenio para acometer los trabajos de campo (Excavacion y estudio arqueologico de la Aldea Altomedieval de Loma Eugenia. Fase III)</t>
  </si>
  <si>
    <t>Segundo pago de 1.000 € (IVA incluido) al finalizar los trabajos de campo y tras la entrega del informe final. Del contrato EXCAVACIÓN Y ESTUDIO ARQUEOLÓGICO DE LA ALDEA ALTOMEDIEVAL DE LOMA EUGENIA</t>
  </si>
  <si>
    <t>42.00.6C.00.77</t>
  </si>
  <si>
    <t>Primer pago tras la firma del presente Convenio para acometer los trabajos de campo (LOS ALMADENES)</t>
  </si>
  <si>
    <t>Segundo pago de 2.500,00€ (IVA incluido) al finalizar los trabajos de campo y tras la entrega del informe preliminar, del contrato: ESTUDIO ARQUEOLOGICO DEL ANGULO NORESTE Y EDIFICIO ANEJO DE LA FORTIFICACIÓN DE LOS ALMADENES (HELLIN, ALBACETE) - FASE II</t>
  </si>
  <si>
    <t>42.00.6C.00.78</t>
  </si>
  <si>
    <t>Primer pago  tras la firma del presente Convenio para acometer los trabajos de campo y laboratorio (TOLMO DE MINATEDA)</t>
  </si>
  <si>
    <t>Segundo pago finalizados los trabajos de campo y ha entregado el informe final del contrato TOLMO DE MINATEDA 2024. EXCAVACIÓN Y ESTUDIO</t>
  </si>
  <si>
    <t>42.00.6C.00.79</t>
  </si>
  <si>
    <t>REVISIÓN DE TEXTOS SOBRE PREHISTORIA Y ARTE RUPESTRE PARA EL DESARROLLO DE UN RECORRIDO EN LA VAL DE GALLINERA</t>
  </si>
  <si>
    <t>42.00.6C.00.80</t>
  </si>
  <si>
    <t>ASESORAMIENTO ACADÉMICO PARA LA SUPERVISIÓN DE LOS CONTENIDOS DE LA PROPUESTA INTERPRETATIVA DE UN ESPACIO PATRIMONIAL EN LA COMUNIDAD AUTÓNOMA DE CATALUÑA DENOMINADO "EL COGUL"</t>
  </si>
  <si>
    <t>42.00.6C.00.81</t>
  </si>
  <si>
    <t xml:space="preserve">Primer pago a la finalización de la excavación arqueológica (trabajo de campo) - proyecto Actividad arqueológica puntual para excavación del mausoleo de Junia Rufina </t>
  </si>
  <si>
    <t>Segundo pago tras la entrega del informe final - proyecto Actividad arqueológica puntual para excavación del mausoleo de Junia Rufina</t>
  </si>
  <si>
    <t>42.00.6C.00.82</t>
  </si>
  <si>
    <t>TRABAJOS DE DOCUMENTACIÓN Y RECUPERACIÓN DE LAS MONEDAS ROMANAS DEL CANTALAR</t>
  </si>
  <si>
    <t>42.00.6C.00.83</t>
  </si>
  <si>
    <t>Prospección y documentación subacuática del yacimiento mesolítico de la laguna de Almenara (Castellón). Referencia:2024 030327 SE-cm Persona de contacto: AGUSTÍN DIEZ CASTILLO</t>
  </si>
  <si>
    <t>42.00.6C.00.84</t>
  </si>
  <si>
    <t>Diseño y control del sistema de fotogrametría ortofotográfica del naufragio histórico Delta 1 de Cádiz para el Centro de Arqueología Subacuática del Instituto Andaluz del Patrimonio Histórico</t>
  </si>
  <si>
    <t>42.00.6C.00.85</t>
  </si>
  <si>
    <t>50% a la firma del contrato para INVESTIGACIÓN, DOCUMENTACIÓN Y REGISTRO AUDIOVISUAL DEL PROCESO DE EXTRACCIÓN DEL PECIO MAZARRÓN 2 (MURCIA)</t>
  </si>
  <si>
    <t>Investigación, documentación y registro audiovisual del proceso de extracción del pecio Mazarrón 2 (Murcia).</t>
  </si>
  <si>
    <t>42.00.6C.00.86</t>
  </si>
  <si>
    <t>REALIZACIÓN DE RECREACIONES VIRTUALES Y AUDIOVISUAL PARA EL MUSEO ARQUEOLÓGICO DE BANYERES DE MARIOLA</t>
  </si>
  <si>
    <t>42.00.6D.00.02</t>
  </si>
  <si>
    <t>INGRESO PERCIBIDO POR LA UNIVERSIDAD DE ALICANTE EN CONCEPTO DE CONVENIO DE COLABORACIÓN CON EL AYUNTAMIENTO DE ELCHE PARA LA REALIZACIÓN DE ACTIVIDADES DE INTERÉS GENERAL EN EL YACIMIENTO ARQUEOLÓGICO DE LA ALCUDIA_ANUALIDAD 2024.</t>
  </si>
  <si>
    <t>EDGJID 2021/262/ ANUAL. 2024 U</t>
  </si>
  <si>
    <t xml:space="preserve">ayudas CIDEGENT/2018/004, CIDEGENT/2018/040, CIDEGENT/2018/004, CIDEGENT/2018/040 </t>
  </si>
  <si>
    <t>PID2020-112540RB-C43-112930GB-I00-115735GB-I00-115956GB-I00-119383GB-I00-119734RB-I00</t>
  </si>
  <si>
    <t>DEVOLUCIÓN DE INGRESO_MODELO 047_SUBVENCIÓN AICO  ANUALIDAD_2023</t>
  </si>
  <si>
    <t>PID2021-124139NB-C21 -124237NB-I00 -124721NB-I00 -124741NB-I00 -124860NB-I00 -125175OB-I00 -125279OB-I00 -125387NB-I00 -125517OB-I00 -125883NB-C21-126056OA-I00 -126114NB-C41 -126155OB-I00</t>
  </si>
  <si>
    <t xml:space="preserve">DEVOLUCIÓN DE INGRESOS_MODELO 047_ Nº LIQUIDACIÓN:46/2024/RAS/10317/1 Nº DE JUSTIFICANTE: 047/1/002550144_Nº DE REFERENCIA:  047/1/002550144 </t>
  </si>
  <si>
    <t>ayudas CIGE/2022/4, CIGE/2022/6, CIGE/2022/8, CIGE/2022/15, CIGE/2022/16, CIGE/2022/21, CIGE/2022/30, CIGE/2022/45, CIGE/2022/46, CIGE/2022/51, CIGE/2022/52, CIGE/2022/54, CIGE/2022/55, CIGE/2022/105, CIGE/2022/170, CIGE/2022/179</t>
  </si>
  <si>
    <t>ANULACIÓN DE DERECHO CIGE/2022/54//2024EXPADM0414 PARA RDT INVERSA EN AD</t>
  </si>
  <si>
    <t>ANULACIÓN CIGE/2022/54</t>
  </si>
  <si>
    <t>PLU.CIGE 2022 RESOLUCIÓN CONCESIÓN 26/06/2023 SUBV (CIGE/2022/54)</t>
  </si>
  <si>
    <t>CIAPE/2022/25</t>
  </si>
  <si>
    <t>DEVOLUCIÓN DE INGRESOS_MODELO 047_Nº DE LIQUIDACIÓN: 46/2024/RAS/10336/1 Nº DE JUSTIFICANTE: 047/1/002556900/Nº DE REFERENCIA: 047/1/002556900</t>
  </si>
  <si>
    <t xml:space="preserve">AYUDAS CIAICO/2022/017, CIAICO/2022/019, CIAICO/2022/038, CIAICO/2022/046, CIAICO/2022/047, CIAICO/2022/049, CIAICO/2022/077, CIAICO/2022/078, CIAICO/2022/079, CIAICO/2022/112, CIAICO/2022/132 CIAICO/2022/167 CIAICO/2022/177 </t>
  </si>
  <si>
    <t>DEVOLUCIÓN DE INGRESOS_MODELO 047_ REFERENCIA: CIACO 2022 EN 2023.</t>
  </si>
  <si>
    <t>PID2022-138111NB-I00-141543OB-I00-137350NB-I00-138491OB-C32-137364OB-I00-138329NB-I00-142830NB-I00-138453OB-I00-138696OB-C22-138853NB-I00-142712NB-I00</t>
  </si>
  <si>
    <t>42.00.6P.00.75</t>
  </si>
  <si>
    <t>ayudas CIGE/2023/52, CIGE/2023/94, CIGE/2023/129, CIGE/2023/146, CIGE/2023/165, CIGE/2023/175, CIGE/2023/181, CIGE/2023/184, CIGE/2023/188, CIGE/2023/196, CIGE/2023/197, CIGE/2023/216, CIGE/2023/225, CIGE/2023/227 (LINEA SUBVENCIÓN S0296)</t>
  </si>
  <si>
    <t>42.00.6P.00.77</t>
  </si>
  <si>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</si>
  <si>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</si>
  <si>
    <t>42.00.6P.00.78</t>
  </si>
  <si>
    <t>42.00.6P.00.79</t>
  </si>
  <si>
    <t>CIAICO/2023/134/178/179/203/250/255/266/268</t>
  </si>
  <si>
    <t>42.00.6P.00.80</t>
  </si>
  <si>
    <t>42.00.6P.00.81</t>
  </si>
  <si>
    <t>PR.CRONOLOGIA CASCOS HIERRO BENICARLO</t>
  </si>
  <si>
    <t>No hay ingresos de formación en 2023</t>
  </si>
  <si>
    <t>10.91.2T.00.49</t>
  </si>
  <si>
    <t xml:space="preserve">LIQ-TitProp_GM05-1 Curso_2024-25 AñoCont_2024 - INTRODUCCIÓN A LA ZOOARQUEOLOGÍA EN LA PREHIST. DE LAS SOCIEDADES CAZ-REC </t>
  </si>
  <si>
    <t>Administración Facultad de Filosofía y Letras</t>
  </si>
  <si>
    <t>Agües Escolano, Irene</t>
  </si>
  <si>
    <t>LOS GRAFITIS COMO INFORMADORES HISTÓRICOS: EL SIGLO XVIII EN LA VILA JOIOSA A TRAVÉS DE LOS GRAFITIS PARIETALES</t>
  </si>
  <si>
    <t>08/04/2025</t>
  </si>
  <si>
    <t>Prehistoria, Arqueología, Historia Antigua, Filología Griega y Filología Latina</t>
  </si>
  <si>
    <t>Del Mastro Ochoa, Marta</t>
  </si>
  <si>
    <t>Mapear el mar: el análisis espacial de los espacios marinos del levante peninsular a través de las fuentes históricas en período andalusí</t>
  </si>
  <si>
    <t>15/04/2025</t>
  </si>
  <si>
    <t>Pérez Prefasi, Alejandro Jesús</t>
  </si>
  <si>
    <t>La evolución de las anclas en la navegación desde la prehistoria hasta el s. XVIII d.C.: La bahía del Portitxol (Xàbia. Alicante) como caso de estudio</t>
  </si>
  <si>
    <t>17/02/2025</t>
  </si>
  <si>
    <t>21418377H</t>
  </si>
  <si>
    <t>B175</t>
  </si>
  <si>
    <t>Comunicación y Psicología Social</t>
  </si>
  <si>
    <t>Maciá Ortuño, Marina</t>
  </si>
  <si>
    <t>Edición, traducción y comentario de las obras completas de Jaume Gil o Iacobus Egidii</t>
  </si>
  <si>
    <t>24/01/2025</t>
  </si>
  <si>
    <t>Anton Espí, Neus</t>
  </si>
  <si>
    <t>Arqueologia de la infància. Estudi de la infància ibera a través de les restes arqueològiques dels jaciments de la península Ibèrica.</t>
  </si>
  <si>
    <t>04/02/2025</t>
  </si>
  <si>
    <t>Famari , Valentina</t>
  </si>
  <si>
    <t>La ceramica ispano-moresca nei territori della regione del Veneto (Italia)</t>
  </si>
  <si>
    <t>03/02/2025</t>
  </si>
  <si>
    <t>2020</t>
  </si>
  <si>
    <t>2021</t>
  </si>
  <si>
    <t>2022</t>
  </si>
  <si>
    <t>2023</t>
  </si>
  <si>
    <t>2024</t>
  </si>
  <si>
    <t>2025</t>
  </si>
  <si>
    <t>Lorrio Alvarado, Alberto José</t>
  </si>
  <si>
    <t>Díez Sánchez, Juan José</t>
  </si>
  <si>
    <t>Emérito</t>
  </si>
  <si>
    <t>Moya Montoya, José Antonio</t>
  </si>
  <si>
    <t>Gutiérrez Lloret, Sonia</t>
  </si>
  <si>
    <t>Martínez Medina, Andrés</t>
  </si>
  <si>
    <t>Doménech Belda, Carolina</t>
  </si>
  <si>
    <t>López Martínez, María Paz</t>
  </si>
  <si>
    <t>Molina Vidal, Jaime</t>
  </si>
  <si>
    <t>Grau Mira, Ignacio</t>
  </si>
  <si>
    <t>García Atiénzar, Gabriel</t>
  </si>
  <si>
    <t>Jover Maestre, Francisco Javier</t>
  </si>
  <si>
    <t>Sala Sellés, Feliciana</t>
  </si>
  <si>
    <t>Mesa Sanz, Juan Francisco</t>
  </si>
  <si>
    <t>Spairani Berrio, Yolanda</t>
  </si>
  <si>
    <t>Graells Fabregat, Raimon</t>
  </si>
  <si>
    <t>Romero Rameta, Alejandro</t>
  </si>
  <si>
    <t>Barciela González, Virginia</t>
  </si>
  <si>
    <t>Mateo Corredor, Daniel</t>
  </si>
  <si>
    <t>Sarabia Bautista, Julia</t>
  </si>
  <si>
    <t>Prados Martínez, Fernando</t>
  </si>
  <si>
    <t>ESTUDIO ARQUEOLÓGICO Y PUESTA EN VALOR DEL YACIMIENTO COVA DE LES BRUIXES Tercer pago correspondiente a enero de 2025. Ref. proyecto: AYTOBENITATXELL1-24I</t>
  </si>
  <si>
    <t>ESTUDIO ARQUEOLÓGICO Y PUESTA EN VALOR DEL YACIMIENTO COVA DE LES BRUIXES Segundo pago correspondiente a trabajos de campo de 2024. Ref. proyecto: AYTOBENITATXELL1-24I</t>
  </si>
  <si>
    <t>ESTUDIO ARQUEOLÓGICO Y PUESTA EN VALOR DEL YACIMIENTO COVA DE LES BRUIXES. Ref: AYTOBENITATXELL1-24I. Correspondiente al 4 pago</t>
  </si>
  <si>
    <t>42.00.6C.00.88</t>
  </si>
  <si>
    <t>Texto sobre las pinturas rupestres de Famorca</t>
  </si>
  <si>
    <t>42.00.6C.00.89</t>
  </si>
  <si>
    <t>EXCAVACIÓN ARQUEOLÓGICA EN EL YACIMIENTO DEL CERRO DEL TÍO PIMENTON (JUMILLA). Ref. proyecto: AYTOJUMILLA1-25T CCF: 71035-YKXMK</t>
  </si>
  <si>
    <t>42.00.6C.00.91</t>
  </si>
  <si>
    <t>CONVENIO ESPECÍFICO DE COLABORACIÓN ENTRE LA UNIVERSIDAD DE ALICANTE Y EL AYUNTAMIENTO DE HELLÍN PARA LA REALIZACIÓN EN COLABORACIÓN DEL PROYECTO: EXCAVACIÓN Y ESTUDIO ARQUEOLÓGICO DE LA ALDEA ALTOMEDIEVAL DE LOMA EUGENIA (HELLÍN, ALBACETE). FASE IV. Ref. proyecto: AYTOHELLIN3-25I</t>
  </si>
  <si>
    <t>CONVENIO ESPECÍFICO DE COLABORACIÓN ENTRE LA UNIVERSIDAD DE ALICANTE Y EL AYUNTAMIENTO DE HELLÍN PARA LA REALIZACIÓN EN COLABORACIÓN DEL PROYECTO: AYTOHELLIN3-25I EXCAVACIÓN Y ESTUDIO ARQUEOLÓGICO DE LA ALDEA ALTOMEDIEVAL DE LOMA EUGENIA (HELLÍN, ALBACETE). FASE IV. Ref: AYTOHELLIN3-25I</t>
  </si>
  <si>
    <t>42.00.6C.00.92</t>
  </si>
  <si>
    <t xml:space="preserve">CONVENIO ESPECIFICO DE COLABORACIÓN ENTRE LA UNIVERSIDAD DE ALICANTE Y EL AYUNTAMIENTO DE HELLÍN PARA LA REALIZACIÓN EN COLABORACIÓN DEL PROYECTO: TOLMO DE MINATEDA 2025. EXCAVACIÓN ESTUDIO Y RESTAURACIÓN. Ref. proyecto:  AYTOHELLIN2-25I </t>
  </si>
  <si>
    <t>42.00.6C.00.93</t>
  </si>
  <si>
    <t xml:space="preserve">ASESORAMIENTO Y ASISTENCIA TÉCNICA PARA LA PUESTA EN VALOR DEL PATRIMONIO ARQUEOLÓGICO CORRESPONDIENTE AL YACIMIENTO ARQUEOLÓGICO DE LA MUNTANYETA VERDA EN PEGO (ALICANTE) Ref. proyecto: AYTOPEGO1-25TPA. </t>
  </si>
  <si>
    <t>42.00.6C.00.94</t>
  </si>
  <si>
    <t xml:space="preserve">LEVANTAMIENTO EN 3D Y REPRODUCCIÓN EN MAQUETA DE HORNO CERÁMICO Y BALSA DE DECANTACIÓN. PROYECTO CERAMITUR. Ref. proyecto: AYTOAGOST1-25T La presente factura ha servido para la justificación de la subvención concedida por el Ministerio de Industria y Turismo, de conformidad con la Orden ICT/1524/2021, de 30 de diciembre, por la que se establecen las bases reguladoras y convocatoria 2021.  El importe de esta factura se imputa al gasto 432-22706 de forma total.  Importe de imputación: 13.950,00 euros (iva no incluido) Proyecto: CERAMITUR ETE-010000-2023-201 </t>
  </si>
  <si>
    <t>42.00.6C.00.95</t>
  </si>
  <si>
    <t xml:space="preserve">REALIZACIÓN DEL GUION INTERPRETATIVO Y EL ASESORAMIENTO Y REDACCIÓN DE CONTENIDOS PARA UN PROYECTO DE EXPOSICIÓN TEMPORAL DE PATRIMONIO ARQUEOLÓGICO CORRESPONDIENTE A "ALCOI EN EL ORIGEN DEL BRONZE VALENCIA: 100 ANYS D'ARQUEOLOGIA" Ref. proyecto: AYTOALCOI1-25TPA </t>
  </si>
  <si>
    <t>42.00.6C.00.96</t>
  </si>
  <si>
    <t>ESTUDIO ARQUEOLÓGICO DEL ANGULO NORESTE Y EDIFICIO ANEJO DE LA FORTIFICACIÓN DE LOS ALMADENES (HELLÍN, ALBACETE), II Ref. proyecto: AYTOHELLIN4-25I Investigadora responsable: Feliciana Sala Sellés.</t>
  </si>
  <si>
    <t>42.00.6C.00.97</t>
  </si>
  <si>
    <t>REALIZACIÓN DE AUDIOVISUALES CON LA RECREACIÓN VIRTUAL DE ALICANTE EN LOS SS. XVII, XVIII Y XIX. Ref: DIPUTACION3-25TPA</t>
  </si>
  <si>
    <t>42.00.6C.00.98</t>
  </si>
  <si>
    <t xml:space="preserve">ASESORAMIENTO Y APOYO TÉCNICO EN REGISTRO Y DOCUMENTACIÓN AUDIOVISUAL 3D SUBMARINA. Ref. proyecto: DARKSIDE1-25TPA </t>
  </si>
  <si>
    <t>42.00.6C.00.99</t>
  </si>
  <si>
    <t>DOCUMENTACIÓN Y DIAGNÓSTICO DEL ESTADO DEL YACIMIENTO ARQUEOLÓGICO SUBMARINO BOU FERRER DE LA VILA JOIOSA. Ref. proyecto: AYTOVILLAJOYOSA2-25T. RC 12025000025542 y RC 12025000025970</t>
  </si>
  <si>
    <t>42.00.6C.01.00</t>
  </si>
  <si>
    <t>RECREACIÓN VIRTUAL DEL CONJUNTO ARQUITECTÓNICO DE SAN ISIDORO DE LEÓN. Ref: AYTOLEON1-25T</t>
  </si>
  <si>
    <t>42.00.6C.01.01</t>
  </si>
  <si>
    <t>PERITAJE BASADO EN LAS CARACTERÍSTICAS TIPOLÓGICAS, TECNOLÓGICAS, PETROLÓGICAS Y ARQUEOMÉTRICAS E INFORME TÉCNICO: COLECCIÓN A. CANDELA 2009-2010-2011. Ref proyecto: AYTOCREVILLENTE2-25TPA. Código: 1659373K 38 12928</t>
  </si>
  <si>
    <t>42.00.6C.01.04</t>
  </si>
  <si>
    <t>PROYECTO ARQUEOLÓGICO DE INVESTIGACIÓN EN EL YACIMIENTO DE LOS SALADARES. CUARTA FASE. Ref: AYTOORIHUELA1-25I Primer pago</t>
  </si>
  <si>
    <t>42.00.6C.01.05</t>
  </si>
  <si>
    <t xml:space="preserve">ASESORAMIENTO CIENTÍFICO DE UNA EXPOSICIÓN DE ARTE PREHISTÓRICO EN LA CV. Estudio previo. Ref: CONSELLERIAEDUCACION1-25A </t>
  </si>
  <si>
    <t>INGRESO PERCIBIDO POR LA UNIVERSIDAD DE ALICANTE EN VIRTUD DE CONVENIO PARA LE REALIZACIÓN DE ACTIVIDADES DE INTERÉS GENERAL EN EL YACIMIENTO ARQUEOLÓGICO DE LA ALCUDIA. EJERCICIO 2025.</t>
  </si>
  <si>
    <t>42.00.6D.00.03</t>
  </si>
  <si>
    <t>Subvención Nominativa: Puesta en valor del yacimiento arqueológico de la Alcudía. Línea Subvención: S1847. Num. fact: 6004335854</t>
  </si>
  <si>
    <t>DEVOLUCIÓN DE INGRESOS_ MODELO 047_REFERENCIA CIDEGENT 2018/041/040/004</t>
  </si>
  <si>
    <t xml:space="preserve">ayudas PID2021-122320NA-I00, PID2021-123699NB-I00, PID2021-124741NB-I00, PID2021-124860NB-I00,PID2021-125387NB-I00, PID2021-126485OB-I00, PID2021-127332NB-I00, PID2021-127566NB-I00, PID2021-127967NB-I00, </t>
  </si>
  <si>
    <t>DEVOLUCIÓN DE INGRESOS_MODELO 047_CIGE 2022</t>
  </si>
  <si>
    <t>Ayudas CIAICO/2022/017, CIAICO/2022/019, CIAICO/2022/038, CIAICO/2022/046, CIAICO/2022/047, CIAICO/2022/049, CIAICO/2022/077, CIAICO/2022/078,CIAICO/2022/079, CIAICO/2022/112, CIAICO/2022/132, CIAICO/2022/167, ,CIAICO/2022/177</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</si>
  <si>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</si>
  <si>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 xml:space="preserve">CIGE/2023/52/94/129/146/165/175/181/184/188/196/197/216/225/227. EN CIGE/2023/196 HAY UNA REASIGNACIÓN DEL IMPORTE (EN JI-2024-3632 SE PRODUCE UNA MINORACIÓN DE 9879,02 Y SE ASIGNA A ESTE AÑO) </t>
  </si>
  <si>
    <t>Minoración Ayudas CIGE/2023/52, CIGE/2023/94, CIGE/2023/129, CIGE/2023/146, CIGE/2023/165, CIGE/2023/175, CIGE/2023/181, CIGE/2023/184, CIGE/2023/188, CIGE/2023/197, CIGE/2023/216,  CIGE/2023/227 (LINEA SUBVENCIÓN S0296)</t>
  </si>
  <si>
    <t>42.00.6P.00.76</t>
  </si>
  <si>
    <t>INGRESO SBPLY/24/180801/000004</t>
  </si>
  <si>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</si>
  <si>
    <t xml:space="preserve">Minoración parcial CIAICO/2023/178/179/203/250/255/266. </t>
  </si>
  <si>
    <t>42.00.6P.00.82</t>
  </si>
  <si>
    <t xml:space="preserve">AYUDAS RYC2023-043965-I, RYC2023-043965-I (DOT. ADICIONAL), RYC2023-045149-I, RYC2023-045149-I , (DOT. ADICIONAL), RYC2023-045813-I, RYC2023-045813-I (DOT. ADICIONAL) </t>
  </si>
  <si>
    <t>42.00.6P.00.87</t>
  </si>
  <si>
    <t xml:space="preserve">CIAORG/2024/003. CIAORG/2024/005.  CIAORG/2024/017. CIAORG/2024/035. CIAORG/2024/079. CIAORG/2024/085. CIAORG/2024/098. CIAORG/2024/123. CIAORG/2024/158. CIAORG/2024/187. CIAORG/2024/193         </t>
  </si>
  <si>
    <t>42.00.6P.00.91</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</si>
  <si>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</si>
  <si>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42.00.6P.00.92</t>
  </si>
  <si>
    <t>42.00.6P.00.93</t>
  </si>
  <si>
    <t>Ayudas JDC2024-053381-I, JDC2024-053381-I (DOT. ADICIONAL), JDC2024-055795-I, JDC2024-055795-I (DOT. ADICIONAL), JDC2024-055193-I, JDC2024-055193-I (DOT. ADICIONAL), JDC2024-054052-I,  JDC2024-053152-I, JDC2024-054052-I (DOT. ADICIONAL), JDC2024-053152-I (DOT. ADICIONAL), JDC2024-055709-I, JDC2024-055709-I (DOT. ADICIONAL)</t>
  </si>
  <si>
    <t>42.00.6P.00.94</t>
  </si>
  <si>
    <t>PR. PIEDRA Y METAL. INGRESO FUNDACIÓN PALARQ</t>
  </si>
  <si>
    <t>42.00.6X.00.02</t>
  </si>
  <si>
    <t>Proyecto: StratiGraph. Programa: HORIZON EUROPE. Ref. Proyecto: 101232855</t>
  </si>
  <si>
    <t>Total ingresos investigación 2023-25</t>
  </si>
  <si>
    <t>Pastor Quiles, Maria</t>
  </si>
  <si>
    <t>No hay ingresos de formación en 2025</t>
  </si>
  <si>
    <t>Total ingresos formación 2023-25</t>
  </si>
  <si>
    <t>52773425V</t>
  </si>
  <si>
    <t>Amorós Ruiz, Victoria Encarnación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</si>
</sst>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0.0"/>
    <numFmt numFmtId="166" formatCode="#,##0.0"/>
  </numFmts>
  <fonts count="16"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0" tint="-0.34998626667073579"/>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2" fillId="0" borderId="0" applyFont="0" applyFill="0" applyBorder="0" applyAlignment="0" applyProtection="0"/>
  </cellStyleXfs>
  <cellXfs count="58">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textRotation="90" wrapText="1"/>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2" fillId="4" borderId="1" xfId="1" applyFill="1" applyBorder="1"/>
    <xf numFmtId="0" fontId="2" fillId="4" borderId="1" xfId="1" applyFill="1" applyBorder="1" applyAlignment="1">
      <alignment horizontal="right"/>
    </xf>
    <xf numFmtId="1" fontId="2" fillId="4" borderId="1" xfId="1" applyNumberFormat="1" applyFill="1" applyBorder="1"/>
    <xf numFmtId="165" fontId="2" fillId="4" borderId="1" xfId="1" applyNumberFormat="1" applyFill="1" applyBorder="1"/>
    <xf numFmtId="0" fontId="2" fillId="0" borderId="1" xfId="1" applyBorder="1"/>
    <xf numFmtId="0" fontId="10" fillId="6" borderId="1" xfId="0" applyFont="1" applyFill="1" applyBorder="1" applyAlignment="1">
      <alignment horizontal="left" vertical="center"/>
    </xf>
    <xf numFmtId="166" fontId="2" fillId="4" borderId="1" xfId="1" applyNumberFormat="1" applyFill="1" applyBorder="1"/>
    <xf numFmtId="165" fontId="2" fillId="0" borderId="1" xfId="1" applyNumberFormat="1" applyBorder="1"/>
    <xf numFmtId="0" fontId="2" fillId="2" borderId="0" xfId="1" applyFill="1"/>
    <xf numFmtId="0" fontId="2" fillId="2" borderId="0" xfId="1" applyFill="1" applyAlignment="1">
      <alignment horizontal="right"/>
    </xf>
    <xf numFmtId="165" fontId="3" fillId="2" borderId="0" xfId="1" applyNumberFormat="1" applyFont="1" applyFill="1"/>
    <xf numFmtId="0" fontId="0" fillId="0" borderId="1" xfId="0" applyBorder="1" applyAlignment="1">
      <alignment horizontal="left"/>
    </xf>
    <xf numFmtId="0" fontId="0" fillId="7" borderId="0" xfId="0" applyFill="1"/>
    <xf numFmtId="0" fontId="0" fillId="7" borderId="0" xfId="0" applyFill="1" applyAlignment="1">
      <alignment horizontal="left"/>
    </xf>
    <xf numFmtId="0" fontId="0" fillId="0" borderId="0" xfId="0" applyAlignment="1">
      <alignment wrapText="1"/>
    </xf>
    <xf numFmtId="164" fontId="0" fillId="0" borderId="0" xfId="6" applyFont="1"/>
    <xf numFmtId="164" fontId="0" fillId="0" borderId="0" xfId="0" applyNumberFormat="1"/>
    <xf numFmtId="0" fontId="11" fillId="0" borderId="1" xfId="0" applyFont="1" applyBorder="1"/>
    <xf numFmtId="164" fontId="11" fillId="0" borderId="1" xfId="6" applyFont="1" applyBorder="1"/>
    <xf numFmtId="0" fontId="0" fillId="8" borderId="1" xfId="0" applyFill="1" applyBorder="1" applyAlignment="1">
      <alignment horizontal="center"/>
    </xf>
    <xf numFmtId="0" fontId="13" fillId="9" borderId="3" xfId="0" applyFont="1" applyFill="1" applyBorder="1"/>
    <xf numFmtId="0" fontId="13" fillId="9" borderId="4" xfId="0" applyFont="1" applyFill="1" applyBorder="1"/>
    <xf numFmtId="0" fontId="9" fillId="10" borderId="3" xfId="0" applyFont="1" applyFill="1" applyBorder="1"/>
    <xf numFmtId="0" fontId="9" fillId="10" borderId="4" xfId="0" applyFont="1" applyFill="1" applyBorder="1"/>
    <xf numFmtId="164" fontId="9" fillId="10" borderId="4" xfId="6" applyFont="1" applyFill="1" applyBorder="1"/>
    <xf numFmtId="0" fontId="9" fillId="0" borderId="3" xfId="0" applyFont="1" applyBorder="1"/>
    <xf numFmtId="0" fontId="9" fillId="0" borderId="4" xfId="0" applyFont="1" applyBorder="1"/>
    <xf numFmtId="164" fontId="9" fillId="0" borderId="4" xfId="6" applyFont="1" applyBorder="1"/>
    <xf numFmtId="0" fontId="14" fillId="0" borderId="5" xfId="0" applyFont="1" applyBorder="1"/>
    <xf numFmtId="0" fontId="14" fillId="0" borderId="6" xfId="0" applyFont="1" applyBorder="1"/>
    <xf numFmtId="164" fontId="14" fillId="0" borderId="6" xfId="6" applyFont="1" applyBorder="1"/>
    <xf numFmtId="0" fontId="0" fillId="8" borderId="1" xfId="0" applyFill="1" applyBorder="1"/>
    <xf numFmtId="0" fontId="9" fillId="8" borderId="0" xfId="5" applyFont="1" applyFill="1"/>
    <xf numFmtId="0" fontId="0" fillId="0" borderId="1" xfId="0" applyFont="1" applyBorder="1"/>
    <xf numFmtId="0" fontId="0" fillId="0" borderId="1" xfId="0" applyFont="1" applyBorder="1" applyAlignment="1">
      <alignment horizontal="center"/>
    </xf>
    <xf numFmtId="0" fontId="0" fillId="8" borderId="1" xfId="0" applyFont="1" applyFill="1" applyBorder="1" applyAlignment="1">
      <alignment horizontal="center"/>
    </xf>
    <xf numFmtId="0" fontId="15" fillId="0" borderId="1" xfId="0" applyFont="1" applyBorder="1"/>
    <xf numFmtId="0" fontId="15" fillId="0" borderId="1" xfId="0" applyFont="1" applyBorder="1" applyAlignment="1">
      <alignment horizontal="left"/>
    </xf>
    <xf numFmtId="0" fontId="0" fillId="0" borderId="0" xfId="5" applyFont="1"/>
    <xf numFmtId="0" fontId="11" fillId="7" borderId="2" xfId="0" applyFont="1" applyFill="1" applyBorder="1" applyAlignment="1">
      <alignment horizontal="center"/>
    </xf>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7">
    <dxf>
      <numFmt numFmtId="164" formatCode="_-* #,##0.00\ _€_-;\-* #,##0.00\ _€_-;_-* &quot;-&quot;??\ _€_-;_-@_-"/>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DFAE0F-9018-43D7-9F86-95BBB8F6F690}" name="Tabla2" displayName="Tabla2" ref="A1:C50" totalsRowCount="1">
  <autoFilter ref="A1:C49" xr:uid="{D5DFAE0F-9018-43D7-9F86-95BBB8F6F690}"/>
  <tableColumns count="3">
    <tableColumn id="1" xr3:uid="{B5F6FDE1-BA3B-4D0B-BB71-7B14BBAEA78C}" name="Cód. org. aplic." totalsRowLabel="Total"/>
    <tableColumn id="2" xr3:uid="{E64A1CAC-7D6B-4C5B-849A-75B6A8598147}" name="Descripción justificante" dataDxfId="6" totalsRowDxfId="5"/>
    <tableColumn id="3" xr3:uid="{25C9622C-D66C-4707-93DC-37CD83075981}" name="Imp.cob.aplic." totalsRowFunction="sum" dataCellStyle="Millares" totalsRowCellStyle="Millares"/>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08DEF5-4AB5-4C3B-BAF6-02590BF530BF}" name="Tabla1" displayName="Tabla1" ref="A1:C57" totalsRowCount="1">
  <autoFilter ref="A1:C56" xr:uid="{8308DEF5-4AB5-4C3B-BAF6-02590BF530BF}"/>
  <tableColumns count="3">
    <tableColumn id="1" xr3:uid="{11503774-607F-4505-B258-673EBAFF752B}" name="Org. aplic." totalsRowLabel="Total"/>
    <tableColumn id="2" xr3:uid="{8626B19A-DCB7-452B-BFBB-7430CFB4D771}" name="Descripción justificante" dataDxfId="4" totalsRowDxfId="3"/>
    <tableColumn id="3" xr3:uid="{FADFE85B-C9A5-4C16-B05C-888899F8F3DF}" name="Imp. aplic." totalsRowFunction="sum" dataCellStyle="Millares" totalsRowCellStyle="Millare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7ED5A2-FC06-4729-A537-2B5D4B15B68D}" name="Tabla15" displayName="Tabla15" ref="A1:C3" totalsRowCount="1">
  <autoFilter ref="A1:C2" xr:uid="{B99C5A29-0EE6-4DB8-BCE6-4C398087B986}"/>
  <tableColumns count="3">
    <tableColumn id="1" xr3:uid="{B19FC368-4866-4053-9DBF-F1EF2D7739A7}" name="Org. aplic." totalsRowLabel="Total"/>
    <tableColumn id="2" xr3:uid="{76F0E9B2-CAC2-48C8-BC12-DB185FC7404D}" name="Descripción justificante" dataDxfId="2" totalsRowDxfId="1"/>
    <tableColumn id="3" xr3:uid="{34282A56-F716-4FF1-AE6C-B30AB4E7AB87}" name="Imp. aplic." totalsRowFunction="sum" totalsRowDxfId="0" data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2"/>
  <sheetViews>
    <sheetView showGridLines="0" topLeftCell="D1" zoomScale="102" zoomScaleNormal="102" workbookViewId="0">
      <selection activeCell="T46" sqref="T46"/>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8.28515625" style="7" bestFit="1" customWidth="1"/>
    <col min="14" max="14" width="4.85546875" style="6" customWidth="1"/>
    <col min="15" max="15" width="5.28515625" style="7" customWidth="1"/>
    <col min="16" max="16" width="4.85546875" style="6" customWidth="1"/>
    <col min="17" max="17" width="3.5703125" style="7" customWidth="1"/>
    <col min="18" max="18" width="3.5703125" style="6" customWidth="1"/>
    <col min="19" max="21" width="5.140625" style="6" customWidth="1"/>
    <col min="22" max="16384" width="10.28515625" style="6"/>
  </cols>
  <sheetData>
    <row r="1" spans="1:21" ht="45"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1" x14ac:dyDescent="0.2">
      <c r="A2" s="18" t="s">
        <v>33</v>
      </c>
      <c r="B2" s="18" t="s">
        <v>34</v>
      </c>
      <c r="C2" s="18" t="s">
        <v>35</v>
      </c>
      <c r="D2" s="18" t="s">
        <v>83</v>
      </c>
      <c r="E2" s="18" t="s">
        <v>84</v>
      </c>
      <c r="F2" s="18" t="s">
        <v>85</v>
      </c>
      <c r="G2" s="18" t="s">
        <v>44</v>
      </c>
      <c r="H2" s="18" t="s">
        <v>22</v>
      </c>
      <c r="I2" s="18" t="s">
        <v>40</v>
      </c>
      <c r="J2" s="18" t="s">
        <v>41</v>
      </c>
      <c r="K2" s="21">
        <v>0.5</v>
      </c>
      <c r="L2" s="18" t="s">
        <v>45</v>
      </c>
      <c r="M2" s="18">
        <v>2019</v>
      </c>
      <c r="N2" s="18" t="s">
        <v>43</v>
      </c>
      <c r="O2" s="19" t="s">
        <v>32</v>
      </c>
      <c r="P2" s="18" t="s">
        <v>23</v>
      </c>
      <c r="Q2" s="19" t="s">
        <v>23</v>
      </c>
      <c r="R2" s="20">
        <v>20</v>
      </c>
      <c r="S2" s="25">
        <v>0.1</v>
      </c>
      <c r="T2" s="25">
        <v>0.4</v>
      </c>
      <c r="U2" s="21">
        <v>0</v>
      </c>
    </row>
    <row r="3" spans="1:21" x14ac:dyDescent="0.2">
      <c r="A3" s="18" t="s">
        <v>86</v>
      </c>
      <c r="B3" s="18" t="s">
        <v>87</v>
      </c>
      <c r="C3" s="18" t="s">
        <v>88</v>
      </c>
      <c r="D3" s="18" t="s">
        <v>89</v>
      </c>
      <c r="E3" s="18" t="s">
        <v>90</v>
      </c>
      <c r="F3" s="18" t="s">
        <v>91</v>
      </c>
      <c r="G3" s="18" t="s">
        <v>52</v>
      </c>
      <c r="H3" s="18" t="s">
        <v>22</v>
      </c>
      <c r="I3" s="18" t="s">
        <v>37</v>
      </c>
      <c r="J3" s="18" t="s">
        <v>38</v>
      </c>
      <c r="K3" s="21">
        <v>0.5</v>
      </c>
      <c r="L3" s="18" t="s">
        <v>39</v>
      </c>
      <c r="M3" s="18">
        <v>2019</v>
      </c>
      <c r="N3" s="18" t="s">
        <v>43</v>
      </c>
      <c r="O3" s="19" t="s">
        <v>31</v>
      </c>
      <c r="P3" s="18" t="s">
        <v>23</v>
      </c>
      <c r="Q3" s="19" t="s">
        <v>23</v>
      </c>
      <c r="R3" s="20">
        <v>90</v>
      </c>
      <c r="S3" s="25">
        <v>0.45</v>
      </c>
      <c r="T3" s="25">
        <v>0.05</v>
      </c>
      <c r="U3" s="21">
        <v>0</v>
      </c>
    </row>
    <row r="4" spans="1:21" x14ac:dyDescent="0.2">
      <c r="A4" s="18" t="s">
        <v>33</v>
      </c>
      <c r="B4" s="18" t="s">
        <v>34</v>
      </c>
      <c r="C4" s="18" t="s">
        <v>35</v>
      </c>
      <c r="D4" s="18" t="s">
        <v>95</v>
      </c>
      <c r="E4" s="18" t="s">
        <v>96</v>
      </c>
      <c r="F4" s="18" t="s">
        <v>97</v>
      </c>
      <c r="G4" s="18" t="s">
        <v>98</v>
      </c>
      <c r="H4" s="18" t="s">
        <v>22</v>
      </c>
      <c r="I4" s="18" t="s">
        <v>40</v>
      </c>
      <c r="J4" s="18" t="s">
        <v>41</v>
      </c>
      <c r="K4" s="21">
        <v>0.5</v>
      </c>
      <c r="L4" s="18" t="s">
        <v>45</v>
      </c>
      <c r="M4" s="18">
        <v>2019</v>
      </c>
      <c r="N4" s="18" t="s">
        <v>43</v>
      </c>
      <c r="O4" s="19">
        <v>50</v>
      </c>
      <c r="P4" s="18" t="s">
        <v>23</v>
      </c>
      <c r="Q4" s="19">
        <v>0</v>
      </c>
      <c r="R4" s="20">
        <v>50</v>
      </c>
      <c r="S4" s="25">
        <v>0.25</v>
      </c>
      <c r="T4" s="25">
        <v>0.25</v>
      </c>
      <c r="U4" s="21">
        <v>0</v>
      </c>
    </row>
    <row r="5" spans="1:21" x14ac:dyDescent="0.2">
      <c r="A5" s="18" t="s">
        <v>33</v>
      </c>
      <c r="B5" s="18" t="s">
        <v>34</v>
      </c>
      <c r="C5" s="18" t="s">
        <v>35</v>
      </c>
      <c r="D5" s="18" t="s">
        <v>95</v>
      </c>
      <c r="E5" s="18" t="s">
        <v>96</v>
      </c>
      <c r="F5" s="18" t="s">
        <v>97</v>
      </c>
      <c r="G5" s="18" t="s">
        <v>48</v>
      </c>
      <c r="H5" s="18" t="s">
        <v>22</v>
      </c>
      <c r="I5" s="18" t="s">
        <v>40</v>
      </c>
      <c r="J5" s="18" t="s">
        <v>41</v>
      </c>
      <c r="K5" s="21">
        <v>0.5</v>
      </c>
      <c r="L5" s="18" t="s">
        <v>45</v>
      </c>
      <c r="M5" s="18">
        <v>2019</v>
      </c>
      <c r="N5" s="18" t="s">
        <v>43</v>
      </c>
      <c r="O5" s="19">
        <v>80</v>
      </c>
      <c r="P5" s="18" t="s">
        <v>23</v>
      </c>
      <c r="Q5" s="19">
        <v>0</v>
      </c>
      <c r="R5" s="20">
        <v>20</v>
      </c>
      <c r="S5" s="25">
        <v>0.1</v>
      </c>
      <c r="T5" s="25">
        <v>0.4</v>
      </c>
      <c r="U5" s="21">
        <v>0</v>
      </c>
    </row>
    <row r="6" spans="1:21" x14ac:dyDescent="0.2">
      <c r="A6" s="18" t="s">
        <v>99</v>
      </c>
      <c r="B6" s="18" t="s">
        <v>100</v>
      </c>
      <c r="C6" s="18" t="s">
        <v>101</v>
      </c>
      <c r="D6" s="18" t="s">
        <v>102</v>
      </c>
      <c r="E6" s="18" t="s">
        <v>103</v>
      </c>
      <c r="F6" s="18" t="s">
        <v>104</v>
      </c>
      <c r="G6" s="18" t="s">
        <v>105</v>
      </c>
      <c r="H6" s="18" t="s">
        <v>24</v>
      </c>
      <c r="I6" s="18" t="s">
        <v>28</v>
      </c>
      <c r="J6" s="18" t="s">
        <v>29</v>
      </c>
      <c r="K6" s="24">
        <v>1</v>
      </c>
      <c r="L6" s="18" t="s">
        <v>30</v>
      </c>
      <c r="M6" s="18">
        <v>2020</v>
      </c>
      <c r="N6" s="18" t="s">
        <v>43</v>
      </c>
      <c r="O6" s="19">
        <v>50</v>
      </c>
      <c r="P6" s="18" t="s">
        <v>23</v>
      </c>
      <c r="Q6" s="19">
        <v>0</v>
      </c>
      <c r="R6" s="20">
        <v>50</v>
      </c>
      <c r="S6" s="25">
        <v>0.5</v>
      </c>
      <c r="T6" s="25">
        <v>0.5</v>
      </c>
      <c r="U6" s="21">
        <v>0</v>
      </c>
    </row>
    <row r="7" spans="1:21" x14ac:dyDescent="0.2">
      <c r="A7" s="18" t="s">
        <v>33</v>
      </c>
      <c r="B7" s="18" t="s">
        <v>34</v>
      </c>
      <c r="C7" s="18" t="s">
        <v>35</v>
      </c>
      <c r="D7" s="18" t="s">
        <v>106</v>
      </c>
      <c r="E7" s="18" t="s">
        <v>107</v>
      </c>
      <c r="F7" s="18" t="s">
        <v>108</v>
      </c>
      <c r="G7" s="18" t="s">
        <v>44</v>
      </c>
      <c r="H7" s="18" t="s">
        <v>22</v>
      </c>
      <c r="I7" s="18" t="s">
        <v>40</v>
      </c>
      <c r="J7" s="18" t="s">
        <v>41</v>
      </c>
      <c r="K7" s="24">
        <v>0.5</v>
      </c>
      <c r="L7" s="18" t="s">
        <v>45</v>
      </c>
      <c r="M7" s="18">
        <v>2020</v>
      </c>
      <c r="N7" s="18" t="s">
        <v>43</v>
      </c>
      <c r="O7" s="19">
        <v>80</v>
      </c>
      <c r="P7" s="18" t="s">
        <v>23</v>
      </c>
      <c r="Q7" s="19">
        <v>0</v>
      </c>
      <c r="R7" s="20">
        <v>20</v>
      </c>
      <c r="S7" s="25">
        <v>0.1</v>
      </c>
      <c r="T7" s="25">
        <v>0.4</v>
      </c>
      <c r="U7" s="21">
        <v>0</v>
      </c>
    </row>
    <row r="8" spans="1:21" x14ac:dyDescent="0.2">
      <c r="A8" s="18" t="s">
        <v>33</v>
      </c>
      <c r="B8" s="18" t="s">
        <v>34</v>
      </c>
      <c r="C8" s="18" t="s">
        <v>35</v>
      </c>
      <c r="D8" s="18" t="s">
        <v>106</v>
      </c>
      <c r="E8" s="18" t="s">
        <v>107</v>
      </c>
      <c r="F8" s="18" t="s">
        <v>108</v>
      </c>
      <c r="G8" s="18" t="s">
        <v>42</v>
      </c>
      <c r="H8" s="18" t="s">
        <v>22</v>
      </c>
      <c r="I8" s="18" t="s">
        <v>25</v>
      </c>
      <c r="J8" s="18" t="s">
        <v>26</v>
      </c>
      <c r="K8" s="24">
        <v>0.5</v>
      </c>
      <c r="L8" s="18" t="s">
        <v>27</v>
      </c>
      <c r="M8" s="18">
        <v>2020</v>
      </c>
      <c r="N8" s="18" t="s">
        <v>43</v>
      </c>
      <c r="O8" s="19">
        <v>10</v>
      </c>
      <c r="P8" s="18" t="s">
        <v>23</v>
      </c>
      <c r="Q8" s="19">
        <v>0</v>
      </c>
      <c r="R8" s="20">
        <v>90</v>
      </c>
      <c r="S8" s="25">
        <v>0.45</v>
      </c>
      <c r="T8" s="25">
        <v>0.05</v>
      </c>
      <c r="U8" s="21">
        <v>0</v>
      </c>
    </row>
    <row r="9" spans="1:21" x14ac:dyDescent="0.2">
      <c r="A9" s="18" t="s">
        <v>33</v>
      </c>
      <c r="B9" s="18" t="s">
        <v>34</v>
      </c>
      <c r="C9" s="18" t="s">
        <v>35</v>
      </c>
      <c r="D9" s="18" t="s">
        <v>109</v>
      </c>
      <c r="E9" s="18" t="s">
        <v>110</v>
      </c>
      <c r="F9" s="18" t="s">
        <v>111</v>
      </c>
      <c r="G9" s="18" t="s">
        <v>112</v>
      </c>
      <c r="H9" s="18" t="s">
        <v>24</v>
      </c>
      <c r="I9" s="18" t="s">
        <v>113</v>
      </c>
      <c r="J9" s="18" t="s">
        <v>114</v>
      </c>
      <c r="K9" s="24">
        <v>1</v>
      </c>
      <c r="L9" s="18" t="s">
        <v>43</v>
      </c>
      <c r="M9" s="18">
        <v>2020</v>
      </c>
      <c r="N9" s="18" t="s">
        <v>43</v>
      </c>
      <c r="O9" s="19">
        <v>100</v>
      </c>
      <c r="P9" s="18" t="s">
        <v>23</v>
      </c>
      <c r="Q9" s="19">
        <v>0</v>
      </c>
      <c r="R9" s="20">
        <v>0</v>
      </c>
      <c r="S9" s="25">
        <v>0</v>
      </c>
      <c r="T9" s="25">
        <v>1</v>
      </c>
      <c r="U9" s="21">
        <v>0</v>
      </c>
    </row>
    <row r="10" spans="1:21" x14ac:dyDescent="0.2">
      <c r="A10" s="18" t="s">
        <v>33</v>
      </c>
      <c r="B10" s="18" t="s">
        <v>34</v>
      </c>
      <c r="C10" s="18" t="s">
        <v>35</v>
      </c>
      <c r="D10" s="18" t="s">
        <v>115</v>
      </c>
      <c r="E10" s="18" t="s">
        <v>116</v>
      </c>
      <c r="F10" s="18" t="s">
        <v>117</v>
      </c>
      <c r="G10" s="18" t="s">
        <v>118</v>
      </c>
      <c r="H10" s="18" t="s">
        <v>24</v>
      </c>
      <c r="I10" s="18" t="s">
        <v>40</v>
      </c>
      <c r="J10" s="18" t="s">
        <v>41</v>
      </c>
      <c r="K10" s="22">
        <v>1</v>
      </c>
      <c r="L10" s="22" t="s">
        <v>45</v>
      </c>
      <c r="M10" s="18">
        <v>2020</v>
      </c>
      <c r="N10" s="18" t="s">
        <v>43</v>
      </c>
      <c r="O10" s="19">
        <v>80</v>
      </c>
      <c r="P10" s="18" t="s">
        <v>23</v>
      </c>
      <c r="Q10" s="19">
        <v>0</v>
      </c>
      <c r="R10" s="18">
        <v>20</v>
      </c>
      <c r="S10" s="22">
        <v>0.2</v>
      </c>
      <c r="T10" s="22">
        <v>0.8</v>
      </c>
      <c r="U10" s="18">
        <v>0</v>
      </c>
    </row>
    <row r="11" spans="1:21" x14ac:dyDescent="0.2">
      <c r="A11" s="18" t="s">
        <v>33</v>
      </c>
      <c r="B11" s="18" t="s">
        <v>34</v>
      </c>
      <c r="C11" s="18" t="s">
        <v>36</v>
      </c>
      <c r="D11" s="18" t="s">
        <v>119</v>
      </c>
      <c r="E11" s="18" t="s">
        <v>120</v>
      </c>
      <c r="F11" s="18" t="s">
        <v>121</v>
      </c>
      <c r="G11" s="18" t="s">
        <v>50</v>
      </c>
      <c r="H11" s="18" t="s">
        <v>24</v>
      </c>
      <c r="I11" s="18" t="s">
        <v>40</v>
      </c>
      <c r="J11" s="18" t="s">
        <v>41</v>
      </c>
      <c r="K11" s="22">
        <v>1</v>
      </c>
      <c r="L11" s="22" t="s">
        <v>45</v>
      </c>
      <c r="M11" s="18">
        <v>2020</v>
      </c>
      <c r="N11" s="18" t="s">
        <v>43</v>
      </c>
      <c r="O11" s="19">
        <v>80</v>
      </c>
      <c r="P11" s="18" t="s">
        <v>23</v>
      </c>
      <c r="Q11" s="19">
        <v>0</v>
      </c>
      <c r="R11" s="18">
        <v>20</v>
      </c>
      <c r="S11" s="22">
        <v>0.2</v>
      </c>
      <c r="T11" s="22">
        <v>0.8</v>
      </c>
      <c r="U11" s="18">
        <v>0</v>
      </c>
    </row>
    <row r="12" spans="1:21" x14ac:dyDescent="0.2">
      <c r="A12" s="23" t="s">
        <v>33</v>
      </c>
      <c r="B12" s="23" t="s">
        <v>34</v>
      </c>
      <c r="C12" s="23" t="s">
        <v>35</v>
      </c>
      <c r="D12" s="23" t="s">
        <v>131</v>
      </c>
      <c r="E12" s="23" t="s">
        <v>132</v>
      </c>
      <c r="F12" s="23" t="s">
        <v>133</v>
      </c>
      <c r="G12" s="23" t="s">
        <v>51</v>
      </c>
      <c r="H12" s="23" t="s">
        <v>22</v>
      </c>
      <c r="I12" s="23" t="s">
        <v>40</v>
      </c>
      <c r="J12" s="23" t="s">
        <v>41</v>
      </c>
      <c r="K12" s="22">
        <v>0.5</v>
      </c>
      <c r="L12" s="22" t="s">
        <v>45</v>
      </c>
      <c r="M12" s="18">
        <v>2021</v>
      </c>
      <c r="N12" s="18" t="s">
        <v>43</v>
      </c>
      <c r="O12" s="19">
        <v>80</v>
      </c>
      <c r="P12" s="18" t="s">
        <v>23</v>
      </c>
      <c r="Q12" s="19">
        <v>0</v>
      </c>
      <c r="R12" s="18">
        <v>20</v>
      </c>
      <c r="S12" s="22">
        <v>0.1</v>
      </c>
      <c r="T12" s="22">
        <v>0.4</v>
      </c>
      <c r="U12" s="18">
        <v>0</v>
      </c>
    </row>
    <row r="13" spans="1:21" x14ac:dyDescent="0.2">
      <c r="A13" s="23" t="s">
        <v>33</v>
      </c>
      <c r="B13" s="23" t="s">
        <v>34</v>
      </c>
      <c r="C13" s="23" t="s">
        <v>35</v>
      </c>
      <c r="D13" s="23" t="s">
        <v>134</v>
      </c>
      <c r="E13" s="23" t="s">
        <v>135</v>
      </c>
      <c r="F13" s="23" t="s">
        <v>136</v>
      </c>
      <c r="G13" s="23" t="s">
        <v>46</v>
      </c>
      <c r="H13" s="23" t="s">
        <v>22</v>
      </c>
      <c r="I13" s="23" t="s">
        <v>40</v>
      </c>
      <c r="J13" s="23" t="s">
        <v>41</v>
      </c>
      <c r="K13" s="22">
        <v>0.5</v>
      </c>
      <c r="L13" s="22" t="s">
        <v>45</v>
      </c>
      <c r="M13" s="18">
        <v>2021</v>
      </c>
      <c r="N13" s="18" t="s">
        <v>43</v>
      </c>
      <c r="O13" s="19">
        <v>80</v>
      </c>
      <c r="P13" s="18" t="s">
        <v>23</v>
      </c>
      <c r="Q13" s="19">
        <v>0</v>
      </c>
      <c r="R13" s="18">
        <v>20</v>
      </c>
      <c r="S13" s="22">
        <v>0.1</v>
      </c>
      <c r="T13" s="22">
        <v>0.4</v>
      </c>
      <c r="U13" s="18">
        <v>0</v>
      </c>
    </row>
    <row r="14" spans="1:21" x14ac:dyDescent="0.2">
      <c r="A14" s="23" t="s">
        <v>33</v>
      </c>
      <c r="B14" s="23" t="s">
        <v>34</v>
      </c>
      <c r="C14" s="23" t="s">
        <v>35</v>
      </c>
      <c r="D14" s="23" t="s">
        <v>137</v>
      </c>
      <c r="E14" s="23" t="s">
        <v>138</v>
      </c>
      <c r="F14" s="23" t="s">
        <v>139</v>
      </c>
      <c r="G14" s="23" t="s">
        <v>49</v>
      </c>
      <c r="H14" s="23" t="s">
        <v>24</v>
      </c>
      <c r="I14" s="23" t="s">
        <v>40</v>
      </c>
      <c r="J14" s="23" t="s">
        <v>41</v>
      </c>
      <c r="K14" s="22">
        <v>1</v>
      </c>
      <c r="L14" s="22" t="s">
        <v>45</v>
      </c>
      <c r="M14" s="18">
        <v>2021</v>
      </c>
      <c r="N14" s="18" t="s">
        <v>43</v>
      </c>
      <c r="O14" s="19">
        <v>80</v>
      </c>
      <c r="P14" s="18" t="s">
        <v>23</v>
      </c>
      <c r="Q14" s="19">
        <v>0</v>
      </c>
      <c r="R14" s="18">
        <v>20</v>
      </c>
      <c r="S14" s="22">
        <v>0.2</v>
      </c>
      <c r="T14" s="22">
        <v>0.8</v>
      </c>
      <c r="U14" s="18">
        <v>0</v>
      </c>
    </row>
    <row r="15" spans="1:21" x14ac:dyDescent="0.2">
      <c r="A15" s="23" t="s">
        <v>33</v>
      </c>
      <c r="B15" s="23" t="s">
        <v>34</v>
      </c>
      <c r="C15" s="23" t="s">
        <v>35</v>
      </c>
      <c r="D15" s="23" t="s">
        <v>140</v>
      </c>
      <c r="E15" s="23" t="s">
        <v>141</v>
      </c>
      <c r="F15" s="23" t="s">
        <v>142</v>
      </c>
      <c r="G15" s="23" t="s">
        <v>46</v>
      </c>
      <c r="H15" s="23" t="s">
        <v>24</v>
      </c>
      <c r="I15" s="23" t="s">
        <v>40</v>
      </c>
      <c r="J15" s="23" t="s">
        <v>41</v>
      </c>
      <c r="K15" s="22">
        <v>1</v>
      </c>
      <c r="L15" s="22" t="s">
        <v>45</v>
      </c>
      <c r="M15" s="18">
        <v>2021</v>
      </c>
      <c r="N15" s="18" t="s">
        <v>43</v>
      </c>
      <c r="O15" s="19">
        <v>80</v>
      </c>
      <c r="P15" s="18" t="s">
        <v>23</v>
      </c>
      <c r="Q15" s="19">
        <v>0</v>
      </c>
      <c r="R15" s="18">
        <v>20</v>
      </c>
      <c r="S15" s="22">
        <v>0.2</v>
      </c>
      <c r="T15" s="22">
        <v>0.8</v>
      </c>
      <c r="U15" s="18">
        <v>0</v>
      </c>
    </row>
    <row r="16" spans="1:21" x14ac:dyDescent="0.2">
      <c r="A16" s="23" t="s">
        <v>33</v>
      </c>
      <c r="B16" s="23" t="s">
        <v>34</v>
      </c>
      <c r="C16" s="23" t="s">
        <v>35</v>
      </c>
      <c r="D16" s="23" t="s">
        <v>143</v>
      </c>
      <c r="E16" s="23" t="s">
        <v>144</v>
      </c>
      <c r="F16" s="23" t="s">
        <v>145</v>
      </c>
      <c r="G16" s="23" t="s">
        <v>47</v>
      </c>
      <c r="H16" s="23" t="s">
        <v>24</v>
      </c>
      <c r="I16" s="23" t="s">
        <v>40</v>
      </c>
      <c r="J16" s="23" t="s">
        <v>41</v>
      </c>
      <c r="K16" s="22">
        <v>1</v>
      </c>
      <c r="L16" s="22" t="s">
        <v>45</v>
      </c>
      <c r="M16" s="18">
        <v>2021</v>
      </c>
      <c r="N16" s="18" t="s">
        <v>43</v>
      </c>
      <c r="O16" s="19">
        <v>80</v>
      </c>
      <c r="P16" s="18" t="s">
        <v>23</v>
      </c>
      <c r="Q16" s="19">
        <v>0</v>
      </c>
      <c r="R16" s="18">
        <v>20</v>
      </c>
      <c r="S16" s="22">
        <v>0.2</v>
      </c>
      <c r="T16" s="22">
        <v>0.8</v>
      </c>
      <c r="U16" s="18">
        <v>0</v>
      </c>
    </row>
    <row r="17" spans="1:21" x14ac:dyDescent="0.2">
      <c r="A17" s="23" t="s">
        <v>86</v>
      </c>
      <c r="B17" s="23" t="s">
        <v>87</v>
      </c>
      <c r="C17" s="23" t="s">
        <v>88</v>
      </c>
      <c r="D17" s="23" t="s">
        <v>146</v>
      </c>
      <c r="E17" s="23" t="s">
        <v>147</v>
      </c>
      <c r="F17" s="23" t="s">
        <v>148</v>
      </c>
      <c r="G17" s="23" t="s">
        <v>52</v>
      </c>
      <c r="H17" s="23" t="s">
        <v>22</v>
      </c>
      <c r="I17" s="23" t="s">
        <v>37</v>
      </c>
      <c r="J17" s="23" t="s">
        <v>38</v>
      </c>
      <c r="K17" s="22">
        <v>0.5</v>
      </c>
      <c r="L17" s="22" t="s">
        <v>39</v>
      </c>
      <c r="M17" s="18">
        <v>2021</v>
      </c>
      <c r="N17" s="18" t="s">
        <v>43</v>
      </c>
      <c r="O17" s="19">
        <v>10</v>
      </c>
      <c r="P17" s="18" t="s">
        <v>23</v>
      </c>
      <c r="Q17" s="19">
        <v>0</v>
      </c>
      <c r="R17" s="18">
        <v>90</v>
      </c>
      <c r="S17" s="22">
        <v>0.45</v>
      </c>
      <c r="T17" s="22">
        <v>0.05</v>
      </c>
      <c r="U17" s="18">
        <v>0</v>
      </c>
    </row>
    <row r="18" spans="1:21" x14ac:dyDescent="0.2">
      <c r="A18" s="18" t="s">
        <v>162</v>
      </c>
      <c r="B18" s="18" t="s">
        <v>163</v>
      </c>
      <c r="C18" s="18" t="s">
        <v>164</v>
      </c>
      <c r="D18" s="18" t="s">
        <v>165</v>
      </c>
      <c r="E18" s="18" t="s">
        <v>166</v>
      </c>
      <c r="F18" s="18" t="s">
        <v>167</v>
      </c>
      <c r="G18" s="18" t="s">
        <v>42</v>
      </c>
      <c r="H18" s="18" t="s">
        <v>22</v>
      </c>
      <c r="I18" s="18" t="s">
        <v>25</v>
      </c>
      <c r="J18" s="18" t="s">
        <v>26</v>
      </c>
      <c r="K18" s="22">
        <v>0.5</v>
      </c>
      <c r="L18" s="22" t="s">
        <v>27</v>
      </c>
      <c r="M18" s="18">
        <v>2021</v>
      </c>
      <c r="N18" s="18" t="s">
        <v>43</v>
      </c>
      <c r="O18" s="19">
        <v>10</v>
      </c>
      <c r="P18" s="18" t="s">
        <v>23</v>
      </c>
      <c r="Q18" s="19">
        <v>0</v>
      </c>
      <c r="R18" s="18">
        <v>90</v>
      </c>
      <c r="S18" s="22">
        <v>0.45</v>
      </c>
      <c r="T18" s="22">
        <v>0.05</v>
      </c>
      <c r="U18" s="18">
        <v>0</v>
      </c>
    </row>
    <row r="19" spans="1:21" x14ac:dyDescent="0.2">
      <c r="A19" s="18" t="s">
        <v>33</v>
      </c>
      <c r="B19" s="18" t="s">
        <v>34</v>
      </c>
      <c r="C19" s="18" t="s">
        <v>35</v>
      </c>
      <c r="D19" s="18" t="s">
        <v>168</v>
      </c>
      <c r="E19" s="18" t="s">
        <v>169</v>
      </c>
      <c r="F19" s="18" t="s">
        <v>170</v>
      </c>
      <c r="G19" s="18" t="s">
        <v>171</v>
      </c>
      <c r="H19" s="18" t="s">
        <v>24</v>
      </c>
      <c r="I19" s="18" t="s">
        <v>40</v>
      </c>
      <c r="J19" s="18" t="s">
        <v>41</v>
      </c>
      <c r="K19" s="22">
        <v>1</v>
      </c>
      <c r="L19" s="22" t="s">
        <v>45</v>
      </c>
      <c r="M19" s="18">
        <v>2022</v>
      </c>
      <c r="N19" s="18" t="s">
        <v>43</v>
      </c>
      <c r="O19" s="19">
        <v>80</v>
      </c>
      <c r="P19" s="18" t="s">
        <v>23</v>
      </c>
      <c r="Q19" s="19">
        <v>0</v>
      </c>
      <c r="R19" s="18">
        <v>20</v>
      </c>
      <c r="S19" s="22">
        <v>0.2</v>
      </c>
      <c r="T19" s="22">
        <v>0.8</v>
      </c>
      <c r="U19" s="18">
        <v>0</v>
      </c>
    </row>
    <row r="20" spans="1:21" x14ac:dyDescent="0.2">
      <c r="A20" s="18" t="s">
        <v>33</v>
      </c>
      <c r="B20" s="18" t="s">
        <v>34</v>
      </c>
      <c r="C20" s="18" t="s">
        <v>35</v>
      </c>
      <c r="D20" s="18" t="s">
        <v>172</v>
      </c>
      <c r="E20" s="18" t="s">
        <v>173</v>
      </c>
      <c r="F20" s="18" t="s">
        <v>174</v>
      </c>
      <c r="G20" s="18" t="s">
        <v>175</v>
      </c>
      <c r="H20" s="18" t="s">
        <v>24</v>
      </c>
      <c r="I20" s="18" t="s">
        <v>40</v>
      </c>
      <c r="J20" s="18" t="s">
        <v>41</v>
      </c>
      <c r="K20" s="22">
        <v>1</v>
      </c>
      <c r="L20" s="22" t="s">
        <v>45</v>
      </c>
      <c r="M20" s="18">
        <v>2022</v>
      </c>
      <c r="N20" s="18" t="s">
        <v>43</v>
      </c>
      <c r="O20" s="19">
        <v>80</v>
      </c>
      <c r="P20" s="18" t="s">
        <v>23</v>
      </c>
      <c r="Q20" s="19">
        <v>0</v>
      </c>
      <c r="R20" s="18">
        <v>20</v>
      </c>
      <c r="S20" s="22">
        <v>0.2</v>
      </c>
      <c r="T20" s="22">
        <v>0.8</v>
      </c>
      <c r="U20" s="18">
        <v>0</v>
      </c>
    </row>
    <row r="21" spans="1:21" x14ac:dyDescent="0.2">
      <c r="A21" s="18" t="s">
        <v>33</v>
      </c>
      <c r="B21" s="18" t="s">
        <v>34</v>
      </c>
      <c r="C21" s="18" t="s">
        <v>35</v>
      </c>
      <c r="D21" s="18" t="s">
        <v>158</v>
      </c>
      <c r="E21" s="18" t="s">
        <v>159</v>
      </c>
      <c r="F21" s="18" t="s">
        <v>160</v>
      </c>
      <c r="G21" s="18" t="s">
        <v>112</v>
      </c>
      <c r="H21" s="18" t="s">
        <v>22</v>
      </c>
      <c r="I21" s="18" t="s">
        <v>113</v>
      </c>
      <c r="J21" s="18" t="s">
        <v>161</v>
      </c>
      <c r="K21" s="22">
        <v>0.5</v>
      </c>
      <c r="L21" s="22" t="s">
        <v>43</v>
      </c>
      <c r="M21" s="18">
        <v>2022</v>
      </c>
      <c r="N21" s="18" t="s">
        <v>43</v>
      </c>
      <c r="O21" s="19">
        <v>100</v>
      </c>
      <c r="P21" s="18" t="s">
        <v>23</v>
      </c>
      <c r="Q21" s="19">
        <v>0</v>
      </c>
      <c r="R21" s="18">
        <v>0</v>
      </c>
      <c r="S21" s="22">
        <v>0</v>
      </c>
      <c r="T21" s="22">
        <v>0.5</v>
      </c>
      <c r="U21" s="18">
        <v>0</v>
      </c>
    </row>
    <row r="22" spans="1:21" x14ac:dyDescent="0.2">
      <c r="A22" s="18" t="s">
        <v>33</v>
      </c>
      <c r="B22" s="18" t="s">
        <v>34</v>
      </c>
      <c r="C22" s="18" t="s">
        <v>35</v>
      </c>
      <c r="D22" s="18" t="s">
        <v>176</v>
      </c>
      <c r="E22" s="18" t="s">
        <v>177</v>
      </c>
      <c r="F22" s="18" t="s">
        <v>178</v>
      </c>
      <c r="G22" s="18" t="s">
        <v>179</v>
      </c>
      <c r="H22" s="18" t="s">
        <v>22</v>
      </c>
      <c r="I22" s="18" t="s">
        <v>40</v>
      </c>
      <c r="J22" s="18" t="s">
        <v>41</v>
      </c>
      <c r="K22" s="22">
        <v>0.5</v>
      </c>
      <c r="L22" s="22" t="s">
        <v>45</v>
      </c>
      <c r="M22" s="18">
        <v>2022</v>
      </c>
      <c r="N22" s="18" t="s">
        <v>43</v>
      </c>
      <c r="O22" s="19">
        <v>80</v>
      </c>
      <c r="P22" s="18" t="s">
        <v>23</v>
      </c>
      <c r="Q22" s="19">
        <v>0</v>
      </c>
      <c r="R22" s="18">
        <v>20</v>
      </c>
      <c r="S22" s="22">
        <v>0.1</v>
      </c>
      <c r="T22" s="22">
        <v>0.4</v>
      </c>
      <c r="U22" s="18">
        <v>0</v>
      </c>
    </row>
    <row r="23" spans="1:21" x14ac:dyDescent="0.2">
      <c r="A23" s="18" t="s">
        <v>33</v>
      </c>
      <c r="B23" s="18" t="s">
        <v>34</v>
      </c>
      <c r="C23" s="18" t="s">
        <v>35</v>
      </c>
      <c r="D23" s="18" t="s">
        <v>180</v>
      </c>
      <c r="E23" s="18" t="s">
        <v>181</v>
      </c>
      <c r="F23" s="18" t="s">
        <v>182</v>
      </c>
      <c r="G23" s="18" t="s">
        <v>118</v>
      </c>
      <c r="H23" s="18" t="s">
        <v>24</v>
      </c>
      <c r="I23" s="18" t="s">
        <v>40</v>
      </c>
      <c r="J23" s="18" t="s">
        <v>41</v>
      </c>
      <c r="K23" s="22">
        <v>1</v>
      </c>
      <c r="L23" s="22" t="s">
        <v>45</v>
      </c>
      <c r="M23" s="18">
        <v>2022</v>
      </c>
      <c r="N23" s="18" t="s">
        <v>43</v>
      </c>
      <c r="O23" s="19">
        <v>80</v>
      </c>
      <c r="P23" s="18" t="s">
        <v>23</v>
      </c>
      <c r="Q23" s="19">
        <v>0</v>
      </c>
      <c r="R23" s="18">
        <v>20</v>
      </c>
      <c r="S23" s="22">
        <v>0.2</v>
      </c>
      <c r="T23" s="22">
        <v>0.8</v>
      </c>
      <c r="U23" s="18">
        <v>0</v>
      </c>
    </row>
    <row r="24" spans="1:21" x14ac:dyDescent="0.2">
      <c r="A24" s="18" t="s">
        <v>33</v>
      </c>
      <c r="B24" s="18" t="s">
        <v>34</v>
      </c>
      <c r="C24" s="18" t="s">
        <v>35</v>
      </c>
      <c r="D24" s="18" t="s">
        <v>183</v>
      </c>
      <c r="E24" s="18" t="s">
        <v>184</v>
      </c>
      <c r="F24" s="18" t="s">
        <v>185</v>
      </c>
      <c r="G24" s="18" t="s">
        <v>49</v>
      </c>
      <c r="H24" s="18" t="s">
        <v>22</v>
      </c>
      <c r="I24" s="18" t="s">
        <v>40</v>
      </c>
      <c r="J24" s="18" t="s">
        <v>41</v>
      </c>
      <c r="K24" s="18">
        <v>0.5</v>
      </c>
      <c r="L24" s="18" t="s">
        <v>45</v>
      </c>
      <c r="M24" s="19">
        <v>2022</v>
      </c>
      <c r="N24" s="18" t="s">
        <v>43</v>
      </c>
      <c r="O24" s="19">
        <v>80</v>
      </c>
      <c r="P24" s="18" t="s">
        <v>23</v>
      </c>
      <c r="Q24" s="19">
        <v>0</v>
      </c>
      <c r="R24" s="18">
        <v>20</v>
      </c>
      <c r="S24" s="25">
        <v>0.1</v>
      </c>
      <c r="T24" s="22">
        <v>0.4</v>
      </c>
      <c r="U24" s="18">
        <v>0</v>
      </c>
    </row>
    <row r="25" spans="1:21" x14ac:dyDescent="0.2">
      <c r="A25" s="18" t="s">
        <v>33</v>
      </c>
      <c r="B25" s="18" t="s">
        <v>34</v>
      </c>
      <c r="C25" s="18" t="s">
        <v>35</v>
      </c>
      <c r="D25" s="18" t="s">
        <v>186</v>
      </c>
      <c r="E25" s="18" t="s">
        <v>187</v>
      </c>
      <c r="F25" s="18" t="s">
        <v>188</v>
      </c>
      <c r="G25" s="18" t="s">
        <v>44</v>
      </c>
      <c r="H25" s="18" t="s">
        <v>24</v>
      </c>
      <c r="I25" s="18" t="s">
        <v>40</v>
      </c>
      <c r="J25" s="18" t="s">
        <v>41</v>
      </c>
      <c r="K25" s="18">
        <v>1</v>
      </c>
      <c r="L25" s="18" t="s">
        <v>45</v>
      </c>
      <c r="M25" s="19">
        <v>2022</v>
      </c>
      <c r="N25" s="18" t="s">
        <v>43</v>
      </c>
      <c r="O25" s="19">
        <v>80</v>
      </c>
      <c r="P25" s="18" t="s">
        <v>23</v>
      </c>
      <c r="Q25" s="19">
        <v>0</v>
      </c>
      <c r="R25" s="18">
        <v>20</v>
      </c>
      <c r="S25" s="18">
        <v>0.2</v>
      </c>
      <c r="T25" s="18">
        <v>0.8</v>
      </c>
      <c r="U25" s="18">
        <v>0</v>
      </c>
    </row>
    <row r="26" spans="1:21" x14ac:dyDescent="0.2">
      <c r="A26" s="18" t="s">
        <v>33</v>
      </c>
      <c r="B26" s="18" t="s">
        <v>34</v>
      </c>
      <c r="C26" s="18" t="s">
        <v>35</v>
      </c>
      <c r="D26" s="18" t="s">
        <v>189</v>
      </c>
      <c r="E26" s="18" t="s">
        <v>190</v>
      </c>
      <c r="F26" s="18" t="s">
        <v>191</v>
      </c>
      <c r="G26" s="18" t="s">
        <v>49</v>
      </c>
      <c r="H26" s="18" t="s">
        <v>24</v>
      </c>
      <c r="I26" s="18" t="s">
        <v>40</v>
      </c>
      <c r="J26" s="18" t="s">
        <v>41</v>
      </c>
      <c r="K26" s="18">
        <v>1</v>
      </c>
      <c r="L26" s="18" t="s">
        <v>45</v>
      </c>
      <c r="M26" s="19">
        <v>2022</v>
      </c>
      <c r="N26" s="18" t="s">
        <v>43</v>
      </c>
      <c r="O26" s="19">
        <v>80</v>
      </c>
      <c r="P26" s="18" t="s">
        <v>23</v>
      </c>
      <c r="Q26" s="19">
        <v>0</v>
      </c>
      <c r="R26" s="18">
        <v>20</v>
      </c>
      <c r="S26" s="18">
        <v>0.2</v>
      </c>
      <c r="T26" s="18">
        <v>0.8</v>
      </c>
      <c r="U26" s="18">
        <v>0</v>
      </c>
    </row>
    <row r="27" spans="1:21" x14ac:dyDescent="0.2">
      <c r="A27" s="18" t="s">
        <v>274</v>
      </c>
      <c r="B27" s="18" t="s">
        <v>275</v>
      </c>
      <c r="C27" s="18" t="s">
        <v>276</v>
      </c>
      <c r="D27" s="18" t="s">
        <v>277</v>
      </c>
      <c r="E27" s="18" t="s">
        <v>278</v>
      </c>
      <c r="F27" s="18" t="s">
        <v>279</v>
      </c>
      <c r="G27" s="18" t="s">
        <v>193</v>
      </c>
      <c r="H27" s="18" t="s">
        <v>280</v>
      </c>
      <c r="I27" s="18" t="s">
        <v>192</v>
      </c>
      <c r="J27" s="18" t="s">
        <v>281</v>
      </c>
      <c r="K27" s="18">
        <v>1</v>
      </c>
      <c r="L27" s="18" t="s">
        <v>192</v>
      </c>
      <c r="M27" s="18">
        <v>2023</v>
      </c>
      <c r="N27" s="18" t="s">
        <v>43</v>
      </c>
      <c r="O27" s="18" t="s">
        <v>282</v>
      </c>
      <c r="P27" s="18" t="s">
        <v>23</v>
      </c>
      <c r="Q27" s="18" t="s">
        <v>23</v>
      </c>
      <c r="R27" s="18">
        <v>50</v>
      </c>
      <c r="S27" s="18">
        <v>0.5</v>
      </c>
      <c r="T27" s="18">
        <v>0.5</v>
      </c>
      <c r="U27" s="18">
        <v>0</v>
      </c>
    </row>
    <row r="28" spans="1:21" x14ac:dyDescent="0.2">
      <c r="A28" s="18" t="s">
        <v>264</v>
      </c>
      <c r="B28" s="18" t="s">
        <v>265</v>
      </c>
      <c r="C28" s="18" t="s">
        <v>266</v>
      </c>
      <c r="D28" s="18" t="s">
        <v>267</v>
      </c>
      <c r="E28" s="18" t="s">
        <v>268</v>
      </c>
      <c r="F28" s="18" t="s">
        <v>269</v>
      </c>
      <c r="G28" s="18" t="s">
        <v>125</v>
      </c>
      <c r="H28" s="18" t="s">
        <v>270</v>
      </c>
      <c r="I28" s="18" t="s">
        <v>271</v>
      </c>
      <c r="J28" s="18" t="s">
        <v>272</v>
      </c>
      <c r="K28" s="18">
        <v>0.5</v>
      </c>
      <c r="L28" s="18" t="s">
        <v>43</v>
      </c>
      <c r="M28" s="18">
        <v>2023</v>
      </c>
      <c r="N28" s="18" t="s">
        <v>43</v>
      </c>
      <c r="O28" s="18" t="s">
        <v>273</v>
      </c>
      <c r="P28" s="18" t="s">
        <v>23</v>
      </c>
      <c r="Q28" s="18" t="s">
        <v>23</v>
      </c>
      <c r="R28" s="18">
        <v>0</v>
      </c>
      <c r="S28" s="18">
        <v>0</v>
      </c>
      <c r="T28" s="18">
        <v>0.5</v>
      </c>
      <c r="U28" s="18">
        <v>0</v>
      </c>
    </row>
    <row r="29" spans="1:21" x14ac:dyDescent="0.2">
      <c r="A29" s="18" t="s">
        <v>264</v>
      </c>
      <c r="B29" s="18" t="s">
        <v>265</v>
      </c>
      <c r="C29" s="18" t="s">
        <v>266</v>
      </c>
      <c r="D29" s="18" t="s">
        <v>283</v>
      </c>
      <c r="E29" s="18" t="s">
        <v>284</v>
      </c>
      <c r="F29" s="18" t="s">
        <v>285</v>
      </c>
      <c r="G29" s="18" t="s">
        <v>71</v>
      </c>
      <c r="H29" s="18" t="s">
        <v>270</v>
      </c>
      <c r="I29" s="18" t="s">
        <v>45</v>
      </c>
      <c r="J29" s="18" t="s">
        <v>286</v>
      </c>
      <c r="K29" s="18">
        <v>0.5</v>
      </c>
      <c r="L29" s="18" t="s">
        <v>45</v>
      </c>
      <c r="M29" s="18">
        <v>2023</v>
      </c>
      <c r="N29" s="18" t="s">
        <v>43</v>
      </c>
      <c r="O29" s="18" t="s">
        <v>32</v>
      </c>
      <c r="P29" s="18" t="s">
        <v>23</v>
      </c>
      <c r="Q29" s="18" t="s">
        <v>23</v>
      </c>
      <c r="R29" s="18">
        <v>20</v>
      </c>
      <c r="S29" s="18">
        <v>0.1</v>
      </c>
      <c r="T29" s="18">
        <v>0.4</v>
      </c>
      <c r="U29" s="18">
        <v>0</v>
      </c>
    </row>
    <row r="30" spans="1:21" x14ac:dyDescent="0.2">
      <c r="A30" s="18" t="s">
        <v>264</v>
      </c>
      <c r="B30" s="18" t="s">
        <v>265</v>
      </c>
      <c r="C30" s="18" t="s">
        <v>266</v>
      </c>
      <c r="D30" s="18" t="s">
        <v>287</v>
      </c>
      <c r="E30" s="18" t="s">
        <v>288</v>
      </c>
      <c r="F30" s="18" t="s">
        <v>289</v>
      </c>
      <c r="G30" s="18" t="s">
        <v>79</v>
      </c>
      <c r="H30" s="18" t="s">
        <v>270</v>
      </c>
      <c r="I30" s="18" t="s">
        <v>45</v>
      </c>
      <c r="J30" s="18" t="s">
        <v>286</v>
      </c>
      <c r="K30" s="18">
        <v>0.5</v>
      </c>
      <c r="L30" s="18" t="s">
        <v>45</v>
      </c>
      <c r="M30" s="18">
        <v>2023</v>
      </c>
      <c r="N30" s="18" t="s">
        <v>43</v>
      </c>
      <c r="O30" s="18" t="s">
        <v>32</v>
      </c>
      <c r="P30" s="18" t="s">
        <v>23</v>
      </c>
      <c r="Q30" s="18" t="s">
        <v>23</v>
      </c>
      <c r="R30" s="18">
        <v>20</v>
      </c>
      <c r="S30" s="18">
        <v>0.1</v>
      </c>
      <c r="T30" s="18">
        <v>0.4</v>
      </c>
      <c r="U30" s="18">
        <v>0</v>
      </c>
    </row>
    <row r="31" spans="1:21" x14ac:dyDescent="0.2">
      <c r="A31" s="18" t="s">
        <v>264</v>
      </c>
      <c r="B31" s="18" t="s">
        <v>265</v>
      </c>
      <c r="C31" s="18" t="s">
        <v>266</v>
      </c>
      <c r="D31" s="18" t="s">
        <v>290</v>
      </c>
      <c r="E31" s="18" t="s">
        <v>291</v>
      </c>
      <c r="F31" s="18" t="s">
        <v>292</v>
      </c>
      <c r="G31" s="18" t="s">
        <v>93</v>
      </c>
      <c r="H31" s="18" t="s">
        <v>270</v>
      </c>
      <c r="I31" s="18" t="s">
        <v>45</v>
      </c>
      <c r="J31" s="18" t="s">
        <v>286</v>
      </c>
      <c r="K31" s="18">
        <v>0.5</v>
      </c>
      <c r="L31" s="18" t="s">
        <v>45</v>
      </c>
      <c r="M31" s="18">
        <v>2023</v>
      </c>
      <c r="N31" s="18" t="s">
        <v>43</v>
      </c>
      <c r="O31" s="18" t="s">
        <v>32</v>
      </c>
      <c r="P31" s="18" t="s">
        <v>23</v>
      </c>
      <c r="Q31" s="18" t="s">
        <v>23</v>
      </c>
      <c r="R31" s="18">
        <v>20</v>
      </c>
      <c r="S31" s="18">
        <v>0.1</v>
      </c>
      <c r="T31" s="18">
        <v>0.4</v>
      </c>
      <c r="U31" s="18">
        <v>0</v>
      </c>
    </row>
    <row r="32" spans="1:21" x14ac:dyDescent="0.2">
      <c r="A32" s="18" t="s">
        <v>264</v>
      </c>
      <c r="B32" s="18" t="s">
        <v>265</v>
      </c>
      <c r="C32" s="18" t="s">
        <v>266</v>
      </c>
      <c r="D32" s="18" t="s">
        <v>290</v>
      </c>
      <c r="E32" s="18" t="s">
        <v>291</v>
      </c>
      <c r="F32" s="18" t="s">
        <v>292</v>
      </c>
      <c r="G32" s="18" t="s">
        <v>68</v>
      </c>
      <c r="H32" s="18" t="s">
        <v>270</v>
      </c>
      <c r="I32" s="18" t="s">
        <v>45</v>
      </c>
      <c r="J32" s="18" t="s">
        <v>286</v>
      </c>
      <c r="K32" s="18">
        <v>0.5</v>
      </c>
      <c r="L32" s="18" t="s">
        <v>45</v>
      </c>
      <c r="M32" s="18">
        <v>2023</v>
      </c>
      <c r="N32" s="18" t="s">
        <v>43</v>
      </c>
      <c r="O32" s="18" t="s">
        <v>32</v>
      </c>
      <c r="P32" s="18" t="s">
        <v>23</v>
      </c>
      <c r="Q32" s="18" t="s">
        <v>23</v>
      </c>
      <c r="R32" s="18">
        <v>20</v>
      </c>
      <c r="S32" s="18">
        <v>0.1</v>
      </c>
      <c r="T32" s="18">
        <v>0.4</v>
      </c>
      <c r="U32" s="18">
        <v>0</v>
      </c>
    </row>
    <row r="33" spans="1:21" x14ac:dyDescent="0.2">
      <c r="A33" s="18" t="s">
        <v>293</v>
      </c>
      <c r="B33" s="18" t="s">
        <v>294</v>
      </c>
      <c r="C33" s="18" t="s">
        <v>266</v>
      </c>
      <c r="D33" s="18" t="s">
        <v>295</v>
      </c>
      <c r="E33" s="18" t="s">
        <v>296</v>
      </c>
      <c r="F33" s="18" t="s">
        <v>297</v>
      </c>
      <c r="G33" s="18" t="s">
        <v>70</v>
      </c>
      <c r="H33" s="18" t="s">
        <v>280</v>
      </c>
      <c r="I33" s="18" t="s">
        <v>45</v>
      </c>
      <c r="J33" s="18" t="s">
        <v>286</v>
      </c>
      <c r="K33" s="18">
        <v>1</v>
      </c>
      <c r="L33" s="18" t="s">
        <v>45</v>
      </c>
      <c r="M33" s="18">
        <v>2023</v>
      </c>
      <c r="N33" s="18" t="s">
        <v>43</v>
      </c>
      <c r="O33" s="18" t="s">
        <v>32</v>
      </c>
      <c r="P33" s="18" t="s">
        <v>23</v>
      </c>
      <c r="Q33" s="18" t="s">
        <v>23</v>
      </c>
      <c r="R33" s="18">
        <v>20</v>
      </c>
      <c r="S33" s="18">
        <v>0.2</v>
      </c>
      <c r="T33" s="18">
        <v>0.8</v>
      </c>
      <c r="U33" s="18">
        <v>0</v>
      </c>
    </row>
    <row r="34" spans="1:21" x14ac:dyDescent="0.2">
      <c r="A34" s="18" t="s">
        <v>293</v>
      </c>
      <c r="B34" s="18" t="s">
        <v>294</v>
      </c>
      <c r="C34" s="18" t="s">
        <v>298</v>
      </c>
      <c r="D34" s="18" t="s">
        <v>299</v>
      </c>
      <c r="E34" s="18" t="s">
        <v>300</v>
      </c>
      <c r="F34" s="18" t="s">
        <v>301</v>
      </c>
      <c r="G34" s="18" t="s">
        <v>75</v>
      </c>
      <c r="H34" s="18" t="s">
        <v>270</v>
      </c>
      <c r="I34" s="18" t="s">
        <v>45</v>
      </c>
      <c r="J34" s="18" t="s">
        <v>286</v>
      </c>
      <c r="K34" s="18">
        <v>0.5</v>
      </c>
      <c r="L34" s="18" t="s">
        <v>45</v>
      </c>
      <c r="M34" s="18">
        <v>2023</v>
      </c>
      <c r="N34" s="18" t="s">
        <v>43</v>
      </c>
      <c r="O34" s="18" t="s">
        <v>32</v>
      </c>
      <c r="P34" s="18" t="s">
        <v>23</v>
      </c>
      <c r="Q34" s="18" t="s">
        <v>23</v>
      </c>
      <c r="R34" s="18">
        <v>20</v>
      </c>
      <c r="S34" s="18">
        <v>0.1</v>
      </c>
      <c r="T34" s="18">
        <v>0.4</v>
      </c>
      <c r="U34" s="18">
        <v>0</v>
      </c>
    </row>
    <row r="35" spans="1:21" x14ac:dyDescent="0.2">
      <c r="A35" s="18" t="s">
        <v>264</v>
      </c>
      <c r="B35" s="18" t="s">
        <v>382</v>
      </c>
      <c r="C35" s="18" t="s">
        <v>266</v>
      </c>
      <c r="D35" s="18" t="s">
        <v>383</v>
      </c>
      <c r="E35" s="18" t="s">
        <v>384</v>
      </c>
      <c r="F35" s="18" t="s">
        <v>385</v>
      </c>
      <c r="G35" s="18" t="s">
        <v>68</v>
      </c>
      <c r="H35" s="18" t="s">
        <v>270</v>
      </c>
      <c r="I35" s="18" t="s">
        <v>45</v>
      </c>
      <c r="J35" s="18" t="s">
        <v>386</v>
      </c>
      <c r="K35" s="18">
        <v>0.5</v>
      </c>
      <c r="L35" s="18" t="s">
        <v>45</v>
      </c>
      <c r="M35" s="18">
        <v>2024</v>
      </c>
      <c r="N35" s="18" t="s">
        <v>43</v>
      </c>
      <c r="O35" s="18" t="s">
        <v>32</v>
      </c>
      <c r="P35" s="18" t="s">
        <v>23</v>
      </c>
      <c r="Q35" s="18" t="s">
        <v>23</v>
      </c>
      <c r="R35" s="18">
        <v>20</v>
      </c>
      <c r="S35" s="18">
        <v>0.1</v>
      </c>
      <c r="T35" s="18">
        <v>0.4</v>
      </c>
      <c r="U35" s="18">
        <v>0</v>
      </c>
    </row>
    <row r="36" spans="1:21" x14ac:dyDescent="0.2">
      <c r="A36" s="18" t="s">
        <v>264</v>
      </c>
      <c r="B36" s="18" t="s">
        <v>382</v>
      </c>
      <c r="C36" s="18" t="s">
        <v>266</v>
      </c>
      <c r="D36" s="18" t="s">
        <v>387</v>
      </c>
      <c r="E36" s="18" t="s">
        <v>388</v>
      </c>
      <c r="F36" s="18" t="s">
        <v>389</v>
      </c>
      <c r="G36" s="18" t="s">
        <v>71</v>
      </c>
      <c r="H36" s="18" t="s">
        <v>280</v>
      </c>
      <c r="I36" s="18" t="s">
        <v>45</v>
      </c>
      <c r="J36" s="18" t="s">
        <v>386</v>
      </c>
      <c r="K36" s="18">
        <v>1</v>
      </c>
      <c r="L36" s="18" t="s">
        <v>45</v>
      </c>
      <c r="M36" s="18">
        <v>2024</v>
      </c>
      <c r="N36" s="18" t="s">
        <v>43</v>
      </c>
      <c r="O36" s="18" t="s">
        <v>32</v>
      </c>
      <c r="P36" s="18" t="s">
        <v>23</v>
      </c>
      <c r="Q36" s="18" t="s">
        <v>23</v>
      </c>
      <c r="R36" s="18">
        <v>20</v>
      </c>
      <c r="S36" s="18">
        <v>0.2</v>
      </c>
      <c r="T36" s="18">
        <v>0.8</v>
      </c>
      <c r="U36" s="18">
        <v>0</v>
      </c>
    </row>
    <row r="37" spans="1:21" x14ac:dyDescent="0.2">
      <c r="A37" s="18" t="s">
        <v>264</v>
      </c>
      <c r="B37" s="18" t="s">
        <v>382</v>
      </c>
      <c r="C37" s="18" t="s">
        <v>266</v>
      </c>
      <c r="D37" s="18" t="s">
        <v>390</v>
      </c>
      <c r="E37" s="18" t="s">
        <v>391</v>
      </c>
      <c r="F37" s="18" t="s">
        <v>392</v>
      </c>
      <c r="G37" s="18" t="s">
        <v>393</v>
      </c>
      <c r="H37" s="18" t="s">
        <v>270</v>
      </c>
      <c r="I37" s="18" t="s">
        <v>394</v>
      </c>
      <c r="J37" s="18" t="s">
        <v>395</v>
      </c>
      <c r="K37" s="18">
        <v>0.5</v>
      </c>
      <c r="L37" s="18" t="s">
        <v>394</v>
      </c>
      <c r="M37" s="18">
        <v>2024</v>
      </c>
      <c r="N37" s="18" t="s">
        <v>43</v>
      </c>
      <c r="O37" s="18" t="s">
        <v>282</v>
      </c>
      <c r="P37" s="18" t="s">
        <v>23</v>
      </c>
      <c r="Q37" s="18" t="s">
        <v>23</v>
      </c>
      <c r="R37" s="18">
        <v>50</v>
      </c>
      <c r="S37" s="18">
        <v>0.25</v>
      </c>
      <c r="T37" s="18">
        <v>0.25</v>
      </c>
      <c r="U37" s="18">
        <v>0</v>
      </c>
    </row>
    <row r="38" spans="1:21" x14ac:dyDescent="0.2">
      <c r="A38" s="18" t="s">
        <v>264</v>
      </c>
      <c r="B38" s="18" t="s">
        <v>382</v>
      </c>
      <c r="C38" s="18" t="s">
        <v>266</v>
      </c>
      <c r="D38" s="18" t="s">
        <v>390</v>
      </c>
      <c r="E38" s="18" t="s">
        <v>391</v>
      </c>
      <c r="F38" s="18" t="s">
        <v>392</v>
      </c>
      <c r="G38" s="18" t="s">
        <v>76</v>
      </c>
      <c r="H38" s="18" t="s">
        <v>270</v>
      </c>
      <c r="I38" s="18" t="s">
        <v>45</v>
      </c>
      <c r="J38" s="18" t="s">
        <v>386</v>
      </c>
      <c r="K38" s="18">
        <v>0.5</v>
      </c>
      <c r="L38" s="18" t="s">
        <v>45</v>
      </c>
      <c r="M38" s="18">
        <v>2024</v>
      </c>
      <c r="N38" s="18" t="s">
        <v>43</v>
      </c>
      <c r="O38" s="18" t="s">
        <v>32</v>
      </c>
      <c r="P38" s="18" t="s">
        <v>23</v>
      </c>
      <c r="Q38" s="18" t="s">
        <v>23</v>
      </c>
      <c r="R38" s="18">
        <v>20</v>
      </c>
      <c r="S38" s="18">
        <v>0.1</v>
      </c>
      <c r="T38" s="18">
        <v>0.4</v>
      </c>
      <c r="U38" s="18">
        <v>0</v>
      </c>
    </row>
    <row r="39" spans="1:21" x14ac:dyDescent="0.2">
      <c r="A39" s="18" t="s">
        <v>264</v>
      </c>
      <c r="B39" s="18" t="s">
        <v>382</v>
      </c>
      <c r="C39" s="18" t="s">
        <v>266</v>
      </c>
      <c r="D39" s="18" t="s">
        <v>396</v>
      </c>
      <c r="E39" s="18" t="s">
        <v>397</v>
      </c>
      <c r="F39" s="18" t="s">
        <v>398</v>
      </c>
      <c r="G39" s="18" t="s">
        <v>75</v>
      </c>
      <c r="H39" s="18" t="s">
        <v>270</v>
      </c>
      <c r="I39" s="18" t="s">
        <v>45</v>
      </c>
      <c r="J39" s="18" t="s">
        <v>386</v>
      </c>
      <c r="K39" s="18">
        <v>0.5</v>
      </c>
      <c r="L39" s="18" t="s">
        <v>45</v>
      </c>
      <c r="M39" s="18">
        <v>2024</v>
      </c>
      <c r="N39" s="18" t="s">
        <v>43</v>
      </c>
      <c r="O39" s="18" t="s">
        <v>32</v>
      </c>
      <c r="P39" s="18" t="s">
        <v>23</v>
      </c>
      <c r="Q39" s="18" t="s">
        <v>23</v>
      </c>
      <c r="R39" s="18">
        <v>20</v>
      </c>
      <c r="S39" s="18">
        <v>0.1</v>
      </c>
      <c r="T39" s="18">
        <v>0.4</v>
      </c>
      <c r="U39" s="18">
        <v>0</v>
      </c>
    </row>
    <row r="40" spans="1:21" x14ac:dyDescent="0.2">
      <c r="A40" s="18" t="s">
        <v>264</v>
      </c>
      <c r="B40" s="18" t="s">
        <v>382</v>
      </c>
      <c r="C40" s="18" t="s">
        <v>266</v>
      </c>
      <c r="D40" s="18" t="s">
        <v>399</v>
      </c>
      <c r="E40" s="18" t="s">
        <v>400</v>
      </c>
      <c r="F40" s="18" t="s">
        <v>401</v>
      </c>
      <c r="G40" s="18" t="s">
        <v>79</v>
      </c>
      <c r="H40" s="18" t="s">
        <v>280</v>
      </c>
      <c r="I40" s="18" t="s">
        <v>45</v>
      </c>
      <c r="J40" s="18" t="s">
        <v>386</v>
      </c>
      <c r="K40" s="18">
        <v>1</v>
      </c>
      <c r="L40" s="18" t="s">
        <v>45</v>
      </c>
      <c r="M40" s="18">
        <v>2024</v>
      </c>
      <c r="N40" s="18" t="s">
        <v>43</v>
      </c>
      <c r="O40" s="18" t="s">
        <v>32</v>
      </c>
      <c r="P40" s="18" t="s">
        <v>23</v>
      </c>
      <c r="Q40" s="18" t="s">
        <v>23</v>
      </c>
      <c r="R40" s="18">
        <v>20</v>
      </c>
      <c r="S40" s="18">
        <v>0.2</v>
      </c>
      <c r="T40" s="18">
        <v>0.8</v>
      </c>
      <c r="U40" s="18">
        <v>0</v>
      </c>
    </row>
    <row r="41" spans="1:21" x14ac:dyDescent="0.2">
      <c r="A41" s="18" t="s">
        <v>264</v>
      </c>
      <c r="B41" s="18" t="s">
        <v>382</v>
      </c>
      <c r="C41" s="18" t="s">
        <v>266</v>
      </c>
      <c r="D41" s="18" t="s">
        <v>402</v>
      </c>
      <c r="E41" s="18" t="s">
        <v>403</v>
      </c>
      <c r="F41" s="18" t="s">
        <v>404</v>
      </c>
      <c r="G41" s="18" t="s">
        <v>68</v>
      </c>
      <c r="H41" s="18" t="s">
        <v>280</v>
      </c>
      <c r="I41" s="18" t="s">
        <v>45</v>
      </c>
      <c r="J41" s="18" t="s">
        <v>386</v>
      </c>
      <c r="K41" s="18">
        <v>1</v>
      </c>
      <c r="L41" s="18" t="s">
        <v>45</v>
      </c>
      <c r="M41" s="18">
        <v>2024</v>
      </c>
      <c r="N41" s="18" t="s">
        <v>43</v>
      </c>
      <c r="O41" s="18" t="s">
        <v>32</v>
      </c>
      <c r="P41" s="18" t="s">
        <v>23</v>
      </c>
      <c r="Q41" s="18" t="s">
        <v>23</v>
      </c>
      <c r="R41" s="18">
        <v>20</v>
      </c>
      <c r="S41" s="18">
        <v>0.2</v>
      </c>
      <c r="T41" s="18">
        <v>0.8</v>
      </c>
      <c r="U41" s="18">
        <v>0</v>
      </c>
    </row>
    <row r="42" spans="1:21" x14ac:dyDescent="0.2">
      <c r="A42" s="26"/>
      <c r="B42" s="26"/>
      <c r="C42" s="26"/>
      <c r="D42" s="26"/>
      <c r="E42" s="26"/>
      <c r="F42" s="26"/>
      <c r="G42" s="26"/>
      <c r="H42" s="26"/>
      <c r="I42" s="26"/>
      <c r="J42" s="26"/>
      <c r="K42" s="26"/>
      <c r="L42" s="26"/>
      <c r="M42" s="27"/>
      <c r="N42" s="26"/>
      <c r="O42" s="27"/>
      <c r="P42" s="26"/>
      <c r="Q42" s="27"/>
      <c r="R42" s="26"/>
      <c r="S42" s="26"/>
      <c r="T42" s="28">
        <f>SUM(T2:T41)</f>
        <v>20.900000000000002</v>
      </c>
      <c r="U42" s="26"/>
    </row>
  </sheetData>
  <autoFilter ref="A1:U42" xr:uid="{00000000-0009-0000-0000-000000000000}">
    <sortState xmlns:xlrd2="http://schemas.microsoft.com/office/spreadsheetml/2017/richdata2" ref="A2:S920">
      <sortCondition ref="L2:L920"/>
      <sortCondition ref="N2:N920"/>
    </sortState>
  </autoFilter>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4"/>
  <sheetViews>
    <sheetView zoomScaleNormal="100" workbookViewId="0">
      <selection activeCell="O28" sqref="O28"/>
    </sheetView>
  </sheetViews>
  <sheetFormatPr baseColWidth="10" defaultColWidth="11.42578125" defaultRowHeight="12.75" x14ac:dyDescent="0.2"/>
  <cols>
    <col min="1" max="1" width="10.85546875" style="11" bestFit="1" customWidth="1"/>
    <col min="2" max="2" width="36.140625" style="11" bestFit="1" customWidth="1"/>
    <col min="3" max="3" width="17" style="11" bestFit="1" customWidth="1"/>
    <col min="4" max="9" width="3.28515625" style="11" bestFit="1" customWidth="1"/>
    <col min="10" max="10" width="13.140625" style="11" bestFit="1" customWidth="1"/>
    <col min="11" max="11" width="5.28515625" style="11" bestFit="1" customWidth="1"/>
    <col min="12" max="12" width="5.7109375" style="11" bestFit="1" customWidth="1"/>
    <col min="13" max="14" width="5.7109375" style="12" bestFit="1" customWidth="1"/>
    <col min="15" max="15" width="5.7109375" style="11" bestFit="1" customWidth="1"/>
    <col min="16" max="16" width="5.7109375" style="12" bestFit="1" customWidth="1"/>
    <col min="17" max="19" width="5.7109375" style="11" bestFit="1" customWidth="1"/>
    <col min="20" max="16384" width="11.42578125" style="11"/>
  </cols>
  <sheetData>
    <row r="1" spans="1:20" s="10" customFormat="1" ht="65.099999999999994" customHeight="1" x14ac:dyDescent="0.2">
      <c r="A1" s="13" t="s">
        <v>53</v>
      </c>
      <c r="B1" s="13" t="s">
        <v>54</v>
      </c>
      <c r="C1" s="13" t="s">
        <v>55</v>
      </c>
      <c r="D1" s="14" t="s">
        <v>405</v>
      </c>
      <c r="E1" s="14" t="s">
        <v>406</v>
      </c>
      <c r="F1" s="14" t="s">
        <v>407</v>
      </c>
      <c r="G1" s="14" t="s">
        <v>408</v>
      </c>
      <c r="H1" s="14" t="s">
        <v>409</v>
      </c>
      <c r="I1" s="14" t="s">
        <v>410</v>
      </c>
      <c r="J1" s="13" t="s">
        <v>56</v>
      </c>
      <c r="K1" s="15" t="s">
        <v>94</v>
      </c>
      <c r="L1" s="8" t="s">
        <v>57</v>
      </c>
      <c r="M1" s="8" t="s">
        <v>58</v>
      </c>
      <c r="N1" s="8" t="s">
        <v>59</v>
      </c>
      <c r="O1" s="8" t="s">
        <v>60</v>
      </c>
      <c r="P1" s="9" t="s">
        <v>61</v>
      </c>
      <c r="Q1" s="9" t="s">
        <v>62</v>
      </c>
      <c r="R1" s="9" t="s">
        <v>63</v>
      </c>
      <c r="S1" s="9" t="s">
        <v>64</v>
      </c>
      <c r="T1" s="11"/>
    </row>
    <row r="2" spans="1:20" s="56" customFormat="1" ht="15" x14ac:dyDescent="0.25">
      <c r="A2" s="54" t="s">
        <v>74</v>
      </c>
      <c r="B2" s="54" t="s">
        <v>411</v>
      </c>
      <c r="C2" s="55" t="s">
        <v>65</v>
      </c>
      <c r="D2" s="54"/>
      <c r="E2" s="54">
        <v>1</v>
      </c>
      <c r="F2" s="54"/>
      <c r="G2" s="54"/>
      <c r="H2" s="54"/>
      <c r="I2" s="54"/>
      <c r="J2" s="51">
        <v>1</v>
      </c>
      <c r="K2" s="51" t="s">
        <v>45</v>
      </c>
      <c r="L2" s="52" t="s">
        <v>43</v>
      </c>
      <c r="M2" s="52" t="s">
        <v>32</v>
      </c>
      <c r="N2" s="52" t="s">
        <v>23</v>
      </c>
      <c r="O2" s="52" t="s">
        <v>23</v>
      </c>
      <c r="P2" s="52">
        <v>20</v>
      </c>
      <c r="Q2" s="53">
        <v>0.8</v>
      </c>
      <c r="R2" s="52">
        <v>0</v>
      </c>
      <c r="S2" s="52">
        <v>0.2</v>
      </c>
    </row>
    <row r="3" spans="1:20" ht="15" x14ac:dyDescent="0.25">
      <c r="A3" s="16" t="s">
        <v>67</v>
      </c>
      <c r="B3" s="16" t="s">
        <v>412</v>
      </c>
      <c r="C3" s="16" t="s">
        <v>413</v>
      </c>
      <c r="D3" s="16"/>
      <c r="E3" s="16"/>
      <c r="F3" s="16"/>
      <c r="G3" s="16"/>
      <c r="H3" s="16"/>
      <c r="I3" s="16">
        <v>1</v>
      </c>
      <c r="J3" s="16">
        <v>1</v>
      </c>
      <c r="K3" s="16" t="s">
        <v>27</v>
      </c>
      <c r="L3" s="17" t="s">
        <v>43</v>
      </c>
      <c r="M3" s="17" t="s">
        <v>31</v>
      </c>
      <c r="N3" s="17" t="s">
        <v>23</v>
      </c>
      <c r="O3" s="17" t="s">
        <v>23</v>
      </c>
      <c r="P3" s="17">
        <v>90</v>
      </c>
      <c r="Q3" s="37">
        <v>0.1</v>
      </c>
      <c r="R3" s="17">
        <v>0</v>
      </c>
      <c r="S3" s="17">
        <v>0.9</v>
      </c>
    </row>
    <row r="4" spans="1:20" ht="15" x14ac:dyDescent="0.25">
      <c r="A4" s="16" t="s">
        <v>393</v>
      </c>
      <c r="B4" s="16" t="s">
        <v>414</v>
      </c>
      <c r="C4" s="16" t="s">
        <v>65</v>
      </c>
      <c r="D4" s="16"/>
      <c r="E4" s="16"/>
      <c r="F4" s="16"/>
      <c r="G4" s="16"/>
      <c r="H4" s="16"/>
      <c r="I4" s="16">
        <v>1</v>
      </c>
      <c r="J4" s="16">
        <v>1</v>
      </c>
      <c r="K4" s="16" t="s">
        <v>394</v>
      </c>
      <c r="L4" s="17" t="s">
        <v>43</v>
      </c>
      <c r="M4" s="17" t="s">
        <v>282</v>
      </c>
      <c r="N4" s="17" t="s">
        <v>23</v>
      </c>
      <c r="O4" s="17" t="s">
        <v>23</v>
      </c>
      <c r="P4" s="17">
        <v>50</v>
      </c>
      <c r="Q4" s="37">
        <v>0.5</v>
      </c>
      <c r="R4" s="17">
        <v>0</v>
      </c>
      <c r="S4" s="17">
        <v>0.5</v>
      </c>
    </row>
    <row r="5" spans="1:20" ht="15" x14ac:dyDescent="0.25">
      <c r="A5" s="16" t="s">
        <v>71</v>
      </c>
      <c r="B5" s="16" t="s">
        <v>415</v>
      </c>
      <c r="C5" s="29" t="s">
        <v>65</v>
      </c>
      <c r="D5" s="16"/>
      <c r="E5" s="16"/>
      <c r="F5" s="16"/>
      <c r="G5" s="16"/>
      <c r="H5" s="16">
        <v>1</v>
      </c>
      <c r="I5" s="16"/>
      <c r="J5" s="16">
        <v>1</v>
      </c>
      <c r="K5" s="16" t="s">
        <v>45</v>
      </c>
      <c r="L5" s="17" t="s">
        <v>43</v>
      </c>
      <c r="M5" s="17" t="s">
        <v>32</v>
      </c>
      <c r="N5" s="17" t="s">
        <v>23</v>
      </c>
      <c r="O5" s="17" t="s">
        <v>23</v>
      </c>
      <c r="P5" s="17">
        <v>20</v>
      </c>
      <c r="Q5" s="37">
        <v>0.8</v>
      </c>
      <c r="R5" s="17">
        <v>0</v>
      </c>
      <c r="S5" s="17">
        <v>0.2</v>
      </c>
    </row>
    <row r="6" spans="1:20" ht="15" x14ac:dyDescent="0.25">
      <c r="A6" s="16" t="s">
        <v>193</v>
      </c>
      <c r="B6" s="16" t="s">
        <v>416</v>
      </c>
      <c r="C6" s="16" t="s">
        <v>65</v>
      </c>
      <c r="D6" s="16"/>
      <c r="E6" s="16"/>
      <c r="F6" s="16"/>
      <c r="G6" s="16"/>
      <c r="H6" s="16">
        <v>1</v>
      </c>
      <c r="I6" s="16"/>
      <c r="J6" s="16">
        <v>1</v>
      </c>
      <c r="K6" s="16" t="s">
        <v>192</v>
      </c>
      <c r="L6" s="17" t="s">
        <v>43</v>
      </c>
      <c r="M6" s="17" t="s">
        <v>282</v>
      </c>
      <c r="N6" s="17" t="s">
        <v>23</v>
      </c>
      <c r="O6" s="17" t="s">
        <v>23</v>
      </c>
      <c r="P6" s="17">
        <v>50</v>
      </c>
      <c r="Q6" s="37">
        <v>0.5</v>
      </c>
      <c r="R6" s="17">
        <v>0</v>
      </c>
      <c r="S6" s="17">
        <v>0.5</v>
      </c>
    </row>
    <row r="7" spans="1:20" ht="15" x14ac:dyDescent="0.25">
      <c r="A7" s="16" t="s">
        <v>68</v>
      </c>
      <c r="B7" s="16" t="s">
        <v>417</v>
      </c>
      <c r="C7" s="16" t="s">
        <v>65</v>
      </c>
      <c r="D7" s="16"/>
      <c r="E7" s="16"/>
      <c r="F7" s="16"/>
      <c r="G7" s="16">
        <v>1</v>
      </c>
      <c r="H7" s="16"/>
      <c r="I7" s="16"/>
      <c r="J7" s="16">
        <v>1</v>
      </c>
      <c r="K7" s="16" t="s">
        <v>45</v>
      </c>
      <c r="L7" s="17" t="s">
        <v>43</v>
      </c>
      <c r="M7" s="17" t="s">
        <v>32</v>
      </c>
      <c r="N7" s="17" t="s">
        <v>23</v>
      </c>
      <c r="O7" s="17" t="s">
        <v>23</v>
      </c>
      <c r="P7" s="17">
        <v>20</v>
      </c>
      <c r="Q7" s="37">
        <v>0.8</v>
      </c>
      <c r="R7" s="17">
        <v>0</v>
      </c>
      <c r="S7" s="17">
        <v>0.2</v>
      </c>
    </row>
    <row r="8" spans="1:20" ht="15" x14ac:dyDescent="0.25">
      <c r="A8" s="16" t="s">
        <v>73</v>
      </c>
      <c r="B8" s="16" t="s">
        <v>418</v>
      </c>
      <c r="C8" s="16" t="s">
        <v>65</v>
      </c>
      <c r="D8" s="16">
        <v>1</v>
      </c>
      <c r="E8" s="16"/>
      <c r="F8" s="16"/>
      <c r="G8" s="16"/>
      <c r="H8" s="16"/>
      <c r="I8" s="16"/>
      <c r="J8" s="16">
        <v>1</v>
      </c>
      <c r="K8" s="16" t="s">
        <v>45</v>
      </c>
      <c r="L8" s="17" t="s">
        <v>43</v>
      </c>
      <c r="M8" s="17" t="s">
        <v>32</v>
      </c>
      <c r="N8" s="17" t="s">
        <v>23</v>
      </c>
      <c r="O8" s="17" t="s">
        <v>23</v>
      </c>
      <c r="P8" s="17">
        <v>20</v>
      </c>
      <c r="Q8" s="37">
        <v>0.8</v>
      </c>
      <c r="R8" s="17">
        <v>0</v>
      </c>
      <c r="S8" s="17">
        <v>0.2</v>
      </c>
    </row>
    <row r="9" spans="1:20" ht="15" x14ac:dyDescent="0.25">
      <c r="A9" s="16" t="s">
        <v>76</v>
      </c>
      <c r="B9" s="16" t="s">
        <v>419</v>
      </c>
      <c r="C9" s="16" t="s">
        <v>65</v>
      </c>
      <c r="D9" s="16"/>
      <c r="E9" s="16"/>
      <c r="F9" s="16"/>
      <c r="G9" s="16"/>
      <c r="H9" s="16"/>
      <c r="I9" s="16">
        <v>1</v>
      </c>
      <c r="J9" s="16">
        <v>1</v>
      </c>
      <c r="K9" s="16" t="s">
        <v>45</v>
      </c>
      <c r="L9" s="17" t="s">
        <v>43</v>
      </c>
      <c r="M9" s="17" t="s">
        <v>32</v>
      </c>
      <c r="N9" s="17" t="s">
        <v>23</v>
      </c>
      <c r="O9" s="17" t="s">
        <v>23</v>
      </c>
      <c r="P9" s="17">
        <v>20</v>
      </c>
      <c r="Q9" s="37">
        <v>0.8</v>
      </c>
      <c r="R9" s="17">
        <v>0</v>
      </c>
      <c r="S9" s="17">
        <v>0.2</v>
      </c>
    </row>
    <row r="10" spans="1:20" ht="15" x14ac:dyDescent="0.25">
      <c r="A10" s="16" t="s">
        <v>70</v>
      </c>
      <c r="B10" s="16" t="s">
        <v>420</v>
      </c>
      <c r="C10" s="16" t="s">
        <v>65</v>
      </c>
      <c r="D10" s="16"/>
      <c r="E10" s="16">
        <v>1</v>
      </c>
      <c r="F10" s="16"/>
      <c r="G10" s="16"/>
      <c r="H10" s="16"/>
      <c r="I10" s="16"/>
      <c r="J10" s="16">
        <v>1</v>
      </c>
      <c r="K10" s="16" t="s">
        <v>45</v>
      </c>
      <c r="L10" s="17" t="s">
        <v>43</v>
      </c>
      <c r="M10" s="17" t="s">
        <v>32</v>
      </c>
      <c r="N10" s="17" t="s">
        <v>23</v>
      </c>
      <c r="O10" s="17" t="s">
        <v>23</v>
      </c>
      <c r="P10" s="17">
        <v>20</v>
      </c>
      <c r="Q10" s="37">
        <v>0.8</v>
      </c>
      <c r="R10" s="17">
        <v>0</v>
      </c>
      <c r="S10" s="17">
        <v>0.2</v>
      </c>
    </row>
    <row r="11" spans="1:20" ht="15" x14ac:dyDescent="0.25">
      <c r="A11" s="16" t="s">
        <v>69</v>
      </c>
      <c r="B11" s="16" t="s">
        <v>421</v>
      </c>
      <c r="C11" s="16" t="s">
        <v>65</v>
      </c>
      <c r="D11" s="16"/>
      <c r="E11" s="16"/>
      <c r="F11" s="16"/>
      <c r="G11" s="16">
        <v>1</v>
      </c>
      <c r="H11" s="16"/>
      <c r="I11" s="16"/>
      <c r="J11" s="16">
        <v>1</v>
      </c>
      <c r="K11" s="16" t="s">
        <v>45</v>
      </c>
      <c r="L11" s="17" t="s">
        <v>43</v>
      </c>
      <c r="M11" s="17" t="s">
        <v>32</v>
      </c>
      <c r="N11" s="17" t="s">
        <v>23</v>
      </c>
      <c r="O11" s="17" t="s">
        <v>23</v>
      </c>
      <c r="P11" s="17">
        <v>20</v>
      </c>
      <c r="Q11" s="37">
        <v>0.8</v>
      </c>
      <c r="R11" s="17">
        <v>0</v>
      </c>
      <c r="S11" s="17">
        <v>0.2</v>
      </c>
    </row>
    <row r="12" spans="1:20" ht="15" x14ac:dyDescent="0.25">
      <c r="A12" s="16" t="s">
        <v>72</v>
      </c>
      <c r="B12" s="16" t="s">
        <v>422</v>
      </c>
      <c r="C12" s="16" t="s">
        <v>65</v>
      </c>
      <c r="D12" s="16"/>
      <c r="E12" s="16"/>
      <c r="F12" s="16"/>
      <c r="G12" s="16"/>
      <c r="H12" s="16">
        <v>1</v>
      </c>
      <c r="I12" s="16"/>
      <c r="J12" s="16">
        <v>1</v>
      </c>
      <c r="K12" s="16" t="s">
        <v>45</v>
      </c>
      <c r="L12" s="17" t="s">
        <v>43</v>
      </c>
      <c r="M12" s="17" t="s">
        <v>32</v>
      </c>
      <c r="N12" s="17" t="s">
        <v>23</v>
      </c>
      <c r="O12" s="17" t="s">
        <v>23</v>
      </c>
      <c r="P12" s="17">
        <v>20</v>
      </c>
      <c r="Q12" s="37">
        <v>0.8</v>
      </c>
      <c r="R12" s="17">
        <v>0</v>
      </c>
      <c r="S12" s="17">
        <v>0.2</v>
      </c>
    </row>
    <row r="13" spans="1:20" ht="15" x14ac:dyDescent="0.25">
      <c r="A13" s="16" t="s">
        <v>79</v>
      </c>
      <c r="B13" s="16" t="s">
        <v>423</v>
      </c>
      <c r="C13" s="16" t="s">
        <v>65</v>
      </c>
      <c r="D13" s="16"/>
      <c r="E13" s="16"/>
      <c r="F13" s="16"/>
      <c r="G13" s="16"/>
      <c r="H13" s="16"/>
      <c r="I13" s="16">
        <v>1</v>
      </c>
      <c r="J13" s="16">
        <v>1</v>
      </c>
      <c r="K13" s="16" t="s">
        <v>45</v>
      </c>
      <c r="L13" s="17" t="s">
        <v>43</v>
      </c>
      <c r="M13" s="17" t="s">
        <v>32</v>
      </c>
      <c r="N13" s="17" t="s">
        <v>23</v>
      </c>
      <c r="O13" s="17" t="s">
        <v>23</v>
      </c>
      <c r="P13" s="17">
        <v>20</v>
      </c>
      <c r="Q13" s="37">
        <v>0.8</v>
      </c>
      <c r="R13" s="17">
        <v>0</v>
      </c>
      <c r="S13" s="17">
        <v>0.2</v>
      </c>
    </row>
    <row r="14" spans="1:20" ht="15" x14ac:dyDescent="0.25">
      <c r="A14" s="16" t="s">
        <v>75</v>
      </c>
      <c r="B14" s="16" t="s">
        <v>424</v>
      </c>
      <c r="C14" s="16" t="s">
        <v>65</v>
      </c>
      <c r="D14" s="16"/>
      <c r="E14" s="16"/>
      <c r="F14" s="16"/>
      <c r="G14" s="16"/>
      <c r="H14" s="16"/>
      <c r="I14" s="16">
        <v>1</v>
      </c>
      <c r="J14" s="16">
        <v>1</v>
      </c>
      <c r="K14" s="16" t="s">
        <v>45</v>
      </c>
      <c r="L14" s="17" t="s">
        <v>43</v>
      </c>
      <c r="M14" s="17" t="s">
        <v>32</v>
      </c>
      <c r="N14" s="17" t="s">
        <v>23</v>
      </c>
      <c r="O14" s="17" t="s">
        <v>23</v>
      </c>
      <c r="P14" s="17">
        <v>20</v>
      </c>
      <c r="Q14" s="37">
        <v>0.8</v>
      </c>
      <c r="R14" s="17">
        <v>0</v>
      </c>
      <c r="S14" s="17">
        <v>0.2</v>
      </c>
    </row>
    <row r="15" spans="1:20" ht="15" x14ac:dyDescent="0.25">
      <c r="A15" s="16" t="s">
        <v>80</v>
      </c>
      <c r="B15" s="16" t="s">
        <v>425</v>
      </c>
      <c r="C15" s="16" t="s">
        <v>65</v>
      </c>
      <c r="D15" s="16"/>
      <c r="E15" s="16"/>
      <c r="F15" s="16"/>
      <c r="G15" s="16"/>
      <c r="H15" s="16"/>
      <c r="I15" s="16">
        <v>1</v>
      </c>
      <c r="J15" s="16">
        <v>1</v>
      </c>
      <c r="K15" s="16" t="s">
        <v>30</v>
      </c>
      <c r="L15" s="17" t="s">
        <v>43</v>
      </c>
      <c r="M15" s="17" t="s">
        <v>282</v>
      </c>
      <c r="N15" s="17" t="s">
        <v>23</v>
      </c>
      <c r="O15" s="17" t="s">
        <v>23</v>
      </c>
      <c r="P15" s="17">
        <v>50</v>
      </c>
      <c r="Q15" s="37">
        <v>0.5</v>
      </c>
      <c r="R15" s="17">
        <v>0</v>
      </c>
      <c r="S15" s="17">
        <v>0.5</v>
      </c>
    </row>
    <row r="16" spans="1:20" ht="15" x14ac:dyDescent="0.25">
      <c r="A16" s="16" t="s">
        <v>149</v>
      </c>
      <c r="B16" s="16" t="s">
        <v>426</v>
      </c>
      <c r="C16" s="16" t="s">
        <v>66</v>
      </c>
      <c r="D16" s="16"/>
      <c r="E16" s="16"/>
      <c r="F16" s="16"/>
      <c r="G16" s="16"/>
      <c r="H16" s="16">
        <v>1</v>
      </c>
      <c r="I16" s="16">
        <v>2</v>
      </c>
      <c r="J16" s="16">
        <v>3</v>
      </c>
      <c r="K16" s="16" t="s">
        <v>45</v>
      </c>
      <c r="L16" s="17" t="s">
        <v>43</v>
      </c>
      <c r="M16" s="17" t="s">
        <v>32</v>
      </c>
      <c r="N16" s="17" t="s">
        <v>23</v>
      </c>
      <c r="O16" s="17" t="s">
        <v>23</v>
      </c>
      <c r="P16" s="17">
        <v>20</v>
      </c>
      <c r="Q16" s="37">
        <v>2.4</v>
      </c>
      <c r="R16" s="17">
        <v>0</v>
      </c>
      <c r="S16" s="17">
        <v>0.6</v>
      </c>
    </row>
    <row r="17" spans="1:19" ht="15" x14ac:dyDescent="0.25">
      <c r="A17" s="16" t="s">
        <v>78</v>
      </c>
      <c r="B17" s="16" t="s">
        <v>427</v>
      </c>
      <c r="C17" s="16" t="s">
        <v>65</v>
      </c>
      <c r="D17" s="16">
        <v>1</v>
      </c>
      <c r="E17" s="16">
        <v>1</v>
      </c>
      <c r="F17" s="16"/>
      <c r="G17" s="16"/>
      <c r="H17" s="16"/>
      <c r="I17" s="16"/>
      <c r="J17" s="16">
        <v>2</v>
      </c>
      <c r="K17" s="16" t="s">
        <v>39</v>
      </c>
      <c r="L17" s="17" t="s">
        <v>43</v>
      </c>
      <c r="M17" s="17" t="s">
        <v>31</v>
      </c>
      <c r="N17" s="17" t="s">
        <v>23</v>
      </c>
      <c r="O17" s="17" t="s">
        <v>23</v>
      </c>
      <c r="P17" s="17">
        <v>90</v>
      </c>
      <c r="Q17" s="37">
        <v>0.2</v>
      </c>
      <c r="R17" s="17">
        <v>0</v>
      </c>
      <c r="S17" s="17">
        <v>1.8</v>
      </c>
    </row>
    <row r="18" spans="1:19" ht="15" x14ac:dyDescent="0.25">
      <c r="A18" s="16" t="s">
        <v>302</v>
      </c>
      <c r="B18" s="16" t="s">
        <v>428</v>
      </c>
      <c r="C18" s="16" t="s">
        <v>66</v>
      </c>
      <c r="D18" s="16"/>
      <c r="E18" s="16"/>
      <c r="F18" s="16"/>
      <c r="G18" s="16"/>
      <c r="H18" s="16">
        <v>1</v>
      </c>
      <c r="I18" s="16"/>
      <c r="J18" s="16">
        <v>1</v>
      </c>
      <c r="K18" s="16" t="s">
        <v>45</v>
      </c>
      <c r="L18" s="17" t="s">
        <v>43</v>
      </c>
      <c r="M18" s="17" t="s">
        <v>32</v>
      </c>
      <c r="N18" s="17" t="s">
        <v>23</v>
      </c>
      <c r="O18" s="17" t="s">
        <v>23</v>
      </c>
      <c r="P18" s="17">
        <v>20</v>
      </c>
      <c r="Q18" s="37">
        <v>0.8</v>
      </c>
      <c r="R18" s="17">
        <v>0</v>
      </c>
      <c r="S18" s="17">
        <v>0.2</v>
      </c>
    </row>
    <row r="19" spans="1:19" ht="15" x14ac:dyDescent="0.25">
      <c r="A19" s="16" t="s">
        <v>92</v>
      </c>
      <c r="B19" s="16" t="s">
        <v>429</v>
      </c>
      <c r="C19" s="16" t="s">
        <v>65</v>
      </c>
      <c r="D19" s="16"/>
      <c r="E19" s="16"/>
      <c r="F19" s="16"/>
      <c r="G19" s="16"/>
      <c r="H19" s="16">
        <v>2</v>
      </c>
      <c r="I19" s="16"/>
      <c r="J19" s="16">
        <v>2</v>
      </c>
      <c r="K19" s="16" t="s">
        <v>45</v>
      </c>
      <c r="L19" s="17" t="s">
        <v>43</v>
      </c>
      <c r="M19" s="17" t="s">
        <v>282</v>
      </c>
      <c r="N19" s="17" t="s">
        <v>23</v>
      </c>
      <c r="O19" s="17" t="s">
        <v>23</v>
      </c>
      <c r="P19" s="17">
        <v>50</v>
      </c>
      <c r="Q19" s="37">
        <v>1</v>
      </c>
      <c r="R19" s="17">
        <v>0</v>
      </c>
      <c r="S19" s="17">
        <v>1</v>
      </c>
    </row>
    <row r="20" spans="1:19" s="50" customFormat="1" ht="15" x14ac:dyDescent="0.25">
      <c r="A20" s="49" t="s">
        <v>93</v>
      </c>
      <c r="B20" s="49" t="s">
        <v>430</v>
      </c>
      <c r="C20" s="49" t="s">
        <v>65</v>
      </c>
      <c r="D20" s="49"/>
      <c r="E20" s="49"/>
      <c r="F20" s="49">
        <v>1</v>
      </c>
      <c r="G20" s="49">
        <v>1</v>
      </c>
      <c r="H20" s="49"/>
      <c r="I20" s="49"/>
      <c r="J20" s="49">
        <v>2</v>
      </c>
      <c r="K20" s="49" t="s">
        <v>45</v>
      </c>
      <c r="L20" s="37" t="s">
        <v>43</v>
      </c>
      <c r="M20" s="37" t="s">
        <v>32</v>
      </c>
      <c r="N20" s="37" t="s">
        <v>23</v>
      </c>
      <c r="O20" s="37" t="s">
        <v>23</v>
      </c>
      <c r="P20" s="37">
        <v>20</v>
      </c>
      <c r="Q20" s="37">
        <v>1.6</v>
      </c>
      <c r="R20" s="37">
        <v>0</v>
      </c>
      <c r="S20" s="37">
        <v>0.4</v>
      </c>
    </row>
    <row r="21" spans="1:19" ht="15" x14ac:dyDescent="0.25">
      <c r="A21" s="16" t="s">
        <v>77</v>
      </c>
      <c r="B21" s="16" t="s">
        <v>431</v>
      </c>
      <c r="C21" s="16" t="s">
        <v>65</v>
      </c>
      <c r="D21" s="16"/>
      <c r="E21" s="16"/>
      <c r="F21" s="16"/>
      <c r="G21" s="16"/>
      <c r="H21" s="16">
        <v>1</v>
      </c>
      <c r="I21" s="16"/>
      <c r="J21" s="16">
        <v>1</v>
      </c>
      <c r="K21" s="16" t="s">
        <v>45</v>
      </c>
      <c r="L21" s="17" t="s">
        <v>43</v>
      </c>
      <c r="M21" s="17" t="s">
        <v>32</v>
      </c>
      <c r="N21" s="17" t="s">
        <v>23</v>
      </c>
      <c r="O21" s="17" t="s">
        <v>23</v>
      </c>
      <c r="P21" s="17">
        <v>20</v>
      </c>
      <c r="Q21" s="37">
        <v>0.8</v>
      </c>
      <c r="R21" s="17">
        <v>0</v>
      </c>
      <c r="S21" s="17">
        <v>0.2</v>
      </c>
    </row>
    <row r="22" spans="1:19" ht="15" x14ac:dyDescent="0.25">
      <c r="A22" s="16" t="s">
        <v>497</v>
      </c>
      <c r="B22" s="16" t="s">
        <v>498</v>
      </c>
      <c r="C22" s="16" t="s">
        <v>66</v>
      </c>
      <c r="D22" s="16"/>
      <c r="E22" s="16"/>
      <c r="F22" s="16"/>
      <c r="G22" s="16"/>
      <c r="H22" s="16"/>
      <c r="I22" s="16">
        <v>1</v>
      </c>
      <c r="J22" s="16">
        <v>1</v>
      </c>
      <c r="K22" s="16" t="s">
        <v>45</v>
      </c>
      <c r="L22" s="17" t="s">
        <v>43</v>
      </c>
      <c r="M22" s="17" t="s">
        <v>32</v>
      </c>
      <c r="N22" s="17">
        <v>0</v>
      </c>
      <c r="O22" s="17">
        <v>0</v>
      </c>
      <c r="P22" s="17">
        <v>20</v>
      </c>
      <c r="Q22" s="37">
        <v>0.8</v>
      </c>
      <c r="R22" s="17">
        <v>0</v>
      </c>
      <c r="S22" s="17">
        <v>0.2</v>
      </c>
    </row>
    <row r="23" spans="1:19" s="50" customFormat="1" ht="15" x14ac:dyDescent="0.25">
      <c r="A23" s="49" t="s">
        <v>194</v>
      </c>
      <c r="B23" s="49" t="s">
        <v>494</v>
      </c>
      <c r="C23" s="49" t="s">
        <v>66</v>
      </c>
      <c r="D23" s="49"/>
      <c r="E23" s="49"/>
      <c r="F23" s="49"/>
      <c r="G23" s="49"/>
      <c r="H23" s="49">
        <v>1</v>
      </c>
      <c r="I23" s="49"/>
      <c r="J23" s="49">
        <v>1</v>
      </c>
      <c r="K23" s="49" t="s">
        <v>43</v>
      </c>
      <c r="L23" s="37" t="s">
        <v>43</v>
      </c>
      <c r="M23" s="37" t="s">
        <v>273</v>
      </c>
      <c r="N23" s="37"/>
      <c r="O23" s="37"/>
      <c r="P23" s="37">
        <v>0</v>
      </c>
      <c r="Q23" s="37">
        <v>1</v>
      </c>
      <c r="R23" s="37">
        <v>0</v>
      </c>
      <c r="S23" s="37">
        <v>0</v>
      </c>
    </row>
    <row r="24" spans="1:19" ht="15" x14ac:dyDescent="0.25">
      <c r="A24" s="30"/>
      <c r="B24" s="30"/>
      <c r="C24" s="31"/>
      <c r="D24" s="30"/>
      <c r="E24" s="30"/>
      <c r="F24" s="30"/>
      <c r="G24" s="30"/>
      <c r="H24" s="30"/>
      <c r="I24" s="30"/>
      <c r="J24" s="30"/>
      <c r="K24" s="30"/>
      <c r="L24" s="30"/>
      <c r="M24" s="30"/>
      <c r="N24" s="30"/>
      <c r="O24" s="30"/>
      <c r="P24" s="30"/>
      <c r="Q24" s="57">
        <f>SUM(Q2:Q23)</f>
        <v>18.2</v>
      </c>
      <c r="R24" s="57"/>
      <c r="S24" s="30"/>
    </row>
  </sheetData>
  <mergeCells count="1">
    <mergeCell ref="Q24:R24"/>
  </mergeCells>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AD2E4-83FA-4E00-8A87-217827EA06A5}">
  <dimension ref="A1:C50"/>
  <sheetViews>
    <sheetView workbookViewId="0">
      <selection activeCell="C49" sqref="C49"/>
    </sheetView>
  </sheetViews>
  <sheetFormatPr baseColWidth="10" defaultRowHeight="15" x14ac:dyDescent="0.25"/>
  <cols>
    <col min="1" max="1" width="16.28515625" customWidth="1"/>
    <col min="2" max="2" width="83.5703125" customWidth="1"/>
    <col min="3" max="3" width="14.85546875" style="33" customWidth="1"/>
  </cols>
  <sheetData>
    <row r="1" spans="1:3" x14ac:dyDescent="0.25">
      <c r="A1" t="s">
        <v>126</v>
      </c>
      <c r="B1" t="s">
        <v>127</v>
      </c>
      <c r="C1" s="33" t="s">
        <v>150</v>
      </c>
    </row>
    <row r="2" spans="1:3" ht="60" x14ac:dyDescent="0.25">
      <c r="A2" t="s">
        <v>195</v>
      </c>
      <c r="B2" s="32" t="s">
        <v>196</v>
      </c>
      <c r="C2" s="33">
        <v>6600</v>
      </c>
    </row>
    <row r="3" spans="1:3" ht="30" x14ac:dyDescent="0.25">
      <c r="A3" t="s">
        <v>197</v>
      </c>
      <c r="B3" s="32" t="s">
        <v>198</v>
      </c>
      <c r="C3" s="33">
        <v>12812.8</v>
      </c>
    </row>
    <row r="4" spans="1:3" x14ac:dyDescent="0.25">
      <c r="A4" t="s">
        <v>199</v>
      </c>
      <c r="B4" s="32" t="s">
        <v>200</v>
      </c>
      <c r="C4" s="33">
        <v>4363.6400000000003</v>
      </c>
    </row>
    <row r="5" spans="1:3" x14ac:dyDescent="0.25">
      <c r="A5" t="s">
        <v>199</v>
      </c>
      <c r="B5" s="32" t="s">
        <v>201</v>
      </c>
      <c r="C5" s="33">
        <v>17454.54</v>
      </c>
    </row>
    <row r="6" spans="1:3" x14ac:dyDescent="0.25">
      <c r="A6" t="s">
        <v>202</v>
      </c>
      <c r="B6" s="32" t="s">
        <v>203</v>
      </c>
      <c r="C6" s="33">
        <v>2909.1</v>
      </c>
    </row>
    <row r="7" spans="1:3" x14ac:dyDescent="0.25">
      <c r="A7" t="s">
        <v>202</v>
      </c>
      <c r="B7" s="32" t="s">
        <v>204</v>
      </c>
      <c r="C7" s="33">
        <v>727.28</v>
      </c>
    </row>
    <row r="8" spans="1:3" ht="45" x14ac:dyDescent="0.25">
      <c r="A8" t="s">
        <v>205</v>
      </c>
      <c r="B8" s="32" t="s">
        <v>206</v>
      </c>
      <c r="C8" s="33">
        <v>13199.12</v>
      </c>
    </row>
    <row r="9" spans="1:3" ht="30" x14ac:dyDescent="0.25">
      <c r="A9" t="s">
        <v>207</v>
      </c>
      <c r="B9" s="32" t="s">
        <v>208</v>
      </c>
      <c r="C9" s="33">
        <v>4400</v>
      </c>
    </row>
    <row r="10" spans="1:3" ht="30" x14ac:dyDescent="0.25">
      <c r="A10" t="s">
        <v>209</v>
      </c>
      <c r="B10" s="32" t="s">
        <v>210</v>
      </c>
      <c r="C10" s="33">
        <v>1980</v>
      </c>
    </row>
    <row r="11" spans="1:3" x14ac:dyDescent="0.25">
      <c r="A11" t="s">
        <v>211</v>
      </c>
      <c r="B11" s="32" t="s">
        <v>212</v>
      </c>
      <c r="C11" s="33">
        <v>5454.55</v>
      </c>
    </row>
    <row r="12" spans="1:3" ht="45" x14ac:dyDescent="0.25">
      <c r="A12" t="s">
        <v>213</v>
      </c>
      <c r="B12" s="32" t="s">
        <v>214</v>
      </c>
      <c r="C12" s="33">
        <v>9227.7900000000009</v>
      </c>
    </row>
    <row r="13" spans="1:3" ht="30" x14ac:dyDescent="0.25">
      <c r="A13" t="s">
        <v>215</v>
      </c>
      <c r="B13" s="32" t="s">
        <v>216</v>
      </c>
      <c r="C13" s="33">
        <v>1980</v>
      </c>
    </row>
    <row r="14" spans="1:3" ht="30" x14ac:dyDescent="0.25">
      <c r="A14" t="s">
        <v>217</v>
      </c>
      <c r="B14" s="32" t="s">
        <v>218</v>
      </c>
      <c r="C14" s="33">
        <v>1454.54</v>
      </c>
    </row>
    <row r="15" spans="1:3" ht="60" x14ac:dyDescent="0.25">
      <c r="A15" t="s">
        <v>219</v>
      </c>
      <c r="B15" s="32" t="s">
        <v>220</v>
      </c>
      <c r="C15" s="33">
        <v>829.79</v>
      </c>
    </row>
    <row r="16" spans="1:3" ht="45" x14ac:dyDescent="0.25">
      <c r="A16" t="s">
        <v>221</v>
      </c>
      <c r="B16" s="32" t="s">
        <v>222</v>
      </c>
      <c r="C16" s="33">
        <v>360.8</v>
      </c>
    </row>
    <row r="17" spans="1:3" ht="30" x14ac:dyDescent="0.25">
      <c r="A17" t="s">
        <v>223</v>
      </c>
      <c r="B17" s="32" t="s">
        <v>224</v>
      </c>
      <c r="C17" s="33">
        <v>7040</v>
      </c>
    </row>
    <row r="18" spans="1:3" x14ac:dyDescent="0.25">
      <c r="A18" t="s">
        <v>151</v>
      </c>
      <c r="B18" s="32" t="s">
        <v>225</v>
      </c>
      <c r="C18" s="33">
        <v>54741.75</v>
      </c>
    </row>
    <row r="19" spans="1:3" x14ac:dyDescent="0.25">
      <c r="A19" t="s">
        <v>151</v>
      </c>
      <c r="B19" s="32" t="s">
        <v>226</v>
      </c>
      <c r="C19" s="33">
        <v>3851.22</v>
      </c>
    </row>
    <row r="20" spans="1:3" ht="45" x14ac:dyDescent="0.25">
      <c r="A20" t="s">
        <v>227</v>
      </c>
      <c r="B20" s="32" t="s">
        <v>228</v>
      </c>
      <c r="C20" s="33">
        <v>4950</v>
      </c>
    </row>
    <row r="21" spans="1:3" ht="30" x14ac:dyDescent="0.25">
      <c r="A21" t="s">
        <v>122</v>
      </c>
      <c r="B21" s="32" t="s">
        <v>229</v>
      </c>
      <c r="C21" s="33">
        <v>-644.13</v>
      </c>
    </row>
    <row r="22" spans="1:3" ht="45" x14ac:dyDescent="0.25">
      <c r="A22" t="s">
        <v>122</v>
      </c>
      <c r="B22" s="32" t="s">
        <v>230</v>
      </c>
      <c r="C22" s="33">
        <v>-1381.26</v>
      </c>
    </row>
    <row r="23" spans="1:3" ht="45" x14ac:dyDescent="0.25">
      <c r="A23" t="s">
        <v>122</v>
      </c>
      <c r="B23" s="32" t="s">
        <v>231</v>
      </c>
      <c r="C23" s="33">
        <v>15000</v>
      </c>
    </row>
    <row r="24" spans="1:3" x14ac:dyDescent="0.25">
      <c r="A24" t="s">
        <v>81</v>
      </c>
      <c r="B24" s="32" t="s">
        <v>232</v>
      </c>
      <c r="C24" s="33">
        <v>50000</v>
      </c>
    </row>
    <row r="25" spans="1:3" ht="45" x14ac:dyDescent="0.25">
      <c r="A25" t="s">
        <v>81</v>
      </c>
      <c r="B25" s="32" t="s">
        <v>233</v>
      </c>
      <c r="C25" s="33">
        <v>-3712.03</v>
      </c>
    </row>
    <row r="26" spans="1:3" ht="30" x14ac:dyDescent="0.25">
      <c r="A26" t="s">
        <v>82</v>
      </c>
      <c r="B26" s="32" t="s">
        <v>234</v>
      </c>
      <c r="C26" s="33">
        <v>-1826.79</v>
      </c>
    </row>
    <row r="27" spans="1:3" ht="30" x14ac:dyDescent="0.25">
      <c r="A27" t="s">
        <v>123</v>
      </c>
      <c r="B27" s="32" t="s">
        <v>235</v>
      </c>
      <c r="C27" s="33">
        <v>9184</v>
      </c>
    </row>
    <row r="28" spans="1:3" ht="30" x14ac:dyDescent="0.25">
      <c r="A28" t="s">
        <v>128</v>
      </c>
      <c r="B28" s="32" t="s">
        <v>236</v>
      </c>
      <c r="C28" s="33">
        <v>10112.24</v>
      </c>
    </row>
    <row r="29" spans="1:3" ht="30" x14ac:dyDescent="0.25">
      <c r="A29" t="s">
        <v>129</v>
      </c>
      <c r="B29" s="32" t="s">
        <v>237</v>
      </c>
      <c r="C29" s="33">
        <v>18197.79</v>
      </c>
    </row>
    <row r="30" spans="1:3" ht="30" x14ac:dyDescent="0.25">
      <c r="A30" t="s">
        <v>153</v>
      </c>
      <c r="B30" s="32" t="s">
        <v>238</v>
      </c>
      <c r="C30" s="33">
        <v>-3389.37</v>
      </c>
    </row>
    <row r="31" spans="1:3" x14ac:dyDescent="0.25">
      <c r="A31" t="s">
        <v>153</v>
      </c>
      <c r="B31" s="32" t="s">
        <v>239</v>
      </c>
      <c r="C31" s="33">
        <v>30000</v>
      </c>
    </row>
    <row r="32" spans="1:3" x14ac:dyDescent="0.25">
      <c r="A32" t="s">
        <v>152</v>
      </c>
      <c r="B32" s="32" t="s">
        <v>239</v>
      </c>
      <c r="C32" s="33">
        <v>29705</v>
      </c>
    </row>
    <row r="33" spans="1:3" ht="30" x14ac:dyDescent="0.25">
      <c r="A33" t="s">
        <v>130</v>
      </c>
      <c r="B33" s="32" t="s">
        <v>240</v>
      </c>
      <c r="C33" s="33">
        <v>5059.99</v>
      </c>
    </row>
    <row r="34" spans="1:3" x14ac:dyDescent="0.25">
      <c r="A34" t="s">
        <v>154</v>
      </c>
      <c r="B34" s="32" t="s">
        <v>241</v>
      </c>
      <c r="C34" s="33">
        <v>-113.21</v>
      </c>
    </row>
    <row r="35" spans="1:3" ht="30" x14ac:dyDescent="0.25">
      <c r="A35" t="s">
        <v>156</v>
      </c>
      <c r="B35" s="32" t="s">
        <v>242</v>
      </c>
      <c r="C35" s="33">
        <v>9185</v>
      </c>
    </row>
    <row r="36" spans="1:3" ht="30" x14ac:dyDescent="0.25">
      <c r="A36" t="s">
        <v>157</v>
      </c>
      <c r="B36" s="32" t="s">
        <v>243</v>
      </c>
      <c r="C36" s="33">
        <v>-1148.8900000000001</v>
      </c>
    </row>
    <row r="37" spans="1:3" ht="30" x14ac:dyDescent="0.25">
      <c r="A37" t="s">
        <v>244</v>
      </c>
      <c r="B37" s="32" t="s">
        <v>245</v>
      </c>
      <c r="C37" s="33">
        <v>23000</v>
      </c>
    </row>
    <row r="38" spans="1:3" ht="30" x14ac:dyDescent="0.25">
      <c r="A38" t="s">
        <v>244</v>
      </c>
      <c r="B38" s="32" t="s">
        <v>246</v>
      </c>
      <c r="C38" s="33">
        <v>19000</v>
      </c>
    </row>
    <row r="39" spans="1:3" x14ac:dyDescent="0.25">
      <c r="A39" t="s">
        <v>247</v>
      </c>
      <c r="B39" s="32" t="s">
        <v>248</v>
      </c>
      <c r="C39" s="33">
        <v>12870</v>
      </c>
    </row>
    <row r="40" spans="1:3" x14ac:dyDescent="0.25">
      <c r="A40" t="s">
        <v>249</v>
      </c>
      <c r="B40" s="32" t="s">
        <v>248</v>
      </c>
      <c r="C40" s="33">
        <v>21520</v>
      </c>
    </row>
    <row r="41" spans="1:3" ht="45" x14ac:dyDescent="0.25">
      <c r="A41" t="s">
        <v>250</v>
      </c>
      <c r="B41" s="32" t="s">
        <v>251</v>
      </c>
      <c r="C41" s="33">
        <v>9000</v>
      </c>
    </row>
    <row r="42" spans="1:3" x14ac:dyDescent="0.25">
      <c r="A42" t="s">
        <v>252</v>
      </c>
      <c r="B42" s="32" t="s">
        <v>253</v>
      </c>
      <c r="C42" s="33">
        <v>10000</v>
      </c>
    </row>
    <row r="43" spans="1:3" x14ac:dyDescent="0.25">
      <c r="A43" t="s">
        <v>254</v>
      </c>
      <c r="B43" s="32" t="s">
        <v>255</v>
      </c>
      <c r="C43" s="33">
        <v>3100</v>
      </c>
    </row>
    <row r="44" spans="1:3" x14ac:dyDescent="0.25">
      <c r="A44" t="s">
        <v>256</v>
      </c>
      <c r="B44" s="32" t="s">
        <v>257</v>
      </c>
      <c r="C44" s="33">
        <v>16607.36</v>
      </c>
    </row>
    <row r="45" spans="1:3" ht="45" x14ac:dyDescent="0.25">
      <c r="A45" t="s">
        <v>258</v>
      </c>
      <c r="B45" s="32" t="s">
        <v>259</v>
      </c>
      <c r="C45" s="33">
        <v>30000</v>
      </c>
    </row>
    <row r="46" spans="1:3" ht="60" x14ac:dyDescent="0.25">
      <c r="A46" t="s">
        <v>260</v>
      </c>
      <c r="B46" s="32" t="s">
        <v>261</v>
      </c>
      <c r="C46" s="33">
        <v>9384</v>
      </c>
    </row>
    <row r="47" spans="1:3" ht="60" x14ac:dyDescent="0.25">
      <c r="A47" t="s">
        <v>262</v>
      </c>
      <c r="B47" s="32" t="s">
        <v>261</v>
      </c>
      <c r="C47" s="33">
        <v>10200</v>
      </c>
    </row>
    <row r="48" spans="1:3" ht="30" x14ac:dyDescent="0.25">
      <c r="A48" t="s">
        <v>124</v>
      </c>
      <c r="B48" s="32" t="s">
        <v>263</v>
      </c>
      <c r="C48" s="33">
        <v>64256.94</v>
      </c>
    </row>
    <row r="49" spans="1:3" ht="30" x14ac:dyDescent="0.25">
      <c r="A49" t="s">
        <v>124</v>
      </c>
      <c r="B49" s="32" t="s">
        <v>263</v>
      </c>
      <c r="C49" s="33">
        <v>128513.88</v>
      </c>
    </row>
    <row r="50" spans="1:3" x14ac:dyDescent="0.25">
      <c r="A50" t="s">
        <v>0</v>
      </c>
      <c r="B50" s="32"/>
      <c r="C50" s="34">
        <f>SUBTOTAL(109,Tabla2[Imp.cob.aplic.])</f>
        <v>676017.44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A1D-A1DC-415F-8B28-618AD0AC2FF1}">
  <dimension ref="A1:C57"/>
  <sheetViews>
    <sheetView topLeftCell="A55" workbookViewId="0">
      <selection activeCell="B59" sqref="B59:C59"/>
    </sheetView>
  </sheetViews>
  <sheetFormatPr baseColWidth="10" defaultRowHeight="15" x14ac:dyDescent="0.25"/>
  <cols>
    <col min="1" max="1" width="13.42578125" bestFit="1" customWidth="1"/>
    <col min="2" max="2" width="71.7109375" customWidth="1"/>
    <col min="3" max="3" width="14.28515625" style="33" bestFit="1" customWidth="1"/>
  </cols>
  <sheetData>
    <row r="1" spans="1:3" x14ac:dyDescent="0.25">
      <c r="A1" t="s">
        <v>303</v>
      </c>
      <c r="B1" t="s">
        <v>127</v>
      </c>
      <c r="C1" s="33" t="s">
        <v>304</v>
      </c>
    </row>
    <row r="2" spans="1:3" ht="30" x14ac:dyDescent="0.25">
      <c r="A2" t="s">
        <v>211</v>
      </c>
      <c r="B2" s="32" t="s">
        <v>305</v>
      </c>
      <c r="C2" s="33">
        <v>1818.19</v>
      </c>
    </row>
    <row r="3" spans="1:3" x14ac:dyDescent="0.25">
      <c r="A3" t="s">
        <v>306</v>
      </c>
      <c r="B3" s="32" t="s">
        <v>307</v>
      </c>
      <c r="C3" s="33">
        <v>2909.1</v>
      </c>
    </row>
    <row r="4" spans="1:3" x14ac:dyDescent="0.25">
      <c r="A4" t="s">
        <v>306</v>
      </c>
      <c r="B4" s="32" t="s">
        <v>308</v>
      </c>
      <c r="C4" s="33">
        <v>727.28</v>
      </c>
    </row>
    <row r="5" spans="1:3" ht="30" x14ac:dyDescent="0.25">
      <c r="A5" t="s">
        <v>213</v>
      </c>
      <c r="B5" s="32" t="s">
        <v>309</v>
      </c>
      <c r="C5" s="33">
        <v>3954.76</v>
      </c>
    </row>
    <row r="6" spans="1:3" ht="30" x14ac:dyDescent="0.25">
      <c r="A6" t="s">
        <v>310</v>
      </c>
      <c r="B6" s="32" t="s">
        <v>311</v>
      </c>
      <c r="C6" s="33">
        <v>10894.4</v>
      </c>
    </row>
    <row r="7" spans="1:3" ht="45" x14ac:dyDescent="0.25">
      <c r="A7" t="s">
        <v>312</v>
      </c>
      <c r="B7" s="32" t="s">
        <v>313</v>
      </c>
      <c r="C7" s="33">
        <v>4363.6400000000003</v>
      </c>
    </row>
    <row r="8" spans="1:3" ht="45" x14ac:dyDescent="0.25">
      <c r="A8" t="s">
        <v>314</v>
      </c>
      <c r="B8" s="32" t="s">
        <v>315</v>
      </c>
      <c r="C8" s="33">
        <v>5544</v>
      </c>
    </row>
    <row r="9" spans="1:3" ht="105" x14ac:dyDescent="0.25">
      <c r="A9" t="s">
        <v>316</v>
      </c>
      <c r="B9" s="32" t="s">
        <v>317</v>
      </c>
      <c r="C9" s="33">
        <v>3696</v>
      </c>
    </row>
    <row r="10" spans="1:3" ht="120" x14ac:dyDescent="0.25">
      <c r="A10" t="s">
        <v>316</v>
      </c>
      <c r="B10" s="32" t="s">
        <v>318</v>
      </c>
      <c r="C10" s="33">
        <v>5544</v>
      </c>
    </row>
    <row r="11" spans="1:3" ht="45" x14ac:dyDescent="0.25">
      <c r="A11" t="s">
        <v>319</v>
      </c>
      <c r="B11" s="32" t="s">
        <v>320</v>
      </c>
      <c r="C11" s="33">
        <v>13199.12</v>
      </c>
    </row>
    <row r="12" spans="1:3" ht="30" x14ac:dyDescent="0.25">
      <c r="A12" t="s">
        <v>321</v>
      </c>
      <c r="B12" s="32" t="s">
        <v>322</v>
      </c>
      <c r="C12" s="33">
        <v>17454.54</v>
      </c>
    </row>
    <row r="13" spans="1:3" ht="45" x14ac:dyDescent="0.25">
      <c r="A13" t="s">
        <v>321</v>
      </c>
      <c r="B13" s="32" t="s">
        <v>323</v>
      </c>
      <c r="C13" s="33">
        <v>4363.6400000000003</v>
      </c>
    </row>
    <row r="14" spans="1:3" ht="45" x14ac:dyDescent="0.25">
      <c r="A14" t="s">
        <v>324</v>
      </c>
      <c r="B14" s="32" t="s">
        <v>325</v>
      </c>
      <c r="C14" s="33">
        <v>2909.1</v>
      </c>
    </row>
    <row r="15" spans="1:3" ht="45" x14ac:dyDescent="0.25">
      <c r="A15" t="s">
        <v>324</v>
      </c>
      <c r="B15" s="32" t="s">
        <v>326</v>
      </c>
      <c r="C15" s="33">
        <v>727.28</v>
      </c>
    </row>
    <row r="16" spans="1:3" ht="30" x14ac:dyDescent="0.25">
      <c r="A16" t="s">
        <v>327</v>
      </c>
      <c r="B16" s="32" t="s">
        <v>328</v>
      </c>
      <c r="C16" s="33">
        <v>3636.36</v>
      </c>
    </row>
    <row r="17" spans="1:3" ht="60" x14ac:dyDescent="0.25">
      <c r="A17" t="s">
        <v>327</v>
      </c>
      <c r="B17" s="32" t="s">
        <v>329</v>
      </c>
      <c r="C17" s="33">
        <v>1818.19</v>
      </c>
    </row>
    <row r="18" spans="1:3" ht="30" x14ac:dyDescent="0.25">
      <c r="A18" t="s">
        <v>330</v>
      </c>
      <c r="B18" s="32" t="s">
        <v>331</v>
      </c>
      <c r="C18" s="33">
        <v>2909.1</v>
      </c>
    </row>
    <row r="19" spans="1:3" ht="30" x14ac:dyDescent="0.25">
      <c r="A19" t="s">
        <v>330</v>
      </c>
      <c r="B19" s="32" t="s">
        <v>332</v>
      </c>
      <c r="C19" s="33">
        <v>727.28</v>
      </c>
    </row>
    <row r="20" spans="1:3" ht="30" x14ac:dyDescent="0.25">
      <c r="A20" t="s">
        <v>333</v>
      </c>
      <c r="B20" s="32" t="s">
        <v>334</v>
      </c>
      <c r="C20" s="33">
        <v>792</v>
      </c>
    </row>
    <row r="21" spans="1:3" ht="45" x14ac:dyDescent="0.25">
      <c r="A21" t="s">
        <v>335</v>
      </c>
      <c r="B21" s="32" t="s">
        <v>336</v>
      </c>
      <c r="C21" s="33">
        <v>2640</v>
      </c>
    </row>
    <row r="22" spans="1:3" ht="45" x14ac:dyDescent="0.25">
      <c r="A22" t="s">
        <v>337</v>
      </c>
      <c r="B22" s="32" t="s">
        <v>338</v>
      </c>
      <c r="C22" s="33">
        <v>6545.44</v>
      </c>
    </row>
    <row r="23" spans="1:3" ht="30" x14ac:dyDescent="0.25">
      <c r="A23" t="s">
        <v>337</v>
      </c>
      <c r="B23" s="32" t="s">
        <v>339</v>
      </c>
      <c r="C23" s="33">
        <v>6545.44</v>
      </c>
    </row>
    <row r="24" spans="1:3" ht="30" x14ac:dyDescent="0.25">
      <c r="A24" t="s">
        <v>340</v>
      </c>
      <c r="B24" s="32" t="s">
        <v>341</v>
      </c>
      <c r="C24" s="33">
        <v>10816.96</v>
      </c>
    </row>
    <row r="25" spans="1:3" ht="45" x14ac:dyDescent="0.25">
      <c r="A25" t="s">
        <v>342</v>
      </c>
      <c r="B25" s="32" t="s">
        <v>343</v>
      </c>
      <c r="C25" s="33">
        <v>1474</v>
      </c>
    </row>
    <row r="26" spans="1:3" ht="45" x14ac:dyDescent="0.25">
      <c r="A26" t="s">
        <v>344</v>
      </c>
      <c r="B26" s="32" t="s">
        <v>345</v>
      </c>
      <c r="C26" s="33">
        <v>4520</v>
      </c>
    </row>
    <row r="27" spans="1:3" ht="45" x14ac:dyDescent="0.25">
      <c r="A27" t="s">
        <v>346</v>
      </c>
      <c r="B27" s="32" t="s">
        <v>347</v>
      </c>
      <c r="C27" s="33">
        <v>5280</v>
      </c>
    </row>
    <row r="28" spans="1:3" ht="30" x14ac:dyDescent="0.25">
      <c r="A28" t="s">
        <v>346</v>
      </c>
      <c r="B28" s="32" t="s">
        <v>348</v>
      </c>
      <c r="C28" s="33">
        <v>5280</v>
      </c>
    </row>
    <row r="29" spans="1:3" ht="30" x14ac:dyDescent="0.25">
      <c r="A29" t="s">
        <v>349</v>
      </c>
      <c r="B29" s="32" t="s">
        <v>350</v>
      </c>
      <c r="C29" s="33">
        <v>6336</v>
      </c>
    </row>
    <row r="30" spans="1:3" ht="60" x14ac:dyDescent="0.25">
      <c r="A30" t="s">
        <v>351</v>
      </c>
      <c r="B30" s="32" t="s">
        <v>352</v>
      </c>
      <c r="C30" s="33">
        <v>15000</v>
      </c>
    </row>
    <row r="31" spans="1:3" x14ac:dyDescent="0.25">
      <c r="A31" t="s">
        <v>151</v>
      </c>
      <c r="B31" s="32" t="s">
        <v>353</v>
      </c>
      <c r="C31" s="33">
        <v>3915.34</v>
      </c>
    </row>
    <row r="32" spans="1:3" ht="30" x14ac:dyDescent="0.25">
      <c r="A32" t="s">
        <v>81</v>
      </c>
      <c r="B32" s="32" t="s">
        <v>354</v>
      </c>
      <c r="C32" s="33">
        <v>46246.97</v>
      </c>
    </row>
    <row r="33" spans="1:3" ht="30" x14ac:dyDescent="0.25">
      <c r="A33" t="s">
        <v>128</v>
      </c>
      <c r="B33" s="32" t="s">
        <v>355</v>
      </c>
      <c r="C33" s="33">
        <v>23426</v>
      </c>
    </row>
    <row r="34" spans="1:3" x14ac:dyDescent="0.25">
      <c r="A34" t="s">
        <v>153</v>
      </c>
      <c r="B34" s="32" t="s">
        <v>356</v>
      </c>
      <c r="C34" s="33">
        <v>-334.24</v>
      </c>
    </row>
    <row r="35" spans="1:3" x14ac:dyDescent="0.25">
      <c r="A35" t="s">
        <v>152</v>
      </c>
      <c r="B35" s="32" t="s">
        <v>356</v>
      </c>
      <c r="C35" s="33">
        <v>-57</v>
      </c>
    </row>
    <row r="36" spans="1:3" ht="45" x14ac:dyDescent="0.25">
      <c r="A36" t="s">
        <v>155</v>
      </c>
      <c r="B36" s="32" t="s">
        <v>357</v>
      </c>
      <c r="C36" s="33">
        <v>4000</v>
      </c>
    </row>
    <row r="37" spans="1:3" ht="45" x14ac:dyDescent="0.25">
      <c r="A37" t="s">
        <v>156</v>
      </c>
      <c r="B37" s="32" t="s">
        <v>357</v>
      </c>
      <c r="C37" s="33">
        <v>3300</v>
      </c>
    </row>
    <row r="38" spans="1:3" ht="45" x14ac:dyDescent="0.25">
      <c r="A38" t="s">
        <v>250</v>
      </c>
      <c r="B38" s="32" t="s">
        <v>358</v>
      </c>
      <c r="C38" s="33">
        <v>-29.25</v>
      </c>
    </row>
    <row r="39" spans="1:3" ht="60" x14ac:dyDescent="0.25">
      <c r="A39" t="s">
        <v>252</v>
      </c>
      <c r="B39" s="32" t="s">
        <v>359</v>
      </c>
      <c r="C39" s="33">
        <v>15295.76</v>
      </c>
    </row>
    <row r="40" spans="1:3" ht="30" x14ac:dyDescent="0.25">
      <c r="A40" t="s">
        <v>252</v>
      </c>
      <c r="B40" s="32" t="s">
        <v>360</v>
      </c>
      <c r="C40" s="33">
        <v>-5295.76</v>
      </c>
    </row>
    <row r="41" spans="1:3" x14ac:dyDescent="0.25">
      <c r="A41" t="s">
        <v>252</v>
      </c>
      <c r="B41" s="32" t="s">
        <v>361</v>
      </c>
      <c r="C41" s="33">
        <v>-5295.76</v>
      </c>
    </row>
    <row r="42" spans="1:3" x14ac:dyDescent="0.25">
      <c r="A42" t="s">
        <v>252</v>
      </c>
      <c r="B42" s="32" t="s">
        <v>362</v>
      </c>
      <c r="C42" s="33">
        <v>5295.76</v>
      </c>
    </row>
    <row r="43" spans="1:3" x14ac:dyDescent="0.25">
      <c r="A43" t="s">
        <v>254</v>
      </c>
      <c r="B43" s="32" t="s">
        <v>363</v>
      </c>
      <c r="C43" s="33">
        <v>5900</v>
      </c>
    </row>
    <row r="44" spans="1:3" ht="45" x14ac:dyDescent="0.25">
      <c r="A44" t="s">
        <v>254</v>
      </c>
      <c r="B44" s="32" t="s">
        <v>364</v>
      </c>
      <c r="C44" s="33">
        <v>-2791.3</v>
      </c>
    </row>
    <row r="45" spans="1:3" ht="60" x14ac:dyDescent="0.25">
      <c r="A45" t="s">
        <v>258</v>
      </c>
      <c r="B45" s="32" t="s">
        <v>365</v>
      </c>
      <c r="C45" s="33">
        <v>30000</v>
      </c>
    </row>
    <row r="46" spans="1:3" x14ac:dyDescent="0.25">
      <c r="A46" t="s">
        <v>258</v>
      </c>
      <c r="B46" s="32" t="s">
        <v>366</v>
      </c>
      <c r="C46" s="33">
        <v>-11.28</v>
      </c>
    </row>
    <row r="47" spans="1:3" ht="45" x14ac:dyDescent="0.25">
      <c r="A47" t="s">
        <v>260</v>
      </c>
      <c r="B47" s="32" t="s">
        <v>367</v>
      </c>
      <c r="C47" s="33">
        <v>11730</v>
      </c>
    </row>
    <row r="48" spans="1:3" ht="45" x14ac:dyDescent="0.25">
      <c r="A48" t="s">
        <v>262</v>
      </c>
      <c r="B48" s="32" t="s">
        <v>367</v>
      </c>
      <c r="C48" s="33">
        <v>12750</v>
      </c>
    </row>
    <row r="49" spans="1:3" ht="60" x14ac:dyDescent="0.25">
      <c r="A49" t="s">
        <v>368</v>
      </c>
      <c r="B49" s="32" t="s">
        <v>369</v>
      </c>
      <c r="C49" s="33">
        <v>10000</v>
      </c>
    </row>
    <row r="50" spans="1:3" ht="90" x14ac:dyDescent="0.25">
      <c r="A50" t="s">
        <v>370</v>
      </c>
      <c r="B50" s="32" t="s">
        <v>371</v>
      </c>
      <c r="C50" s="33">
        <v>18720</v>
      </c>
    </row>
    <row r="51" spans="1:3" ht="120" x14ac:dyDescent="0.25">
      <c r="A51" t="s">
        <v>370</v>
      </c>
      <c r="B51" s="32" t="s">
        <v>372</v>
      </c>
      <c r="C51" s="33">
        <v>9459.84</v>
      </c>
    </row>
    <row r="52" spans="1:3" ht="90" x14ac:dyDescent="0.25">
      <c r="A52" t="s">
        <v>373</v>
      </c>
      <c r="B52" s="32" t="s">
        <v>371</v>
      </c>
      <c r="C52" s="33">
        <v>43680</v>
      </c>
    </row>
    <row r="53" spans="1:3" ht="120" x14ac:dyDescent="0.25">
      <c r="A53" t="s">
        <v>373</v>
      </c>
      <c r="B53" s="32" t="s">
        <v>372</v>
      </c>
      <c r="C53" s="33">
        <v>22072.959999999999</v>
      </c>
    </row>
    <row r="54" spans="1:3" x14ac:dyDescent="0.25">
      <c r="A54" t="s">
        <v>374</v>
      </c>
      <c r="B54" s="32" t="s">
        <v>375</v>
      </c>
      <c r="C54" s="33">
        <v>7666</v>
      </c>
    </row>
    <row r="55" spans="1:3" x14ac:dyDescent="0.25">
      <c r="A55" t="s">
        <v>376</v>
      </c>
      <c r="B55" s="32" t="s">
        <v>375</v>
      </c>
      <c r="C55" s="33">
        <v>10000</v>
      </c>
    </row>
    <row r="56" spans="1:3" x14ac:dyDescent="0.25">
      <c r="A56" t="s">
        <v>377</v>
      </c>
      <c r="B56" s="32" t="s">
        <v>378</v>
      </c>
      <c r="C56" s="33">
        <v>1905</v>
      </c>
    </row>
    <row r="57" spans="1:3" x14ac:dyDescent="0.25">
      <c r="A57" t="s">
        <v>0</v>
      </c>
      <c r="B57" s="32"/>
      <c r="C57" s="34">
        <f>SUBTOTAL(109,Tabla1[Imp. aplic.])</f>
        <v>423974.86000000004</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99E4-5E3B-4996-9514-FEB632364FBA}">
  <dimension ref="A1:C47"/>
  <sheetViews>
    <sheetView topLeftCell="A22" workbookViewId="0">
      <selection activeCell="C48" sqref="C48"/>
    </sheetView>
  </sheetViews>
  <sheetFormatPr baseColWidth="10" defaultRowHeight="15" x14ac:dyDescent="0.25"/>
  <cols>
    <col min="1" max="1" width="17.7109375" customWidth="1"/>
    <col min="2" max="2" width="48.28515625" customWidth="1"/>
    <col min="3" max="3" width="16.7109375" customWidth="1"/>
  </cols>
  <sheetData>
    <row r="1" spans="1:3" x14ac:dyDescent="0.25">
      <c r="A1" s="38" t="s">
        <v>303</v>
      </c>
      <c r="B1" s="39" t="s">
        <v>127</v>
      </c>
      <c r="C1" s="39" t="s">
        <v>304</v>
      </c>
    </row>
    <row r="2" spans="1:3" x14ac:dyDescent="0.25">
      <c r="A2" s="40" t="s">
        <v>312</v>
      </c>
      <c r="B2" s="41" t="s">
        <v>432</v>
      </c>
      <c r="C2" s="42">
        <v>4363.6400000000003</v>
      </c>
    </row>
    <row r="3" spans="1:3" x14ac:dyDescent="0.25">
      <c r="A3" s="43" t="s">
        <v>312</v>
      </c>
      <c r="B3" s="44" t="s">
        <v>433</v>
      </c>
      <c r="C3" s="45">
        <v>1454.54</v>
      </c>
    </row>
    <row r="4" spans="1:3" x14ac:dyDescent="0.25">
      <c r="A4" s="40" t="s">
        <v>312</v>
      </c>
      <c r="B4" s="41" t="s">
        <v>434</v>
      </c>
      <c r="C4" s="42">
        <v>1454.54</v>
      </c>
    </row>
    <row r="5" spans="1:3" x14ac:dyDescent="0.25">
      <c r="A5" s="43" t="s">
        <v>435</v>
      </c>
      <c r="B5" s="44" t="s">
        <v>436</v>
      </c>
      <c r="C5" s="45">
        <v>176</v>
      </c>
    </row>
    <row r="6" spans="1:3" x14ac:dyDescent="0.25">
      <c r="A6" s="40" t="s">
        <v>437</v>
      </c>
      <c r="B6" s="41" t="s">
        <v>438</v>
      </c>
      <c r="C6" s="42">
        <v>8800</v>
      </c>
    </row>
    <row r="7" spans="1:3" x14ac:dyDescent="0.25">
      <c r="A7" s="43" t="s">
        <v>439</v>
      </c>
      <c r="B7" s="44" t="s">
        <v>440</v>
      </c>
      <c r="C7" s="45">
        <v>2909.1</v>
      </c>
    </row>
    <row r="8" spans="1:3" x14ac:dyDescent="0.25">
      <c r="A8" s="40" t="s">
        <v>439</v>
      </c>
      <c r="B8" s="41" t="s">
        <v>441</v>
      </c>
      <c r="C8" s="42">
        <v>727.28</v>
      </c>
    </row>
    <row r="9" spans="1:3" x14ac:dyDescent="0.25">
      <c r="A9" s="43" t="s">
        <v>442</v>
      </c>
      <c r="B9" s="44" t="s">
        <v>443</v>
      </c>
      <c r="C9" s="45">
        <v>2909.1</v>
      </c>
    </row>
    <row r="10" spans="1:3" x14ac:dyDescent="0.25">
      <c r="A10" s="40" t="s">
        <v>444</v>
      </c>
      <c r="B10" s="41" t="s">
        <v>445</v>
      </c>
      <c r="C10" s="42">
        <v>4224</v>
      </c>
    </row>
    <row r="11" spans="1:3" x14ac:dyDescent="0.25">
      <c r="A11" s="43" t="s">
        <v>446</v>
      </c>
      <c r="B11" s="44" t="s">
        <v>447</v>
      </c>
      <c r="C11" s="45">
        <v>12276</v>
      </c>
    </row>
    <row r="12" spans="1:3" x14ac:dyDescent="0.25">
      <c r="A12" s="40" t="s">
        <v>448</v>
      </c>
      <c r="B12" s="41" t="s">
        <v>449</v>
      </c>
      <c r="C12" s="42">
        <v>2244</v>
      </c>
    </row>
    <row r="13" spans="1:3" x14ac:dyDescent="0.25">
      <c r="A13" s="43" t="s">
        <v>450</v>
      </c>
      <c r="B13" s="44" t="s">
        <v>451</v>
      </c>
      <c r="C13" s="45">
        <v>3636.36</v>
      </c>
    </row>
    <row r="14" spans="1:3" x14ac:dyDescent="0.25">
      <c r="A14" s="40" t="s">
        <v>452</v>
      </c>
      <c r="B14" s="41" t="s">
        <v>453</v>
      </c>
      <c r="C14" s="42">
        <v>10560</v>
      </c>
    </row>
    <row r="15" spans="1:3" x14ac:dyDescent="0.25">
      <c r="A15" s="43" t="s">
        <v>454</v>
      </c>
      <c r="B15" s="44" t="s">
        <v>455</v>
      </c>
      <c r="C15" s="45">
        <v>1056</v>
      </c>
    </row>
    <row r="16" spans="1:3" x14ac:dyDescent="0.25">
      <c r="A16" s="40" t="s">
        <v>456</v>
      </c>
      <c r="B16" s="41" t="s">
        <v>457</v>
      </c>
      <c r="C16" s="42">
        <v>13191.2</v>
      </c>
    </row>
    <row r="17" spans="1:3" x14ac:dyDescent="0.25">
      <c r="A17" s="43" t="s">
        <v>458</v>
      </c>
      <c r="B17" s="44" t="s">
        <v>459</v>
      </c>
      <c r="C17" s="45">
        <v>13112</v>
      </c>
    </row>
    <row r="18" spans="1:3" x14ac:dyDescent="0.25">
      <c r="A18" s="40" t="s">
        <v>460</v>
      </c>
      <c r="B18" s="41" t="s">
        <v>461</v>
      </c>
      <c r="C18" s="42">
        <v>880</v>
      </c>
    </row>
    <row r="19" spans="1:3" x14ac:dyDescent="0.25">
      <c r="A19" s="43" t="s">
        <v>462</v>
      </c>
      <c r="B19" s="44" t="s">
        <v>463</v>
      </c>
      <c r="C19" s="45">
        <v>5926.4</v>
      </c>
    </row>
    <row r="20" spans="1:3" x14ac:dyDescent="0.25">
      <c r="A20" s="40" t="s">
        <v>464</v>
      </c>
      <c r="B20" s="41" t="s">
        <v>465</v>
      </c>
      <c r="C20" s="42">
        <v>3834.16</v>
      </c>
    </row>
    <row r="21" spans="1:3" x14ac:dyDescent="0.25">
      <c r="A21" s="43" t="s">
        <v>351</v>
      </c>
      <c r="B21" s="44" t="s">
        <v>466</v>
      </c>
      <c r="C21" s="45">
        <v>15000</v>
      </c>
    </row>
    <row r="22" spans="1:3" x14ac:dyDescent="0.25">
      <c r="A22" s="40" t="s">
        <v>467</v>
      </c>
      <c r="B22" s="41" t="s">
        <v>468</v>
      </c>
      <c r="C22" s="42">
        <v>30000</v>
      </c>
    </row>
    <row r="23" spans="1:3" x14ac:dyDescent="0.25">
      <c r="A23" s="43" t="s">
        <v>81</v>
      </c>
      <c r="B23" s="44" t="s">
        <v>469</v>
      </c>
      <c r="C23" s="45">
        <v>-11043.24</v>
      </c>
    </row>
    <row r="24" spans="1:3" x14ac:dyDescent="0.25">
      <c r="A24" s="40" t="s">
        <v>156</v>
      </c>
      <c r="B24" s="41" t="s">
        <v>470</v>
      </c>
      <c r="C24" s="42">
        <v>22000</v>
      </c>
    </row>
    <row r="25" spans="1:3" x14ac:dyDescent="0.25">
      <c r="A25" s="43" t="s">
        <v>252</v>
      </c>
      <c r="B25" s="44" t="s">
        <v>471</v>
      </c>
      <c r="C25" s="45">
        <v>-5892.3</v>
      </c>
    </row>
    <row r="26" spans="1:3" x14ac:dyDescent="0.25">
      <c r="A26" s="40" t="s">
        <v>258</v>
      </c>
      <c r="B26" s="41" t="s">
        <v>472</v>
      </c>
      <c r="C26" s="42">
        <v>30000</v>
      </c>
    </row>
    <row r="27" spans="1:3" x14ac:dyDescent="0.25">
      <c r="A27" s="43" t="s">
        <v>260</v>
      </c>
      <c r="B27" s="44" t="s">
        <v>473</v>
      </c>
      <c r="C27" s="45">
        <v>8096</v>
      </c>
    </row>
    <row r="28" spans="1:3" x14ac:dyDescent="0.25">
      <c r="A28" s="40" t="s">
        <v>262</v>
      </c>
      <c r="B28" s="41" t="s">
        <v>473</v>
      </c>
      <c r="C28" s="42">
        <v>8800</v>
      </c>
    </row>
    <row r="29" spans="1:3" x14ac:dyDescent="0.25">
      <c r="A29" s="43" t="s">
        <v>368</v>
      </c>
      <c r="B29" s="44" t="s">
        <v>474</v>
      </c>
      <c r="C29" s="45">
        <v>10000</v>
      </c>
    </row>
    <row r="30" spans="1:3" x14ac:dyDescent="0.25">
      <c r="A30" s="40" t="s">
        <v>368</v>
      </c>
      <c r="B30" s="41" t="s">
        <v>475</v>
      </c>
      <c r="C30" s="42">
        <v>-1310.76</v>
      </c>
    </row>
    <row r="31" spans="1:3" x14ac:dyDescent="0.25">
      <c r="A31" s="43" t="s">
        <v>476</v>
      </c>
      <c r="B31" s="44" t="s">
        <v>477</v>
      </c>
      <c r="C31" s="45">
        <v>17445.12</v>
      </c>
    </row>
    <row r="32" spans="1:3" x14ac:dyDescent="0.25">
      <c r="A32" s="40" t="s">
        <v>370</v>
      </c>
      <c r="B32" s="41" t="s">
        <v>478</v>
      </c>
      <c r="C32" s="42">
        <v>1647.36</v>
      </c>
    </row>
    <row r="33" spans="1:3" x14ac:dyDescent="0.25">
      <c r="A33" s="43" t="s">
        <v>373</v>
      </c>
      <c r="B33" s="44" t="s">
        <v>478</v>
      </c>
      <c r="C33" s="45">
        <v>3843.84</v>
      </c>
    </row>
    <row r="34" spans="1:3" x14ac:dyDescent="0.25">
      <c r="A34" s="40" t="s">
        <v>374</v>
      </c>
      <c r="B34" s="41" t="s">
        <v>375</v>
      </c>
      <c r="C34" s="42">
        <v>23000</v>
      </c>
    </row>
    <row r="35" spans="1:3" x14ac:dyDescent="0.25">
      <c r="A35" s="43" t="s">
        <v>374</v>
      </c>
      <c r="B35" s="44" t="s">
        <v>479</v>
      </c>
      <c r="C35" s="45">
        <v>-5.2</v>
      </c>
    </row>
    <row r="36" spans="1:3" x14ac:dyDescent="0.25">
      <c r="A36" s="40" t="s">
        <v>376</v>
      </c>
      <c r="B36" s="41" t="s">
        <v>375</v>
      </c>
      <c r="C36" s="42">
        <v>30000</v>
      </c>
    </row>
    <row r="37" spans="1:3" x14ac:dyDescent="0.25">
      <c r="A37" s="43" t="s">
        <v>480</v>
      </c>
      <c r="B37" s="44" t="s">
        <v>481</v>
      </c>
      <c r="C37" s="45">
        <v>25000</v>
      </c>
    </row>
    <row r="38" spans="1:3" x14ac:dyDescent="0.25">
      <c r="A38" s="40" t="s">
        <v>482</v>
      </c>
      <c r="B38" s="41" t="s">
        <v>483</v>
      </c>
      <c r="C38" s="42">
        <v>8864</v>
      </c>
    </row>
    <row r="39" spans="1:3" x14ac:dyDescent="0.25">
      <c r="A39" s="43" t="s">
        <v>484</v>
      </c>
      <c r="B39" s="44" t="s">
        <v>485</v>
      </c>
      <c r="C39" s="45">
        <v>45915.5</v>
      </c>
    </row>
    <row r="40" spans="1:3" x14ac:dyDescent="0.25">
      <c r="A40" s="40" t="s">
        <v>486</v>
      </c>
      <c r="B40" s="41" t="s">
        <v>485</v>
      </c>
      <c r="C40" s="42">
        <v>59585</v>
      </c>
    </row>
    <row r="41" spans="1:3" x14ac:dyDescent="0.25">
      <c r="A41" s="43" t="s">
        <v>487</v>
      </c>
      <c r="B41" s="44" t="s">
        <v>488</v>
      </c>
      <c r="C41" s="45">
        <v>3700</v>
      </c>
    </row>
    <row r="42" spans="1:3" x14ac:dyDescent="0.25">
      <c r="A42" s="40" t="s">
        <v>489</v>
      </c>
      <c r="B42" s="41" t="s">
        <v>490</v>
      </c>
      <c r="C42" s="42">
        <v>1476</v>
      </c>
    </row>
    <row r="43" spans="1:3" ht="15.75" thickBot="1" x14ac:dyDescent="0.3">
      <c r="A43" s="43" t="s">
        <v>491</v>
      </c>
      <c r="B43" s="44" t="s">
        <v>492</v>
      </c>
      <c r="C43" s="45">
        <v>89183.46</v>
      </c>
    </row>
    <row r="44" spans="1:3" ht="15.75" thickTop="1" x14ac:dyDescent="0.25">
      <c r="A44" s="46" t="s">
        <v>0</v>
      </c>
      <c r="B44" s="47"/>
      <c r="C44" s="48">
        <v>509039.10000000003</v>
      </c>
    </row>
    <row r="47" spans="1:3" x14ac:dyDescent="0.25">
      <c r="B47" s="35" t="s">
        <v>493</v>
      </c>
      <c r="C47" s="36">
        <f>+Tabla1[[#Totals],[Imp. aplic.]]+Tabla2[[#Totals],[Imp.cob.aplic.]]+C44</f>
        <v>1609031.4000000001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EAD32-68C9-4118-B632-2029C93D39A8}">
  <dimension ref="A2"/>
  <sheetViews>
    <sheetView workbookViewId="0">
      <selection activeCell="A2" sqref="A2"/>
    </sheetView>
  </sheetViews>
  <sheetFormatPr baseColWidth="10" defaultRowHeight="15" x14ac:dyDescent="0.25"/>
  <sheetData>
    <row r="2" spans="1:1" x14ac:dyDescent="0.25">
      <c r="A2" t="s">
        <v>379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5C210-7456-48F8-81BB-25DAA703E272}">
  <dimension ref="A1:C3"/>
  <sheetViews>
    <sheetView workbookViewId="0">
      <selection activeCell="E20" sqref="E20"/>
    </sheetView>
  </sheetViews>
  <sheetFormatPr baseColWidth="10" defaultRowHeight="15" x14ac:dyDescent="0.25"/>
  <cols>
    <col min="1" max="1" width="13.42578125" bestFit="1" customWidth="1"/>
    <col min="2" max="2" width="84.140625" customWidth="1"/>
    <col min="3" max="3" width="14.28515625" style="33" bestFit="1" customWidth="1"/>
  </cols>
  <sheetData>
    <row r="1" spans="1:3" x14ac:dyDescent="0.25">
      <c r="A1" t="s">
        <v>303</v>
      </c>
      <c r="B1" t="s">
        <v>127</v>
      </c>
      <c r="C1" s="33" t="s">
        <v>304</v>
      </c>
    </row>
    <row r="2" spans="1:3" ht="33.75" customHeight="1" x14ac:dyDescent="0.25">
      <c r="A2" t="s">
        <v>380</v>
      </c>
      <c r="B2" s="32" t="s">
        <v>381</v>
      </c>
      <c r="C2" s="33">
        <v>233.75</v>
      </c>
    </row>
    <row r="3" spans="1:3" x14ac:dyDescent="0.25">
      <c r="A3" t="s">
        <v>0</v>
      </c>
      <c r="B3" s="32"/>
      <c r="C3" s="34">
        <f>SUBTOTAL(109,Tabla15[Imp. aplic.])</f>
        <v>233.75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AE87D-753A-45D6-8838-5A3DFB362245}">
  <dimension ref="B3:D7"/>
  <sheetViews>
    <sheetView tabSelected="1" workbookViewId="0">
      <selection activeCell="C14" sqref="C14"/>
    </sheetView>
  </sheetViews>
  <sheetFormatPr baseColWidth="10" defaultRowHeight="15" x14ac:dyDescent="0.25"/>
  <cols>
    <col min="3" max="3" width="42.42578125" customWidth="1"/>
  </cols>
  <sheetData>
    <row r="3" spans="2:4" x14ac:dyDescent="0.25">
      <c r="B3" t="s">
        <v>495</v>
      </c>
    </row>
    <row r="7" spans="2:4" x14ac:dyDescent="0.25">
      <c r="C7" s="35" t="s">
        <v>496</v>
      </c>
      <c r="D7" s="36">
        <f>Tabla15[[#Totals],[Imp. aplic.]]</f>
        <v>233.75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cp:lastPrinted>2019-07-03T07:26:29Z</cp:lastPrinted>
  <dcterms:created xsi:type="dcterms:W3CDTF">2019-07-03T07:15:54Z</dcterms:created>
  <dcterms:modified xsi:type="dcterms:W3CDTF">2026-05-28T10:17:19Z</dcterms:modified>
</cp:coreProperties>
</file>