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4E656592-3C44-4A07-BB91-27DF97867FD6}" xr6:coauthVersionLast="47" xr6:coauthVersionMax="47" xr10:uidLastSave="{00000000-0000-0000-0000-000000000000}"/>
  <bookViews>
    <workbookView xWindow="-120" yWindow="-120" windowWidth="29040" windowHeight="15720" firstSheet="3" activeTab="7" xr2:uid="{00000000-000D-0000-FFFF-FFFF00000000}"/>
  </bookViews>
  <sheets>
    <sheet name="Tesis" sheetId="2" r:id="rId1"/>
    <sheet name="Sexenios" sheetId="3" r:id="rId2"/>
    <sheet name="Ingresos investigación 2023" sheetId="14" r:id="rId3"/>
    <sheet name="Ingresos investigación 2024" sheetId="16" r:id="rId4"/>
    <sheet name="Ingresos investigación 2025" sheetId="18" r:id="rId5"/>
    <sheet name="Ingresos formación 2023" sheetId="15" r:id="rId6"/>
    <sheet name="Ingresos formación 2024" sheetId="17" r:id="rId7"/>
    <sheet name="Ingresos formación 2025" sheetId="19" r:id="rId8"/>
  </sheets>
  <definedNames>
    <definedName name="_xlnm._FilterDatabase" localSheetId="1" hidden="1">Sexenios!#REF!</definedName>
    <definedName name="_xlnm._FilterDatabase" localSheetId="0" hidden="1">Tesis!$A$1:$T$162</definedName>
    <definedName name="_xlnm.Print_Titles" localSheetId="1">Sexenios!#REF!</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 i="19" l="1"/>
  <c r="C30" i="18"/>
  <c r="R80" i="3"/>
  <c r="S162" i="2"/>
  <c r="C4" i="15" l="1"/>
  <c r="C9" i="17"/>
  <c r="C20" i="16"/>
  <c r="C28" i="14"/>
</calcChain>
</file>

<file path=xl/sharedStrings.xml><?xml version="1.0" encoding="utf-8"?>
<sst xmlns="http://schemas.openxmlformats.org/spreadsheetml/2006/main" count="3094" uniqueCount="916">
  <si>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</si>
  <si>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</si>
  <si>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</si>
  <si>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</si>
  <si>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</si>
  <si>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</si>
  <si>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</si>
  <si>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</si>
  <si>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</si>
  <si>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</si>
  <si>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</si>
  <si>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</si>
  <si>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</si>
  <si>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</si>
  <si>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</si>
  <si>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</si>
  <si>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</si>
  <si>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</si>
  <si>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</si>
  <si>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</si>
  <si>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</si>
  <si>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</si>
  <si>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</si>
  <si>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</si>
  <si>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</si>
  <si>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10.17</t>
  </si>
  <si>
    <t>U062 </t>
  </si>
  <si>
    <t>ADM. I.U. DE INVESTIGACIÓN INFORMÁTICA </t>
  </si>
  <si>
    <t>DOCTORADO EN INFORMÁTICA </t>
  </si>
  <si>
    <t>10.19</t>
  </si>
  <si>
    <t>B112 </t>
  </si>
  <si>
    <t>DIDACTICA GENERAL Y DIDÁCTICAS ESPECÍFICAS </t>
  </si>
  <si>
    <t>DOCTORADO EN INVESTIGACIÓN EDUCATIVA </t>
  </si>
  <si>
    <t>50</t>
  </si>
  <si>
    <t>B113 </t>
  </si>
  <si>
    <t>ESTUDIOS JURIDICOS DEL ESTADO </t>
  </si>
  <si>
    <t>U025 </t>
  </si>
  <si>
    <t>ADM. FACULTAD DE DERECHO </t>
  </si>
  <si>
    <t>DOCTORADO EN DERECHO </t>
  </si>
  <si>
    <t>B113</t>
  </si>
  <si>
    <t>20</t>
  </si>
  <si>
    <t>ZZ </t>
  </si>
  <si>
    <t>SIN ASIGNAR </t>
  </si>
  <si>
    <t>B138</t>
  </si>
  <si>
    <t>10</t>
  </si>
  <si>
    <t>B184 </t>
  </si>
  <si>
    <t>EDIFICACIÓN Y URBANISMO </t>
  </si>
  <si>
    <t>10.06</t>
  </si>
  <si>
    <t>U036 </t>
  </si>
  <si>
    <t>ADM. FACULTAD DE CIENCIAS ECONÓMICAS </t>
  </si>
  <si>
    <t>DOCTORADO EN EMPRESA, ECONOMÍA Y SOCIEDAD </t>
  </si>
  <si>
    <t>30</t>
  </si>
  <si>
    <t>B174 </t>
  </si>
  <si>
    <t>HISTORIA MEDIEVAL, HISTORIA MODERNA Y CIENCIAS Y TÉCNICAS HISTORIOGRÀFICAS </t>
  </si>
  <si>
    <t>B122 </t>
  </si>
  <si>
    <t>HUMANIDADES CONTEMPORANEAS </t>
  </si>
  <si>
    <t>B122</t>
  </si>
  <si>
    <t>U023 </t>
  </si>
  <si>
    <t>ADM. FACULTAD DE FILOSOFIA Y LETRAS </t>
  </si>
  <si>
    <t>DOCTORADO EN FILOSOFÍA Y LETRAS </t>
  </si>
  <si>
    <t>B134</t>
  </si>
  <si>
    <t>B175 </t>
  </si>
  <si>
    <t>COMUNICACIÓN Y PSICOLOGÍA SOCIAL </t>
  </si>
  <si>
    <t>B175</t>
  </si>
  <si>
    <t>10.23</t>
  </si>
  <si>
    <t>B115 </t>
  </si>
  <si>
    <t>FILOL. ESPAÑOLA, LINGÜÍSTICA GENERAL Y TEORIA DE LA LITERATURA </t>
  </si>
  <si>
    <t>B115</t>
  </si>
  <si>
    <t>10.15</t>
  </si>
  <si>
    <t>B116</t>
  </si>
  <si>
    <t>10.25</t>
  </si>
  <si>
    <t>B177 </t>
  </si>
  <si>
    <t>PSICOLOGÍA EVOLUTIVA Y DIDÁCTICA </t>
  </si>
  <si>
    <t>B112</t>
  </si>
  <si>
    <t>B148 </t>
  </si>
  <si>
    <t>TECNOLOGÍA INFORMÁTICA Y COMPUTACIÓN </t>
  </si>
  <si>
    <t>B148</t>
  </si>
  <si>
    <t>21964202F </t>
  </si>
  <si>
    <t>B120 </t>
  </si>
  <si>
    <t>GEOGRAFIA HUMANA </t>
  </si>
  <si>
    <t>B120</t>
  </si>
  <si>
    <t>B174</t>
  </si>
  <si>
    <t>B177</t>
  </si>
  <si>
    <t>B108</t>
  </si>
  <si>
    <t>25126858W </t>
  </si>
  <si>
    <t>21457927P </t>
  </si>
  <si>
    <t>21357027D </t>
  </si>
  <si>
    <t>21445733G </t>
  </si>
  <si>
    <t>21489543E </t>
  </si>
  <si>
    <t>21463378P </t>
  </si>
  <si>
    <t>22929043K </t>
  </si>
  <si>
    <t>74218386P </t>
  </si>
  <si>
    <t>NIF</t>
  </si>
  <si>
    <t>NOMBRE_COMPLETO</t>
  </si>
  <si>
    <t>TIPO_SEXENIO</t>
  </si>
  <si>
    <t>Total general</t>
  </si>
  <si>
    <t>INS
1</t>
  </si>
  <si>
    <t>DED
INS 1</t>
  </si>
  <si>
    <t>INS
2</t>
  </si>
  <si>
    <t>DED
INS 2</t>
  </si>
  <si>
    <t>DED
DEP</t>
  </si>
  <si>
    <t>SEX
INS 1</t>
  </si>
  <si>
    <t>SEX
INS 2</t>
  </si>
  <si>
    <t>SEX
DEP</t>
  </si>
  <si>
    <t>FUNCIONARIO</t>
  </si>
  <si>
    <t>NO FUNCIONARIO</t>
  </si>
  <si>
    <t>05150725J</t>
  </si>
  <si>
    <t>74218386P</t>
  </si>
  <si>
    <t>21964202F</t>
  </si>
  <si>
    <t>44752168X</t>
  </si>
  <si>
    <t>21436046T</t>
  </si>
  <si>
    <t>48769418B</t>
  </si>
  <si>
    <t>48341145K</t>
  </si>
  <si>
    <t>22929043K</t>
  </si>
  <si>
    <t>73536751R</t>
  </si>
  <si>
    <t>33496411Q</t>
  </si>
  <si>
    <t>25126587F</t>
  </si>
  <si>
    <t>48561783C</t>
  </si>
  <si>
    <t>22455996S</t>
  </si>
  <si>
    <t>21406895J</t>
  </si>
  <si>
    <t>22133724L</t>
  </si>
  <si>
    <t>33486240B</t>
  </si>
  <si>
    <t>21686601Q</t>
  </si>
  <si>
    <t>45568488Z</t>
  </si>
  <si>
    <t>25126858W</t>
  </si>
  <si>
    <t>21450008R</t>
  </si>
  <si>
    <t>21489543E</t>
  </si>
  <si>
    <t>21474106H</t>
  </si>
  <si>
    <t>21463378P</t>
  </si>
  <si>
    <t>21417350A</t>
  </si>
  <si>
    <t>15852799A</t>
  </si>
  <si>
    <t>21643754H</t>
  </si>
  <si>
    <t>48379979P</t>
  </si>
  <si>
    <t>Fernández Álvaro, Alfonso </t>
  </si>
  <si>
    <t>EL TRATAMIENTO DE LA RELACIÓN BILATERAL ENTRE ESPAÑA Y ESTADOS UNIDOS POR EL PERIODISMO ESPAÑOL DURANTE EL PERIODO 1975-2005 (LOS CASOS DE LOS PERIÓDICOS, ABD, LA VANGUARDIA Y EL PAÍS) </t>
  </si>
  <si>
    <t>02/03/2020 </t>
  </si>
  <si>
    <t>Aliaga Aguza, Laura María </t>
  </si>
  <si>
    <t>ANÁLISIS LINGÜÍSTICO DEL HUMOR EN EL MEDIO AUDIOVISUAL: LAS ESTRATEGIAS HUMORÍSTICAS DE LA COMEDIA DE SITUACIÓN </t>
  </si>
  <si>
    <t>29/01/2020 </t>
  </si>
  <si>
    <t>44752168X </t>
  </si>
  <si>
    <t>Pin Figueroa, Walter Jesus </t>
  </si>
  <si>
    <t>Turismo rural en áreas cafetaleras en la zona sur de Manabí, Ecuador </t>
  </si>
  <si>
    <t>28/02/2020 </t>
  </si>
  <si>
    <t>21457927P</t>
  </si>
  <si>
    <t>21495354Z</t>
  </si>
  <si>
    <t>B139</t>
  </si>
  <si>
    <t>09371918Q</t>
  </si>
  <si>
    <t>52773764B</t>
  </si>
  <si>
    <t>21456802X</t>
  </si>
  <si>
    <t>COD DEP</t>
  </si>
  <si>
    <t>21455665T</t>
  </si>
  <si>
    <t>B140</t>
  </si>
  <si>
    <t>21491812Z</t>
  </si>
  <si>
    <t>21985529J</t>
  </si>
  <si>
    <t>22002559T</t>
  </si>
  <si>
    <t>B184</t>
  </si>
  <si>
    <t>22126836P</t>
  </si>
  <si>
    <t>33485422K</t>
  </si>
  <si>
    <t>48375773B</t>
  </si>
  <si>
    <t>48525115Z</t>
  </si>
  <si>
    <t>10.21</t>
  </si>
  <si>
    <t>22529387J</t>
  </si>
  <si>
    <t>46336900L</t>
  </si>
  <si>
    <t>10.05</t>
  </si>
  <si>
    <t>U020 </t>
  </si>
  <si>
    <t>ADM. I.U. DEL AGUA Y DE LAS CIENCIAS AMBIENTALES </t>
  </si>
  <si>
    <t>DOCTORADO EN AGUA Y DESARROLLO SOSTENIBLE </t>
  </si>
  <si>
    <t>Céspedes López, María Francisca </t>
  </si>
  <si>
    <t>CALIFICACIÓN ENERGÉTICA Y PRECIO DE LA VIVIENDA. ANÁLISIS DE LOS PRECIOS DE VENTA EN LA PROVINCIA DE ALICANTE (ESPAÑA) </t>
  </si>
  <si>
    <t>10/07/2020 </t>
  </si>
  <si>
    <t>48375773B </t>
  </si>
  <si>
    <t>Castro Carbonell, Ana Isabel </t>
  </si>
  <si>
    <t>MUERTE, ESPIRITUALIDAD Y MATERIALIDAD EN EL SUR DEL REINO DE VALENCIA (SIGLOS XIV-XVI) </t>
  </si>
  <si>
    <t>31/01/2020 </t>
  </si>
  <si>
    <t>22126836P </t>
  </si>
  <si>
    <t>Rojas Viteri, Juan Carlos </t>
  </si>
  <si>
    <t>MODELO FLIPPED LEARNING APLICADO A LA ASIGNATURA DE SISTEMAS OPERATIVOS II DE LA CARRERA DE INFORMÁTICA DE LA UCE: ESTUDIO DE CASO PARA MEDIR EL NIVEL DE MOTIVACIÓN Y SATISFACCIÓN TECNOLÓGICA EN EL USO DE LA PLATAFORMA MOODLE </t>
  </si>
  <si>
    <t>04/11/2020 </t>
  </si>
  <si>
    <t>Blanco Reyes, Lidia </t>
  </si>
  <si>
    <t>EL DESARROLLO PROFESIONAL DOCENTE A TRAVÉS DEL PROGRAMA ERASMUS+: UN ESTUDIO DE CASOS </t>
  </si>
  <si>
    <t>15/12/2020 </t>
  </si>
  <si>
    <t>76941801Q </t>
  </si>
  <si>
    <t>48379979P </t>
  </si>
  <si>
    <t>Blanes Mora, Ruben </t>
  </si>
  <si>
    <t>EL GRUPO FOTOGRÁFICO AFAL. LA HISTORIA VISUAL DE ESPAÑA (1956-1963) </t>
  </si>
  <si>
    <t>05/10/2020 </t>
  </si>
  <si>
    <t>Grau Barrera, Beatriz </t>
  </si>
  <si>
    <t>"Modelo de gestión para la innovación e integración digital progresiva en un centro educativo basado en la mejora continua y el liderazgo compartido" </t>
  </si>
  <si>
    <t>Ríos Pérez, Manuel </t>
  </si>
  <si>
    <t>Concesiones de transporte público regular de viajeros por carretera y su dependencia territorial. Evolución, contexto socioeconómico y modelo desarrollado en la provincia de Alicante </t>
  </si>
  <si>
    <t>05/11/2020 </t>
  </si>
  <si>
    <t>Latorre Aizaga, Franklin Lenin </t>
  </si>
  <si>
    <t>IMPACTO DE LAS POLÍTICAS ECONOMICAS-LABORALES EN LAS CONDICIONES DE TRABAJO EN ECUADOR (2007-2017) </t>
  </si>
  <si>
    <t>23/10/2020 </t>
  </si>
  <si>
    <t>Martínez Cánovas, Gonzalo José </t>
  </si>
  <si>
    <t>LUIS JIMÉNEZ DE ASÚA. EL PENALISTA DE LA RETAGUARDIA IMPOSIBLE </t>
  </si>
  <si>
    <t>16/10/2020 </t>
  </si>
  <si>
    <t>22133724L </t>
  </si>
  <si>
    <t>Ventura Romero, José Modesto </t>
  </si>
  <si>
    <t>Factores asociados a las causas de deserción estudiantil en instituciones de educación superior de El Salvador </t>
  </si>
  <si>
    <t>31/05/2021 </t>
  </si>
  <si>
    <t>Alas Trujillo, Norman Noel </t>
  </si>
  <si>
    <t>Fotoperiodismo y violencia en la prensa online de El Salvador. Estudio transversal desde una perspectiva profesional y universitaria </t>
  </si>
  <si>
    <t>25/05/2021 </t>
  </si>
  <si>
    <t>22455996S </t>
  </si>
  <si>
    <t>Aparicio Pacheco, Rafael Orlando </t>
  </si>
  <si>
    <t>Las Radios Comunitarias y su influencia en el proceso de desarrollo local en las comunidades salvadoreñas </t>
  </si>
  <si>
    <t>08/07/2021 </t>
  </si>
  <si>
    <t>Diseño y evaluación de un programa para el desarrollo de la competencia investigadora en la formación inicial de docentes: percepción de alumnado y profesorado </t>
  </si>
  <si>
    <t>30/09/2021 </t>
  </si>
  <si>
    <t>Cazarez Valdiviezo, José Luis </t>
  </si>
  <si>
    <t>Competencias del profesorado universitario en relación al uso de Tecnologías de la Información y Comunicación. Un estudio de caso en la Universidad Central de Ecuador </t>
  </si>
  <si>
    <t>18/02/2021 </t>
  </si>
  <si>
    <t>Sánchez Almeida, Tarquino Fabián </t>
  </si>
  <si>
    <t>Validación de la escala de valoración de la docencia de la Escuela Politécnica Nacional del Ecuador. Un análisis de su relación con el rendimiento académico </t>
  </si>
  <si>
    <t>15/07/2021 </t>
  </si>
  <si>
    <t>Silva Martínez, Gardenia </t>
  </si>
  <si>
    <t>Análisis de las dificultades de los estudiantes para desarrollar su carrera en al Universidad UTE Santo Domingo (Ecuador) </t>
  </si>
  <si>
    <t>19/02/2021 </t>
  </si>
  <si>
    <t>Sierra Pazmiño, Diego Xavier </t>
  </si>
  <si>
    <t>Evaluación de las competencias digitales en la formación inicial docente de los y las estudiantes de la Facultad de Filosofía y Letras y Ciencias de la Educación de la Universidad Central de Ecuador </t>
  </si>
  <si>
    <t>25/02/2021 </t>
  </si>
  <si>
    <t>Fabra Brell, Eugenio </t>
  </si>
  <si>
    <t>Flipped Learning y Aprendizaje Musical: Un estudio colectivo de casos con estudiantes de Educación Secundaria Obligatoria en un entorno rural </t>
  </si>
  <si>
    <t>Alfaro Alfaro, Domingo Orlando </t>
  </si>
  <si>
    <t>TELEVISIÓN SALVADOREÑA DIRIGIDA A JÓVENES: EDUCACIÓN VERSUS ENTRETENIMIENTO </t>
  </si>
  <si>
    <t>15/01/2021 </t>
  </si>
  <si>
    <t>Morillo Revelo, Edgardo Javier </t>
  </si>
  <si>
    <t>Reducción de la pobreza en Ecuador (2007-2017). El caso del Cantón Pedro Moncayo </t>
  </si>
  <si>
    <t>27/04/2021 </t>
  </si>
  <si>
    <t>Salinas Salinas, Carlos </t>
  </si>
  <si>
    <t>Pedro Zaragoza Orts, alcalde franquista i desenvolupista de Benidorm, 1951-1967" </t>
  </si>
  <si>
    <t>15/03/2021 </t>
  </si>
  <si>
    <t>DOCTORADO EN TRANSFERENCIAS INTERCULTURALES E HISTÓRICAS EN LA EUROPA MEDIE </t>
  </si>
  <si>
    <t>Soler Molina, Joan Abel </t>
  </si>
  <si>
    <t>Intervenció senyorial i transformacions locals a la baronia de Rebollet-Comtat d'Oliva (segles XIII-XVI). Els Carròs i el Centelles </t>
  </si>
  <si>
    <t>04/03/2021 </t>
  </si>
  <si>
    <t>Canales de Ramírez, Lissette Cristalina </t>
  </si>
  <si>
    <t>Evolución y situación actual de las empresas familiares en El Salvador </t>
  </si>
  <si>
    <t>02/06/2021 </t>
  </si>
  <si>
    <t>21417350A </t>
  </si>
  <si>
    <t>B138 </t>
  </si>
  <si>
    <t>ANALISIS ECONOMICO APLICADO </t>
  </si>
  <si>
    <t>Jiménez Álvarez, Luis Gonzalo </t>
  </si>
  <si>
    <t>Diseño y Especificación del ocio digital con fines de aprendizaje ODFA Subproblema: Ocio digital formativo en competencias ODFC para la UCE </t>
  </si>
  <si>
    <t>21686601Q </t>
  </si>
  <si>
    <t>Bravo Fuentes, Paloma </t>
  </si>
  <si>
    <t>Propuesta metodológica para la enseñanza de la flauta dulce en educación primaria mediante el soporte de complementos tecnológicos para el aprendizaje autónomo. </t>
  </si>
  <si>
    <t>29/07/2021 </t>
  </si>
  <si>
    <t>09371918Q </t>
  </si>
  <si>
    <t>U075 </t>
  </si>
  <si>
    <t>ADM. I.U.INVESTIGACIÓN DE ESTUDIOS SOCIALES DE AMÉRICA LATINA </t>
  </si>
  <si>
    <t>DOCTORADO EN HUMANIDADES Y ESTUDIOS SOCIALES DE AMÉRICA LATINA </t>
  </si>
  <si>
    <t>Hoyos Londoño, María Carmenza </t>
  </si>
  <si>
    <t>Vida y obra del poeta colombiano Raúl Gómez Jattin: su indiscutible propensión a la poesía </t>
  </si>
  <si>
    <t>02/07/2021 </t>
  </si>
  <si>
    <t>Rosa de Rivera, Verónica Idalia </t>
  </si>
  <si>
    <t>21/07/2021 </t>
  </si>
  <si>
    <t>Aguirre Ayala, Carlos Antonio </t>
  </si>
  <si>
    <t>"Diseño causal de sistema piramidal para aprendizaje colaborativo sobre la ingeniería web". </t>
  </si>
  <si>
    <t>22/07/2021 </t>
  </si>
  <si>
    <t>21436046T </t>
  </si>
  <si>
    <t>DOCTORADO EN ECONOMÍA </t>
  </si>
  <si>
    <t>22529387J </t>
  </si>
  <si>
    <t>46336900L </t>
  </si>
  <si>
    <t>López Baeza, Jesús </t>
  </si>
  <si>
    <t>Unveiling urban dynamics: An exploration of tools and methods using crowd-sourced data for the study of urban space </t>
  </si>
  <si>
    <t>17/02/2020 </t>
  </si>
  <si>
    <t>Su , Zhenyu </t>
  </si>
  <si>
    <t>REAL ESTATE INVESTMENTS: PRINCIPLES AND EVIDENCE -- THE CASES OF SPAIN AND CHINA </t>
  </si>
  <si>
    <t>30/09/2020 </t>
  </si>
  <si>
    <t>Urrea Solano, María Encarnación </t>
  </si>
  <si>
    <t>El liderazgo de las académicas en la Educación Superior: un estudio de caso </t>
  </si>
  <si>
    <t>22/02/2021 </t>
  </si>
  <si>
    <t>48769418B </t>
  </si>
  <si>
    <t>Cód. org. aplic.</t>
  </si>
  <si>
    <t>Descripción justificante</t>
  </si>
  <si>
    <t>42.10.6Q.00.02</t>
  </si>
  <si>
    <t>Solís Calvo, Ana Magdalena </t>
  </si>
  <si>
    <t>Mujeres docentes, formación profesional y condición laboral. Análisis interseccional en la Universidad Pedagógica Nacional </t>
  </si>
  <si>
    <t>30/11/2021 </t>
  </si>
  <si>
    <t>39104667K </t>
  </si>
  <si>
    <t>- </t>
  </si>
  <si>
    <t>Martínez Ortega, Juan Iván </t>
  </si>
  <si>
    <t>La construcción de las mujeres como sujetos políticos: militantes partidistas, integrantes de Asociaciones Civiles y activistas </t>
  </si>
  <si>
    <t>03/06/2022 </t>
  </si>
  <si>
    <t>Cosh Pale, Manuel </t>
  </si>
  <si>
    <t>Contrademocracia en los Altos de Chiapas, México. Crisis de representación y respuestas sociales emergentes </t>
  </si>
  <si>
    <t>23/05/2022 </t>
  </si>
  <si>
    <t>Brenes Maltez, Perla Mayela </t>
  </si>
  <si>
    <t>García Serrano, Irma </t>
  </si>
  <si>
    <t>FACTORES SOCIOECONÓMICOS Y CULTURALES QUE EXPLICAN EL DESARROLLO COMUNITARIO EN ECUADOR. Incidencia de la cooperación internacional en comunidades de la parroquia de Cangahua, Cantón Cayambe, Provincia de Pichincha </t>
  </si>
  <si>
    <t>29/09/2021 </t>
  </si>
  <si>
    <t>Crespo Amat, Carlos </t>
  </si>
  <si>
    <t>Entre Castilla, la Corona de Aragón y el Mediterráneo: la formación de un mercado transnacional en el reino de Valencia durante la Baja Edad Media (1370-1430) </t>
  </si>
  <si>
    <t>Cañizares Gómez, María José </t>
  </si>
  <si>
    <t>Iglesia, frontera y poder: el pleito del obispado de Orihuela entre la Corona de Castilla y la Corona de Aragón (siglos XIII y XVI) </t>
  </si>
  <si>
    <t>García del Castillo López, Fernando </t>
  </si>
  <si>
    <t>Estilos de vida, comportamiento digital, estado emocional y actividad física en situación de confinamiento por la COVID-19, en una muestra de estudiantes universitarios </t>
  </si>
  <si>
    <t>11/03/2022 </t>
  </si>
  <si>
    <t>21495354Z </t>
  </si>
  <si>
    <t>B119 </t>
  </si>
  <si>
    <t>FUNDAMENTOS DEL ANÁLISIS ECONÓMICO </t>
  </si>
  <si>
    <t>Torres García de las Bayonas, Sonia María </t>
  </si>
  <si>
    <t>El crédito en los procesos de crecimiento y desarrollo económico. La experiencia española en las situaciones de crisis financieras. El papel de las instituciones y de los reguladores del sistema financiero. ¿Ha tenido efectos la desaparición de las c </t>
  </si>
  <si>
    <t>14/07/2022 </t>
  </si>
  <si>
    <t>Pastor Pomares, Francisco </t>
  </si>
  <si>
    <t>Acuerdos comerciales regionales (Estudio de caso sobre sus impactos y efectos bajo un modelo gravitacional) </t>
  </si>
  <si>
    <t>18/07/2022 </t>
  </si>
  <si>
    <t>Olmedo Rodriguez, Carmen Marcela </t>
  </si>
  <si>
    <t>Evaluación de la eficiencia docente. Relaciones entre la nota ser bachiller, la evaluación de la docencia y el rendimiento académico de los estudiantes de la Universidad Central de Ecuador </t>
  </si>
  <si>
    <t>02/03/2022 </t>
  </si>
  <si>
    <t>Martínez Rivera, Julio César </t>
  </si>
  <si>
    <t>LA FIESTA DE MOROS Y CRISTIANOS O "LOS HISTORIANTES" DE EL SALVADOR. UN CASO DE SINCRETISMO CULTURAL </t>
  </si>
  <si>
    <t>12/01/2022 </t>
  </si>
  <si>
    <t>López Davó, Joaquín Antonio </t>
  </si>
  <si>
    <t>La evolución del concepto de confort: el confort ambiental en edificios docentes y administrativos </t>
  </si>
  <si>
    <t>25/03/2022 </t>
  </si>
  <si>
    <t>22002559T </t>
  </si>
  <si>
    <t>Ayón Villafuerte, Libia Soledad </t>
  </si>
  <si>
    <t>El ecoturismo en el perfil costero de Manabí (Ecuador). Estudio de caso Puerto López </t>
  </si>
  <si>
    <t>09/06/2022 </t>
  </si>
  <si>
    <t>Silva Castillo, Vicente Xavier </t>
  </si>
  <si>
    <t>Los programas de posgrado en especialidad médica de Ecuador en el contexto andino y su relación con la economía El caso de la Universidad Central del Ecuador, 2000-2016 </t>
  </si>
  <si>
    <t>27/06/2022 </t>
  </si>
  <si>
    <t>Lázaro Pérez, Miguel Ángel </t>
  </si>
  <si>
    <t>Imperialismo y Teoría marxista de la dependencia </t>
  </si>
  <si>
    <t>22/03/2022 </t>
  </si>
  <si>
    <t>10078923R </t>
  </si>
  <si>
    <t>Igual Anton, Diego </t>
  </si>
  <si>
    <t>Modelo de gestión y comunicación de la RSC en las cooperativas eléctricas </t>
  </si>
  <si>
    <t>04/02/2022 </t>
  </si>
  <si>
    <t>33480107L </t>
  </si>
  <si>
    <t>Arrebola Moreno, Clara </t>
  </si>
  <si>
    <t>Tecnologías aplicadas al proceso de enseñanza-aprendizaje del repertorio del Canto Lírico </t>
  </si>
  <si>
    <t>19/11/2021 </t>
  </si>
  <si>
    <t>Demarchi Sánchez, Geydi Dahiana </t>
  </si>
  <si>
    <t>Gestión educativa y curricular en la educación superior. reflexiones desde las pruebas saber pro en Medellín ¿Colombia </t>
  </si>
  <si>
    <t>12/09/2022 </t>
  </si>
  <si>
    <t>21419805C </t>
  </si>
  <si>
    <t>Diseño causal de sistema piramidal para aprendizaje colaborativo de los lenguajes de programación </t>
  </si>
  <si>
    <t>Gavilán Martín, Diego </t>
  </si>
  <si>
    <t>La integración de la igualdad de género en la formación de los futuros docentes de Educación Primaria: los espacios de género </t>
  </si>
  <si>
    <t>18/10/2021 </t>
  </si>
  <si>
    <t>Gariano , Elvira </t>
  </si>
  <si>
    <t>La transposición legislativa europea en materia de enseñanza de idiomas en Italia y su repercusión en el español como lengua extanjera </t>
  </si>
  <si>
    <t>11/05/2022 </t>
  </si>
  <si>
    <t>05150725J </t>
  </si>
  <si>
    <t>28959284F</t>
  </si>
  <si>
    <t>33480107L</t>
  </si>
  <si>
    <t>44757440S</t>
  </si>
  <si>
    <t>44765640G</t>
  </si>
  <si>
    <t>21511105X</t>
  </si>
  <si>
    <t>44769550G</t>
  </si>
  <si>
    <t>49625619Z</t>
  </si>
  <si>
    <t>Imp.cob.aplic.</t>
  </si>
  <si>
    <t>42.10.6P.00.03</t>
  </si>
  <si>
    <t>I.U.INVESTIGACIÓN DE ESTUDIOS SOCIALES DE AMÉRICA LATINA (10.25) </t>
  </si>
  <si>
    <t>Escortell Crespo, Jordi </t>
  </si>
  <si>
    <t>L'exili cultural republicà espanyol a Mèxic: línies interpretatives en la historiografia espanyola (1975-2010) </t>
  </si>
  <si>
    <t>19/09/2022 </t>
  </si>
  <si>
    <t>Baltazar Landeros, Edgar </t>
  </si>
  <si>
    <t>30/09/2022 </t>
  </si>
  <si>
    <t>La Gobernanza de Océanos y la Plataforma de Gobernanza para las Pesquerias: ¿una oportunidad para el sector pesquero del Ecuador? </t>
  </si>
  <si>
    <t>13/01/2023 </t>
  </si>
  <si>
    <t>Concepción del desarrollo desde las prácticas cotidianas como instrumento para el empoderamiento y progreso de comunidades rurales: caso de San Francisco, Antioquia, Colombia </t>
  </si>
  <si>
    <t>25/07/2023 </t>
  </si>
  <si>
    <t>Villalba Clemente, Francisco Gabriel </t>
  </si>
  <si>
    <t>El modelo constitucional de organización y financiación territorial en la República Federal de Alemania: Aportaciones al modelo español </t>
  </si>
  <si>
    <t>17/06/2022 </t>
  </si>
  <si>
    <t>09019643D </t>
  </si>
  <si>
    <t>Benavides Morales, Ana </t>
  </si>
  <si>
    <t>Cambio político en la izquierda. Democracia, neoliberalismo y lucha social en el Ecuador 1990-2005 </t>
  </si>
  <si>
    <t>26/09/2022 </t>
  </si>
  <si>
    <t>Ortiz Aldean, Víctor Fabricio </t>
  </si>
  <si>
    <t>La enseñanza directa activa en universitarios. Evaluación de su eficacia como modelo de enseñanza en los estudiantes de la Universidad Central de Ecuador. </t>
  </si>
  <si>
    <t>Alcon Vila, Antonio </t>
  </si>
  <si>
    <t>Crecimiento, desarrollo sostenible e internacionalización de las PYMES latinoamericanas a través de la I+D+i: análisis comparado entre modelos de desarrollo de Pymes latinoamericanas y españolas </t>
  </si>
  <si>
    <t>27/09/2022 </t>
  </si>
  <si>
    <t>La educación en Alicante durante el primer tercio del siglo XX: las memorias técnicas como objeto de estudio en un período de transición hacia la graduación escolar. </t>
  </si>
  <si>
    <t>11/07/2023 </t>
  </si>
  <si>
    <t>Market and non-market determinants of property valuations decided through the court system in family law separation in Australia: developing a scientific approach. </t>
  </si>
  <si>
    <t>08/09/2023 </t>
  </si>
  <si>
    <t>SÍNDROME DE BURNOUT, AUTOEFICACIA Y SATISFACCIÓN LABORAL EN DOCENTES UNIVERSITARIOS </t>
  </si>
  <si>
    <t>18/05/2023 </t>
  </si>
  <si>
    <t>Estudio del efecto de la Enseñanza Tradicional (transmisiva) frente al Aprendizaje Basado en Problemas, y detección de obstáculos de aprendizaje sobre el tema "Encuentro de la edificación con el terreno", en el alumnado del Grado en Arquitectura, par </t>
  </si>
  <si>
    <t>22/09/2023 </t>
  </si>
  <si>
    <t>21480784A </t>
  </si>
  <si>
    <t>La formación pedagógica del docente de Filosofía para la educación media </t>
  </si>
  <si>
    <t>04/05/2023 </t>
  </si>
  <si>
    <t>L¿ADOLESCENZA E L¿IMPREVEDIBILE NELL¿EDUCAZIONE. UN¿ANALISI SOCIOPEDAGOGICA SUL DISAGIO SCOLASTICO E FORMATIVO [[La adolescencia y lo imprevisible en la educación. Un análisis sociopedagógico del malestar escolar y educativo]. </t>
  </si>
  <si>
    <t>24/02/2023 </t>
  </si>
  <si>
    <t>Estudio comparado del impacto de las políticas de internacionalización de las universidades públicas de la Comunidad Valenciana. </t>
  </si>
  <si>
    <t>11/01/2023 </t>
  </si>
  <si>
    <t>03421922M </t>
  </si>
  <si>
    <t>Ecosistema Urbano de Emprendimiento: Factores Clave para la Innovación en los Centros Históricos a través de la Economía Creativa. </t>
  </si>
  <si>
    <t>15/09/2023 </t>
  </si>
  <si>
    <t>Emprendimientos femeninos de moda en Nicaragua </t>
  </si>
  <si>
    <t>17/03/2023 </t>
  </si>
  <si>
    <t>U058 </t>
  </si>
  <si>
    <t>I.U. DE INVESTIGACIONES TURÍSTICAS (10.17) </t>
  </si>
  <si>
    <t>DOCTORADO EN TURISMO </t>
  </si>
  <si>
    <t>Desarrollo territorial sostenible del turismo en Manabí, Ecuador. Modelos y estrategias </t>
  </si>
  <si>
    <t>16/12/2022 </t>
  </si>
  <si>
    <t>Competencia Digital docente de las Instituciones de Educación Superior </t>
  </si>
  <si>
    <t>08/06/2023 </t>
  </si>
  <si>
    <t>Cine y turismo en la provincia de Alicante: las oportunidades perdidas para la creación de productos de turismo cinematográfico. </t>
  </si>
  <si>
    <t>01/02/2023 </t>
  </si>
  <si>
    <t>24/11/2022 </t>
  </si>
  <si>
    <t>Desarrollo de competencias profesionales a través de Entornos Virtuales de Aprendizaje. El caso de la Universidad Tecnológica de El Salvador </t>
  </si>
  <si>
    <t>14/09/2023 </t>
  </si>
  <si>
    <t>RESPONSABILIDAD CORPORATIVA Y SOSTENIBILIDAD COMO INTANGIBLES EN LA ESTRATEGIA DE COMUNICACIÓN. EL CASO DE LAS INDUSTRIAS CREATIVAS ESPAÑOLAS DE MODA Y COSMÉTICA </t>
  </si>
  <si>
    <t>21490870S </t>
  </si>
  <si>
    <t>Santa Soriano, Alba </t>
  </si>
  <si>
    <t>Relaciones públicas e inteligencia estratégica en la era digital: contexto, convergencia y aplicaciones desde el engagement para maximizar el impacto de los proyectos europeos </t>
  </si>
  <si>
    <t>22/06/2021 </t>
  </si>
  <si>
    <t>I.U. DE INVESTIGACIÓN INFORMÁTICA (10.19) </t>
  </si>
  <si>
    <t>Sánchez Torres, Fulgencio </t>
  </si>
  <si>
    <t>Data science como soporte al modelado del conocimiento para el análisis de costes en la empresa 4.0: la entidad turística </t>
  </si>
  <si>
    <t>22/09/2022 </t>
  </si>
  <si>
    <t>LA FORMACIÓN DEL PROFESORADO DE LA UNIVERSIDAD CENTRAL DEL ECUADOR Y SU REPERCUSIÓN EN LA DOCENCIA </t>
  </si>
  <si>
    <t>31/03/2023 </t>
  </si>
  <si>
    <t>LOS ESTEREOTIPOS SEXISTAS EN EL LENGUAJE DEL ESTUDIANTADO Y DEL PROFESORADO DE LA CARRERA DE PEDAGOGÍA DE LA LENGUA Y LA LITERATURA DE LA UNIVERSIDAD CENTRAL DEL ECUADOR </t>
  </si>
  <si>
    <t>I.U. DEL AGUA Y DE LAS CIENCIAS AMBIENTALES (10.05) </t>
  </si>
  <si>
    <t>PRESENCIA Y ACTIVIDAD URBANA EN LAS CIUDADES DE LA COMUNIDAD </t>
  </si>
  <si>
    <t>12/09/2023 </t>
  </si>
  <si>
    <t>Estudio de la percepción social sobre comportamientos considerados corruptos y/o éticamente reprobables en la política desde una perspectiva de género. </t>
  </si>
  <si>
    <t>09019643D</t>
  </si>
  <si>
    <t>10078923R</t>
  </si>
  <si>
    <t>22143242S</t>
  </si>
  <si>
    <t>48365003M</t>
  </si>
  <si>
    <t>52772110J</t>
  </si>
  <si>
    <t>52773057V</t>
  </si>
  <si>
    <t>74001487E</t>
  </si>
  <si>
    <t>21490870S</t>
  </si>
  <si>
    <t>33485113B</t>
  </si>
  <si>
    <t>42.10.2T.00.04</t>
  </si>
  <si>
    <t>DEVOLUCIÓN DE TASAS NÓMINAS_REMESA Nº 2023DTR380589_RDT INVERSA: 2023EXPADM2019</t>
  </si>
  <si>
    <t xml:space="preserve">LIQ-TitProp_9439-1 Curso_2023-24 AñoCont_2023 - EXPERTO EN INDUSTRIA Y AGRONOMÍA DIGITAL DEL CANNABIS </t>
  </si>
  <si>
    <t>42.10.6C.00.12</t>
  </si>
  <si>
    <t xml:space="preserve">Elaboración de un Informe sobre los contenidos y conclusiones del Congreso ERSA y acompañamiento en la participación temática del Ministerio. </t>
  </si>
  <si>
    <t>42.10.6C.00.13</t>
  </si>
  <si>
    <t>3er PAGO CONTRATO CONSULTORÍA CIENTÍFICO-TÉCNICA PARA LA FORMACIÓN DE DESARROLLADORES E IMPLEMENTACIÓN DE NUEVAS TECNOLOGÍAS EN CIENCIAS SOCIALES ENTRE EGRESADOS DE UNIVERSIDADES COLOMBIANAS</t>
  </si>
  <si>
    <t>1er PAGO A LA FIRMA DEL CONTRATO DE CONSULTORÍA CIENTÍFICO-TÉCNICA PARA LA FORMACIÓN DE DESARROLLADORES E IMPLEMENTACIÓN DE NUEVAS TECNOLOGÍAS EN CIENCIAS SOCIALES ENTRE EGRESADOS DE UNIVERSIDADES COLOMBIANAS</t>
  </si>
  <si>
    <t>4º Pago consultoría científico-técnica para la formación de desarrolladores e implementación de nuevas tecnologías en Ciencias Sociales entre egresados de universidades colombianas</t>
  </si>
  <si>
    <t>2º PAGO CONTRATO DE CONSULTORÍA CIENTÍFICO-TÉCNICA PARA LA FORMACIÓN DE DESARROLLADORES E IMPLEMENTACIÓN DE NUEVAS TECNOLOGÍAS EN CIENCIAS SOCIALES ENTRE EGRESADOS DE UNIVERSIDADES COLOMBIANAS</t>
  </si>
  <si>
    <t>42.10.6C.00.14</t>
  </si>
  <si>
    <t>Elaboración de un informe sobre la situación del mercado inmobiliario en España. (Primer pago)</t>
  </si>
  <si>
    <t>42.10.6C.00.15</t>
  </si>
  <si>
    <t xml:space="preserve">La realización de un informe que contenga los principales resultados y conclusiones de las sesiones especiales cuya temática se centre en temas vinculados al desarrollo regional y sectorial. Se trabajará en la difusión y promoción de las sesiones entre la comunidad científica vinculada a la investigación sobre economía regional y urbana, con especial atención al desarrollo tecnológico sostenible. </t>
  </si>
  <si>
    <t>42.10.6C.00.16</t>
  </si>
  <si>
    <t>PARTICIPACIÓN COMO PATROCINADOR - COLABORADOR EN EL CONGRESO INTERNACIONAL DE ERSA</t>
  </si>
  <si>
    <t>42.10.6C.00.17</t>
  </si>
  <si>
    <t>Servicio de soporte para la conferencia JRC/ERSA: Urban Challenges and Sustainable Technological Revolution". Planificación, preparación, ejecución e informe con resumen y conclusiones. Número de orden; 652616 - Evento científico TEDAM</t>
  </si>
  <si>
    <t>42.10.6C.00.18</t>
  </si>
  <si>
    <t>Segundo pago. Finalización y entrega de estudio sobre la perspectiva del deporte español</t>
  </si>
  <si>
    <t>Primer pago a la firma del contrato de entrega de un estudio sobre la perspectiva del deporte español.</t>
  </si>
  <si>
    <t>42.10.6C.00.19</t>
  </si>
  <si>
    <t>Asesoramiento Científico-Técnico en la elaboración y ejecución del Proyecto: Estudio de la Brecha Digital del Género en la formación y autopercepción del profesorado. Al Departamento de Estadística e Investigación Operativa de la Universidad de Valencia. Dirección: Dr. Moliner, 50, 46100, Burjassot</t>
  </si>
  <si>
    <t>42.10.6D.00.01</t>
  </si>
  <si>
    <t>CONVENIO CONGRESO ERSA 2023</t>
  </si>
  <si>
    <t>42.10.6G.00.05</t>
  </si>
  <si>
    <t>INGRESO REFERENTE AL CONVENIO ENTRE ERSA Y LA UA PARA EL 62º CONGRESO ERSA, QUE SE ORGANIZARÁ ENTRE EL 28 DE AGOSTO Y EL 11 DE SEPTIEMBRE EN LA UA.</t>
  </si>
  <si>
    <t>INGRESO REFERENTE AL CONVENIO ENTRE ERSA Y LA UA PARA EL 62º CONGRESO ERSA</t>
  </si>
  <si>
    <t>42.10.6G.00.06</t>
  </si>
  <si>
    <t xml:space="preserve">Plan_GJ12 Curso_2023-24 Emitido_2023-24 - VIII CONGRESO IBEROAMERICANO SOBRE TURISMO SUSTENTABLE </t>
  </si>
  <si>
    <t>DEVOLUCIÓN TASAS NÓMINAS_REMESA Nº 2023DTR312885 RDT INVERSA_2023EXPADM1754</t>
  </si>
  <si>
    <t>DEVOLUCIÓN DE INGRESOS_ MODELO 047_Nº de liquidación:46/2023/RAS/10321/1_ Número de justificante:047/1/002385120_Nº de referencia:047/1/002385120</t>
  </si>
  <si>
    <t>CIGE/2021/021/041/046/103/136/162/178/153</t>
  </si>
  <si>
    <t>42.10.6P.00.04</t>
  </si>
  <si>
    <t>DEVOLUCIÓN DE INGRESOS_MODELO 047_CIACO 2021 EN 2022_Nº de liquidación:46/2023/RAS/10205/1 047/_Número de justificante:047/1/002362793_Nº de referencia:047/1/002362793</t>
  </si>
  <si>
    <t xml:space="preserve">CIAICO/2021/019/074/124/158/167/173/221/279/305/328/335/339/345/348 </t>
  </si>
  <si>
    <t>42.10.6P.00.05</t>
  </si>
  <si>
    <t xml:space="preserve">AYUDAS CIAORG/2022/45, CIAORG/2022/15, CIAORG/2022/44, CIAORG/2022/140, CIAORG/2022/89, CIAORG/2022/10, CIAORG/2022/115, CIAORG/2022/27, CIAORG/2022/117, CIAORG/2022/128, CIAORG/2022/83, CIAORG/2022/74, CIAORG/2022/125 </t>
  </si>
  <si>
    <t xml:space="preserve">PAGAMENT FINAL CONVENI GV-UNIVERSITAT ALACANT CATEDRA TRANSFORMACIÓ MODEL ECONÒMIC. </t>
  </si>
  <si>
    <t>BESTRETA 50% CONVENI UNIVERSITAT ALACANT CATEDRA TRANSFORMACIÓ MODEL ECONÒMIC</t>
  </si>
  <si>
    <t>42.10.6X.00.01</t>
  </si>
  <si>
    <t>Cobro del Proyecto Erasmus+ ICOOBEP</t>
  </si>
  <si>
    <t>U075</t>
  </si>
  <si>
    <t>I.U.INVESTIGACIÓN DE ESTUDIOS SOCIALES DE AMÉRICA LATINA (10.25)</t>
  </si>
  <si>
    <t>DOCTORADO EN HUMANIDADES Y ESTUDIOS SOCIALES DE AMÉRICA LATINA</t>
  </si>
  <si>
    <t>Saez Menchacatorre, Pedro Ignacio</t>
  </si>
  <si>
    <t>Arqueología Vertical. Seguridad en la utilización de cuerdas para la investigación científica de culturas andinas precolombinas</t>
  </si>
  <si>
    <t>19/04/2024</t>
  </si>
  <si>
    <t>21515186C</t>
  </si>
  <si>
    <t>Codirector de tesis</t>
  </si>
  <si>
    <t>ZZ</t>
  </si>
  <si>
    <t>SIN ASIGNAR</t>
  </si>
  <si>
    <t>Gómez Pulgarin, Dora</t>
  </si>
  <si>
    <t>Impacto de la Educación para el Desarrollo Sostenible en las Universidades de Alta Calidad asociadas a la Corporación de Universidades del Centro de Bogotá y su alineación con el Plan Distrital de Desarrollo 2020-2024</t>
  </si>
  <si>
    <t>29/07/2024</t>
  </si>
  <si>
    <t>'-</t>
  </si>
  <si>
    <t>Piedrahita , Ernesto Jose</t>
  </si>
  <si>
    <t>Los Distritos Especiales en Colombia: avances, retos y oportunidades para una descentralización efectiva. El caso de Santiago de Cali</t>
  </si>
  <si>
    <t>26/04/2024</t>
  </si>
  <si>
    <t>21357027D</t>
  </si>
  <si>
    <t>Director de tesis</t>
  </si>
  <si>
    <t>DIDACTICA GENERAL Y DIDÁCTICAS ESPECÍFICAS</t>
  </si>
  <si>
    <t>DOCTORADO EN INVESTIGACIÓN EDUCATIVA</t>
  </si>
  <si>
    <t>Oller Benítez, Alba</t>
  </si>
  <si>
    <t>Percepciones de los futuros docentes sobre la formación audiovisual en Educación Primaria</t>
  </si>
  <si>
    <t>22/03/2024</t>
  </si>
  <si>
    <t>PSICOLOGÍA EVOLUTIVA Y DIDÁCTICA</t>
  </si>
  <si>
    <t>Bayas Vallejo, Alejandro</t>
  </si>
  <si>
    <t>Itinerario educativo ambiental en dos áreas protegidas del Ecuador para los estudiantes
de la carrera de pedagogía de las Ciencias Experimentales, Química y Biología, de la
Universidad Central de Educador.</t>
  </si>
  <si>
    <t>13/03/2024</t>
  </si>
  <si>
    <t>Ordoñez Pizarro, Wilman</t>
  </si>
  <si>
    <t>Comparación de las características psicológicas de los estudiantes del
 nivel inicial y terminal de la carrera docente de la Facultad de Filosofía, Letras y Ciencias de la Educación de la Universidad Central del Ecuador.</t>
  </si>
  <si>
    <t>10/09/2024</t>
  </si>
  <si>
    <t>Camús Ferri, María Del Mar</t>
  </si>
  <si>
    <t>La comunicación didáctica en la docencia universitaria: un estudio de caso en la
 Universidad de Alicante y en la Universidad de Valencia</t>
  </si>
  <si>
    <t>14/02/2024</t>
  </si>
  <si>
    <t>76941801Q</t>
  </si>
  <si>
    <t>Arroyo Salgueira, Sandra</t>
  </si>
  <si>
    <t>La movilidad académica en el desarrollo profesional docente: un estudio de caso en la Universidad de Alicante</t>
  </si>
  <si>
    <t>15/02/2024</t>
  </si>
  <si>
    <t>Martínez Roig, Rosabel</t>
  </si>
  <si>
    <t>La integración de la robótica social y la Música como elemento transversal en los procesos de enseñanza-aprendizaje en el contexto de la Inteligencia Artificial</t>
  </si>
  <si>
    <t>28/06/2024</t>
  </si>
  <si>
    <t>Chasi Solórzano, Byron</t>
  </si>
  <si>
    <t xml:space="preserve"> Efectos de un diseño instruccional soportado por tecnología sobre el 
rendimiento de los estudiantes en la Facultad de Filosofía, Letras y Ciencias de la Educación de la Universidad Central del Ecuador.</t>
  </si>
  <si>
    <t>U023</t>
  </si>
  <si>
    <t>ADM. FACULTAD DE FILOSOFIA Y LETRAS</t>
  </si>
  <si>
    <t>DOCTORADO EN TRANSFERENCIAS INTERCULTURALES E HISTÓRICAS EN LA EUROPA MEDIE</t>
  </si>
  <si>
    <t>dourgounoglou , antonios</t>
  </si>
  <si>
    <t>The role of the school nurse in organizing health education programs in special schools - The mental health of children with disabilities and the development of their skills on issues related to public health</t>
  </si>
  <si>
    <t>01/07/2024</t>
  </si>
  <si>
    <t>U025</t>
  </si>
  <si>
    <t>ADM. FACULTAD DE DERECHO</t>
  </si>
  <si>
    <t>DOCTORADO EN DERECHO</t>
  </si>
  <si>
    <t>Zambrano Yépez, René Alejandro</t>
  </si>
  <si>
    <t>La responsabilidad extracontractual del estado en El Ecuador</t>
  </si>
  <si>
    <t>23/11/2023</t>
  </si>
  <si>
    <t>ESTUDIOS JURIDICOS DEL ESTADO</t>
  </si>
  <si>
    <t>Barbera Bustos, José Luis</t>
  </si>
  <si>
    <t>Disciplina urbanística: configuración normativa y análisis jurisprudencial</t>
  </si>
  <si>
    <t>06/11/2023</t>
  </si>
  <si>
    <t>09753530N</t>
  </si>
  <si>
    <t>Retamal Valenzuela, Jorge Roberto</t>
  </si>
  <si>
    <t>Tribunales ambientales y medidas cautelares en el proceso ambiental chileno (descripción y estándares mínimos de admisibilidad)</t>
  </si>
  <si>
    <t>U036</t>
  </si>
  <si>
    <t>ADM. FACULTAD DE CIENCIAS ECONÓMICAS</t>
  </si>
  <si>
    <t>DOCTORADO EN EMPRESA, ECONOMÍA Y SOCIEDAD</t>
  </si>
  <si>
    <t>Ibañez Hernández, Ana Isabel</t>
  </si>
  <si>
    <t>Enfoque crítico de la comunicación responsable en el sector farmacéutico</t>
  </si>
  <si>
    <t>26/07/2024</t>
  </si>
  <si>
    <t>COMUNICACIÓN Y PSICOLOGÍA SOCIAL</t>
  </si>
  <si>
    <t>García Martínez, María Ester</t>
  </si>
  <si>
    <t>ANALÍTICA DE LOS PROCESOS DE OPTIMIZACIÓN DE LA CONVERSIÓN WEB: INFLUENCIA DE LA VARIABLE TIPOGRÁFICA</t>
  </si>
  <si>
    <t>05/07/2024</t>
  </si>
  <si>
    <t>21480784A</t>
  </si>
  <si>
    <t>EDIFICACIÓN Y URBANISMO</t>
  </si>
  <si>
    <t>Sierra Urrego, Alejandro</t>
  </si>
  <si>
    <t>EL EXTERMINIO COMO PRÁCTICA SOCIAL. EL CASO DEL MOVIMIENTO CÍVICO DEL ORIENTE ANTIOQUEÑO, 1979 - 1996</t>
  </si>
  <si>
    <t>17/07/2024</t>
  </si>
  <si>
    <t>HUMANIDADES CONTEMPORANEAS</t>
  </si>
  <si>
    <t>Parada Giraldo, Daryeny</t>
  </si>
  <si>
    <t>CARTOGRAFÍA TEATRAL-CULTURAL A PARTIR DEL ANÁLISIS DE LA DANZA RITUAL</t>
  </si>
  <si>
    <t>14/11/2023</t>
  </si>
  <si>
    <t>HISTORIA MEDIEVAL, HISTORIA MODERNA Y CIENCIAS Y TÉCNICAS HISTORIOGRÀFICAS</t>
  </si>
  <si>
    <t>Osorio Lema, Edwin Alexis</t>
  </si>
  <si>
    <t>NICANOR RESTREPO SANTAMARÍA Y EL MODELO GERENCIAL DEL GRUPO EMPRESARIAL ANTIOQUEÑO (GEA) COLOMBIA. EFICIENCIA ECONÓMICA. PENSAMIENTO EMPRESARIAL Y COMPROMISO SOCIAL</t>
  </si>
  <si>
    <t>05/02/2024</t>
  </si>
  <si>
    <t>ANALISIS ECONOMICO APLICADO</t>
  </si>
  <si>
    <t>Muñoz Londoño, Andrés David</t>
  </si>
  <si>
    <t>VIVIENDA Y BIENESTAR: UN MODELO ESTRATÉGICO PARA EL DESARROLLO DE LA POLÍTICA DE VIVIENDA 100% SUBSIDIADA (GRATUITA) EN COLOMBIA 2010 - 2018</t>
  </si>
  <si>
    <t>15/03/2024</t>
  </si>
  <si>
    <t>Albuja Rivadeneira, Zoila Karina</t>
  </si>
  <si>
    <t>EL COOPERATIVISMO MODERNO ALIADO ESTRATÉGICO DEL DESARROLLO RURAL: De productor a empresario con visión social</t>
  </si>
  <si>
    <t>11/06/2024</t>
  </si>
  <si>
    <t>GEOGRAFIA HUMANA</t>
  </si>
  <si>
    <t>Sánchez Albuja, Lourdes Lucía</t>
  </si>
  <si>
    <t>La gestión ambiental  de las Pymes industriales en la provincia ecuatoriana de Pichincha. Análisis y propuesta de modelos sostenibles</t>
  </si>
  <si>
    <t>17/11/2023</t>
  </si>
  <si>
    <t>Almeida Shapán, Rita</t>
  </si>
  <si>
    <t>Integración de la etnobotánica en la formación del futuro profesorado de la carrera de pedagogía de las ciencias experimentales química y biología de la universidad central del ecuador.</t>
  </si>
  <si>
    <t>23/10/2023</t>
  </si>
  <si>
    <t>Escalona Sepúlveda, Paola Inés</t>
  </si>
  <si>
    <t>Análisis exploratorio sobre el estado y evolución de la Economía Naranja en Chile entre los años 2010-2020.Un estudio basado en estadísticas públicas.</t>
  </si>
  <si>
    <t>08/05/2024</t>
  </si>
  <si>
    <t>ECONOMÍA APLICADA Y POLITICA ECONÓMICA</t>
  </si>
  <si>
    <t>Martínez Loza, Rommel Esteban</t>
  </si>
  <si>
    <t>Soler Ortiz, Seila Aixa</t>
  </si>
  <si>
    <t>Borja Naranjo, Germania Maricela</t>
  </si>
  <si>
    <t>Bernabeu Bautista, Álvaro</t>
  </si>
  <si>
    <t>Lorenzo Álvarez, Carolina</t>
  </si>
  <si>
    <t xml:space="preserve">U023 </t>
  </si>
  <si>
    <t>DOCTORADO EN FILOSOFÍA Y LETRAS</t>
  </si>
  <si>
    <t>Robles Delgado, Alberto</t>
  </si>
  <si>
    <t>Épica y barbarie en la pantalla: Representación de la cultura vikinga a través de las ficciones del cine y la televisión</t>
  </si>
  <si>
    <t>21/09/2023</t>
  </si>
  <si>
    <t xml:space="preserve">21436046T </t>
  </si>
  <si>
    <t>Leshinsky , Deborah</t>
  </si>
  <si>
    <t>Goyes Acaro, Franklin Otton</t>
  </si>
  <si>
    <t>Campra García De Viguera, Carmen</t>
  </si>
  <si>
    <t>Univio Molano, Julio Esteban</t>
  </si>
  <si>
    <t>Crescenza , Giorgio</t>
  </si>
  <si>
    <t>Sánchez García de las Bayonas, Salvador</t>
  </si>
  <si>
    <t>Payá Pérez, Virginia Sofía</t>
  </si>
  <si>
    <t>González Ros, Ana</t>
  </si>
  <si>
    <t>Garcia Reinoso, Nelson</t>
  </si>
  <si>
    <t>Vásquez Peñafiel, María Stefanie</t>
  </si>
  <si>
    <t>Devesa Morcillo, Roberto</t>
  </si>
  <si>
    <t>García Chamizo, Juan Manuel</t>
  </si>
  <si>
    <t>Martínez de Ardón, Karla Patricia</t>
  </si>
  <si>
    <t>Llopis Ripoll, Carolina</t>
  </si>
  <si>
    <t>Juárez Varón, Manuel Ángel</t>
  </si>
  <si>
    <t>POSICIONAMIENTO WEB VERSUS USABILIDAD WEB EMPLEANDO BIOMETRÍA DE NEUROCIENCIA. CASO DEL SECTOR DEL JUGUETE EN ESPAÑA</t>
  </si>
  <si>
    <t>27/09/2023</t>
  </si>
  <si>
    <t xml:space="preserve">21463378P </t>
  </si>
  <si>
    <t>Flores Ruiz, María Isabel</t>
  </si>
  <si>
    <t>Gómez García, Natalia Elena</t>
  </si>
  <si>
    <t>80</t>
  </si>
  <si>
    <t>21419805C</t>
  </si>
  <si>
    <t>21445733G</t>
  </si>
  <si>
    <t>21478237D</t>
  </si>
  <si>
    <t>21501071G</t>
  </si>
  <si>
    <t>B114</t>
  </si>
  <si>
    <t>25</t>
  </si>
  <si>
    <t>21653610F</t>
  </si>
  <si>
    <t>Medina Romero, Raúl Andrés</t>
  </si>
  <si>
    <t>Liderazgo organizacional y mistagogía ignaciana. Integración de los Ejercicios Espirituales a la figura del líder-servidor</t>
  </si>
  <si>
    <t>20/09/2024</t>
  </si>
  <si>
    <t>Rodríguez Sánchez, Dolores Amparito</t>
  </si>
  <si>
    <t>CONSUMO DE DROGAS Y SUS CONSECUENCIAS PSICOLÓGICAS EN PACIENTES INTERNOS EN COMUNIDADES TERAPÉUTICAS DE ECUADOR</t>
  </si>
  <si>
    <t>26/09/2024</t>
  </si>
  <si>
    <t>Londoño Arias, José Albán</t>
  </si>
  <si>
    <t>La integración económica latinoamericana y su impacto en el comercio exterior colombiano</t>
  </si>
  <si>
    <t>Quevedo Reyes, Yanisleidy</t>
  </si>
  <si>
    <t>CONTRIBUCIÓN DE LAS CADENAS AGROPRODUCTIVAS AL DESARROLLO SOSTENIBLE. PROPUESTA METODOLÓGICA PARA SU EVALUACIÓN</t>
  </si>
  <si>
    <t>19/09/2024</t>
  </si>
  <si>
    <t>-</t>
  </si>
  <si>
    <t>74241126R</t>
  </si>
  <si>
    <t>Org. aplic.</t>
  </si>
  <si>
    <t>Imp. aplic.</t>
  </si>
  <si>
    <t xml:space="preserve">Elaboración de un informe sobre la situación del mercado inmobiliario en España. (segundo pago) </t>
  </si>
  <si>
    <t>42.10.6C.00.21</t>
  </si>
  <si>
    <t xml:space="preserve">Actualización del modelo de predicción de precios residenciales y su predicción con un horizonte de 6 años. </t>
  </si>
  <si>
    <t>Actualización del modelo de predicción de precios residenciales y su predicción. Segundo pago Informe de actualización con datos del 2023</t>
  </si>
  <si>
    <t>Actualización del modelo de predicción de precios residenciales y su predicción</t>
  </si>
  <si>
    <t>42.10.6C.00.22</t>
  </si>
  <si>
    <t>Resolución y tramitación de expedientes disciplinarios deportivos y elaboración e informe de los proyectos normativos que hayan de aprobarse por la Federación Motociclista de la Comunidad Valenciana en cumplimiento de la legislación deportiva.</t>
  </si>
  <si>
    <t>Resolución y tramitación de expedientes disciplinarios deportivos y elaboración e informe de los proyectos normativos. Segundo pago</t>
  </si>
  <si>
    <t>Tercer pago. Resolución y tramitación de expedientes disciplinarios deportivos y elaboración e informe de los proyectos normativos que hayan de aprobarse por la FMCV</t>
  </si>
  <si>
    <t>42.10.6C.00.23</t>
  </si>
  <si>
    <t xml:space="preserve">Informe periódico, semestral, sobre la situación del mercado inmobiliario en España </t>
  </si>
  <si>
    <t>Segundo informe semestral de la situación del mercado inmobiliario en España</t>
  </si>
  <si>
    <t>42.10.6C.00.24</t>
  </si>
  <si>
    <t>Dictamen sobre el régimen jurídico del acceso a los expedientes administrativos para aportar a un proceso en un Juzgado de Ponferrada.</t>
  </si>
  <si>
    <t>42.10.6C.00.25</t>
  </si>
  <si>
    <t>Informe sobre el régimen de suspensión de plazos del RD 463/2020</t>
  </si>
  <si>
    <t>42.10.6C.00.26</t>
  </si>
  <si>
    <t>Primer pago por encargo de realización de dos informes periciales sobre aspectos relacionados con el mercado de alquiler.</t>
  </si>
  <si>
    <t>BESTRETA 50% CONVENI GV -UNIVERSITAT ALACANT CONGRÉS ERSA (AÑO 2023)</t>
  </si>
  <si>
    <t>DEVOLUCIÓN DE INGRESOS_MODELO 047_Nº DE LIQUIDACIÓN: 46/2024/RAS/10112/1_ Nº DE JUSTIFICANTE: 047/1/002477921_ Nº DE REFERENCIA: 047/1/002477921</t>
  </si>
  <si>
    <t xml:space="preserve">CIAICO/2021/019/074/124/158/167/173/279/305/328/335/345/348/339 </t>
  </si>
  <si>
    <t>DEVOLUCIÓN DE INGRESOS_MODELO 047_Nº DE LIQUIDACIÓN: 46/2024/RAS/10135/1_ Nº DE JUSTIFICANTE: 047/1/002493531/ Nº DE REFERENCIA: 047/1/002493531</t>
  </si>
  <si>
    <t>CATEDRA TRANSFORMACION MODELO ECONOMICO (50%) (num factura: 6001308005)</t>
  </si>
  <si>
    <t>CATEDRA TRANSFORMACION MODELO ECONOMICO (50%) (num factura 6003320483)</t>
  </si>
  <si>
    <t>PAGO DEL CURSO EN INDUSTRIA Y AGRONOMÍA DIGITAL DEL CANNABIS CORRESPONDIENTES AL ALUMNO NOEL JOAQUÍN CARRIÓN LÓPEZ. CURSO 2023-2024</t>
  </si>
  <si>
    <t xml:space="preserve">LIQ-TitProp_9439-2 Curso_2023-24 AñoCont_2023 - EXPERTO/A EN INDUSTRIA Y AGRONOMÍA DIGITAL DEL CANNABIS </t>
  </si>
  <si>
    <t>DEVOLUCIÓN TASAS NÓMINAS_REMESA Nº 2024DTR177473/ RDT INVERSA 2024EXPADM0845</t>
  </si>
  <si>
    <t xml:space="preserve">LIQ-TitProp_GK09-1 Curso_2023-24 AñoCont_2024 - INDUSTRIA Y AGRONOMÍA DIGITAL DEL CANNABIS </t>
  </si>
  <si>
    <t>42.10.2T.00.06</t>
  </si>
  <si>
    <t xml:space="preserve">CÓD: GM21. Microcredencial. INDUSTRIA Y AGRONOMÍA DIGITAL DEL CANNABIS. MÓDULO AGRONÓMICO _Plan_GM21-N Curso_2024-25_AñoCont_2024  </t>
  </si>
  <si>
    <t>42.10.2T.00.08</t>
  </si>
  <si>
    <t xml:space="preserve">CÓD: GM20. Microcredencial. INDUSTRIA Y AGRONOMÍA DIGITAL DEL CANNABIS. MÓDULO  TECNOLÓGICO Y DE MERCAD  _Plan_GM20-N Curso_2024-25_AñoCont_2024 </t>
  </si>
  <si>
    <t>Total ingresos formación 2022-24</t>
  </si>
  <si>
    <t>Sánchez Gallardo, Francisco Javier</t>
  </si>
  <si>
    <t>Diálogo sobre Desarrollo Local y Empleo. Estudio del mercado de empleo de Torrevieja</t>
  </si>
  <si>
    <t>24/09/2024</t>
  </si>
  <si>
    <t>Análisis Económico Aplicado </t>
  </si>
  <si>
    <t>Roldán Aráuz, Diego Francisco </t>
  </si>
  <si>
    <t>Evaluación de impacto de políticas públicas del Sumak Kawsay en el Ecuador </t>
  </si>
  <si>
    <t>09/09/2022 </t>
  </si>
  <si>
    <t>52764800V</t>
  </si>
  <si>
    <t>B179</t>
  </si>
  <si>
    <t>Instituto Universitario Investigación de Estudios Sociales de América Latina (10</t>
  </si>
  <si>
    <t>Verdecia Marin, Marleys</t>
  </si>
  <si>
    <t>LA OBRA EDUCATIVA DE ALITA CABRERA MARCAIDA Y SU CONTRIBUCIÓN ESTÉTICA A LA ACADEMIA DE BALLET EN CIENFUEGOS</t>
  </si>
  <si>
    <t>13/03/2025</t>
  </si>
  <si>
    <t>Pérez Guevara, David Anacleto</t>
  </si>
  <si>
    <t>Metodología para la evaluación del potencial turístico de una localidad</t>
  </si>
  <si>
    <t>16/09/2025</t>
  </si>
  <si>
    <t>Garcia Rodriguez, Anicel</t>
  </si>
  <si>
    <t>Modelo de comunicación de la ciencia y la innovación para el sistema institucional de gobierno en Cuba</t>
  </si>
  <si>
    <t>27/02/2025</t>
  </si>
  <si>
    <t>Barceló Hidalgo, Mayre</t>
  </si>
  <si>
    <t>Modelo de gestión de la comunicación pública de la ciencia para universidades adscritas al Ministerio de Educación Superior de Cuba</t>
  </si>
  <si>
    <t>17/06/2025</t>
  </si>
  <si>
    <t>B166</t>
  </si>
  <si>
    <t>Innovación y Formación Didáctica</t>
  </si>
  <si>
    <t>Chaveco Asin, Kirenia</t>
  </si>
  <si>
    <t>La integración del enfoque de género en la docencia: las necesidades formativas del profesorado de la Universidad de Oriente (Cuba)</t>
  </si>
  <si>
    <t>09/12/2024</t>
  </si>
  <si>
    <t>Didáctica General y Didácticas específicas</t>
  </si>
  <si>
    <t>Psicología Evolutiva y Didáctica</t>
  </si>
  <si>
    <t>García Martínez, Ana Isabel</t>
  </si>
  <si>
    <t>Evaluación cognitiva dinámica: caracterización y capacidad predictiva de las curvas de aprendizaje.</t>
  </si>
  <si>
    <t>04/09/2025</t>
  </si>
  <si>
    <t>Administración Facultad de Filosofía y Letras</t>
  </si>
  <si>
    <t>Angelino Pardo, Maria Alejandra</t>
  </si>
  <si>
    <t>Leonor Francès ante el Tribunal de la Inquisición de Valencia. La biografía de una conversa valenciana entre finales del siglo XV y principios del siglo XVI</t>
  </si>
  <si>
    <t>24/01/2025</t>
  </si>
  <si>
    <t>Historia Medieval, Historia Moderna y Ciencias y Técnicas Historiográficas</t>
  </si>
  <si>
    <t>Torres Soler, Julio</t>
  </si>
  <si>
    <t>Evolución semántica y gramaticalización de los verbos llevar y traer</t>
  </si>
  <si>
    <t>Filología Española, Lingüística General y Teoría de la Literatura</t>
  </si>
  <si>
    <t>Administración Facultad de Derecho</t>
  </si>
  <si>
    <t>Fresno Llopis, Francisco</t>
  </si>
  <si>
    <t>Sociedades y deporte profesional. Régimen jurídico, Derecho de la Competencia y control económico</t>
  </si>
  <si>
    <t>30/06/2025</t>
  </si>
  <si>
    <t>Estudios Jurídicos del Estado</t>
  </si>
  <si>
    <t>Guardiola Lohmüller, Ana Victoria</t>
  </si>
  <si>
    <t>El Derecho de Asilo ante el Tribunal de Justicia de la Unión Europea: entre la Soberanía del Estado y los Derechos Humanos</t>
  </si>
  <si>
    <t>26/11/2024</t>
  </si>
  <si>
    <t>Derecho Internacional Público y Derecho Penal</t>
  </si>
  <si>
    <t>Williams García, Mario</t>
  </si>
  <si>
    <t>Régimen jurídico de la minería aurífera en Colombia. Impactos en su ejecución</t>
  </si>
  <si>
    <t>29/11/2024</t>
  </si>
  <si>
    <t>Administración Facultad de Ciencias Económicas</t>
  </si>
  <si>
    <t>Quispe Fernandez, Gabith Miriam</t>
  </si>
  <si>
    <t>LOS DETERMINANTES DEL ÉXITO Y FRACASO DE LOS EMPRENDIMIENTOS EN
ENTORNOS RURALES CON ENFOQUE DE GÉNERO EN LA PROVINCIA CHIMBORAZO,
ECUADOR</t>
  </si>
  <si>
    <t>Economía Aplicada y Política Económica</t>
  </si>
  <si>
    <t>Ayaviri Nina, Victor Dante</t>
  </si>
  <si>
    <t>PLANIFICACIÓN DEL DESARROLLO EN COMUNIDADES RURALES DE BOLIVIA</t>
  </si>
  <si>
    <t>De Juanes Rodríguez, Álvaro</t>
  </si>
  <si>
    <t>DIVERSIDAD Y ACCESIBILIDAD EN LAS CIUDADES: LA COMPLEJIDAD URBANA COMO 
CLAVE DEL ANÁLISIS TERRITORIAL Y ECONÓMICO</t>
  </si>
  <si>
    <t>07/07/2025</t>
  </si>
  <si>
    <t>U073</t>
  </si>
  <si>
    <t>Instituto Universitario Investigación de Estudios de Género (10.23)</t>
  </si>
  <si>
    <t>DOCTORADO EN ESTUDIOS INTERDISCIPLINARES DE GÉNERO</t>
  </si>
  <si>
    <t>SAMANIEGO GISBERT, Juan Andres</t>
  </si>
  <si>
    <t>VULNERABILIDAD FEMENINA EN ACTIVIDADES LÚDICAS: ANÁLISIS DE JUEGOS Y APUESTAS ONLINE EN UNA MUESTRA UNIVERSITARIA</t>
  </si>
  <si>
    <t>16/12/2024</t>
  </si>
  <si>
    <t>52777601F</t>
  </si>
  <si>
    <t>Comunicación y Psicología Social</t>
  </si>
  <si>
    <t>Ibañez Torres, Nerea</t>
  </si>
  <si>
    <t>Más Allá de los Límites: empoderamiento Sexual y Asistencia para Mujeres con Discapacidad Motora</t>
  </si>
  <si>
    <t>15/04/2025</t>
  </si>
  <si>
    <t>Medina Vásquez, Carlem Hade</t>
  </si>
  <si>
    <t>Fisuras para la Autorrealización de la persona que migra desde América Latina y el Caribe a Chile</t>
  </si>
  <si>
    <t>23/07/2025</t>
  </si>
  <si>
    <t>Serrano Ávila, Ana María</t>
  </si>
  <si>
    <t>El desarrollo del territorio en tensión con la construcción de la paz. Sentipensando la influencia de las mujeres campesinas y su aporte al buen vivir y a la paz. El caso del municipio de Moniquirá-Bocayá (Colombia)</t>
  </si>
  <si>
    <t>06/03/2025</t>
  </si>
  <si>
    <t>Humanidades Contemporáneas</t>
  </si>
  <si>
    <t>Restrepo Marín, Janeth Del Carmen</t>
  </si>
  <si>
    <t>El proceso de configuración de los agentes estatales como perpetradores de falsos positivos en el Catatumbo, Colombia (2007-2008). Acercamiento analítico desde los estudios sobre perpetradores</t>
  </si>
  <si>
    <t>21/02/2025</t>
  </si>
  <si>
    <t>Giner Samper, Pilar</t>
  </si>
  <si>
    <t>Educadoras y educadores museísticos: contribución de sus historias de vida a la experiencia educativa del Museo Arqueológico Provincial de Alicante.</t>
  </si>
  <si>
    <t>U062</t>
  </si>
  <si>
    <t>Instituto Universitario de Investigación Informática (10.19)</t>
  </si>
  <si>
    <t>DOCTORADO EN INFORMÁTICA</t>
  </si>
  <si>
    <t>Brenes Carranza, José Antonio</t>
  </si>
  <si>
    <t>ARQUITECTURA PARA MONITORIZACIÓN, CONTROL Y NOTIFICACIÓN PERSONALIZADA
PARA AGRICULTURA DE PRECISIÓN DIRIGIDA A PEQUEÑOS Y MEDIANOS
AGRICULTORES</t>
  </si>
  <si>
    <t>11/06/2025</t>
  </si>
  <si>
    <t>Tecnología Informática y Computación</t>
  </si>
  <si>
    <t>Geografía Humana</t>
  </si>
  <si>
    <t>2020</t>
  </si>
  <si>
    <t>2021</t>
  </si>
  <si>
    <t>2022</t>
  </si>
  <si>
    <t>2023</t>
  </si>
  <si>
    <t>2024</t>
  </si>
  <si>
    <t>2025</t>
  </si>
  <si>
    <t>Cifuentes Honrubia, José Luis</t>
  </si>
  <si>
    <t>05413313X</t>
  </si>
  <si>
    <t>Ullan De la Rosa, Francisco Javier</t>
  </si>
  <si>
    <t>B176</t>
  </si>
  <si>
    <t>Camisón Yagüe, Jose Ángel</t>
  </si>
  <si>
    <t>González-Varas Ibáñez, Santiago</t>
  </si>
  <si>
    <t>Gómez López, José Daniel</t>
  </si>
  <si>
    <t>Vivos</t>
  </si>
  <si>
    <t>Zabalza Arbizu, Juan Ángel</t>
  </si>
  <si>
    <t>Vidal Olivares, Francisco Javier</t>
  </si>
  <si>
    <t>Saiz Pastor, Candelaria</t>
  </si>
  <si>
    <t>21420390F</t>
  </si>
  <si>
    <t>Roche Cárcel, Juan Antonio</t>
  </si>
  <si>
    <t>Barrio Barrio, Juan Antonio</t>
  </si>
  <si>
    <t>Menéndez Alzamora, Manuel</t>
  </si>
  <si>
    <t>Rosa Moreno, Juan</t>
  </si>
  <si>
    <t>Rivera Sánchez, Juan Ramón</t>
  </si>
  <si>
    <t>Giner Pérez, Jose Miguel</t>
  </si>
  <si>
    <t>Moreno Fonseret, Roque</t>
  </si>
  <si>
    <t>Tur Viñes, Maria Victoria</t>
  </si>
  <si>
    <t>Terol Gómez, Ramón</t>
  </si>
  <si>
    <t>Santa María Beneyto, María Jesús</t>
  </si>
  <si>
    <t>Jiménez Delgado, Antonio</t>
  </si>
  <si>
    <t>Sevillano Calero, Francisco</t>
  </si>
  <si>
    <t>Torres Valdés, Rosa Mª</t>
  </si>
  <si>
    <t>Martínez Sala, Alba María</t>
  </si>
  <si>
    <t>Ramos Soler, Irene</t>
  </si>
  <si>
    <t>López Simó, Mireia</t>
  </si>
  <si>
    <t>Diez Ros, Maria del Rocio</t>
  </si>
  <si>
    <t>Juárez Tárraga, Francisco</t>
  </si>
  <si>
    <t>Rico Gómez, María Luisa</t>
  </si>
  <si>
    <t>21697052W</t>
  </si>
  <si>
    <t>García Ortiz, Adrián</t>
  </si>
  <si>
    <t>Palazón Ferrando, Salvador</t>
  </si>
  <si>
    <t>Pérez Sánchez, Vicente Raúl</t>
  </si>
  <si>
    <t>Cabezuelo Pliego, José Vicente</t>
  </si>
  <si>
    <t>Payá López, Pedro</t>
  </si>
  <si>
    <t>Castelló Martínez, Araceli</t>
  </si>
  <si>
    <t>López Sánchez, María del Carmen</t>
  </si>
  <si>
    <t>Castejon Costa, Juan Luis</t>
  </si>
  <si>
    <t>Ferrer Lloret, Jaume</t>
  </si>
  <si>
    <t>25128440C</t>
  </si>
  <si>
    <t>Rodríguez Jaume, María José</t>
  </si>
  <si>
    <t>Urbaneja Cillán, Jorge</t>
  </si>
  <si>
    <t>33475167R</t>
  </si>
  <si>
    <t>Mora Pascual, Jeronimo Manuel</t>
  </si>
  <si>
    <t>Campillo Alhama, Concepción</t>
  </si>
  <si>
    <t>33481301V</t>
  </si>
  <si>
    <t>Cachero Castro, Cristina</t>
  </si>
  <si>
    <t>10.22</t>
  </si>
  <si>
    <t>B158</t>
  </si>
  <si>
    <t>Martin Llaguno, Marta</t>
  </si>
  <si>
    <t>Pérez Sánchez, Juan Carlos</t>
  </si>
  <si>
    <t>Requena Casanova, Millán</t>
  </si>
  <si>
    <t>Fernández Jaén, Jorge</t>
  </si>
  <si>
    <t>Ponsoda López de Atalaya, Santiago</t>
  </si>
  <si>
    <t>Soler Milla, Juan Leonardo</t>
  </si>
  <si>
    <t>Ortuño Martínez, Bárbara</t>
  </si>
  <si>
    <t>40</t>
  </si>
  <si>
    <t>Rodríguez Rosique, Susana</t>
  </si>
  <si>
    <t>Marti Ciriquian, Pablo</t>
  </si>
  <si>
    <t>47065493H</t>
  </si>
  <si>
    <t>González Díaz, Cristina</t>
  </si>
  <si>
    <t>Barrajón López, Elisa</t>
  </si>
  <si>
    <t>Quiles Soler, María del Carmen</t>
  </si>
  <si>
    <t>48370644B</t>
  </si>
  <si>
    <t>Céspedes López, María Francisca</t>
  </si>
  <si>
    <t>Mora García, Raúl Tomás</t>
  </si>
  <si>
    <t>Romero Tarín, Adela</t>
  </si>
  <si>
    <t>Lavale Ortiz, Ruth María</t>
  </si>
  <si>
    <t>48620683V</t>
  </si>
  <si>
    <t>García Martínez, Andrea</t>
  </si>
  <si>
    <t>B154</t>
  </si>
  <si>
    <t>48765965P</t>
  </si>
  <si>
    <t>Vázquez Esteban, Marina</t>
  </si>
  <si>
    <t>Merma Molina, Gladys</t>
  </si>
  <si>
    <t>Sánchez Fajardo, José Antonio</t>
  </si>
  <si>
    <t>García Andreu, Hugo</t>
  </si>
  <si>
    <t>Carretón Ballester, María del Carmen</t>
  </si>
  <si>
    <t>Rodríguez Valero, Daniel</t>
  </si>
  <si>
    <t>Suriá Martínez, Soledad Raquel</t>
  </si>
  <si>
    <t>Segarra Saavedra, Jesús Antonio</t>
  </si>
  <si>
    <t>74238404Q</t>
  </si>
  <si>
    <t>Andújar Montoya, María Dolores</t>
  </si>
  <si>
    <t>Ferrández Pastor, Francisco Javier</t>
  </si>
  <si>
    <t>14074582P</t>
  </si>
  <si>
    <t>Osorio Rauld, Nelson Alejandro</t>
  </si>
  <si>
    <t>Maciá Soler, María Loreto</t>
  </si>
  <si>
    <t>90</t>
  </si>
  <si>
    <t>Torró Gil, Lluís</t>
  </si>
  <si>
    <t>Taltavull De la Paz, Paloma</t>
  </si>
  <si>
    <t>Alvarado Ortega, María Belén</t>
  </si>
  <si>
    <t>Lozano Cabezas, Ines</t>
  </si>
  <si>
    <t>Gómez Trigueros, Isabel María</t>
  </si>
  <si>
    <t>Martínez Puche, Antonio</t>
  </si>
  <si>
    <t>Iglesias Martínez, Marcos Jesús</t>
  </si>
  <si>
    <t xml:space="preserve">Realización de dos informes periciales sobre aspectos relacionados con el mercado de alquiler. Segundo pago </t>
  </si>
  <si>
    <t>42.10.6C.00.27</t>
  </si>
  <si>
    <t>Informe jurídico para el estudio de doctrina y jurisprudencia en relación con el expediente sancionador de la administración de 7 de octubre de 2024.</t>
  </si>
  <si>
    <t>42.10.6C.00.28</t>
  </si>
  <si>
    <t>Dictamen sobre cuestiones jurídico-administrativas (relativas a la certificación por parte de ADIF) que plantea un recurso de apelación contra un auto denegando la admisión a trámite de una querella</t>
  </si>
  <si>
    <t>42.10.6C.00.29</t>
  </si>
  <si>
    <t>Estudios o reuniones de apoyo al contencioso de revisión de oficio contra acuerdo de la Autoridad Portuaria de Alicante por el que se autoriza la modificación sustancial de la concesión administrativa otorgada a Terminales Marítimas del Sureste, S.A. para la "construcción y explotación, en régimen de gestión indirecta, de una Terminal Marítima en la zona sur del Puerto de Alicante" (BOE número 189).</t>
  </si>
  <si>
    <t>42.10.6C.00.30</t>
  </si>
  <si>
    <t>Dictamen proponiendo posibles soluciones en Derecho administrativo para terminar con la paralización de la actuación integrada del nuevo sector en suelo urbanizable, Ana Golf, Golf Aventura AnnaBella en el Ayuntamiento de Anna.</t>
  </si>
  <si>
    <t>42.10.6C.00.31</t>
  </si>
  <si>
    <t>Asesoramiento científico en el Proyecto "El modelo residencial y urbano español. Retos y futuro." Primer pago (Firma de contrato y anuncio de lanzamiento de Think-Tank). Referencia del contrato: ROMAN1-25A. Dra. Paloma Taltavull de la Paz</t>
  </si>
  <si>
    <t>42.10.6C.00.32</t>
  </si>
  <si>
    <t>Informes sobre la viabilidad de un posible recurso de apelación a favor de Doña Aurora Lázaro Asensio</t>
  </si>
  <si>
    <t>42.10.6C.00.33</t>
  </si>
  <si>
    <t>Redacción de recurso de reposición a favor de Doña Danaicy Marilyn Useche Vivas, en relación con reclamaciones económicas frente al Consejo Audiovisual de Andalucía</t>
  </si>
  <si>
    <t>42.10.6C.00.34</t>
  </si>
  <si>
    <t>Asesoramiento en redacción de demanda a favor de Elena de Jesús Colindres Velásquez en defensa de su puesto de Jefa de División de Seguridad</t>
  </si>
  <si>
    <t>42.10.6C.00.35</t>
  </si>
  <si>
    <t>La elaboración de un informe periódico, semestral, sobre la situación del mercado inmobiliario en España que se concentre en los distintos subsectores inmobiliarios, aunque manteniendo un tronco común que aborde un apartado general y del mercado de la vivienda. Se entregarán dos informes, adoptando el análisis metodológico desarrollado para su diseño, estructura y redacción en el Encargo anterior realizado a la misma responsable el 2 de junio de 2014 y que se ha venido realizando en los informes realizados hasta la fecha. La elaboración de un estudio específico anual sobre un tema concreto a definir por la AEV. La creación de un índice de sentimiento del mercado inmobiliario a partir de las respuestas obtenidas de un panel de observadores en el que se recopile información semestralmente de los expertos del mercado y en el que jugarían un papel necesario y esencial los socios de la AEV. Esta actividad incluye la colaboración para el diseño del cuestionario</t>
  </si>
  <si>
    <t>42.10.6C.00.36</t>
  </si>
  <si>
    <t>ASESORAMIENTO CIENTÍFICO-TÉCNICO EN DERECHO EN EL ÁMBITO DE DERECHO ADMINISTRATIVO (PAGO FIJO Nº 1) Periodo 29-julio-2025 a 28-agosto-2025. Ref. ADMINISTRATIVANDO1-25T - Santiago González-Varas Ibáñez</t>
  </si>
  <si>
    <t>Encargo asesoramiento adicional: "Borrador de casación a favor de Gregorio Amo en relación con la titularidad e inventario de uncamino en Gozón (Asturias). Ref. ADMINISTRATIVANDO1-25T - Santiago González-Varas Ibáñez</t>
  </si>
  <si>
    <t>ASESORAMIENTO CIENTÍFICO-TÉCNICO EN DERECHO EN EL ÁMBITO DE DERECHO ADMINISTRATIVO (PAGO FIJO Nº 2) Periodo 29-agosto-2025 a 28-septiembre-2025. Ref. ADMINISTRATIVANDO1-25T - Santiago González-Varas Ibáñez</t>
  </si>
  <si>
    <t>Encargo asesoramiento adicional: "Colaboración en la preparación del escrito de casación a José Francisco Pérez Azor frente a la sentencia 2648/2025, de la Sala de lo Contencioso-Administrativo del TSJ de Cataluña, sección 4ª, de 21 de julio de 2025"  Ref. ADMINISTRATIVANDO1-25T - Santiago González-Varas Ibáñez</t>
  </si>
  <si>
    <t>ASESORAMIENTO CIENTÍFICO-TÉCNICO EN DERECHO EN EL ÁMBITO DE DERECHO ADMINISTRATIVO (PAGO FIJO Nº3) - Periodo 29-sept-2025 a 28-oct-2025. Ref. ADMINISTRATIVANDO1-25T - Santiago González-Varas Ibáñez</t>
  </si>
  <si>
    <t>ASESORAMIENTO CIENTÍFICO-TÉCNICO EN DERECHO EN EL ÁMBITO DE DERECHO ADMINISTRATIVO (PAGO FIJO Nº4) - Periodo 29-oct-2025 a 28-nov-2025. Ref. ADMINISTRATIVANDO1-25T - Santiago González-Varas</t>
  </si>
  <si>
    <t>ASESORAMIENTO CIENTÍFICO-TÉCNICO EN DERECHO EN EL ÁMBITO DE DERECHO ADMINISTRATIVO (PAGO FIJO Nº5) - Periodo 29-nov-2025 a 28-dic-2025. Ref. ADMINISTRATIVANDO1-25T - Santiago González-Varas</t>
  </si>
  <si>
    <t>42.10.6C.00.37</t>
  </si>
  <si>
    <t>Informe sobre la viabilidad de la defensa contra la licencia a favor de una antena 400/2024 en el expediente administrativo 2023/5870X, en el municipio de Mazarrón (Murcia)</t>
  </si>
  <si>
    <t>42.10.6C.00.38</t>
  </si>
  <si>
    <t>ESCRITO EN RELACIÓN CON LA CONSULTA PÚBLICA PREVIA del PLAN GENERAL ESTRUCTURAL de ALGORFA</t>
  </si>
  <si>
    <t>42.10.6C.00.39</t>
  </si>
  <si>
    <t>Estudio sobre la modificación de los Estatutos de la Federación de Motociclismo de la Comunitat Valenciana y elaboración del código de bueno gobierno adaptado a la legislación de la Comunitat Valenciana, así como seguimiento hasta la aprobación. Primer pago</t>
  </si>
  <si>
    <t>42.10.6C.00.40</t>
  </si>
  <si>
    <t>Informe para la defensa de los bomberos del Consorcio de Emergencias de Gran Canaria con una opinión jurídica sobre la interpretación del concepto y alcance de la jornada de trabajo y de la expresión "horas no realizadas de servicio efectivo"</t>
  </si>
  <si>
    <t>42.10.6C.00.41</t>
  </si>
  <si>
    <t>Informe sobre expectativas y posibilidades de éxito que tenía el escrito de preparación de recurso de casación (art.89.1 y 5 LJCA) contra la sentencia nº375 de 2 de junio de 2022 de la Sala de lo Contencioso-Administrativo del Tribunal Superior de Justicia de la Comunidad Valenciana. Expediente num. 7123/2025</t>
  </si>
  <si>
    <t>DEVOLUCIÓN DE INGRESOS_MODELO 047_  REFERENCIA: CIACO/2021/158/279/339/124/348/074/345/173</t>
  </si>
  <si>
    <t>Cátedra Transformación del Modelo Económico, subvención anualidad 2025, financia la Consellería de Hacienda y Economía. Línea de subvención: S0632. Núm. fact: 6004167455</t>
  </si>
  <si>
    <t>PROYECTO: ICOOPEB- Innovations éducatives, sociales et technologiques pour le développement agricole durable et le coopérativisme dans les territoires ruraux d'Amazonie équatorienne et brésilienne. PROGRAMA: ERASMUS+. REF PROYECTO: 101082459</t>
  </si>
  <si>
    <t>Total ingresos investigación 2023-25</t>
  </si>
  <si>
    <t>Matrícula Ana Sardinha Cordeiro - GM21 Industria y Agronomía digital del Cannabis. Módulo Agronómico. REFERENCIA: 2024745803027</t>
  </si>
  <si>
    <t>Matrícula Ana Sardinha Cordeiro - GM20 Industria y Agronomía digital del Cannabis. Módulo Tecnológico y de Mercado. REFERENCIA: 2024745801839</t>
  </si>
  <si>
    <t>Matrícula Caridad Mateo Martínez - GM20 Industria y Agronomía digital del Cannabis. Módulo Tecnológico y de Mercado. REFERENCIA: 2024749145666</t>
  </si>
  <si>
    <t>Matrícula Caridad Mateo Martínez - GM21 Industria y Agronomía digital del Cannabis. Módulo Agronómico. REFERENCIA: 2024749146360</t>
  </si>
  <si>
    <t>CÓD: GM20. Microcredencial. INDUSTRIA Y AGRONOMÍA DIGITAL DEL CANNABIS. MÓDULO  TECNOLÓGICO Y DE MERCAD  _Plan_GM20-2 Curso_2024-25_AñoCont_2025</t>
  </si>
  <si>
    <t>CÓD: GM21. Microcredencial. INDUSTRIA Y AGRONOMÍA DIGITAL DEL CANNABIS. MÓDULO AGRONÓMICO _Plan_GM21-N Curso_2024-25_AñoCont_2025</t>
  </si>
  <si>
    <t xml:space="preserve">CÓD: GM21 MICROCREDENCIAL INDUSTRIA Y AGRONOMÍA DIGITAL DEL CANNABIS. MÓDULO AGRONÓMICO _2024-25 AñoCont_2025 (recibo pagado a última hora)  </t>
  </si>
  <si>
    <t>42.10.2T.00.07</t>
  </si>
  <si>
    <t>CÓD: GM20. MICROCREDENCIAL. INDUSTRIA Y AGRONOMÍA DIGITAL DEL CANNABIS: MÓDULO TECNOLÓGICO Y DE MERCADO</t>
  </si>
  <si>
    <t>42.10.2T.00.05</t>
  </si>
  <si>
    <t>CÓD: GM21. MICROCREDENCIAL. INDUSTRIA Y AGRONOMÍA DIGITAL DEL CANNABIS: MÓDULO AGRONÓMICO</t>
  </si>
  <si>
    <t xml:space="preserve">LIQ-TitProp_GM20-N Curso_2025-26 AñoCont_2025 - INDUSTRIA Y AGRONOMÍA DIGITAL DEL CANNABIS. MÓDULO TECNOLÓGICO Y DE MERCADO _ (Cierre-25) (EMITIDO-25 COBRADO-25) </t>
  </si>
  <si>
    <t xml:space="preserve">LIQ-TitProp_GM21-N Curso_2025-26 AñoCont_2025 - INDUSTRIA Y AGRONOMÍA DIGITAL DEL CANNABIS. MÓDULO AGRONÓMICO _ (Cierre-25) EMITIDO-25 COBRADO-25 NO-RDT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</si>
</sst>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16"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1"/>
      <color theme="1"/>
      <name val="Calibri"/>
      <family val="2"/>
      <scheme val="minor"/>
    </font>
    <font>
      <sz val="11"/>
      <color theme="1"/>
      <name val="Calibri"/>
      <family val="2"/>
      <scheme val="minor"/>
    </font>
    <font>
      <b/>
      <sz val="10"/>
      <color theme="0"/>
      <name val="Arial"/>
      <family val="2"/>
    </font>
    <font>
      <sz val="10"/>
      <color theme="1"/>
      <name val="Arial"/>
      <family val="2"/>
    </font>
    <font>
      <sz val="11"/>
      <name val="Calibri"/>
      <family val="2"/>
      <scheme val="minor"/>
    </font>
    <font>
      <b/>
      <sz val="10"/>
      <color theme="1"/>
      <name val="Arial"/>
      <family val="2"/>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theme="9" tint="0.39997558519241921"/>
      </top>
      <bottom style="thin">
        <color theme="9" tint="0.39997558519241921"/>
      </bottom>
      <diagonal/>
    </border>
    <border>
      <left/>
      <right/>
      <top style="thin">
        <color indexed="64"/>
      </top>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cellStyleXfs>
  <cellXfs count="70">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4" fillId="3" borderId="1" xfId="2" applyFont="1" applyFill="1" applyBorder="1" applyAlignment="1">
      <alignment horizontal="center"/>
    </xf>
    <xf numFmtId="0" fontId="2" fillId="4" borderId="1" xfId="1" applyFill="1" applyBorder="1"/>
    <xf numFmtId="0" fontId="2" fillId="0" borderId="0" xfId="1"/>
    <xf numFmtId="0" fontId="6" fillId="0" borderId="1" xfId="0" applyFont="1" applyBorder="1"/>
    <xf numFmtId="0" fontId="6" fillId="0" borderId="1" xfId="0" applyFont="1" applyBorder="1" applyAlignment="1">
      <alignment horizontal="left"/>
    </xf>
    <xf numFmtId="0" fontId="2" fillId="4" borderId="2" xfId="1" applyFill="1" applyBorder="1"/>
    <xf numFmtId="0" fontId="13" fillId="7" borderId="3" xfId="0" applyFont="1" applyFill="1" applyBorder="1"/>
    <xf numFmtId="43" fontId="0" fillId="7" borderId="3" xfId="6" applyNumberFormat="1" applyFont="1" applyFill="1" applyBorder="1"/>
    <xf numFmtId="0" fontId="13" fillId="0" borderId="3" xfId="0" applyFont="1" applyBorder="1"/>
    <xf numFmtId="43" fontId="0" fillId="0" borderId="3" xfId="6" applyNumberFormat="1" applyFont="1" applyBorder="1"/>
    <xf numFmtId="43" fontId="0" fillId="0" borderId="0" xfId="0" applyNumberFormat="1"/>
    <xf numFmtId="0" fontId="2" fillId="8" borderId="0" xfId="1" applyFill="1"/>
    <xf numFmtId="0" fontId="2" fillId="8" borderId="0" xfId="1" applyFill="1" applyAlignment="1">
      <alignment horizontal="right"/>
    </xf>
    <xf numFmtId="0" fontId="6" fillId="0" borderId="1" xfId="0" applyFont="1" applyBorder="1" applyAlignment="1">
      <alignment horizontal="center"/>
    </xf>
    <xf numFmtId="0" fontId="0" fillId="8" borderId="0" xfId="0" applyFill="1"/>
    <xf numFmtId="0" fontId="0" fillId="8" borderId="0" xfId="0" applyFill="1" applyAlignment="1">
      <alignment horizontal="left"/>
    </xf>
    <xf numFmtId="0" fontId="9" fillId="0" borderId="1" xfId="5" applyFont="1" applyBorder="1"/>
    <xf numFmtId="0" fontId="9" fillId="0" borderId="1" xfId="5" applyFont="1" applyBorder="1" applyAlignment="1">
      <alignment horizontal="left"/>
    </xf>
    <xf numFmtId="165" fontId="10" fillId="8" borderId="0" xfId="0" applyNumberFormat="1" applyFont="1" applyFill="1"/>
    <xf numFmtId="2" fontId="2" fillId="4" borderId="1" xfId="1" applyNumberFormat="1" applyFill="1" applyBorder="1"/>
    <xf numFmtId="0" fontId="12" fillId="6" borderId="5" xfId="0" applyFont="1" applyFill="1" applyBorder="1"/>
    <xf numFmtId="0" fontId="13" fillId="0" borderId="6" xfId="0" applyFont="1" applyBorder="1"/>
    <xf numFmtId="0" fontId="0" fillId="0" borderId="6" xfId="0" applyBorder="1"/>
    <xf numFmtId="164" fontId="0" fillId="0" borderId="0" xfId="6" applyFont="1"/>
    <xf numFmtId="0" fontId="0" fillId="0" borderId="0" xfId="0" applyAlignment="1">
      <alignment wrapText="1"/>
    </xf>
    <xf numFmtId="43" fontId="0" fillId="0" borderId="6" xfId="6" applyNumberFormat="1" applyFont="1" applyBorder="1"/>
    <xf numFmtId="164" fontId="0" fillId="0" borderId="0" xfId="0" applyNumberFormat="1"/>
    <xf numFmtId="0" fontId="9" fillId="0" borderId="6" xfId="0" applyFont="1" applyBorder="1"/>
    <xf numFmtId="43" fontId="11" fillId="0" borderId="6" xfId="0" applyNumberFormat="1" applyFont="1" applyBorder="1"/>
    <xf numFmtId="0" fontId="10" fillId="0" borderId="1" xfId="0" applyFont="1" applyBorder="1"/>
    <xf numFmtId="164" fontId="10" fillId="0" borderId="1" xfId="6" applyFont="1" applyBorder="1"/>
    <xf numFmtId="43" fontId="0" fillId="0" borderId="6" xfId="0" applyNumberFormat="1" applyBorder="1"/>
    <xf numFmtId="0" fontId="2" fillId="4" borderId="1" xfId="1" applyFont="1" applyFill="1" applyBorder="1"/>
    <xf numFmtId="2" fontId="2" fillId="4" borderId="1" xfId="1" applyNumberFormat="1" applyFont="1" applyFill="1" applyBorder="1"/>
    <xf numFmtId="0" fontId="2" fillId="4" borderId="0" xfId="1" applyFont="1" applyFill="1"/>
    <xf numFmtId="0" fontId="2" fillId="0" borderId="1" xfId="1" applyFont="1" applyBorder="1"/>
    <xf numFmtId="0" fontId="2" fillId="4" borderId="1" xfId="1" applyFont="1" applyFill="1" applyBorder="1" applyAlignment="1">
      <alignment horizontal="right"/>
    </xf>
    <xf numFmtId="0" fontId="14" fillId="0" borderId="1" xfId="0" applyFont="1" applyBorder="1"/>
    <xf numFmtId="0" fontId="14" fillId="0" borderId="1" xfId="0" applyFont="1" applyBorder="1" applyAlignment="1">
      <alignment horizontal="center"/>
    </xf>
    <xf numFmtId="0" fontId="12" fillId="9" borderId="7" xfId="0" applyFont="1" applyFill="1" applyBorder="1"/>
    <xf numFmtId="0" fontId="12" fillId="9" borderId="8" xfId="0" applyFont="1" applyFill="1" applyBorder="1"/>
    <xf numFmtId="0" fontId="9" fillId="10" borderId="7" xfId="0" applyFont="1" applyFill="1" applyBorder="1"/>
    <xf numFmtId="0" fontId="9" fillId="10" borderId="8" xfId="0" applyFont="1" applyFill="1" applyBorder="1"/>
    <xf numFmtId="164" fontId="9" fillId="10" borderId="8" xfId="6" applyFont="1" applyFill="1" applyBorder="1"/>
    <xf numFmtId="0" fontId="9" fillId="0" borderId="7" xfId="0" applyFont="1" applyBorder="1"/>
    <xf numFmtId="0" fontId="9" fillId="0" borderId="8" xfId="0" applyFont="1" applyBorder="1"/>
    <xf numFmtId="164" fontId="9" fillId="0" borderId="8" xfId="6" applyFont="1" applyBorder="1"/>
    <xf numFmtId="0" fontId="15" fillId="0" borderId="9" xfId="0" applyFont="1" applyBorder="1"/>
    <xf numFmtId="0" fontId="15" fillId="0" borderId="10" xfId="0" applyFont="1" applyBorder="1"/>
    <xf numFmtId="164" fontId="15" fillId="0" borderId="10" xfId="6" applyFont="1" applyBorder="1"/>
    <xf numFmtId="165" fontId="3" fillId="8" borderId="4" xfId="1" applyNumberFormat="1" applyFont="1" applyFill="1" applyBorder="1" applyAlignment="1">
      <alignment horizontal="center"/>
    </xf>
    <xf numFmtId="164" fontId="12" fillId="9" borderId="8" xfId="6" applyFont="1" applyFill="1" applyBorder="1"/>
    <xf numFmtId="164" fontId="15" fillId="0" borderId="10" xfId="0" applyNumberFormat="1"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17">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D674A2-F352-4EF7-BDCF-CFA9A4D78B57}" name="Tabla2" displayName="Tabla2" ref="A1:C28" totalsRowCount="1" headerRowDxfId="16" headerRowBorderDxfId="15" tableBorderDxfId="14" totalsRowBorderDxfId="13">
  <autoFilter ref="A1:C27" xr:uid="{75D674A2-F352-4EF7-BDCF-CFA9A4D78B57}"/>
  <tableColumns count="3">
    <tableColumn id="1" xr3:uid="{A2E40EFF-A971-4C66-A542-E9477DCF6F7A}" name="Cód. org. aplic." totalsRowLabel="Total" dataDxfId="12" totalsRowDxfId="11"/>
    <tableColumn id="2" xr3:uid="{5E9F7396-9D95-413A-89C9-CF080F887E37}" name="Descripción justificante" dataDxfId="10" totalsRowDxfId="9"/>
    <tableColumn id="3" xr3:uid="{5125C3ED-70D7-4C01-ACD1-525678A61886}" name="Imp.cob.aplic." totalsRowFunction="sum" dataDxfId="8" totalsRowDxfId="7"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B5D353-CD08-482D-B58A-1EF8D9980876}" name="Tabla3" displayName="Tabla3" ref="A1:C20" totalsRowCount="1">
  <autoFilter ref="A1:C19" xr:uid="{95B5D353-CD08-482D-B58A-1EF8D9980876}"/>
  <tableColumns count="3">
    <tableColumn id="1" xr3:uid="{6F49148F-3A81-457B-9663-0A62CC2F48EB}" name="Org. aplic." totalsRowLabel="Total"/>
    <tableColumn id="2" xr3:uid="{4A5A7CA6-63A2-419D-B3BF-88A8E106F51E}" name="Descripción justificante" dataDxfId="6"/>
    <tableColumn id="3" xr3:uid="{1087E302-3353-4F6C-8C30-75D56EDE529D}"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E41E66-7FAB-4F35-8C26-690BDF43E31B}" name="Tabla5" displayName="Tabla5" ref="A1:C4" totalsRowCount="1" headerRowDxfId="5" headerRowBorderDxfId="4" tableBorderDxfId="3" totalsRowBorderDxfId="2">
  <autoFilter ref="A1:C3" xr:uid="{26E41E66-7FAB-4F35-8C26-690BDF43E31B}"/>
  <tableColumns count="3">
    <tableColumn id="1" xr3:uid="{BC10CEF6-1978-432C-B76A-F1F1750E079E}" name="Cód. org. aplic." totalsRowLabel="Total"/>
    <tableColumn id="2" xr3:uid="{4EA0CDA9-AD21-42E9-8607-98A7A3825CC0}" name="Descripción justificante"/>
    <tableColumn id="3" xr3:uid="{A8C4C61F-6067-4075-8124-7F26DE30AF4C}" name="Imp.cob.aplic." totalsRowFunction="su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EC17B5-ED71-4361-907A-F5A0DE684177}" name="Tabla4" displayName="Tabla4" ref="A1:C9" totalsRowCount="1">
  <autoFilter ref="A1:C8" xr:uid="{7BEC17B5-ED71-4361-907A-F5A0DE684177}"/>
  <tableColumns count="3">
    <tableColumn id="1" xr3:uid="{8B650BA1-84BC-48A2-B4AC-9F2618B5F06C}" name="Org. aplic." totalsRowLabel="Total"/>
    <tableColumn id="2" xr3:uid="{B3FECA96-D27D-47BF-882A-236279166CB5}" name="Descripción justificante" dataDxfId="1" totalsRowDxfId="0"/>
    <tableColumn id="3" xr3:uid="{E98BAD3D-F1E7-4C8E-A774-FEB85029245B}"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62"/>
  <sheetViews>
    <sheetView showGridLines="0" topLeftCell="L142" zoomScaleNormal="100" workbookViewId="0">
      <selection activeCell="S163" sqref="S163"/>
    </sheetView>
  </sheetViews>
  <sheetFormatPr baseColWidth="10" defaultColWidth="10.28515625" defaultRowHeight="11.25" x14ac:dyDescent="0.2"/>
  <cols>
    <col min="1" max="1" width="5" style="5" customWidth="1"/>
    <col min="2" max="4" width="29.7109375" style="5" customWidth="1"/>
    <col min="5" max="5" width="40.7109375" style="5" customWidth="1"/>
    <col min="6" max="6" width="9.140625" style="5" customWidth="1"/>
    <col min="7" max="7" width="9.7109375" style="5" customWidth="1"/>
    <col min="8" max="8" width="14.42578125" style="5" customWidth="1"/>
    <col min="9" max="9" width="5.85546875" style="5" customWidth="1"/>
    <col min="10" max="10" width="25.7109375" style="5" customWidth="1"/>
    <col min="11" max="11" width="5.140625" style="5" customWidth="1"/>
    <col min="12" max="12" width="5.28515625" style="6" customWidth="1"/>
    <col min="13" max="13" width="4.85546875" style="5" customWidth="1"/>
    <col min="14" max="14" width="5.28515625" style="6" customWidth="1"/>
    <col min="15" max="15" width="4.5703125" style="5" customWidth="1"/>
    <col min="16" max="16" width="4.7109375" style="6" customWidth="1"/>
    <col min="17" max="17" width="3.5703125" style="5" customWidth="1"/>
    <col min="18" max="20" width="5.140625" style="5" customWidth="1"/>
    <col min="21" max="16384" width="10.28515625" style="5"/>
  </cols>
  <sheetData>
    <row r="1" spans="1:21" ht="45" x14ac:dyDescent="0.2">
      <c r="A1" s="1" t="s">
        <v>1</v>
      </c>
      <c r="B1" s="2" t="s">
        <v>2</v>
      </c>
      <c r="C1" s="2" t="s">
        <v>3</v>
      </c>
      <c r="D1" s="2" t="s">
        <v>4</v>
      </c>
      <c r="E1" s="2" t="s">
        <v>5</v>
      </c>
      <c r="F1" s="2" t="s">
        <v>6</v>
      </c>
      <c r="G1" s="2" t="s">
        <v>7</v>
      </c>
      <c r="H1" s="2" t="s">
        <v>8</v>
      </c>
      <c r="I1" s="1" t="s">
        <v>9</v>
      </c>
      <c r="J1" s="2" t="s">
        <v>10</v>
      </c>
      <c r="K1" s="1" t="s">
        <v>11</v>
      </c>
      <c r="L1" s="2" t="s">
        <v>12</v>
      </c>
      <c r="M1" s="17" t="s">
        <v>13</v>
      </c>
      <c r="N1" s="3" t="s">
        <v>14</v>
      </c>
      <c r="O1" s="4" t="s">
        <v>15</v>
      </c>
      <c r="P1" s="3" t="s">
        <v>16</v>
      </c>
      <c r="Q1" s="4" t="s">
        <v>17</v>
      </c>
      <c r="R1" s="3" t="s">
        <v>18</v>
      </c>
      <c r="S1" s="3" t="s">
        <v>19</v>
      </c>
      <c r="T1" s="3" t="s">
        <v>20</v>
      </c>
      <c r="U1" s="3" t="s">
        <v>21</v>
      </c>
    </row>
    <row r="2" spans="1:21" x14ac:dyDescent="0.2">
      <c r="A2" s="18" t="s">
        <v>164</v>
      </c>
      <c r="B2" s="18" t="s">
        <v>165</v>
      </c>
      <c r="C2" s="18" t="s">
        <v>166</v>
      </c>
      <c r="D2" s="18" t="s">
        <v>167</v>
      </c>
      <c r="E2" s="18" t="s">
        <v>168</v>
      </c>
      <c r="F2" s="18" t="s">
        <v>169</v>
      </c>
      <c r="G2" s="18" t="s">
        <v>264</v>
      </c>
      <c r="H2" s="18" t="s">
        <v>22</v>
      </c>
      <c r="I2" s="18" t="s">
        <v>45</v>
      </c>
      <c r="J2" s="18" t="s">
        <v>46</v>
      </c>
      <c r="K2" s="18">
        <v>0.5</v>
      </c>
      <c r="L2" s="18" t="s">
        <v>155</v>
      </c>
      <c r="M2" s="18">
        <v>2019</v>
      </c>
      <c r="N2" s="18" t="s">
        <v>163</v>
      </c>
      <c r="O2" s="18" t="s">
        <v>40</v>
      </c>
      <c r="P2" s="18" t="s">
        <v>70</v>
      </c>
      <c r="Q2" s="18" t="s">
        <v>44</v>
      </c>
      <c r="R2" s="18">
        <v>70</v>
      </c>
      <c r="S2" s="18">
        <v>0.35</v>
      </c>
      <c r="T2" s="36">
        <v>0.1</v>
      </c>
      <c r="U2" s="18">
        <v>0.05</v>
      </c>
    </row>
    <row r="3" spans="1:21" x14ac:dyDescent="0.2">
      <c r="A3" s="18" t="s">
        <v>164</v>
      </c>
      <c r="B3" s="18" t="s">
        <v>165</v>
      </c>
      <c r="C3" s="18" t="s">
        <v>166</v>
      </c>
      <c r="D3" s="18" t="s">
        <v>265</v>
      </c>
      <c r="E3" s="18" t="s">
        <v>266</v>
      </c>
      <c r="F3" s="18" t="s">
        <v>267</v>
      </c>
      <c r="G3" s="18" t="s">
        <v>264</v>
      </c>
      <c r="H3" s="18" t="s">
        <v>24</v>
      </c>
      <c r="I3" s="18" t="s">
        <v>45</v>
      </c>
      <c r="J3" s="18" t="s">
        <v>46</v>
      </c>
      <c r="K3" s="18">
        <v>1</v>
      </c>
      <c r="L3" s="18" t="s">
        <v>155</v>
      </c>
      <c r="M3" s="18">
        <v>2019</v>
      </c>
      <c r="N3" s="18" t="s">
        <v>163</v>
      </c>
      <c r="O3" s="18" t="s">
        <v>40</v>
      </c>
      <c r="P3" s="18" t="s">
        <v>70</v>
      </c>
      <c r="Q3" s="18" t="s">
        <v>44</v>
      </c>
      <c r="R3" s="18">
        <v>70</v>
      </c>
      <c r="S3" s="18">
        <v>0.7</v>
      </c>
      <c r="T3" s="36">
        <v>0.2</v>
      </c>
      <c r="U3" s="18">
        <v>0.1</v>
      </c>
    </row>
    <row r="4" spans="1:21" x14ac:dyDescent="0.2">
      <c r="A4" s="18" t="s">
        <v>57</v>
      </c>
      <c r="B4" s="18" t="s">
        <v>58</v>
      </c>
      <c r="C4" s="18" t="s">
        <v>59</v>
      </c>
      <c r="D4" s="18" t="s">
        <v>188</v>
      </c>
      <c r="E4" s="18" t="s">
        <v>189</v>
      </c>
      <c r="F4" s="18" t="s">
        <v>190</v>
      </c>
      <c r="G4" s="18" t="s">
        <v>412</v>
      </c>
      <c r="H4" s="18" t="s">
        <v>22</v>
      </c>
      <c r="I4" s="18" t="s">
        <v>61</v>
      </c>
      <c r="J4" s="18" t="s">
        <v>62</v>
      </c>
      <c r="K4" s="18">
        <v>0.5</v>
      </c>
      <c r="L4" s="18" t="s">
        <v>63</v>
      </c>
      <c r="M4" s="18">
        <v>2019</v>
      </c>
      <c r="N4" s="18" t="s">
        <v>64</v>
      </c>
      <c r="O4" s="18">
        <v>20</v>
      </c>
      <c r="P4" s="18" t="s">
        <v>70</v>
      </c>
      <c r="Q4" s="18">
        <v>30</v>
      </c>
      <c r="R4" s="18">
        <v>50</v>
      </c>
      <c r="S4" s="18">
        <v>0.25</v>
      </c>
      <c r="T4" s="36">
        <v>0.1</v>
      </c>
      <c r="U4" s="18">
        <v>0.15</v>
      </c>
    </row>
    <row r="5" spans="1:21" x14ac:dyDescent="0.2">
      <c r="A5" s="18" t="s">
        <v>30</v>
      </c>
      <c r="B5" s="18" t="s">
        <v>31</v>
      </c>
      <c r="C5" s="18" t="s">
        <v>32</v>
      </c>
      <c r="D5" s="18" t="s">
        <v>271</v>
      </c>
      <c r="E5" s="18" t="s">
        <v>272</v>
      </c>
      <c r="F5" s="18" t="s">
        <v>273</v>
      </c>
      <c r="G5" s="18" t="s">
        <v>274</v>
      </c>
      <c r="H5" s="18" t="s">
        <v>22</v>
      </c>
      <c r="I5" s="18" t="s">
        <v>30</v>
      </c>
      <c r="J5" s="18" t="s">
        <v>31</v>
      </c>
      <c r="K5" s="18">
        <v>0.5</v>
      </c>
      <c r="L5" s="18" t="s">
        <v>73</v>
      </c>
      <c r="M5" s="18">
        <v>2020</v>
      </c>
      <c r="N5" s="18" t="s">
        <v>64</v>
      </c>
      <c r="O5" s="18">
        <v>30</v>
      </c>
      <c r="P5" s="18" t="s">
        <v>70</v>
      </c>
      <c r="Q5" s="18">
        <v>30</v>
      </c>
      <c r="R5" s="18">
        <v>40</v>
      </c>
      <c r="S5" s="18">
        <v>0.2</v>
      </c>
      <c r="T5" s="36">
        <v>0.15</v>
      </c>
      <c r="U5" s="18">
        <v>0.15</v>
      </c>
    </row>
    <row r="6" spans="1:21" x14ac:dyDescent="0.2">
      <c r="A6" s="18" t="s">
        <v>57</v>
      </c>
      <c r="B6" s="18" t="s">
        <v>58</v>
      </c>
      <c r="C6" s="18" t="s">
        <v>59</v>
      </c>
      <c r="D6" s="18" t="s">
        <v>413</v>
      </c>
      <c r="E6" s="18" t="s">
        <v>414</v>
      </c>
      <c r="F6" s="18" t="s">
        <v>415</v>
      </c>
      <c r="G6" s="18" t="s">
        <v>412</v>
      </c>
      <c r="H6" s="18" t="s">
        <v>24</v>
      </c>
      <c r="I6" s="18" t="s">
        <v>61</v>
      </c>
      <c r="J6" s="18" t="s">
        <v>62</v>
      </c>
      <c r="K6" s="18">
        <v>1</v>
      </c>
      <c r="L6" s="18" t="s">
        <v>63</v>
      </c>
      <c r="M6" s="18">
        <v>2020</v>
      </c>
      <c r="N6" s="18" t="s">
        <v>64</v>
      </c>
      <c r="O6" s="18">
        <v>20</v>
      </c>
      <c r="P6" s="18" t="s">
        <v>70</v>
      </c>
      <c r="Q6" s="18">
        <v>30</v>
      </c>
      <c r="R6" s="18">
        <v>50</v>
      </c>
      <c r="S6" s="18">
        <v>0.5</v>
      </c>
      <c r="T6" s="36">
        <v>0.2</v>
      </c>
      <c r="U6" s="18">
        <v>0.3</v>
      </c>
    </row>
    <row r="7" spans="1:21" x14ac:dyDescent="0.2">
      <c r="A7" s="18" t="s">
        <v>57</v>
      </c>
      <c r="B7" s="18" t="s">
        <v>58</v>
      </c>
      <c r="C7" s="18" t="s">
        <v>59</v>
      </c>
      <c r="D7" s="18" t="s">
        <v>295</v>
      </c>
      <c r="E7" s="18" t="s">
        <v>296</v>
      </c>
      <c r="F7" s="18" t="s">
        <v>292</v>
      </c>
      <c r="G7" s="18" t="s">
        <v>261</v>
      </c>
      <c r="H7" s="18" t="s">
        <v>22</v>
      </c>
      <c r="I7" s="18" t="s">
        <v>52</v>
      </c>
      <c r="J7" s="18" t="s">
        <v>53</v>
      </c>
      <c r="K7" s="18">
        <v>0.5</v>
      </c>
      <c r="L7" s="18" t="s">
        <v>81</v>
      </c>
      <c r="M7" s="18">
        <v>2020</v>
      </c>
      <c r="N7" s="18" t="s">
        <v>64</v>
      </c>
      <c r="O7" s="18">
        <v>10</v>
      </c>
      <c r="P7" s="18" t="s">
        <v>70</v>
      </c>
      <c r="Q7" s="18">
        <v>25</v>
      </c>
      <c r="R7" s="18">
        <v>65</v>
      </c>
      <c r="S7" s="18">
        <v>0.32500000000000001</v>
      </c>
      <c r="T7" s="36">
        <v>0.05</v>
      </c>
      <c r="U7" s="18">
        <v>0.125</v>
      </c>
    </row>
    <row r="8" spans="1:21" x14ac:dyDescent="0.2">
      <c r="A8" s="18" t="s">
        <v>26</v>
      </c>
      <c r="B8" s="18" t="s">
        <v>27</v>
      </c>
      <c r="C8" s="18" t="s">
        <v>28</v>
      </c>
      <c r="D8" s="18" t="s">
        <v>243</v>
      </c>
      <c r="E8" s="18" t="s">
        <v>244</v>
      </c>
      <c r="F8" s="18" t="s">
        <v>221</v>
      </c>
      <c r="G8" s="18" t="s">
        <v>77</v>
      </c>
      <c r="H8" s="18" t="s">
        <v>22</v>
      </c>
      <c r="I8" s="18" t="s">
        <v>74</v>
      </c>
      <c r="J8" s="18" t="s">
        <v>75</v>
      </c>
      <c r="K8" s="18">
        <v>0.5</v>
      </c>
      <c r="L8" s="18" t="s">
        <v>76</v>
      </c>
      <c r="M8" s="18">
        <v>2020</v>
      </c>
      <c r="N8" s="18" t="s">
        <v>29</v>
      </c>
      <c r="O8" s="18">
        <v>20</v>
      </c>
      <c r="P8" s="18" t="s">
        <v>70</v>
      </c>
      <c r="Q8" s="18">
        <v>10</v>
      </c>
      <c r="R8" s="18">
        <v>70</v>
      </c>
      <c r="S8" s="18">
        <v>0.35</v>
      </c>
      <c r="T8" s="36">
        <v>0.1</v>
      </c>
      <c r="U8" s="18">
        <v>0.05</v>
      </c>
    </row>
    <row r="9" spans="1:21" x14ac:dyDescent="0.2">
      <c r="A9" s="18" t="s">
        <v>26</v>
      </c>
      <c r="B9" s="18" t="s">
        <v>27</v>
      </c>
      <c r="C9" s="18" t="s">
        <v>28</v>
      </c>
      <c r="D9" s="18" t="s">
        <v>256</v>
      </c>
      <c r="E9" s="18" t="s">
        <v>340</v>
      </c>
      <c r="F9" s="18" t="s">
        <v>257</v>
      </c>
      <c r="G9" s="18" t="s">
        <v>77</v>
      </c>
      <c r="H9" s="18" t="s">
        <v>24</v>
      </c>
      <c r="I9" s="18" t="s">
        <v>74</v>
      </c>
      <c r="J9" s="18" t="s">
        <v>75</v>
      </c>
      <c r="K9" s="18">
        <v>1</v>
      </c>
      <c r="L9" s="18" t="s">
        <v>76</v>
      </c>
      <c r="M9" s="18">
        <v>2020</v>
      </c>
      <c r="N9" s="18" t="s">
        <v>29</v>
      </c>
      <c r="O9" s="18">
        <v>20</v>
      </c>
      <c r="P9" s="18" t="s">
        <v>70</v>
      </c>
      <c r="Q9" s="18">
        <v>10</v>
      </c>
      <c r="R9" s="18">
        <v>70</v>
      </c>
      <c r="S9" s="18">
        <v>0.7</v>
      </c>
      <c r="T9" s="36">
        <v>0.2</v>
      </c>
      <c r="U9" s="18">
        <v>0.1</v>
      </c>
    </row>
    <row r="10" spans="1:21" x14ac:dyDescent="0.2">
      <c r="A10" s="18" t="s">
        <v>26</v>
      </c>
      <c r="B10" s="18" t="s">
        <v>27</v>
      </c>
      <c r="C10" s="18" t="s">
        <v>28</v>
      </c>
      <c r="D10" s="18" t="s">
        <v>258</v>
      </c>
      <c r="E10" s="18" t="s">
        <v>259</v>
      </c>
      <c r="F10" s="18" t="s">
        <v>260</v>
      </c>
      <c r="G10" s="18" t="s">
        <v>77</v>
      </c>
      <c r="H10" s="18" t="s">
        <v>24</v>
      </c>
      <c r="I10" s="18" t="s">
        <v>74</v>
      </c>
      <c r="J10" s="18" t="s">
        <v>75</v>
      </c>
      <c r="K10" s="18">
        <v>1</v>
      </c>
      <c r="L10" s="18" t="s">
        <v>76</v>
      </c>
      <c r="M10" s="18">
        <v>2020</v>
      </c>
      <c r="N10" s="18" t="s">
        <v>29</v>
      </c>
      <c r="O10" s="18">
        <v>20</v>
      </c>
      <c r="P10" s="18" t="s">
        <v>70</v>
      </c>
      <c r="Q10" s="18">
        <v>10</v>
      </c>
      <c r="R10" s="18">
        <v>70</v>
      </c>
      <c r="S10" s="18">
        <v>0.7</v>
      </c>
      <c r="T10" s="36">
        <v>0.2</v>
      </c>
      <c r="U10" s="18">
        <v>0.1</v>
      </c>
    </row>
    <row r="11" spans="1:21" x14ac:dyDescent="0.2">
      <c r="A11" s="18" t="s">
        <v>71</v>
      </c>
      <c r="B11" s="18" t="s">
        <v>72</v>
      </c>
      <c r="C11" s="18" t="s">
        <v>32</v>
      </c>
      <c r="D11" s="18" t="s">
        <v>341</v>
      </c>
      <c r="E11" s="18" t="s">
        <v>342</v>
      </c>
      <c r="F11" s="18" t="s">
        <v>343</v>
      </c>
      <c r="G11" s="18" t="s">
        <v>274</v>
      </c>
      <c r="H11" s="18" t="s">
        <v>24</v>
      </c>
      <c r="I11" s="18" t="s">
        <v>30</v>
      </c>
      <c r="J11" s="18" t="s">
        <v>31</v>
      </c>
      <c r="K11" s="18">
        <v>1</v>
      </c>
      <c r="L11" s="18" t="s">
        <v>73</v>
      </c>
      <c r="M11" s="18">
        <v>2021</v>
      </c>
      <c r="N11" s="18" t="s">
        <v>64</v>
      </c>
      <c r="O11" s="18">
        <v>30</v>
      </c>
      <c r="P11" s="18" t="s">
        <v>70</v>
      </c>
      <c r="Q11" s="18">
        <v>30</v>
      </c>
      <c r="R11" s="18">
        <v>40</v>
      </c>
      <c r="S11" s="18">
        <v>0.4</v>
      </c>
      <c r="T11" s="36">
        <v>0.3</v>
      </c>
      <c r="U11" s="18">
        <v>0.3</v>
      </c>
    </row>
    <row r="12" spans="1:21" x14ac:dyDescent="0.2">
      <c r="A12" s="18" t="s">
        <v>164</v>
      </c>
      <c r="B12" s="18" t="s">
        <v>165</v>
      </c>
      <c r="C12" s="18" t="s">
        <v>166</v>
      </c>
      <c r="D12" s="18" t="s">
        <v>315</v>
      </c>
      <c r="E12" s="18" t="s">
        <v>316</v>
      </c>
      <c r="F12" s="18" t="s">
        <v>317</v>
      </c>
      <c r="G12" s="18" t="s">
        <v>264</v>
      </c>
      <c r="H12" s="18" t="s">
        <v>22</v>
      </c>
      <c r="I12" s="18" t="s">
        <v>45</v>
      </c>
      <c r="J12" s="18" t="s">
        <v>46</v>
      </c>
      <c r="K12" s="18">
        <v>0.5</v>
      </c>
      <c r="L12" s="18" t="s">
        <v>155</v>
      </c>
      <c r="M12" s="18">
        <v>2021</v>
      </c>
      <c r="N12" s="18" t="s">
        <v>163</v>
      </c>
      <c r="O12" s="18">
        <v>20</v>
      </c>
      <c r="P12" s="18" t="s">
        <v>70</v>
      </c>
      <c r="Q12" s="18">
        <v>10</v>
      </c>
      <c r="R12" s="18">
        <v>70</v>
      </c>
      <c r="S12" s="18">
        <v>0.35</v>
      </c>
      <c r="T12" s="36">
        <v>0.1</v>
      </c>
      <c r="U12" s="18">
        <v>0.05</v>
      </c>
    </row>
    <row r="13" spans="1:21" x14ac:dyDescent="0.2">
      <c r="A13" s="18" t="s">
        <v>57</v>
      </c>
      <c r="B13" s="18" t="s">
        <v>58</v>
      </c>
      <c r="C13" s="18" t="s">
        <v>59</v>
      </c>
      <c r="D13" s="18" t="s">
        <v>344</v>
      </c>
      <c r="E13" s="18" t="s">
        <v>345</v>
      </c>
      <c r="F13" s="18" t="s">
        <v>346</v>
      </c>
      <c r="G13" s="18" t="s">
        <v>347</v>
      </c>
      <c r="H13" s="18" t="s">
        <v>24</v>
      </c>
      <c r="I13" s="18" t="s">
        <v>65</v>
      </c>
      <c r="J13" s="18" t="s">
        <v>66</v>
      </c>
      <c r="K13" s="18">
        <v>1</v>
      </c>
      <c r="L13" s="18" t="s">
        <v>67</v>
      </c>
      <c r="M13" s="18">
        <v>2021</v>
      </c>
      <c r="N13" s="18" t="s">
        <v>68</v>
      </c>
      <c r="O13" s="18">
        <v>10</v>
      </c>
      <c r="P13" s="18" t="s">
        <v>70</v>
      </c>
      <c r="Q13" s="18">
        <v>30</v>
      </c>
      <c r="R13" s="18">
        <v>60</v>
      </c>
      <c r="S13" s="18">
        <v>0.6</v>
      </c>
      <c r="T13" s="36">
        <v>0.1</v>
      </c>
      <c r="U13" s="18">
        <v>0.3</v>
      </c>
    </row>
    <row r="14" spans="1:21" x14ac:dyDescent="0.2">
      <c r="A14" s="18" t="s">
        <v>26</v>
      </c>
      <c r="B14" s="18" t="s">
        <v>416</v>
      </c>
      <c r="C14" s="18" t="s">
        <v>28</v>
      </c>
      <c r="D14" s="18" t="s">
        <v>417</v>
      </c>
      <c r="E14" s="18" t="s">
        <v>418</v>
      </c>
      <c r="F14" s="18" t="s">
        <v>419</v>
      </c>
      <c r="G14" s="18" t="s">
        <v>77</v>
      </c>
      <c r="H14" s="18" t="s">
        <v>22</v>
      </c>
      <c r="I14" s="18" t="s">
        <v>74</v>
      </c>
      <c r="J14" s="18" t="s">
        <v>75</v>
      </c>
      <c r="K14" s="18">
        <v>0.5</v>
      </c>
      <c r="L14" s="18" t="s">
        <v>76</v>
      </c>
      <c r="M14" s="18">
        <v>2021</v>
      </c>
      <c r="N14" s="18" t="s">
        <v>29</v>
      </c>
      <c r="O14" s="18">
        <v>20</v>
      </c>
      <c r="P14" s="18" t="s">
        <v>70</v>
      </c>
      <c r="Q14" s="18">
        <v>10</v>
      </c>
      <c r="R14" s="18">
        <v>70</v>
      </c>
      <c r="S14" s="18">
        <v>0.35</v>
      </c>
      <c r="T14" s="36">
        <v>0.1</v>
      </c>
      <c r="U14" s="18">
        <v>0.05</v>
      </c>
    </row>
    <row r="15" spans="1:21" x14ac:dyDescent="0.2">
      <c r="A15" s="18" t="s">
        <v>30</v>
      </c>
      <c r="B15" s="18" t="s">
        <v>31</v>
      </c>
      <c r="C15" s="18" t="s">
        <v>32</v>
      </c>
      <c r="D15" s="18" t="s">
        <v>581</v>
      </c>
      <c r="E15" s="18" t="s">
        <v>420</v>
      </c>
      <c r="F15" s="18" t="s">
        <v>421</v>
      </c>
      <c r="G15" s="18" t="s">
        <v>274</v>
      </c>
      <c r="H15" s="18" t="s">
        <v>24</v>
      </c>
      <c r="I15" s="18" t="s">
        <v>30</v>
      </c>
      <c r="J15" s="18" t="s">
        <v>31</v>
      </c>
      <c r="K15" s="18">
        <v>1</v>
      </c>
      <c r="L15" s="18" t="s">
        <v>73</v>
      </c>
      <c r="M15" s="18">
        <v>2022</v>
      </c>
      <c r="N15" s="18" t="s">
        <v>64</v>
      </c>
      <c r="O15" s="18">
        <v>30</v>
      </c>
      <c r="P15" s="18" t="s">
        <v>70</v>
      </c>
      <c r="Q15" s="18">
        <v>30</v>
      </c>
      <c r="R15" s="18">
        <v>40</v>
      </c>
      <c r="S15" s="18">
        <v>0.4</v>
      </c>
      <c r="T15" s="36">
        <v>0.3</v>
      </c>
      <c r="U15" s="18">
        <v>0.3</v>
      </c>
    </row>
    <row r="16" spans="1:21" x14ac:dyDescent="0.2">
      <c r="A16" s="18" t="s">
        <v>30</v>
      </c>
      <c r="B16" s="18" t="s">
        <v>31</v>
      </c>
      <c r="C16" s="18" t="s">
        <v>32</v>
      </c>
      <c r="D16" s="18" t="s">
        <v>582</v>
      </c>
      <c r="E16" s="18" t="s">
        <v>379</v>
      </c>
      <c r="F16" s="18" t="s">
        <v>380</v>
      </c>
      <c r="G16" s="18" t="s">
        <v>274</v>
      </c>
      <c r="H16" s="18" t="s">
        <v>22</v>
      </c>
      <c r="I16" s="18" t="s">
        <v>30</v>
      </c>
      <c r="J16" s="18" t="s">
        <v>31</v>
      </c>
      <c r="K16" s="18">
        <v>0.5</v>
      </c>
      <c r="L16" s="18" t="s">
        <v>73</v>
      </c>
      <c r="M16" s="18">
        <v>2022</v>
      </c>
      <c r="N16" s="18" t="s">
        <v>64</v>
      </c>
      <c r="O16" s="18">
        <v>30</v>
      </c>
      <c r="P16" s="18" t="s">
        <v>70</v>
      </c>
      <c r="Q16" s="18">
        <v>30</v>
      </c>
      <c r="R16" s="18">
        <v>40</v>
      </c>
      <c r="S16" s="18">
        <v>0.2</v>
      </c>
      <c r="T16" s="36">
        <v>0.15</v>
      </c>
      <c r="U16" s="18">
        <v>0.15</v>
      </c>
    </row>
    <row r="17" spans="1:21" x14ac:dyDescent="0.2">
      <c r="A17" s="18" t="s">
        <v>71</v>
      </c>
      <c r="B17" s="18" t="s">
        <v>72</v>
      </c>
      <c r="C17" s="18" t="s">
        <v>32</v>
      </c>
      <c r="D17" s="18" t="s">
        <v>583</v>
      </c>
      <c r="E17" s="18" t="s">
        <v>422</v>
      </c>
      <c r="F17" s="18" t="s">
        <v>421</v>
      </c>
      <c r="G17" s="18" t="s">
        <v>274</v>
      </c>
      <c r="H17" s="18" t="s">
        <v>22</v>
      </c>
      <c r="I17" s="18" t="s">
        <v>30</v>
      </c>
      <c r="J17" s="18" t="s">
        <v>31</v>
      </c>
      <c r="K17" s="18">
        <v>0.5</v>
      </c>
      <c r="L17" s="18" t="s">
        <v>73</v>
      </c>
      <c r="M17" s="18">
        <v>2022</v>
      </c>
      <c r="N17" s="18" t="s">
        <v>64</v>
      </c>
      <c r="O17" s="18">
        <v>30</v>
      </c>
      <c r="P17" s="18" t="s">
        <v>70</v>
      </c>
      <c r="Q17" s="18">
        <v>30</v>
      </c>
      <c r="R17" s="18">
        <v>40</v>
      </c>
      <c r="S17" s="18">
        <v>0.2</v>
      </c>
      <c r="T17" s="36">
        <v>0.15</v>
      </c>
      <c r="U17" s="18">
        <v>0.15</v>
      </c>
    </row>
    <row r="18" spans="1:21" x14ac:dyDescent="0.2">
      <c r="A18" s="18" t="s">
        <v>164</v>
      </c>
      <c r="B18" s="18" t="s">
        <v>423</v>
      </c>
      <c r="C18" s="18" t="s">
        <v>166</v>
      </c>
      <c r="D18" s="18" t="s">
        <v>584</v>
      </c>
      <c r="E18" s="18" t="s">
        <v>424</v>
      </c>
      <c r="F18" s="18" t="s">
        <v>425</v>
      </c>
      <c r="G18" s="18" t="s">
        <v>264</v>
      </c>
      <c r="H18" s="18" t="s">
        <v>22</v>
      </c>
      <c r="I18" s="18" t="s">
        <v>45</v>
      </c>
      <c r="J18" s="18" t="s">
        <v>46</v>
      </c>
      <c r="K18" s="18">
        <v>0.5</v>
      </c>
      <c r="L18" s="18" t="s">
        <v>155</v>
      </c>
      <c r="M18" s="18">
        <v>2022</v>
      </c>
      <c r="N18" s="18" t="s">
        <v>163</v>
      </c>
      <c r="O18" s="18">
        <v>20</v>
      </c>
      <c r="P18" s="18" t="s">
        <v>70</v>
      </c>
      <c r="Q18" s="18">
        <v>10</v>
      </c>
      <c r="R18" s="18">
        <v>70</v>
      </c>
      <c r="S18" s="18">
        <v>0.35</v>
      </c>
      <c r="T18" s="36">
        <v>0.1</v>
      </c>
      <c r="U18" s="18">
        <v>0.05</v>
      </c>
    </row>
    <row r="19" spans="1:21" x14ac:dyDescent="0.2">
      <c r="A19" s="18" t="s">
        <v>57</v>
      </c>
      <c r="B19" s="18" t="s">
        <v>58</v>
      </c>
      <c r="C19" s="18" t="s">
        <v>59</v>
      </c>
      <c r="D19" s="18" t="s">
        <v>585</v>
      </c>
      <c r="E19" s="18" t="s">
        <v>426</v>
      </c>
      <c r="F19" s="18" t="s">
        <v>425</v>
      </c>
      <c r="G19" s="18" t="s">
        <v>412</v>
      </c>
      <c r="H19" s="18" t="s">
        <v>24</v>
      </c>
      <c r="I19" s="18" t="s">
        <v>61</v>
      </c>
      <c r="J19" s="18" t="s">
        <v>62</v>
      </c>
      <c r="K19" s="18">
        <v>1</v>
      </c>
      <c r="L19" s="18" t="s">
        <v>63</v>
      </c>
      <c r="M19" s="18">
        <v>2022</v>
      </c>
      <c r="N19" s="18" t="s">
        <v>64</v>
      </c>
      <c r="O19" s="18">
        <v>20</v>
      </c>
      <c r="P19" s="18" t="s">
        <v>70</v>
      </c>
      <c r="Q19" s="18">
        <v>30</v>
      </c>
      <c r="R19" s="18">
        <v>50</v>
      </c>
      <c r="S19" s="18">
        <v>0.5</v>
      </c>
      <c r="T19" s="36">
        <v>0.2</v>
      </c>
      <c r="U19" s="18">
        <v>0.3</v>
      </c>
    </row>
    <row r="20" spans="1:21" x14ac:dyDescent="0.2">
      <c r="A20" s="18" t="s">
        <v>586</v>
      </c>
      <c r="B20" s="18" t="s">
        <v>522</v>
      </c>
      <c r="C20" s="18" t="s">
        <v>587</v>
      </c>
      <c r="D20" s="18" t="s">
        <v>588</v>
      </c>
      <c r="E20" s="18" t="s">
        <v>589</v>
      </c>
      <c r="F20" s="18" t="s">
        <v>590</v>
      </c>
      <c r="G20" s="18" t="s">
        <v>591</v>
      </c>
      <c r="H20" s="18" t="s">
        <v>485</v>
      </c>
      <c r="I20" s="18" t="s">
        <v>81</v>
      </c>
      <c r="J20" s="18" t="s">
        <v>559</v>
      </c>
      <c r="K20" s="18">
        <v>0.5</v>
      </c>
      <c r="L20" s="18" t="s">
        <v>81</v>
      </c>
      <c r="M20" s="18">
        <v>2022</v>
      </c>
      <c r="N20" s="18" t="s">
        <v>64</v>
      </c>
      <c r="O20" s="18">
        <v>10</v>
      </c>
      <c r="P20" s="18" t="s">
        <v>70</v>
      </c>
      <c r="Q20" s="18">
        <v>25</v>
      </c>
      <c r="R20" s="18">
        <v>65</v>
      </c>
      <c r="S20" s="18">
        <v>0.32500000000000001</v>
      </c>
      <c r="T20" s="36">
        <v>0.05</v>
      </c>
      <c r="U20" s="18">
        <v>0.125</v>
      </c>
    </row>
    <row r="21" spans="1:21" x14ac:dyDescent="0.2">
      <c r="A21" s="18" t="s">
        <v>82</v>
      </c>
      <c r="B21" s="18" t="s">
        <v>502</v>
      </c>
      <c r="C21" s="18" t="s">
        <v>498</v>
      </c>
      <c r="D21" s="18" t="s">
        <v>574</v>
      </c>
      <c r="E21" s="18" t="s">
        <v>575</v>
      </c>
      <c r="F21" s="18" t="s">
        <v>576</v>
      </c>
      <c r="G21" s="18" t="s">
        <v>111</v>
      </c>
      <c r="H21" s="18" t="s">
        <v>485</v>
      </c>
      <c r="I21" s="18" t="s">
        <v>73</v>
      </c>
      <c r="J21" s="18" t="s">
        <v>497</v>
      </c>
      <c r="K21" s="18">
        <v>0.5</v>
      </c>
      <c r="L21" s="18" t="s">
        <v>73</v>
      </c>
      <c r="M21" s="18">
        <v>2023</v>
      </c>
      <c r="N21" s="18" t="s">
        <v>64</v>
      </c>
      <c r="O21" s="18" t="s">
        <v>51</v>
      </c>
      <c r="P21" s="18" t="s">
        <v>70</v>
      </c>
      <c r="Q21" s="18" t="s">
        <v>51</v>
      </c>
      <c r="R21" s="18">
        <v>40</v>
      </c>
      <c r="S21" s="18">
        <v>0.2</v>
      </c>
      <c r="T21" s="36">
        <v>0.15</v>
      </c>
      <c r="U21" s="18">
        <v>0.15</v>
      </c>
    </row>
    <row r="22" spans="1:21" x14ac:dyDescent="0.2">
      <c r="A22" s="18" t="s">
        <v>540</v>
      </c>
      <c r="B22" s="18" t="s">
        <v>541</v>
      </c>
      <c r="C22" s="18" t="s">
        <v>542</v>
      </c>
      <c r="D22" s="18" t="s">
        <v>577</v>
      </c>
      <c r="E22" s="18" t="s">
        <v>578</v>
      </c>
      <c r="F22" s="18" t="s">
        <v>579</v>
      </c>
      <c r="G22" s="18" t="s">
        <v>148</v>
      </c>
      <c r="H22" s="18" t="s">
        <v>496</v>
      </c>
      <c r="I22" s="18" t="s">
        <v>145</v>
      </c>
      <c r="J22" s="18" t="s">
        <v>580</v>
      </c>
      <c r="K22" s="18">
        <v>1</v>
      </c>
      <c r="L22" s="18" t="s">
        <v>145</v>
      </c>
      <c r="M22" s="18">
        <v>2023</v>
      </c>
      <c r="N22" s="18" t="s">
        <v>64</v>
      </c>
      <c r="O22" s="18" t="s">
        <v>44</v>
      </c>
      <c r="P22" s="18" t="s">
        <v>70</v>
      </c>
      <c r="Q22" s="18" t="s">
        <v>40</v>
      </c>
      <c r="R22" s="18">
        <v>70</v>
      </c>
      <c r="S22" s="18">
        <v>0.7</v>
      </c>
      <c r="T22" s="36">
        <v>0.1</v>
      </c>
      <c r="U22" s="18">
        <v>0.2</v>
      </c>
    </row>
    <row r="23" spans="1:21" x14ac:dyDescent="0.2">
      <c r="A23" s="18" t="s">
        <v>164</v>
      </c>
      <c r="B23" s="18" t="s">
        <v>165</v>
      </c>
      <c r="C23" s="18" t="s">
        <v>166</v>
      </c>
      <c r="D23" s="18" t="s">
        <v>167</v>
      </c>
      <c r="E23" s="18" t="s">
        <v>168</v>
      </c>
      <c r="F23" s="18" t="s">
        <v>169</v>
      </c>
      <c r="G23" s="18" t="s">
        <v>170</v>
      </c>
      <c r="H23" s="18" t="s">
        <v>22</v>
      </c>
      <c r="I23" s="18" t="s">
        <v>45</v>
      </c>
      <c r="J23" s="18" t="s">
        <v>46</v>
      </c>
      <c r="K23" s="18">
        <v>0.5</v>
      </c>
      <c r="L23" s="18" t="s">
        <v>155</v>
      </c>
      <c r="M23" s="18">
        <v>2019</v>
      </c>
      <c r="N23" s="18" t="s">
        <v>70</v>
      </c>
      <c r="O23" s="18" t="s">
        <v>44</v>
      </c>
      <c r="P23" s="18" t="s">
        <v>23</v>
      </c>
      <c r="Q23" s="18" t="s">
        <v>23</v>
      </c>
      <c r="R23" s="18">
        <v>90</v>
      </c>
      <c r="S23" s="18">
        <v>0.45</v>
      </c>
      <c r="T23" s="36">
        <v>0.05</v>
      </c>
      <c r="U23" s="18">
        <v>0</v>
      </c>
    </row>
    <row r="24" spans="1:21" x14ac:dyDescent="0.2">
      <c r="A24" s="18" t="s">
        <v>57</v>
      </c>
      <c r="B24" s="18" t="s">
        <v>58</v>
      </c>
      <c r="C24" s="18" t="s">
        <v>59</v>
      </c>
      <c r="D24" s="18" t="s">
        <v>140</v>
      </c>
      <c r="E24" s="18" t="s">
        <v>141</v>
      </c>
      <c r="F24" s="18" t="s">
        <v>142</v>
      </c>
      <c r="G24" s="18" t="s">
        <v>91</v>
      </c>
      <c r="H24" s="18" t="s">
        <v>24</v>
      </c>
      <c r="I24" s="18" t="s">
        <v>78</v>
      </c>
      <c r="J24" s="18" t="s">
        <v>79</v>
      </c>
      <c r="K24" s="18">
        <v>1</v>
      </c>
      <c r="L24" s="18" t="s">
        <v>80</v>
      </c>
      <c r="M24" s="18">
        <v>2019</v>
      </c>
      <c r="N24" s="18" t="s">
        <v>70</v>
      </c>
      <c r="O24" s="18" t="s">
        <v>51</v>
      </c>
      <c r="P24" s="18" t="s">
        <v>23</v>
      </c>
      <c r="Q24" s="18" t="s">
        <v>23</v>
      </c>
      <c r="R24" s="18">
        <v>70</v>
      </c>
      <c r="S24" s="18">
        <v>0.7</v>
      </c>
      <c r="T24" s="36">
        <v>0.3</v>
      </c>
      <c r="U24" s="18">
        <v>0</v>
      </c>
    </row>
    <row r="25" spans="1:21" x14ac:dyDescent="0.2">
      <c r="A25" s="18" t="s">
        <v>57</v>
      </c>
      <c r="B25" s="18" t="s">
        <v>58</v>
      </c>
      <c r="C25" s="18" t="s">
        <v>59</v>
      </c>
      <c r="D25" s="18" t="s">
        <v>136</v>
      </c>
      <c r="E25" s="18" t="s">
        <v>137</v>
      </c>
      <c r="F25" s="18" t="s">
        <v>138</v>
      </c>
      <c r="G25" s="18" t="s">
        <v>139</v>
      </c>
      <c r="H25" s="18" t="s">
        <v>22</v>
      </c>
      <c r="I25" s="18" t="s">
        <v>65</v>
      </c>
      <c r="J25" s="18" t="s">
        <v>66</v>
      </c>
      <c r="K25" s="18">
        <v>0.5</v>
      </c>
      <c r="L25" s="18" t="s">
        <v>67</v>
      </c>
      <c r="M25" s="18">
        <v>2019</v>
      </c>
      <c r="N25" s="18" t="s">
        <v>70</v>
      </c>
      <c r="O25" s="18" t="s">
        <v>44</v>
      </c>
      <c r="P25" s="18" t="s">
        <v>64</v>
      </c>
      <c r="Q25" s="18" t="s">
        <v>40</v>
      </c>
      <c r="R25" s="18">
        <v>70</v>
      </c>
      <c r="S25" s="18">
        <v>0.35</v>
      </c>
      <c r="T25" s="36">
        <v>0.05</v>
      </c>
      <c r="U25" s="18">
        <v>0.1</v>
      </c>
    </row>
    <row r="26" spans="1:21" x14ac:dyDescent="0.2">
      <c r="A26" s="18" t="s">
        <v>57</v>
      </c>
      <c r="B26" s="18" t="s">
        <v>58</v>
      </c>
      <c r="C26" s="18" t="s">
        <v>59</v>
      </c>
      <c r="D26" s="18" t="s">
        <v>171</v>
      </c>
      <c r="E26" s="18" t="s">
        <v>172</v>
      </c>
      <c r="F26" s="18" t="s">
        <v>173</v>
      </c>
      <c r="G26" s="18" t="s">
        <v>174</v>
      </c>
      <c r="H26" s="18" t="s">
        <v>24</v>
      </c>
      <c r="I26" s="18" t="s">
        <v>52</v>
      </c>
      <c r="J26" s="18" t="s">
        <v>53</v>
      </c>
      <c r="K26" s="18">
        <v>1</v>
      </c>
      <c r="L26" s="18" t="s">
        <v>81</v>
      </c>
      <c r="M26" s="18">
        <v>2019</v>
      </c>
      <c r="N26" s="18" t="s">
        <v>70</v>
      </c>
      <c r="O26" s="18" t="s">
        <v>33</v>
      </c>
      <c r="P26" s="18" t="s">
        <v>23</v>
      </c>
      <c r="Q26" s="18" t="s">
        <v>23</v>
      </c>
      <c r="R26" s="18">
        <v>50</v>
      </c>
      <c r="S26" s="18">
        <v>0.5</v>
      </c>
      <c r="T26" s="36">
        <v>0.5</v>
      </c>
      <c r="U26" s="18">
        <v>0</v>
      </c>
    </row>
    <row r="27" spans="1:21" x14ac:dyDescent="0.2">
      <c r="A27" s="18" t="s">
        <v>36</v>
      </c>
      <c r="B27" s="18" t="s">
        <v>37</v>
      </c>
      <c r="C27" s="18" t="s">
        <v>38</v>
      </c>
      <c r="D27" s="18" t="s">
        <v>133</v>
      </c>
      <c r="E27" s="18" t="s">
        <v>134</v>
      </c>
      <c r="F27" s="18" t="s">
        <v>135</v>
      </c>
      <c r="G27" s="18" t="s">
        <v>87</v>
      </c>
      <c r="H27" s="18" t="s">
        <v>24</v>
      </c>
      <c r="I27" s="18" t="s">
        <v>34</v>
      </c>
      <c r="J27" s="18" t="s">
        <v>35</v>
      </c>
      <c r="K27" s="18">
        <v>1</v>
      </c>
      <c r="L27" s="18" t="s">
        <v>39</v>
      </c>
      <c r="M27" s="18">
        <v>2019</v>
      </c>
      <c r="N27" s="18" t="s">
        <v>70</v>
      </c>
      <c r="O27" s="18" t="s">
        <v>44</v>
      </c>
      <c r="P27" s="18" t="s">
        <v>23</v>
      </c>
      <c r="Q27" s="18" t="s">
        <v>23</v>
      </c>
      <c r="R27" s="18">
        <v>90</v>
      </c>
      <c r="S27" s="18">
        <v>0.9</v>
      </c>
      <c r="T27" s="36">
        <v>0.1</v>
      </c>
      <c r="U27" s="18">
        <v>0</v>
      </c>
    </row>
    <row r="28" spans="1:21" x14ac:dyDescent="0.2">
      <c r="A28" s="18" t="s">
        <v>241</v>
      </c>
      <c r="B28" s="18" t="s">
        <v>242</v>
      </c>
      <c r="C28" s="18" t="s">
        <v>262</v>
      </c>
      <c r="D28" s="18" t="s">
        <v>268</v>
      </c>
      <c r="E28" s="18" t="s">
        <v>269</v>
      </c>
      <c r="F28" s="18" t="s">
        <v>270</v>
      </c>
      <c r="G28" s="18" t="s">
        <v>263</v>
      </c>
      <c r="H28" s="18" t="s">
        <v>24</v>
      </c>
      <c r="I28" s="18" t="s">
        <v>43</v>
      </c>
      <c r="J28" s="18" t="s">
        <v>242</v>
      </c>
      <c r="K28" s="18">
        <v>1</v>
      </c>
      <c r="L28" s="18" t="s">
        <v>43</v>
      </c>
      <c r="M28" s="18">
        <v>2019</v>
      </c>
      <c r="N28" s="18" t="s">
        <v>70</v>
      </c>
      <c r="O28" s="18">
        <v>50</v>
      </c>
      <c r="P28" s="18" t="s">
        <v>25</v>
      </c>
      <c r="Q28" s="18">
        <v>10</v>
      </c>
      <c r="R28" s="18">
        <v>40</v>
      </c>
      <c r="S28" s="18">
        <v>0.4</v>
      </c>
      <c r="T28" s="36">
        <v>0.5</v>
      </c>
      <c r="U28" s="18">
        <v>0.1</v>
      </c>
    </row>
    <row r="29" spans="1:21" s="19" customFormat="1" x14ac:dyDescent="0.2">
      <c r="A29" s="18" t="s">
        <v>71</v>
      </c>
      <c r="B29" s="18" t="s">
        <v>72</v>
      </c>
      <c r="C29" s="18" t="s">
        <v>32</v>
      </c>
      <c r="D29" s="18" t="s">
        <v>175</v>
      </c>
      <c r="E29" s="18" t="s">
        <v>176</v>
      </c>
      <c r="F29" s="18" t="s">
        <v>177</v>
      </c>
      <c r="G29" s="18" t="s">
        <v>84</v>
      </c>
      <c r="H29" s="18" t="s">
        <v>24</v>
      </c>
      <c r="I29" s="18" t="s">
        <v>30</v>
      </c>
      <c r="J29" s="18" t="s">
        <v>31</v>
      </c>
      <c r="K29" s="18">
        <v>1</v>
      </c>
      <c r="L29" s="18" t="s">
        <v>73</v>
      </c>
      <c r="M29" s="18">
        <v>2019</v>
      </c>
      <c r="N29" s="18" t="s">
        <v>70</v>
      </c>
      <c r="O29" s="18">
        <v>30</v>
      </c>
      <c r="P29" s="18" t="s">
        <v>23</v>
      </c>
      <c r="Q29" s="18">
        <v>0</v>
      </c>
      <c r="R29" s="18">
        <v>70</v>
      </c>
      <c r="S29" s="18">
        <v>0.7</v>
      </c>
      <c r="T29" s="36">
        <v>0.3</v>
      </c>
      <c r="U29" s="18">
        <v>0</v>
      </c>
    </row>
    <row r="30" spans="1:21" x14ac:dyDescent="0.2">
      <c r="A30" s="18" t="s">
        <v>71</v>
      </c>
      <c r="B30" s="18" t="s">
        <v>72</v>
      </c>
      <c r="C30" s="18" t="s">
        <v>32</v>
      </c>
      <c r="D30" s="18" t="s">
        <v>178</v>
      </c>
      <c r="E30" s="18" t="s">
        <v>179</v>
      </c>
      <c r="F30" s="18" t="s">
        <v>180</v>
      </c>
      <c r="G30" s="18" t="s">
        <v>181</v>
      </c>
      <c r="H30" s="18" t="s">
        <v>22</v>
      </c>
      <c r="I30" s="18" t="s">
        <v>30</v>
      </c>
      <c r="J30" s="18" t="s">
        <v>31</v>
      </c>
      <c r="K30" s="18">
        <v>0.5</v>
      </c>
      <c r="L30" s="18" t="s">
        <v>73</v>
      </c>
      <c r="M30" s="18">
        <v>2019</v>
      </c>
      <c r="N30" s="18" t="s">
        <v>70</v>
      </c>
      <c r="O30" s="18">
        <v>30</v>
      </c>
      <c r="P30" s="18" t="s">
        <v>64</v>
      </c>
      <c r="Q30" s="18">
        <v>20</v>
      </c>
      <c r="R30" s="18">
        <v>50</v>
      </c>
      <c r="S30" s="18">
        <v>0.25</v>
      </c>
      <c r="T30" s="36">
        <v>0.15</v>
      </c>
      <c r="U30" s="18">
        <v>0.1</v>
      </c>
    </row>
    <row r="31" spans="1:21" x14ac:dyDescent="0.2">
      <c r="A31" s="18" t="s">
        <v>71</v>
      </c>
      <c r="B31" s="18" t="s">
        <v>72</v>
      </c>
      <c r="C31" s="18" t="s">
        <v>32</v>
      </c>
      <c r="D31" s="18" t="s">
        <v>178</v>
      </c>
      <c r="E31" s="18" t="s">
        <v>179</v>
      </c>
      <c r="F31" s="18" t="s">
        <v>180</v>
      </c>
      <c r="G31" s="18" t="s">
        <v>182</v>
      </c>
      <c r="H31" s="18" t="s">
        <v>22</v>
      </c>
      <c r="I31" s="18" t="s">
        <v>30</v>
      </c>
      <c r="J31" s="18" t="s">
        <v>31</v>
      </c>
      <c r="K31" s="18">
        <v>0.5</v>
      </c>
      <c r="L31" s="18" t="s">
        <v>73</v>
      </c>
      <c r="M31" s="18">
        <v>2019</v>
      </c>
      <c r="N31" s="18" t="s">
        <v>70</v>
      </c>
      <c r="O31" s="18">
        <v>30</v>
      </c>
      <c r="P31" s="18" t="s">
        <v>64</v>
      </c>
      <c r="Q31" s="18">
        <v>20</v>
      </c>
      <c r="R31" s="18">
        <v>50</v>
      </c>
      <c r="S31" s="18">
        <v>0.25</v>
      </c>
      <c r="T31" s="36">
        <v>0.15</v>
      </c>
      <c r="U31" s="18">
        <v>0.1</v>
      </c>
    </row>
    <row r="32" spans="1:21" x14ac:dyDescent="0.2">
      <c r="A32" s="18" t="s">
        <v>71</v>
      </c>
      <c r="B32" s="18" t="s">
        <v>72</v>
      </c>
      <c r="C32" s="18" t="s">
        <v>32</v>
      </c>
      <c r="D32" s="18" t="s">
        <v>183</v>
      </c>
      <c r="E32" s="18" t="s">
        <v>184</v>
      </c>
      <c r="F32" s="18" t="s">
        <v>185</v>
      </c>
      <c r="G32" s="18" t="s">
        <v>85</v>
      </c>
      <c r="H32" s="18" t="s">
        <v>24</v>
      </c>
      <c r="I32" s="18" t="s">
        <v>30</v>
      </c>
      <c r="J32" s="18" t="s">
        <v>31</v>
      </c>
      <c r="K32" s="18">
        <v>1</v>
      </c>
      <c r="L32" s="18" t="s">
        <v>73</v>
      </c>
      <c r="M32" s="18">
        <v>2019</v>
      </c>
      <c r="N32" s="18" t="s">
        <v>70</v>
      </c>
      <c r="O32" s="18">
        <v>80</v>
      </c>
      <c r="P32" s="18" t="s">
        <v>23</v>
      </c>
      <c r="Q32" s="18">
        <v>0</v>
      </c>
      <c r="R32" s="18">
        <v>20</v>
      </c>
      <c r="S32" s="18">
        <v>0.2</v>
      </c>
      <c r="T32" s="36">
        <v>0.8</v>
      </c>
      <c r="U32" s="18">
        <v>0</v>
      </c>
    </row>
    <row r="33" spans="1:21" x14ac:dyDescent="0.2">
      <c r="A33" s="18" t="s">
        <v>71</v>
      </c>
      <c r="B33" s="18" t="s">
        <v>72</v>
      </c>
      <c r="C33" s="18" t="s">
        <v>32</v>
      </c>
      <c r="D33" s="18" t="s">
        <v>186</v>
      </c>
      <c r="E33" s="18" t="s">
        <v>187</v>
      </c>
      <c r="F33" s="18" t="s">
        <v>177</v>
      </c>
      <c r="G33" s="18" t="s">
        <v>84</v>
      </c>
      <c r="H33" s="18" t="s">
        <v>24</v>
      </c>
      <c r="I33" s="18" t="s">
        <v>30</v>
      </c>
      <c r="J33" s="18" t="s">
        <v>31</v>
      </c>
      <c r="K33" s="18">
        <v>1</v>
      </c>
      <c r="L33" s="18" t="s">
        <v>73</v>
      </c>
      <c r="M33" s="18">
        <v>2019</v>
      </c>
      <c r="N33" s="18" t="s">
        <v>70</v>
      </c>
      <c r="O33" s="18">
        <v>30</v>
      </c>
      <c r="P33" s="18" t="s">
        <v>23</v>
      </c>
      <c r="Q33" s="18">
        <v>0</v>
      </c>
      <c r="R33" s="18">
        <v>70</v>
      </c>
      <c r="S33" s="18">
        <v>0.7</v>
      </c>
      <c r="T33" s="36">
        <v>0.3</v>
      </c>
      <c r="U33" s="18">
        <v>0</v>
      </c>
    </row>
    <row r="34" spans="1:21" x14ac:dyDescent="0.2">
      <c r="A34" s="18" t="s">
        <v>57</v>
      </c>
      <c r="B34" s="18" t="s">
        <v>58</v>
      </c>
      <c r="C34" s="18" t="s">
        <v>59</v>
      </c>
      <c r="D34" s="18" t="s">
        <v>188</v>
      </c>
      <c r="E34" s="18" t="s">
        <v>189</v>
      </c>
      <c r="F34" s="18" t="s">
        <v>190</v>
      </c>
      <c r="G34" s="18" t="s">
        <v>91</v>
      </c>
      <c r="H34" s="18" t="s">
        <v>22</v>
      </c>
      <c r="I34" s="18" t="s">
        <v>78</v>
      </c>
      <c r="J34" s="18" t="s">
        <v>79</v>
      </c>
      <c r="K34" s="18">
        <v>0.5</v>
      </c>
      <c r="L34" s="18" t="s">
        <v>80</v>
      </c>
      <c r="M34" s="18">
        <v>2019</v>
      </c>
      <c r="N34" s="18" t="s">
        <v>70</v>
      </c>
      <c r="O34" s="18">
        <v>30</v>
      </c>
      <c r="P34" s="18" t="s">
        <v>160</v>
      </c>
      <c r="Q34" s="18">
        <v>30</v>
      </c>
      <c r="R34" s="18">
        <v>40</v>
      </c>
      <c r="S34" s="18">
        <v>0.2</v>
      </c>
      <c r="T34" s="36">
        <v>0.15</v>
      </c>
      <c r="U34" s="18">
        <v>0.15</v>
      </c>
    </row>
    <row r="35" spans="1:21" x14ac:dyDescent="0.2">
      <c r="A35" s="18" t="s">
        <v>57</v>
      </c>
      <c r="B35" s="18" t="s">
        <v>58</v>
      </c>
      <c r="C35" s="18" t="s">
        <v>59</v>
      </c>
      <c r="D35" s="18" t="s">
        <v>191</v>
      </c>
      <c r="E35" s="18" t="s">
        <v>192</v>
      </c>
      <c r="F35" s="18" t="s">
        <v>193</v>
      </c>
      <c r="G35" s="18" t="s">
        <v>85</v>
      </c>
      <c r="H35" s="18" t="s">
        <v>22</v>
      </c>
      <c r="I35" s="18" t="s">
        <v>30</v>
      </c>
      <c r="J35" s="18" t="s">
        <v>31</v>
      </c>
      <c r="K35" s="18">
        <v>0.5</v>
      </c>
      <c r="L35" s="18" t="s">
        <v>73</v>
      </c>
      <c r="M35" s="18">
        <v>2019</v>
      </c>
      <c r="N35" s="18" t="s">
        <v>70</v>
      </c>
      <c r="O35" s="18">
        <v>80</v>
      </c>
      <c r="P35" s="18" t="s">
        <v>23</v>
      </c>
      <c r="Q35" s="18">
        <v>0</v>
      </c>
      <c r="R35" s="18">
        <v>20</v>
      </c>
      <c r="S35" s="18">
        <v>0.1</v>
      </c>
      <c r="T35" s="36">
        <v>0.4</v>
      </c>
      <c r="U35" s="18">
        <v>0</v>
      </c>
    </row>
    <row r="36" spans="1:21" x14ac:dyDescent="0.2">
      <c r="A36" s="18" t="s">
        <v>57</v>
      </c>
      <c r="B36" s="18" t="s">
        <v>58</v>
      </c>
      <c r="C36" s="18" t="s">
        <v>59</v>
      </c>
      <c r="D36" s="18" t="s">
        <v>191</v>
      </c>
      <c r="E36" s="18" t="s">
        <v>192</v>
      </c>
      <c r="F36" s="18" t="s">
        <v>193</v>
      </c>
      <c r="G36" s="18" t="s">
        <v>91</v>
      </c>
      <c r="H36" s="18" t="s">
        <v>22</v>
      </c>
      <c r="I36" s="18" t="s">
        <v>78</v>
      </c>
      <c r="J36" s="18" t="s">
        <v>79</v>
      </c>
      <c r="K36" s="18">
        <v>0.5</v>
      </c>
      <c r="L36" s="18" t="s">
        <v>80</v>
      </c>
      <c r="M36" s="18">
        <v>2019</v>
      </c>
      <c r="N36" s="18" t="s">
        <v>70</v>
      </c>
      <c r="O36" s="18">
        <v>30</v>
      </c>
      <c r="P36" s="18" t="s">
        <v>160</v>
      </c>
      <c r="Q36" s="18">
        <v>30</v>
      </c>
      <c r="R36" s="18">
        <v>40</v>
      </c>
      <c r="S36" s="18">
        <v>0.2</v>
      </c>
      <c r="T36" s="36">
        <v>0.15</v>
      </c>
      <c r="U36" s="18">
        <v>0.15</v>
      </c>
    </row>
    <row r="37" spans="1:21" x14ac:dyDescent="0.2">
      <c r="A37" s="18" t="s">
        <v>57</v>
      </c>
      <c r="B37" s="18" t="s">
        <v>58</v>
      </c>
      <c r="C37" s="18" t="s">
        <v>59</v>
      </c>
      <c r="D37" s="18" t="s">
        <v>194</v>
      </c>
      <c r="E37" s="18" t="s">
        <v>195</v>
      </c>
      <c r="F37" s="18" t="s">
        <v>196</v>
      </c>
      <c r="G37" s="18" t="s">
        <v>197</v>
      </c>
      <c r="H37" s="18" t="s">
        <v>24</v>
      </c>
      <c r="I37" s="18" t="s">
        <v>54</v>
      </c>
      <c r="J37" s="18" t="s">
        <v>55</v>
      </c>
      <c r="K37" s="18">
        <v>1</v>
      </c>
      <c r="L37" s="18" t="s">
        <v>56</v>
      </c>
      <c r="M37" s="18">
        <v>2019</v>
      </c>
      <c r="N37" s="18" t="s">
        <v>70</v>
      </c>
      <c r="O37" s="18">
        <v>50</v>
      </c>
      <c r="P37" s="18" t="s">
        <v>23</v>
      </c>
      <c r="Q37" s="18">
        <v>0</v>
      </c>
      <c r="R37" s="18">
        <v>50</v>
      </c>
      <c r="S37" s="18">
        <v>0.5</v>
      </c>
      <c r="T37" s="36">
        <v>0.5</v>
      </c>
      <c r="U37" s="18">
        <v>0</v>
      </c>
    </row>
    <row r="38" spans="1:21" x14ac:dyDescent="0.2">
      <c r="A38" s="18" t="s">
        <v>30</v>
      </c>
      <c r="B38" s="18" t="s">
        <v>31</v>
      </c>
      <c r="C38" s="18" t="s">
        <v>32</v>
      </c>
      <c r="D38" s="18" t="s">
        <v>198</v>
      </c>
      <c r="E38" s="18" t="s">
        <v>199</v>
      </c>
      <c r="F38" s="18" t="s">
        <v>200</v>
      </c>
      <c r="G38" s="18" t="s">
        <v>174</v>
      </c>
      <c r="H38" s="18" t="s">
        <v>24</v>
      </c>
      <c r="I38" s="18" t="s">
        <v>52</v>
      </c>
      <c r="J38" s="18" t="s">
        <v>53</v>
      </c>
      <c r="K38" s="18">
        <v>1</v>
      </c>
      <c r="L38" s="18" t="s">
        <v>81</v>
      </c>
      <c r="M38" s="18">
        <v>2020</v>
      </c>
      <c r="N38" s="18" t="s">
        <v>70</v>
      </c>
      <c r="O38" s="18">
        <v>50</v>
      </c>
      <c r="P38" s="18" t="s">
        <v>23</v>
      </c>
      <c r="Q38" s="18">
        <v>0</v>
      </c>
      <c r="R38" s="18">
        <v>50</v>
      </c>
      <c r="S38" s="18">
        <v>0.5</v>
      </c>
      <c r="T38" s="36">
        <v>0.5</v>
      </c>
      <c r="U38" s="18">
        <v>0</v>
      </c>
    </row>
    <row r="39" spans="1:21" x14ac:dyDescent="0.2">
      <c r="A39" s="18" t="s">
        <v>30</v>
      </c>
      <c r="B39" s="18" t="s">
        <v>31</v>
      </c>
      <c r="C39" s="18" t="s">
        <v>32</v>
      </c>
      <c r="D39" s="18" t="s">
        <v>201</v>
      </c>
      <c r="E39" s="18" t="s">
        <v>202</v>
      </c>
      <c r="F39" s="18" t="s">
        <v>203</v>
      </c>
      <c r="G39" s="18" t="s">
        <v>204</v>
      </c>
      <c r="H39" s="18" t="s">
        <v>24</v>
      </c>
      <c r="I39" s="18" t="s">
        <v>61</v>
      </c>
      <c r="J39" s="18" t="s">
        <v>62</v>
      </c>
      <c r="K39" s="18">
        <v>1</v>
      </c>
      <c r="L39" s="18" t="s">
        <v>63</v>
      </c>
      <c r="M39" s="18">
        <v>2020</v>
      </c>
      <c r="N39" s="18" t="s">
        <v>70</v>
      </c>
      <c r="O39" s="18">
        <v>50</v>
      </c>
      <c r="P39" s="18" t="s">
        <v>23</v>
      </c>
      <c r="Q39" s="18">
        <v>0</v>
      </c>
      <c r="R39" s="18">
        <v>50</v>
      </c>
      <c r="S39" s="18">
        <v>0.5</v>
      </c>
      <c r="T39" s="36">
        <v>0.5</v>
      </c>
      <c r="U39" s="18">
        <v>0</v>
      </c>
    </row>
    <row r="40" spans="1:21" x14ac:dyDescent="0.2">
      <c r="A40" s="18" t="s">
        <v>30</v>
      </c>
      <c r="B40" s="18" t="s">
        <v>31</v>
      </c>
      <c r="C40" s="18" t="s">
        <v>32</v>
      </c>
      <c r="D40" s="18" t="s">
        <v>205</v>
      </c>
      <c r="E40" s="18" t="s">
        <v>206</v>
      </c>
      <c r="F40" s="18" t="s">
        <v>207</v>
      </c>
      <c r="G40" s="18" t="s">
        <v>204</v>
      </c>
      <c r="H40" s="18" t="s">
        <v>24</v>
      </c>
      <c r="I40" s="18" t="s">
        <v>61</v>
      </c>
      <c r="J40" s="18" t="s">
        <v>62</v>
      </c>
      <c r="K40" s="18">
        <v>1</v>
      </c>
      <c r="L40" s="18" t="s">
        <v>63</v>
      </c>
      <c r="M40" s="18">
        <v>2020</v>
      </c>
      <c r="N40" s="18" t="s">
        <v>70</v>
      </c>
      <c r="O40" s="18">
        <v>50</v>
      </c>
      <c r="P40" s="18" t="s">
        <v>23</v>
      </c>
      <c r="Q40" s="18">
        <v>0</v>
      </c>
      <c r="R40" s="18">
        <v>50</v>
      </c>
      <c r="S40" s="18">
        <v>0.5</v>
      </c>
      <c r="T40" s="36">
        <v>0.5</v>
      </c>
      <c r="U40" s="18">
        <v>0</v>
      </c>
    </row>
    <row r="41" spans="1:21" x14ac:dyDescent="0.2">
      <c r="A41" s="18" t="s">
        <v>30</v>
      </c>
      <c r="B41" s="18" t="s">
        <v>31</v>
      </c>
      <c r="C41" s="18" t="s">
        <v>32</v>
      </c>
      <c r="D41" s="18" t="s">
        <v>289</v>
      </c>
      <c r="E41" s="18" t="s">
        <v>208</v>
      </c>
      <c r="F41" s="18" t="s">
        <v>209</v>
      </c>
      <c r="G41" s="18" t="s">
        <v>181</v>
      </c>
      <c r="H41" s="18" t="s">
        <v>24</v>
      </c>
      <c r="I41" s="18" t="s">
        <v>30</v>
      </c>
      <c r="J41" s="18" t="s">
        <v>31</v>
      </c>
      <c r="K41" s="18">
        <v>1</v>
      </c>
      <c r="L41" s="18" t="s">
        <v>73</v>
      </c>
      <c r="M41" s="18">
        <v>2020</v>
      </c>
      <c r="N41" s="18" t="s">
        <v>70</v>
      </c>
      <c r="O41" s="18">
        <v>30</v>
      </c>
      <c r="P41" s="18" t="s">
        <v>64</v>
      </c>
      <c r="Q41" s="18">
        <v>20</v>
      </c>
      <c r="R41" s="18">
        <v>50</v>
      </c>
      <c r="S41" s="18">
        <v>0.5</v>
      </c>
      <c r="T41" s="36">
        <v>0.3</v>
      </c>
      <c r="U41" s="18">
        <v>0.2</v>
      </c>
    </row>
    <row r="42" spans="1:21" x14ac:dyDescent="0.2">
      <c r="A42" s="18" t="s">
        <v>71</v>
      </c>
      <c r="B42" s="18" t="s">
        <v>72</v>
      </c>
      <c r="C42" s="18" t="s">
        <v>32</v>
      </c>
      <c r="D42" s="18" t="s">
        <v>210</v>
      </c>
      <c r="E42" s="18" t="s">
        <v>211</v>
      </c>
      <c r="F42" s="18" t="s">
        <v>212</v>
      </c>
      <c r="G42" s="18" t="s">
        <v>84</v>
      </c>
      <c r="H42" s="18" t="s">
        <v>24</v>
      </c>
      <c r="I42" s="18" t="s">
        <v>30</v>
      </c>
      <c r="J42" s="18" t="s">
        <v>31</v>
      </c>
      <c r="K42" s="18">
        <v>1</v>
      </c>
      <c r="L42" s="18" t="s">
        <v>73</v>
      </c>
      <c r="M42" s="18">
        <v>2020</v>
      </c>
      <c r="N42" s="18" t="s">
        <v>70</v>
      </c>
      <c r="O42" s="18">
        <v>30</v>
      </c>
      <c r="P42" s="18" t="s">
        <v>23</v>
      </c>
      <c r="Q42" s="18">
        <v>0</v>
      </c>
      <c r="R42" s="18">
        <v>70</v>
      </c>
      <c r="S42" s="18">
        <v>0.7</v>
      </c>
      <c r="T42" s="36">
        <v>0.3</v>
      </c>
      <c r="U42" s="18">
        <v>0</v>
      </c>
    </row>
    <row r="43" spans="1:21" x14ac:dyDescent="0.2">
      <c r="A43" s="18" t="s">
        <v>71</v>
      </c>
      <c r="B43" s="18" t="s">
        <v>72</v>
      </c>
      <c r="C43" s="18" t="s">
        <v>32</v>
      </c>
      <c r="D43" s="18" t="s">
        <v>213</v>
      </c>
      <c r="E43" s="18" t="s">
        <v>214</v>
      </c>
      <c r="F43" s="18" t="s">
        <v>215</v>
      </c>
      <c r="G43" s="18" t="s">
        <v>90</v>
      </c>
      <c r="H43" s="18" t="s">
        <v>22</v>
      </c>
      <c r="I43" s="18" t="s">
        <v>71</v>
      </c>
      <c r="J43" s="18" t="s">
        <v>72</v>
      </c>
      <c r="K43" s="18">
        <v>0.5</v>
      </c>
      <c r="L43" s="18" t="s">
        <v>82</v>
      </c>
      <c r="M43" s="18">
        <v>2020</v>
      </c>
      <c r="N43" s="18" t="s">
        <v>70</v>
      </c>
      <c r="O43" s="18">
        <v>10</v>
      </c>
      <c r="P43" s="18" t="s">
        <v>23</v>
      </c>
      <c r="Q43" s="18">
        <v>0</v>
      </c>
      <c r="R43" s="18">
        <v>90</v>
      </c>
      <c r="S43" s="18">
        <v>0.45</v>
      </c>
      <c r="T43" s="36">
        <v>0.05</v>
      </c>
      <c r="U43" s="18">
        <v>0</v>
      </c>
    </row>
    <row r="44" spans="1:21" x14ac:dyDescent="0.2">
      <c r="A44" s="18" t="s">
        <v>71</v>
      </c>
      <c r="B44" s="18" t="s">
        <v>72</v>
      </c>
      <c r="C44" s="18" t="s">
        <v>32</v>
      </c>
      <c r="D44" s="18" t="s">
        <v>216</v>
      </c>
      <c r="E44" s="18" t="s">
        <v>217</v>
      </c>
      <c r="F44" s="18" t="s">
        <v>218</v>
      </c>
      <c r="G44" s="18" t="s">
        <v>181</v>
      </c>
      <c r="H44" s="18" t="s">
        <v>24</v>
      </c>
      <c r="I44" s="18" t="s">
        <v>30</v>
      </c>
      <c r="J44" s="18" t="s">
        <v>31</v>
      </c>
      <c r="K44" s="18">
        <v>1</v>
      </c>
      <c r="L44" s="18" t="s">
        <v>73</v>
      </c>
      <c r="M44" s="18">
        <v>2020</v>
      </c>
      <c r="N44" s="18" t="s">
        <v>70</v>
      </c>
      <c r="O44" s="18">
        <v>30</v>
      </c>
      <c r="P44" s="18" t="s">
        <v>64</v>
      </c>
      <c r="Q44" s="18">
        <v>20</v>
      </c>
      <c r="R44" s="18">
        <v>50</v>
      </c>
      <c r="S44" s="18">
        <v>0.5</v>
      </c>
      <c r="T44" s="36">
        <v>0.3</v>
      </c>
      <c r="U44" s="18">
        <v>0.2</v>
      </c>
    </row>
    <row r="45" spans="1:21" x14ac:dyDescent="0.2">
      <c r="A45" s="18" t="s">
        <v>71</v>
      </c>
      <c r="B45" s="18" t="s">
        <v>72</v>
      </c>
      <c r="C45" s="18" t="s">
        <v>32</v>
      </c>
      <c r="D45" s="18" t="s">
        <v>219</v>
      </c>
      <c r="E45" s="18" t="s">
        <v>220</v>
      </c>
      <c r="F45" s="18" t="s">
        <v>221</v>
      </c>
      <c r="G45" s="18" t="s">
        <v>84</v>
      </c>
      <c r="H45" s="18" t="s">
        <v>24</v>
      </c>
      <c r="I45" s="18" t="s">
        <v>30</v>
      </c>
      <c r="J45" s="18" t="s">
        <v>31</v>
      </c>
      <c r="K45" s="18">
        <v>1</v>
      </c>
      <c r="L45" s="18" t="s">
        <v>73</v>
      </c>
      <c r="M45" s="18">
        <v>2020</v>
      </c>
      <c r="N45" s="18" t="s">
        <v>70</v>
      </c>
      <c r="O45" s="18">
        <v>30</v>
      </c>
      <c r="P45" s="18" t="s">
        <v>23</v>
      </c>
      <c r="Q45" s="18">
        <v>0</v>
      </c>
      <c r="R45" s="18">
        <v>70</v>
      </c>
      <c r="S45" s="18">
        <v>0.7</v>
      </c>
      <c r="T45" s="36">
        <v>0.3</v>
      </c>
      <c r="U45" s="18">
        <v>0</v>
      </c>
    </row>
    <row r="46" spans="1:21" x14ac:dyDescent="0.2">
      <c r="A46" s="18" t="s">
        <v>71</v>
      </c>
      <c r="B46" s="18" t="s">
        <v>72</v>
      </c>
      <c r="C46" s="18" t="s">
        <v>32</v>
      </c>
      <c r="D46" s="18" t="s">
        <v>222</v>
      </c>
      <c r="E46" s="18" t="s">
        <v>223</v>
      </c>
      <c r="F46" s="18" t="s">
        <v>212</v>
      </c>
      <c r="G46" s="18" t="s">
        <v>84</v>
      </c>
      <c r="H46" s="18" t="s">
        <v>24</v>
      </c>
      <c r="I46" s="18" t="s">
        <v>30</v>
      </c>
      <c r="J46" s="18" t="s">
        <v>31</v>
      </c>
      <c r="K46" s="18">
        <v>1</v>
      </c>
      <c r="L46" s="18" t="s">
        <v>73</v>
      </c>
      <c r="M46" s="18">
        <v>2020</v>
      </c>
      <c r="N46" s="18" t="s">
        <v>70</v>
      </c>
      <c r="O46" s="18">
        <v>30</v>
      </c>
      <c r="P46" s="18" t="s">
        <v>23</v>
      </c>
      <c r="Q46" s="18">
        <v>0</v>
      </c>
      <c r="R46" s="18">
        <v>70</v>
      </c>
      <c r="S46" s="18">
        <v>0.7</v>
      </c>
      <c r="T46" s="36">
        <v>0.3</v>
      </c>
      <c r="U46" s="18">
        <v>0</v>
      </c>
    </row>
    <row r="47" spans="1:21" x14ac:dyDescent="0.2">
      <c r="A47" s="18" t="s">
        <v>71</v>
      </c>
      <c r="B47" s="18" t="s">
        <v>72</v>
      </c>
      <c r="C47" s="18" t="s">
        <v>32</v>
      </c>
      <c r="D47" s="18" t="s">
        <v>224</v>
      </c>
      <c r="E47" s="18" t="s">
        <v>225</v>
      </c>
      <c r="F47" s="18" t="s">
        <v>226</v>
      </c>
      <c r="G47" s="18" t="s">
        <v>89</v>
      </c>
      <c r="H47" s="18" t="s">
        <v>24</v>
      </c>
      <c r="I47" s="18" t="s">
        <v>61</v>
      </c>
      <c r="J47" s="18" t="s">
        <v>62</v>
      </c>
      <c r="K47" s="18">
        <v>1</v>
      </c>
      <c r="L47" s="18" t="s">
        <v>63</v>
      </c>
      <c r="M47" s="18">
        <v>2020</v>
      </c>
      <c r="N47" s="18" t="s">
        <v>70</v>
      </c>
      <c r="O47" s="18">
        <v>30</v>
      </c>
      <c r="P47" s="18" t="s">
        <v>23</v>
      </c>
      <c r="Q47" s="18">
        <v>0</v>
      </c>
      <c r="R47" s="18">
        <v>70</v>
      </c>
      <c r="S47" s="18">
        <v>0.7</v>
      </c>
      <c r="T47" s="36">
        <v>0.3</v>
      </c>
      <c r="U47" s="18">
        <v>0</v>
      </c>
    </row>
    <row r="48" spans="1:21" x14ac:dyDescent="0.2">
      <c r="A48" s="18" t="s">
        <v>57</v>
      </c>
      <c r="B48" s="18" t="s">
        <v>58</v>
      </c>
      <c r="C48" s="18" t="s">
        <v>59</v>
      </c>
      <c r="D48" s="18" t="s">
        <v>290</v>
      </c>
      <c r="E48" s="18" t="s">
        <v>291</v>
      </c>
      <c r="F48" s="18" t="s">
        <v>292</v>
      </c>
      <c r="G48" s="18" t="s">
        <v>91</v>
      </c>
      <c r="H48" s="18" t="s">
        <v>24</v>
      </c>
      <c r="I48" s="18" t="s">
        <v>78</v>
      </c>
      <c r="J48" s="18" t="s">
        <v>79</v>
      </c>
      <c r="K48" s="18">
        <v>1</v>
      </c>
      <c r="L48" s="18" t="s">
        <v>80</v>
      </c>
      <c r="M48" s="18">
        <v>2020</v>
      </c>
      <c r="N48" s="18" t="s">
        <v>70</v>
      </c>
      <c r="O48" s="18">
        <v>30</v>
      </c>
      <c r="P48" s="18" t="s">
        <v>160</v>
      </c>
      <c r="Q48" s="18">
        <v>30</v>
      </c>
      <c r="R48" s="18">
        <v>40</v>
      </c>
      <c r="S48" s="18">
        <v>0.4</v>
      </c>
      <c r="T48" s="36">
        <v>0.3</v>
      </c>
      <c r="U48" s="18">
        <v>0.3</v>
      </c>
    </row>
    <row r="49" spans="1:21" x14ac:dyDescent="0.2">
      <c r="A49" s="18" t="s">
        <v>57</v>
      </c>
      <c r="B49" s="18" t="s">
        <v>58</v>
      </c>
      <c r="C49" s="18" t="s">
        <v>59</v>
      </c>
      <c r="D49" s="18" t="s">
        <v>227</v>
      </c>
      <c r="E49" s="18" t="s">
        <v>228</v>
      </c>
      <c r="F49" s="18" t="s">
        <v>229</v>
      </c>
      <c r="G49" s="18" t="s">
        <v>85</v>
      </c>
      <c r="H49" s="18" t="s">
        <v>24</v>
      </c>
      <c r="I49" s="18" t="s">
        <v>30</v>
      </c>
      <c r="J49" s="18" t="s">
        <v>31</v>
      </c>
      <c r="K49" s="18">
        <v>1</v>
      </c>
      <c r="L49" s="18" t="s">
        <v>73</v>
      </c>
      <c r="M49" s="18">
        <v>2020</v>
      </c>
      <c r="N49" s="18" t="s">
        <v>70</v>
      </c>
      <c r="O49" s="18">
        <v>80</v>
      </c>
      <c r="P49" s="18" t="s">
        <v>23</v>
      </c>
      <c r="Q49" s="18">
        <v>0</v>
      </c>
      <c r="R49" s="18">
        <v>20</v>
      </c>
      <c r="S49" s="18">
        <v>0.2</v>
      </c>
      <c r="T49" s="36">
        <v>0.8</v>
      </c>
      <c r="U49" s="18">
        <v>0</v>
      </c>
    </row>
    <row r="50" spans="1:21" x14ac:dyDescent="0.2">
      <c r="A50" s="18" t="s">
        <v>57</v>
      </c>
      <c r="B50" s="18" t="s">
        <v>58</v>
      </c>
      <c r="C50" s="18" t="s">
        <v>59</v>
      </c>
      <c r="D50" s="18" t="s">
        <v>230</v>
      </c>
      <c r="E50" s="18" t="s">
        <v>231</v>
      </c>
      <c r="F50" s="18" t="s">
        <v>232</v>
      </c>
      <c r="G50" s="18" t="s">
        <v>88</v>
      </c>
      <c r="H50" s="18" t="s">
        <v>24</v>
      </c>
      <c r="I50" s="18" t="s">
        <v>54</v>
      </c>
      <c r="J50" s="18" t="s">
        <v>55</v>
      </c>
      <c r="K50" s="18">
        <v>1</v>
      </c>
      <c r="L50" s="18" t="s">
        <v>56</v>
      </c>
      <c r="M50" s="18">
        <v>2020</v>
      </c>
      <c r="N50" s="18" t="s">
        <v>70</v>
      </c>
      <c r="O50" s="18">
        <v>80</v>
      </c>
      <c r="P50" s="18" t="s">
        <v>23</v>
      </c>
      <c r="Q50" s="18">
        <v>0</v>
      </c>
      <c r="R50" s="18">
        <v>20</v>
      </c>
      <c r="S50" s="18">
        <v>0.2</v>
      </c>
      <c r="T50" s="36">
        <v>0.8</v>
      </c>
      <c r="U50" s="18">
        <v>0</v>
      </c>
    </row>
    <row r="51" spans="1:21" x14ac:dyDescent="0.2">
      <c r="A51" s="18" t="s">
        <v>57</v>
      </c>
      <c r="B51" s="18" t="s">
        <v>58</v>
      </c>
      <c r="C51" s="18" t="s">
        <v>59</v>
      </c>
      <c r="D51" s="18" t="s">
        <v>293</v>
      </c>
      <c r="E51" s="18" t="s">
        <v>294</v>
      </c>
      <c r="F51" s="18" t="s">
        <v>209</v>
      </c>
      <c r="G51" s="18" t="s">
        <v>174</v>
      </c>
      <c r="H51" s="18" t="s">
        <v>22</v>
      </c>
      <c r="I51" s="18" t="s">
        <v>52</v>
      </c>
      <c r="J51" s="18" t="s">
        <v>53</v>
      </c>
      <c r="K51" s="18">
        <v>0.5</v>
      </c>
      <c r="L51" s="18" t="s">
        <v>81</v>
      </c>
      <c r="M51" s="18">
        <v>2020</v>
      </c>
      <c r="N51" s="18" t="s">
        <v>70</v>
      </c>
      <c r="O51" s="18">
        <v>50</v>
      </c>
      <c r="P51" s="18" t="s">
        <v>23</v>
      </c>
      <c r="Q51" s="18">
        <v>0</v>
      </c>
      <c r="R51" s="18">
        <v>50</v>
      </c>
      <c r="S51" s="18">
        <v>0.25</v>
      </c>
      <c r="T51" s="36">
        <v>0.25</v>
      </c>
      <c r="U51" s="18">
        <v>0</v>
      </c>
    </row>
    <row r="52" spans="1:21" x14ac:dyDescent="0.2">
      <c r="A52" s="18" t="s">
        <v>57</v>
      </c>
      <c r="B52" s="18" t="s">
        <v>58</v>
      </c>
      <c r="C52" s="18" t="s">
        <v>59</v>
      </c>
      <c r="D52" s="18" t="s">
        <v>295</v>
      </c>
      <c r="E52" s="18" t="s">
        <v>296</v>
      </c>
      <c r="F52" s="18" t="s">
        <v>292</v>
      </c>
      <c r="G52" s="18" t="s">
        <v>174</v>
      </c>
      <c r="H52" s="18" t="s">
        <v>22</v>
      </c>
      <c r="I52" s="18" t="s">
        <v>52</v>
      </c>
      <c r="J52" s="18" t="s">
        <v>53</v>
      </c>
      <c r="K52" s="18">
        <v>0.5</v>
      </c>
      <c r="L52" s="18" t="s">
        <v>81</v>
      </c>
      <c r="M52" s="18">
        <v>2020</v>
      </c>
      <c r="N52" s="18" t="s">
        <v>70</v>
      </c>
      <c r="O52" s="18">
        <v>50</v>
      </c>
      <c r="P52" s="18" t="s">
        <v>23</v>
      </c>
      <c r="Q52" s="18">
        <v>0</v>
      </c>
      <c r="R52" s="18">
        <v>50</v>
      </c>
      <c r="S52" s="18">
        <v>0.25</v>
      </c>
      <c r="T52" s="36">
        <v>0.25</v>
      </c>
      <c r="U52" s="18">
        <v>0</v>
      </c>
    </row>
    <row r="53" spans="1:21" x14ac:dyDescent="0.2">
      <c r="A53" s="18" t="s">
        <v>57</v>
      </c>
      <c r="B53" s="18" t="s">
        <v>58</v>
      </c>
      <c r="C53" s="18" t="s">
        <v>233</v>
      </c>
      <c r="D53" s="18" t="s">
        <v>234</v>
      </c>
      <c r="E53" s="18" t="s">
        <v>235</v>
      </c>
      <c r="F53" s="18" t="s">
        <v>236</v>
      </c>
      <c r="G53" s="18" t="s">
        <v>174</v>
      </c>
      <c r="H53" s="18" t="s">
        <v>22</v>
      </c>
      <c r="I53" s="18" t="s">
        <v>52</v>
      </c>
      <c r="J53" s="18" t="s">
        <v>53</v>
      </c>
      <c r="K53" s="18">
        <v>0.5</v>
      </c>
      <c r="L53" s="18" t="s">
        <v>81</v>
      </c>
      <c r="M53" s="18">
        <v>2020</v>
      </c>
      <c r="N53" s="18" t="s">
        <v>70</v>
      </c>
      <c r="O53" s="18">
        <v>50</v>
      </c>
      <c r="P53" s="18" t="s">
        <v>23</v>
      </c>
      <c r="Q53" s="18">
        <v>0</v>
      </c>
      <c r="R53" s="18">
        <v>50</v>
      </c>
      <c r="S53" s="18">
        <v>0.25</v>
      </c>
      <c r="T53" s="36">
        <v>0.25</v>
      </c>
      <c r="U53" s="18">
        <v>0</v>
      </c>
    </row>
    <row r="54" spans="1:21" x14ac:dyDescent="0.2">
      <c r="A54" s="18" t="s">
        <v>48</v>
      </c>
      <c r="B54" s="18" t="s">
        <v>49</v>
      </c>
      <c r="C54" s="18" t="s">
        <v>50</v>
      </c>
      <c r="D54" s="18" t="s">
        <v>237</v>
      </c>
      <c r="E54" s="18" t="s">
        <v>238</v>
      </c>
      <c r="F54" s="18" t="s">
        <v>239</v>
      </c>
      <c r="G54" s="18" t="s">
        <v>240</v>
      </c>
      <c r="H54" s="18" t="s">
        <v>24</v>
      </c>
      <c r="I54" s="18" t="s">
        <v>43</v>
      </c>
      <c r="J54" s="18" t="s">
        <v>242</v>
      </c>
      <c r="K54" s="18">
        <v>1</v>
      </c>
      <c r="L54" s="18" t="s">
        <v>43</v>
      </c>
      <c r="M54" s="18">
        <v>2020</v>
      </c>
      <c r="N54" s="18" t="s">
        <v>70</v>
      </c>
      <c r="O54" s="18">
        <v>80</v>
      </c>
      <c r="P54" s="18" t="s">
        <v>23</v>
      </c>
      <c r="Q54" s="18">
        <v>0</v>
      </c>
      <c r="R54" s="18">
        <v>20</v>
      </c>
      <c r="S54" s="18">
        <v>0.2</v>
      </c>
      <c r="T54" s="36">
        <v>0.8</v>
      </c>
      <c r="U54" s="18">
        <v>0</v>
      </c>
    </row>
    <row r="55" spans="1:21" x14ac:dyDescent="0.2">
      <c r="A55" s="18" t="s">
        <v>26</v>
      </c>
      <c r="B55" s="18" t="s">
        <v>27</v>
      </c>
      <c r="C55" s="18" t="s">
        <v>28</v>
      </c>
      <c r="D55" s="18" t="s">
        <v>243</v>
      </c>
      <c r="E55" s="18" t="s">
        <v>244</v>
      </c>
      <c r="F55" s="18" t="s">
        <v>221</v>
      </c>
      <c r="G55" s="18" t="s">
        <v>245</v>
      </c>
      <c r="H55" s="18" t="s">
        <v>22</v>
      </c>
      <c r="I55" s="18" t="s">
        <v>30</v>
      </c>
      <c r="J55" s="18" t="s">
        <v>31</v>
      </c>
      <c r="K55" s="18">
        <v>0.5</v>
      </c>
      <c r="L55" s="18" t="s">
        <v>73</v>
      </c>
      <c r="M55" s="18">
        <v>2020</v>
      </c>
      <c r="N55" s="18" t="s">
        <v>70</v>
      </c>
      <c r="O55" s="18">
        <v>50</v>
      </c>
      <c r="P55" s="18" t="s">
        <v>23</v>
      </c>
      <c r="Q55" s="18">
        <v>0</v>
      </c>
      <c r="R55" s="18">
        <v>50</v>
      </c>
      <c r="S55" s="18">
        <v>0.25</v>
      </c>
      <c r="T55" s="36">
        <v>0.25</v>
      </c>
      <c r="U55" s="18">
        <v>0</v>
      </c>
    </row>
    <row r="56" spans="1:21" x14ac:dyDescent="0.2">
      <c r="A56" s="18" t="s">
        <v>26</v>
      </c>
      <c r="B56" s="18" t="s">
        <v>27</v>
      </c>
      <c r="C56" s="18" t="s">
        <v>28</v>
      </c>
      <c r="D56" s="18" t="s">
        <v>246</v>
      </c>
      <c r="E56" s="18" t="s">
        <v>247</v>
      </c>
      <c r="F56" s="18" t="s">
        <v>248</v>
      </c>
      <c r="G56" s="18" t="s">
        <v>249</v>
      </c>
      <c r="H56" s="18" t="s">
        <v>22</v>
      </c>
      <c r="I56" s="18" t="s">
        <v>74</v>
      </c>
      <c r="J56" s="18" t="s">
        <v>75</v>
      </c>
      <c r="K56" s="18">
        <v>0.5</v>
      </c>
      <c r="L56" s="18" t="s">
        <v>76</v>
      </c>
      <c r="M56" s="18">
        <v>2020</v>
      </c>
      <c r="N56" s="18" t="s">
        <v>70</v>
      </c>
      <c r="O56" s="18">
        <v>10</v>
      </c>
      <c r="P56" s="18" t="s">
        <v>29</v>
      </c>
      <c r="Q56" s="18">
        <v>10</v>
      </c>
      <c r="R56" s="18">
        <v>80</v>
      </c>
      <c r="S56" s="18">
        <v>0.4</v>
      </c>
      <c r="T56" s="36">
        <v>0.05</v>
      </c>
      <c r="U56" s="18">
        <v>0.05</v>
      </c>
    </row>
    <row r="57" spans="1:21" x14ac:dyDescent="0.2">
      <c r="A57" s="18" t="s">
        <v>250</v>
      </c>
      <c r="B57" s="18" t="s">
        <v>251</v>
      </c>
      <c r="C57" s="18" t="s">
        <v>252</v>
      </c>
      <c r="D57" s="18" t="s">
        <v>253</v>
      </c>
      <c r="E57" s="18" t="s">
        <v>254</v>
      </c>
      <c r="F57" s="18" t="s">
        <v>255</v>
      </c>
      <c r="G57" s="18" t="s">
        <v>85</v>
      </c>
      <c r="H57" s="18" t="s">
        <v>24</v>
      </c>
      <c r="I57" s="18" t="s">
        <v>30</v>
      </c>
      <c r="J57" s="18" t="s">
        <v>31</v>
      </c>
      <c r="K57" s="18">
        <v>1</v>
      </c>
      <c r="L57" s="18" t="s">
        <v>73</v>
      </c>
      <c r="M57" s="18">
        <v>2020</v>
      </c>
      <c r="N57" s="18" t="s">
        <v>70</v>
      </c>
      <c r="O57" s="18">
        <v>80</v>
      </c>
      <c r="P57" s="18" t="s">
        <v>23</v>
      </c>
      <c r="Q57" s="18">
        <v>0</v>
      </c>
      <c r="R57" s="18">
        <v>20</v>
      </c>
      <c r="S57" s="18">
        <v>0.2</v>
      </c>
      <c r="T57" s="36">
        <v>0.8</v>
      </c>
      <c r="U57" s="18">
        <v>0</v>
      </c>
    </row>
    <row r="58" spans="1:21" x14ac:dyDescent="0.2">
      <c r="A58" s="18" t="s">
        <v>30</v>
      </c>
      <c r="B58" s="18" t="s">
        <v>31</v>
      </c>
      <c r="C58" s="18" t="s">
        <v>32</v>
      </c>
      <c r="D58" s="18" t="s">
        <v>297</v>
      </c>
      <c r="E58" s="18" t="s">
        <v>298</v>
      </c>
      <c r="F58" s="18" t="s">
        <v>299</v>
      </c>
      <c r="G58" s="18" t="s">
        <v>300</v>
      </c>
      <c r="H58" s="18" t="s">
        <v>22</v>
      </c>
      <c r="I58" s="18" t="s">
        <v>61</v>
      </c>
      <c r="J58" s="18" t="s">
        <v>62</v>
      </c>
      <c r="K58" s="18">
        <v>0.5</v>
      </c>
      <c r="L58" s="18" t="s">
        <v>63</v>
      </c>
      <c r="M58" s="18">
        <v>2021</v>
      </c>
      <c r="N58" s="18" t="s">
        <v>70</v>
      </c>
      <c r="O58" s="18">
        <v>30</v>
      </c>
      <c r="P58" s="18" t="s">
        <v>23</v>
      </c>
      <c r="Q58" s="18">
        <v>0</v>
      </c>
      <c r="R58" s="18">
        <v>70</v>
      </c>
      <c r="S58" s="18">
        <v>0.35</v>
      </c>
      <c r="T58" s="36">
        <v>0.15</v>
      </c>
      <c r="U58" s="18">
        <v>0</v>
      </c>
    </row>
    <row r="59" spans="1:21" x14ac:dyDescent="0.2">
      <c r="A59" s="18" t="s">
        <v>301</v>
      </c>
      <c r="B59" s="18" t="s">
        <v>302</v>
      </c>
      <c r="C59" s="18" t="s">
        <v>262</v>
      </c>
      <c r="D59" s="18" t="s">
        <v>303</v>
      </c>
      <c r="E59" s="18" t="s">
        <v>304</v>
      </c>
      <c r="F59" s="18" t="s">
        <v>305</v>
      </c>
      <c r="G59" s="18" t="s">
        <v>263</v>
      </c>
      <c r="H59" s="18" t="s">
        <v>22</v>
      </c>
      <c r="I59" s="18" t="s">
        <v>43</v>
      </c>
      <c r="J59" s="18" t="s">
        <v>242</v>
      </c>
      <c r="K59" s="18">
        <v>0.5</v>
      </c>
      <c r="L59" s="18" t="s">
        <v>43</v>
      </c>
      <c r="M59" s="18">
        <v>2021</v>
      </c>
      <c r="N59" s="18" t="s">
        <v>70</v>
      </c>
      <c r="O59" s="18">
        <v>50</v>
      </c>
      <c r="P59" s="18" t="s">
        <v>25</v>
      </c>
      <c r="Q59" s="18">
        <v>10</v>
      </c>
      <c r="R59" s="18">
        <v>40</v>
      </c>
      <c r="S59" s="18">
        <v>0.2</v>
      </c>
      <c r="T59" s="36">
        <v>0.25</v>
      </c>
      <c r="U59" s="18">
        <v>0.05</v>
      </c>
    </row>
    <row r="60" spans="1:21" x14ac:dyDescent="0.2">
      <c r="A60" s="18" t="s">
        <v>241</v>
      </c>
      <c r="B60" s="18" t="s">
        <v>242</v>
      </c>
      <c r="C60" s="18" t="s">
        <v>262</v>
      </c>
      <c r="D60" s="18" t="s">
        <v>306</v>
      </c>
      <c r="E60" s="18" t="s">
        <v>307</v>
      </c>
      <c r="F60" s="18" t="s">
        <v>308</v>
      </c>
      <c r="G60" s="18" t="s">
        <v>263</v>
      </c>
      <c r="H60" s="18" t="s">
        <v>22</v>
      </c>
      <c r="I60" s="18" t="s">
        <v>43</v>
      </c>
      <c r="J60" s="18" t="s">
        <v>242</v>
      </c>
      <c r="K60" s="18">
        <v>0.5</v>
      </c>
      <c r="L60" s="18" t="s">
        <v>43</v>
      </c>
      <c r="M60" s="18">
        <v>2021</v>
      </c>
      <c r="N60" s="18" t="s">
        <v>70</v>
      </c>
      <c r="O60" s="18">
        <v>50</v>
      </c>
      <c r="P60" s="18" t="s">
        <v>25</v>
      </c>
      <c r="Q60" s="18">
        <v>10</v>
      </c>
      <c r="R60" s="18">
        <v>40</v>
      </c>
      <c r="S60" s="18">
        <v>0.2</v>
      </c>
      <c r="T60" s="36">
        <v>0.25</v>
      </c>
      <c r="U60" s="18">
        <v>0.05</v>
      </c>
    </row>
    <row r="61" spans="1:21" x14ac:dyDescent="0.2">
      <c r="A61" s="18" t="s">
        <v>71</v>
      </c>
      <c r="B61" s="18" t="s">
        <v>72</v>
      </c>
      <c r="C61" s="18" t="s">
        <v>32</v>
      </c>
      <c r="D61" s="18" t="s">
        <v>309</v>
      </c>
      <c r="E61" s="18" t="s">
        <v>310</v>
      </c>
      <c r="F61" s="18" t="s">
        <v>311</v>
      </c>
      <c r="G61" s="18" t="s">
        <v>90</v>
      </c>
      <c r="H61" s="18" t="s">
        <v>24</v>
      </c>
      <c r="I61" s="18" t="s">
        <v>71</v>
      </c>
      <c r="J61" s="18" t="s">
        <v>72</v>
      </c>
      <c r="K61" s="18">
        <v>1</v>
      </c>
      <c r="L61" s="18" t="s">
        <v>82</v>
      </c>
      <c r="M61" s="18">
        <v>2021</v>
      </c>
      <c r="N61" s="18" t="s">
        <v>70</v>
      </c>
      <c r="O61" s="18">
        <v>10</v>
      </c>
      <c r="P61" s="18" t="s">
        <v>23</v>
      </c>
      <c r="Q61" s="18">
        <v>0</v>
      </c>
      <c r="R61" s="18">
        <v>90</v>
      </c>
      <c r="S61" s="18">
        <v>0.9</v>
      </c>
      <c r="T61" s="36">
        <v>0.1</v>
      </c>
      <c r="U61" s="18">
        <v>0</v>
      </c>
    </row>
    <row r="62" spans="1:21" x14ac:dyDescent="0.2">
      <c r="A62" s="18" t="s">
        <v>71</v>
      </c>
      <c r="B62" s="18" t="s">
        <v>72</v>
      </c>
      <c r="C62" s="18" t="s">
        <v>32</v>
      </c>
      <c r="D62" s="18" t="s">
        <v>312</v>
      </c>
      <c r="E62" s="18" t="s">
        <v>313</v>
      </c>
      <c r="F62" s="18" t="s">
        <v>314</v>
      </c>
      <c r="G62" s="18" t="s">
        <v>85</v>
      </c>
      <c r="H62" s="18" t="s">
        <v>24</v>
      </c>
      <c r="I62" s="18" t="s">
        <v>54</v>
      </c>
      <c r="J62" s="18" t="s">
        <v>55</v>
      </c>
      <c r="K62" s="18">
        <v>1</v>
      </c>
      <c r="L62" s="18" t="s">
        <v>56</v>
      </c>
      <c r="M62" s="18">
        <v>2021</v>
      </c>
      <c r="N62" s="18" t="s">
        <v>70</v>
      </c>
      <c r="O62" s="18">
        <v>80</v>
      </c>
      <c r="P62" s="18" t="s">
        <v>23</v>
      </c>
      <c r="Q62" s="18">
        <v>0</v>
      </c>
      <c r="R62" s="18">
        <v>20</v>
      </c>
      <c r="S62" s="18">
        <v>0.2</v>
      </c>
      <c r="T62" s="36">
        <v>0.8</v>
      </c>
      <c r="U62" s="18">
        <v>0</v>
      </c>
    </row>
    <row r="63" spans="1:21" x14ac:dyDescent="0.2">
      <c r="A63" s="18" t="s">
        <v>164</v>
      </c>
      <c r="B63" s="18" t="s">
        <v>165</v>
      </c>
      <c r="C63" s="18" t="s">
        <v>166</v>
      </c>
      <c r="D63" s="18" t="s">
        <v>315</v>
      </c>
      <c r="E63" s="18" t="s">
        <v>316</v>
      </c>
      <c r="F63" s="18" t="s">
        <v>317</v>
      </c>
      <c r="G63" s="18" t="s">
        <v>318</v>
      </c>
      <c r="H63" s="18" t="s">
        <v>22</v>
      </c>
      <c r="I63" s="18" t="s">
        <v>45</v>
      </c>
      <c r="J63" s="18" t="s">
        <v>46</v>
      </c>
      <c r="K63" s="18">
        <v>0.5</v>
      </c>
      <c r="L63" s="18" t="s">
        <v>155</v>
      </c>
      <c r="M63" s="18">
        <v>2021</v>
      </c>
      <c r="N63" s="18" t="s">
        <v>70</v>
      </c>
      <c r="O63" s="18">
        <v>10</v>
      </c>
      <c r="P63" s="18" t="s">
        <v>23</v>
      </c>
      <c r="Q63" s="18">
        <v>0</v>
      </c>
      <c r="R63" s="18">
        <v>90</v>
      </c>
      <c r="S63" s="18">
        <v>0.45</v>
      </c>
      <c r="T63" s="36">
        <v>0.05</v>
      </c>
      <c r="U63" s="18">
        <v>0</v>
      </c>
    </row>
    <row r="64" spans="1:21" x14ac:dyDescent="0.2">
      <c r="A64" s="18" t="s">
        <v>57</v>
      </c>
      <c r="B64" s="18" t="s">
        <v>58</v>
      </c>
      <c r="C64" s="18" t="s">
        <v>59</v>
      </c>
      <c r="D64" s="18" t="s">
        <v>319</v>
      </c>
      <c r="E64" s="18" t="s">
        <v>320</v>
      </c>
      <c r="F64" s="18" t="s">
        <v>321</v>
      </c>
      <c r="G64" s="18" t="s">
        <v>91</v>
      </c>
      <c r="H64" s="18" t="s">
        <v>24</v>
      </c>
      <c r="I64" s="18" t="s">
        <v>78</v>
      </c>
      <c r="J64" s="18" t="s">
        <v>79</v>
      </c>
      <c r="K64" s="18">
        <v>1</v>
      </c>
      <c r="L64" s="18" t="s">
        <v>80</v>
      </c>
      <c r="M64" s="18">
        <v>2021</v>
      </c>
      <c r="N64" s="18" t="s">
        <v>70</v>
      </c>
      <c r="O64" s="18">
        <v>30</v>
      </c>
      <c r="P64" s="18" t="s">
        <v>160</v>
      </c>
      <c r="Q64" s="18">
        <v>30</v>
      </c>
      <c r="R64" s="18">
        <v>40</v>
      </c>
      <c r="S64" s="18">
        <v>0.4</v>
      </c>
      <c r="T64" s="36">
        <v>0.3</v>
      </c>
      <c r="U64" s="18">
        <v>0.3</v>
      </c>
    </row>
    <row r="65" spans="1:22" x14ac:dyDescent="0.2">
      <c r="A65" s="18" t="s">
        <v>57</v>
      </c>
      <c r="B65" s="18" t="s">
        <v>58</v>
      </c>
      <c r="C65" s="18" t="s">
        <v>59</v>
      </c>
      <c r="D65" s="18" t="s">
        <v>322</v>
      </c>
      <c r="E65" s="18" t="s">
        <v>323</v>
      </c>
      <c r="F65" s="18" t="s">
        <v>324</v>
      </c>
      <c r="G65" s="18" t="s">
        <v>240</v>
      </c>
      <c r="H65" s="18" t="s">
        <v>24</v>
      </c>
      <c r="I65" s="18" t="s">
        <v>43</v>
      </c>
      <c r="J65" s="18" t="s">
        <v>242</v>
      </c>
      <c r="K65" s="18">
        <v>1</v>
      </c>
      <c r="L65" s="18" t="s">
        <v>43</v>
      </c>
      <c r="M65" s="18">
        <v>2021</v>
      </c>
      <c r="N65" s="18" t="s">
        <v>70</v>
      </c>
      <c r="O65" s="18">
        <v>80</v>
      </c>
      <c r="P65" s="18" t="s">
        <v>23</v>
      </c>
      <c r="Q65" s="18">
        <v>0</v>
      </c>
      <c r="R65" s="18">
        <v>20</v>
      </c>
      <c r="S65" s="18">
        <v>0.2</v>
      </c>
      <c r="T65" s="36">
        <v>0.8</v>
      </c>
      <c r="U65" s="18">
        <v>0</v>
      </c>
    </row>
    <row r="66" spans="1:22" x14ac:dyDescent="0.2">
      <c r="A66" s="18" t="s">
        <v>57</v>
      </c>
      <c r="B66" s="18" t="s">
        <v>58</v>
      </c>
      <c r="C66" s="18" t="s">
        <v>59</v>
      </c>
      <c r="D66" s="18" t="s">
        <v>325</v>
      </c>
      <c r="E66" s="18" t="s">
        <v>326</v>
      </c>
      <c r="F66" s="18" t="s">
        <v>327</v>
      </c>
      <c r="G66" s="18" t="s">
        <v>328</v>
      </c>
      <c r="H66" s="18" t="s">
        <v>24</v>
      </c>
      <c r="I66" s="18" t="s">
        <v>78</v>
      </c>
      <c r="J66" s="18" t="s">
        <v>79</v>
      </c>
      <c r="K66" s="18">
        <v>1</v>
      </c>
      <c r="L66" s="18" t="s">
        <v>80</v>
      </c>
      <c r="M66" s="18">
        <v>2021</v>
      </c>
      <c r="N66" s="18" t="s">
        <v>70</v>
      </c>
      <c r="O66" s="18">
        <v>30</v>
      </c>
      <c r="P66" s="18" t="s">
        <v>23</v>
      </c>
      <c r="Q66" s="18">
        <v>0</v>
      </c>
      <c r="R66" s="18">
        <v>70</v>
      </c>
      <c r="S66" s="18">
        <v>0.7</v>
      </c>
      <c r="T66" s="36">
        <v>0.3</v>
      </c>
      <c r="U66" s="18">
        <v>0</v>
      </c>
    </row>
    <row r="67" spans="1:22" x14ac:dyDescent="0.2">
      <c r="A67" s="18" t="s">
        <v>36</v>
      </c>
      <c r="B67" s="18" t="s">
        <v>37</v>
      </c>
      <c r="C67" s="18" t="s">
        <v>38</v>
      </c>
      <c r="D67" s="18" t="s">
        <v>367</v>
      </c>
      <c r="E67" s="18" t="s">
        <v>368</v>
      </c>
      <c r="F67" s="18" t="s">
        <v>369</v>
      </c>
      <c r="G67" s="18" t="s">
        <v>370</v>
      </c>
      <c r="H67" s="18" t="s">
        <v>22</v>
      </c>
      <c r="I67" s="18" t="s">
        <v>34</v>
      </c>
      <c r="J67" s="18" t="s">
        <v>35</v>
      </c>
      <c r="K67" s="18">
        <v>0.5</v>
      </c>
      <c r="L67" s="18" t="s">
        <v>39</v>
      </c>
      <c r="M67" s="18">
        <v>2021</v>
      </c>
      <c r="N67" s="18" t="s">
        <v>70</v>
      </c>
      <c r="O67" s="18">
        <v>30</v>
      </c>
      <c r="P67" s="18" t="s">
        <v>23</v>
      </c>
      <c r="Q67" s="18">
        <v>0</v>
      </c>
      <c r="R67" s="18">
        <v>70</v>
      </c>
      <c r="S67" s="18">
        <v>0.35</v>
      </c>
      <c r="T67" s="36">
        <v>0.15</v>
      </c>
      <c r="U67" s="18">
        <v>0</v>
      </c>
    </row>
    <row r="68" spans="1:22" x14ac:dyDescent="0.2">
      <c r="A68" s="18" t="s">
        <v>48</v>
      </c>
      <c r="B68" s="18" t="s">
        <v>49</v>
      </c>
      <c r="C68" s="18" t="s">
        <v>50</v>
      </c>
      <c r="D68" s="18" t="s">
        <v>329</v>
      </c>
      <c r="E68" s="18" t="s">
        <v>330</v>
      </c>
      <c r="F68" s="18" t="s">
        <v>331</v>
      </c>
      <c r="G68" s="18" t="s">
        <v>332</v>
      </c>
      <c r="H68" s="18" t="s">
        <v>24</v>
      </c>
      <c r="I68" s="18" t="s">
        <v>61</v>
      </c>
      <c r="J68" s="18" t="s">
        <v>62</v>
      </c>
      <c r="K68" s="18">
        <v>1</v>
      </c>
      <c r="L68" s="18" t="s">
        <v>63</v>
      </c>
      <c r="M68" s="18">
        <v>2021</v>
      </c>
      <c r="N68" s="18" t="s">
        <v>70</v>
      </c>
      <c r="O68" s="18">
        <v>30</v>
      </c>
      <c r="P68" s="18" t="s">
        <v>23</v>
      </c>
      <c r="Q68" s="18">
        <v>0</v>
      </c>
      <c r="R68" s="18">
        <v>70</v>
      </c>
      <c r="S68" s="18">
        <v>0.7</v>
      </c>
      <c r="T68" s="36">
        <v>0.3</v>
      </c>
      <c r="U68" s="18">
        <v>0</v>
      </c>
    </row>
    <row r="69" spans="1:22" x14ac:dyDescent="0.2">
      <c r="A69" s="18" t="s">
        <v>26</v>
      </c>
      <c r="B69" s="18" t="s">
        <v>27</v>
      </c>
      <c r="C69" s="18" t="s">
        <v>28</v>
      </c>
      <c r="D69" s="18" t="s">
        <v>333</v>
      </c>
      <c r="E69" s="18" t="s">
        <v>334</v>
      </c>
      <c r="F69" s="18" t="s">
        <v>335</v>
      </c>
      <c r="G69" s="18" t="s">
        <v>249</v>
      </c>
      <c r="H69" s="18" t="s">
        <v>22</v>
      </c>
      <c r="I69" s="18" t="s">
        <v>74</v>
      </c>
      <c r="J69" s="18" t="s">
        <v>75</v>
      </c>
      <c r="K69" s="18">
        <v>0.5</v>
      </c>
      <c r="L69" s="18" t="s">
        <v>76</v>
      </c>
      <c r="M69" s="18">
        <v>2021</v>
      </c>
      <c r="N69" s="18" t="s">
        <v>70</v>
      </c>
      <c r="O69" s="18">
        <v>10</v>
      </c>
      <c r="P69" s="18" t="s">
        <v>29</v>
      </c>
      <c r="Q69" s="18">
        <v>10</v>
      </c>
      <c r="R69" s="18">
        <v>80</v>
      </c>
      <c r="S69" s="18">
        <v>0.4</v>
      </c>
      <c r="T69" s="36">
        <v>0.05</v>
      </c>
      <c r="U69" s="18">
        <v>0.05</v>
      </c>
    </row>
    <row r="70" spans="1:22" x14ac:dyDescent="0.2">
      <c r="A70" s="18" t="s">
        <v>250</v>
      </c>
      <c r="B70" s="18" t="s">
        <v>251</v>
      </c>
      <c r="C70" s="18" t="s">
        <v>252</v>
      </c>
      <c r="D70" s="18" t="s">
        <v>336</v>
      </c>
      <c r="E70" s="18" t="s">
        <v>337</v>
      </c>
      <c r="F70" s="18" t="s">
        <v>338</v>
      </c>
      <c r="G70" s="18" t="s">
        <v>91</v>
      </c>
      <c r="H70" s="18" t="s">
        <v>24</v>
      </c>
      <c r="I70" s="18" t="s">
        <v>78</v>
      </c>
      <c r="J70" s="18" t="s">
        <v>79</v>
      </c>
      <c r="K70" s="18">
        <v>1</v>
      </c>
      <c r="L70" s="18" t="s">
        <v>80</v>
      </c>
      <c r="M70" s="18">
        <v>2021</v>
      </c>
      <c r="N70" s="18" t="s">
        <v>70</v>
      </c>
      <c r="O70" s="18">
        <v>30</v>
      </c>
      <c r="P70" s="18" t="s">
        <v>160</v>
      </c>
      <c r="Q70" s="18">
        <v>30</v>
      </c>
      <c r="R70" s="18">
        <v>40</v>
      </c>
      <c r="S70" s="18">
        <v>0.4</v>
      </c>
      <c r="T70" s="36">
        <v>0.3</v>
      </c>
      <c r="U70" s="18">
        <v>0.3</v>
      </c>
    </row>
    <row r="71" spans="1:22" x14ac:dyDescent="0.2">
      <c r="A71" s="18" t="s">
        <v>250</v>
      </c>
      <c r="B71" s="18" t="s">
        <v>251</v>
      </c>
      <c r="C71" s="18" t="s">
        <v>252</v>
      </c>
      <c r="D71" s="18" t="s">
        <v>283</v>
      </c>
      <c r="E71" s="18" t="s">
        <v>284</v>
      </c>
      <c r="F71" s="18" t="s">
        <v>285</v>
      </c>
      <c r="G71" s="18" t="s">
        <v>339</v>
      </c>
      <c r="H71" s="18" t="s">
        <v>22</v>
      </c>
      <c r="I71" s="18" t="s">
        <v>43</v>
      </c>
      <c r="J71" s="18" t="s">
        <v>242</v>
      </c>
      <c r="K71" s="18">
        <v>0.5</v>
      </c>
      <c r="L71" s="18" t="s">
        <v>43</v>
      </c>
      <c r="M71" s="18">
        <v>2021</v>
      </c>
      <c r="N71" s="18" t="s">
        <v>70</v>
      </c>
      <c r="O71" s="18">
        <v>80</v>
      </c>
      <c r="P71" s="18" t="s">
        <v>23</v>
      </c>
      <c r="Q71" s="18">
        <v>0</v>
      </c>
      <c r="R71" s="18">
        <v>20</v>
      </c>
      <c r="S71" s="18">
        <v>0.1</v>
      </c>
      <c r="T71" s="36">
        <v>0.4</v>
      </c>
      <c r="U71" s="18">
        <v>0</v>
      </c>
    </row>
    <row r="72" spans="1:22" x14ac:dyDescent="0.2">
      <c r="A72" s="18" t="s">
        <v>250</v>
      </c>
      <c r="B72" s="18" t="s">
        <v>251</v>
      </c>
      <c r="C72" s="18" t="s">
        <v>252</v>
      </c>
      <c r="D72" s="18" t="s">
        <v>286</v>
      </c>
      <c r="E72" s="18" t="s">
        <v>287</v>
      </c>
      <c r="F72" s="18" t="s">
        <v>288</v>
      </c>
      <c r="G72" s="18" t="s">
        <v>88</v>
      </c>
      <c r="H72" s="18" t="s">
        <v>22</v>
      </c>
      <c r="I72" s="18" t="s">
        <v>54</v>
      </c>
      <c r="J72" s="18" t="s">
        <v>55</v>
      </c>
      <c r="K72" s="18">
        <v>0.5</v>
      </c>
      <c r="L72" s="18" t="s">
        <v>56</v>
      </c>
      <c r="M72" s="18">
        <v>2021</v>
      </c>
      <c r="N72" s="18" t="s">
        <v>70</v>
      </c>
      <c r="O72" s="18">
        <v>80</v>
      </c>
      <c r="P72" s="18" t="s">
        <v>23</v>
      </c>
      <c r="Q72" s="18">
        <v>0</v>
      </c>
      <c r="R72" s="18">
        <v>20</v>
      </c>
      <c r="S72" s="18">
        <v>0.1</v>
      </c>
      <c r="T72" s="36">
        <v>0.4</v>
      </c>
      <c r="U72" s="18">
        <v>0</v>
      </c>
    </row>
    <row r="73" spans="1:22" s="51" customFormat="1" x14ac:dyDescent="0.2">
      <c r="A73" s="49" t="s">
        <v>241</v>
      </c>
      <c r="B73" s="49" t="s">
        <v>671</v>
      </c>
      <c r="C73" s="49" t="s">
        <v>262</v>
      </c>
      <c r="D73" s="49" t="s">
        <v>672</v>
      </c>
      <c r="E73" s="49" t="s">
        <v>673</v>
      </c>
      <c r="F73" s="49" t="s">
        <v>674</v>
      </c>
      <c r="G73" s="49" t="s">
        <v>263</v>
      </c>
      <c r="H73" s="49" t="s">
        <v>22</v>
      </c>
      <c r="I73" s="49" t="s">
        <v>241</v>
      </c>
      <c r="J73" s="49" t="s">
        <v>671</v>
      </c>
      <c r="K73" s="52">
        <v>0.5</v>
      </c>
      <c r="L73" s="52" t="s">
        <v>43</v>
      </c>
      <c r="M73" s="49">
        <v>2021</v>
      </c>
      <c r="N73" s="49" t="s">
        <v>70</v>
      </c>
      <c r="O73" s="53">
        <v>50</v>
      </c>
      <c r="P73" s="49" t="s">
        <v>25</v>
      </c>
      <c r="Q73" s="53">
        <v>10</v>
      </c>
      <c r="R73" s="49">
        <v>40</v>
      </c>
      <c r="S73" s="49">
        <v>0.2</v>
      </c>
      <c r="T73" s="49">
        <v>0.25</v>
      </c>
      <c r="U73" s="49">
        <v>0.05</v>
      </c>
    </row>
    <row r="74" spans="1:22" x14ac:dyDescent="0.2">
      <c r="A74" s="18" t="s">
        <v>71</v>
      </c>
      <c r="B74" s="18" t="s">
        <v>72</v>
      </c>
      <c r="C74" s="18" t="s">
        <v>32</v>
      </c>
      <c r="D74" s="18" t="s">
        <v>371</v>
      </c>
      <c r="E74" s="18" t="s">
        <v>372</v>
      </c>
      <c r="F74" s="18" t="s">
        <v>373</v>
      </c>
      <c r="G74" s="18" t="s">
        <v>85</v>
      </c>
      <c r="H74" s="18" t="s">
        <v>24</v>
      </c>
      <c r="I74" s="18" t="s">
        <v>54</v>
      </c>
      <c r="J74" s="18" t="s">
        <v>55</v>
      </c>
      <c r="K74" s="18">
        <v>1</v>
      </c>
      <c r="L74" s="18" t="s">
        <v>56</v>
      </c>
      <c r="M74" s="18">
        <v>2021</v>
      </c>
      <c r="N74" s="18" t="s">
        <v>70</v>
      </c>
      <c r="O74" s="18">
        <v>80</v>
      </c>
      <c r="P74" s="18" t="s">
        <v>23</v>
      </c>
      <c r="Q74" s="18">
        <v>0</v>
      </c>
      <c r="R74" s="18">
        <v>20</v>
      </c>
      <c r="S74" s="18">
        <v>0.2</v>
      </c>
      <c r="T74" s="36">
        <v>0.8</v>
      </c>
      <c r="U74" s="18">
        <v>0</v>
      </c>
    </row>
    <row r="75" spans="1:22" x14ac:dyDescent="0.2">
      <c r="A75" s="18" t="s">
        <v>71</v>
      </c>
      <c r="B75" s="18" t="s">
        <v>72</v>
      </c>
      <c r="C75" s="18" t="s">
        <v>32</v>
      </c>
      <c r="D75" s="18" t="s">
        <v>374</v>
      </c>
      <c r="E75" s="18" t="s">
        <v>375</v>
      </c>
      <c r="F75" s="18" t="s">
        <v>373</v>
      </c>
      <c r="G75" s="18" t="s">
        <v>90</v>
      </c>
      <c r="H75" s="18" t="s">
        <v>24</v>
      </c>
      <c r="I75" s="18" t="s">
        <v>71</v>
      </c>
      <c r="J75" s="18" t="s">
        <v>72</v>
      </c>
      <c r="K75" s="18">
        <v>1</v>
      </c>
      <c r="L75" s="18" t="s">
        <v>82</v>
      </c>
      <c r="M75" s="18">
        <v>2021</v>
      </c>
      <c r="N75" s="18" t="s">
        <v>70</v>
      </c>
      <c r="O75" s="18">
        <v>10</v>
      </c>
      <c r="P75" s="18" t="s">
        <v>23</v>
      </c>
      <c r="Q75" s="18">
        <v>0</v>
      </c>
      <c r="R75" s="18">
        <v>90</v>
      </c>
      <c r="S75" s="18">
        <v>0.9</v>
      </c>
      <c r="T75" s="36">
        <v>0.1</v>
      </c>
      <c r="U75" s="18">
        <v>0</v>
      </c>
    </row>
    <row r="76" spans="1:22" x14ac:dyDescent="0.2">
      <c r="A76" s="18" t="s">
        <v>250</v>
      </c>
      <c r="B76" s="18" t="s">
        <v>357</v>
      </c>
      <c r="C76" s="18" t="s">
        <v>252</v>
      </c>
      <c r="D76" s="18" t="s">
        <v>376</v>
      </c>
      <c r="E76" s="18" t="s">
        <v>377</v>
      </c>
      <c r="F76" s="18" t="s">
        <v>378</v>
      </c>
      <c r="G76" s="18" t="s">
        <v>240</v>
      </c>
      <c r="H76" s="18" t="s">
        <v>24</v>
      </c>
      <c r="I76" s="18" t="s">
        <v>43</v>
      </c>
      <c r="J76" s="18" t="s">
        <v>242</v>
      </c>
      <c r="K76" s="18">
        <v>1</v>
      </c>
      <c r="L76" s="18" t="s">
        <v>43</v>
      </c>
      <c r="M76" s="18">
        <v>2021</v>
      </c>
      <c r="N76" s="18" t="s">
        <v>70</v>
      </c>
      <c r="O76" s="18">
        <v>80</v>
      </c>
      <c r="P76" s="18" t="s">
        <v>23</v>
      </c>
      <c r="Q76" s="18">
        <v>0</v>
      </c>
      <c r="R76" s="18">
        <v>20</v>
      </c>
      <c r="S76" s="18">
        <v>0.2</v>
      </c>
      <c r="T76" s="36">
        <v>0.8</v>
      </c>
      <c r="U76" s="18">
        <v>0</v>
      </c>
      <c r="V76" s="22"/>
    </row>
    <row r="77" spans="1:22" x14ac:dyDescent="0.2">
      <c r="A77" s="18" t="s">
        <v>250</v>
      </c>
      <c r="B77" s="18" t="s">
        <v>357</v>
      </c>
      <c r="C77" s="18" t="s">
        <v>252</v>
      </c>
      <c r="D77" s="18" t="s">
        <v>361</v>
      </c>
      <c r="E77" s="18" t="s">
        <v>279</v>
      </c>
      <c r="F77" s="18" t="s">
        <v>362</v>
      </c>
      <c r="G77" s="18" t="s">
        <v>85</v>
      </c>
      <c r="H77" s="18" t="s">
        <v>22</v>
      </c>
      <c r="I77" s="18" t="s">
        <v>54</v>
      </c>
      <c r="J77" s="18" t="s">
        <v>55</v>
      </c>
      <c r="K77" s="18">
        <v>0.5</v>
      </c>
      <c r="L77" s="18" t="s">
        <v>56</v>
      </c>
      <c r="M77" s="18">
        <v>2021</v>
      </c>
      <c r="N77" s="18" t="s">
        <v>70</v>
      </c>
      <c r="O77" s="18">
        <v>80</v>
      </c>
      <c r="P77" s="18" t="s">
        <v>23</v>
      </c>
      <c r="Q77" s="18">
        <v>0</v>
      </c>
      <c r="R77" s="18">
        <v>20</v>
      </c>
      <c r="S77" s="18">
        <v>0.1</v>
      </c>
      <c r="T77" s="36">
        <v>0.4</v>
      </c>
      <c r="U77" s="18">
        <v>0</v>
      </c>
    </row>
    <row r="78" spans="1:22" x14ac:dyDescent="0.2">
      <c r="A78" s="18" t="s">
        <v>30</v>
      </c>
      <c r="B78" s="18" t="s">
        <v>31</v>
      </c>
      <c r="C78" s="18" t="s">
        <v>32</v>
      </c>
      <c r="D78" s="18" t="s">
        <v>582</v>
      </c>
      <c r="E78" s="18" t="s">
        <v>379</v>
      </c>
      <c r="F78" s="18" t="s">
        <v>380</v>
      </c>
      <c r="G78" s="18" t="s">
        <v>245</v>
      </c>
      <c r="H78" s="18" t="s">
        <v>22</v>
      </c>
      <c r="I78" s="18" t="s">
        <v>30</v>
      </c>
      <c r="J78" s="18" t="s">
        <v>31</v>
      </c>
      <c r="K78" s="18">
        <v>0.5</v>
      </c>
      <c r="L78" s="18" t="s">
        <v>73</v>
      </c>
      <c r="M78" s="18">
        <v>2022</v>
      </c>
      <c r="N78" s="18" t="s">
        <v>70</v>
      </c>
      <c r="O78" s="18">
        <v>50</v>
      </c>
      <c r="P78" s="18" t="s">
        <v>23</v>
      </c>
      <c r="Q78" s="18">
        <v>0</v>
      </c>
      <c r="R78" s="18">
        <v>50</v>
      </c>
      <c r="S78" s="18">
        <v>0.25</v>
      </c>
      <c r="T78" s="36">
        <v>0.25</v>
      </c>
      <c r="U78" s="18">
        <v>0</v>
      </c>
    </row>
    <row r="79" spans="1:22" x14ac:dyDescent="0.2">
      <c r="A79" s="18" t="s">
        <v>241</v>
      </c>
      <c r="B79" s="18" t="s">
        <v>242</v>
      </c>
      <c r="C79" s="18" t="s">
        <v>262</v>
      </c>
      <c r="D79" s="18" t="s">
        <v>592</v>
      </c>
      <c r="E79" s="18" t="s">
        <v>381</v>
      </c>
      <c r="F79" s="18" t="s">
        <v>382</v>
      </c>
      <c r="G79" s="18" t="s">
        <v>263</v>
      </c>
      <c r="H79" s="18" t="s">
        <v>22</v>
      </c>
      <c r="I79" s="18" t="s">
        <v>43</v>
      </c>
      <c r="J79" s="18" t="s">
        <v>242</v>
      </c>
      <c r="K79" s="18">
        <v>0.5</v>
      </c>
      <c r="L79" s="18" t="s">
        <v>43</v>
      </c>
      <c r="M79" s="18">
        <v>2022</v>
      </c>
      <c r="N79" s="18" t="s">
        <v>70</v>
      </c>
      <c r="O79" s="18">
        <v>50</v>
      </c>
      <c r="P79" s="18" t="s">
        <v>25</v>
      </c>
      <c r="Q79" s="18">
        <v>10</v>
      </c>
      <c r="R79" s="18">
        <v>40</v>
      </c>
      <c r="S79" s="18">
        <v>0.2</v>
      </c>
      <c r="T79" s="36">
        <v>0.25</v>
      </c>
      <c r="U79" s="18">
        <v>0.05</v>
      </c>
    </row>
    <row r="80" spans="1:22" x14ac:dyDescent="0.2">
      <c r="A80" s="18" t="s">
        <v>71</v>
      </c>
      <c r="B80" s="18" t="s">
        <v>72</v>
      </c>
      <c r="C80" s="18" t="s">
        <v>32</v>
      </c>
      <c r="D80" s="18" t="s">
        <v>593</v>
      </c>
      <c r="E80" s="18" t="s">
        <v>383</v>
      </c>
      <c r="F80" s="18" t="s">
        <v>384</v>
      </c>
      <c r="G80" s="18" t="s">
        <v>90</v>
      </c>
      <c r="H80" s="18" t="s">
        <v>24</v>
      </c>
      <c r="I80" s="18" t="s">
        <v>71</v>
      </c>
      <c r="J80" s="18" t="s">
        <v>72</v>
      </c>
      <c r="K80" s="18">
        <v>1</v>
      </c>
      <c r="L80" s="18" t="s">
        <v>82</v>
      </c>
      <c r="M80" s="18">
        <v>2022</v>
      </c>
      <c r="N80" s="18" t="s">
        <v>70</v>
      </c>
      <c r="O80" s="18">
        <v>10</v>
      </c>
      <c r="P80" s="18" t="s">
        <v>23</v>
      </c>
      <c r="Q80" s="18">
        <v>0</v>
      </c>
      <c r="R80" s="18">
        <v>90</v>
      </c>
      <c r="S80" s="18">
        <v>0.9</v>
      </c>
      <c r="T80" s="36">
        <v>0.1</v>
      </c>
      <c r="U80" s="18">
        <v>0</v>
      </c>
    </row>
    <row r="81" spans="1:21" x14ac:dyDescent="0.2">
      <c r="A81" s="18" t="s">
        <v>71</v>
      </c>
      <c r="B81" s="18" t="s">
        <v>72</v>
      </c>
      <c r="C81" s="18" t="s">
        <v>32</v>
      </c>
      <c r="D81" s="18" t="s">
        <v>594</v>
      </c>
      <c r="E81" s="18" t="s">
        <v>385</v>
      </c>
      <c r="F81" s="18" t="s">
        <v>386</v>
      </c>
      <c r="G81" s="18" t="s">
        <v>387</v>
      </c>
      <c r="H81" s="18" t="s">
        <v>22</v>
      </c>
      <c r="I81" s="18" t="s">
        <v>45</v>
      </c>
      <c r="J81" s="18" t="s">
        <v>46</v>
      </c>
      <c r="K81" s="18">
        <v>0.5</v>
      </c>
      <c r="L81" s="18" t="s">
        <v>155</v>
      </c>
      <c r="M81" s="18">
        <v>2022</v>
      </c>
      <c r="N81" s="18" t="s">
        <v>70</v>
      </c>
      <c r="O81" s="18">
        <v>10</v>
      </c>
      <c r="P81" s="18" t="s">
        <v>23</v>
      </c>
      <c r="Q81" s="18">
        <v>0</v>
      </c>
      <c r="R81" s="18">
        <v>90</v>
      </c>
      <c r="S81" s="18">
        <v>0.45</v>
      </c>
      <c r="T81" s="36">
        <v>0.05</v>
      </c>
      <c r="U81" s="18">
        <v>0</v>
      </c>
    </row>
    <row r="82" spans="1:21" x14ac:dyDescent="0.2">
      <c r="A82" s="18" t="s">
        <v>71</v>
      </c>
      <c r="B82" s="18" t="s">
        <v>72</v>
      </c>
      <c r="C82" s="18" t="s">
        <v>32</v>
      </c>
      <c r="D82" s="18" t="s">
        <v>595</v>
      </c>
      <c r="E82" s="18" t="s">
        <v>388</v>
      </c>
      <c r="F82" s="18" t="s">
        <v>389</v>
      </c>
      <c r="G82" s="18" t="s">
        <v>181</v>
      </c>
      <c r="H82" s="18" t="s">
        <v>24</v>
      </c>
      <c r="I82" s="18" t="s">
        <v>30</v>
      </c>
      <c r="J82" s="18" t="s">
        <v>31</v>
      </c>
      <c r="K82" s="18">
        <v>1</v>
      </c>
      <c r="L82" s="18" t="s">
        <v>73</v>
      </c>
      <c r="M82" s="18">
        <v>2022</v>
      </c>
      <c r="N82" s="18" t="s">
        <v>70</v>
      </c>
      <c r="O82" s="18">
        <v>30</v>
      </c>
      <c r="P82" s="18" t="s">
        <v>64</v>
      </c>
      <c r="Q82" s="18">
        <v>20</v>
      </c>
      <c r="R82" s="18">
        <v>50</v>
      </c>
      <c r="S82" s="18">
        <v>0.5</v>
      </c>
      <c r="T82" s="36">
        <v>0.3</v>
      </c>
      <c r="U82" s="18">
        <v>0.2</v>
      </c>
    </row>
    <row r="83" spans="1:21" x14ac:dyDescent="0.2">
      <c r="A83" s="18" t="s">
        <v>57</v>
      </c>
      <c r="B83" s="18" t="s">
        <v>58</v>
      </c>
      <c r="C83" s="18" t="s">
        <v>233</v>
      </c>
      <c r="D83" s="18" t="s">
        <v>596</v>
      </c>
      <c r="E83" s="18" t="s">
        <v>390</v>
      </c>
      <c r="F83" s="18" t="s">
        <v>391</v>
      </c>
      <c r="G83" s="18" t="s">
        <v>84</v>
      </c>
      <c r="H83" s="18" t="s">
        <v>22</v>
      </c>
      <c r="I83" s="18" t="s">
        <v>30</v>
      </c>
      <c r="J83" s="18" t="s">
        <v>31</v>
      </c>
      <c r="K83" s="18">
        <v>0.5</v>
      </c>
      <c r="L83" s="18" t="s">
        <v>73</v>
      </c>
      <c r="M83" s="18">
        <v>2022</v>
      </c>
      <c r="N83" s="18" t="s">
        <v>70</v>
      </c>
      <c r="O83" s="18">
        <v>30</v>
      </c>
      <c r="P83" s="18" t="s">
        <v>23</v>
      </c>
      <c r="Q83" s="18">
        <v>0</v>
      </c>
      <c r="R83" s="18">
        <v>70</v>
      </c>
      <c r="S83" s="18">
        <v>0.35</v>
      </c>
      <c r="T83" s="36">
        <v>0.15</v>
      </c>
      <c r="U83" s="18">
        <v>0</v>
      </c>
    </row>
    <row r="84" spans="1:21" x14ac:dyDescent="0.2">
      <c r="A84" s="18" t="s">
        <v>36</v>
      </c>
      <c r="B84" s="18" t="s">
        <v>37</v>
      </c>
      <c r="C84" s="18" t="s">
        <v>38</v>
      </c>
      <c r="D84" s="18" t="s">
        <v>597</v>
      </c>
      <c r="E84" s="18" t="s">
        <v>392</v>
      </c>
      <c r="F84" s="18" t="s">
        <v>393</v>
      </c>
      <c r="G84" s="18" t="s">
        <v>394</v>
      </c>
      <c r="H84" s="18" t="s">
        <v>22</v>
      </c>
      <c r="I84" s="18" t="s">
        <v>34</v>
      </c>
      <c r="J84" s="18" t="s">
        <v>35</v>
      </c>
      <c r="K84" s="18">
        <v>0.5</v>
      </c>
      <c r="L84" s="18" t="s">
        <v>39</v>
      </c>
      <c r="M84" s="18">
        <v>2022</v>
      </c>
      <c r="N84" s="18" t="s">
        <v>70</v>
      </c>
      <c r="O84" s="18">
        <v>70</v>
      </c>
      <c r="P84" s="18" t="s">
        <v>23</v>
      </c>
      <c r="Q84" s="18">
        <v>0</v>
      </c>
      <c r="R84" s="18">
        <v>30</v>
      </c>
      <c r="S84" s="18">
        <v>0.15</v>
      </c>
      <c r="T84" s="36">
        <v>0.35</v>
      </c>
      <c r="U84" s="18">
        <v>0</v>
      </c>
    </row>
    <row r="85" spans="1:21" x14ac:dyDescent="0.2">
      <c r="A85" s="18" t="s">
        <v>48</v>
      </c>
      <c r="B85" s="18" t="s">
        <v>49</v>
      </c>
      <c r="C85" s="18" t="s">
        <v>50</v>
      </c>
      <c r="D85" s="18" t="s">
        <v>598</v>
      </c>
      <c r="E85" s="18" t="s">
        <v>395</v>
      </c>
      <c r="F85" s="18" t="s">
        <v>396</v>
      </c>
      <c r="G85" s="18" t="s">
        <v>91</v>
      </c>
      <c r="H85" s="18" t="s">
        <v>22</v>
      </c>
      <c r="I85" s="18" t="s">
        <v>78</v>
      </c>
      <c r="J85" s="18" t="s">
        <v>79</v>
      </c>
      <c r="K85" s="18">
        <v>0.5</v>
      </c>
      <c r="L85" s="18" t="s">
        <v>80</v>
      </c>
      <c r="M85" s="18">
        <v>2022</v>
      </c>
      <c r="N85" s="18" t="s">
        <v>70</v>
      </c>
      <c r="O85" s="18">
        <v>30</v>
      </c>
      <c r="P85" s="18" t="s">
        <v>160</v>
      </c>
      <c r="Q85" s="18">
        <v>30</v>
      </c>
      <c r="R85" s="18">
        <v>40</v>
      </c>
      <c r="S85" s="18">
        <v>0.2</v>
      </c>
      <c r="T85" s="36">
        <v>0.15</v>
      </c>
      <c r="U85" s="18">
        <v>0.15</v>
      </c>
    </row>
    <row r="86" spans="1:21" x14ac:dyDescent="0.2">
      <c r="A86" s="18" t="s">
        <v>48</v>
      </c>
      <c r="B86" s="18" t="s">
        <v>49</v>
      </c>
      <c r="C86" s="18" t="s">
        <v>50</v>
      </c>
      <c r="D86" s="18" t="s">
        <v>599</v>
      </c>
      <c r="E86" s="18" t="s">
        <v>397</v>
      </c>
      <c r="F86" s="18" t="s">
        <v>398</v>
      </c>
      <c r="G86" s="18" t="s">
        <v>89</v>
      </c>
      <c r="H86" s="18" t="s">
        <v>24</v>
      </c>
      <c r="I86" s="18" t="s">
        <v>61</v>
      </c>
      <c r="J86" s="18" t="s">
        <v>62</v>
      </c>
      <c r="K86" s="18">
        <v>1</v>
      </c>
      <c r="L86" s="18" t="s">
        <v>63</v>
      </c>
      <c r="M86" s="18">
        <v>2022</v>
      </c>
      <c r="N86" s="18" t="s">
        <v>70</v>
      </c>
      <c r="O86" s="18">
        <v>30</v>
      </c>
      <c r="P86" s="18" t="s">
        <v>23</v>
      </c>
      <c r="Q86" s="18">
        <v>0</v>
      </c>
      <c r="R86" s="18">
        <v>70</v>
      </c>
      <c r="S86" s="18">
        <v>0.7</v>
      </c>
      <c r="T86" s="36">
        <v>0.3</v>
      </c>
      <c r="U86" s="18">
        <v>0</v>
      </c>
    </row>
    <row r="87" spans="1:21" x14ac:dyDescent="0.2">
      <c r="A87" s="18" t="s">
        <v>399</v>
      </c>
      <c r="B87" s="18" t="s">
        <v>400</v>
      </c>
      <c r="C87" s="18" t="s">
        <v>401</v>
      </c>
      <c r="D87" s="18" t="s">
        <v>600</v>
      </c>
      <c r="E87" s="18" t="s">
        <v>402</v>
      </c>
      <c r="F87" s="18" t="s">
        <v>403</v>
      </c>
      <c r="G87" s="18" t="s">
        <v>91</v>
      </c>
      <c r="H87" s="18" t="s">
        <v>22</v>
      </c>
      <c r="I87" s="18" t="s">
        <v>78</v>
      </c>
      <c r="J87" s="18" t="s">
        <v>79</v>
      </c>
      <c r="K87" s="18">
        <v>0.5</v>
      </c>
      <c r="L87" s="18" t="s">
        <v>80</v>
      </c>
      <c r="M87" s="18">
        <v>2022</v>
      </c>
      <c r="N87" s="18" t="s">
        <v>70</v>
      </c>
      <c r="O87" s="18">
        <v>30</v>
      </c>
      <c r="P87" s="18" t="s">
        <v>160</v>
      </c>
      <c r="Q87" s="18">
        <v>30</v>
      </c>
      <c r="R87" s="18">
        <v>40</v>
      </c>
      <c r="S87" s="18">
        <v>0.2</v>
      </c>
      <c r="T87" s="36">
        <v>0.15</v>
      </c>
      <c r="U87" s="18">
        <v>0.15</v>
      </c>
    </row>
    <row r="88" spans="1:21" x14ac:dyDescent="0.2">
      <c r="A88" s="18" t="s">
        <v>250</v>
      </c>
      <c r="B88" s="18" t="s">
        <v>357</v>
      </c>
      <c r="C88" s="18" t="s">
        <v>252</v>
      </c>
      <c r="D88" s="18" t="s">
        <v>601</v>
      </c>
      <c r="E88" s="18" t="s">
        <v>404</v>
      </c>
      <c r="F88" s="18" t="s">
        <v>405</v>
      </c>
      <c r="G88" s="18" t="s">
        <v>84</v>
      </c>
      <c r="H88" s="18" t="s">
        <v>24</v>
      </c>
      <c r="I88" s="18" t="s">
        <v>30</v>
      </c>
      <c r="J88" s="18" t="s">
        <v>31</v>
      </c>
      <c r="K88" s="18">
        <v>1</v>
      </c>
      <c r="L88" s="18" t="s">
        <v>73</v>
      </c>
      <c r="M88" s="18">
        <v>2022</v>
      </c>
      <c r="N88" s="18" t="s">
        <v>70</v>
      </c>
      <c r="O88" s="18">
        <v>30</v>
      </c>
      <c r="P88" s="18" t="s">
        <v>23</v>
      </c>
      <c r="Q88" s="18">
        <v>0</v>
      </c>
      <c r="R88" s="18">
        <v>70</v>
      </c>
      <c r="S88" s="18">
        <v>0.7</v>
      </c>
      <c r="T88" s="36">
        <v>0.3</v>
      </c>
      <c r="U88" s="18">
        <v>0</v>
      </c>
    </row>
    <row r="89" spans="1:21" x14ac:dyDescent="0.2">
      <c r="A89" s="18" t="s">
        <v>250</v>
      </c>
      <c r="B89" s="18" t="s">
        <v>357</v>
      </c>
      <c r="C89" s="18" t="s">
        <v>252</v>
      </c>
      <c r="D89" s="18" t="s">
        <v>602</v>
      </c>
      <c r="E89" s="18" t="s">
        <v>406</v>
      </c>
      <c r="F89" s="18" t="s">
        <v>407</v>
      </c>
      <c r="G89" s="18" t="s">
        <v>91</v>
      </c>
      <c r="H89" s="18" t="s">
        <v>24</v>
      </c>
      <c r="I89" s="18" t="s">
        <v>78</v>
      </c>
      <c r="J89" s="18" t="s">
        <v>79</v>
      </c>
      <c r="K89" s="18">
        <v>1</v>
      </c>
      <c r="L89" s="18" t="s">
        <v>80</v>
      </c>
      <c r="M89" s="18">
        <v>2022</v>
      </c>
      <c r="N89" s="18" t="s">
        <v>70</v>
      </c>
      <c r="O89" s="18">
        <v>30</v>
      </c>
      <c r="P89" s="18" t="s">
        <v>160</v>
      </c>
      <c r="Q89" s="18">
        <v>30</v>
      </c>
      <c r="R89" s="18">
        <v>40</v>
      </c>
      <c r="S89" s="18">
        <v>0.4</v>
      </c>
      <c r="T89" s="36">
        <v>0.3</v>
      </c>
      <c r="U89" s="18">
        <v>0.3</v>
      </c>
    </row>
    <row r="90" spans="1:21" x14ac:dyDescent="0.2">
      <c r="A90" s="18" t="s">
        <v>250</v>
      </c>
      <c r="B90" s="18" t="s">
        <v>357</v>
      </c>
      <c r="C90" s="18" t="s">
        <v>252</v>
      </c>
      <c r="D90" s="18" t="s">
        <v>603</v>
      </c>
      <c r="E90" s="18" t="s">
        <v>406</v>
      </c>
      <c r="F90" s="18" t="s">
        <v>408</v>
      </c>
      <c r="G90" s="18" t="s">
        <v>249</v>
      </c>
      <c r="H90" s="18" t="s">
        <v>22</v>
      </c>
      <c r="I90" s="18" t="s">
        <v>74</v>
      </c>
      <c r="J90" s="18" t="s">
        <v>75</v>
      </c>
      <c r="K90" s="18">
        <v>0.5</v>
      </c>
      <c r="L90" s="18" t="s">
        <v>76</v>
      </c>
      <c r="M90" s="18">
        <v>2022</v>
      </c>
      <c r="N90" s="18" t="s">
        <v>70</v>
      </c>
      <c r="O90" s="18">
        <v>10</v>
      </c>
      <c r="P90" s="18" t="s">
        <v>29</v>
      </c>
      <c r="Q90" s="18">
        <v>10</v>
      </c>
      <c r="R90" s="18">
        <v>80</v>
      </c>
      <c r="S90" s="18">
        <v>0.4</v>
      </c>
      <c r="T90" s="36">
        <v>0.05</v>
      </c>
      <c r="U90" s="18">
        <v>0.05</v>
      </c>
    </row>
    <row r="91" spans="1:21" x14ac:dyDescent="0.2">
      <c r="A91" s="18" t="s">
        <v>250</v>
      </c>
      <c r="B91" s="18" t="s">
        <v>357</v>
      </c>
      <c r="C91" s="18" t="s">
        <v>252</v>
      </c>
      <c r="D91" s="18" t="s">
        <v>604</v>
      </c>
      <c r="E91" s="18" t="s">
        <v>409</v>
      </c>
      <c r="F91" s="18" t="s">
        <v>410</v>
      </c>
      <c r="G91" s="18" t="s">
        <v>85</v>
      </c>
      <c r="H91" s="18" t="s">
        <v>24</v>
      </c>
      <c r="I91" s="18" t="s">
        <v>54</v>
      </c>
      <c r="J91" s="18" t="s">
        <v>55</v>
      </c>
      <c r="K91" s="18">
        <v>1</v>
      </c>
      <c r="L91" s="18" t="s">
        <v>56</v>
      </c>
      <c r="M91" s="18">
        <v>2022</v>
      </c>
      <c r="N91" s="18" t="s">
        <v>70</v>
      </c>
      <c r="O91" s="18">
        <v>80</v>
      </c>
      <c r="P91" s="18" t="s">
        <v>23</v>
      </c>
      <c r="Q91" s="18">
        <v>0</v>
      </c>
      <c r="R91" s="18">
        <v>20</v>
      </c>
      <c r="S91" s="18">
        <v>0.2</v>
      </c>
      <c r="T91" s="36">
        <v>0.8</v>
      </c>
      <c r="U91" s="18">
        <v>0</v>
      </c>
    </row>
    <row r="92" spans="1:21" x14ac:dyDescent="0.2">
      <c r="A92" s="18" t="s">
        <v>41</v>
      </c>
      <c r="B92" s="18" t="s">
        <v>42</v>
      </c>
      <c r="C92" s="18" t="s">
        <v>50</v>
      </c>
      <c r="D92" s="18" t="s">
        <v>605</v>
      </c>
      <c r="E92" s="18" t="s">
        <v>411</v>
      </c>
      <c r="F92" s="18" t="s">
        <v>382</v>
      </c>
      <c r="G92" s="18" t="s">
        <v>89</v>
      </c>
      <c r="H92" s="18" t="s">
        <v>22</v>
      </c>
      <c r="I92" s="18" t="s">
        <v>61</v>
      </c>
      <c r="J92" s="18" t="s">
        <v>62</v>
      </c>
      <c r="K92" s="18">
        <v>0.5</v>
      </c>
      <c r="L92" s="18" t="s">
        <v>63</v>
      </c>
      <c r="M92" s="18">
        <v>2022</v>
      </c>
      <c r="N92" s="18" t="s">
        <v>70</v>
      </c>
      <c r="O92" s="18">
        <v>30</v>
      </c>
      <c r="P92" s="18" t="s">
        <v>23</v>
      </c>
      <c r="Q92" s="18">
        <v>0</v>
      </c>
      <c r="R92" s="18">
        <v>70</v>
      </c>
      <c r="S92" s="18">
        <v>0.35</v>
      </c>
      <c r="T92" s="36">
        <v>0.15</v>
      </c>
      <c r="U92" s="18">
        <v>0</v>
      </c>
    </row>
    <row r="93" spans="1:21" x14ac:dyDescent="0.2">
      <c r="A93" s="18" t="s">
        <v>586</v>
      </c>
      <c r="B93" s="18" t="s">
        <v>522</v>
      </c>
      <c r="C93" s="18" t="s">
        <v>587</v>
      </c>
      <c r="D93" s="18" t="s">
        <v>606</v>
      </c>
      <c r="E93" s="18" t="s">
        <v>607</v>
      </c>
      <c r="F93" s="18" t="s">
        <v>608</v>
      </c>
      <c r="G93" s="18" t="s">
        <v>609</v>
      </c>
      <c r="H93" s="18" t="s">
        <v>496</v>
      </c>
      <c r="I93" s="18" t="s">
        <v>63</v>
      </c>
      <c r="J93" s="18" t="s">
        <v>546</v>
      </c>
      <c r="K93" s="18">
        <v>1</v>
      </c>
      <c r="L93" s="18" t="s">
        <v>63</v>
      </c>
      <c r="M93" s="18">
        <v>2022</v>
      </c>
      <c r="N93" s="18" t="s">
        <v>70</v>
      </c>
      <c r="O93" s="18">
        <v>30</v>
      </c>
      <c r="P93" s="18" t="s">
        <v>23</v>
      </c>
      <c r="Q93" s="18">
        <v>0</v>
      </c>
      <c r="R93" s="18">
        <v>70</v>
      </c>
      <c r="S93" s="18">
        <v>0.7</v>
      </c>
      <c r="T93" s="36">
        <v>0.3</v>
      </c>
      <c r="U93" s="18">
        <v>0</v>
      </c>
    </row>
    <row r="94" spans="1:21" x14ac:dyDescent="0.2">
      <c r="A94" s="18" t="s">
        <v>73</v>
      </c>
      <c r="B94" s="18" t="s">
        <v>497</v>
      </c>
      <c r="C94" s="18" t="s">
        <v>498</v>
      </c>
      <c r="D94" s="18" t="s">
        <v>499</v>
      </c>
      <c r="E94" s="18" t="s">
        <v>500</v>
      </c>
      <c r="F94" s="18" t="s">
        <v>501</v>
      </c>
      <c r="G94" s="18" t="s">
        <v>114</v>
      </c>
      <c r="H94" s="18" t="s">
        <v>485</v>
      </c>
      <c r="I94" s="18" t="s">
        <v>73</v>
      </c>
      <c r="J94" s="18" t="s">
        <v>497</v>
      </c>
      <c r="K94" s="18">
        <v>0.5</v>
      </c>
      <c r="L94" s="18" t="s">
        <v>73</v>
      </c>
      <c r="M94" s="18">
        <v>2023</v>
      </c>
      <c r="N94" s="18" t="s">
        <v>70</v>
      </c>
      <c r="O94" s="18" t="s">
        <v>33</v>
      </c>
      <c r="P94" s="18" t="s">
        <v>23</v>
      </c>
      <c r="Q94" s="18" t="s">
        <v>23</v>
      </c>
      <c r="R94" s="18">
        <v>50</v>
      </c>
      <c r="S94" s="18">
        <v>0.25</v>
      </c>
      <c r="T94" s="36">
        <v>0.25</v>
      </c>
      <c r="U94" s="18">
        <v>0</v>
      </c>
    </row>
    <row r="95" spans="1:21" x14ac:dyDescent="0.2">
      <c r="A95" s="18" t="s">
        <v>82</v>
      </c>
      <c r="B95" s="18" t="s">
        <v>502</v>
      </c>
      <c r="C95" s="18" t="s">
        <v>498</v>
      </c>
      <c r="D95" s="18" t="s">
        <v>503</v>
      </c>
      <c r="E95" s="18" t="s">
        <v>504</v>
      </c>
      <c r="F95" s="18" t="s">
        <v>505</v>
      </c>
      <c r="G95" s="18" t="s">
        <v>132</v>
      </c>
      <c r="H95" s="18" t="s">
        <v>485</v>
      </c>
      <c r="I95" s="18" t="s">
        <v>73</v>
      </c>
      <c r="J95" s="18" t="s">
        <v>497</v>
      </c>
      <c r="K95" s="18">
        <v>0.5</v>
      </c>
      <c r="L95" s="18" t="s">
        <v>73</v>
      </c>
      <c r="M95" s="18">
        <v>2023</v>
      </c>
      <c r="N95" s="18" t="s">
        <v>70</v>
      </c>
      <c r="O95" s="18" t="s">
        <v>51</v>
      </c>
      <c r="P95" s="18" t="s">
        <v>64</v>
      </c>
      <c r="Q95" s="18" t="s">
        <v>40</v>
      </c>
      <c r="R95" s="18">
        <v>50</v>
      </c>
      <c r="S95" s="18">
        <v>0.25</v>
      </c>
      <c r="T95" s="36">
        <v>0.15</v>
      </c>
      <c r="U95" s="18">
        <v>0.1</v>
      </c>
    </row>
    <row r="96" spans="1:21" x14ac:dyDescent="0.2">
      <c r="A96" s="18" t="s">
        <v>82</v>
      </c>
      <c r="B96" s="18" t="s">
        <v>502</v>
      </c>
      <c r="C96" s="18" t="s">
        <v>498</v>
      </c>
      <c r="D96" s="18" t="s">
        <v>506</v>
      </c>
      <c r="E96" s="18" t="s">
        <v>507</v>
      </c>
      <c r="F96" s="18" t="s">
        <v>508</v>
      </c>
      <c r="G96" s="18" t="s">
        <v>113</v>
      </c>
      <c r="H96" s="18" t="s">
        <v>496</v>
      </c>
      <c r="I96" s="18" t="s">
        <v>82</v>
      </c>
      <c r="J96" s="18" t="s">
        <v>502</v>
      </c>
      <c r="K96" s="18">
        <v>1</v>
      </c>
      <c r="L96" s="18" t="s">
        <v>82</v>
      </c>
      <c r="M96" s="18">
        <v>2023</v>
      </c>
      <c r="N96" s="18" t="s">
        <v>70</v>
      </c>
      <c r="O96" s="18" t="s">
        <v>44</v>
      </c>
      <c r="P96" s="18" t="s">
        <v>23</v>
      </c>
      <c r="Q96" s="18" t="s">
        <v>23</v>
      </c>
      <c r="R96" s="18">
        <v>90</v>
      </c>
      <c r="S96" s="18">
        <v>0.9</v>
      </c>
      <c r="T96" s="36">
        <v>0.1</v>
      </c>
      <c r="U96" s="18">
        <v>0</v>
      </c>
    </row>
    <row r="97" spans="1:21" x14ac:dyDescent="0.2">
      <c r="A97" s="18" t="s">
        <v>82</v>
      </c>
      <c r="B97" s="18" t="s">
        <v>502</v>
      </c>
      <c r="C97" s="18" t="s">
        <v>498</v>
      </c>
      <c r="D97" s="18" t="s">
        <v>509</v>
      </c>
      <c r="E97" s="18" t="s">
        <v>510</v>
      </c>
      <c r="F97" s="18" t="s">
        <v>511</v>
      </c>
      <c r="G97" s="18" t="s">
        <v>512</v>
      </c>
      <c r="H97" s="18" t="s">
        <v>485</v>
      </c>
      <c r="I97" s="18" t="s">
        <v>73</v>
      </c>
      <c r="J97" s="18" t="s">
        <v>497</v>
      </c>
      <c r="K97" s="18">
        <v>0.5</v>
      </c>
      <c r="L97" s="18" t="s">
        <v>73</v>
      </c>
      <c r="M97" s="18">
        <v>2023</v>
      </c>
      <c r="N97" s="18" t="s">
        <v>70</v>
      </c>
      <c r="O97" s="18" t="s">
        <v>51</v>
      </c>
      <c r="P97" s="18" t="s">
        <v>64</v>
      </c>
      <c r="Q97" s="18" t="s">
        <v>40</v>
      </c>
      <c r="R97" s="18">
        <v>50</v>
      </c>
      <c r="S97" s="18">
        <v>0.25</v>
      </c>
      <c r="T97" s="36">
        <v>0.15</v>
      </c>
      <c r="U97" s="18">
        <v>0.1</v>
      </c>
    </row>
    <row r="98" spans="1:21" x14ac:dyDescent="0.2">
      <c r="A98" s="18" t="s">
        <v>82</v>
      </c>
      <c r="B98" s="18" t="s">
        <v>502</v>
      </c>
      <c r="C98" s="18" t="s">
        <v>498</v>
      </c>
      <c r="D98" s="18" t="s">
        <v>509</v>
      </c>
      <c r="E98" s="18" t="s">
        <v>510</v>
      </c>
      <c r="F98" s="18" t="s">
        <v>511</v>
      </c>
      <c r="G98" s="18" t="s">
        <v>132</v>
      </c>
      <c r="H98" s="18" t="s">
        <v>485</v>
      </c>
      <c r="I98" s="18" t="s">
        <v>73</v>
      </c>
      <c r="J98" s="18" t="s">
        <v>497</v>
      </c>
      <c r="K98" s="18">
        <v>0.5</v>
      </c>
      <c r="L98" s="18" t="s">
        <v>73</v>
      </c>
      <c r="M98" s="18">
        <v>2023</v>
      </c>
      <c r="N98" s="18" t="s">
        <v>70</v>
      </c>
      <c r="O98" s="18" t="s">
        <v>51</v>
      </c>
      <c r="P98" s="18" t="s">
        <v>64</v>
      </c>
      <c r="Q98" s="18" t="s">
        <v>40</v>
      </c>
      <c r="R98" s="18">
        <v>50</v>
      </c>
      <c r="S98" s="18">
        <v>0.25</v>
      </c>
      <c r="T98" s="36">
        <v>0.15</v>
      </c>
      <c r="U98" s="18">
        <v>0.1</v>
      </c>
    </row>
    <row r="99" spans="1:21" x14ac:dyDescent="0.2">
      <c r="A99" s="18" t="s">
        <v>82</v>
      </c>
      <c r="B99" s="18" t="s">
        <v>502</v>
      </c>
      <c r="C99" s="18" t="s">
        <v>498</v>
      </c>
      <c r="D99" s="18" t="s">
        <v>513</v>
      </c>
      <c r="E99" s="18" t="s">
        <v>514</v>
      </c>
      <c r="F99" s="18" t="s">
        <v>515</v>
      </c>
      <c r="G99" s="18" t="s">
        <v>512</v>
      </c>
      <c r="H99" s="18" t="s">
        <v>485</v>
      </c>
      <c r="I99" s="18" t="s">
        <v>73</v>
      </c>
      <c r="J99" s="18" t="s">
        <v>497</v>
      </c>
      <c r="K99" s="18">
        <v>0.5</v>
      </c>
      <c r="L99" s="18" t="s">
        <v>73</v>
      </c>
      <c r="M99" s="18">
        <v>2023</v>
      </c>
      <c r="N99" s="18" t="s">
        <v>70</v>
      </c>
      <c r="O99" s="18" t="s">
        <v>51</v>
      </c>
      <c r="P99" s="18" t="s">
        <v>64</v>
      </c>
      <c r="Q99" s="18" t="s">
        <v>40</v>
      </c>
      <c r="R99" s="18">
        <v>50</v>
      </c>
      <c r="S99" s="18">
        <v>0.25</v>
      </c>
      <c r="T99" s="36">
        <v>0.15</v>
      </c>
      <c r="U99" s="18">
        <v>0.1</v>
      </c>
    </row>
    <row r="100" spans="1:21" x14ac:dyDescent="0.2">
      <c r="A100" s="18" t="s">
        <v>82</v>
      </c>
      <c r="B100" s="18" t="s">
        <v>502</v>
      </c>
      <c r="C100" s="18" t="s">
        <v>498</v>
      </c>
      <c r="D100" s="18" t="s">
        <v>513</v>
      </c>
      <c r="E100" s="18" t="s">
        <v>514</v>
      </c>
      <c r="F100" s="18" t="s">
        <v>515</v>
      </c>
      <c r="G100" s="18" t="s">
        <v>132</v>
      </c>
      <c r="H100" s="18" t="s">
        <v>485</v>
      </c>
      <c r="I100" s="18" t="s">
        <v>73</v>
      </c>
      <c r="J100" s="18" t="s">
        <v>497</v>
      </c>
      <c r="K100" s="18">
        <v>0.5</v>
      </c>
      <c r="L100" s="18" t="s">
        <v>73</v>
      </c>
      <c r="M100" s="18">
        <v>2023</v>
      </c>
      <c r="N100" s="18" t="s">
        <v>70</v>
      </c>
      <c r="O100" s="18" t="s">
        <v>51</v>
      </c>
      <c r="P100" s="18" t="s">
        <v>64</v>
      </c>
      <c r="Q100" s="18" t="s">
        <v>40</v>
      </c>
      <c r="R100" s="18">
        <v>50</v>
      </c>
      <c r="S100" s="18">
        <v>0.25</v>
      </c>
      <c r="T100" s="36">
        <v>0.15</v>
      </c>
      <c r="U100" s="18">
        <v>0.1</v>
      </c>
    </row>
    <row r="101" spans="1:21" x14ac:dyDescent="0.2">
      <c r="A101" s="18" t="s">
        <v>82</v>
      </c>
      <c r="B101" s="18" t="s">
        <v>502</v>
      </c>
      <c r="C101" s="18" t="s">
        <v>498</v>
      </c>
      <c r="D101" s="18" t="s">
        <v>516</v>
      </c>
      <c r="E101" s="18" t="s">
        <v>517</v>
      </c>
      <c r="F101" s="18" t="s">
        <v>518</v>
      </c>
      <c r="G101" s="18" t="s">
        <v>114</v>
      </c>
      <c r="H101" s="18" t="s">
        <v>485</v>
      </c>
      <c r="I101" s="18" t="s">
        <v>73</v>
      </c>
      <c r="J101" s="18" t="s">
        <v>497</v>
      </c>
      <c r="K101" s="18">
        <v>0.5</v>
      </c>
      <c r="L101" s="18" t="s">
        <v>73</v>
      </c>
      <c r="M101" s="18">
        <v>2023</v>
      </c>
      <c r="N101" s="18" t="s">
        <v>70</v>
      </c>
      <c r="O101" s="18" t="s">
        <v>33</v>
      </c>
      <c r="P101" s="18" t="s">
        <v>23</v>
      </c>
      <c r="Q101" s="18" t="s">
        <v>23</v>
      </c>
      <c r="R101" s="18">
        <v>50</v>
      </c>
      <c r="S101" s="18">
        <v>0.25</v>
      </c>
      <c r="T101" s="36">
        <v>0.25</v>
      </c>
      <c r="U101" s="18">
        <v>0</v>
      </c>
    </row>
    <row r="102" spans="1:21" x14ac:dyDescent="0.2">
      <c r="A102" s="18" t="s">
        <v>82</v>
      </c>
      <c r="B102" s="18" t="s">
        <v>502</v>
      </c>
      <c r="C102" s="18" t="s">
        <v>498</v>
      </c>
      <c r="D102" s="18" t="s">
        <v>519</v>
      </c>
      <c r="E102" s="18" t="s">
        <v>520</v>
      </c>
      <c r="F102" s="18" t="s">
        <v>508</v>
      </c>
      <c r="G102" s="18" t="s">
        <v>113</v>
      </c>
      <c r="H102" s="18" t="s">
        <v>496</v>
      </c>
      <c r="I102" s="18" t="s">
        <v>82</v>
      </c>
      <c r="J102" s="18" t="s">
        <v>502</v>
      </c>
      <c r="K102" s="18">
        <v>1</v>
      </c>
      <c r="L102" s="18" t="s">
        <v>82</v>
      </c>
      <c r="M102" s="18">
        <v>2023</v>
      </c>
      <c r="N102" s="18" t="s">
        <v>70</v>
      </c>
      <c r="O102" s="18" t="s">
        <v>44</v>
      </c>
      <c r="P102" s="18" t="s">
        <v>23</v>
      </c>
      <c r="Q102" s="18" t="s">
        <v>23</v>
      </c>
      <c r="R102" s="18">
        <v>90</v>
      </c>
      <c r="S102" s="18">
        <v>0.9</v>
      </c>
      <c r="T102" s="36">
        <v>0.1</v>
      </c>
      <c r="U102" s="18">
        <v>0</v>
      </c>
    </row>
    <row r="103" spans="1:21" x14ac:dyDescent="0.2">
      <c r="A103" s="18" t="s">
        <v>521</v>
      </c>
      <c r="B103" s="18" t="s">
        <v>522</v>
      </c>
      <c r="C103" s="18" t="s">
        <v>523</v>
      </c>
      <c r="D103" s="18" t="s">
        <v>524</v>
      </c>
      <c r="E103" s="18" t="s">
        <v>525</v>
      </c>
      <c r="F103" s="18" t="s">
        <v>526</v>
      </c>
      <c r="G103" s="18" t="s">
        <v>124</v>
      </c>
      <c r="H103" s="18" t="s">
        <v>496</v>
      </c>
      <c r="I103" s="18" t="s">
        <v>73</v>
      </c>
      <c r="J103" s="18" t="s">
        <v>497</v>
      </c>
      <c r="K103" s="18">
        <v>1</v>
      </c>
      <c r="L103" s="18" t="s">
        <v>73</v>
      </c>
      <c r="M103" s="18">
        <v>2023</v>
      </c>
      <c r="N103" s="18" t="s">
        <v>70</v>
      </c>
      <c r="O103" s="18" t="s">
        <v>51</v>
      </c>
      <c r="P103" s="18" t="s">
        <v>23</v>
      </c>
      <c r="Q103" s="18" t="s">
        <v>23</v>
      </c>
      <c r="R103" s="18">
        <v>70</v>
      </c>
      <c r="S103" s="18">
        <v>0.7</v>
      </c>
      <c r="T103" s="36">
        <v>0.3</v>
      </c>
      <c r="U103" s="18">
        <v>0</v>
      </c>
    </row>
    <row r="104" spans="1:21" x14ac:dyDescent="0.2">
      <c r="A104" s="18" t="s">
        <v>527</v>
      </c>
      <c r="B104" s="18" t="s">
        <v>528</v>
      </c>
      <c r="C104" s="18" t="s">
        <v>529</v>
      </c>
      <c r="D104" s="18" t="s">
        <v>530</v>
      </c>
      <c r="E104" s="18" t="s">
        <v>531</v>
      </c>
      <c r="F104" s="18" t="s">
        <v>532</v>
      </c>
      <c r="G104" s="18" t="s">
        <v>125</v>
      </c>
      <c r="H104" s="18" t="s">
        <v>485</v>
      </c>
      <c r="I104" s="18" t="s">
        <v>39</v>
      </c>
      <c r="J104" s="18" t="s">
        <v>533</v>
      </c>
      <c r="K104" s="18">
        <v>0.5</v>
      </c>
      <c r="L104" s="18" t="s">
        <v>39</v>
      </c>
      <c r="M104" s="18">
        <v>2023</v>
      </c>
      <c r="N104" s="18" t="s">
        <v>70</v>
      </c>
      <c r="O104" s="18" t="s">
        <v>33</v>
      </c>
      <c r="P104" s="18" t="s">
        <v>23</v>
      </c>
      <c r="Q104" s="18" t="s">
        <v>23</v>
      </c>
      <c r="R104" s="18">
        <v>50</v>
      </c>
      <c r="S104" s="18">
        <v>0.25</v>
      </c>
      <c r="T104" s="36">
        <v>0.25</v>
      </c>
      <c r="U104" s="18">
        <v>0</v>
      </c>
    </row>
    <row r="105" spans="1:21" x14ac:dyDescent="0.2">
      <c r="A105" s="18" t="s">
        <v>527</v>
      </c>
      <c r="B105" s="18" t="s">
        <v>528</v>
      </c>
      <c r="C105" s="18" t="s">
        <v>529</v>
      </c>
      <c r="D105" s="18" t="s">
        <v>534</v>
      </c>
      <c r="E105" s="18" t="s">
        <v>535</v>
      </c>
      <c r="F105" s="18" t="s">
        <v>536</v>
      </c>
      <c r="G105" s="18" t="s">
        <v>537</v>
      </c>
      <c r="H105" s="18" t="s">
        <v>496</v>
      </c>
      <c r="I105" s="18" t="s">
        <v>39</v>
      </c>
      <c r="J105" s="18" t="s">
        <v>533</v>
      </c>
      <c r="K105" s="18">
        <v>1</v>
      </c>
      <c r="L105" s="18" t="s">
        <v>39</v>
      </c>
      <c r="M105" s="18">
        <v>2023</v>
      </c>
      <c r="N105" s="18" t="s">
        <v>70</v>
      </c>
      <c r="O105" s="18" t="s">
        <v>51</v>
      </c>
      <c r="P105" s="18" t="s">
        <v>23</v>
      </c>
      <c r="Q105" s="18" t="s">
        <v>23</v>
      </c>
      <c r="R105" s="18">
        <v>70</v>
      </c>
      <c r="S105" s="18">
        <v>0.7</v>
      </c>
      <c r="T105" s="36">
        <v>0.3</v>
      </c>
      <c r="U105" s="18">
        <v>0</v>
      </c>
    </row>
    <row r="106" spans="1:21" x14ac:dyDescent="0.2">
      <c r="A106" s="18" t="s">
        <v>527</v>
      </c>
      <c r="B106" s="18" t="s">
        <v>528</v>
      </c>
      <c r="C106" s="18" t="s">
        <v>529</v>
      </c>
      <c r="D106" s="18" t="s">
        <v>538</v>
      </c>
      <c r="E106" s="18" t="s">
        <v>539</v>
      </c>
      <c r="F106" s="18" t="s">
        <v>532</v>
      </c>
      <c r="G106" s="18" t="s">
        <v>125</v>
      </c>
      <c r="H106" s="18" t="s">
        <v>485</v>
      </c>
      <c r="I106" s="18" t="s">
        <v>39</v>
      </c>
      <c r="J106" s="18" t="s">
        <v>533</v>
      </c>
      <c r="K106" s="18">
        <v>0.5</v>
      </c>
      <c r="L106" s="18" t="s">
        <v>39</v>
      </c>
      <c r="M106" s="18">
        <v>2023</v>
      </c>
      <c r="N106" s="18" t="s">
        <v>70</v>
      </c>
      <c r="O106" s="18" t="s">
        <v>33</v>
      </c>
      <c r="P106" s="18" t="s">
        <v>23</v>
      </c>
      <c r="Q106" s="18" t="s">
        <v>23</v>
      </c>
      <c r="R106" s="18">
        <v>50</v>
      </c>
      <c r="S106" s="18">
        <v>0.25</v>
      </c>
      <c r="T106" s="36">
        <v>0.25</v>
      </c>
      <c r="U106" s="18">
        <v>0</v>
      </c>
    </row>
    <row r="107" spans="1:21" x14ac:dyDescent="0.2">
      <c r="A107" s="18" t="s">
        <v>540</v>
      </c>
      <c r="B107" s="18" t="s">
        <v>541</v>
      </c>
      <c r="C107" s="18" t="s">
        <v>542</v>
      </c>
      <c r="D107" s="18" t="s">
        <v>543</v>
      </c>
      <c r="E107" s="18" t="s">
        <v>544</v>
      </c>
      <c r="F107" s="18" t="s">
        <v>545</v>
      </c>
      <c r="G107" s="18" t="s">
        <v>431</v>
      </c>
      <c r="H107" s="18" t="s">
        <v>485</v>
      </c>
      <c r="I107" s="18" t="s">
        <v>63</v>
      </c>
      <c r="J107" s="18" t="s">
        <v>546</v>
      </c>
      <c r="K107" s="18">
        <v>0.5</v>
      </c>
      <c r="L107" s="18" t="s">
        <v>63</v>
      </c>
      <c r="M107" s="18">
        <v>2023</v>
      </c>
      <c r="N107" s="18" t="s">
        <v>70</v>
      </c>
      <c r="O107" s="18" t="s">
        <v>51</v>
      </c>
      <c r="P107" s="18" t="s">
        <v>23</v>
      </c>
      <c r="Q107" s="18" t="s">
        <v>23</v>
      </c>
      <c r="R107" s="18">
        <v>70</v>
      </c>
      <c r="S107" s="18">
        <v>0.35</v>
      </c>
      <c r="T107" s="36">
        <v>0.15</v>
      </c>
      <c r="U107" s="18">
        <v>0</v>
      </c>
    </row>
    <row r="108" spans="1:21" x14ac:dyDescent="0.2">
      <c r="A108" s="18" t="s">
        <v>540</v>
      </c>
      <c r="B108" s="18" t="s">
        <v>541</v>
      </c>
      <c r="C108" s="18" t="s">
        <v>542</v>
      </c>
      <c r="D108" s="18" t="s">
        <v>547</v>
      </c>
      <c r="E108" s="18" t="s">
        <v>548</v>
      </c>
      <c r="F108" s="18" t="s">
        <v>549</v>
      </c>
      <c r="G108" s="18" t="s">
        <v>432</v>
      </c>
      <c r="H108" s="18" t="s">
        <v>485</v>
      </c>
      <c r="I108" s="18" t="s">
        <v>63</v>
      </c>
      <c r="J108" s="18" t="s">
        <v>546</v>
      </c>
      <c r="K108" s="18">
        <v>0.5</v>
      </c>
      <c r="L108" s="18" t="s">
        <v>63</v>
      </c>
      <c r="M108" s="18">
        <v>2023</v>
      </c>
      <c r="N108" s="18" t="s">
        <v>70</v>
      </c>
      <c r="O108" s="18" t="s">
        <v>51</v>
      </c>
      <c r="P108" s="18" t="s">
        <v>23</v>
      </c>
      <c r="Q108" s="18" t="s">
        <v>23</v>
      </c>
      <c r="R108" s="18">
        <v>70</v>
      </c>
      <c r="S108" s="18">
        <v>0.35</v>
      </c>
      <c r="T108" s="36">
        <v>0.15</v>
      </c>
      <c r="U108" s="18">
        <v>0</v>
      </c>
    </row>
    <row r="109" spans="1:21" x14ac:dyDescent="0.2">
      <c r="A109" s="18" t="s">
        <v>478</v>
      </c>
      <c r="B109" s="18" t="s">
        <v>479</v>
      </c>
      <c r="C109" s="18" t="s">
        <v>480</v>
      </c>
      <c r="D109" s="18" t="s">
        <v>481</v>
      </c>
      <c r="E109" s="18" t="s">
        <v>482</v>
      </c>
      <c r="F109" s="18" t="s">
        <v>483</v>
      </c>
      <c r="G109" s="18" t="s">
        <v>550</v>
      </c>
      <c r="H109" s="18" t="s">
        <v>485</v>
      </c>
      <c r="I109" s="18" t="s">
        <v>155</v>
      </c>
      <c r="J109" s="18" t="s">
        <v>551</v>
      </c>
      <c r="K109" s="18">
        <v>0.5</v>
      </c>
      <c r="L109" s="18" t="s">
        <v>155</v>
      </c>
      <c r="M109" s="18">
        <v>2023</v>
      </c>
      <c r="N109" s="18" t="s">
        <v>70</v>
      </c>
      <c r="O109" s="18" t="s">
        <v>44</v>
      </c>
      <c r="P109" s="18" t="s">
        <v>23</v>
      </c>
      <c r="Q109" s="18" t="s">
        <v>23</v>
      </c>
      <c r="R109" s="18">
        <v>90</v>
      </c>
      <c r="S109" s="18">
        <v>0.45</v>
      </c>
      <c r="T109" s="36">
        <v>0.05</v>
      </c>
      <c r="U109" s="18">
        <v>0</v>
      </c>
    </row>
    <row r="110" spans="1:21" x14ac:dyDescent="0.2">
      <c r="A110" s="18" t="s">
        <v>478</v>
      </c>
      <c r="B110" s="18" t="s">
        <v>479</v>
      </c>
      <c r="C110" s="18" t="s">
        <v>480</v>
      </c>
      <c r="D110" s="18" t="s">
        <v>552</v>
      </c>
      <c r="E110" s="18" t="s">
        <v>553</v>
      </c>
      <c r="F110" s="18" t="s">
        <v>554</v>
      </c>
      <c r="G110" s="18" t="s">
        <v>126</v>
      </c>
      <c r="H110" s="18" t="s">
        <v>496</v>
      </c>
      <c r="I110" s="18" t="s">
        <v>56</v>
      </c>
      <c r="J110" s="18" t="s">
        <v>555</v>
      </c>
      <c r="K110" s="18">
        <v>1</v>
      </c>
      <c r="L110" s="18" t="s">
        <v>56</v>
      </c>
      <c r="M110" s="18">
        <v>2023</v>
      </c>
      <c r="N110" s="18" t="s">
        <v>70</v>
      </c>
      <c r="O110" s="18" t="s">
        <v>33</v>
      </c>
      <c r="P110" s="18" t="s">
        <v>23</v>
      </c>
      <c r="Q110" s="18" t="s">
        <v>23</v>
      </c>
      <c r="R110" s="18">
        <v>50</v>
      </c>
      <c r="S110" s="18">
        <v>0.5</v>
      </c>
      <c r="T110" s="36">
        <v>0.5</v>
      </c>
      <c r="U110" s="18">
        <v>0</v>
      </c>
    </row>
    <row r="111" spans="1:21" x14ac:dyDescent="0.2">
      <c r="A111" s="18" t="s">
        <v>478</v>
      </c>
      <c r="B111" s="18" t="s">
        <v>479</v>
      </c>
      <c r="C111" s="18" t="s">
        <v>480</v>
      </c>
      <c r="D111" s="18" t="s">
        <v>556</v>
      </c>
      <c r="E111" s="18" t="s">
        <v>557</v>
      </c>
      <c r="F111" s="18" t="s">
        <v>558</v>
      </c>
      <c r="G111" s="18" t="s">
        <v>156</v>
      </c>
      <c r="H111" s="18" t="s">
        <v>496</v>
      </c>
      <c r="I111" s="18" t="s">
        <v>81</v>
      </c>
      <c r="J111" s="18" t="s">
        <v>559</v>
      </c>
      <c r="K111" s="18">
        <v>1</v>
      </c>
      <c r="L111" s="18" t="s">
        <v>81</v>
      </c>
      <c r="M111" s="18">
        <v>2023</v>
      </c>
      <c r="N111" s="18" t="s">
        <v>70</v>
      </c>
      <c r="O111" s="18" t="s">
        <v>33</v>
      </c>
      <c r="P111" s="18" t="s">
        <v>23</v>
      </c>
      <c r="Q111" s="18" t="s">
        <v>23</v>
      </c>
      <c r="R111" s="18">
        <v>50</v>
      </c>
      <c r="S111" s="18">
        <v>0.5</v>
      </c>
      <c r="T111" s="36">
        <v>0.5</v>
      </c>
      <c r="U111" s="18">
        <v>0</v>
      </c>
    </row>
    <row r="112" spans="1:21" x14ac:dyDescent="0.2">
      <c r="A112" s="18" t="s">
        <v>478</v>
      </c>
      <c r="B112" s="18" t="s">
        <v>479</v>
      </c>
      <c r="C112" s="18" t="s">
        <v>480</v>
      </c>
      <c r="D112" s="18" t="s">
        <v>560</v>
      </c>
      <c r="E112" s="18" t="s">
        <v>561</v>
      </c>
      <c r="F112" s="18" t="s">
        <v>562</v>
      </c>
      <c r="G112" s="18" t="s">
        <v>130</v>
      </c>
      <c r="H112" s="18" t="s">
        <v>496</v>
      </c>
      <c r="I112" s="18" t="s">
        <v>43</v>
      </c>
      <c r="J112" s="18" t="s">
        <v>563</v>
      </c>
      <c r="K112" s="18">
        <v>1</v>
      </c>
      <c r="L112" s="18" t="s">
        <v>43</v>
      </c>
      <c r="M112" s="18">
        <v>2023</v>
      </c>
      <c r="N112" s="18" t="s">
        <v>70</v>
      </c>
      <c r="O112" s="18" t="s">
        <v>33</v>
      </c>
      <c r="P112" s="18" t="s">
        <v>23</v>
      </c>
      <c r="Q112" s="18" t="s">
        <v>23</v>
      </c>
      <c r="R112" s="18">
        <v>50</v>
      </c>
      <c r="S112" s="18">
        <v>0.5</v>
      </c>
      <c r="T112" s="36">
        <v>0.5</v>
      </c>
      <c r="U112" s="18">
        <v>0</v>
      </c>
    </row>
    <row r="113" spans="1:21" x14ac:dyDescent="0.2">
      <c r="A113" s="18" t="s">
        <v>478</v>
      </c>
      <c r="B113" s="18" t="s">
        <v>479</v>
      </c>
      <c r="C113" s="18" t="s">
        <v>480</v>
      </c>
      <c r="D113" s="18" t="s">
        <v>564</v>
      </c>
      <c r="E113" s="18" t="s">
        <v>565</v>
      </c>
      <c r="F113" s="18" t="s">
        <v>566</v>
      </c>
      <c r="G113" s="18" t="s">
        <v>126</v>
      </c>
      <c r="H113" s="18" t="s">
        <v>496</v>
      </c>
      <c r="I113" s="18" t="s">
        <v>56</v>
      </c>
      <c r="J113" s="18" t="s">
        <v>555</v>
      </c>
      <c r="K113" s="18">
        <v>1</v>
      </c>
      <c r="L113" s="18" t="s">
        <v>56</v>
      </c>
      <c r="M113" s="18">
        <v>2023</v>
      </c>
      <c r="N113" s="18" t="s">
        <v>70</v>
      </c>
      <c r="O113" s="18" t="s">
        <v>33</v>
      </c>
      <c r="P113" s="18" t="s">
        <v>23</v>
      </c>
      <c r="Q113" s="18" t="s">
        <v>23</v>
      </c>
      <c r="R113" s="18">
        <v>50</v>
      </c>
      <c r="S113" s="18">
        <v>0.5</v>
      </c>
      <c r="T113" s="36">
        <v>0.5</v>
      </c>
      <c r="U113" s="18">
        <v>0</v>
      </c>
    </row>
    <row r="114" spans="1:21" x14ac:dyDescent="0.2">
      <c r="A114" s="18" t="s">
        <v>478</v>
      </c>
      <c r="B114" s="18" t="s">
        <v>479</v>
      </c>
      <c r="C114" s="18" t="s">
        <v>480</v>
      </c>
      <c r="D114" s="18" t="s">
        <v>567</v>
      </c>
      <c r="E114" s="18" t="s">
        <v>568</v>
      </c>
      <c r="F114" s="18" t="s">
        <v>569</v>
      </c>
      <c r="G114" s="18" t="s">
        <v>428</v>
      </c>
      <c r="H114" s="18" t="s">
        <v>496</v>
      </c>
      <c r="I114" s="18" t="s">
        <v>80</v>
      </c>
      <c r="J114" s="18" t="s">
        <v>570</v>
      </c>
      <c r="K114" s="18">
        <v>1</v>
      </c>
      <c r="L114" s="18" t="s">
        <v>80</v>
      </c>
      <c r="M114" s="18">
        <v>2023</v>
      </c>
      <c r="N114" s="18" t="s">
        <v>70</v>
      </c>
      <c r="O114" s="18" t="s">
        <v>51</v>
      </c>
      <c r="P114" s="18" t="s">
        <v>23</v>
      </c>
      <c r="Q114" s="18" t="s">
        <v>23</v>
      </c>
      <c r="R114" s="18">
        <v>70</v>
      </c>
      <c r="S114" s="18">
        <v>0.7</v>
      </c>
      <c r="T114" s="36">
        <v>0.3</v>
      </c>
      <c r="U114" s="18">
        <v>0</v>
      </c>
    </row>
    <row r="115" spans="1:21" x14ac:dyDescent="0.2">
      <c r="A115" s="18" t="s">
        <v>478</v>
      </c>
      <c r="B115" s="18" t="s">
        <v>479</v>
      </c>
      <c r="C115" s="18" t="s">
        <v>480</v>
      </c>
      <c r="D115" s="18" t="s">
        <v>571</v>
      </c>
      <c r="E115" s="18" t="s">
        <v>572</v>
      </c>
      <c r="F115" s="18" t="s">
        <v>573</v>
      </c>
      <c r="G115" s="18" t="s">
        <v>130</v>
      </c>
      <c r="H115" s="18" t="s">
        <v>496</v>
      </c>
      <c r="I115" s="18" t="s">
        <v>43</v>
      </c>
      <c r="J115" s="18" t="s">
        <v>563</v>
      </c>
      <c r="K115" s="18">
        <v>1</v>
      </c>
      <c r="L115" s="18" t="s">
        <v>43</v>
      </c>
      <c r="M115" s="18">
        <v>2023</v>
      </c>
      <c r="N115" s="18" t="s">
        <v>70</v>
      </c>
      <c r="O115" s="18" t="s">
        <v>33</v>
      </c>
      <c r="P115" s="18" t="s">
        <v>23</v>
      </c>
      <c r="Q115" s="18" t="s">
        <v>23</v>
      </c>
      <c r="R115" s="18">
        <v>50</v>
      </c>
      <c r="S115" s="18">
        <v>0.5</v>
      </c>
      <c r="T115" s="36">
        <v>0.5</v>
      </c>
      <c r="U115" s="18">
        <v>0</v>
      </c>
    </row>
    <row r="116" spans="1:21" x14ac:dyDescent="0.2">
      <c r="A116" s="18" t="s">
        <v>250</v>
      </c>
      <c r="B116" s="18" t="s">
        <v>251</v>
      </c>
      <c r="C116" s="18" t="s">
        <v>252</v>
      </c>
      <c r="D116" s="18" t="s">
        <v>278</v>
      </c>
      <c r="E116" s="18" t="s">
        <v>279</v>
      </c>
      <c r="F116" s="18" t="s">
        <v>280</v>
      </c>
      <c r="G116" s="18" t="s">
        <v>281</v>
      </c>
      <c r="H116" s="18" t="s">
        <v>22</v>
      </c>
      <c r="I116" s="18" t="s">
        <v>250</v>
      </c>
      <c r="J116" s="18" t="s">
        <v>251</v>
      </c>
      <c r="K116" s="18">
        <v>0.5</v>
      </c>
      <c r="L116" s="18" t="s">
        <v>70</v>
      </c>
      <c r="M116" s="18">
        <v>2021</v>
      </c>
      <c r="N116" s="18" t="s">
        <v>23</v>
      </c>
      <c r="O116" s="18" t="s">
        <v>23</v>
      </c>
      <c r="P116" s="18" t="s">
        <v>23</v>
      </c>
      <c r="Q116" s="18" t="s">
        <v>23</v>
      </c>
      <c r="R116" s="18">
        <v>100</v>
      </c>
      <c r="S116" s="18">
        <v>0.5</v>
      </c>
      <c r="T116" s="36">
        <v>0</v>
      </c>
      <c r="U116" s="18">
        <v>0</v>
      </c>
    </row>
    <row r="117" spans="1:21" x14ac:dyDescent="0.2">
      <c r="A117" s="18" t="s">
        <v>250</v>
      </c>
      <c r="B117" s="18" t="s">
        <v>251</v>
      </c>
      <c r="C117" s="18" t="s">
        <v>252</v>
      </c>
      <c r="D117" s="18" t="s">
        <v>278</v>
      </c>
      <c r="E117" s="18" t="s">
        <v>279</v>
      </c>
      <c r="F117" s="18" t="s">
        <v>280</v>
      </c>
      <c r="G117" s="18" t="s">
        <v>282</v>
      </c>
      <c r="H117" s="18" t="s">
        <v>22</v>
      </c>
      <c r="I117" s="18" t="s">
        <v>250</v>
      </c>
      <c r="J117" s="18" t="s">
        <v>251</v>
      </c>
      <c r="K117" s="18">
        <v>0.5</v>
      </c>
      <c r="L117" s="18" t="s">
        <v>70</v>
      </c>
      <c r="M117" s="18">
        <v>2021</v>
      </c>
      <c r="N117" s="18" t="s">
        <v>23</v>
      </c>
      <c r="O117" s="18" t="s">
        <v>23</v>
      </c>
      <c r="P117" s="18" t="s">
        <v>23</v>
      </c>
      <c r="Q117" s="18" t="s">
        <v>23</v>
      </c>
      <c r="R117" s="18">
        <v>100</v>
      </c>
      <c r="S117" s="18">
        <v>0.5</v>
      </c>
      <c r="T117" s="36">
        <v>0</v>
      </c>
      <c r="U117" s="18">
        <v>0</v>
      </c>
    </row>
    <row r="118" spans="1:21" x14ac:dyDescent="0.2">
      <c r="A118" s="18" t="s">
        <v>250</v>
      </c>
      <c r="B118" s="18" t="s">
        <v>251</v>
      </c>
      <c r="C118" s="18" t="s">
        <v>252</v>
      </c>
      <c r="D118" s="18" t="s">
        <v>283</v>
      </c>
      <c r="E118" s="18" t="s">
        <v>284</v>
      </c>
      <c r="F118" s="18" t="s">
        <v>285</v>
      </c>
      <c r="G118" s="18" t="s">
        <v>282</v>
      </c>
      <c r="H118" s="18" t="s">
        <v>22</v>
      </c>
      <c r="I118" s="18" t="s">
        <v>250</v>
      </c>
      <c r="J118" s="18" t="s">
        <v>251</v>
      </c>
      <c r="K118" s="18">
        <v>0.5</v>
      </c>
      <c r="L118" s="18" t="s">
        <v>70</v>
      </c>
      <c r="M118" s="18">
        <v>2021</v>
      </c>
      <c r="N118" s="18" t="s">
        <v>23</v>
      </c>
      <c r="O118" s="18" t="s">
        <v>23</v>
      </c>
      <c r="P118" s="18" t="s">
        <v>23</v>
      </c>
      <c r="Q118" s="18" t="s">
        <v>23</v>
      </c>
      <c r="R118" s="18">
        <v>100</v>
      </c>
      <c r="S118" s="18">
        <v>0.5</v>
      </c>
      <c r="T118" s="36">
        <v>0</v>
      </c>
      <c r="U118" s="18">
        <v>0</v>
      </c>
    </row>
    <row r="119" spans="1:21" x14ac:dyDescent="0.2">
      <c r="A119" s="18" t="s">
        <v>250</v>
      </c>
      <c r="B119" s="18" t="s">
        <v>251</v>
      </c>
      <c r="C119" s="18" t="s">
        <v>252</v>
      </c>
      <c r="D119" s="18" t="s">
        <v>286</v>
      </c>
      <c r="E119" s="18" t="s">
        <v>287</v>
      </c>
      <c r="F119" s="18" t="s">
        <v>288</v>
      </c>
      <c r="G119" s="18" t="s">
        <v>282</v>
      </c>
      <c r="H119" s="18" t="s">
        <v>22</v>
      </c>
      <c r="I119" s="18" t="s">
        <v>250</v>
      </c>
      <c r="J119" s="18" t="s">
        <v>251</v>
      </c>
      <c r="K119" s="18">
        <v>0.5</v>
      </c>
      <c r="L119" s="18" t="s">
        <v>70</v>
      </c>
      <c r="M119" s="18">
        <v>2021</v>
      </c>
      <c r="N119" s="18" t="s">
        <v>23</v>
      </c>
      <c r="O119" s="18" t="s">
        <v>23</v>
      </c>
      <c r="P119" s="18" t="s">
        <v>23</v>
      </c>
      <c r="Q119" s="18" t="s">
        <v>23</v>
      </c>
      <c r="R119" s="18">
        <v>100</v>
      </c>
      <c r="S119" s="18">
        <v>0.5</v>
      </c>
      <c r="T119" s="36">
        <v>0</v>
      </c>
      <c r="U119" s="18">
        <v>0</v>
      </c>
    </row>
    <row r="120" spans="1:21" x14ac:dyDescent="0.2">
      <c r="A120" s="18" t="s">
        <v>250</v>
      </c>
      <c r="B120" s="18" t="s">
        <v>357</v>
      </c>
      <c r="C120" s="18" t="s">
        <v>252</v>
      </c>
      <c r="D120" s="18" t="s">
        <v>358</v>
      </c>
      <c r="E120" s="18" t="s">
        <v>359</v>
      </c>
      <c r="F120" s="18" t="s">
        <v>360</v>
      </c>
      <c r="G120" s="18" t="s">
        <v>282</v>
      </c>
      <c r="H120" s="18" t="s">
        <v>22</v>
      </c>
      <c r="I120" s="18" t="s">
        <v>250</v>
      </c>
      <c r="J120" s="18" t="s">
        <v>357</v>
      </c>
      <c r="K120" s="18">
        <v>0.5</v>
      </c>
      <c r="L120" s="18" t="s">
        <v>70</v>
      </c>
      <c r="M120" s="18">
        <v>2021</v>
      </c>
      <c r="N120" s="18" t="s">
        <v>23</v>
      </c>
      <c r="O120" s="18" t="s">
        <v>23</v>
      </c>
      <c r="P120" s="18" t="s">
        <v>23</v>
      </c>
      <c r="Q120" s="18" t="s">
        <v>23</v>
      </c>
      <c r="R120" s="18">
        <v>100</v>
      </c>
      <c r="S120" s="18">
        <v>0.5</v>
      </c>
      <c r="T120" s="36">
        <v>0</v>
      </c>
      <c r="U120" s="18">
        <v>0</v>
      </c>
    </row>
    <row r="121" spans="1:21" x14ac:dyDescent="0.2">
      <c r="A121" s="18" t="s">
        <v>250</v>
      </c>
      <c r="B121" s="18" t="s">
        <v>357</v>
      </c>
      <c r="C121" s="18" t="s">
        <v>252</v>
      </c>
      <c r="D121" s="18" t="s">
        <v>361</v>
      </c>
      <c r="E121" s="18" t="s">
        <v>279</v>
      </c>
      <c r="F121" s="18" t="s">
        <v>362</v>
      </c>
      <c r="G121" s="18" t="s">
        <v>282</v>
      </c>
      <c r="H121" s="18" t="s">
        <v>22</v>
      </c>
      <c r="I121" s="18" t="s">
        <v>250</v>
      </c>
      <c r="J121" s="18" t="s">
        <v>357</v>
      </c>
      <c r="K121" s="18">
        <v>0.5</v>
      </c>
      <c r="L121" s="18" t="s">
        <v>70</v>
      </c>
      <c r="M121" s="18">
        <v>2021</v>
      </c>
      <c r="N121" s="18" t="s">
        <v>23</v>
      </c>
      <c r="O121" s="18" t="s">
        <v>23</v>
      </c>
      <c r="P121" s="18" t="s">
        <v>23</v>
      </c>
      <c r="Q121" s="18" t="s">
        <v>23</v>
      </c>
      <c r="R121" s="18">
        <v>100</v>
      </c>
      <c r="S121" s="18">
        <v>0.5</v>
      </c>
      <c r="T121" s="36">
        <v>0</v>
      </c>
      <c r="U121" s="18">
        <v>0</v>
      </c>
    </row>
    <row r="122" spans="1:21" x14ac:dyDescent="0.2">
      <c r="A122" s="18" t="s">
        <v>250</v>
      </c>
      <c r="B122" s="18" t="s">
        <v>357</v>
      </c>
      <c r="C122" s="18" t="s">
        <v>252</v>
      </c>
      <c r="D122" s="18" t="s">
        <v>610</v>
      </c>
      <c r="E122" s="18" t="s">
        <v>363</v>
      </c>
      <c r="F122" s="18" t="s">
        <v>364</v>
      </c>
      <c r="G122" s="18" t="s">
        <v>86</v>
      </c>
      <c r="H122" s="18" t="s">
        <v>24</v>
      </c>
      <c r="I122" s="18" t="s">
        <v>250</v>
      </c>
      <c r="J122" s="18" t="s">
        <v>357</v>
      </c>
      <c r="K122" s="18">
        <v>1</v>
      </c>
      <c r="L122" s="18" t="s">
        <v>70</v>
      </c>
      <c r="M122" s="18">
        <v>2022</v>
      </c>
      <c r="N122" s="18" t="s">
        <v>23</v>
      </c>
      <c r="O122" s="18" t="s">
        <v>23</v>
      </c>
      <c r="P122" s="18" t="s">
        <v>23</v>
      </c>
      <c r="Q122" s="18" t="s">
        <v>23</v>
      </c>
      <c r="R122" s="18">
        <v>100</v>
      </c>
      <c r="S122" s="18">
        <v>1</v>
      </c>
      <c r="T122" s="36">
        <v>0</v>
      </c>
      <c r="U122" s="18">
        <v>0</v>
      </c>
    </row>
    <row r="123" spans="1:21" x14ac:dyDescent="0.2">
      <c r="A123" s="18" t="s">
        <v>250</v>
      </c>
      <c r="B123" s="18" t="s">
        <v>357</v>
      </c>
      <c r="C123" s="18" t="s">
        <v>252</v>
      </c>
      <c r="D123" s="18" t="s">
        <v>611</v>
      </c>
      <c r="E123" s="18" t="s">
        <v>365</v>
      </c>
      <c r="F123" s="18" t="s">
        <v>366</v>
      </c>
      <c r="G123" s="18" t="s">
        <v>282</v>
      </c>
      <c r="H123" s="18" t="s">
        <v>24</v>
      </c>
      <c r="I123" s="18" t="s">
        <v>250</v>
      </c>
      <c r="J123" s="18" t="s">
        <v>357</v>
      </c>
      <c r="K123" s="18">
        <v>1</v>
      </c>
      <c r="L123" s="18" t="s">
        <v>70</v>
      </c>
      <c r="M123" s="18">
        <v>2022</v>
      </c>
      <c r="N123" s="18" t="s">
        <v>23</v>
      </c>
      <c r="O123" s="18" t="s">
        <v>23</v>
      </c>
      <c r="P123" s="18" t="s">
        <v>23</v>
      </c>
      <c r="Q123" s="18" t="s">
        <v>23</v>
      </c>
      <c r="R123" s="18">
        <v>100</v>
      </c>
      <c r="S123" s="18">
        <v>1</v>
      </c>
      <c r="T123" s="36">
        <v>0</v>
      </c>
      <c r="U123" s="18">
        <v>0</v>
      </c>
    </row>
    <row r="124" spans="1:21" x14ac:dyDescent="0.2">
      <c r="A124" s="18" t="s">
        <v>478</v>
      </c>
      <c r="B124" s="18" t="s">
        <v>479</v>
      </c>
      <c r="C124" s="18" t="s">
        <v>480</v>
      </c>
      <c r="D124" s="18" t="s">
        <v>481</v>
      </c>
      <c r="E124" s="18" t="s">
        <v>482</v>
      </c>
      <c r="F124" s="18" t="s">
        <v>483</v>
      </c>
      <c r="G124" s="18" t="s">
        <v>484</v>
      </c>
      <c r="H124" s="18" t="s">
        <v>485</v>
      </c>
      <c r="I124" s="18" t="s">
        <v>486</v>
      </c>
      <c r="J124" s="18" t="s">
        <v>487</v>
      </c>
      <c r="K124" s="18">
        <v>0.5</v>
      </c>
      <c r="L124" s="18" t="s">
        <v>70</v>
      </c>
      <c r="M124" s="18">
        <v>2023</v>
      </c>
      <c r="N124" s="18" t="s">
        <v>23</v>
      </c>
      <c r="O124" s="18" t="s">
        <v>23</v>
      </c>
      <c r="P124" s="18" t="s">
        <v>23</v>
      </c>
      <c r="Q124" s="18" t="s">
        <v>23</v>
      </c>
      <c r="R124" s="18">
        <v>100</v>
      </c>
      <c r="S124" s="18">
        <v>0.5</v>
      </c>
      <c r="T124" s="36">
        <v>0</v>
      </c>
      <c r="U124" s="18">
        <v>0</v>
      </c>
    </row>
    <row r="125" spans="1:21" x14ac:dyDescent="0.2">
      <c r="A125" s="18" t="s">
        <v>478</v>
      </c>
      <c r="B125" s="18" t="s">
        <v>479</v>
      </c>
      <c r="C125" s="18" t="s">
        <v>480</v>
      </c>
      <c r="D125" s="18" t="s">
        <v>488</v>
      </c>
      <c r="E125" s="18" t="s">
        <v>489</v>
      </c>
      <c r="F125" s="18" t="s">
        <v>490</v>
      </c>
      <c r="G125" s="18" t="s">
        <v>491</v>
      </c>
      <c r="H125" s="18" t="s">
        <v>485</v>
      </c>
      <c r="I125" s="18" t="s">
        <v>478</v>
      </c>
      <c r="J125" s="18" t="s">
        <v>479</v>
      </c>
      <c r="K125" s="18">
        <v>0.5</v>
      </c>
      <c r="L125" s="18" t="s">
        <v>70</v>
      </c>
      <c r="M125" s="18">
        <v>2023</v>
      </c>
      <c r="N125" s="18" t="s">
        <v>23</v>
      </c>
      <c r="O125" s="18" t="s">
        <v>23</v>
      </c>
      <c r="P125" s="18" t="s">
        <v>23</v>
      </c>
      <c r="Q125" s="18" t="s">
        <v>23</v>
      </c>
      <c r="R125" s="18">
        <v>100</v>
      </c>
      <c r="S125" s="18">
        <v>0.5</v>
      </c>
      <c r="T125" s="36">
        <v>0</v>
      </c>
      <c r="U125" s="18">
        <v>0</v>
      </c>
    </row>
    <row r="126" spans="1:21" s="51" customFormat="1" x14ac:dyDescent="0.2">
      <c r="A126" s="49" t="s">
        <v>478</v>
      </c>
      <c r="B126" s="49" t="s">
        <v>479</v>
      </c>
      <c r="C126" s="49" t="s">
        <v>480</v>
      </c>
      <c r="D126" s="49" t="s">
        <v>620</v>
      </c>
      <c r="E126" s="49" t="s">
        <v>621</v>
      </c>
      <c r="F126" s="49" t="s">
        <v>622</v>
      </c>
      <c r="G126" s="49" t="s">
        <v>147</v>
      </c>
      <c r="H126" s="49" t="s">
        <v>485</v>
      </c>
      <c r="I126" s="49" t="s">
        <v>73</v>
      </c>
      <c r="J126" s="49" t="s">
        <v>497</v>
      </c>
      <c r="K126" s="49">
        <v>0.5</v>
      </c>
      <c r="L126" s="49" t="s">
        <v>73</v>
      </c>
      <c r="M126" s="49">
        <v>2023</v>
      </c>
      <c r="N126" s="49" t="s">
        <v>70</v>
      </c>
      <c r="O126" s="49" t="s">
        <v>51</v>
      </c>
      <c r="P126" s="49" t="s">
        <v>64</v>
      </c>
      <c r="Q126" s="49" t="s">
        <v>40</v>
      </c>
      <c r="R126" s="49">
        <v>50</v>
      </c>
      <c r="S126" s="49">
        <v>0.25</v>
      </c>
      <c r="T126" s="50">
        <v>0.15</v>
      </c>
      <c r="U126" s="49">
        <v>0.1</v>
      </c>
    </row>
    <row r="127" spans="1:21" s="51" customFormat="1" x14ac:dyDescent="0.2">
      <c r="A127" s="49" t="s">
        <v>478</v>
      </c>
      <c r="B127" s="49" t="s">
        <v>479</v>
      </c>
      <c r="C127" s="49" t="s">
        <v>480</v>
      </c>
      <c r="D127" s="49" t="s">
        <v>620</v>
      </c>
      <c r="E127" s="49" t="s">
        <v>621</v>
      </c>
      <c r="F127" s="49" t="s">
        <v>622</v>
      </c>
      <c r="G127" s="49" t="s">
        <v>491</v>
      </c>
      <c r="H127" s="49" t="s">
        <v>485</v>
      </c>
      <c r="I127" s="49" t="s">
        <v>478</v>
      </c>
      <c r="J127" s="49" t="s">
        <v>479</v>
      </c>
      <c r="K127" s="49">
        <v>0.5</v>
      </c>
      <c r="L127" s="49" t="s">
        <v>70</v>
      </c>
      <c r="M127" s="49">
        <v>2023</v>
      </c>
      <c r="N127" s="49" t="s">
        <v>23</v>
      </c>
      <c r="O127" s="49" t="s">
        <v>23</v>
      </c>
      <c r="P127" s="49" t="s">
        <v>23</v>
      </c>
      <c r="Q127" s="49" t="s">
        <v>23</v>
      </c>
      <c r="R127" s="49">
        <v>100</v>
      </c>
      <c r="S127" s="49">
        <v>0.5</v>
      </c>
      <c r="T127" s="50">
        <v>0</v>
      </c>
      <c r="U127" s="49">
        <v>0</v>
      </c>
    </row>
    <row r="128" spans="1:21" s="51" customFormat="1" x14ac:dyDescent="0.2">
      <c r="A128" s="49" t="s">
        <v>521</v>
      </c>
      <c r="B128" s="49" t="s">
        <v>522</v>
      </c>
      <c r="C128" s="49" t="s">
        <v>587</v>
      </c>
      <c r="D128" s="49" t="s">
        <v>668</v>
      </c>
      <c r="E128" s="49" t="s">
        <v>669</v>
      </c>
      <c r="F128" s="49" t="s">
        <v>670</v>
      </c>
      <c r="G128" s="49" t="s">
        <v>107</v>
      </c>
      <c r="H128" s="49" t="s">
        <v>496</v>
      </c>
      <c r="I128" s="49" t="s">
        <v>80</v>
      </c>
      <c r="J128" s="49" t="s">
        <v>570</v>
      </c>
      <c r="K128" s="49">
        <v>1</v>
      </c>
      <c r="L128" s="49" t="s">
        <v>80</v>
      </c>
      <c r="M128" s="49">
        <v>2023</v>
      </c>
      <c r="N128" s="49" t="s">
        <v>70</v>
      </c>
      <c r="O128" s="49" t="s">
        <v>51</v>
      </c>
      <c r="P128" s="49" t="s">
        <v>160</v>
      </c>
      <c r="Q128" s="49" t="s">
        <v>51</v>
      </c>
      <c r="R128" s="49">
        <v>40</v>
      </c>
      <c r="S128" s="49">
        <v>0.4</v>
      </c>
      <c r="T128" s="50">
        <v>0.3</v>
      </c>
      <c r="U128" s="49">
        <v>0.3</v>
      </c>
    </row>
    <row r="129" spans="1:21" s="51" customFormat="1" x14ac:dyDescent="0.2">
      <c r="A129" s="49" t="s">
        <v>478</v>
      </c>
      <c r="B129" s="49" t="s">
        <v>479</v>
      </c>
      <c r="C129" s="49" t="s">
        <v>480</v>
      </c>
      <c r="D129" s="49" t="s">
        <v>623</v>
      </c>
      <c r="E129" s="49" t="s">
        <v>624</v>
      </c>
      <c r="F129" s="49" t="s">
        <v>625</v>
      </c>
      <c r="G129" s="49" t="s">
        <v>118</v>
      </c>
      <c r="H129" s="49" t="s">
        <v>485</v>
      </c>
      <c r="I129" s="49" t="s">
        <v>63</v>
      </c>
      <c r="J129" s="49" t="s">
        <v>546</v>
      </c>
      <c r="K129" s="49">
        <v>0.5</v>
      </c>
      <c r="L129" s="49" t="s">
        <v>63</v>
      </c>
      <c r="M129" s="49">
        <v>2023</v>
      </c>
      <c r="N129" s="49" t="s">
        <v>70</v>
      </c>
      <c r="O129" s="49" t="s">
        <v>33</v>
      </c>
      <c r="P129" s="49" t="s">
        <v>23</v>
      </c>
      <c r="Q129" s="49" t="s">
        <v>23</v>
      </c>
      <c r="R129" s="49">
        <v>50</v>
      </c>
      <c r="S129" s="49">
        <v>0.25</v>
      </c>
      <c r="T129" s="50">
        <v>0.25</v>
      </c>
      <c r="U129" s="49">
        <v>0</v>
      </c>
    </row>
    <row r="130" spans="1:21" s="51" customFormat="1" x14ac:dyDescent="0.2">
      <c r="A130" s="49" t="s">
        <v>478</v>
      </c>
      <c r="B130" s="49" t="s">
        <v>479</v>
      </c>
      <c r="C130" s="49" t="s">
        <v>480</v>
      </c>
      <c r="D130" s="49" t="s">
        <v>623</v>
      </c>
      <c r="E130" s="49" t="s">
        <v>624</v>
      </c>
      <c r="F130" s="49" t="s">
        <v>625</v>
      </c>
      <c r="G130" s="49" t="s">
        <v>632</v>
      </c>
      <c r="H130" s="49" t="s">
        <v>485</v>
      </c>
      <c r="I130" s="49" t="s">
        <v>73</v>
      </c>
      <c r="J130" s="49" t="s">
        <v>497</v>
      </c>
      <c r="K130" s="49">
        <v>0.5</v>
      </c>
      <c r="L130" s="49" t="s">
        <v>73</v>
      </c>
      <c r="M130" s="49">
        <v>2023</v>
      </c>
      <c r="N130" s="49" t="s">
        <v>70</v>
      </c>
      <c r="O130" s="49" t="s">
        <v>51</v>
      </c>
      <c r="P130" s="49" t="s">
        <v>23</v>
      </c>
      <c r="Q130" s="49" t="s">
        <v>23</v>
      </c>
      <c r="R130" s="49">
        <v>70</v>
      </c>
      <c r="S130" s="50">
        <v>0.35</v>
      </c>
      <c r="T130" s="49">
        <v>0.15</v>
      </c>
      <c r="U130" s="49">
        <v>0</v>
      </c>
    </row>
    <row r="131" spans="1:21" s="51" customFormat="1" x14ac:dyDescent="0.2">
      <c r="A131" s="49" t="s">
        <v>478</v>
      </c>
      <c r="B131" s="49" t="s">
        <v>479</v>
      </c>
      <c r="C131" s="49" t="s">
        <v>480</v>
      </c>
      <c r="D131" s="49" t="s">
        <v>626</v>
      </c>
      <c r="E131" s="49" t="s">
        <v>627</v>
      </c>
      <c r="F131" s="49" t="s">
        <v>622</v>
      </c>
      <c r="G131" s="49" t="s">
        <v>129</v>
      </c>
      <c r="H131" s="49" t="s">
        <v>496</v>
      </c>
      <c r="I131" s="49" t="s">
        <v>43</v>
      </c>
      <c r="J131" s="49" t="s">
        <v>563</v>
      </c>
      <c r="K131" s="49">
        <v>1</v>
      </c>
      <c r="L131" s="49" t="s">
        <v>43</v>
      </c>
      <c r="M131" s="49">
        <v>2023</v>
      </c>
      <c r="N131" s="49" t="s">
        <v>70</v>
      </c>
      <c r="O131" s="49" t="s">
        <v>612</v>
      </c>
      <c r="P131" s="49" t="s">
        <v>23</v>
      </c>
      <c r="Q131" s="49" t="s">
        <v>23</v>
      </c>
      <c r="R131" s="49">
        <v>20</v>
      </c>
      <c r="S131" s="49">
        <v>0.2</v>
      </c>
      <c r="T131" s="50">
        <v>0.8</v>
      </c>
      <c r="U131" s="49">
        <v>0</v>
      </c>
    </row>
    <row r="132" spans="1:21" s="51" customFormat="1" x14ac:dyDescent="0.2">
      <c r="A132" s="49" t="s">
        <v>478</v>
      </c>
      <c r="B132" s="49" t="s">
        <v>479</v>
      </c>
      <c r="C132" s="49" t="s">
        <v>480</v>
      </c>
      <c r="D132" s="49" t="s">
        <v>628</v>
      </c>
      <c r="E132" s="49" t="s">
        <v>629</v>
      </c>
      <c r="F132" s="49" t="s">
        <v>630</v>
      </c>
      <c r="G132" s="49" t="s">
        <v>129</v>
      </c>
      <c r="H132" s="49" t="s">
        <v>485</v>
      </c>
      <c r="I132" s="49" t="s">
        <v>43</v>
      </c>
      <c r="J132" s="49" t="s">
        <v>563</v>
      </c>
      <c r="K132" s="49">
        <v>0.33333333333333331</v>
      </c>
      <c r="L132" s="49" t="s">
        <v>43</v>
      </c>
      <c r="M132" s="49">
        <v>2023</v>
      </c>
      <c r="N132" s="49" t="s">
        <v>70</v>
      </c>
      <c r="O132" s="49" t="s">
        <v>612</v>
      </c>
      <c r="P132" s="49" t="s">
        <v>23</v>
      </c>
      <c r="Q132" s="49" t="s">
        <v>23</v>
      </c>
      <c r="R132" s="49">
        <v>20</v>
      </c>
      <c r="S132" s="49">
        <v>6.6666666666666666E-2</v>
      </c>
      <c r="T132" s="50">
        <v>0.26666666666666666</v>
      </c>
      <c r="U132" s="49">
        <v>0</v>
      </c>
    </row>
    <row r="133" spans="1:21" s="51" customFormat="1" x14ac:dyDescent="0.2">
      <c r="A133" s="49" t="s">
        <v>478</v>
      </c>
      <c r="B133" s="49" t="s">
        <v>479</v>
      </c>
      <c r="C133" s="49" t="s">
        <v>480</v>
      </c>
      <c r="D133" s="49" t="s">
        <v>628</v>
      </c>
      <c r="E133" s="49" t="s">
        <v>629</v>
      </c>
      <c r="F133" s="49" t="s">
        <v>630</v>
      </c>
      <c r="G133" s="49" t="s">
        <v>631</v>
      </c>
      <c r="H133" s="49" t="s">
        <v>485</v>
      </c>
      <c r="I133" s="49" t="s">
        <v>478</v>
      </c>
      <c r="J133" s="49" t="s">
        <v>479</v>
      </c>
      <c r="K133" s="49">
        <v>0.33333333333333331</v>
      </c>
      <c r="L133" s="49" t="s">
        <v>70</v>
      </c>
      <c r="M133" s="49">
        <v>2023</v>
      </c>
      <c r="N133" s="49"/>
      <c r="O133" s="49"/>
      <c r="P133" s="49"/>
      <c r="Q133" s="49"/>
      <c r="R133" s="49">
        <v>100</v>
      </c>
      <c r="S133" s="49">
        <v>0.33333333333333326</v>
      </c>
      <c r="T133" s="50">
        <v>0</v>
      </c>
      <c r="U133" s="49">
        <v>0</v>
      </c>
    </row>
    <row r="134" spans="1:21" s="51" customFormat="1" x14ac:dyDescent="0.2">
      <c r="A134" s="49" t="s">
        <v>478</v>
      </c>
      <c r="B134" s="49" t="s">
        <v>479</v>
      </c>
      <c r="C134" s="49" t="s">
        <v>480</v>
      </c>
      <c r="D134" s="49" t="s">
        <v>628</v>
      </c>
      <c r="E134" s="49" t="s">
        <v>629</v>
      </c>
      <c r="F134" s="49" t="s">
        <v>630</v>
      </c>
      <c r="G134" s="49" t="s">
        <v>631</v>
      </c>
      <c r="H134" s="49" t="s">
        <v>485</v>
      </c>
      <c r="I134" s="49" t="s">
        <v>478</v>
      </c>
      <c r="J134" s="49" t="s">
        <v>479</v>
      </c>
      <c r="K134" s="49">
        <v>0.33333333333333331</v>
      </c>
      <c r="L134" s="49" t="s">
        <v>70</v>
      </c>
      <c r="M134" s="49">
        <v>2023</v>
      </c>
      <c r="N134" s="49"/>
      <c r="O134" s="49"/>
      <c r="P134" s="49"/>
      <c r="Q134" s="49"/>
      <c r="R134" s="49">
        <v>100</v>
      </c>
      <c r="S134" s="49">
        <v>0.33333333333333326</v>
      </c>
      <c r="T134" s="50">
        <v>0</v>
      </c>
      <c r="U134" s="49">
        <v>0</v>
      </c>
    </row>
    <row r="135" spans="1:21" x14ac:dyDescent="0.2">
      <c r="A135" s="18" t="s">
        <v>478</v>
      </c>
      <c r="B135" s="18" t="s">
        <v>479</v>
      </c>
      <c r="C135" s="18" t="s">
        <v>480</v>
      </c>
      <c r="D135" s="18" t="s">
        <v>492</v>
      </c>
      <c r="E135" s="18" t="s">
        <v>493</v>
      </c>
      <c r="F135" s="18" t="s">
        <v>494</v>
      </c>
      <c r="G135" s="18" t="s">
        <v>495</v>
      </c>
      <c r="H135" s="18" t="s">
        <v>496</v>
      </c>
      <c r="I135" s="18" t="s">
        <v>478</v>
      </c>
      <c r="J135" s="18" t="s">
        <v>479</v>
      </c>
      <c r="K135" s="18">
        <v>1</v>
      </c>
      <c r="L135" s="18" t="s">
        <v>70</v>
      </c>
      <c r="M135" s="18">
        <v>2023</v>
      </c>
      <c r="N135" s="18" t="s">
        <v>23</v>
      </c>
      <c r="O135" s="18" t="s">
        <v>23</v>
      </c>
      <c r="P135" s="18" t="s">
        <v>23</v>
      </c>
      <c r="Q135" s="18" t="s">
        <v>23</v>
      </c>
      <c r="R135" s="18">
        <v>100</v>
      </c>
      <c r="S135" s="18">
        <v>1</v>
      </c>
      <c r="T135" s="36">
        <v>0</v>
      </c>
      <c r="U135" s="18">
        <v>0</v>
      </c>
    </row>
    <row r="136" spans="1:21" s="51" customFormat="1" x14ac:dyDescent="0.2">
      <c r="A136" s="49" t="s">
        <v>478</v>
      </c>
      <c r="B136" s="49" t="s">
        <v>677</v>
      </c>
      <c r="C136" s="49" t="s">
        <v>480</v>
      </c>
      <c r="D136" s="49" t="s">
        <v>678</v>
      </c>
      <c r="E136" s="49" t="s">
        <v>679</v>
      </c>
      <c r="F136" s="49" t="s">
        <v>680</v>
      </c>
      <c r="G136" s="49" t="s">
        <v>491</v>
      </c>
      <c r="H136" s="49" t="s">
        <v>485</v>
      </c>
      <c r="I136" s="49" t="s">
        <v>486</v>
      </c>
      <c r="J136" s="49" t="s">
        <v>487</v>
      </c>
      <c r="K136" s="49">
        <v>0.33333333333333331</v>
      </c>
      <c r="L136" s="49" t="s">
        <v>70</v>
      </c>
      <c r="M136" s="49">
        <v>2024</v>
      </c>
      <c r="N136" s="49" t="s">
        <v>23</v>
      </c>
      <c r="O136" s="49" t="s">
        <v>23</v>
      </c>
      <c r="P136" s="49" t="s">
        <v>23</v>
      </c>
      <c r="Q136" s="49" t="s">
        <v>23</v>
      </c>
      <c r="R136" s="49">
        <v>100</v>
      </c>
      <c r="S136" s="49">
        <v>0.33333333333333326</v>
      </c>
      <c r="T136" s="50">
        <v>0</v>
      </c>
      <c r="U136" s="49">
        <v>0</v>
      </c>
    </row>
    <row r="137" spans="1:21" s="51" customFormat="1" x14ac:dyDescent="0.2">
      <c r="A137" s="49" t="s">
        <v>478</v>
      </c>
      <c r="B137" s="49" t="s">
        <v>677</v>
      </c>
      <c r="C137" s="49" t="s">
        <v>480</v>
      </c>
      <c r="D137" s="49" t="s">
        <v>681</v>
      </c>
      <c r="E137" s="49" t="s">
        <v>682</v>
      </c>
      <c r="F137" s="49" t="s">
        <v>683</v>
      </c>
      <c r="G137" s="49" t="s">
        <v>491</v>
      </c>
      <c r="H137" s="49" t="s">
        <v>485</v>
      </c>
      <c r="I137" s="49" t="s">
        <v>478</v>
      </c>
      <c r="J137" s="49" t="s">
        <v>677</v>
      </c>
      <c r="K137" s="49">
        <v>0.5</v>
      </c>
      <c r="L137" s="49" t="s">
        <v>70</v>
      </c>
      <c r="M137" s="49">
        <v>2024</v>
      </c>
      <c r="N137" s="49" t="s">
        <v>23</v>
      </c>
      <c r="O137" s="49" t="s">
        <v>23</v>
      </c>
      <c r="P137" s="49" t="s">
        <v>23</v>
      </c>
      <c r="Q137" s="49" t="s">
        <v>23</v>
      </c>
      <c r="R137" s="49">
        <v>100</v>
      </c>
      <c r="S137" s="49">
        <v>0.5</v>
      </c>
      <c r="T137" s="50">
        <v>0</v>
      </c>
      <c r="U137" s="49">
        <v>0</v>
      </c>
    </row>
    <row r="138" spans="1:21" s="51" customFormat="1" x14ac:dyDescent="0.2">
      <c r="A138" s="49" t="s">
        <v>478</v>
      </c>
      <c r="B138" s="49" t="s">
        <v>677</v>
      </c>
      <c r="C138" s="49" t="s">
        <v>480</v>
      </c>
      <c r="D138" s="49" t="s">
        <v>684</v>
      </c>
      <c r="E138" s="49" t="s">
        <v>685</v>
      </c>
      <c r="F138" s="49" t="s">
        <v>686</v>
      </c>
      <c r="G138" s="49" t="s">
        <v>491</v>
      </c>
      <c r="H138" s="49" t="s">
        <v>485</v>
      </c>
      <c r="I138" s="49" t="s">
        <v>478</v>
      </c>
      <c r="J138" s="49" t="s">
        <v>677</v>
      </c>
      <c r="K138" s="49">
        <v>0.5</v>
      </c>
      <c r="L138" s="49" t="s">
        <v>70</v>
      </c>
      <c r="M138" s="49">
        <v>2024</v>
      </c>
      <c r="N138" s="49" t="s">
        <v>23</v>
      </c>
      <c r="O138" s="49" t="s">
        <v>23</v>
      </c>
      <c r="P138" s="49" t="s">
        <v>23</v>
      </c>
      <c r="Q138" s="49" t="s">
        <v>23</v>
      </c>
      <c r="R138" s="49">
        <v>100</v>
      </c>
      <c r="S138" s="49">
        <v>0.5</v>
      </c>
      <c r="T138" s="50">
        <v>0</v>
      </c>
      <c r="U138" s="49">
        <v>0</v>
      </c>
    </row>
    <row r="139" spans="1:21" x14ac:dyDescent="0.2">
      <c r="A139" s="18" t="s">
        <v>478</v>
      </c>
      <c r="B139" s="18" t="s">
        <v>677</v>
      </c>
      <c r="C139" s="18" t="s">
        <v>480</v>
      </c>
      <c r="D139" s="18" t="s">
        <v>687</v>
      </c>
      <c r="E139" s="18" t="s">
        <v>688</v>
      </c>
      <c r="F139" s="18" t="s">
        <v>689</v>
      </c>
      <c r="G139" s="18" t="s">
        <v>491</v>
      </c>
      <c r="H139" s="18" t="s">
        <v>485</v>
      </c>
      <c r="I139" s="18" t="s">
        <v>478</v>
      </c>
      <c r="J139" s="18" t="s">
        <v>677</v>
      </c>
      <c r="K139" s="18">
        <v>0.5</v>
      </c>
      <c r="L139" s="18" t="s">
        <v>70</v>
      </c>
      <c r="M139" s="18">
        <v>2024</v>
      </c>
      <c r="N139" s="18" t="s">
        <v>23</v>
      </c>
      <c r="O139" s="18" t="s">
        <v>23</v>
      </c>
      <c r="P139" s="18" t="s">
        <v>23</v>
      </c>
      <c r="Q139" s="18" t="s">
        <v>23</v>
      </c>
      <c r="R139" s="18">
        <v>100</v>
      </c>
      <c r="S139" s="18">
        <v>0.5</v>
      </c>
      <c r="T139" s="36">
        <v>0</v>
      </c>
      <c r="U139" s="18">
        <v>0</v>
      </c>
    </row>
    <row r="140" spans="1:21" x14ac:dyDescent="0.2">
      <c r="A140" s="18" t="s">
        <v>690</v>
      </c>
      <c r="B140" s="18" t="s">
        <v>691</v>
      </c>
      <c r="C140" s="18" t="s">
        <v>498</v>
      </c>
      <c r="D140" s="18" t="s">
        <v>692</v>
      </c>
      <c r="E140" s="18" t="s">
        <v>693</v>
      </c>
      <c r="F140" s="18" t="s">
        <v>694</v>
      </c>
      <c r="G140" s="18" t="s">
        <v>111</v>
      </c>
      <c r="H140" s="18" t="s">
        <v>485</v>
      </c>
      <c r="I140" s="18" t="s">
        <v>73</v>
      </c>
      <c r="J140" s="18" t="s">
        <v>695</v>
      </c>
      <c r="K140" s="18">
        <v>0.5</v>
      </c>
      <c r="L140" s="18" t="s">
        <v>73</v>
      </c>
      <c r="M140" s="18">
        <v>2024</v>
      </c>
      <c r="N140" s="18" t="s">
        <v>70</v>
      </c>
      <c r="O140" s="18" t="s">
        <v>51</v>
      </c>
      <c r="P140" s="18" t="s">
        <v>64</v>
      </c>
      <c r="Q140" s="18" t="s">
        <v>51</v>
      </c>
      <c r="R140" s="18">
        <v>40</v>
      </c>
      <c r="S140" s="18">
        <v>0.2</v>
      </c>
      <c r="T140" s="36">
        <v>0.15</v>
      </c>
      <c r="U140" s="18">
        <v>0.15</v>
      </c>
    </row>
    <row r="141" spans="1:21" x14ac:dyDescent="0.2">
      <c r="A141" s="18" t="s">
        <v>82</v>
      </c>
      <c r="B141" s="18" t="s">
        <v>696</v>
      </c>
      <c r="C141" s="18" t="s">
        <v>498</v>
      </c>
      <c r="D141" s="18" t="s">
        <v>697</v>
      </c>
      <c r="E141" s="18" t="s">
        <v>698</v>
      </c>
      <c r="F141" s="18" t="s">
        <v>699</v>
      </c>
      <c r="G141" s="18" t="s">
        <v>113</v>
      </c>
      <c r="H141" s="18" t="s">
        <v>496</v>
      </c>
      <c r="I141" s="18" t="s">
        <v>82</v>
      </c>
      <c r="J141" s="18" t="s">
        <v>696</v>
      </c>
      <c r="K141" s="18">
        <v>1</v>
      </c>
      <c r="L141" s="18" t="s">
        <v>82</v>
      </c>
      <c r="M141" s="18">
        <v>2024</v>
      </c>
      <c r="N141" s="18" t="s">
        <v>70</v>
      </c>
      <c r="O141" s="18" t="s">
        <v>44</v>
      </c>
      <c r="P141" s="18" t="s">
        <v>23</v>
      </c>
      <c r="Q141" s="18" t="s">
        <v>23</v>
      </c>
      <c r="R141" s="18">
        <v>90</v>
      </c>
      <c r="S141" s="18">
        <v>0.9</v>
      </c>
      <c r="T141" s="36">
        <v>0.1</v>
      </c>
      <c r="U141" s="18">
        <v>0</v>
      </c>
    </row>
    <row r="142" spans="1:21" x14ac:dyDescent="0.2">
      <c r="A142" s="18" t="s">
        <v>521</v>
      </c>
      <c r="B142" s="18" t="s">
        <v>700</v>
      </c>
      <c r="C142" s="18" t="s">
        <v>587</v>
      </c>
      <c r="D142" s="18" t="s">
        <v>701</v>
      </c>
      <c r="E142" s="18" t="s">
        <v>702</v>
      </c>
      <c r="F142" s="18" t="s">
        <v>703</v>
      </c>
      <c r="G142" s="18" t="s">
        <v>110</v>
      </c>
      <c r="H142" s="18" t="s">
        <v>496</v>
      </c>
      <c r="I142" s="18" t="s">
        <v>81</v>
      </c>
      <c r="J142" s="18" t="s">
        <v>704</v>
      </c>
      <c r="K142" s="18">
        <v>1</v>
      </c>
      <c r="L142" s="18" t="s">
        <v>81</v>
      </c>
      <c r="M142" s="18">
        <v>2024</v>
      </c>
      <c r="N142" s="18" t="s">
        <v>70</v>
      </c>
      <c r="O142" s="18" t="s">
        <v>618</v>
      </c>
      <c r="P142" s="18" t="s">
        <v>64</v>
      </c>
      <c r="Q142" s="18" t="s">
        <v>44</v>
      </c>
      <c r="R142" s="18">
        <v>65</v>
      </c>
      <c r="S142" s="18">
        <v>0.65</v>
      </c>
      <c r="T142" s="36">
        <v>0.25</v>
      </c>
      <c r="U142" s="18">
        <v>0.1</v>
      </c>
    </row>
    <row r="143" spans="1:21" x14ac:dyDescent="0.2">
      <c r="A143" s="18" t="s">
        <v>521</v>
      </c>
      <c r="B143" s="18" t="s">
        <v>700</v>
      </c>
      <c r="C143" s="18" t="s">
        <v>587</v>
      </c>
      <c r="D143" s="18" t="s">
        <v>705</v>
      </c>
      <c r="E143" s="18" t="s">
        <v>706</v>
      </c>
      <c r="F143" s="18" t="s">
        <v>694</v>
      </c>
      <c r="G143" s="18" t="s">
        <v>115</v>
      </c>
      <c r="H143" s="18" t="s">
        <v>485</v>
      </c>
      <c r="I143" s="18" t="s">
        <v>67</v>
      </c>
      <c r="J143" s="18" t="s">
        <v>707</v>
      </c>
      <c r="K143" s="18">
        <v>0.5</v>
      </c>
      <c r="L143" s="18" t="s">
        <v>67</v>
      </c>
      <c r="M143" s="18">
        <v>2024</v>
      </c>
      <c r="N143" s="18" t="s">
        <v>70</v>
      </c>
      <c r="O143" s="18" t="s">
        <v>51</v>
      </c>
      <c r="P143" s="18" t="s">
        <v>23</v>
      </c>
      <c r="Q143" s="18" t="s">
        <v>23</v>
      </c>
      <c r="R143" s="18">
        <v>70</v>
      </c>
      <c r="S143" s="18">
        <v>0.35</v>
      </c>
      <c r="T143" s="36">
        <v>0.15</v>
      </c>
      <c r="U143" s="18">
        <v>0</v>
      </c>
    </row>
    <row r="144" spans="1:21" x14ac:dyDescent="0.2">
      <c r="A144" s="18" t="s">
        <v>521</v>
      </c>
      <c r="B144" s="18" t="s">
        <v>700</v>
      </c>
      <c r="C144" s="18" t="s">
        <v>587</v>
      </c>
      <c r="D144" s="18" t="s">
        <v>705</v>
      </c>
      <c r="E144" s="18" t="s">
        <v>706</v>
      </c>
      <c r="F144" s="18" t="s">
        <v>694</v>
      </c>
      <c r="G144" s="18" t="s">
        <v>106</v>
      </c>
      <c r="H144" s="18" t="s">
        <v>485</v>
      </c>
      <c r="I144" s="18" t="s">
        <v>67</v>
      </c>
      <c r="J144" s="18" t="s">
        <v>707</v>
      </c>
      <c r="K144" s="18">
        <v>0.5</v>
      </c>
      <c r="L144" s="18" t="s">
        <v>67</v>
      </c>
      <c r="M144" s="18">
        <v>2024</v>
      </c>
      <c r="N144" s="18" t="s">
        <v>70</v>
      </c>
      <c r="O144" s="18" t="s">
        <v>51</v>
      </c>
      <c r="P144" s="18" t="s">
        <v>68</v>
      </c>
      <c r="Q144" s="18" t="s">
        <v>44</v>
      </c>
      <c r="R144" s="18">
        <v>60</v>
      </c>
      <c r="S144" s="18">
        <v>0.3</v>
      </c>
      <c r="T144" s="36">
        <v>0.15</v>
      </c>
      <c r="U144" s="18">
        <v>0.05</v>
      </c>
    </row>
    <row r="145" spans="1:21" x14ac:dyDescent="0.2">
      <c r="A145" s="18" t="s">
        <v>527</v>
      </c>
      <c r="B145" s="18" t="s">
        <v>708</v>
      </c>
      <c r="C145" s="18" t="s">
        <v>529</v>
      </c>
      <c r="D145" s="18" t="s">
        <v>709</v>
      </c>
      <c r="E145" s="18" t="s">
        <v>710</v>
      </c>
      <c r="F145" s="18" t="s">
        <v>711</v>
      </c>
      <c r="G145" s="18" t="s">
        <v>127</v>
      </c>
      <c r="H145" s="18" t="s">
        <v>496</v>
      </c>
      <c r="I145" s="18" t="s">
        <v>39</v>
      </c>
      <c r="J145" s="18" t="s">
        <v>712</v>
      </c>
      <c r="K145" s="18">
        <v>1</v>
      </c>
      <c r="L145" s="18" t="s">
        <v>39</v>
      </c>
      <c r="M145" s="18">
        <v>2024</v>
      </c>
      <c r="N145" s="18" t="s">
        <v>70</v>
      </c>
      <c r="O145" s="18" t="s">
        <v>33</v>
      </c>
      <c r="P145" s="18" t="s">
        <v>23</v>
      </c>
      <c r="Q145" s="18" t="s">
        <v>23</v>
      </c>
      <c r="R145" s="18">
        <v>50</v>
      </c>
      <c r="S145" s="18">
        <v>0.5</v>
      </c>
      <c r="T145" s="36">
        <v>0.5</v>
      </c>
      <c r="U145" s="18">
        <v>0</v>
      </c>
    </row>
    <row r="146" spans="1:21" x14ac:dyDescent="0.2">
      <c r="A146" s="18" t="s">
        <v>527</v>
      </c>
      <c r="B146" s="18" t="s">
        <v>708</v>
      </c>
      <c r="C146" s="18" t="s">
        <v>529</v>
      </c>
      <c r="D146" s="18" t="s">
        <v>713</v>
      </c>
      <c r="E146" s="18" t="s">
        <v>714</v>
      </c>
      <c r="F146" s="18" t="s">
        <v>715</v>
      </c>
      <c r="G146" s="18" t="s">
        <v>116</v>
      </c>
      <c r="H146" s="18" t="s">
        <v>496</v>
      </c>
      <c r="I146" s="18" t="s">
        <v>83</v>
      </c>
      <c r="J146" s="18" t="s">
        <v>716</v>
      </c>
      <c r="K146" s="18">
        <v>1</v>
      </c>
      <c r="L146" s="18" t="s">
        <v>83</v>
      </c>
      <c r="M146" s="18">
        <v>2024</v>
      </c>
      <c r="N146" s="18" t="s">
        <v>70</v>
      </c>
      <c r="O146" s="18" t="s">
        <v>44</v>
      </c>
      <c r="P146" s="18" t="s">
        <v>23</v>
      </c>
      <c r="Q146" s="18" t="s">
        <v>23</v>
      </c>
      <c r="R146" s="18">
        <v>90</v>
      </c>
      <c r="S146" s="18">
        <v>0.9</v>
      </c>
      <c r="T146" s="36">
        <v>0.1</v>
      </c>
      <c r="U146" s="18">
        <v>0</v>
      </c>
    </row>
    <row r="147" spans="1:21" x14ac:dyDescent="0.2">
      <c r="A147" s="18" t="s">
        <v>527</v>
      </c>
      <c r="B147" s="18" t="s">
        <v>708</v>
      </c>
      <c r="C147" s="18" t="s">
        <v>529</v>
      </c>
      <c r="D147" s="18" t="s">
        <v>717</v>
      </c>
      <c r="E147" s="18" t="s">
        <v>718</v>
      </c>
      <c r="F147" s="18" t="s">
        <v>719</v>
      </c>
      <c r="G147" s="18" t="s">
        <v>127</v>
      </c>
      <c r="H147" s="18" t="s">
        <v>496</v>
      </c>
      <c r="I147" s="18" t="s">
        <v>39</v>
      </c>
      <c r="J147" s="18" t="s">
        <v>712</v>
      </c>
      <c r="K147" s="18">
        <v>1</v>
      </c>
      <c r="L147" s="18" t="s">
        <v>39</v>
      </c>
      <c r="M147" s="18">
        <v>2024</v>
      </c>
      <c r="N147" s="18" t="s">
        <v>70</v>
      </c>
      <c r="O147" s="18" t="s">
        <v>33</v>
      </c>
      <c r="P147" s="18" t="s">
        <v>23</v>
      </c>
      <c r="Q147" s="18" t="s">
        <v>23</v>
      </c>
      <c r="R147" s="18">
        <v>50</v>
      </c>
      <c r="S147" s="18">
        <v>0.5</v>
      </c>
      <c r="T147" s="36">
        <v>0.5</v>
      </c>
      <c r="U147" s="18">
        <v>0</v>
      </c>
    </row>
    <row r="148" spans="1:21" x14ac:dyDescent="0.2">
      <c r="A148" s="18" t="s">
        <v>540</v>
      </c>
      <c r="B148" s="18" t="s">
        <v>720</v>
      </c>
      <c r="C148" s="18" t="s">
        <v>542</v>
      </c>
      <c r="D148" s="18" t="s">
        <v>721</v>
      </c>
      <c r="E148" s="18" t="s">
        <v>722</v>
      </c>
      <c r="F148" s="18" t="s">
        <v>711</v>
      </c>
      <c r="G148" s="18" t="s">
        <v>148</v>
      </c>
      <c r="H148" s="18" t="s">
        <v>496</v>
      </c>
      <c r="I148" s="18" t="s">
        <v>145</v>
      </c>
      <c r="J148" s="18" t="s">
        <v>723</v>
      </c>
      <c r="K148" s="18">
        <v>1</v>
      </c>
      <c r="L148" s="18" t="s">
        <v>145</v>
      </c>
      <c r="M148" s="18">
        <v>2024</v>
      </c>
      <c r="N148" s="18" t="s">
        <v>70</v>
      </c>
      <c r="O148" s="18" t="s">
        <v>40</v>
      </c>
      <c r="P148" s="18" t="s">
        <v>64</v>
      </c>
      <c r="Q148" s="18" t="s">
        <v>44</v>
      </c>
      <c r="R148" s="18">
        <v>70</v>
      </c>
      <c r="S148" s="18">
        <v>0.7</v>
      </c>
      <c r="T148" s="36">
        <v>0.2</v>
      </c>
      <c r="U148" s="18">
        <v>0.1</v>
      </c>
    </row>
    <row r="149" spans="1:21" x14ac:dyDescent="0.2">
      <c r="A149" s="18" t="s">
        <v>540</v>
      </c>
      <c r="B149" s="18" t="s">
        <v>720</v>
      </c>
      <c r="C149" s="18" t="s">
        <v>542</v>
      </c>
      <c r="D149" s="18" t="s">
        <v>724</v>
      </c>
      <c r="E149" s="18" t="s">
        <v>725</v>
      </c>
      <c r="F149" s="18" t="s">
        <v>711</v>
      </c>
      <c r="G149" s="18" t="s">
        <v>148</v>
      </c>
      <c r="H149" s="18" t="s">
        <v>496</v>
      </c>
      <c r="I149" s="18" t="s">
        <v>145</v>
      </c>
      <c r="J149" s="18" t="s">
        <v>723</v>
      </c>
      <c r="K149" s="18">
        <v>1</v>
      </c>
      <c r="L149" s="18" t="s">
        <v>145</v>
      </c>
      <c r="M149" s="18">
        <v>2024</v>
      </c>
      <c r="N149" s="18" t="s">
        <v>70</v>
      </c>
      <c r="O149" s="18" t="s">
        <v>40</v>
      </c>
      <c r="P149" s="18" t="s">
        <v>64</v>
      </c>
      <c r="Q149" s="18" t="s">
        <v>44</v>
      </c>
      <c r="R149" s="18">
        <v>70</v>
      </c>
      <c r="S149" s="18">
        <v>0.7</v>
      </c>
      <c r="T149" s="36">
        <v>0.2</v>
      </c>
      <c r="U149" s="18">
        <v>0.1</v>
      </c>
    </row>
    <row r="150" spans="1:21" x14ac:dyDescent="0.2">
      <c r="A150" s="18" t="s">
        <v>540</v>
      </c>
      <c r="B150" s="18" t="s">
        <v>720</v>
      </c>
      <c r="C150" s="18" t="s">
        <v>542</v>
      </c>
      <c r="D150" s="18" t="s">
        <v>726</v>
      </c>
      <c r="E150" s="18" t="s">
        <v>727</v>
      </c>
      <c r="F150" s="18" t="s">
        <v>728</v>
      </c>
      <c r="G150" s="18" t="s">
        <v>148</v>
      </c>
      <c r="H150" s="18" t="s">
        <v>496</v>
      </c>
      <c r="I150" s="18" t="s">
        <v>145</v>
      </c>
      <c r="J150" s="18" t="s">
        <v>723</v>
      </c>
      <c r="K150" s="18">
        <v>1</v>
      </c>
      <c r="L150" s="18" t="s">
        <v>145</v>
      </c>
      <c r="M150" s="18">
        <v>2024</v>
      </c>
      <c r="N150" s="18" t="s">
        <v>70</v>
      </c>
      <c r="O150" s="18" t="s">
        <v>40</v>
      </c>
      <c r="P150" s="18" t="s">
        <v>64</v>
      </c>
      <c r="Q150" s="18" t="s">
        <v>44</v>
      </c>
      <c r="R150" s="18">
        <v>70</v>
      </c>
      <c r="S150" s="18">
        <v>0.7</v>
      </c>
      <c r="T150" s="36">
        <v>0.2</v>
      </c>
      <c r="U150" s="18">
        <v>0.1</v>
      </c>
    </row>
    <row r="151" spans="1:21" x14ac:dyDescent="0.2">
      <c r="A151" s="18" t="s">
        <v>729</v>
      </c>
      <c r="B151" s="18" t="s">
        <v>730</v>
      </c>
      <c r="C151" s="18" t="s">
        <v>731</v>
      </c>
      <c r="D151" s="18" t="s">
        <v>732</v>
      </c>
      <c r="E151" s="18" t="s">
        <v>733</v>
      </c>
      <c r="F151" s="18" t="s">
        <v>734</v>
      </c>
      <c r="G151" s="18" t="s">
        <v>735</v>
      </c>
      <c r="H151" s="18" t="s">
        <v>496</v>
      </c>
      <c r="I151" s="18" t="s">
        <v>63</v>
      </c>
      <c r="J151" s="18" t="s">
        <v>736</v>
      </c>
      <c r="K151" s="18">
        <v>1</v>
      </c>
      <c r="L151" s="18" t="s">
        <v>63</v>
      </c>
      <c r="M151" s="18">
        <v>2024</v>
      </c>
      <c r="N151" s="18" t="s">
        <v>70</v>
      </c>
      <c r="O151" s="18" t="s">
        <v>51</v>
      </c>
      <c r="P151" s="18" t="s">
        <v>64</v>
      </c>
      <c r="Q151" s="18" t="s">
        <v>40</v>
      </c>
      <c r="R151" s="18">
        <v>50</v>
      </c>
      <c r="S151" s="18">
        <v>0.5</v>
      </c>
      <c r="T151" s="36">
        <v>0.3</v>
      </c>
      <c r="U151" s="18">
        <v>0.2</v>
      </c>
    </row>
    <row r="152" spans="1:21" x14ac:dyDescent="0.2">
      <c r="A152" s="18" t="s">
        <v>729</v>
      </c>
      <c r="B152" s="18" t="s">
        <v>730</v>
      </c>
      <c r="C152" s="18" t="s">
        <v>731</v>
      </c>
      <c r="D152" s="18" t="s">
        <v>737</v>
      </c>
      <c r="E152" s="18" t="s">
        <v>738</v>
      </c>
      <c r="F152" s="18" t="s">
        <v>739</v>
      </c>
      <c r="G152" s="18" t="s">
        <v>735</v>
      </c>
      <c r="H152" s="18" t="s">
        <v>496</v>
      </c>
      <c r="I152" s="18" t="s">
        <v>63</v>
      </c>
      <c r="J152" s="18" t="s">
        <v>736</v>
      </c>
      <c r="K152" s="18">
        <v>1</v>
      </c>
      <c r="L152" s="18" t="s">
        <v>63</v>
      </c>
      <c r="M152" s="18">
        <v>2024</v>
      </c>
      <c r="N152" s="18" t="s">
        <v>70</v>
      </c>
      <c r="O152" s="18" t="s">
        <v>51</v>
      </c>
      <c r="P152" s="18" t="s">
        <v>64</v>
      </c>
      <c r="Q152" s="18" t="s">
        <v>40</v>
      </c>
      <c r="R152" s="18">
        <v>50</v>
      </c>
      <c r="S152" s="18">
        <v>0.5</v>
      </c>
      <c r="T152" s="36">
        <v>0.3</v>
      </c>
      <c r="U152" s="18">
        <v>0.2</v>
      </c>
    </row>
    <row r="153" spans="1:21" x14ac:dyDescent="0.2">
      <c r="A153" s="18" t="s">
        <v>478</v>
      </c>
      <c r="B153" s="18" t="s">
        <v>677</v>
      </c>
      <c r="C153" s="18" t="s">
        <v>480</v>
      </c>
      <c r="D153" s="18" t="s">
        <v>740</v>
      </c>
      <c r="E153" s="18" t="s">
        <v>741</v>
      </c>
      <c r="F153" s="18" t="s">
        <v>742</v>
      </c>
      <c r="G153" s="18" t="s">
        <v>121</v>
      </c>
      <c r="H153" s="18" t="s">
        <v>496</v>
      </c>
      <c r="I153" s="18" t="s">
        <v>83</v>
      </c>
      <c r="J153" s="18" t="s">
        <v>716</v>
      </c>
      <c r="K153" s="18">
        <v>1</v>
      </c>
      <c r="L153" s="18" t="s">
        <v>83</v>
      </c>
      <c r="M153" s="18">
        <v>2024</v>
      </c>
      <c r="N153" s="18" t="s">
        <v>70</v>
      </c>
      <c r="O153" s="18" t="s">
        <v>44</v>
      </c>
      <c r="P153" s="18" t="s">
        <v>23</v>
      </c>
      <c r="Q153" s="18" t="s">
        <v>23</v>
      </c>
      <c r="R153" s="18">
        <v>90</v>
      </c>
      <c r="S153" s="18">
        <v>0.9</v>
      </c>
      <c r="T153" s="36">
        <v>0.1</v>
      </c>
      <c r="U153" s="18">
        <v>0</v>
      </c>
    </row>
    <row r="154" spans="1:21" x14ac:dyDescent="0.2">
      <c r="A154" s="18" t="s">
        <v>478</v>
      </c>
      <c r="B154" s="18" t="s">
        <v>677</v>
      </c>
      <c r="C154" s="18" t="s">
        <v>480</v>
      </c>
      <c r="D154" s="18" t="s">
        <v>743</v>
      </c>
      <c r="E154" s="18" t="s">
        <v>744</v>
      </c>
      <c r="F154" s="18" t="s">
        <v>745</v>
      </c>
      <c r="G154" s="18" t="s">
        <v>126</v>
      </c>
      <c r="H154" s="18" t="s">
        <v>496</v>
      </c>
      <c r="I154" s="18" t="s">
        <v>56</v>
      </c>
      <c r="J154" s="18" t="s">
        <v>746</v>
      </c>
      <c r="K154" s="18">
        <v>1</v>
      </c>
      <c r="L154" s="18" t="s">
        <v>56</v>
      </c>
      <c r="M154" s="18">
        <v>2024</v>
      </c>
      <c r="N154" s="18" t="s">
        <v>70</v>
      </c>
      <c r="O154" s="18" t="s">
        <v>33</v>
      </c>
      <c r="P154" s="18" t="s">
        <v>23</v>
      </c>
      <c r="Q154" s="18" t="s">
        <v>23</v>
      </c>
      <c r="R154" s="18">
        <v>50</v>
      </c>
      <c r="S154" s="18">
        <v>0.5</v>
      </c>
      <c r="T154" s="36">
        <v>0.5</v>
      </c>
      <c r="U154" s="18">
        <v>0</v>
      </c>
    </row>
    <row r="155" spans="1:21" x14ac:dyDescent="0.2">
      <c r="A155" s="18" t="s">
        <v>478</v>
      </c>
      <c r="B155" s="18" t="s">
        <v>677</v>
      </c>
      <c r="C155" s="18" t="s">
        <v>480</v>
      </c>
      <c r="D155" s="18" t="s">
        <v>678</v>
      </c>
      <c r="E155" s="18" t="s">
        <v>679</v>
      </c>
      <c r="F155" s="18" t="s">
        <v>680</v>
      </c>
      <c r="G155" s="18" t="s">
        <v>143</v>
      </c>
      <c r="H155" s="18" t="s">
        <v>485</v>
      </c>
      <c r="I155" s="18" t="s">
        <v>56</v>
      </c>
      <c r="J155" s="18" t="s">
        <v>746</v>
      </c>
      <c r="K155" s="18">
        <v>0.33333333333333331</v>
      </c>
      <c r="L155" s="18" t="s">
        <v>56</v>
      </c>
      <c r="M155" s="18">
        <v>2024</v>
      </c>
      <c r="N155" s="18" t="s">
        <v>70</v>
      </c>
      <c r="O155" s="18" t="s">
        <v>612</v>
      </c>
      <c r="P155" s="18" t="s">
        <v>23</v>
      </c>
      <c r="Q155" s="18" t="s">
        <v>23</v>
      </c>
      <c r="R155" s="18">
        <v>20</v>
      </c>
      <c r="S155" s="18">
        <v>6.6666666666666666E-2</v>
      </c>
      <c r="T155" s="36">
        <v>0.26666666666666666</v>
      </c>
      <c r="U155" s="18">
        <v>0</v>
      </c>
    </row>
    <row r="156" spans="1:21" x14ac:dyDescent="0.2">
      <c r="A156" s="18" t="s">
        <v>478</v>
      </c>
      <c r="B156" s="18" t="s">
        <v>677</v>
      </c>
      <c r="C156" s="18" t="s">
        <v>480</v>
      </c>
      <c r="D156" s="18" t="s">
        <v>747</v>
      </c>
      <c r="E156" s="18" t="s">
        <v>748</v>
      </c>
      <c r="F156" s="18" t="s">
        <v>749</v>
      </c>
      <c r="G156" s="18" t="s">
        <v>120</v>
      </c>
      <c r="H156" s="18" t="s">
        <v>496</v>
      </c>
      <c r="I156" s="18" t="s">
        <v>56</v>
      </c>
      <c r="J156" s="18" t="s">
        <v>746</v>
      </c>
      <c r="K156" s="18">
        <v>1</v>
      </c>
      <c r="L156" s="18" t="s">
        <v>56</v>
      </c>
      <c r="M156" s="18">
        <v>2024</v>
      </c>
      <c r="N156" s="18" t="s">
        <v>70</v>
      </c>
      <c r="O156" s="18" t="s">
        <v>33</v>
      </c>
      <c r="P156" s="18" t="s">
        <v>23</v>
      </c>
      <c r="Q156" s="18" t="s">
        <v>23</v>
      </c>
      <c r="R156" s="18">
        <v>50</v>
      </c>
      <c r="S156" s="18">
        <v>0.5</v>
      </c>
      <c r="T156" s="36">
        <v>0.5</v>
      </c>
      <c r="U156" s="18">
        <v>0</v>
      </c>
    </row>
    <row r="157" spans="1:21" x14ac:dyDescent="0.2">
      <c r="A157" s="18" t="s">
        <v>478</v>
      </c>
      <c r="B157" s="18" t="s">
        <v>677</v>
      </c>
      <c r="C157" s="18" t="s">
        <v>480</v>
      </c>
      <c r="D157" s="18" t="s">
        <v>684</v>
      </c>
      <c r="E157" s="18" t="s">
        <v>685</v>
      </c>
      <c r="F157" s="18" t="s">
        <v>686</v>
      </c>
      <c r="G157" s="18" t="s">
        <v>143</v>
      </c>
      <c r="H157" s="18" t="s">
        <v>485</v>
      </c>
      <c r="I157" s="18" t="s">
        <v>56</v>
      </c>
      <c r="J157" s="18" t="s">
        <v>746</v>
      </c>
      <c r="K157" s="18">
        <v>0.5</v>
      </c>
      <c r="L157" s="18" t="s">
        <v>56</v>
      </c>
      <c r="M157" s="18">
        <v>2024</v>
      </c>
      <c r="N157" s="18" t="s">
        <v>70</v>
      </c>
      <c r="O157" s="18" t="s">
        <v>612</v>
      </c>
      <c r="P157" s="18" t="s">
        <v>23</v>
      </c>
      <c r="Q157" s="18" t="s">
        <v>23</v>
      </c>
      <c r="R157" s="18">
        <v>20</v>
      </c>
      <c r="S157" s="18">
        <v>0.1</v>
      </c>
      <c r="T157" s="36">
        <v>0.4</v>
      </c>
      <c r="U157" s="18">
        <v>0</v>
      </c>
    </row>
    <row r="158" spans="1:21" x14ac:dyDescent="0.2">
      <c r="A158" s="18" t="s">
        <v>478</v>
      </c>
      <c r="B158" s="18" t="s">
        <v>677</v>
      </c>
      <c r="C158" s="18" t="s">
        <v>480</v>
      </c>
      <c r="D158" s="18" t="s">
        <v>687</v>
      </c>
      <c r="E158" s="18" t="s">
        <v>688</v>
      </c>
      <c r="F158" s="18" t="s">
        <v>689</v>
      </c>
      <c r="G158" s="18" t="s">
        <v>128</v>
      </c>
      <c r="H158" s="18" t="s">
        <v>485</v>
      </c>
      <c r="I158" s="18" t="s">
        <v>63</v>
      </c>
      <c r="J158" s="18" t="s">
        <v>736</v>
      </c>
      <c r="K158" s="18">
        <v>0.5</v>
      </c>
      <c r="L158" s="18" t="s">
        <v>63</v>
      </c>
      <c r="M158" s="18">
        <v>2024</v>
      </c>
      <c r="N158" s="18" t="s">
        <v>70</v>
      </c>
      <c r="O158" s="18" t="s">
        <v>51</v>
      </c>
      <c r="P158" s="18" t="s">
        <v>23</v>
      </c>
      <c r="Q158" s="18" t="s">
        <v>23</v>
      </c>
      <c r="R158" s="18">
        <v>70</v>
      </c>
      <c r="S158" s="18">
        <v>0.35</v>
      </c>
      <c r="T158" s="36">
        <v>0.15</v>
      </c>
      <c r="U158" s="18">
        <v>0</v>
      </c>
    </row>
    <row r="159" spans="1:21" x14ac:dyDescent="0.2">
      <c r="A159" s="18" t="s">
        <v>82</v>
      </c>
      <c r="B159" s="18" t="s">
        <v>696</v>
      </c>
      <c r="C159" s="18" t="s">
        <v>498</v>
      </c>
      <c r="D159" s="18" t="s">
        <v>750</v>
      </c>
      <c r="E159" s="18" t="s">
        <v>751</v>
      </c>
      <c r="F159" s="18" t="s">
        <v>742</v>
      </c>
      <c r="G159" s="18" t="s">
        <v>512</v>
      </c>
      <c r="H159" s="18" t="s">
        <v>496</v>
      </c>
      <c r="I159" s="18" t="s">
        <v>73</v>
      </c>
      <c r="J159" s="18" t="s">
        <v>695</v>
      </c>
      <c r="K159" s="18">
        <v>1</v>
      </c>
      <c r="L159" s="18" t="s">
        <v>73</v>
      </c>
      <c r="M159" s="18">
        <v>2024</v>
      </c>
      <c r="N159" s="18" t="s">
        <v>64</v>
      </c>
      <c r="O159" s="18" t="s">
        <v>40</v>
      </c>
      <c r="P159" s="18" t="s">
        <v>70</v>
      </c>
      <c r="Q159" s="18" t="s">
        <v>51</v>
      </c>
      <c r="R159" s="18">
        <v>50</v>
      </c>
      <c r="S159" s="18">
        <v>0.5</v>
      </c>
      <c r="T159" s="36">
        <v>0.2</v>
      </c>
      <c r="U159" s="18">
        <v>0.3</v>
      </c>
    </row>
    <row r="160" spans="1:21" x14ac:dyDescent="0.2">
      <c r="A160" s="18" t="s">
        <v>752</v>
      </c>
      <c r="B160" s="18" t="s">
        <v>753</v>
      </c>
      <c r="C160" s="18" t="s">
        <v>754</v>
      </c>
      <c r="D160" s="18" t="s">
        <v>755</v>
      </c>
      <c r="E160" s="18" t="s">
        <v>756</v>
      </c>
      <c r="F160" s="18" t="s">
        <v>757</v>
      </c>
      <c r="G160" s="18" t="s">
        <v>146</v>
      </c>
      <c r="H160" s="18" t="s">
        <v>485</v>
      </c>
      <c r="I160" s="18" t="s">
        <v>76</v>
      </c>
      <c r="J160" s="18" t="s">
        <v>758</v>
      </c>
      <c r="K160" s="18">
        <v>0.5</v>
      </c>
      <c r="L160" s="18" t="s">
        <v>76</v>
      </c>
      <c r="M160" s="18">
        <v>2024</v>
      </c>
      <c r="N160" s="18" t="s">
        <v>29</v>
      </c>
      <c r="O160" s="18" t="s">
        <v>44</v>
      </c>
      <c r="P160" s="18" t="s">
        <v>70</v>
      </c>
      <c r="Q160" s="18" t="s">
        <v>44</v>
      </c>
      <c r="R160" s="18">
        <v>80</v>
      </c>
      <c r="S160" s="18">
        <v>0.4</v>
      </c>
      <c r="T160" s="36">
        <v>0.05</v>
      </c>
      <c r="U160" s="18">
        <v>0.05</v>
      </c>
    </row>
    <row r="161" spans="1:21" x14ac:dyDescent="0.2">
      <c r="A161" s="18" t="s">
        <v>478</v>
      </c>
      <c r="B161" s="18" t="s">
        <v>677</v>
      </c>
      <c r="C161" s="18" t="s">
        <v>480</v>
      </c>
      <c r="D161" s="18" t="s">
        <v>681</v>
      </c>
      <c r="E161" s="18" t="s">
        <v>682</v>
      </c>
      <c r="F161" s="18" t="s">
        <v>683</v>
      </c>
      <c r="G161" s="18" t="s">
        <v>107</v>
      </c>
      <c r="H161" s="18" t="s">
        <v>485</v>
      </c>
      <c r="I161" s="18" t="s">
        <v>80</v>
      </c>
      <c r="J161" s="18" t="s">
        <v>759</v>
      </c>
      <c r="K161" s="18">
        <v>0.5</v>
      </c>
      <c r="L161" s="18" t="s">
        <v>80</v>
      </c>
      <c r="M161" s="18">
        <v>2024</v>
      </c>
      <c r="N161" s="18" t="s">
        <v>160</v>
      </c>
      <c r="O161" s="18" t="s">
        <v>51</v>
      </c>
      <c r="P161" s="18" t="s">
        <v>70</v>
      </c>
      <c r="Q161" s="18" t="s">
        <v>51</v>
      </c>
      <c r="R161" s="18">
        <v>40</v>
      </c>
      <c r="S161" s="18">
        <v>0.2</v>
      </c>
      <c r="T161" s="36">
        <v>0.15</v>
      </c>
      <c r="U161" s="18">
        <v>0.15</v>
      </c>
    </row>
    <row r="162" spans="1:21" x14ac:dyDescent="0.2">
      <c r="A162" s="28"/>
      <c r="B162" s="28"/>
      <c r="C162" s="28"/>
      <c r="D162" s="28"/>
      <c r="E162" s="28"/>
      <c r="F162" s="28"/>
      <c r="G162" s="28"/>
      <c r="H162" s="28"/>
      <c r="I162" s="28"/>
      <c r="J162" s="28"/>
      <c r="K162" s="28"/>
      <c r="L162" s="29"/>
      <c r="M162" s="28"/>
      <c r="N162" s="29"/>
      <c r="O162" s="28"/>
      <c r="P162" s="29"/>
      <c r="Q162" s="28"/>
      <c r="R162" s="28"/>
      <c r="S162" s="67">
        <f>SUM(S116:S125,T23:T115,U2:U22,T126,S127,T128:T132,S133:S139,T140:T158,U159:U161)</f>
        <v>49.5833333333333</v>
      </c>
      <c r="T162" s="67"/>
      <c r="U162" s="67"/>
    </row>
  </sheetData>
  <autoFilter ref="A1:T162" xr:uid="{00000000-0009-0000-0000-000000000000}"/>
  <mergeCells count="1">
    <mergeCell ref="S162:U162"/>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80"/>
  <sheetViews>
    <sheetView topLeftCell="A68" zoomScaleNormal="100" workbookViewId="0">
      <selection activeCell="W64" sqref="W64"/>
    </sheetView>
  </sheetViews>
  <sheetFormatPr baseColWidth="10" defaultColWidth="11.42578125" defaultRowHeight="12.75" x14ac:dyDescent="0.2"/>
  <cols>
    <col min="1" max="1" width="10.85546875" style="9" bestFit="1" customWidth="1"/>
    <col min="2" max="2" width="39.85546875" style="9" bestFit="1" customWidth="1"/>
    <col min="3" max="3" width="17" style="9" bestFit="1" customWidth="1"/>
    <col min="4" max="9" width="3.28515625" style="9" bestFit="1" customWidth="1"/>
    <col min="10" max="10" width="13.140625" style="9" bestFit="1" customWidth="1"/>
    <col min="11" max="11" width="5.28515625" style="9" bestFit="1" customWidth="1"/>
    <col min="12" max="12" width="5.7109375" style="9" bestFit="1" customWidth="1"/>
    <col min="13" max="14" width="5.7109375" style="10" bestFit="1" customWidth="1"/>
    <col min="15" max="15" width="5.7109375" style="9" bestFit="1" customWidth="1"/>
    <col min="16" max="16" width="5.7109375" style="10" bestFit="1" customWidth="1"/>
    <col min="17" max="19" width="5.7109375" style="9" bestFit="1" customWidth="1"/>
    <col min="20" max="16384" width="11.42578125" style="9"/>
  </cols>
  <sheetData>
    <row r="1" spans="1:19" ht="30" x14ac:dyDescent="0.2">
      <c r="A1" s="11" t="s">
        <v>92</v>
      </c>
      <c r="B1" s="11" t="s">
        <v>93</v>
      </c>
      <c r="C1" s="11" t="s">
        <v>94</v>
      </c>
      <c r="D1" s="12" t="s">
        <v>760</v>
      </c>
      <c r="E1" s="12" t="s">
        <v>761</v>
      </c>
      <c r="F1" s="12" t="s">
        <v>762</v>
      </c>
      <c r="G1" s="12" t="s">
        <v>763</v>
      </c>
      <c r="H1" s="12" t="s">
        <v>764</v>
      </c>
      <c r="I1" s="12" t="s">
        <v>765</v>
      </c>
      <c r="J1" s="11" t="s">
        <v>95</v>
      </c>
      <c r="K1" s="13" t="s">
        <v>149</v>
      </c>
      <c r="L1" s="7" t="s">
        <v>96</v>
      </c>
      <c r="M1" s="7" t="s">
        <v>97</v>
      </c>
      <c r="N1" s="7" t="s">
        <v>98</v>
      </c>
      <c r="O1" s="7" t="s">
        <v>99</v>
      </c>
      <c r="P1" s="8" t="s">
        <v>100</v>
      </c>
      <c r="Q1" s="8" t="s">
        <v>101</v>
      </c>
      <c r="R1" s="8" t="s">
        <v>102</v>
      </c>
      <c r="S1" s="8" t="s">
        <v>103</v>
      </c>
    </row>
    <row r="2" spans="1:19" ht="15" x14ac:dyDescent="0.25">
      <c r="A2" s="14" t="s">
        <v>106</v>
      </c>
      <c r="B2" s="14" t="s">
        <v>766</v>
      </c>
      <c r="C2" s="14" t="s">
        <v>104</v>
      </c>
      <c r="D2" s="14"/>
      <c r="E2" s="14"/>
      <c r="F2" s="14"/>
      <c r="G2" s="14">
        <v>1</v>
      </c>
      <c r="H2" s="14"/>
      <c r="I2" s="14"/>
      <c r="J2" s="14">
        <v>1</v>
      </c>
      <c r="K2" s="14" t="s">
        <v>67</v>
      </c>
      <c r="L2" s="15" t="s">
        <v>70</v>
      </c>
      <c r="M2" s="15" t="s">
        <v>51</v>
      </c>
      <c r="N2" s="15" t="s">
        <v>68</v>
      </c>
      <c r="O2" s="15" t="s">
        <v>44</v>
      </c>
      <c r="P2" s="15">
        <v>60</v>
      </c>
      <c r="Q2" s="15">
        <v>0.3</v>
      </c>
      <c r="R2" s="15">
        <v>0.1</v>
      </c>
      <c r="S2" s="15">
        <v>0.6</v>
      </c>
    </row>
    <row r="3" spans="1:19" ht="15" x14ac:dyDescent="0.25">
      <c r="A3" s="14" t="s">
        <v>767</v>
      </c>
      <c r="B3" s="14" t="s">
        <v>768</v>
      </c>
      <c r="C3" s="14" t="s">
        <v>104</v>
      </c>
      <c r="D3" s="14"/>
      <c r="E3" s="14">
        <v>1</v>
      </c>
      <c r="F3" s="14"/>
      <c r="G3" s="14"/>
      <c r="H3" s="14"/>
      <c r="I3" s="14"/>
      <c r="J3" s="14">
        <v>1</v>
      </c>
      <c r="K3" s="14" t="s">
        <v>769</v>
      </c>
      <c r="L3" s="15" t="s">
        <v>70</v>
      </c>
      <c r="M3" s="15" t="s">
        <v>51</v>
      </c>
      <c r="N3" s="15" t="s">
        <v>23</v>
      </c>
      <c r="O3" s="15" t="s">
        <v>23</v>
      </c>
      <c r="P3" s="15">
        <v>70</v>
      </c>
      <c r="Q3" s="15">
        <v>0.3</v>
      </c>
      <c r="R3" s="15">
        <v>0</v>
      </c>
      <c r="S3" s="15">
        <v>0.7</v>
      </c>
    </row>
    <row r="4" spans="1:19" ht="15" x14ac:dyDescent="0.25">
      <c r="A4" s="14" t="s">
        <v>427</v>
      </c>
      <c r="B4" s="14" t="s">
        <v>770</v>
      </c>
      <c r="C4" s="14" t="s">
        <v>104</v>
      </c>
      <c r="D4" s="14">
        <v>2</v>
      </c>
      <c r="E4" s="14"/>
      <c r="F4" s="14"/>
      <c r="G4" s="14"/>
      <c r="H4" s="14"/>
      <c r="I4" s="14">
        <v>1</v>
      </c>
      <c r="J4" s="14">
        <v>3</v>
      </c>
      <c r="K4" s="14" t="s">
        <v>39</v>
      </c>
      <c r="L4" s="15" t="s">
        <v>70</v>
      </c>
      <c r="M4" s="15" t="s">
        <v>51</v>
      </c>
      <c r="N4" s="15" t="s">
        <v>23</v>
      </c>
      <c r="O4" s="15" t="s">
        <v>23</v>
      </c>
      <c r="P4" s="15">
        <v>70</v>
      </c>
      <c r="Q4" s="15">
        <v>0.9</v>
      </c>
      <c r="R4" s="15">
        <v>0</v>
      </c>
      <c r="S4" s="15">
        <v>2.1</v>
      </c>
    </row>
    <row r="5" spans="1:19" ht="15" x14ac:dyDescent="0.25">
      <c r="A5" s="20" t="s">
        <v>537</v>
      </c>
      <c r="B5" s="20" t="s">
        <v>771</v>
      </c>
      <c r="C5" s="21" t="s">
        <v>104</v>
      </c>
      <c r="D5" s="20">
        <v>1</v>
      </c>
      <c r="E5" s="20"/>
      <c r="F5" s="20"/>
      <c r="G5" s="20"/>
      <c r="H5" s="20"/>
      <c r="I5" s="20"/>
      <c r="J5" s="14">
        <v>1</v>
      </c>
      <c r="K5" s="14" t="s">
        <v>39</v>
      </c>
      <c r="L5" s="15" t="s">
        <v>70</v>
      </c>
      <c r="M5" s="15" t="s">
        <v>612</v>
      </c>
      <c r="N5" s="15" t="s">
        <v>23</v>
      </c>
      <c r="O5" s="15" t="s">
        <v>23</v>
      </c>
      <c r="P5" s="15">
        <v>20</v>
      </c>
      <c r="Q5" s="15">
        <v>0.8</v>
      </c>
      <c r="R5" s="15">
        <v>0</v>
      </c>
      <c r="S5" s="15">
        <v>0.2</v>
      </c>
    </row>
    <row r="6" spans="1:19" ht="15" x14ac:dyDescent="0.25">
      <c r="A6" s="14" t="s">
        <v>428</v>
      </c>
      <c r="B6" s="14" t="s">
        <v>772</v>
      </c>
      <c r="C6" s="14" t="s">
        <v>773</v>
      </c>
      <c r="D6" s="14"/>
      <c r="E6" s="14"/>
      <c r="F6" s="14"/>
      <c r="G6" s="14"/>
      <c r="H6" s="14"/>
      <c r="I6" s="14">
        <v>1</v>
      </c>
      <c r="J6" s="14">
        <v>1</v>
      </c>
      <c r="K6" s="14" t="s">
        <v>80</v>
      </c>
      <c r="L6" s="15" t="s">
        <v>70</v>
      </c>
      <c r="M6" s="15" t="s">
        <v>51</v>
      </c>
      <c r="N6" s="15" t="s">
        <v>23</v>
      </c>
      <c r="O6" s="15" t="s">
        <v>23</v>
      </c>
      <c r="P6" s="15">
        <v>70</v>
      </c>
      <c r="Q6" s="15">
        <v>0.3</v>
      </c>
      <c r="R6" s="15">
        <v>0</v>
      </c>
      <c r="S6" s="15">
        <v>0.7</v>
      </c>
    </row>
    <row r="7" spans="1:19" ht="15" x14ac:dyDescent="0.25">
      <c r="A7" s="14" t="s">
        <v>130</v>
      </c>
      <c r="B7" s="14" t="s">
        <v>774</v>
      </c>
      <c r="C7" s="14" t="s">
        <v>104</v>
      </c>
      <c r="D7" s="14"/>
      <c r="E7" s="14"/>
      <c r="F7" s="14"/>
      <c r="G7" s="14"/>
      <c r="H7" s="14">
        <v>1</v>
      </c>
      <c r="I7" s="14"/>
      <c r="J7" s="14">
        <v>1</v>
      </c>
      <c r="K7" s="14" t="s">
        <v>43</v>
      </c>
      <c r="L7" s="15" t="s">
        <v>70</v>
      </c>
      <c r="M7" s="15" t="s">
        <v>33</v>
      </c>
      <c r="N7" s="15" t="s">
        <v>23</v>
      </c>
      <c r="O7" s="15" t="s">
        <v>23</v>
      </c>
      <c r="P7" s="15">
        <v>50</v>
      </c>
      <c r="Q7" s="15">
        <v>0.5</v>
      </c>
      <c r="R7" s="15">
        <v>0</v>
      </c>
      <c r="S7" s="15">
        <v>0.5</v>
      </c>
    </row>
    <row r="8" spans="1:19" ht="15" x14ac:dyDescent="0.25">
      <c r="A8" s="14" t="s">
        <v>129</v>
      </c>
      <c r="B8" s="14" t="s">
        <v>775</v>
      </c>
      <c r="C8" s="14" t="s">
        <v>104</v>
      </c>
      <c r="D8" s="14">
        <v>1</v>
      </c>
      <c r="E8" s="14"/>
      <c r="F8" s="14"/>
      <c r="G8" s="14"/>
      <c r="H8" s="14"/>
      <c r="I8" s="14"/>
      <c r="J8" s="14">
        <v>1</v>
      </c>
      <c r="K8" s="14" t="s">
        <v>43</v>
      </c>
      <c r="L8" s="15" t="s">
        <v>70</v>
      </c>
      <c r="M8" s="15" t="s">
        <v>612</v>
      </c>
      <c r="N8" s="15" t="s">
        <v>23</v>
      </c>
      <c r="O8" s="15" t="s">
        <v>23</v>
      </c>
      <c r="P8" s="15">
        <v>20</v>
      </c>
      <c r="Q8" s="15">
        <v>0.8</v>
      </c>
      <c r="R8" s="15">
        <v>0</v>
      </c>
      <c r="S8" s="15">
        <v>0.2</v>
      </c>
    </row>
    <row r="9" spans="1:19" ht="15" x14ac:dyDescent="0.25">
      <c r="A9" s="14" t="s">
        <v>613</v>
      </c>
      <c r="B9" s="14" t="s">
        <v>776</v>
      </c>
      <c r="C9" s="14" t="s">
        <v>104</v>
      </c>
      <c r="D9" s="14"/>
      <c r="E9" s="14"/>
      <c r="F9" s="14"/>
      <c r="G9" s="14"/>
      <c r="H9" s="14">
        <v>1</v>
      </c>
      <c r="I9" s="14"/>
      <c r="J9" s="14">
        <v>1</v>
      </c>
      <c r="K9" s="14" t="s">
        <v>43</v>
      </c>
      <c r="L9" s="15" t="s">
        <v>70</v>
      </c>
      <c r="M9" s="15" t="s">
        <v>612</v>
      </c>
      <c r="N9" s="15" t="s">
        <v>23</v>
      </c>
      <c r="O9" s="15" t="s">
        <v>23</v>
      </c>
      <c r="P9" s="15">
        <v>20</v>
      </c>
      <c r="Q9" s="15">
        <v>0.8</v>
      </c>
      <c r="R9" s="15">
        <v>0</v>
      </c>
      <c r="S9" s="15">
        <v>0.2</v>
      </c>
    </row>
    <row r="10" spans="1:19" ht="15" x14ac:dyDescent="0.25">
      <c r="A10" s="14" t="s">
        <v>777</v>
      </c>
      <c r="B10" s="14" t="s">
        <v>778</v>
      </c>
      <c r="C10" s="14" t="s">
        <v>104</v>
      </c>
      <c r="D10" s="14"/>
      <c r="E10" s="14"/>
      <c r="F10" s="14"/>
      <c r="G10" s="14">
        <v>1</v>
      </c>
      <c r="H10" s="14"/>
      <c r="I10" s="14"/>
      <c r="J10" s="14">
        <v>1</v>
      </c>
      <c r="K10" s="14" t="s">
        <v>676</v>
      </c>
      <c r="L10" s="15" t="s">
        <v>70</v>
      </c>
      <c r="M10" s="15" t="s">
        <v>51</v>
      </c>
      <c r="N10" s="15" t="s">
        <v>23</v>
      </c>
      <c r="O10" s="15" t="s">
        <v>23</v>
      </c>
      <c r="P10" s="15">
        <v>70</v>
      </c>
      <c r="Q10" s="15">
        <v>0.3</v>
      </c>
      <c r="R10" s="15">
        <v>0</v>
      </c>
      <c r="S10" s="15">
        <v>0.7</v>
      </c>
    </row>
    <row r="11" spans="1:19" ht="15" x14ac:dyDescent="0.25">
      <c r="A11" s="14" t="s">
        <v>110</v>
      </c>
      <c r="B11" s="14" t="s">
        <v>779</v>
      </c>
      <c r="C11" s="14" t="s">
        <v>104</v>
      </c>
      <c r="D11" s="14"/>
      <c r="E11" s="14"/>
      <c r="F11" s="14"/>
      <c r="G11" s="14">
        <v>1</v>
      </c>
      <c r="H11" s="14"/>
      <c r="I11" s="14"/>
      <c r="J11" s="14">
        <v>1</v>
      </c>
      <c r="K11" s="14" t="s">
        <v>81</v>
      </c>
      <c r="L11" s="15" t="s">
        <v>70</v>
      </c>
      <c r="M11" s="15" t="s">
        <v>618</v>
      </c>
      <c r="N11" s="15" t="s">
        <v>64</v>
      </c>
      <c r="O11" s="15" t="s">
        <v>44</v>
      </c>
      <c r="P11" s="15">
        <v>65</v>
      </c>
      <c r="Q11" s="15">
        <v>0.25</v>
      </c>
      <c r="R11" s="15">
        <v>0.1</v>
      </c>
      <c r="S11" s="15">
        <v>0.65</v>
      </c>
    </row>
    <row r="12" spans="1:19" ht="15" x14ac:dyDescent="0.25">
      <c r="A12" s="14" t="s">
        <v>614</v>
      </c>
      <c r="B12" s="14" t="s">
        <v>780</v>
      </c>
      <c r="C12" s="14" t="s">
        <v>104</v>
      </c>
      <c r="D12" s="14"/>
      <c r="E12" s="14"/>
      <c r="F12" s="14"/>
      <c r="G12" s="14"/>
      <c r="H12" s="14">
        <v>1</v>
      </c>
      <c r="I12" s="14">
        <v>1</v>
      </c>
      <c r="J12" s="14">
        <v>2</v>
      </c>
      <c r="K12" s="14" t="s">
        <v>39</v>
      </c>
      <c r="L12" s="15" t="s">
        <v>70</v>
      </c>
      <c r="M12" s="15" t="s">
        <v>44</v>
      </c>
      <c r="N12" s="15" t="s">
        <v>23</v>
      </c>
      <c r="O12" s="15" t="s">
        <v>23</v>
      </c>
      <c r="P12" s="15">
        <v>90</v>
      </c>
      <c r="Q12" s="15">
        <v>0.2</v>
      </c>
      <c r="R12" s="15">
        <v>0</v>
      </c>
      <c r="S12" s="15">
        <v>1.8</v>
      </c>
    </row>
    <row r="13" spans="1:19" ht="15" x14ac:dyDescent="0.25">
      <c r="A13" s="14" t="s">
        <v>125</v>
      </c>
      <c r="B13" s="14" t="s">
        <v>781</v>
      </c>
      <c r="C13" s="14" t="s">
        <v>773</v>
      </c>
      <c r="D13" s="14"/>
      <c r="E13" s="14"/>
      <c r="F13" s="14"/>
      <c r="G13" s="14"/>
      <c r="H13" s="14"/>
      <c r="I13" s="14">
        <v>1</v>
      </c>
      <c r="J13" s="14">
        <v>1</v>
      </c>
      <c r="K13" s="14" t="s">
        <v>39</v>
      </c>
      <c r="L13" s="15" t="s">
        <v>70</v>
      </c>
      <c r="M13" s="15" t="s">
        <v>33</v>
      </c>
      <c r="N13" s="15" t="s">
        <v>23</v>
      </c>
      <c r="O13" s="15" t="s">
        <v>23</v>
      </c>
      <c r="P13" s="15">
        <v>50</v>
      </c>
      <c r="Q13" s="15">
        <v>0.5</v>
      </c>
      <c r="R13" s="15">
        <v>0</v>
      </c>
      <c r="S13" s="15">
        <v>0.5</v>
      </c>
    </row>
    <row r="14" spans="1:19" ht="15" x14ac:dyDescent="0.25">
      <c r="A14" s="14" t="s">
        <v>150</v>
      </c>
      <c r="B14" s="14" t="s">
        <v>782</v>
      </c>
      <c r="C14" s="14" t="s">
        <v>104</v>
      </c>
      <c r="D14" s="14"/>
      <c r="E14" s="14">
        <v>1</v>
      </c>
      <c r="F14" s="14"/>
      <c r="G14" s="14"/>
      <c r="H14" s="14"/>
      <c r="I14" s="14"/>
      <c r="J14" s="14">
        <v>1</v>
      </c>
      <c r="K14" s="14" t="s">
        <v>151</v>
      </c>
      <c r="L14" s="15" t="s">
        <v>70</v>
      </c>
      <c r="M14" s="15" t="s">
        <v>33</v>
      </c>
      <c r="N14" s="15" t="s">
        <v>23</v>
      </c>
      <c r="O14" s="15" t="s">
        <v>23</v>
      </c>
      <c r="P14" s="15">
        <v>50</v>
      </c>
      <c r="Q14" s="15">
        <v>0.5</v>
      </c>
      <c r="R14" s="15">
        <v>0</v>
      </c>
      <c r="S14" s="15">
        <v>0.5</v>
      </c>
    </row>
    <row r="15" spans="1:19" ht="15" x14ac:dyDescent="0.25">
      <c r="A15" s="14" t="s">
        <v>148</v>
      </c>
      <c r="B15" s="14" t="s">
        <v>783</v>
      </c>
      <c r="C15" s="14" t="s">
        <v>104</v>
      </c>
      <c r="D15" s="14"/>
      <c r="E15" s="14"/>
      <c r="F15" s="14"/>
      <c r="G15" s="14"/>
      <c r="H15" s="14"/>
      <c r="I15" s="14">
        <v>1</v>
      </c>
      <c r="J15" s="14">
        <v>1</v>
      </c>
      <c r="K15" s="14" t="s">
        <v>145</v>
      </c>
      <c r="L15" s="15" t="s">
        <v>70</v>
      </c>
      <c r="M15" s="15" t="s">
        <v>40</v>
      </c>
      <c r="N15" s="15" t="s">
        <v>64</v>
      </c>
      <c r="O15" s="15" t="s">
        <v>44</v>
      </c>
      <c r="P15" s="15">
        <v>70</v>
      </c>
      <c r="Q15" s="15">
        <v>0.2</v>
      </c>
      <c r="R15" s="15">
        <v>0.1</v>
      </c>
      <c r="S15" s="15">
        <v>0.7</v>
      </c>
    </row>
    <row r="16" spans="1:19" ht="15" x14ac:dyDescent="0.25">
      <c r="A16" s="14" t="s">
        <v>143</v>
      </c>
      <c r="B16" s="14" t="s">
        <v>784</v>
      </c>
      <c r="C16" s="16" t="s">
        <v>104</v>
      </c>
      <c r="D16" s="14"/>
      <c r="E16" s="14"/>
      <c r="F16" s="14"/>
      <c r="G16" s="14">
        <v>1</v>
      </c>
      <c r="H16" s="14"/>
      <c r="I16" s="14"/>
      <c r="J16" s="14">
        <v>1</v>
      </c>
      <c r="K16" s="14" t="s">
        <v>56</v>
      </c>
      <c r="L16" s="15" t="s">
        <v>70</v>
      </c>
      <c r="M16" s="15" t="s">
        <v>612</v>
      </c>
      <c r="N16" s="15" t="s">
        <v>23</v>
      </c>
      <c r="O16" s="15" t="s">
        <v>23</v>
      </c>
      <c r="P16" s="15">
        <v>20</v>
      </c>
      <c r="Q16" s="15">
        <v>0.8</v>
      </c>
      <c r="R16" s="15">
        <v>0</v>
      </c>
      <c r="S16" s="15">
        <v>0.2</v>
      </c>
    </row>
    <row r="17" spans="1:19" ht="15" x14ac:dyDescent="0.25">
      <c r="A17" s="14" t="s">
        <v>128</v>
      </c>
      <c r="B17" s="14" t="s">
        <v>785</v>
      </c>
      <c r="C17" s="14" t="s">
        <v>104</v>
      </c>
      <c r="D17" s="14"/>
      <c r="E17" s="14"/>
      <c r="F17" s="14">
        <v>1</v>
      </c>
      <c r="G17" s="14"/>
      <c r="H17" s="14"/>
      <c r="I17" s="14"/>
      <c r="J17" s="14">
        <v>1</v>
      </c>
      <c r="K17" s="14" t="s">
        <v>63</v>
      </c>
      <c r="L17" s="15" t="s">
        <v>70</v>
      </c>
      <c r="M17" s="15" t="s">
        <v>51</v>
      </c>
      <c r="N17" s="15" t="s">
        <v>23</v>
      </c>
      <c r="O17" s="15" t="s">
        <v>23</v>
      </c>
      <c r="P17" s="15">
        <v>70</v>
      </c>
      <c r="Q17" s="15">
        <v>0.3</v>
      </c>
      <c r="R17" s="15">
        <v>0</v>
      </c>
      <c r="S17" s="15">
        <v>0.7</v>
      </c>
    </row>
    <row r="18" spans="1:19" ht="15" x14ac:dyDescent="0.25">
      <c r="A18" s="14" t="s">
        <v>127</v>
      </c>
      <c r="B18" s="14" t="s">
        <v>786</v>
      </c>
      <c r="C18" s="14" t="s">
        <v>104</v>
      </c>
      <c r="D18" s="14"/>
      <c r="E18" s="14"/>
      <c r="F18" s="14"/>
      <c r="G18" s="14"/>
      <c r="H18" s="14">
        <v>1</v>
      </c>
      <c r="I18" s="14"/>
      <c r="J18" s="14">
        <v>1</v>
      </c>
      <c r="K18" s="14" t="s">
        <v>39</v>
      </c>
      <c r="L18" s="15" t="s">
        <v>70</v>
      </c>
      <c r="M18" s="15" t="s">
        <v>33</v>
      </c>
      <c r="N18" s="15" t="s">
        <v>23</v>
      </c>
      <c r="O18" s="15" t="s">
        <v>23</v>
      </c>
      <c r="P18" s="15">
        <v>50</v>
      </c>
      <c r="Q18" s="15">
        <v>0.5</v>
      </c>
      <c r="R18" s="15">
        <v>0</v>
      </c>
      <c r="S18" s="15">
        <v>0.5</v>
      </c>
    </row>
    <row r="19" spans="1:19" ht="15" x14ac:dyDescent="0.25">
      <c r="A19" s="14" t="s">
        <v>615</v>
      </c>
      <c r="B19" s="14" t="s">
        <v>787</v>
      </c>
      <c r="C19" s="14" t="s">
        <v>104</v>
      </c>
      <c r="D19" s="14"/>
      <c r="E19" s="14"/>
      <c r="F19" s="14"/>
      <c r="G19" s="14"/>
      <c r="H19" s="14">
        <v>1</v>
      </c>
      <c r="I19" s="14"/>
      <c r="J19" s="14">
        <v>1</v>
      </c>
      <c r="K19" s="14" t="s">
        <v>145</v>
      </c>
      <c r="L19" s="15" t="s">
        <v>70</v>
      </c>
      <c r="M19" s="15" t="s">
        <v>51</v>
      </c>
      <c r="N19" s="15" t="s">
        <v>23</v>
      </c>
      <c r="O19" s="15" t="s">
        <v>23</v>
      </c>
      <c r="P19" s="15">
        <v>70</v>
      </c>
      <c r="Q19" s="15">
        <v>0.3</v>
      </c>
      <c r="R19" s="15">
        <v>0</v>
      </c>
      <c r="S19" s="15">
        <v>0.7</v>
      </c>
    </row>
    <row r="20" spans="1:19" ht="15" x14ac:dyDescent="0.25">
      <c r="A20" s="14" t="s">
        <v>550</v>
      </c>
      <c r="B20" s="14" t="s">
        <v>788</v>
      </c>
      <c r="C20" s="14" t="s">
        <v>104</v>
      </c>
      <c r="D20" s="14"/>
      <c r="E20" s="14"/>
      <c r="F20" s="14">
        <v>1</v>
      </c>
      <c r="G20" s="14"/>
      <c r="H20" s="14"/>
      <c r="I20" s="14"/>
      <c r="J20" s="14">
        <v>1</v>
      </c>
      <c r="K20" s="14" t="s">
        <v>155</v>
      </c>
      <c r="L20" s="15" t="s">
        <v>70</v>
      </c>
      <c r="M20" s="15" t="s">
        <v>44</v>
      </c>
      <c r="N20" s="15" t="s">
        <v>23</v>
      </c>
      <c r="O20" s="15" t="s">
        <v>23</v>
      </c>
      <c r="P20" s="15">
        <v>90</v>
      </c>
      <c r="Q20" s="15">
        <v>0.1</v>
      </c>
      <c r="R20" s="15">
        <v>0</v>
      </c>
      <c r="S20" s="15">
        <v>0.9</v>
      </c>
    </row>
    <row r="21" spans="1:19" ht="15" x14ac:dyDescent="0.25">
      <c r="A21" s="14" t="s">
        <v>126</v>
      </c>
      <c r="B21" s="14" t="s">
        <v>789</v>
      </c>
      <c r="C21" s="14" t="s">
        <v>104</v>
      </c>
      <c r="D21" s="14"/>
      <c r="E21" s="14"/>
      <c r="F21" s="14"/>
      <c r="G21" s="14"/>
      <c r="H21" s="14">
        <v>1</v>
      </c>
      <c r="I21" s="14"/>
      <c r="J21" s="14">
        <v>1</v>
      </c>
      <c r="K21" s="14" t="s">
        <v>56</v>
      </c>
      <c r="L21" s="15" t="s">
        <v>70</v>
      </c>
      <c r="M21" s="15" t="s">
        <v>33</v>
      </c>
      <c r="N21" s="15" t="s">
        <v>23</v>
      </c>
      <c r="O21" s="15" t="s">
        <v>23</v>
      </c>
      <c r="P21" s="15">
        <v>50</v>
      </c>
      <c r="Q21" s="15">
        <v>0.5</v>
      </c>
      <c r="R21" s="15">
        <v>0</v>
      </c>
      <c r="S21" s="15">
        <v>0.5</v>
      </c>
    </row>
    <row r="22" spans="1:19" ht="15" x14ac:dyDescent="0.25">
      <c r="A22" s="14" t="s">
        <v>434</v>
      </c>
      <c r="B22" s="14" t="s">
        <v>790</v>
      </c>
      <c r="C22" s="14" t="s">
        <v>104</v>
      </c>
      <c r="D22" s="14"/>
      <c r="E22" s="14">
        <v>1</v>
      </c>
      <c r="F22" s="14">
        <v>1</v>
      </c>
      <c r="G22" s="14"/>
      <c r="H22" s="14"/>
      <c r="I22" s="14"/>
      <c r="J22" s="14">
        <v>2</v>
      </c>
      <c r="K22" s="14" t="s">
        <v>63</v>
      </c>
      <c r="L22" s="15" t="s">
        <v>70</v>
      </c>
      <c r="M22" s="15" t="s">
        <v>51</v>
      </c>
      <c r="N22" s="15" t="s">
        <v>64</v>
      </c>
      <c r="O22" s="15" t="s">
        <v>40</v>
      </c>
      <c r="P22" s="15">
        <v>50</v>
      </c>
      <c r="Q22" s="15">
        <v>0.6</v>
      </c>
      <c r="R22" s="15">
        <v>0.4</v>
      </c>
      <c r="S22" s="15">
        <v>1</v>
      </c>
    </row>
    <row r="23" spans="1:19" ht="15" x14ac:dyDescent="0.25">
      <c r="A23" s="14" t="s">
        <v>152</v>
      </c>
      <c r="B23" s="14" t="s">
        <v>791</v>
      </c>
      <c r="C23" s="14" t="s">
        <v>104</v>
      </c>
      <c r="D23" s="14"/>
      <c r="E23" s="14"/>
      <c r="F23" s="14">
        <v>1</v>
      </c>
      <c r="G23" s="14"/>
      <c r="H23" s="14"/>
      <c r="I23" s="14"/>
      <c r="J23" s="14">
        <v>1</v>
      </c>
      <c r="K23" s="14" t="s">
        <v>63</v>
      </c>
      <c r="L23" s="15" t="s">
        <v>70</v>
      </c>
      <c r="M23" s="15" t="s">
        <v>51</v>
      </c>
      <c r="N23" s="15" t="s">
        <v>23</v>
      </c>
      <c r="O23" s="15" t="s">
        <v>23</v>
      </c>
      <c r="P23" s="15">
        <v>70</v>
      </c>
      <c r="Q23" s="15">
        <v>0.3</v>
      </c>
      <c r="R23" s="15">
        <v>0</v>
      </c>
      <c r="S23" s="15">
        <v>0.7</v>
      </c>
    </row>
    <row r="24" spans="1:19" ht="15" x14ac:dyDescent="0.25">
      <c r="A24" s="14" t="s">
        <v>144</v>
      </c>
      <c r="B24" s="14" t="s">
        <v>792</v>
      </c>
      <c r="C24" s="14" t="s">
        <v>104</v>
      </c>
      <c r="D24" s="14">
        <v>1</v>
      </c>
      <c r="E24" s="14"/>
      <c r="F24" s="14"/>
      <c r="G24" s="14"/>
      <c r="H24" s="14"/>
      <c r="I24" s="14"/>
      <c r="J24" s="14">
        <v>1</v>
      </c>
      <c r="K24" s="14" t="s">
        <v>63</v>
      </c>
      <c r="L24" s="15" t="s">
        <v>70</v>
      </c>
      <c r="M24" s="15" t="s">
        <v>51</v>
      </c>
      <c r="N24" s="15" t="s">
        <v>23</v>
      </c>
      <c r="O24" s="15" t="s">
        <v>23</v>
      </c>
      <c r="P24" s="15">
        <v>70</v>
      </c>
      <c r="Q24" s="15">
        <v>0.3</v>
      </c>
      <c r="R24" s="15">
        <v>0</v>
      </c>
      <c r="S24" s="15">
        <v>0.7</v>
      </c>
    </row>
    <row r="25" spans="1:19" ht="15" x14ac:dyDescent="0.25">
      <c r="A25" s="14" t="s">
        <v>616</v>
      </c>
      <c r="B25" s="14" t="s">
        <v>793</v>
      </c>
      <c r="C25" s="14" t="s">
        <v>105</v>
      </c>
      <c r="D25" s="14"/>
      <c r="E25" s="14"/>
      <c r="F25" s="14">
        <v>1</v>
      </c>
      <c r="G25" s="14"/>
      <c r="H25" s="14"/>
      <c r="I25" s="14"/>
      <c r="J25" s="14">
        <v>1</v>
      </c>
      <c r="K25" s="14" t="s">
        <v>617</v>
      </c>
      <c r="L25" s="15" t="s">
        <v>70</v>
      </c>
      <c r="M25" s="15" t="s">
        <v>51</v>
      </c>
      <c r="N25" s="15" t="s">
        <v>23</v>
      </c>
      <c r="O25" s="15" t="s">
        <v>23</v>
      </c>
      <c r="P25" s="15">
        <v>70</v>
      </c>
      <c r="Q25" s="15">
        <v>0.3</v>
      </c>
      <c r="R25" s="15">
        <v>0</v>
      </c>
      <c r="S25" s="15">
        <v>0.7</v>
      </c>
    </row>
    <row r="26" spans="1:19" ht="15" x14ac:dyDescent="0.25">
      <c r="A26" s="14" t="s">
        <v>352</v>
      </c>
      <c r="B26" s="14" t="s">
        <v>794</v>
      </c>
      <c r="C26" s="14" t="s">
        <v>104</v>
      </c>
      <c r="D26" s="14"/>
      <c r="E26" s="14"/>
      <c r="F26" s="14"/>
      <c r="G26" s="14"/>
      <c r="H26" s="14">
        <v>1</v>
      </c>
      <c r="I26" s="14"/>
      <c r="J26" s="14">
        <v>1</v>
      </c>
      <c r="K26" s="14" t="s">
        <v>73</v>
      </c>
      <c r="L26" s="15" t="s">
        <v>70</v>
      </c>
      <c r="M26" s="15" t="s">
        <v>51</v>
      </c>
      <c r="N26" s="15" t="s">
        <v>64</v>
      </c>
      <c r="O26" s="15" t="s">
        <v>40</v>
      </c>
      <c r="P26" s="15">
        <v>50</v>
      </c>
      <c r="Q26" s="15">
        <v>0.3</v>
      </c>
      <c r="R26" s="15">
        <v>0.2</v>
      </c>
      <c r="S26" s="15">
        <v>0.5</v>
      </c>
    </row>
    <row r="27" spans="1:19" ht="15" x14ac:dyDescent="0.25">
      <c r="A27" s="14" t="s">
        <v>619</v>
      </c>
      <c r="B27" s="14" t="s">
        <v>795</v>
      </c>
      <c r="C27" s="14" t="s">
        <v>105</v>
      </c>
      <c r="D27" s="14"/>
      <c r="E27" s="14"/>
      <c r="F27" s="14"/>
      <c r="G27" s="14"/>
      <c r="H27" s="14">
        <v>1</v>
      </c>
      <c r="I27" s="14"/>
      <c r="J27" s="14">
        <v>1</v>
      </c>
      <c r="K27" s="14" t="s">
        <v>43</v>
      </c>
      <c r="L27" s="15" t="s">
        <v>70</v>
      </c>
      <c r="M27" s="15" t="s">
        <v>33</v>
      </c>
      <c r="N27" s="15" t="s">
        <v>25</v>
      </c>
      <c r="O27" s="15" t="s">
        <v>44</v>
      </c>
      <c r="P27" s="15">
        <v>40</v>
      </c>
      <c r="Q27" s="15">
        <v>0.5</v>
      </c>
      <c r="R27" s="15">
        <v>0.1</v>
      </c>
      <c r="S27" s="15">
        <v>0.4</v>
      </c>
    </row>
    <row r="28" spans="1:19" ht="15" x14ac:dyDescent="0.25">
      <c r="A28" s="14" t="s">
        <v>122</v>
      </c>
      <c r="B28" s="14" t="s">
        <v>796</v>
      </c>
      <c r="C28" s="16" t="s">
        <v>104</v>
      </c>
      <c r="D28" s="14"/>
      <c r="E28" s="14"/>
      <c r="F28" s="14"/>
      <c r="G28" s="14">
        <v>1</v>
      </c>
      <c r="H28" s="14"/>
      <c r="I28" s="14">
        <v>1</v>
      </c>
      <c r="J28" s="14">
        <v>2</v>
      </c>
      <c r="K28" s="14" t="s">
        <v>73</v>
      </c>
      <c r="L28" s="15" t="s">
        <v>70</v>
      </c>
      <c r="M28" s="15" t="s">
        <v>51</v>
      </c>
      <c r="N28" s="15" t="s">
        <v>23</v>
      </c>
      <c r="O28" s="15" t="s">
        <v>23</v>
      </c>
      <c r="P28" s="15">
        <v>70</v>
      </c>
      <c r="Q28" s="15">
        <v>0.6</v>
      </c>
      <c r="R28" s="15">
        <v>0</v>
      </c>
      <c r="S28" s="15">
        <v>1.4</v>
      </c>
    </row>
    <row r="29" spans="1:19" ht="15" x14ac:dyDescent="0.25">
      <c r="A29" s="14" t="s">
        <v>797</v>
      </c>
      <c r="B29" s="14" t="s">
        <v>798</v>
      </c>
      <c r="C29" s="14" t="s">
        <v>104</v>
      </c>
      <c r="D29" s="14"/>
      <c r="E29" s="14"/>
      <c r="F29" s="14"/>
      <c r="G29" s="14"/>
      <c r="H29" s="14"/>
      <c r="I29" s="14">
        <v>1</v>
      </c>
      <c r="J29" s="14">
        <v>1</v>
      </c>
      <c r="K29" s="14" t="s">
        <v>39</v>
      </c>
      <c r="L29" s="15" t="s">
        <v>70</v>
      </c>
      <c r="M29" s="15" t="s">
        <v>51</v>
      </c>
      <c r="N29" s="15" t="s">
        <v>23</v>
      </c>
      <c r="O29" s="15" t="s">
        <v>23</v>
      </c>
      <c r="P29" s="15">
        <v>70</v>
      </c>
      <c r="Q29" s="15">
        <v>0.3</v>
      </c>
      <c r="R29" s="15">
        <v>0</v>
      </c>
      <c r="S29" s="15">
        <v>0.7</v>
      </c>
    </row>
    <row r="30" spans="1:19" ht="15" x14ac:dyDescent="0.25">
      <c r="A30" s="14" t="s">
        <v>108</v>
      </c>
      <c r="B30" s="14" t="s">
        <v>603</v>
      </c>
      <c r="C30" s="14" t="s">
        <v>773</v>
      </c>
      <c r="D30" s="14"/>
      <c r="E30" s="14"/>
      <c r="F30" s="14"/>
      <c r="G30" s="14"/>
      <c r="H30" s="14"/>
      <c r="I30" s="14">
        <v>1</v>
      </c>
      <c r="J30" s="14">
        <v>1</v>
      </c>
      <c r="K30" s="14" t="s">
        <v>76</v>
      </c>
      <c r="L30" s="15" t="s">
        <v>70</v>
      </c>
      <c r="M30" s="15" t="s">
        <v>44</v>
      </c>
      <c r="N30" s="15" t="s">
        <v>29</v>
      </c>
      <c r="O30" s="15" t="s">
        <v>40</v>
      </c>
      <c r="P30" s="15">
        <v>70</v>
      </c>
      <c r="Q30" s="15">
        <v>0.1</v>
      </c>
      <c r="R30" s="15">
        <v>0.2</v>
      </c>
      <c r="S30" s="15">
        <v>0.7</v>
      </c>
    </row>
    <row r="31" spans="1:19" ht="15" x14ac:dyDescent="0.25">
      <c r="A31" s="14" t="s">
        <v>153</v>
      </c>
      <c r="B31" s="14" t="s">
        <v>799</v>
      </c>
      <c r="C31" s="14" t="s">
        <v>773</v>
      </c>
      <c r="D31" s="14"/>
      <c r="E31" s="14"/>
      <c r="F31" s="14"/>
      <c r="G31" s="14"/>
      <c r="H31" s="14"/>
      <c r="I31" s="14">
        <v>1</v>
      </c>
      <c r="J31" s="14">
        <v>1</v>
      </c>
      <c r="K31" s="14" t="s">
        <v>80</v>
      </c>
      <c r="L31" s="15" t="s">
        <v>70</v>
      </c>
      <c r="M31" s="15" t="s">
        <v>44</v>
      </c>
      <c r="N31" s="15" t="s">
        <v>23</v>
      </c>
      <c r="O31" s="15" t="s">
        <v>23</v>
      </c>
      <c r="P31" s="15">
        <v>90</v>
      </c>
      <c r="Q31" s="15">
        <v>0.1</v>
      </c>
      <c r="R31" s="15">
        <v>0</v>
      </c>
      <c r="S31" s="15">
        <v>0.9</v>
      </c>
    </row>
    <row r="32" spans="1:19" ht="15" x14ac:dyDescent="0.25">
      <c r="A32" s="14" t="s">
        <v>154</v>
      </c>
      <c r="B32" s="14" t="s">
        <v>800</v>
      </c>
      <c r="C32" s="16" t="s">
        <v>104</v>
      </c>
      <c r="D32" s="14"/>
      <c r="E32" s="14">
        <v>1</v>
      </c>
      <c r="F32" s="14"/>
      <c r="G32" s="14"/>
      <c r="H32" s="14"/>
      <c r="I32" s="14"/>
      <c r="J32" s="14">
        <v>1</v>
      </c>
      <c r="K32" s="14" t="s">
        <v>155</v>
      </c>
      <c r="L32" s="15" t="s">
        <v>70</v>
      </c>
      <c r="M32" s="15" t="s">
        <v>44</v>
      </c>
      <c r="N32" s="15" t="s">
        <v>23</v>
      </c>
      <c r="O32" s="15" t="s">
        <v>23</v>
      </c>
      <c r="P32" s="15">
        <v>90</v>
      </c>
      <c r="Q32" s="15">
        <v>0.1</v>
      </c>
      <c r="R32" s="15">
        <v>0</v>
      </c>
      <c r="S32" s="15">
        <v>0.9</v>
      </c>
    </row>
    <row r="33" spans="1:19" ht="15" x14ac:dyDescent="0.25">
      <c r="A33" s="14" t="s">
        <v>156</v>
      </c>
      <c r="B33" s="14" t="s">
        <v>801</v>
      </c>
      <c r="C33" s="14" t="s">
        <v>104</v>
      </c>
      <c r="D33" s="14">
        <v>1</v>
      </c>
      <c r="E33" s="14"/>
      <c r="F33" s="14"/>
      <c r="G33" s="14"/>
      <c r="H33" s="14"/>
      <c r="I33" s="14"/>
      <c r="J33" s="14">
        <v>1</v>
      </c>
      <c r="K33" s="14" t="s">
        <v>81</v>
      </c>
      <c r="L33" s="15" t="s">
        <v>70</v>
      </c>
      <c r="M33" s="15" t="s">
        <v>33</v>
      </c>
      <c r="N33" s="15" t="s">
        <v>23</v>
      </c>
      <c r="O33" s="15" t="s">
        <v>23</v>
      </c>
      <c r="P33" s="15">
        <v>50</v>
      </c>
      <c r="Q33" s="15">
        <v>0.5</v>
      </c>
      <c r="R33" s="15">
        <v>0</v>
      </c>
      <c r="S33" s="15">
        <v>0.5</v>
      </c>
    </row>
    <row r="34" spans="1:19" ht="15" x14ac:dyDescent="0.25">
      <c r="A34" s="14" t="s">
        <v>120</v>
      </c>
      <c r="B34" s="14" t="s">
        <v>802</v>
      </c>
      <c r="C34" s="14" t="s">
        <v>104</v>
      </c>
      <c r="D34" s="14"/>
      <c r="E34" s="14"/>
      <c r="F34" s="14"/>
      <c r="G34" s="14"/>
      <c r="H34" s="14">
        <v>2</v>
      </c>
      <c r="I34" s="14"/>
      <c r="J34" s="14">
        <v>2</v>
      </c>
      <c r="K34" s="14" t="s">
        <v>56</v>
      </c>
      <c r="L34" s="15" t="s">
        <v>70</v>
      </c>
      <c r="M34" s="15" t="s">
        <v>33</v>
      </c>
      <c r="N34" s="15" t="s">
        <v>23</v>
      </c>
      <c r="O34" s="15" t="s">
        <v>23</v>
      </c>
      <c r="P34" s="15">
        <v>50</v>
      </c>
      <c r="Q34" s="15">
        <v>1</v>
      </c>
      <c r="R34" s="15">
        <v>0</v>
      </c>
      <c r="S34" s="15">
        <v>1</v>
      </c>
    </row>
    <row r="35" spans="1:19" ht="15" x14ac:dyDescent="0.25">
      <c r="A35" s="14" t="s">
        <v>429</v>
      </c>
      <c r="B35" s="14" t="s">
        <v>803</v>
      </c>
      <c r="C35" s="14" t="s">
        <v>104</v>
      </c>
      <c r="D35" s="14"/>
      <c r="E35" s="14"/>
      <c r="F35" s="14"/>
      <c r="G35" s="14"/>
      <c r="H35" s="14">
        <v>1</v>
      </c>
      <c r="I35" s="14"/>
      <c r="J35" s="14">
        <v>1</v>
      </c>
      <c r="K35" s="14" t="s">
        <v>63</v>
      </c>
      <c r="L35" s="15" t="s">
        <v>70</v>
      </c>
      <c r="M35" s="15" t="s">
        <v>51</v>
      </c>
      <c r="N35" s="15" t="s">
        <v>23</v>
      </c>
      <c r="O35" s="15" t="s">
        <v>23</v>
      </c>
      <c r="P35" s="15">
        <v>70</v>
      </c>
      <c r="Q35" s="15">
        <v>0.3</v>
      </c>
      <c r="R35" s="15">
        <v>0</v>
      </c>
      <c r="S35" s="15">
        <v>0.7</v>
      </c>
    </row>
    <row r="36" spans="1:19" ht="15" x14ac:dyDescent="0.25">
      <c r="A36" s="14" t="s">
        <v>118</v>
      </c>
      <c r="B36" s="14" t="s">
        <v>804</v>
      </c>
      <c r="C36" s="14" t="s">
        <v>104</v>
      </c>
      <c r="D36" s="14">
        <v>1</v>
      </c>
      <c r="E36" s="14"/>
      <c r="F36" s="14"/>
      <c r="G36" s="14"/>
      <c r="H36" s="14"/>
      <c r="I36" s="14"/>
      <c r="J36" s="14">
        <v>1</v>
      </c>
      <c r="K36" s="14" t="s">
        <v>63</v>
      </c>
      <c r="L36" s="15" t="s">
        <v>70</v>
      </c>
      <c r="M36" s="15" t="s">
        <v>33</v>
      </c>
      <c r="N36" s="15" t="s">
        <v>23</v>
      </c>
      <c r="O36" s="15" t="s">
        <v>23</v>
      </c>
      <c r="P36" s="15">
        <v>50</v>
      </c>
      <c r="Q36" s="15">
        <v>0.5</v>
      </c>
      <c r="R36" s="15">
        <v>0</v>
      </c>
      <c r="S36" s="15">
        <v>0.5</v>
      </c>
    </row>
    <row r="37" spans="1:19" ht="15" x14ac:dyDescent="0.25">
      <c r="A37" s="14" t="s">
        <v>113</v>
      </c>
      <c r="B37" s="14" t="s">
        <v>805</v>
      </c>
      <c r="C37" s="14" t="s">
        <v>104</v>
      </c>
      <c r="D37" s="14"/>
      <c r="E37" s="14"/>
      <c r="F37" s="14"/>
      <c r="G37" s="14">
        <v>1</v>
      </c>
      <c r="H37" s="14"/>
      <c r="I37" s="14"/>
      <c r="J37" s="14">
        <v>1</v>
      </c>
      <c r="K37" s="14" t="s">
        <v>82</v>
      </c>
      <c r="L37" s="15" t="s">
        <v>70</v>
      </c>
      <c r="M37" s="15" t="s">
        <v>44</v>
      </c>
      <c r="N37" s="15" t="s">
        <v>23</v>
      </c>
      <c r="O37" s="15" t="s">
        <v>23</v>
      </c>
      <c r="P37" s="15">
        <v>90</v>
      </c>
      <c r="Q37" s="15">
        <v>0.1</v>
      </c>
      <c r="R37" s="15">
        <v>0</v>
      </c>
      <c r="S37" s="15">
        <v>0.9</v>
      </c>
    </row>
    <row r="38" spans="1:19" ht="15" x14ac:dyDescent="0.25">
      <c r="A38" s="14" t="s">
        <v>116</v>
      </c>
      <c r="B38" s="14" t="s">
        <v>806</v>
      </c>
      <c r="C38" s="14" t="s">
        <v>104</v>
      </c>
      <c r="D38" s="14"/>
      <c r="E38" s="14"/>
      <c r="F38" s="14"/>
      <c r="G38" s="14">
        <v>1</v>
      </c>
      <c r="H38" s="14"/>
      <c r="I38" s="14"/>
      <c r="J38" s="14">
        <v>1</v>
      </c>
      <c r="K38" s="14" t="s">
        <v>83</v>
      </c>
      <c r="L38" s="15" t="s">
        <v>70</v>
      </c>
      <c r="M38" s="15" t="s">
        <v>44</v>
      </c>
      <c r="N38" s="15" t="s">
        <v>23</v>
      </c>
      <c r="O38" s="15" t="s">
        <v>23</v>
      </c>
      <c r="P38" s="15">
        <v>90</v>
      </c>
      <c r="Q38" s="15">
        <v>0.1</v>
      </c>
      <c r="R38" s="15">
        <v>0</v>
      </c>
      <c r="S38" s="15">
        <v>0.9</v>
      </c>
    </row>
    <row r="39" spans="1:19" ht="15" x14ac:dyDescent="0.25">
      <c r="A39" s="14" t="s">
        <v>807</v>
      </c>
      <c r="B39" s="14" t="s">
        <v>808</v>
      </c>
      <c r="C39" s="14" t="s">
        <v>104</v>
      </c>
      <c r="D39" s="14"/>
      <c r="E39" s="14"/>
      <c r="F39" s="14">
        <v>1</v>
      </c>
      <c r="G39" s="14"/>
      <c r="H39" s="14"/>
      <c r="I39" s="14"/>
      <c r="J39" s="14">
        <v>1</v>
      </c>
      <c r="K39" s="14" t="s">
        <v>676</v>
      </c>
      <c r="L39" s="15" t="s">
        <v>70</v>
      </c>
      <c r="M39" s="15" t="s">
        <v>40</v>
      </c>
      <c r="N39" s="15" t="s">
        <v>64</v>
      </c>
      <c r="O39" s="15" t="s">
        <v>40</v>
      </c>
      <c r="P39" s="15">
        <v>60</v>
      </c>
      <c r="Q39" s="15">
        <v>0.2</v>
      </c>
      <c r="R39" s="15">
        <v>0.2</v>
      </c>
      <c r="S39" s="15">
        <v>0.6</v>
      </c>
    </row>
    <row r="40" spans="1:19" ht="15" x14ac:dyDescent="0.25">
      <c r="A40" s="14" t="s">
        <v>348</v>
      </c>
      <c r="B40" s="14" t="s">
        <v>809</v>
      </c>
      <c r="C40" s="14" t="s">
        <v>104</v>
      </c>
      <c r="D40" s="14"/>
      <c r="E40" s="14"/>
      <c r="F40" s="14"/>
      <c r="G40" s="14"/>
      <c r="H40" s="14"/>
      <c r="I40" s="14">
        <v>1</v>
      </c>
      <c r="J40" s="14">
        <v>1</v>
      </c>
      <c r="K40" s="14" t="s">
        <v>83</v>
      </c>
      <c r="L40" s="15" t="s">
        <v>70</v>
      </c>
      <c r="M40" s="15" t="s">
        <v>44</v>
      </c>
      <c r="N40" s="15" t="s">
        <v>23</v>
      </c>
      <c r="O40" s="15" t="s">
        <v>23</v>
      </c>
      <c r="P40" s="15">
        <v>90</v>
      </c>
      <c r="Q40" s="15">
        <v>0.1</v>
      </c>
      <c r="R40" s="15">
        <v>0</v>
      </c>
      <c r="S40" s="15">
        <v>0.9</v>
      </c>
    </row>
    <row r="41" spans="1:19" ht="15" x14ac:dyDescent="0.25">
      <c r="A41" s="14" t="s">
        <v>810</v>
      </c>
      <c r="B41" s="14" t="s">
        <v>811</v>
      </c>
      <c r="C41" s="14" t="s">
        <v>773</v>
      </c>
      <c r="D41" s="14"/>
      <c r="E41" s="14"/>
      <c r="F41" s="14"/>
      <c r="G41" s="14"/>
      <c r="H41" s="14"/>
      <c r="I41" s="14">
        <v>1</v>
      </c>
      <c r="J41" s="14">
        <v>1</v>
      </c>
      <c r="K41" s="14" t="s">
        <v>76</v>
      </c>
      <c r="L41" s="15" t="s">
        <v>70</v>
      </c>
      <c r="M41" s="15" t="s">
        <v>44</v>
      </c>
      <c r="N41" s="15" t="s">
        <v>29</v>
      </c>
      <c r="O41" s="15" t="s">
        <v>40</v>
      </c>
      <c r="P41" s="15">
        <v>70</v>
      </c>
      <c r="Q41" s="15">
        <v>0.1</v>
      </c>
      <c r="R41" s="15">
        <v>0.2</v>
      </c>
      <c r="S41" s="15">
        <v>0.7</v>
      </c>
    </row>
    <row r="42" spans="1:19" ht="15" x14ac:dyDescent="0.25">
      <c r="A42" s="14" t="s">
        <v>349</v>
      </c>
      <c r="B42" s="14" t="s">
        <v>812</v>
      </c>
      <c r="C42" s="14" t="s">
        <v>104</v>
      </c>
      <c r="D42" s="14">
        <v>1</v>
      </c>
      <c r="E42" s="14"/>
      <c r="F42" s="14"/>
      <c r="G42" s="14"/>
      <c r="H42" s="14"/>
      <c r="I42" s="14"/>
      <c r="J42" s="14">
        <v>1</v>
      </c>
      <c r="K42" s="14" t="s">
        <v>63</v>
      </c>
      <c r="L42" s="15" t="s">
        <v>70</v>
      </c>
      <c r="M42" s="15" t="s">
        <v>44</v>
      </c>
      <c r="N42" s="15" t="s">
        <v>815</v>
      </c>
      <c r="O42" s="15" t="s">
        <v>40</v>
      </c>
      <c r="P42" s="15">
        <v>70</v>
      </c>
      <c r="Q42" s="15">
        <v>0.1</v>
      </c>
      <c r="R42" s="15">
        <v>0.2</v>
      </c>
      <c r="S42" s="15">
        <v>0.7</v>
      </c>
    </row>
    <row r="43" spans="1:19" ht="15" x14ac:dyDescent="0.25">
      <c r="A43" s="14" t="s">
        <v>813</v>
      </c>
      <c r="B43" s="14" t="s">
        <v>814</v>
      </c>
      <c r="C43" s="14" t="s">
        <v>104</v>
      </c>
      <c r="D43" s="14">
        <v>1</v>
      </c>
      <c r="E43" s="14"/>
      <c r="F43" s="14"/>
      <c r="G43" s="14"/>
      <c r="H43" s="14"/>
      <c r="I43" s="14"/>
      <c r="J43" s="14">
        <v>1</v>
      </c>
      <c r="K43" s="14" t="s">
        <v>816</v>
      </c>
      <c r="L43" s="15" t="s">
        <v>70</v>
      </c>
      <c r="M43" s="15" t="s">
        <v>40</v>
      </c>
      <c r="N43" s="15" t="s">
        <v>23</v>
      </c>
      <c r="O43" s="15" t="s">
        <v>23</v>
      </c>
      <c r="P43" s="15">
        <v>80</v>
      </c>
      <c r="Q43" s="15">
        <v>0.2</v>
      </c>
      <c r="R43" s="15">
        <v>0</v>
      </c>
      <c r="S43" s="15">
        <v>0.8</v>
      </c>
    </row>
    <row r="44" spans="1:19" ht="15" x14ac:dyDescent="0.25">
      <c r="A44" s="14" t="s">
        <v>435</v>
      </c>
      <c r="B44" s="14" t="s">
        <v>817</v>
      </c>
      <c r="C44" s="14" t="s">
        <v>104</v>
      </c>
      <c r="D44" s="14"/>
      <c r="E44" s="14"/>
      <c r="F44" s="14"/>
      <c r="G44" s="14">
        <v>1</v>
      </c>
      <c r="H44" s="14"/>
      <c r="I44" s="14"/>
      <c r="J44" s="14">
        <v>1</v>
      </c>
      <c r="K44" s="14" t="s">
        <v>63</v>
      </c>
      <c r="L44" s="15" t="s">
        <v>70</v>
      </c>
      <c r="M44" s="15" t="s">
        <v>51</v>
      </c>
      <c r="N44" s="15" t="s">
        <v>64</v>
      </c>
      <c r="O44" s="15" t="s">
        <v>51</v>
      </c>
      <c r="P44" s="15">
        <v>40</v>
      </c>
      <c r="Q44" s="15">
        <v>0.3</v>
      </c>
      <c r="R44" s="15">
        <v>0.3</v>
      </c>
      <c r="S44" s="15">
        <v>0.4</v>
      </c>
    </row>
    <row r="45" spans="1:19" ht="15" x14ac:dyDescent="0.25">
      <c r="A45" s="14" t="s">
        <v>157</v>
      </c>
      <c r="B45" s="14" t="s">
        <v>818</v>
      </c>
      <c r="C45" s="14" t="s">
        <v>104</v>
      </c>
      <c r="D45" s="14"/>
      <c r="E45" s="14">
        <v>1</v>
      </c>
      <c r="F45" s="14"/>
      <c r="G45" s="14"/>
      <c r="H45" s="14"/>
      <c r="I45" s="14"/>
      <c r="J45" s="14">
        <v>1</v>
      </c>
      <c r="K45" s="14" t="s">
        <v>155</v>
      </c>
      <c r="L45" s="15" t="s">
        <v>70</v>
      </c>
      <c r="M45" s="15" t="s">
        <v>44</v>
      </c>
      <c r="N45" s="15" t="s">
        <v>23</v>
      </c>
      <c r="O45" s="15" t="s">
        <v>23</v>
      </c>
      <c r="P45" s="15">
        <v>90</v>
      </c>
      <c r="Q45" s="15">
        <v>0.1</v>
      </c>
      <c r="R45" s="15">
        <v>0</v>
      </c>
      <c r="S45" s="15">
        <v>0.9</v>
      </c>
    </row>
    <row r="46" spans="1:19" ht="15" x14ac:dyDescent="0.25">
      <c r="A46" s="14" t="s">
        <v>121</v>
      </c>
      <c r="B46" s="14" t="s">
        <v>819</v>
      </c>
      <c r="C46" s="14" t="s">
        <v>104</v>
      </c>
      <c r="D46" s="14"/>
      <c r="E46" s="14">
        <v>2</v>
      </c>
      <c r="F46" s="14"/>
      <c r="G46" s="14"/>
      <c r="H46" s="14"/>
      <c r="I46" s="14"/>
      <c r="J46" s="14">
        <v>2</v>
      </c>
      <c r="K46" s="14" t="s">
        <v>83</v>
      </c>
      <c r="L46" s="15" t="s">
        <v>70</v>
      </c>
      <c r="M46" s="15" t="s">
        <v>44</v>
      </c>
      <c r="N46" s="15" t="s">
        <v>23</v>
      </c>
      <c r="O46" s="15" t="s">
        <v>23</v>
      </c>
      <c r="P46" s="15">
        <v>90</v>
      </c>
      <c r="Q46" s="15">
        <v>0.2</v>
      </c>
      <c r="R46" s="15">
        <v>0</v>
      </c>
      <c r="S46" s="15">
        <v>1.8</v>
      </c>
    </row>
    <row r="47" spans="1:19" ht="15" x14ac:dyDescent="0.25">
      <c r="A47" s="14" t="s">
        <v>115</v>
      </c>
      <c r="B47" s="14" t="s">
        <v>820</v>
      </c>
      <c r="C47" s="14" t="s">
        <v>104</v>
      </c>
      <c r="D47" s="14">
        <v>1</v>
      </c>
      <c r="E47" s="14"/>
      <c r="F47" s="14"/>
      <c r="G47" s="14">
        <v>1</v>
      </c>
      <c r="H47" s="14"/>
      <c r="I47" s="14"/>
      <c r="J47" s="14">
        <v>2</v>
      </c>
      <c r="K47" s="14" t="s">
        <v>67</v>
      </c>
      <c r="L47" s="15" t="s">
        <v>70</v>
      </c>
      <c r="M47" s="15" t="s">
        <v>51</v>
      </c>
      <c r="N47" s="15" t="s">
        <v>23</v>
      </c>
      <c r="O47" s="15" t="s">
        <v>23</v>
      </c>
      <c r="P47" s="15">
        <v>70</v>
      </c>
      <c r="Q47" s="15">
        <v>0.6</v>
      </c>
      <c r="R47" s="15">
        <v>0</v>
      </c>
      <c r="S47" s="15">
        <v>1.4</v>
      </c>
    </row>
    <row r="48" spans="1:19" ht="15" x14ac:dyDescent="0.25">
      <c r="A48" s="14" t="s">
        <v>350</v>
      </c>
      <c r="B48" s="14" t="s">
        <v>821</v>
      </c>
      <c r="C48" s="14" t="s">
        <v>105</v>
      </c>
      <c r="D48" s="14"/>
      <c r="E48" s="14"/>
      <c r="F48" s="14">
        <v>1</v>
      </c>
      <c r="G48" s="14"/>
      <c r="H48" s="14"/>
      <c r="I48" s="14"/>
      <c r="J48" s="14">
        <v>1</v>
      </c>
      <c r="K48" s="14" t="s">
        <v>73</v>
      </c>
      <c r="L48" s="15" t="s">
        <v>70</v>
      </c>
      <c r="M48" s="15" t="s">
        <v>51</v>
      </c>
      <c r="N48" s="15" t="s">
        <v>23</v>
      </c>
      <c r="O48" s="15" t="s">
        <v>23</v>
      </c>
      <c r="P48" s="15">
        <v>70</v>
      </c>
      <c r="Q48" s="15">
        <v>0.3</v>
      </c>
      <c r="R48" s="15">
        <v>0</v>
      </c>
      <c r="S48" s="15">
        <v>0.7</v>
      </c>
    </row>
    <row r="49" spans="1:19" ht="15" x14ac:dyDescent="0.25">
      <c r="A49" s="14" t="s">
        <v>351</v>
      </c>
      <c r="B49" s="14" t="s">
        <v>822</v>
      </c>
      <c r="C49" s="14" t="s">
        <v>105</v>
      </c>
      <c r="D49" s="14"/>
      <c r="E49" s="14"/>
      <c r="F49" s="14">
        <v>1</v>
      </c>
      <c r="G49" s="14"/>
      <c r="H49" s="14"/>
      <c r="I49" s="14"/>
      <c r="J49" s="14">
        <v>1</v>
      </c>
      <c r="K49" s="14" t="s">
        <v>81</v>
      </c>
      <c r="L49" s="15" t="s">
        <v>70</v>
      </c>
      <c r="M49" s="15" t="s">
        <v>51</v>
      </c>
      <c r="N49" s="15" t="s">
        <v>23</v>
      </c>
      <c r="O49" s="15" t="s">
        <v>23</v>
      </c>
      <c r="P49" s="15">
        <v>70</v>
      </c>
      <c r="Q49" s="15">
        <v>0.3</v>
      </c>
      <c r="R49" s="15">
        <v>0</v>
      </c>
      <c r="S49" s="15">
        <v>0.7</v>
      </c>
    </row>
    <row r="50" spans="1:19" ht="15" x14ac:dyDescent="0.25">
      <c r="A50" s="14" t="s">
        <v>353</v>
      </c>
      <c r="B50" s="14" t="s">
        <v>823</v>
      </c>
      <c r="C50" s="14" t="s">
        <v>105</v>
      </c>
      <c r="D50" s="14"/>
      <c r="E50" s="14"/>
      <c r="F50" s="14"/>
      <c r="G50" s="14">
        <v>1</v>
      </c>
      <c r="H50" s="14"/>
      <c r="I50" s="14"/>
      <c r="J50" s="14">
        <v>1</v>
      </c>
      <c r="K50" s="14" t="s">
        <v>73</v>
      </c>
      <c r="L50" s="15" t="s">
        <v>70</v>
      </c>
      <c r="M50" s="15" t="s">
        <v>51</v>
      </c>
      <c r="N50" s="15" t="s">
        <v>64</v>
      </c>
      <c r="O50" s="15" t="s">
        <v>824</v>
      </c>
      <c r="P50" s="15">
        <v>30</v>
      </c>
      <c r="Q50" s="15">
        <v>0.3</v>
      </c>
      <c r="R50" s="15">
        <v>0.4</v>
      </c>
      <c r="S50" s="15">
        <v>0.3</v>
      </c>
    </row>
    <row r="51" spans="1:19" ht="15" x14ac:dyDescent="0.25">
      <c r="A51" s="14" t="s">
        <v>123</v>
      </c>
      <c r="B51" s="14" t="s">
        <v>825</v>
      </c>
      <c r="C51" s="14" t="s">
        <v>104</v>
      </c>
      <c r="D51" s="14"/>
      <c r="E51" s="14"/>
      <c r="F51" s="14">
        <v>1</v>
      </c>
      <c r="G51" s="14"/>
      <c r="H51" s="14"/>
      <c r="I51" s="14"/>
      <c r="J51" s="14">
        <v>1</v>
      </c>
      <c r="K51" s="14" t="s">
        <v>67</v>
      </c>
      <c r="L51" s="15" t="s">
        <v>70</v>
      </c>
      <c r="M51" s="15" t="s">
        <v>51</v>
      </c>
      <c r="N51" s="15" t="s">
        <v>23</v>
      </c>
      <c r="O51" s="15" t="s">
        <v>23</v>
      </c>
      <c r="P51" s="15">
        <v>70</v>
      </c>
      <c r="Q51" s="15">
        <v>0.3</v>
      </c>
      <c r="R51" s="15">
        <v>0</v>
      </c>
      <c r="S51" s="15">
        <v>0.7</v>
      </c>
    </row>
    <row r="52" spans="1:19" ht="15" x14ac:dyDescent="0.25">
      <c r="A52" s="14" t="s">
        <v>162</v>
      </c>
      <c r="B52" s="14" t="s">
        <v>826</v>
      </c>
      <c r="C52" s="16" t="s">
        <v>104</v>
      </c>
      <c r="D52" s="14">
        <v>1</v>
      </c>
      <c r="E52" s="14"/>
      <c r="F52" s="14"/>
      <c r="G52" s="14"/>
      <c r="H52" s="14"/>
      <c r="I52" s="14"/>
      <c r="J52" s="14">
        <v>1</v>
      </c>
      <c r="K52" s="14" t="s">
        <v>155</v>
      </c>
      <c r="L52" s="15" t="s">
        <v>70</v>
      </c>
      <c r="M52" s="15" t="s">
        <v>44</v>
      </c>
      <c r="N52" s="15" t="s">
        <v>163</v>
      </c>
      <c r="O52" s="15" t="s">
        <v>40</v>
      </c>
      <c r="P52" s="15">
        <v>70</v>
      </c>
      <c r="Q52" s="15">
        <v>0.1</v>
      </c>
      <c r="R52" s="15">
        <v>0.2</v>
      </c>
      <c r="S52" s="15">
        <v>0.7</v>
      </c>
    </row>
    <row r="53" spans="1:19" ht="15" x14ac:dyDescent="0.25">
      <c r="A53" s="14" t="s">
        <v>827</v>
      </c>
      <c r="B53" s="14" t="s">
        <v>828</v>
      </c>
      <c r="C53" s="16" t="s">
        <v>104</v>
      </c>
      <c r="D53" s="14">
        <v>1</v>
      </c>
      <c r="E53" s="14"/>
      <c r="F53" s="14"/>
      <c r="G53" s="14"/>
      <c r="H53" s="14"/>
      <c r="I53" s="14"/>
      <c r="J53" s="14">
        <v>1</v>
      </c>
      <c r="K53" s="14" t="s">
        <v>63</v>
      </c>
      <c r="L53" s="15" t="s">
        <v>70</v>
      </c>
      <c r="M53" s="15" t="s">
        <v>51</v>
      </c>
      <c r="N53" s="15" t="s">
        <v>23</v>
      </c>
      <c r="O53" s="15" t="s">
        <v>23</v>
      </c>
      <c r="P53" s="15">
        <v>70</v>
      </c>
      <c r="Q53" s="15">
        <v>0.3</v>
      </c>
      <c r="R53" s="15">
        <v>0</v>
      </c>
      <c r="S53" s="15">
        <v>0.7</v>
      </c>
    </row>
    <row r="54" spans="1:19" ht="15" x14ac:dyDescent="0.25">
      <c r="A54" s="14" t="s">
        <v>112</v>
      </c>
      <c r="B54" s="14" t="s">
        <v>829</v>
      </c>
      <c r="C54" s="16" t="s">
        <v>104</v>
      </c>
      <c r="D54" s="14"/>
      <c r="E54" s="14"/>
      <c r="F54" s="14"/>
      <c r="G54" s="14"/>
      <c r="H54" s="14"/>
      <c r="I54" s="14">
        <v>2</v>
      </c>
      <c r="J54" s="14">
        <v>2</v>
      </c>
      <c r="K54" s="14" t="s">
        <v>67</v>
      </c>
      <c r="L54" s="15" t="s">
        <v>70</v>
      </c>
      <c r="M54" s="15" t="s">
        <v>51</v>
      </c>
      <c r="N54" s="15" t="s">
        <v>23</v>
      </c>
      <c r="O54" s="15" t="s">
        <v>23</v>
      </c>
      <c r="P54" s="15">
        <v>70</v>
      </c>
      <c r="Q54" s="15">
        <v>0.6</v>
      </c>
      <c r="R54" s="15">
        <v>0</v>
      </c>
      <c r="S54" s="15">
        <v>1.4</v>
      </c>
    </row>
    <row r="55" spans="1:19" ht="15" x14ac:dyDescent="0.25">
      <c r="A55" s="20" t="s">
        <v>430</v>
      </c>
      <c r="B55" s="20" t="s">
        <v>830</v>
      </c>
      <c r="C55" s="21" t="s">
        <v>104</v>
      </c>
      <c r="D55" s="20"/>
      <c r="E55" s="20"/>
      <c r="F55" s="20">
        <v>1</v>
      </c>
      <c r="G55" s="20"/>
      <c r="H55" s="20"/>
      <c r="I55" s="20"/>
      <c r="J55" s="20">
        <v>1</v>
      </c>
      <c r="K55" s="14" t="s">
        <v>63</v>
      </c>
      <c r="L55" s="30" t="s">
        <v>70</v>
      </c>
      <c r="M55" s="30" t="s">
        <v>51</v>
      </c>
      <c r="N55" s="30" t="s">
        <v>23</v>
      </c>
      <c r="O55" s="30" t="s">
        <v>23</v>
      </c>
      <c r="P55" s="30">
        <v>70</v>
      </c>
      <c r="Q55" s="30">
        <v>0.3</v>
      </c>
      <c r="R55" s="30">
        <v>0</v>
      </c>
      <c r="S55" s="30">
        <v>0.7</v>
      </c>
    </row>
    <row r="56" spans="1:19" ht="15" x14ac:dyDescent="0.25">
      <c r="A56" s="14" t="s">
        <v>831</v>
      </c>
      <c r="B56" s="14" t="s">
        <v>832</v>
      </c>
      <c r="C56" s="16" t="s">
        <v>104</v>
      </c>
      <c r="D56" s="14"/>
      <c r="E56" s="14"/>
      <c r="F56" s="14"/>
      <c r="G56" s="14"/>
      <c r="H56" s="14"/>
      <c r="I56" s="14">
        <v>1</v>
      </c>
      <c r="J56" s="14">
        <v>1</v>
      </c>
      <c r="K56" s="14" t="s">
        <v>155</v>
      </c>
      <c r="L56" s="30" t="s">
        <v>70</v>
      </c>
      <c r="M56" s="30" t="s">
        <v>44</v>
      </c>
      <c r="N56" s="30" t="s">
        <v>23</v>
      </c>
      <c r="O56" s="30" t="s">
        <v>23</v>
      </c>
      <c r="P56" s="30">
        <v>90</v>
      </c>
      <c r="Q56" s="30">
        <v>0.1</v>
      </c>
      <c r="R56" s="30">
        <v>0</v>
      </c>
      <c r="S56" s="30">
        <v>0.9</v>
      </c>
    </row>
    <row r="57" spans="1:19" ht="15" x14ac:dyDescent="0.25">
      <c r="A57" s="14" t="s">
        <v>158</v>
      </c>
      <c r="B57" s="14" t="s">
        <v>833</v>
      </c>
      <c r="C57" s="14" t="s">
        <v>104</v>
      </c>
      <c r="D57" s="14"/>
      <c r="E57" s="14"/>
      <c r="F57" s="14"/>
      <c r="G57" s="14"/>
      <c r="H57" s="14"/>
      <c r="I57" s="14">
        <v>1</v>
      </c>
      <c r="J57" s="14">
        <v>1</v>
      </c>
      <c r="K57" s="14" t="s">
        <v>155</v>
      </c>
      <c r="L57" s="15" t="s">
        <v>70</v>
      </c>
      <c r="M57" s="15" t="s">
        <v>44</v>
      </c>
      <c r="N57" s="15" t="s">
        <v>23</v>
      </c>
      <c r="O57" s="15" t="s">
        <v>23</v>
      </c>
      <c r="P57" s="15">
        <v>90</v>
      </c>
      <c r="Q57" s="15">
        <v>0.1</v>
      </c>
      <c r="R57" s="15">
        <v>0</v>
      </c>
      <c r="S57" s="15">
        <v>0.9</v>
      </c>
    </row>
    <row r="58" spans="1:19" ht="15" x14ac:dyDescent="0.25">
      <c r="A58" s="14" t="s">
        <v>159</v>
      </c>
      <c r="B58" s="14" t="s">
        <v>834</v>
      </c>
      <c r="C58" s="14" t="s">
        <v>105</v>
      </c>
      <c r="D58" s="14"/>
      <c r="E58" s="14">
        <v>1</v>
      </c>
      <c r="F58" s="14"/>
      <c r="G58" s="14"/>
      <c r="H58" s="14"/>
      <c r="I58" s="14"/>
      <c r="J58" s="14">
        <v>1</v>
      </c>
      <c r="K58" s="14" t="s">
        <v>39</v>
      </c>
      <c r="L58" s="15" t="s">
        <v>70</v>
      </c>
      <c r="M58" s="15" t="s">
        <v>51</v>
      </c>
      <c r="N58" s="15" t="s">
        <v>23</v>
      </c>
      <c r="O58" s="15" t="s">
        <v>23</v>
      </c>
      <c r="P58" s="15">
        <v>70</v>
      </c>
      <c r="Q58" s="15">
        <v>0.3</v>
      </c>
      <c r="R58" s="15">
        <v>0</v>
      </c>
      <c r="S58" s="15">
        <v>0.7</v>
      </c>
    </row>
    <row r="59" spans="1:19" ht="15" x14ac:dyDescent="0.25">
      <c r="A59" s="14" t="s">
        <v>117</v>
      </c>
      <c r="B59" s="14" t="s">
        <v>835</v>
      </c>
      <c r="C59" s="14" t="s">
        <v>104</v>
      </c>
      <c r="D59" s="14"/>
      <c r="E59" s="14"/>
      <c r="F59" s="14"/>
      <c r="G59" s="14">
        <v>2</v>
      </c>
      <c r="H59" s="14"/>
      <c r="I59" s="14"/>
      <c r="J59" s="14">
        <v>2</v>
      </c>
      <c r="K59" s="14" t="s">
        <v>67</v>
      </c>
      <c r="L59" s="15" t="s">
        <v>70</v>
      </c>
      <c r="M59" s="15" t="s">
        <v>51</v>
      </c>
      <c r="N59" s="15" t="s">
        <v>23</v>
      </c>
      <c r="O59" s="15" t="s">
        <v>23</v>
      </c>
      <c r="P59" s="15">
        <v>70</v>
      </c>
      <c r="Q59" s="15">
        <v>0.6</v>
      </c>
      <c r="R59" s="15">
        <v>0</v>
      </c>
      <c r="S59" s="15">
        <v>1.4</v>
      </c>
    </row>
    <row r="60" spans="1:19" ht="15" x14ac:dyDescent="0.25">
      <c r="A60" s="14" t="s">
        <v>836</v>
      </c>
      <c r="B60" s="14" t="s">
        <v>837</v>
      </c>
      <c r="C60" s="14" t="s">
        <v>105</v>
      </c>
      <c r="D60" s="14"/>
      <c r="E60" s="14"/>
      <c r="F60" s="14"/>
      <c r="G60" s="14"/>
      <c r="H60" s="14">
        <v>1</v>
      </c>
      <c r="I60" s="14"/>
      <c r="J60" s="14">
        <v>1</v>
      </c>
      <c r="K60" s="14" t="s">
        <v>838</v>
      </c>
      <c r="L60" s="15" t="s">
        <v>70</v>
      </c>
      <c r="M60" s="15" t="s">
        <v>40</v>
      </c>
      <c r="N60" s="15" t="s">
        <v>23</v>
      </c>
      <c r="O60" s="15" t="s">
        <v>23</v>
      </c>
      <c r="P60" s="15">
        <v>80</v>
      </c>
      <c r="Q60" s="15">
        <v>0.2</v>
      </c>
      <c r="R60" s="15">
        <v>0</v>
      </c>
      <c r="S60" s="15">
        <v>0.8</v>
      </c>
    </row>
    <row r="61" spans="1:19" ht="15" x14ac:dyDescent="0.25">
      <c r="A61" s="14" t="s">
        <v>839</v>
      </c>
      <c r="B61" s="14" t="s">
        <v>840</v>
      </c>
      <c r="C61" s="14" t="s">
        <v>105</v>
      </c>
      <c r="D61" s="14"/>
      <c r="E61" s="14"/>
      <c r="F61" s="14"/>
      <c r="G61" s="14"/>
      <c r="H61" s="14"/>
      <c r="I61" s="14">
        <v>1</v>
      </c>
      <c r="J61" s="14">
        <v>1</v>
      </c>
      <c r="K61" s="14" t="s">
        <v>838</v>
      </c>
      <c r="L61" s="15" t="s">
        <v>70</v>
      </c>
      <c r="M61" s="15" t="s">
        <v>40</v>
      </c>
      <c r="N61" s="15" t="s">
        <v>23</v>
      </c>
      <c r="O61" s="15" t="s">
        <v>23</v>
      </c>
      <c r="P61" s="15">
        <v>80</v>
      </c>
      <c r="Q61" s="15">
        <v>0.2</v>
      </c>
      <c r="R61" s="15">
        <v>0</v>
      </c>
      <c r="S61" s="15">
        <v>0.8</v>
      </c>
    </row>
    <row r="62" spans="1:19" ht="15" x14ac:dyDescent="0.25">
      <c r="A62" s="33" t="s">
        <v>111</v>
      </c>
      <c r="B62" s="33" t="s">
        <v>841</v>
      </c>
      <c r="C62" s="34" t="s">
        <v>104</v>
      </c>
      <c r="D62" s="33"/>
      <c r="E62" s="33">
        <v>1</v>
      </c>
      <c r="F62" s="33"/>
      <c r="G62" s="33">
        <v>1</v>
      </c>
      <c r="H62" s="33"/>
      <c r="I62" s="33"/>
      <c r="J62" s="14">
        <v>2</v>
      </c>
      <c r="K62" s="14" t="s">
        <v>73</v>
      </c>
      <c r="L62" s="15" t="s">
        <v>70</v>
      </c>
      <c r="M62" s="15" t="s">
        <v>51</v>
      </c>
      <c r="N62" s="15" t="s">
        <v>64</v>
      </c>
      <c r="O62" s="15" t="s">
        <v>51</v>
      </c>
      <c r="P62" s="15">
        <v>40</v>
      </c>
      <c r="Q62" s="15">
        <v>0.6</v>
      </c>
      <c r="R62" s="15">
        <v>0.6</v>
      </c>
      <c r="S62" s="15">
        <v>0.8</v>
      </c>
    </row>
    <row r="63" spans="1:19" ht="15" x14ac:dyDescent="0.25">
      <c r="A63" s="14" t="s">
        <v>354</v>
      </c>
      <c r="B63" s="14" t="s">
        <v>842</v>
      </c>
      <c r="C63" s="14" t="s">
        <v>104</v>
      </c>
      <c r="D63" s="14"/>
      <c r="E63" s="14"/>
      <c r="F63" s="14"/>
      <c r="G63" s="14">
        <v>1</v>
      </c>
      <c r="H63" s="14"/>
      <c r="I63" s="14"/>
      <c r="J63" s="14">
        <v>1</v>
      </c>
      <c r="K63" s="14" t="s">
        <v>69</v>
      </c>
      <c r="L63" s="15" t="s">
        <v>70</v>
      </c>
      <c r="M63" s="15" t="s">
        <v>40</v>
      </c>
      <c r="N63" s="15" t="s">
        <v>68</v>
      </c>
      <c r="O63" s="15" t="s">
        <v>40</v>
      </c>
      <c r="P63" s="15">
        <v>60</v>
      </c>
      <c r="Q63" s="15">
        <v>0.2</v>
      </c>
      <c r="R63" s="15">
        <v>0.2</v>
      </c>
      <c r="S63" s="15">
        <v>0.6</v>
      </c>
    </row>
    <row r="64" spans="1:19" ht="15" x14ac:dyDescent="0.25">
      <c r="A64" s="14" t="s">
        <v>675</v>
      </c>
      <c r="B64" s="14" t="s">
        <v>843</v>
      </c>
      <c r="C64" s="14" t="s">
        <v>104</v>
      </c>
      <c r="D64" s="14"/>
      <c r="E64" s="14">
        <v>2</v>
      </c>
      <c r="F64" s="14"/>
      <c r="G64" s="14"/>
      <c r="H64" s="14">
        <v>1</v>
      </c>
      <c r="I64" s="14"/>
      <c r="J64" s="14">
        <v>3</v>
      </c>
      <c r="K64" s="14" t="s">
        <v>676</v>
      </c>
      <c r="L64" s="15" t="s">
        <v>70</v>
      </c>
      <c r="M64" s="15" t="s">
        <v>51</v>
      </c>
      <c r="N64" s="15" t="s">
        <v>25</v>
      </c>
      <c r="O64" s="15" t="s">
        <v>40</v>
      </c>
      <c r="P64" s="15">
        <v>50</v>
      </c>
      <c r="Q64" s="15">
        <v>0.9</v>
      </c>
      <c r="R64" s="15">
        <v>0.6</v>
      </c>
      <c r="S64" s="15">
        <v>1.5</v>
      </c>
    </row>
    <row r="65" spans="1:19" ht="15" x14ac:dyDescent="0.25">
      <c r="A65" s="54" t="s">
        <v>431</v>
      </c>
      <c r="B65" s="54" t="s">
        <v>844</v>
      </c>
      <c r="C65" s="54" t="s">
        <v>104</v>
      </c>
      <c r="D65" s="54"/>
      <c r="E65" s="54"/>
      <c r="F65" s="54"/>
      <c r="G65" s="54"/>
      <c r="H65" s="54"/>
      <c r="I65" s="54">
        <v>1</v>
      </c>
      <c r="J65" s="54">
        <v>1</v>
      </c>
      <c r="K65" s="54" t="s">
        <v>63</v>
      </c>
      <c r="L65" s="55" t="s">
        <v>70</v>
      </c>
      <c r="M65" s="55" t="s">
        <v>51</v>
      </c>
      <c r="N65" s="55" t="s">
        <v>23</v>
      </c>
      <c r="O65" s="55" t="s">
        <v>23</v>
      </c>
      <c r="P65" s="55">
        <v>70</v>
      </c>
      <c r="Q65" s="55">
        <v>0.3</v>
      </c>
      <c r="R65" s="55">
        <v>0</v>
      </c>
      <c r="S65" s="55">
        <v>0.7</v>
      </c>
    </row>
    <row r="66" spans="1:19" ht="15" x14ac:dyDescent="0.25">
      <c r="A66" s="54" t="s">
        <v>432</v>
      </c>
      <c r="B66" s="54" t="s">
        <v>845</v>
      </c>
      <c r="C66" s="54" t="s">
        <v>105</v>
      </c>
      <c r="D66" s="54"/>
      <c r="E66" s="54"/>
      <c r="F66" s="54"/>
      <c r="G66" s="54">
        <v>1</v>
      </c>
      <c r="H66" s="54"/>
      <c r="I66" s="54"/>
      <c r="J66" s="54">
        <v>1</v>
      </c>
      <c r="K66" s="54" t="s">
        <v>63</v>
      </c>
      <c r="L66" s="55" t="s">
        <v>70</v>
      </c>
      <c r="M66" s="55" t="s">
        <v>51</v>
      </c>
      <c r="N66" s="55" t="s">
        <v>23</v>
      </c>
      <c r="O66" s="55" t="s">
        <v>23</v>
      </c>
      <c r="P66" s="55">
        <v>70</v>
      </c>
      <c r="Q66" s="55">
        <v>0.3</v>
      </c>
      <c r="R66" s="55">
        <v>0</v>
      </c>
      <c r="S66" s="55">
        <v>0.7</v>
      </c>
    </row>
    <row r="67" spans="1:19" ht="15" x14ac:dyDescent="0.25">
      <c r="A67" s="54" t="s">
        <v>735</v>
      </c>
      <c r="B67" s="54" t="s">
        <v>846</v>
      </c>
      <c r="C67" s="54" t="s">
        <v>104</v>
      </c>
      <c r="D67" s="54"/>
      <c r="E67" s="54"/>
      <c r="F67" s="54">
        <v>1</v>
      </c>
      <c r="G67" s="54"/>
      <c r="H67" s="54"/>
      <c r="I67" s="54"/>
      <c r="J67" s="54">
        <v>1</v>
      </c>
      <c r="K67" s="54" t="s">
        <v>63</v>
      </c>
      <c r="L67" s="55" t="s">
        <v>70</v>
      </c>
      <c r="M67" s="55" t="s">
        <v>51</v>
      </c>
      <c r="N67" s="55" t="s">
        <v>64</v>
      </c>
      <c r="O67" s="55" t="s">
        <v>40</v>
      </c>
      <c r="P67" s="55">
        <v>50</v>
      </c>
      <c r="Q67" s="55">
        <v>0.3</v>
      </c>
      <c r="R67" s="55">
        <v>0.2</v>
      </c>
      <c r="S67" s="55">
        <v>0.5</v>
      </c>
    </row>
    <row r="68" spans="1:19" ht="15" x14ac:dyDescent="0.25">
      <c r="A68" s="54" t="s">
        <v>433</v>
      </c>
      <c r="B68" s="54" t="s">
        <v>847</v>
      </c>
      <c r="C68" s="54" t="s">
        <v>104</v>
      </c>
      <c r="D68" s="54"/>
      <c r="E68" s="54"/>
      <c r="F68" s="54"/>
      <c r="G68" s="54">
        <v>1</v>
      </c>
      <c r="H68" s="54"/>
      <c r="I68" s="54"/>
      <c r="J68" s="54">
        <v>1</v>
      </c>
      <c r="K68" s="54" t="s">
        <v>63</v>
      </c>
      <c r="L68" s="55" t="s">
        <v>70</v>
      </c>
      <c r="M68" s="55" t="s">
        <v>51</v>
      </c>
      <c r="N68" s="55" t="s">
        <v>23</v>
      </c>
      <c r="O68" s="55" t="s">
        <v>23</v>
      </c>
      <c r="P68" s="55">
        <v>70</v>
      </c>
      <c r="Q68" s="55">
        <v>0.3</v>
      </c>
      <c r="R68" s="55">
        <v>0</v>
      </c>
      <c r="S68" s="55">
        <v>0.7</v>
      </c>
    </row>
    <row r="69" spans="1:19" ht="15" x14ac:dyDescent="0.25">
      <c r="A69" s="54" t="s">
        <v>848</v>
      </c>
      <c r="B69" s="54" t="s">
        <v>849</v>
      </c>
      <c r="C69" s="54" t="s">
        <v>104</v>
      </c>
      <c r="D69" s="54"/>
      <c r="E69" s="54"/>
      <c r="F69" s="54"/>
      <c r="G69" s="54">
        <v>1</v>
      </c>
      <c r="H69" s="54"/>
      <c r="I69" s="54"/>
      <c r="J69" s="54">
        <v>1</v>
      </c>
      <c r="K69" s="54" t="s">
        <v>155</v>
      </c>
      <c r="L69" s="55" t="s">
        <v>70</v>
      </c>
      <c r="M69" s="55" t="s">
        <v>44</v>
      </c>
      <c r="N69" s="55" t="s">
        <v>23</v>
      </c>
      <c r="O69" s="55" t="s">
        <v>23</v>
      </c>
      <c r="P69" s="55">
        <v>90</v>
      </c>
      <c r="Q69" s="55">
        <v>0.1</v>
      </c>
      <c r="R69" s="55">
        <v>0</v>
      </c>
      <c r="S69" s="55">
        <v>0.9</v>
      </c>
    </row>
    <row r="70" spans="1:19" ht="15" x14ac:dyDescent="0.25">
      <c r="A70" s="54" t="s">
        <v>146</v>
      </c>
      <c r="B70" s="54" t="s">
        <v>850</v>
      </c>
      <c r="C70" s="54" t="s">
        <v>104</v>
      </c>
      <c r="D70" s="54"/>
      <c r="E70" s="54"/>
      <c r="F70" s="54"/>
      <c r="G70" s="54">
        <v>1</v>
      </c>
      <c r="H70" s="54"/>
      <c r="I70" s="54"/>
      <c r="J70" s="54">
        <v>1</v>
      </c>
      <c r="K70" s="54" t="s">
        <v>76</v>
      </c>
      <c r="L70" s="55" t="s">
        <v>29</v>
      </c>
      <c r="M70" s="55" t="s">
        <v>44</v>
      </c>
      <c r="N70" s="55" t="s">
        <v>70</v>
      </c>
      <c r="O70" s="55" t="s">
        <v>44</v>
      </c>
      <c r="P70" s="55">
        <v>80</v>
      </c>
      <c r="Q70" s="55">
        <v>0.1</v>
      </c>
      <c r="R70" s="55">
        <v>0.1</v>
      </c>
      <c r="S70" s="55">
        <v>0.8</v>
      </c>
    </row>
    <row r="71" spans="1:19" ht="15" x14ac:dyDescent="0.25">
      <c r="A71" s="54" t="s">
        <v>851</v>
      </c>
      <c r="B71" s="54" t="s">
        <v>852</v>
      </c>
      <c r="C71" s="54" t="s">
        <v>105</v>
      </c>
      <c r="D71" s="54"/>
      <c r="E71" s="54"/>
      <c r="F71" s="54"/>
      <c r="G71" s="54"/>
      <c r="H71" s="54"/>
      <c r="I71" s="54">
        <v>1</v>
      </c>
      <c r="J71" s="54">
        <v>1</v>
      </c>
      <c r="K71" s="54" t="s">
        <v>769</v>
      </c>
      <c r="L71" s="55" t="s">
        <v>815</v>
      </c>
      <c r="M71" s="55" t="s">
        <v>33</v>
      </c>
      <c r="N71" s="55" t="s">
        <v>70</v>
      </c>
      <c r="O71" s="55" t="s">
        <v>51</v>
      </c>
      <c r="P71" s="55">
        <v>20</v>
      </c>
      <c r="Q71" s="55">
        <v>0.5</v>
      </c>
      <c r="R71" s="55">
        <v>0.3</v>
      </c>
      <c r="S71" s="55">
        <v>0.2</v>
      </c>
    </row>
    <row r="72" spans="1:19" ht="15" x14ac:dyDescent="0.25">
      <c r="A72" s="54" t="s">
        <v>119</v>
      </c>
      <c r="B72" s="54" t="s">
        <v>853</v>
      </c>
      <c r="C72" s="54" t="s">
        <v>104</v>
      </c>
      <c r="D72" s="54"/>
      <c r="E72" s="54"/>
      <c r="F72" s="54"/>
      <c r="G72" s="54"/>
      <c r="H72" s="54"/>
      <c r="I72" s="54">
        <v>1</v>
      </c>
      <c r="J72" s="54">
        <v>1</v>
      </c>
      <c r="K72" s="54" t="s">
        <v>60</v>
      </c>
      <c r="L72" s="55" t="s">
        <v>29</v>
      </c>
      <c r="M72" s="55" t="s">
        <v>854</v>
      </c>
      <c r="N72" s="55" t="s">
        <v>70</v>
      </c>
      <c r="O72" s="55" t="s">
        <v>44</v>
      </c>
      <c r="P72" s="55">
        <v>0</v>
      </c>
      <c r="Q72" s="55">
        <v>0.9</v>
      </c>
      <c r="R72" s="55">
        <v>0.1</v>
      </c>
      <c r="S72" s="55">
        <v>0</v>
      </c>
    </row>
    <row r="73" spans="1:19" ht="15" x14ac:dyDescent="0.25">
      <c r="A73" s="54" t="s">
        <v>131</v>
      </c>
      <c r="B73" s="54" t="s">
        <v>855</v>
      </c>
      <c r="C73" s="54" t="s">
        <v>104</v>
      </c>
      <c r="D73" s="54">
        <v>1</v>
      </c>
      <c r="E73" s="54"/>
      <c r="F73" s="54"/>
      <c r="G73" s="54"/>
      <c r="H73" s="54"/>
      <c r="I73" s="54"/>
      <c r="J73" s="54">
        <v>1</v>
      </c>
      <c r="K73" s="54" t="s">
        <v>43</v>
      </c>
      <c r="L73" s="55" t="s">
        <v>47</v>
      </c>
      <c r="M73" s="55" t="s">
        <v>44</v>
      </c>
      <c r="N73" s="55" t="s">
        <v>70</v>
      </c>
      <c r="O73" s="55" t="s">
        <v>33</v>
      </c>
      <c r="P73" s="55">
        <v>40</v>
      </c>
      <c r="Q73" s="55">
        <v>0.1</v>
      </c>
      <c r="R73" s="55">
        <v>0.5</v>
      </c>
      <c r="S73" s="55">
        <v>0.4</v>
      </c>
    </row>
    <row r="74" spans="1:19" ht="15" x14ac:dyDescent="0.25">
      <c r="A74" s="54" t="s">
        <v>161</v>
      </c>
      <c r="B74" s="54" t="s">
        <v>856</v>
      </c>
      <c r="C74" s="54" t="s">
        <v>104</v>
      </c>
      <c r="D74" s="54"/>
      <c r="E74" s="54"/>
      <c r="F74" s="54">
        <v>1</v>
      </c>
      <c r="G74" s="54"/>
      <c r="H74" s="54"/>
      <c r="I74" s="54"/>
      <c r="J74" s="54">
        <v>1</v>
      </c>
      <c r="K74" s="54" t="s">
        <v>43</v>
      </c>
      <c r="L74" s="55" t="s">
        <v>25</v>
      </c>
      <c r="M74" s="55" t="s">
        <v>44</v>
      </c>
      <c r="N74" s="55" t="s">
        <v>70</v>
      </c>
      <c r="O74" s="55" t="s">
        <v>33</v>
      </c>
      <c r="P74" s="55">
        <v>40</v>
      </c>
      <c r="Q74" s="55">
        <v>0.1</v>
      </c>
      <c r="R74" s="55">
        <v>0.5</v>
      </c>
      <c r="S74" s="55">
        <v>0.4</v>
      </c>
    </row>
    <row r="75" spans="1:19" ht="15" x14ac:dyDescent="0.25">
      <c r="A75" s="54" t="s">
        <v>109</v>
      </c>
      <c r="B75" s="54" t="s">
        <v>857</v>
      </c>
      <c r="C75" s="54" t="s">
        <v>104</v>
      </c>
      <c r="D75" s="54"/>
      <c r="E75" s="54">
        <v>1</v>
      </c>
      <c r="F75" s="54"/>
      <c r="G75" s="54"/>
      <c r="H75" s="54"/>
      <c r="I75" s="54"/>
      <c r="J75" s="54">
        <v>1</v>
      </c>
      <c r="K75" s="54" t="s">
        <v>67</v>
      </c>
      <c r="L75" s="55" t="s">
        <v>68</v>
      </c>
      <c r="M75" s="55" t="s">
        <v>40</v>
      </c>
      <c r="N75" s="55" t="s">
        <v>70</v>
      </c>
      <c r="O75" s="55" t="s">
        <v>44</v>
      </c>
      <c r="P75" s="55">
        <v>70</v>
      </c>
      <c r="Q75" s="55">
        <v>0.2</v>
      </c>
      <c r="R75" s="55">
        <v>0.1</v>
      </c>
      <c r="S75" s="55">
        <v>0.7</v>
      </c>
    </row>
    <row r="76" spans="1:19" ht="15" x14ac:dyDescent="0.25">
      <c r="A76" s="54" t="s">
        <v>132</v>
      </c>
      <c r="B76" s="54" t="s">
        <v>858</v>
      </c>
      <c r="C76" s="54" t="s">
        <v>104</v>
      </c>
      <c r="D76" s="54"/>
      <c r="E76" s="54">
        <v>1</v>
      </c>
      <c r="F76" s="54"/>
      <c r="G76" s="54">
        <v>1</v>
      </c>
      <c r="H76" s="54"/>
      <c r="I76" s="54"/>
      <c r="J76" s="54">
        <v>2</v>
      </c>
      <c r="K76" s="54" t="s">
        <v>73</v>
      </c>
      <c r="L76" s="55" t="s">
        <v>64</v>
      </c>
      <c r="M76" s="55" t="s">
        <v>40</v>
      </c>
      <c r="N76" s="55" t="s">
        <v>70</v>
      </c>
      <c r="O76" s="55" t="s">
        <v>51</v>
      </c>
      <c r="P76" s="55">
        <v>50</v>
      </c>
      <c r="Q76" s="55">
        <v>0.4</v>
      </c>
      <c r="R76" s="55">
        <v>0.6</v>
      </c>
      <c r="S76" s="55">
        <v>1</v>
      </c>
    </row>
    <row r="77" spans="1:19" ht="15" x14ac:dyDescent="0.25">
      <c r="A77" s="54" t="s">
        <v>147</v>
      </c>
      <c r="B77" s="54" t="s">
        <v>859</v>
      </c>
      <c r="C77" s="54" t="s">
        <v>104</v>
      </c>
      <c r="D77" s="54"/>
      <c r="E77" s="54"/>
      <c r="F77" s="54"/>
      <c r="G77" s="54">
        <v>1</v>
      </c>
      <c r="H77" s="54"/>
      <c r="I77" s="54"/>
      <c r="J77" s="54">
        <v>1</v>
      </c>
      <c r="K77" s="54" t="s">
        <v>73</v>
      </c>
      <c r="L77" s="55" t="s">
        <v>64</v>
      </c>
      <c r="M77" s="55" t="s">
        <v>40</v>
      </c>
      <c r="N77" s="55" t="s">
        <v>70</v>
      </c>
      <c r="O77" s="55" t="s">
        <v>51</v>
      </c>
      <c r="P77" s="55">
        <v>50</v>
      </c>
      <c r="Q77" s="55">
        <v>0.2</v>
      </c>
      <c r="R77" s="55">
        <v>0.3</v>
      </c>
      <c r="S77" s="55">
        <v>0.5</v>
      </c>
    </row>
    <row r="78" spans="1:19" ht="15" x14ac:dyDescent="0.25">
      <c r="A78" s="54" t="s">
        <v>107</v>
      </c>
      <c r="B78" s="54" t="s">
        <v>860</v>
      </c>
      <c r="C78" s="54" t="s">
        <v>104</v>
      </c>
      <c r="D78" s="54"/>
      <c r="E78" s="54"/>
      <c r="F78" s="54"/>
      <c r="G78" s="54"/>
      <c r="H78" s="54"/>
      <c r="I78" s="54">
        <v>1</v>
      </c>
      <c r="J78" s="54">
        <v>1</v>
      </c>
      <c r="K78" s="54" t="s">
        <v>80</v>
      </c>
      <c r="L78" s="55" t="s">
        <v>160</v>
      </c>
      <c r="M78" s="55" t="s">
        <v>51</v>
      </c>
      <c r="N78" s="55" t="s">
        <v>70</v>
      </c>
      <c r="O78" s="55" t="s">
        <v>51</v>
      </c>
      <c r="P78" s="55">
        <v>40</v>
      </c>
      <c r="Q78" s="55">
        <v>0.3</v>
      </c>
      <c r="R78" s="55">
        <v>0.3</v>
      </c>
      <c r="S78" s="55">
        <v>0.4</v>
      </c>
    </row>
    <row r="79" spans="1:19" ht="15" x14ac:dyDescent="0.25">
      <c r="A79" s="54" t="s">
        <v>512</v>
      </c>
      <c r="B79" s="54" t="s">
        <v>861</v>
      </c>
      <c r="C79" s="54" t="s">
        <v>104</v>
      </c>
      <c r="D79" s="54"/>
      <c r="E79" s="54">
        <v>1</v>
      </c>
      <c r="F79" s="54"/>
      <c r="G79" s="54">
        <v>1</v>
      </c>
      <c r="H79" s="54"/>
      <c r="I79" s="54"/>
      <c r="J79" s="54">
        <v>2</v>
      </c>
      <c r="K79" s="54" t="s">
        <v>73</v>
      </c>
      <c r="L79" s="55" t="s">
        <v>64</v>
      </c>
      <c r="M79" s="55" t="s">
        <v>40</v>
      </c>
      <c r="N79" s="55" t="s">
        <v>70</v>
      </c>
      <c r="O79" s="55" t="s">
        <v>51</v>
      </c>
      <c r="P79" s="55">
        <v>50</v>
      </c>
      <c r="Q79" s="55">
        <v>0.4</v>
      </c>
      <c r="R79" s="55">
        <v>0.6</v>
      </c>
      <c r="S79" s="55">
        <v>1</v>
      </c>
    </row>
    <row r="80" spans="1:19" ht="15" x14ac:dyDescent="0.25">
      <c r="A80" s="31"/>
      <c r="B80" s="31"/>
      <c r="C80" s="32"/>
      <c r="D80" s="31"/>
      <c r="E80" s="31"/>
      <c r="F80" s="31"/>
      <c r="G80" s="31"/>
      <c r="H80" s="31"/>
      <c r="I80" s="31"/>
      <c r="J80" s="31"/>
      <c r="K80" s="31"/>
      <c r="L80" s="31"/>
      <c r="M80" s="31"/>
      <c r="N80" s="31"/>
      <c r="O80" s="31"/>
      <c r="P80" s="31"/>
      <c r="Q80" s="31"/>
      <c r="R80" s="35">
        <f>SUM(Q2:Q69,R70:R79)</f>
        <v>27.450000000000024</v>
      </c>
      <c r="S80" s="31"/>
    </row>
  </sheetData>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0D18-4998-45C9-A539-61DEDBF4E5BB}">
  <dimension ref="A1:C28"/>
  <sheetViews>
    <sheetView topLeftCell="A10" workbookViewId="0">
      <selection activeCell="C27" sqref="C27"/>
    </sheetView>
  </sheetViews>
  <sheetFormatPr baseColWidth="10" defaultRowHeight="15" x14ac:dyDescent="0.25"/>
  <cols>
    <col min="1" max="1" width="16.28515625" customWidth="1"/>
    <col min="2" max="2" width="77.28515625" customWidth="1"/>
    <col min="3" max="3" width="14.85546875" customWidth="1"/>
  </cols>
  <sheetData>
    <row r="1" spans="1:3" x14ac:dyDescent="0.25">
      <c r="A1" s="37" t="s">
        <v>275</v>
      </c>
      <c r="B1" s="37" t="s">
        <v>276</v>
      </c>
      <c r="C1" s="37" t="s">
        <v>355</v>
      </c>
    </row>
    <row r="2" spans="1:3" x14ac:dyDescent="0.25">
      <c r="A2" s="23" t="s">
        <v>439</v>
      </c>
      <c r="B2" s="23" t="s">
        <v>440</v>
      </c>
      <c r="C2" s="24">
        <v>7040</v>
      </c>
    </row>
    <row r="3" spans="1:3" x14ac:dyDescent="0.25">
      <c r="A3" s="25" t="s">
        <v>441</v>
      </c>
      <c r="B3" s="25" t="s">
        <v>442</v>
      </c>
      <c r="C3" s="26">
        <v>1760</v>
      </c>
    </row>
    <row r="4" spans="1:3" x14ac:dyDescent="0.25">
      <c r="A4" s="23" t="s">
        <v>441</v>
      </c>
      <c r="B4" s="23" t="s">
        <v>443</v>
      </c>
      <c r="C4" s="24">
        <v>1760</v>
      </c>
    </row>
    <row r="5" spans="1:3" x14ac:dyDescent="0.25">
      <c r="A5" s="25" t="s">
        <v>441</v>
      </c>
      <c r="B5" s="25" t="s">
        <v>444</v>
      </c>
      <c r="C5" s="26">
        <v>1760</v>
      </c>
    </row>
    <row r="6" spans="1:3" x14ac:dyDescent="0.25">
      <c r="A6" s="23" t="s">
        <v>441</v>
      </c>
      <c r="B6" s="23" t="s">
        <v>445</v>
      </c>
      <c r="C6" s="24">
        <v>1760</v>
      </c>
    </row>
    <row r="7" spans="1:3" x14ac:dyDescent="0.25">
      <c r="A7" s="25" t="s">
        <v>446</v>
      </c>
      <c r="B7" s="25" t="s">
        <v>447</v>
      </c>
      <c r="C7" s="26">
        <v>2640</v>
      </c>
    </row>
    <row r="8" spans="1:3" x14ac:dyDescent="0.25">
      <c r="A8" s="23" t="s">
        <v>448</v>
      </c>
      <c r="B8" s="23" t="s">
        <v>449</v>
      </c>
      <c r="C8" s="24">
        <v>3520</v>
      </c>
    </row>
    <row r="9" spans="1:3" x14ac:dyDescent="0.25">
      <c r="A9" s="25" t="s">
        <v>450</v>
      </c>
      <c r="B9" s="25" t="s">
        <v>451</v>
      </c>
      <c r="C9" s="26">
        <v>1454.54</v>
      </c>
    </row>
    <row r="10" spans="1:3" x14ac:dyDescent="0.25">
      <c r="A10" s="23" t="s">
        <v>452</v>
      </c>
      <c r="B10" s="23" t="s">
        <v>453</v>
      </c>
      <c r="C10" s="24">
        <v>12672</v>
      </c>
    </row>
    <row r="11" spans="1:3" x14ac:dyDescent="0.25">
      <c r="A11" s="25" t="s">
        <v>454</v>
      </c>
      <c r="B11" s="25" t="s">
        <v>455</v>
      </c>
      <c r="C11" s="26">
        <v>2640</v>
      </c>
    </row>
    <row r="12" spans="1:3" x14ac:dyDescent="0.25">
      <c r="A12" s="23" t="s">
        <v>454</v>
      </c>
      <c r="B12" s="23" t="s">
        <v>456</v>
      </c>
      <c r="C12" s="24">
        <v>2640</v>
      </c>
    </row>
    <row r="13" spans="1:3" x14ac:dyDescent="0.25">
      <c r="A13" s="25" t="s">
        <v>457</v>
      </c>
      <c r="B13" s="25" t="s">
        <v>458</v>
      </c>
      <c r="C13" s="26">
        <v>1760</v>
      </c>
    </row>
    <row r="14" spans="1:3" x14ac:dyDescent="0.25">
      <c r="A14" s="23" t="s">
        <v>459</v>
      </c>
      <c r="B14" s="23" t="s">
        <v>460</v>
      </c>
      <c r="C14" s="24">
        <v>10000</v>
      </c>
    </row>
    <row r="15" spans="1:3" x14ac:dyDescent="0.25">
      <c r="A15" s="25" t="s">
        <v>461</v>
      </c>
      <c r="B15" s="25" t="s">
        <v>462</v>
      </c>
      <c r="C15" s="26">
        <v>29175</v>
      </c>
    </row>
    <row r="16" spans="1:3" x14ac:dyDescent="0.25">
      <c r="A16" s="23" t="s">
        <v>461</v>
      </c>
      <c r="B16" s="23" t="s">
        <v>463</v>
      </c>
      <c r="C16" s="24">
        <v>21399.279999999999</v>
      </c>
    </row>
    <row r="17" spans="1:3" x14ac:dyDescent="0.25">
      <c r="A17" s="25" t="s">
        <v>461</v>
      </c>
      <c r="B17" s="25" t="s">
        <v>462</v>
      </c>
      <c r="C17" s="26">
        <v>105000</v>
      </c>
    </row>
    <row r="18" spans="1:3" x14ac:dyDescent="0.25">
      <c r="A18" s="23" t="s">
        <v>464</v>
      </c>
      <c r="B18" s="23" t="s">
        <v>465</v>
      </c>
      <c r="C18" s="24">
        <v>1818</v>
      </c>
    </row>
    <row r="19" spans="1:3" x14ac:dyDescent="0.25">
      <c r="A19" s="25" t="s">
        <v>464</v>
      </c>
      <c r="B19" s="25" t="s">
        <v>466</v>
      </c>
      <c r="C19" s="26">
        <v>-135</v>
      </c>
    </row>
    <row r="20" spans="1:3" x14ac:dyDescent="0.25">
      <c r="A20" s="23" t="s">
        <v>356</v>
      </c>
      <c r="B20" s="23" t="s">
        <v>467</v>
      </c>
      <c r="C20" s="24">
        <v>-6013.23</v>
      </c>
    </row>
    <row r="21" spans="1:3" x14ac:dyDescent="0.25">
      <c r="A21" s="25" t="s">
        <v>356</v>
      </c>
      <c r="B21" s="25" t="s">
        <v>468</v>
      </c>
      <c r="C21" s="26">
        <v>10000</v>
      </c>
    </row>
    <row r="22" spans="1:3" x14ac:dyDescent="0.25">
      <c r="A22" s="23" t="s">
        <v>469</v>
      </c>
      <c r="B22" s="23" t="s">
        <v>470</v>
      </c>
      <c r="C22" s="24">
        <v>-5908.87</v>
      </c>
    </row>
    <row r="23" spans="1:3" x14ac:dyDescent="0.25">
      <c r="A23" s="25" t="s">
        <v>469</v>
      </c>
      <c r="B23" s="25" t="s">
        <v>471</v>
      </c>
      <c r="C23" s="26">
        <v>25000</v>
      </c>
    </row>
    <row r="24" spans="1:3" x14ac:dyDescent="0.25">
      <c r="A24" s="23" t="s">
        <v>472</v>
      </c>
      <c r="B24" s="23" t="s">
        <v>473</v>
      </c>
      <c r="C24" s="24">
        <v>9000</v>
      </c>
    </row>
    <row r="25" spans="1:3" x14ac:dyDescent="0.25">
      <c r="A25" s="25" t="s">
        <v>277</v>
      </c>
      <c r="B25" s="25" t="s">
        <v>474</v>
      </c>
      <c r="C25" s="26">
        <v>17379.61</v>
      </c>
    </row>
    <row r="26" spans="1:3" x14ac:dyDescent="0.25">
      <c r="A26" s="23" t="s">
        <v>277</v>
      </c>
      <c r="B26" s="23" t="s">
        <v>475</v>
      </c>
      <c r="C26" s="24">
        <v>20000</v>
      </c>
    </row>
    <row r="27" spans="1:3" x14ac:dyDescent="0.25">
      <c r="A27" s="38" t="s">
        <v>476</v>
      </c>
      <c r="B27" s="38" t="s">
        <v>477</v>
      </c>
      <c r="C27" s="42">
        <v>27570.93</v>
      </c>
    </row>
    <row r="28" spans="1:3" x14ac:dyDescent="0.25">
      <c r="A28" s="44" t="s">
        <v>0</v>
      </c>
      <c r="B28" s="44"/>
      <c r="C28" s="45">
        <f>SUBTOTAL(109,Tabla2[Imp.cob.aplic.])</f>
        <v>305692.26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2C66-35AA-44E2-9897-0021D47EFD96}">
  <dimension ref="A1:C20"/>
  <sheetViews>
    <sheetView topLeftCell="A16" workbookViewId="0">
      <selection activeCell="B23" sqref="B23:C23"/>
    </sheetView>
  </sheetViews>
  <sheetFormatPr baseColWidth="10" defaultRowHeight="15" x14ac:dyDescent="0.25"/>
  <cols>
    <col min="1" max="1" width="13.5703125" bestFit="1" customWidth="1"/>
    <col min="2" max="2" width="67.140625" customWidth="1"/>
    <col min="3" max="3" width="13.28515625" style="40" bestFit="1" customWidth="1"/>
  </cols>
  <sheetData>
    <row r="1" spans="1:3" x14ac:dyDescent="0.25">
      <c r="A1" t="s">
        <v>633</v>
      </c>
      <c r="B1" t="s">
        <v>276</v>
      </c>
      <c r="C1" s="40" t="s">
        <v>634</v>
      </c>
    </row>
    <row r="2" spans="1:3" ht="30" x14ac:dyDescent="0.25">
      <c r="A2" t="s">
        <v>446</v>
      </c>
      <c r="B2" s="41" t="s">
        <v>635</v>
      </c>
      <c r="C2" s="40">
        <v>2640</v>
      </c>
    </row>
    <row r="3" spans="1:3" ht="30" x14ac:dyDescent="0.25">
      <c r="A3" t="s">
        <v>636</v>
      </c>
      <c r="B3" s="41" t="s">
        <v>637</v>
      </c>
      <c r="C3" s="40">
        <v>2622.4</v>
      </c>
    </row>
    <row r="4" spans="1:3" ht="30" x14ac:dyDescent="0.25">
      <c r="A4" t="s">
        <v>636</v>
      </c>
      <c r="B4" s="41" t="s">
        <v>638</v>
      </c>
      <c r="C4" s="40">
        <v>616</v>
      </c>
    </row>
    <row r="5" spans="1:3" ht="30" x14ac:dyDescent="0.25">
      <c r="A5" t="s">
        <v>636</v>
      </c>
      <c r="B5" s="41" t="s">
        <v>639</v>
      </c>
      <c r="C5" s="40">
        <v>1320</v>
      </c>
    </row>
    <row r="6" spans="1:3" ht="60" x14ac:dyDescent="0.25">
      <c r="A6" t="s">
        <v>640</v>
      </c>
      <c r="B6" s="41" t="s">
        <v>641</v>
      </c>
      <c r="C6" s="40">
        <v>1760</v>
      </c>
    </row>
    <row r="7" spans="1:3" ht="30" x14ac:dyDescent="0.25">
      <c r="A7" t="s">
        <v>640</v>
      </c>
      <c r="B7" s="41" t="s">
        <v>642</v>
      </c>
      <c r="C7" s="40">
        <v>1760</v>
      </c>
    </row>
    <row r="8" spans="1:3" ht="45" x14ac:dyDescent="0.25">
      <c r="A8" t="s">
        <v>640</v>
      </c>
      <c r="B8" s="41" t="s">
        <v>643</v>
      </c>
      <c r="C8" s="40">
        <v>1760</v>
      </c>
    </row>
    <row r="9" spans="1:3" ht="30" x14ac:dyDescent="0.25">
      <c r="A9" t="s">
        <v>644</v>
      </c>
      <c r="B9" s="41" t="s">
        <v>645</v>
      </c>
      <c r="C9" s="40">
        <v>2640</v>
      </c>
    </row>
    <row r="10" spans="1:3" ht="30" x14ac:dyDescent="0.25">
      <c r="A10" t="s">
        <v>644</v>
      </c>
      <c r="B10" s="41" t="s">
        <v>646</v>
      </c>
      <c r="C10" s="40">
        <v>2640</v>
      </c>
    </row>
    <row r="11" spans="1:3" ht="30" x14ac:dyDescent="0.25">
      <c r="A11" t="s">
        <v>647</v>
      </c>
      <c r="B11" s="41" t="s">
        <v>648</v>
      </c>
      <c r="C11" s="40">
        <v>880</v>
      </c>
    </row>
    <row r="12" spans="1:3" x14ac:dyDescent="0.25">
      <c r="A12" t="s">
        <v>649</v>
      </c>
      <c r="B12" s="41" t="s">
        <v>650</v>
      </c>
      <c r="C12" s="40">
        <v>440</v>
      </c>
    </row>
    <row r="13" spans="1:3" ht="30" x14ac:dyDescent="0.25">
      <c r="A13" t="s">
        <v>651</v>
      </c>
      <c r="B13" s="41" t="s">
        <v>652</v>
      </c>
      <c r="C13" s="40">
        <v>3080</v>
      </c>
    </row>
    <row r="14" spans="1:3" ht="30" x14ac:dyDescent="0.25">
      <c r="A14" t="s">
        <v>459</v>
      </c>
      <c r="B14" s="41" t="s">
        <v>653</v>
      </c>
      <c r="C14" s="40">
        <v>10000</v>
      </c>
    </row>
    <row r="15" spans="1:3" ht="45" x14ac:dyDescent="0.25">
      <c r="A15" t="s">
        <v>356</v>
      </c>
      <c r="B15" s="41" t="s">
        <v>654</v>
      </c>
      <c r="C15" s="40">
        <v>-2676.63</v>
      </c>
    </row>
    <row r="16" spans="1:3" x14ac:dyDescent="0.25">
      <c r="A16" t="s">
        <v>469</v>
      </c>
      <c r="B16" s="41" t="s">
        <v>655</v>
      </c>
      <c r="C16" s="40">
        <v>25000</v>
      </c>
    </row>
    <row r="17" spans="1:3" ht="45" x14ac:dyDescent="0.25">
      <c r="A17" t="s">
        <v>469</v>
      </c>
      <c r="B17" s="41" t="s">
        <v>656</v>
      </c>
      <c r="C17" s="40">
        <v>-4832.03</v>
      </c>
    </row>
    <row r="18" spans="1:3" ht="30" x14ac:dyDescent="0.25">
      <c r="A18" t="s">
        <v>277</v>
      </c>
      <c r="B18" s="41" t="s">
        <v>657</v>
      </c>
      <c r="C18" s="40">
        <v>20000</v>
      </c>
    </row>
    <row r="19" spans="1:3" ht="30" x14ac:dyDescent="0.25">
      <c r="A19" t="s">
        <v>277</v>
      </c>
      <c r="B19" s="41" t="s">
        <v>658</v>
      </c>
      <c r="C19" s="40">
        <v>20000</v>
      </c>
    </row>
    <row r="20" spans="1:3" x14ac:dyDescent="0.25">
      <c r="A20" t="s">
        <v>0</v>
      </c>
      <c r="C20" s="43">
        <f>SUBTOTAL(109,Tabla3[Imp. aplic.])</f>
        <v>89649.74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BAC8-DA0E-4C6E-9996-2A68D2D42B4A}">
  <dimension ref="A1:C30"/>
  <sheetViews>
    <sheetView topLeftCell="A7" workbookViewId="0">
      <selection activeCell="C31" sqref="C31"/>
    </sheetView>
  </sheetViews>
  <sheetFormatPr baseColWidth="10" defaultRowHeight="15" x14ac:dyDescent="0.25"/>
  <cols>
    <col min="1" max="1" width="15.85546875" customWidth="1"/>
    <col min="2" max="2" width="52.42578125" customWidth="1"/>
    <col min="3" max="3" width="21.28515625" customWidth="1"/>
  </cols>
  <sheetData>
    <row r="1" spans="1:3" x14ac:dyDescent="0.25">
      <c r="A1" s="56" t="s">
        <v>633</v>
      </c>
      <c r="B1" s="57" t="s">
        <v>276</v>
      </c>
      <c r="C1" s="57" t="s">
        <v>634</v>
      </c>
    </row>
    <row r="2" spans="1:3" x14ac:dyDescent="0.25">
      <c r="A2" s="58" t="s">
        <v>651</v>
      </c>
      <c r="B2" s="59" t="s">
        <v>862</v>
      </c>
      <c r="C2" s="60">
        <v>5610</v>
      </c>
    </row>
    <row r="3" spans="1:3" x14ac:dyDescent="0.25">
      <c r="A3" s="61" t="s">
        <v>863</v>
      </c>
      <c r="B3" s="62" t="s">
        <v>864</v>
      </c>
      <c r="C3" s="63">
        <v>484</v>
      </c>
    </row>
    <row r="4" spans="1:3" x14ac:dyDescent="0.25">
      <c r="A4" s="58" t="s">
        <v>865</v>
      </c>
      <c r="B4" s="59" t="s">
        <v>866</v>
      </c>
      <c r="C4" s="60">
        <v>4400</v>
      </c>
    </row>
    <row r="5" spans="1:3" x14ac:dyDescent="0.25">
      <c r="A5" s="61" t="s">
        <v>867</v>
      </c>
      <c r="B5" s="62" t="s">
        <v>868</v>
      </c>
      <c r="C5" s="63">
        <v>880</v>
      </c>
    </row>
    <row r="6" spans="1:3" x14ac:dyDescent="0.25">
      <c r="A6" s="58" t="s">
        <v>869</v>
      </c>
      <c r="B6" s="59" t="s">
        <v>870</v>
      </c>
      <c r="C6" s="60">
        <v>4840</v>
      </c>
    </row>
    <row r="7" spans="1:3" x14ac:dyDescent="0.25">
      <c r="A7" s="61" t="s">
        <v>871</v>
      </c>
      <c r="B7" s="62" t="s">
        <v>872</v>
      </c>
      <c r="C7" s="63">
        <v>26400</v>
      </c>
    </row>
    <row r="8" spans="1:3" x14ac:dyDescent="0.25">
      <c r="A8" s="58" t="s">
        <v>873</v>
      </c>
      <c r="B8" s="59" t="s">
        <v>874</v>
      </c>
      <c r="C8" s="60">
        <v>1245.2</v>
      </c>
    </row>
    <row r="9" spans="1:3" x14ac:dyDescent="0.25">
      <c r="A9" s="61" t="s">
        <v>875</v>
      </c>
      <c r="B9" s="62" t="s">
        <v>876</v>
      </c>
      <c r="C9" s="63">
        <v>722.48</v>
      </c>
    </row>
    <row r="10" spans="1:3" x14ac:dyDescent="0.25">
      <c r="A10" s="58" t="s">
        <v>877</v>
      </c>
      <c r="B10" s="59" t="s">
        <v>878</v>
      </c>
      <c r="C10" s="60">
        <v>787.6</v>
      </c>
    </row>
    <row r="11" spans="1:3" x14ac:dyDescent="0.25">
      <c r="A11" s="61" t="s">
        <v>879</v>
      </c>
      <c r="B11" s="62" t="s">
        <v>880</v>
      </c>
      <c r="C11" s="63">
        <v>2640</v>
      </c>
    </row>
    <row r="12" spans="1:3" x14ac:dyDescent="0.25">
      <c r="A12" s="58" t="s">
        <v>881</v>
      </c>
      <c r="B12" s="59" t="s">
        <v>882</v>
      </c>
      <c r="C12" s="60">
        <v>968</v>
      </c>
    </row>
    <row r="13" spans="1:3" x14ac:dyDescent="0.25">
      <c r="A13" s="61" t="s">
        <v>881</v>
      </c>
      <c r="B13" s="62" t="s">
        <v>883</v>
      </c>
      <c r="C13" s="63">
        <v>396</v>
      </c>
    </row>
    <row r="14" spans="1:3" x14ac:dyDescent="0.25">
      <c r="A14" s="58" t="s">
        <v>881</v>
      </c>
      <c r="B14" s="59" t="s">
        <v>884</v>
      </c>
      <c r="C14" s="60">
        <v>968</v>
      </c>
    </row>
    <row r="15" spans="1:3" x14ac:dyDescent="0.25">
      <c r="A15" s="61" t="s">
        <v>881</v>
      </c>
      <c r="B15" s="62" t="s">
        <v>885</v>
      </c>
      <c r="C15" s="63">
        <v>1232</v>
      </c>
    </row>
    <row r="16" spans="1:3" x14ac:dyDescent="0.25">
      <c r="A16" s="58" t="s">
        <v>881</v>
      </c>
      <c r="B16" s="59" t="s">
        <v>886</v>
      </c>
      <c r="C16" s="60">
        <v>968</v>
      </c>
    </row>
    <row r="17" spans="1:3" x14ac:dyDescent="0.25">
      <c r="A17" s="61" t="s">
        <v>881</v>
      </c>
      <c r="B17" s="62" t="s">
        <v>887</v>
      </c>
      <c r="C17" s="63">
        <v>968</v>
      </c>
    </row>
    <row r="18" spans="1:3" x14ac:dyDescent="0.25">
      <c r="A18" s="58" t="s">
        <v>881</v>
      </c>
      <c r="B18" s="59" t="s">
        <v>888</v>
      </c>
      <c r="C18" s="60">
        <v>968</v>
      </c>
    </row>
    <row r="19" spans="1:3" x14ac:dyDescent="0.25">
      <c r="A19" s="61" t="s">
        <v>889</v>
      </c>
      <c r="B19" s="62" t="s">
        <v>890</v>
      </c>
      <c r="C19" s="63">
        <v>1232</v>
      </c>
    </row>
    <row r="20" spans="1:3" x14ac:dyDescent="0.25">
      <c r="A20" s="58" t="s">
        <v>891</v>
      </c>
      <c r="B20" s="59" t="s">
        <v>892</v>
      </c>
      <c r="C20" s="60">
        <v>440</v>
      </c>
    </row>
    <row r="21" spans="1:3" x14ac:dyDescent="0.25">
      <c r="A21" s="61" t="s">
        <v>893</v>
      </c>
      <c r="B21" s="62" t="s">
        <v>894</v>
      </c>
      <c r="C21" s="63">
        <v>1760</v>
      </c>
    </row>
    <row r="22" spans="1:3" x14ac:dyDescent="0.25">
      <c r="A22" s="58" t="s">
        <v>895</v>
      </c>
      <c r="B22" s="59" t="s">
        <v>896</v>
      </c>
      <c r="C22" s="60">
        <v>880</v>
      </c>
    </row>
    <row r="23" spans="1:3" x14ac:dyDescent="0.25">
      <c r="A23" s="61" t="s">
        <v>897</v>
      </c>
      <c r="B23" s="62" t="s">
        <v>898</v>
      </c>
      <c r="C23" s="63">
        <v>7480</v>
      </c>
    </row>
    <row r="24" spans="1:3" x14ac:dyDescent="0.25">
      <c r="A24" s="58" t="s">
        <v>469</v>
      </c>
      <c r="B24" s="59" t="s">
        <v>899</v>
      </c>
      <c r="C24" s="60">
        <v>-1258.8499999999999</v>
      </c>
    </row>
    <row r="25" spans="1:3" x14ac:dyDescent="0.25">
      <c r="A25" s="61" t="s">
        <v>277</v>
      </c>
      <c r="B25" s="62" t="s">
        <v>900</v>
      </c>
      <c r="C25" s="63">
        <v>40000</v>
      </c>
    </row>
    <row r="26" spans="1:3" ht="15.75" thickBot="1" x14ac:dyDescent="0.3">
      <c r="A26" s="58" t="s">
        <v>476</v>
      </c>
      <c r="B26" s="59" t="s">
        <v>901</v>
      </c>
      <c r="C26" s="60">
        <v>9965.5499999999993</v>
      </c>
    </row>
    <row r="27" spans="1:3" ht="15.75" thickTop="1" x14ac:dyDescent="0.25">
      <c r="A27" s="64" t="s">
        <v>0</v>
      </c>
      <c r="B27" s="65"/>
      <c r="C27" s="66">
        <v>114975.98</v>
      </c>
    </row>
    <row r="30" spans="1:3" x14ac:dyDescent="0.25">
      <c r="B30" s="46" t="s">
        <v>902</v>
      </c>
      <c r="C30" s="47">
        <f>+Tabla3[[#Totals],[Imp. aplic.]]+Tabla2[[#Totals],[Imp.cob.aplic.]]+C27</f>
        <v>510317.98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F65D-5992-4AD6-91FC-EBC310CC2278}">
  <dimension ref="A1:C5"/>
  <sheetViews>
    <sheetView workbookViewId="0">
      <selection activeCell="B7" sqref="B7"/>
    </sheetView>
  </sheetViews>
  <sheetFormatPr baseColWidth="10" defaultRowHeight="15" x14ac:dyDescent="0.25"/>
  <cols>
    <col min="1" max="1" width="16.28515625" customWidth="1"/>
    <col min="2" max="2" width="68.140625" customWidth="1"/>
    <col min="3" max="3" width="14.85546875" customWidth="1"/>
  </cols>
  <sheetData>
    <row r="1" spans="1:3" x14ac:dyDescent="0.25">
      <c r="A1" s="37" t="s">
        <v>275</v>
      </c>
      <c r="B1" s="37" t="s">
        <v>276</v>
      </c>
      <c r="C1" s="37" t="s">
        <v>355</v>
      </c>
    </row>
    <row r="2" spans="1:3" x14ac:dyDescent="0.25">
      <c r="A2" s="23" t="s">
        <v>436</v>
      </c>
      <c r="B2" s="23" t="s">
        <v>437</v>
      </c>
      <c r="C2" s="24">
        <v>-2358.17</v>
      </c>
    </row>
    <row r="3" spans="1:3" x14ac:dyDescent="0.25">
      <c r="A3" s="38" t="s">
        <v>436</v>
      </c>
      <c r="B3" s="38" t="s">
        <v>438</v>
      </c>
      <c r="C3" s="42">
        <v>765</v>
      </c>
    </row>
    <row r="4" spans="1:3" x14ac:dyDescent="0.25">
      <c r="A4" s="39" t="s">
        <v>0</v>
      </c>
      <c r="B4" s="39"/>
      <c r="C4" s="48">
        <f>SUBTOTAL(109,Tabla5[Imp.cob.aplic.])</f>
        <v>-1593.17</v>
      </c>
    </row>
    <row r="5" spans="1:3" x14ac:dyDescent="0.25">
      <c r="C5" s="27"/>
    </row>
  </sheetData>
  <pageMargins left="0.7" right="0.7" top="0.75" bottom="0.75" header="0.3" footer="0.3"/>
  <pageSetup paperSize="9"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0ACB-AE38-452F-866E-893F37F0D42E}">
  <dimension ref="A1:C9"/>
  <sheetViews>
    <sheetView workbookViewId="0">
      <selection activeCell="B12" sqref="B12:C12"/>
    </sheetView>
  </sheetViews>
  <sheetFormatPr baseColWidth="10" defaultRowHeight="15" x14ac:dyDescent="0.25"/>
  <cols>
    <col min="1" max="1" width="13.28515625" bestFit="1" customWidth="1"/>
    <col min="2" max="2" width="82.7109375" customWidth="1"/>
    <col min="3" max="3" width="11.7109375" style="40" customWidth="1"/>
  </cols>
  <sheetData>
    <row r="1" spans="1:3" x14ac:dyDescent="0.25">
      <c r="A1" t="s">
        <v>633</v>
      </c>
      <c r="B1" t="s">
        <v>276</v>
      </c>
      <c r="C1" s="40" t="s">
        <v>634</v>
      </c>
    </row>
    <row r="2" spans="1:3" ht="30" x14ac:dyDescent="0.25">
      <c r="A2" t="s">
        <v>436</v>
      </c>
      <c r="B2" s="41" t="s">
        <v>438</v>
      </c>
      <c r="C2" s="40">
        <v>2384.25</v>
      </c>
    </row>
    <row r="3" spans="1:3" ht="30" x14ac:dyDescent="0.25">
      <c r="A3" t="s">
        <v>436</v>
      </c>
      <c r="B3" s="41" t="s">
        <v>659</v>
      </c>
      <c r="C3" s="40">
        <v>935</v>
      </c>
    </row>
    <row r="4" spans="1:3" ht="30" x14ac:dyDescent="0.25">
      <c r="A4" t="s">
        <v>436</v>
      </c>
      <c r="B4" s="41" t="s">
        <v>660</v>
      </c>
      <c r="C4" s="40">
        <v>4371.12</v>
      </c>
    </row>
    <row r="5" spans="1:3" ht="30" x14ac:dyDescent="0.25">
      <c r="A5" t="s">
        <v>436</v>
      </c>
      <c r="B5" s="41" t="s">
        <v>661</v>
      </c>
      <c r="C5" s="40">
        <v>-397.38</v>
      </c>
    </row>
    <row r="6" spans="1:3" ht="30" x14ac:dyDescent="0.25">
      <c r="A6" t="s">
        <v>436</v>
      </c>
      <c r="B6" s="41" t="s">
        <v>662</v>
      </c>
      <c r="C6" s="40">
        <v>20196</v>
      </c>
    </row>
    <row r="7" spans="1:3" ht="30" x14ac:dyDescent="0.25">
      <c r="A7" t="s">
        <v>663</v>
      </c>
      <c r="B7" s="41" t="s">
        <v>664</v>
      </c>
      <c r="C7" s="40">
        <v>1306.8</v>
      </c>
    </row>
    <row r="8" spans="1:3" ht="30" x14ac:dyDescent="0.25">
      <c r="A8" t="s">
        <v>665</v>
      </c>
      <c r="B8" s="41" t="s">
        <v>666</v>
      </c>
      <c r="C8" s="40">
        <v>1737.45</v>
      </c>
    </row>
    <row r="9" spans="1:3" x14ac:dyDescent="0.25">
      <c r="A9" t="s">
        <v>0</v>
      </c>
      <c r="B9" s="41"/>
      <c r="C9" s="43">
        <f>SUBTOTAL(109,Tabla4[Imp. aplic.])</f>
        <v>30533.239999999998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5885-1D1E-4132-BCA8-C67DDA64E667}">
  <dimension ref="A1:C16"/>
  <sheetViews>
    <sheetView tabSelected="1" workbookViewId="0">
      <selection activeCell="C17" sqref="C17"/>
    </sheetView>
  </sheetViews>
  <sheetFormatPr baseColWidth="10" defaultRowHeight="15" x14ac:dyDescent="0.25"/>
  <cols>
    <col min="1" max="1" width="17" customWidth="1"/>
    <col min="2" max="2" width="52.7109375" customWidth="1"/>
    <col min="3" max="3" width="20.85546875" customWidth="1"/>
  </cols>
  <sheetData>
    <row r="1" spans="1:3" x14ac:dyDescent="0.25">
      <c r="A1" s="56" t="s">
        <v>633</v>
      </c>
      <c r="B1" s="57" t="s">
        <v>276</v>
      </c>
      <c r="C1" s="68" t="s">
        <v>634</v>
      </c>
    </row>
    <row r="2" spans="1:3" x14ac:dyDescent="0.25">
      <c r="A2" s="58" t="s">
        <v>663</v>
      </c>
      <c r="B2" s="59" t="s">
        <v>903</v>
      </c>
      <c r="C2" s="60">
        <v>132</v>
      </c>
    </row>
    <row r="3" spans="1:3" x14ac:dyDescent="0.25">
      <c r="A3" s="61" t="s">
        <v>665</v>
      </c>
      <c r="B3" s="62" t="s">
        <v>904</v>
      </c>
      <c r="C3" s="63">
        <v>148.5</v>
      </c>
    </row>
    <row r="4" spans="1:3" x14ac:dyDescent="0.25">
      <c r="A4" s="58" t="s">
        <v>665</v>
      </c>
      <c r="B4" s="59" t="s">
        <v>905</v>
      </c>
      <c r="C4" s="60">
        <v>148.5</v>
      </c>
    </row>
    <row r="5" spans="1:3" x14ac:dyDescent="0.25">
      <c r="A5" s="61" t="s">
        <v>663</v>
      </c>
      <c r="B5" s="62" t="s">
        <v>906</v>
      </c>
      <c r="C5" s="63">
        <v>132</v>
      </c>
    </row>
    <row r="6" spans="1:3" x14ac:dyDescent="0.25">
      <c r="A6" s="58" t="s">
        <v>665</v>
      </c>
      <c r="B6" s="59" t="s">
        <v>907</v>
      </c>
      <c r="C6" s="60">
        <v>4766.3999999999996</v>
      </c>
    </row>
    <row r="7" spans="1:3" x14ac:dyDescent="0.25">
      <c r="A7" s="61" t="s">
        <v>663</v>
      </c>
      <c r="B7" s="62" t="s">
        <v>908</v>
      </c>
      <c r="C7" s="63">
        <v>4237.2</v>
      </c>
    </row>
    <row r="8" spans="1:3" x14ac:dyDescent="0.25">
      <c r="A8" s="58" t="s">
        <v>663</v>
      </c>
      <c r="B8" s="59" t="s">
        <v>909</v>
      </c>
      <c r="C8" s="60">
        <v>118.8</v>
      </c>
    </row>
    <row r="9" spans="1:3" x14ac:dyDescent="0.25">
      <c r="A9" s="61" t="s">
        <v>910</v>
      </c>
      <c r="B9" s="62" t="s">
        <v>911</v>
      </c>
      <c r="C9" s="63">
        <v>12919.5</v>
      </c>
    </row>
    <row r="10" spans="1:3" x14ac:dyDescent="0.25">
      <c r="A10" s="58" t="s">
        <v>912</v>
      </c>
      <c r="B10" s="59" t="s">
        <v>913</v>
      </c>
      <c r="C10" s="60">
        <v>11484</v>
      </c>
    </row>
    <row r="11" spans="1:3" x14ac:dyDescent="0.25">
      <c r="A11" s="61" t="s">
        <v>665</v>
      </c>
      <c r="B11" s="62" t="s">
        <v>914</v>
      </c>
      <c r="C11" s="63">
        <v>891</v>
      </c>
    </row>
    <row r="12" spans="1:3" ht="15.75" thickBot="1" x14ac:dyDescent="0.3">
      <c r="A12" s="58" t="s">
        <v>663</v>
      </c>
      <c r="B12" s="59" t="s">
        <v>915</v>
      </c>
      <c r="C12" s="60">
        <v>1881</v>
      </c>
    </row>
    <row r="13" spans="1:3" ht="15.75" thickTop="1" x14ac:dyDescent="0.25">
      <c r="A13" s="64" t="s">
        <v>0</v>
      </c>
      <c r="B13" s="65"/>
      <c r="C13" s="69">
        <v>36858.899999999994</v>
      </c>
    </row>
    <row r="16" spans="1:3" x14ac:dyDescent="0.25">
      <c r="B16" s="46" t="s">
        <v>667</v>
      </c>
      <c r="C16" s="47">
        <f>+Tabla4[[#Totals],[Imp. aplic.]]+Tabla5[[#Totals],[Imp.cob.aplic.]]+C13</f>
        <v>65798.97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2024-09-27T09:46:47Z</cp:lastPrinted>
  <dcterms:created xsi:type="dcterms:W3CDTF">2019-07-03T07:15:54Z</dcterms:created>
  <dcterms:modified xsi:type="dcterms:W3CDTF">2026-05-27T10:37:22Z</dcterms:modified>
</cp:coreProperties>
</file>