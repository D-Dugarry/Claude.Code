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_Unidad_Presupuestos\2_PRESUPUESTACIÓN\Presupuesto 2027\Datos\D-I\Indicadores provisionales\"/>
    </mc:Choice>
  </mc:AlternateContent>
  <xr:revisionPtr revIDLastSave="0" documentId="13_ncr:1_{783D39BF-D69A-4DB3-B0B4-BBF05EC7B104}" xr6:coauthVersionLast="47" xr6:coauthVersionMax="47" xr10:uidLastSave="{00000000-0000-0000-0000-000000000000}"/>
  <bookViews>
    <workbookView xWindow="-120" yWindow="-120" windowWidth="29040" windowHeight="15720" tabRatio="779" activeTab="7" xr2:uid="{00000000-000D-0000-FFFF-FFFF00000000}"/>
  </bookViews>
  <sheets>
    <sheet name="Tesis" sheetId="5" r:id="rId1"/>
    <sheet name="Sexenios" sheetId="6" r:id="rId2"/>
    <sheet name="Ingresos investigación 2023" sheetId="17" r:id="rId3"/>
    <sheet name="Ingresos investigación 2024" sheetId="19" r:id="rId4"/>
    <sheet name="Ingresos investigación 2025" sheetId="21" r:id="rId5"/>
    <sheet name="Ingresos formación 2023" sheetId="18" r:id="rId6"/>
    <sheet name="Ingresos formación 2024" sheetId="20" r:id="rId7"/>
    <sheet name="Ingresos formación 2025" sheetId="22" r:id="rId8"/>
  </sheets>
  <definedNames>
    <definedName name="_xlnm._FilterDatabase" localSheetId="1" hidden="1">Sexenios!#REF!</definedName>
    <definedName name="_xlnm._FilterDatabase" localSheetId="0" hidden="1">Tesis!$A$1:$T$7</definedName>
    <definedName name="_xlnm.Print_Titles" localSheetId="1">Sexenios!#REF!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22" l="1"/>
  <c r="C12" i="22" s="1"/>
  <c r="C50" i="21"/>
  <c r="S19" i="6" l="1"/>
  <c r="S17" i="5"/>
  <c r="C5" i="20"/>
  <c r="E5" i="20"/>
  <c r="C9" i="18"/>
  <c r="C34" i="19"/>
  <c r="C32" i="17"/>
</calcChain>
</file>

<file path=xl/sharedStrings.xml><?xml version="1.0" encoding="utf-8"?>
<sst xmlns="http://schemas.openxmlformats.org/spreadsheetml/2006/main" count="653" uniqueCount="326">
  <si>
    <t>Total</t>
  </si>
  <si>
    <t>30.90.6C.00.02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</si>
  <si>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</si>
  <si>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</si>
  <si>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</si>
  <si>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</si>
  <si>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</si>
  <si>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</si>
  <si>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</si>
  <si>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</si>
  <si>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</si>
  <si>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</si>
  <si>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</si>
  <si>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</si>
  <si>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</si>
  <si>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</si>
  <si>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</si>
  <si>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</si>
  <si>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</si>
  <si>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</si>
  <si>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</si>
  <si>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</si>
  <si>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</si>
  <si>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</si>
  <si>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B101 </t>
  </si>
  <si>
    <t>AGROQUIMICA Y BIOQUIMICA </t>
  </si>
  <si>
    <t>B101</t>
  </si>
  <si>
    <t>10.13</t>
  </si>
  <si>
    <t>50</t>
  </si>
  <si>
    <t/>
  </si>
  <si>
    <t>10.16</t>
  </si>
  <si>
    <t>U022 </t>
  </si>
  <si>
    <t>ADM. FACULTAD DE CIENCIAS </t>
  </si>
  <si>
    <t>DOCTORADO EN CIENCIAS EXPERIMENTALES Y BIOSANITARIAS </t>
  </si>
  <si>
    <t>Director de tesis </t>
  </si>
  <si>
    <t>DOCTORADO EN BIOLOGÍA EXPERIMENTAL Y APLICADA </t>
  </si>
  <si>
    <t>74187810E </t>
  </si>
  <si>
    <t>B164 </t>
  </si>
  <si>
    <t>FISIOLOGÍA, GENÉTICA Y MICROBIOLOGÍA </t>
  </si>
  <si>
    <t>10</t>
  </si>
  <si>
    <t>22106650Q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</si>
  <si>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</si>
  <si>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</si>
  <si>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</si>
  <si>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</si>
  <si>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</si>
  <si>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</si>
  <si>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</si>
  <si>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</si>
  <si>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</si>
  <si>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</si>
  <si>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</si>
  <si>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</si>
  <si>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22106650Q</t>
  </si>
  <si>
    <t>FUNCIONARIO</t>
  </si>
  <si>
    <t>74187810E</t>
  </si>
  <si>
    <t>21422350N</t>
  </si>
  <si>
    <t>48316865Y</t>
  </si>
  <si>
    <t>21431941N</t>
  </si>
  <si>
    <t>21434080N</t>
  </si>
  <si>
    <t>21463234W</t>
  </si>
  <si>
    <t>44754725Z</t>
  </si>
  <si>
    <t>21487724C</t>
  </si>
  <si>
    <t>34804871Y</t>
  </si>
  <si>
    <t>NO FUNCIONARIO</t>
  </si>
  <si>
    <t>30.90.6C.00.64</t>
  </si>
  <si>
    <t>21511536G</t>
  </si>
  <si>
    <t>53232559W</t>
  </si>
  <si>
    <t>COD DEP</t>
  </si>
  <si>
    <t>Hurtado Gaitan, Elias </t>
  </si>
  <si>
    <t>Exploring phosphoenolpyruvate carboxylase kinase as a potential key regulator of carbon flow towards phenylpropanoid - stilbenoid pathways in grapevine (Vitis vinifera L.) </t>
  </si>
  <si>
    <t>26/11/2020 </t>
  </si>
  <si>
    <t>Rodríguez Herrero, Verónica </t>
  </si>
  <si>
    <t>Análisis de los genes glnA y su relación con el metabolismo del nitrógeno en Haloferax mediterranei </t>
  </si>
  <si>
    <t>06/05/2021 </t>
  </si>
  <si>
    <t>48316865Y </t>
  </si>
  <si>
    <t>30.90.2T.00.04</t>
  </si>
  <si>
    <t>30.90.2T.00.05</t>
  </si>
  <si>
    <t>Payá Cuadra, Gloria </t>
  </si>
  <si>
    <t>Small RNAs y proteínas reguladoras relacionadas con el metabolismo del nitrógeno en </t>
  </si>
  <si>
    <t>25/07/2022 </t>
  </si>
  <si>
    <t>48321668W </t>
  </si>
  <si>
    <t>48321668W</t>
  </si>
  <si>
    <t>30.90.6C.00.94</t>
  </si>
  <si>
    <t>30.90.6C.01.04</t>
  </si>
  <si>
    <t>30.90.6H.00.03</t>
  </si>
  <si>
    <t>Cód. org. aplic.</t>
  </si>
  <si>
    <t>Descripción justificante</t>
  </si>
  <si>
    <t>Imp.cob.aplic.</t>
  </si>
  <si>
    <t>30.90.6C.01.15</t>
  </si>
  <si>
    <t>30.90.6P.00.22</t>
  </si>
  <si>
    <t>30.90.6P.00.23</t>
  </si>
  <si>
    <t>30.90.6P.00.24</t>
  </si>
  <si>
    <t>30.90.2T.00.06</t>
  </si>
  <si>
    <t>Esquerrà Ruvira, Belén </t>
  </si>
  <si>
    <t>Caracterización funcional y aplicación biotecnológica de nuevos sistemas CRISPR¿Cas identificados en ambientes naturales de la provincia de Alicante </t>
  </si>
  <si>
    <t>19/12/2022 </t>
  </si>
  <si>
    <t>B188 </t>
  </si>
  <si>
    <t>BIOQUÍMICA Y BIOLOGÍA MOLECULAR Y EDAFOLOGÍA Y QUÍMICA AGRÍCOLA </t>
  </si>
  <si>
    <t>B188</t>
  </si>
  <si>
    <t>Giani Alonso, Micaela </t>
  </si>
  <si>
    <t>CAROTENOGENESIS IN HALOARCHAEA. FROM GENETICS TO BIOTECHNOLOGICAL AND BIOMEDICAL APPLICATIONS </t>
  </si>
  <si>
    <t>04/02/2023 </t>
  </si>
  <si>
    <t>44754725Z </t>
  </si>
  <si>
    <t>Badaoui , Warda </t>
  </si>
  <si>
    <t>Traceability and food safety in escaped fish from marine aquaculture facilities. A metabolomic approach. </t>
  </si>
  <si>
    <t>28/09/2023 </t>
  </si>
  <si>
    <t>21463234W </t>
  </si>
  <si>
    <t>41537096Q</t>
  </si>
  <si>
    <t>X8504886S</t>
  </si>
  <si>
    <t>D-I</t>
  </si>
  <si>
    <t>Regalías por transferencia de tecnología 2022. Explotación comercial de la patente P200803107 "Uso de las ciclodextrinas  para la producción y extracción de fitoesteroles en cultivos celulares". 40% correspondiente a la UA.</t>
  </si>
  <si>
    <t>S</t>
  </si>
  <si>
    <t>Determinación de perfiles proteicos en las siguientes muestras: AB/SEV/1985/23: A-012. CUPRESSUS ARIZONICA E.T. L-019.B AB/SEV/1986/23: G-004. CYNODON DACTYLON L.023.A AB/SEV/1987/23: H-073. SALSOIA KALL L.022.C MY/SEV/2113/23: G-002. AGROSTIS ALBA L-021.A. MY/SEV/2114/23: H-052. MEDICAGO SATIVA L-022.A.</t>
  </si>
  <si>
    <t>Determinación de perfiles proteicos en las siguientes muestras: SP/SEV/4526/23 ; H-047 LIGUSTRUM LICIDUM L-024.A</t>
  </si>
  <si>
    <t>Determinación de perfiles proteicos en las siguientes muestras: JL/SEV/3262/23: A-031. PLATANUS ACERIFOLIA L-021.C. JL/SEV/3263/23: A-053. QUERCUS ILEX BALLOTA  L-024.A. JL/SEV/3264/23: G-008 LOLIUM PERENNE L-024.4. JL/SEV/3265/23: G-019. TRITICUM AESTIVUM L-024.A. JL/SEV/3266/23: H-015 PARIETARIA JUDAICA L-0.24.A. JL/SEV/3267/23: H-018. PLANTAGO LANCEOLATAL-024.A.</t>
  </si>
  <si>
    <t>Determinación de perfiles proteicos en las siguientes 6 muestras: A-014. CURRESSUS SEMPERVIRENS L-023.C H-074. AMBROSIA ELATIOR L-020.A H-031. AREMISIA VULGARIS L-020.A A-022. 10 OLEA EUROPEA VAR. PICULA L-020.C A-022.11 OLEA EUROPEA VAR. PICUDO L-020.A A-020. JUNIPERUS OXICEDRUS. L-020. A</t>
  </si>
  <si>
    <t>Determinación de los periles proteicos en las siguientes muestras:  -JL/SEV/4042/23: A-022. OLEA EUROPEA L-024.A -JL/SEV/4043/23: G-035. POA PRATENSIS L. L-023.A -JL/SEV/4044/23: G-035. POA PRATENSIS L. L-023.B -JL/SEV/4045/ 23: G-021. AVENA SATIVA L. L-023.A -JL/SEV/4046/23: H-015. PARIETARIA JUDAICA L. L-024.B -JL/SEV/4047/23: H-031. ARTEMISIA VULGARIS L. L-023.A -SP/SEV/4397/23: A-020. JUNIPERUS OXYCEDRUS L-021.B -SP/SEV/4398/23: A-047 ACACIA SPP L-024.A</t>
  </si>
  <si>
    <t>Determinación de perfiles proteicos en las siguientes muestras: JN/SEV/2867/23: A-031. PLATANUS ACERIFOLIA L-024.A. JN/SEV/2868/23: A-031. PLATANUS ACERIFOLIA L-024.B. JN/SEV/2869/23: A-044. PHOENIX DACTYLIFERA L-024.A. JN/SEV/2870/23: A-044. PHOENIX DACTYLIFERA L-024.B.</t>
  </si>
  <si>
    <t>4º plazo mensual por el asesoramiento para establecer estrategias de cultivo para la producción en contínuo de b-caroteno a partir de Dunaliella salina en fotobiorreactores industriales.</t>
  </si>
  <si>
    <t>5º plazo mensual por el asesoramiento para establecer estrategias de cultivo para la producción en contínuo de b-caroteno a partir de Dunaliella salina en fotobiorreactores industriales.</t>
  </si>
  <si>
    <t>Tercer y último pago del 20% sobre el total del contrato: "Desarrollo e implementación de procesos de recuperación de compuestos de valor añadido de mostos concentrados"</t>
  </si>
  <si>
    <t>Evaluación como experta del proyecto de referencia: 937.522: "Estudio epidemiológico de Mycoplasma ovipneumoniae mediante su caracterización por MLST"</t>
  </si>
  <si>
    <t>Evaluación como experta del proyecto de referencia 938.206. "Nuevo Desarrollo metodológico para la gestión epidemiológica no invasiva mediante uso de ADN ambiental"</t>
  </si>
  <si>
    <t>Evaluación de Contenido y Ejecución del proyecto 944.168, titulado: "DESARROLLO DE VAINILLINA MEDIANTE UNA NUEVA VIA ENZIMÁTICA A PARTIR DE CASCARA DE ARROZ"</t>
  </si>
  <si>
    <t>30.90.6C.01.19</t>
  </si>
  <si>
    <t>Segundo plazo de la prestación de servicios: Determinación de sEPS en el medio de cultivo Prophyridium cruenntum.</t>
  </si>
  <si>
    <t>30.90.6C.01.22</t>
  </si>
  <si>
    <t>30% del valor del proyecto tras la firma del contrato: "Cultivos celulares y de raices peludas de Erythrina fusca en biorreactores".</t>
  </si>
  <si>
    <t>2º PAGO CORRESPONDIENTE AL PROYECTO: CULTIVOS CELULARES Y DE RAICES PELUDAS DE ERYTHRINA FUSCA EN BIORREACTORES"</t>
  </si>
  <si>
    <t>4º y último pago correspondiente al Proyecto: "Cultivos celulares y de raices peludas de Erythrina Fusca en Biorreactores"</t>
  </si>
  <si>
    <t>Tercer pago correspondiente al proyecto: "Cultivos celulares y de raices peludas de Erythrina fusca en Biorreactores"</t>
  </si>
  <si>
    <t>30.90.6C.01.23</t>
  </si>
  <si>
    <t>Elementary analysis of a bioplastic samples by X-Ray Fluorescence.</t>
  </si>
  <si>
    <t>30.90.6C.01.24</t>
  </si>
  <si>
    <t>50% del total a la firma de la prestación de servicio: "Evaluación de tres productos Stoller sobre el desarrollo vegetativo de plántulas de trigo y maíz".</t>
  </si>
  <si>
    <t>Segundo 50% tras la recepción del informe de resultados: "Evaluación de tres productos Stoller sobre el desarrollo vegetativo en plántulas de trigo y maíz".</t>
  </si>
  <si>
    <t>30.90.6C.01.25</t>
  </si>
  <si>
    <t>Estudio instrumental de biofertilizantes complejos derivados del proyecto RECOVER WP5.  Informe de resultados.</t>
  </si>
  <si>
    <t>30.90.6C.01.26</t>
  </si>
  <si>
    <t>Análisis de 88 muestras de un proceso de degradación biológica de materiales variados. Número de pedido NP061274</t>
  </si>
  <si>
    <t>30.90.6C.01.27</t>
  </si>
  <si>
    <t>EVALUACIÓN COMO EXPERTA DE PROYECTO DE REFERENCIA DE PROYECTO 0823/24 PREPLAST21 : INVESTIGACIÓN Y DESARROLLO DE NOVEDOSA TÉCNICA PARA LA ELIMINACIÓN BILÓGICA DE MICROPLÁSTICOS</t>
  </si>
  <si>
    <t xml:space="preserve">EDGJID/2021/262, EDGJID/2021/313, EDGJID/2021/330 </t>
  </si>
  <si>
    <t xml:space="preserve">CIAICO/2021/019/074/124/158/167/173/221/279/305/328/335/339/345/348 </t>
  </si>
  <si>
    <t>DEVOLUCIÓN DE INGRESOS_MODELO 047_CIACO 2021 EN 2022_Nº de liquidación:46/2023/RAS/10205/1 047/_Número de justificante:047/1/002362793_Nº de referencia:047/1/002362793</t>
  </si>
  <si>
    <t xml:space="preserve">DEVOLUCIÓN DE INGRESOS_MODELO 047_Nº de liquidación:46/2023/RAS/10276/1_ Número de justificante:047/1/002376790_Nº de referencia:047/1/002376790 </t>
  </si>
  <si>
    <t xml:space="preserve">TED2021-130707B-I00, TED2021-129617B-I00, TED2021-129894B-I00, TED2021-129216B-I00, TED2021-130070B-I00, TED2021-130080B-I00, TED2021-130776A-I00, TED2021-132697B-I00, TED2021-131028B-I00, TED2021-132103A-I00, TED2021-130304B-I00 </t>
  </si>
  <si>
    <t>30.90.6P.00.25</t>
  </si>
  <si>
    <t>ayudas CIAICO/2022/017, CIAICO/2022/019, CIAICO/2022/038, CIAICO/2022/046, CIAICO/2022/047, CIAICO/2022/049, CIAICO/2022/077, CIAICO/2022/078, CIAICO/2022/079, CIAICO/2022/112, CIAICO/2022/132 , CIAICO/2022/167, CIAICO/2022/177</t>
  </si>
  <si>
    <t xml:space="preserve">Plan_G729 Curso_2022-23 Emitido_2022-23 - LA MICROCERVECERÍA COMO MODELO DE NEGOCIO </t>
  </si>
  <si>
    <t>2T</t>
  </si>
  <si>
    <t>Inscripción de Jose Tort Esteban, en el Curso de especialización Fundamentos técnicos de la Elaboración de Cerveza (G730)</t>
  </si>
  <si>
    <t>Solicitud de factura por matrícula del alumno Adrián Burgos Blasco en el curso de especialización Cata, Evaluación y Sumillería de Cerveza (GH42)</t>
  </si>
  <si>
    <t xml:space="preserve">Plan_GH42 Curso_2022-23 Emitido_2022-23 - CATA, EVALUACIÓN Y SUMILLERÍA DE CERVEZA </t>
  </si>
  <si>
    <t>30.90.2T.00.07</t>
  </si>
  <si>
    <t>Solicitud de factura por matrícula del alumno José Torres Bellón en el curso Fundamentos técnicos de la Elaboración de Cerveza (GI22)</t>
  </si>
  <si>
    <t xml:space="preserve">Plan_GI22 Curso_2023-24 Emitido_2023-24 - FUNDAMENTOS TÉCNICOS DE LA ELABORACIÓN DE CERVEZA </t>
  </si>
  <si>
    <t>Solicitud de factura por matrícula del alumno Carlos Alonso González Monje, en el curso Fundamentos técnicos de la Elaboración de Cerveza (GI22)</t>
  </si>
  <si>
    <t>B164</t>
  </si>
  <si>
    <t>FISIOLOGÍA, GENÉTICA Y MICROBIOLOGÍA</t>
  </si>
  <si>
    <t>DOCTORADO EN BIOLOGÍA EXPERIMENTAL Y APLICADA</t>
  </si>
  <si>
    <t>Director de tesis</t>
  </si>
  <si>
    <t>Codirector de tesis</t>
  </si>
  <si>
    <t>Pastor Soler, Sandra</t>
  </si>
  <si>
    <t>Reguladores transcripcionales implicados en la asimilación del nitrógeno en Haloferax mediterranei</t>
  </si>
  <si>
    <t>01/12/2023</t>
  </si>
  <si>
    <t>BIOQUÍMICA Y BIOLOGÍA MOLECULAR Y EDAFOLOGÍA Y QUÍMICA AGRÍCOLA</t>
  </si>
  <si>
    <t>20</t>
  </si>
  <si>
    <t>Sánchez Matarredona, Laura</t>
  </si>
  <si>
    <t>Respuesta de Haloferax mediterranei a condiciones de estrés: regulador Lrp y proteínas de estrés universal</t>
  </si>
  <si>
    <t>15/12/2023</t>
  </si>
  <si>
    <t>Miralles Robledillo, Jose María</t>
  </si>
  <si>
    <t>ESTUDIOS BIOINFORMÁTICOS Y MOLECULARES DE LA RUTA DE DESNITRIFICACIÓN EN HALOARQUEAS: UN ANÁLISIS INTEGRAL</t>
  </si>
  <si>
    <t>13/03/2024</t>
  </si>
  <si>
    <t>Vivos</t>
  </si>
  <si>
    <t>Org. aplic.</t>
  </si>
  <si>
    <t>Imp. aplic.</t>
  </si>
  <si>
    <t>Tipo cuenta</t>
  </si>
  <si>
    <t>Regalías por transferencia de tecnología 2023. Explotación comercial de la patente P200803107 "Uso de las ciclodextrinas  para la producción y extracción de fitoesteroles en cultivos celulares". 40%  correspondiente a la UA</t>
  </si>
  <si>
    <t>Determinación de perfiles proteicos en las siguientes muestras: -NV/SEV/5983/23: H-005   CHENOPODIUM ALBUM L-024.A -NV/SEV75984/23: H-076  SALSOLA KALI L. L-024.A. -NV/SEV/5985/23: H-076   SALSOLA KALI L. L-024.B.</t>
  </si>
  <si>
    <t>Determinación de perfiles proteicos en las siguientes muestras: -DC/SEV/6803/23: G-006. FESTUCA ELATIOR L. L-020.C -DC/SEV/6804/23: A-012. CUPRESSUS ARIZONICA L.019.D -DC/SEV/6805/23: A-022. OLEA EUROPAEA. L-024.A -DC/SEV/6806/23: A-031. PLATANUS ACERIFOLIA L-024.A -DC/SEV/6807/23: A-031. PLATANUS ACERIFOLIA L-024.B -DC/SEV/6808/23: H-015. PARIETARIA JUDAICA. L-024.B</t>
  </si>
  <si>
    <t xml:space="preserve">Determinación de perfiles proteicos en las siguientes muestras: -FE/SEV/00885/24:  A-021. JUNIPERUS OXYCEDRUS L-021.C -FE/SEV/00886/24: A-052 ROBINIA PSEUDOACACIA L-023.A -FE/SEV/00887/24: A-056 SALIX VIMINALIS L-024.A -FE/SEV/00888/24: G-018 ANTHOXANTHUM ODORATUM L-023.A -FE/SEV/00889/24: H-002 AMARANTHUS RETROFLEXUS L-023.A -FE/SEV/00890/24: H-028 PLANTAGO LANCEOLATA L-024.B -FE/SEV/00891/24:H-044 TARAXACUM VULGARE L-023.A -FE/SEV/542/24: H-074. AMBROSIA ELATIOR. L-020.A -FE/SEV/543/24: H-031. ARTEMISIA VULGARIS. L-020.A -FE/SEV/544/24: A-022.10 OLEA EUROPAEA VAR.PICUAL. L-020.C -FE/SEV/545/24: A-022.11 EUROPAEA  VAR. PICUDO. L-020.A -FE/SEV/546/24: A- 020.JUNIPERUS OXICEDRUS. L-020.A </t>
  </si>
  <si>
    <t xml:space="preserve">Determinación de perfiles proteicos en las siguientes muestras: FE/SEV/00620/24: A-022.Olea europaea L-024.A EE. T-15 D  FE/SEV/00621/24: A-031. Platanus acerifolia. L-024.A EE. T-15 D FE/SEV/00622/24: A-031. Platanus acerifolia. L-024.B EE. T-15 D  FE/SEV/00623/24: H-015. Parietaria judaica. L-024.B EE. T-15 D  FE/SEV/00624/24: H-076. Salsola kali. L-024.A EE. T-15 D  FE/SEV/00625/24: H-076. Salsola kali. L-024.B EE. T-15 D </t>
  </si>
  <si>
    <t>Determinación de perfiles proteicos en las siguientes pruebas: -FE/SEV/00626/24: A-022. Olea europaea L-024.A EE. T-3M -FE/SEV/00627/24: A-031. Platanus acerifolia L-024.A EE. T-3M -FE/SEV/00628/24: A-031. Platanus acerifolia L-024.B EE. T-3M -FE/SEV/00629/24: H-015. Parietaria judaica L-024.B EE. T-3M -FE/SEV/00630/24: H-076. Salsola Kali L-024.A EE. T-3M -FE/SEV/00631/24: H-076. Salsola Kali L-024.B EE. T-3M</t>
  </si>
  <si>
    <t>Determinación de perfiles proteicos en las siguientes muestras: -MY/SEV/2462/24: A-044. PHOENIX DACTYLIFERA. L-025.A -MY/SEV/2463/24: G-021. AVENA SATIVA. L-025.A -MY/SEV/2464/24: G-020. HORDEUM VULGARE. L-025.A -MY/SEV/2465/24: G-019. TRITICUM AESTIVUM. L.025.A -MY/SEV/2466/24: H-034. URTICA DIOICA. L-021.B -MY/SEV/2467/24: H-021. RUMEX ACETOSELLA. L-024.A</t>
  </si>
  <si>
    <t>Determinación de perfiles proteicos de las siguientes muestras: -JN/SEV/2700/24:A-022.OLEA EUROPAEA L-024.B -JN/SEV/2701/24:A-31.PLATANUS ACERIFOLIA L-025.B -JN/SEV/2702/24:A-014.CUPRESSUS SEMPERVIRENS L-025.B -JN/SEV/2783/24:A-022.OLEA EUROPAEA. L-024.A EE,T-6M(2-8ºC) -JN/SEV/2784/24:A-031PLATANUS ACERIFOLIA. L-024.A EE.T-6M -JN/SEV/2785/24:A-031PLATANUS ACERIFOLIA. L-024.B EE.T-6M -JN/SEV/2786/24:H-015PARIETARIA JUDAICA. L-024.B EE.T-6M -JN/SEV/2787/24:H-076.SALSOSA KALI. L-024.A EE,T-6M -JN/SEV/2788/24:H.076.SALSOSA KALI. L-024.B EE,T-6M</t>
  </si>
  <si>
    <t>Determinación de perfiles proteicos en las siguientes muestras: -JL/SEV/3208/24: A-047 ACACIA RETINOIDES L-025.A. -JL/SEV/3209/24: G-007 HOLCUS LANATUS L-25.A. -JL/SEV/3210/24:G-008 LOLIUM PERENNE L-025.B. -JL/SEV/3211/24:A-018 PLANTAGO LANCEOLATA L-025.A.</t>
  </si>
  <si>
    <t>Determinación de perfiles proteicos en las siguientes muestras: FE/SEV/00614/24: A-022. Olea europaea L-024.A EE. T-6M (25ºC/60 % HR) FE/SEV/00615/24: A-031. Platanus acerifolia L-024.A EE T-6M (25ºC/60 % HR) FE/SEV/00616/24: A-031. Platanus acerifolia L-024.B EE. T-6M (25ºC/60 % HR) FE/SEV/00617/24: H-015. Parietaria judaica L-024.B EE. T-6M (25ºC/60 % HR) FE/SEV/00618/24: H-076. Salsola kali L-024.A EE. T-6M (25ºC/60 % HR) FE/SEV/ 00619/24: H-076 Salsola kali L-024.B EE. T-6M (25ºC/60 % HR)</t>
  </si>
  <si>
    <t>Determinación de perfiles proteicos en las siguientes muestras: SP/SEV/4394/24:A-022 OLEA EUROPAEA L-024.C SP/SEV/4395/24:A-085 EUCALYPTUS CAMALDULENSIS L-025.A SP/SEV/4396/24:H-031 ARTEMISIA VULGARIS L-025.A SP/SEV/4620/24:A-022 OLEA EUROPAEA L-024.A EE.T-9M(2-8ºC) SP/SEV/4621/24:A-031 PLATANUS ACERIFOLIA L-024,A EE.T-9M(2-8ºC) SP/SEV/4622/24:A-031 PLATANUS ACERIFOLIA L-024.B EE.T-9M(2-8ºC) SP/SEV/4623/24:H-O15 PARIETARIA JUDAICA L-024.B EE.T-9M(2-8ºC) SP/SEV/4624/24:H-076 SALSOLA KALI L-024.A EE.T-9M(2-8ºC) SP/SEV/4625/24:H-076 SALSOLA KALI L-024.B EE.T-9M(2-8ºC)</t>
  </si>
  <si>
    <t>Determinación de perfiles proteicos en las siguientes muestras: -SP/SEV/4795/24: G-006. FESCUDA ELADIOR L-023.A -SP/SEV/4796/24: G-006. FESCUDA ELADIOR L-024.A -SP/SEV/4797/24: G-005. DACTYLIS GLOMERATA L-023.A -SP/SEV/4798/24: G-005. DACTYLIS GLOMERATA L-024.A -SP/SEV/4799/24: G-008. LOLIUM PERENNE L-024.B -SP/SEV/4801/24: G-035. PROA PRATENSIS L-024.A -SP/SEV/4802/24: H-007.CHRYSANTHEMUM SEGETUM L-025A -SP/SEV/4880/24: G-008. LOLIUM PERENNE L-025C</t>
  </si>
  <si>
    <t>Evaluación  del proyecto 928.879 de la Empresa Fundación IRSI Caixa , titulado: "Bonificaciones a la S.S. por personal investigador-2023". Actuando como Experto Técnico.</t>
  </si>
  <si>
    <t>Evaluación del proyecto 928.981 de la empresa INSTITUTO BIOMAR, S.A., Títulado: "Boinficaciones a la S.S. por personal investigador-2023" Actuando como Experto Comité</t>
  </si>
  <si>
    <t>Evaluación de Contenido del ejercio 2023 del proyecto 929.091 de la empresa BIOTECHNOLOGY DEVELOPMENTS FOR INDUSTRY, tilulado "Bonificaciones a la S.S. por personal investigador-2023", actuando como Experto Comité.</t>
  </si>
  <si>
    <t>Evaluación de Contenido del ejercicio N/A del proyecto 942.241 - de la empresa CARPEMAR, S.L. Titulado IDA4-24-0028-3: "Investigación para la optimización de recursos hídricos mediante el uso de carbones activados como retenedores de agua en suelos agrícolas. Proyecto HIDROCARBONADOS".</t>
  </si>
  <si>
    <t>Evaluación de Contenido del ejercicio N/A del proyecto 942.268 de la empresa JARDINERÍA TÉCNICA NORTE EXTREMEÑA, S.L. Titulado IDA4-24-0052-3: "Estudio de la adaptación del cultivo de estevia (Stevia rebaudianaB). En régimen ecológico y uso sostenible del agua de riego en el norte de Extremadura".</t>
  </si>
  <si>
    <t>Evaluación de Contenido del ejercicio N/A del proyecto 942.270 de la empresa NEOBÉITAR, S.L. Titulado IDA4-24-0029-3: "Mejora del estado sanitario de las colmenas de Apis Mellifera mediante la suplementación alimentaria".</t>
  </si>
  <si>
    <t>30.90.6C.01.28</t>
  </si>
  <si>
    <t>Análisis de 30 muestras de pieles sometidas a un proceso de degradación biológica. Número de pedido NP063105</t>
  </si>
  <si>
    <t>30.90.6C.01.29</t>
  </si>
  <si>
    <t xml:space="preserve">Evaluación técnica  del proyecto : "Síntesis de tintas de tatuaje y procedimientos bioquímicos para su eliminación". Con Nº de pedido: 4300034490 </t>
  </si>
  <si>
    <t>30.90.6C.01.30</t>
  </si>
  <si>
    <t>Estudio de materiales plásticos mediante espectroscopía  de infrarrojos (FTIR) y microscopía electrónica (SEM). Interpretación de resultados.</t>
  </si>
  <si>
    <t>30.90.6C.01.31</t>
  </si>
  <si>
    <t>Evaluación por parte del Exp-4D del proyecto: "Enzimas para degradación lignocelulosa aplicable a alimentación animal y valoración subproductos", con código ACIE de Expediente 1566.027.24"</t>
  </si>
  <si>
    <t>30.90.6C.01.33</t>
  </si>
  <si>
    <t>Evaluación del Proyecto de referencia 0924/16 PREPLAST21. Titulado: Investigación y desarrollo de novedosa técnica para la eliminación biológica de microplásticos.</t>
  </si>
  <si>
    <t>30.90.6C.01.34</t>
  </si>
  <si>
    <t xml:space="preserve">Evaluación e informes: Análisis de microplásticos mediante espectrocopia de infrarrojos (LDIR).  </t>
  </si>
  <si>
    <t>30.90.6C.01.35</t>
  </si>
  <si>
    <t>Informe experto sobre la naturaleza y evolución de la materia orgánica procedente de alpechines sometida a proceso de co-compostaje avanzado. Proyecto OLIVE-RELIFE TED . Acrónimo UMH:  TED2021-129481B-C3</t>
  </si>
  <si>
    <t>30.90.6C.01.36</t>
  </si>
  <si>
    <t xml:space="preserve">Supervisión/evaluación técnica del proyecto: uso de nanobodies para terapia dirigida contracélulas madre tumorales. Nº de Pedido: 4300041057 10-24-2801-3700-00089 ZECLINICS,S.L. (NANODIRECT)  </t>
  </si>
  <si>
    <t>Supervisión/Evaluación técnica del proyecto: Cribado automatizado en pez Cebra de compuestos oncoterapéuticos mediante robótica.  Pedido Nº: 4300040963 10-24-2801-3700-00090 ZECLINICS,S.L. (ROBOFISH23)</t>
  </si>
  <si>
    <t>Revisión/Evaluación: Inicial y final 4Dígitos UNESCO RD 1432. Pedido Nº: 4300039900 08-24-2801-3700-00068 GRUPO DRV PHYTOLAB, S.L (FHOSPROCYO)</t>
  </si>
  <si>
    <t xml:space="preserve">Evaluación del proyecto: "Desarrollo de un sistema circular agroalimentario a pequeña escala basado en microalgas".  Datos del pedido: 4300040768  10-24-2801-3700-00097 GROW TO GROW ALGAE SOLUTIONS S.L. (G2GMICRO23) </t>
  </si>
  <si>
    <t xml:space="preserve">CIAICO/2021/019/074/124/158/167/173/279/305/328/335/345/348/339 </t>
  </si>
  <si>
    <t xml:space="preserve">AYUDAS CIAICO/2022/017, CIAICO/2022/019, CIAICO/2022/038, CIAICO/2022/046, CIAICO/2022/047, CIAICO/2022/049, CIAICO/2022/077, CIAICO/2022/078, CIAICO/2022/079, CIAICO/2022/112, CIAICO/2022/132 CIAICO/2022/167 CIAICO/2022/177 </t>
  </si>
  <si>
    <t>DEVOLUCIÓN DE INGRESOS_MODELO 047_ REFERENCIA: CIACO 2022 EN 2023.</t>
  </si>
  <si>
    <t xml:space="preserve">LIQ-TitProp_GK13-1 Curso_2023-24 AñoCont_2023 - CATA, EVALUACIÓN Y SUMILLERÍA DE CERVEZA </t>
  </si>
  <si>
    <t>Carolina Simal Sánchez, alumna del curso Cata, Evaluación y Sumillería de Cerveza (GK13)</t>
  </si>
  <si>
    <t xml:space="preserve">LIQ-TitProp_GI22-1 Curso_2024-25 AñoCont_2024 - FUNDAMENTOS TÉCNICOS DE LA ELABORACIÓN DE CERVEZA </t>
  </si>
  <si>
    <t>Fisiología, Genética y Microbiología</t>
  </si>
  <si>
    <t>Bernabeu Sempere, Eric</t>
  </si>
  <si>
    <t>From structure to function: integrative analysis of the TetR-family transcriptional regulator in Haloferax
mediterranei</t>
  </si>
  <si>
    <t>26/09/2025</t>
  </si>
  <si>
    <t>Bioquímica y Biología Molecular y Edafología y Química agrícola</t>
  </si>
  <si>
    <t>U022</t>
  </si>
  <si>
    <t>Administración Facultad de Ciencias</t>
  </si>
  <si>
    <t>DOCTORADO EN CIENCIAS EXPERIMENTALES Y BIOSANITARIAS</t>
  </si>
  <si>
    <t>Narro Serrano, Jennifer</t>
  </si>
  <si>
    <t>Biomarcadores en orina y alteraciones metabólicas en la COVID-19: Integración de análisis clínicos y
metabolómicos</t>
  </si>
  <si>
    <t>23/09/2025</t>
  </si>
  <si>
    <t>2020</t>
  </si>
  <si>
    <t>2021</t>
  </si>
  <si>
    <t>2022</t>
  </si>
  <si>
    <t>2023</t>
  </si>
  <si>
    <t>2024</t>
  </si>
  <si>
    <t>2025</t>
  </si>
  <si>
    <t>Camacho Carrasco, Mónica-Lourdes</t>
  </si>
  <si>
    <t>Ferrer Casanova, Juan</t>
  </si>
  <si>
    <t>Jordá Guijarro, Juana Dolores</t>
  </si>
  <si>
    <t>Marhuenda Egea, Frutos Carlos</t>
  </si>
  <si>
    <t>Pire Galiana, Carmen Lucía</t>
  </si>
  <si>
    <t>Cerdán Sala, María del Mar</t>
  </si>
  <si>
    <t>Bonete Pérez, María José</t>
  </si>
  <si>
    <t>Sánchez Sánchez, Antonio</t>
  </si>
  <si>
    <t>Martínez Márquez, Ascensión</t>
  </si>
  <si>
    <t>Martínez Espinosa, Rosa María</t>
  </si>
  <si>
    <t>Esclapez Espliego, Julia María</t>
  </si>
  <si>
    <t>Bautista Sáiz, Vanesa</t>
  </si>
  <si>
    <t>48470535J</t>
  </si>
  <si>
    <t>Zafrilla Requena, Basilio Jose</t>
  </si>
  <si>
    <t>48629553D</t>
  </si>
  <si>
    <t>García Bonete, María José</t>
  </si>
  <si>
    <t>Martínez Esteso, María José</t>
  </si>
  <si>
    <t>Bru Martínez, Roque</t>
  </si>
  <si>
    <t>Morante Carriel, Jaime Alfredo</t>
  </si>
  <si>
    <t>Regalías por transferencia de tecnología 2024. Explotación comercial de la patente P200803107 "Uso de las ciclodextrinas  para la producción y extracción de fitoesteroles en cultivos celulares". 40%  correspondiente a la UA</t>
  </si>
  <si>
    <t>Determinación de perfiles proteicos en las siguientes muestras: -DC/SEV/6660/24: A-022. OLEA EUROPAEA L-024.A EE T-12M (2-8ºC) -DC/SEV/6661/24: A-031.PLATANUS ACERIFOLIA L-024.A EE T-12M (2-8ºC) -DC/SEV/6662/24: A-031.PLATANUS ACERIFOLIA L-024.B EE T-12M (2-8ºC) -DC/SEV/6663/24: H-015. PARIETARIA JUDAICA L-024.B EE T-12M (2-8ºC) -DC/SEV/6664/24: H-076. SALSOLA KALI L-024.A EE T-12M (2-8ºC) -DC/SEV/6665/24: H-076. SALSOLA KALI L-024.B EE T-12M (2-8ºC)</t>
  </si>
  <si>
    <t xml:space="preserve">LQM1-24TD DETERMINACIÓN DE PERFILES PROTEICOS EN MUESTRAS DE POLEN SUMINISTRADAS POR EL CLIENTE: -EN/SEV/425/25: A-020 . Juniperus oxycedrus L. L-025.A -EN/SEV/426/25: A-022. Olea europaea L. L-025.A -EN/SEV/427/25: H-005. Chenopodium album L. L-025.B </t>
  </si>
  <si>
    <t>Determinación de perfiles proteicos en las siguientes muestras: -FE/SEV/899/25: H-074. AMBROSIA ELATIOR L-020.A EE:T60M/5ºC -FE/SEV/900/25: H-031. ARTEMISIA VULGARIS. L-020.A EE:T-60M/5ºC -FE/SEV/901/25: A-022.10 OLEA EUROPAEA VAR. PICUAL. L-020.C EE: T-60M/5ºC -FE/SEV/902/25: A-022.11 OLEA EUROPAEA  VAR. PICUADO. L-020.A EE: T-60M/5ºC -FE/SEV/903/25: A-020. JUNIPERUS OXYCEDRUS. L-020.A EE: T-60M/5ºC</t>
  </si>
  <si>
    <t>Determinación de perfiles proteicos en las siguientes muestras: -MY/SEV/3114/25:A-047.ACACIA SP.L-026.A -MY/SEV/3115/25:A-031.PLATANUS HISPANICAL-026.A -MY/SEV/3116/25:A-032.POPULUS ALBA.L-026.A -MY/SEV/3117/25:A-033.POPULUS NIGRA L-026.A -MY/SEV/3118/25:A-053.QUERCUS ILEX BALLOTA.L-026.A</t>
  </si>
  <si>
    <t>Evaluación como experta técnica del proyecto 950.841, titulado: "Rubiscos at the boundaires of autotrophic life"</t>
  </si>
  <si>
    <t>Evaluación como experta del proyecto 950.875, titulado: Plastic biodegradation in the deep ocean.</t>
  </si>
  <si>
    <t>Evaluación como experta técnica del proyecto 948.475, titulado: "Nuevos conservantes alimentarios obtenidos por fermentación de vegetales".</t>
  </si>
  <si>
    <t>Evaluación como experta técnica del proyecto 929.641, titulado: " Bonificaciones a la S.S. por personal investigador-2024"</t>
  </si>
  <si>
    <t>Análisis de microplásticos mediante espectroscopia de infrarrojos (LDIR)</t>
  </si>
  <si>
    <t>30.90.6C.01.37</t>
  </si>
  <si>
    <t>Estudio del efecto de un bioestimulante sobre el desarrollo vegetativo en plántulas de trigo a 24h y 120 días desde la aplicación de los tratamientos en semillas.</t>
  </si>
  <si>
    <t>BIORIZON1-25TPA. ESTUDIO DEL EFECTO DE UN BIOESTIMULANTE SOBRE EL DESARROLLO VEGETATIVO EN PLÁNTULAS DE TRIGO.</t>
  </si>
  <si>
    <t>30.90.6C.01.39</t>
  </si>
  <si>
    <t xml:space="preserve">OCA7-25TPA (FONDO CERT. (OCA-R.M.MARTINEZ ESPINOSA-3090)) FONDO CERTIFICACION PROYECTOS I+D+i OCA-ROSA MARIA MARTINEZ ESPINOSA-3090 </t>
  </si>
  <si>
    <t xml:space="preserve">EVALUACIÓN 4D DEL PROYECTO 0325/28/96 - MEJGENETIC, TITULADO: DESARROLLO DE UN BANCO GENÉTICO PARA LA REPRODUCCIÓN DE TRUCHA. </t>
  </si>
  <si>
    <t>Evaluación 4D del proyecto 0225/28/185 ATG SCIENCE &amp; ENGINEERING S.L. Titulado: ATGBONIS24. Nº Pedido 4300045762</t>
  </si>
  <si>
    <t xml:space="preserve">Evaluación final como  Experta 4D de bonificaciones. REF. PROYECTO: 0425/28/81 FCIDETEC24. Con Nº PEDIDO 4300047978. </t>
  </si>
  <si>
    <t>Evaluación 4D Final del proyecto 0225/98/09: DNSH CDTI. -MICROVIABLE THERAPEUTICS, S.L. Nº pedido 4300047680</t>
  </si>
  <si>
    <t>Evaluación 4D final del proyecto 0525/28/133-GRUPO DRV PHYTOLAB, S.L. FHOSPROCYO.  Nº de pedido 4300048767</t>
  </si>
  <si>
    <t>Evaluación inicial y final como Experta 4D del proyecto 0525/28/11 INSTITUTO BIOMAR S.A. (BIOHERBI24), titulado: "Investigación y desarrollo de nuevos herbicidas naturales de origen microbiano". Nº PEDIDO: 4300048539</t>
  </si>
  <si>
    <t xml:space="preserve">Evaluación 4D inicial y final del proyecto 0425/28/217- BIOSUFERMO. Nº de pedido: 4300050698  </t>
  </si>
  <si>
    <t xml:space="preserve">EVALUACIÓN 4D DEL PROYECTO 0725/28/371: "DISEÑO Y DESARROLLO DE UN NUEVO PROCESO DE SÍNTESIS Y CULTIVO DE FOSFOLÍPIDOS ENRIQUECIDOS CON DHA". BDRUDOMEGA   Nº PEDIDO 4300050334. </t>
  </si>
  <si>
    <t>Evaluación 4D del proyecto 0525/28/191-PROSANOF24: "Desarrollo y evaluación de productos sanitarios orientados al sector de la oftalmología".  Nº pedido 4300052220</t>
  </si>
  <si>
    <t>Evaluación inicial y final 4D del proyecto 0725/28/59-COMPDERMAS. Titulado: "Desarrollo de modelo de datos para detectar anomálias con análisis hipo y lipodérmicos". PEDIDO Nº 4300052329</t>
  </si>
  <si>
    <t>Evaluación 4D final del proyecto 0625/28/124- MICROVIABLE THERAPEUTICS-CEPAINMUNE, TITULADO: "INVESTIGACION Y DESARROLLO DE CEPAS BACTERIANAS PARA MODULAR LA RESPUESTA INMUNE". NºPEDIDO: 4300051009</t>
  </si>
  <si>
    <t xml:space="preserve">OCAINNOVACION14-25TPA Evaluación 4D del proyecto 0825/28/81-ARQBIOSOLU, titulado: "Diseño y desarrollo de una nueva solución catalítica de altas prestaciones".  PEDIDO Nº 4300055418 </t>
  </si>
  <si>
    <t xml:space="preserve">Evaluación 4D inicial y final del proyecto 0925/28/206-INVBRETE25, titulado: "Investigación y desarrollo de un nuevo concepto para la bioimpresión de tejidos". Nº PEDIDO 4300054146 </t>
  </si>
  <si>
    <t>OCAINNOVACION16-25TPA Evaluación 4D inicial del proyecto 1025/00251285-ZECLINICS, S.L.-ZEOFTALMO1, Titulado: "Investigación preclínica de nuevos modelos oftalmológicos toxicológicos y CNS".  nº pedido : 4300054764</t>
  </si>
  <si>
    <t>30.90.6C.01.41</t>
  </si>
  <si>
    <t>Realización de ensayos: Adquisición de mapas LCMS, analísis del proteoma diferencial, análisis biológico funcional y elaboración de informe de resultados.  Nº Pedido 2025001991</t>
  </si>
  <si>
    <t>30.90.6C.01.42</t>
  </si>
  <si>
    <t>50% del total al inicio de la prestación de servicio: "Caracterización térmica de la biomasa de Posidonia oceánica".</t>
  </si>
  <si>
    <t>50% del total tras la recepción del informe de resultados: "Caracterización térmica de la biomasa de Posidonia oceánica"</t>
  </si>
  <si>
    <t>30.90.6C.01.43</t>
  </si>
  <si>
    <t>ANÁLISIS DE MICROPLÁSTICOS MEDIANTE ESPECTROSCOPIA DE INFRARROJOS (LDIR).  PROYECTO AGROPLAST. PROYECTO JUSTO 38389. PEDIDO REALIZADO Nº 22201.</t>
  </si>
  <si>
    <t>30.90.6C.01.44</t>
  </si>
  <si>
    <t xml:space="preserve">"EXTRACCIÓN DE PROTEÍNAS DE POLEN Y SU ANÁLISIS ELECTROFORÉTICO EN MUESTRAS DE POLEN SUMINISTRADAS POR EL CLIENTE" REF. LQM1-25T. INVESTIGADOR RESP.  ROQUE BRU MARTÍNEZ  Determinación de perfiles proteicos  en las siguiente muestras: -JN/SEV/3629/25:A-017.FRAXINUS EXCELSIOR L-024.A -JN/SEV/3630/25:H-021.RUMEX ACETOSELLA L-026.A -JN/SEV/3569/25:A-022.OLEA EUROPAEA L-024.A -JN/SEV/3570/25:A-031.PLATANUS ACERIFOLIA L-024.A -JN/SEV/3571/25:A-031.PLATANUS ACERIFOLIA L-024.B -JN/SEV/3572/25:H-015.PARIETARIA JUDAICA L-024.B -JN/SEV/3573/25:H-076.SALSOSA KALI L-024.A -JN/SEV/3574/25:H-076.SALSOLSA KALI L-024.B  -JN/SEV/3334/25:A-012.CUPRESSUS ARIZONICA L-026.A -JN/SEV/3335/25:A-016.FAGUS SYLVATICA L-025.A </t>
  </si>
  <si>
    <t>"EXTRACCIÓN DE PROTEÍNAS DE POLEN Y SU ANÁLISIS ELECTROFORÉTICO EN MUESTRAS DE POLEN SUMINISTRADAS POR EL CLIENTE". REF. LQM1-25T. INVESTIGADOR RESP. ROQUE BRU MARTÍNEZ DETERMINACIÓN DE PERFILES PROTEICOS EN LAS SIGUIENTES MUESTRAS: - JL/SEV/3964/25: H-18. PLANTAGO LANCEOLATA L-026.A - AG/SEV/5029/25: G-034 PHLEUM PRATENSE. L-026. A - AG/SEV/5030/25: G-034 PHLEUM PRATENSE. L-O26. B</t>
  </si>
  <si>
    <t>"EXTRACCIÓN DE PROTEÍNAS Y SU ANÁLISIS ELECTROFORÉTICO EN MUESTRAS DE POLEN SUMINISTRADAS POR EL CLIENTE". REF: LQM1-25T. RESPONSABLE: ROQUE BRU MARTÍNEZ. DETERMINACIÓN DE PERFILES PROTEICOS EN LAS SIGUIENTES MUESTRAS: -SP/SEV/5389/25. G034. G-005 DACTYLIS GLOMERATA L-026.A. 10g. -OC/SEV/6379/25: A.022.10 OLEA EUROPAEA VAR. PICUAL L-026.E -OC/SEV/6380/25: H.074 AMBROSIA ELATIOR L-026.A</t>
  </si>
  <si>
    <t>30.90.6C.01.45</t>
  </si>
  <si>
    <t>Evaluación de contenido y ejecución  del proyecto 957.445, Titulado: "INVESTIGACIÓN Y DESARROLLO DE UN AGENTE GELANTE PARA LA FABRICACIÓN DE PLACAS DE CONTROL AMBIENTAL".</t>
  </si>
  <si>
    <t>30.90.6C.01.48</t>
  </si>
  <si>
    <t>PRIMER PLAZO DE LA PRESTACIÓN DE SERVICIOS: ESTABLECER LOS DETERMINANTES PARA LOGRAR UNA SUSPENSIÓN DE C-FICOCIANINA EN ACEITE DE GIRASOL QUE SEA ESTABLE A NIVEL REOLÓGICO.</t>
  </si>
  <si>
    <t>DEVOLUCIÓN DE INGRESOS_CARTA DE PAGO_REFERENCIA: TED2021-129617B-I00, ANUALIDAD: 2023</t>
  </si>
  <si>
    <t>Ayudas CIAICO/2022/017, CIAICO/2022/019, CIAICO/2022/038, CIAICO/2022/046, CIAICO/2022/047, CIAICO/2022/049, CIAICO/2022/077, CIAICO/2022/078,CIAICO/2022/079, CIAICO/2022/112, CIAICO/2022/132, CIAICO/2022/167, ,CIAICO/2022/177</t>
  </si>
  <si>
    <t xml:space="preserve">Minoración AYUDAS CIAICO/2022/017, CIAICO/2022/019,  CIAICO/2022/046, CIAICO/2022/047,  CIAICO/2022/077, CIAICO/2022/078, CIAICO/2022/079, CIAICO/2022/112, CIAICO/2022/132 CIAICO/2022/167 CIAICO/2022/177 </t>
  </si>
  <si>
    <t>30.90.6P.00.26</t>
  </si>
  <si>
    <t>PROGRAMA PROPIO DEL CENTRO DE GASTRONOMÍA DEL MEDITERRÁNEO (GASTERRA) UA_DENIA PARA EL FOMENTO DE LA I+D+I EN EL ÁMBITO DE LA GASTRONOMÍA 2025</t>
  </si>
  <si>
    <t>30.90.6P.00.27</t>
  </si>
  <si>
    <t>30.90.6P.00.28</t>
  </si>
  <si>
    <t>30.90.6P.00.29</t>
  </si>
  <si>
    <t>Ingreso ayudas CIGE/2024/56/95/108/145/178/184/194/199/200/201/202/203/204/205/208/209/212/213</t>
  </si>
  <si>
    <t>30.90.6P.00.30</t>
  </si>
  <si>
    <t>INNVA1/2025/19/10</t>
  </si>
  <si>
    <t>Total ingresos investigación 2023-25</t>
  </si>
  <si>
    <t>30.90.2T.00.09</t>
  </si>
  <si>
    <t xml:space="preserve">LIQ-TitProp_GM30-N Curso_2024-25 AñoCont_2025 - LA MICROCERVECERÍA COMO MODELO DE NEGOCIO </t>
  </si>
  <si>
    <t>30.90.2T.00.08</t>
  </si>
  <si>
    <t>CÓD: GM30. MICROCREDENCIAL. LA MICROCERVECERÍA COMO MODELO DE NEGOCIO</t>
  </si>
  <si>
    <t>Total ingresos formación 23-25</t>
  </si>
  <si>
    <t>10.91.2T.01.78</t>
  </si>
  <si>
    <t xml:space="preserve">LIQ-TitProp_GM30-1 Curso_2025-26 AñoCont_2025 - LA MICROCERVECERÍA COMO MODELO DE NEGOCIO </t>
  </si>
  <si>
    <t xml:space="preserve">LIQ-TitProp_GM30-N Curso_2025-26 AñoCont_2025 - LA MICROCERVECERÍA COMO MODELO DE NEGOCIO _ (Cierre-25) (EMITIDO25 COBRADO25)  </t>
  </si>
  <si>
    <t>10.91.2T.01.97</t>
  </si>
  <si>
    <t xml:space="preserve">CÓD: GN32. MICROCREDENCIAL. LIQ-TitProp_GN32-N Curso_2025-26 AñoCont_2025 - NUEVAS TENDENCIAS EN MICROCERVECERÍA  </t>
  </si>
  <si>
    <t>10.91.2T.01.98</t>
  </si>
  <si>
    <t xml:space="preserve">LIQ-TitProp_GN32-N Curso_2025-26 AñoCont_2025 - NUEVAS TENDENCIAS EN MICROCERVECERÍA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</si>
</sst>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#,##0.0"/>
  </numFmts>
  <fonts count="2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8"/>
      <name val="Verdana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</font>
    <font>
      <sz val="10"/>
      <color theme="1"/>
      <name val="Arial"/>
    </font>
    <font>
      <b/>
      <sz val="10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  <xf numFmtId="43" fontId="13" fillId="0" borderId="0" applyFont="0" applyFill="0" applyBorder="0" applyAlignment="0" applyProtection="0"/>
  </cellStyleXfs>
  <cellXfs count="85">
    <xf numFmtId="0" fontId="0" fillId="0" borderId="0" xfId="0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ill="1"/>
    <xf numFmtId="0" fontId="3" fillId="4" borderId="0" xfId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3" fillId="4" borderId="1" xfId="1" applyFill="1" applyBorder="1"/>
    <xf numFmtId="165" fontId="3" fillId="4" borderId="1" xfId="1" applyNumberFormat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6" fontId="3" fillId="4" borderId="1" xfId="1" applyNumberFormat="1" applyFill="1" applyBorder="1"/>
    <xf numFmtId="0" fontId="3" fillId="0" borderId="1" xfId="1" applyBorder="1"/>
    <xf numFmtId="0" fontId="3" fillId="4" borderId="2" xfId="1" applyFill="1" applyBorder="1"/>
    <xf numFmtId="0" fontId="12" fillId="6" borderId="1" xfId="0" applyFont="1" applyFill="1" applyBorder="1" applyAlignment="1">
      <alignment horizontal="left" vertical="center"/>
    </xf>
    <xf numFmtId="0" fontId="12" fillId="6" borderId="3" xfId="0" applyFont="1" applyFill="1" applyBorder="1" applyAlignment="1">
      <alignment horizontal="left" vertical="center"/>
    </xf>
    <xf numFmtId="0" fontId="12" fillId="6" borderId="4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left" vertical="center"/>
    </xf>
    <xf numFmtId="0" fontId="10" fillId="7" borderId="6" xfId="0" applyFont="1" applyFill="1" applyBorder="1"/>
    <xf numFmtId="43" fontId="7" fillId="7" borderId="6" xfId="6" applyFont="1" applyFill="1" applyBorder="1"/>
    <xf numFmtId="0" fontId="10" fillId="0" borderId="6" xfId="0" applyFont="1" applyBorder="1"/>
    <xf numFmtId="43" fontId="7" fillId="0" borderId="6" xfId="6" applyFont="1" applyBorder="1"/>
    <xf numFmtId="0" fontId="16" fillId="0" borderId="0" xfId="0" applyFont="1"/>
    <xf numFmtId="0" fontId="3" fillId="9" borderId="0" xfId="1" applyFill="1"/>
    <xf numFmtId="0" fontId="3" fillId="9" borderId="0" xfId="1" applyFill="1" applyAlignment="1">
      <alignment horizontal="right"/>
    </xf>
    <xf numFmtId="0" fontId="11" fillId="2" borderId="0" xfId="5" applyFont="1" applyFill="1"/>
    <xf numFmtId="0" fontId="11" fillId="2" borderId="0" xfId="5" applyFont="1" applyFill="1" applyAlignment="1">
      <alignment horizontal="right"/>
    </xf>
    <xf numFmtId="0" fontId="10" fillId="0" borderId="1" xfId="5" applyFont="1" applyBorder="1"/>
    <xf numFmtId="0" fontId="10" fillId="0" borderId="1" xfId="5" applyFont="1" applyBorder="1" applyAlignment="1">
      <alignment horizontal="right"/>
    </xf>
    <xf numFmtId="0" fontId="3" fillId="4" borderId="1" xfId="1" applyFont="1" applyFill="1" applyBorder="1"/>
    <xf numFmtId="0" fontId="3" fillId="0" borderId="1" xfId="1" applyFont="1" applyBorder="1"/>
    <xf numFmtId="0" fontId="3" fillId="0" borderId="1" xfId="0" applyFont="1" applyBorder="1"/>
    <xf numFmtId="165" fontId="4" fillId="9" borderId="0" xfId="1" applyNumberFormat="1" applyFont="1" applyFill="1"/>
    <xf numFmtId="43" fontId="14" fillId="0" borderId="0" xfId="0" applyNumberFormat="1" applyFont="1"/>
    <xf numFmtId="0" fontId="0" fillId="7" borderId="6" xfId="0" applyNumberFormat="1" applyFont="1" applyFill="1" applyBorder="1"/>
    <xf numFmtId="43" fontId="0" fillId="7" borderId="6" xfId="6" applyNumberFormat="1" applyFont="1" applyFill="1" applyBorder="1"/>
    <xf numFmtId="0" fontId="0" fillId="0" borderId="6" xfId="0" applyNumberFormat="1" applyFont="1" applyBorder="1"/>
    <xf numFmtId="43" fontId="0" fillId="0" borderId="6" xfId="6" applyNumberFormat="1" applyFont="1" applyBorder="1"/>
    <xf numFmtId="0" fontId="14" fillId="0" borderId="0" xfId="0" applyFont="1" applyBorder="1" applyAlignment="1">
      <alignment horizontal="right"/>
    </xf>
    <xf numFmtId="4" fontId="14" fillId="0" borderId="0" xfId="0" applyNumberFormat="1" applyFont="1" applyBorder="1"/>
    <xf numFmtId="0" fontId="14" fillId="0" borderId="1" xfId="0" applyFont="1" applyBorder="1"/>
    <xf numFmtId="164" fontId="14" fillId="0" borderId="1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4" fontId="2" fillId="0" borderId="0" xfId="0" applyNumberFormat="1" applyFont="1" applyBorder="1"/>
    <xf numFmtId="0" fontId="15" fillId="8" borderId="7" xfId="0" applyFont="1" applyFill="1" applyBorder="1"/>
    <xf numFmtId="0" fontId="0" fillId="0" borderId="8" xfId="0" applyBorder="1"/>
    <xf numFmtId="0" fontId="10" fillId="0" borderId="8" xfId="0" applyFont="1" applyBorder="1"/>
    <xf numFmtId="43" fontId="7" fillId="0" borderId="8" xfId="6" applyFont="1" applyBorder="1"/>
    <xf numFmtId="43" fontId="7" fillId="0" borderId="8" xfId="0" applyNumberFormat="1" applyFont="1" applyBorder="1"/>
    <xf numFmtId="0" fontId="17" fillId="8" borderId="7" xfId="0" applyFont="1" applyFill="1" applyBorder="1"/>
    <xf numFmtId="43" fontId="17" fillId="8" borderId="7" xfId="6" applyNumberFormat="1" applyFont="1" applyFill="1" applyBorder="1"/>
    <xf numFmtId="0" fontId="0" fillId="0" borderId="8" xfId="0" applyNumberFormat="1" applyFont="1" applyBorder="1"/>
    <xf numFmtId="43" fontId="0" fillId="0" borderId="8" xfId="6" applyNumberFormat="1" applyFont="1" applyBorder="1"/>
    <xf numFmtId="0" fontId="0" fillId="0" borderId="8" xfId="0" applyFont="1" applyBorder="1"/>
    <xf numFmtId="43" fontId="0" fillId="0" borderId="8" xfId="0" applyNumberFormat="1" applyFont="1" applyBorder="1"/>
    <xf numFmtId="0" fontId="10" fillId="7" borderId="8" xfId="0" applyFont="1" applyFill="1" applyBorder="1"/>
    <xf numFmtId="43" fontId="7" fillId="7" borderId="8" xfId="6" applyFont="1" applyFill="1" applyBorder="1"/>
    <xf numFmtId="43" fontId="7" fillId="7" borderId="8" xfId="0" applyNumberFormat="1" applyFont="1" applyFill="1" applyBorder="1"/>
    <xf numFmtId="0" fontId="0" fillId="7" borderId="8" xfId="0" applyNumberFormat="1" applyFont="1" applyFill="1" applyBorder="1"/>
    <xf numFmtId="43" fontId="0" fillId="7" borderId="8" xfId="6" applyNumberFormat="1" applyFont="1" applyFill="1" applyBorder="1"/>
    <xf numFmtId="43" fontId="0" fillId="0" borderId="8" xfId="0" applyNumberFormat="1" applyBorder="1"/>
    <xf numFmtId="0" fontId="18" fillId="10" borderId="9" xfId="0" applyFont="1" applyFill="1" applyBorder="1"/>
    <xf numFmtId="0" fontId="18" fillId="10" borderId="10" xfId="0" applyFont="1" applyFill="1" applyBorder="1"/>
    <xf numFmtId="0" fontId="19" fillId="11" borderId="9" xfId="0" applyFont="1" applyFill="1" applyBorder="1"/>
    <xf numFmtId="0" fontId="19" fillId="11" borderId="10" xfId="0" applyFont="1" applyFill="1" applyBorder="1"/>
    <xf numFmtId="164" fontId="19" fillId="11" borderId="10" xfId="6" applyNumberFormat="1" applyFont="1" applyFill="1" applyBorder="1"/>
    <xf numFmtId="0" fontId="19" fillId="0" borderId="9" xfId="0" applyFont="1" applyBorder="1"/>
    <xf numFmtId="0" fontId="19" fillId="0" borderId="10" xfId="0" applyFont="1" applyBorder="1"/>
    <xf numFmtId="164" fontId="19" fillId="0" borderId="10" xfId="6" applyNumberFormat="1" applyFont="1" applyBorder="1"/>
    <xf numFmtId="0" fontId="20" fillId="0" borderId="11" xfId="0" applyFont="1" applyBorder="1"/>
    <xf numFmtId="0" fontId="20" fillId="0" borderId="12" xfId="0" applyFont="1" applyBorder="1"/>
    <xf numFmtId="164" fontId="20" fillId="0" borderId="12" xfId="6" applyNumberFormat="1" applyFont="1" applyBorder="1"/>
    <xf numFmtId="0" fontId="14" fillId="0" borderId="0" xfId="0" applyFont="1" applyBorder="1"/>
    <xf numFmtId="164" fontId="14" fillId="0" borderId="0" xfId="0" applyNumberFormat="1" applyFont="1" applyBorder="1" applyAlignment="1">
      <alignment horizontal="right"/>
    </xf>
    <xf numFmtId="164" fontId="18" fillId="10" borderId="10" xfId="6" applyNumberFormat="1" applyFont="1" applyFill="1" applyBorder="1"/>
    <xf numFmtId="164" fontId="20" fillId="0" borderId="12" xfId="0" applyNumberFormat="1" applyFont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37">
    <dxf>
      <border diagonalUp="0" diagonalDown="0" outline="0">
        <left/>
        <right/>
        <top style="thin">
          <color theme="9" tint="0.39997558519241921"/>
        </top>
        <bottom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342BB0-1B1D-419B-BD7C-D27A9EC5EBC4}" name="Tabla2" displayName="Tabla2" ref="A1:C32" totalsRowCount="1" headerRowDxfId="36" dataDxfId="34" headerRowBorderDxfId="35" tableBorderDxfId="33" totalsRowBorderDxfId="32">
  <autoFilter ref="A1:C31" xr:uid="{D4342BB0-1B1D-419B-BD7C-D27A9EC5EBC4}"/>
  <tableColumns count="3">
    <tableColumn id="1" xr3:uid="{A9784D0A-A820-462A-97B5-F2FD87C7D5E4}" name="Cód. org. aplic." totalsRowLabel="Total" dataDxfId="31" totalsRowDxfId="30"/>
    <tableColumn id="2" xr3:uid="{A6D63F0B-0561-4FF8-A211-A6C0EEE7569B}" name="Descripción justificante" dataDxfId="29" totalsRowDxfId="28"/>
    <tableColumn id="3" xr3:uid="{9FA8F23C-9D22-4E8A-831B-C48222595F2A}" name="Imp.cob.aplic." totalsRowFunction="sum" dataDxfId="27" totalsRowDxfId="26" data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1E8995-140F-43A6-9450-C3A4D36383C3}" name="Tabla3" displayName="Tabla3" ref="A1:C34" totalsRowCount="1" headerRowDxfId="25" dataDxfId="23" headerRowBorderDxfId="24" tableBorderDxfId="22" totalsRowBorderDxfId="21">
  <autoFilter ref="A1:C33" xr:uid="{051E8995-140F-43A6-9450-C3A4D36383C3}"/>
  <tableColumns count="3">
    <tableColumn id="1" xr3:uid="{5C24E7DF-EFD5-4918-BCFD-FA4A4411913F}" name="Org. aplic." totalsRowLabel="Total" dataDxfId="20" totalsRowDxfId="19"/>
    <tableColumn id="2" xr3:uid="{89A713C6-A928-422A-BD35-D6F70F4328F7}" name="Descripción justificante" dataDxfId="18" totalsRowDxfId="17"/>
    <tableColumn id="3" xr3:uid="{8FBDAA93-964D-46DC-A374-20A5D3A8B198}" name="Imp. aplic." totalsRowFunction="sum" dataDxfId="16" totalsRowDxfId="15" data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CFB66B-37E4-43FE-BAC8-75A5843C7048}" name="Tabla5" displayName="Tabla5" ref="A1:C9" totalsRowCount="1" headerRowDxfId="14" headerRowBorderDxfId="13" tableBorderDxfId="12" totalsRowBorderDxfId="11">
  <autoFilter ref="A1:C8" xr:uid="{65CFB66B-37E4-43FE-BAC8-75A5843C7048}"/>
  <tableColumns count="3">
    <tableColumn id="1" xr3:uid="{6AA020B8-EE28-4913-ADB0-105B310FB5EB}" name="Cód. org. aplic." totalsRowLabel="Total" dataDxfId="10" totalsRowDxfId="9"/>
    <tableColumn id="2" xr3:uid="{5BC54CEB-6005-4671-8904-01797CFE7A99}" name="Descripción justificante" dataDxfId="8" totalsRowDxfId="7"/>
    <tableColumn id="3" xr3:uid="{4F7B371F-6396-4368-A87B-BFF5E7B922F8}" name="Imp.cob.aplic." totalsRowFunction="sum" dataDxfId="6" totalsRowDxfId="5" dataCellStyle="Millares" totalsRowCellStyle="Millar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D45136-EECB-49DC-A4E4-F14355057C24}" name="Tabla6" displayName="Tabla6" ref="A1:E5" totalsRowCount="1" headerRowDxfId="4" headerRowBorderDxfId="3" tableBorderDxfId="2" totalsRowBorderDxfId="1">
  <autoFilter ref="A1:E4" xr:uid="{37D45136-EECB-49DC-A4E4-F14355057C24}"/>
  <tableColumns count="5">
    <tableColumn id="1" xr3:uid="{8144127C-3168-457C-8D68-A84D72C9996C}" name="Org. aplic." totalsRowLabel="Total"/>
    <tableColumn id="2" xr3:uid="{1B047C51-B8F2-4B59-A532-6E228E3452C3}" name="Descripción justificante"/>
    <tableColumn id="3" xr3:uid="{18E7C450-C013-42CB-BBF8-EFCEE95CC927}" name="Imp. aplic." totalsRowFunction="sum" totalsRowDxfId="0"/>
    <tableColumn id="4" xr3:uid="{BB1D731A-A0E1-46FB-8A3A-75ABCE1F7777}" name="Tipo cuenta"/>
    <tableColumn id="5" xr3:uid="{01E64F7E-757A-4C81-B9F5-A2807F9C4201}" name="D-I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showGridLines="0" zoomScale="120" zoomScaleNormal="120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J25" sqref="J25"/>
    </sheetView>
  </sheetViews>
  <sheetFormatPr baseColWidth="10" defaultColWidth="10.28515625" defaultRowHeight="11.25" x14ac:dyDescent="0.2"/>
  <cols>
    <col min="1" max="1" width="23.140625" style="6" customWidth="1"/>
    <col min="2" max="4" width="29.7109375" style="6" customWidth="1"/>
    <col min="5" max="5" width="40.7109375" style="6" customWidth="1"/>
    <col min="6" max="6" width="9.140625" style="6" customWidth="1"/>
    <col min="7" max="7" width="9.7109375" style="6" customWidth="1"/>
    <col min="8" max="8" width="14.42578125" style="6" customWidth="1"/>
    <col min="9" max="9" width="5.85546875" style="6" customWidth="1"/>
    <col min="10" max="10" width="25.7109375" style="6" customWidth="1"/>
    <col min="11" max="11" width="5.140625" style="6" customWidth="1"/>
    <col min="12" max="12" width="4.42578125" style="6" customWidth="1"/>
    <col min="13" max="13" width="4.85546875" style="6" customWidth="1"/>
    <col min="14" max="14" width="4.85546875" style="7" customWidth="1"/>
    <col min="15" max="15" width="4.85546875" style="6" customWidth="1"/>
    <col min="16" max="16" width="3.5703125" style="7" customWidth="1"/>
    <col min="17" max="17" width="3.5703125" style="6" customWidth="1"/>
    <col min="18" max="20" width="5.140625" style="6" customWidth="1"/>
    <col min="21" max="16384" width="10.28515625" style="6"/>
  </cols>
  <sheetData>
    <row r="1" spans="1:26" ht="45" x14ac:dyDescent="0.2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1" t="s">
        <v>10</v>
      </c>
      <c r="J1" s="2" t="s">
        <v>11</v>
      </c>
      <c r="K1" s="2" t="s">
        <v>12</v>
      </c>
      <c r="L1" s="3" t="s">
        <v>13</v>
      </c>
      <c r="M1" s="4" t="s">
        <v>14</v>
      </c>
      <c r="N1" s="5" t="s">
        <v>15</v>
      </c>
      <c r="O1" s="4" t="s">
        <v>16</v>
      </c>
      <c r="P1" s="5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</row>
    <row r="2" spans="1:26" x14ac:dyDescent="0.2">
      <c r="A2" s="16" t="s">
        <v>37</v>
      </c>
      <c r="B2" s="16" t="s">
        <v>38</v>
      </c>
      <c r="C2" s="16" t="s">
        <v>35</v>
      </c>
      <c r="D2" s="16" t="s">
        <v>69</v>
      </c>
      <c r="E2" s="16" t="s">
        <v>70</v>
      </c>
      <c r="F2" s="16" t="s">
        <v>71</v>
      </c>
      <c r="G2" s="16" t="s">
        <v>36</v>
      </c>
      <c r="H2" s="16" t="s">
        <v>34</v>
      </c>
      <c r="I2" s="16" t="s">
        <v>24</v>
      </c>
      <c r="J2" s="16" t="s">
        <v>25</v>
      </c>
      <c r="K2" s="20">
        <v>1</v>
      </c>
      <c r="L2" s="16" t="s">
        <v>26</v>
      </c>
      <c r="M2" s="16">
        <v>2019</v>
      </c>
      <c r="N2" s="16" t="s">
        <v>30</v>
      </c>
      <c r="O2" s="18">
        <v>50</v>
      </c>
      <c r="P2" s="16" t="s">
        <v>29</v>
      </c>
      <c r="Q2" s="18">
        <v>0</v>
      </c>
      <c r="R2" s="19">
        <v>50</v>
      </c>
      <c r="S2" s="17">
        <v>0.5</v>
      </c>
      <c r="T2" s="17">
        <v>0.5</v>
      </c>
      <c r="U2" s="17">
        <v>0</v>
      </c>
    </row>
    <row r="3" spans="1:26" x14ac:dyDescent="0.2">
      <c r="A3" s="16" t="s">
        <v>37</v>
      </c>
      <c r="B3" s="16" t="s">
        <v>38</v>
      </c>
      <c r="C3" s="16" t="s">
        <v>35</v>
      </c>
      <c r="D3" s="16" t="s">
        <v>72</v>
      </c>
      <c r="E3" s="16" t="s">
        <v>73</v>
      </c>
      <c r="F3" s="16" t="s">
        <v>74</v>
      </c>
      <c r="G3" s="16" t="s">
        <v>75</v>
      </c>
      <c r="H3" s="16" t="s">
        <v>23</v>
      </c>
      <c r="I3" s="16" t="s">
        <v>24</v>
      </c>
      <c r="J3" s="16" t="s">
        <v>25</v>
      </c>
      <c r="K3" s="20">
        <v>0.5</v>
      </c>
      <c r="L3" s="16" t="s">
        <v>26</v>
      </c>
      <c r="M3" s="16">
        <v>2020</v>
      </c>
      <c r="N3" s="16" t="s">
        <v>30</v>
      </c>
      <c r="O3" s="18">
        <v>20</v>
      </c>
      <c r="P3" s="16" t="s">
        <v>29</v>
      </c>
      <c r="Q3" s="18">
        <v>0</v>
      </c>
      <c r="R3" s="19">
        <v>80</v>
      </c>
      <c r="S3" s="17">
        <v>0.4</v>
      </c>
      <c r="T3" s="17">
        <v>0.1</v>
      </c>
      <c r="U3" s="17">
        <v>0</v>
      </c>
    </row>
    <row r="4" spans="1:26" x14ac:dyDescent="0.2">
      <c r="A4" s="16" t="s">
        <v>37</v>
      </c>
      <c r="B4" s="16" t="s">
        <v>38</v>
      </c>
      <c r="C4" s="16" t="s">
        <v>35</v>
      </c>
      <c r="D4" s="16" t="s">
        <v>72</v>
      </c>
      <c r="E4" s="16" t="s">
        <v>73</v>
      </c>
      <c r="F4" s="16" t="s">
        <v>74</v>
      </c>
      <c r="G4" s="16" t="s">
        <v>40</v>
      </c>
      <c r="H4" s="16" t="s">
        <v>23</v>
      </c>
      <c r="I4" s="16" t="s">
        <v>24</v>
      </c>
      <c r="J4" s="16" t="s">
        <v>25</v>
      </c>
      <c r="K4" s="20">
        <v>0.5</v>
      </c>
      <c r="L4" s="16" t="s">
        <v>26</v>
      </c>
      <c r="M4" s="16">
        <v>2020</v>
      </c>
      <c r="N4" s="16" t="s">
        <v>30</v>
      </c>
      <c r="O4" s="18">
        <v>10</v>
      </c>
      <c r="P4" s="16" t="s">
        <v>29</v>
      </c>
      <c r="Q4" s="18">
        <v>0</v>
      </c>
      <c r="R4" s="19">
        <v>90</v>
      </c>
      <c r="S4" s="17">
        <v>0.45</v>
      </c>
      <c r="T4" s="17">
        <v>0.05</v>
      </c>
      <c r="U4" s="17">
        <v>0</v>
      </c>
    </row>
    <row r="5" spans="1:26" ht="12" thickBot="1" x14ac:dyDescent="0.25">
      <c r="A5" s="16" t="s">
        <v>37</v>
      </c>
      <c r="B5" s="16" t="s">
        <v>38</v>
      </c>
      <c r="C5" s="16" t="s">
        <v>35</v>
      </c>
      <c r="D5" s="16" t="s">
        <v>78</v>
      </c>
      <c r="E5" s="16" t="s">
        <v>79</v>
      </c>
      <c r="F5" s="16" t="s">
        <v>80</v>
      </c>
      <c r="G5" s="16" t="s">
        <v>81</v>
      </c>
      <c r="H5" s="16" t="s">
        <v>23</v>
      </c>
      <c r="I5" s="16" t="s">
        <v>24</v>
      </c>
      <c r="J5" s="16" t="s">
        <v>25</v>
      </c>
      <c r="K5" s="21">
        <v>0.5</v>
      </c>
      <c r="L5" s="21" t="s">
        <v>26</v>
      </c>
      <c r="M5" s="22">
        <v>2021</v>
      </c>
      <c r="N5" s="16" t="s">
        <v>29</v>
      </c>
      <c r="O5" s="18" t="s">
        <v>29</v>
      </c>
      <c r="P5" s="16" t="s">
        <v>29</v>
      </c>
      <c r="Q5" s="18" t="s">
        <v>29</v>
      </c>
      <c r="R5" s="16">
        <v>100</v>
      </c>
      <c r="S5" s="16">
        <v>0.5</v>
      </c>
      <c r="T5" s="16">
        <v>0</v>
      </c>
      <c r="U5" s="16">
        <v>0</v>
      </c>
    </row>
    <row r="6" spans="1:26" ht="12" thickBot="1" x14ac:dyDescent="0.25">
      <c r="A6" s="23" t="s">
        <v>37</v>
      </c>
      <c r="B6" s="23" t="s">
        <v>38</v>
      </c>
      <c r="C6" s="23" t="s">
        <v>35</v>
      </c>
      <c r="D6" s="23" t="s">
        <v>78</v>
      </c>
      <c r="E6" s="23" t="s">
        <v>79</v>
      </c>
      <c r="F6" s="23" t="s">
        <v>80</v>
      </c>
      <c r="G6" s="24" t="s">
        <v>40</v>
      </c>
      <c r="H6" s="25" t="s">
        <v>23</v>
      </c>
      <c r="I6" s="25" t="s">
        <v>24</v>
      </c>
      <c r="J6" s="26" t="s">
        <v>25</v>
      </c>
      <c r="K6" s="21">
        <v>0.5</v>
      </c>
      <c r="L6" s="21" t="s">
        <v>26</v>
      </c>
      <c r="M6" s="16">
        <v>2021</v>
      </c>
      <c r="N6" s="16" t="s">
        <v>30</v>
      </c>
      <c r="O6" s="18">
        <v>10</v>
      </c>
      <c r="P6" s="16" t="s">
        <v>29</v>
      </c>
      <c r="Q6" s="18">
        <v>0</v>
      </c>
      <c r="R6" s="16">
        <v>90</v>
      </c>
      <c r="S6" s="16">
        <v>0.45</v>
      </c>
      <c r="T6" s="16">
        <v>0.05</v>
      </c>
      <c r="U6" s="16">
        <v>0</v>
      </c>
    </row>
    <row r="7" spans="1:26" ht="12" thickBot="1" x14ac:dyDescent="0.25">
      <c r="A7" s="23" t="s">
        <v>37</v>
      </c>
      <c r="B7" s="23" t="s">
        <v>38</v>
      </c>
      <c r="C7" s="23" t="s">
        <v>35</v>
      </c>
      <c r="D7" s="23" t="s">
        <v>94</v>
      </c>
      <c r="E7" s="23" t="s">
        <v>95</v>
      </c>
      <c r="F7" s="23" t="s">
        <v>96</v>
      </c>
      <c r="G7" s="24" t="s">
        <v>40</v>
      </c>
      <c r="H7" s="25" t="s">
        <v>23</v>
      </c>
      <c r="I7" s="25" t="s">
        <v>97</v>
      </c>
      <c r="J7" s="26" t="s">
        <v>98</v>
      </c>
      <c r="K7" s="21">
        <v>0.5</v>
      </c>
      <c r="L7" s="21" t="s">
        <v>99</v>
      </c>
      <c r="M7" s="16">
        <v>2022</v>
      </c>
      <c r="N7" s="16" t="s">
        <v>30</v>
      </c>
      <c r="O7" s="18">
        <v>10</v>
      </c>
      <c r="P7" s="16" t="s">
        <v>29</v>
      </c>
      <c r="Q7" s="18">
        <v>0</v>
      </c>
      <c r="R7" s="16">
        <v>90</v>
      </c>
      <c r="S7" s="16">
        <v>0.45</v>
      </c>
      <c r="T7" s="16">
        <v>0.05</v>
      </c>
      <c r="U7" s="16">
        <v>0</v>
      </c>
    </row>
    <row r="8" spans="1:26" x14ac:dyDescent="0.2">
      <c r="A8" s="16" t="s">
        <v>31</v>
      </c>
      <c r="B8" s="16" t="s">
        <v>32</v>
      </c>
      <c r="C8" s="16" t="s">
        <v>33</v>
      </c>
      <c r="D8" s="16" t="s">
        <v>100</v>
      </c>
      <c r="E8" s="16" t="s">
        <v>101</v>
      </c>
      <c r="F8" s="16" t="s">
        <v>102</v>
      </c>
      <c r="G8" s="16" t="s">
        <v>103</v>
      </c>
      <c r="H8" s="16" t="s">
        <v>23</v>
      </c>
      <c r="I8" s="16" t="s">
        <v>97</v>
      </c>
      <c r="J8" s="16" t="s">
        <v>98</v>
      </c>
      <c r="K8" s="21">
        <v>0.5</v>
      </c>
      <c r="L8" s="21" t="s">
        <v>99</v>
      </c>
      <c r="M8" s="16">
        <v>2022</v>
      </c>
      <c r="N8" s="16" t="s">
        <v>30</v>
      </c>
      <c r="O8" s="18">
        <v>50</v>
      </c>
      <c r="P8" s="16" t="s">
        <v>29</v>
      </c>
      <c r="Q8" s="18">
        <v>0</v>
      </c>
      <c r="R8" s="16">
        <v>50</v>
      </c>
      <c r="S8" s="16">
        <v>0.25</v>
      </c>
      <c r="T8" s="16">
        <v>0.25</v>
      </c>
      <c r="U8" s="16">
        <v>0</v>
      </c>
    </row>
    <row r="9" spans="1:26" x14ac:dyDescent="0.2">
      <c r="A9" s="16" t="s">
        <v>31</v>
      </c>
      <c r="B9" s="16" t="s">
        <v>32</v>
      </c>
      <c r="C9" s="16" t="s">
        <v>33</v>
      </c>
      <c r="D9" s="16" t="s">
        <v>104</v>
      </c>
      <c r="E9" s="16" t="s">
        <v>105</v>
      </c>
      <c r="F9" s="16" t="s">
        <v>106</v>
      </c>
      <c r="G9" s="16" t="s">
        <v>107</v>
      </c>
      <c r="H9" s="16" t="s">
        <v>23</v>
      </c>
      <c r="I9" s="16" t="s">
        <v>97</v>
      </c>
      <c r="J9" s="16" t="s">
        <v>98</v>
      </c>
      <c r="K9" s="21">
        <v>0.5</v>
      </c>
      <c r="L9" s="21" t="s">
        <v>99</v>
      </c>
      <c r="M9" s="16">
        <v>2022</v>
      </c>
      <c r="N9" s="16" t="s">
        <v>30</v>
      </c>
      <c r="O9" s="18">
        <v>50</v>
      </c>
      <c r="P9" s="16" t="s">
        <v>29</v>
      </c>
      <c r="Q9" s="18">
        <v>0</v>
      </c>
      <c r="R9" s="16">
        <v>50</v>
      </c>
      <c r="S9" s="16">
        <v>0.25</v>
      </c>
      <c r="T9" s="16">
        <v>0.25</v>
      </c>
      <c r="U9" s="16">
        <v>0</v>
      </c>
    </row>
    <row r="10" spans="1:26" customFormat="1" ht="10.15" customHeight="1" x14ac:dyDescent="0.25">
      <c r="A10" s="38" t="s">
        <v>159</v>
      </c>
      <c r="B10" s="38" t="s">
        <v>160</v>
      </c>
      <c r="C10" s="38" t="s">
        <v>161</v>
      </c>
      <c r="D10" s="38" t="s">
        <v>164</v>
      </c>
      <c r="E10" s="38" t="s">
        <v>165</v>
      </c>
      <c r="F10" s="38" t="s">
        <v>166</v>
      </c>
      <c r="G10" s="38" t="s">
        <v>57</v>
      </c>
      <c r="H10" s="38" t="s">
        <v>163</v>
      </c>
      <c r="I10" s="39" t="s">
        <v>99</v>
      </c>
      <c r="J10" s="38" t="s">
        <v>167</v>
      </c>
      <c r="K10" s="40">
        <v>0.5</v>
      </c>
      <c r="L10" s="40" t="s">
        <v>99</v>
      </c>
      <c r="M10" s="40">
        <v>2023</v>
      </c>
      <c r="N10" s="40" t="s">
        <v>30</v>
      </c>
      <c r="O10" s="40" t="s">
        <v>168</v>
      </c>
      <c r="P10" s="40" t="s">
        <v>29</v>
      </c>
      <c r="Q10" s="40" t="s">
        <v>29</v>
      </c>
      <c r="R10" s="40">
        <v>80</v>
      </c>
      <c r="S10" s="40">
        <v>0.4</v>
      </c>
      <c r="T10" s="40">
        <v>0.1</v>
      </c>
      <c r="U10" s="40">
        <v>0</v>
      </c>
      <c r="V10" s="6"/>
      <c r="W10" s="31"/>
      <c r="Z10" s="6"/>
    </row>
    <row r="11" spans="1:26" customFormat="1" ht="10.15" customHeight="1" x14ac:dyDescent="0.25">
      <c r="A11" s="38" t="s">
        <v>159</v>
      </c>
      <c r="B11" s="38" t="s">
        <v>160</v>
      </c>
      <c r="C11" s="38" t="s">
        <v>161</v>
      </c>
      <c r="D11" s="38" t="s">
        <v>164</v>
      </c>
      <c r="E11" s="38" t="s">
        <v>165</v>
      </c>
      <c r="F11" s="38" t="s">
        <v>166</v>
      </c>
      <c r="G11" s="38" t="s">
        <v>53</v>
      </c>
      <c r="H11" s="38" t="s">
        <v>163</v>
      </c>
      <c r="I11" s="39" t="s">
        <v>99</v>
      </c>
      <c r="J11" s="38" t="s">
        <v>167</v>
      </c>
      <c r="K11" s="40">
        <v>0.5</v>
      </c>
      <c r="L11" s="40" t="s">
        <v>99</v>
      </c>
      <c r="M11" s="40">
        <v>2023</v>
      </c>
      <c r="N11" s="40" t="s">
        <v>30</v>
      </c>
      <c r="O11" s="40" t="s">
        <v>39</v>
      </c>
      <c r="P11" s="40" t="s">
        <v>29</v>
      </c>
      <c r="Q11" s="40" t="s">
        <v>29</v>
      </c>
      <c r="R11" s="40">
        <v>90</v>
      </c>
      <c r="S11" s="40">
        <v>0.45</v>
      </c>
      <c r="T11" s="40">
        <v>0.05</v>
      </c>
      <c r="U11" s="40">
        <v>0</v>
      </c>
      <c r="V11" s="6"/>
      <c r="W11" s="31"/>
      <c r="Z11" s="6"/>
    </row>
    <row r="12" spans="1:26" customFormat="1" ht="10.15" customHeight="1" x14ac:dyDescent="0.25">
      <c r="A12" s="38" t="s">
        <v>159</v>
      </c>
      <c r="B12" s="38" t="s">
        <v>160</v>
      </c>
      <c r="C12" s="38" t="s">
        <v>161</v>
      </c>
      <c r="D12" s="38" t="s">
        <v>169</v>
      </c>
      <c r="E12" s="38" t="s">
        <v>170</v>
      </c>
      <c r="F12" s="38" t="s">
        <v>171</v>
      </c>
      <c r="G12" s="38" t="s">
        <v>57</v>
      </c>
      <c r="H12" s="38" t="s">
        <v>163</v>
      </c>
      <c r="I12" s="39" t="s">
        <v>99</v>
      </c>
      <c r="J12" s="38" t="s">
        <v>167</v>
      </c>
      <c r="K12" s="40">
        <v>0.5</v>
      </c>
      <c r="L12" s="40" t="s">
        <v>99</v>
      </c>
      <c r="M12" s="40">
        <v>2023</v>
      </c>
      <c r="N12" s="40" t="s">
        <v>30</v>
      </c>
      <c r="O12" s="40" t="s">
        <v>168</v>
      </c>
      <c r="P12" s="40" t="s">
        <v>29</v>
      </c>
      <c r="Q12" s="40" t="s">
        <v>29</v>
      </c>
      <c r="R12" s="40">
        <v>80</v>
      </c>
      <c r="S12" s="40">
        <v>0.4</v>
      </c>
      <c r="T12" s="40">
        <v>0.1</v>
      </c>
      <c r="U12" s="40">
        <v>0</v>
      </c>
      <c r="V12" s="6"/>
      <c r="W12" s="31"/>
      <c r="Z12" s="6"/>
    </row>
    <row r="13" spans="1:26" customFormat="1" ht="10.15" customHeight="1" x14ac:dyDescent="0.25">
      <c r="A13" s="38" t="s">
        <v>159</v>
      </c>
      <c r="B13" s="38" t="s">
        <v>160</v>
      </c>
      <c r="C13" s="38" t="s">
        <v>161</v>
      </c>
      <c r="D13" s="38" t="s">
        <v>169</v>
      </c>
      <c r="E13" s="38" t="s">
        <v>170</v>
      </c>
      <c r="F13" s="38" t="s">
        <v>171</v>
      </c>
      <c r="G13" s="38" t="s">
        <v>53</v>
      </c>
      <c r="H13" s="38" t="s">
        <v>163</v>
      </c>
      <c r="I13" s="39" t="s">
        <v>99</v>
      </c>
      <c r="J13" s="38" t="s">
        <v>167</v>
      </c>
      <c r="K13" s="40">
        <v>0.5</v>
      </c>
      <c r="L13" s="40" t="s">
        <v>99</v>
      </c>
      <c r="M13" s="40">
        <v>2023</v>
      </c>
      <c r="N13" s="40" t="s">
        <v>30</v>
      </c>
      <c r="O13" s="40" t="s">
        <v>39</v>
      </c>
      <c r="P13" s="40" t="s">
        <v>29</v>
      </c>
      <c r="Q13" s="40" t="s">
        <v>29</v>
      </c>
      <c r="R13" s="40">
        <v>90</v>
      </c>
      <c r="S13" s="40">
        <v>0.45</v>
      </c>
      <c r="T13" s="40">
        <v>0.05</v>
      </c>
      <c r="U13" s="40">
        <v>0</v>
      </c>
      <c r="V13" s="6"/>
      <c r="W13" s="31"/>
      <c r="Z13" s="6"/>
    </row>
    <row r="14" spans="1:26" customFormat="1" ht="10.15" customHeight="1" x14ac:dyDescent="0.25">
      <c r="A14" s="38" t="s">
        <v>159</v>
      </c>
      <c r="B14" s="38" t="s">
        <v>160</v>
      </c>
      <c r="C14" s="38" t="s">
        <v>161</v>
      </c>
      <c r="D14" s="38" t="s">
        <v>172</v>
      </c>
      <c r="E14" s="38" t="s">
        <v>173</v>
      </c>
      <c r="F14" s="38" t="s">
        <v>174</v>
      </c>
      <c r="G14" s="38" t="s">
        <v>62</v>
      </c>
      <c r="H14" s="38" t="s">
        <v>162</v>
      </c>
      <c r="I14" s="39" t="s">
        <v>99</v>
      </c>
      <c r="J14" s="38" t="s">
        <v>167</v>
      </c>
      <c r="K14" s="40">
        <v>1</v>
      </c>
      <c r="L14" s="40" t="s">
        <v>99</v>
      </c>
      <c r="M14" s="40">
        <v>2023</v>
      </c>
      <c r="N14" s="40" t="s">
        <v>30</v>
      </c>
      <c r="O14" s="40" t="s">
        <v>28</v>
      </c>
      <c r="P14" s="40" t="s">
        <v>29</v>
      </c>
      <c r="Q14" s="40" t="s">
        <v>29</v>
      </c>
      <c r="R14" s="40">
        <v>50</v>
      </c>
      <c r="S14" s="40">
        <v>0.5</v>
      </c>
      <c r="T14" s="40">
        <v>0.5</v>
      </c>
      <c r="U14" s="40">
        <v>0</v>
      </c>
      <c r="V14" s="6"/>
      <c r="W14" s="31"/>
      <c r="Z14" s="6"/>
    </row>
    <row r="15" spans="1:26" customFormat="1" ht="10.15" customHeight="1" x14ac:dyDescent="0.25">
      <c r="A15" s="38" t="s">
        <v>159</v>
      </c>
      <c r="B15" s="38" t="s">
        <v>222</v>
      </c>
      <c r="C15" s="38" t="s">
        <v>161</v>
      </c>
      <c r="D15" s="38" t="s">
        <v>223</v>
      </c>
      <c r="E15" s="38" t="s">
        <v>224</v>
      </c>
      <c r="F15" s="38" t="s">
        <v>225</v>
      </c>
      <c r="G15" s="38" t="s">
        <v>62</v>
      </c>
      <c r="H15" s="38" t="s">
        <v>162</v>
      </c>
      <c r="I15" s="39" t="s">
        <v>99</v>
      </c>
      <c r="J15" s="38" t="s">
        <v>226</v>
      </c>
      <c r="K15" s="40">
        <v>1</v>
      </c>
      <c r="L15" s="40" t="s">
        <v>99</v>
      </c>
      <c r="M15" s="40">
        <v>2024</v>
      </c>
      <c r="N15" s="40" t="s">
        <v>30</v>
      </c>
      <c r="O15" s="40" t="s">
        <v>28</v>
      </c>
      <c r="P15" s="40" t="s">
        <v>29</v>
      </c>
      <c r="Q15" s="40" t="s">
        <v>29</v>
      </c>
      <c r="R15" s="40">
        <v>50</v>
      </c>
      <c r="S15" s="40">
        <v>0.5</v>
      </c>
      <c r="T15" s="40">
        <v>0.5</v>
      </c>
      <c r="U15" s="40">
        <v>0</v>
      </c>
      <c r="V15" s="6"/>
      <c r="W15" s="31"/>
      <c r="Z15" s="6"/>
    </row>
    <row r="16" spans="1:26" customFormat="1" ht="10.15" customHeight="1" x14ac:dyDescent="0.25">
      <c r="A16" s="38" t="s">
        <v>227</v>
      </c>
      <c r="B16" s="38" t="s">
        <v>228</v>
      </c>
      <c r="C16" s="38" t="s">
        <v>229</v>
      </c>
      <c r="D16" s="38" t="s">
        <v>230</v>
      </c>
      <c r="E16" s="38" t="s">
        <v>231</v>
      </c>
      <c r="F16" s="38" t="s">
        <v>232</v>
      </c>
      <c r="G16" s="38" t="s">
        <v>60</v>
      </c>
      <c r="H16" s="38" t="s">
        <v>163</v>
      </c>
      <c r="I16" s="39" t="s">
        <v>99</v>
      </c>
      <c r="J16" s="38" t="s">
        <v>226</v>
      </c>
      <c r="K16" s="40">
        <v>0.5</v>
      </c>
      <c r="L16" s="40" t="s">
        <v>99</v>
      </c>
      <c r="M16" s="40">
        <v>2024</v>
      </c>
      <c r="N16" s="40" t="s">
        <v>30</v>
      </c>
      <c r="O16" s="40" t="s">
        <v>28</v>
      </c>
      <c r="P16" s="40" t="s">
        <v>29</v>
      </c>
      <c r="Q16" s="40" t="s">
        <v>29</v>
      </c>
      <c r="R16" s="40">
        <v>50</v>
      </c>
      <c r="S16" s="40">
        <v>0.25</v>
      </c>
      <c r="T16" s="40">
        <v>0.25</v>
      </c>
      <c r="U16" s="40">
        <v>0</v>
      </c>
      <c r="V16" s="6"/>
      <c r="W16" s="31"/>
      <c r="Z16" s="6"/>
    </row>
    <row r="17" spans="1:21" x14ac:dyDescent="0.2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3"/>
      <c r="O17" s="32"/>
      <c r="P17" s="33"/>
      <c r="Q17" s="32"/>
      <c r="R17" s="32"/>
      <c r="S17" s="41">
        <f>SUM(S2:S16)</f>
        <v>6.2000000000000011</v>
      </c>
      <c r="T17" s="32"/>
      <c r="U17" s="32"/>
    </row>
  </sheetData>
  <autoFilter ref="A1:T7" xr:uid="{00000000-0009-0000-0000-000000000000}">
    <sortState xmlns:xlrd2="http://schemas.microsoft.com/office/spreadsheetml/2017/richdata2" ref="A2:T1906">
      <sortCondition ref="K2:K1906"/>
      <sortCondition ref="L2:L1906"/>
      <sortCondition ref="D2:D1906"/>
    </sortState>
  </autoFilter>
  <printOptions horizontalCentered="1"/>
  <pageMargins left="0.39370078740157483" right="0.39370078740157483" top="0.39370078740157483" bottom="0.39370078740157483" header="0.78740157480314965" footer="0"/>
  <pageSetup paperSize="9" orientation="landscape" r:id="rId1"/>
  <headerFooter alignWithMargins="0">
    <oddHeader>&amp;C&amp;"Arial,Negrita"TESIS DOCTORALES POR DEPARTAMENTO / INSTITUTO
CURSOS 2006-2012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"/>
  <sheetViews>
    <sheetView topLeftCell="B1" zoomScale="150" zoomScaleNormal="150" workbookViewId="0">
      <selection activeCell="B9" sqref="B9"/>
    </sheetView>
  </sheetViews>
  <sheetFormatPr baseColWidth="10" defaultColWidth="11.42578125" defaultRowHeight="12.75" x14ac:dyDescent="0.2"/>
  <cols>
    <col min="1" max="1" width="10.85546875" style="11" bestFit="1" customWidth="1"/>
    <col min="2" max="2" width="39" style="11" bestFit="1" customWidth="1"/>
    <col min="3" max="3" width="17" style="11" bestFit="1" customWidth="1"/>
    <col min="4" max="9" width="3" style="11" customWidth="1"/>
    <col min="10" max="10" width="5.140625" style="11" customWidth="1"/>
    <col min="11" max="11" width="5.28515625" style="11" bestFit="1" customWidth="1"/>
    <col min="12" max="12" width="5.28515625" style="11" customWidth="1"/>
    <col min="13" max="13" width="4.85546875" style="11" customWidth="1"/>
    <col min="14" max="14" width="4.7109375" style="12" customWidth="1"/>
    <col min="15" max="15" width="4.85546875" style="11" customWidth="1"/>
    <col min="16" max="16" width="4.7109375" style="12" customWidth="1"/>
    <col min="17" max="19" width="4.85546875" style="11" customWidth="1"/>
    <col min="20" max="16384" width="11.42578125" style="11"/>
  </cols>
  <sheetData>
    <row r="1" spans="1:19" s="10" customFormat="1" ht="26.25" x14ac:dyDescent="0.2">
      <c r="A1" s="13" t="s">
        <v>41</v>
      </c>
      <c r="B1" s="13" t="s">
        <v>42</v>
      </c>
      <c r="C1" s="13" t="s">
        <v>43</v>
      </c>
      <c r="D1" s="14" t="s">
        <v>233</v>
      </c>
      <c r="E1" s="14" t="s">
        <v>234</v>
      </c>
      <c r="F1" s="14" t="s">
        <v>235</v>
      </c>
      <c r="G1" s="14" t="s">
        <v>236</v>
      </c>
      <c r="H1" s="14" t="s">
        <v>237</v>
      </c>
      <c r="I1" s="14" t="s">
        <v>238</v>
      </c>
      <c r="J1" s="13" t="s">
        <v>44</v>
      </c>
      <c r="K1" s="15" t="s">
        <v>68</v>
      </c>
      <c r="L1" s="8" t="s">
        <v>45</v>
      </c>
      <c r="M1" s="8" t="s">
        <v>46</v>
      </c>
      <c r="N1" s="8" t="s">
        <v>47</v>
      </c>
      <c r="O1" s="8" t="s">
        <v>48</v>
      </c>
      <c r="P1" s="9" t="s">
        <v>49</v>
      </c>
      <c r="Q1" s="9" t="s">
        <v>50</v>
      </c>
      <c r="R1" s="9" t="s">
        <v>51</v>
      </c>
      <c r="S1" s="9" t="s">
        <v>52</v>
      </c>
    </row>
    <row r="2" spans="1:19" x14ac:dyDescent="0.2">
      <c r="A2" s="36" t="s">
        <v>56</v>
      </c>
      <c r="B2" s="36" t="s">
        <v>239</v>
      </c>
      <c r="C2" s="36" t="s">
        <v>54</v>
      </c>
      <c r="D2" s="36"/>
      <c r="E2" s="36"/>
      <c r="F2" s="36">
        <v>1</v>
      </c>
      <c r="G2" s="36"/>
      <c r="H2" s="36"/>
      <c r="I2" s="36"/>
      <c r="J2" s="36">
        <v>1</v>
      </c>
      <c r="K2" s="36" t="s">
        <v>99</v>
      </c>
      <c r="L2" s="36" t="s">
        <v>30</v>
      </c>
      <c r="M2" s="36" t="s">
        <v>39</v>
      </c>
      <c r="N2" s="37" t="s">
        <v>29</v>
      </c>
      <c r="O2" s="36" t="s">
        <v>29</v>
      </c>
      <c r="P2" s="37">
        <v>90</v>
      </c>
      <c r="Q2" s="36">
        <v>0.1</v>
      </c>
      <c r="R2" s="36">
        <v>0</v>
      </c>
      <c r="S2" s="36">
        <v>0.9</v>
      </c>
    </row>
    <row r="3" spans="1:19" x14ac:dyDescent="0.2">
      <c r="A3" s="36" t="s">
        <v>58</v>
      </c>
      <c r="B3" s="36" t="s">
        <v>240</v>
      </c>
      <c r="C3" s="36" t="s">
        <v>175</v>
      </c>
      <c r="D3" s="36"/>
      <c r="E3" s="36"/>
      <c r="F3" s="36"/>
      <c r="G3" s="36"/>
      <c r="H3" s="36"/>
      <c r="I3" s="36">
        <v>1</v>
      </c>
      <c r="J3" s="36">
        <v>1</v>
      </c>
      <c r="K3" s="36" t="s">
        <v>99</v>
      </c>
      <c r="L3" s="36" t="s">
        <v>30</v>
      </c>
      <c r="M3" s="36" t="s">
        <v>28</v>
      </c>
      <c r="N3" s="37" t="s">
        <v>29</v>
      </c>
      <c r="O3" s="36" t="s">
        <v>29</v>
      </c>
      <c r="P3" s="37">
        <v>50</v>
      </c>
      <c r="Q3" s="36">
        <v>0.5</v>
      </c>
      <c r="R3" s="36">
        <v>0</v>
      </c>
      <c r="S3" s="36">
        <v>0.5</v>
      </c>
    </row>
    <row r="4" spans="1:19" x14ac:dyDescent="0.2">
      <c r="A4" s="36" t="s">
        <v>59</v>
      </c>
      <c r="B4" s="36" t="s">
        <v>241</v>
      </c>
      <c r="C4" s="36" t="s">
        <v>54</v>
      </c>
      <c r="D4" s="36"/>
      <c r="E4" s="36"/>
      <c r="F4" s="36"/>
      <c r="G4" s="36"/>
      <c r="H4" s="36">
        <v>1</v>
      </c>
      <c r="I4" s="36"/>
      <c r="J4" s="36">
        <v>1</v>
      </c>
      <c r="K4" s="36" t="s">
        <v>99</v>
      </c>
      <c r="L4" s="36" t="s">
        <v>30</v>
      </c>
      <c r="M4" s="36" t="s">
        <v>28</v>
      </c>
      <c r="N4" s="37" t="s">
        <v>29</v>
      </c>
      <c r="O4" s="36" t="s">
        <v>29</v>
      </c>
      <c r="P4" s="37">
        <v>50</v>
      </c>
      <c r="Q4" s="36">
        <v>0.5</v>
      </c>
      <c r="R4" s="36">
        <v>0</v>
      </c>
      <c r="S4" s="36">
        <v>0.5</v>
      </c>
    </row>
    <row r="5" spans="1:19" x14ac:dyDescent="0.2">
      <c r="A5" s="36" t="s">
        <v>60</v>
      </c>
      <c r="B5" s="36" t="s">
        <v>242</v>
      </c>
      <c r="C5" s="36" t="s">
        <v>54</v>
      </c>
      <c r="D5" s="36"/>
      <c r="E5" s="36"/>
      <c r="F5" s="36"/>
      <c r="G5" s="36">
        <v>1</v>
      </c>
      <c r="H5" s="36"/>
      <c r="I5" s="36"/>
      <c r="J5" s="36">
        <v>1</v>
      </c>
      <c r="K5" s="36" t="s">
        <v>99</v>
      </c>
      <c r="L5" s="36" t="s">
        <v>30</v>
      </c>
      <c r="M5" s="36" t="s">
        <v>28</v>
      </c>
      <c r="N5" s="37" t="s">
        <v>29</v>
      </c>
      <c r="O5" s="36" t="s">
        <v>29</v>
      </c>
      <c r="P5" s="37">
        <v>50</v>
      </c>
      <c r="Q5" s="36">
        <v>0.5</v>
      </c>
      <c r="R5" s="36">
        <v>0</v>
      </c>
      <c r="S5" s="36">
        <v>0.5</v>
      </c>
    </row>
    <row r="6" spans="1:19" x14ac:dyDescent="0.2">
      <c r="A6" s="36" t="s">
        <v>62</v>
      </c>
      <c r="B6" s="36" t="s">
        <v>243</v>
      </c>
      <c r="C6" s="36" t="s">
        <v>54</v>
      </c>
      <c r="D6" s="36"/>
      <c r="E6" s="36">
        <v>1</v>
      </c>
      <c r="F6" s="36"/>
      <c r="G6" s="36"/>
      <c r="H6" s="36"/>
      <c r="I6" s="36"/>
      <c r="J6" s="36">
        <v>1</v>
      </c>
      <c r="K6" s="36" t="s">
        <v>99</v>
      </c>
      <c r="L6" s="36" t="s">
        <v>30</v>
      </c>
      <c r="M6" s="36" t="s">
        <v>28</v>
      </c>
      <c r="N6" s="37" t="s">
        <v>29</v>
      </c>
      <c r="O6" s="36" t="s">
        <v>29</v>
      </c>
      <c r="P6" s="37">
        <v>50</v>
      </c>
      <c r="Q6" s="36">
        <v>0.5</v>
      </c>
      <c r="R6" s="36">
        <v>0</v>
      </c>
      <c r="S6" s="36">
        <v>0.5</v>
      </c>
    </row>
    <row r="7" spans="1:19" x14ac:dyDescent="0.2">
      <c r="A7" s="36" t="s">
        <v>66</v>
      </c>
      <c r="B7" s="36" t="s">
        <v>244</v>
      </c>
      <c r="C7" s="36" t="s">
        <v>64</v>
      </c>
      <c r="D7" s="36">
        <v>1</v>
      </c>
      <c r="E7" s="36"/>
      <c r="F7" s="36"/>
      <c r="G7" s="36"/>
      <c r="H7" s="36"/>
      <c r="I7" s="36"/>
      <c r="J7" s="36">
        <v>1</v>
      </c>
      <c r="K7" s="36" t="s">
        <v>99</v>
      </c>
      <c r="L7" s="36" t="s">
        <v>27</v>
      </c>
      <c r="M7" s="36" t="s">
        <v>28</v>
      </c>
      <c r="N7" s="37" t="s">
        <v>29</v>
      </c>
      <c r="O7" s="36" t="s">
        <v>29</v>
      </c>
      <c r="P7" s="37">
        <v>50</v>
      </c>
      <c r="Q7" s="36">
        <v>0.5</v>
      </c>
      <c r="R7" s="36">
        <v>0</v>
      </c>
      <c r="S7" s="36">
        <v>0.5</v>
      </c>
    </row>
    <row r="8" spans="1:19" x14ac:dyDescent="0.2">
      <c r="A8" s="36" t="s">
        <v>53</v>
      </c>
      <c r="B8" s="36" t="s">
        <v>245</v>
      </c>
      <c r="C8" s="36" t="s">
        <v>54</v>
      </c>
      <c r="D8" s="36"/>
      <c r="E8" s="36"/>
      <c r="F8" s="36"/>
      <c r="G8" s="36">
        <v>1</v>
      </c>
      <c r="H8" s="36"/>
      <c r="I8" s="36"/>
      <c r="J8" s="36">
        <v>1</v>
      </c>
      <c r="K8" s="36" t="s">
        <v>99</v>
      </c>
      <c r="L8" s="36" t="s">
        <v>30</v>
      </c>
      <c r="M8" s="36" t="s">
        <v>39</v>
      </c>
      <c r="N8" s="37" t="s">
        <v>29</v>
      </c>
      <c r="O8" s="36" t="s">
        <v>29</v>
      </c>
      <c r="P8" s="37">
        <v>90</v>
      </c>
      <c r="Q8" s="36">
        <v>0.1</v>
      </c>
      <c r="R8" s="36">
        <v>0</v>
      </c>
      <c r="S8" s="36">
        <v>0.9</v>
      </c>
    </row>
    <row r="9" spans="1:19" x14ac:dyDescent="0.2">
      <c r="A9" s="36" t="s">
        <v>63</v>
      </c>
      <c r="B9" s="36" t="s">
        <v>246</v>
      </c>
      <c r="C9" s="36" t="s">
        <v>64</v>
      </c>
      <c r="D9" s="36"/>
      <c r="E9" s="36"/>
      <c r="F9" s="36"/>
      <c r="G9" s="36">
        <v>1</v>
      </c>
      <c r="H9" s="36"/>
      <c r="I9" s="36"/>
      <c r="J9" s="36">
        <v>1</v>
      </c>
      <c r="K9" s="36" t="s">
        <v>99</v>
      </c>
      <c r="L9" s="36" t="s">
        <v>27</v>
      </c>
      <c r="M9" s="36" t="s">
        <v>28</v>
      </c>
      <c r="N9" s="37" t="s">
        <v>29</v>
      </c>
      <c r="O9" s="36" t="s">
        <v>29</v>
      </c>
      <c r="P9" s="37">
        <v>50</v>
      </c>
      <c r="Q9" s="36">
        <v>0.5</v>
      </c>
      <c r="R9" s="36">
        <v>0</v>
      </c>
      <c r="S9" s="36">
        <v>0.5</v>
      </c>
    </row>
    <row r="10" spans="1:19" x14ac:dyDescent="0.2">
      <c r="A10" s="36" t="s">
        <v>108</v>
      </c>
      <c r="B10" s="36" t="s">
        <v>247</v>
      </c>
      <c r="C10" s="36" t="s">
        <v>64</v>
      </c>
      <c r="D10" s="36"/>
      <c r="E10" s="36"/>
      <c r="F10" s="36"/>
      <c r="G10" s="36"/>
      <c r="H10" s="36">
        <v>1</v>
      </c>
      <c r="I10" s="36"/>
      <c r="J10" s="36">
        <v>1</v>
      </c>
      <c r="K10" s="36" t="s">
        <v>99</v>
      </c>
      <c r="L10" s="36">
        <v>0</v>
      </c>
      <c r="M10" s="36">
        <v>0</v>
      </c>
      <c r="N10" s="37" t="s">
        <v>29</v>
      </c>
      <c r="O10" s="36" t="s">
        <v>29</v>
      </c>
      <c r="P10" s="37">
        <v>100</v>
      </c>
      <c r="Q10" s="36">
        <v>0</v>
      </c>
      <c r="R10" s="36">
        <v>0</v>
      </c>
      <c r="S10" s="36">
        <v>1</v>
      </c>
    </row>
    <row r="11" spans="1:19" x14ac:dyDescent="0.2">
      <c r="A11" s="36" t="s">
        <v>61</v>
      </c>
      <c r="B11" s="36" t="s">
        <v>248</v>
      </c>
      <c r="C11" s="36" t="s">
        <v>54</v>
      </c>
      <c r="D11" s="36"/>
      <c r="E11" s="36"/>
      <c r="F11" s="36"/>
      <c r="G11" s="36"/>
      <c r="H11" s="36">
        <v>1</v>
      </c>
      <c r="I11" s="36"/>
      <c r="J11" s="36">
        <v>1</v>
      </c>
      <c r="K11" s="36" t="s">
        <v>99</v>
      </c>
      <c r="L11" s="36" t="s">
        <v>30</v>
      </c>
      <c r="M11" s="36" t="s">
        <v>28</v>
      </c>
      <c r="N11" s="37" t="s">
        <v>29</v>
      </c>
      <c r="O11" s="36" t="s">
        <v>29</v>
      </c>
      <c r="P11" s="37">
        <v>50</v>
      </c>
      <c r="Q11" s="36">
        <v>0.5</v>
      </c>
      <c r="R11" s="36">
        <v>0</v>
      </c>
      <c r="S11" s="36">
        <v>0.5</v>
      </c>
    </row>
    <row r="12" spans="1:19" x14ac:dyDescent="0.2">
      <c r="A12" s="36" t="s">
        <v>57</v>
      </c>
      <c r="B12" s="36" t="s">
        <v>249</v>
      </c>
      <c r="C12" s="36" t="s">
        <v>54</v>
      </c>
      <c r="D12" s="36">
        <v>1</v>
      </c>
      <c r="E12" s="36"/>
      <c r="F12" s="36"/>
      <c r="G12" s="36"/>
      <c r="H12" s="36"/>
      <c r="I12" s="36">
        <v>1</v>
      </c>
      <c r="J12" s="36">
        <v>2</v>
      </c>
      <c r="K12" s="36" t="s">
        <v>99</v>
      </c>
      <c r="L12" s="36" t="s">
        <v>30</v>
      </c>
      <c r="M12" s="36" t="s">
        <v>168</v>
      </c>
      <c r="N12" s="37" t="s">
        <v>29</v>
      </c>
      <c r="O12" s="36" t="s">
        <v>29</v>
      </c>
      <c r="P12" s="37">
        <v>80</v>
      </c>
      <c r="Q12" s="36">
        <v>0.4</v>
      </c>
      <c r="R12" s="36">
        <v>0</v>
      </c>
      <c r="S12" s="36">
        <v>1.6</v>
      </c>
    </row>
    <row r="13" spans="1:19" x14ac:dyDescent="0.2">
      <c r="A13" s="36" t="s">
        <v>82</v>
      </c>
      <c r="B13" s="36" t="s">
        <v>250</v>
      </c>
      <c r="C13" s="36" t="s">
        <v>64</v>
      </c>
      <c r="D13" s="36"/>
      <c r="E13" s="36"/>
      <c r="F13" s="36">
        <v>1</v>
      </c>
      <c r="G13" s="36"/>
      <c r="H13" s="36"/>
      <c r="I13" s="36"/>
      <c r="J13" s="36">
        <v>1</v>
      </c>
      <c r="K13" s="36" t="s">
        <v>99</v>
      </c>
      <c r="L13" s="36">
        <v>0</v>
      </c>
      <c r="M13" s="36">
        <v>0</v>
      </c>
      <c r="N13" s="37" t="s">
        <v>29</v>
      </c>
      <c r="O13" s="36" t="s">
        <v>29</v>
      </c>
      <c r="P13" s="37">
        <v>100</v>
      </c>
      <c r="Q13" s="36">
        <v>0</v>
      </c>
      <c r="R13" s="36">
        <v>0</v>
      </c>
      <c r="S13" s="36">
        <v>1</v>
      </c>
    </row>
    <row r="14" spans="1:19" x14ac:dyDescent="0.2">
      <c r="A14" s="36" t="s">
        <v>251</v>
      </c>
      <c r="B14" s="36" t="s">
        <v>252</v>
      </c>
      <c r="C14" s="36" t="s">
        <v>64</v>
      </c>
      <c r="D14" s="36"/>
      <c r="E14" s="36"/>
      <c r="F14" s="36"/>
      <c r="G14" s="36"/>
      <c r="H14" s="36"/>
      <c r="I14" s="36">
        <v>1</v>
      </c>
      <c r="J14" s="36">
        <v>1</v>
      </c>
      <c r="K14" s="36" t="s">
        <v>99</v>
      </c>
      <c r="L14" s="36">
        <v>0</v>
      </c>
      <c r="M14" s="36">
        <v>0</v>
      </c>
      <c r="N14" s="37" t="s">
        <v>29</v>
      </c>
      <c r="O14" s="36" t="s">
        <v>29</v>
      </c>
      <c r="P14" s="37">
        <v>100</v>
      </c>
      <c r="Q14" s="36">
        <v>0</v>
      </c>
      <c r="R14" s="36">
        <v>0</v>
      </c>
      <c r="S14" s="36">
        <v>1</v>
      </c>
    </row>
    <row r="15" spans="1:19" x14ac:dyDescent="0.2">
      <c r="A15" s="36" t="s">
        <v>253</v>
      </c>
      <c r="B15" s="36" t="s">
        <v>254</v>
      </c>
      <c r="C15" s="36" t="s">
        <v>64</v>
      </c>
      <c r="D15" s="36"/>
      <c r="E15" s="36"/>
      <c r="F15" s="36"/>
      <c r="G15" s="36"/>
      <c r="H15" s="36"/>
      <c r="I15" s="36">
        <v>1</v>
      </c>
      <c r="J15" s="36">
        <v>1</v>
      </c>
      <c r="K15" s="36" t="s">
        <v>99</v>
      </c>
      <c r="L15" s="36">
        <v>0</v>
      </c>
      <c r="M15" s="36">
        <v>0</v>
      </c>
      <c r="N15" s="37" t="s">
        <v>29</v>
      </c>
      <c r="O15" s="36" t="s">
        <v>29</v>
      </c>
      <c r="P15" s="37">
        <v>100</v>
      </c>
      <c r="Q15" s="36">
        <v>0</v>
      </c>
      <c r="R15" s="36">
        <v>0</v>
      </c>
      <c r="S15" s="36">
        <v>1</v>
      </c>
    </row>
    <row r="16" spans="1:19" x14ac:dyDescent="0.2">
      <c r="A16" s="36" t="s">
        <v>67</v>
      </c>
      <c r="B16" s="36" t="s">
        <v>255</v>
      </c>
      <c r="C16" s="36" t="s">
        <v>64</v>
      </c>
      <c r="D16" s="36"/>
      <c r="E16" s="36"/>
      <c r="F16" s="36"/>
      <c r="G16" s="36">
        <v>2</v>
      </c>
      <c r="H16" s="36"/>
      <c r="I16" s="36">
        <v>1</v>
      </c>
      <c r="J16" s="36">
        <v>3</v>
      </c>
      <c r="K16" s="36" t="s">
        <v>99</v>
      </c>
      <c r="L16" s="36">
        <v>0</v>
      </c>
      <c r="M16" s="36">
        <v>0</v>
      </c>
      <c r="N16" s="37" t="s">
        <v>29</v>
      </c>
      <c r="O16" s="36" t="s">
        <v>29</v>
      </c>
      <c r="P16" s="37">
        <v>100</v>
      </c>
      <c r="Q16" s="36">
        <v>0</v>
      </c>
      <c r="R16" s="36">
        <v>0</v>
      </c>
      <c r="S16" s="36">
        <v>3</v>
      </c>
    </row>
    <row r="17" spans="1:19" x14ac:dyDescent="0.2">
      <c r="A17" s="36" t="s">
        <v>55</v>
      </c>
      <c r="B17" s="36" t="s">
        <v>256</v>
      </c>
      <c r="C17" s="36" t="s">
        <v>54</v>
      </c>
      <c r="D17" s="36"/>
      <c r="E17" s="36"/>
      <c r="F17" s="36"/>
      <c r="G17" s="36"/>
      <c r="H17" s="36"/>
      <c r="I17" s="36">
        <v>1</v>
      </c>
      <c r="J17" s="36">
        <v>1</v>
      </c>
      <c r="K17" s="36" t="s">
        <v>99</v>
      </c>
      <c r="L17" s="36" t="s">
        <v>30</v>
      </c>
      <c r="M17" s="36" t="s">
        <v>28</v>
      </c>
      <c r="N17" s="37" t="s">
        <v>29</v>
      </c>
      <c r="O17" s="36" t="s">
        <v>29</v>
      </c>
      <c r="P17" s="37">
        <v>50</v>
      </c>
      <c r="Q17" s="36">
        <v>0.5</v>
      </c>
      <c r="R17" s="36">
        <v>0</v>
      </c>
      <c r="S17" s="36">
        <v>0.5</v>
      </c>
    </row>
    <row r="18" spans="1:19" x14ac:dyDescent="0.2">
      <c r="A18" s="36" t="s">
        <v>109</v>
      </c>
      <c r="B18" s="36" t="s">
        <v>257</v>
      </c>
      <c r="C18" s="36" t="s">
        <v>64</v>
      </c>
      <c r="D18" s="36"/>
      <c r="E18" s="36"/>
      <c r="F18" s="36"/>
      <c r="G18" s="36"/>
      <c r="H18" s="36"/>
      <c r="I18" s="36">
        <v>1</v>
      </c>
      <c r="J18" s="36">
        <v>1</v>
      </c>
      <c r="K18" s="36" t="s">
        <v>99</v>
      </c>
      <c r="L18" s="36">
        <v>0</v>
      </c>
      <c r="M18" s="36">
        <v>0</v>
      </c>
      <c r="N18" s="37" t="s">
        <v>29</v>
      </c>
      <c r="O18" s="36" t="s">
        <v>29</v>
      </c>
      <c r="P18" s="37">
        <v>100</v>
      </c>
      <c r="Q18" s="36">
        <v>0</v>
      </c>
      <c r="R18" s="36">
        <v>0</v>
      </c>
      <c r="S18" s="36">
        <v>1</v>
      </c>
    </row>
    <row r="19" spans="1:19" x14ac:dyDescent="0.2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5"/>
      <c r="O19" s="34"/>
      <c r="P19" s="35"/>
      <c r="Q19" s="34"/>
      <c r="R19" s="34"/>
      <c r="S19" s="34">
        <f>SUM(S2:S18)</f>
        <v>15.4</v>
      </c>
    </row>
  </sheetData>
  <pageMargins left="0.39370078740157483" right="0.39370078740157483" top="0.39370078740157483" bottom="0.3937007874015748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6343-97AF-4B66-9F61-F85771BE0CA7}">
  <dimension ref="A1:C37"/>
  <sheetViews>
    <sheetView workbookViewId="0">
      <selection activeCell="D1" sqref="D1:E1048576"/>
    </sheetView>
  </sheetViews>
  <sheetFormatPr baseColWidth="10" defaultRowHeight="15" x14ac:dyDescent="0.25"/>
  <cols>
    <col min="1" max="1" width="22" customWidth="1"/>
    <col min="2" max="2" width="65.42578125" customWidth="1"/>
    <col min="3" max="3" width="14.85546875" customWidth="1"/>
  </cols>
  <sheetData>
    <row r="1" spans="1:3" x14ac:dyDescent="0.25">
      <c r="A1" s="53" t="s">
        <v>86</v>
      </c>
      <c r="B1" s="53" t="s">
        <v>87</v>
      </c>
      <c r="C1" s="53" t="s">
        <v>88</v>
      </c>
    </row>
    <row r="2" spans="1:3" x14ac:dyDescent="0.25">
      <c r="A2" s="27" t="s">
        <v>1</v>
      </c>
      <c r="B2" s="27" t="s">
        <v>111</v>
      </c>
      <c r="C2" s="28">
        <v>1428.4</v>
      </c>
    </row>
    <row r="3" spans="1:3" x14ac:dyDescent="0.25">
      <c r="A3" s="29" t="s">
        <v>65</v>
      </c>
      <c r="B3" s="29" t="s">
        <v>113</v>
      </c>
      <c r="C3" s="30">
        <v>360.8</v>
      </c>
    </row>
    <row r="4" spans="1:3" x14ac:dyDescent="0.25">
      <c r="A4" s="27" t="s">
        <v>65</v>
      </c>
      <c r="B4" s="27" t="s">
        <v>114</v>
      </c>
      <c r="C4" s="28">
        <v>72.16</v>
      </c>
    </row>
    <row r="5" spans="1:3" x14ac:dyDescent="0.25">
      <c r="A5" s="29" t="s">
        <v>65</v>
      </c>
      <c r="B5" s="29" t="s">
        <v>115</v>
      </c>
      <c r="C5" s="30">
        <v>432.96</v>
      </c>
    </row>
    <row r="6" spans="1:3" x14ac:dyDescent="0.25">
      <c r="A6" s="27" t="s">
        <v>65</v>
      </c>
      <c r="B6" s="27" t="s">
        <v>116</v>
      </c>
      <c r="C6" s="28">
        <v>432.96</v>
      </c>
    </row>
    <row r="7" spans="1:3" x14ac:dyDescent="0.25">
      <c r="A7" s="29" t="s">
        <v>65</v>
      </c>
      <c r="B7" s="29" t="s">
        <v>117</v>
      </c>
      <c r="C7" s="30">
        <v>577.28</v>
      </c>
    </row>
    <row r="8" spans="1:3" x14ac:dyDescent="0.25">
      <c r="A8" s="27" t="s">
        <v>65</v>
      </c>
      <c r="B8" s="27" t="s">
        <v>118</v>
      </c>
      <c r="C8" s="28">
        <v>288.64</v>
      </c>
    </row>
    <row r="9" spans="1:3" x14ac:dyDescent="0.25">
      <c r="A9" s="29" t="s">
        <v>83</v>
      </c>
      <c r="B9" s="29" t="s">
        <v>119</v>
      </c>
      <c r="C9" s="30">
        <v>880</v>
      </c>
    </row>
    <row r="10" spans="1:3" x14ac:dyDescent="0.25">
      <c r="A10" s="27" t="s">
        <v>83</v>
      </c>
      <c r="B10" s="27" t="s">
        <v>120</v>
      </c>
      <c r="C10" s="28">
        <v>880</v>
      </c>
    </row>
    <row r="11" spans="1:3" x14ac:dyDescent="0.25">
      <c r="A11" s="29" t="s">
        <v>84</v>
      </c>
      <c r="B11" s="29" t="s">
        <v>121</v>
      </c>
      <c r="C11" s="30">
        <v>7320.02</v>
      </c>
    </row>
    <row r="12" spans="1:3" x14ac:dyDescent="0.25">
      <c r="A12" s="27" t="s">
        <v>89</v>
      </c>
      <c r="B12" s="27" t="s">
        <v>122</v>
      </c>
      <c r="C12" s="28">
        <v>70.400000000000006</v>
      </c>
    </row>
    <row r="13" spans="1:3" x14ac:dyDescent="0.25">
      <c r="A13" s="29" t="s">
        <v>89</v>
      </c>
      <c r="B13" s="29" t="s">
        <v>123</v>
      </c>
      <c r="C13" s="30">
        <v>70.400000000000006</v>
      </c>
    </row>
    <row r="14" spans="1:3" x14ac:dyDescent="0.25">
      <c r="A14" s="27" t="s">
        <v>89</v>
      </c>
      <c r="B14" s="27" t="s">
        <v>124</v>
      </c>
      <c r="C14" s="28">
        <v>572</v>
      </c>
    </row>
    <row r="15" spans="1:3" x14ac:dyDescent="0.25">
      <c r="A15" s="29" t="s">
        <v>125</v>
      </c>
      <c r="B15" s="29" t="s">
        <v>126</v>
      </c>
      <c r="C15" s="30">
        <v>440</v>
      </c>
    </row>
    <row r="16" spans="1:3" x14ac:dyDescent="0.25">
      <c r="A16" s="27" t="s">
        <v>127</v>
      </c>
      <c r="B16" s="27" t="s">
        <v>128</v>
      </c>
      <c r="C16" s="28">
        <v>8981.2800000000007</v>
      </c>
    </row>
    <row r="17" spans="1:3" x14ac:dyDescent="0.25">
      <c r="A17" s="29" t="s">
        <v>127</v>
      </c>
      <c r="B17" s="29" t="s">
        <v>129</v>
      </c>
      <c r="C17" s="30">
        <v>6985.44</v>
      </c>
    </row>
    <row r="18" spans="1:3" x14ac:dyDescent="0.25">
      <c r="A18" s="27" t="s">
        <v>127</v>
      </c>
      <c r="B18" s="27" t="s">
        <v>130</v>
      </c>
      <c r="C18" s="28">
        <v>6985.44</v>
      </c>
    </row>
    <row r="19" spans="1:3" x14ac:dyDescent="0.25">
      <c r="A19" s="29" t="s">
        <v>127</v>
      </c>
      <c r="B19" s="29" t="s">
        <v>131</v>
      </c>
      <c r="C19" s="30">
        <v>6985.44</v>
      </c>
    </row>
    <row r="20" spans="1:3" x14ac:dyDescent="0.25">
      <c r="A20" s="27" t="s">
        <v>132</v>
      </c>
      <c r="B20" s="27" t="s">
        <v>133</v>
      </c>
      <c r="C20" s="28">
        <v>176</v>
      </c>
    </row>
    <row r="21" spans="1:3" x14ac:dyDescent="0.25">
      <c r="A21" s="27" t="s">
        <v>134</v>
      </c>
      <c r="B21" s="27" t="s">
        <v>135</v>
      </c>
      <c r="C21" s="28">
        <v>3975.4</v>
      </c>
    </row>
    <row r="22" spans="1:3" x14ac:dyDescent="0.25">
      <c r="A22" s="27" t="s">
        <v>134</v>
      </c>
      <c r="B22" s="27" t="s">
        <v>136</v>
      </c>
      <c r="C22" s="28">
        <v>3975.4</v>
      </c>
    </row>
    <row r="23" spans="1:3" x14ac:dyDescent="0.25">
      <c r="A23" s="29" t="s">
        <v>137</v>
      </c>
      <c r="B23" s="29" t="s">
        <v>138</v>
      </c>
      <c r="C23" s="30">
        <v>1760</v>
      </c>
    </row>
    <row r="24" spans="1:3" x14ac:dyDescent="0.25">
      <c r="A24" s="27" t="s">
        <v>139</v>
      </c>
      <c r="B24" s="27" t="s">
        <v>140</v>
      </c>
      <c r="C24" s="28">
        <v>6160</v>
      </c>
    </row>
    <row r="25" spans="1:3" x14ac:dyDescent="0.25">
      <c r="A25" s="29" t="s">
        <v>141</v>
      </c>
      <c r="B25" s="29" t="s">
        <v>142</v>
      </c>
      <c r="C25" s="30">
        <v>235.84</v>
      </c>
    </row>
    <row r="26" spans="1:3" x14ac:dyDescent="0.25">
      <c r="A26" s="27" t="s">
        <v>85</v>
      </c>
      <c r="B26" s="27" t="s">
        <v>143</v>
      </c>
      <c r="C26" s="28">
        <v>18663.62</v>
      </c>
    </row>
    <row r="27" spans="1:3" x14ac:dyDescent="0.25">
      <c r="A27" s="29" t="s">
        <v>90</v>
      </c>
      <c r="B27" s="29" t="s">
        <v>144</v>
      </c>
      <c r="C27" s="30">
        <v>30000</v>
      </c>
    </row>
    <row r="28" spans="1:3" x14ac:dyDescent="0.25">
      <c r="A28" s="27" t="s">
        <v>90</v>
      </c>
      <c r="B28" s="27" t="s">
        <v>145</v>
      </c>
      <c r="C28" s="28">
        <v>-1466.66</v>
      </c>
    </row>
    <row r="29" spans="1:3" x14ac:dyDescent="0.25">
      <c r="A29" s="29" t="s">
        <v>91</v>
      </c>
      <c r="B29" s="29" t="s">
        <v>146</v>
      </c>
      <c r="C29" s="30">
        <v>-433.89</v>
      </c>
    </row>
    <row r="30" spans="1:3" x14ac:dyDescent="0.25">
      <c r="A30" s="27" t="s">
        <v>92</v>
      </c>
      <c r="B30" s="27" t="s">
        <v>147</v>
      </c>
      <c r="C30" s="28">
        <v>61250</v>
      </c>
    </row>
    <row r="31" spans="1:3" x14ac:dyDescent="0.25">
      <c r="A31" s="55" t="s">
        <v>148</v>
      </c>
      <c r="B31" s="55" t="s">
        <v>149</v>
      </c>
      <c r="C31" s="56">
        <v>30000</v>
      </c>
    </row>
    <row r="32" spans="1:3" x14ac:dyDescent="0.25">
      <c r="A32" s="55" t="s">
        <v>0</v>
      </c>
      <c r="B32" s="55"/>
      <c r="C32" s="57">
        <f>SUBTOTAL(109,Tabla2[Imp.cob.aplic.])</f>
        <v>198059.33000000002</v>
      </c>
    </row>
    <row r="33" spans="2:3" x14ac:dyDescent="0.25">
      <c r="C33" s="42"/>
    </row>
    <row r="37" spans="2:3" x14ac:dyDescent="0.25">
      <c r="B37" s="47"/>
      <c r="C37" s="48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D5352-659C-4FDF-B0F7-FA960D8B059C}">
  <dimension ref="A1:C38"/>
  <sheetViews>
    <sheetView topLeftCell="A19" workbookViewId="0">
      <selection activeCell="I51" sqref="I51"/>
    </sheetView>
  </sheetViews>
  <sheetFormatPr baseColWidth="10" defaultRowHeight="15" x14ac:dyDescent="0.25"/>
  <cols>
    <col min="1" max="1" width="28.7109375" customWidth="1"/>
    <col min="2" max="2" width="35" customWidth="1"/>
    <col min="3" max="3" width="21.140625" customWidth="1"/>
  </cols>
  <sheetData>
    <row r="1" spans="1:3" x14ac:dyDescent="0.25">
      <c r="A1" s="58" t="s">
        <v>176</v>
      </c>
      <c r="B1" s="58" t="s">
        <v>87</v>
      </c>
      <c r="C1" s="59" t="s">
        <v>177</v>
      </c>
    </row>
    <row r="2" spans="1:3" x14ac:dyDescent="0.25">
      <c r="A2" s="43" t="s">
        <v>1</v>
      </c>
      <c r="B2" s="43" t="s">
        <v>179</v>
      </c>
      <c r="C2" s="44">
        <v>1383.77</v>
      </c>
    </row>
    <row r="3" spans="1:3" x14ac:dyDescent="0.25">
      <c r="A3" s="45" t="s">
        <v>65</v>
      </c>
      <c r="B3" s="45" t="s">
        <v>180</v>
      </c>
      <c r="C3" s="46">
        <v>216.48</v>
      </c>
    </row>
    <row r="4" spans="1:3" x14ac:dyDescent="0.25">
      <c r="A4" s="43" t="s">
        <v>65</v>
      </c>
      <c r="B4" s="43" t="s">
        <v>181</v>
      </c>
      <c r="C4" s="44">
        <v>432.96</v>
      </c>
    </row>
    <row r="5" spans="1:3" x14ac:dyDescent="0.25">
      <c r="A5" s="45" t="s">
        <v>65</v>
      </c>
      <c r="B5" s="45" t="s">
        <v>182</v>
      </c>
      <c r="C5" s="46">
        <v>865.92</v>
      </c>
    </row>
    <row r="6" spans="1:3" x14ac:dyDescent="0.25">
      <c r="A6" s="43" t="s">
        <v>65</v>
      </c>
      <c r="B6" s="43" t="s">
        <v>183</v>
      </c>
      <c r="C6" s="44">
        <v>1371.04</v>
      </c>
    </row>
    <row r="7" spans="1:3" x14ac:dyDescent="0.25">
      <c r="A7" s="45" t="s">
        <v>65</v>
      </c>
      <c r="B7" s="45" t="s">
        <v>184</v>
      </c>
      <c r="C7" s="46">
        <v>432.96</v>
      </c>
    </row>
    <row r="8" spans="1:3" x14ac:dyDescent="0.25">
      <c r="A8" s="43" t="s">
        <v>65</v>
      </c>
      <c r="B8" s="43" t="s">
        <v>185</v>
      </c>
      <c r="C8" s="44">
        <v>432.96</v>
      </c>
    </row>
    <row r="9" spans="1:3" x14ac:dyDescent="0.25">
      <c r="A9" s="45" t="s">
        <v>65</v>
      </c>
      <c r="B9" s="45" t="s">
        <v>186</v>
      </c>
      <c r="C9" s="46">
        <v>649.44000000000005</v>
      </c>
    </row>
    <row r="10" spans="1:3" x14ac:dyDescent="0.25">
      <c r="A10" s="43" t="s">
        <v>65</v>
      </c>
      <c r="B10" s="43" t="s">
        <v>187</v>
      </c>
      <c r="C10" s="44">
        <v>288.64</v>
      </c>
    </row>
    <row r="11" spans="1:3" x14ac:dyDescent="0.25">
      <c r="A11" s="45" t="s">
        <v>65</v>
      </c>
      <c r="B11" s="45" t="s">
        <v>188</v>
      </c>
      <c r="C11" s="46">
        <v>432.96</v>
      </c>
    </row>
    <row r="12" spans="1:3" x14ac:dyDescent="0.25">
      <c r="A12" s="43" t="s">
        <v>65</v>
      </c>
      <c r="B12" s="43" t="s">
        <v>189</v>
      </c>
      <c r="C12" s="44">
        <v>649.44000000000005</v>
      </c>
    </row>
    <row r="13" spans="1:3" x14ac:dyDescent="0.25">
      <c r="A13" s="45" t="s">
        <v>65</v>
      </c>
      <c r="B13" s="45" t="s">
        <v>190</v>
      </c>
      <c r="C13" s="46">
        <v>577.28</v>
      </c>
    </row>
    <row r="14" spans="1:3" x14ac:dyDescent="0.25">
      <c r="A14" s="43" t="s">
        <v>89</v>
      </c>
      <c r="B14" s="43" t="s">
        <v>191</v>
      </c>
      <c r="C14" s="44">
        <v>484</v>
      </c>
    </row>
    <row r="15" spans="1:3" x14ac:dyDescent="0.25">
      <c r="A15" s="45" t="s">
        <v>89</v>
      </c>
      <c r="B15" s="45" t="s">
        <v>192</v>
      </c>
      <c r="C15" s="46">
        <v>70.400000000000006</v>
      </c>
    </row>
    <row r="16" spans="1:3" x14ac:dyDescent="0.25">
      <c r="A16" s="43" t="s">
        <v>89</v>
      </c>
      <c r="B16" s="43" t="s">
        <v>193</v>
      </c>
      <c r="C16" s="44">
        <v>70.400000000000006</v>
      </c>
    </row>
    <row r="17" spans="1:3" x14ac:dyDescent="0.25">
      <c r="A17" s="45" t="s">
        <v>89</v>
      </c>
      <c r="B17" s="45" t="s">
        <v>194</v>
      </c>
      <c r="C17" s="46">
        <v>176</v>
      </c>
    </row>
    <row r="18" spans="1:3" x14ac:dyDescent="0.25">
      <c r="A18" s="43" t="s">
        <v>89</v>
      </c>
      <c r="B18" s="43" t="s">
        <v>195</v>
      </c>
      <c r="C18" s="44">
        <v>176</v>
      </c>
    </row>
    <row r="19" spans="1:3" x14ac:dyDescent="0.25">
      <c r="A19" s="45" t="s">
        <v>89</v>
      </c>
      <c r="B19" s="45" t="s">
        <v>196</v>
      </c>
      <c r="C19" s="46">
        <v>176</v>
      </c>
    </row>
    <row r="20" spans="1:3" x14ac:dyDescent="0.25">
      <c r="A20" s="43" t="s">
        <v>197</v>
      </c>
      <c r="B20" s="43" t="s">
        <v>198</v>
      </c>
      <c r="C20" s="44">
        <v>2640</v>
      </c>
    </row>
    <row r="21" spans="1:3" x14ac:dyDescent="0.25">
      <c r="A21" s="45" t="s">
        <v>199</v>
      </c>
      <c r="B21" s="45" t="s">
        <v>200</v>
      </c>
      <c r="C21" s="46">
        <v>528</v>
      </c>
    </row>
    <row r="22" spans="1:3" x14ac:dyDescent="0.25">
      <c r="A22" s="43" t="s">
        <v>201</v>
      </c>
      <c r="B22" s="43" t="s">
        <v>202</v>
      </c>
      <c r="C22" s="44">
        <v>1760</v>
      </c>
    </row>
    <row r="23" spans="1:3" x14ac:dyDescent="0.25">
      <c r="A23" s="45" t="s">
        <v>203</v>
      </c>
      <c r="B23" s="45" t="s">
        <v>204</v>
      </c>
      <c r="C23" s="46">
        <v>308</v>
      </c>
    </row>
    <row r="24" spans="1:3" x14ac:dyDescent="0.25">
      <c r="A24" s="43" t="s">
        <v>205</v>
      </c>
      <c r="B24" s="43" t="s">
        <v>206</v>
      </c>
      <c r="C24" s="44">
        <v>238.48</v>
      </c>
    </row>
    <row r="25" spans="1:3" x14ac:dyDescent="0.25">
      <c r="A25" s="45" t="s">
        <v>207</v>
      </c>
      <c r="B25" s="45" t="s">
        <v>208</v>
      </c>
      <c r="C25" s="46">
        <v>1760</v>
      </c>
    </row>
    <row r="26" spans="1:3" x14ac:dyDescent="0.25">
      <c r="A26" s="43" t="s">
        <v>209</v>
      </c>
      <c r="B26" s="43" t="s">
        <v>210</v>
      </c>
      <c r="C26" s="44">
        <v>3520</v>
      </c>
    </row>
    <row r="27" spans="1:3" x14ac:dyDescent="0.25">
      <c r="A27" s="45" t="s">
        <v>211</v>
      </c>
      <c r="B27" s="45" t="s">
        <v>212</v>
      </c>
      <c r="C27" s="46">
        <v>176</v>
      </c>
    </row>
    <row r="28" spans="1:3" x14ac:dyDescent="0.25">
      <c r="A28" s="43" t="s">
        <v>211</v>
      </c>
      <c r="B28" s="43" t="s">
        <v>213</v>
      </c>
      <c r="C28" s="44">
        <v>176</v>
      </c>
    </row>
    <row r="29" spans="1:3" x14ac:dyDescent="0.25">
      <c r="A29" s="45" t="s">
        <v>211</v>
      </c>
      <c r="B29" s="45" t="s">
        <v>214</v>
      </c>
      <c r="C29" s="46">
        <v>176</v>
      </c>
    </row>
    <row r="30" spans="1:3" x14ac:dyDescent="0.25">
      <c r="A30" s="43" t="s">
        <v>211</v>
      </c>
      <c r="B30" s="43" t="s">
        <v>215</v>
      </c>
      <c r="C30" s="44">
        <v>176</v>
      </c>
    </row>
    <row r="31" spans="1:3" x14ac:dyDescent="0.25">
      <c r="A31" s="45" t="s">
        <v>90</v>
      </c>
      <c r="B31" s="45" t="s">
        <v>216</v>
      </c>
      <c r="C31" s="46">
        <v>30000</v>
      </c>
    </row>
    <row r="32" spans="1:3" x14ac:dyDescent="0.25">
      <c r="A32" s="43" t="s">
        <v>148</v>
      </c>
      <c r="B32" s="43" t="s">
        <v>217</v>
      </c>
      <c r="C32" s="44">
        <v>30000</v>
      </c>
    </row>
    <row r="33" spans="1:3" x14ac:dyDescent="0.25">
      <c r="A33" s="60" t="s">
        <v>148</v>
      </c>
      <c r="B33" s="60" t="s">
        <v>218</v>
      </c>
      <c r="C33" s="61">
        <v>-307.57</v>
      </c>
    </row>
    <row r="34" spans="1:3" x14ac:dyDescent="0.25">
      <c r="A34" s="62" t="s">
        <v>0</v>
      </c>
      <c r="B34" s="62"/>
      <c r="C34" s="63">
        <f>SUBTOTAL(109,Tabla3[Imp. aplic.])</f>
        <v>80037.56</v>
      </c>
    </row>
    <row r="38" spans="1:3" x14ac:dyDescent="0.25">
      <c r="B38" s="81"/>
      <c r="C38" s="82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6FAEF-B7D7-4227-8B6A-EAC11D251403}">
  <dimension ref="A1:C50"/>
  <sheetViews>
    <sheetView topLeftCell="A34" workbookViewId="0">
      <selection activeCell="C64" sqref="C64"/>
    </sheetView>
  </sheetViews>
  <sheetFormatPr baseColWidth="10" defaultRowHeight="15" x14ac:dyDescent="0.25"/>
  <cols>
    <col min="1" max="1" width="21.85546875" customWidth="1"/>
    <col min="2" max="2" width="41.140625" customWidth="1"/>
    <col min="3" max="3" width="28.28515625" customWidth="1"/>
  </cols>
  <sheetData>
    <row r="1" spans="1:3" x14ac:dyDescent="0.25">
      <c r="A1" s="70" t="s">
        <v>176</v>
      </c>
      <c r="B1" s="71" t="s">
        <v>87</v>
      </c>
      <c r="C1" s="71" t="s">
        <v>177</v>
      </c>
    </row>
    <row r="2" spans="1:3" x14ac:dyDescent="0.25">
      <c r="A2" s="72" t="s">
        <v>1</v>
      </c>
      <c r="B2" s="73" t="s">
        <v>258</v>
      </c>
      <c r="C2" s="74">
        <v>1525.07</v>
      </c>
    </row>
    <row r="3" spans="1:3" x14ac:dyDescent="0.25">
      <c r="A3" s="75" t="s">
        <v>65</v>
      </c>
      <c r="B3" s="76" t="s">
        <v>259</v>
      </c>
      <c r="C3" s="77">
        <v>432.96</v>
      </c>
    </row>
    <row r="4" spans="1:3" x14ac:dyDescent="0.25">
      <c r="A4" s="72" t="s">
        <v>65</v>
      </c>
      <c r="B4" s="73" t="s">
        <v>260</v>
      </c>
      <c r="C4" s="74">
        <v>216.48</v>
      </c>
    </row>
    <row r="5" spans="1:3" x14ac:dyDescent="0.25">
      <c r="A5" s="75" t="s">
        <v>65</v>
      </c>
      <c r="B5" s="76" t="s">
        <v>261</v>
      </c>
      <c r="C5" s="77">
        <v>360.8</v>
      </c>
    </row>
    <row r="6" spans="1:3" x14ac:dyDescent="0.25">
      <c r="A6" s="72" t="s">
        <v>65</v>
      </c>
      <c r="B6" s="73" t="s">
        <v>262</v>
      </c>
      <c r="C6" s="74">
        <v>360.8</v>
      </c>
    </row>
    <row r="7" spans="1:3" x14ac:dyDescent="0.25">
      <c r="A7" s="75" t="s">
        <v>89</v>
      </c>
      <c r="B7" s="76" t="s">
        <v>263</v>
      </c>
      <c r="C7" s="77">
        <v>105.6</v>
      </c>
    </row>
    <row r="8" spans="1:3" x14ac:dyDescent="0.25">
      <c r="A8" s="72" t="s">
        <v>89</v>
      </c>
      <c r="B8" s="73" t="s">
        <v>264</v>
      </c>
      <c r="C8" s="74">
        <v>105.6</v>
      </c>
    </row>
    <row r="9" spans="1:3" x14ac:dyDescent="0.25">
      <c r="A9" s="75" t="s">
        <v>89</v>
      </c>
      <c r="B9" s="76" t="s">
        <v>265</v>
      </c>
      <c r="C9" s="77">
        <v>96.8</v>
      </c>
    </row>
    <row r="10" spans="1:3" x14ac:dyDescent="0.25">
      <c r="A10" s="72" t="s">
        <v>89</v>
      </c>
      <c r="B10" s="73" t="s">
        <v>266</v>
      </c>
      <c r="C10" s="74">
        <v>440</v>
      </c>
    </row>
    <row r="11" spans="1:3" x14ac:dyDescent="0.25">
      <c r="A11" s="75" t="s">
        <v>207</v>
      </c>
      <c r="B11" s="76" t="s">
        <v>267</v>
      </c>
      <c r="C11" s="77">
        <v>3520</v>
      </c>
    </row>
    <row r="12" spans="1:3" x14ac:dyDescent="0.25">
      <c r="A12" s="72" t="s">
        <v>268</v>
      </c>
      <c r="B12" s="73" t="s">
        <v>269</v>
      </c>
      <c r="C12" s="74">
        <v>3975.4</v>
      </c>
    </row>
    <row r="13" spans="1:3" x14ac:dyDescent="0.25">
      <c r="A13" s="75" t="s">
        <v>268</v>
      </c>
      <c r="B13" s="76" t="s">
        <v>270</v>
      </c>
      <c r="C13" s="77">
        <v>3975.4</v>
      </c>
    </row>
    <row r="14" spans="1:3" x14ac:dyDescent="0.25">
      <c r="A14" s="72" t="s">
        <v>271</v>
      </c>
      <c r="B14" s="73" t="s">
        <v>272</v>
      </c>
      <c r="C14" s="74">
        <v>633.6</v>
      </c>
    </row>
    <row r="15" spans="1:3" x14ac:dyDescent="0.25">
      <c r="A15" s="75" t="s">
        <v>271</v>
      </c>
      <c r="B15" s="76" t="s">
        <v>273</v>
      </c>
      <c r="C15" s="77">
        <v>176</v>
      </c>
    </row>
    <row r="16" spans="1:3" x14ac:dyDescent="0.25">
      <c r="A16" s="72" t="s">
        <v>271</v>
      </c>
      <c r="B16" s="73" t="s">
        <v>274</v>
      </c>
      <c r="C16" s="74">
        <v>70.400000000000006</v>
      </c>
    </row>
    <row r="17" spans="1:3" x14ac:dyDescent="0.25">
      <c r="A17" s="75" t="s">
        <v>271</v>
      </c>
      <c r="B17" s="76" t="s">
        <v>275</v>
      </c>
      <c r="C17" s="77">
        <v>70.400000000000006</v>
      </c>
    </row>
    <row r="18" spans="1:3" x14ac:dyDescent="0.25">
      <c r="A18" s="72" t="s">
        <v>271</v>
      </c>
      <c r="B18" s="73" t="s">
        <v>276</v>
      </c>
      <c r="C18" s="74">
        <v>44</v>
      </c>
    </row>
    <row r="19" spans="1:3" x14ac:dyDescent="0.25">
      <c r="A19" s="75" t="s">
        <v>271</v>
      </c>
      <c r="B19" s="76" t="s">
        <v>277</v>
      </c>
      <c r="C19" s="77">
        <v>70.400000000000006</v>
      </c>
    </row>
    <row r="20" spans="1:3" x14ac:dyDescent="0.25">
      <c r="A20" s="72" t="s">
        <v>271</v>
      </c>
      <c r="B20" s="73" t="s">
        <v>278</v>
      </c>
      <c r="C20" s="74">
        <v>176</v>
      </c>
    </row>
    <row r="21" spans="1:3" x14ac:dyDescent="0.25">
      <c r="A21" s="75" t="s">
        <v>271</v>
      </c>
      <c r="B21" s="76" t="s">
        <v>279</v>
      </c>
      <c r="C21" s="77">
        <v>176</v>
      </c>
    </row>
    <row r="22" spans="1:3" x14ac:dyDescent="0.25">
      <c r="A22" s="72" t="s">
        <v>271</v>
      </c>
      <c r="B22" s="73" t="s">
        <v>280</v>
      </c>
      <c r="C22" s="74">
        <v>176</v>
      </c>
    </row>
    <row r="23" spans="1:3" x14ac:dyDescent="0.25">
      <c r="A23" s="75" t="s">
        <v>271</v>
      </c>
      <c r="B23" s="76" t="s">
        <v>281</v>
      </c>
      <c r="C23" s="77">
        <v>176</v>
      </c>
    </row>
    <row r="24" spans="1:3" x14ac:dyDescent="0.25">
      <c r="A24" s="72" t="s">
        <v>271</v>
      </c>
      <c r="B24" s="73" t="s">
        <v>282</v>
      </c>
      <c r="C24" s="74">
        <v>176</v>
      </c>
    </row>
    <row r="25" spans="1:3" x14ac:dyDescent="0.25">
      <c r="A25" s="75" t="s">
        <v>271</v>
      </c>
      <c r="B25" s="76" t="s">
        <v>283</v>
      </c>
      <c r="C25" s="77">
        <v>70.400000000000006</v>
      </c>
    </row>
    <row r="26" spans="1:3" x14ac:dyDescent="0.25">
      <c r="A26" s="72" t="s">
        <v>271</v>
      </c>
      <c r="B26" s="73" t="s">
        <v>284</v>
      </c>
      <c r="C26" s="74">
        <v>176</v>
      </c>
    </row>
    <row r="27" spans="1:3" x14ac:dyDescent="0.25">
      <c r="A27" s="75" t="s">
        <v>271</v>
      </c>
      <c r="B27" s="76" t="s">
        <v>285</v>
      </c>
      <c r="C27" s="77">
        <v>176</v>
      </c>
    </row>
    <row r="28" spans="1:3" x14ac:dyDescent="0.25">
      <c r="A28" s="72" t="s">
        <v>271</v>
      </c>
      <c r="B28" s="73" t="s">
        <v>286</v>
      </c>
      <c r="C28" s="74">
        <v>176</v>
      </c>
    </row>
    <row r="29" spans="1:3" x14ac:dyDescent="0.25">
      <c r="A29" s="75" t="s">
        <v>287</v>
      </c>
      <c r="B29" s="76" t="s">
        <v>288</v>
      </c>
      <c r="C29" s="77">
        <v>2904</v>
      </c>
    </row>
    <row r="30" spans="1:3" x14ac:dyDescent="0.25">
      <c r="A30" s="72" t="s">
        <v>289</v>
      </c>
      <c r="B30" s="73" t="s">
        <v>290</v>
      </c>
      <c r="C30" s="74">
        <v>220</v>
      </c>
    </row>
    <row r="31" spans="1:3" x14ac:dyDescent="0.25">
      <c r="A31" s="75" t="s">
        <v>289</v>
      </c>
      <c r="B31" s="76" t="s">
        <v>291</v>
      </c>
      <c r="C31" s="77">
        <v>220</v>
      </c>
    </row>
    <row r="32" spans="1:3" x14ac:dyDescent="0.25">
      <c r="A32" s="72" t="s">
        <v>292</v>
      </c>
      <c r="B32" s="73" t="s">
        <v>293</v>
      </c>
      <c r="C32" s="74">
        <v>5280</v>
      </c>
    </row>
    <row r="33" spans="1:3" x14ac:dyDescent="0.25">
      <c r="A33" s="75" t="s">
        <v>294</v>
      </c>
      <c r="B33" s="76" t="s">
        <v>295</v>
      </c>
      <c r="C33" s="77">
        <v>721.6</v>
      </c>
    </row>
    <row r="34" spans="1:3" x14ac:dyDescent="0.25">
      <c r="A34" s="72" t="s">
        <v>294</v>
      </c>
      <c r="B34" s="73" t="s">
        <v>296</v>
      </c>
      <c r="C34" s="74">
        <v>216.48</v>
      </c>
    </row>
    <row r="35" spans="1:3" x14ac:dyDescent="0.25">
      <c r="A35" s="75" t="s">
        <v>294</v>
      </c>
      <c r="B35" s="76" t="s">
        <v>297</v>
      </c>
      <c r="C35" s="77">
        <v>216.48</v>
      </c>
    </row>
    <row r="36" spans="1:3" x14ac:dyDescent="0.25">
      <c r="A36" s="72" t="s">
        <v>298</v>
      </c>
      <c r="B36" s="73" t="s">
        <v>299</v>
      </c>
      <c r="C36" s="74">
        <v>660</v>
      </c>
    </row>
    <row r="37" spans="1:3" x14ac:dyDescent="0.25">
      <c r="A37" s="75" t="s">
        <v>300</v>
      </c>
      <c r="B37" s="76" t="s">
        <v>301</v>
      </c>
      <c r="C37" s="77">
        <v>528</v>
      </c>
    </row>
    <row r="38" spans="1:3" x14ac:dyDescent="0.25">
      <c r="A38" s="72" t="s">
        <v>92</v>
      </c>
      <c r="B38" s="73" t="s">
        <v>302</v>
      </c>
      <c r="C38" s="74">
        <v>-731.41</v>
      </c>
    </row>
    <row r="39" spans="1:3" x14ac:dyDescent="0.25">
      <c r="A39" s="75" t="s">
        <v>148</v>
      </c>
      <c r="B39" s="76" t="s">
        <v>303</v>
      </c>
      <c r="C39" s="77">
        <v>30000</v>
      </c>
    </row>
    <row r="40" spans="1:3" x14ac:dyDescent="0.25">
      <c r="A40" s="72" t="s">
        <v>148</v>
      </c>
      <c r="B40" s="73" t="s">
        <v>304</v>
      </c>
      <c r="C40" s="74">
        <v>-143.86000000000001</v>
      </c>
    </row>
    <row r="41" spans="1:3" x14ac:dyDescent="0.25">
      <c r="A41" s="75" t="s">
        <v>305</v>
      </c>
      <c r="B41" s="76" t="s">
        <v>306</v>
      </c>
      <c r="C41" s="77">
        <v>3000</v>
      </c>
    </row>
    <row r="42" spans="1:3" x14ac:dyDescent="0.25">
      <c r="A42" s="72" t="s">
        <v>307</v>
      </c>
      <c r="B42" s="73" t="s">
        <v>306</v>
      </c>
      <c r="C42" s="74">
        <v>3000</v>
      </c>
    </row>
    <row r="43" spans="1:3" x14ac:dyDescent="0.25">
      <c r="A43" s="75" t="s">
        <v>308</v>
      </c>
      <c r="B43" s="76" t="s">
        <v>306</v>
      </c>
      <c r="C43" s="77">
        <v>1800</v>
      </c>
    </row>
    <row r="44" spans="1:3" x14ac:dyDescent="0.25">
      <c r="A44" s="72" t="s">
        <v>309</v>
      </c>
      <c r="B44" s="73" t="s">
        <v>310</v>
      </c>
      <c r="C44" s="74">
        <v>5000</v>
      </c>
    </row>
    <row r="45" spans="1:3" ht="15.75" thickBot="1" x14ac:dyDescent="0.3">
      <c r="A45" s="75" t="s">
        <v>311</v>
      </c>
      <c r="B45" s="76" t="s">
        <v>312</v>
      </c>
      <c r="C45" s="77">
        <v>38450</v>
      </c>
    </row>
    <row r="46" spans="1:3" ht="15.75" thickTop="1" x14ac:dyDescent="0.25">
      <c r="A46" s="78" t="s">
        <v>0</v>
      </c>
      <c r="B46" s="79"/>
      <c r="C46" s="80">
        <v>108999.4</v>
      </c>
    </row>
    <row r="50" spans="2:3" x14ac:dyDescent="0.25">
      <c r="B50" s="49" t="s">
        <v>313</v>
      </c>
      <c r="C50" s="50">
        <f>+Tabla3[[#Totals],[Imp. aplic.]]+Tabla2[[#Totals],[Imp.cob.aplic.]]+C46</f>
        <v>387096.29000000004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70A85-A146-4848-A656-F774F118807D}">
  <dimension ref="A1:C14"/>
  <sheetViews>
    <sheetView workbookViewId="0">
      <selection activeCell="C18" sqref="C18"/>
    </sheetView>
  </sheetViews>
  <sheetFormatPr baseColWidth="10" defaultRowHeight="15" x14ac:dyDescent="0.25"/>
  <cols>
    <col min="1" max="1" width="16.28515625" customWidth="1"/>
    <col min="2" max="2" width="80.28515625" customWidth="1"/>
    <col min="3" max="3" width="14.85546875" customWidth="1"/>
  </cols>
  <sheetData>
    <row r="1" spans="1:3" x14ac:dyDescent="0.25">
      <c r="A1" s="53" t="s">
        <v>86</v>
      </c>
      <c r="B1" s="53" t="s">
        <v>87</v>
      </c>
      <c r="C1" s="53" t="s">
        <v>88</v>
      </c>
    </row>
    <row r="2" spans="1:3" x14ac:dyDescent="0.25">
      <c r="A2" s="27" t="s">
        <v>76</v>
      </c>
      <c r="B2" s="27" t="s">
        <v>150</v>
      </c>
      <c r="C2" s="28">
        <v>6120.72</v>
      </c>
    </row>
    <row r="3" spans="1:3" x14ac:dyDescent="0.25">
      <c r="A3" s="29" t="s">
        <v>77</v>
      </c>
      <c r="B3" s="29" t="s">
        <v>152</v>
      </c>
      <c r="C3" s="30">
        <v>1300</v>
      </c>
    </row>
    <row r="4" spans="1:3" x14ac:dyDescent="0.25">
      <c r="A4" s="27" t="s">
        <v>93</v>
      </c>
      <c r="B4" s="27" t="s">
        <v>153</v>
      </c>
      <c r="C4" s="28">
        <v>1000</v>
      </c>
    </row>
    <row r="5" spans="1:3" x14ac:dyDescent="0.25">
      <c r="A5" s="29" t="s">
        <v>93</v>
      </c>
      <c r="B5" s="29" t="s">
        <v>154</v>
      </c>
      <c r="C5" s="30">
        <v>8100</v>
      </c>
    </row>
    <row r="6" spans="1:3" x14ac:dyDescent="0.25">
      <c r="A6" s="27" t="s">
        <v>155</v>
      </c>
      <c r="B6" s="27" t="s">
        <v>156</v>
      </c>
      <c r="C6" s="28">
        <v>1300</v>
      </c>
    </row>
    <row r="7" spans="1:3" x14ac:dyDescent="0.25">
      <c r="A7" s="29" t="s">
        <v>155</v>
      </c>
      <c r="B7" s="29" t="s">
        <v>157</v>
      </c>
      <c r="C7" s="30">
        <v>55326.92</v>
      </c>
    </row>
    <row r="8" spans="1:3" x14ac:dyDescent="0.25">
      <c r="A8" s="64" t="s">
        <v>155</v>
      </c>
      <c r="B8" s="64" t="s">
        <v>158</v>
      </c>
      <c r="C8" s="65">
        <v>1431</v>
      </c>
    </row>
    <row r="9" spans="1:3" x14ac:dyDescent="0.25">
      <c r="A9" s="64" t="s">
        <v>0</v>
      </c>
      <c r="B9" s="64"/>
      <c r="C9" s="66">
        <f>SUBTOTAL(109,Tabla5[Imp.cob.aplic.])</f>
        <v>74578.64</v>
      </c>
    </row>
    <row r="10" spans="1:3" x14ac:dyDescent="0.25">
      <c r="C10" s="42"/>
    </row>
    <row r="14" spans="1:3" x14ac:dyDescent="0.25">
      <c r="B14" s="51"/>
      <c r="C14" s="5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3C681-F95F-485C-9086-0494660B1A0B}">
  <dimension ref="A1:E5"/>
  <sheetViews>
    <sheetView workbookViewId="0">
      <selection activeCell="C12" sqref="C12"/>
    </sheetView>
  </sheetViews>
  <sheetFormatPr baseColWidth="10" defaultRowHeight="15" x14ac:dyDescent="0.25"/>
  <cols>
    <col min="1" max="1" width="18" customWidth="1"/>
    <col min="2" max="2" width="43.7109375" customWidth="1"/>
    <col min="3" max="3" width="13" bestFit="1" customWidth="1"/>
    <col min="4" max="4" width="12.7109375" customWidth="1"/>
  </cols>
  <sheetData>
    <row r="1" spans="1:5" x14ac:dyDescent="0.25">
      <c r="A1" s="58" t="s">
        <v>176</v>
      </c>
      <c r="B1" s="58" t="s">
        <v>87</v>
      </c>
      <c r="C1" s="58" t="s">
        <v>177</v>
      </c>
      <c r="D1" s="58" t="s">
        <v>178</v>
      </c>
      <c r="E1" s="58" t="s">
        <v>110</v>
      </c>
    </row>
    <row r="2" spans="1:5" x14ac:dyDescent="0.25">
      <c r="A2" s="43" t="s">
        <v>93</v>
      </c>
      <c r="B2" s="43" t="s">
        <v>219</v>
      </c>
      <c r="C2" s="44">
        <v>8100</v>
      </c>
      <c r="D2" s="43" t="s">
        <v>151</v>
      </c>
      <c r="E2" s="43" t="s">
        <v>112</v>
      </c>
    </row>
    <row r="3" spans="1:5" x14ac:dyDescent="0.25">
      <c r="A3" s="45" t="s">
        <v>93</v>
      </c>
      <c r="B3" s="45" t="s">
        <v>220</v>
      </c>
      <c r="C3" s="46">
        <v>1000</v>
      </c>
      <c r="D3" s="45" t="s">
        <v>151</v>
      </c>
      <c r="E3" s="45" t="s">
        <v>112</v>
      </c>
    </row>
    <row r="4" spans="1:5" x14ac:dyDescent="0.25">
      <c r="A4" s="67" t="s">
        <v>155</v>
      </c>
      <c r="B4" s="67" t="s">
        <v>221</v>
      </c>
      <c r="C4" s="68">
        <v>43029.04</v>
      </c>
      <c r="D4" s="67" t="s">
        <v>151</v>
      </c>
      <c r="E4" s="67" t="s">
        <v>112</v>
      </c>
    </row>
    <row r="5" spans="1:5" x14ac:dyDescent="0.25">
      <c r="A5" s="54" t="s">
        <v>0</v>
      </c>
      <c r="B5" s="54"/>
      <c r="C5" s="69">
        <f>SUBTOTAL(109,Tabla6[Imp. aplic.])</f>
        <v>52129.04</v>
      </c>
      <c r="D5" s="54"/>
      <c r="E5" s="54">
        <f>SUBTOTAL(103,Tabla6[D-I])</f>
        <v>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B5437-B421-4C60-9378-B9DA0AEF61AC}">
  <dimension ref="A1:C12"/>
  <sheetViews>
    <sheetView tabSelected="1" workbookViewId="0">
      <selection activeCell="C12" sqref="C12"/>
    </sheetView>
  </sheetViews>
  <sheetFormatPr baseColWidth="10" defaultRowHeight="15" x14ac:dyDescent="0.25"/>
  <cols>
    <col min="1" max="1" width="15.85546875" customWidth="1"/>
    <col min="2" max="2" width="59" customWidth="1"/>
    <col min="3" max="3" width="17.85546875" customWidth="1"/>
  </cols>
  <sheetData>
    <row r="1" spans="1:3" x14ac:dyDescent="0.25">
      <c r="A1" s="70" t="s">
        <v>176</v>
      </c>
      <c r="B1" s="71" t="s">
        <v>87</v>
      </c>
      <c r="C1" s="83" t="s">
        <v>177</v>
      </c>
    </row>
    <row r="2" spans="1:3" x14ac:dyDescent="0.25">
      <c r="A2" s="72" t="s">
        <v>314</v>
      </c>
      <c r="B2" s="73" t="s">
        <v>315</v>
      </c>
      <c r="C2" s="74">
        <v>5062.5</v>
      </c>
    </row>
    <row r="3" spans="1:3" x14ac:dyDescent="0.25">
      <c r="A3" s="75" t="s">
        <v>316</v>
      </c>
      <c r="B3" s="76" t="s">
        <v>317</v>
      </c>
      <c r="C3" s="77">
        <v>11812.5</v>
      </c>
    </row>
    <row r="4" spans="1:3" x14ac:dyDescent="0.25">
      <c r="A4" s="72" t="s">
        <v>319</v>
      </c>
      <c r="B4" s="73" t="s">
        <v>320</v>
      </c>
      <c r="C4" s="74">
        <v>5593</v>
      </c>
    </row>
    <row r="5" spans="1:3" x14ac:dyDescent="0.25">
      <c r="A5" s="75" t="s">
        <v>319</v>
      </c>
      <c r="B5" s="76" t="s">
        <v>321</v>
      </c>
      <c r="C5" s="77">
        <v>1997.5</v>
      </c>
    </row>
    <row r="6" spans="1:3" x14ac:dyDescent="0.25">
      <c r="A6" s="72" t="s">
        <v>322</v>
      </c>
      <c r="B6" s="73" t="s">
        <v>323</v>
      </c>
      <c r="C6" s="74">
        <v>5313.35</v>
      </c>
    </row>
    <row r="7" spans="1:3" ht="15.75" thickBot="1" x14ac:dyDescent="0.3">
      <c r="A7" s="75" t="s">
        <v>324</v>
      </c>
      <c r="B7" s="76" t="s">
        <v>325</v>
      </c>
      <c r="C7" s="77">
        <v>2277.15</v>
      </c>
    </row>
    <row r="8" spans="1:3" ht="15.75" thickTop="1" x14ac:dyDescent="0.25">
      <c r="A8" s="78" t="s">
        <v>0</v>
      </c>
      <c r="B8" s="79"/>
      <c r="C8" s="84">
        <f>SUM(C2:C7)</f>
        <v>32056</v>
      </c>
    </row>
    <row r="12" spans="1:3" x14ac:dyDescent="0.25">
      <c r="B12" s="49" t="s">
        <v>318</v>
      </c>
      <c r="C12" s="50">
        <f>+Tabla6[[#Totals],[Imp. aplic.]]+Tabla5[[#Totals],[Imp.cob.aplic.]]+C8</f>
        <v>158763.68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Tesis</vt:lpstr>
      <vt:lpstr>Sexenios</vt:lpstr>
      <vt:lpstr>Ingresos investigación 2023</vt:lpstr>
      <vt:lpstr>Ingresos investigación 2024</vt:lpstr>
      <vt:lpstr>Ingresos investigación 2025</vt:lpstr>
      <vt:lpstr>Ingresos formación 2023</vt:lpstr>
      <vt:lpstr>Ingresos formación 2024</vt:lpstr>
      <vt:lpstr>Ingresos formación 2025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mayte.pujalte</cp:lastModifiedBy>
  <dcterms:created xsi:type="dcterms:W3CDTF">2019-07-03T07:15:54Z</dcterms:created>
  <dcterms:modified xsi:type="dcterms:W3CDTF">2026-05-25T08:31:33Z</dcterms:modified>
</cp:coreProperties>
</file>