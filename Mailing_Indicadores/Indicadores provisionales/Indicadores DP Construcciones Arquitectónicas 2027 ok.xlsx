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C99E8404-E620-417E-84B6-C00A47F5865A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Tesis" sheetId="10" r:id="rId1"/>
    <sheet name="Sexenios" sheetId="11" r:id="rId2"/>
    <sheet name="Ingresos investigación 2023" sheetId="21" r:id="rId3"/>
    <sheet name="Ingresos investigación 2024" sheetId="22" r:id="rId4"/>
    <sheet name="Ingresos investigación 2025" sheetId="23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23" l="1"/>
  <c r="C18" i="22"/>
  <c r="C17" i="21"/>
  <c r="S11" i="11"/>
  <c r="S6" i="10" l="1"/>
</calcChain>
</file>

<file path=xl/sharedStrings.xml><?xml version="1.0" encoding="utf-8"?>
<sst xmlns="http://schemas.openxmlformats.org/spreadsheetml/2006/main" count="287" uniqueCount="196">
  <si>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</si>
  <si>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</si>
  <si>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</si>
  <si>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</si>
  <si>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</si>
  <si>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</si>
  <si>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</si>
  <si>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</si>
  <si>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</si>
  <si>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</si>
  <si>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</si>
  <si>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</si>
  <si>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</si>
  <si>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</si>
  <si>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</si>
  <si>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</si>
  <si>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</si>
  <si>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</si>
  <si>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</si>
  <si>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</si>
  <si>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</si>
  <si>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</si>
  <si>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</si>
  <si>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</si>
  <si>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</si>
  <si>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10.05</t>
  </si>
  <si>
    <t>10.24</t>
  </si>
  <si>
    <t>B147 </t>
  </si>
  <si>
    <t>CONSTRUCCIONES ARQUITECTONICAS </t>
  </si>
  <si>
    <t>B147</t>
  </si>
  <si>
    <t>18202656L </t>
  </si>
  <si>
    <t>B185 </t>
  </si>
  <si>
    <t>INGENIERÍA CIVIL </t>
  </si>
  <si>
    <t>21477259C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</si>
  <si>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</si>
  <si>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</si>
  <si>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</si>
  <si>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</si>
  <si>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</si>
  <si>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</si>
  <si>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</si>
  <si>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</si>
  <si>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</si>
  <si>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</si>
  <si>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</si>
  <si>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</si>
  <si>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</si>
  <si>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</si>
  <si>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52776864Y</t>
  </si>
  <si>
    <t>21477259C</t>
  </si>
  <si>
    <t>33478305B</t>
  </si>
  <si>
    <t>DOCTORADO EN INGENIERÍA DE MATERIALES, ESTRUCTURAS Y TERRENO: CONSTR. SOST. </t>
  </si>
  <si>
    <t>Yáñez Pacios, Roberto Tomás </t>
  </si>
  <si>
    <t>Génesis y evolución de las fortificaciones abaluartadas de Fuenterrabía (1496-1638) </t>
  </si>
  <si>
    <t>17/12/2019 </t>
  </si>
  <si>
    <t>20</t>
  </si>
  <si>
    <t>48485566W</t>
  </si>
  <si>
    <t>74233136S</t>
  </si>
  <si>
    <t>COD DEP</t>
  </si>
  <si>
    <t>Lillo Polo, Carlos </t>
  </si>
  <si>
    <t>APLICACIÓN DE LA ANHIDRITA NATURAL EN LA FABRICACIÓN DE MORTEROS SOSTENIBLES </t>
  </si>
  <si>
    <t>26/02/2021 </t>
  </si>
  <si>
    <t>Huesca Tortosa, José Antonio </t>
  </si>
  <si>
    <t>La iglesia de Biar y su portada protorrenacentista. Análisis histórico, arquitectónico, constructivo y estudio diagnóstico. Aplicación de técnica LIDAR. </t>
  </si>
  <si>
    <t>19/02/2021 </t>
  </si>
  <si>
    <t>33478305B </t>
  </si>
  <si>
    <t>U062 </t>
  </si>
  <si>
    <t>ADM. I.U. DE INVESTIGACIÓN INFORMÁTICA </t>
  </si>
  <si>
    <t>DOCTORADO EN INFORMÁTICA </t>
  </si>
  <si>
    <t>Mora Lizán, Francisco José </t>
  </si>
  <si>
    <t>Avances en modelado de sistemas multiagente. Propuesta de arquitectura híbrida multinivel </t>
  </si>
  <si>
    <t>26/01/2021 </t>
  </si>
  <si>
    <t>48624316Q </t>
  </si>
  <si>
    <t>48624316Q</t>
  </si>
  <si>
    <t>74176967N</t>
  </si>
  <si>
    <t>Cód. org. aplic.</t>
  </si>
  <si>
    <t>Descripción justificante</t>
  </si>
  <si>
    <t>Imp.cob.aplic.</t>
  </si>
  <si>
    <t>34.40.6C.00.69</t>
  </si>
  <si>
    <t>21506159D</t>
  </si>
  <si>
    <t>34.40.6C.00.68</t>
  </si>
  <si>
    <t>Redacción del proyecto básico y de ejecución "Rehabilitación y puesta en valor del Museu Arqueològic Municipal Camilo Visedo Moltó".</t>
  </si>
  <si>
    <t>2ª FACTURA POR EL 40% DEL IMPORTE TOTAL por la finalización de la DIRECCIÓN DE LAS OBRAS DE RESTAURACIÓN DE LA FACHADA PRINCIPAL Y LATERAL DE LA IGLESIA DE LA ASUNCIÓN DE LA VILA JOIOSA</t>
  </si>
  <si>
    <t>34.40.6C.00.70</t>
  </si>
  <si>
    <t>1er. Informe y entregable al término del primer artículo científico correspondiente al Asesoramiento científico-técnico al CTAA en la redacción de la "Guía técnica de soluciones alternativas para un uso más sostenible y eficiente energéticamente de los edificios en clima mediterráneo alicantino" promovida y editada por la Diputación de Alicante.</t>
  </si>
  <si>
    <t>2º. Informe y entregable al término del segundo artículo científico correspondiente al Asesoramiento científico-técnico al CTAA en la redacción de la "Guía técnica de soluciones alternativas para un uso más sostenible y eficiente energéticamente de los edificios en clima mediterráneo alicantino" promovida y editada por la Diputación de Alicante.</t>
  </si>
  <si>
    <t>34.40.6C.00.71</t>
  </si>
  <si>
    <t>Redacción de Adenda de actualización de precios del Proyecto Básico y de Ejecución de Consolidación Estructural del Edificio de la Casa Aracil</t>
  </si>
  <si>
    <t>34.40.6C.00.72</t>
  </si>
  <si>
    <t>Entrega del Informe y Entregable 2 del proyecto "ASESORAMIENTO CIENTÍFICO-TÉCNICO A C3SYSTEMS PARA LA APLICACIÓN DE CORTINAS DE CRISTAL EN LA MEJORA DE LA EFICIENCIA ENERGÉTICA DE EDIFICIOS RESIDENCIALES EN CLIMA MEDITERRÁNEO"</t>
  </si>
  <si>
    <t>Entrega del Informe y Entregable 1 del proyecto "ASESORAMIENTO CIENTÍFICO-TÉCNICO A C3SYSTEMS PARA LA APLICACIÓN DE CORTINAS DE CRISTAL EN LA MEJORA DE LA EFICIENCIA ENERGÉTICA DE EDIFICIOS RESIDENCIALES EN CLIMA MEDITERRÁNEO".</t>
  </si>
  <si>
    <t>34.40.6C.00.73</t>
  </si>
  <si>
    <t>REALIZACIÓN DE PROYECTO BÁSICO DE RESTAURACIÓN DEL SISTEMA DE AMURALLAMIENTO Y ALJIBES DEL CASTILLO DE CALLOSA DE SEGURA (BIC), ADECUACIÓN DE ACCESOS Y EQUIPAMIENTO</t>
  </si>
  <si>
    <t>34.40.6C.00.74</t>
  </si>
  <si>
    <t>REDACCIÓN DE UN PROYECTO DE CONSOLIDACIÓN DEL SISTEMA DE AMURALLAMIENTO Y EL ALJIBE DEL CASTILLO DE CALLOSA DE SEGURA (BIC)</t>
  </si>
  <si>
    <t>34.40.6C.00.75</t>
  </si>
  <si>
    <t>COLABORACIÓN EN LA REDACCIÓN DEL PLAN DIRECTOR PARA LA CONSERVACIÓN DEL COLEGIO SANTO DOMINGO DE ORIHUELA MEDIANTE REDACCIÓN DEL ANÁLISIS HISTÓRICO DEL EDIFICIO, GRAFIADO DE LA EVOLUCIÓN HISTÓRICA Y CONSTRUCTIVA DEL TEMPLO, ESTUDIO CONSTRUCTIVO Y ARQUITECTÓNICO, DIAGNÓSTICO DEL ESTADO DE CONSERVACIÓN Y ANÁLISIS DE MATERIALES. COLABORACIÓN EN LA REALIZACIÓN DE PLANOS DE ESTADO ACTUAL PARTIENDO DESDE NUBES DE PUNTOS Y REALIZACIÓN DE FICHAS DIAGNÓSTICO</t>
  </si>
  <si>
    <t>34.40.6C.00.77</t>
  </si>
  <si>
    <t>VISADO DEL COLEGIO DE ARQUITECTOS DEL PROYECTO BÁSICO Y DE EJECUCIÓN DE REHABILITACIÓN Y PUESTA EN VALOR DEL MUSEU ARQUEOLÒGIC MUNICIPAL CAMILIO VISEDO MOLTÓ EN ALCOI</t>
  </si>
  <si>
    <t>34.40.6C.00.78</t>
  </si>
  <si>
    <t>Honorarios por los trabajos desarrollados en la Actividad 4.1 del proyecto "SMART CONSTRUCTION MANAGER - NUEVO SISTEMA "INTELIGENTE Y AUTÓNOMO PARA EL CONTROL Y GESTIÓN DE OBRA". Financiado a través del Programa Estratégico de Consorcios de Investigación Empresarial Nacional (CIEN), con número de expediente IDI-20230441</t>
  </si>
  <si>
    <t>34.40.6C.00.79</t>
  </si>
  <si>
    <t>INVESTIGACIÓN SOBRE SOLUCIONES ARQUITECTÓNICAS DE ACONDICIONAMIENTO SOSTENIBLES Y BIOCLIMÁTICAS MEDIANTE EL USO DE MATERIALES CERÁMICOS  Anualidad 2023</t>
  </si>
  <si>
    <t>34.40.6C.00.80</t>
  </si>
  <si>
    <t>INFORME VALORACION DE VIVIENDA, SITA EN CALLE SANT SEBASTIA, Nº 1, PLANTA 9, LETRA D.EL CAMPELLO. ALICANTE</t>
  </si>
  <si>
    <t>34.40.6C.00.81</t>
  </si>
  <si>
    <t>MEDICIÓN DE LOCAL Y ESTUDIO DE VIABILIDAD SITUADO EN AVDA. PÉREZ GALDÓS, 47 DE ALICANTE (C.P. 03005)</t>
  </si>
  <si>
    <t>50</t>
  </si>
  <si>
    <t>33480054N</t>
  </si>
  <si>
    <t>Org. aplic.</t>
  </si>
  <si>
    <t>Imp. aplic.</t>
  </si>
  <si>
    <t>Honorarios por los trabajos desarrollados en la Actividad 4.1 del proyecto "SMART CONSTRUCTION MANAGER - NUEVO SISTEMA "INTELIGENTE Y AUTÓNOMO PARA EL CONTROL Y GESTIÓN DE OBRA". Financiado a través del Programa Estratégico de Consorcios de Investigación Empresarial Nacional (CIEN), con número de expediente IDI-20230441. Segundo pago.</t>
  </si>
  <si>
    <t>34.40.6C.00.82</t>
  </si>
  <si>
    <t>INFORME PERICIAL SOBRE EXISTENCIA DE EDIFICACION E INSCRIPCION REGISTRAL DE LA VIVIENDA UNIFAMILIAR SITA EN MUTXAMEL, CALLE ANDROMEDA Nº 1, ESQUINA CALLE L'AGUILA Nº3 (ALICANTE)</t>
  </si>
  <si>
    <t>34.40.6C.00.83</t>
  </si>
  <si>
    <t>INFORME SOBRE HABITABILIDAD DE VIVIENDA SITA EN ALICANTE</t>
  </si>
  <si>
    <t>34.40.6C.00.84</t>
  </si>
  <si>
    <t xml:space="preserve">REALIZACIÓN DE ESTUDIOS DE 10 MUESTRAS DE MORTEROS Y ACABADOS DE EDIFICIO ANTIGUO A RESTAURAR UBICADO EN MURCIA </t>
  </si>
  <si>
    <t>34.40.6C.00.85</t>
  </si>
  <si>
    <t>REALIZACIÓN DE PROYECTO BÁSICO Y DE EJECUCIÓN PARA LA RESTAURACIÓN DE LA CRUZ DE ORIHUELA EN EL TÉRMINO MUNICIPAL DE ASPE</t>
  </si>
  <si>
    <t>34.40.6C.00.86</t>
  </si>
  <si>
    <t>1er. abono correspondiente a la entrega parcial del  25 %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 (Centro de gasto:"150 CONTRATACIÓN")</t>
  </si>
  <si>
    <t>2do. abono correspondiente a la entrega parcial del 25 %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 (Centro de gasto:"150 CONTRATACIÓN")</t>
  </si>
  <si>
    <t>3er. abono correspondiente a la entrega parcial del 30 %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urbanizable. (Centro de gasto:"150 CONTRATACIÓN")</t>
  </si>
  <si>
    <t>34.40.6C.00.87</t>
  </si>
  <si>
    <t>Realización del Proyecto Básico y de Ejecución para la ampliación - modificación de instalación eléctrica de baja tensión en parroquia de Nuestra Señora de la Asunción en La Vila. Incluyendo Estudio de Seguridad y Salud y Gestión de Residuos.</t>
  </si>
  <si>
    <t>34.40.6C.00.88</t>
  </si>
  <si>
    <t>DIRECCIÓN DE OBRAS Y DIRECCIÓN DE EJECUCIÓN MATERIAL DE RESTAURACIÓN DE LA CRUZ DE ORIHUELA EN EL TÉRMINO MUNICIPAL DE ASPE</t>
  </si>
  <si>
    <t>34.40.6C.00.89</t>
  </si>
  <si>
    <t>INVESTIGACION SOBRE SOLUCIONES ARQUITECTONICAS DE ACONDICIONAMIENTO SOSTENIBLES Y BIOCLIMATICAS MEDIANTE EL USO DE MATERIALES CERAMICOS - ANUALIDAD 2024</t>
  </si>
  <si>
    <t>34.40.6C.00.90</t>
  </si>
  <si>
    <t>ESTUDIO Y ANÁLISIS DE 3 MORTEROS Y 2 PÉTREOS EN SISTEMAS HIDRÁULICOS ANTIGUOS DEL CANAL DE ELCHE</t>
  </si>
  <si>
    <t>34.40.6C.00.91</t>
  </si>
  <si>
    <t>DIRECCIÓN DE OBRAS Y DE EJECUCIÓN MATERIAL PARA LA AMPLIACIÓN - MODIFICACIÓN DE INSTALACIÓN ELÉCTRICA DE BAJA TENSIÓN EN PARROQUIA DE NUESTRA SEÑORA DE LA ASUNCIÓN EN LA VILA</t>
  </si>
  <si>
    <t>34.40.6M.00.06</t>
  </si>
  <si>
    <t>Mecenazgo de las actividades correspondientes al Convenio de colaboración en el Proyecto "Investigación sobre soluciones constructivas de industrialización y mejora del acondicionamiento pasivo de viviendas." Hitos 1 a 4 - Provisión de fondos a la firma del Convenio.</t>
  </si>
  <si>
    <t>Mecenazgo de las actividades correspondientes al Convenio de colaboración en el Proyecto "Investigación sobre soluciones constructivas de industrialización y mejora del acondicionamiento pasivo de viviendas". Hitos 9 y 10.</t>
  </si>
  <si>
    <t>MECENAZGO DE LAS ACTIVIDADES CORRESPONDIENTES A LA ADENDA DEL CONVENIO DE COLABORACIÓN EN EL PROYECTO "INVESTIGACIÓN SOBRE SOLUCIONES CONSTRUCTIVAS DE INDUSTRIALIZACIÓN Y MEJORA DEL ACONDICIONAMIENTO PASIVO DE VIVIENDAS". HITOS 1 A 4. PROVISIÓN DE FONDOS A LA FIRMA DE LA ADENDA AL CONVENIO.</t>
  </si>
  <si>
    <t>2020</t>
  </si>
  <si>
    <t>2021</t>
  </si>
  <si>
    <t>2022</t>
  </si>
  <si>
    <t>2023</t>
  </si>
  <si>
    <t>2024</t>
  </si>
  <si>
    <t>2025</t>
  </si>
  <si>
    <t>García Alcocel, Eva María</t>
  </si>
  <si>
    <t>Pérez Carramiñana, Carlos</t>
  </si>
  <si>
    <t>Spairani Berrio, Yolanda</t>
  </si>
  <si>
    <t>Huesca Tortosa, José Antonio</t>
  </si>
  <si>
    <t>González Avilés, Ángel Benigno</t>
  </si>
  <si>
    <t>Rizo Maestre, Carlos</t>
  </si>
  <si>
    <t>Galiano Garrigós, Antonio Luis</t>
  </si>
  <si>
    <t>Saura Gómez, Pascual</t>
  </si>
  <si>
    <t>Spairani Berrio, Silvia</t>
  </si>
  <si>
    <t>Honorarios por los trabajos desarrollados en la Actividad 4.1 del proyecto "SMART CONSTRUCTION MANAGER - NUEVO SISTEMA "INTELIGENTE Y AUTÓNOMO PARA EL CONTROL Y GESTIÓN DE OBRA". financiado a través del Programa Estratégico de Consorcios de Investigación Empresarial Nacional (CIEN), con número de expediente IDI-20230441. Tercer pago.</t>
  </si>
  <si>
    <t>4º y último abono correspondiente a la entrega parcial del 20%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 (Centro de gasto:"150 CONTRATACIÓN")</t>
  </si>
  <si>
    <t>34.40.6C.00.92</t>
  </si>
  <si>
    <t>REGISTRO Y TRATAMIENTO DE NUBES DE PUNTOS EN LAS TERMAS OCCIDENTALES Y MURALLA DE LA ALCUDIA</t>
  </si>
  <si>
    <t>34.40.6C.00.93</t>
  </si>
  <si>
    <t>CARACTERIZACIÓN DE MATERIALES Y ALTERACIONES EN EL CASTILLO DE FORNA PARA LA RESTAURACIÓN DEL CASTILLO DE FORNA. ADSUBIA (ALICANTE)</t>
  </si>
  <si>
    <t>34.40.6C.00.94</t>
  </si>
  <si>
    <t>REALIZACIÓN DE FOTOGRAMETRÍA DEL EXTERIOR DE LA TORRE PLACIA PARA LA ELABORACIÓN DE ORTOIMÁGENES DE SUS ALZADOS EN SU ESTADO ACTUAL, MEDIANTE LA UTILIZACIÓN DE UAV (DRON).</t>
  </si>
  <si>
    <t>34.40.6C.00.95</t>
  </si>
  <si>
    <t>Entregable correspondiente a CARACTERIZACIÓN Y ESTUDIO DE MORTEROS (2 morteros y 4 revocos) DE LA TORRE PLACIA (Alicante)</t>
  </si>
  <si>
    <t>34.40.6C.00.97</t>
  </si>
  <si>
    <t>REDACCIÓN DEL PROYECTO BÁSICO Y DE EJECUCIÓN DE RESTAURACIÓN DE PARAMENTOS INTERIORES EN LA ZONA DE LA EPÍSTOLA EN LA IGLESIA DE NUESTRA SEÑORA DE LA ASUNCIÓN EN LA VILA.</t>
  </si>
  <si>
    <t>34.40.6C.00.98</t>
  </si>
  <si>
    <t>CARACTERIZACIÓN DE MORTEROS LADRILLOS Y EVALUACIÓN DE EFICACIA CONSOLIDANTES EN LA IGLESIA DE ALBATERA (ALICANTE)</t>
  </si>
  <si>
    <t>34.40.6C.01.00</t>
  </si>
  <si>
    <t>INFORME INICIAL DEL PROYECTO SOBRE CARACTERIZACIÓN DE MATERIALES EXISTENTES Y ENSAYOS DE IDONEIDAD DE TRATAMIENTOS Y MORTEROS A EMPLEAR EN LA RESTAURACIÓN DE LAS FACHADAS NORESTE Y SURESTE DEL MONASTERIO DE SAN JERÓNIMO EN MURCIA.</t>
  </si>
  <si>
    <t>INFORME FINAL DE RESULTADOS DEL PROYECTO SOBRE CARACTERIZACIÓN DE MATERIALES EXISTENTES Y ENSAYOS DE IDONEIDAD DE TRATAMIENTOS Y MORTEROS A EMPLEAR EN LA RESTAURACIÓN DE LAS FACHADAS NORESTE Y SURESTE DEL MONASTERIO DE SAN JERÓNIMO EN MURCIA.</t>
  </si>
  <si>
    <t>34.40.6C.01.02</t>
  </si>
  <si>
    <t>Evaluación Técnica (ET) del proyecto: 1024/28/121 - Investigaciones Irenova AIE - INLAYKIT24. Diseño y Desarrollo de un Kit Universal e Integral para el Montaje de Fachadas Fotovoltaicas. Nº de pedido 4300047179.</t>
  </si>
  <si>
    <t>34.40.6C.01.03</t>
  </si>
  <si>
    <t xml:space="preserve">INVESTIGACIÓN SOBRE SOLUCIONES ARQUITECTÓNICAS DE ACONDICIONAMIENTO SOSTENIBLES Y BIOCLIMÁTICAS MEDIANTE EL USO DE MATERIALES CERAMICOS - ANUALIDAD 2025 - Ref. ASCER1-25I - IP: CARLOS RIZO MAESTRE </t>
  </si>
  <si>
    <t>34.40.6C.01.05</t>
  </si>
  <si>
    <t>ESCANEADO CON TLS DE LA TORRE DE LA IGLESIA DE SANTAS JUSTA Y RUFINA EN ORIHUELA (ALICANTE).</t>
  </si>
  <si>
    <t>34.40.6C.01.06</t>
  </si>
  <si>
    <t>INFORME DE JUSTIFICACIÓN ESTRUCTURAL DEL COMPORTAMIENTO DE BÓVEDA RESTAURADA EN EL CASTILLO DE FORNA. ADSUBIA (ALICANTE) INCLUYENDO ESCANEADO 3D DE LA BÓVEDA</t>
  </si>
  <si>
    <t>34.40.6C.01.07</t>
  </si>
  <si>
    <t>ESTUDIO Y CARACTERIZACIÓN DE MATERIALES PÉTREOS NATURALES Y ARTIFICIALES EN LAS TERMAS OCCIDENTALES DE LA ALCUDIA EN ELCHE PARA ELABORACIÓN DE TESIS DOCTORAL</t>
  </si>
  <si>
    <t>34.40.6G.00.03</t>
  </si>
  <si>
    <t>INGRESO PERCIBIDO POR LA UNIVERSIDAD DE ALICANTE EN CONCEPTO DE ACUERDO DE COLABORACIÓN PARA LA ACTIVIDAD ICAT2025.</t>
  </si>
  <si>
    <t xml:space="preserve">Pago inscripciones Congreso ICAT2025. Participantes: Killian Collins (paper to be presented by second author); Jack Vaughan (presenting);Roisin Moore (presenting);Milica Stankovic (presenting);Olivia Golden (presenting) </t>
  </si>
  <si>
    <t>ICAT2025 Congress Registration- First paper author'. Convenio Gobierno Vasco 2025 (Iñigo Rodriguez). ETS Arquitectura UPV/EHU. Plaza Oñati 2 20018 San Sebastian-Gipuzkoa ESPAÑA.</t>
  </si>
  <si>
    <t>Liq_JyC_2025__ICAT2025_01__ICAT 2025 ALICANTE - SPAIN 11th International Congress on Architectural Technology</t>
  </si>
  <si>
    <t>ICAT2025 Congress Registration-First paper author. Junshan Liu.</t>
  </si>
  <si>
    <t>Liq_JyC_2025__ICAT2025_02__ICAT 2025 ALICANTE  -  SPAIN 11th International Congress on Architectural Technology</t>
  </si>
  <si>
    <t>ICAT2025 Congress Registration. Mohataz Hossain.</t>
  </si>
  <si>
    <t>Inscripción al Congreso ICAT 2025 de María José Viñals.</t>
  </si>
  <si>
    <t>Inscripciones Congreso ICAT2025. David Plata. José Fernando Sánchez y Samuel Sabatell Canales.</t>
  </si>
  <si>
    <t>Liq_JyC_2025__ICAT2025_03__ICAT 2025 ALICANTE  -  SPAIN 11th International Congress on Architectural Technology</t>
  </si>
  <si>
    <t>INSCRIPCIÓN DE FERNANDO GARCÍA-OCHOA RUEDAS AL CONGRESO ICAT 2025</t>
  </si>
  <si>
    <t>MECENAZGO DE LAS ACTIVIDADES CORRESPONDIENTES A LA ADENDA DEL CONVENIO DE COLABORACIÓN EN EL PROYECTO "INVESTIGACIÓN SOBRE SOLUCIONES CONSTRUCTIVAS DE INDUSTRIALIZACIÓN Y MEJORA DEL ACONDICIONAMIENTO PASIVO DE VIVIENDAS" CORRESPONDIENTE AL CUMPLIMIENTO DEL RESTO DE HITOS ESTABLECIDOS EN DICHA ADENDA AL CONVENIO.</t>
  </si>
  <si>
    <t>34.40.6P.00.07</t>
  </si>
  <si>
    <t>Ingreso ayudas CIGE/2024/56/95/108/145/178/184/194/199/200/201/202/203/204/205/208/209/212/213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</si>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</sst>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1" fillId="0" borderId="0" applyFont="0" applyFill="0" applyBorder="0" applyAlignment="0" applyProtection="0"/>
  </cellStyleXfs>
  <cellXfs count="70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2" fillId="4" borderId="1" xfId="1" applyFill="1" applyBorder="1"/>
    <xf numFmtId="0" fontId="2" fillId="4" borderId="2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2" fillId="4" borderId="1" xfId="1" applyFill="1" applyBorder="1" applyAlignment="1">
      <alignment horizontal="right"/>
    </xf>
    <xf numFmtId="166" fontId="2" fillId="4" borderId="2" xfId="1" applyNumberFormat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8" fillId="3" borderId="1" xfId="3" applyFont="1" applyFill="1" applyBorder="1" applyAlignment="1">
      <alignment horizontal="center" wrapText="1"/>
    </xf>
    <xf numFmtId="43" fontId="0" fillId="8" borderId="6" xfId="6" applyNumberFormat="1" applyFont="1" applyFill="1" applyBorder="1"/>
    <xf numFmtId="43" fontId="0" fillId="0" borderId="6" xfId="6" applyNumberFormat="1" applyFont="1" applyBorder="1"/>
    <xf numFmtId="0" fontId="13" fillId="8" borderId="6" xfId="0" applyFont="1" applyFill="1" applyBorder="1"/>
    <xf numFmtId="0" fontId="13" fillId="0" borderId="6" xfId="0" applyFont="1" applyBorder="1"/>
    <xf numFmtId="43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4" fillId="9" borderId="0" xfId="0" applyFont="1" applyFill="1"/>
    <xf numFmtId="165" fontId="3" fillId="2" borderId="0" xfId="1" applyNumberFormat="1" applyFont="1" applyFill="1"/>
    <xf numFmtId="43" fontId="0" fillId="8" borderId="8" xfId="6" applyNumberFormat="1" applyFont="1" applyFill="1" applyBorder="1"/>
    <xf numFmtId="0" fontId="0" fillId="0" borderId="8" xfId="0" applyBorder="1"/>
    <xf numFmtId="0" fontId="9" fillId="8" borderId="8" xfId="0" applyFont="1" applyFill="1" applyBorder="1"/>
    <xf numFmtId="43" fontId="11" fillId="8" borderId="8" xfId="0" applyNumberFormat="1" applyFont="1" applyFill="1" applyBorder="1"/>
    <xf numFmtId="0" fontId="12" fillId="7" borderId="7" xfId="0" applyFont="1" applyFill="1" applyBorder="1"/>
    <xf numFmtId="0" fontId="13" fillId="8" borderId="8" xfId="0" applyFont="1" applyFill="1" applyBorder="1"/>
    <xf numFmtId="0" fontId="0" fillId="8" borderId="6" xfId="0" applyFill="1" applyBorder="1"/>
    <xf numFmtId="0" fontId="0" fillId="0" borderId="6" xfId="0" applyBorder="1"/>
    <xf numFmtId="0" fontId="15" fillId="7" borderId="7" xfId="0" applyFont="1" applyFill="1" applyBorder="1"/>
    <xf numFmtId="43" fontId="15" fillId="7" borderId="7" xfId="6" applyNumberFormat="1" applyFont="1" applyFill="1" applyBorder="1"/>
    <xf numFmtId="43" fontId="0" fillId="0" borderId="8" xfId="6" applyNumberFormat="1" applyFont="1" applyBorder="1"/>
    <xf numFmtId="43" fontId="11" fillId="0" borderId="8" xfId="0" applyNumberFormat="1" applyFont="1" applyBorder="1"/>
    <xf numFmtId="0" fontId="16" fillId="10" borderId="9" xfId="0" applyFont="1" applyFill="1" applyBorder="1"/>
    <xf numFmtId="0" fontId="16" fillId="10" borderId="10" xfId="0" applyFont="1" applyFill="1" applyBorder="1"/>
    <xf numFmtId="0" fontId="17" fillId="11" borderId="9" xfId="0" applyFont="1" applyFill="1" applyBorder="1"/>
    <xf numFmtId="0" fontId="17" fillId="11" borderId="10" xfId="0" applyFont="1" applyFill="1" applyBorder="1"/>
    <xf numFmtId="164" fontId="17" fillId="11" borderId="10" xfId="6" applyFont="1" applyFill="1" applyBorder="1"/>
    <xf numFmtId="0" fontId="17" fillId="0" borderId="9" xfId="0" applyFont="1" applyBorder="1"/>
    <xf numFmtId="0" fontId="17" fillId="0" borderId="10" xfId="0" applyFont="1" applyBorder="1"/>
    <xf numFmtId="164" fontId="17" fillId="0" borderId="10" xfId="6" applyFont="1" applyBorder="1"/>
    <xf numFmtId="0" fontId="18" fillId="0" borderId="11" xfId="0" applyFont="1" applyBorder="1"/>
    <xf numFmtId="0" fontId="18" fillId="0" borderId="12" xfId="0" applyFont="1" applyBorder="1"/>
    <xf numFmtId="164" fontId="18" fillId="0" borderId="12" xfId="6" applyFont="1" applyBorder="1"/>
    <xf numFmtId="0" fontId="14" fillId="0" borderId="1" xfId="0" applyFont="1" applyBorder="1"/>
    <xf numFmtId="43" fontId="14" fillId="0" borderId="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5648C7-BD8B-4E9D-AB73-C8195643B21F}" name="Tabla3" displayName="Tabla3" ref="A1:C17" totalsRowCount="1" headerRowDxfId="18" headerRowBorderDxfId="17" tableBorderDxfId="16" totalsRowBorderDxfId="15">
  <autoFilter ref="A1:C16" xr:uid="{AA5648C7-BD8B-4E9D-AB73-C8195643B21F}"/>
  <tableColumns count="3">
    <tableColumn id="1" xr3:uid="{76EC26E4-0E1B-49FC-A777-C18558559D98}" name="Cód. org. aplic." totalsRowLabel="Total" dataDxfId="14" totalsRowDxfId="13"/>
    <tableColumn id="2" xr3:uid="{18F1A46A-DA84-4AFA-A8B7-8756451D87C8}" name="Descripción justificante" dataDxfId="12" totalsRowDxfId="11"/>
    <tableColumn id="3" xr3:uid="{51884043-6D0A-4D70-8526-603EF75FF86A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23CF6C-6538-46D7-9398-5EDE6513170F}" name="Tabla4" displayName="Tabla4" ref="A1:C18" totalsRowCount="1" headerRowBorderDxfId="8" tableBorderDxfId="7" totalsRowBorderDxfId="6">
  <autoFilter ref="A1:C17" xr:uid="{4C23CF6C-6538-46D7-9398-5EDE6513170F}"/>
  <tableColumns count="3">
    <tableColumn id="1" xr3:uid="{DB840AED-52CF-477E-85C8-376CC9EC909E}" name="Org. aplic." totalsRowLabel="Total" dataDxfId="5" totalsRowDxfId="4"/>
    <tableColumn id="2" xr3:uid="{1ADDAA09-4454-4D7F-9C44-86E36AE8F7D9}" name="Descripción justificante" dataDxfId="3" totalsRowDxfId="2"/>
    <tableColumn id="3" xr3:uid="{19C2ECE2-1CE6-4307-82D6-008203F7CD35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6" sqref="S6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9" customWidth="1"/>
    <col min="16" max="16" width="4.85546875" style="6" customWidth="1"/>
    <col min="17" max="17" width="3.5703125" style="9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ht="12" thickBot="1" x14ac:dyDescent="0.25">
      <c r="A2" s="18" t="s">
        <v>31</v>
      </c>
      <c r="B2" s="18" t="s">
        <v>32</v>
      </c>
      <c r="C2" s="18" t="s">
        <v>51</v>
      </c>
      <c r="D2" s="18" t="s">
        <v>52</v>
      </c>
      <c r="E2" s="18" t="s">
        <v>53</v>
      </c>
      <c r="F2" s="18" t="s">
        <v>54</v>
      </c>
      <c r="G2" s="18" t="s">
        <v>30</v>
      </c>
      <c r="H2" s="18" t="s">
        <v>24</v>
      </c>
      <c r="I2" s="18" t="s">
        <v>27</v>
      </c>
      <c r="J2" s="18" t="s">
        <v>28</v>
      </c>
      <c r="K2" s="24">
        <v>1</v>
      </c>
      <c r="L2" s="18" t="s">
        <v>29</v>
      </c>
      <c r="M2" s="18">
        <v>2019</v>
      </c>
      <c r="N2" s="18" t="s">
        <v>25</v>
      </c>
      <c r="O2" s="25" t="s">
        <v>55</v>
      </c>
      <c r="P2" s="18" t="s">
        <v>23</v>
      </c>
      <c r="Q2" s="25" t="s">
        <v>23</v>
      </c>
      <c r="R2" s="26">
        <v>80</v>
      </c>
      <c r="S2" s="27">
        <v>0.8</v>
      </c>
      <c r="T2" s="27">
        <v>0.2</v>
      </c>
      <c r="U2" s="27">
        <v>0</v>
      </c>
    </row>
    <row r="3" spans="1:21" ht="12" thickBot="1" x14ac:dyDescent="0.25">
      <c r="A3" s="19" t="s">
        <v>31</v>
      </c>
      <c r="B3" s="19" t="s">
        <v>32</v>
      </c>
      <c r="C3" s="19" t="s">
        <v>51</v>
      </c>
      <c r="D3" s="19" t="s">
        <v>59</v>
      </c>
      <c r="E3" s="19" t="s">
        <v>60</v>
      </c>
      <c r="F3" s="19" t="s">
        <v>61</v>
      </c>
      <c r="G3" s="20" t="s">
        <v>33</v>
      </c>
      <c r="H3" s="21" t="s">
        <v>22</v>
      </c>
      <c r="I3" s="21" t="s">
        <v>27</v>
      </c>
      <c r="J3" s="22" t="s">
        <v>28</v>
      </c>
      <c r="K3" s="28">
        <v>0.5</v>
      </c>
      <c r="L3" s="28" t="s">
        <v>29</v>
      </c>
      <c r="M3" s="17">
        <v>2020</v>
      </c>
      <c r="N3" s="17" t="s">
        <v>23</v>
      </c>
      <c r="O3" s="23" t="s">
        <v>23</v>
      </c>
      <c r="P3" s="17" t="s">
        <v>23</v>
      </c>
      <c r="Q3" s="23" t="s">
        <v>23</v>
      </c>
      <c r="R3" s="17">
        <v>100</v>
      </c>
      <c r="S3" s="17">
        <v>0.5</v>
      </c>
      <c r="T3" s="17">
        <v>0</v>
      </c>
      <c r="U3" s="17">
        <v>0</v>
      </c>
    </row>
    <row r="4" spans="1:21" ht="12" thickBot="1" x14ac:dyDescent="0.25">
      <c r="A4" s="19" t="s">
        <v>31</v>
      </c>
      <c r="B4" s="19" t="s">
        <v>32</v>
      </c>
      <c r="C4" s="19" t="s">
        <v>51</v>
      </c>
      <c r="D4" s="19" t="s">
        <v>62</v>
      </c>
      <c r="E4" s="19" t="s">
        <v>63</v>
      </c>
      <c r="F4" s="19" t="s">
        <v>64</v>
      </c>
      <c r="G4" s="20" t="s">
        <v>65</v>
      </c>
      <c r="H4" s="21" t="s">
        <v>24</v>
      </c>
      <c r="I4" s="21" t="s">
        <v>27</v>
      </c>
      <c r="J4" s="22" t="s">
        <v>28</v>
      </c>
      <c r="K4" s="28">
        <v>1</v>
      </c>
      <c r="L4" s="28" t="s">
        <v>29</v>
      </c>
      <c r="M4" s="17">
        <v>2020</v>
      </c>
      <c r="N4" s="17" t="s">
        <v>26</v>
      </c>
      <c r="O4" s="23">
        <v>50</v>
      </c>
      <c r="P4" s="17" t="s">
        <v>23</v>
      </c>
      <c r="Q4" s="23">
        <v>0</v>
      </c>
      <c r="R4" s="17">
        <v>50</v>
      </c>
      <c r="S4" s="17">
        <v>0.5</v>
      </c>
      <c r="T4" s="17">
        <v>0.5</v>
      </c>
      <c r="U4" s="17">
        <v>0</v>
      </c>
    </row>
    <row r="5" spans="1:21" ht="12" thickBot="1" x14ac:dyDescent="0.25">
      <c r="A5" s="19" t="s">
        <v>66</v>
      </c>
      <c r="B5" s="19" t="s">
        <v>67</v>
      </c>
      <c r="C5" s="19" t="s">
        <v>68</v>
      </c>
      <c r="D5" s="19" t="s">
        <v>69</v>
      </c>
      <c r="E5" s="19" t="s">
        <v>70</v>
      </c>
      <c r="F5" s="19" t="s">
        <v>71</v>
      </c>
      <c r="G5" s="20" t="s">
        <v>72</v>
      </c>
      <c r="H5" s="21" t="s">
        <v>22</v>
      </c>
      <c r="I5" s="21" t="s">
        <v>27</v>
      </c>
      <c r="J5" s="22" t="s">
        <v>28</v>
      </c>
      <c r="K5" s="28">
        <v>0.5</v>
      </c>
      <c r="L5" s="28" t="s">
        <v>29</v>
      </c>
      <c r="M5" s="17">
        <v>2020</v>
      </c>
      <c r="N5" s="17" t="s">
        <v>25</v>
      </c>
      <c r="O5" s="23">
        <v>20</v>
      </c>
      <c r="P5" s="17" t="s">
        <v>23</v>
      </c>
      <c r="Q5" s="23">
        <v>0</v>
      </c>
      <c r="R5" s="17">
        <v>80</v>
      </c>
      <c r="S5" s="17">
        <v>0.4</v>
      </c>
      <c r="T5" s="17">
        <v>0.1</v>
      </c>
      <c r="U5" s="17">
        <v>0</v>
      </c>
    </row>
    <row r="6" spans="1:2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7"/>
      <c r="Q6" s="8"/>
      <c r="R6" s="7"/>
      <c r="S6" s="44">
        <f>SUM(S2:S5)</f>
        <v>2.2000000000000002</v>
      </c>
      <c r="T6" s="7"/>
      <c r="U6" s="7"/>
    </row>
  </sheetData>
  <autoFilter ref="A1:U1" xr:uid="{00000000-0009-0000-0000-000000000000}">
    <sortState xmlns:xlrd2="http://schemas.microsoft.com/office/spreadsheetml/2017/richdata2" ref="A2:U1895">
      <sortCondition ref="L3:L1895"/>
      <sortCondition ref="M3:M1895"/>
      <sortCondition ref="D3:D189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3"/>
  <sheetViews>
    <sheetView zoomScaleNormal="100" workbookViewId="0">
      <selection activeCell="M19" sqref="M19"/>
    </sheetView>
  </sheetViews>
  <sheetFormatPr baseColWidth="10" defaultColWidth="11.42578125" defaultRowHeight="12.75" x14ac:dyDescent="0.2"/>
  <cols>
    <col min="1" max="1" width="10.85546875" style="13" bestFit="1" customWidth="1"/>
    <col min="2" max="2" width="34.85546875" style="13" bestFit="1" customWidth="1"/>
    <col min="3" max="3" width="17" style="13" bestFit="1" customWidth="1"/>
    <col min="4" max="9" width="3.28515625" style="13" bestFit="1" customWidth="1"/>
    <col min="10" max="10" width="13.140625" style="13" bestFit="1" customWidth="1"/>
    <col min="11" max="11" width="5.28515625" style="13" bestFit="1" customWidth="1"/>
    <col min="12" max="13" width="5.7109375" style="13" bestFit="1" customWidth="1"/>
    <col min="14" max="14" width="5.7109375" style="14" bestFit="1" customWidth="1"/>
    <col min="15" max="15" width="5.7109375" style="13" bestFit="1" customWidth="1"/>
    <col min="16" max="16" width="5.7109375" style="14" bestFit="1" customWidth="1"/>
    <col min="17" max="19" width="5.7109375" style="13" bestFit="1" customWidth="1"/>
    <col min="20" max="16384" width="11.42578125" style="13"/>
  </cols>
  <sheetData>
    <row r="1" spans="1:20" s="12" customFormat="1" ht="60" customHeight="1" x14ac:dyDescent="0.2">
      <c r="A1" s="15" t="s">
        <v>34</v>
      </c>
      <c r="B1" s="15" t="s">
        <v>35</v>
      </c>
      <c r="C1" s="15" t="s">
        <v>36</v>
      </c>
      <c r="D1" s="16" t="s">
        <v>138</v>
      </c>
      <c r="E1" s="16" t="s">
        <v>139</v>
      </c>
      <c r="F1" s="16" t="s">
        <v>140</v>
      </c>
      <c r="G1" s="16" t="s">
        <v>141</v>
      </c>
      <c r="H1" s="16" t="s">
        <v>142</v>
      </c>
      <c r="I1" s="16" t="s">
        <v>143</v>
      </c>
      <c r="J1" s="15" t="s">
        <v>37</v>
      </c>
      <c r="K1" s="29" t="s">
        <v>58</v>
      </c>
      <c r="L1" s="10" t="s">
        <v>38</v>
      </c>
      <c r="M1" s="10" t="s">
        <v>39</v>
      </c>
      <c r="N1" s="10" t="s">
        <v>40</v>
      </c>
      <c r="O1" s="10" t="s">
        <v>41</v>
      </c>
      <c r="P1" s="11" t="s">
        <v>42</v>
      </c>
      <c r="Q1" s="11" t="s">
        <v>43</v>
      </c>
      <c r="R1" s="11" t="s">
        <v>44</v>
      </c>
      <c r="S1" s="11" t="s">
        <v>45</v>
      </c>
      <c r="T1" s="13"/>
    </row>
    <row r="2" spans="1:20" ht="15" x14ac:dyDescent="0.25">
      <c r="A2" s="35" t="s">
        <v>49</v>
      </c>
      <c r="B2" s="35" t="s">
        <v>144</v>
      </c>
      <c r="C2" s="35" t="s">
        <v>46</v>
      </c>
      <c r="D2" s="35">
        <v>1</v>
      </c>
      <c r="E2" s="35"/>
      <c r="F2" s="35"/>
      <c r="G2" s="35"/>
      <c r="H2" s="35"/>
      <c r="I2" s="35"/>
      <c r="J2" s="35">
        <v>1</v>
      </c>
      <c r="K2" s="35" t="s">
        <v>29</v>
      </c>
      <c r="L2" s="36">
        <v>0</v>
      </c>
      <c r="M2" s="36">
        <v>0</v>
      </c>
      <c r="N2" s="36" t="s">
        <v>23</v>
      </c>
      <c r="O2" s="36" t="s">
        <v>23</v>
      </c>
      <c r="P2" s="36">
        <v>100</v>
      </c>
      <c r="Q2" s="36">
        <v>0</v>
      </c>
      <c r="R2" s="36">
        <v>0</v>
      </c>
      <c r="S2" s="36">
        <v>1</v>
      </c>
    </row>
    <row r="3" spans="1:20" ht="15" x14ac:dyDescent="0.25">
      <c r="A3" s="35" t="s">
        <v>79</v>
      </c>
      <c r="B3" s="35" t="s">
        <v>145</v>
      </c>
      <c r="C3" s="35" t="s">
        <v>47</v>
      </c>
      <c r="D3" s="35"/>
      <c r="E3" s="35"/>
      <c r="F3" s="35"/>
      <c r="G3" s="35"/>
      <c r="H3" s="35">
        <v>1</v>
      </c>
      <c r="I3" s="35"/>
      <c r="J3" s="35">
        <v>1</v>
      </c>
      <c r="K3" s="35" t="s">
        <v>29</v>
      </c>
      <c r="L3" s="36">
        <v>0</v>
      </c>
      <c r="M3" s="36">
        <v>0</v>
      </c>
      <c r="N3" s="36" t="s">
        <v>23</v>
      </c>
      <c r="O3" s="36" t="s">
        <v>23</v>
      </c>
      <c r="P3" s="36">
        <v>100</v>
      </c>
      <c r="Q3" s="36">
        <v>0</v>
      </c>
      <c r="R3" s="36">
        <v>0</v>
      </c>
      <c r="S3" s="36">
        <v>1</v>
      </c>
    </row>
    <row r="4" spans="1:20" ht="15" x14ac:dyDescent="0.25">
      <c r="A4" s="35" t="s">
        <v>50</v>
      </c>
      <c r="B4" s="35" t="s">
        <v>146</v>
      </c>
      <c r="C4" s="35" t="s">
        <v>46</v>
      </c>
      <c r="D4" s="35"/>
      <c r="E4" s="35"/>
      <c r="F4" s="35"/>
      <c r="G4" s="35"/>
      <c r="H4" s="35"/>
      <c r="I4" s="35">
        <v>1</v>
      </c>
      <c r="J4" s="35">
        <v>1</v>
      </c>
      <c r="K4" s="35" t="s">
        <v>29</v>
      </c>
      <c r="L4" s="36" t="s">
        <v>26</v>
      </c>
      <c r="M4" s="36" t="s">
        <v>107</v>
      </c>
      <c r="N4" s="36" t="s">
        <v>23</v>
      </c>
      <c r="O4" s="36" t="s">
        <v>23</v>
      </c>
      <c r="P4" s="36">
        <v>50</v>
      </c>
      <c r="Q4" s="36">
        <v>0.5</v>
      </c>
      <c r="R4" s="36">
        <v>0</v>
      </c>
      <c r="S4" s="36">
        <v>0.5</v>
      </c>
    </row>
    <row r="5" spans="1:20" ht="15" x14ac:dyDescent="0.25">
      <c r="A5" s="35" t="s">
        <v>108</v>
      </c>
      <c r="B5" s="35" t="s">
        <v>147</v>
      </c>
      <c r="C5" s="35" t="s">
        <v>47</v>
      </c>
      <c r="D5" s="35"/>
      <c r="E5" s="35"/>
      <c r="F5" s="35"/>
      <c r="G5" s="35"/>
      <c r="H5" s="35">
        <v>1</v>
      </c>
      <c r="I5" s="35"/>
      <c r="J5" s="35">
        <v>1</v>
      </c>
      <c r="K5" s="35" t="s">
        <v>29</v>
      </c>
      <c r="L5" s="36">
        <v>0</v>
      </c>
      <c r="M5" s="36">
        <v>0</v>
      </c>
      <c r="N5" s="36" t="s">
        <v>23</v>
      </c>
      <c r="O5" s="36" t="s">
        <v>23</v>
      </c>
      <c r="P5" s="36">
        <v>100</v>
      </c>
      <c r="Q5" s="36">
        <v>0</v>
      </c>
      <c r="R5" s="36">
        <v>0</v>
      </c>
      <c r="S5" s="36">
        <v>1</v>
      </c>
    </row>
    <row r="6" spans="1:20" ht="15" x14ac:dyDescent="0.25">
      <c r="A6" s="35" t="s">
        <v>56</v>
      </c>
      <c r="B6" s="35" t="s">
        <v>148</v>
      </c>
      <c r="C6" s="35" t="s">
        <v>46</v>
      </c>
      <c r="D6" s="35"/>
      <c r="E6" s="35"/>
      <c r="F6" s="35"/>
      <c r="G6" s="35">
        <v>1</v>
      </c>
      <c r="H6" s="35"/>
      <c r="I6" s="35"/>
      <c r="J6" s="35">
        <v>1</v>
      </c>
      <c r="K6" s="35" t="s">
        <v>29</v>
      </c>
      <c r="L6" s="36">
        <v>0</v>
      </c>
      <c r="M6" s="36">
        <v>0</v>
      </c>
      <c r="N6" s="36" t="s">
        <v>23</v>
      </c>
      <c r="O6" s="36" t="s">
        <v>23</v>
      </c>
      <c r="P6" s="36">
        <v>100</v>
      </c>
      <c r="Q6" s="36">
        <v>0</v>
      </c>
      <c r="R6" s="36">
        <v>0</v>
      </c>
      <c r="S6" s="36">
        <v>1</v>
      </c>
    </row>
    <row r="7" spans="1:20" ht="15" x14ac:dyDescent="0.25">
      <c r="A7" s="35" t="s">
        <v>73</v>
      </c>
      <c r="B7" s="35" t="s">
        <v>149</v>
      </c>
      <c r="C7" s="35" t="s">
        <v>46</v>
      </c>
      <c r="D7" s="35"/>
      <c r="E7" s="35"/>
      <c r="F7" s="35"/>
      <c r="G7" s="35">
        <v>1</v>
      </c>
      <c r="H7" s="35"/>
      <c r="I7" s="35"/>
      <c r="J7" s="35">
        <v>1</v>
      </c>
      <c r="K7" s="35" t="s">
        <v>29</v>
      </c>
      <c r="L7" s="36" t="s">
        <v>25</v>
      </c>
      <c r="M7" s="36" t="s">
        <v>55</v>
      </c>
      <c r="N7" s="36" t="s">
        <v>23</v>
      </c>
      <c r="O7" s="36" t="s">
        <v>23</v>
      </c>
      <c r="P7" s="36">
        <v>80</v>
      </c>
      <c r="Q7" s="36">
        <v>0.2</v>
      </c>
      <c r="R7" s="36">
        <v>0</v>
      </c>
      <c r="S7" s="36">
        <v>0.8</v>
      </c>
    </row>
    <row r="8" spans="1:20" ht="15" x14ac:dyDescent="0.25">
      <c r="A8" s="35" t="s">
        <v>48</v>
      </c>
      <c r="B8" s="35" t="s">
        <v>150</v>
      </c>
      <c r="C8" s="35" t="s">
        <v>46</v>
      </c>
      <c r="D8" s="35"/>
      <c r="E8" s="35"/>
      <c r="F8" s="35"/>
      <c r="G8" s="35">
        <v>1</v>
      </c>
      <c r="H8" s="35"/>
      <c r="I8" s="35"/>
      <c r="J8" s="35">
        <v>1</v>
      </c>
      <c r="K8" s="35" t="s">
        <v>29</v>
      </c>
      <c r="L8" s="36">
        <v>0</v>
      </c>
      <c r="M8" s="36">
        <v>0</v>
      </c>
      <c r="N8" s="36" t="s">
        <v>23</v>
      </c>
      <c r="O8" s="36" t="s">
        <v>23</v>
      </c>
      <c r="P8" s="36">
        <v>100</v>
      </c>
      <c r="Q8" s="36">
        <v>0</v>
      </c>
      <c r="R8" s="36">
        <v>0</v>
      </c>
      <c r="S8" s="36">
        <v>1</v>
      </c>
    </row>
    <row r="9" spans="1:20" ht="15" x14ac:dyDescent="0.25">
      <c r="A9" s="35" t="s">
        <v>74</v>
      </c>
      <c r="B9" s="35" t="s">
        <v>151</v>
      </c>
      <c r="C9" s="37" t="s">
        <v>46</v>
      </c>
      <c r="D9" s="35"/>
      <c r="E9" s="35"/>
      <c r="F9" s="35"/>
      <c r="G9" s="35"/>
      <c r="H9" s="35">
        <v>1</v>
      </c>
      <c r="I9" s="35"/>
      <c r="J9" s="35">
        <v>1</v>
      </c>
      <c r="K9" s="35" t="s">
        <v>29</v>
      </c>
      <c r="L9" s="36" t="s">
        <v>25</v>
      </c>
      <c r="M9" s="36" t="s">
        <v>55</v>
      </c>
      <c r="N9" s="36" t="s">
        <v>23</v>
      </c>
      <c r="O9" s="36" t="s">
        <v>23</v>
      </c>
      <c r="P9" s="36">
        <v>80</v>
      </c>
      <c r="Q9" s="36">
        <v>0.2</v>
      </c>
      <c r="R9" s="36">
        <v>0</v>
      </c>
      <c r="S9" s="36">
        <v>0.8</v>
      </c>
    </row>
    <row r="10" spans="1:20" ht="15" x14ac:dyDescent="0.25">
      <c r="A10" s="38" t="s">
        <v>57</v>
      </c>
      <c r="B10" s="38" t="s">
        <v>152</v>
      </c>
      <c r="C10" s="39" t="s">
        <v>47</v>
      </c>
      <c r="D10" s="38"/>
      <c r="E10" s="38"/>
      <c r="F10" s="38">
        <v>1</v>
      </c>
      <c r="G10" s="38"/>
      <c r="H10" s="38"/>
      <c r="I10" s="38"/>
      <c r="J10" s="38">
        <v>1</v>
      </c>
      <c r="K10" s="35" t="s">
        <v>29</v>
      </c>
      <c r="L10" s="40">
        <v>0</v>
      </c>
      <c r="M10" s="40">
        <v>0</v>
      </c>
      <c r="N10" s="40" t="s">
        <v>23</v>
      </c>
      <c r="O10" s="40" t="s">
        <v>23</v>
      </c>
      <c r="P10" s="40">
        <v>100</v>
      </c>
      <c r="Q10" s="40">
        <v>0</v>
      </c>
      <c r="R10" s="40">
        <v>0</v>
      </c>
      <c r="S10" s="40">
        <v>1</v>
      </c>
    </row>
    <row r="11" spans="1:20" ht="15" x14ac:dyDescent="0.25">
      <c r="A11" s="41"/>
      <c r="B11" s="41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3">
        <f>SUM(S2:S10)</f>
        <v>8.1</v>
      </c>
    </row>
    <row r="13" spans="1:20" s="12" customFormat="1" ht="60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3"/>
      <c r="P13" s="14"/>
      <c r="Q13" s="13"/>
      <c r="R13" s="13"/>
      <c r="S13" s="13"/>
      <c r="T13" s="13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088E-AF95-463A-9396-985B237F51C7}">
  <dimension ref="A1:C18"/>
  <sheetViews>
    <sheetView workbookViewId="0">
      <selection activeCell="E10" sqref="E10"/>
    </sheetView>
  </sheetViews>
  <sheetFormatPr baseColWidth="10" defaultRowHeight="15" x14ac:dyDescent="0.25"/>
  <cols>
    <col min="1" max="1" width="16.42578125" customWidth="1"/>
    <col min="2" max="2" width="94.5703125" customWidth="1"/>
    <col min="3" max="3" width="15.42578125" customWidth="1"/>
  </cols>
  <sheetData>
    <row r="1" spans="1:3" x14ac:dyDescent="0.25">
      <c r="A1" s="49" t="s">
        <v>75</v>
      </c>
      <c r="B1" s="49" t="s">
        <v>76</v>
      </c>
      <c r="C1" s="49" t="s">
        <v>77</v>
      </c>
    </row>
    <row r="2" spans="1:3" x14ac:dyDescent="0.25">
      <c r="A2" s="32" t="s">
        <v>80</v>
      </c>
      <c r="B2" s="32" t="s">
        <v>81</v>
      </c>
      <c r="C2" s="30">
        <v>9856</v>
      </c>
    </row>
    <row r="3" spans="1:3" x14ac:dyDescent="0.25">
      <c r="A3" s="33" t="s">
        <v>78</v>
      </c>
      <c r="B3" s="33" t="s">
        <v>82</v>
      </c>
      <c r="C3" s="31">
        <v>1196.8</v>
      </c>
    </row>
    <row r="4" spans="1:3" x14ac:dyDescent="0.25">
      <c r="A4" s="32" t="s">
        <v>83</v>
      </c>
      <c r="B4" s="32" t="s">
        <v>84</v>
      </c>
      <c r="C4" s="30">
        <v>1760</v>
      </c>
    </row>
    <row r="5" spans="1:3" x14ac:dyDescent="0.25">
      <c r="A5" s="33" t="s">
        <v>83</v>
      </c>
      <c r="B5" s="33" t="s">
        <v>85</v>
      </c>
      <c r="C5" s="31">
        <v>1760</v>
      </c>
    </row>
    <row r="6" spans="1:3" x14ac:dyDescent="0.25">
      <c r="A6" s="32" t="s">
        <v>86</v>
      </c>
      <c r="B6" s="32" t="s">
        <v>87</v>
      </c>
      <c r="C6" s="30">
        <v>3256</v>
      </c>
    </row>
    <row r="7" spans="1:3" x14ac:dyDescent="0.25">
      <c r="A7" s="33" t="s">
        <v>88</v>
      </c>
      <c r="B7" s="33" t="s">
        <v>89</v>
      </c>
      <c r="C7" s="31">
        <v>2200</v>
      </c>
    </row>
    <row r="8" spans="1:3" x14ac:dyDescent="0.25">
      <c r="A8" s="32" t="s">
        <v>88</v>
      </c>
      <c r="B8" s="32" t="s">
        <v>90</v>
      </c>
      <c r="C8" s="30">
        <v>2200</v>
      </c>
    </row>
    <row r="9" spans="1:3" x14ac:dyDescent="0.25">
      <c r="A9" s="33" t="s">
        <v>91</v>
      </c>
      <c r="B9" s="33" t="s">
        <v>92</v>
      </c>
      <c r="C9" s="31">
        <v>2552</v>
      </c>
    </row>
    <row r="10" spans="1:3" x14ac:dyDescent="0.25">
      <c r="A10" s="32" t="s">
        <v>93</v>
      </c>
      <c r="B10" s="32" t="s">
        <v>94</v>
      </c>
      <c r="C10" s="30">
        <v>1579.6</v>
      </c>
    </row>
    <row r="11" spans="1:3" x14ac:dyDescent="0.25">
      <c r="A11" s="33" t="s">
        <v>95</v>
      </c>
      <c r="B11" s="33" t="s">
        <v>96</v>
      </c>
      <c r="C11" s="31">
        <v>7040</v>
      </c>
    </row>
    <row r="12" spans="1:3" x14ac:dyDescent="0.25">
      <c r="A12" s="32" t="s">
        <v>97</v>
      </c>
      <c r="B12" s="32" t="s">
        <v>98</v>
      </c>
      <c r="C12" s="30">
        <v>1095.8599999999999</v>
      </c>
    </row>
    <row r="13" spans="1:3" x14ac:dyDescent="0.25">
      <c r="A13" s="33" t="s">
        <v>99</v>
      </c>
      <c r="B13" s="33" t="s">
        <v>100</v>
      </c>
      <c r="C13" s="31">
        <v>11000</v>
      </c>
    </row>
    <row r="14" spans="1:3" x14ac:dyDescent="0.25">
      <c r="A14" s="32" t="s">
        <v>101</v>
      </c>
      <c r="B14" s="32" t="s">
        <v>102</v>
      </c>
      <c r="C14" s="30">
        <v>6827.84</v>
      </c>
    </row>
    <row r="15" spans="1:3" x14ac:dyDescent="0.25">
      <c r="A15" s="33" t="s">
        <v>103</v>
      </c>
      <c r="B15" s="33" t="s">
        <v>104</v>
      </c>
      <c r="C15" s="31">
        <v>176</v>
      </c>
    </row>
    <row r="16" spans="1:3" x14ac:dyDescent="0.25">
      <c r="A16" s="50" t="s">
        <v>105</v>
      </c>
      <c r="B16" s="50" t="s">
        <v>106</v>
      </c>
      <c r="C16" s="45">
        <v>176</v>
      </c>
    </row>
    <row r="17" spans="1:3" x14ac:dyDescent="0.25">
      <c r="A17" s="47" t="s">
        <v>0</v>
      </c>
      <c r="B17" s="47"/>
      <c r="C17" s="48">
        <f>SUBTOTAL(109,Tabla3[Imp.cob.aplic.])</f>
        <v>52676.099999999991</v>
      </c>
    </row>
    <row r="18" spans="1:3" x14ac:dyDescent="0.25">
      <c r="C18" s="3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074C-5909-4861-B0BD-D83813F23C7F}">
  <dimension ref="A1:C18"/>
  <sheetViews>
    <sheetView topLeftCell="A4" workbookViewId="0">
      <selection activeCell="B21" sqref="B21:C21"/>
    </sheetView>
  </sheetViews>
  <sheetFormatPr baseColWidth="10" defaultRowHeight="15" x14ac:dyDescent="0.25"/>
  <cols>
    <col min="1" max="1" width="17" customWidth="1"/>
    <col min="2" max="2" width="51.5703125" customWidth="1"/>
    <col min="3" max="3" width="13.28515625" customWidth="1"/>
  </cols>
  <sheetData>
    <row r="1" spans="1:3" x14ac:dyDescent="0.25">
      <c r="A1" s="53" t="s">
        <v>109</v>
      </c>
      <c r="B1" s="53" t="s">
        <v>76</v>
      </c>
      <c r="C1" s="54" t="s">
        <v>110</v>
      </c>
    </row>
    <row r="2" spans="1:3" x14ac:dyDescent="0.25">
      <c r="A2" s="51" t="s">
        <v>99</v>
      </c>
      <c r="B2" s="51" t="s">
        <v>111</v>
      </c>
      <c r="C2" s="30">
        <v>11000</v>
      </c>
    </row>
    <row r="3" spans="1:3" x14ac:dyDescent="0.25">
      <c r="A3" s="52" t="s">
        <v>112</v>
      </c>
      <c r="B3" s="52" t="s">
        <v>113</v>
      </c>
      <c r="C3" s="31">
        <v>880</v>
      </c>
    </row>
    <row r="4" spans="1:3" x14ac:dyDescent="0.25">
      <c r="A4" s="51" t="s">
        <v>114</v>
      </c>
      <c r="B4" s="51" t="s">
        <v>115</v>
      </c>
      <c r="C4" s="30">
        <v>39.6</v>
      </c>
    </row>
    <row r="5" spans="1:3" x14ac:dyDescent="0.25">
      <c r="A5" s="52" t="s">
        <v>116</v>
      </c>
      <c r="B5" s="52" t="s">
        <v>117</v>
      </c>
      <c r="C5" s="31">
        <v>396</v>
      </c>
    </row>
    <row r="6" spans="1:3" x14ac:dyDescent="0.25">
      <c r="A6" s="51" t="s">
        <v>118</v>
      </c>
      <c r="B6" s="51" t="s">
        <v>119</v>
      </c>
      <c r="C6" s="30">
        <v>2904</v>
      </c>
    </row>
    <row r="7" spans="1:3" x14ac:dyDescent="0.25">
      <c r="A7" s="52" t="s">
        <v>120</v>
      </c>
      <c r="B7" s="52" t="s">
        <v>121</v>
      </c>
      <c r="C7" s="31">
        <v>2640</v>
      </c>
    </row>
    <row r="8" spans="1:3" x14ac:dyDescent="0.25">
      <c r="A8" s="51" t="s">
        <v>120</v>
      </c>
      <c r="B8" s="51" t="s">
        <v>122</v>
      </c>
      <c r="C8" s="30">
        <v>2640</v>
      </c>
    </row>
    <row r="9" spans="1:3" x14ac:dyDescent="0.25">
      <c r="A9" s="52" t="s">
        <v>120</v>
      </c>
      <c r="B9" s="52" t="s">
        <v>123</v>
      </c>
      <c r="C9" s="31">
        <v>3168</v>
      </c>
    </row>
    <row r="10" spans="1:3" x14ac:dyDescent="0.25">
      <c r="A10" s="51" t="s">
        <v>124</v>
      </c>
      <c r="B10" s="51" t="s">
        <v>125</v>
      </c>
      <c r="C10" s="30">
        <v>2288</v>
      </c>
    </row>
    <row r="11" spans="1:3" x14ac:dyDescent="0.25">
      <c r="A11" s="52" t="s">
        <v>126</v>
      </c>
      <c r="B11" s="52" t="s">
        <v>127</v>
      </c>
      <c r="C11" s="31">
        <v>2904</v>
      </c>
    </row>
    <row r="12" spans="1:3" x14ac:dyDescent="0.25">
      <c r="A12" s="51" t="s">
        <v>128</v>
      </c>
      <c r="B12" s="51" t="s">
        <v>129</v>
      </c>
      <c r="C12" s="30">
        <v>6827.84</v>
      </c>
    </row>
    <row r="13" spans="1:3" x14ac:dyDescent="0.25">
      <c r="A13" s="52" t="s">
        <v>130</v>
      </c>
      <c r="B13" s="52" t="s">
        <v>131</v>
      </c>
      <c r="C13" s="31">
        <v>378.4</v>
      </c>
    </row>
    <row r="14" spans="1:3" x14ac:dyDescent="0.25">
      <c r="A14" s="51" t="s">
        <v>132</v>
      </c>
      <c r="B14" s="51" t="s">
        <v>133</v>
      </c>
      <c r="C14" s="30">
        <v>2288</v>
      </c>
    </row>
    <row r="15" spans="1:3" x14ac:dyDescent="0.25">
      <c r="A15" s="52" t="s">
        <v>134</v>
      </c>
      <c r="B15" s="52" t="s">
        <v>135</v>
      </c>
      <c r="C15" s="31">
        <v>3960</v>
      </c>
    </row>
    <row r="16" spans="1:3" x14ac:dyDescent="0.25">
      <c r="A16" s="51" t="s">
        <v>134</v>
      </c>
      <c r="B16" s="51" t="s">
        <v>136</v>
      </c>
      <c r="C16" s="30">
        <v>4840</v>
      </c>
    </row>
    <row r="17" spans="1:3" x14ac:dyDescent="0.25">
      <c r="A17" s="46" t="s">
        <v>134</v>
      </c>
      <c r="B17" s="46" t="s">
        <v>137</v>
      </c>
      <c r="C17" s="55">
        <v>3520</v>
      </c>
    </row>
    <row r="18" spans="1:3" x14ac:dyDescent="0.25">
      <c r="A18" s="46" t="s">
        <v>0</v>
      </c>
      <c r="B18" s="46"/>
      <c r="C18" s="56">
        <f>SUBTOTAL(109,Tabla4[Imp. aplic.])</f>
        <v>50673.840000000004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84C1-87A6-432C-8751-25B8B5B145BC}">
  <dimension ref="A1:C34"/>
  <sheetViews>
    <sheetView tabSelected="1" topLeftCell="A19" workbookViewId="0">
      <selection activeCell="B35" sqref="B35"/>
    </sheetView>
  </sheetViews>
  <sheetFormatPr baseColWidth="10" defaultRowHeight="15" x14ac:dyDescent="0.25"/>
  <cols>
    <col min="1" max="1" width="17.7109375" customWidth="1"/>
    <col min="2" max="2" width="59.140625" customWidth="1"/>
    <col min="3" max="3" width="17.85546875" customWidth="1"/>
  </cols>
  <sheetData>
    <row r="1" spans="1:3" x14ac:dyDescent="0.25">
      <c r="A1" s="57" t="s">
        <v>109</v>
      </c>
      <c r="B1" s="58" t="s">
        <v>76</v>
      </c>
      <c r="C1" s="58" t="s">
        <v>110</v>
      </c>
    </row>
    <row r="2" spans="1:3" x14ac:dyDescent="0.25">
      <c r="A2" s="59" t="s">
        <v>99</v>
      </c>
      <c r="B2" s="60" t="s">
        <v>153</v>
      </c>
      <c r="C2" s="61">
        <v>11000</v>
      </c>
    </row>
    <row r="3" spans="1:3" x14ac:dyDescent="0.25">
      <c r="A3" s="62" t="s">
        <v>120</v>
      </c>
      <c r="B3" s="63" t="s">
        <v>154</v>
      </c>
      <c r="C3" s="64">
        <v>2112</v>
      </c>
    </row>
    <row r="4" spans="1:3" x14ac:dyDescent="0.25">
      <c r="A4" s="59" t="s">
        <v>155</v>
      </c>
      <c r="B4" s="60" t="s">
        <v>156</v>
      </c>
      <c r="C4" s="61">
        <v>1041.92</v>
      </c>
    </row>
    <row r="5" spans="1:3" x14ac:dyDescent="0.25">
      <c r="A5" s="62" t="s">
        <v>157</v>
      </c>
      <c r="B5" s="63" t="s">
        <v>158</v>
      </c>
      <c r="C5" s="64">
        <v>7559.2</v>
      </c>
    </row>
    <row r="6" spans="1:3" x14ac:dyDescent="0.25">
      <c r="A6" s="59" t="s">
        <v>159</v>
      </c>
      <c r="B6" s="60" t="s">
        <v>160</v>
      </c>
      <c r="C6" s="61">
        <v>1491.6</v>
      </c>
    </row>
    <row r="7" spans="1:3" x14ac:dyDescent="0.25">
      <c r="A7" s="62" t="s">
        <v>161</v>
      </c>
      <c r="B7" s="63" t="s">
        <v>162</v>
      </c>
      <c r="C7" s="64">
        <v>756.8</v>
      </c>
    </row>
    <row r="8" spans="1:3" x14ac:dyDescent="0.25">
      <c r="A8" s="59" t="s">
        <v>163</v>
      </c>
      <c r="B8" s="60" t="s">
        <v>164</v>
      </c>
      <c r="C8" s="61">
        <v>2464</v>
      </c>
    </row>
    <row r="9" spans="1:3" x14ac:dyDescent="0.25">
      <c r="A9" s="62" t="s">
        <v>165</v>
      </c>
      <c r="B9" s="63" t="s">
        <v>166</v>
      </c>
      <c r="C9" s="64">
        <v>686.4</v>
      </c>
    </row>
    <row r="10" spans="1:3" x14ac:dyDescent="0.25">
      <c r="A10" s="59" t="s">
        <v>167</v>
      </c>
      <c r="B10" s="60" t="s">
        <v>168</v>
      </c>
      <c r="C10" s="61">
        <v>1900.8</v>
      </c>
    </row>
    <row r="11" spans="1:3" x14ac:dyDescent="0.25">
      <c r="A11" s="62" t="s">
        <v>167</v>
      </c>
      <c r="B11" s="63" t="s">
        <v>169</v>
      </c>
      <c r="C11" s="64">
        <v>4435.2</v>
      </c>
    </row>
    <row r="12" spans="1:3" x14ac:dyDescent="0.25">
      <c r="A12" s="59" t="s">
        <v>170</v>
      </c>
      <c r="B12" s="60" t="s">
        <v>171</v>
      </c>
      <c r="C12" s="61">
        <v>528</v>
      </c>
    </row>
    <row r="13" spans="1:3" x14ac:dyDescent="0.25">
      <c r="A13" s="62" t="s">
        <v>172</v>
      </c>
      <c r="B13" s="63" t="s">
        <v>173</v>
      </c>
      <c r="C13" s="64">
        <v>8059.04</v>
      </c>
    </row>
    <row r="14" spans="1:3" x14ac:dyDescent="0.25">
      <c r="A14" s="59" t="s">
        <v>174</v>
      </c>
      <c r="B14" s="60" t="s">
        <v>175</v>
      </c>
      <c r="C14" s="61">
        <v>7431.6</v>
      </c>
    </row>
    <row r="15" spans="1:3" x14ac:dyDescent="0.25">
      <c r="A15" s="62" t="s">
        <v>176</v>
      </c>
      <c r="B15" s="63" t="s">
        <v>177</v>
      </c>
      <c r="C15" s="64">
        <v>3080</v>
      </c>
    </row>
    <row r="16" spans="1:3" x14ac:dyDescent="0.25">
      <c r="A16" s="59" t="s">
        <v>178</v>
      </c>
      <c r="B16" s="60" t="s">
        <v>179</v>
      </c>
      <c r="C16" s="61">
        <v>898.48</v>
      </c>
    </row>
    <row r="17" spans="1:3" x14ac:dyDescent="0.25">
      <c r="A17" s="62" t="s">
        <v>180</v>
      </c>
      <c r="B17" s="63" t="s">
        <v>181</v>
      </c>
      <c r="C17" s="64">
        <v>5711.51</v>
      </c>
    </row>
    <row r="18" spans="1:3" x14ac:dyDescent="0.25">
      <c r="A18" s="59" t="s">
        <v>180</v>
      </c>
      <c r="B18" s="60" t="s">
        <v>182</v>
      </c>
      <c r="C18" s="61">
        <v>875</v>
      </c>
    </row>
    <row r="19" spans="1:3" x14ac:dyDescent="0.25">
      <c r="A19" s="62" t="s">
        <v>180</v>
      </c>
      <c r="B19" s="63" t="s">
        <v>183</v>
      </c>
      <c r="C19" s="64">
        <v>235</v>
      </c>
    </row>
    <row r="20" spans="1:3" x14ac:dyDescent="0.25">
      <c r="A20" s="59" t="s">
        <v>180</v>
      </c>
      <c r="B20" s="60" t="s">
        <v>184</v>
      </c>
      <c r="C20" s="61">
        <v>1765</v>
      </c>
    </row>
    <row r="21" spans="1:3" x14ac:dyDescent="0.25">
      <c r="A21" s="62" t="s">
        <v>180</v>
      </c>
      <c r="B21" s="63" t="s">
        <v>185</v>
      </c>
      <c r="C21" s="64">
        <v>175</v>
      </c>
    </row>
    <row r="22" spans="1:3" x14ac:dyDescent="0.25">
      <c r="A22" s="59" t="s">
        <v>180</v>
      </c>
      <c r="B22" s="60" t="s">
        <v>186</v>
      </c>
      <c r="C22" s="61">
        <v>3100</v>
      </c>
    </row>
    <row r="23" spans="1:3" x14ac:dyDescent="0.25">
      <c r="A23" s="62" t="s">
        <v>180</v>
      </c>
      <c r="B23" s="63" t="s">
        <v>187</v>
      </c>
      <c r="C23" s="64">
        <v>70</v>
      </c>
    </row>
    <row r="24" spans="1:3" x14ac:dyDescent="0.25">
      <c r="A24" s="59" t="s">
        <v>180</v>
      </c>
      <c r="B24" s="60" t="s">
        <v>188</v>
      </c>
      <c r="C24" s="61">
        <v>175</v>
      </c>
    </row>
    <row r="25" spans="1:3" x14ac:dyDescent="0.25">
      <c r="A25" s="62" t="s">
        <v>180</v>
      </c>
      <c r="B25" s="63" t="s">
        <v>189</v>
      </c>
      <c r="C25" s="64">
        <v>525</v>
      </c>
    </row>
    <row r="26" spans="1:3" x14ac:dyDescent="0.25">
      <c r="A26" s="59" t="s">
        <v>180</v>
      </c>
      <c r="B26" s="60" t="s">
        <v>190</v>
      </c>
      <c r="C26" s="61">
        <v>925</v>
      </c>
    </row>
    <row r="27" spans="1:3" x14ac:dyDescent="0.25">
      <c r="A27" s="62" t="s">
        <v>180</v>
      </c>
      <c r="B27" s="63" t="s">
        <v>191</v>
      </c>
      <c r="C27" s="64">
        <v>175</v>
      </c>
    </row>
    <row r="28" spans="1:3" x14ac:dyDescent="0.25">
      <c r="A28" s="59" t="s">
        <v>134</v>
      </c>
      <c r="B28" s="60" t="s">
        <v>192</v>
      </c>
      <c r="C28" s="61">
        <v>5280</v>
      </c>
    </row>
    <row r="29" spans="1:3" ht="15.75" thickBot="1" x14ac:dyDescent="0.3">
      <c r="A29" s="62" t="s">
        <v>193</v>
      </c>
      <c r="B29" s="63" t="s">
        <v>194</v>
      </c>
      <c r="C29" s="64">
        <v>5000</v>
      </c>
    </row>
    <row r="30" spans="1:3" ht="15.75" thickTop="1" x14ac:dyDescent="0.25">
      <c r="A30" s="65" t="s">
        <v>0</v>
      </c>
      <c r="B30" s="66"/>
      <c r="C30" s="67">
        <v>77456.55</v>
      </c>
    </row>
    <row r="34" spans="2:3" x14ac:dyDescent="0.25">
      <c r="B34" s="68" t="s">
        <v>195</v>
      </c>
      <c r="C34" s="69">
        <f>Tabla4[[#Totals],[Imp. aplic.]]+Tabla3[[#Totals],[Imp.cob.aplic.]]+C30</f>
        <v>180806.49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2026-05-21T07:19:53Z</dcterms:modified>
</cp:coreProperties>
</file>