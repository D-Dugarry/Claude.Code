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_Unidad_Presupuestos\2_PRESUPUESTACIÓN\Presupuesto 2027\Datos\D-I\Indicadores provisionales\"/>
    </mc:Choice>
  </mc:AlternateContent>
  <xr:revisionPtr revIDLastSave="0" documentId="13_ncr:1_{C2A825DE-C196-43F3-B87C-E5CD1FD58F7F}" xr6:coauthVersionLast="47" xr6:coauthVersionMax="47" xr10:uidLastSave="{00000000-0000-0000-0000-000000000000}"/>
  <bookViews>
    <workbookView xWindow="-120" yWindow="-120" windowWidth="29040" windowHeight="15720" firstSheet="3" activeTab="7" xr2:uid="{00000000-000D-0000-FFFF-FFFF00000000}"/>
  </bookViews>
  <sheets>
    <sheet name="Tesis" sheetId="12" r:id="rId1"/>
    <sheet name="Sexenios" sheetId="13" r:id="rId2"/>
    <sheet name="Ingresos investigación 2023" sheetId="22" r:id="rId3"/>
    <sheet name="Ingresos investigación 2024" sheetId="24" r:id="rId4"/>
    <sheet name="Ingresos investigación 2025" sheetId="26" r:id="rId5"/>
    <sheet name="Ingresos formación 2023" sheetId="23" r:id="rId6"/>
    <sheet name="Ingresos formación 2024" sheetId="25" r:id="rId7"/>
    <sheet name="Ingresos formación 2025" sheetId="27" r:id="rId8"/>
  </sheets>
  <definedNames>
    <definedName name="_xlnm._FilterDatabase" localSheetId="1" hidden="1">Sexenios!#REF!</definedName>
    <definedName name="_xlnm._FilterDatabase" localSheetId="0" hidden="1">Tesis!$A$1:$U$16</definedName>
    <definedName name="_xlnm.Print_Titles" localSheetId="1">Sexenios!#REF!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27" l="1"/>
  <c r="C13" i="26"/>
  <c r="C5" i="25"/>
  <c r="C10" i="24"/>
  <c r="C5" i="23" l="1"/>
  <c r="C19" i="22"/>
  <c r="S32" i="13" l="1"/>
  <c r="S37" i="12"/>
</calcChain>
</file>

<file path=xl/sharedStrings.xml><?xml version="1.0" encoding="utf-8"?>
<sst xmlns="http://schemas.openxmlformats.org/spreadsheetml/2006/main" count="875" uniqueCount="285">
  <si>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</si>
  <si>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</si>
  <si>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</si>
  <si>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</si>
  <si>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</si>
  <si>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</si>
  <si>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</si>
  <si>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</si>
  <si>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</si>
  <si>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</si>
  <si>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</si>
  <si>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</si>
  <si>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</si>
  <si>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</si>
  <si>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</si>
  <si>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</si>
  <si>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</si>
  <si>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</si>
  <si>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</si>
  <si>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</si>
  <si>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</si>
  <si>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Codirector de tesis </t>
  </si>
  <si>
    <t>50</t>
  </si>
  <si>
    <t/>
  </si>
  <si>
    <t>Director de tesis </t>
  </si>
  <si>
    <t>20</t>
  </si>
  <si>
    <t>10.19</t>
  </si>
  <si>
    <t>B161 </t>
  </si>
  <si>
    <t>CIENCIA DE LA COMPUTACION E INTELIGENCIA ARTIFICIAL </t>
  </si>
  <si>
    <t>U062 </t>
  </si>
  <si>
    <t>ADM. I.U. DE INVESTIGACIÓN INFORMÁTICA </t>
  </si>
  <si>
    <t>DOCTORADO EN INFORMÁTICA </t>
  </si>
  <si>
    <t>B161</t>
  </si>
  <si>
    <t>21489731A </t>
  </si>
  <si>
    <t>22135596M </t>
  </si>
  <si>
    <t>21637322A </t>
  </si>
  <si>
    <t>03120050P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</si>
  <si>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</si>
  <si>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</si>
  <si>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</si>
  <si>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</si>
  <si>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</si>
  <si>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</si>
  <si>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</si>
  <si>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</si>
  <si>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</si>
  <si>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</si>
  <si>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</si>
  <si>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</si>
  <si>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</si>
  <si>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</si>
  <si>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53231432W</t>
  </si>
  <si>
    <t>52793369C</t>
  </si>
  <si>
    <t>21672410Q</t>
  </si>
  <si>
    <t>21489731A</t>
  </si>
  <si>
    <t>21496149G</t>
  </si>
  <si>
    <t>74193699T</t>
  </si>
  <si>
    <t>21637322A</t>
  </si>
  <si>
    <t>48531413X</t>
  </si>
  <si>
    <t>53227471C</t>
  </si>
  <si>
    <t>21462550P</t>
  </si>
  <si>
    <t>22135596M</t>
  </si>
  <si>
    <t>21645324R</t>
  </si>
  <si>
    <t>74213842H</t>
  </si>
  <si>
    <t>21388068T</t>
  </si>
  <si>
    <t>52805806Z</t>
  </si>
  <si>
    <t>21649909D</t>
  </si>
  <si>
    <t>21461233W</t>
  </si>
  <si>
    <t>21453332J</t>
  </si>
  <si>
    <t>03120050P</t>
  </si>
  <si>
    <t>21422399S</t>
  </si>
  <si>
    <t>36.00.6C.00.05</t>
  </si>
  <si>
    <t>36.00.6P.00.11</t>
  </si>
  <si>
    <t>36.00.6P.00.12</t>
  </si>
  <si>
    <t>Caldwell Marín, Eldon Glen </t>
  </si>
  <si>
    <t>ROBÓTICA ASISTENCIAL CIBER-FÍSICA PARA TERAPIA DEL HABLA-LENGUAJE </t>
  </si>
  <si>
    <t>27/04/2020 </t>
  </si>
  <si>
    <t>Cruz , Edmanuel Gaspar </t>
  </si>
  <si>
    <t>Robotics semantic localization using deep learning techniques </t>
  </si>
  <si>
    <t>28/04/2020 </t>
  </si>
  <si>
    <t>García García, Alberto </t>
  </si>
  <si>
    <t>DEEP LEARNING FOR 3D PERCEPTION: COMPUTER VISION AND TACTILE SENSING </t>
  </si>
  <si>
    <t>28/10/2019 </t>
  </si>
  <si>
    <t>53240321J </t>
  </si>
  <si>
    <t>Gómez Donoso, Francisco </t>
  </si>
  <si>
    <t>Contributions to 3D object recognition and 3D hand pose estimation using deep learning techniques </t>
  </si>
  <si>
    <t>18/09/2020 </t>
  </si>
  <si>
    <t>21472011Q</t>
  </si>
  <si>
    <t>48363194J</t>
  </si>
  <si>
    <t>COD DEP</t>
  </si>
  <si>
    <t>Mora Lizán, Francisco José </t>
  </si>
  <si>
    <t>Avances en modelado de sistemas multiagente. Propuesta de arquitectura híbrida multinivel </t>
  </si>
  <si>
    <t>26/01/2021 </t>
  </si>
  <si>
    <t>21672410Q </t>
  </si>
  <si>
    <t>Nasri Mohammadshahi, Nadia </t>
  </si>
  <si>
    <t>Hand gesture recognition using sEMG and deep learning </t>
  </si>
  <si>
    <t>17/06/2021 </t>
  </si>
  <si>
    <t>Escalona Moncholí, Félix </t>
  </si>
  <si>
    <t>Contributions to 3D data processing and social robotics </t>
  </si>
  <si>
    <t>30/09/2021 </t>
  </si>
  <si>
    <t>Bauer , Zuria </t>
  </si>
  <si>
    <t>Monocular Depth Estimation: Datasets, Methods, and Applications. </t>
  </si>
  <si>
    <t>15/09/2021 </t>
  </si>
  <si>
    <t> Numero
de tesis</t>
  </si>
  <si>
    <t>36.00.6C.00.14</t>
  </si>
  <si>
    <t>Real Fernández, Alberto </t>
  </si>
  <si>
    <t>CALM: un modelo de aprendizaje adaptativo y personalizado </t>
  </si>
  <si>
    <t>18/07/2022 </t>
  </si>
  <si>
    <t>Alashhab , Samer Refat Hamzeh </t>
  </si>
  <si>
    <t>Aplicaciones de Visión Artificial para Ayuda a Personas con Dificultades Visuales </t>
  </si>
  <si>
    <t>01/07/2022 </t>
  </si>
  <si>
    <t>48531413X </t>
  </si>
  <si>
    <t>04296267M</t>
  </si>
  <si>
    <t>Cód. org. aplic.</t>
  </si>
  <si>
    <t>Descripción justificante</t>
  </si>
  <si>
    <t>Imp.cob.aplic.</t>
  </si>
  <si>
    <t>36.00.6P.00.14</t>
  </si>
  <si>
    <t>36.00.2T.00.09</t>
  </si>
  <si>
    <t>I.U. DE INVESTIGACIÓN INFORMÁTICA (10.19) </t>
  </si>
  <si>
    <t>Oprea , Sergiu Ovidiu </t>
  </si>
  <si>
    <t>Deep Predictive Learning: Understanding Interaction Dynamics from Synthetic Data </t>
  </si>
  <si>
    <t>26/09/2022 </t>
  </si>
  <si>
    <t>Martínez González, Pablo </t>
  </si>
  <si>
    <t>Synthetic Data Generation for 6D Object Pose and Grasping Estimation </t>
  </si>
  <si>
    <t>16/03/2023 </t>
  </si>
  <si>
    <t>Súcar Segarra, Luis Beltrán </t>
  </si>
  <si>
    <t>Métodos paralelos para el filtrado de imágenes digitales con aplicación médica </t>
  </si>
  <si>
    <t>24/02/2023 </t>
  </si>
  <si>
    <t>52793369C </t>
  </si>
  <si>
    <t>Mejía Escobar, Christian </t>
  </si>
  <si>
    <t>Aplicación de técnicas de Deep Learning para el reconocimiento de páginas Web y emociones faciales: Un estudio comparativo y experimental </t>
  </si>
  <si>
    <t>03/07/2023 </t>
  </si>
  <si>
    <t>53227471C </t>
  </si>
  <si>
    <t>33493179G</t>
  </si>
  <si>
    <t>48457141M</t>
  </si>
  <si>
    <t>50750696T</t>
  </si>
  <si>
    <t>Vivos</t>
  </si>
  <si>
    <t>REGALÍAS POR TRANSFERENCIA DE TECNOLOGÍA 2022</t>
  </si>
  <si>
    <t>S</t>
  </si>
  <si>
    <t>PAGO FINAL DEL PROYECTO "EMBENTION1-21Y" - DESARROLLO DE ALGORITMOS DE VISIÓN ARTIFICIAL PARA LA VERONTE MISSION COMPUTER</t>
  </si>
  <si>
    <t>36.00.6C.00.15</t>
  </si>
  <si>
    <t>CONTRAPRESTACIÓN PARA LA REALIZACIÓN DEL PROYECTO, FUNDACIÓN UNIVERSIA. Ref. "UNIVERSIA1-23A"</t>
  </si>
  <si>
    <t>36.00.6C.00.16</t>
  </si>
  <si>
    <t>SEGUNDO PAGO (80%) TRAS LA FIRMA DEL CONTRATO CRUE1-23T: ANÁLISIS ESTRATÉGICO DE LA MADUREZ DIGITAL DEL SISTEMA UNIVERSITARIO ESPAÑOL. ESTUDIO UNIVERSITIC 2022  BASE</t>
  </si>
  <si>
    <t>PRIMER PAGO (20%) TRAS LA FIRMA DEL CONTRATO CRUE1-23T: ANÁLISIS ESTRATÉGICO DE LA MADUREZ DIGITAL DEL SISTEMA UNIVERSITARIO ESPAÑOL. ESTUDIO UNIVERSITIC 2022.</t>
  </si>
  <si>
    <t>36.00.6C.00.17</t>
  </si>
  <si>
    <t>Curs "Python in Data Science I" by the amount of 14,400 PLN</t>
  </si>
  <si>
    <t>36.00.6C.00.18</t>
  </si>
  <si>
    <t>Curs "Python in Data Science II" by the amount of 14,400 PLN</t>
  </si>
  <si>
    <t>36.00.6C.00.19</t>
  </si>
  <si>
    <t>50 % a la finalización del Estudio y entrega del informe previsto en la cláusula tercera del contrato  UNIVERSIA2-23A</t>
  </si>
  <si>
    <t>Contraprestación de servicios del 50% a la firma del contrato "ESTUDIO SOBRE EL NIVEL DE MADUREZ DIGITAL DE DIFERENTES PAÍSES IBEROAMERICANOS"</t>
  </si>
  <si>
    <t>36.00.6C.00.20</t>
  </si>
  <si>
    <t xml:space="preserve">Contraprestación al informe de evaluación como empresa innovadora de la empresa Home Design Labs S.L. Hoja de encargo (HOMEDESIGNLABS1-23TPA) </t>
  </si>
  <si>
    <t>Reintegro en voluntaria de la referencia RTI2018-096223-B-I00, anualidad: 2021</t>
  </si>
  <si>
    <t xml:space="preserve">DEVOLUCIÓN DE INGRESOS_MODELO 069_ P56945-RTI2018-096223-B-I00_EXPEDIENTE O REFERENCIA: 173-P56945-202212210097794 </t>
  </si>
  <si>
    <t>DEVOLUCIÓN DE INGRESOS_ MODELO 069_P56944-RTI2018-096219-B-I00_EXPEDIENTE O REFERENCIA: 173-P56944-202212210097793</t>
  </si>
  <si>
    <t xml:space="preserve">Reintegro en voluntaria de la referencia RTI2018-096219-B-I00, anualidad: 2021 </t>
  </si>
  <si>
    <t>CIGE/2021/021/041/046/103/136/162/178/153</t>
  </si>
  <si>
    <t>DEVOLUCIÓN DE INGRESOS_ MODELO 047_Nº de liquidación:46/2023/RAS/10321/1_ Número de justificante:047/1/002385120_Nº de referencia:047/1/002385120</t>
  </si>
  <si>
    <t>36.00.6P.00.16</t>
  </si>
  <si>
    <t xml:space="preserve">ayudas PID2022  138464NB-142516OB-139990NB-141382OB-137350NB-139899OB--136847NB-137385NB-139294NB-137873NA-138786NB-141712NB-136590OB-139105OB-142356NB-141694NB-136399NB  </t>
  </si>
  <si>
    <t>Financiación al Curso de Especialista "Futuro de la Programación Web" según convenio firmado entre la Universidad de Alicante y la empresa NisNets</t>
  </si>
  <si>
    <t xml:space="preserve">Plan_GH17 Curso_2022-23 Emitido_2022-23 - PROGRAMACIÓN DEL FUTURO DE LA WEB </t>
  </si>
  <si>
    <t xml:space="preserve">LIQ-TitProp_GI27-1 Curso_2023-24 AñoCont_2023 - PROGRAMACIÓN DEL FUTURO DE LA WEB </t>
  </si>
  <si>
    <t>B177</t>
  </si>
  <si>
    <t>PSICOLOGÍA EVOLUTIVA Y DIDÁCTICA</t>
  </si>
  <si>
    <t>DOCTORADO EN INVESTIGACIÓN EDUCATIVA</t>
  </si>
  <si>
    <t>Martínez Roig, Rosabel</t>
  </si>
  <si>
    <t>La integración de la robótica social y la Música como elemento transversal en los procesos de enseñanza-aprendizaje en el contexto de la Inteligencia Artificial</t>
  </si>
  <si>
    <t>28/06/2024</t>
  </si>
  <si>
    <t>Codirector de tesis</t>
  </si>
  <si>
    <t>CIENCIA DE LA COMPUTACION E INTELIGENCIA ARTIFICIAL</t>
  </si>
  <si>
    <t>U062</t>
  </si>
  <si>
    <t>I.U. DE INVESTIGACIÓN INFORMÁTICA (10.19)</t>
  </si>
  <si>
    <t>DOCTORADO EN INFORMÁTICA</t>
  </si>
  <si>
    <t>Torres Mendoza, Manuel</t>
  </si>
  <si>
    <t>AVANCES EN LA DETECCIÓN DE MALWARE MEDIANTE APRENDIZAJE PROFUNDO: UN ENFOQUE BASADO EN EL COMPORTAMIENTO DEL SOFTWARE</t>
  </si>
  <si>
    <t>11/07/2024</t>
  </si>
  <si>
    <t>Álvarez Keskinen, Enrique</t>
  </si>
  <si>
    <t>Ataques adversarios en redes neuronales: análisis de transferabilidad y generación de imágenes adversarias mediante modelos difusos</t>
  </si>
  <si>
    <t>12/07/2024</t>
  </si>
  <si>
    <t>Pérez-Sala García-Plata, Luis</t>
  </si>
  <si>
    <t>Predicción de asistencia en accidentes de tráfico con un modelo de aprendizaje profundo</t>
  </si>
  <si>
    <t>13/09/2024</t>
  </si>
  <si>
    <t>45747088L</t>
  </si>
  <si>
    <t>48627745H</t>
  </si>
  <si>
    <t>53244622J</t>
  </si>
  <si>
    <t>Org. aplic.</t>
  </si>
  <si>
    <t>Imp. aplic.</t>
  </si>
  <si>
    <t>Regalías por transferencia de tecnología 2023 (Ref. contrato NEOSISTEC1-17O). 5% DE 2.392.916,68 euros (importe de las ventas netas ejercicio 2023)</t>
  </si>
  <si>
    <t>36.00.6C.00.21</t>
  </si>
  <si>
    <t>Pago del cincuenta por ciento tras la firma del contrato UNIVERSIA1-24A: ESTUDIO SOBRE EL NIVEL DE MADUREZ DIGITAL DE DIFERENTES PAÍSES IBEROAMERICANOS 2024</t>
  </si>
  <si>
    <t>Pago del cincuenta por ciento a la finalización del Estudio y entrega del informe previsto en la cláusula tercera del contrato UNIVERSIA1-24A: ESTUDIO SOBRE EL NIVEL DE MADUREZ DIGITAL DE DIFERENTES PAÍSES IBEROAMERICANOS 2024</t>
  </si>
  <si>
    <t>36.00.6O.00.01</t>
  </si>
  <si>
    <t>LIBROS SEGÚN ANEXO Nº FS24/935</t>
  </si>
  <si>
    <t>DEVOLUCIÓN DE INGRESOS_MODELO 047_Nº DE LIQUIDACIÓN: 46/2024/RAS/10112/1_ Nº DE JUSTIFICANTE: 047/1/002477921_ Nº DE REFERENCIA: 047/1/002477921</t>
  </si>
  <si>
    <t>PID2022-138464NB-I00-142516OB-I00-139990NB-I00-141382OB-I00-139899OB-I00-136847NB-I00-137385NB-I00-139294NB-I00-137873NA-I00-138786NB-I00-136590OB-C43</t>
  </si>
  <si>
    <t>36.00.6P.00.17</t>
  </si>
  <si>
    <t>PROGRAMA AYUDAS ICAR 2023 PROYECTO SAPEE</t>
  </si>
  <si>
    <t>36.00.6P.00.18</t>
  </si>
  <si>
    <t>ayudas CIGE/2023/52, CIGE/2023/94, CIGE/2023/129, CIGE/2023/146, CIGE/2023/165, CIGE/2023/175, CIGE/2023/181, CIGE/2023/184, CIGE/2023/188, CIGE/2023/196, CIGE/2023/197, CIGE/2023/216, CIGE/2023/225, CIGE/2023/227 (LINEA SUBVENCIÓN S0296)</t>
  </si>
  <si>
    <t>DEVOLUCIÓN DE TASAS NÓMINAS_REMESA Nº 2024DTR070585_2024EXPADM0262/RDT INVERSA 2024EXPADM0262</t>
  </si>
  <si>
    <t>INGRESO PERCIBIDO POR LA UNIVERSIDAD DE ALICANTE EN CONCEPTO DE FINANCIACIÓN DE CURSO FUTURO DE LA PROGRAMACIÓN WEB. GI27</t>
  </si>
  <si>
    <t xml:space="preserve">LIQ-EP_Plan_GI27-1 Curso_2024-25_AñoCont_2024 TipoRec_Emitido - PROGRAMACIÓN DEL FUTURO DE LA WEB _ (Cierre-24) </t>
  </si>
  <si>
    <t>Instituto Universitario de Investigación Informática (10.19)</t>
  </si>
  <si>
    <t>Díez Díaz, Álvaro</t>
  </si>
  <si>
    <t>Navegación Visual Autónoma en Robótica de Enjambre mediante Control Distribuido: Un Enfoque Híbrido con Aprendizaje por Refuerzo Multiagente</t>
  </si>
  <si>
    <t>25/03/2025</t>
  </si>
  <si>
    <t>Director de tesis</t>
  </si>
  <si>
    <t>Ciencia de la Computación e Inteligencia Artificial</t>
  </si>
  <si>
    <t>Benavent Lledó, Manuel</t>
  </si>
  <si>
    <t>Action Understanding in RGB Videos Through Deep Learning and Multimodal Cues</t>
  </si>
  <si>
    <t>29/09/2025</t>
  </si>
  <si>
    <t>53240321J</t>
  </si>
  <si>
    <t>Arnaiz Rodríguez, Adrián</t>
  </si>
  <si>
    <t>A Sociotechnical Approach to Trustworthy AI: from Algorithms to Regulation</t>
  </si>
  <si>
    <t>26/09/2025</t>
  </si>
  <si>
    <t>García Sigüenza, Javier</t>
  </si>
  <si>
    <t>Proposal of an architecture for integrating explainability in deep learning models for
spatio-temporal problems</t>
  </si>
  <si>
    <t>30/04/2025</t>
  </si>
  <si>
    <t>Begga Hachlafi, Ahmed</t>
  </si>
  <si>
    <t>Empirical Eigenfunctions for Graph Neural Networks</t>
  </si>
  <si>
    <t>19/05/2025</t>
  </si>
  <si>
    <t>Németh , Gergely Dániel</t>
  </si>
  <si>
    <t>Relaxing Core Assumptions: the Impact of Data, Model and Participation Heterogeneity
on Performance, Privacy and Fairness in Federated Learning</t>
  </si>
  <si>
    <t>12/09/2025</t>
  </si>
  <si>
    <t>Riccio , Piera</t>
  </si>
  <si>
    <t>Human aesthetics under the representational power of Artificial Intelligence</t>
  </si>
  <si>
    <t>22/09/2025</t>
  </si>
  <si>
    <t>U066</t>
  </si>
  <si>
    <t>Instituto Universitario de Física Aplicada a las Ciencias y las Tecnologías (10.</t>
  </si>
  <si>
    <t>DOCTORADO EN FÍSICA APLICADA A LAS CIENCIAS Y LAS TECNOLOGÍAS</t>
  </si>
  <si>
    <t>Sánchez Martínez, Daniel</t>
  </si>
  <si>
    <t>INTELLIGENT ROBOTIC MANIPULATION OF DEFORMABLE OBJECTS IN THE TOY INDUSTRY THROUGH LEARNING FROM
HUMAN DEMONSTRATION</t>
  </si>
  <si>
    <t>23/07/2025</t>
  </si>
  <si>
    <t>2020</t>
  </si>
  <si>
    <t>2021</t>
  </si>
  <si>
    <t>2022</t>
  </si>
  <si>
    <t>2023</t>
  </si>
  <si>
    <t>2024</t>
  </si>
  <si>
    <t>2025</t>
  </si>
  <si>
    <t>Viejo Hernando, Diego</t>
  </si>
  <si>
    <t>Araujo da Silva Costa, Angelo Gonçalo</t>
  </si>
  <si>
    <t>Rizo Aldeguer, Ramón Luis</t>
  </si>
  <si>
    <t>Zamora Gómez, Antonio</t>
  </si>
  <si>
    <t>Vicent Francés, José Francisco</t>
  </si>
  <si>
    <t>Tortosa Grau, Leandro</t>
  </si>
  <si>
    <t>Migallón Gomis, María Violeta</t>
  </si>
  <si>
    <t>Villagrá Arnedo, Carlos José</t>
  </si>
  <si>
    <t>Cazorla Quevedo, Miguel Ángel</t>
  </si>
  <si>
    <t>Compañ Rosique, Patricia María</t>
  </si>
  <si>
    <t>Llorens Largo, Faraón</t>
  </si>
  <si>
    <t>Penadés Martínez, José Leandro</t>
  </si>
  <si>
    <t>Satorre Cuerda, Rosana</t>
  </si>
  <si>
    <t>Aznar Gregori, Fidel</t>
  </si>
  <si>
    <t>Molina Carmona, Rafael</t>
  </si>
  <si>
    <t>Martínez Bernabéu, Lucas</t>
  </si>
  <si>
    <t>Curado Navarro, Manuel</t>
  </si>
  <si>
    <t>Gallego Durán, Francisco José</t>
  </si>
  <si>
    <t>Salinas Serrano, José María</t>
  </si>
  <si>
    <t>Lozano Ortega, Miguel Ángel</t>
  </si>
  <si>
    <t>Escalona Moncholí, Félix</t>
  </si>
  <si>
    <t>González Serrano, Germán</t>
  </si>
  <si>
    <t>Arnal García, José</t>
  </si>
  <si>
    <t>Sáez Martínez, Juan Manuel</t>
  </si>
  <si>
    <t>Martínez Martín, Ester</t>
  </si>
  <si>
    <t>Álvarez Sánchez, Rafael Ignacio</t>
  </si>
  <si>
    <t>Gómez Donoso, Francisco</t>
  </si>
  <si>
    <t>Escolano Ruiz, Francisco Javier</t>
  </si>
  <si>
    <t>Pujol López, María del Mar</t>
  </si>
  <si>
    <t>74244505E</t>
  </si>
  <si>
    <t>QUESADA GRANJA, CARLOS</t>
  </si>
  <si>
    <t>Regalías por transferencias de tecnología 2024 - (Ref. contrato NEOSISTEC1-17O). 5% de 3.528.371,74 euros (importe de las ventas netas generadas en el año 2024)</t>
  </si>
  <si>
    <t>36.00.6C.00.22</t>
  </si>
  <si>
    <t>Primer pago (20%) tras la firma del contrato CRUE1-24T. UNIVERSITIC 2024: ANÁLISIS ESTRATÉGICO DE LA MADUREZ DIGITAL DEL SISTEMA UNIVERSITARIO ESPAÑOL</t>
  </si>
  <si>
    <t>Segundo pago (80%) tras la entrega del trabajo final del contrato CRUE1-24T. UNIVERSITIC 2024: ANÁLISIS ESTRATÉGICO DE LA MADUREZ DIGITAL DEL SISTEMA UNIVERSITARIO ESPAÑOL</t>
  </si>
  <si>
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</si>
  <si>
    <t xml:space="preserve">CIGE/2023/52/94/129/146/165/175/181/184/188/196/197/216/225/227. EN CIGE/2023/196 HAY UNA REASIGNACIÓN DEL IMPORTE (EN JI-2024-3632 SE PRODUCE UNA MINORACIÓN DE 9879,02 Y SE ASIGNA A ESTE AÑO) </t>
  </si>
  <si>
    <t>Minoración Ayudas CIGE/2023/52, CIGE/2023/94, CIGE/2023/129, CIGE/2023/146, CIGE/2023/165, CIGE/2023/175, CIGE/2023/181, CIGE/2023/184, CIGE/2023/188, CIGE/2023/197, CIGE/2023/216,  CIGE/2023/227 (LINEA SUBVENCIÓN S0296)</t>
  </si>
  <si>
    <t>36.00.6P.00.19</t>
  </si>
  <si>
    <t>Ingresos anualidad 2025. ref. proyecto AIA2025-163322-C63/AIA2025-163919-C53</t>
  </si>
  <si>
    <t>Total ingresos investigación 2023-25</t>
  </si>
  <si>
    <t>Total ingresos formación 2023-25</t>
  </si>
  <si>
    <t>Sin ingresos de docencia en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</si>
</sst>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#,##0.0"/>
  </numFmts>
  <fonts count="1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0" fillId="0" borderId="0" applyFont="0" applyFill="0" applyBorder="0" applyAlignment="0" applyProtection="0"/>
  </cellStyleXfs>
  <cellXfs count="82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6" fillId="0" borderId="1" xfId="0" applyFont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4" fillId="3" borderId="1" xfId="1" applyFont="1" applyFill="1" applyBorder="1" applyAlignment="1">
      <alignment horizontal="center" vertical="top" wrapText="1"/>
    </xf>
    <xf numFmtId="43" fontId="0" fillId="7" borderId="2" xfId="6" applyNumberFormat="1" applyFont="1" applyFill="1" applyBorder="1"/>
    <xf numFmtId="43" fontId="0" fillId="0" borderId="2" xfId="6" applyNumberFormat="1" applyFont="1" applyBorder="1"/>
    <xf numFmtId="0" fontId="2" fillId="4" borderId="1" xfId="1" applyFill="1" applyBorder="1"/>
    <xf numFmtId="0" fontId="2" fillId="4" borderId="1" xfId="1" applyFill="1" applyBorder="1" applyAlignment="1">
      <alignment horizontal="right"/>
    </xf>
    <xf numFmtId="0" fontId="2" fillId="4" borderId="3" xfId="1" applyFill="1" applyBorder="1"/>
    <xf numFmtId="166" fontId="2" fillId="4" borderId="3" xfId="1" applyNumberFormat="1" applyFill="1" applyBorder="1"/>
    <xf numFmtId="0" fontId="2" fillId="4" borderId="3" xfId="1" applyFill="1" applyBorder="1" applyAlignment="1">
      <alignment horizontal="right"/>
    </xf>
    <xf numFmtId="1" fontId="2" fillId="4" borderId="3" xfId="1" applyNumberFormat="1" applyFill="1" applyBorder="1"/>
    <xf numFmtId="165" fontId="2" fillId="4" borderId="3" xfId="1" applyNumberFormat="1" applyFill="1" applyBorder="1"/>
    <xf numFmtId="0" fontId="13" fillId="8" borderId="1" xfId="0" applyFont="1" applyFill="1" applyBorder="1" applyAlignment="1">
      <alignment horizontal="left" vertical="center"/>
    </xf>
    <xf numFmtId="0" fontId="13" fillId="8" borderId="4" xfId="0" applyFont="1" applyFill="1" applyBorder="1" applyAlignment="1">
      <alignment horizontal="left" vertical="center"/>
    </xf>
    <xf numFmtId="0" fontId="13" fillId="8" borderId="5" xfId="0" applyFont="1" applyFill="1" applyBorder="1" applyAlignment="1">
      <alignment horizontal="left" vertical="center"/>
    </xf>
    <xf numFmtId="0" fontId="13" fillId="8" borderId="6" xfId="0" applyFont="1" applyFill="1" applyBorder="1" applyAlignment="1">
      <alignment horizontal="left" vertical="center"/>
    </xf>
    <xf numFmtId="0" fontId="2" fillId="0" borderId="1" xfId="1" applyBorder="1"/>
    <xf numFmtId="0" fontId="2" fillId="0" borderId="1" xfId="0" applyFont="1" applyBorder="1"/>
    <xf numFmtId="0" fontId="6" fillId="0" borderId="0" xfId="0" applyFont="1"/>
    <xf numFmtId="0" fontId="9" fillId="2" borderId="0" xfId="5" applyFont="1" applyFill="1"/>
    <xf numFmtId="0" fontId="9" fillId="2" borderId="0" xfId="5" applyFont="1" applyFill="1" applyAlignment="1">
      <alignment horizontal="right"/>
    </xf>
    <xf numFmtId="0" fontId="9" fillId="7" borderId="2" xfId="0" applyFont="1" applyFill="1" applyBorder="1"/>
    <xf numFmtId="43" fontId="6" fillId="7" borderId="2" xfId="6" applyNumberFormat="1" applyFont="1" applyFill="1" applyBorder="1"/>
    <xf numFmtId="0" fontId="9" fillId="0" borderId="2" xfId="0" applyFont="1" applyBorder="1"/>
    <xf numFmtId="43" fontId="6" fillId="0" borderId="2" xfId="6" applyNumberFormat="1" applyFont="1" applyBorder="1"/>
    <xf numFmtId="43" fontId="0" fillId="0" borderId="0" xfId="0" applyNumberFormat="1"/>
    <xf numFmtId="0" fontId="9" fillId="0" borderId="1" xfId="5" applyFont="1" applyBorder="1"/>
    <xf numFmtId="0" fontId="9" fillId="0" borderId="1" xfId="5" applyFont="1" applyBorder="1" applyAlignment="1">
      <alignment horizontal="right"/>
    </xf>
    <xf numFmtId="0" fontId="12" fillId="2" borderId="0" xfId="5" applyFont="1" applyFill="1"/>
    <xf numFmtId="0" fontId="3" fillId="9" borderId="0" xfId="1" applyFont="1" applyFill="1"/>
    <xf numFmtId="0" fontId="3" fillId="9" borderId="0" xfId="1" applyFont="1" applyFill="1" applyAlignment="1">
      <alignment horizontal="right"/>
    </xf>
    <xf numFmtId="165" fontId="3" fillId="9" borderId="0" xfId="1" applyNumberFormat="1" applyFont="1" applyFill="1"/>
    <xf numFmtId="0" fontId="11" fillId="6" borderId="7" xfId="0" applyFont="1" applyFill="1" applyBorder="1"/>
    <xf numFmtId="43" fontId="0" fillId="7" borderId="8" xfId="6" applyNumberFormat="1" applyFont="1" applyFill="1" applyBorder="1"/>
    <xf numFmtId="0" fontId="0" fillId="0" borderId="8" xfId="0" applyBorder="1"/>
    <xf numFmtId="0" fontId="9" fillId="7" borderId="8" xfId="0" applyFont="1" applyFill="1" applyBorder="1"/>
    <xf numFmtId="43" fontId="6" fillId="7" borderId="8" xfId="6" applyNumberFormat="1" applyFont="1" applyFill="1" applyBorder="1"/>
    <xf numFmtId="0" fontId="9" fillId="10" borderId="8" xfId="0" applyFont="1" applyFill="1" applyBorder="1"/>
    <xf numFmtId="43" fontId="6" fillId="10" borderId="8" xfId="0" applyNumberFormat="1" applyFont="1" applyFill="1" applyBorder="1"/>
    <xf numFmtId="43" fontId="0" fillId="0" borderId="8" xfId="0" applyNumberFormat="1" applyBorder="1"/>
    <xf numFmtId="0" fontId="0" fillId="7" borderId="2" xfId="0" applyNumberFormat="1" applyFont="1" applyFill="1" applyBorder="1"/>
    <xf numFmtId="0" fontId="0" fillId="0" borderId="2" xfId="0" applyNumberFormat="1" applyFont="1" applyBorder="1"/>
    <xf numFmtId="0" fontId="14" fillId="6" borderId="7" xfId="0" applyFont="1" applyFill="1" applyBorder="1"/>
    <xf numFmtId="43" fontId="14" fillId="6" borderId="7" xfId="6" applyNumberFormat="1" applyFont="1" applyFill="1" applyBorder="1"/>
    <xf numFmtId="0" fontId="0" fillId="0" borderId="8" xfId="0" applyNumberFormat="1" applyFont="1" applyBorder="1"/>
    <xf numFmtId="43" fontId="0" fillId="0" borderId="8" xfId="6" applyNumberFormat="1" applyFont="1" applyBorder="1"/>
    <xf numFmtId="0" fontId="0" fillId="0" borderId="8" xfId="0" applyFont="1" applyBorder="1"/>
    <xf numFmtId="43" fontId="10" fillId="0" borderId="8" xfId="0" applyNumberFormat="1" applyFont="1" applyBorder="1"/>
    <xf numFmtId="0" fontId="15" fillId="0" borderId="1" xfId="0" applyFont="1" applyBorder="1" applyAlignment="1">
      <alignment horizontal="right"/>
    </xf>
    <xf numFmtId="4" fontId="15" fillId="0" borderId="1" xfId="0" applyNumberFormat="1" applyFont="1" applyBorder="1"/>
    <xf numFmtId="0" fontId="0" fillId="7" borderId="8" xfId="0" applyNumberFormat="1" applyFont="1" applyFill="1" applyBorder="1"/>
    <xf numFmtId="0" fontId="6" fillId="0" borderId="1" xfId="5" applyFont="1" applyBorder="1" applyAlignment="1">
      <alignment horizontal="left"/>
    </xf>
    <xf numFmtId="0" fontId="6" fillId="0" borderId="1" xfId="5" applyFont="1" applyBorder="1" applyAlignment="1">
      <alignment horizontal="right"/>
    </xf>
    <xf numFmtId="0" fontId="6" fillId="0" borderId="1" xfId="5" applyFont="1" applyBorder="1"/>
    <xf numFmtId="0" fontId="11" fillId="11" borderId="11" xfId="0" applyFont="1" applyFill="1" applyBorder="1"/>
    <xf numFmtId="0" fontId="11" fillId="11" borderId="12" xfId="0" applyFont="1" applyFill="1" applyBorder="1"/>
    <xf numFmtId="0" fontId="9" fillId="12" borderId="11" xfId="0" applyFont="1" applyFill="1" applyBorder="1"/>
    <xf numFmtId="0" fontId="9" fillId="12" borderId="12" xfId="0" applyFont="1" applyFill="1" applyBorder="1"/>
    <xf numFmtId="164" fontId="9" fillId="12" borderId="12" xfId="6" applyFont="1" applyFill="1" applyBorder="1"/>
    <xf numFmtId="0" fontId="9" fillId="0" borderId="11" xfId="0" applyFont="1" applyBorder="1"/>
    <xf numFmtId="0" fontId="9" fillId="0" borderId="12" xfId="0" applyFont="1" applyBorder="1"/>
    <xf numFmtId="164" fontId="9" fillId="0" borderId="12" xfId="6" applyFont="1" applyBorder="1"/>
    <xf numFmtId="0" fontId="12" fillId="0" borderId="9" xfId="0" applyFont="1" applyBorder="1"/>
    <xf numFmtId="0" fontId="12" fillId="0" borderId="10" xfId="0" applyFont="1" applyBorder="1"/>
    <xf numFmtId="164" fontId="12" fillId="0" borderId="10" xfId="6" applyFont="1" applyBorder="1"/>
    <xf numFmtId="0" fontId="15" fillId="0" borderId="1" xfId="0" applyFont="1" applyBorder="1" applyAlignment="1">
      <alignment horizontal="left"/>
    </xf>
    <xf numFmtId="0" fontId="0" fillId="0" borderId="0" xfId="0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25"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border outline="0">
        <top style="thin">
          <color theme="9" tint="0.39997558519241921"/>
        </top>
      </border>
    </dxf>
    <dxf>
      <fill>
        <patternFill patternType="solid">
          <fgColor theme="9" tint="0.79998168889431442"/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CAAEDF-E227-4804-85AA-00551D266E76}" name="Tabla2" displayName="Tabla2" ref="A1:C19" totalsRowCount="1" headerRowDxfId="24" totalsRowDxfId="21" headerRowBorderDxfId="23" tableBorderDxfId="22" totalsRowBorderDxfId="20">
  <autoFilter ref="A1:C18" xr:uid="{1FE9CA24-5405-4C27-A5F6-1E8CAF0DAEB5}"/>
  <tableColumns count="3">
    <tableColumn id="1" xr3:uid="{9187C9D9-9D4B-4667-9989-E889380562AE}" name="Cód. org. aplic." totalsRowLabel="Total" totalsRowDxfId="19"/>
    <tableColumn id="2" xr3:uid="{10352B21-833F-464D-85EB-28CD69A4352A}" name="Descripción justificante" totalsRowDxfId="18"/>
    <tableColumn id="3" xr3:uid="{C78A8BAE-534E-4838-ABC2-E0D6095E1A21}" name="Imp.cob.aplic." totalsRowFunction="sum" totalsRowDxfId="17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ADFD243-7ADC-41AF-B1A8-14D44699C3A9}" name="Tabla5" displayName="Tabla5" ref="A1:C10" totalsRowCount="1" headerRowBorderDxfId="16" tableBorderDxfId="15" totalsRowBorderDxfId="14">
  <autoFilter ref="A1:C9" xr:uid="{A084A6A0-17A1-4A4D-A8D9-2B13C906D006}"/>
  <tableColumns count="3">
    <tableColumn id="1" xr3:uid="{0CE5364A-0F8C-4276-9FC2-44A700908EC4}" name="Org. aplic." totalsRowLabel="Total" dataDxfId="13" totalsRowDxfId="12"/>
    <tableColumn id="2" xr3:uid="{E7F748BD-6DE6-48C5-A4B1-059B61AB433F}" name="Descripción justificante" dataDxfId="11" totalsRowDxfId="10"/>
    <tableColumn id="3" xr3:uid="{D60707A3-82D8-4578-A7BD-422C28FA93C0}" name="Imp. aplic." totalsRowFunction="sum" dataDxfId="9" totalsRowDxfId="8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69B017-6366-4679-887A-DB451B7019ED}" name="Tabla4" displayName="Tabla4" ref="A1:C5" totalsRowCount="1" headerRowDxfId="7" headerRowBorderDxfId="6" tableBorderDxfId="5" totalsRowBorderDxfId="4">
  <autoFilter ref="A1:C4" xr:uid="{F3DB7B59-39B0-4652-9EBB-555C948065C4}"/>
  <tableColumns count="3">
    <tableColumn id="1" xr3:uid="{E0CCE1FD-A994-4438-B532-3DC717CFD2DB}" name="Cód. org. aplic." totalsRowLabel="Total"/>
    <tableColumn id="2" xr3:uid="{77D13645-F8F4-429D-A7EE-6FAA34FE971D}" name="Descripción justificante"/>
    <tableColumn id="3" xr3:uid="{E294F417-D26C-40BE-96B0-C7B17F63E868}" name="Imp.cob.aplic.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72B633B-0AD6-4DF7-AF9A-CA295915F955}" name="Tabla6" displayName="Tabla6" ref="A1:C5" totalsRowCount="1" headerRowDxfId="3" headerRowBorderDxfId="2" tableBorderDxfId="1" totalsRowBorderDxfId="0">
  <autoFilter ref="A1:C4" xr:uid="{3441EC45-6B94-4097-82F9-595ECDC42496}"/>
  <tableColumns count="3">
    <tableColumn id="1" xr3:uid="{81C8A4C0-2E54-478E-BD2A-6ADF64D19628}" name="Org. aplic." totalsRowLabel="Total"/>
    <tableColumn id="2" xr3:uid="{5D111BFC-FB4F-4BA5-9C05-E4C0CD1DDCB0}" name="Descripción justificante"/>
    <tableColumn id="3" xr3:uid="{E224D2F6-6362-4714-8C63-0FA0F2243EB1}" name="Imp. aplic.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7"/>
  <sheetViews>
    <sheetView showGridLines="0" zoomScale="120" zoomScaleNormal="120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S37" sqref="S37"/>
    </sheetView>
  </sheetViews>
  <sheetFormatPr baseColWidth="10" defaultColWidth="10.28515625" defaultRowHeight="11.25" x14ac:dyDescent="0.2"/>
  <cols>
    <col min="1" max="1" width="5" style="6" customWidth="1"/>
    <col min="2" max="4" width="29.7109375" style="6" customWidth="1"/>
    <col min="5" max="5" width="40.7109375" style="6" customWidth="1"/>
    <col min="6" max="6" width="9.140625" style="6" customWidth="1"/>
    <col min="7" max="7" width="9.7109375" style="6" customWidth="1"/>
    <col min="8" max="8" width="14.42578125" style="6" customWidth="1"/>
    <col min="9" max="9" width="5.85546875" style="6" customWidth="1"/>
    <col min="10" max="10" width="25.7109375" style="6" customWidth="1"/>
    <col min="11" max="12" width="5.140625" style="6" customWidth="1"/>
    <col min="13" max="13" width="4.42578125" style="6" customWidth="1"/>
    <col min="14" max="14" width="6.5703125" style="6" customWidth="1"/>
    <col min="15" max="15" width="4.85546875" style="7" customWidth="1"/>
    <col min="16" max="16" width="4.85546875" style="6" customWidth="1"/>
    <col min="17" max="17" width="3.5703125" style="7" customWidth="1"/>
    <col min="18" max="18" width="3.5703125" style="6" customWidth="1"/>
    <col min="19" max="21" width="5.140625" style="6" customWidth="1"/>
    <col min="22" max="16384" width="10.28515625" style="6"/>
  </cols>
  <sheetData>
    <row r="1" spans="1:22" ht="45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17" t="s">
        <v>103</v>
      </c>
      <c r="L1" s="1" t="s">
        <v>11</v>
      </c>
      <c r="M1" s="2" t="s">
        <v>12</v>
      </c>
      <c r="N1" s="3" t="s">
        <v>13</v>
      </c>
      <c r="O1" s="4" t="s">
        <v>14</v>
      </c>
      <c r="P1" s="5" t="s">
        <v>15</v>
      </c>
      <c r="Q1" s="4" t="s">
        <v>16</v>
      </c>
      <c r="R1" s="5" t="s">
        <v>17</v>
      </c>
      <c r="S1" s="4" t="s">
        <v>18</v>
      </c>
      <c r="T1" s="4" t="s">
        <v>19</v>
      </c>
      <c r="U1" s="4" t="s">
        <v>20</v>
      </c>
    </row>
    <row r="2" spans="1:22" x14ac:dyDescent="0.2">
      <c r="A2" s="22" t="s">
        <v>29</v>
      </c>
      <c r="B2" s="22" t="s">
        <v>30</v>
      </c>
      <c r="C2" s="22" t="s">
        <v>31</v>
      </c>
      <c r="D2" s="22" t="s">
        <v>77</v>
      </c>
      <c r="E2" s="22" t="s">
        <v>78</v>
      </c>
      <c r="F2" s="22" t="s">
        <v>79</v>
      </c>
      <c r="G2" s="22" t="s">
        <v>33</v>
      </c>
      <c r="H2" s="22" t="s">
        <v>21</v>
      </c>
      <c r="I2" s="22" t="s">
        <v>27</v>
      </c>
      <c r="J2" s="22" t="s">
        <v>28</v>
      </c>
      <c r="K2" s="23">
        <v>0.5</v>
      </c>
      <c r="L2" s="22" t="s">
        <v>32</v>
      </c>
      <c r="M2" s="22">
        <v>2019</v>
      </c>
      <c r="N2" s="22" t="s">
        <v>26</v>
      </c>
      <c r="O2" s="24" t="s">
        <v>22</v>
      </c>
      <c r="P2" s="22" t="s">
        <v>23</v>
      </c>
      <c r="Q2" s="24" t="s">
        <v>23</v>
      </c>
      <c r="R2" s="25">
        <v>50</v>
      </c>
      <c r="S2" s="26">
        <v>0.25</v>
      </c>
      <c r="T2" s="26">
        <v>0.25</v>
      </c>
      <c r="U2" s="26">
        <v>0</v>
      </c>
    </row>
    <row r="3" spans="1:22" x14ac:dyDescent="0.2">
      <c r="A3" s="22" t="s">
        <v>29</v>
      </c>
      <c r="B3" s="22" t="s">
        <v>30</v>
      </c>
      <c r="C3" s="22" t="s">
        <v>31</v>
      </c>
      <c r="D3" s="22" t="s">
        <v>74</v>
      </c>
      <c r="E3" s="22" t="s">
        <v>75</v>
      </c>
      <c r="F3" s="22" t="s">
        <v>76</v>
      </c>
      <c r="G3" s="22" t="s">
        <v>33</v>
      </c>
      <c r="H3" s="22" t="s">
        <v>21</v>
      </c>
      <c r="I3" s="22" t="s">
        <v>27</v>
      </c>
      <c r="J3" s="22" t="s">
        <v>28</v>
      </c>
      <c r="K3" s="23">
        <v>0.5</v>
      </c>
      <c r="L3" s="22" t="s">
        <v>32</v>
      </c>
      <c r="M3" s="22">
        <v>2019</v>
      </c>
      <c r="N3" s="22" t="s">
        <v>26</v>
      </c>
      <c r="O3" s="24" t="s">
        <v>22</v>
      </c>
      <c r="P3" s="22" t="s">
        <v>23</v>
      </c>
      <c r="Q3" s="24" t="s">
        <v>23</v>
      </c>
      <c r="R3" s="25">
        <v>50</v>
      </c>
      <c r="S3" s="26">
        <v>0.25</v>
      </c>
      <c r="T3" s="26">
        <v>0.25</v>
      </c>
      <c r="U3" s="26">
        <v>0</v>
      </c>
    </row>
    <row r="4" spans="1:22" x14ac:dyDescent="0.2">
      <c r="A4" s="22" t="s">
        <v>29</v>
      </c>
      <c r="B4" s="22" t="s">
        <v>30</v>
      </c>
      <c r="C4" s="22" t="s">
        <v>31</v>
      </c>
      <c r="D4" s="22" t="s">
        <v>80</v>
      </c>
      <c r="E4" s="22" t="s">
        <v>81</v>
      </c>
      <c r="F4" s="22" t="s">
        <v>82</v>
      </c>
      <c r="G4" s="22" t="s">
        <v>83</v>
      </c>
      <c r="H4" s="22" t="s">
        <v>21</v>
      </c>
      <c r="I4" s="22" t="s">
        <v>27</v>
      </c>
      <c r="J4" s="22" t="s">
        <v>28</v>
      </c>
      <c r="K4" s="23">
        <v>0.5</v>
      </c>
      <c r="L4" s="22" t="s">
        <v>32</v>
      </c>
      <c r="M4" s="22">
        <v>2019</v>
      </c>
      <c r="N4" s="22" t="s">
        <v>26</v>
      </c>
      <c r="O4" s="24" t="s">
        <v>25</v>
      </c>
      <c r="P4" s="22" t="s">
        <v>23</v>
      </c>
      <c r="Q4" s="24" t="s">
        <v>23</v>
      </c>
      <c r="R4" s="25">
        <v>80</v>
      </c>
      <c r="S4" s="26">
        <v>0.4</v>
      </c>
      <c r="T4" s="26">
        <v>0.1</v>
      </c>
      <c r="U4" s="26">
        <v>0</v>
      </c>
    </row>
    <row r="5" spans="1:22" ht="12" thickBot="1" x14ac:dyDescent="0.25">
      <c r="A5" s="22" t="s">
        <v>29</v>
      </c>
      <c r="B5" s="22" t="s">
        <v>30</v>
      </c>
      <c r="C5" s="22" t="s">
        <v>31</v>
      </c>
      <c r="D5" s="22" t="s">
        <v>84</v>
      </c>
      <c r="E5" s="22" t="s">
        <v>85</v>
      </c>
      <c r="F5" s="22" t="s">
        <v>86</v>
      </c>
      <c r="G5" s="22" t="s">
        <v>33</v>
      </c>
      <c r="H5" s="22" t="s">
        <v>24</v>
      </c>
      <c r="I5" s="22" t="s">
        <v>27</v>
      </c>
      <c r="J5" s="22" t="s">
        <v>28</v>
      </c>
      <c r="K5" s="23">
        <v>1</v>
      </c>
      <c r="L5" s="22" t="s">
        <v>32</v>
      </c>
      <c r="M5" s="22">
        <v>2019</v>
      </c>
      <c r="N5" s="22" t="s">
        <v>26</v>
      </c>
      <c r="O5" s="24" t="s">
        <v>22</v>
      </c>
      <c r="P5" s="22" t="s">
        <v>23</v>
      </c>
      <c r="Q5" s="24" t="s">
        <v>23</v>
      </c>
      <c r="R5" s="25">
        <v>50</v>
      </c>
      <c r="S5" s="26">
        <v>0.5</v>
      </c>
      <c r="T5" s="26">
        <v>0.5</v>
      </c>
      <c r="U5" s="26">
        <v>0</v>
      </c>
    </row>
    <row r="6" spans="1:22" ht="12" thickBot="1" x14ac:dyDescent="0.25">
      <c r="A6" s="27" t="s">
        <v>29</v>
      </c>
      <c r="B6" s="27" t="s">
        <v>30</v>
      </c>
      <c r="C6" s="27" t="s">
        <v>31</v>
      </c>
      <c r="D6" s="27" t="s">
        <v>90</v>
      </c>
      <c r="E6" s="27" t="s">
        <v>91</v>
      </c>
      <c r="F6" s="27" t="s">
        <v>92</v>
      </c>
      <c r="G6" s="28" t="s">
        <v>93</v>
      </c>
      <c r="H6" s="29" t="s">
        <v>21</v>
      </c>
      <c r="I6" s="29" t="s">
        <v>27</v>
      </c>
      <c r="J6" s="30" t="s">
        <v>28</v>
      </c>
      <c r="K6" s="31">
        <v>0.5</v>
      </c>
      <c r="L6" s="31" t="s">
        <v>32</v>
      </c>
      <c r="M6" s="20">
        <v>2020</v>
      </c>
      <c r="N6" s="20" t="s">
        <v>26</v>
      </c>
      <c r="O6" s="21">
        <v>20</v>
      </c>
      <c r="P6" s="20" t="s">
        <v>23</v>
      </c>
      <c r="Q6" s="21">
        <v>0</v>
      </c>
      <c r="R6" s="20">
        <v>80</v>
      </c>
      <c r="S6" s="20">
        <v>0.4</v>
      </c>
      <c r="T6" s="20">
        <v>0.1</v>
      </c>
      <c r="U6" s="20">
        <v>0</v>
      </c>
    </row>
    <row r="7" spans="1:22" ht="12" thickBot="1" x14ac:dyDescent="0.25">
      <c r="A7" s="27" t="s">
        <v>29</v>
      </c>
      <c r="B7" s="27" t="s">
        <v>30</v>
      </c>
      <c r="C7" s="27" t="s">
        <v>31</v>
      </c>
      <c r="D7" s="27" t="s">
        <v>94</v>
      </c>
      <c r="E7" s="27" t="s">
        <v>95</v>
      </c>
      <c r="F7" s="27" t="s">
        <v>96</v>
      </c>
      <c r="G7" s="28" t="s">
        <v>83</v>
      </c>
      <c r="H7" s="29" t="s">
        <v>21</v>
      </c>
      <c r="I7" s="29" t="s">
        <v>27</v>
      </c>
      <c r="J7" s="30" t="s">
        <v>28</v>
      </c>
      <c r="K7" s="31">
        <v>0.5</v>
      </c>
      <c r="L7" s="31" t="s">
        <v>32</v>
      </c>
      <c r="M7" s="20">
        <v>2020</v>
      </c>
      <c r="N7" s="20" t="s">
        <v>26</v>
      </c>
      <c r="O7" s="21">
        <v>20</v>
      </c>
      <c r="P7" s="20" t="s">
        <v>23</v>
      </c>
      <c r="Q7" s="21">
        <v>0</v>
      </c>
      <c r="R7" s="20">
        <v>80</v>
      </c>
      <c r="S7" s="20">
        <v>0.4</v>
      </c>
      <c r="T7" s="20">
        <v>0.1</v>
      </c>
      <c r="U7" s="20">
        <v>0</v>
      </c>
    </row>
    <row r="8" spans="1:22" ht="12" thickBot="1" x14ac:dyDescent="0.25">
      <c r="A8" s="27" t="s">
        <v>29</v>
      </c>
      <c r="B8" s="27" t="s">
        <v>30</v>
      </c>
      <c r="C8" s="27" t="s">
        <v>31</v>
      </c>
      <c r="D8" s="27" t="s">
        <v>94</v>
      </c>
      <c r="E8" s="27" t="s">
        <v>95</v>
      </c>
      <c r="F8" s="27" t="s">
        <v>96</v>
      </c>
      <c r="G8" s="28" t="s">
        <v>33</v>
      </c>
      <c r="H8" s="29" t="s">
        <v>21</v>
      </c>
      <c r="I8" s="29" t="s">
        <v>27</v>
      </c>
      <c r="J8" s="30" t="s">
        <v>28</v>
      </c>
      <c r="K8" s="31">
        <v>0.5</v>
      </c>
      <c r="L8" s="31" t="s">
        <v>32</v>
      </c>
      <c r="M8" s="20">
        <v>2020</v>
      </c>
      <c r="N8" s="20" t="s">
        <v>26</v>
      </c>
      <c r="O8" s="21">
        <v>50</v>
      </c>
      <c r="P8" s="20" t="s">
        <v>23</v>
      </c>
      <c r="Q8" s="21">
        <v>0</v>
      </c>
      <c r="R8" s="20">
        <v>50</v>
      </c>
      <c r="S8" s="20">
        <v>0.25</v>
      </c>
      <c r="T8" s="20">
        <v>0.25</v>
      </c>
      <c r="U8" s="20">
        <v>0</v>
      </c>
    </row>
    <row r="9" spans="1:22" ht="12" thickBot="1" x14ac:dyDescent="0.25">
      <c r="A9" s="27" t="s">
        <v>29</v>
      </c>
      <c r="B9" s="27" t="s">
        <v>30</v>
      </c>
      <c r="C9" s="27" t="s">
        <v>31</v>
      </c>
      <c r="D9" s="27" t="s">
        <v>97</v>
      </c>
      <c r="E9" s="27" t="s">
        <v>98</v>
      </c>
      <c r="F9" s="27" t="s">
        <v>99</v>
      </c>
      <c r="G9" s="28" t="s">
        <v>36</v>
      </c>
      <c r="H9" s="29" t="s">
        <v>21</v>
      </c>
      <c r="I9" s="29" t="s">
        <v>27</v>
      </c>
      <c r="J9" s="30" t="s">
        <v>28</v>
      </c>
      <c r="K9" s="31">
        <v>0.5</v>
      </c>
      <c r="L9" s="31" t="s">
        <v>32</v>
      </c>
      <c r="M9" s="20">
        <v>2020</v>
      </c>
      <c r="N9" s="20" t="s">
        <v>26</v>
      </c>
      <c r="O9" s="21">
        <v>20</v>
      </c>
      <c r="P9" s="20" t="s">
        <v>23</v>
      </c>
      <c r="Q9" s="21">
        <v>0</v>
      </c>
      <c r="R9" s="20">
        <v>80</v>
      </c>
      <c r="S9" s="20">
        <v>0.4</v>
      </c>
      <c r="T9" s="20">
        <v>0.1</v>
      </c>
      <c r="U9" s="20">
        <v>0</v>
      </c>
    </row>
    <row r="10" spans="1:22" ht="12" thickBot="1" x14ac:dyDescent="0.25">
      <c r="A10" s="27" t="s">
        <v>29</v>
      </c>
      <c r="B10" s="27" t="s">
        <v>30</v>
      </c>
      <c r="C10" s="27" t="s">
        <v>31</v>
      </c>
      <c r="D10" s="27" t="s">
        <v>97</v>
      </c>
      <c r="E10" s="27" t="s">
        <v>98</v>
      </c>
      <c r="F10" s="27" t="s">
        <v>99</v>
      </c>
      <c r="G10" s="28" t="s">
        <v>33</v>
      </c>
      <c r="H10" s="29" t="s">
        <v>21</v>
      </c>
      <c r="I10" s="29" t="s">
        <v>27</v>
      </c>
      <c r="J10" s="30" t="s">
        <v>28</v>
      </c>
      <c r="K10" s="31">
        <v>0.5</v>
      </c>
      <c r="L10" s="31" t="s">
        <v>32</v>
      </c>
      <c r="M10" s="20">
        <v>2020</v>
      </c>
      <c r="N10" s="20" t="s">
        <v>26</v>
      </c>
      <c r="O10" s="21">
        <v>50</v>
      </c>
      <c r="P10" s="20" t="s">
        <v>23</v>
      </c>
      <c r="Q10" s="21">
        <v>0</v>
      </c>
      <c r="R10" s="20">
        <v>50</v>
      </c>
      <c r="S10" s="20">
        <v>0.25</v>
      </c>
      <c r="T10" s="20">
        <v>0.25</v>
      </c>
      <c r="U10" s="20">
        <v>0</v>
      </c>
    </row>
    <row r="11" spans="1:22" ht="12" thickBot="1" x14ac:dyDescent="0.25">
      <c r="A11" s="27" t="s">
        <v>29</v>
      </c>
      <c r="B11" s="27" t="s">
        <v>30</v>
      </c>
      <c r="C11" s="27" t="s">
        <v>31</v>
      </c>
      <c r="D11" s="27" t="s">
        <v>100</v>
      </c>
      <c r="E11" s="27" t="s">
        <v>101</v>
      </c>
      <c r="F11" s="27" t="s">
        <v>102</v>
      </c>
      <c r="G11" s="28" t="s">
        <v>83</v>
      </c>
      <c r="H11" s="29" t="s">
        <v>21</v>
      </c>
      <c r="I11" s="29" t="s">
        <v>27</v>
      </c>
      <c r="J11" s="30" t="s">
        <v>28</v>
      </c>
      <c r="K11" s="31">
        <v>0.5</v>
      </c>
      <c r="L11" s="31" t="s">
        <v>32</v>
      </c>
      <c r="M11" s="20">
        <v>2020</v>
      </c>
      <c r="N11" s="20" t="s">
        <v>26</v>
      </c>
      <c r="O11" s="21">
        <v>20</v>
      </c>
      <c r="P11" s="20" t="s">
        <v>23</v>
      </c>
      <c r="Q11" s="21">
        <v>0</v>
      </c>
      <c r="R11" s="20">
        <v>80</v>
      </c>
      <c r="S11" s="20">
        <v>0.4</v>
      </c>
      <c r="T11" s="20">
        <v>0.1</v>
      </c>
      <c r="U11" s="20">
        <v>0</v>
      </c>
    </row>
    <row r="12" spans="1:22" ht="12" thickBot="1" x14ac:dyDescent="0.25">
      <c r="A12" s="27" t="s">
        <v>29</v>
      </c>
      <c r="B12" s="27" t="s">
        <v>30</v>
      </c>
      <c r="C12" s="27" t="s">
        <v>31</v>
      </c>
      <c r="D12" s="27" t="s">
        <v>100</v>
      </c>
      <c r="E12" s="27" t="s">
        <v>101</v>
      </c>
      <c r="F12" s="27" t="s">
        <v>102</v>
      </c>
      <c r="G12" s="28" t="s">
        <v>33</v>
      </c>
      <c r="H12" s="29" t="s">
        <v>21</v>
      </c>
      <c r="I12" s="29" t="s">
        <v>27</v>
      </c>
      <c r="J12" s="30" t="s">
        <v>28</v>
      </c>
      <c r="K12" s="31">
        <v>0.5</v>
      </c>
      <c r="L12" s="31" t="s">
        <v>32</v>
      </c>
      <c r="M12" s="20">
        <v>2020</v>
      </c>
      <c r="N12" s="20" t="s">
        <v>26</v>
      </c>
      <c r="O12" s="21">
        <v>50</v>
      </c>
      <c r="P12" s="20" t="s">
        <v>23</v>
      </c>
      <c r="Q12" s="21">
        <v>0</v>
      </c>
      <c r="R12" s="20">
        <v>50</v>
      </c>
      <c r="S12" s="20">
        <v>0.25</v>
      </c>
      <c r="T12" s="20">
        <v>0.25</v>
      </c>
      <c r="U12" s="20">
        <v>0</v>
      </c>
    </row>
    <row r="13" spans="1:22" x14ac:dyDescent="0.2">
      <c r="A13" s="20" t="s">
        <v>29</v>
      </c>
      <c r="B13" s="20" t="s">
        <v>30</v>
      </c>
      <c r="C13" s="20" t="s">
        <v>31</v>
      </c>
      <c r="D13" s="20" t="s">
        <v>105</v>
      </c>
      <c r="E13" s="20" t="s">
        <v>106</v>
      </c>
      <c r="F13" s="20" t="s">
        <v>107</v>
      </c>
      <c r="G13" s="20" t="s">
        <v>35</v>
      </c>
      <c r="H13" s="20" t="s">
        <v>21</v>
      </c>
      <c r="I13" s="20" t="s">
        <v>27</v>
      </c>
      <c r="J13" s="20" t="s">
        <v>28</v>
      </c>
      <c r="K13" s="31">
        <v>0.5</v>
      </c>
      <c r="L13" s="31" t="s">
        <v>32</v>
      </c>
      <c r="M13" s="20">
        <v>2021</v>
      </c>
      <c r="N13" s="20" t="s">
        <v>26</v>
      </c>
      <c r="O13" s="21">
        <v>20</v>
      </c>
      <c r="P13" s="20" t="s">
        <v>23</v>
      </c>
      <c r="Q13" s="21">
        <v>0</v>
      </c>
      <c r="R13" s="20">
        <v>80</v>
      </c>
      <c r="S13" s="20">
        <v>0.4</v>
      </c>
      <c r="T13" s="20">
        <v>0.1</v>
      </c>
      <c r="U13" s="20">
        <v>0</v>
      </c>
    </row>
    <row r="14" spans="1:22" x14ac:dyDescent="0.2">
      <c r="A14" s="20" t="s">
        <v>29</v>
      </c>
      <c r="B14" s="20" t="s">
        <v>30</v>
      </c>
      <c r="C14" s="20" t="s">
        <v>31</v>
      </c>
      <c r="D14" s="20" t="s">
        <v>105</v>
      </c>
      <c r="E14" s="20" t="s">
        <v>106</v>
      </c>
      <c r="F14" s="20" t="s">
        <v>107</v>
      </c>
      <c r="G14" s="20" t="s">
        <v>34</v>
      </c>
      <c r="H14" s="20" t="s">
        <v>21</v>
      </c>
      <c r="I14" s="20" t="s">
        <v>27</v>
      </c>
      <c r="J14" s="20" t="s">
        <v>28</v>
      </c>
      <c r="K14" s="31">
        <v>0.5</v>
      </c>
      <c r="L14" s="31" t="s">
        <v>32</v>
      </c>
      <c r="M14" s="20">
        <v>2021</v>
      </c>
      <c r="N14" s="20" t="s">
        <v>26</v>
      </c>
      <c r="O14" s="21">
        <v>20</v>
      </c>
      <c r="P14" s="20" t="s">
        <v>23</v>
      </c>
      <c r="Q14" s="21">
        <v>0</v>
      </c>
      <c r="R14" s="20">
        <v>80</v>
      </c>
      <c r="S14" s="20">
        <v>0.4</v>
      </c>
      <c r="T14" s="20">
        <v>0.1</v>
      </c>
      <c r="U14" s="20">
        <v>0</v>
      </c>
    </row>
    <row r="15" spans="1:22" x14ac:dyDescent="0.2">
      <c r="A15" s="20" t="s">
        <v>29</v>
      </c>
      <c r="B15" s="20" t="s">
        <v>30</v>
      </c>
      <c r="C15" s="20" t="s">
        <v>31</v>
      </c>
      <c r="D15" s="20" t="s">
        <v>108</v>
      </c>
      <c r="E15" s="20" t="s">
        <v>109</v>
      </c>
      <c r="F15" s="20" t="s">
        <v>110</v>
      </c>
      <c r="G15" s="20" t="s">
        <v>111</v>
      </c>
      <c r="H15" s="20" t="s">
        <v>21</v>
      </c>
      <c r="I15" s="20" t="s">
        <v>27</v>
      </c>
      <c r="J15" s="20" t="s">
        <v>28</v>
      </c>
      <c r="K15" s="31">
        <v>0.5</v>
      </c>
      <c r="L15" s="31" t="s">
        <v>32</v>
      </c>
      <c r="M15" s="20">
        <v>2021</v>
      </c>
      <c r="N15" s="20" t="s">
        <v>26</v>
      </c>
      <c r="O15" s="21">
        <v>20</v>
      </c>
      <c r="P15" s="20" t="s">
        <v>23</v>
      </c>
      <c r="Q15" s="21">
        <v>0</v>
      </c>
      <c r="R15" s="20">
        <v>80</v>
      </c>
      <c r="S15" s="20">
        <v>0.4</v>
      </c>
      <c r="T15" s="20">
        <v>0.1</v>
      </c>
      <c r="U15" s="20">
        <v>0</v>
      </c>
    </row>
    <row r="16" spans="1:22" customFormat="1" ht="15" x14ac:dyDescent="0.25">
      <c r="A16" s="20" t="s">
        <v>29</v>
      </c>
      <c r="B16" s="20" t="s">
        <v>118</v>
      </c>
      <c r="C16" s="20" t="s">
        <v>31</v>
      </c>
      <c r="D16" s="20" t="s">
        <v>119</v>
      </c>
      <c r="E16" s="20" t="s">
        <v>120</v>
      </c>
      <c r="F16" s="20" t="s">
        <v>121</v>
      </c>
      <c r="G16" s="20" t="s">
        <v>83</v>
      </c>
      <c r="H16" s="20" t="s">
        <v>21</v>
      </c>
      <c r="I16" s="20" t="s">
        <v>27</v>
      </c>
      <c r="J16" s="20" t="s">
        <v>28</v>
      </c>
      <c r="K16" s="32">
        <v>0.5</v>
      </c>
      <c r="L16" s="32" t="s">
        <v>32</v>
      </c>
      <c r="M16" s="20">
        <v>2021</v>
      </c>
      <c r="N16" s="32" t="s">
        <v>26</v>
      </c>
      <c r="O16" s="32">
        <v>20</v>
      </c>
      <c r="P16" s="32" t="s">
        <v>23</v>
      </c>
      <c r="Q16" s="32">
        <v>0</v>
      </c>
      <c r="R16" s="32">
        <v>80</v>
      </c>
      <c r="S16" s="32">
        <v>0.4</v>
      </c>
      <c r="T16" s="32">
        <v>0.1</v>
      </c>
      <c r="U16" s="32">
        <v>0</v>
      </c>
      <c r="V16" s="33"/>
    </row>
    <row r="17" spans="1:22" customFormat="1" ht="15" x14ac:dyDescent="0.25">
      <c r="A17" s="20" t="s">
        <v>29</v>
      </c>
      <c r="B17" s="20" t="s">
        <v>118</v>
      </c>
      <c r="C17" s="20" t="s">
        <v>31</v>
      </c>
      <c r="D17" s="20" t="s">
        <v>122</v>
      </c>
      <c r="E17" s="20" t="s">
        <v>123</v>
      </c>
      <c r="F17" s="20" t="s">
        <v>124</v>
      </c>
      <c r="G17" s="20" t="s">
        <v>83</v>
      </c>
      <c r="H17" s="20" t="s">
        <v>21</v>
      </c>
      <c r="I17" s="20" t="s">
        <v>27</v>
      </c>
      <c r="J17" s="20" t="s">
        <v>28</v>
      </c>
      <c r="K17" s="32">
        <v>0.5</v>
      </c>
      <c r="L17" s="32" t="s">
        <v>32</v>
      </c>
      <c r="M17" s="20">
        <v>2022</v>
      </c>
      <c r="N17" s="32" t="s">
        <v>26</v>
      </c>
      <c r="O17" s="32">
        <v>20</v>
      </c>
      <c r="P17" s="32" t="s">
        <v>23</v>
      </c>
      <c r="Q17" s="32">
        <v>0</v>
      </c>
      <c r="R17" s="32">
        <v>80</v>
      </c>
      <c r="S17" s="32">
        <v>0.4</v>
      </c>
      <c r="T17" s="32">
        <v>0.1</v>
      </c>
      <c r="U17" s="32">
        <v>0</v>
      </c>
    </row>
    <row r="18" spans="1:22" customFormat="1" ht="15" x14ac:dyDescent="0.25">
      <c r="A18" s="20" t="s">
        <v>29</v>
      </c>
      <c r="B18" s="20" t="s">
        <v>118</v>
      </c>
      <c r="C18" s="20" t="s">
        <v>31</v>
      </c>
      <c r="D18" s="20" t="s">
        <v>125</v>
      </c>
      <c r="E18" s="20" t="s">
        <v>126</v>
      </c>
      <c r="F18" s="20" t="s">
        <v>127</v>
      </c>
      <c r="G18" s="20" t="s">
        <v>128</v>
      </c>
      <c r="H18" s="20" t="s">
        <v>24</v>
      </c>
      <c r="I18" s="20" t="s">
        <v>27</v>
      </c>
      <c r="J18" s="20" t="s">
        <v>28</v>
      </c>
      <c r="K18" s="32">
        <v>1</v>
      </c>
      <c r="L18" s="32" t="s">
        <v>32</v>
      </c>
      <c r="M18" s="20">
        <v>2022</v>
      </c>
      <c r="N18" s="32" t="s">
        <v>26</v>
      </c>
      <c r="O18" s="32">
        <v>20</v>
      </c>
      <c r="P18" s="32" t="s">
        <v>23</v>
      </c>
      <c r="Q18" s="32">
        <v>0</v>
      </c>
      <c r="R18" s="32">
        <v>80</v>
      </c>
      <c r="S18" s="32">
        <v>0.8</v>
      </c>
      <c r="T18" s="32">
        <v>0.2</v>
      </c>
      <c r="U18" s="32">
        <v>0</v>
      </c>
    </row>
    <row r="19" spans="1:22" customFormat="1" ht="15" x14ac:dyDescent="0.25">
      <c r="A19" s="20" t="s">
        <v>29</v>
      </c>
      <c r="B19" s="20" t="s">
        <v>118</v>
      </c>
      <c r="C19" s="20" t="s">
        <v>31</v>
      </c>
      <c r="D19" s="20" t="s">
        <v>129</v>
      </c>
      <c r="E19" s="20" t="s">
        <v>130</v>
      </c>
      <c r="F19" s="20" t="s">
        <v>131</v>
      </c>
      <c r="G19" s="20" t="s">
        <v>33</v>
      </c>
      <c r="H19" s="20" t="s">
        <v>21</v>
      </c>
      <c r="I19" s="20" t="s">
        <v>27</v>
      </c>
      <c r="J19" s="20" t="s">
        <v>28</v>
      </c>
      <c r="K19" s="32">
        <v>0.5</v>
      </c>
      <c r="L19" s="32" t="s">
        <v>32</v>
      </c>
      <c r="M19" s="20">
        <v>2022</v>
      </c>
      <c r="N19" s="32" t="s">
        <v>26</v>
      </c>
      <c r="O19" s="32">
        <v>50</v>
      </c>
      <c r="P19" s="32" t="s">
        <v>23</v>
      </c>
      <c r="Q19" s="32">
        <v>0</v>
      </c>
      <c r="R19" s="32">
        <v>50</v>
      </c>
      <c r="S19" s="32">
        <v>0.25</v>
      </c>
      <c r="T19" s="32">
        <v>0.25</v>
      </c>
      <c r="U19" s="32">
        <v>0</v>
      </c>
    </row>
    <row r="20" spans="1:22" customFormat="1" ht="15" x14ac:dyDescent="0.25">
      <c r="A20" s="20" t="s">
        <v>29</v>
      </c>
      <c r="B20" s="20" t="s">
        <v>118</v>
      </c>
      <c r="C20" s="20" t="s">
        <v>31</v>
      </c>
      <c r="D20" s="20" t="s">
        <v>129</v>
      </c>
      <c r="E20" s="20" t="s">
        <v>130</v>
      </c>
      <c r="F20" s="20" t="s">
        <v>131</v>
      </c>
      <c r="G20" s="20" t="s">
        <v>132</v>
      </c>
      <c r="H20" s="20" t="s">
        <v>21</v>
      </c>
      <c r="I20" s="20" t="s">
        <v>27</v>
      </c>
      <c r="J20" s="20" t="s">
        <v>28</v>
      </c>
      <c r="K20" s="32">
        <v>0.5</v>
      </c>
      <c r="L20" s="32" t="s">
        <v>32</v>
      </c>
      <c r="M20" s="20">
        <v>2022</v>
      </c>
      <c r="N20" s="32" t="s">
        <v>26</v>
      </c>
      <c r="O20" s="32">
        <v>20</v>
      </c>
      <c r="P20" s="32" t="s">
        <v>23</v>
      </c>
      <c r="Q20" s="32">
        <v>0</v>
      </c>
      <c r="R20" s="32">
        <v>80</v>
      </c>
      <c r="S20" s="32">
        <v>0.4</v>
      </c>
      <c r="T20" s="32">
        <v>0.1</v>
      </c>
      <c r="U20" s="32">
        <v>0</v>
      </c>
    </row>
    <row r="21" spans="1:22" customFormat="1" ht="15" x14ac:dyDescent="0.25">
      <c r="A21" s="20" t="s">
        <v>165</v>
      </c>
      <c r="B21" s="20" t="s">
        <v>166</v>
      </c>
      <c r="C21" s="20" t="s">
        <v>167</v>
      </c>
      <c r="D21" s="20" t="s">
        <v>168</v>
      </c>
      <c r="E21" s="20" t="s">
        <v>169</v>
      </c>
      <c r="F21" s="20" t="s">
        <v>170</v>
      </c>
      <c r="G21" s="20" t="s">
        <v>54</v>
      </c>
      <c r="H21" s="20" t="s">
        <v>171</v>
      </c>
      <c r="I21" s="20" t="s">
        <v>32</v>
      </c>
      <c r="J21" s="20" t="s">
        <v>172</v>
      </c>
      <c r="K21" s="32">
        <v>0.5</v>
      </c>
      <c r="L21" s="20" t="s">
        <v>32</v>
      </c>
      <c r="M21" s="32">
        <v>2023</v>
      </c>
      <c r="N21" s="32" t="s">
        <v>26</v>
      </c>
      <c r="O21" s="32" t="s">
        <v>22</v>
      </c>
      <c r="P21" s="32" t="s">
        <v>23</v>
      </c>
      <c r="Q21" s="32" t="s">
        <v>23</v>
      </c>
      <c r="R21" s="32">
        <v>50</v>
      </c>
      <c r="S21" s="32">
        <v>0.25</v>
      </c>
      <c r="T21" s="32">
        <v>0.25</v>
      </c>
      <c r="U21" s="13">
        <v>0</v>
      </c>
      <c r="V21" t="s">
        <v>138</v>
      </c>
    </row>
    <row r="22" spans="1:22" customFormat="1" ht="15" x14ac:dyDescent="0.25">
      <c r="A22" s="20" t="s">
        <v>173</v>
      </c>
      <c r="B22" s="20" t="s">
        <v>174</v>
      </c>
      <c r="C22" s="20" t="s">
        <v>175</v>
      </c>
      <c r="D22" s="20" t="s">
        <v>176</v>
      </c>
      <c r="E22" s="20" t="s">
        <v>177</v>
      </c>
      <c r="F22" s="20" t="s">
        <v>178</v>
      </c>
      <c r="G22" s="20" t="s">
        <v>51</v>
      </c>
      <c r="H22" s="20" t="s">
        <v>171</v>
      </c>
      <c r="I22" s="20" t="s">
        <v>32</v>
      </c>
      <c r="J22" s="20" t="s">
        <v>172</v>
      </c>
      <c r="K22" s="32">
        <v>0.5</v>
      </c>
      <c r="L22" s="20" t="s">
        <v>32</v>
      </c>
      <c r="M22" s="32">
        <v>2023</v>
      </c>
      <c r="N22" s="32" t="s">
        <v>26</v>
      </c>
      <c r="O22" s="32" t="s">
        <v>25</v>
      </c>
      <c r="P22" s="32" t="s">
        <v>23</v>
      </c>
      <c r="Q22" s="32" t="s">
        <v>23</v>
      </c>
      <c r="R22" s="32">
        <v>80</v>
      </c>
      <c r="S22" s="32">
        <v>0.4</v>
      </c>
      <c r="T22" s="32">
        <v>0.1</v>
      </c>
      <c r="U22" s="13">
        <v>0</v>
      </c>
      <c r="V22" t="s">
        <v>138</v>
      </c>
    </row>
    <row r="23" spans="1:22" customFormat="1" ht="15" x14ac:dyDescent="0.25">
      <c r="A23" s="20" t="s">
        <v>173</v>
      </c>
      <c r="B23" s="20" t="s">
        <v>174</v>
      </c>
      <c r="C23" s="20" t="s">
        <v>175</v>
      </c>
      <c r="D23" s="20" t="s">
        <v>176</v>
      </c>
      <c r="E23" s="20" t="s">
        <v>177</v>
      </c>
      <c r="F23" s="20" t="s">
        <v>178</v>
      </c>
      <c r="G23" s="20" t="s">
        <v>54</v>
      </c>
      <c r="H23" s="20" t="s">
        <v>171</v>
      </c>
      <c r="I23" s="20" t="s">
        <v>32</v>
      </c>
      <c r="J23" s="20" t="s">
        <v>172</v>
      </c>
      <c r="K23" s="32">
        <v>0.5</v>
      </c>
      <c r="L23" s="20" t="s">
        <v>32</v>
      </c>
      <c r="M23" s="32">
        <v>2023</v>
      </c>
      <c r="N23" s="32" t="s">
        <v>26</v>
      </c>
      <c r="O23" s="32" t="s">
        <v>22</v>
      </c>
      <c r="P23" s="32" t="s">
        <v>23</v>
      </c>
      <c r="Q23" s="32" t="s">
        <v>23</v>
      </c>
      <c r="R23" s="32">
        <v>50</v>
      </c>
      <c r="S23" s="32">
        <v>0.25</v>
      </c>
      <c r="T23" s="32">
        <v>0.25</v>
      </c>
      <c r="U23" s="13">
        <v>0</v>
      </c>
      <c r="V23" t="s">
        <v>138</v>
      </c>
    </row>
    <row r="24" spans="1:22" customFormat="1" ht="15" x14ac:dyDescent="0.25">
      <c r="A24" s="20" t="s">
        <v>173</v>
      </c>
      <c r="B24" s="20" t="s">
        <v>174</v>
      </c>
      <c r="C24" s="20" t="s">
        <v>175</v>
      </c>
      <c r="D24" s="20" t="s">
        <v>179</v>
      </c>
      <c r="E24" s="20" t="s">
        <v>180</v>
      </c>
      <c r="F24" s="20" t="s">
        <v>181</v>
      </c>
      <c r="G24" s="20" t="s">
        <v>51</v>
      </c>
      <c r="H24" s="20" t="s">
        <v>171</v>
      </c>
      <c r="I24" s="20" t="s">
        <v>32</v>
      </c>
      <c r="J24" s="20" t="s">
        <v>172</v>
      </c>
      <c r="K24" s="32">
        <v>0.5</v>
      </c>
      <c r="L24" s="20" t="s">
        <v>32</v>
      </c>
      <c r="M24" s="32">
        <v>2023</v>
      </c>
      <c r="N24" s="32" t="s">
        <v>26</v>
      </c>
      <c r="O24" s="32" t="s">
        <v>25</v>
      </c>
      <c r="P24" s="32" t="s">
        <v>23</v>
      </c>
      <c r="Q24" s="32" t="s">
        <v>23</v>
      </c>
      <c r="R24" s="32">
        <v>80</v>
      </c>
      <c r="S24" s="32">
        <v>0.4</v>
      </c>
      <c r="T24" s="32">
        <v>0.1</v>
      </c>
      <c r="U24" s="13">
        <v>0</v>
      </c>
      <c r="V24" t="s">
        <v>138</v>
      </c>
    </row>
    <row r="25" spans="1:22" customFormat="1" ht="15" x14ac:dyDescent="0.25">
      <c r="A25" s="20" t="s">
        <v>173</v>
      </c>
      <c r="B25" s="20" t="s">
        <v>174</v>
      </c>
      <c r="C25" s="20" t="s">
        <v>175</v>
      </c>
      <c r="D25" s="20" t="s">
        <v>179</v>
      </c>
      <c r="E25" s="20" t="s">
        <v>180</v>
      </c>
      <c r="F25" s="20" t="s">
        <v>181</v>
      </c>
      <c r="G25" s="20" t="s">
        <v>54</v>
      </c>
      <c r="H25" s="20" t="s">
        <v>171</v>
      </c>
      <c r="I25" s="20" t="s">
        <v>32</v>
      </c>
      <c r="J25" s="20" t="s">
        <v>172</v>
      </c>
      <c r="K25" s="32">
        <v>0.5</v>
      </c>
      <c r="L25" s="20" t="s">
        <v>32</v>
      </c>
      <c r="M25" s="32">
        <v>2023</v>
      </c>
      <c r="N25" s="32" t="s">
        <v>26</v>
      </c>
      <c r="O25" s="32" t="s">
        <v>22</v>
      </c>
      <c r="P25" s="32" t="s">
        <v>23</v>
      </c>
      <c r="Q25" s="32" t="s">
        <v>23</v>
      </c>
      <c r="R25" s="32">
        <v>50</v>
      </c>
      <c r="S25" s="32">
        <v>0.25</v>
      </c>
      <c r="T25" s="32">
        <v>0.25</v>
      </c>
      <c r="U25" s="13">
        <v>0</v>
      </c>
      <c r="V25" t="s">
        <v>138</v>
      </c>
    </row>
    <row r="26" spans="1:22" customFormat="1" ht="15" x14ac:dyDescent="0.25">
      <c r="A26" s="20" t="s">
        <v>173</v>
      </c>
      <c r="B26" s="20" t="s">
        <v>174</v>
      </c>
      <c r="C26" s="20" t="s">
        <v>175</v>
      </c>
      <c r="D26" s="20" t="s">
        <v>182</v>
      </c>
      <c r="E26" s="20" t="s">
        <v>183</v>
      </c>
      <c r="F26" s="20" t="s">
        <v>184</v>
      </c>
      <c r="G26" s="20" t="s">
        <v>68</v>
      </c>
      <c r="H26" s="20" t="s">
        <v>171</v>
      </c>
      <c r="I26" s="20" t="s">
        <v>32</v>
      </c>
      <c r="J26" s="20" t="s">
        <v>172</v>
      </c>
      <c r="K26" s="32">
        <v>0.5</v>
      </c>
      <c r="L26" s="20" t="s">
        <v>32</v>
      </c>
      <c r="M26" s="32">
        <v>2023</v>
      </c>
      <c r="N26" s="32" t="s">
        <v>26</v>
      </c>
      <c r="O26" s="32" t="s">
        <v>25</v>
      </c>
      <c r="P26" s="32" t="s">
        <v>23</v>
      </c>
      <c r="Q26" s="32" t="s">
        <v>23</v>
      </c>
      <c r="R26" s="32">
        <v>80</v>
      </c>
      <c r="S26" s="32">
        <v>0.4</v>
      </c>
      <c r="T26" s="32">
        <v>0.1</v>
      </c>
      <c r="U26" s="13">
        <v>0</v>
      </c>
      <c r="V26" t="s">
        <v>138</v>
      </c>
    </row>
    <row r="27" spans="1:22" customFormat="1" ht="15" x14ac:dyDescent="0.25">
      <c r="A27" s="20" t="s">
        <v>173</v>
      </c>
      <c r="B27" s="20" t="s">
        <v>174</v>
      </c>
      <c r="C27" s="20" t="s">
        <v>175</v>
      </c>
      <c r="D27" s="20" t="s">
        <v>182</v>
      </c>
      <c r="E27" s="20" t="s">
        <v>183</v>
      </c>
      <c r="F27" s="20" t="s">
        <v>184</v>
      </c>
      <c r="G27" s="20" t="s">
        <v>185</v>
      </c>
      <c r="H27" s="20" t="s">
        <v>171</v>
      </c>
      <c r="I27" s="20" t="s">
        <v>32</v>
      </c>
      <c r="J27" s="20" t="s">
        <v>172</v>
      </c>
      <c r="K27" s="32">
        <v>0.5</v>
      </c>
      <c r="L27" s="20" t="s">
        <v>32</v>
      </c>
      <c r="M27" s="32">
        <v>2023</v>
      </c>
      <c r="N27" s="32" t="s">
        <v>23</v>
      </c>
      <c r="O27" s="32" t="s">
        <v>23</v>
      </c>
      <c r="P27" s="32" t="s">
        <v>23</v>
      </c>
      <c r="Q27" s="32" t="s">
        <v>23</v>
      </c>
      <c r="R27" s="32">
        <v>100</v>
      </c>
      <c r="S27" s="32">
        <v>0.5</v>
      </c>
      <c r="T27" s="32">
        <v>0</v>
      </c>
      <c r="U27" s="13">
        <v>0</v>
      </c>
      <c r="V27" t="s">
        <v>138</v>
      </c>
    </row>
    <row r="28" spans="1:22" customFormat="1" ht="15" x14ac:dyDescent="0.25">
      <c r="A28" s="20" t="s">
        <v>173</v>
      </c>
      <c r="B28" s="20" t="s">
        <v>205</v>
      </c>
      <c r="C28" s="20" t="s">
        <v>175</v>
      </c>
      <c r="D28" s="20" t="s">
        <v>206</v>
      </c>
      <c r="E28" s="20" t="s">
        <v>207</v>
      </c>
      <c r="F28" s="20" t="s">
        <v>208</v>
      </c>
      <c r="G28" s="20" t="s">
        <v>53</v>
      </c>
      <c r="H28" s="20" t="s">
        <v>209</v>
      </c>
      <c r="I28" s="20" t="s">
        <v>32</v>
      </c>
      <c r="J28" s="20" t="s">
        <v>210</v>
      </c>
      <c r="K28" s="32">
        <v>1</v>
      </c>
      <c r="L28" s="20" t="s">
        <v>32</v>
      </c>
      <c r="M28" s="32">
        <v>2024</v>
      </c>
      <c r="N28" s="32" t="s">
        <v>26</v>
      </c>
      <c r="O28" s="32" t="s">
        <v>25</v>
      </c>
      <c r="P28" s="32" t="s">
        <v>23</v>
      </c>
      <c r="Q28" s="32" t="s">
        <v>23</v>
      </c>
      <c r="R28" s="32">
        <v>80</v>
      </c>
      <c r="S28" s="32">
        <v>0.8</v>
      </c>
      <c r="T28" s="32">
        <v>0.2</v>
      </c>
      <c r="U28" s="13">
        <v>0</v>
      </c>
    </row>
    <row r="29" spans="1:22" customFormat="1" ht="15" x14ac:dyDescent="0.25">
      <c r="A29" s="20" t="s">
        <v>173</v>
      </c>
      <c r="B29" s="20" t="s">
        <v>205</v>
      </c>
      <c r="C29" s="20" t="s">
        <v>175</v>
      </c>
      <c r="D29" s="20" t="s">
        <v>211</v>
      </c>
      <c r="E29" s="20" t="s">
        <v>212</v>
      </c>
      <c r="F29" s="20" t="s">
        <v>213</v>
      </c>
      <c r="G29" s="20" t="s">
        <v>214</v>
      </c>
      <c r="H29" s="20" t="s">
        <v>171</v>
      </c>
      <c r="I29" s="20" t="s">
        <v>32</v>
      </c>
      <c r="J29" s="20" t="s">
        <v>210</v>
      </c>
      <c r="K29" s="32">
        <v>0.5</v>
      </c>
      <c r="L29" s="20" t="s">
        <v>32</v>
      </c>
      <c r="M29" s="32">
        <v>2024</v>
      </c>
      <c r="N29" s="32" t="s">
        <v>26</v>
      </c>
      <c r="O29" s="32" t="s">
        <v>25</v>
      </c>
      <c r="P29" s="32" t="s">
        <v>23</v>
      </c>
      <c r="Q29" s="32" t="s">
        <v>23</v>
      </c>
      <c r="R29" s="32">
        <v>80</v>
      </c>
      <c r="S29" s="32">
        <v>0.4</v>
      </c>
      <c r="T29" s="32">
        <v>0.1</v>
      </c>
      <c r="U29" s="13">
        <v>0</v>
      </c>
    </row>
    <row r="30" spans="1:22" customFormat="1" ht="15" x14ac:dyDescent="0.25">
      <c r="A30" s="20" t="s">
        <v>173</v>
      </c>
      <c r="B30" s="20" t="s">
        <v>205</v>
      </c>
      <c r="C30" s="20" t="s">
        <v>175</v>
      </c>
      <c r="D30" s="20" t="s">
        <v>215</v>
      </c>
      <c r="E30" s="20" t="s">
        <v>216</v>
      </c>
      <c r="F30" s="20" t="s">
        <v>217</v>
      </c>
      <c r="G30" s="20" t="s">
        <v>58</v>
      </c>
      <c r="H30" s="20" t="s">
        <v>171</v>
      </c>
      <c r="I30" s="20" t="s">
        <v>32</v>
      </c>
      <c r="J30" s="20" t="s">
        <v>210</v>
      </c>
      <c r="K30" s="32">
        <v>0.5</v>
      </c>
      <c r="L30" s="20" t="s">
        <v>32</v>
      </c>
      <c r="M30" s="32">
        <v>2024</v>
      </c>
      <c r="N30" s="32" t="s">
        <v>26</v>
      </c>
      <c r="O30" s="32" t="s">
        <v>25</v>
      </c>
      <c r="P30" s="32" t="s">
        <v>23</v>
      </c>
      <c r="Q30" s="32" t="s">
        <v>23</v>
      </c>
      <c r="R30" s="32">
        <v>80</v>
      </c>
      <c r="S30" s="32">
        <v>0.4</v>
      </c>
      <c r="T30" s="32">
        <v>0.1</v>
      </c>
      <c r="U30" s="13">
        <v>0</v>
      </c>
    </row>
    <row r="31" spans="1:22" customFormat="1" ht="15" x14ac:dyDescent="0.25">
      <c r="A31" s="20" t="s">
        <v>173</v>
      </c>
      <c r="B31" s="20" t="s">
        <v>205</v>
      </c>
      <c r="C31" s="20" t="s">
        <v>175</v>
      </c>
      <c r="D31" s="20" t="s">
        <v>218</v>
      </c>
      <c r="E31" s="20" t="s">
        <v>219</v>
      </c>
      <c r="F31" s="20" t="s">
        <v>220</v>
      </c>
      <c r="G31" s="20" t="s">
        <v>68</v>
      </c>
      <c r="H31" s="20" t="s">
        <v>171</v>
      </c>
      <c r="I31" s="20" t="s">
        <v>32</v>
      </c>
      <c r="J31" s="20" t="s">
        <v>210</v>
      </c>
      <c r="K31" s="32">
        <v>0.5</v>
      </c>
      <c r="L31" s="20" t="s">
        <v>32</v>
      </c>
      <c r="M31" s="32">
        <v>2024</v>
      </c>
      <c r="N31" s="32" t="s">
        <v>26</v>
      </c>
      <c r="O31" s="32" t="s">
        <v>25</v>
      </c>
      <c r="P31" s="32" t="s">
        <v>23</v>
      </c>
      <c r="Q31" s="32" t="s">
        <v>23</v>
      </c>
      <c r="R31" s="32">
        <v>80</v>
      </c>
      <c r="S31" s="32">
        <v>0.4</v>
      </c>
      <c r="T31" s="32">
        <v>0.1</v>
      </c>
      <c r="U31" s="13">
        <v>0</v>
      </c>
    </row>
    <row r="32" spans="1:22" customFormat="1" ht="15" x14ac:dyDescent="0.25">
      <c r="A32" s="20" t="s">
        <v>173</v>
      </c>
      <c r="B32" s="20" t="s">
        <v>205</v>
      </c>
      <c r="C32" s="20" t="s">
        <v>175</v>
      </c>
      <c r="D32" s="20" t="s">
        <v>218</v>
      </c>
      <c r="E32" s="20" t="s">
        <v>219</v>
      </c>
      <c r="F32" s="20" t="s">
        <v>220</v>
      </c>
      <c r="G32" s="20" t="s">
        <v>57</v>
      </c>
      <c r="H32" s="20" t="s">
        <v>171</v>
      </c>
      <c r="I32" s="20" t="s">
        <v>32</v>
      </c>
      <c r="J32" s="20" t="s">
        <v>210</v>
      </c>
      <c r="K32" s="32">
        <v>0.5</v>
      </c>
      <c r="L32" s="20" t="s">
        <v>32</v>
      </c>
      <c r="M32" s="32">
        <v>2024</v>
      </c>
      <c r="N32" s="32" t="s">
        <v>26</v>
      </c>
      <c r="O32" s="32" t="s">
        <v>25</v>
      </c>
      <c r="P32" s="32" t="s">
        <v>23</v>
      </c>
      <c r="Q32" s="32" t="s">
        <v>23</v>
      </c>
      <c r="R32" s="32">
        <v>80</v>
      </c>
      <c r="S32" s="32">
        <v>0.4</v>
      </c>
      <c r="T32" s="32">
        <v>0.1</v>
      </c>
      <c r="U32" s="13">
        <v>0</v>
      </c>
    </row>
    <row r="33" spans="1:21" customFormat="1" ht="15" x14ac:dyDescent="0.25">
      <c r="A33" s="20" t="s">
        <v>173</v>
      </c>
      <c r="B33" s="20" t="s">
        <v>205</v>
      </c>
      <c r="C33" s="20" t="s">
        <v>175</v>
      </c>
      <c r="D33" s="20" t="s">
        <v>221</v>
      </c>
      <c r="E33" s="20" t="s">
        <v>222</v>
      </c>
      <c r="F33" s="20" t="s">
        <v>223</v>
      </c>
      <c r="G33" s="20" t="s">
        <v>58</v>
      </c>
      <c r="H33" s="20" t="s">
        <v>209</v>
      </c>
      <c r="I33" s="20" t="s">
        <v>32</v>
      </c>
      <c r="J33" s="20" t="s">
        <v>210</v>
      </c>
      <c r="K33" s="32">
        <v>1</v>
      </c>
      <c r="L33" s="20" t="s">
        <v>32</v>
      </c>
      <c r="M33" s="32">
        <v>2024</v>
      </c>
      <c r="N33" s="32" t="s">
        <v>26</v>
      </c>
      <c r="O33" s="32" t="s">
        <v>25</v>
      </c>
      <c r="P33" s="32" t="s">
        <v>23</v>
      </c>
      <c r="Q33" s="32" t="s">
        <v>23</v>
      </c>
      <c r="R33" s="32">
        <v>80</v>
      </c>
      <c r="S33" s="32">
        <v>0.8</v>
      </c>
      <c r="T33" s="32">
        <v>0.2</v>
      </c>
      <c r="U33" s="13">
        <v>0</v>
      </c>
    </row>
    <row r="34" spans="1:21" customFormat="1" ht="15" x14ac:dyDescent="0.25">
      <c r="A34" s="20" t="s">
        <v>173</v>
      </c>
      <c r="B34" s="20" t="s">
        <v>205</v>
      </c>
      <c r="C34" s="20" t="s">
        <v>175</v>
      </c>
      <c r="D34" s="20" t="s">
        <v>224</v>
      </c>
      <c r="E34" s="20" t="s">
        <v>225</v>
      </c>
      <c r="F34" s="20" t="s">
        <v>226</v>
      </c>
      <c r="G34" s="20" t="s">
        <v>58</v>
      </c>
      <c r="H34" s="20" t="s">
        <v>171</v>
      </c>
      <c r="I34" s="20" t="s">
        <v>32</v>
      </c>
      <c r="J34" s="20" t="s">
        <v>210</v>
      </c>
      <c r="K34" s="32">
        <v>0.5</v>
      </c>
      <c r="L34" s="20" t="s">
        <v>32</v>
      </c>
      <c r="M34" s="32">
        <v>2024</v>
      </c>
      <c r="N34" s="32" t="s">
        <v>26</v>
      </c>
      <c r="O34" s="32" t="s">
        <v>25</v>
      </c>
      <c r="P34" s="32" t="s">
        <v>23</v>
      </c>
      <c r="Q34" s="32" t="s">
        <v>23</v>
      </c>
      <c r="R34" s="32">
        <v>80</v>
      </c>
      <c r="S34" s="32">
        <v>0.4</v>
      </c>
      <c r="T34" s="32">
        <v>0.1</v>
      </c>
      <c r="U34" s="13">
        <v>0</v>
      </c>
    </row>
    <row r="35" spans="1:21" customFormat="1" ht="15" x14ac:dyDescent="0.25">
      <c r="A35" s="20" t="s">
        <v>173</v>
      </c>
      <c r="B35" s="20" t="s">
        <v>205</v>
      </c>
      <c r="C35" s="20" t="s">
        <v>175</v>
      </c>
      <c r="D35" s="20" t="s">
        <v>227</v>
      </c>
      <c r="E35" s="20" t="s">
        <v>228</v>
      </c>
      <c r="F35" s="20" t="s">
        <v>229</v>
      </c>
      <c r="G35" s="20" t="s">
        <v>58</v>
      </c>
      <c r="H35" s="20" t="s">
        <v>171</v>
      </c>
      <c r="I35" s="20" t="s">
        <v>32</v>
      </c>
      <c r="J35" s="20" t="s">
        <v>210</v>
      </c>
      <c r="K35" s="32">
        <v>0.5</v>
      </c>
      <c r="L35" s="20" t="s">
        <v>32</v>
      </c>
      <c r="M35" s="32">
        <v>2024</v>
      </c>
      <c r="N35" s="32" t="s">
        <v>26</v>
      </c>
      <c r="O35" s="32" t="s">
        <v>25</v>
      </c>
      <c r="P35" s="32" t="s">
        <v>23</v>
      </c>
      <c r="Q35" s="32" t="s">
        <v>23</v>
      </c>
      <c r="R35" s="32">
        <v>80</v>
      </c>
      <c r="S35" s="32">
        <v>0.4</v>
      </c>
      <c r="T35" s="32">
        <v>0.1</v>
      </c>
      <c r="U35" s="13">
        <v>0</v>
      </c>
    </row>
    <row r="36" spans="1:21" customFormat="1" ht="15" x14ac:dyDescent="0.25">
      <c r="A36" s="20" t="s">
        <v>230</v>
      </c>
      <c r="B36" s="20" t="s">
        <v>231</v>
      </c>
      <c r="C36" s="20" t="s">
        <v>232</v>
      </c>
      <c r="D36" s="20" t="s">
        <v>233</v>
      </c>
      <c r="E36" s="20" t="s">
        <v>234</v>
      </c>
      <c r="F36" s="20" t="s">
        <v>235</v>
      </c>
      <c r="G36" s="20" t="s">
        <v>187</v>
      </c>
      <c r="H36" s="20" t="s">
        <v>171</v>
      </c>
      <c r="I36" s="20" t="s">
        <v>32</v>
      </c>
      <c r="J36" s="20" t="s">
        <v>210</v>
      </c>
      <c r="K36" s="32">
        <v>0.5</v>
      </c>
      <c r="L36" s="20" t="s">
        <v>32</v>
      </c>
      <c r="M36" s="32">
        <v>2024</v>
      </c>
      <c r="N36" s="32" t="s">
        <v>26</v>
      </c>
      <c r="O36" s="32" t="s">
        <v>22</v>
      </c>
      <c r="P36" s="32" t="s">
        <v>23</v>
      </c>
      <c r="Q36" s="32" t="s">
        <v>23</v>
      </c>
      <c r="R36" s="32">
        <v>50</v>
      </c>
      <c r="S36" s="32">
        <v>0.25</v>
      </c>
      <c r="T36" s="32">
        <v>0.25</v>
      </c>
      <c r="U36" s="13">
        <v>0</v>
      </c>
    </row>
    <row r="37" spans="1:21" x14ac:dyDescent="0.2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5"/>
      <c r="P37" s="44"/>
      <c r="Q37" s="45"/>
      <c r="R37" s="44"/>
      <c r="S37" s="46">
        <f>SUM(S2:S36)</f>
        <v>13.900000000000006</v>
      </c>
      <c r="T37" s="44"/>
      <c r="U37" s="44"/>
    </row>
  </sheetData>
  <autoFilter ref="A1:U16" xr:uid="{00000000-0009-0000-0000-000000000000}">
    <sortState xmlns:xlrd2="http://schemas.microsoft.com/office/spreadsheetml/2017/richdata2" ref="A2:U1885">
      <sortCondition ref="L2:L1885"/>
      <sortCondition ref="M2:M1885"/>
      <sortCondition ref="D2:D1885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2"/>
  <sheetViews>
    <sheetView topLeftCell="A7" zoomScaleNormal="100" workbookViewId="0">
      <selection activeCell="V18" sqref="V18"/>
    </sheetView>
  </sheetViews>
  <sheetFormatPr baseColWidth="10" defaultColWidth="11.42578125" defaultRowHeight="12.75" x14ac:dyDescent="0.2"/>
  <cols>
    <col min="1" max="1" width="10.85546875" style="11" bestFit="1" customWidth="1"/>
    <col min="2" max="2" width="35.85546875" style="11" bestFit="1" customWidth="1"/>
    <col min="3" max="3" width="17" style="11" bestFit="1" customWidth="1"/>
    <col min="4" max="9" width="3.28515625" style="11" bestFit="1" customWidth="1"/>
    <col min="10" max="10" width="13.140625" style="11" bestFit="1" customWidth="1"/>
    <col min="11" max="11" width="5.28515625" style="11" bestFit="1" customWidth="1"/>
    <col min="12" max="13" width="5.7109375" style="11" bestFit="1" customWidth="1"/>
    <col min="14" max="14" width="5.7109375" style="12" bestFit="1" customWidth="1"/>
    <col min="15" max="15" width="5.7109375" style="11" bestFit="1" customWidth="1"/>
    <col min="16" max="16" width="5.7109375" style="12" bestFit="1" customWidth="1"/>
    <col min="17" max="19" width="5.7109375" style="11" bestFit="1" customWidth="1"/>
    <col min="20" max="16384" width="11.42578125" style="11"/>
  </cols>
  <sheetData>
    <row r="1" spans="1:19" s="10" customFormat="1" ht="30" x14ac:dyDescent="0.2">
      <c r="A1" s="14" t="s">
        <v>37</v>
      </c>
      <c r="B1" s="14" t="s">
        <v>38</v>
      </c>
      <c r="C1" s="14" t="s">
        <v>39</v>
      </c>
      <c r="D1" s="15" t="s">
        <v>236</v>
      </c>
      <c r="E1" s="15" t="s">
        <v>237</v>
      </c>
      <c r="F1" s="15" t="s">
        <v>238</v>
      </c>
      <c r="G1" s="15" t="s">
        <v>239</v>
      </c>
      <c r="H1" s="15" t="s">
        <v>240</v>
      </c>
      <c r="I1" s="15" t="s">
        <v>241</v>
      </c>
      <c r="J1" s="14" t="s">
        <v>40</v>
      </c>
      <c r="K1" s="16" t="s">
        <v>89</v>
      </c>
      <c r="L1" s="8" t="s">
        <v>41</v>
      </c>
      <c r="M1" s="8" t="s">
        <v>42</v>
      </c>
      <c r="N1" s="8" t="s">
        <v>43</v>
      </c>
      <c r="O1" s="8" t="s">
        <v>44</v>
      </c>
      <c r="P1" s="9" t="s">
        <v>45</v>
      </c>
      <c r="Q1" s="9" t="s">
        <v>46</v>
      </c>
      <c r="R1" s="9" t="s">
        <v>47</v>
      </c>
      <c r="S1" s="9" t="s">
        <v>48</v>
      </c>
    </row>
    <row r="2" spans="1:19" x14ac:dyDescent="0.2">
      <c r="A2" s="41" t="s">
        <v>69</v>
      </c>
      <c r="B2" s="41" t="s">
        <v>242</v>
      </c>
      <c r="C2" s="41" t="s">
        <v>49</v>
      </c>
      <c r="D2" s="41">
        <v>1</v>
      </c>
      <c r="E2" s="41">
        <v>1</v>
      </c>
      <c r="F2" s="41"/>
      <c r="G2" s="41"/>
      <c r="H2" s="41"/>
      <c r="I2" s="41"/>
      <c r="J2" s="41">
        <v>2</v>
      </c>
      <c r="K2" s="41" t="s">
        <v>32</v>
      </c>
      <c r="L2" s="41" t="s">
        <v>26</v>
      </c>
      <c r="M2" s="41" t="s">
        <v>25</v>
      </c>
      <c r="N2" s="42" t="s">
        <v>23</v>
      </c>
      <c r="O2" s="41" t="s">
        <v>23</v>
      </c>
      <c r="P2" s="42">
        <v>80</v>
      </c>
      <c r="Q2" s="41">
        <v>0.4</v>
      </c>
      <c r="R2" s="41">
        <v>0</v>
      </c>
      <c r="S2" s="41">
        <v>1.6</v>
      </c>
    </row>
    <row r="3" spans="1:19" x14ac:dyDescent="0.2">
      <c r="A3" s="41" t="s">
        <v>112</v>
      </c>
      <c r="B3" s="41" t="s">
        <v>243</v>
      </c>
      <c r="C3" s="41" t="s">
        <v>49</v>
      </c>
      <c r="D3" s="41"/>
      <c r="E3" s="41"/>
      <c r="F3" s="41"/>
      <c r="G3" s="41"/>
      <c r="H3" s="41">
        <v>2</v>
      </c>
      <c r="I3" s="41"/>
      <c r="J3" s="41">
        <v>2</v>
      </c>
      <c r="K3" s="41" t="s">
        <v>32</v>
      </c>
      <c r="L3" s="41" t="s">
        <v>26</v>
      </c>
      <c r="M3" s="41" t="s">
        <v>22</v>
      </c>
      <c r="N3" s="42" t="s">
        <v>23</v>
      </c>
      <c r="O3" s="41" t="s">
        <v>23</v>
      </c>
      <c r="P3" s="42">
        <v>50</v>
      </c>
      <c r="Q3" s="41">
        <v>1</v>
      </c>
      <c r="R3" s="41">
        <v>0</v>
      </c>
      <c r="S3" s="41">
        <v>1</v>
      </c>
    </row>
    <row r="4" spans="1:19" x14ac:dyDescent="0.2">
      <c r="A4" s="41" t="s">
        <v>64</v>
      </c>
      <c r="B4" s="41" t="s">
        <v>244</v>
      </c>
      <c r="C4" s="41" t="s">
        <v>49</v>
      </c>
      <c r="D4" s="41"/>
      <c r="E4" s="41"/>
      <c r="F4" s="41"/>
      <c r="G4" s="41">
        <v>1</v>
      </c>
      <c r="H4" s="41"/>
      <c r="I4" s="41"/>
      <c r="J4" s="41">
        <v>1</v>
      </c>
      <c r="K4" s="41" t="s">
        <v>32</v>
      </c>
      <c r="L4" s="41" t="s">
        <v>26</v>
      </c>
      <c r="M4" s="41" t="s">
        <v>25</v>
      </c>
      <c r="N4" s="42" t="s">
        <v>23</v>
      </c>
      <c r="O4" s="41" t="s">
        <v>23</v>
      </c>
      <c r="P4" s="42">
        <v>80</v>
      </c>
      <c r="Q4" s="41">
        <v>0.2</v>
      </c>
      <c r="R4" s="41">
        <v>0</v>
      </c>
      <c r="S4" s="41">
        <v>0.8</v>
      </c>
    </row>
    <row r="5" spans="1:19" x14ac:dyDescent="0.2">
      <c r="A5" s="41" t="s">
        <v>70</v>
      </c>
      <c r="B5" s="41" t="s">
        <v>245</v>
      </c>
      <c r="C5" s="41" t="s">
        <v>136</v>
      </c>
      <c r="D5" s="41"/>
      <c r="E5" s="41"/>
      <c r="F5" s="41"/>
      <c r="G5" s="41"/>
      <c r="H5" s="41"/>
      <c r="I5" s="41">
        <v>1</v>
      </c>
      <c r="J5" s="41">
        <v>1</v>
      </c>
      <c r="K5" s="41" t="s">
        <v>32</v>
      </c>
      <c r="L5" s="41" t="s">
        <v>26</v>
      </c>
      <c r="M5" s="41" t="s">
        <v>25</v>
      </c>
      <c r="N5" s="42" t="s">
        <v>23</v>
      </c>
      <c r="O5" s="41" t="s">
        <v>23</v>
      </c>
      <c r="P5" s="42">
        <v>80</v>
      </c>
      <c r="Q5" s="41">
        <v>0.2</v>
      </c>
      <c r="R5" s="41">
        <v>0</v>
      </c>
      <c r="S5" s="41">
        <v>0.8</v>
      </c>
    </row>
    <row r="6" spans="1:19" x14ac:dyDescent="0.2">
      <c r="A6" s="41" t="s">
        <v>68</v>
      </c>
      <c r="B6" s="41" t="s">
        <v>246</v>
      </c>
      <c r="C6" s="41" t="s">
        <v>49</v>
      </c>
      <c r="D6" s="41"/>
      <c r="E6" s="41"/>
      <c r="F6" s="41">
        <v>1</v>
      </c>
      <c r="G6" s="41"/>
      <c r="H6" s="41"/>
      <c r="I6" s="41"/>
      <c r="J6" s="41">
        <v>1</v>
      </c>
      <c r="K6" s="41" t="s">
        <v>32</v>
      </c>
      <c r="L6" s="41" t="s">
        <v>26</v>
      </c>
      <c r="M6" s="41" t="s">
        <v>25</v>
      </c>
      <c r="N6" s="42" t="s">
        <v>23</v>
      </c>
      <c r="O6" s="41" t="s">
        <v>23</v>
      </c>
      <c r="P6" s="42">
        <v>80</v>
      </c>
      <c r="Q6" s="41">
        <v>0.2</v>
      </c>
      <c r="R6" s="41">
        <v>0</v>
      </c>
      <c r="S6" s="41">
        <v>0.8</v>
      </c>
    </row>
    <row r="7" spans="1:19" x14ac:dyDescent="0.2">
      <c r="A7" s="41" t="s">
        <v>67</v>
      </c>
      <c r="B7" s="41" t="s">
        <v>247</v>
      </c>
      <c r="C7" s="41" t="s">
        <v>49</v>
      </c>
      <c r="D7" s="41"/>
      <c r="E7" s="41"/>
      <c r="F7" s="41">
        <v>1</v>
      </c>
      <c r="G7" s="41"/>
      <c r="H7" s="41"/>
      <c r="I7" s="41"/>
      <c r="J7" s="41">
        <v>1</v>
      </c>
      <c r="K7" s="41" t="s">
        <v>32</v>
      </c>
      <c r="L7" s="41" t="s">
        <v>26</v>
      </c>
      <c r="M7" s="41" t="s">
        <v>25</v>
      </c>
      <c r="N7" s="42" t="s">
        <v>23</v>
      </c>
      <c r="O7" s="41" t="s">
        <v>23</v>
      </c>
      <c r="P7" s="42">
        <v>80</v>
      </c>
      <c r="Q7" s="41">
        <v>0.2</v>
      </c>
      <c r="R7" s="41">
        <v>0</v>
      </c>
      <c r="S7" s="41">
        <v>0.8</v>
      </c>
    </row>
    <row r="8" spans="1:19" x14ac:dyDescent="0.2">
      <c r="A8" s="41" t="s">
        <v>60</v>
      </c>
      <c r="B8" s="41" t="s">
        <v>248</v>
      </c>
      <c r="C8" s="41" t="s">
        <v>49</v>
      </c>
      <c r="D8" s="41"/>
      <c r="E8" s="41">
        <v>1</v>
      </c>
      <c r="F8" s="41"/>
      <c r="G8" s="41"/>
      <c r="H8" s="41"/>
      <c r="I8" s="41"/>
      <c r="J8" s="41">
        <v>1</v>
      </c>
      <c r="K8" s="41" t="s">
        <v>32</v>
      </c>
      <c r="L8" s="41" t="s">
        <v>26</v>
      </c>
      <c r="M8" s="41" t="s">
        <v>25</v>
      </c>
      <c r="N8" s="42" t="s">
        <v>23</v>
      </c>
      <c r="O8" s="41" t="s">
        <v>23</v>
      </c>
      <c r="P8" s="42">
        <v>80</v>
      </c>
      <c r="Q8" s="41">
        <v>0.2</v>
      </c>
      <c r="R8" s="41">
        <v>0</v>
      </c>
      <c r="S8" s="41">
        <v>0.8</v>
      </c>
    </row>
    <row r="9" spans="1:19" x14ac:dyDescent="0.2">
      <c r="A9" s="41" t="s">
        <v>87</v>
      </c>
      <c r="B9" s="41" t="s">
        <v>249</v>
      </c>
      <c r="C9" s="41" t="s">
        <v>49</v>
      </c>
      <c r="D9" s="41"/>
      <c r="E9" s="41">
        <v>1</v>
      </c>
      <c r="F9" s="41"/>
      <c r="G9" s="41"/>
      <c r="H9" s="41"/>
      <c r="I9" s="41"/>
      <c r="J9" s="41">
        <v>1</v>
      </c>
      <c r="K9" s="41" t="s">
        <v>32</v>
      </c>
      <c r="L9" s="41" t="s">
        <v>26</v>
      </c>
      <c r="M9" s="41" t="s">
        <v>25</v>
      </c>
      <c r="N9" s="42" t="s">
        <v>23</v>
      </c>
      <c r="O9" s="41" t="s">
        <v>23</v>
      </c>
      <c r="P9" s="42">
        <v>80</v>
      </c>
      <c r="Q9" s="41">
        <v>0.2</v>
      </c>
      <c r="R9" s="41">
        <v>0</v>
      </c>
      <c r="S9" s="41">
        <v>0.8</v>
      </c>
    </row>
    <row r="10" spans="1:19" x14ac:dyDescent="0.2">
      <c r="A10" s="41" t="s">
        <v>54</v>
      </c>
      <c r="B10" s="41" t="s">
        <v>250</v>
      </c>
      <c r="C10" s="41" t="s">
        <v>49</v>
      </c>
      <c r="D10" s="41"/>
      <c r="E10" s="41"/>
      <c r="F10" s="41">
        <v>1</v>
      </c>
      <c r="G10" s="41"/>
      <c r="H10" s="41"/>
      <c r="I10" s="41"/>
      <c r="J10" s="41">
        <v>1</v>
      </c>
      <c r="K10" s="41" t="s">
        <v>32</v>
      </c>
      <c r="L10" s="41" t="s">
        <v>26</v>
      </c>
      <c r="M10" s="41" t="s">
        <v>22</v>
      </c>
      <c r="N10" s="42" t="s">
        <v>23</v>
      </c>
      <c r="O10" s="41" t="s">
        <v>23</v>
      </c>
      <c r="P10" s="42">
        <v>50</v>
      </c>
      <c r="Q10" s="41">
        <v>0.5</v>
      </c>
      <c r="R10" s="41">
        <v>0</v>
      </c>
      <c r="S10" s="41">
        <v>0.5</v>
      </c>
    </row>
    <row r="11" spans="1:19" x14ac:dyDescent="0.2">
      <c r="A11" s="41" t="s">
        <v>55</v>
      </c>
      <c r="B11" s="41" t="s">
        <v>251</v>
      </c>
      <c r="C11" s="41" t="s">
        <v>49</v>
      </c>
      <c r="D11" s="41"/>
      <c r="E11" s="41"/>
      <c r="F11" s="41"/>
      <c r="G11" s="41">
        <v>1</v>
      </c>
      <c r="H11" s="41"/>
      <c r="I11" s="41"/>
      <c r="J11" s="41">
        <v>1</v>
      </c>
      <c r="K11" s="41" t="s">
        <v>32</v>
      </c>
      <c r="L11" s="41" t="s">
        <v>26</v>
      </c>
      <c r="M11" s="41" t="s">
        <v>25</v>
      </c>
      <c r="N11" s="42" t="s">
        <v>23</v>
      </c>
      <c r="O11" s="41" t="s">
        <v>23</v>
      </c>
      <c r="P11" s="42">
        <v>80</v>
      </c>
      <c r="Q11" s="41">
        <v>0.2</v>
      </c>
      <c r="R11" s="41">
        <v>0</v>
      </c>
      <c r="S11" s="41">
        <v>0.8</v>
      </c>
    </row>
    <row r="12" spans="1:19" x14ac:dyDescent="0.2">
      <c r="A12" s="41" t="s">
        <v>57</v>
      </c>
      <c r="B12" s="41" t="s">
        <v>252</v>
      </c>
      <c r="C12" s="41" t="s">
        <v>49</v>
      </c>
      <c r="D12" s="41"/>
      <c r="E12" s="41"/>
      <c r="F12" s="41"/>
      <c r="G12" s="41"/>
      <c r="H12" s="41">
        <v>1</v>
      </c>
      <c r="I12" s="41"/>
      <c r="J12" s="41">
        <v>1</v>
      </c>
      <c r="K12" s="41" t="s">
        <v>32</v>
      </c>
      <c r="L12" s="41" t="s">
        <v>26</v>
      </c>
      <c r="M12" s="41" t="s">
        <v>25</v>
      </c>
      <c r="N12" s="42" t="s">
        <v>23</v>
      </c>
      <c r="O12" s="41" t="s">
        <v>23</v>
      </c>
      <c r="P12" s="42">
        <v>80</v>
      </c>
      <c r="Q12" s="41">
        <v>0.2</v>
      </c>
      <c r="R12" s="41">
        <v>0</v>
      </c>
      <c r="S12" s="41">
        <v>0.8</v>
      </c>
    </row>
    <row r="13" spans="1:19" x14ac:dyDescent="0.2">
      <c r="A13" s="41" t="s">
        <v>62</v>
      </c>
      <c r="B13" s="41" t="s">
        <v>253</v>
      </c>
      <c r="C13" s="41" t="s">
        <v>49</v>
      </c>
      <c r="D13" s="41"/>
      <c r="E13" s="41">
        <v>1</v>
      </c>
      <c r="F13" s="41"/>
      <c r="G13" s="41"/>
      <c r="H13" s="41"/>
      <c r="I13" s="41"/>
      <c r="J13" s="41">
        <v>1</v>
      </c>
      <c r="K13" s="41" t="s">
        <v>32</v>
      </c>
      <c r="L13" s="41" t="s">
        <v>26</v>
      </c>
      <c r="M13" s="41" t="s">
        <v>25</v>
      </c>
      <c r="N13" s="42" t="s">
        <v>23</v>
      </c>
      <c r="O13" s="41" t="s">
        <v>23</v>
      </c>
      <c r="P13" s="42">
        <v>80</v>
      </c>
      <c r="Q13" s="41">
        <v>0.2</v>
      </c>
      <c r="R13" s="41">
        <v>0</v>
      </c>
      <c r="S13" s="41">
        <v>0.8</v>
      </c>
    </row>
    <row r="14" spans="1:19" x14ac:dyDescent="0.2">
      <c r="A14" s="41" t="s">
        <v>66</v>
      </c>
      <c r="B14" s="41" t="s">
        <v>254</v>
      </c>
      <c r="C14" s="41" t="s">
        <v>49</v>
      </c>
      <c r="D14" s="41"/>
      <c r="E14" s="41"/>
      <c r="F14" s="41"/>
      <c r="G14" s="41">
        <v>1</v>
      </c>
      <c r="H14" s="41"/>
      <c r="I14" s="41"/>
      <c r="J14" s="41">
        <v>1</v>
      </c>
      <c r="K14" s="41" t="s">
        <v>32</v>
      </c>
      <c r="L14" s="41" t="s">
        <v>26</v>
      </c>
      <c r="M14" s="41" t="s">
        <v>25</v>
      </c>
      <c r="N14" s="42" t="s">
        <v>23</v>
      </c>
      <c r="O14" s="41" t="s">
        <v>23</v>
      </c>
      <c r="P14" s="42">
        <v>80</v>
      </c>
      <c r="Q14" s="41">
        <v>0.2</v>
      </c>
      <c r="R14" s="41">
        <v>0</v>
      </c>
      <c r="S14" s="41">
        <v>0.8</v>
      </c>
    </row>
    <row r="15" spans="1:19" x14ac:dyDescent="0.2">
      <c r="A15" s="41" t="s">
        <v>53</v>
      </c>
      <c r="B15" s="41" t="s">
        <v>255</v>
      </c>
      <c r="C15" s="41" t="s">
        <v>49</v>
      </c>
      <c r="D15" s="41"/>
      <c r="E15" s="41">
        <v>1</v>
      </c>
      <c r="F15" s="41"/>
      <c r="G15" s="41"/>
      <c r="H15" s="41"/>
      <c r="I15" s="41"/>
      <c r="J15" s="41">
        <v>1</v>
      </c>
      <c r="K15" s="41" t="s">
        <v>32</v>
      </c>
      <c r="L15" s="41" t="s">
        <v>26</v>
      </c>
      <c r="M15" s="41" t="s">
        <v>25</v>
      </c>
      <c r="N15" s="42" t="s">
        <v>23</v>
      </c>
      <c r="O15" s="41" t="s">
        <v>23</v>
      </c>
      <c r="P15" s="42">
        <v>80</v>
      </c>
      <c r="Q15" s="41">
        <v>0.2</v>
      </c>
      <c r="R15" s="41">
        <v>0</v>
      </c>
      <c r="S15" s="41">
        <v>0.8</v>
      </c>
    </row>
    <row r="16" spans="1:19" x14ac:dyDescent="0.2">
      <c r="A16" s="41" t="s">
        <v>61</v>
      </c>
      <c r="B16" s="41" t="s">
        <v>256</v>
      </c>
      <c r="C16" s="41" t="s">
        <v>49</v>
      </c>
      <c r="D16" s="41"/>
      <c r="E16" s="41"/>
      <c r="F16" s="41">
        <v>1</v>
      </c>
      <c r="G16" s="41"/>
      <c r="H16" s="41"/>
      <c r="I16" s="41"/>
      <c r="J16" s="41">
        <v>1</v>
      </c>
      <c r="K16" s="41" t="s">
        <v>32</v>
      </c>
      <c r="L16" s="41" t="s">
        <v>26</v>
      </c>
      <c r="M16" s="41" t="s">
        <v>25</v>
      </c>
      <c r="N16" s="42" t="s">
        <v>23</v>
      </c>
      <c r="O16" s="41" t="s">
        <v>23</v>
      </c>
      <c r="P16" s="42">
        <v>80</v>
      </c>
      <c r="Q16" s="41">
        <v>0.2</v>
      </c>
      <c r="R16" s="41">
        <v>0</v>
      </c>
      <c r="S16" s="41">
        <v>0.8</v>
      </c>
    </row>
    <row r="17" spans="1:19" x14ac:dyDescent="0.2">
      <c r="A17" s="41" t="s">
        <v>133</v>
      </c>
      <c r="B17" s="41" t="s">
        <v>257</v>
      </c>
      <c r="C17" s="41" t="s">
        <v>50</v>
      </c>
      <c r="D17" s="41"/>
      <c r="E17" s="41"/>
      <c r="F17" s="41"/>
      <c r="G17" s="41"/>
      <c r="H17" s="41"/>
      <c r="I17" s="41">
        <v>2</v>
      </c>
      <c r="J17" s="41">
        <v>2</v>
      </c>
      <c r="K17" s="41" t="s">
        <v>32</v>
      </c>
      <c r="L17" s="41">
        <v>0</v>
      </c>
      <c r="M17" s="41">
        <v>0</v>
      </c>
      <c r="N17" s="42" t="s">
        <v>23</v>
      </c>
      <c r="O17" s="41" t="s">
        <v>23</v>
      </c>
      <c r="P17" s="42">
        <v>100</v>
      </c>
      <c r="Q17" s="41">
        <v>0</v>
      </c>
      <c r="R17" s="41">
        <v>0</v>
      </c>
      <c r="S17" s="41">
        <v>2</v>
      </c>
    </row>
    <row r="18" spans="1:19" x14ac:dyDescent="0.2">
      <c r="A18" s="41" t="s">
        <v>185</v>
      </c>
      <c r="B18" s="41" t="s">
        <v>258</v>
      </c>
      <c r="C18" s="41" t="s">
        <v>49</v>
      </c>
      <c r="D18" s="41"/>
      <c r="E18" s="41"/>
      <c r="F18" s="41"/>
      <c r="G18" s="41"/>
      <c r="H18" s="41">
        <v>1</v>
      </c>
      <c r="I18" s="41"/>
      <c r="J18" s="41">
        <v>1</v>
      </c>
      <c r="K18" s="41" t="s">
        <v>32</v>
      </c>
      <c r="L18" s="41" t="s">
        <v>26</v>
      </c>
      <c r="M18" s="41" t="s">
        <v>25</v>
      </c>
      <c r="N18" s="42" t="s">
        <v>23</v>
      </c>
      <c r="O18" s="41" t="s">
        <v>23</v>
      </c>
      <c r="P18" s="42">
        <v>80</v>
      </c>
      <c r="Q18" s="41">
        <v>0.2</v>
      </c>
      <c r="R18" s="41">
        <v>0</v>
      </c>
      <c r="S18" s="41">
        <v>0.8</v>
      </c>
    </row>
    <row r="19" spans="1:19" x14ac:dyDescent="0.2">
      <c r="A19" s="41" t="s">
        <v>88</v>
      </c>
      <c r="B19" s="41" t="s">
        <v>259</v>
      </c>
      <c r="C19" s="41" t="s">
        <v>50</v>
      </c>
      <c r="D19" s="41"/>
      <c r="E19" s="41">
        <v>1</v>
      </c>
      <c r="F19" s="41"/>
      <c r="G19" s="41"/>
      <c r="H19" s="41"/>
      <c r="I19" s="41"/>
      <c r="J19" s="41">
        <v>1</v>
      </c>
      <c r="K19" s="41" t="s">
        <v>32</v>
      </c>
      <c r="L19" s="41" t="s">
        <v>26</v>
      </c>
      <c r="M19" s="41" t="s">
        <v>25</v>
      </c>
      <c r="N19" s="42" t="s">
        <v>23</v>
      </c>
      <c r="O19" s="41" t="s">
        <v>23</v>
      </c>
      <c r="P19" s="42">
        <v>80</v>
      </c>
      <c r="Q19" s="41">
        <v>0.2</v>
      </c>
      <c r="R19" s="41">
        <v>0</v>
      </c>
      <c r="S19" s="41">
        <v>0.8</v>
      </c>
    </row>
    <row r="20" spans="1:19" x14ac:dyDescent="0.2">
      <c r="A20" s="41" t="s">
        <v>134</v>
      </c>
      <c r="B20" s="41" t="s">
        <v>260</v>
      </c>
      <c r="C20" s="41" t="s">
        <v>50</v>
      </c>
      <c r="D20" s="41"/>
      <c r="E20" s="41"/>
      <c r="F20" s="41">
        <v>1</v>
      </c>
      <c r="G20" s="41"/>
      <c r="H20" s="41"/>
      <c r="I20" s="41"/>
      <c r="J20" s="41">
        <v>1</v>
      </c>
      <c r="K20" s="41" t="s">
        <v>32</v>
      </c>
      <c r="L20" s="41" t="s">
        <v>26</v>
      </c>
      <c r="M20" s="41" t="s">
        <v>25</v>
      </c>
      <c r="N20" s="42" t="s">
        <v>23</v>
      </c>
      <c r="O20" s="41" t="s">
        <v>23</v>
      </c>
      <c r="P20" s="42">
        <v>80</v>
      </c>
      <c r="Q20" s="41">
        <v>0.2</v>
      </c>
      <c r="R20" s="41">
        <v>0</v>
      </c>
      <c r="S20" s="41">
        <v>0.8</v>
      </c>
    </row>
    <row r="21" spans="1:19" x14ac:dyDescent="0.2">
      <c r="A21" s="41" t="s">
        <v>58</v>
      </c>
      <c r="B21" s="41" t="s">
        <v>261</v>
      </c>
      <c r="C21" s="41" t="s">
        <v>49</v>
      </c>
      <c r="D21" s="41"/>
      <c r="E21" s="41"/>
      <c r="F21" s="41">
        <v>1</v>
      </c>
      <c r="G21" s="41"/>
      <c r="H21" s="41"/>
      <c r="I21" s="41"/>
      <c r="J21" s="41">
        <v>1</v>
      </c>
      <c r="K21" s="41" t="s">
        <v>32</v>
      </c>
      <c r="L21" s="41">
        <v>0</v>
      </c>
      <c r="M21" s="41">
        <v>0</v>
      </c>
      <c r="N21" s="42" t="s">
        <v>23</v>
      </c>
      <c r="O21" s="41" t="s">
        <v>23</v>
      </c>
      <c r="P21" s="42">
        <v>100</v>
      </c>
      <c r="Q21" s="41">
        <v>0</v>
      </c>
      <c r="R21" s="41">
        <v>0</v>
      </c>
      <c r="S21" s="41">
        <v>1</v>
      </c>
    </row>
    <row r="22" spans="1:19" x14ac:dyDescent="0.2">
      <c r="A22" s="41" t="s">
        <v>186</v>
      </c>
      <c r="B22" s="41" t="s">
        <v>262</v>
      </c>
      <c r="C22" s="41" t="s">
        <v>50</v>
      </c>
      <c r="D22" s="41"/>
      <c r="E22" s="41"/>
      <c r="F22" s="41"/>
      <c r="G22" s="41"/>
      <c r="H22" s="41">
        <v>1</v>
      </c>
      <c r="I22" s="41"/>
      <c r="J22" s="41">
        <v>1</v>
      </c>
      <c r="K22" s="41" t="s">
        <v>32</v>
      </c>
      <c r="L22" s="41" t="s">
        <v>26</v>
      </c>
      <c r="M22" s="41" t="s">
        <v>25</v>
      </c>
      <c r="N22" s="42" t="s">
        <v>23</v>
      </c>
      <c r="O22" s="41" t="s">
        <v>23</v>
      </c>
      <c r="P22" s="42">
        <v>80</v>
      </c>
      <c r="Q22" s="41">
        <v>0.2</v>
      </c>
      <c r="R22" s="41">
        <v>0</v>
      </c>
      <c r="S22" s="41">
        <v>0.8</v>
      </c>
    </row>
    <row r="23" spans="1:19" x14ac:dyDescent="0.2">
      <c r="A23" s="41" t="s">
        <v>135</v>
      </c>
      <c r="B23" s="41" t="s">
        <v>263</v>
      </c>
      <c r="C23" s="41" t="s">
        <v>50</v>
      </c>
      <c r="D23" s="41"/>
      <c r="E23" s="41"/>
      <c r="F23" s="41"/>
      <c r="G23" s="41"/>
      <c r="H23" s="41">
        <v>2</v>
      </c>
      <c r="I23" s="41"/>
      <c r="J23" s="41">
        <v>2</v>
      </c>
      <c r="K23" s="41" t="s">
        <v>32</v>
      </c>
      <c r="L23" s="41" t="s">
        <v>26</v>
      </c>
      <c r="M23" s="41" t="s">
        <v>25</v>
      </c>
      <c r="N23" s="42" t="s">
        <v>23</v>
      </c>
      <c r="O23" s="41" t="s">
        <v>23</v>
      </c>
      <c r="P23" s="42">
        <v>80</v>
      </c>
      <c r="Q23" s="41">
        <v>0.4</v>
      </c>
      <c r="R23" s="41">
        <v>0</v>
      </c>
      <c r="S23" s="41">
        <v>1.6</v>
      </c>
    </row>
    <row r="24" spans="1:19" x14ac:dyDescent="0.2">
      <c r="A24" s="41" t="s">
        <v>52</v>
      </c>
      <c r="B24" s="41" t="s">
        <v>264</v>
      </c>
      <c r="C24" s="41" t="s">
        <v>136</v>
      </c>
      <c r="D24" s="41"/>
      <c r="E24" s="41"/>
      <c r="F24" s="41"/>
      <c r="G24" s="41"/>
      <c r="H24" s="41"/>
      <c r="I24" s="41">
        <v>1</v>
      </c>
      <c r="J24" s="41">
        <v>1</v>
      </c>
      <c r="K24" s="41" t="s">
        <v>32</v>
      </c>
      <c r="L24" s="41" t="s">
        <v>26</v>
      </c>
      <c r="M24" s="41" t="s">
        <v>25</v>
      </c>
      <c r="N24" s="42" t="s">
        <v>23</v>
      </c>
      <c r="O24" s="41" t="s">
        <v>23</v>
      </c>
      <c r="P24" s="42">
        <v>80</v>
      </c>
      <c r="Q24" s="41">
        <v>0.2</v>
      </c>
      <c r="R24" s="41">
        <v>0</v>
      </c>
      <c r="S24" s="41">
        <v>0.8</v>
      </c>
    </row>
    <row r="25" spans="1:19" x14ac:dyDescent="0.2">
      <c r="A25" s="41" t="s">
        <v>65</v>
      </c>
      <c r="B25" s="41" t="s">
        <v>265</v>
      </c>
      <c r="C25" s="41" t="s">
        <v>49</v>
      </c>
      <c r="D25" s="41"/>
      <c r="E25" s="41">
        <v>1</v>
      </c>
      <c r="F25" s="41"/>
      <c r="G25" s="41"/>
      <c r="H25" s="41"/>
      <c r="I25" s="41"/>
      <c r="J25" s="41">
        <v>1</v>
      </c>
      <c r="K25" s="41" t="s">
        <v>32</v>
      </c>
      <c r="L25" s="41" t="s">
        <v>26</v>
      </c>
      <c r="M25" s="41" t="s">
        <v>25</v>
      </c>
      <c r="N25" s="42" t="s">
        <v>23</v>
      </c>
      <c r="O25" s="41" t="s">
        <v>23</v>
      </c>
      <c r="P25" s="42">
        <v>80</v>
      </c>
      <c r="Q25" s="41">
        <v>0.2</v>
      </c>
      <c r="R25" s="41">
        <v>0</v>
      </c>
      <c r="S25" s="41">
        <v>0.8</v>
      </c>
    </row>
    <row r="26" spans="1:19" x14ac:dyDescent="0.2">
      <c r="A26" s="41" t="s">
        <v>59</v>
      </c>
      <c r="B26" s="41" t="s">
        <v>266</v>
      </c>
      <c r="C26" s="41" t="s">
        <v>49</v>
      </c>
      <c r="D26" s="41"/>
      <c r="E26" s="41"/>
      <c r="F26" s="41"/>
      <c r="G26" s="41">
        <v>1</v>
      </c>
      <c r="H26" s="41">
        <v>1</v>
      </c>
      <c r="I26" s="41"/>
      <c r="J26" s="41">
        <v>2</v>
      </c>
      <c r="K26" s="41" t="s">
        <v>32</v>
      </c>
      <c r="L26" s="41" t="s">
        <v>26</v>
      </c>
      <c r="M26" s="66" t="s">
        <v>22</v>
      </c>
      <c r="N26" s="67" t="s">
        <v>23</v>
      </c>
      <c r="O26" s="68" t="s">
        <v>23</v>
      </c>
      <c r="P26" s="67">
        <v>50</v>
      </c>
      <c r="Q26" s="68">
        <v>1</v>
      </c>
      <c r="R26" s="68">
        <v>0</v>
      </c>
      <c r="S26" s="68">
        <v>1</v>
      </c>
    </row>
    <row r="27" spans="1:19" x14ac:dyDescent="0.2">
      <c r="A27" s="41" t="s">
        <v>51</v>
      </c>
      <c r="B27" s="41" t="s">
        <v>267</v>
      </c>
      <c r="C27" s="41" t="s">
        <v>136</v>
      </c>
      <c r="D27" s="41"/>
      <c r="E27" s="41"/>
      <c r="F27" s="41"/>
      <c r="G27" s="41"/>
      <c r="H27" s="41"/>
      <c r="I27" s="41">
        <v>1</v>
      </c>
      <c r="J27" s="41">
        <v>1</v>
      </c>
      <c r="K27" s="41" t="s">
        <v>32</v>
      </c>
      <c r="L27" s="41" t="s">
        <v>26</v>
      </c>
      <c r="M27" s="68" t="s">
        <v>25</v>
      </c>
      <c r="N27" s="67" t="s">
        <v>23</v>
      </c>
      <c r="O27" s="68" t="s">
        <v>23</v>
      </c>
      <c r="P27" s="67">
        <v>80</v>
      </c>
      <c r="Q27" s="68">
        <v>0.2</v>
      </c>
      <c r="R27" s="68">
        <v>0</v>
      </c>
      <c r="S27" s="68">
        <v>0.8</v>
      </c>
    </row>
    <row r="28" spans="1:19" x14ac:dyDescent="0.2">
      <c r="A28" s="41" t="s">
        <v>187</v>
      </c>
      <c r="B28" s="41" t="s">
        <v>268</v>
      </c>
      <c r="C28" s="41" t="s">
        <v>49</v>
      </c>
      <c r="D28" s="41"/>
      <c r="E28" s="41"/>
      <c r="F28" s="41"/>
      <c r="G28" s="41"/>
      <c r="H28" s="41"/>
      <c r="I28" s="41">
        <v>1</v>
      </c>
      <c r="J28" s="41">
        <v>1</v>
      </c>
      <c r="K28" s="41" t="s">
        <v>32</v>
      </c>
      <c r="L28" s="41" t="s">
        <v>26</v>
      </c>
      <c r="M28" s="66" t="s">
        <v>22</v>
      </c>
      <c r="N28" s="67" t="s">
        <v>23</v>
      </c>
      <c r="O28" s="68" t="s">
        <v>23</v>
      </c>
      <c r="P28" s="67">
        <v>50</v>
      </c>
      <c r="Q28" s="68">
        <v>0.5</v>
      </c>
      <c r="R28" s="68">
        <v>0</v>
      </c>
      <c r="S28" s="68">
        <v>0.5</v>
      </c>
    </row>
    <row r="29" spans="1:19" x14ac:dyDescent="0.2">
      <c r="A29" s="41" t="s">
        <v>56</v>
      </c>
      <c r="B29" s="41" t="s">
        <v>269</v>
      </c>
      <c r="C29" s="41" t="s">
        <v>49</v>
      </c>
      <c r="D29" s="41"/>
      <c r="E29" s="41"/>
      <c r="F29" s="41">
        <v>1</v>
      </c>
      <c r="G29" s="41"/>
      <c r="H29" s="41"/>
      <c r="I29" s="41"/>
      <c r="J29" s="41">
        <v>1</v>
      </c>
      <c r="K29" s="41" t="s">
        <v>32</v>
      </c>
      <c r="L29" s="41" t="s">
        <v>26</v>
      </c>
      <c r="M29" s="68" t="s">
        <v>22</v>
      </c>
      <c r="N29" s="67" t="s">
        <v>23</v>
      </c>
      <c r="O29" s="68" t="s">
        <v>23</v>
      </c>
      <c r="P29" s="67">
        <v>50</v>
      </c>
      <c r="Q29" s="68">
        <v>0.5</v>
      </c>
      <c r="R29" s="68">
        <v>0</v>
      </c>
      <c r="S29" s="68">
        <v>0.5</v>
      </c>
    </row>
    <row r="30" spans="1:19" x14ac:dyDescent="0.2">
      <c r="A30" s="41" t="s">
        <v>63</v>
      </c>
      <c r="B30" s="41" t="s">
        <v>270</v>
      </c>
      <c r="C30" s="41" t="s">
        <v>49</v>
      </c>
      <c r="D30" s="41"/>
      <c r="E30" s="41">
        <v>1</v>
      </c>
      <c r="F30" s="41"/>
      <c r="G30" s="41"/>
      <c r="H30" s="41"/>
      <c r="I30" s="41"/>
      <c r="J30" s="41">
        <v>1</v>
      </c>
      <c r="K30" s="41" t="s">
        <v>32</v>
      </c>
      <c r="L30" s="41" t="s">
        <v>26</v>
      </c>
      <c r="M30" s="41" t="s">
        <v>25</v>
      </c>
      <c r="N30" s="42" t="s">
        <v>23</v>
      </c>
      <c r="O30" s="41" t="s">
        <v>23</v>
      </c>
      <c r="P30" s="42">
        <v>80</v>
      </c>
      <c r="Q30" s="41">
        <v>0.2</v>
      </c>
      <c r="R30" s="41">
        <v>0</v>
      </c>
      <c r="S30" s="41">
        <v>0.8</v>
      </c>
    </row>
    <row r="31" spans="1:19" x14ac:dyDescent="0.2">
      <c r="A31" s="41" t="s">
        <v>271</v>
      </c>
      <c r="B31" s="41" t="s">
        <v>272</v>
      </c>
      <c r="C31" s="41" t="s">
        <v>50</v>
      </c>
      <c r="D31" s="41"/>
      <c r="E31" s="41"/>
      <c r="F31" s="41"/>
      <c r="G31" s="41"/>
      <c r="H31" s="41"/>
      <c r="I31" s="41">
        <v>2</v>
      </c>
      <c r="J31" s="41">
        <v>2</v>
      </c>
      <c r="K31" s="41" t="s">
        <v>32</v>
      </c>
      <c r="L31" s="41">
        <v>0</v>
      </c>
      <c r="M31" s="41">
        <v>0</v>
      </c>
      <c r="N31" s="42" t="s">
        <v>23</v>
      </c>
      <c r="O31" s="41" t="s">
        <v>23</v>
      </c>
      <c r="P31" s="42">
        <v>100</v>
      </c>
      <c r="Q31" s="41">
        <v>0</v>
      </c>
      <c r="R31" s="41">
        <v>0</v>
      </c>
      <c r="S31" s="41">
        <v>2</v>
      </c>
    </row>
    <row r="32" spans="1:19" x14ac:dyDescent="0.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5"/>
      <c r="O32" s="34"/>
      <c r="P32" s="35"/>
      <c r="Q32" s="34"/>
      <c r="R32" s="34"/>
      <c r="S32" s="43">
        <f>SUM(S2:S31)</f>
        <v>27.70000000000001</v>
      </c>
    </row>
  </sheetData>
  <pageMargins left="0.39370078740157483" right="0.39370078740157483" top="0.39370078740157483" bottom="0.3937007874015748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34ECC-06E9-413A-BDD9-3756568581D5}">
  <dimension ref="A1:C20"/>
  <sheetViews>
    <sheetView workbookViewId="0">
      <selection activeCell="B27" sqref="B27"/>
    </sheetView>
  </sheetViews>
  <sheetFormatPr baseColWidth="10" defaultRowHeight="15" x14ac:dyDescent="0.25"/>
  <cols>
    <col min="1" max="1" width="17" customWidth="1"/>
    <col min="2" max="2" width="110.140625" customWidth="1"/>
    <col min="3" max="3" width="16" customWidth="1"/>
  </cols>
  <sheetData>
    <row r="1" spans="1:3" x14ac:dyDescent="0.25">
      <c r="A1" s="47" t="s">
        <v>113</v>
      </c>
      <c r="B1" s="47" t="s">
        <v>114</v>
      </c>
      <c r="C1" s="47" t="s">
        <v>115</v>
      </c>
    </row>
    <row r="2" spans="1:3" x14ac:dyDescent="0.25">
      <c r="A2" s="36" t="s">
        <v>71</v>
      </c>
      <c r="B2" s="36" t="s">
        <v>137</v>
      </c>
      <c r="C2" s="37">
        <v>40615.870000000003</v>
      </c>
    </row>
    <row r="3" spans="1:3" x14ac:dyDescent="0.25">
      <c r="A3" s="38" t="s">
        <v>104</v>
      </c>
      <c r="B3" s="38" t="s">
        <v>139</v>
      </c>
      <c r="C3" s="39">
        <v>11550</v>
      </c>
    </row>
    <row r="4" spans="1:3" x14ac:dyDescent="0.25">
      <c r="A4" s="36" t="s">
        <v>140</v>
      </c>
      <c r="B4" s="36" t="s">
        <v>141</v>
      </c>
      <c r="C4" s="37">
        <v>7040</v>
      </c>
    </row>
    <row r="5" spans="1:3" x14ac:dyDescent="0.25">
      <c r="A5" s="38" t="s">
        <v>142</v>
      </c>
      <c r="B5" s="38" t="s">
        <v>143</v>
      </c>
      <c r="C5" s="39">
        <v>15867.77</v>
      </c>
    </row>
    <row r="6" spans="1:3" x14ac:dyDescent="0.25">
      <c r="A6" s="36" t="s">
        <v>142</v>
      </c>
      <c r="B6" s="36" t="s">
        <v>144</v>
      </c>
      <c r="C6" s="37">
        <v>3966.94</v>
      </c>
    </row>
    <row r="7" spans="1:3" x14ac:dyDescent="0.25">
      <c r="A7" s="38" t="s">
        <v>145</v>
      </c>
      <c r="B7" s="38" t="s">
        <v>146</v>
      </c>
      <c r="C7" s="39">
        <v>2890.69</v>
      </c>
    </row>
    <row r="8" spans="1:3" x14ac:dyDescent="0.25">
      <c r="A8" s="36" t="s">
        <v>147</v>
      </c>
      <c r="B8" s="36" t="s">
        <v>148</v>
      </c>
      <c r="C8" s="37">
        <v>2890.69</v>
      </c>
    </row>
    <row r="9" spans="1:3" x14ac:dyDescent="0.25">
      <c r="A9" s="38" t="s">
        <v>149</v>
      </c>
      <c r="B9" s="38" t="s">
        <v>150</v>
      </c>
      <c r="C9" s="39">
        <v>5412</v>
      </c>
    </row>
    <row r="10" spans="1:3" x14ac:dyDescent="0.25">
      <c r="A10" s="36" t="s">
        <v>149</v>
      </c>
      <c r="B10" s="36" t="s">
        <v>151</v>
      </c>
      <c r="C10" s="37">
        <v>5412</v>
      </c>
    </row>
    <row r="11" spans="1:3" x14ac:dyDescent="0.25">
      <c r="A11" s="38" t="s">
        <v>152</v>
      </c>
      <c r="B11" s="38" t="s">
        <v>153</v>
      </c>
      <c r="C11" s="39">
        <v>176</v>
      </c>
    </row>
    <row r="12" spans="1:3" x14ac:dyDescent="0.25">
      <c r="A12" s="36" t="s">
        <v>72</v>
      </c>
      <c r="B12" s="36" t="s">
        <v>154</v>
      </c>
      <c r="C12" s="37">
        <v>-8659.73</v>
      </c>
    </row>
    <row r="13" spans="1:3" x14ac:dyDescent="0.25">
      <c r="A13" s="38" t="s">
        <v>72</v>
      </c>
      <c r="B13" s="38" t="s">
        <v>155</v>
      </c>
      <c r="C13" s="39">
        <v>-8659.73</v>
      </c>
    </row>
    <row r="14" spans="1:3" x14ac:dyDescent="0.25">
      <c r="A14" s="36" t="s">
        <v>73</v>
      </c>
      <c r="B14" s="36" t="s">
        <v>156</v>
      </c>
      <c r="C14" s="37">
        <v>-5609.44</v>
      </c>
    </row>
    <row r="15" spans="1:3" x14ac:dyDescent="0.25">
      <c r="A15" s="38" t="s">
        <v>73</v>
      </c>
      <c r="B15" s="38" t="s">
        <v>157</v>
      </c>
      <c r="C15" s="39">
        <v>-5609.44</v>
      </c>
    </row>
    <row r="16" spans="1:3" x14ac:dyDescent="0.25">
      <c r="A16" s="36" t="s">
        <v>116</v>
      </c>
      <c r="B16" s="36" t="s">
        <v>158</v>
      </c>
      <c r="C16" s="37">
        <v>10000</v>
      </c>
    </row>
    <row r="17" spans="1:3" x14ac:dyDescent="0.25">
      <c r="A17" s="38" t="s">
        <v>116</v>
      </c>
      <c r="B17" s="38" t="s">
        <v>159</v>
      </c>
      <c r="C17" s="39">
        <v>-9377.85</v>
      </c>
    </row>
    <row r="18" spans="1:3" x14ac:dyDescent="0.25">
      <c r="A18" s="50" t="s">
        <v>160</v>
      </c>
      <c r="B18" s="50" t="s">
        <v>161</v>
      </c>
      <c r="C18" s="51">
        <v>8445.6</v>
      </c>
    </row>
    <row r="19" spans="1:3" x14ac:dyDescent="0.25">
      <c r="A19" s="52" t="s">
        <v>0</v>
      </c>
      <c r="B19" s="52"/>
      <c r="C19" s="53">
        <f>SUBTOTAL(109,Tabla2[Imp.cob.aplic.])</f>
        <v>76351.37000000001</v>
      </c>
    </row>
    <row r="20" spans="1:3" x14ac:dyDescent="0.25">
      <c r="C20" s="40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5791A-6CEE-4253-88A8-5B55E3FCEF6F}">
  <dimension ref="A1:C10"/>
  <sheetViews>
    <sheetView workbookViewId="0">
      <selection activeCell="C26" sqref="C26"/>
    </sheetView>
  </sheetViews>
  <sheetFormatPr baseColWidth="10" defaultRowHeight="15" x14ac:dyDescent="0.25"/>
  <cols>
    <col min="1" max="1" width="19.5703125" customWidth="1"/>
    <col min="2" max="2" width="63.42578125" customWidth="1"/>
    <col min="3" max="3" width="18.85546875" customWidth="1"/>
  </cols>
  <sheetData>
    <row r="1" spans="1:3" x14ac:dyDescent="0.25">
      <c r="A1" s="57" t="s">
        <v>188</v>
      </c>
      <c r="B1" s="57" t="s">
        <v>114</v>
      </c>
      <c r="C1" s="58" t="s">
        <v>189</v>
      </c>
    </row>
    <row r="2" spans="1:3" x14ac:dyDescent="0.25">
      <c r="A2" s="55" t="s">
        <v>71</v>
      </c>
      <c r="B2" s="55" t="s">
        <v>190</v>
      </c>
      <c r="C2" s="18">
        <v>71787.5</v>
      </c>
    </row>
    <row r="3" spans="1:3" x14ac:dyDescent="0.25">
      <c r="A3" s="56" t="s">
        <v>191</v>
      </c>
      <c r="B3" s="56" t="s">
        <v>192</v>
      </c>
      <c r="C3" s="19">
        <v>5104</v>
      </c>
    </row>
    <row r="4" spans="1:3" x14ac:dyDescent="0.25">
      <c r="A4" s="55" t="s">
        <v>191</v>
      </c>
      <c r="B4" s="55" t="s">
        <v>193</v>
      </c>
      <c r="C4" s="18">
        <v>5104</v>
      </c>
    </row>
    <row r="5" spans="1:3" x14ac:dyDescent="0.25">
      <c r="A5" s="56" t="s">
        <v>194</v>
      </c>
      <c r="B5" s="56" t="s">
        <v>195</v>
      </c>
      <c r="C5" s="19">
        <v>11.54</v>
      </c>
    </row>
    <row r="6" spans="1:3" x14ac:dyDescent="0.25">
      <c r="A6" s="55" t="s">
        <v>116</v>
      </c>
      <c r="B6" s="55" t="s">
        <v>196</v>
      </c>
      <c r="C6" s="18">
        <v>-8877.92</v>
      </c>
    </row>
    <row r="7" spans="1:3" x14ac:dyDescent="0.25">
      <c r="A7" s="56" t="s">
        <v>160</v>
      </c>
      <c r="B7" s="56" t="s">
        <v>197</v>
      </c>
      <c r="C7" s="19">
        <v>10557</v>
      </c>
    </row>
    <row r="8" spans="1:3" x14ac:dyDescent="0.25">
      <c r="A8" s="55" t="s">
        <v>198</v>
      </c>
      <c r="B8" s="55" t="s">
        <v>199</v>
      </c>
      <c r="C8" s="18">
        <v>19740</v>
      </c>
    </row>
    <row r="9" spans="1:3" x14ac:dyDescent="0.25">
      <c r="A9" s="59" t="s">
        <v>200</v>
      </c>
      <c r="B9" s="59" t="s">
        <v>201</v>
      </c>
      <c r="C9" s="60">
        <v>10000</v>
      </c>
    </row>
    <row r="10" spans="1:3" x14ac:dyDescent="0.25">
      <c r="A10" s="61" t="s">
        <v>0</v>
      </c>
      <c r="B10" s="61"/>
      <c r="C10" s="62">
        <f>SUBTOTAL(109,Tabla5[Imp. aplic.])</f>
        <v>113426.12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8B625-3A80-4AF1-A81D-2E4266A1EFC3}">
  <dimension ref="A1:C13"/>
  <sheetViews>
    <sheetView workbookViewId="0">
      <selection activeCell="C22" sqref="C22"/>
    </sheetView>
  </sheetViews>
  <sheetFormatPr baseColWidth="10" defaultRowHeight="15" x14ac:dyDescent="0.25"/>
  <cols>
    <col min="1" max="1" width="19.140625" customWidth="1"/>
    <col min="2" max="2" width="62.7109375" customWidth="1"/>
    <col min="3" max="3" width="25.42578125" customWidth="1"/>
  </cols>
  <sheetData>
    <row r="1" spans="1:3" x14ac:dyDescent="0.25">
      <c r="A1" s="69" t="s">
        <v>188</v>
      </c>
      <c r="B1" s="70" t="s">
        <v>114</v>
      </c>
      <c r="C1" s="70" t="s">
        <v>189</v>
      </c>
    </row>
    <row r="2" spans="1:3" x14ac:dyDescent="0.25">
      <c r="A2" s="71" t="s">
        <v>71</v>
      </c>
      <c r="B2" s="72" t="s">
        <v>273</v>
      </c>
      <c r="C2" s="73">
        <v>105851.15</v>
      </c>
    </row>
    <row r="3" spans="1:3" x14ac:dyDescent="0.25">
      <c r="A3" s="74" t="s">
        <v>274</v>
      </c>
      <c r="B3" s="75" t="s">
        <v>275</v>
      </c>
      <c r="C3" s="76">
        <v>3966.94</v>
      </c>
    </row>
    <row r="4" spans="1:3" x14ac:dyDescent="0.25">
      <c r="A4" s="71" t="s">
        <v>274</v>
      </c>
      <c r="B4" s="72" t="s">
        <v>276</v>
      </c>
      <c r="C4" s="73">
        <v>15867.77</v>
      </c>
    </row>
    <row r="5" spans="1:3" x14ac:dyDescent="0.25">
      <c r="A5" s="74" t="s">
        <v>160</v>
      </c>
      <c r="B5" s="75" t="s">
        <v>277</v>
      </c>
      <c r="C5" s="76">
        <v>7286.4</v>
      </c>
    </row>
    <row r="6" spans="1:3" x14ac:dyDescent="0.25">
      <c r="A6" s="71" t="s">
        <v>200</v>
      </c>
      <c r="B6" s="72" t="s">
        <v>278</v>
      </c>
      <c r="C6" s="73">
        <v>10000</v>
      </c>
    </row>
    <row r="7" spans="1:3" x14ac:dyDescent="0.25">
      <c r="A7" s="74" t="s">
        <v>200</v>
      </c>
      <c r="B7" s="75" t="s">
        <v>279</v>
      </c>
      <c r="C7" s="76">
        <v>-2077.4899999999998</v>
      </c>
    </row>
    <row r="8" spans="1:3" ht="15.75" thickBot="1" x14ac:dyDescent="0.3">
      <c r="A8" s="71" t="s">
        <v>280</v>
      </c>
      <c r="B8" s="72" t="s">
        <v>281</v>
      </c>
      <c r="C8" s="73">
        <v>90454</v>
      </c>
    </row>
    <row r="9" spans="1:3" ht="15.75" thickTop="1" x14ac:dyDescent="0.25">
      <c r="A9" s="77" t="s">
        <v>0</v>
      </c>
      <c r="B9" s="78"/>
      <c r="C9" s="79">
        <v>231348.77000000002</v>
      </c>
    </row>
    <row r="13" spans="1:3" x14ac:dyDescent="0.25">
      <c r="B13" s="80" t="s">
        <v>282</v>
      </c>
      <c r="C13" s="64">
        <f>'Ingresos investigación 2024'!C10+Tabla2[[#Totals],[Imp.cob.aplic.]]+C9</f>
        <v>421126.26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9DEBE-D986-4155-B763-F61C3CF19425}">
  <dimension ref="A1:C6"/>
  <sheetViews>
    <sheetView workbookViewId="0">
      <selection activeCell="F18" sqref="F18"/>
    </sheetView>
  </sheetViews>
  <sheetFormatPr baseColWidth="10" defaultRowHeight="15" x14ac:dyDescent="0.25"/>
  <cols>
    <col min="1" max="1" width="17" customWidth="1"/>
    <col min="2" max="2" width="70.140625" customWidth="1"/>
    <col min="3" max="3" width="20.28515625" bestFit="1" customWidth="1"/>
  </cols>
  <sheetData>
    <row r="1" spans="1:3" x14ac:dyDescent="0.25">
      <c r="A1" s="47" t="s">
        <v>113</v>
      </c>
      <c r="B1" s="47" t="s">
        <v>114</v>
      </c>
      <c r="C1" s="47" t="s">
        <v>115</v>
      </c>
    </row>
    <row r="2" spans="1:3" x14ac:dyDescent="0.25">
      <c r="A2" s="36" t="s">
        <v>117</v>
      </c>
      <c r="B2" s="36" t="s">
        <v>162</v>
      </c>
      <c r="C2" s="37">
        <v>1410</v>
      </c>
    </row>
    <row r="3" spans="1:3" x14ac:dyDescent="0.25">
      <c r="A3" s="38" t="s">
        <v>117</v>
      </c>
      <c r="B3" s="38" t="s">
        <v>163</v>
      </c>
      <c r="C3" s="39">
        <v>3415.5</v>
      </c>
    </row>
    <row r="4" spans="1:3" x14ac:dyDescent="0.25">
      <c r="A4" s="50" t="s">
        <v>117</v>
      </c>
      <c r="B4" s="50" t="s">
        <v>164</v>
      </c>
      <c r="C4" s="51">
        <v>5400.17</v>
      </c>
    </row>
    <row r="5" spans="1:3" x14ac:dyDescent="0.25">
      <c r="A5" s="49" t="s">
        <v>0</v>
      </c>
      <c r="B5" s="49"/>
      <c r="C5" s="54">
        <f>SUBTOTAL(109,Tabla4[Imp.cob.aplic.])</f>
        <v>10225.67</v>
      </c>
    </row>
    <row r="6" spans="1:3" x14ac:dyDescent="0.25">
      <c r="C6" s="40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1A66-A7D4-4F26-A6D6-253FCE324C0A}">
  <dimension ref="A1:C5"/>
  <sheetViews>
    <sheetView workbookViewId="0">
      <selection activeCell="B9" sqref="B9:C9"/>
    </sheetView>
  </sheetViews>
  <sheetFormatPr baseColWidth="10" defaultRowHeight="15" x14ac:dyDescent="0.25"/>
  <cols>
    <col min="1" max="1" width="16.7109375" customWidth="1"/>
    <col min="2" max="2" width="75.85546875" customWidth="1"/>
    <col min="3" max="3" width="12.28515625" customWidth="1"/>
  </cols>
  <sheetData>
    <row r="1" spans="1:3" x14ac:dyDescent="0.25">
      <c r="A1" s="57" t="s">
        <v>188</v>
      </c>
      <c r="B1" s="57" t="s">
        <v>114</v>
      </c>
      <c r="C1" s="57" t="s">
        <v>189</v>
      </c>
    </row>
    <row r="2" spans="1:3" x14ac:dyDescent="0.25">
      <c r="A2" s="55" t="s">
        <v>117</v>
      </c>
      <c r="B2" s="55" t="s">
        <v>202</v>
      </c>
      <c r="C2" s="18">
        <v>-1269.05</v>
      </c>
    </row>
    <row r="3" spans="1:3" x14ac:dyDescent="0.25">
      <c r="A3" s="56" t="s">
        <v>117</v>
      </c>
      <c r="B3" s="56" t="s">
        <v>203</v>
      </c>
      <c r="C3" s="19">
        <v>8550</v>
      </c>
    </row>
    <row r="4" spans="1:3" x14ac:dyDescent="0.25">
      <c r="A4" s="65" t="s">
        <v>117</v>
      </c>
      <c r="B4" s="65" t="s">
        <v>204</v>
      </c>
      <c r="C4" s="48">
        <v>1755</v>
      </c>
    </row>
    <row r="5" spans="1:3" x14ac:dyDescent="0.25">
      <c r="A5" s="49" t="s">
        <v>0</v>
      </c>
      <c r="B5" s="49"/>
      <c r="C5" s="54">
        <f>SUBTOTAL(109,Tabla6[Imp. aplic.])</f>
        <v>9035.9500000000007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1F70-E162-4E16-AEC2-54D8710BCD81}">
  <dimension ref="A2:D6"/>
  <sheetViews>
    <sheetView tabSelected="1" workbookViewId="0">
      <selection activeCell="C3" sqref="C3"/>
    </sheetView>
  </sheetViews>
  <sheetFormatPr baseColWidth="10" defaultRowHeight="15" x14ac:dyDescent="0.25"/>
  <cols>
    <col min="3" max="3" width="46.28515625" customWidth="1"/>
  </cols>
  <sheetData>
    <row r="2" spans="1:4" x14ac:dyDescent="0.25">
      <c r="C2" t="s">
        <v>284</v>
      </c>
    </row>
    <row r="6" spans="1:4" x14ac:dyDescent="0.25">
      <c r="A6" s="81"/>
      <c r="B6" s="81"/>
      <c r="C6" s="63" t="s">
        <v>283</v>
      </c>
      <c r="D6" s="64">
        <f>'Ingresos formación 2024'!C5+Tabla4[[#Totals],[Imp.cob.aplic.]]</f>
        <v>19261.620000000003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Tesis</vt:lpstr>
      <vt:lpstr>Sexenios</vt:lpstr>
      <vt:lpstr>Ingresos investigación 2023</vt:lpstr>
      <vt:lpstr>Ingresos investigación 2024</vt:lpstr>
      <vt:lpstr>Ingresos investigación 2025</vt:lpstr>
      <vt:lpstr>Ingresos formación 2023</vt:lpstr>
      <vt:lpstr>Ingresos formación 2024</vt:lpstr>
      <vt:lpstr>Ingresos formación 2025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mayte.pujalte</cp:lastModifiedBy>
  <dcterms:created xsi:type="dcterms:W3CDTF">2019-07-03T07:15:54Z</dcterms:created>
  <dcterms:modified xsi:type="dcterms:W3CDTF">2026-05-25T09:22:26Z</dcterms:modified>
</cp:coreProperties>
</file>