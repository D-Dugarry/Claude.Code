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EA2793CD-E88C-4B3B-8E13-754C5F7ADE33}" xr6:coauthVersionLast="47" xr6:coauthVersionMax="47" xr10:uidLastSave="{00000000-0000-0000-0000-000000000000}"/>
  <bookViews>
    <workbookView xWindow="-108" yWindow="-108" windowWidth="23256" windowHeight="13896" tabRatio="786" firstSheet="3" activeTab="7" xr2:uid="{00000000-000D-0000-FFFF-FFFF00000000}"/>
  </bookViews>
  <sheets>
    <sheet name="Tesis" sheetId="3" r:id="rId1"/>
    <sheet name="Sexenios" sheetId="4" r:id="rId2"/>
    <sheet name="Ingresos investigación 2023" sheetId="16" r:id="rId3"/>
    <sheet name="Ingresos investigación 2024" sheetId="18" r:id="rId4"/>
    <sheet name="Ingresos investigación 2025" sheetId="20" r:id="rId5"/>
    <sheet name="Ingresos formación 2023" sheetId="17" r:id="rId6"/>
    <sheet name="Ingresos formación 2024" sheetId="19" r:id="rId7"/>
    <sheet name="Ingresos formación 2025" sheetId="21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1" l="1"/>
  <c r="C10" i="20"/>
  <c r="C3" i="19"/>
  <c r="C7" i="18"/>
  <c r="C7" i="16"/>
  <c r="S27" i="3"/>
  <c r="S17" i="4" l="1"/>
  <c r="C4" i="17" l="1"/>
</calcChain>
</file>

<file path=xl/sharedStrings.xml><?xml version="1.0" encoding="utf-8"?>
<sst xmlns="http://schemas.openxmlformats.org/spreadsheetml/2006/main" count="564" uniqueCount="232">
  <si>
    <t>Total</t>
  </si>
  <si>
    <t>30.20.2T.00.01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</si>
  <si>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</si>
  <si>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</si>
  <si>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</si>
  <si>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</si>
  <si>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</si>
  <si>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</si>
  <si>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</si>
  <si>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</si>
  <si>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</si>
  <si>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</si>
  <si>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</si>
  <si>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</si>
  <si>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</si>
  <si>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</si>
  <si>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</si>
  <si>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</si>
  <si>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</si>
  <si>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</si>
  <si>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</si>
  <si>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</si>
  <si>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</si>
  <si>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</si>
  <si>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</si>
  <si>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</si>
  <si>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</si>
  <si>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10.25</t>
  </si>
  <si>
    <t>30</t>
  </si>
  <si>
    <t>U023 </t>
  </si>
  <si>
    <t>ADM. FACULTAD DE FILOSOFIA Y LETRAS </t>
  </si>
  <si>
    <t>DOCTORADO EN FILOSOFÍA Y LETRAS </t>
  </si>
  <si>
    <t>B120 </t>
  </si>
  <si>
    <t>GEOGRAFIA HUMANA </t>
  </si>
  <si>
    <t>B120</t>
  </si>
  <si>
    <t>10.21</t>
  </si>
  <si>
    <t>21424313C </t>
  </si>
  <si>
    <t>74211761F </t>
  </si>
  <si>
    <t>74218386P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</si>
  <si>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</si>
  <si>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</si>
  <si>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</si>
  <si>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</si>
  <si>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</si>
  <si>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</si>
  <si>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</si>
  <si>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</si>
  <si>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</si>
  <si>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</si>
  <si>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</si>
  <si>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</si>
  <si>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</si>
  <si>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</si>
  <si>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44774024Q</t>
  </si>
  <si>
    <t>48530775Q</t>
  </si>
  <si>
    <t>74218386P</t>
  </si>
  <si>
    <t>74211761F</t>
  </si>
  <si>
    <t>21424313C</t>
  </si>
  <si>
    <t>21516367M</t>
  </si>
  <si>
    <t>30.20.6Q.00.01</t>
  </si>
  <si>
    <t>Pin Figueroa, Walter Jesus </t>
  </si>
  <si>
    <t>Turismo rural en áreas cafetaleras en la zona sur de Manabí, Ecuador </t>
  </si>
  <si>
    <t>28/02/2020 </t>
  </si>
  <si>
    <t>48533253X</t>
  </si>
  <si>
    <t>COD DEP</t>
  </si>
  <si>
    <t>21985529J</t>
  </si>
  <si>
    <t>Ríos Pérez, Manuel </t>
  </si>
  <si>
    <t>Concesiones de transporte público regular de viajeros por carretera y su dependencia territorial. Evolución, contexto socioeconómico y modelo desarrollado en la provincia de Alicante </t>
  </si>
  <si>
    <t>05/11/2020 </t>
  </si>
  <si>
    <t>Latorre Aizaga, Franklin Lenin </t>
  </si>
  <si>
    <t>IMPACTO DE LAS POLÍTICAS ECONOMICAS-LABORALES EN LAS CONDICIONES DE TRABAJO EN ECUADOR (2007-2017) </t>
  </si>
  <si>
    <t>23/10/2020 </t>
  </si>
  <si>
    <t>Cód. org. aplic.</t>
  </si>
  <si>
    <t>Descripción justificante</t>
  </si>
  <si>
    <t>García Serrano, Irma </t>
  </si>
  <si>
    <t>FACTORES SOCIOECONÓMICOS Y CULTURALES QUE EXPLICAN EL DESARROLLO COMUNITARIO EN ECUADOR. Incidencia de la cooperación internacional en comunidades de la parroquia de Cangahua, Cantón Cayambe, Provincia de Pichincha </t>
  </si>
  <si>
    <t>29/09/2021 </t>
  </si>
  <si>
    <t>Ayón Villafuerte, Libia Soledad </t>
  </si>
  <si>
    <t>El ecoturismo en el perfil costero de Manabí (Ecuador). Estudio de caso Puerto López </t>
  </si>
  <si>
    <t>09/06/2022 </t>
  </si>
  <si>
    <t>Lázaro Pérez, Miguel Ángel </t>
  </si>
  <si>
    <t>Imperialismo y Teoría marxista de la dependencia </t>
  </si>
  <si>
    <t>22/03/2022 </t>
  </si>
  <si>
    <t>10078923R </t>
  </si>
  <si>
    <t>Flores Águila, Melissa Andrea </t>
  </si>
  <si>
    <t>Desarrollo Local inclusivo: Cohesión territorial y experiencias de innovación en la inclusión social de personas con discapacidad: El caso de la Región de Magallanes, Chile. </t>
  </si>
  <si>
    <t>20/06/2022 </t>
  </si>
  <si>
    <t>44769069Y </t>
  </si>
  <si>
    <t>Vázquez Pérez, Antonio </t>
  </si>
  <si>
    <t>El manejo de fuentes renovables de energía para el desarrollo local endógeno y sostenible en la provincia de Manabí (Ecuador) </t>
  </si>
  <si>
    <t>08/03/2022 </t>
  </si>
  <si>
    <t>U075 </t>
  </si>
  <si>
    <t>ADM. I.U.INVESTIGACIÓN DE ESTUDIOS SOCIALES DE AMÉRICA LATINA </t>
  </si>
  <si>
    <t>DOCTORADO EN HUMANIDADES Y ESTUDIOS SOCIALES DE AMÉRICA LATINA </t>
  </si>
  <si>
    <t>Demarchi Sánchez, Geydi Dahiana </t>
  </si>
  <si>
    <t>Gestión educativa y curricular en la educación superior. reflexiones desde las pruebas saber pro en Medellín ¿Colombia </t>
  </si>
  <si>
    <t>12/09/2022 </t>
  </si>
  <si>
    <t>Imp.cob.aplic.</t>
  </si>
  <si>
    <t>INGRESO POR CONVENIO DE COLABORACIÓN ENTRE LA UNIVERSIDAD DE ALICANTE Y EL AYUNTAMIENTO DE GUARDAMAR DEL SEGURA PARA EL DESARROLLO DEL PROGRAMA DE ESTUDIOS PROPIO EN GESTIÓN DEL PATRIMONIO.</t>
  </si>
  <si>
    <t>Romera Tébar, Cristina </t>
  </si>
  <si>
    <t>La minería del azufre en Hellín y sectores adyacentes (Albacete). Improntas territoriales desde época romana hasta la conformación de sus múltiples dimensiones patrimoniales y sus posibilidades de aprovechamiento. </t>
  </si>
  <si>
    <t>27/09/2022 </t>
  </si>
  <si>
    <t>Turismo en Ecuador. Modelos de desarrollo y propuestas estratégicas. Caso de estudio modelo teórico para el análisis del turismo comunitario. </t>
  </si>
  <si>
    <t>10/02/2023 </t>
  </si>
  <si>
    <t>48533253X </t>
  </si>
  <si>
    <t>Modelos y propuestas estratégicas del turismo en Cuba. Trinidad y Camajuaní </t>
  </si>
  <si>
    <t>12/09/2023 </t>
  </si>
  <si>
    <t>44774024Q </t>
  </si>
  <si>
    <t>U036 </t>
  </si>
  <si>
    <t>ADM. FACULTAD DE CIENCIAS ECONÓMICAS </t>
  </si>
  <si>
    <t>DOCTORADO EN EMPRESA, ECONOMÍA Y SOCIEDAD </t>
  </si>
  <si>
    <t>Ecosistema Urbano de Emprendimiento: Factores Clave para la Innovación en los Centros Históricos a través de la Economía Creativa. </t>
  </si>
  <si>
    <t>15/09/2023 </t>
  </si>
  <si>
    <t>U058 </t>
  </si>
  <si>
    <t>I.U. DE INVESTIGACIONES TURÍSTICAS (10.17) </t>
  </si>
  <si>
    <t>DOCTORADO EN TURISMO </t>
  </si>
  <si>
    <t>Desarrollo territorial sostenible del turismo en Manabí, Ecuador. Modelos y estrategias </t>
  </si>
  <si>
    <t>16/12/2022 </t>
  </si>
  <si>
    <t>I.U.INVESTIGACIÓN DE ESTUDIOS SOCIALES DE AMÉRICA LATINA (10.25) </t>
  </si>
  <si>
    <t>Cine y turismo en la provincia de Alicante: las oportunidades perdidas para la creación de productos de turismo cinematográfico. </t>
  </si>
  <si>
    <t>01/02/2023 </t>
  </si>
  <si>
    <t>10078923R</t>
  </si>
  <si>
    <t>21389246M</t>
  </si>
  <si>
    <t>52763585K</t>
  </si>
  <si>
    <t>30.20.6C.00.14</t>
  </si>
  <si>
    <t xml:space="preserve">Elaboración de un informe científico-técnico para el cálculo del centro geográfico de la comarca de la Vega Baja del Segura. </t>
  </si>
  <si>
    <t>S</t>
  </si>
  <si>
    <t>30.20.6M.00.05</t>
  </si>
  <si>
    <t>CICLO DE CONFERENCIAS SOBRE EL CASTILLO DE SAX A PARTIR DE LAS INVESTIGACIONES ARQUEOLÓGICAS LLEVADAS A CABO POR EL EQUIPO DEL PROFESOR GABINO PONCE HERRERO.</t>
  </si>
  <si>
    <t>30.20.6P.00.10</t>
  </si>
  <si>
    <t>ayudas CIGE/2022/4-6-8-10-15-16-21-30-36-45-46-51-52- 54-55-105-170-179</t>
  </si>
  <si>
    <t>S0732 CÀTEDRA UNIVERSITÀRIA PER A LA LLUITA CONTRA EL DESPOBLAMENT (AVANT). EXERCICI 2023</t>
  </si>
  <si>
    <t>30.20.6X.00.02</t>
  </si>
  <si>
    <t xml:space="preserve">INGRESO DEL PROYECTO PACES </t>
  </si>
  <si>
    <t xml:space="preserve">Plan_9140 Curso_2022-23 Emitido_2022-23 - MÁSTER EN GESTIÓN DEL PATRIMONIO </t>
  </si>
  <si>
    <t>Naranjo Llupart, María Rosa</t>
  </si>
  <si>
    <t>Pelegrín Naranjo, Lestter</t>
  </si>
  <si>
    <t>Payá Pérez, Virginia Sofía</t>
  </si>
  <si>
    <t>Garcia Reinoso, Nelson</t>
  </si>
  <si>
    <t>Devesa Morcillo, Roberto</t>
  </si>
  <si>
    <t xml:space="preserve">U023 </t>
  </si>
  <si>
    <t>ADM. FACULTAD DE FILOSOFIA Y LETRAS</t>
  </si>
  <si>
    <t>DOCTORADO EN FILOSOFÍA Y LETRAS</t>
  </si>
  <si>
    <t>Ponce Murcia, María</t>
  </si>
  <si>
    <t>Las Cortesanas. Las figuras silenciadas de la Historia del Arte.</t>
  </si>
  <si>
    <t>27/09/2023</t>
  </si>
  <si>
    <t xml:space="preserve">21389246M </t>
  </si>
  <si>
    <t>Codirector de tesis</t>
  </si>
  <si>
    <t>GEOGRAFIA HUMANA</t>
  </si>
  <si>
    <t>U023</t>
  </si>
  <si>
    <t>Villacreses Viteri, Carlos Gustavo</t>
  </si>
  <si>
    <t>Análisis de la resiliencia territorial multidimensional frente al riesgo de desastres naturales en Manabí (Ecuador)</t>
  </si>
  <si>
    <t>26/04/2024</t>
  </si>
  <si>
    <t>Director de tesis</t>
  </si>
  <si>
    <t>Montoro Sánchez, Elisa</t>
  </si>
  <si>
    <t>SEVERIANO SÁNCHEZ BALLESTA, ARQUITECTO (1884¿1943). SU ÉPOCA Y ENTORNO.</t>
  </si>
  <si>
    <t>15/03/2024</t>
  </si>
  <si>
    <t>U075</t>
  </si>
  <si>
    <t>I.U.INVESTIGACIÓN DE ESTUDIOS SOCIALES DE AMÉRICA LATINA (10.25)</t>
  </si>
  <si>
    <t>DOCTORADO EN HUMANIDADES Y ESTUDIOS SOCIALES DE AMÉRICA LATINA</t>
  </si>
  <si>
    <t>Albuja Rivadeneira, Zoila Karina</t>
  </si>
  <si>
    <t>EL COOPERATIVISMO MODERNO ALIADO ESTRATÉGICO DEL DESARROLLO RURAL: De productor a empresario con visión social</t>
  </si>
  <si>
    <t>11/06/2024</t>
  </si>
  <si>
    <t>21666342C</t>
  </si>
  <si>
    <t>22108770C</t>
  </si>
  <si>
    <t>10.17</t>
  </si>
  <si>
    <t>33487679R</t>
  </si>
  <si>
    <t>10.22</t>
  </si>
  <si>
    <t>Sánchez Gallardo, Francisco Javier</t>
  </si>
  <si>
    <t>Diálogo sobre Desarrollo Local y Empleo. Estudio del mercado de empleo de Torrevieja</t>
  </si>
  <si>
    <t>24/09/2024</t>
  </si>
  <si>
    <t>Org. aplic.</t>
  </si>
  <si>
    <t>Imp. aplic.</t>
  </si>
  <si>
    <t>30.20.6C.00.15</t>
  </si>
  <si>
    <t>Asesoramiento en la selección de los grupos de Acción Local (GAL) y de las estrategias de Desarrollo Local Participativo (EDLP) de la Comunitat Valenciana:  Propuesta de criterios de selección para los grupos de acción local de la Comunidad Valenciana; Revisión de los criterios de valoración territorial a considerar y su correspondiente puntuación. Revisión de los criterios de valoración para la selección de las Estrategias de Desarrollo Local Participativo (EDLP); Evaluación de las Estrategias de Desarrollo Local Participativo (EDLP) presentadas por los grupos de acción local de la Comunidad Valenciana.</t>
  </si>
  <si>
    <t>ayudas CIGE/2022/4, CIGE/2022/6, CIGE/2022/8, CIGE/2022/15, CIGE/2022/16, CIGE/2022/21, CIGE/2022/30, CIGE/2022/45, CIGE/2022/46, CIGE/2022/51, CIGE/2022/52, CIGE/2022/54, CIGE/2022/55, CIGE/2022/105, CIGE/2022/170, CIGE/2022/179</t>
  </si>
  <si>
    <t>DEVOLUCIÓN DE INGRESOS_ MODELO 047_ Nº DE LIQUIDACIÓN: 46/2024/RAS/10325/1 Nº DE JUSTIFICANTE: 047/1/002551836_Nº DE REFERENCIA: 047/1/002551836</t>
  </si>
  <si>
    <t>Convenio Cátedra Avant. Exp 05/S0616/2024. Fra. 6003531264. Presup S061600000.</t>
  </si>
  <si>
    <t>Segundo cobro del proyecto PACES</t>
  </si>
  <si>
    <t>DEVOLUCIÓN PARCIAL DE INGRESO (50%) REFERENTE AL CONVENIO DE COLABORACIÓN ENTRE LA UNIVERSIDAD DE ALICANTE Y EL AYUNTAMIENTO DE GUARDAMAR DEL SEGURA PARA EL DESARROLLO DEL PROGRAMA DE ESTUDIOS PROPIO EN GESTIÓN DEL PATRIMONIO DEBIDO A INSUFICIENCIA DE ALUMNOS INSCRITOS.</t>
  </si>
  <si>
    <t>Administración Facultad de Filosofía y Letras</t>
  </si>
  <si>
    <t>Sánchez Tarrago, Carlos</t>
  </si>
  <si>
    <t>Eduardo Ortega y Gasset (1882-1965). Referente intelectual y moral republicano, silenciado por el franquismo</t>
  </si>
  <si>
    <t>12/09/2025</t>
  </si>
  <si>
    <t>Geografía Humana</t>
  </si>
  <si>
    <t>Linzán Saltos, María Fernanda</t>
  </si>
  <si>
    <t>La influencia de las narrativas en la política de infraestructura para el desarrollo rural. El caso de Manabí, Ecuador</t>
  </si>
  <si>
    <t>07/03/2025</t>
  </si>
  <si>
    <t>Ávila Zambrano, José Leonardo</t>
  </si>
  <si>
    <t>El papel de los emprendedores artesanales en la comunidad La Pila de Montecristi en el desarrollo local de Manabí, Ecuador</t>
  </si>
  <si>
    <t>08/07/2025</t>
  </si>
  <si>
    <t>Vargas Mursulí, Flavia María</t>
  </si>
  <si>
    <t>Profesionales y herramientas para el desarrollo local en la provincia de Manabí. Evaluación y propuestas de futuro</t>
  </si>
  <si>
    <t>28/02/2025</t>
  </si>
  <si>
    <t>Instituto Universitario Investigación de Estudios Sociales de América Latina (10</t>
  </si>
  <si>
    <t>Pérez Guevara, David Anacleto</t>
  </si>
  <si>
    <t>Metodología para la evaluación del potencial turístico de una localidad</t>
  </si>
  <si>
    <t>16/09/2025</t>
  </si>
  <si>
    <t>2020</t>
  </si>
  <si>
    <t>2021</t>
  </si>
  <si>
    <t>2022</t>
  </si>
  <si>
    <t>2023</t>
  </si>
  <si>
    <t>2024</t>
  </si>
  <si>
    <t>2025</t>
  </si>
  <si>
    <t>Gómez López, José Daniel</t>
  </si>
  <si>
    <t>Vivos</t>
  </si>
  <si>
    <t>Segrelles Serrano, José Antonio</t>
  </si>
  <si>
    <t>Sempere Souvannavong, Juan David</t>
  </si>
  <si>
    <t>Cortés Samper, Carlos</t>
  </si>
  <si>
    <t>Palazón Ferrando, Salvador</t>
  </si>
  <si>
    <t>Valero Escandell, José Ramón</t>
  </si>
  <si>
    <t>Larrosa Rocamora, José Antonio</t>
  </si>
  <si>
    <t>44769069Y</t>
  </si>
  <si>
    <t>Cutillas Orgiles, Ernesto</t>
  </si>
  <si>
    <t>Amat Montesinos, Xavier</t>
  </si>
  <si>
    <t>Espinosa Seguí, Ana Isabel</t>
  </si>
  <si>
    <t>Ortiz Pérez, Samuel</t>
  </si>
  <si>
    <t>48536401F</t>
  </si>
  <si>
    <t>Cabezón Fernández, María Jesús</t>
  </si>
  <si>
    <t>López Jiménez, Juan</t>
  </si>
  <si>
    <t>Ponce Herrero, Gabino Joaquín</t>
  </si>
  <si>
    <t>Martínez Puche, Antonio</t>
  </si>
  <si>
    <t>30.20.6C.00.16</t>
  </si>
  <si>
    <t xml:space="preserve">REALIZACIÓN DE UNA IMPRESIÓN 3D DE LA MÁSCARA MORTUORIA DE EMILIO CASTELAR (REPRODUCCIÓN FOTOGRÁFICA E IMPRESIÓN 3D). </t>
  </si>
  <si>
    <t>DEVOLUCIÓN DE INGRESOS_MODELO 047_CIGE 2022</t>
  </si>
  <si>
    <t>30.20.6P.00.13</t>
  </si>
  <si>
    <t>PROGRAMA PROPIO DEL CENTRO DE GASTRONOMÍA DEL MEDITERRÁNEO (GASTERRA) UA_DENIA PARA EL FOMENTO DE LA I+D+I EN EL ÁMBITO DE LA GASTRONOMÍA 2025</t>
  </si>
  <si>
    <t>Proyecto: PACES. Programa: HORIZONTE EUROPA. Ref. Proyecto: PACES</t>
  </si>
  <si>
    <t>Total ingresos de investigación 2023-25</t>
  </si>
  <si>
    <t>10.91.2T.00.69</t>
  </si>
  <si>
    <t>Cátedra de Responsabilidad Social. Año 2025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</si>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</sst>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1" fillId="0" borderId="0" applyFont="0" applyFill="0" applyBorder="0" applyAlignment="0" applyProtection="0"/>
  </cellStyleXfs>
  <cellXfs count="75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43" fontId="0" fillId="7" borderId="3" xfId="6" applyNumberFormat="1" applyFont="1" applyFill="1" applyBorder="1"/>
    <xf numFmtId="43" fontId="0" fillId="0" borderId="3" xfId="6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4" fillId="6" borderId="2" xfId="0" applyFont="1" applyFill="1" applyBorder="1"/>
    <xf numFmtId="0" fontId="14" fillId="6" borderId="3" xfId="0" applyFont="1" applyFill="1" applyBorder="1"/>
    <xf numFmtId="0" fontId="15" fillId="7" borderId="2" xfId="0" applyFont="1" applyFill="1" applyBorder="1"/>
    <xf numFmtId="0" fontId="15" fillId="7" borderId="3" xfId="0" applyFont="1" applyFill="1" applyBorder="1"/>
    <xf numFmtId="0" fontId="15" fillId="0" borderId="2" xfId="0" applyFont="1" applyBorder="1"/>
    <xf numFmtId="0" fontId="15" fillId="0" borderId="3" xfId="0" applyFont="1" applyBorder="1"/>
    <xf numFmtId="43" fontId="0" fillId="0" borderId="0" xfId="0" applyNumberFormat="1"/>
    <xf numFmtId="0" fontId="2" fillId="8" borderId="0" xfId="1" applyFill="1"/>
    <xf numFmtId="0" fontId="2" fillId="8" borderId="0" xfId="1" applyFill="1" applyAlignment="1">
      <alignment horizontal="right"/>
    </xf>
    <xf numFmtId="0" fontId="6" fillId="0" borderId="1" xfId="0" applyFon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10" fillId="8" borderId="0" xfId="0" applyFont="1" applyFill="1"/>
    <xf numFmtId="165" fontId="3" fillId="8" borderId="0" xfId="1" applyNumberFormat="1" applyFont="1" applyFill="1"/>
    <xf numFmtId="0" fontId="14" fillId="6" borderId="4" xfId="0" applyFont="1" applyFill="1" applyBorder="1"/>
    <xf numFmtId="0" fontId="15" fillId="7" borderId="5" xfId="0" applyFont="1" applyFill="1" applyBorder="1"/>
    <xf numFmtId="43" fontId="0" fillId="7" borderId="5" xfId="6" applyNumberFormat="1" applyFont="1" applyFill="1" applyBorder="1"/>
    <xf numFmtId="0" fontId="9" fillId="7" borderId="5" xfId="0" applyFont="1" applyFill="1" applyBorder="1"/>
    <xf numFmtId="43" fontId="11" fillId="7" borderId="5" xfId="0" applyNumberFormat="1" applyFont="1" applyFill="1" applyBorder="1"/>
    <xf numFmtId="0" fontId="0" fillId="7" borderId="3" xfId="0" applyNumberFormat="1" applyFont="1" applyFill="1" applyBorder="1"/>
    <xf numFmtId="0" fontId="0" fillId="0" borderId="3" xfId="0" applyNumberFormat="1" applyFont="1" applyBorder="1"/>
    <xf numFmtId="0" fontId="16" fillId="6" borderId="4" xfId="0" applyFont="1" applyFill="1" applyBorder="1"/>
    <xf numFmtId="43" fontId="16" fillId="6" borderId="4" xfId="6" applyNumberFormat="1" applyFont="1" applyFill="1" applyBorder="1"/>
    <xf numFmtId="0" fontId="0" fillId="7" borderId="5" xfId="0" applyNumberFormat="1" applyFont="1" applyFill="1" applyBorder="1"/>
    <xf numFmtId="0" fontId="0" fillId="7" borderId="5" xfId="0" applyFont="1" applyFill="1" applyBorder="1"/>
    <xf numFmtId="0" fontId="0" fillId="9" borderId="5" xfId="0" applyFont="1" applyFill="1" applyBorder="1"/>
    <xf numFmtId="43" fontId="11" fillId="9" borderId="5" xfId="0" applyNumberFormat="1" applyFont="1" applyFill="1" applyBorder="1"/>
    <xf numFmtId="0" fontId="0" fillId="10" borderId="0" xfId="0" applyFill="1"/>
    <xf numFmtId="0" fontId="10" fillId="0" borderId="1" xfId="0" applyFont="1" applyBorder="1"/>
    <xf numFmtId="164" fontId="10" fillId="0" borderId="1" xfId="6" applyFont="1" applyBorder="1"/>
    <xf numFmtId="0" fontId="17" fillId="11" borderId="6" xfId="0" applyFont="1" applyFill="1" applyBorder="1"/>
    <xf numFmtId="0" fontId="17" fillId="11" borderId="7" xfId="0" applyFont="1" applyFill="1" applyBorder="1"/>
    <xf numFmtId="0" fontId="18" fillId="12" borderId="6" xfId="0" applyFont="1" applyFill="1" applyBorder="1"/>
    <xf numFmtId="0" fontId="18" fillId="12" borderId="7" xfId="0" applyFont="1" applyFill="1" applyBorder="1"/>
    <xf numFmtId="164" fontId="18" fillId="12" borderId="7" xfId="6" applyFont="1" applyFill="1" applyBorder="1"/>
    <xf numFmtId="0" fontId="18" fillId="0" borderId="6" xfId="0" applyFont="1" applyBorder="1"/>
    <xf numFmtId="0" fontId="18" fillId="0" borderId="7" xfId="0" applyFont="1" applyBorder="1"/>
    <xf numFmtId="164" fontId="18" fillId="0" borderId="7" xfId="6" applyFont="1" applyBorder="1"/>
    <xf numFmtId="0" fontId="19" fillId="0" borderId="8" xfId="0" applyFont="1" applyBorder="1"/>
    <xf numFmtId="0" fontId="19" fillId="0" borderId="9" xfId="0" applyFont="1" applyBorder="1"/>
    <xf numFmtId="164" fontId="19" fillId="0" borderId="9" xfId="6" applyFont="1" applyBorder="1"/>
    <xf numFmtId="0" fontId="12" fillId="11" borderId="6" xfId="0" applyFont="1" applyFill="1" applyBorder="1"/>
    <xf numFmtId="0" fontId="12" fillId="11" borderId="7" xfId="0" applyFont="1" applyFill="1" applyBorder="1"/>
    <xf numFmtId="164" fontId="12" fillId="11" borderId="7" xfId="6" applyFont="1" applyFill="1" applyBorder="1"/>
    <xf numFmtId="0" fontId="9" fillId="12" borderId="6" xfId="0" applyFont="1" applyFill="1" applyBorder="1"/>
    <xf numFmtId="0" fontId="9" fillId="12" borderId="7" xfId="0" applyFont="1" applyFill="1" applyBorder="1"/>
    <xf numFmtId="164" fontId="9" fillId="12" borderId="7" xfId="6" applyFont="1" applyFill="1" applyBorder="1"/>
    <xf numFmtId="0" fontId="13" fillId="0" borderId="8" xfId="0" applyFont="1" applyBorder="1"/>
    <xf numFmtId="0" fontId="13" fillId="0" borderId="9" xfId="0" applyFont="1" applyBorder="1"/>
    <xf numFmtId="164" fontId="13" fillId="0" borderId="9" xfId="0" applyNumberFormat="1" applyFont="1" applyBorder="1"/>
    <xf numFmtId="43" fontId="10" fillId="0" borderId="0" xfId="0" applyNumberFormat="1" applyFont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8FB812-948D-4422-847B-DF3A3EAD2EC5}" name="Tabla2" displayName="Tabla2" ref="A1:C7" totalsRowCount="1" headerRowDxfId="29" headerRowBorderDxfId="28" tableBorderDxfId="27" totalsRowBorderDxfId="26">
  <autoFilter ref="A1:C6" xr:uid="{C219D5AD-67FE-4ADD-ACE3-DC20D31B8505}"/>
  <tableColumns count="3">
    <tableColumn id="1" xr3:uid="{E0C8B8F4-F5BB-4B7B-83F9-7E1D8DE4B476}" name="Cód. org. aplic." totalsRowLabel="Total" dataDxfId="25" totalsRowDxfId="24"/>
    <tableColumn id="2" xr3:uid="{04F7B07F-0EB0-4132-9AB8-EAA84B2FEEA2}" name="Descripción justificante" dataDxfId="23" totalsRowDxfId="22"/>
    <tableColumn id="3" xr3:uid="{CBB16929-CB4E-4645-9E80-F5E623D4C97A}" name="Imp.cob.aplic." totalsRowFunction="sum" dataDxfId="21" totalsRowDxfId="20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D7E4DB-2F35-4F0C-9CD4-C4D6B8C6E9F5}" name="Tabla3" displayName="Tabla3" ref="A1:C7" totalsRowCount="1" totalsRowDxfId="17" headerRowBorderDxfId="19" tableBorderDxfId="18" totalsRowBorderDxfId="16">
  <autoFilter ref="A1:C6" xr:uid="{B31E30AE-B282-4F03-A59D-66CFE4852C65}"/>
  <tableColumns count="3">
    <tableColumn id="1" xr3:uid="{8B36267D-25B0-44A8-9D68-798932C6560C}" name="Org. aplic." totalsRowLabel="Total" dataDxfId="15" totalsRowDxfId="14"/>
    <tableColumn id="2" xr3:uid="{82B7C669-B416-48DD-862F-933708CE4AD2}" name="Descripción justificante" dataDxfId="13" totalsRowDxfId="12"/>
    <tableColumn id="3" xr3:uid="{1C2654F9-72DB-462A-B7EA-09C05A657432}" name="Imp. 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F359F2-421B-4BAE-9D7E-D22CD8242EA5}" name="Tabla5" displayName="Tabla5" ref="A1:C3" totalsRowCount="1" headerRowDxfId="9" headerRowBorderDxfId="8" tableBorderDxfId="7" totalsRowBorderDxfId="6">
  <autoFilter ref="A1:C2" xr:uid="{AA6140D1-67FC-428B-B28B-EA22DDE8C780}"/>
  <tableColumns count="3">
    <tableColumn id="1" xr3:uid="{0A5F4AE8-0F00-40D1-9516-649EBADB41FC}" name="Org. aplic." totalsRowLabel="Total" dataDxfId="5" totalsRowDxfId="4"/>
    <tableColumn id="2" xr3:uid="{7E4703D7-062F-4C05-BB55-923BE45F98A1}" name="Descripción justificante" dataDxfId="3" totalsRowDxfId="2"/>
    <tableColumn id="3" xr3:uid="{44B08AD0-734C-43F4-8E4E-8FCB360FE363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7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33" sqref="C33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10</v>
      </c>
      <c r="J1" s="2" t="s">
        <v>11</v>
      </c>
      <c r="K1" s="1" t="s">
        <v>12</v>
      </c>
      <c r="L1" s="2" t="s">
        <v>13</v>
      </c>
      <c r="M1" s="3" t="s">
        <v>14</v>
      </c>
      <c r="N1" s="4" t="s">
        <v>15</v>
      </c>
      <c r="O1" s="5" t="s">
        <v>16</v>
      </c>
      <c r="P1" s="4" t="s">
        <v>17</v>
      </c>
      <c r="Q1" s="5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 spans="1:21" x14ac:dyDescent="0.2">
      <c r="A2" s="18" t="s">
        <v>29</v>
      </c>
      <c r="B2" s="18" t="s">
        <v>30</v>
      </c>
      <c r="C2" s="18" t="s">
        <v>31</v>
      </c>
      <c r="D2" s="18" t="s">
        <v>60</v>
      </c>
      <c r="E2" s="18" t="s">
        <v>61</v>
      </c>
      <c r="F2" s="18" t="s">
        <v>62</v>
      </c>
      <c r="G2" s="18" t="s">
        <v>38</v>
      </c>
      <c r="H2" s="18" t="s">
        <v>25</v>
      </c>
      <c r="I2" s="18" t="s">
        <v>32</v>
      </c>
      <c r="J2" s="18" t="s">
        <v>33</v>
      </c>
      <c r="K2" s="18">
        <v>1</v>
      </c>
      <c r="L2" s="18" t="s">
        <v>34</v>
      </c>
      <c r="M2" s="18">
        <v>2019</v>
      </c>
      <c r="N2" s="18" t="s">
        <v>27</v>
      </c>
      <c r="O2" s="18" t="s">
        <v>28</v>
      </c>
      <c r="P2" s="18" t="s">
        <v>24</v>
      </c>
      <c r="Q2" s="18" t="s">
        <v>24</v>
      </c>
      <c r="R2" s="18">
        <v>70</v>
      </c>
      <c r="S2" s="18">
        <v>0.7</v>
      </c>
      <c r="T2" s="18">
        <v>0.3</v>
      </c>
      <c r="U2" s="18">
        <v>0</v>
      </c>
    </row>
    <row r="3" spans="1:21" x14ac:dyDescent="0.2">
      <c r="A3" s="18" t="s">
        <v>29</v>
      </c>
      <c r="B3" s="18" t="s">
        <v>30</v>
      </c>
      <c r="C3" s="18" t="s">
        <v>31</v>
      </c>
      <c r="D3" s="18" t="s">
        <v>66</v>
      </c>
      <c r="E3" s="18" t="s">
        <v>67</v>
      </c>
      <c r="F3" s="18" t="s">
        <v>68</v>
      </c>
      <c r="G3" s="18" t="s">
        <v>38</v>
      </c>
      <c r="H3" s="18" t="s">
        <v>23</v>
      </c>
      <c r="I3" s="18" t="s">
        <v>32</v>
      </c>
      <c r="J3" s="18" t="s">
        <v>33</v>
      </c>
      <c r="K3" s="18">
        <v>0.5</v>
      </c>
      <c r="L3" s="18" t="s">
        <v>34</v>
      </c>
      <c r="M3" s="18">
        <v>2019</v>
      </c>
      <c r="N3" s="18" t="s">
        <v>27</v>
      </c>
      <c r="O3" s="18">
        <v>30</v>
      </c>
      <c r="P3" s="18" t="s">
        <v>35</v>
      </c>
      <c r="Q3" s="18">
        <v>30</v>
      </c>
      <c r="R3" s="18">
        <v>40</v>
      </c>
      <c r="S3" s="18">
        <v>0.2</v>
      </c>
      <c r="T3" s="18">
        <v>0.15</v>
      </c>
      <c r="U3" s="18">
        <v>0.15</v>
      </c>
    </row>
    <row r="4" spans="1:21" x14ac:dyDescent="0.2">
      <c r="A4" s="18" t="s">
        <v>29</v>
      </c>
      <c r="B4" s="18" t="s">
        <v>30</v>
      </c>
      <c r="C4" s="18" t="s">
        <v>31</v>
      </c>
      <c r="D4" s="18" t="s">
        <v>69</v>
      </c>
      <c r="E4" s="18" t="s">
        <v>70</v>
      </c>
      <c r="F4" s="18" t="s">
        <v>71</v>
      </c>
      <c r="G4" s="18" t="s">
        <v>38</v>
      </c>
      <c r="H4" s="18" t="s">
        <v>23</v>
      </c>
      <c r="I4" s="18" t="s">
        <v>32</v>
      </c>
      <c r="J4" s="18" t="s">
        <v>33</v>
      </c>
      <c r="K4" s="18">
        <v>0.5</v>
      </c>
      <c r="L4" s="18" t="s">
        <v>34</v>
      </c>
      <c r="M4" s="18">
        <v>2019</v>
      </c>
      <c r="N4" s="18" t="s">
        <v>27</v>
      </c>
      <c r="O4" s="18">
        <v>30</v>
      </c>
      <c r="P4" s="18" t="s">
        <v>35</v>
      </c>
      <c r="Q4" s="18">
        <v>30</v>
      </c>
      <c r="R4" s="18">
        <v>40</v>
      </c>
      <c r="S4" s="18">
        <v>0.2</v>
      </c>
      <c r="T4" s="18">
        <v>0.15</v>
      </c>
      <c r="U4" s="18">
        <v>0.15</v>
      </c>
    </row>
    <row r="5" spans="1:21" x14ac:dyDescent="0.2">
      <c r="A5" s="18" t="s">
        <v>29</v>
      </c>
      <c r="B5" s="18" t="s">
        <v>30</v>
      </c>
      <c r="C5" s="18" t="s">
        <v>31</v>
      </c>
      <c r="D5" s="18" t="s">
        <v>74</v>
      </c>
      <c r="E5" s="18" t="s">
        <v>75</v>
      </c>
      <c r="F5" s="18" t="s">
        <v>76</v>
      </c>
      <c r="G5" s="18" t="s">
        <v>38</v>
      </c>
      <c r="H5" s="18" t="s">
        <v>25</v>
      </c>
      <c r="I5" s="18" t="s">
        <v>32</v>
      </c>
      <c r="J5" s="18" t="s">
        <v>33</v>
      </c>
      <c r="K5" s="18">
        <v>1</v>
      </c>
      <c r="L5" s="18" t="s">
        <v>34</v>
      </c>
      <c r="M5" s="18">
        <v>2020</v>
      </c>
      <c r="N5" s="18" t="s">
        <v>27</v>
      </c>
      <c r="O5" s="18">
        <v>30</v>
      </c>
      <c r="P5" s="18" t="s">
        <v>35</v>
      </c>
      <c r="Q5" s="18">
        <v>30</v>
      </c>
      <c r="R5" s="18">
        <v>40</v>
      </c>
      <c r="S5" s="18">
        <v>0.4</v>
      </c>
      <c r="T5" s="18">
        <v>0.3</v>
      </c>
      <c r="U5" s="18">
        <v>0.3</v>
      </c>
    </row>
    <row r="6" spans="1:21" x14ac:dyDescent="0.2">
      <c r="A6" s="18" t="s">
        <v>29</v>
      </c>
      <c r="B6" s="18" t="s">
        <v>30</v>
      </c>
      <c r="C6" s="18" t="s">
        <v>31</v>
      </c>
      <c r="D6" s="18" t="s">
        <v>77</v>
      </c>
      <c r="E6" s="18" t="s">
        <v>78</v>
      </c>
      <c r="F6" s="18" t="s">
        <v>79</v>
      </c>
      <c r="G6" s="18" t="s">
        <v>38</v>
      </c>
      <c r="H6" s="18" t="s">
        <v>25</v>
      </c>
      <c r="I6" s="18" t="s">
        <v>32</v>
      </c>
      <c r="J6" s="18" t="s">
        <v>33</v>
      </c>
      <c r="K6" s="18">
        <v>1</v>
      </c>
      <c r="L6" s="18" t="s">
        <v>34</v>
      </c>
      <c r="M6" s="18">
        <v>2021</v>
      </c>
      <c r="N6" s="18" t="s">
        <v>27</v>
      </c>
      <c r="O6" s="18">
        <v>30</v>
      </c>
      <c r="P6" s="18" t="s">
        <v>35</v>
      </c>
      <c r="Q6" s="18">
        <v>30</v>
      </c>
      <c r="R6" s="18">
        <v>40</v>
      </c>
      <c r="S6" s="18">
        <v>0.4</v>
      </c>
      <c r="T6" s="18">
        <v>0.3</v>
      </c>
      <c r="U6" s="18">
        <v>0.3</v>
      </c>
    </row>
    <row r="7" spans="1:21" x14ac:dyDescent="0.2">
      <c r="A7" s="18" t="s">
        <v>29</v>
      </c>
      <c r="B7" s="18" t="s">
        <v>30</v>
      </c>
      <c r="C7" s="18" t="s">
        <v>31</v>
      </c>
      <c r="D7" s="18" t="s">
        <v>80</v>
      </c>
      <c r="E7" s="18" t="s">
        <v>81</v>
      </c>
      <c r="F7" s="18" t="s">
        <v>82</v>
      </c>
      <c r="G7" s="18" t="s">
        <v>83</v>
      </c>
      <c r="H7" s="18" t="s">
        <v>25</v>
      </c>
      <c r="I7" s="18" t="s">
        <v>32</v>
      </c>
      <c r="J7" s="18" t="s">
        <v>33</v>
      </c>
      <c r="K7" s="18">
        <v>1</v>
      </c>
      <c r="L7" s="18" t="s">
        <v>34</v>
      </c>
      <c r="M7" s="18">
        <v>2021</v>
      </c>
      <c r="N7" s="18" t="s">
        <v>27</v>
      </c>
      <c r="O7" s="18">
        <v>30</v>
      </c>
      <c r="P7" s="18" t="s">
        <v>24</v>
      </c>
      <c r="Q7" s="18">
        <v>0</v>
      </c>
      <c r="R7" s="18">
        <v>70</v>
      </c>
      <c r="S7" s="18">
        <v>0.7</v>
      </c>
      <c r="T7" s="18">
        <v>0.3</v>
      </c>
      <c r="U7" s="18">
        <v>0</v>
      </c>
    </row>
    <row r="8" spans="1:21" x14ac:dyDescent="0.2">
      <c r="A8" s="18" t="s">
        <v>29</v>
      </c>
      <c r="B8" s="18" t="s">
        <v>30</v>
      </c>
      <c r="C8" s="18" t="s">
        <v>31</v>
      </c>
      <c r="D8" s="18" t="s">
        <v>84</v>
      </c>
      <c r="E8" s="18" t="s">
        <v>85</v>
      </c>
      <c r="F8" s="18" t="s">
        <v>86</v>
      </c>
      <c r="G8" s="18" t="s">
        <v>87</v>
      </c>
      <c r="H8" s="18" t="s">
        <v>25</v>
      </c>
      <c r="I8" s="18" t="s">
        <v>32</v>
      </c>
      <c r="J8" s="18" t="s">
        <v>33</v>
      </c>
      <c r="K8" s="18">
        <v>1</v>
      </c>
      <c r="L8" s="18" t="s">
        <v>34</v>
      </c>
      <c r="M8" s="18">
        <v>2021</v>
      </c>
      <c r="N8" s="18" t="s">
        <v>24</v>
      </c>
      <c r="O8" s="18" t="s">
        <v>24</v>
      </c>
      <c r="P8" s="18" t="s">
        <v>24</v>
      </c>
      <c r="Q8" s="18" t="s">
        <v>24</v>
      </c>
      <c r="R8" s="18">
        <v>100</v>
      </c>
      <c r="S8" s="18">
        <v>1</v>
      </c>
      <c r="T8" s="18">
        <v>0</v>
      </c>
      <c r="U8" s="18">
        <v>0</v>
      </c>
    </row>
    <row r="9" spans="1:21" x14ac:dyDescent="0.2">
      <c r="A9" s="18" t="s">
        <v>29</v>
      </c>
      <c r="B9" s="18" t="s">
        <v>30</v>
      </c>
      <c r="C9" s="18" t="s">
        <v>31</v>
      </c>
      <c r="D9" s="18" t="s">
        <v>88</v>
      </c>
      <c r="E9" s="18" t="s">
        <v>89</v>
      </c>
      <c r="F9" s="18" t="s">
        <v>90</v>
      </c>
      <c r="G9" s="18" t="s">
        <v>37</v>
      </c>
      <c r="H9" s="18" t="s">
        <v>25</v>
      </c>
      <c r="I9" s="18" t="s">
        <v>32</v>
      </c>
      <c r="J9" s="18" t="s">
        <v>33</v>
      </c>
      <c r="K9" s="18">
        <v>1</v>
      </c>
      <c r="L9" s="18" t="s">
        <v>34</v>
      </c>
      <c r="M9" s="18">
        <v>2021</v>
      </c>
      <c r="N9" s="18" t="s">
        <v>35</v>
      </c>
      <c r="O9" s="18">
        <v>10</v>
      </c>
      <c r="P9" s="18" t="s">
        <v>24</v>
      </c>
      <c r="Q9" s="18">
        <v>0</v>
      </c>
      <c r="R9" s="18">
        <v>90</v>
      </c>
      <c r="S9" s="18">
        <v>0.9</v>
      </c>
      <c r="T9" s="18">
        <v>0.1</v>
      </c>
      <c r="U9" s="18">
        <v>0</v>
      </c>
    </row>
    <row r="10" spans="1:21" x14ac:dyDescent="0.2">
      <c r="A10" s="18" t="s">
        <v>91</v>
      </c>
      <c r="B10" s="18" t="s">
        <v>92</v>
      </c>
      <c r="C10" s="18" t="s">
        <v>93</v>
      </c>
      <c r="D10" s="18" t="s">
        <v>94</v>
      </c>
      <c r="E10" s="18" t="s">
        <v>95</v>
      </c>
      <c r="F10" s="18" t="s">
        <v>96</v>
      </c>
      <c r="G10" s="18" t="s">
        <v>38</v>
      </c>
      <c r="H10" s="18" t="s">
        <v>25</v>
      </c>
      <c r="I10" s="18" t="s">
        <v>32</v>
      </c>
      <c r="J10" s="18" t="s">
        <v>33</v>
      </c>
      <c r="K10" s="18">
        <v>1</v>
      </c>
      <c r="L10" s="18" t="s">
        <v>34</v>
      </c>
      <c r="M10" s="18">
        <v>2021</v>
      </c>
      <c r="N10" s="18" t="s">
        <v>27</v>
      </c>
      <c r="O10" s="18">
        <v>30</v>
      </c>
      <c r="P10" s="18" t="s">
        <v>35</v>
      </c>
      <c r="Q10" s="18">
        <v>30</v>
      </c>
      <c r="R10" s="18">
        <v>40</v>
      </c>
      <c r="S10" s="18">
        <v>0.4</v>
      </c>
      <c r="T10" s="18">
        <v>0.3</v>
      </c>
      <c r="U10" s="18">
        <v>0.3</v>
      </c>
    </row>
    <row r="11" spans="1:21" x14ac:dyDescent="0.2">
      <c r="A11" s="18" t="s">
        <v>29</v>
      </c>
      <c r="B11" s="18" t="s">
        <v>30</v>
      </c>
      <c r="C11" s="18" t="s">
        <v>31</v>
      </c>
      <c r="D11" s="18" t="s">
        <v>99</v>
      </c>
      <c r="E11" s="18" t="s">
        <v>100</v>
      </c>
      <c r="F11" s="18" t="s">
        <v>101</v>
      </c>
      <c r="G11" s="18" t="s">
        <v>36</v>
      </c>
      <c r="H11" s="18" t="s">
        <v>25</v>
      </c>
      <c r="I11" s="18" t="s">
        <v>32</v>
      </c>
      <c r="J11" s="18" t="s">
        <v>33</v>
      </c>
      <c r="K11" s="18">
        <v>1</v>
      </c>
      <c r="L11" s="18" t="s">
        <v>34</v>
      </c>
      <c r="M11" s="18">
        <v>2021</v>
      </c>
      <c r="N11" s="18" t="s">
        <v>24</v>
      </c>
      <c r="O11" s="18" t="s">
        <v>24</v>
      </c>
      <c r="P11" s="18" t="s">
        <v>24</v>
      </c>
      <c r="Q11" s="18" t="s">
        <v>24</v>
      </c>
      <c r="R11" s="18">
        <v>100</v>
      </c>
      <c r="S11" s="18">
        <v>1</v>
      </c>
      <c r="T11" s="18">
        <v>0</v>
      </c>
      <c r="U11" s="18">
        <v>0</v>
      </c>
    </row>
    <row r="12" spans="1:21" x14ac:dyDescent="0.2">
      <c r="A12" s="18" t="s">
        <v>29</v>
      </c>
      <c r="B12" s="18" t="s">
        <v>30</v>
      </c>
      <c r="C12" s="18" t="s">
        <v>31</v>
      </c>
      <c r="D12" s="18" t="s">
        <v>135</v>
      </c>
      <c r="E12" s="18" t="s">
        <v>102</v>
      </c>
      <c r="F12" s="18" t="s">
        <v>103</v>
      </c>
      <c r="G12" s="18" t="s">
        <v>104</v>
      </c>
      <c r="H12" s="18" t="s">
        <v>25</v>
      </c>
      <c r="I12" s="18" t="s">
        <v>32</v>
      </c>
      <c r="J12" s="18" t="s">
        <v>33</v>
      </c>
      <c r="K12" s="18">
        <v>1</v>
      </c>
      <c r="L12" s="18" t="s">
        <v>34</v>
      </c>
      <c r="M12" s="18">
        <v>2022</v>
      </c>
      <c r="N12" s="18" t="s">
        <v>24</v>
      </c>
      <c r="O12" s="18" t="s">
        <v>24</v>
      </c>
      <c r="P12" s="18" t="s">
        <v>24</v>
      </c>
      <c r="Q12" s="18" t="s">
        <v>24</v>
      </c>
      <c r="R12" s="18">
        <v>100</v>
      </c>
      <c r="S12" s="18">
        <v>1</v>
      </c>
      <c r="T12" s="18">
        <v>0</v>
      </c>
      <c r="U12" s="18">
        <v>0</v>
      </c>
    </row>
    <row r="13" spans="1:21" x14ac:dyDescent="0.2">
      <c r="A13" s="18" t="s">
        <v>29</v>
      </c>
      <c r="B13" s="18" t="s">
        <v>30</v>
      </c>
      <c r="C13" s="18" t="s">
        <v>31</v>
      </c>
      <c r="D13" s="18" t="s">
        <v>136</v>
      </c>
      <c r="E13" s="18" t="s">
        <v>105</v>
      </c>
      <c r="F13" s="18" t="s">
        <v>106</v>
      </c>
      <c r="G13" s="18" t="s">
        <v>107</v>
      </c>
      <c r="H13" s="18" t="s">
        <v>25</v>
      </c>
      <c r="I13" s="18" t="s">
        <v>32</v>
      </c>
      <c r="J13" s="18" t="s">
        <v>33</v>
      </c>
      <c r="K13" s="18">
        <v>1</v>
      </c>
      <c r="L13" s="18" t="s">
        <v>34</v>
      </c>
      <c r="M13" s="18">
        <v>2022</v>
      </c>
      <c r="N13" s="18" t="s">
        <v>35</v>
      </c>
      <c r="O13" s="18">
        <v>10</v>
      </c>
      <c r="P13" s="18" t="s">
        <v>24</v>
      </c>
      <c r="Q13" s="18">
        <v>0</v>
      </c>
      <c r="R13" s="18">
        <v>90</v>
      </c>
      <c r="S13" s="18">
        <v>0.9</v>
      </c>
      <c r="T13" s="18">
        <v>0.1</v>
      </c>
      <c r="U13" s="18">
        <v>0</v>
      </c>
    </row>
    <row r="14" spans="1:21" x14ac:dyDescent="0.2">
      <c r="A14" s="18" t="s">
        <v>108</v>
      </c>
      <c r="B14" s="18" t="s">
        <v>109</v>
      </c>
      <c r="C14" s="18" t="s">
        <v>110</v>
      </c>
      <c r="D14" s="18" t="s">
        <v>137</v>
      </c>
      <c r="E14" s="18" t="s">
        <v>111</v>
      </c>
      <c r="F14" s="18" t="s">
        <v>112</v>
      </c>
      <c r="G14" s="18" t="s">
        <v>38</v>
      </c>
      <c r="H14" s="18" t="s">
        <v>23</v>
      </c>
      <c r="I14" s="18" t="s">
        <v>32</v>
      </c>
      <c r="J14" s="18" t="s">
        <v>33</v>
      </c>
      <c r="K14" s="18">
        <v>0.5</v>
      </c>
      <c r="L14" s="18" t="s">
        <v>34</v>
      </c>
      <c r="M14" s="18">
        <v>2022</v>
      </c>
      <c r="N14" s="18" t="s">
        <v>27</v>
      </c>
      <c r="O14" s="18">
        <v>30</v>
      </c>
      <c r="P14" s="18" t="s">
        <v>35</v>
      </c>
      <c r="Q14" s="18">
        <v>30</v>
      </c>
      <c r="R14" s="18">
        <v>40</v>
      </c>
      <c r="S14" s="18">
        <v>0.2</v>
      </c>
      <c r="T14" s="18">
        <v>0.15</v>
      </c>
      <c r="U14" s="18">
        <v>0.15</v>
      </c>
    </row>
    <row r="15" spans="1:21" x14ac:dyDescent="0.2">
      <c r="A15" s="18" t="s">
        <v>113</v>
      </c>
      <c r="B15" s="18" t="s">
        <v>114</v>
      </c>
      <c r="C15" s="18" t="s">
        <v>115</v>
      </c>
      <c r="D15" s="18" t="s">
        <v>138</v>
      </c>
      <c r="E15" s="18" t="s">
        <v>116</v>
      </c>
      <c r="F15" s="18" t="s">
        <v>117</v>
      </c>
      <c r="G15" s="18" t="s">
        <v>38</v>
      </c>
      <c r="H15" s="18" t="s">
        <v>23</v>
      </c>
      <c r="I15" s="18" t="s">
        <v>32</v>
      </c>
      <c r="J15" s="18" t="s">
        <v>33</v>
      </c>
      <c r="K15" s="18">
        <v>0.5</v>
      </c>
      <c r="L15" s="18" t="s">
        <v>34</v>
      </c>
      <c r="M15" s="18">
        <v>2022</v>
      </c>
      <c r="N15" s="18" t="s">
        <v>27</v>
      </c>
      <c r="O15" s="18">
        <v>30</v>
      </c>
      <c r="P15" s="18" t="s">
        <v>35</v>
      </c>
      <c r="Q15" s="18">
        <v>30</v>
      </c>
      <c r="R15" s="18">
        <v>40</v>
      </c>
      <c r="S15" s="18">
        <v>0.2</v>
      </c>
      <c r="T15" s="18">
        <v>0.15</v>
      </c>
      <c r="U15" s="18">
        <v>0.15</v>
      </c>
    </row>
    <row r="16" spans="1:21" x14ac:dyDescent="0.2">
      <c r="A16" s="18" t="s">
        <v>91</v>
      </c>
      <c r="B16" s="18" t="s">
        <v>118</v>
      </c>
      <c r="C16" s="18" t="s">
        <v>93</v>
      </c>
      <c r="D16" s="18" t="s">
        <v>139</v>
      </c>
      <c r="E16" s="18" t="s">
        <v>119</v>
      </c>
      <c r="F16" s="18" t="s">
        <v>120</v>
      </c>
      <c r="G16" s="18" t="s">
        <v>38</v>
      </c>
      <c r="H16" s="18" t="s">
        <v>25</v>
      </c>
      <c r="I16" s="18" t="s">
        <v>32</v>
      </c>
      <c r="J16" s="18" t="s">
        <v>33</v>
      </c>
      <c r="K16" s="18">
        <v>1</v>
      </c>
      <c r="L16" s="18" t="s">
        <v>34</v>
      </c>
      <c r="M16" s="18">
        <v>2022</v>
      </c>
      <c r="N16" s="18" t="s">
        <v>27</v>
      </c>
      <c r="O16" s="18">
        <v>30</v>
      </c>
      <c r="P16" s="18" t="s">
        <v>35</v>
      </c>
      <c r="Q16" s="18">
        <v>30</v>
      </c>
      <c r="R16" s="18">
        <v>40</v>
      </c>
      <c r="S16" s="18">
        <v>0.4</v>
      </c>
      <c r="T16" s="18">
        <v>0.3</v>
      </c>
      <c r="U16" s="18">
        <v>0.3</v>
      </c>
    </row>
    <row r="17" spans="1:22" x14ac:dyDescent="0.2">
      <c r="A17" s="18" t="s">
        <v>140</v>
      </c>
      <c r="B17" s="18" t="s">
        <v>141</v>
      </c>
      <c r="C17" s="18" t="s">
        <v>142</v>
      </c>
      <c r="D17" s="18" t="s">
        <v>143</v>
      </c>
      <c r="E17" s="18" t="s">
        <v>144</v>
      </c>
      <c r="F17" s="18" t="s">
        <v>145</v>
      </c>
      <c r="G17" s="18" t="s">
        <v>146</v>
      </c>
      <c r="H17" s="18" t="s">
        <v>147</v>
      </c>
      <c r="I17" s="18" t="s">
        <v>34</v>
      </c>
      <c r="J17" s="18" t="s">
        <v>148</v>
      </c>
      <c r="K17" s="18">
        <v>0.5</v>
      </c>
      <c r="L17" s="18" t="s">
        <v>34</v>
      </c>
      <c r="M17" s="18">
        <v>2022</v>
      </c>
      <c r="N17" s="18" t="s">
        <v>35</v>
      </c>
      <c r="O17" s="18">
        <v>30</v>
      </c>
      <c r="P17" s="18" t="s">
        <v>24</v>
      </c>
      <c r="Q17" s="18">
        <v>0</v>
      </c>
      <c r="R17" s="18">
        <v>70</v>
      </c>
      <c r="S17" s="18">
        <v>0.35</v>
      </c>
      <c r="T17" s="18">
        <v>0.15</v>
      </c>
      <c r="U17" s="18">
        <v>0</v>
      </c>
    </row>
    <row r="18" spans="1:22" x14ac:dyDescent="0.2">
      <c r="A18" s="18" t="s">
        <v>149</v>
      </c>
      <c r="B18" s="18" t="s">
        <v>141</v>
      </c>
      <c r="C18" s="18" t="s">
        <v>142</v>
      </c>
      <c r="D18" s="18" t="s">
        <v>150</v>
      </c>
      <c r="E18" s="18" t="s">
        <v>151</v>
      </c>
      <c r="F18" s="18" t="s">
        <v>152</v>
      </c>
      <c r="G18" s="18" t="s">
        <v>53</v>
      </c>
      <c r="H18" s="18" t="s">
        <v>153</v>
      </c>
      <c r="I18" s="18" t="s">
        <v>34</v>
      </c>
      <c r="J18" s="18" t="s">
        <v>148</v>
      </c>
      <c r="K18" s="18">
        <v>1</v>
      </c>
      <c r="L18" s="18" t="s">
        <v>34</v>
      </c>
      <c r="M18" s="18">
        <v>2023</v>
      </c>
      <c r="N18" s="18" t="s">
        <v>35</v>
      </c>
      <c r="O18" s="18" t="s">
        <v>26</v>
      </c>
      <c r="P18" s="18" t="s">
        <v>24</v>
      </c>
      <c r="Q18" s="18" t="s">
        <v>24</v>
      </c>
      <c r="R18" s="18">
        <v>90</v>
      </c>
      <c r="S18" s="18">
        <v>0.9</v>
      </c>
      <c r="T18" s="18">
        <v>0.1</v>
      </c>
      <c r="U18" s="18">
        <v>0</v>
      </c>
      <c r="V18" s="6" t="s">
        <v>126</v>
      </c>
    </row>
    <row r="19" spans="1:22" x14ac:dyDescent="0.2">
      <c r="A19" s="18" t="s">
        <v>149</v>
      </c>
      <c r="B19" s="18" t="s">
        <v>141</v>
      </c>
      <c r="C19" s="18" t="s">
        <v>142</v>
      </c>
      <c r="D19" s="18" t="s">
        <v>154</v>
      </c>
      <c r="E19" s="18" t="s">
        <v>155</v>
      </c>
      <c r="F19" s="18" t="s">
        <v>156</v>
      </c>
      <c r="G19" s="18" t="s">
        <v>122</v>
      </c>
      <c r="H19" s="18" t="s">
        <v>153</v>
      </c>
      <c r="I19" s="18" t="s">
        <v>34</v>
      </c>
      <c r="J19" s="18" t="s">
        <v>148</v>
      </c>
      <c r="K19" s="18">
        <v>1</v>
      </c>
      <c r="L19" s="18" t="s">
        <v>34</v>
      </c>
      <c r="M19" s="18">
        <v>2023</v>
      </c>
      <c r="N19" s="18" t="s">
        <v>35</v>
      </c>
      <c r="O19" s="18" t="s">
        <v>28</v>
      </c>
      <c r="P19" s="18" t="s">
        <v>24</v>
      </c>
      <c r="Q19" s="18" t="s">
        <v>24</v>
      </c>
      <c r="R19" s="18">
        <v>70</v>
      </c>
      <c r="S19" s="18">
        <v>0.7</v>
      </c>
      <c r="T19" s="18">
        <v>0.3</v>
      </c>
      <c r="U19" s="18">
        <v>0</v>
      </c>
      <c r="V19" s="6" t="s">
        <v>126</v>
      </c>
    </row>
    <row r="20" spans="1:22" x14ac:dyDescent="0.2">
      <c r="A20" s="18" t="s">
        <v>149</v>
      </c>
      <c r="B20" s="18" t="s">
        <v>141</v>
      </c>
      <c r="C20" s="18" t="s">
        <v>142</v>
      </c>
      <c r="D20" s="18" t="s">
        <v>168</v>
      </c>
      <c r="E20" s="18" t="s">
        <v>169</v>
      </c>
      <c r="F20" s="18" t="s">
        <v>170</v>
      </c>
      <c r="G20" s="18" t="s">
        <v>55</v>
      </c>
      <c r="H20" s="18" t="s">
        <v>153</v>
      </c>
      <c r="I20" s="18" t="s">
        <v>34</v>
      </c>
      <c r="J20" s="18" t="s">
        <v>148</v>
      </c>
      <c r="K20" s="18">
        <v>1</v>
      </c>
      <c r="L20" s="18" t="s">
        <v>34</v>
      </c>
      <c r="M20" s="18">
        <v>2023</v>
      </c>
      <c r="N20" s="18" t="s">
        <v>27</v>
      </c>
      <c r="O20" s="18" t="s">
        <v>28</v>
      </c>
      <c r="P20" s="18" t="s">
        <v>35</v>
      </c>
      <c r="Q20" s="18" t="s">
        <v>28</v>
      </c>
      <c r="R20" s="18">
        <v>40</v>
      </c>
      <c r="S20" s="18">
        <v>0.4</v>
      </c>
      <c r="T20" s="18">
        <v>0.3</v>
      </c>
      <c r="U20" s="18">
        <v>0.3</v>
      </c>
      <c r="V20" s="6" t="s">
        <v>126</v>
      </c>
    </row>
    <row r="21" spans="1:22" x14ac:dyDescent="0.2">
      <c r="A21" s="18" t="s">
        <v>157</v>
      </c>
      <c r="B21" s="18" t="s">
        <v>158</v>
      </c>
      <c r="C21" s="18" t="s">
        <v>159</v>
      </c>
      <c r="D21" s="18" t="s">
        <v>160</v>
      </c>
      <c r="E21" s="18" t="s">
        <v>161</v>
      </c>
      <c r="F21" s="18" t="s">
        <v>162</v>
      </c>
      <c r="G21" s="18" t="s">
        <v>121</v>
      </c>
      <c r="H21" s="18" t="s">
        <v>153</v>
      </c>
      <c r="I21" s="18" t="s">
        <v>34</v>
      </c>
      <c r="J21" s="18" t="s">
        <v>148</v>
      </c>
      <c r="K21" s="18">
        <v>1</v>
      </c>
      <c r="L21" s="18" t="s">
        <v>34</v>
      </c>
      <c r="M21" s="18">
        <v>2023</v>
      </c>
      <c r="N21" s="18" t="s">
        <v>27</v>
      </c>
      <c r="O21" s="18" t="s">
        <v>28</v>
      </c>
      <c r="P21" s="18" t="s">
        <v>24</v>
      </c>
      <c r="Q21" s="18" t="s">
        <v>24</v>
      </c>
      <c r="R21" s="18">
        <v>70</v>
      </c>
      <c r="S21" s="18">
        <v>0.7</v>
      </c>
      <c r="T21" s="18">
        <v>0.3</v>
      </c>
      <c r="U21" s="18">
        <v>0</v>
      </c>
      <c r="V21" s="6" t="s">
        <v>126</v>
      </c>
    </row>
    <row r="22" spans="1:22" x14ac:dyDescent="0.2">
      <c r="A22" s="18" t="s">
        <v>149</v>
      </c>
      <c r="B22" s="18" t="s">
        <v>180</v>
      </c>
      <c r="C22" s="18" t="s">
        <v>142</v>
      </c>
      <c r="D22" s="18" t="s">
        <v>181</v>
      </c>
      <c r="E22" s="18" t="s">
        <v>182</v>
      </c>
      <c r="F22" s="18" t="s">
        <v>183</v>
      </c>
      <c r="G22" s="18" t="s">
        <v>122</v>
      </c>
      <c r="H22" s="18" t="s">
        <v>153</v>
      </c>
      <c r="I22" s="18" t="s">
        <v>34</v>
      </c>
      <c r="J22" s="18" t="s">
        <v>184</v>
      </c>
      <c r="K22" s="18">
        <v>1</v>
      </c>
      <c r="L22" s="18" t="s">
        <v>34</v>
      </c>
      <c r="M22" s="18">
        <v>2024</v>
      </c>
      <c r="N22" s="18" t="s">
        <v>24</v>
      </c>
      <c r="O22" s="18" t="s">
        <v>24</v>
      </c>
      <c r="P22" s="18" t="s">
        <v>24</v>
      </c>
      <c r="Q22" s="18" t="s">
        <v>24</v>
      </c>
      <c r="R22" s="18">
        <v>100</v>
      </c>
      <c r="S22" s="18">
        <v>1</v>
      </c>
      <c r="T22" s="18">
        <v>0</v>
      </c>
      <c r="U22" s="18">
        <v>0</v>
      </c>
    </row>
    <row r="23" spans="1:22" x14ac:dyDescent="0.2">
      <c r="A23" s="18" t="s">
        <v>149</v>
      </c>
      <c r="B23" s="18" t="s">
        <v>180</v>
      </c>
      <c r="C23" s="18" t="s">
        <v>142</v>
      </c>
      <c r="D23" s="18" t="s">
        <v>185</v>
      </c>
      <c r="E23" s="18" t="s">
        <v>186</v>
      </c>
      <c r="F23" s="18" t="s">
        <v>187</v>
      </c>
      <c r="G23" s="18" t="s">
        <v>53</v>
      </c>
      <c r="H23" s="18" t="s">
        <v>153</v>
      </c>
      <c r="I23" s="18" t="s">
        <v>34</v>
      </c>
      <c r="J23" s="18" t="s">
        <v>184</v>
      </c>
      <c r="K23" s="18">
        <v>1</v>
      </c>
      <c r="L23" s="18" t="s">
        <v>34</v>
      </c>
      <c r="M23" s="18">
        <v>2024</v>
      </c>
      <c r="N23" s="18" t="s">
        <v>35</v>
      </c>
      <c r="O23" s="18" t="s">
        <v>26</v>
      </c>
      <c r="P23" s="18" t="s">
        <v>24</v>
      </c>
      <c r="Q23" s="18" t="s">
        <v>24</v>
      </c>
      <c r="R23" s="18">
        <v>90</v>
      </c>
      <c r="S23" s="18">
        <v>0.9</v>
      </c>
      <c r="T23" s="18">
        <v>0.1</v>
      </c>
      <c r="U23" s="18">
        <v>0</v>
      </c>
    </row>
    <row r="24" spans="1:22" x14ac:dyDescent="0.2">
      <c r="A24" s="18" t="s">
        <v>149</v>
      </c>
      <c r="B24" s="18" t="s">
        <v>180</v>
      </c>
      <c r="C24" s="18" t="s">
        <v>142</v>
      </c>
      <c r="D24" s="18" t="s">
        <v>188</v>
      </c>
      <c r="E24" s="18" t="s">
        <v>189</v>
      </c>
      <c r="F24" s="18" t="s">
        <v>190</v>
      </c>
      <c r="G24" s="18" t="s">
        <v>58</v>
      </c>
      <c r="H24" s="18" t="s">
        <v>153</v>
      </c>
      <c r="I24" s="18" t="s">
        <v>34</v>
      </c>
      <c r="J24" s="18" t="s">
        <v>184</v>
      </c>
      <c r="K24" s="18">
        <v>1</v>
      </c>
      <c r="L24" s="18" t="s">
        <v>34</v>
      </c>
      <c r="M24" s="18">
        <v>2024</v>
      </c>
      <c r="N24" s="18" t="s">
        <v>24</v>
      </c>
      <c r="O24" s="18" t="s">
        <v>24</v>
      </c>
      <c r="P24" s="18" t="s">
        <v>24</v>
      </c>
      <c r="Q24" s="18" t="s">
        <v>24</v>
      </c>
      <c r="R24" s="18">
        <v>100</v>
      </c>
      <c r="S24" s="18">
        <v>1</v>
      </c>
      <c r="T24" s="18">
        <v>0</v>
      </c>
      <c r="U24" s="18">
        <v>0</v>
      </c>
    </row>
    <row r="25" spans="1:22" x14ac:dyDescent="0.2">
      <c r="A25" s="18" t="s">
        <v>149</v>
      </c>
      <c r="B25" s="18" t="s">
        <v>180</v>
      </c>
      <c r="C25" s="18" t="s">
        <v>142</v>
      </c>
      <c r="D25" s="18" t="s">
        <v>191</v>
      </c>
      <c r="E25" s="18" t="s">
        <v>192</v>
      </c>
      <c r="F25" s="18" t="s">
        <v>193</v>
      </c>
      <c r="G25" s="18" t="s">
        <v>53</v>
      </c>
      <c r="H25" s="18" t="s">
        <v>153</v>
      </c>
      <c r="I25" s="18" t="s">
        <v>34</v>
      </c>
      <c r="J25" s="18" t="s">
        <v>184</v>
      </c>
      <c r="K25" s="18">
        <v>1</v>
      </c>
      <c r="L25" s="18" t="s">
        <v>34</v>
      </c>
      <c r="M25" s="18">
        <v>2024</v>
      </c>
      <c r="N25" s="18" t="s">
        <v>35</v>
      </c>
      <c r="O25" s="18" t="s">
        <v>26</v>
      </c>
      <c r="P25" s="18" t="s">
        <v>24</v>
      </c>
      <c r="Q25" s="18" t="s">
        <v>24</v>
      </c>
      <c r="R25" s="18">
        <v>90</v>
      </c>
      <c r="S25" s="18">
        <v>0.9</v>
      </c>
      <c r="T25" s="18">
        <v>0.1</v>
      </c>
      <c r="U25" s="18">
        <v>0</v>
      </c>
    </row>
    <row r="26" spans="1:22" x14ac:dyDescent="0.2">
      <c r="A26" s="18" t="s">
        <v>157</v>
      </c>
      <c r="B26" s="18" t="s">
        <v>194</v>
      </c>
      <c r="C26" s="18" t="s">
        <v>159</v>
      </c>
      <c r="D26" s="18" t="s">
        <v>195</v>
      </c>
      <c r="E26" s="18" t="s">
        <v>196</v>
      </c>
      <c r="F26" s="18" t="s">
        <v>197</v>
      </c>
      <c r="G26" s="18" t="s">
        <v>55</v>
      </c>
      <c r="H26" s="18" t="s">
        <v>147</v>
      </c>
      <c r="I26" s="18" t="s">
        <v>34</v>
      </c>
      <c r="J26" s="18" t="s">
        <v>184</v>
      </c>
      <c r="K26" s="18">
        <v>0.5</v>
      </c>
      <c r="L26" s="18" t="s">
        <v>34</v>
      </c>
      <c r="M26" s="18">
        <v>2024</v>
      </c>
      <c r="N26" s="18" t="s">
        <v>35</v>
      </c>
      <c r="O26" s="18" t="s">
        <v>28</v>
      </c>
      <c r="P26" s="18" t="s">
        <v>27</v>
      </c>
      <c r="Q26" s="18" t="s">
        <v>28</v>
      </c>
      <c r="R26" s="18">
        <v>40</v>
      </c>
      <c r="S26" s="18">
        <v>0.2</v>
      </c>
      <c r="T26" s="18">
        <v>0.15</v>
      </c>
      <c r="U26" s="18">
        <v>0.15</v>
      </c>
    </row>
    <row r="27" spans="1:22" x14ac:dyDescent="0.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/>
      <c r="P27" s="31"/>
      <c r="Q27" s="32"/>
      <c r="R27" s="31"/>
      <c r="S27" s="37">
        <f>SUM(S2:S26)</f>
        <v>15.649999999999999</v>
      </c>
      <c r="T27" s="31"/>
      <c r="U27" s="31"/>
    </row>
  </sheetData>
  <autoFilter ref="A1:U1" xr:uid="{00000000-0009-0000-0000-000000000000}">
    <sortState xmlns:xlrd2="http://schemas.microsoft.com/office/spreadsheetml/2017/richdata2" ref="A2:T1883">
      <sortCondition ref="K2:K1883"/>
      <sortCondition ref="L2:L1883"/>
      <sortCondition ref="D2:D1883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7"/>
  <sheetViews>
    <sheetView zoomScaleNormal="100" workbookViewId="0">
      <selection activeCell="G25" sqref="G25"/>
    </sheetView>
  </sheetViews>
  <sheetFormatPr baseColWidth="10" defaultColWidth="11.44140625" defaultRowHeight="13.2" x14ac:dyDescent="0.25"/>
  <cols>
    <col min="1" max="1" width="10.5546875" style="11" bestFit="1" customWidth="1"/>
    <col min="2" max="2" width="39.4414062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10.109375" style="11" bestFit="1" customWidth="1"/>
    <col min="12" max="12" width="5.5546875" style="11" bestFit="1" customWidth="1"/>
    <col min="13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1" s="10" customFormat="1" ht="60" customHeight="1" x14ac:dyDescent="0.25">
      <c r="A1" s="13" t="s">
        <v>39</v>
      </c>
      <c r="B1" s="13" t="s">
        <v>40</v>
      </c>
      <c r="C1" s="13" t="s">
        <v>41</v>
      </c>
      <c r="D1" s="14" t="s">
        <v>198</v>
      </c>
      <c r="E1" s="14" t="s">
        <v>199</v>
      </c>
      <c r="F1" s="14" t="s">
        <v>200</v>
      </c>
      <c r="G1" s="14" t="s">
        <v>201</v>
      </c>
      <c r="H1" s="14" t="s">
        <v>202</v>
      </c>
      <c r="I1" s="14" t="s">
        <v>203</v>
      </c>
      <c r="J1" s="13" t="s">
        <v>42</v>
      </c>
      <c r="K1" s="15" t="s">
        <v>64</v>
      </c>
      <c r="L1" s="8" t="s">
        <v>43</v>
      </c>
      <c r="M1" s="8" t="s">
        <v>44</v>
      </c>
      <c r="N1" s="8" t="s">
        <v>45</v>
      </c>
      <c r="O1" s="8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11"/>
      <c r="U1" s="11"/>
    </row>
    <row r="2" spans="1:21" ht="14.4" x14ac:dyDescent="0.3">
      <c r="A2" s="21" t="s">
        <v>121</v>
      </c>
      <c r="B2" s="21" t="s">
        <v>204</v>
      </c>
      <c r="C2" s="22" t="s">
        <v>205</v>
      </c>
      <c r="D2" s="21"/>
      <c r="E2" s="21"/>
      <c r="F2" s="21"/>
      <c r="G2" s="21"/>
      <c r="H2" s="21"/>
      <c r="I2" s="21">
        <v>1</v>
      </c>
      <c r="J2" s="16">
        <v>1</v>
      </c>
      <c r="K2" s="16" t="s">
        <v>34</v>
      </c>
      <c r="L2" s="17" t="s">
        <v>27</v>
      </c>
      <c r="M2" s="17" t="s">
        <v>28</v>
      </c>
      <c r="N2" s="17" t="s">
        <v>24</v>
      </c>
      <c r="O2" s="17" t="s">
        <v>24</v>
      </c>
      <c r="P2" s="17">
        <v>70</v>
      </c>
      <c r="Q2" s="17">
        <v>0.3</v>
      </c>
      <c r="R2" s="17">
        <v>0</v>
      </c>
      <c r="S2" s="17">
        <v>0.7</v>
      </c>
    </row>
    <row r="3" spans="1:21" ht="14.4" x14ac:dyDescent="0.3">
      <c r="A3" s="16" t="s">
        <v>57</v>
      </c>
      <c r="B3" s="16" t="s">
        <v>206</v>
      </c>
      <c r="C3" s="16" t="s">
        <v>51</v>
      </c>
      <c r="D3" s="16">
        <v>1</v>
      </c>
      <c r="E3" s="16"/>
      <c r="F3" s="16"/>
      <c r="G3" s="16"/>
      <c r="H3" s="16"/>
      <c r="I3" s="16"/>
      <c r="J3" s="16">
        <v>1</v>
      </c>
      <c r="K3" s="16" t="s">
        <v>34</v>
      </c>
      <c r="L3" s="17">
        <v>0</v>
      </c>
      <c r="M3" s="17">
        <v>0</v>
      </c>
      <c r="N3" s="17" t="s">
        <v>24</v>
      </c>
      <c r="O3" s="17" t="s">
        <v>24</v>
      </c>
      <c r="P3" s="17">
        <v>100</v>
      </c>
      <c r="Q3" s="17">
        <v>0</v>
      </c>
      <c r="R3" s="17">
        <v>0</v>
      </c>
      <c r="S3" s="17">
        <v>1</v>
      </c>
    </row>
    <row r="4" spans="1:21" ht="14.4" x14ac:dyDescent="0.3">
      <c r="A4" s="16" t="s">
        <v>58</v>
      </c>
      <c r="B4" s="16" t="s">
        <v>207</v>
      </c>
      <c r="C4" s="16" t="s">
        <v>51</v>
      </c>
      <c r="D4" s="16"/>
      <c r="E4" s="16"/>
      <c r="F4" s="16">
        <v>1</v>
      </c>
      <c r="G4" s="16"/>
      <c r="H4" s="16"/>
      <c r="I4" s="16"/>
      <c r="J4" s="16">
        <v>1</v>
      </c>
      <c r="K4" s="16" t="s">
        <v>34</v>
      </c>
      <c r="L4" s="17">
        <v>0</v>
      </c>
      <c r="M4" s="17">
        <v>0</v>
      </c>
      <c r="N4" s="17" t="s">
        <v>24</v>
      </c>
      <c r="O4" s="17" t="s">
        <v>24</v>
      </c>
      <c r="P4" s="17">
        <v>100</v>
      </c>
      <c r="Q4" s="17">
        <v>0</v>
      </c>
      <c r="R4" s="17">
        <v>0</v>
      </c>
      <c r="S4" s="17">
        <v>1</v>
      </c>
    </row>
    <row r="5" spans="1:21" ht="14.4" x14ac:dyDescent="0.3">
      <c r="A5" s="16" t="s">
        <v>163</v>
      </c>
      <c r="B5" s="16" t="s">
        <v>208</v>
      </c>
      <c r="C5" s="16" t="s">
        <v>52</v>
      </c>
      <c r="D5" s="16"/>
      <c r="E5" s="16"/>
      <c r="F5" s="16"/>
      <c r="G5" s="16"/>
      <c r="H5" s="16">
        <v>1</v>
      </c>
      <c r="I5" s="16"/>
      <c r="J5" s="16">
        <v>1</v>
      </c>
      <c r="K5" s="16" t="s">
        <v>34</v>
      </c>
      <c r="L5" s="17">
        <v>0</v>
      </c>
      <c r="M5" s="17">
        <v>0</v>
      </c>
      <c r="N5" s="17" t="s">
        <v>24</v>
      </c>
      <c r="O5" s="17" t="s">
        <v>24</v>
      </c>
      <c r="P5" s="17">
        <v>100</v>
      </c>
      <c r="Q5" s="17">
        <v>0</v>
      </c>
      <c r="R5" s="17">
        <v>0</v>
      </c>
      <c r="S5" s="17">
        <v>1</v>
      </c>
    </row>
    <row r="6" spans="1:21" ht="14.4" x14ac:dyDescent="0.3">
      <c r="A6" s="16" t="s">
        <v>65</v>
      </c>
      <c r="B6" s="16" t="s">
        <v>209</v>
      </c>
      <c r="C6" s="23" t="s">
        <v>205</v>
      </c>
      <c r="D6" s="16"/>
      <c r="E6" s="16"/>
      <c r="F6" s="16"/>
      <c r="G6" s="16"/>
      <c r="H6" s="16"/>
      <c r="I6" s="16">
        <v>1</v>
      </c>
      <c r="J6" s="16">
        <v>1</v>
      </c>
      <c r="K6" s="16" t="s">
        <v>34</v>
      </c>
      <c r="L6" s="17" t="s">
        <v>27</v>
      </c>
      <c r="M6" s="17" t="s">
        <v>26</v>
      </c>
      <c r="N6" s="17" t="s">
        <v>24</v>
      </c>
      <c r="O6" s="17" t="s">
        <v>24</v>
      </c>
      <c r="P6" s="17">
        <v>90</v>
      </c>
      <c r="Q6" s="17">
        <v>0.1</v>
      </c>
      <c r="R6" s="17">
        <v>0</v>
      </c>
      <c r="S6" s="17">
        <v>0.9</v>
      </c>
    </row>
    <row r="7" spans="1:21" ht="14.4" x14ac:dyDescent="0.3">
      <c r="A7" s="16" t="s">
        <v>164</v>
      </c>
      <c r="B7" s="16" t="s">
        <v>210</v>
      </c>
      <c r="C7" s="16" t="s">
        <v>205</v>
      </c>
      <c r="D7" s="16"/>
      <c r="E7" s="16"/>
      <c r="F7" s="16"/>
      <c r="G7" s="16"/>
      <c r="H7" s="16"/>
      <c r="I7" s="16">
        <v>1</v>
      </c>
      <c r="J7" s="16">
        <v>1</v>
      </c>
      <c r="K7" s="16" t="s">
        <v>34</v>
      </c>
      <c r="L7" s="17" t="s">
        <v>165</v>
      </c>
      <c r="M7" s="17" t="s">
        <v>26</v>
      </c>
      <c r="N7" s="17" t="s">
        <v>24</v>
      </c>
      <c r="O7" s="17" t="s">
        <v>24</v>
      </c>
      <c r="P7" s="17">
        <v>90</v>
      </c>
      <c r="Q7" s="17">
        <v>0.1</v>
      </c>
      <c r="R7" s="17">
        <v>0</v>
      </c>
      <c r="S7" s="17">
        <v>0.9</v>
      </c>
    </row>
    <row r="8" spans="1:21" ht="14.4" x14ac:dyDescent="0.3">
      <c r="A8" s="21" t="s">
        <v>166</v>
      </c>
      <c r="B8" s="21" t="s">
        <v>211</v>
      </c>
      <c r="C8" s="22" t="s">
        <v>51</v>
      </c>
      <c r="D8" s="21"/>
      <c r="E8" s="21"/>
      <c r="F8" s="21"/>
      <c r="G8" s="21"/>
      <c r="H8" s="21">
        <v>1</v>
      </c>
      <c r="I8" s="21"/>
      <c r="J8" s="16">
        <v>1</v>
      </c>
      <c r="K8" s="16" t="s">
        <v>34</v>
      </c>
      <c r="L8" s="17">
        <v>0</v>
      </c>
      <c r="M8" s="17">
        <v>0</v>
      </c>
      <c r="N8" s="17" t="s">
        <v>24</v>
      </c>
      <c r="O8" s="17" t="s">
        <v>24</v>
      </c>
      <c r="P8" s="17">
        <v>100</v>
      </c>
      <c r="Q8" s="17">
        <v>0</v>
      </c>
      <c r="R8" s="17">
        <v>0</v>
      </c>
      <c r="S8" s="17">
        <v>1</v>
      </c>
    </row>
    <row r="9" spans="1:21" ht="14.4" x14ac:dyDescent="0.3">
      <c r="A9" s="16" t="s">
        <v>212</v>
      </c>
      <c r="B9" s="16" t="s">
        <v>213</v>
      </c>
      <c r="C9" s="16" t="s">
        <v>52</v>
      </c>
      <c r="D9" s="16"/>
      <c r="E9" s="16"/>
      <c r="F9" s="16"/>
      <c r="G9" s="16"/>
      <c r="H9" s="16"/>
      <c r="I9" s="16">
        <v>1</v>
      </c>
      <c r="J9" s="16">
        <v>1</v>
      </c>
      <c r="K9" s="16" t="s">
        <v>34</v>
      </c>
      <c r="L9" s="17">
        <v>0</v>
      </c>
      <c r="M9" s="17">
        <v>0</v>
      </c>
      <c r="N9" s="17" t="s">
        <v>24</v>
      </c>
      <c r="O9" s="17" t="s">
        <v>24</v>
      </c>
      <c r="P9" s="17">
        <v>100</v>
      </c>
      <c r="Q9" s="17">
        <v>0</v>
      </c>
      <c r="R9" s="17">
        <v>0</v>
      </c>
      <c r="S9" s="17">
        <v>1</v>
      </c>
    </row>
    <row r="10" spans="1:21" ht="14.4" x14ac:dyDescent="0.3">
      <c r="A10" s="16" t="s">
        <v>53</v>
      </c>
      <c r="B10" s="16" t="s">
        <v>214</v>
      </c>
      <c r="C10" s="16" t="s">
        <v>52</v>
      </c>
      <c r="D10" s="16"/>
      <c r="E10" s="16"/>
      <c r="F10" s="16">
        <v>1</v>
      </c>
      <c r="G10" s="16"/>
      <c r="H10" s="16">
        <v>1</v>
      </c>
      <c r="I10" s="16"/>
      <c r="J10" s="16">
        <v>2</v>
      </c>
      <c r="K10" s="16" t="s">
        <v>34</v>
      </c>
      <c r="L10" s="17" t="s">
        <v>35</v>
      </c>
      <c r="M10" s="17" t="s">
        <v>26</v>
      </c>
      <c r="N10" s="17" t="s">
        <v>24</v>
      </c>
      <c r="O10" s="17" t="s">
        <v>24</v>
      </c>
      <c r="P10" s="17">
        <v>90</v>
      </c>
      <c r="Q10" s="17">
        <v>0.2</v>
      </c>
      <c r="R10" s="17">
        <v>0</v>
      </c>
      <c r="S10" s="17">
        <v>1.8</v>
      </c>
    </row>
    <row r="11" spans="1:21" ht="14.4" x14ac:dyDescent="0.3">
      <c r="A11" s="16" t="s">
        <v>54</v>
      </c>
      <c r="B11" s="16" t="s">
        <v>215</v>
      </c>
      <c r="C11" s="16" t="s">
        <v>51</v>
      </c>
      <c r="D11" s="16"/>
      <c r="E11" s="16"/>
      <c r="F11" s="16"/>
      <c r="G11" s="16"/>
      <c r="H11" s="16">
        <v>2</v>
      </c>
      <c r="I11" s="16"/>
      <c r="J11" s="16">
        <v>2</v>
      </c>
      <c r="K11" s="16" t="s">
        <v>34</v>
      </c>
      <c r="L11" s="17" t="s">
        <v>35</v>
      </c>
      <c r="M11" s="17" t="s">
        <v>26</v>
      </c>
      <c r="N11" s="17" t="s">
        <v>24</v>
      </c>
      <c r="O11" s="17" t="s">
        <v>24</v>
      </c>
      <c r="P11" s="17">
        <v>90</v>
      </c>
      <c r="Q11" s="17">
        <v>0.2</v>
      </c>
      <c r="R11" s="17">
        <v>0</v>
      </c>
      <c r="S11" s="17">
        <v>1.8</v>
      </c>
    </row>
    <row r="12" spans="1:21" ht="14.4" x14ac:dyDescent="0.3">
      <c r="A12" s="16" t="s">
        <v>63</v>
      </c>
      <c r="B12" s="16" t="s">
        <v>216</v>
      </c>
      <c r="C12" s="16" t="s">
        <v>52</v>
      </c>
      <c r="D12" s="16"/>
      <c r="E12" s="16"/>
      <c r="F12" s="16"/>
      <c r="G12" s="16"/>
      <c r="H12" s="16">
        <v>1</v>
      </c>
      <c r="I12" s="16">
        <v>1</v>
      </c>
      <c r="J12" s="16">
        <v>2</v>
      </c>
      <c r="K12" s="16" t="s">
        <v>34</v>
      </c>
      <c r="L12" s="17" t="s">
        <v>35</v>
      </c>
      <c r="M12" s="17" t="s">
        <v>26</v>
      </c>
      <c r="N12" s="17" t="s">
        <v>167</v>
      </c>
      <c r="O12" s="17" t="s">
        <v>26</v>
      </c>
      <c r="P12" s="17">
        <v>80</v>
      </c>
      <c r="Q12" s="17">
        <v>0.2</v>
      </c>
      <c r="R12" s="17">
        <v>0.2</v>
      </c>
      <c r="S12" s="17">
        <v>1.6</v>
      </c>
    </row>
    <row r="13" spans="1:21" ht="14.4" x14ac:dyDescent="0.3">
      <c r="A13" s="16" t="s">
        <v>217</v>
      </c>
      <c r="B13" s="16" t="s">
        <v>218</v>
      </c>
      <c r="C13" s="16" t="s">
        <v>51</v>
      </c>
      <c r="D13" s="16"/>
      <c r="E13" s="16"/>
      <c r="F13" s="16"/>
      <c r="G13" s="16"/>
      <c r="H13" s="16"/>
      <c r="I13" s="16">
        <v>1</v>
      </c>
      <c r="J13" s="16">
        <v>1</v>
      </c>
      <c r="K13" s="16" t="s">
        <v>34</v>
      </c>
      <c r="L13" s="17">
        <v>0</v>
      </c>
      <c r="M13" s="17">
        <v>0</v>
      </c>
      <c r="N13" s="17" t="s">
        <v>24</v>
      </c>
      <c r="O13" s="17" t="s">
        <v>24</v>
      </c>
      <c r="P13" s="17">
        <v>100</v>
      </c>
      <c r="Q13" s="17">
        <v>0</v>
      </c>
      <c r="R13" s="17">
        <v>0</v>
      </c>
      <c r="S13" s="17">
        <v>1</v>
      </c>
    </row>
    <row r="14" spans="1:21" ht="14.4" x14ac:dyDescent="0.3">
      <c r="A14" s="21" t="s">
        <v>123</v>
      </c>
      <c r="B14" s="21" t="s">
        <v>219</v>
      </c>
      <c r="C14" s="22" t="s">
        <v>52</v>
      </c>
      <c r="D14" s="21"/>
      <c r="E14" s="21"/>
      <c r="F14" s="21"/>
      <c r="G14" s="21"/>
      <c r="H14" s="21">
        <v>1</v>
      </c>
      <c r="I14" s="21"/>
      <c r="J14" s="21">
        <v>1</v>
      </c>
      <c r="K14" s="16" t="s">
        <v>34</v>
      </c>
      <c r="L14" s="33" t="s">
        <v>35</v>
      </c>
      <c r="M14" s="33" t="s">
        <v>26</v>
      </c>
      <c r="N14" s="33" t="s">
        <v>24</v>
      </c>
      <c r="O14" s="33" t="s">
        <v>24</v>
      </c>
      <c r="P14" s="33">
        <v>90</v>
      </c>
      <c r="Q14" s="33">
        <v>0.1</v>
      </c>
      <c r="R14" s="33">
        <v>0</v>
      </c>
      <c r="S14" s="33">
        <v>0.9</v>
      </c>
    </row>
    <row r="15" spans="1:21" ht="14.4" x14ac:dyDescent="0.3">
      <c r="A15" s="21" t="s">
        <v>56</v>
      </c>
      <c r="B15" s="21" t="s">
        <v>220</v>
      </c>
      <c r="C15" s="22" t="s">
        <v>51</v>
      </c>
      <c r="D15" s="21">
        <v>1</v>
      </c>
      <c r="E15" s="21"/>
      <c r="F15" s="21"/>
      <c r="G15" s="21"/>
      <c r="H15" s="21"/>
      <c r="I15" s="21"/>
      <c r="J15" s="21">
        <v>1</v>
      </c>
      <c r="K15" s="16" t="s">
        <v>34</v>
      </c>
      <c r="L15" s="33" t="s">
        <v>35</v>
      </c>
      <c r="M15" s="33" t="s">
        <v>26</v>
      </c>
      <c r="N15" s="33" t="s">
        <v>24</v>
      </c>
      <c r="O15" s="33" t="s">
        <v>24</v>
      </c>
      <c r="P15" s="33">
        <v>90</v>
      </c>
      <c r="Q15" s="33">
        <v>0.1</v>
      </c>
      <c r="R15" s="33">
        <v>0</v>
      </c>
      <c r="S15" s="33">
        <v>0.9</v>
      </c>
    </row>
    <row r="16" spans="1:21" ht="14.4" x14ac:dyDescent="0.3">
      <c r="A16" s="21" t="s">
        <v>55</v>
      </c>
      <c r="B16" s="21" t="s">
        <v>221</v>
      </c>
      <c r="C16" s="22" t="s">
        <v>51</v>
      </c>
      <c r="D16" s="21"/>
      <c r="E16" s="21"/>
      <c r="F16" s="21"/>
      <c r="G16" s="21"/>
      <c r="H16" s="21"/>
      <c r="I16" s="21">
        <v>1</v>
      </c>
      <c r="J16" s="21">
        <v>1</v>
      </c>
      <c r="K16" s="16" t="s">
        <v>34</v>
      </c>
      <c r="L16" s="33" t="s">
        <v>35</v>
      </c>
      <c r="M16" s="33" t="s">
        <v>28</v>
      </c>
      <c r="N16" s="33" t="s">
        <v>27</v>
      </c>
      <c r="O16" s="33" t="s">
        <v>28</v>
      </c>
      <c r="P16" s="33">
        <v>40</v>
      </c>
      <c r="Q16" s="33">
        <v>0.3</v>
      </c>
      <c r="R16" s="33">
        <v>0.3</v>
      </c>
      <c r="S16" s="33">
        <v>0.4</v>
      </c>
    </row>
    <row r="17" spans="1:19" ht="14.4" x14ac:dyDescent="0.3">
      <c r="A17" s="34"/>
      <c r="B17" s="34"/>
      <c r="C17" s="35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6">
        <f>SUM(S2:S16)</f>
        <v>15.900000000000002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3CF2-2AB3-4468-8695-FD537F7B6178}">
  <dimension ref="A1:C8"/>
  <sheetViews>
    <sheetView workbookViewId="0">
      <selection activeCell="H17" sqref="H17"/>
    </sheetView>
  </sheetViews>
  <sheetFormatPr baseColWidth="10" defaultRowHeight="14.4" x14ac:dyDescent="0.3"/>
  <cols>
    <col min="1" max="1" width="17" customWidth="1"/>
    <col min="2" max="2" width="63.5546875" customWidth="1"/>
    <col min="3" max="3" width="16" customWidth="1"/>
  </cols>
  <sheetData>
    <row r="1" spans="1:3" x14ac:dyDescent="0.3">
      <c r="A1" s="38" t="s">
        <v>72</v>
      </c>
      <c r="B1" s="38" t="s">
        <v>73</v>
      </c>
      <c r="C1" s="38" t="s">
        <v>97</v>
      </c>
    </row>
    <row r="2" spans="1:3" x14ac:dyDescent="0.3">
      <c r="A2" s="27" t="s">
        <v>124</v>
      </c>
      <c r="B2" s="27" t="s">
        <v>125</v>
      </c>
      <c r="C2" s="19">
        <v>1056</v>
      </c>
    </row>
    <row r="3" spans="1:3" x14ac:dyDescent="0.3">
      <c r="A3" s="29" t="s">
        <v>127</v>
      </c>
      <c r="B3" s="29" t="s">
        <v>128</v>
      </c>
      <c r="C3" s="20">
        <v>1760</v>
      </c>
    </row>
    <row r="4" spans="1:3" x14ac:dyDescent="0.3">
      <c r="A4" s="27" t="s">
        <v>129</v>
      </c>
      <c r="B4" s="27" t="s">
        <v>130</v>
      </c>
      <c r="C4" s="19">
        <v>9850</v>
      </c>
    </row>
    <row r="5" spans="1:3" x14ac:dyDescent="0.3">
      <c r="A5" s="29" t="s">
        <v>59</v>
      </c>
      <c r="B5" s="29" t="s">
        <v>131</v>
      </c>
      <c r="C5" s="20">
        <v>15000</v>
      </c>
    </row>
    <row r="6" spans="1:3" x14ac:dyDescent="0.3">
      <c r="A6" s="39" t="s">
        <v>132</v>
      </c>
      <c r="B6" s="39" t="s">
        <v>133</v>
      </c>
      <c r="C6" s="40">
        <v>37511.82</v>
      </c>
    </row>
    <row r="7" spans="1:3" x14ac:dyDescent="0.3">
      <c r="A7" s="41" t="s">
        <v>0</v>
      </c>
      <c r="B7" s="41"/>
      <c r="C7" s="42">
        <f>SUBTOTAL(109,Tabla2[Imp.cob.aplic.])</f>
        <v>65177.82</v>
      </c>
    </row>
    <row r="8" spans="1:3" x14ac:dyDescent="0.3">
      <c r="C8" s="3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337A-2A97-49C6-AE21-31F13FE4B47C}">
  <dimension ref="A1:C7"/>
  <sheetViews>
    <sheetView workbookViewId="0">
      <selection activeCell="B10" sqref="B10:C10"/>
    </sheetView>
  </sheetViews>
  <sheetFormatPr baseColWidth="10" defaultRowHeight="14.4" x14ac:dyDescent="0.3"/>
  <cols>
    <col min="1" max="1" width="12" customWidth="1"/>
    <col min="2" max="2" width="61.6640625" customWidth="1"/>
    <col min="3" max="3" width="13.109375" customWidth="1"/>
  </cols>
  <sheetData>
    <row r="1" spans="1:3" x14ac:dyDescent="0.3">
      <c r="A1" s="45" t="s">
        <v>171</v>
      </c>
      <c r="B1" s="45" t="s">
        <v>73</v>
      </c>
      <c r="C1" s="46" t="s">
        <v>172</v>
      </c>
    </row>
    <row r="2" spans="1:3" x14ac:dyDescent="0.3">
      <c r="A2" s="43" t="s">
        <v>173</v>
      </c>
      <c r="B2" s="43" t="s">
        <v>174</v>
      </c>
      <c r="C2" s="19">
        <v>880</v>
      </c>
    </row>
    <row r="3" spans="1:3" x14ac:dyDescent="0.3">
      <c r="A3" s="44" t="s">
        <v>129</v>
      </c>
      <c r="B3" s="44" t="s">
        <v>175</v>
      </c>
      <c r="C3" s="20">
        <v>9950</v>
      </c>
    </row>
    <row r="4" spans="1:3" x14ac:dyDescent="0.3">
      <c r="A4" s="43" t="s">
        <v>129</v>
      </c>
      <c r="B4" s="43" t="s">
        <v>176</v>
      </c>
      <c r="C4" s="19">
        <v>-6576.67</v>
      </c>
    </row>
    <row r="5" spans="1:3" x14ac:dyDescent="0.3">
      <c r="A5" s="44" t="s">
        <v>59</v>
      </c>
      <c r="B5" s="44" t="s">
        <v>177</v>
      </c>
      <c r="C5" s="20">
        <v>10000</v>
      </c>
    </row>
    <row r="6" spans="1:3" x14ac:dyDescent="0.3">
      <c r="A6" s="47" t="s">
        <v>132</v>
      </c>
      <c r="B6" s="47" t="s">
        <v>178</v>
      </c>
      <c r="C6" s="40">
        <v>9378.4500000000007</v>
      </c>
    </row>
    <row r="7" spans="1:3" s="51" customFormat="1" x14ac:dyDescent="0.3">
      <c r="A7" s="49" t="s">
        <v>0</v>
      </c>
      <c r="B7" s="49"/>
      <c r="C7" s="50">
        <f>SUBTOTAL(109,Tabla3[Imp. aplic.])</f>
        <v>23631.78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B669-7862-4E0B-A1E3-18809A26A202}">
  <dimension ref="A1:C10"/>
  <sheetViews>
    <sheetView workbookViewId="0">
      <selection activeCell="C18" sqref="C18"/>
    </sheetView>
  </sheetViews>
  <sheetFormatPr baseColWidth="10" defaultRowHeight="14.4" x14ac:dyDescent="0.3"/>
  <cols>
    <col min="1" max="1" width="17.6640625" customWidth="1"/>
    <col min="2" max="2" width="48.33203125" customWidth="1"/>
    <col min="3" max="3" width="16.5546875" customWidth="1"/>
  </cols>
  <sheetData>
    <row r="1" spans="1:3" x14ac:dyDescent="0.3">
      <c r="A1" s="54" t="s">
        <v>171</v>
      </c>
      <c r="B1" s="55" t="s">
        <v>73</v>
      </c>
      <c r="C1" s="55" t="s">
        <v>172</v>
      </c>
    </row>
    <row r="2" spans="1:3" x14ac:dyDescent="0.3">
      <c r="A2" s="56" t="s">
        <v>222</v>
      </c>
      <c r="B2" s="57" t="s">
        <v>223</v>
      </c>
      <c r="C2" s="58">
        <v>209.97</v>
      </c>
    </row>
    <row r="3" spans="1:3" x14ac:dyDescent="0.3">
      <c r="A3" s="59" t="s">
        <v>129</v>
      </c>
      <c r="B3" s="60" t="s">
        <v>224</v>
      </c>
      <c r="C3" s="61">
        <v>-938.93</v>
      </c>
    </row>
    <row r="4" spans="1:3" x14ac:dyDescent="0.3">
      <c r="A4" s="56" t="s">
        <v>225</v>
      </c>
      <c r="B4" s="57" t="s">
        <v>226</v>
      </c>
      <c r="C4" s="58">
        <v>2000</v>
      </c>
    </row>
    <row r="5" spans="1:3" ht="15" thickBot="1" x14ac:dyDescent="0.35">
      <c r="A5" s="59" t="s">
        <v>132</v>
      </c>
      <c r="B5" s="60" t="s">
        <v>227</v>
      </c>
      <c r="C5" s="61">
        <v>19083.68</v>
      </c>
    </row>
    <row r="6" spans="1:3" ht="15" thickTop="1" x14ac:dyDescent="0.3">
      <c r="A6" s="62" t="s">
        <v>0</v>
      </c>
      <c r="B6" s="63"/>
      <c r="C6" s="64">
        <v>20354.72</v>
      </c>
    </row>
    <row r="10" spans="1:3" x14ac:dyDescent="0.3">
      <c r="B10" s="52" t="s">
        <v>228</v>
      </c>
      <c r="C10" s="53">
        <f>C6+Tabla2[[#Totals],[Imp.cob.aplic.]]+Tabla3[[#Totals],[Imp. aplic.]]</f>
        <v>109164.32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D660-0B04-47CF-95EA-95A424E58E8B}">
  <dimension ref="A1:C4"/>
  <sheetViews>
    <sheetView workbookViewId="0">
      <selection activeCell="F17" sqref="F17"/>
    </sheetView>
  </sheetViews>
  <sheetFormatPr baseColWidth="10" defaultRowHeight="14.4" x14ac:dyDescent="0.3"/>
  <cols>
    <col min="1" max="1" width="14.88671875" customWidth="1"/>
    <col min="2" max="2" width="81.6640625" customWidth="1"/>
  </cols>
  <sheetData>
    <row r="1" spans="1:3" x14ac:dyDescent="0.3">
      <c r="A1" s="24" t="s">
        <v>72</v>
      </c>
      <c r="B1" s="25" t="s">
        <v>73</v>
      </c>
      <c r="C1" s="25" t="s">
        <v>97</v>
      </c>
    </row>
    <row r="2" spans="1:3" x14ac:dyDescent="0.3">
      <c r="A2" s="26" t="s">
        <v>1</v>
      </c>
      <c r="B2" s="27" t="s">
        <v>98</v>
      </c>
      <c r="C2" s="19">
        <v>18000</v>
      </c>
    </row>
    <row r="3" spans="1:3" x14ac:dyDescent="0.3">
      <c r="A3" s="28" t="s">
        <v>1</v>
      </c>
      <c r="B3" s="29" t="s">
        <v>134</v>
      </c>
      <c r="C3" s="20">
        <v>6104.7</v>
      </c>
    </row>
    <row r="4" spans="1:3" x14ac:dyDescent="0.3">
      <c r="C4" s="74">
        <f>SUM(C2:C3)</f>
        <v>24104.7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7812-A064-433D-81BA-27F80E22D0DF}">
  <dimension ref="A1:C3"/>
  <sheetViews>
    <sheetView workbookViewId="0">
      <selection activeCell="B6" sqref="B6:C6"/>
    </sheetView>
  </sheetViews>
  <sheetFormatPr baseColWidth="10" defaultRowHeight="14.4" x14ac:dyDescent="0.3"/>
  <cols>
    <col min="1" max="1" width="12" customWidth="1"/>
    <col min="2" max="2" width="43.88671875" customWidth="1"/>
    <col min="3" max="3" width="12.33203125" customWidth="1"/>
  </cols>
  <sheetData>
    <row r="1" spans="1:3" x14ac:dyDescent="0.3">
      <c r="A1" s="45" t="s">
        <v>171</v>
      </c>
      <c r="B1" s="45" t="s">
        <v>73</v>
      </c>
      <c r="C1" s="45" t="s">
        <v>172</v>
      </c>
    </row>
    <row r="2" spans="1:3" x14ac:dyDescent="0.3">
      <c r="A2" s="47" t="s">
        <v>1</v>
      </c>
      <c r="B2" s="47" t="s">
        <v>179</v>
      </c>
      <c r="C2" s="40">
        <v>-9000</v>
      </c>
    </row>
    <row r="3" spans="1:3" x14ac:dyDescent="0.3">
      <c r="A3" s="48" t="s">
        <v>0</v>
      </c>
      <c r="B3" s="48"/>
      <c r="C3" s="42">
        <f>SUBTOTAL(109,Tabla5[Imp. aplic.])</f>
        <v>-9000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2315-006F-4890-A63B-0481E9DAAE41}">
  <dimension ref="A1:C6"/>
  <sheetViews>
    <sheetView tabSelected="1" workbookViewId="0">
      <selection activeCell="C7" sqref="C7"/>
    </sheetView>
  </sheetViews>
  <sheetFormatPr baseColWidth="10" defaultRowHeight="14.4" x14ac:dyDescent="0.3"/>
  <cols>
    <col min="1" max="1" width="14.88671875" customWidth="1"/>
    <col min="2" max="2" width="48.44140625" customWidth="1"/>
    <col min="3" max="3" width="11.88671875" bestFit="1" customWidth="1"/>
  </cols>
  <sheetData>
    <row r="1" spans="1:3" x14ac:dyDescent="0.3">
      <c r="A1" s="65" t="s">
        <v>171</v>
      </c>
      <c r="B1" s="66" t="s">
        <v>73</v>
      </c>
      <c r="C1" s="67" t="s">
        <v>172</v>
      </c>
    </row>
    <row r="2" spans="1:3" ht="15" thickBot="1" x14ac:dyDescent="0.35">
      <c r="A2" s="68" t="s">
        <v>229</v>
      </c>
      <c r="B2" s="69" t="s">
        <v>230</v>
      </c>
      <c r="C2" s="70">
        <v>1000</v>
      </c>
    </row>
    <row r="3" spans="1:3" ht="15" thickTop="1" x14ac:dyDescent="0.3">
      <c r="A3" s="71" t="s">
        <v>0</v>
      </c>
      <c r="B3" s="72"/>
      <c r="C3" s="73">
        <v>1000</v>
      </c>
    </row>
    <row r="6" spans="1:3" x14ac:dyDescent="0.3">
      <c r="B6" s="52" t="s">
        <v>231</v>
      </c>
      <c r="C6" s="53">
        <f>C3+'Ingresos formación 2023'!C4+Tabla5[[#Totals],[Imp. aplic.]]</f>
        <v>16104.7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2026-05-26T12:23:18Z</dcterms:modified>
</cp:coreProperties>
</file>