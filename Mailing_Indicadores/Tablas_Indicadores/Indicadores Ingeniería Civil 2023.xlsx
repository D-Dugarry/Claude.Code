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1588D921-43DF-43AF-90BD-0FD7D66DF46C}" xr6:coauthVersionLast="47" xr6:coauthVersionMax="47" xr10:uidLastSave="{00000000-0000-0000-0000-000000000000}"/>
  <bookViews>
    <workbookView xWindow="22932" yWindow="-108" windowWidth="23256" windowHeight="12456" tabRatio="797" xr2:uid="{00000000-000D-0000-FFFF-FFFF00000000}"/>
  </bookViews>
  <sheets>
    <sheet name="Cr.20" sheetId="26" r:id="rId1"/>
    <sheet name="Cr. 1ª 20" sheetId="25" r:id="rId2"/>
    <sheet name="Cr.21 y Cr. 1ª21" sheetId="22" r:id="rId3"/>
    <sheet name="Cr.22" sheetId="24" r:id="rId4"/>
    <sheet name="Cr. 1ª 22" sheetId="23" r:id="rId5"/>
    <sheet name="Tesis" sheetId="10" r:id="rId6"/>
    <sheet name="Sexenios" sheetId="11" r:id="rId7"/>
    <sheet name="Ingresos investigación 2019" sheetId="16" r:id="rId8"/>
    <sheet name="Ingresos investigación 2020" sheetId="20" r:id="rId9"/>
    <sheet name="Ingresos investigación 2021" sheetId="27" r:id="rId10"/>
    <sheet name="Ingresos formación 2019" sheetId="17" r:id="rId11"/>
    <sheet name="Ingresos formación 2020" sheetId="21" r:id="rId12"/>
    <sheet name="Ingresos formación 2021" sheetId="28" r:id="rId13"/>
  </sheets>
  <definedNames>
    <definedName name="_xlnm._FilterDatabase" localSheetId="6" hidden="1">Sexenios!$A$1:$S$27</definedName>
    <definedName name="_xlnm._FilterDatabase" localSheetId="5" hidden="1">Tesis!$A$1:$U$1</definedName>
    <definedName name="_xlnm.Print_Titles" localSheetId="6">Sexenios!$1:$1</definedName>
    <definedName name="_xlnm.Print_Titles" localSheetId="5">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6" i="11" l="1"/>
  <c r="S55" i="10" l="1"/>
  <c r="B178" i="20" l="1"/>
  <c r="B9" i="21"/>
  <c r="B18" i="17" l="1"/>
  <c r="C12" i="28" s="1"/>
  <c r="B80" i="16"/>
  <c r="C80" i="27" s="1"/>
</calcChain>
</file>

<file path=xl/sharedStrings.xml><?xml version="1.0" encoding="utf-8"?>
<sst xmlns="http://schemas.openxmlformats.org/spreadsheetml/2006/main" count="1648" uniqueCount="643">
  <si>
    <t>Orgánica
Descripción justificante</t>
  </si>
  <si>
    <t>Importe</t>
  </si>
  <si>
    <t>Total</t>
  </si>
  <si>
    <t>34.60.6C.00.51</t>
  </si>
  <si>
    <t>34.60.6C.00.59</t>
  </si>
  <si>
    <t>34.60.6C.00.79</t>
  </si>
  <si>
    <t>34.60.6C.00.85</t>
  </si>
  <si>
    <t>34.60.6C.01.09</t>
  </si>
  <si>
    <t>34.60.6H.00.01</t>
  </si>
  <si>
    <t>34.60.6P.00.10</t>
  </si>
  <si>
    <t>34.60.6P.00.23</t>
  </si>
  <si>
    <t>34.60.6X.00.01</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</si>
  <si>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</si>
  <si>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</si>
  <si>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</si>
  <si>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</si>
  <si>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</si>
  <si>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</si>
  <si>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</si>
  <si>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</si>
  <si>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</si>
  <si>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</si>
  <si>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</si>
  <si>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</si>
  <si>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</si>
  <si>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</si>
  <si>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</si>
  <si>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</si>
  <si>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</si>
  <si>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</si>
  <si>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</si>
  <si>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</si>
  <si>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</si>
  <si>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</si>
  <si>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</si>
  <si>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</si>
  <si>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</si>
  <si>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10</t>
  </si>
  <si>
    <t>- </t>
  </si>
  <si>
    <t>28/09/2017 </t>
  </si>
  <si>
    <t>10.05</t>
  </si>
  <si>
    <t>10.17</t>
  </si>
  <si>
    <t>U036 </t>
  </si>
  <si>
    <t>ADM. FACULTAD DE CIENCIAS ECONÓMICAS </t>
  </si>
  <si>
    <t>DOCTORADO EN EMPRESA, ECONOMÍA Y SOCIEDAD </t>
  </si>
  <si>
    <t>Rios Pérez, Manuel </t>
  </si>
  <si>
    <t>"GASTOS DE PERSONAL, COSTES LABORALES Y FINANCIACIÓN DEL SECTOR DE TRANSPORTE URBANO DE VIAJEROS EN AUTOBÚS EN ESPAÑA EN EL PERIODO 2000-2015" </t>
  </si>
  <si>
    <t>18/01/2018 </t>
  </si>
  <si>
    <t>10.20</t>
  </si>
  <si>
    <t>20</t>
  </si>
  <si>
    <t>80</t>
  </si>
  <si>
    <t>U020 </t>
  </si>
  <si>
    <t>ADM. I.U. DEL AGUA Y DE LAS CIENCIAS AMBIENTALES </t>
  </si>
  <si>
    <t>DOCTORADO EN AGUA Y DESARROLLO SOSTENIBLE </t>
  </si>
  <si>
    <t>22/12/2016 </t>
  </si>
  <si>
    <t>11/09/2017 </t>
  </si>
  <si>
    <t>20/12/2018 </t>
  </si>
  <si>
    <t>28/06/2018 </t>
  </si>
  <si>
    <t>26/09/2019 </t>
  </si>
  <si>
    <t>12/09/2019 </t>
  </si>
  <si>
    <t>21/12/2016 </t>
  </si>
  <si>
    <t>28/07/2017 </t>
  </si>
  <si>
    <t>24/07/2018 </t>
  </si>
  <si>
    <t>06/09/2018 </t>
  </si>
  <si>
    <t>Fernández Aracil, Patricia </t>
  </si>
  <si>
    <t>ANÁLISIS DE LA CIUDAD DISPERSA: REPERCUSIÓN ECONÓMICA, SOCIAL Y MEDIOAMBIENTAL </t>
  </si>
  <si>
    <t>13/09/2018 </t>
  </si>
  <si>
    <t>19/07/2018 </t>
  </si>
  <si>
    <t>B185 </t>
  </si>
  <si>
    <t>INGENIERÍA CIVIL </t>
  </si>
  <si>
    <t>DOCTORADO EN INGENIERÍA DE LOS MATERIALES, AGUA Y TERRENO </t>
  </si>
  <si>
    <t>Gurdián Curran, Flora Hebé </t>
  </si>
  <si>
    <t>CARACTERIZACIÓN DE HORMIGONES ECOLÓGICOS CON ADICIONES PUZOLÁNICAS Y ÁRIDO RECICLADO, Y SU PROTECCIÓN FRENTE A LA CORROSIÓN DE ARMADURAS </t>
  </si>
  <si>
    <t>DOCTORADO EN INGENIERÍA DE MATERIALES, ESTRUCTURAS Y TERRENO: CONSTR. SOST. </t>
  </si>
  <si>
    <t>Carbajo San Martín, Jesús </t>
  </si>
  <si>
    <t>CONTRIBUTIONS TO THE STUDY OF THE ACOUSTIC PROPERTIES OF POROUS MATERIALS </t>
  </si>
  <si>
    <t>Vásquez Rodríguez, Edgardo David </t>
  </si>
  <si>
    <t>"ELIMINACIÓN DE MICROCONTAMINANTES ORGÁNICOS PRESENTES EN AGUAS RESIDUALES URBANAS MEDIANTE MBR COMBINADO CON OXIDACIÓN AVANZADA Y CON FILTRACIÓN POR MEMBRANAS" </t>
  </si>
  <si>
    <t>Mendes Predolin, Lyvia </t>
  </si>
  <si>
    <t>TRATAMIENTO DE AGUAS RESIDUALES MEDIANTE ELECTROCOAGULACIÓN ACOPLADA A UN MBR PARA MINIMIZAR EL ENSUCIAMIENTO DE LA MEMBRANA Y OBTENER EFLUENTES DE ALTA CALIDAD </t>
  </si>
  <si>
    <t>08/02/2019 </t>
  </si>
  <si>
    <t>Moya Llamas, María José </t>
  </si>
  <si>
    <t>EFECTO DE LA CARGA ORGÁNICA EN LA ELIMINACIÓN DE MICROCONTAMINANTES, MATERIA ORGÁNICA Y NUTRIENTES EN UN SISTEMA UASB-MBR ESCALA PILOTO PARA EL TRATAMIENTO DE AGUAS RESIDUALES DE TIPO URBANO </t>
  </si>
  <si>
    <t>08/03/2019 </t>
  </si>
  <si>
    <t>COVES CAMPOS, ANDRES </t>
  </si>
  <si>
    <t>ANÁLISIS DE LA DURABILIDAD DE LA SEÑALIZACIÓN VIAL HORIZONTAL ATENDIENDO A SU COMPOSICIÓN Y POSICIONAMIENTO EN LA CALZADA DE CARRETERAS SECUNDARIAS EN CLIMAS SEMIÁRIDOS CÁLIDOS </t>
  </si>
  <si>
    <t>21475818M </t>
  </si>
  <si>
    <t>79108766J </t>
  </si>
  <si>
    <t>48316585W </t>
  </si>
  <si>
    <t>B185</t>
  </si>
  <si>
    <t>79102157M </t>
  </si>
  <si>
    <t>21400492G </t>
  </si>
  <si>
    <t>21418318M </t>
  </si>
  <si>
    <t>21388652D </t>
  </si>
  <si>
    <t>33479787K </t>
  </si>
  <si>
    <t>70980126X </t>
  </si>
  <si>
    <t>21975316N </t>
  </si>
  <si>
    <t>48325212G </t>
  </si>
  <si>
    <t>05398325H </t>
  </si>
  <si>
    <t>Blancafort Sansó, Jaume </t>
  </si>
  <si>
    <t>PARTICIPACIÓN Y CREACIÓN COLECTIVA EN LA ARQUITECTURA DE LAWRENCE HALPRIN. LA METODOLOGÍA TAKE PART EN LOS PROCESOS PARTICIPATIVOS DEL PROYECTO URBANO </t>
  </si>
  <si>
    <t>Camacho Ballesta, María del Carmen </t>
  </si>
  <si>
    <t>DESARROLLO DE MATERIALES CEMENTALES CONDUCTORES MULTIFUNCIONALES MEDIANTE ADICIÓN DE NANOTUBOS DE CARBONO </t>
  </si>
  <si>
    <t>52767340G </t>
  </si>
  <si>
    <t>Montava Belda, Isaac </t>
  </si>
  <si>
    <t>ESTUDIO DEL COMPORTAMIENTO DE ESTRUCTURAS DE HORMIGÓN ARMADO CON PERFILES METÁLICOS COMPLETAMENTE EMBEBIDOS </t>
  </si>
  <si>
    <t>Vilaplana Abad, Josep Lluís </t>
  </si>
  <si>
    <t>FUNCIÓN DE PERCEPCIÓN DE DEFORMACIÓN Y DAÑO EN MATERIALES CEMENTICIOS BASADOS EN ESCORIA DE ALTO HORNO ACTIVADA ALCALINAMENTE REFORZADOS CON FIBRA DE CARBONO </t>
  </si>
  <si>
    <t>48362656G </t>
  </si>
  <si>
    <t>Egea Pérez, Ramón </t>
  </si>
  <si>
    <t>INVESTIGACIÓN SOBRE MODELOS DE GESTIÓN DE INFRAESTRUCTURAS HIDRÁULICAS URBANAS RESILIENTES EN RELACIÓN CON LOS RIESGOS HIDROLÓGICOS Y GEOLÓGICOS </t>
  </si>
  <si>
    <t>Estevan García, Luis </t>
  </si>
  <si>
    <t>ESTUDIO EXPERIMENTAL DEL COMPORTAMIENTO A COMPRESIÓN DE ELEMENTOS PÉTREOS CONFINADOS CON MATERIALES COMPUESTOS </t>
  </si>
  <si>
    <t>19/09/2018 </t>
  </si>
  <si>
    <t>López López, Mercedes </t>
  </si>
  <si>
    <t>ARENA COMO ELEMENTO CONSERVADOR DE LA LÍNEA DE COSTA </t>
  </si>
  <si>
    <t>21448419E </t>
  </si>
  <si>
    <t>74371360D </t>
  </si>
  <si>
    <t>Navarro Menargues, Miguel </t>
  </si>
  <si>
    <t>ESTUDIO NUMÉRICO PARAMETRIZADO DEL PUNZONAMIENTO EN LOSAS DE HORMIGÓN ARAMADO. EVALUACIÓN DEL REFUERZO ESTRUCTURAL </t>
  </si>
  <si>
    <t>30668563H </t>
  </si>
  <si>
    <t>Pagán Conesa, José Ignacio </t>
  </si>
  <si>
    <t>"ESTUDIO DE LOS EFECTOS DE LAS PRESIONES ANTRÓPICAS SOBRE LAS PLAYAS DEL LEVANTE MEDITERRÁNEO" </t>
  </si>
  <si>
    <t>19/04/2018 </t>
  </si>
  <si>
    <t>Palazón Ponce, Antonio Vicente </t>
  </si>
  <si>
    <t>ÍNDICES PARA LA GESTIÓN DE PLAYAS </t>
  </si>
  <si>
    <t>Reos Llinares, Angela </t>
  </si>
  <si>
    <t>LOS CONJUNTOS HISTÓRICOS COMO ÁMBITOS URBANOS SOTENIBLES </t>
  </si>
  <si>
    <t>Rodríguez López, Carlos Luis </t>
  </si>
  <si>
    <t>LOS RESIDUOS DE CONSTRUCCIÓN Y DEMOLICIÓN (RCD) Y LAS ESCORIAS DE CENTRAL TÉRMICA COMO ÁRIDOS PARA LA ELABORACIÓN DE HORMIGONES Y PREFABRICADOS NO ESTRUCTURALES. ESTUDIO EN LABORATORIO Y APLICACIÓN INDUSTRIAL </t>
  </si>
  <si>
    <t>Torres Martín, Julio Emilio </t>
  </si>
  <si>
    <t>FISURACIÓN PREVIA DE RECUBRIMIENTO Y PROPAGACIÓN DE CORROSIÓN DE LA ARMADURA </t>
  </si>
  <si>
    <t>NIF</t>
  </si>
  <si>
    <t>NOMBRE_COMPLETO</t>
  </si>
  <si>
    <t>TIPO_SEXENIO</t>
  </si>
  <si>
    <t>Total general</t>
  </si>
  <si>
    <t>INS
1</t>
  </si>
  <si>
    <t>DED
INS 1</t>
  </si>
  <si>
    <t>INS
2</t>
  </si>
  <si>
    <t>DED
INS 2</t>
  </si>
  <si>
    <t>DED
DEP</t>
  </si>
  <si>
    <t>SEX
INS 1</t>
  </si>
  <si>
    <t>SEX
INS 2</t>
  </si>
  <si>
    <t>SEX
DEP</t>
  </si>
  <si>
    <t>FUNCIONARIO</t>
  </si>
  <si>
    <t>NO FUNCIONARIO</t>
  </si>
  <si>
    <t>21448419E</t>
  </si>
  <si>
    <t>ARAGONES POMARES, LUIS</t>
  </si>
  <si>
    <t>21489469V</t>
  </si>
  <si>
    <t>BAEZA BROTONS, FRANCISCO</t>
  </si>
  <si>
    <t>48362656G</t>
  </si>
  <si>
    <t>BAEZA DE LOS SANTOS, FRANCISCO JAVIER</t>
  </si>
  <si>
    <t>48342520Q</t>
  </si>
  <si>
    <t>BAÑON BLAZQUEZ, LUIS</t>
  </si>
  <si>
    <t>25122538Y</t>
  </si>
  <si>
    <t>CANO GONZALEZ, MIGUEL</t>
  </si>
  <si>
    <t>21400492G</t>
  </si>
  <si>
    <t>CLIMENT LLORCA, MIGUEL ANGEL</t>
  </si>
  <si>
    <t>21500085F</t>
  </si>
  <si>
    <t>DE VERA ALMENAR, GUILLEM</t>
  </si>
  <si>
    <t>25414751G</t>
  </si>
  <si>
    <t>FERRER CRESPO, MARIA BELEN</t>
  </si>
  <si>
    <t>21418318M</t>
  </si>
  <si>
    <t>GARCES TERRADILLOS, PEDRO</t>
  </si>
  <si>
    <t>05398325H</t>
  </si>
  <si>
    <t>GARCIA BARBA, JAVIER</t>
  </si>
  <si>
    <t>79102157M</t>
  </si>
  <si>
    <t>IVORRA CHORRO, SALVADOR</t>
  </si>
  <si>
    <t>48325212G</t>
  </si>
  <si>
    <t>ORTEGA ALVAREZ, JOSE MARCOS</t>
  </si>
  <si>
    <t>79108766J</t>
  </si>
  <si>
    <t>ORTUÑO PADILLA, ARMANDO</t>
  </si>
  <si>
    <t>33475566D</t>
  </si>
  <si>
    <t>POMARES TORRES, JUAN CARLOS</t>
  </si>
  <si>
    <t>70980126X</t>
  </si>
  <si>
    <t>SANCHEZ MARTIN, ISIDRO</t>
  </si>
  <si>
    <t>21438377P</t>
  </si>
  <si>
    <t>SAVAL PEREZ, JOSE MIGUEL</t>
  </si>
  <si>
    <t>21467087Z</t>
  </si>
  <si>
    <t>SEGOVIA EULOGIO, ENRIQUE GONZALO</t>
  </si>
  <si>
    <t>48349527P</t>
  </si>
  <si>
    <t>TENZA ABRIL, ANTONIO JOSE</t>
  </si>
  <si>
    <t>48316585W</t>
  </si>
  <si>
    <t>TOMAS JOVER, ROBERTO</t>
  </si>
  <si>
    <t>21388652D</t>
  </si>
  <si>
    <t>TRAPOTE JAUME, ARTURO</t>
  </si>
  <si>
    <t>74002594W</t>
  </si>
  <si>
    <t>VALDES ABELLAN, JAVIER</t>
  </si>
  <si>
    <t>30668563H</t>
  </si>
  <si>
    <t>VARONA MOYA, FRANCISCO DE BORJA</t>
  </si>
  <si>
    <t>52767340G</t>
  </si>
  <si>
    <t>ZORNOZA GOMEZ, EMILIO MANUEL</t>
  </si>
  <si>
    <t>47057425T</t>
  </si>
  <si>
    <t>PARDO PICAZO, MIGUEL ANGEL</t>
  </si>
  <si>
    <t>48561476N</t>
  </si>
  <si>
    <t>PLA BRU, MARIA DE LA CONCEPCION</t>
  </si>
  <si>
    <t>34.60.6C.00.44</t>
  </si>
  <si>
    <t xml:space="preserve">513.961 - DESARROLLO MUESTRARIOS EXPORMIM </t>
  </si>
  <si>
    <t>34.60.6C.00.53</t>
  </si>
  <si>
    <t xml:space="preserve">534.367 DISEÑO Y REALIZACIÓN DE MUESTRARIO </t>
  </si>
  <si>
    <t>34.60.6C.00.64</t>
  </si>
  <si>
    <t>557.123 DESARROLLO Y MATERIALIZACIÓN DEL MUESTRARIO DE LOSBU</t>
  </si>
  <si>
    <t>REINTEGRO CUOTA PATRONAL CORRESPONDIENTE AL MES DE DICIEMBRE DE 2019</t>
  </si>
  <si>
    <t>REINTEGRO CUOTA PATRONAL CORRESPONDIENTE AL MES DE OCTUBRE DE 2019.</t>
  </si>
  <si>
    <t>34.60.6C.01.08</t>
  </si>
  <si>
    <t>ENSAYOS DE CAPILARIDAD, ADHERENCIA, MICROSCOPÍA Y FLUORESCENCIA DE RAYOS X SOBRE MUESTRAS DE LADRILLO TRATADOS CON DIFERENTES CONSOLIDANTES</t>
  </si>
  <si>
    <t>Desarrollo de nuevos productos basados en materiales cementantes de baja huella de carbono para sistemas urbanos sostenibles. Anualidad 2: 2019.</t>
  </si>
  <si>
    <t>Reintegro de abonos indebidos de ejercicio corriente con origen en nóminas del ejercicio 2019</t>
  </si>
  <si>
    <t>34.60.6C.01.11</t>
  </si>
  <si>
    <t>REALIZACIÓN DE UN DICTAMEN SOBRE LA INCIDENCIA DEL DESARROLLO DEL SECTOR "COVETA NORTE", URBANIZACIÓN "LA COVETA FUMÁ", CAMPELLO, EN EL MODELO URBANÍSTICO Y LA DINÁMICA LITORAL DEL ENTORNO EN RELACIÓN AL PATIVEL</t>
  </si>
  <si>
    <t>34.60.6C.01.15</t>
  </si>
  <si>
    <t>REALIZACIÓN DE UNA SERIE DE ENSAYOS SOBRE ELEMENTOS MECÁNICOS PROPIEDAD DE LA EMPRESA, ENMARCADOS EN EL PROYECTO FLPP. REF. CONTRATO: ET005. OUR ORDER REFERENCE: PO01004</t>
  </si>
  <si>
    <t>34.60.6C.01.17</t>
  </si>
  <si>
    <t>REALIZACIÓN DE UN INFORME SOBRE RESISTENCIA RESIDUAL DEL HORMIGÓN SITUADO EN LA BÓVEDA DEL TÚNEL DE LA SERRA GROSSA EN LÍNEA FGV ALICANTE-DÉNIA</t>
  </si>
  <si>
    <t>34.60.6C.01.20</t>
  </si>
  <si>
    <t>Estabilización de terreno y reparación de muro en el Cementerio Municipal.</t>
  </si>
  <si>
    <t>34.60.6C.01.21</t>
  </si>
  <si>
    <t>Realización de las actividades asignadas en el Proyecto Europeo DEtection of Steel DEfects by Enhanced MONitoring and Automated procedure for self-inspection and maintenance. Séptimo pago.</t>
  </si>
  <si>
    <t>Realización de las actividades asignadas en el Proyecto Europeo DEtection of Steel DEfects by Enhanced MONitoring and Automated procedure for self-inspection and maintenance. Sexto pago.</t>
  </si>
  <si>
    <t>Realización de las actividades asignadas en el Proyecto Europeo DEtection of Steel DEfects by Enhanced MONitoring and Automated procedure for self-inspection and maintenance. Tercer pago.</t>
  </si>
  <si>
    <t>Realización de las actividades asignadas en el Proyecto Europeo: DEtection of Steel DEfects by Enhanced MONitoring and Automated procedure for self-inspection and maintenance. Primer pago.</t>
  </si>
  <si>
    <t>REF.- ECISA1-19T Realización de las actividades asignadas en el Proyecto Europeo DEtection of Steel DEfects by Enhanced MONitoring and Automated procedure for self-inspection and maintenance</t>
  </si>
  <si>
    <t>REF.- ECISA1-19T Realización de las actividades asignadas en el Proyecto Europeo DEtection of Steel DEfects by Enhanced MONitoring and Automated procedure for self-inspection and maintenance.</t>
  </si>
  <si>
    <t>34.60.6C.01.22</t>
  </si>
  <si>
    <t>ELABORACIÓN DE UN INFORME PARA REPARAR LA ALEGACIÓN AL PLAN DE ACCIÓN DE LAS COMARCAS CENTRALES. AD220190004651</t>
  </si>
  <si>
    <t>34.60.6C.01.24</t>
  </si>
  <si>
    <t xml:space="preserve">ASISTENCIA TÉCNICA PARA LA REDACCIÓN DE INFORME DE ALEGACIONES PLAN DE ACCIÓN TERRITORIAL DE LA VEGA BAJA DEL SEGURA. NÚMERO DE OPERACIÓN 2019.2.0006947.000 / APLICACIÓN PRESUPUESTARIA 004-1511-22706 </t>
  </si>
  <si>
    <t>34.60.6C.01.25</t>
  </si>
  <si>
    <t xml:space="preserve">INVENTARIO ACÚSTICO EN LOS ESPACIOS VERDES MUNICIPALES DE LA PROVINCIA DE ALICANTE </t>
  </si>
  <si>
    <t>34.60.6C.01.26</t>
  </si>
  <si>
    <t>Colaboración en el Estudio de análisis de fatiga del viaducto de la Línea 9 de FGV sobre el barranco Quisi en Benisa, Alicante</t>
  </si>
  <si>
    <t>Desarrollo de la prueba de carga dinámica sobre el Viaducto de Aguas, de la línea 9 de FGV, en Altea, Alicante.</t>
  </si>
  <si>
    <t xml:space="preserve">Desarrollo de pruebas de carga dinámicas sobre el viaducto del  Quisi de la Línea 9 de Ferrocarrils de la Generalitat Valenciana. </t>
  </si>
  <si>
    <t xml:space="preserve">Desarrollo de pruebas de carga dinámicas sobre el viaducto Ferrandet de la Línea 9 de Ferrocarrils de la Generalitat Valenciana </t>
  </si>
  <si>
    <t>34.60.6C.01.27</t>
  </si>
  <si>
    <t xml:space="preserve">Realización de ensayos de arrancamiento de anclajes en chapa grecada </t>
  </si>
  <si>
    <t>34.60.6C.01.29</t>
  </si>
  <si>
    <t>REALIZACIÓN DE ENSAYO DE DETERMINACIÓN DEL COEFICIENTE DE ROZAMIENTO DE PIEZA MÓVIL DE ALUMINIO SUMINISTRADA POR EL CLIENTE</t>
  </si>
  <si>
    <t>34.60.6C.01.39</t>
  </si>
  <si>
    <t>Realización de 20 ensayos a cortadura sobre unión atornillada en probetas de aluminio, mediante máquina de tracción (ref. PLD PO01723/ET007).</t>
  </si>
  <si>
    <t>34.60.6C.01.42</t>
  </si>
  <si>
    <t>DIFRACCIÓN DE RAYOS X. ENSAYOS E INFORME PARA LA DETERMINAR LA PRESENCIA DE CEMENTO ALUMINOSO</t>
  </si>
  <si>
    <t>34.60.6C.01.45</t>
  </si>
  <si>
    <t>Informe técnico sobre efecto mascletás en entorno del Palacio Altamira.  Nº autorizado 33137</t>
  </si>
  <si>
    <t>34.60.6C.01.46</t>
  </si>
  <si>
    <t>ASESORAMIENTO PARA CIMENTACIÓN DE NAVE INDUSTRIAL MEDIANTE CIMENTACIÓN POR MICROPILOTES</t>
  </si>
  <si>
    <t>34.60.6C.01.49</t>
  </si>
  <si>
    <t>DETERMINACIÓN MEDIANTE MICROSCOPÍA ELECTRONICA DE BARRIDO (SEM) LA PRESENCIA DE ETRINGITA EN MUESTRAS DE HORMIGÓN ENDURECIDO</t>
  </si>
  <si>
    <t>34.60.6C.01.50</t>
  </si>
  <si>
    <t>DETERMINACIÓN DEL TIPO DE CONGLOMERANTE MEDIANTE DIFRACCIÓN DE RAYOS X (DRX) EN DISTINTAS MUESTRAS DE HORMIGÓN ENDURECIDO</t>
  </si>
  <si>
    <t>34.60.6C.01.51</t>
  </si>
  <si>
    <t>ASISTENCIA TÉCNICA PREVIA AL INICIO DE ACTIVIDAD DEL CLÚSTER DE CONSTRUCCIÓN, INGENIERÍA Y ARQUITECTURA. MADRID CAPITAL MUNDIAL.</t>
  </si>
  <si>
    <t xml:space="preserve">APOTI/2017 EN 2019 SUBV. CONTRATACIÓN PERSONAL APOYO VINCULADO A PROYECTO TRANSFERENCIA TECNOLÓGICA. RESOL 03/10/17 </t>
  </si>
  <si>
    <t>FLIB 25/06/19. PROYECTOS RETOS 2016. ANUAL2019 PROYECTOS I+D RETOS (PIA13) NEXPEDIENTE: PIA1 32016-1 4 ANUALIDAD REFERENCIA BIA2016-8 . ref ord. para beneficiario 27402219310020394</t>
  </si>
  <si>
    <t>LIBERADOS 3/12/2019 REDES EXCELENCIA 2017 ANUALIDAD2019 ACCIONES DINAMIZACION REDES EXCLENCIA(PIA 18) N EXPEDIENTE: PIA 18217-1-2 .REF. INVESTIGACIÓN: BIA2017-90845REDT. REFERENCIA DEL ORDENANTE PARA EL BENEFICIARIO: 27402219310032060</t>
  </si>
  <si>
    <t>34.60.6P.00.24</t>
  </si>
  <si>
    <t xml:space="preserve">SUBVENCIONES REALIZACIÓN PROYECTOS I+D+I GRUPOS EMERGENTES GV/2018.2ªANUALIDAD </t>
  </si>
  <si>
    <t>34.60.6P.00.26</t>
  </si>
  <si>
    <t>PAGO 1 ANUALIDAD PROYECTOS RETOS I+D+I 2018. ANUAL 2019 PROYECTOS I+D RETOS (PIA 13) N EXPEDIENTE: PIA 132018 - 1- 1 ANUALIDAD REFERENCIA: R. REFERENCIA DEL ORDENANTE PARA EL BENEFICIARIO: 00173219310010859 - 2019/009677</t>
  </si>
  <si>
    <t>PARA EL PAGO DE LA ANUALIDAD 2019 DE LA CONVOCATORIA RTI 2018 PROYECTOS I+D RETOS (PIA 13) N EXPEDIENTE: PIA 132018-1 -1 ANUALIDAD REFERENC REFERENCIA DEL ORDENANTE PARA EL BENEFICIARIO: 27402219310026713</t>
  </si>
  <si>
    <t>34.60.6P.00.27</t>
  </si>
  <si>
    <t xml:space="preserve">SUBVENCIONES REALIZACION PROYECTOS I+D+IGRUPOS INVESTIGACION EMERGENTES GV/2019 </t>
  </si>
  <si>
    <t>34.60.6P.00.28</t>
  </si>
  <si>
    <t>34.60.6P.00.31</t>
  </si>
  <si>
    <t xml:space="preserve">SUBVENCIONES GRUPOS INVESTIGACION CONSOLIDABLES AICO/2019 (EDUCACIÓN,INVESTIGACIÓN,CULTURA Y DEPORT)  </t>
  </si>
  <si>
    <t>UNIVERSIDAD DE ALICANTE: INTERIM PAYMENT S2R-MOMIT (G.A. 777630). REF.ORDENANTE: 1900000072. REF.BENEFICIARIO: 011902050NTGUS. LA OFICINA DE GESTIÓN DE PROYECTOS INTERNACIONALES INFORMA QUE CORRESPONDE AL PAGO INTERMEDIO DEL PROYECTO MOMIT. DEPARTAMENTO DE INGENIERÍA CIVIL.</t>
  </si>
  <si>
    <t>34.60.2E.00.23</t>
  </si>
  <si>
    <t>REF.- 20170519PAVAS (GE-CONVENIO MARCO) AULA PAVASAL: INGENIERÍA Y SOCIEDAD NO SUJETA A IVA DE ACUERDO CON EL ARTÍCULO 7, 14 Y OTROS DE LA LEY 49/2002</t>
  </si>
  <si>
    <t>34.60.2T.00.06</t>
  </si>
  <si>
    <t>9175 EXPERTO EN CÁLCULO DE ESTRUCTURAS CON CYPE</t>
  </si>
  <si>
    <t>Reintegro de cuota patronal correspondiente al mes de agosto 2019</t>
  </si>
  <si>
    <t>Reintegro de cuota patronal del mes de julio 2019</t>
  </si>
  <si>
    <t>34.60.2T.00.07</t>
  </si>
  <si>
    <t>Liquidación  PLAN GD01 curso ''GEOTÉCNIA DE TERRENOS VOLCÁNICOS'' ORDEN 5382</t>
  </si>
  <si>
    <t>34.60.2T.00.08</t>
  </si>
  <si>
    <t>Liquidación  PLAN GD03 curso ''HIDROLOGÍA Y APROVECHAMIENTO DEL AGUA EN ISLAS Y TERRENOS VOLCÁNICOS'' ORDEN 5383</t>
  </si>
  <si>
    <t>34.60.2T.00.09</t>
  </si>
  <si>
    <t>Alvaro Marín Abril. ESPECIALISTA EN MOVILIDAD URBANA INTELIGENTE</t>
  </si>
  <si>
    <t xml:space="preserve">Andreu Amoros Berenguer. ESPECIALISTA EN MOVILIDAD URBANA INTELIGENTE </t>
  </si>
  <si>
    <t>Liquidación Plan 9316 "Especialista en Mobilidad Urbana Inteligente". Fecha listado: 11/10/19</t>
  </si>
  <si>
    <t>Liquidación PLAN 9326 "Experto en Movilidad Urbana"</t>
  </si>
  <si>
    <t>Bru Orts, David </t>
  </si>
  <si>
    <t>EVALUACIÓN DEL DAÑO EN ESTRUCTURAS ESBELTAS Y METODOLOGÍA DE REFUERZO CON MATERIALES COMPUESTOS FRENTE A ACCIONES DINÁMICAS </t>
  </si>
  <si>
    <t>07/09/2020 </t>
  </si>
  <si>
    <t>Luengo Frades, Jorge </t>
  </si>
  <si>
    <t>INCERTIDUMBRES EN LA CIMENTACIÓN Y CORONACIÓN EN PARQUES EÓLICOS OFFSHORE. CRITERIOS DE PREDIMENSIONAMIENTO </t>
  </si>
  <si>
    <t>13/12/2019 </t>
  </si>
  <si>
    <t>Sarro Trigueros, Roberto </t>
  </si>
  <si>
    <t>SIMULACIÓN DE DESPRENDIMIENTOS ROCOSOS PARA LA GESTIÓN DE EMERGENCIAS E INFRAESTRUCTURAS </t>
  </si>
  <si>
    <t>16/12/2019 </t>
  </si>
  <si>
    <t>21435388D</t>
  </si>
  <si>
    <t>GONZALEZ SANCHEZ, ANTONIO</t>
  </si>
  <si>
    <t>COD DEP</t>
  </si>
  <si>
    <t>33479787K</t>
  </si>
  <si>
    <t>GALAO MALO, OSCAR</t>
  </si>
  <si>
    <t>44756864Z</t>
  </si>
  <si>
    <t>PASTOR NAVARRO, JOSE LUIS</t>
  </si>
  <si>
    <t>74220670S</t>
  </si>
  <si>
    <t>RIQUELME GUILL, ADRIAN JOSE</t>
  </si>
  <si>
    <t>Pérez de la Cruz, Francisco Javier </t>
  </si>
  <si>
    <t>DEFINICIÓN Y CARACTERIZACIÓN DE UNA METODOLOGÍA PARA EL ESTUDIO DE SISTEMAS HIDRÁULICOS ANTIGUOS. APLICACIÓN AL ABASTECIMIENTO DE AGUA A CARTAGENA POR "THE CARTHAGENA MINING &amp; WATER COMPANY" </t>
  </si>
  <si>
    <t>17/12/2020 </t>
  </si>
  <si>
    <t>Multifuncionalidad de hormigones con adicción de arcillas </t>
  </si>
  <si>
    <t>30/09/2021 </t>
  </si>
  <si>
    <t>Lillo Polo, Carlos </t>
  </si>
  <si>
    <t>APLICACIÓN DE LA ANHIDRITA NATURAL EN LA FABRICACIÓN DE MORTEROS SOSTENIBLES </t>
  </si>
  <si>
    <t>26/02/2021 </t>
  </si>
  <si>
    <t>Cerezuela Motos, Antonio </t>
  </si>
  <si>
    <t>Correlatos entre sostenibilidad, estándares de vida y arquitectura </t>
  </si>
  <si>
    <t>20/09/2021 </t>
  </si>
  <si>
    <t>Rabat Blázquez, Álvaro </t>
  </si>
  <si>
    <t>Influence of degree of saturation and water distribution on mechanical properties of weak sedimentary rocks / Influencia del grado de saturación y la distribución del agua intersticial en las propiedades mecánicas de las rocas sedimentarias débiles. </t>
  </si>
  <si>
    <t>10/06/2021 </t>
  </si>
  <si>
    <t>25122538Y </t>
  </si>
  <si>
    <t>Dazzini Langdon, Mónica Mabel </t>
  </si>
  <si>
    <t>PAISAJES IN-HABITADOS: LA MEMORIA DEL RÍO </t>
  </si>
  <si>
    <t>21/06/2021 </t>
  </si>
  <si>
    <t>Jódar Abellán, Antonio </t>
  </si>
  <si>
    <t>Hydrological impacts of global change. Adaptation alternatives in complex water systems with water resources scarcity and severe natural risks (southeast of Spain) </t>
  </si>
  <si>
    <t>09/07/2021 </t>
  </si>
  <si>
    <t>74002594W </t>
  </si>
  <si>
    <t>Tratamiento de aguas residuales mediante UASB + eMBR para eliminación de productos farmacéuticos en aguas residuales urbanas </t>
  </si>
  <si>
    <t>15/09/2021 </t>
  </si>
  <si>
    <t>34.60.6C.00.23</t>
  </si>
  <si>
    <t>EXP 00000005212819 Juzgado Primera instancia 4 Alicante Ref SGITT-OTRI JENGO1-16TPA</t>
  </si>
  <si>
    <t>34.60.6C.00.49</t>
  </si>
  <si>
    <t>ESTUDIO DE LA ESTRUCTURA DE UNA VIVIENDA UNIFAMILIAR AISLADA FORMADA POR MUROS DE MAMPOSTERÍA Y VIGAS DE MADERA SITUADA EN LA LOCALIDAD DE DOLORES.</t>
  </si>
  <si>
    <t>REINTEGRO CUOTA PATRONAL CORRESPONDIENTE A DICIEMBRE DE 2020.</t>
  </si>
  <si>
    <t>REINTEGRO CUOTA PATRONAL CORRESPONDIENTE A OCTUBRE DE 2020.</t>
  </si>
  <si>
    <t>REINTEGRO CUOTA PATRONAL CORRESPONDIENTE A SEPTIEMBRE DE 2020.</t>
  </si>
  <si>
    <t>34.60.6C.00.61</t>
  </si>
  <si>
    <t>549.196 DISEÑO Y REALIZACIÓN DE MUESTRARIO CORRESPONDIENTE A LA TEMPORADA 2016</t>
  </si>
  <si>
    <t>34.60.6C.00.65</t>
  </si>
  <si>
    <t>545.351 MUESTRARIO DEL MUEBLE 2017</t>
  </si>
  <si>
    <t>34.60.6C.00.66</t>
  </si>
  <si>
    <t>549.514 MUESTRARIO DE COLECCIONES DE SISTEMAS DE DESCANSO 2016</t>
  </si>
  <si>
    <t>34.60.6C.00.73</t>
  </si>
  <si>
    <t>562.538 MUESTRARIO EJERCICIO 2016-2017</t>
  </si>
  <si>
    <t>34.60.6C.00.75</t>
  </si>
  <si>
    <t>557.119 DESARROLLO Y MATERIALIZACIÓN DEL MUESTRARIO DE LOSBU 2015</t>
  </si>
  <si>
    <t>34.60.6C.00.87</t>
  </si>
  <si>
    <t>VALORACIÓN DE LESIONES Y SUS CAUSAS, Y MEDICIÓN Y VALORACIÓN DE POSIBLE REPARACIÓN DE LOS CONSERVATORIOS ARTíSTICOS MUNICIPALES Y PLAZA DE TOROS. Los hitos alcanzados hasta el momento son los siguientes: - Realización de visitas, a 300 euros por técnico, incluidos desplazamientos: 6 visitas x 300 euros = 1800 euros - Dirección y análisis de los trabajos realizados por otros profesionales: 2500 euros - Informe de evaluación simplificada del estado de la estructura: 2000 euros (1) - Informe de estudio detallado de elementos estructurales tipo: O euros (2) Estas cantidades suman un importe total de 6300 euros, al que habrá que sumar el lVA correspondiente. (1) Se ha estimado que esta fase del trabajo se encuentra desarrollada al 40%. (2) No se ha realizado esta fase del trabajo.</t>
  </si>
  <si>
    <t>34.60.6C.00.94</t>
  </si>
  <si>
    <t>612.321 DESARROLLO MUESTRARIO EXPORMIM 2017</t>
  </si>
  <si>
    <t>34.60.6C.00.96</t>
  </si>
  <si>
    <t>595.114 DISEÑO Y DESARROLLO DEL MUESTRARIO DE MOLDURAS PARA MARCOS DE LA ANUALIDAD 2017</t>
  </si>
  <si>
    <t>34.60.6C.01.00</t>
  </si>
  <si>
    <t>599.522 DISEÑO Y REALIZACIÓN DE MUESTRARIO CORRESPONDIENTE A LA TEMPORADA 2018</t>
  </si>
  <si>
    <t>34.60.6C.01.01</t>
  </si>
  <si>
    <t>599.556 DISEÑO Y REALIZACIÓN DE MUESTRARIO CORRESPONDIENTE A LA TEMPORADA 2018</t>
  </si>
  <si>
    <t>34.60.6C.01.07</t>
  </si>
  <si>
    <t>631.035 DISEÑO Y REALIZACIÓN DEL MUESTRARIO CORRESPONDIENTE A LA TEMPORADA 2017</t>
  </si>
  <si>
    <t>Desarrollo de nuevos productos basados en materiales cementantes de baja huella de carbono para sistemas urbanos sostenibles. Anualidad 3: 2020</t>
  </si>
  <si>
    <t>34.60.6C.01.12</t>
  </si>
  <si>
    <t>615475 CREACIÓN DE MUESTRARIO DEL MUEBLE 2017</t>
  </si>
  <si>
    <t>34.60.6C.01.13</t>
  </si>
  <si>
    <t>650.398 DISEÑO DEL MUESTRARIO 2017 DEL MUEBLE</t>
  </si>
  <si>
    <t>34.60.6C.01.14</t>
  </si>
  <si>
    <t>606.973 MUESTRARIO DE COLECCIONES DE SISTEMAS DE DESCANSO 2017.</t>
  </si>
  <si>
    <t>34.60.6C.01.16</t>
  </si>
  <si>
    <t>642.650 DESARROLLO MUESTRARIOS EXPORMIM 2013</t>
  </si>
  <si>
    <t>34.60.6C.01.19</t>
  </si>
  <si>
    <t>642.649 DESARROLLO MUESTRARIOS EXPORMIM 2012</t>
  </si>
  <si>
    <t>Realización de las actividades asignadas en el Proyecto Europeo DEtection of Steel DEfects by Enhanced MONitoring and Automated procedure for self-inspection and maintenance. Décimo pago.</t>
  </si>
  <si>
    <t>Realización de las actividades asignadas en el Proyecto Europeo DEtection of Steel DEfects by Enhanced MONitoring and Automated procedure for self-inspection and maintenance. Décimo primer pago.</t>
  </si>
  <si>
    <t>Realización de las actividades asignadas en el Proyecto Europeo DEtection of Steel DEfects by Enhanced MONitoring and Automated procedure for self-inspection and maintenance. Décimo segundo pago.</t>
  </si>
  <si>
    <t>Realización de las actividades asignadas en el Proyecto Europeo DEtection of Steel DEfects by Enhanced MONitoring and Automated procedure for self-inspection and maintenance. Décimo tercer pago.</t>
  </si>
  <si>
    <t>Realización de las actividades asignadas en el Proyecto Europeo DEtection of Steel DEfects by Enhanced MONitoring and Automated procedure for self-inspection and maintenance. Noveno pago.</t>
  </si>
  <si>
    <t>Realización de las actividades asignadas en el Proyecto Europeo DEtection of Steel DEfects by Enhanced MONitoring and Automated procedure for self-inspection and maintenance. Octavo pago.</t>
  </si>
  <si>
    <t>34.60.6C.01.23</t>
  </si>
  <si>
    <t>654.787 MUEBLE 1718</t>
  </si>
  <si>
    <t>Asistencia técnica en la instrumentación para monitorización continúa del puente del Mascarat y el viaducto sobre el rio de Algar de la Línea 9 de Ferrocarrils de la Generalitat Valenciana. Realización de inspecciones e informes periódicos.</t>
  </si>
  <si>
    <t>Asistencia técnica en la instrumentación para monitorización continúa del Viaducto del Quisi de la Línea 9 de Ferrocarrils de la Generalitat Valenciana. Realización de inspecciones e informes periódicos. Se incluyen pruebas de carga dinámicas e informes asociados.</t>
  </si>
  <si>
    <t>34.60.6C.01.30</t>
  </si>
  <si>
    <t>642.651 DESARROLLO MUESTRARIOS EXPORMIM 2014</t>
  </si>
  <si>
    <t>34.60.6C.01.31</t>
  </si>
  <si>
    <t>PARTICIPAR EN EL DISEÑO DE UN EDIFICIO MILTIUSOS PARA EL CAMPUS DE ALTEA DE LA UMH Y REALIZAR CÁLCULO DEL ENTRAMADO Y MUROS DE CARGA QUE FORMAN PARTE DE SU ESTRUCTURA.</t>
  </si>
  <si>
    <t>34.60.6C.01.32</t>
  </si>
  <si>
    <t>686.382 DISEÑO Y REALIZACIÓN DE MUESTRARIO CORRESPONDIENTE A LA TEMPORADA 2019</t>
  </si>
  <si>
    <t>34.60.6C.01.33</t>
  </si>
  <si>
    <t>685.429 DISEÑO Y REALIZACIÓN DE MUESTRARIO CORRESPONDIENTE A LA TEMPORADA 2019</t>
  </si>
  <si>
    <t>34.60.6C.01.34</t>
  </si>
  <si>
    <t>686.383 DISEÑO Y REALIZACIÓN DE MUESTRARIO CORRESPONDIENTE A LA TEMPORADA 2019</t>
  </si>
  <si>
    <t>34.60.6C.01.35</t>
  </si>
  <si>
    <t>688.191 DISEÑO Y REALIZACIÓN DE MUESTRARIO CORRESPONDIENTE A LA TEMPORADA 2019</t>
  </si>
  <si>
    <t>34.60.6C.01.37</t>
  </si>
  <si>
    <t>Escaneo de talud bajo el Mirador del Clinic (Carrer de Santa Llúcia) y el riu Barxell O Riquer en Alcoy, España, consistente en dos jornadas de escaneos del talud con láser escáner terrestre modelo Leica C10 ScanStation en julio de 2019 y en septiembre de 2019, registro de las nubes de puntos y comparación de las nubes 3D para detección de movimientos.</t>
  </si>
  <si>
    <t>34.60.6C.01.41</t>
  </si>
  <si>
    <t xml:space="preserve">702.055 DESARROLLO MUESTRARIO DE MUEBLES 2018 </t>
  </si>
  <si>
    <t>34.60.6C.01.43</t>
  </si>
  <si>
    <t>719.459 DESARROLLO MUESTRARIO EXPORMIM 2018</t>
  </si>
  <si>
    <t>34.60.6C.01.44</t>
  </si>
  <si>
    <t>723.694 MUESTRARIO DE COLECCIONES DE SISTEMAS DE DESCANSO 2018</t>
  </si>
  <si>
    <t>34.60.6C.01.47</t>
  </si>
  <si>
    <t>Inspección no invasiva de cuantías de armado en pilares de HA en local comercial de Elche (Alicante)</t>
  </si>
  <si>
    <t>34.60.6C.01.48</t>
  </si>
  <si>
    <t>METODOLOGÍAS SOBRE EL ANÁLISIS COSTE-BENEFICIO APLICADO A LAS INFRAESTRUCTURAS DE TRANSPORTE</t>
  </si>
  <si>
    <t>34.60.6C.01.56</t>
  </si>
  <si>
    <t xml:space="preserve">Asesoramiento geotécnico para cimentación de proyecto de puente de ferrocarril y riesgo geológico </t>
  </si>
  <si>
    <t>34.60.6C.01.57</t>
  </si>
  <si>
    <t>EVALUACIÓN DEL PROYECTO I+D+I 2012/0036/PIDI/01: "GRAFCRET012 - INVESTIGACIÓN PARA LA FABRICACIÓN DE UN MATERIAL CONDUCTIVO TÉRMICA Y ELÉCTRICAMENTE, perteneciente a la empresa CEMENTOS TUDELA VEGUIN, S.A.</t>
  </si>
  <si>
    <t>34.60.6C.01.58</t>
  </si>
  <si>
    <t>Informe pericial acerca de la falta de acuerdo entre Elecnor e Intasal S.L. en lo que se refiere a la liquidación de las partidas de los trabajos referentes a la obra de Nuevas instalaciones de Pikolin en Polígono Plaza, Ronda A del Ferrocarril nº 24 Zaragoza</t>
  </si>
  <si>
    <t>34.60.6C.01.61</t>
  </si>
  <si>
    <t>REDACCIÓN DE UN INFORME PERICIAL SOBRE EL SERVICIO DE SUMINISTRO DE AGUA POTABLE EN MUNICIPIO DE ORIHUELA (ALICANTE). NÚMERO DE PEDIDO 3200720151</t>
  </si>
  <si>
    <t>34.60.6C.01.62</t>
  </si>
  <si>
    <t xml:space="preserve">Asesoramiento en reconocimiento geotécnico, movimiento de tierras, cimentación y drenaje de una parcela en Rebolledo (Alicante) </t>
  </si>
  <si>
    <t>34.60.6C.01.63</t>
  </si>
  <si>
    <t>ELABORACIÓN DEL ESTUDIO DEL FLUJO Y DELIMITACIÓN DE ZONAS DE EXPOSICIÓN AL RIESGO Y ELEMENTOS VULNERABLES ANTE EL TRANSPORTE DE MERCANCÍAS PELIGROSAS EN EL MUNICIPIO DE ALICANTE. PROTECCIÓN CIVIL.</t>
  </si>
  <si>
    <t>34.60.6C.01.64</t>
  </si>
  <si>
    <t>ASESORAMIENTO Y PARTICIPACIÓN EN TRABAJOS DERIVADOS DEL PROYECTO C-ROADS SPAIN. Esta cantidad corresponde al 50% del importe total de acuerdo a lo establecido en la Hoja de Encargo suscrita entre la Universidad de Alicante y el Instituto Universitario de Investigación en Tráfico y Seguridad Vial (INTRAS) con fecha 28/04/2020</t>
  </si>
  <si>
    <t>34.60.6C.01.65</t>
  </si>
  <si>
    <t>Estudio y propuesta del modelo de negocio del Intercambiador carretera - ferrocarril en el Eje del Vinalopó.</t>
  </si>
  <si>
    <t>34.60.6C.01.66</t>
  </si>
  <si>
    <t>Asistencia técnica en dictamen pericial sobre fallo estructural en centro comercial en Trobajo del Camino (León)</t>
  </si>
  <si>
    <t>34.60.6C.01.67</t>
  </si>
  <si>
    <t>Informe técnico sobre afección estructural de un incendio en nave industrial en Crevillente.</t>
  </si>
  <si>
    <t>34.60.6C.01.68</t>
  </si>
  <si>
    <t>Asistencia técnica en dictamen pericial en disconformidades en la construcción de Hangares en aeropuerto de Sevilla.</t>
  </si>
  <si>
    <t>34.60.6C.01.69</t>
  </si>
  <si>
    <t>Asistencia técnica en dictamen pericial sobre fallo estructural en centro comercial en Terrassa (Les Fonts)</t>
  </si>
  <si>
    <t>34.60.6C.01.70</t>
  </si>
  <si>
    <t>Asistencia técnica en dictamen pericial sobre patologías y disconformidades en la ejecución del Nuevo Hospital de Teruel</t>
  </si>
  <si>
    <t>34.60.6C.01.71</t>
  </si>
  <si>
    <t>Asistencia técnica en arriostramiento estructural de la palmera de seis brazos de la Plaza del León.</t>
  </si>
  <si>
    <t>34.60.6C.01.72</t>
  </si>
  <si>
    <t>DEFINICIÓN DE UNA ALTERNATIVA DE TRAZADO FERROVIARIO ORIHUELA-TORREVIEJA Y ESTIMACIÓN DE LA DEMANDA DE VIAJEROS. Aplicación presupuestaria 006-4411-22706. Nº operación 2020.2.0008673.000</t>
  </si>
  <si>
    <t>34.60.6C.01.73</t>
  </si>
  <si>
    <t>ASISTENCIA TÉCNICA PARA LA ELABORACIÓN DE UN MAPA DE PRECIPITACIONES DIARIAS MÁXIMAS EN EL NORTE DE LA PROVINCIA DE ALICANTE</t>
  </si>
  <si>
    <t>34.60.6C.01.74</t>
  </si>
  <si>
    <t>Asistencia técnica en reconocimiento de un forjado ubicado en edificio de Valencia, Avda. Peris y Valero: Determinación de armaduras en vigas.</t>
  </si>
  <si>
    <t>34.60.6C.01.75</t>
  </si>
  <si>
    <t>ESTUDIO PREVIO DE MOVILIDAD EN EL ÁMBITO COMPRENDIDO ENTRE AV. DE LORING, OSCAR ESPLA Y EUSEBIO SEMPERE. EXPT. CYP2020000022.</t>
  </si>
  <si>
    <t>34.60.6C.01.76</t>
  </si>
  <si>
    <t>Asistencia técnica en proyecto de intervención en la Torre de la Illeta. Campello (Alicante)</t>
  </si>
  <si>
    <t>34.60.6C.01.77</t>
  </si>
  <si>
    <t>Informe de seguimiento del PROYECTO I+D+I 2012/0036/PIDI/02: GRAFCRET012 - INVESTIGACIÓN PARA LA FABRICACIÓN DE UN MATERIAL CONDUCTIVO TÉRMICA Y ELÉCTRICAMENTE, perteneciente a la empresa CEMENTOS TUDELA VEGUIN, S.A.</t>
  </si>
  <si>
    <t>34.60.6C.01.79</t>
  </si>
  <si>
    <t>DIFRACCIÓN DE RAYOS X. ENSAYOS E INFORME PARA LA DETERMINAR LA PRESENCIA DE CEMENTO ALUMINOSO EN VIVIENDA. - 1 MUESTRAS DE HORMIGÓN PROCEDENTE DE VIGUETA. Ensayo e informe.</t>
  </si>
  <si>
    <t>34.60.6C.01.84</t>
  </si>
  <si>
    <t>Análisis y estudio del estado de un edificio situado en la Calle Transits 7 de Valencia en el que se ha producido un colapso parcial del forjado de segunda planta.</t>
  </si>
  <si>
    <t>34.60.6C.01.85</t>
  </si>
  <si>
    <t>ESTUDIO Y RECOMENDACIONES DE INTEGRACIÓN URBANÍSTICA, MOVILIDAD URBANA Y ALTERNATIVA DE FINANCIACIÓN PARA LA IMPLANTACIÓN DE UNA CIUDAD ADMINISTRATIVA EN BENALÚA SUR (ALICANTE). EXPT. CYP2020000035</t>
  </si>
  <si>
    <t>34.60.6C.01.86</t>
  </si>
  <si>
    <t>Estudio y análisis de discontinuidades planas del talud rocoso en Villahermosa (Castellón de la Plana) a partir de la nube de puntos 3D adquirida con SfM y la aplicación del programa informático Discontinuity Set Extractor (DSE)</t>
  </si>
  <si>
    <t>34.60.6H.00.02</t>
  </si>
  <si>
    <t>APOTI 2020 (RESOL 30/05/2020)PROYECTO DE TRANSFERENCIA TECNOLÓGICA (INNOVACIÓN,UNIVERSIDADES,CIENCIA SOC.DIG)</t>
  </si>
  <si>
    <t>FLIB 30/06/2020. PROYECTOS RETOS INVESTIGACION 201 / 8. ANUAL 2020 PROYECTOS I+D RETOS (PIA13) N E / XPEDIENTE: PIA132018-1 - 2 ANUALIDAD REFERE / GOVT / 27402220310030624</t>
  </si>
  <si>
    <t>SUBVENCIONES PARA LA REALIZACION DE PROYCTOS DE I+D+I GRUPOS INVESTIGACIÓN EMERGENTE GV/2019/2ªANUALIDAD (INNOVACIÓN,UNIVERSIDADES,CIENCIA SOC.DIG)</t>
  </si>
  <si>
    <t>SUBVENCIONES GRUPOS INVESTIGACION CONSOLIDABLES AICO/2019.2ª (INNOVACIÓN,UNIVERSIDADES,CIENCIA SOC.DIG)</t>
  </si>
  <si>
    <t>34.60.6P.00.35</t>
  </si>
  <si>
    <t>SUBVENCIONES PARA LA REALIZACIÓN DE PROYECTOS DE I+D+I DESARROLLADOS POR GRUPOS DE INVESTIGACIÓN EMERGENTES GV/2020 (NNOVACIÓN,UNIVERSIDADES,CIENCIA SOC.DIG)</t>
  </si>
  <si>
    <t>34.60.6P.00.36</t>
  </si>
  <si>
    <t>34.60.6P.00.37</t>
  </si>
  <si>
    <t>34.60.6P.00.41</t>
  </si>
  <si>
    <t xml:space="preserve">Nueva solución integral para cimentaciones superficiales de aerogeneradores PAGO ANUALIDAD 2020 CONVOCATORIA RETOS COLABORACIÓN 2020 RETOS COLABORACIÓN N EXPEDIENTE: RTC-2019-1 ANUALIDAD REFERENCIA: RTC20019-006 . </t>
  </si>
  <si>
    <t>TERCER Y ÚLTIMO PAGO PROYECTO MOMIT, INVESTIGADOR PRINCIPAL ROBERTO TOMÁS.</t>
  </si>
  <si>
    <t>34.60.6X.00.02</t>
  </si>
  <si>
    <t>PRE-FINANCING PROJECT RESERVOIR (INVESTIGADOR PRINCIPAL ROBERTO TOMÁS)</t>
  </si>
  <si>
    <t>34.60.2T.00.10</t>
  </si>
  <si>
    <t>2ª Liquidación PLAN 9316 "Especialista en Movilidad Urbana Inteligente"</t>
  </si>
  <si>
    <t>2ª Liquidación PLAN 9326 "Experto en movilidad urbana"</t>
  </si>
  <si>
    <t xml:space="preserve">Plan 9316 curso 2020/2021 ESPECIALISTA EN MOVILIDAD URBANA INTELIGENTE </t>
  </si>
  <si>
    <t xml:space="preserve">Plan 9326 curso 2020/2021 EXPERTO EN MOVILIDAD URBANA </t>
  </si>
  <si>
    <t>Total </t>
  </si>
  <si>
    <t>INGENIERIA DE LA CONSTRUCCION </t>
  </si>
  <si>
    <t>INGENIERIA DEL TERRENO </t>
  </si>
  <si>
    <t>INGENIERIA E INFRAESTRUCTURA DE LOS TRANSPORTES </t>
  </si>
  <si>
    <t>INGENIERIA ELECTRICA </t>
  </si>
  <si>
    <t>INGENIERIA HIDRAULICA </t>
  </si>
  <si>
    <t>MECANICA DE MEDIOS CONTINUOS Y TEORIA DE ESTRUCTURAS </t>
  </si>
  <si>
    <t>Departamento </t>
  </si>
  <si>
    <t>Área </t>
  </si>
  <si>
    <t>Créditos dedicación Dept. por nº de alumnos en cada asig. </t>
  </si>
  <si>
    <t>Créditos dedicación Dept. por nº de alumnos por 1ª VEZ en cada asig. </t>
  </si>
  <si>
    <t>Tipo Titulacion Asig </t>
  </si>
  <si>
    <t>Titulaciones de ciclo largo </t>
  </si>
  <si>
    <t>Grado </t>
  </si>
  <si>
    <t>Máster Universitario Oficial </t>
  </si>
  <si>
    <t>UNIVERSIDAD DE ALICANTE (CURSOS DE ESPECIALIZACIÓN - CONTINUA) </t>
  </si>
  <si>
    <t>UA </t>
  </si>
  <si>
    <t>605 </t>
  </si>
  <si>
    <t>540 </t>
  </si>
  <si>
    <t>535 </t>
  </si>
  <si>
    <t>530 </t>
  </si>
  <si>
    <t>525 </t>
  </si>
  <si>
    <t>510 </t>
  </si>
  <si>
    <t>Estudios propios Europeo </t>
  </si>
  <si>
    <t>Postgrado Doctorado </t>
  </si>
  <si>
    <t>Nom. Área</t>
  </si>
  <si>
    <t>Cod. Dep</t>
  </si>
  <si>
    <t>Dep</t>
  </si>
  <si>
    <t>Créditos Matriculados (sólo normales) </t>
  </si>
  <si>
    <t>Créditos matriculados (Departamento) </t>
  </si>
  <si>
    <t>Cód. org. aplic.</t>
  </si>
  <si>
    <t>Descripción justificante</t>
  </si>
  <si>
    <t>REINTEGRO CUOTA PATRONAL CORRESPONDIENTE A OCTUBRE DE 2021.</t>
  </si>
  <si>
    <t>34.60.6C.00.86</t>
  </si>
  <si>
    <t>ESTUDIO, DISEÑO DE ÚTILES, DISEÑO DE MEDIOS AUXILIARES, GESTIÓN, ASESORAMIENTO Y DIRECCIÓN DE EJECUCIÓN DE ENSAYOS SOBRE REDES DEPORTIVAS. REDACCIÓN DE LA MEMORIA FINAL DE LA INVESTIGACIÓN REALIZADA.</t>
  </si>
  <si>
    <t>Realización de las actividades asignadas en el Proyecto Europeo DEtection of Steel DEfects by Enhanced MONitoring and Automated procedure for self-inspection and maintenance. Décimo noveno pago.</t>
  </si>
  <si>
    <t>Realización de las actividades asignadas en el Proyecto Europeo DEtection of Steel DEfects by Enhanced MONitoring and Automated procedure for self-inspection and maintenance. Décimo sexto pago.</t>
  </si>
  <si>
    <t>Realización de las actividades asignadas en el Proyecto Europeo DEtection of Steel DEfects by Enhanced MONitoring and Automated procedure for self-inspection and maintenance. Décimo octavo pago</t>
  </si>
  <si>
    <t>Realización de las actividades asignadas en el Proyecto Europeo DEtection of Steel DEfects by Enhanced MONitoring and Automated procedure for self-inspection and maintenance. Vigésimo segundo pago</t>
  </si>
  <si>
    <t>Realización de las actividades asignadas en el Proyecto Europeo DEtection of Steel DEfects by Enhanced MONitoring and Automated procedure for self-inspection and maintenance. Décimo séptimo pago.</t>
  </si>
  <si>
    <t>Realización de las actividades asignadas en el Proyecto Europeo DEtection of Steel DEfects by Enhanced MONitoring and Automated procedure for self-inspection and maintenance. Vigésimo pago.</t>
  </si>
  <si>
    <t>Realización de las actividades asignadas en el Proyecto Europeo DEtection of Steel DEfects by Enhanced MONitoring and Automated procedure for self-inspection and maintenance. Vigésimo primer pago</t>
  </si>
  <si>
    <t xml:space="preserve">(EASME/H2020/2018/008) </t>
  </si>
  <si>
    <t>34.60.6C.01.38</t>
  </si>
  <si>
    <t>Escaneo de las laderas junto al barranco de la Purísima junto al Colegio La Concepción en Onteniente (Alicante, España) consistente en una jornada de escaneo del talud con láser escáner terrestre modelo Leica C10 ScanStation en julio de 2019 y registro de las nubes de puntos.</t>
  </si>
  <si>
    <t>34.60.6C.01.59</t>
  </si>
  <si>
    <t>Escaneo de las laderas junto a la Partida Barberes Sur y tras los edificios de la Avenida del Puerto en Villajoyosa (Alicante, España), con las coordenadas UTM X: 741988.63 m E Y: 4265867.79 m N, consistente en una jornada de escaneo del talud con láser escáner terrestre modelo Leica C10 ScanStation y registro de las nubes de puntos.</t>
  </si>
  <si>
    <t>34.60.6C.01.60</t>
  </si>
  <si>
    <t>Estudio de chimenea de mampostería en Murcia, Carretera Palmar, 148. Factura Fase 3.</t>
  </si>
  <si>
    <t>Estudio de chimenea de mampostería en Murcia, Carretera Palmar, 148. Factura Fase 2.</t>
  </si>
  <si>
    <t>Estudio de chimenea de mampostería en Murcia, Carretera Palmar, 148. Factura Fase 1</t>
  </si>
  <si>
    <t>REINTEGRO CUOTA PATRONAL CORRESPONDIENTE A AGOSTO DE 2021.</t>
  </si>
  <si>
    <t xml:space="preserve">ASESORAMIENTO Y PARTICIPACIÓN EN TRABAJOS DERIVADOS DEL PROYECTO C-ROADS SPAIN. Esta cantidad corresponde al 50% restante del importe total de acuerdo a lo establecido en la Hoja de Encargo suscrita entre la Universidad de Alicante y el Instituto Universitario de Investigación en Tráfico y Seguridad Vial (INTRAS) con fecha 28/04/2020. </t>
  </si>
  <si>
    <t>DETERMINACIÓN DE LA PRESENCIA DE CEMENTO ALUMINOSO MEDIANTE DRX</t>
  </si>
  <si>
    <t>34.60.6C.01.81</t>
  </si>
  <si>
    <t>Ensayos de caracterización de materiales para evaluar la durabilidad y comportamiento mecánico de materiales expuestos a atmósferas cargadas de ozono para desinfección frente a coronavirus sars cov 2 y otros agentes dañinos para la salud.</t>
  </si>
  <si>
    <t>34.60.6C.01.82</t>
  </si>
  <si>
    <t>CONSULTING SERVICES FOR THE VERIFICATION, ANALYSIS AND CALCULATION OF THE ORIENTATIONS OF DISCONTINUITY DATASETS OF A TUNNEL. FABIO MOIZO.</t>
  </si>
  <si>
    <t>34.60.6C.01.88</t>
  </si>
  <si>
    <t>Redacción de estudio de tráfico para autorización de accesos a parcela anexa a la Ctra. N-332, PK162+500, margen derecha.</t>
  </si>
  <si>
    <t>34.60.6C.01.89</t>
  </si>
  <si>
    <t>Colaboración en las pruebas de carga estáticas en los forjados del parking subterráneo de Plaza de la Reina (Valencia)</t>
  </si>
  <si>
    <t>Colaboración en las 5 pruebas de carga de puentes isostáticos de la L-9 de FGV (Alicante-Denia).</t>
  </si>
  <si>
    <t>Colaboración en las pruebas de carga dinámicas de puente situado en el puerto de Valencia</t>
  </si>
  <si>
    <t>Colaboración en las pruebas de carga estáticas y dinámicas en el puente de obra de fábrica en la L-9 de FGV en Gata de Gorgos (Alicante)</t>
  </si>
  <si>
    <t>34.60.6C.01.90</t>
  </si>
  <si>
    <t>INGRESO DE EXCEDENTE POR CAMBIO DE MONEDA . SE INGRESA A LA CLAVE ORGÁNICA DONDE SE INGRESA LA FACTURA(586-I), JF:20210000000003876. ESTA ORGÁNICA TIENE RETENCIÓN 0% YA QUE ESTÁ VINCULADA A LA CONVOCATORIA VIDI.</t>
  </si>
  <si>
    <t>Estudio del proceso de detención de una caída con sistemas de protección individual contra caídas. Mejoras del sistema mediante selección correcta de nudos seguros. Segunda aportación.</t>
  </si>
  <si>
    <t>Estudio del proceso de detención de una caída con sistemas de protección individual contra caídas. Mejoras del sistema mediante selección correcta de nudos seguros.</t>
  </si>
  <si>
    <t>34.60.6C.01.91</t>
  </si>
  <si>
    <t>ASISTENCIA PERICIAL AL RECURSO A LOS PROYECTOS DE SERVICIO PÚBLICO DE REGULARIZACIÓN DE VIAJEROS POR CARRETERA DE LA PROVINCIA DE VALENCIA. PRIMER PAGO.</t>
  </si>
  <si>
    <t>34.60.6C.01.92</t>
  </si>
  <si>
    <t>Apoyo científico-técnico al PAT DE LA VEGA BAJA DEL SEGURA FASE II.  EXPEDIENTE GVA CMAYOR/2019/01Y24/17</t>
  </si>
  <si>
    <t>34.60.6C.01.93</t>
  </si>
  <si>
    <t>ASESORAMIENTO EN RECONOCIMIENTO GEOTÉCNICO Y CÁLCULO DE ASIENTOS DE DOS NAVES INDUSTRIALES DE TRATAMIENTO DE VIDRIO RECICLADO.</t>
  </si>
  <si>
    <t>34.60.6C.01.96</t>
  </si>
  <si>
    <t>Informe técnico sobre Colapso parcial de Muro de escollera sito en Residencial Costa Paraíso, Orihuela Costa, Alicante.</t>
  </si>
  <si>
    <t>34.60.6C.01.97</t>
  </si>
  <si>
    <t>Realización del ensayo de migración de cloruros por el método NTBuild 492 en cuatro muestras de hormigón por duplicado, y redacción del informe con los valores obtenidos y todos los datos del ensayo para establecer comparativas entre los diferentes tipos de material.</t>
  </si>
  <si>
    <t>34.60.6C.01.98</t>
  </si>
  <si>
    <t>NSTALACIÓN DE SISTEMA DE MONITORIZACIÓN DE VIENTO BASADO EN ANEMÓMETROS ULTRASÓNICOS PARA CONTROL DE LA VELOCIDAD Y DIRECCIÓN DE VIENTO. GESTIÓN Y PROCESADO DE DATOS SEMANALMENTE. Factura 3 de la segunda fase del proyecto.</t>
  </si>
  <si>
    <t>INSTALACIÓN DE SISTEMA DE MONITORIZACIÓN DE VIENTO BASADO EN ANEMÓMETROS ULTRASÓNICOS PARA CONTROL DE LA VELOCIDAD Y DIRECCIÓN DE VIENTO. GESTIÓN Y PROCESADO DE DATOS SEMANALMENTE. Factura 1 de la segunda fase del proyecto.</t>
  </si>
  <si>
    <t>INSTALACIÓN DE SISTEMA DE MONITORIZACIÓN DE VIENTO BASADO EN ANEMÓMETROS ULTRASÓNICOS PARA CONTROL DE LA VELOCIDAD Y DIRECCIÓN DE VIENTO. GESTIÓN Y PROCESADO DE DATOS SEMANALMENTE. Factura 2 de la segunda fase del proyecto.</t>
  </si>
  <si>
    <t>INSTALACIÓN DE SISTEMA DE MONITORIZACIÓN DE VIENTO BASADO EN ANEMÓMETROS ULTRASÓNICOS PARA CONTROL DE LA VELOCIDAD Y DIRECCIÓN DE VIENTO. GESTIÓN Y PROCESADO DE DATOS SEMANALMENTE. Factura correspondiente a la primera fase del proyecto.</t>
  </si>
  <si>
    <t>34.60.6C.01.99</t>
  </si>
  <si>
    <t>PROYECTO PARA LA ADECUACIÓN Y MEJORA DE CAMINOS RURALES ANEXOS A PLANTA SOLAR FOTOVOLTAICA EN LOS POLÍGONOS 13 Y 14 DEL TÉRMINO MUNICIPAL DE BIAR (ALICANTE)</t>
  </si>
  <si>
    <t>34.60.6C.02.00</t>
  </si>
  <si>
    <t>Asistencia técnica y colaboración en el desarrollo de unas nuevas formulaciones de geopolímeros con residuos de procesos industriales. PROYECTO REINCE</t>
  </si>
  <si>
    <t>34.60.6C.02.02</t>
  </si>
  <si>
    <t>Análisis dinámico bajo acciones sísmicas de las puertas de acceso y contención del reactor de fusión nuclear ITER y dimensionamiento de los dispositivos de bloqueo.</t>
  </si>
  <si>
    <t>34.60.6C.02.03</t>
  </si>
  <si>
    <t>EVALUACIÓN EXPERIMENTAL DE MODOS DE VIBRACIÓN Y FRECUENCIA PROPIAS DE UNA CESTA METÁLICA PARA UN HELICOPTERO AIRBUS AS332 L2 Y ELABORACIÓN DE INFORME DE RESULTADOS. S/pedido P21-028</t>
  </si>
  <si>
    <t>34.60.6C.02.06</t>
  </si>
  <si>
    <t>Ampliación del mapa de precipitaciones diarias máximas al ámbito de la provincia de Alicante</t>
  </si>
  <si>
    <t>34.60.6C.02.07</t>
  </si>
  <si>
    <t xml:space="preserve">ESTUDIO E INFORME DE LA MONITORIZACIÓN REMOTA MEDIANTE RADAR INTERFEROMETRICO DE PAERTURA SINTETICA (INSAR), DIFERENCIAL AVANZADA DE LA PRESA DE BENIARRÉS (ALICANTE). CONTRATO MENOR DE SERVICIOS-  CLAVE: FP.108.121/0511 </t>
  </si>
  <si>
    <t>34.60.6C.02.08</t>
  </si>
  <si>
    <t>Asistencia técnica durante la ejecución del refuerzo de chimenea de mampostería en Murcia, Carretera Palmar, 148</t>
  </si>
  <si>
    <t>34.60.6C.02.09</t>
  </si>
  <si>
    <t>Realización de Asesoramiento para cimentación de entreplanta industrial interior mediante cimentación por micropilotes.</t>
  </si>
  <si>
    <t>34.60.6C.02.10</t>
  </si>
  <si>
    <t>IDENTIFICACIÓN E INTERPRETACIÓN DEL TIPO DE CONGLOMERANTE EN HORMIGONES ENDURECIDOS MEDIANTE DIFRACCIÓN DE RAYOS X (DRX).</t>
  </si>
  <si>
    <t>34.60.6C.02.11</t>
  </si>
  <si>
    <t>Redacción de informe técnico relacionado con las patologías aparecidas en uno de los edificios de ampliación del Centro educativo municipal IES Virgen del Remedio situado en la ciudad de Alicante.</t>
  </si>
  <si>
    <t>34.60.6C.02.12</t>
  </si>
  <si>
    <t>Participación en el proyecto Nuevos métodos para determinar la resistencia del hormigón a edades tempranas (PREDICRES), en concreto se participa en la tarea 2 de forma íntegra, tal y como figura en el acuerdo de colaboración.(2022EXPADM0282)</t>
  </si>
  <si>
    <t>34.60.6C.02.14</t>
  </si>
  <si>
    <t>Análisis crítico del proyecto de ejecución de obras redactado y presentado a la comunidad por la arquitecta Dª patricia Mojica quiles en relación a la previsión de intervención ·procedimiento unificación de fachada· en complejo residencial Altomar II, sito en avda. Escandinavia nº 72, de Gran Alacant, Santa Pola.</t>
  </si>
  <si>
    <t>34.60.6C.02.15</t>
  </si>
  <si>
    <t>Valoración crítica sobre la posibilidad de tratamiento como decenal de las patologías en dos bloques residenciales. Comunidad de propietarios Giuseppe Verdi, bloques I y II en Alfafar, Valencia.</t>
  </si>
  <si>
    <t>34.60.6C.02.16</t>
  </si>
  <si>
    <t>Asistencia técnica en redacción de informe pericial acerca de la reclamación que la Agencia Andaluza de la Energía, la promotora de las obras de construcción de la edificación de la "Sede Andaluza de la Energía" y su complementaria, "Edificio de nueva planta", ambas sitas en el parque de la Cartuja de Sevilla inicia contra la UTE GEABENSA, contratista principal en la ejecución de las citadas obras, alegando defectos en la obra y civil e instalaciones de los inmuebles.</t>
  </si>
  <si>
    <t>34.60.6C.02.17</t>
  </si>
  <si>
    <t>Análisis crítico del reinicio de las obras en el proyecto de ampliación del centro comercial de La Roca del Vallés (Barcelona)</t>
  </si>
  <si>
    <t>34.60.6C.02.18</t>
  </si>
  <si>
    <t>Análisis de las dificultades de ejecución surgidas en el desarrollo de la obra del parque eólico LA ESCALERETA II</t>
  </si>
  <si>
    <t>34.60.6C.02.19</t>
  </si>
  <si>
    <t>Informe técnico. Colapso de depósito de vino en la empresa "Bodegas Antonio Candela e Hijos" sita en avenida de la Paz 58 de Yecla (Murcia).</t>
  </si>
  <si>
    <t>34.60.6C.02.20</t>
  </si>
  <si>
    <t>Informe pericial. Análisis de la estructura de bastidores de perfiles conformados para paneles fotovoltaicos en Zuera (Zaragoza).</t>
  </si>
  <si>
    <t>34.60.6C.02.21</t>
  </si>
  <si>
    <t>Asistencia técnica para análisis de movimientos del terreno en las Islas Baleares y la provincia de Granada (España) empleando técnicas de adquisición remota (3D láser escáner y SfM) en el seno del proyecto RISKCOAST</t>
  </si>
  <si>
    <t>34.60.6C.02.22</t>
  </si>
  <si>
    <t>Asistencia Técnica: Redacción de proyecto de rehabilitación de la fachada de la iglesia de San Pedro.</t>
  </si>
  <si>
    <t>34.60.6F.00.06</t>
  </si>
  <si>
    <t xml:space="preserve">REINTEGRO CUOTA PATRONAL CORRESPONDIENTE A SEPTIEMBRE DE 2021. </t>
  </si>
  <si>
    <t xml:space="preserve">APOTIP/2020/001 APOTIP/2020/002 ANUALIDAD 2021   </t>
  </si>
  <si>
    <t xml:space="preserve">RTI2018-101148-B-I00 </t>
  </si>
  <si>
    <t>RESOLUCIÓN CONCESIÓN SUBVENCIONESEMERGENTES GV 2020 EN 2021</t>
  </si>
  <si>
    <t>RTC2019-006964-3 RTC-2019-1 - 2 ANUALIDADFLIB 05/08/2021.PROYECTOS RETOS COLABORACION 2019- ANUAL 2021 RETOS COLABORACION</t>
  </si>
  <si>
    <t>34.60.6P.00.45</t>
  </si>
  <si>
    <t>PID2020-118322RB-I00</t>
  </si>
  <si>
    <t>34.60.6X.00.03</t>
  </si>
  <si>
    <t>PRIMER INGRESO PROYECTO SCORE, SEGÚN INFORMA LA OGPI</t>
  </si>
  <si>
    <t xml:space="preserve">REINTEGRO CUOTA PATRONAL CORRESPONDIENTE A DICIEMBRE DE 2021. </t>
  </si>
  <si>
    <t>34.60.2T.00.12</t>
  </si>
  <si>
    <t>Antonio Carlos Peinado Quiralte. EXPERTO/A EN CÁLCULO DE ESTRUCTURAS CON CYPE</t>
  </si>
  <si>
    <t>José Herrero Gallego. EXPERTO/A EN CÁLCULO DE ESTRUCTURAS CON CYPE</t>
  </si>
  <si>
    <t xml:space="preserve">Plan 9349 curso 2021-22, EXPERTO/A EN CÁLCULO DE ESTRUC - 34.60.2T.00.12 </t>
  </si>
  <si>
    <t>Martínez Serrano, Ana María </t>
  </si>
  <si>
    <t>MORA CABRERA, KAREN VIVIANA </t>
  </si>
  <si>
    <t>Ibáñez Gosálvez, Javier </t>
  </si>
  <si>
    <t>Influencia de la exposición a ambientes reales en la microestructura y propiedades de morteros sostenibles elaborados con cementos binarios y ternarios </t>
  </si>
  <si>
    <t>08/02/2022 </t>
  </si>
  <si>
    <t>24365518P </t>
  </si>
  <si>
    <t>Gisbert Alemany, Ester </t>
  </si>
  <si>
    <t>To do a landscape variations on the Costa Blanca </t>
  </si>
  <si>
    <t>18/07/2022 </t>
  </si>
  <si>
    <t>del Moral Delgado, Beatriz </t>
  </si>
  <si>
    <t>Aplicación práctica de un material cementicio conductor como sensor de deformaciones, mediante la adición híbrida de nanotubos de carbono y polvo de grafito, en elementos a escala real </t>
  </si>
  <si>
    <t>31/03/2022 </t>
  </si>
  <si>
    <t>Miró Oca, Marina </t>
  </si>
  <si>
    <t>APLICACIÓN DE TÉCNICAS ULTRASÓNICAS NO LINEALES A LA DETECCIÓN DE LA FISURACIÓN POR CORROSIÓN DEL ACERO EN HORMIGÓN </t>
  </si>
  <si>
    <t>20/12/2021 </t>
  </si>
  <si>
    <t>Tremiño Agullo, Rosa Maria </t>
  </si>
  <si>
    <t>Efectos muy a largo plazo de las adiciones de polvo de vidrio, polvo de ladrillo y ceniza volcánica en la estructura porosa y durabilidad de morteros de cemento </t>
  </si>
  <si>
    <t>17/05/2022 </t>
  </si>
  <si>
    <t>Farcas , Catalina Mariana </t>
  </si>
  <si>
    <t>FUNCIONES DE CALEFACCIÓN, PREVENCIÓN Y DESHIELO EN MATERIALES INTELIGENTES COMPUESTOS POR MATRICES CEMENTICIAS Y RESINAS CON NANOADICIONES CARBONOSAS HÍBRIDAS O CON MATERIALES DE DESECHO </t>
  </si>
  <si>
    <t>19/01/2022 </t>
  </si>
  <si>
    <t>U066 </t>
  </si>
  <si>
    <t>ADM. I.U. FÍSICA APLICADA A LA CIENCIAS Y A LAS TECNOLOGIAS </t>
  </si>
  <si>
    <t>DOCTORADO EN FÍSICA APLICADA A LAS CIENCIAS Y LAS TECNOLOGÍAS </t>
  </si>
  <si>
    <t>Tomás López, María Baralida </t>
  </si>
  <si>
    <t>Estudio e implementación de técnicas subpíxel para medidas no invasivas </t>
  </si>
  <si>
    <t>10/06/2022 </t>
  </si>
  <si>
    <t>25414751G </t>
  </si>
  <si>
    <t>21664652D</t>
  </si>
  <si>
    <t>NAVARRO MARTINEZ, ROSA MARIA</t>
  </si>
  <si>
    <t>21689116R</t>
  </si>
  <si>
    <t>PEREIRO BARCELO, JAVIER</t>
  </si>
  <si>
    <t>33471586P</t>
  </si>
  <si>
    <t>TORRES GORRIZ, BENJAMIN</t>
  </si>
  <si>
    <t>48561731Z</t>
  </si>
  <si>
    <t>BRU ORTS, DAVID</t>
  </si>
  <si>
    <t>75231179L</t>
  </si>
  <si>
    <t>DIAZ CASTAÑEDA, ESTEBAN</t>
  </si>
  <si>
    <t>Total ingresos investigación 2019-2020-2021</t>
  </si>
  <si>
    <t>Total ingresos formación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</si>
</sst>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11"/>
      <color theme="1"/>
      <name val="Calibri"/>
      <family val="2"/>
      <scheme val="minor"/>
    </font>
    <font>
      <sz val="8"/>
      <color rgb="FF000000"/>
      <name val="Arial"/>
      <family val="2"/>
    </font>
    <font>
      <b/>
      <sz val="8"/>
      <color rgb="FFFFFFFF"/>
      <name val="Arial"/>
      <family val="2"/>
    </font>
    <font>
      <b/>
      <sz val="8"/>
      <color rgb="FF000000"/>
      <name val="Arial"/>
      <family val="2"/>
    </font>
    <font>
      <b/>
      <sz val="11"/>
      <color theme="0"/>
      <name val="Calibri"/>
      <family val="2"/>
      <scheme val="minor"/>
    </font>
    <font>
      <b/>
      <sz val="11"/>
      <color theme="1"/>
      <name val="Calibri"/>
      <family val="2"/>
      <scheme val="minor"/>
    </font>
    <font>
      <sz val="11"/>
      <color rgb="FF000000"/>
      <name val="Calibri"/>
      <family val="2"/>
      <scheme val="minor"/>
    </font>
    <font>
      <b/>
      <sz val="10"/>
      <color theme="1"/>
      <name val="Arial"/>
      <family val="2"/>
    </font>
  </fonts>
  <fills count="1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rgb="FFB2B2B2"/>
        <bgColor indexed="64"/>
      </patternFill>
    </fill>
    <fill>
      <patternFill patternType="solid">
        <fgColor rgb="FFE5E5E5"/>
        <bgColor indexed="64"/>
      </patternFill>
    </fill>
    <fill>
      <patternFill patternType="solid">
        <fgColor rgb="FFCCCCCC"/>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FFF2CC"/>
        <bgColor rgb="FF000000"/>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rgb="FF878787"/>
      </left>
      <right/>
      <top style="medium">
        <color rgb="FF878787"/>
      </top>
      <bottom style="medium">
        <color rgb="FF878787"/>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rgb="FF878787"/>
      </left>
      <right style="medium">
        <color rgb="FF878787"/>
      </right>
      <top style="medium">
        <color rgb="FF878787"/>
      </top>
      <bottom/>
      <diagonal/>
    </border>
    <border>
      <left/>
      <right/>
      <top style="medium">
        <color rgb="FF878787"/>
      </top>
      <bottom style="medium">
        <color rgb="FF878787"/>
      </bottom>
      <diagonal/>
    </border>
    <border>
      <left style="medium">
        <color rgb="FF878787"/>
      </left>
      <right style="medium">
        <color rgb="FF878787"/>
      </right>
      <top/>
      <bottom/>
      <diagonal/>
    </border>
    <border>
      <left style="medium">
        <color rgb="FF878787"/>
      </left>
      <right style="medium">
        <color rgb="FF878787"/>
      </right>
      <top/>
      <bottom style="medium">
        <color rgb="FF878787"/>
      </bottom>
      <diagonal/>
    </border>
    <border>
      <left style="medium">
        <color rgb="FF878787"/>
      </left>
      <right/>
      <top style="medium">
        <color rgb="FF878787"/>
      </top>
      <bottom/>
      <diagonal/>
    </border>
    <border>
      <left/>
      <right style="medium">
        <color rgb="FF878787"/>
      </right>
      <top style="medium">
        <color rgb="FF878787"/>
      </top>
      <bottom/>
      <diagonal/>
    </border>
    <border>
      <left style="thin">
        <color rgb="FF878787"/>
      </left>
      <right style="medium">
        <color rgb="FF878787"/>
      </right>
      <top style="medium">
        <color rgb="FF878787"/>
      </top>
      <bottom style="thin">
        <color rgb="FF878787"/>
      </bottom>
      <diagonal/>
    </border>
    <border>
      <left style="medium">
        <color rgb="FF878787"/>
      </left>
      <right/>
      <top/>
      <bottom style="medium">
        <color rgb="FF878787"/>
      </bottom>
      <diagonal/>
    </border>
    <border>
      <left/>
      <right style="medium">
        <color rgb="FF878787"/>
      </right>
      <top/>
      <bottom style="medium">
        <color rgb="FF878787"/>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ck">
        <color theme="0"/>
      </top>
      <bottom/>
      <diagonal/>
    </border>
    <border>
      <left style="thin">
        <color theme="0"/>
      </left>
      <right/>
      <top style="thick">
        <color theme="0"/>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right/>
      <top style="thin">
        <color indexed="64"/>
      </top>
      <bottom style="thin">
        <color indexed="64"/>
      </bottom>
      <diagonal/>
    </border>
  </borders>
  <cellStyleXfs count="9">
    <xf numFmtId="0" fontId="0" fillId="0" borderId="0"/>
    <xf numFmtId="0" fontId="3" fillId="0" borderId="0"/>
    <xf numFmtId="0" fontId="6" fillId="0" borderId="0"/>
    <xf numFmtId="0" fontId="6" fillId="0" borderId="0"/>
    <xf numFmtId="0" fontId="7" fillId="0" borderId="0"/>
    <xf numFmtId="0" fontId="1" fillId="0" borderId="0"/>
    <xf numFmtId="0" fontId="11" fillId="0" borderId="0"/>
    <xf numFmtId="0" fontId="11" fillId="0" borderId="0"/>
    <xf numFmtId="0" fontId="11" fillId="0" borderId="0"/>
  </cellStyleXfs>
  <cellXfs count="145">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4" fontId="3" fillId="4" borderId="1" xfId="1" applyNumberFormat="1" applyFill="1" applyBorder="1"/>
    <xf numFmtId="0" fontId="3" fillId="4" borderId="5" xfId="1" applyFill="1" applyBorder="1"/>
    <xf numFmtId="0" fontId="3" fillId="4" borderId="5" xfId="1" applyFill="1" applyBorder="1" applyAlignment="1">
      <alignment horizontal="right"/>
    </xf>
    <xf numFmtId="1" fontId="3" fillId="4" borderId="5" xfId="1" applyNumberFormat="1" applyFill="1" applyBorder="1"/>
    <xf numFmtId="164" fontId="3" fillId="4" borderId="5" xfId="1" applyNumberFormat="1" applyFill="1" applyBorder="1"/>
    <xf numFmtId="0" fontId="3" fillId="0" borderId="1" xfId="1" applyBorder="1"/>
    <xf numFmtId="0" fontId="3" fillId="4" borderId="6" xfId="1" applyFill="1" applyBorder="1"/>
    <xf numFmtId="0" fontId="12" fillId="6" borderId="1" xfId="0" applyFont="1" applyFill="1" applyBorder="1" applyAlignment="1">
      <alignment horizontal="left" vertical="center"/>
    </xf>
    <xf numFmtId="0" fontId="12" fillId="6" borderId="3" xfId="0" applyFont="1" applyFill="1" applyBorder="1" applyAlignment="1">
      <alignment horizontal="left" vertical="center"/>
    </xf>
    <xf numFmtId="0" fontId="12" fillId="6" borderId="4" xfId="0" applyFont="1" applyFill="1" applyBorder="1" applyAlignment="1">
      <alignment horizontal="left" vertical="center"/>
    </xf>
    <xf numFmtId="0" fontId="12" fillId="6" borderId="2" xfId="0" applyFont="1" applyFill="1" applyBorder="1" applyAlignment="1">
      <alignment horizontal="left" vertical="center"/>
    </xf>
    <xf numFmtId="0" fontId="12" fillId="6" borderId="7" xfId="8" applyFont="1" applyFill="1" applyBorder="1" applyAlignment="1">
      <alignment horizontal="left" vertical="center"/>
    </xf>
    <xf numFmtId="0" fontId="13" fillId="7" borderId="2" xfId="8" applyFont="1" applyFill="1" applyBorder="1" applyAlignment="1">
      <alignment horizontal="left" vertical="center"/>
    </xf>
    <xf numFmtId="0" fontId="13" fillId="7" borderId="8" xfId="8" applyFont="1" applyFill="1" applyBorder="1" applyAlignment="1">
      <alignment horizontal="left" vertical="center"/>
    </xf>
    <xf numFmtId="0" fontId="13" fillId="7" borderId="3" xfId="8" applyFont="1" applyFill="1" applyBorder="1" applyAlignment="1">
      <alignment horizontal="left" vertical="center"/>
    </xf>
    <xf numFmtId="0" fontId="14" fillId="8" borderId="4" xfId="8" applyFont="1" applyFill="1" applyBorder="1" applyAlignment="1">
      <alignment horizontal="right" vertical="center"/>
    </xf>
    <xf numFmtId="4" fontId="14" fillId="8" borderId="4" xfId="8" applyNumberFormat="1" applyFont="1" applyFill="1" applyBorder="1" applyAlignment="1">
      <alignment horizontal="right" vertical="center"/>
    </xf>
    <xf numFmtId="3" fontId="14" fillId="8" borderId="4" xfId="8" applyNumberFormat="1" applyFont="1" applyFill="1" applyBorder="1" applyAlignment="1">
      <alignment horizontal="right" vertical="center"/>
    </xf>
    <xf numFmtId="0" fontId="12" fillId="6" borderId="9" xfId="8" applyFont="1" applyFill="1" applyBorder="1" applyAlignment="1">
      <alignment horizontal="left" vertical="center"/>
    </xf>
    <xf numFmtId="0" fontId="12" fillId="6" borderId="4" xfId="8" applyFont="1" applyFill="1" applyBorder="1" applyAlignment="1">
      <alignment horizontal="left" vertical="center"/>
    </xf>
    <xf numFmtId="0" fontId="12" fillId="6" borderId="2" xfId="8" applyFont="1" applyFill="1" applyBorder="1" applyAlignment="1">
      <alignment horizontal="left" vertical="center"/>
    </xf>
    <xf numFmtId="0" fontId="12" fillId="6" borderId="3" xfId="8" applyFont="1" applyFill="1" applyBorder="1" applyAlignment="1">
      <alignment horizontal="left" vertical="center"/>
    </xf>
    <xf numFmtId="0" fontId="12" fillId="6" borderId="4" xfId="8" applyFont="1" applyFill="1" applyBorder="1" applyAlignment="1">
      <alignment horizontal="right"/>
    </xf>
    <xf numFmtId="4" fontId="12" fillId="6" borderId="4" xfId="8" applyNumberFormat="1" applyFont="1" applyFill="1" applyBorder="1" applyAlignment="1">
      <alignment horizontal="right"/>
    </xf>
    <xf numFmtId="3" fontId="12" fillId="6" borderId="4" xfId="8" applyNumberFormat="1" applyFont="1" applyFill="1" applyBorder="1" applyAlignment="1">
      <alignment horizontal="right"/>
    </xf>
    <xf numFmtId="0" fontId="12" fillId="6" borderId="10" xfId="8" applyFont="1" applyFill="1" applyBorder="1" applyAlignment="1">
      <alignment horizontal="left" vertical="center"/>
    </xf>
    <xf numFmtId="0" fontId="14" fillId="9" borderId="11" xfId="8" applyFont="1" applyFill="1" applyBorder="1"/>
    <xf numFmtId="0" fontId="14" fillId="9" borderId="12" xfId="8" applyFont="1" applyFill="1" applyBorder="1"/>
    <xf numFmtId="0" fontId="12" fillId="9" borderId="13" xfId="8" applyFont="1" applyFill="1" applyBorder="1" applyAlignment="1">
      <alignment horizontal="right" vertical="top"/>
    </xf>
    <xf numFmtId="0" fontId="14" fillId="9" borderId="2" xfId="8" applyFont="1" applyFill="1" applyBorder="1" applyAlignment="1">
      <alignment horizontal="center"/>
    </xf>
    <xf numFmtId="0" fontId="14" fillId="9" borderId="8" xfId="8" applyFont="1" applyFill="1" applyBorder="1" applyAlignment="1">
      <alignment horizontal="center"/>
    </xf>
    <xf numFmtId="0" fontId="14" fillId="9" borderId="3" xfId="8" applyFont="1" applyFill="1" applyBorder="1" applyAlignment="1">
      <alignment horizontal="center"/>
    </xf>
    <xf numFmtId="0" fontId="14" fillId="9" borderId="14" xfId="8" applyFont="1" applyFill="1" applyBorder="1"/>
    <xf numFmtId="0" fontId="14" fillId="9" borderId="15" xfId="8" applyFont="1" applyFill="1" applyBorder="1"/>
    <xf numFmtId="0" fontId="14" fillId="9" borderId="4" xfId="8" applyFont="1" applyFill="1" applyBorder="1" applyAlignment="1">
      <alignment horizontal="center"/>
    </xf>
    <xf numFmtId="0" fontId="11" fillId="0" borderId="0" xfId="6" applyAlignment="1"/>
    <xf numFmtId="4" fontId="11" fillId="0" borderId="0" xfId="6" applyNumberFormat="1" applyAlignment="1"/>
    <xf numFmtId="0" fontId="14" fillId="8" borderId="4" xfId="6" applyFont="1" applyFill="1" applyBorder="1" applyAlignment="1">
      <alignment horizontal="right" vertical="center"/>
    </xf>
    <xf numFmtId="0" fontId="12" fillId="6" borderId="4" xfId="6" applyFont="1" applyFill="1" applyBorder="1" applyAlignment="1">
      <alignment horizontal="right"/>
    </xf>
    <xf numFmtId="0" fontId="12" fillId="6" borderId="3" xfId="6" applyFont="1" applyFill="1" applyBorder="1" applyAlignment="1">
      <alignment horizontal="left" vertical="center"/>
    </xf>
    <xf numFmtId="0" fontId="12" fillId="6" borderId="2" xfId="6" applyFont="1" applyFill="1" applyBorder="1" applyAlignment="1">
      <alignment horizontal="left" vertical="center"/>
    </xf>
    <xf numFmtId="0" fontId="12" fillId="6" borderId="4" xfId="6" applyFont="1" applyFill="1" applyBorder="1" applyAlignment="1">
      <alignment horizontal="left" vertical="center"/>
    </xf>
    <xf numFmtId="0" fontId="12" fillId="6" borderId="10" xfId="6" applyFont="1" applyFill="1" applyBorder="1" applyAlignment="1">
      <alignment horizontal="left" vertical="center"/>
    </xf>
    <xf numFmtId="4" fontId="14" fillId="8" borderId="4" xfId="6" applyNumberFormat="1" applyFont="1" applyFill="1" applyBorder="1" applyAlignment="1">
      <alignment horizontal="right" vertical="center"/>
    </xf>
    <xf numFmtId="4" fontId="12" fillId="6" borderId="4" xfId="6" applyNumberFormat="1" applyFont="1" applyFill="1" applyBorder="1" applyAlignment="1">
      <alignment horizontal="right"/>
    </xf>
    <xf numFmtId="0" fontId="12" fillId="6" borderId="9" xfId="6" applyFont="1" applyFill="1" applyBorder="1" applyAlignment="1">
      <alignment horizontal="left" vertical="center"/>
    </xf>
    <xf numFmtId="0" fontId="12" fillId="6" borderId="7" xfId="6" applyFont="1" applyFill="1" applyBorder="1" applyAlignment="1">
      <alignment horizontal="left" vertical="center"/>
    </xf>
    <xf numFmtId="0" fontId="14" fillId="9" borderId="4" xfId="6" applyFont="1" applyFill="1" applyBorder="1" applyAlignment="1">
      <alignment horizontal="center"/>
    </xf>
    <xf numFmtId="0" fontId="14" fillId="9" borderId="13" xfId="6" applyFont="1" applyFill="1" applyBorder="1" applyAlignment="1">
      <alignment horizontal="right" vertical="top"/>
    </xf>
    <xf numFmtId="0" fontId="14" fillId="9" borderId="15" xfId="6" applyFont="1" applyFill="1" applyBorder="1" applyAlignment="1"/>
    <xf numFmtId="0" fontId="14" fillId="9" borderId="14" xfId="6" applyFont="1" applyFill="1" applyBorder="1" applyAlignment="1"/>
    <xf numFmtId="0" fontId="14" fillId="9" borderId="3" xfId="6" applyFont="1" applyFill="1" applyBorder="1" applyAlignment="1">
      <alignment horizontal="center"/>
    </xf>
    <xf numFmtId="0" fontId="14" fillId="9" borderId="8" xfId="6" applyFont="1" applyFill="1" applyBorder="1" applyAlignment="1">
      <alignment horizontal="center"/>
    </xf>
    <xf numFmtId="0" fontId="14" fillId="9" borderId="2" xfId="6" applyFont="1" applyFill="1" applyBorder="1" applyAlignment="1">
      <alignment horizontal="center"/>
    </xf>
    <xf numFmtId="0" fontId="12" fillId="9" borderId="13" xfId="6" applyFont="1" applyFill="1" applyBorder="1" applyAlignment="1">
      <alignment horizontal="right" vertical="top"/>
    </xf>
    <xf numFmtId="0" fontId="14" fillId="9" borderId="12" xfId="6" applyFont="1" applyFill="1" applyBorder="1" applyAlignment="1"/>
    <xf numFmtId="0" fontId="14" fillId="9" borderId="11" xfId="6" applyFont="1" applyFill="1" applyBorder="1" applyAlignment="1"/>
    <xf numFmtId="0" fontId="13" fillId="7" borderId="2" xfId="6" applyFont="1" applyFill="1" applyBorder="1" applyAlignment="1">
      <alignment horizontal="left" vertical="center"/>
    </xf>
    <xf numFmtId="0" fontId="13" fillId="7" borderId="8" xfId="6" applyFont="1" applyFill="1" applyBorder="1" applyAlignment="1">
      <alignment horizontal="left" vertical="center"/>
    </xf>
    <xf numFmtId="0" fontId="13" fillId="7" borderId="3" xfId="6" applyFont="1" applyFill="1" applyBorder="1" applyAlignment="1">
      <alignment horizontal="left" vertical="center"/>
    </xf>
    <xf numFmtId="0" fontId="14" fillId="9" borderId="11" xfId="7" applyFont="1" applyFill="1" applyBorder="1" applyAlignment="1"/>
    <xf numFmtId="0" fontId="14" fillId="9" borderId="12" xfId="7" applyFont="1" applyFill="1" applyBorder="1" applyAlignment="1"/>
    <xf numFmtId="0" fontId="12" fillId="9" borderId="13" xfId="7" applyFont="1" applyFill="1" applyBorder="1" applyAlignment="1">
      <alignment horizontal="right" vertical="top"/>
    </xf>
    <xf numFmtId="0" fontId="14" fillId="9" borderId="2" xfId="7" applyFont="1" applyFill="1" applyBorder="1" applyAlignment="1">
      <alignment horizontal="center"/>
    </xf>
    <xf numFmtId="0" fontId="14" fillId="9" borderId="8" xfId="7" applyFont="1" applyFill="1" applyBorder="1" applyAlignment="1">
      <alignment horizontal="center"/>
    </xf>
    <xf numFmtId="0" fontId="14" fillId="9" borderId="3" xfId="7" applyFont="1" applyFill="1" applyBorder="1" applyAlignment="1">
      <alignment horizontal="center"/>
    </xf>
    <xf numFmtId="0" fontId="11" fillId="0" borderId="0" xfId="7" applyAlignment="1"/>
    <xf numFmtId="0" fontId="14" fillId="9" borderId="14" xfId="7" applyFont="1" applyFill="1" applyBorder="1" applyAlignment="1"/>
    <xf numFmtId="0" fontId="14" fillId="9" borderId="15" xfId="7" applyFont="1" applyFill="1" applyBorder="1" applyAlignment="1"/>
    <xf numFmtId="0" fontId="14" fillId="9" borderId="4" xfId="7" applyFont="1" applyFill="1" applyBorder="1" applyAlignment="1">
      <alignment horizontal="center"/>
    </xf>
    <xf numFmtId="0" fontId="12" fillId="6" borderId="7" xfId="7" applyFont="1" applyFill="1" applyBorder="1" applyAlignment="1">
      <alignment horizontal="left" vertical="center"/>
    </xf>
    <xf numFmtId="0" fontId="12" fillId="6" borderId="4" xfId="7" applyFont="1" applyFill="1" applyBorder="1" applyAlignment="1">
      <alignment horizontal="left" vertical="center"/>
    </xf>
    <xf numFmtId="0" fontId="12" fillId="6" borderId="2" xfId="7" applyFont="1" applyFill="1" applyBorder="1" applyAlignment="1">
      <alignment horizontal="left" vertical="center"/>
    </xf>
    <xf numFmtId="0" fontId="12" fillId="6" borderId="3" xfId="7" applyFont="1" applyFill="1" applyBorder="1" applyAlignment="1">
      <alignment horizontal="left" vertical="center"/>
    </xf>
    <xf numFmtId="0" fontId="12" fillId="6" borderId="4" xfId="7" applyFont="1" applyFill="1" applyBorder="1" applyAlignment="1">
      <alignment horizontal="right"/>
    </xf>
    <xf numFmtId="4" fontId="12" fillId="6" borderId="4" xfId="7" applyNumberFormat="1" applyFont="1" applyFill="1" applyBorder="1" applyAlignment="1">
      <alignment horizontal="right"/>
    </xf>
    <xf numFmtId="4" fontId="14" fillId="8" borderId="4" xfId="7" applyNumberFormat="1" applyFont="1" applyFill="1" applyBorder="1" applyAlignment="1">
      <alignment horizontal="right" vertical="center"/>
    </xf>
    <xf numFmtId="0" fontId="12" fillId="6" borderId="9" xfId="7" applyFont="1" applyFill="1" applyBorder="1" applyAlignment="1">
      <alignment horizontal="left" vertical="center"/>
    </xf>
    <xf numFmtId="0" fontId="14" fillId="8" borderId="4" xfId="7" applyFont="1" applyFill="1" applyBorder="1" applyAlignment="1">
      <alignment horizontal="right" vertical="center"/>
    </xf>
    <xf numFmtId="0" fontId="12" fillId="6" borderId="10" xfId="7" applyFont="1" applyFill="1" applyBorder="1" applyAlignment="1">
      <alignment horizontal="left" vertical="center"/>
    </xf>
    <xf numFmtId="4" fontId="11" fillId="0" borderId="0" xfId="7" applyNumberFormat="1" applyAlignment="1"/>
    <xf numFmtId="0" fontId="13" fillId="7" borderId="2" xfId="7" applyFont="1" applyFill="1" applyBorder="1" applyAlignment="1">
      <alignment horizontal="left" vertical="center"/>
    </xf>
    <xf numFmtId="0" fontId="13" fillId="7" borderId="8" xfId="7" applyFont="1" applyFill="1" applyBorder="1" applyAlignment="1">
      <alignment horizontal="left" vertical="center"/>
    </xf>
    <xf numFmtId="0" fontId="13" fillId="7" borderId="3" xfId="7" applyFont="1" applyFill="1" applyBorder="1" applyAlignment="1">
      <alignment horizontal="left" vertical="center"/>
    </xf>
    <xf numFmtId="0" fontId="15" fillId="10" borderId="16" xfId="0" applyFont="1" applyFill="1" applyBorder="1"/>
    <xf numFmtId="0" fontId="15" fillId="10" borderId="17" xfId="0" applyFont="1" applyFill="1" applyBorder="1" applyAlignment="1">
      <alignment horizontal="right"/>
    </xf>
    <xf numFmtId="0" fontId="15" fillId="10" borderId="20" xfId="0" applyFont="1" applyFill="1" applyBorder="1"/>
    <xf numFmtId="4" fontId="15" fillId="10" borderId="21" xfId="0" applyNumberFormat="1" applyFont="1" applyFill="1" applyBorder="1"/>
    <xf numFmtId="0" fontId="0" fillId="11" borderId="18" xfId="0" applyFill="1" applyBorder="1" applyAlignment="1">
      <alignment vertical="center"/>
    </xf>
    <xf numFmtId="0" fontId="0" fillId="11" borderId="18" xfId="0" applyFill="1" applyBorder="1" applyAlignment="1">
      <alignment vertical="center" wrapText="1"/>
    </xf>
    <xf numFmtId="4" fontId="0" fillId="11" borderId="19" xfId="0" applyNumberFormat="1" applyFill="1" applyBorder="1" applyAlignment="1">
      <alignment vertical="center"/>
    </xf>
    <xf numFmtId="0" fontId="0" fillId="12" borderId="18" xfId="0" applyFill="1" applyBorder="1" applyAlignment="1">
      <alignment vertical="center"/>
    </xf>
    <xf numFmtId="0" fontId="0" fillId="12" borderId="18" xfId="0" applyFill="1" applyBorder="1" applyAlignment="1">
      <alignment vertical="center" wrapText="1"/>
    </xf>
    <xf numFmtId="4" fontId="0" fillId="12" borderId="19" xfId="0" applyNumberFormat="1" applyFill="1" applyBorder="1" applyAlignment="1">
      <alignment vertical="center"/>
    </xf>
    <xf numFmtId="4" fontId="0" fillId="0" borderId="0" xfId="0" applyNumberFormat="1"/>
    <xf numFmtId="0" fontId="15" fillId="10" borderId="22" xfId="0" applyFont="1" applyFill="1" applyBorder="1"/>
    <xf numFmtId="0" fontId="15" fillId="10" borderId="23" xfId="0" applyFont="1" applyFill="1" applyBorder="1"/>
    <xf numFmtId="0" fontId="16" fillId="0" borderId="24" xfId="0" applyFont="1" applyBorder="1"/>
    <xf numFmtId="4" fontId="16" fillId="0" borderId="25" xfId="0" applyNumberFormat="1" applyFont="1" applyBorder="1"/>
    <xf numFmtId="0" fontId="0" fillId="12" borderId="22" xfId="0" applyFill="1" applyBorder="1" applyAlignment="1">
      <alignment vertical="center"/>
    </xf>
    <xf numFmtId="0" fontId="0" fillId="12" borderId="22" xfId="0" applyFill="1" applyBorder="1" applyAlignment="1">
      <alignment vertical="center" wrapText="1"/>
    </xf>
    <xf numFmtId="4" fontId="0" fillId="12" borderId="23" xfId="0" applyNumberFormat="1" applyFill="1" applyBorder="1" applyAlignment="1">
      <alignment vertical="center"/>
    </xf>
    <xf numFmtId="0" fontId="0" fillId="0" borderId="22" xfId="0" applyBorder="1" applyAlignment="1">
      <alignment vertical="center"/>
    </xf>
    <xf numFmtId="0" fontId="0" fillId="0" borderId="22" xfId="0" applyBorder="1" applyAlignment="1">
      <alignment vertical="center" wrapText="1"/>
    </xf>
    <xf numFmtId="4" fontId="0" fillId="0" borderId="23" xfId="0" applyNumberFormat="1" applyBorder="1" applyAlignment="1">
      <alignment vertical="center"/>
    </xf>
    <xf numFmtId="165" fontId="3" fillId="4" borderId="1" xfId="1" applyNumberFormat="1" applyFill="1" applyBorder="1"/>
    <xf numFmtId="165" fontId="3" fillId="4" borderId="5" xfId="1" applyNumberFormat="1" applyFill="1" applyBorder="1"/>
    <xf numFmtId="2" fontId="3" fillId="4" borderId="1" xfId="1" applyNumberFormat="1" applyFill="1" applyBorder="1"/>
    <xf numFmtId="0" fontId="3" fillId="13" borderId="26" xfId="1" applyFont="1" applyFill="1" applyBorder="1" applyAlignment="1"/>
    <xf numFmtId="0" fontId="3" fillId="13" borderId="26" xfId="1" applyFont="1" applyFill="1" applyBorder="1" applyAlignment="1">
      <alignment horizontal="right"/>
    </xf>
    <xf numFmtId="0" fontId="0" fillId="0" borderId="1" xfId="0" applyBorder="1" applyAlignment="1">
      <alignment horizontal="left"/>
    </xf>
    <xf numFmtId="0" fontId="10" fillId="13" borderId="26" xfId="5" applyFont="1" applyFill="1" applyBorder="1"/>
    <xf numFmtId="0" fontId="10" fillId="13" borderId="26" xfId="5" applyFont="1" applyFill="1" applyBorder="1" applyAlignment="1">
      <alignment horizontal="right"/>
    </xf>
    <xf numFmtId="0" fontId="17" fillId="14" borderId="1" xfId="0" applyFont="1" applyFill="1" applyBorder="1" applyAlignment="1">
      <alignment horizontal="right"/>
    </xf>
    <xf numFmtId="4" fontId="0" fillId="13" borderId="1" xfId="0" applyNumberFormat="1" applyFill="1" applyBorder="1"/>
    <xf numFmtId="164" fontId="4" fillId="13" borderId="26" xfId="1" applyNumberFormat="1" applyFont="1" applyFill="1" applyBorder="1" applyAlignment="1"/>
    <xf numFmtId="0" fontId="18" fillId="13" borderId="26" xfId="5" applyFont="1" applyFill="1" applyBorder="1"/>
  </cellXfs>
  <cellStyles count="9">
    <cellStyle name="Normal" xfId="0" builtinId="0"/>
    <cellStyle name="Normal 17" xfId="6" xr:uid="{00000000-0005-0000-0000-000001000000}"/>
    <cellStyle name="Normal 19" xfId="7" xr:uid="{00000000-0005-0000-0000-000002000000}"/>
    <cellStyle name="Normal 2" xfId="4" xr:uid="{00000000-0005-0000-0000-000003000000}"/>
    <cellStyle name="Normal 20" xfId="8" xr:uid="{E9EFA065-8F6F-4829-8C68-081479C31C6D}"/>
    <cellStyle name="Normal 3" xfId="5" xr:uid="{00000000-0005-0000-0000-000004000000}"/>
    <cellStyle name="Normal_Becas 14_9_2005" xfId="2" xr:uid="{00000000-0005-0000-0000-000005000000}"/>
    <cellStyle name="Normal_Ind.2010" xfId="1" xr:uid="{00000000-0005-0000-0000-000006000000}"/>
    <cellStyle name="Normal_PDI por Centro" xfId="3"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D5359-3444-4440-889B-49BE570D3088}">
  <dimension ref="A1:H9"/>
  <sheetViews>
    <sheetView showGridLines="0" tabSelected="1" workbookViewId="0">
      <selection activeCell="F9" sqref="F9"/>
    </sheetView>
  </sheetViews>
  <sheetFormatPr baseColWidth="10" defaultColWidth="11.44140625" defaultRowHeight="14.4" x14ac:dyDescent="0.3"/>
  <cols>
    <col min="1" max="1" width="5.6640625" style="94" customWidth="1"/>
    <col min="2" max="2" width="52.5546875" style="94" customWidth="1"/>
    <col min="3" max="3" width="5.6640625" style="94" customWidth="1"/>
    <col min="4" max="4" width="26.44140625" style="94" customWidth="1"/>
    <col min="5" max="5" width="34.109375" style="94" customWidth="1"/>
    <col min="6" max="6" width="11.44140625" style="94" customWidth="1"/>
    <col min="7" max="7" width="26.33203125" style="94" customWidth="1"/>
    <col min="8" max="8" width="11.88671875" style="94" customWidth="1"/>
    <col min="9" max="16384" width="11.44140625" style="94"/>
  </cols>
  <sheetData>
    <row r="1" spans="1:8" ht="15" thickBot="1" x14ac:dyDescent="0.35">
      <c r="A1" s="88" t="s">
        <v>471</v>
      </c>
      <c r="B1" s="89"/>
      <c r="C1" s="88" t="s">
        <v>472</v>
      </c>
      <c r="D1" s="89"/>
      <c r="E1" s="90"/>
      <c r="F1" s="91" t="s">
        <v>493</v>
      </c>
      <c r="G1" s="92"/>
      <c r="H1" s="93"/>
    </row>
    <row r="2" spans="1:8" ht="15" thickBot="1" x14ac:dyDescent="0.35">
      <c r="A2" s="95"/>
      <c r="B2" s="96"/>
      <c r="C2" s="95"/>
      <c r="D2" s="96"/>
      <c r="E2" s="90" t="s">
        <v>475</v>
      </c>
      <c r="F2" s="97" t="s">
        <v>477</v>
      </c>
      <c r="G2" s="97" t="s">
        <v>478</v>
      </c>
      <c r="H2" s="97" t="s">
        <v>464</v>
      </c>
    </row>
    <row r="3" spans="1:8" ht="15" thickBot="1" x14ac:dyDescent="0.35">
      <c r="A3" s="98" t="s">
        <v>89</v>
      </c>
      <c r="B3" s="98" t="s">
        <v>69</v>
      </c>
      <c r="C3" s="109" t="s">
        <v>464</v>
      </c>
      <c r="D3" s="110"/>
      <c r="E3" s="111"/>
      <c r="F3" s="104">
        <v>12498.85</v>
      </c>
      <c r="G3" s="104">
        <v>1933.93</v>
      </c>
      <c r="H3" s="104">
        <v>14432.78</v>
      </c>
    </row>
    <row r="4" spans="1:8" ht="15" thickBot="1" x14ac:dyDescent="0.35">
      <c r="A4" s="105" t="s">
        <v>35</v>
      </c>
      <c r="B4" s="105"/>
      <c r="C4" s="99" t="s">
        <v>486</v>
      </c>
      <c r="D4" s="100" t="s">
        <v>465</v>
      </c>
      <c r="E4" s="101"/>
      <c r="F4" s="103">
        <v>3955.05</v>
      </c>
      <c r="G4" s="102">
        <v>505.58</v>
      </c>
      <c r="H4" s="104">
        <v>4460.63</v>
      </c>
    </row>
    <row r="5" spans="1:8" ht="15" thickBot="1" x14ac:dyDescent="0.35">
      <c r="A5" s="105" t="s">
        <v>35</v>
      </c>
      <c r="B5" s="105"/>
      <c r="C5" s="99" t="s">
        <v>485</v>
      </c>
      <c r="D5" s="100" t="s">
        <v>466</v>
      </c>
      <c r="E5" s="101"/>
      <c r="F5" s="103">
        <v>1305.2</v>
      </c>
      <c r="G5" s="102">
        <v>507.85</v>
      </c>
      <c r="H5" s="104">
        <v>1813.05</v>
      </c>
    </row>
    <row r="6" spans="1:8" ht="15" thickBot="1" x14ac:dyDescent="0.35">
      <c r="A6" s="105" t="s">
        <v>35</v>
      </c>
      <c r="B6" s="105"/>
      <c r="C6" s="99" t="s">
        <v>484</v>
      </c>
      <c r="D6" s="100" t="s">
        <v>467</v>
      </c>
      <c r="E6" s="101"/>
      <c r="F6" s="102">
        <v>882.55</v>
      </c>
      <c r="G6" s="102">
        <v>211.2</v>
      </c>
      <c r="H6" s="104">
        <v>1093.75</v>
      </c>
    </row>
    <row r="7" spans="1:8" ht="15" thickBot="1" x14ac:dyDescent="0.35">
      <c r="A7" s="105" t="s">
        <v>35</v>
      </c>
      <c r="B7" s="105"/>
      <c r="C7" s="99" t="s">
        <v>483</v>
      </c>
      <c r="D7" s="100" t="s">
        <v>468</v>
      </c>
      <c r="E7" s="101"/>
      <c r="F7" s="102">
        <v>456</v>
      </c>
      <c r="G7" s="102"/>
      <c r="H7" s="106">
        <v>456</v>
      </c>
    </row>
    <row r="8" spans="1:8" ht="15" thickBot="1" x14ac:dyDescent="0.35">
      <c r="A8" s="105" t="s">
        <v>35</v>
      </c>
      <c r="B8" s="105"/>
      <c r="C8" s="99" t="s">
        <v>482</v>
      </c>
      <c r="D8" s="100" t="s">
        <v>469</v>
      </c>
      <c r="E8" s="101"/>
      <c r="F8" s="103">
        <v>1392.05</v>
      </c>
      <c r="G8" s="102">
        <v>260.5</v>
      </c>
      <c r="H8" s="104">
        <v>1652.55</v>
      </c>
    </row>
    <row r="9" spans="1:8" ht="15" thickBot="1" x14ac:dyDescent="0.35">
      <c r="A9" s="107" t="s">
        <v>35</v>
      </c>
      <c r="B9" s="107"/>
      <c r="C9" s="99" t="s">
        <v>481</v>
      </c>
      <c r="D9" s="100" t="s">
        <v>470</v>
      </c>
      <c r="E9" s="101"/>
      <c r="F9" s="103">
        <v>4508</v>
      </c>
      <c r="G9" s="102">
        <v>448.8</v>
      </c>
      <c r="H9" s="104">
        <v>4956.8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7A874-78E8-43D1-9B76-1362A2332895}">
  <dimension ref="A1:J9"/>
  <sheetViews>
    <sheetView showGridLines="0" workbookViewId="0">
      <selection activeCell="G14" sqref="G14"/>
    </sheetView>
  </sheetViews>
  <sheetFormatPr baseColWidth="10" defaultColWidth="11.44140625" defaultRowHeight="14.4" x14ac:dyDescent="0.3"/>
  <cols>
    <col min="1" max="1" width="45.6640625" style="94" bestFit="1" customWidth="1"/>
    <col min="2" max="2" width="5" style="94" bestFit="1" customWidth="1"/>
    <col min="3" max="3" width="4" style="94" bestFit="1" customWidth="1"/>
    <col min="4" max="4" width="23.5546875" style="94" customWidth="1"/>
    <col min="5" max="5" width="30.33203125" style="94" customWidth="1"/>
    <col min="6" max="6" width="18.109375" style="94" bestFit="1" customWidth="1"/>
    <col min="7" max="7" width="22.109375" style="94" bestFit="1" customWidth="1"/>
    <col min="8" max="8" width="11.6640625" style="94" bestFit="1" customWidth="1"/>
    <col min="9" max="9" width="22.88671875" style="94" bestFit="1" customWidth="1"/>
    <col min="10" max="10" width="10" style="94" bestFit="1" customWidth="1"/>
    <col min="11" max="16384" width="11.44140625" style="94"/>
  </cols>
  <sheetData>
    <row r="1" spans="1:10" ht="15" thickBot="1" x14ac:dyDescent="0.35">
      <c r="A1" s="88" t="s">
        <v>471</v>
      </c>
      <c r="B1" s="89"/>
      <c r="C1" s="88" t="s">
        <v>472</v>
      </c>
      <c r="D1" s="89"/>
      <c r="E1" s="90"/>
      <c r="F1" s="91" t="s">
        <v>492</v>
      </c>
      <c r="G1" s="92"/>
      <c r="H1" s="92"/>
      <c r="I1" s="92"/>
      <c r="J1" s="93"/>
    </row>
    <row r="2" spans="1:10" ht="15" thickBot="1" x14ac:dyDescent="0.35">
      <c r="A2" s="95" t="s">
        <v>491</v>
      </c>
      <c r="B2" s="96" t="s">
        <v>490</v>
      </c>
      <c r="C2" s="95" t="s">
        <v>489</v>
      </c>
      <c r="D2" s="96" t="s">
        <v>472</v>
      </c>
      <c r="E2" s="90" t="s">
        <v>488</v>
      </c>
      <c r="F2" s="97" t="s">
        <v>488</v>
      </c>
      <c r="G2" s="97" t="s">
        <v>487</v>
      </c>
      <c r="H2" s="97" t="s">
        <v>477</v>
      </c>
      <c r="I2" s="97" t="s">
        <v>478</v>
      </c>
      <c r="J2" s="97" t="s">
        <v>464</v>
      </c>
    </row>
    <row r="3" spans="1:10" ht="15" thickBot="1" x14ac:dyDescent="0.35">
      <c r="A3" s="98" t="s">
        <v>69</v>
      </c>
      <c r="B3" s="98" t="s">
        <v>89</v>
      </c>
      <c r="C3" s="99" t="s">
        <v>486</v>
      </c>
      <c r="D3" s="100" t="s">
        <v>465</v>
      </c>
      <c r="E3" s="101"/>
      <c r="F3" s="102"/>
      <c r="G3" s="102"/>
      <c r="H3" s="103">
        <v>3576</v>
      </c>
      <c r="I3" s="102">
        <v>450</v>
      </c>
      <c r="J3" s="104">
        <v>4026</v>
      </c>
    </row>
    <row r="4" spans="1:10" ht="15" thickBot="1" x14ac:dyDescent="0.35">
      <c r="A4" s="105"/>
      <c r="B4" s="105" t="s">
        <v>89</v>
      </c>
      <c r="C4" s="99" t="s">
        <v>485</v>
      </c>
      <c r="D4" s="100" t="s">
        <v>466</v>
      </c>
      <c r="E4" s="101"/>
      <c r="F4" s="102"/>
      <c r="G4" s="102"/>
      <c r="H4" s="102">
        <v>828</v>
      </c>
      <c r="I4" s="102">
        <v>606</v>
      </c>
      <c r="J4" s="104">
        <v>1434</v>
      </c>
    </row>
    <row r="5" spans="1:10" ht="15" thickBot="1" x14ac:dyDescent="0.35">
      <c r="A5" s="105"/>
      <c r="B5" s="105" t="s">
        <v>89</v>
      </c>
      <c r="C5" s="99" t="s">
        <v>484</v>
      </c>
      <c r="D5" s="100" t="s">
        <v>467</v>
      </c>
      <c r="E5" s="101"/>
      <c r="F5" s="102"/>
      <c r="G5" s="102">
        <v>183.2</v>
      </c>
      <c r="H5" s="102">
        <v>798</v>
      </c>
      <c r="I5" s="102">
        <v>183</v>
      </c>
      <c r="J5" s="104">
        <v>1164.2</v>
      </c>
    </row>
    <row r="6" spans="1:10" ht="15" thickBot="1" x14ac:dyDescent="0.35">
      <c r="A6" s="105"/>
      <c r="B6" s="105" t="s">
        <v>89</v>
      </c>
      <c r="C6" s="99" t="s">
        <v>483</v>
      </c>
      <c r="D6" s="100" t="s">
        <v>468</v>
      </c>
      <c r="E6" s="101"/>
      <c r="F6" s="102"/>
      <c r="G6" s="102"/>
      <c r="H6" s="102">
        <v>306</v>
      </c>
      <c r="I6" s="102"/>
      <c r="J6" s="106">
        <v>306</v>
      </c>
    </row>
    <row r="7" spans="1:10" ht="15" thickBot="1" x14ac:dyDescent="0.35">
      <c r="A7" s="105"/>
      <c r="B7" s="105" t="s">
        <v>89</v>
      </c>
      <c r="C7" s="99" t="s">
        <v>482</v>
      </c>
      <c r="D7" s="100" t="s">
        <v>469</v>
      </c>
      <c r="E7" s="101"/>
      <c r="F7" s="102"/>
      <c r="G7" s="102"/>
      <c r="H7" s="103">
        <v>1209</v>
      </c>
      <c r="I7" s="102">
        <v>187.5</v>
      </c>
      <c r="J7" s="104">
        <v>1396.5</v>
      </c>
    </row>
    <row r="8" spans="1:10" ht="15" thickBot="1" x14ac:dyDescent="0.35">
      <c r="A8" s="107"/>
      <c r="B8" s="107" t="s">
        <v>89</v>
      </c>
      <c r="C8" s="99" t="s">
        <v>481</v>
      </c>
      <c r="D8" s="100" t="s">
        <v>470</v>
      </c>
      <c r="E8" s="101"/>
      <c r="F8" s="102"/>
      <c r="G8" s="102"/>
      <c r="H8" s="103">
        <v>3256.5</v>
      </c>
      <c r="I8" s="102">
        <v>433.5</v>
      </c>
      <c r="J8" s="104">
        <v>3690</v>
      </c>
    </row>
    <row r="9" spans="1:10" x14ac:dyDescent="0.3">
      <c r="H9" s="10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74D9E-F47D-478B-BA49-44CFC34BC3B5}">
  <dimension ref="A1:M9"/>
  <sheetViews>
    <sheetView workbookViewId="0">
      <selection activeCell="A10" sqref="A10"/>
    </sheetView>
  </sheetViews>
  <sheetFormatPr baseColWidth="10" defaultRowHeight="14.4" x14ac:dyDescent="0.3"/>
  <cols>
    <col min="6" max="6" width="48" bestFit="1" customWidth="1"/>
    <col min="7" max="7" width="7.88671875" bestFit="1" customWidth="1"/>
    <col min="8" max="8" width="22.88671875" bestFit="1" customWidth="1"/>
    <col min="10" max="10" width="56.5546875" bestFit="1" customWidth="1"/>
    <col min="11" max="11" width="6.109375" bestFit="1" customWidth="1"/>
    <col min="12" max="12" width="22.88671875" bestFit="1" customWidth="1"/>
  </cols>
  <sheetData>
    <row r="1" spans="1:13" ht="15" thickBot="1" x14ac:dyDescent="0.35">
      <c r="A1" s="54" t="s">
        <v>471</v>
      </c>
      <c r="B1" s="55"/>
      <c r="C1" s="54" t="s">
        <v>472</v>
      </c>
      <c r="D1" s="55"/>
      <c r="E1" s="56"/>
      <c r="F1" s="57" t="s">
        <v>473</v>
      </c>
      <c r="G1" s="58"/>
      <c r="H1" s="58"/>
      <c r="I1" s="59"/>
      <c r="J1" s="57" t="s">
        <v>474</v>
      </c>
      <c r="K1" s="58"/>
      <c r="L1" s="58"/>
      <c r="M1" s="59"/>
    </row>
    <row r="2" spans="1:13" ht="15" thickBot="1" x14ac:dyDescent="0.35">
      <c r="A2" s="60"/>
      <c r="B2" s="61"/>
      <c r="C2" s="60"/>
      <c r="D2" s="61"/>
      <c r="E2" s="56" t="s">
        <v>475</v>
      </c>
      <c r="F2" s="62" t="s">
        <v>476</v>
      </c>
      <c r="G2" s="62" t="s">
        <v>477</v>
      </c>
      <c r="H2" s="62" t="s">
        <v>478</v>
      </c>
      <c r="I2" s="62" t="s">
        <v>464</v>
      </c>
      <c r="J2" s="62" t="s">
        <v>476</v>
      </c>
      <c r="K2" s="62" t="s">
        <v>477</v>
      </c>
      <c r="L2" s="62" t="s">
        <v>478</v>
      </c>
      <c r="M2" s="62" t="s">
        <v>464</v>
      </c>
    </row>
    <row r="3" spans="1:13" ht="15" thickBot="1" x14ac:dyDescent="0.35">
      <c r="A3" s="39" t="s">
        <v>89</v>
      </c>
      <c r="B3" s="39" t="s">
        <v>69</v>
      </c>
      <c r="C3" s="40" t="s">
        <v>464</v>
      </c>
      <c r="D3" s="41"/>
      <c r="E3" s="42"/>
      <c r="F3" s="43"/>
      <c r="G3" s="44">
        <v>12285.93</v>
      </c>
      <c r="H3" s="44">
        <v>2187.6</v>
      </c>
      <c r="I3" s="44">
        <v>14473.53</v>
      </c>
      <c r="J3" s="43"/>
      <c r="K3" s="45">
        <v>8731</v>
      </c>
      <c r="L3" s="45">
        <v>1995</v>
      </c>
      <c r="M3" s="45">
        <v>10726</v>
      </c>
    </row>
    <row r="4" spans="1:13" ht="15" thickBot="1" x14ac:dyDescent="0.35">
      <c r="A4" s="46"/>
      <c r="B4" s="46"/>
      <c r="C4" s="47">
        <v>510</v>
      </c>
      <c r="D4" s="48" t="s">
        <v>465</v>
      </c>
      <c r="E4" s="49"/>
      <c r="F4" s="50"/>
      <c r="G4" s="51">
        <v>4213.05</v>
      </c>
      <c r="H4" s="50">
        <v>615.04999999999995</v>
      </c>
      <c r="I4" s="44">
        <v>4828.1000000000004</v>
      </c>
      <c r="J4" s="50"/>
      <c r="K4" s="52">
        <v>3230</v>
      </c>
      <c r="L4" s="50">
        <v>580</v>
      </c>
      <c r="M4" s="45">
        <v>3810</v>
      </c>
    </row>
    <row r="5" spans="1:13" ht="15" thickBot="1" x14ac:dyDescent="0.35">
      <c r="A5" s="46"/>
      <c r="B5" s="46"/>
      <c r="C5" s="47">
        <v>525</v>
      </c>
      <c r="D5" s="48" t="s">
        <v>466</v>
      </c>
      <c r="E5" s="49"/>
      <c r="F5" s="50"/>
      <c r="G5" s="51">
        <v>1411.5</v>
      </c>
      <c r="H5" s="50">
        <v>433.73</v>
      </c>
      <c r="I5" s="44">
        <v>1845.23</v>
      </c>
      <c r="J5" s="50"/>
      <c r="K5" s="52">
        <v>1026</v>
      </c>
      <c r="L5" s="50">
        <v>395</v>
      </c>
      <c r="M5" s="45">
        <v>1421</v>
      </c>
    </row>
    <row r="6" spans="1:13" ht="15" thickBot="1" x14ac:dyDescent="0.35">
      <c r="A6" s="46"/>
      <c r="B6" s="46"/>
      <c r="C6" s="47">
        <v>530</v>
      </c>
      <c r="D6" s="48" t="s">
        <v>467</v>
      </c>
      <c r="E6" s="49"/>
      <c r="F6" s="50"/>
      <c r="G6" s="50">
        <v>774.15</v>
      </c>
      <c r="H6" s="50">
        <v>257.98</v>
      </c>
      <c r="I6" s="44">
        <v>1032.1300000000001</v>
      </c>
      <c r="J6" s="50"/>
      <c r="K6" s="50">
        <v>713</v>
      </c>
      <c r="L6" s="50">
        <v>235</v>
      </c>
      <c r="M6" s="43">
        <v>948</v>
      </c>
    </row>
    <row r="7" spans="1:13" ht="15" thickBot="1" x14ac:dyDescent="0.35">
      <c r="A7" s="46"/>
      <c r="B7" s="46"/>
      <c r="C7" s="47">
        <v>535</v>
      </c>
      <c r="D7" s="48" t="s">
        <v>468</v>
      </c>
      <c r="E7" s="49"/>
      <c r="F7" s="50"/>
      <c r="G7" s="50">
        <v>451.2</v>
      </c>
      <c r="H7" s="50"/>
      <c r="I7" s="43">
        <v>451.2</v>
      </c>
      <c r="J7" s="50"/>
      <c r="K7" s="50">
        <v>413</v>
      </c>
      <c r="L7" s="50"/>
      <c r="M7" s="43">
        <v>413</v>
      </c>
    </row>
    <row r="8" spans="1:13" ht="15" thickBot="1" x14ac:dyDescent="0.35">
      <c r="A8" s="46"/>
      <c r="B8" s="46"/>
      <c r="C8" s="47">
        <v>540</v>
      </c>
      <c r="D8" s="48" t="s">
        <v>469</v>
      </c>
      <c r="E8" s="49"/>
      <c r="F8" s="50"/>
      <c r="G8" s="51">
        <v>1068.55</v>
      </c>
      <c r="H8" s="50">
        <v>378.23</v>
      </c>
      <c r="I8" s="44">
        <v>1446.78</v>
      </c>
      <c r="J8" s="50"/>
      <c r="K8" s="50">
        <v>707</v>
      </c>
      <c r="L8" s="50">
        <v>342</v>
      </c>
      <c r="M8" s="45">
        <v>1049</v>
      </c>
    </row>
    <row r="9" spans="1:13" ht="15" thickBot="1" x14ac:dyDescent="0.35">
      <c r="A9" s="53"/>
      <c r="B9" s="53"/>
      <c r="C9" s="47">
        <v>605</v>
      </c>
      <c r="D9" s="48" t="s">
        <v>470</v>
      </c>
      <c r="E9" s="49"/>
      <c r="F9" s="50"/>
      <c r="G9" s="51">
        <v>4367.4799999999996</v>
      </c>
      <c r="H9" s="50">
        <v>502.63</v>
      </c>
      <c r="I9" s="44">
        <v>4870.1000000000004</v>
      </c>
      <c r="J9" s="50"/>
      <c r="K9" s="52">
        <v>2642</v>
      </c>
      <c r="L9" s="50">
        <v>443</v>
      </c>
      <c r="M9" s="45">
        <v>3086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F8C58-9B70-4C7A-8689-DD27651FCFA2}">
  <dimension ref="A1:H9"/>
  <sheetViews>
    <sheetView showGridLines="0" workbookViewId="0">
      <selection activeCell="F3" sqref="F3:H9"/>
    </sheetView>
  </sheetViews>
  <sheetFormatPr baseColWidth="10" defaultColWidth="11.44140625" defaultRowHeight="14.4" x14ac:dyDescent="0.3"/>
  <cols>
    <col min="1" max="1" width="8.6640625" style="63" customWidth="1"/>
    <col min="2" max="2" width="45.6640625" style="63" customWidth="1"/>
    <col min="3" max="3" width="8.6640625" style="63" customWidth="1"/>
    <col min="4" max="4" width="40.33203125" style="63" customWidth="1"/>
    <col min="5" max="5" width="27.33203125" style="63" customWidth="1"/>
    <col min="6" max="6" width="17.44140625" style="63" customWidth="1"/>
    <col min="7" max="7" width="25" style="63" customWidth="1"/>
    <col min="8" max="8" width="18.109375" style="63" customWidth="1"/>
    <col min="9" max="16384" width="11.44140625" style="63"/>
  </cols>
  <sheetData>
    <row r="1" spans="1:8" ht="15" thickBot="1" x14ac:dyDescent="0.35">
      <c r="A1" s="84" t="s">
        <v>471</v>
      </c>
      <c r="B1" s="83"/>
      <c r="C1" s="84" t="s">
        <v>472</v>
      </c>
      <c r="D1" s="83"/>
      <c r="E1" s="82"/>
      <c r="F1" s="81" t="s">
        <v>493</v>
      </c>
      <c r="G1" s="80"/>
      <c r="H1" s="79"/>
    </row>
    <row r="2" spans="1:8" ht="15" thickBot="1" x14ac:dyDescent="0.35">
      <c r="A2" s="78"/>
      <c r="B2" s="77"/>
      <c r="C2" s="78"/>
      <c r="D2" s="77"/>
      <c r="E2" s="82" t="s">
        <v>475</v>
      </c>
      <c r="F2" s="75" t="s">
        <v>477</v>
      </c>
      <c r="G2" s="75" t="s">
        <v>478</v>
      </c>
      <c r="H2" s="75" t="s">
        <v>464</v>
      </c>
    </row>
    <row r="3" spans="1:8" ht="15" thickBot="1" x14ac:dyDescent="0.35">
      <c r="A3" s="74" t="s">
        <v>89</v>
      </c>
      <c r="B3" s="74" t="s">
        <v>69</v>
      </c>
      <c r="C3" s="85" t="s">
        <v>464</v>
      </c>
      <c r="D3" s="86"/>
      <c r="E3" s="87"/>
      <c r="F3" s="71">
        <v>12994.03</v>
      </c>
      <c r="G3" s="71">
        <v>2269.13</v>
      </c>
      <c r="H3" s="71">
        <v>15263.15</v>
      </c>
    </row>
    <row r="4" spans="1:8" ht="15" thickBot="1" x14ac:dyDescent="0.35">
      <c r="A4" s="73" t="s">
        <v>35</v>
      </c>
      <c r="B4" s="73"/>
      <c r="C4" s="69" t="s">
        <v>486</v>
      </c>
      <c r="D4" s="68" t="s">
        <v>465</v>
      </c>
      <c r="E4" s="67"/>
      <c r="F4" s="72">
        <v>4302.4799999999996</v>
      </c>
      <c r="G4" s="66">
        <v>593.5</v>
      </c>
      <c r="H4" s="71">
        <v>4895.9799999999996</v>
      </c>
    </row>
    <row r="5" spans="1:8" ht="15" thickBot="1" x14ac:dyDescent="0.35">
      <c r="A5" s="73" t="s">
        <v>35</v>
      </c>
      <c r="B5" s="73"/>
      <c r="C5" s="69" t="s">
        <v>485</v>
      </c>
      <c r="D5" s="68" t="s">
        <v>466</v>
      </c>
      <c r="E5" s="67"/>
      <c r="F5" s="72">
        <v>1277.9000000000001</v>
      </c>
      <c r="G5" s="66">
        <v>377.98</v>
      </c>
      <c r="H5" s="71">
        <v>1655.88</v>
      </c>
    </row>
    <row r="6" spans="1:8" ht="15" thickBot="1" x14ac:dyDescent="0.35">
      <c r="A6" s="73" t="s">
        <v>35</v>
      </c>
      <c r="B6" s="73"/>
      <c r="C6" s="69" t="s">
        <v>484</v>
      </c>
      <c r="D6" s="68" t="s">
        <v>467</v>
      </c>
      <c r="E6" s="67"/>
      <c r="F6" s="66">
        <v>827.15</v>
      </c>
      <c r="G6" s="66">
        <v>256.73</v>
      </c>
      <c r="H6" s="71">
        <v>1083.8800000000001</v>
      </c>
    </row>
    <row r="7" spans="1:8" ht="15" thickBot="1" x14ac:dyDescent="0.35">
      <c r="A7" s="73" t="s">
        <v>35</v>
      </c>
      <c r="B7" s="73"/>
      <c r="C7" s="69" t="s">
        <v>483</v>
      </c>
      <c r="D7" s="68" t="s">
        <v>468</v>
      </c>
      <c r="E7" s="67"/>
      <c r="F7" s="66">
        <v>633.6</v>
      </c>
      <c r="G7" s="66"/>
      <c r="H7" s="65">
        <v>633.6</v>
      </c>
    </row>
    <row r="8" spans="1:8" ht="15" thickBot="1" x14ac:dyDescent="0.35">
      <c r="A8" s="73" t="s">
        <v>35</v>
      </c>
      <c r="B8" s="73"/>
      <c r="C8" s="69" t="s">
        <v>482</v>
      </c>
      <c r="D8" s="68" t="s">
        <v>469</v>
      </c>
      <c r="E8" s="67"/>
      <c r="F8" s="72">
        <v>1021.15</v>
      </c>
      <c r="G8" s="66">
        <v>369.98</v>
      </c>
      <c r="H8" s="71">
        <v>1391.13</v>
      </c>
    </row>
    <row r="9" spans="1:8" ht="15" thickBot="1" x14ac:dyDescent="0.35">
      <c r="A9" s="70" t="s">
        <v>35</v>
      </c>
      <c r="B9" s="70"/>
      <c r="C9" s="69" t="s">
        <v>481</v>
      </c>
      <c r="D9" s="68" t="s">
        <v>470</v>
      </c>
      <c r="E9" s="67"/>
      <c r="F9" s="72">
        <v>4931.75</v>
      </c>
      <c r="G9" s="66">
        <v>670.95</v>
      </c>
      <c r="H9" s="71">
        <v>5602.7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A5DD-83F1-4F7C-8AC0-5C04FDCEBD2F}">
  <dimension ref="A1:J10"/>
  <sheetViews>
    <sheetView showGridLines="0" workbookViewId="0">
      <selection activeCell="I3" sqref="I3"/>
    </sheetView>
  </sheetViews>
  <sheetFormatPr baseColWidth="10" defaultColWidth="11.44140625" defaultRowHeight="14.4" x14ac:dyDescent="0.3"/>
  <cols>
    <col min="1" max="1" width="62" style="63" customWidth="1"/>
    <col min="2" max="2" width="6.6640625" style="63" customWidth="1"/>
    <col min="3" max="3" width="5.44140625" style="63" customWidth="1"/>
    <col min="4" max="4" width="32" style="63" customWidth="1"/>
    <col min="5" max="5" width="41" style="63" customWidth="1"/>
    <col min="6" max="6" width="24.5546875" style="63" customWidth="1"/>
    <col min="7" max="7" width="30" style="63" customWidth="1"/>
    <col min="8" max="8" width="13.5546875" style="63" customWidth="1"/>
    <col min="9" max="9" width="31" style="63" customWidth="1"/>
    <col min="10" max="10" width="14" style="63" customWidth="1"/>
    <col min="11" max="16384" width="11.44140625" style="63"/>
  </cols>
  <sheetData>
    <row r="1" spans="1:10" ht="15" thickBot="1" x14ac:dyDescent="0.35">
      <c r="A1" s="84" t="s">
        <v>471</v>
      </c>
      <c r="B1" s="83"/>
      <c r="C1" s="84" t="s">
        <v>472</v>
      </c>
      <c r="D1" s="83"/>
      <c r="E1" s="82"/>
      <c r="F1" s="81" t="s">
        <v>492</v>
      </c>
      <c r="G1" s="80"/>
      <c r="H1" s="80"/>
      <c r="I1" s="80"/>
      <c r="J1" s="79"/>
    </row>
    <row r="2" spans="1:10" ht="15" thickBot="1" x14ac:dyDescent="0.35">
      <c r="A2" s="78" t="s">
        <v>491</v>
      </c>
      <c r="B2" s="77" t="s">
        <v>490</v>
      </c>
      <c r="C2" s="78" t="s">
        <v>489</v>
      </c>
      <c r="D2" s="77" t="s">
        <v>472</v>
      </c>
      <c r="E2" s="76" t="s">
        <v>488</v>
      </c>
      <c r="F2" s="75" t="s">
        <v>488</v>
      </c>
      <c r="G2" s="75" t="s">
        <v>487</v>
      </c>
      <c r="H2" s="75" t="s">
        <v>477</v>
      </c>
      <c r="I2" s="75" t="s">
        <v>478</v>
      </c>
      <c r="J2" s="75" t="s">
        <v>464</v>
      </c>
    </row>
    <row r="3" spans="1:10" ht="15" thickBot="1" x14ac:dyDescent="0.35">
      <c r="A3" s="74" t="s">
        <v>69</v>
      </c>
      <c r="B3" s="74" t="s">
        <v>89</v>
      </c>
      <c r="C3" s="69" t="s">
        <v>486</v>
      </c>
      <c r="D3" s="68" t="s">
        <v>465</v>
      </c>
      <c r="E3" s="67"/>
      <c r="F3" s="66"/>
      <c r="G3" s="66"/>
      <c r="H3" s="72">
        <v>9559</v>
      </c>
      <c r="I3" s="66">
        <v>1928</v>
      </c>
      <c r="J3" s="71">
        <v>11487</v>
      </c>
    </row>
    <row r="4" spans="1:10" ht="15" thickBot="1" x14ac:dyDescent="0.35">
      <c r="A4" s="73"/>
      <c r="B4" s="73" t="s">
        <v>89</v>
      </c>
      <c r="C4" s="69" t="s">
        <v>485</v>
      </c>
      <c r="D4" s="68" t="s">
        <v>466</v>
      </c>
      <c r="E4" s="67"/>
      <c r="F4" s="66"/>
      <c r="G4" s="66"/>
      <c r="H4" s="66">
        <v>3289</v>
      </c>
      <c r="I4" s="66">
        <v>522</v>
      </c>
      <c r="J4" s="65">
        <v>3811</v>
      </c>
    </row>
    <row r="5" spans="1:10" ht="15" thickBot="1" x14ac:dyDescent="0.35">
      <c r="A5" s="73"/>
      <c r="B5" s="73" t="s">
        <v>89</v>
      </c>
      <c r="C5" s="69" t="s">
        <v>484</v>
      </c>
      <c r="D5" s="68" t="s">
        <v>467</v>
      </c>
      <c r="E5" s="67"/>
      <c r="F5" s="66"/>
      <c r="G5" s="66"/>
      <c r="H5" s="66">
        <v>818</v>
      </c>
      <c r="I5" s="66">
        <v>325</v>
      </c>
      <c r="J5" s="71">
        <v>1143</v>
      </c>
    </row>
    <row r="6" spans="1:10" ht="15" thickBot="1" x14ac:dyDescent="0.35">
      <c r="A6" s="73"/>
      <c r="B6" s="73" t="s">
        <v>89</v>
      </c>
      <c r="C6" s="69" t="s">
        <v>483</v>
      </c>
      <c r="D6" s="68" t="s">
        <v>468</v>
      </c>
      <c r="E6" s="67"/>
      <c r="F6" s="66"/>
      <c r="G6" s="66"/>
      <c r="H6" s="66">
        <v>743</v>
      </c>
      <c r="I6" s="66">
        <v>222</v>
      </c>
      <c r="J6" s="65">
        <v>965</v>
      </c>
    </row>
    <row r="7" spans="1:10" ht="15" thickBot="1" x14ac:dyDescent="0.35">
      <c r="A7" s="73"/>
      <c r="B7" s="73" t="s">
        <v>89</v>
      </c>
      <c r="C7" s="69" t="s">
        <v>482</v>
      </c>
      <c r="D7" s="68" t="s">
        <v>469</v>
      </c>
      <c r="E7" s="67"/>
      <c r="F7" s="66"/>
      <c r="G7" s="66"/>
      <c r="H7" s="72">
        <v>559</v>
      </c>
      <c r="I7" s="66"/>
      <c r="J7" s="71">
        <v>559</v>
      </c>
    </row>
    <row r="8" spans="1:10" ht="15" thickBot="1" x14ac:dyDescent="0.35">
      <c r="A8" s="73"/>
      <c r="B8" s="73" t="s">
        <v>89</v>
      </c>
      <c r="C8" s="69" t="s">
        <v>481</v>
      </c>
      <c r="D8" s="68" t="s">
        <v>470</v>
      </c>
      <c r="E8" s="67"/>
      <c r="F8" s="66"/>
      <c r="G8" s="66"/>
      <c r="H8" s="72">
        <v>740</v>
      </c>
      <c r="I8" s="66">
        <v>305</v>
      </c>
      <c r="J8" s="71">
        <v>1045</v>
      </c>
    </row>
    <row r="9" spans="1:10" ht="15" thickBot="1" x14ac:dyDescent="0.35">
      <c r="A9" s="70"/>
      <c r="B9" s="70" t="s">
        <v>89</v>
      </c>
      <c r="C9" s="69" t="s">
        <v>480</v>
      </c>
      <c r="D9" s="68" t="s">
        <v>479</v>
      </c>
      <c r="E9" s="67"/>
      <c r="F9" s="66"/>
      <c r="G9" s="66"/>
      <c r="H9" s="66">
        <v>3409</v>
      </c>
      <c r="I9" s="66">
        <v>554</v>
      </c>
      <c r="J9" s="65">
        <v>3963</v>
      </c>
    </row>
    <row r="10" spans="1:10" x14ac:dyDescent="0.3">
      <c r="H10" s="64"/>
      <c r="J10" s="6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55"/>
  <sheetViews>
    <sheetView showGridLines="0" zoomScale="120" zoomScaleNormal="120" workbookViewId="0">
      <pane xSplit="1" ySplit="1" topLeftCell="H32" activePane="bottomRight" state="frozen"/>
      <selection pane="topRight" activeCell="B1" sqref="B1"/>
      <selection pane="bottomLeft" activeCell="A2" sqref="A2"/>
      <selection pane="bottomRight" activeCell="S55" sqref="S55"/>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4.44140625" style="13" customWidth="1"/>
    <col min="14" max="14" width="4.88671875" style="13" customWidth="1"/>
    <col min="15" max="15" width="4.8867187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1" ht="40.799999999999997" x14ac:dyDescent="0.2">
      <c r="A1" s="8" t="s">
        <v>12</v>
      </c>
      <c r="B1" s="9" t="s">
        <v>13</v>
      </c>
      <c r="C1" s="9" t="s">
        <v>14</v>
      </c>
      <c r="D1" s="9" t="s">
        <v>15</v>
      </c>
      <c r="E1" s="9" t="s">
        <v>16</v>
      </c>
      <c r="F1" s="9" t="s">
        <v>17</v>
      </c>
      <c r="G1" s="9" t="s">
        <v>18</v>
      </c>
      <c r="H1" s="9" t="s">
        <v>19</v>
      </c>
      <c r="I1" s="8" t="s">
        <v>20</v>
      </c>
      <c r="J1" s="9" t="s">
        <v>21</v>
      </c>
      <c r="K1" s="8" t="s">
        <v>22</v>
      </c>
      <c r="L1" s="9" t="s">
        <v>23</v>
      </c>
      <c r="M1" s="10" t="s">
        <v>24</v>
      </c>
      <c r="N1" s="11" t="s">
        <v>25</v>
      </c>
      <c r="O1" s="12" t="s">
        <v>26</v>
      </c>
      <c r="P1" s="11" t="s">
        <v>27</v>
      </c>
      <c r="Q1" s="12" t="s">
        <v>28</v>
      </c>
      <c r="R1" s="11" t="s">
        <v>29</v>
      </c>
      <c r="S1" s="11" t="s">
        <v>30</v>
      </c>
      <c r="T1" s="11" t="s">
        <v>31</v>
      </c>
      <c r="U1" s="11" t="s">
        <v>32</v>
      </c>
    </row>
    <row r="2" spans="1:21" x14ac:dyDescent="0.2">
      <c r="A2" s="25" t="s">
        <v>68</v>
      </c>
      <c r="B2" s="25" t="s">
        <v>69</v>
      </c>
      <c r="C2" s="25" t="s">
        <v>70</v>
      </c>
      <c r="D2" s="25" t="s">
        <v>101</v>
      </c>
      <c r="E2" s="25" t="s">
        <v>102</v>
      </c>
      <c r="F2" s="25" t="s">
        <v>60</v>
      </c>
      <c r="G2" s="25" t="s">
        <v>103</v>
      </c>
      <c r="H2" s="25" t="s">
        <v>33</v>
      </c>
      <c r="I2" s="25" t="s">
        <v>68</v>
      </c>
      <c r="J2" s="25" t="s">
        <v>69</v>
      </c>
      <c r="K2" s="28">
        <v>0.5</v>
      </c>
      <c r="L2" s="25" t="s">
        <v>89</v>
      </c>
      <c r="M2" s="25">
        <v>2016</v>
      </c>
      <c r="N2" s="25" t="s">
        <v>35</v>
      </c>
      <c r="O2" s="26" t="s">
        <v>35</v>
      </c>
      <c r="P2" s="25" t="s">
        <v>35</v>
      </c>
      <c r="Q2" s="26" t="s">
        <v>35</v>
      </c>
      <c r="R2" s="27">
        <v>100</v>
      </c>
      <c r="S2" s="28">
        <v>0.5</v>
      </c>
      <c r="T2" s="28">
        <v>0</v>
      </c>
      <c r="U2" s="28">
        <v>0</v>
      </c>
    </row>
    <row r="3" spans="1:21" x14ac:dyDescent="0.2">
      <c r="A3" s="25" t="s">
        <v>68</v>
      </c>
      <c r="B3" s="25" t="s">
        <v>69</v>
      </c>
      <c r="C3" s="25" t="s">
        <v>70</v>
      </c>
      <c r="D3" s="25" t="s">
        <v>101</v>
      </c>
      <c r="E3" s="25" t="s">
        <v>102</v>
      </c>
      <c r="F3" s="25" t="s">
        <v>60</v>
      </c>
      <c r="G3" s="25" t="s">
        <v>92</v>
      </c>
      <c r="H3" s="25" t="s">
        <v>33</v>
      </c>
      <c r="I3" s="25" t="s">
        <v>68</v>
      </c>
      <c r="J3" s="25" t="s">
        <v>69</v>
      </c>
      <c r="K3" s="28">
        <v>0.5</v>
      </c>
      <c r="L3" s="25" t="s">
        <v>89</v>
      </c>
      <c r="M3" s="25">
        <v>2016</v>
      </c>
      <c r="N3" s="25" t="s">
        <v>35</v>
      </c>
      <c r="O3" s="26" t="s">
        <v>35</v>
      </c>
      <c r="P3" s="25" t="s">
        <v>35</v>
      </c>
      <c r="Q3" s="26" t="s">
        <v>35</v>
      </c>
      <c r="R3" s="27">
        <v>100</v>
      </c>
      <c r="S3" s="28">
        <v>0.5</v>
      </c>
      <c r="T3" s="28">
        <v>0</v>
      </c>
      <c r="U3" s="28">
        <v>0</v>
      </c>
    </row>
    <row r="4" spans="1:21" x14ac:dyDescent="0.2">
      <c r="A4" s="25" t="s">
        <v>68</v>
      </c>
      <c r="B4" s="25" t="s">
        <v>69</v>
      </c>
      <c r="C4" s="25" t="s">
        <v>70</v>
      </c>
      <c r="D4" s="25" t="s">
        <v>71</v>
      </c>
      <c r="E4" s="25" t="s">
        <v>72</v>
      </c>
      <c r="F4" s="25" t="s">
        <v>54</v>
      </c>
      <c r="G4" s="25" t="s">
        <v>92</v>
      </c>
      <c r="H4" s="25" t="s">
        <v>33</v>
      </c>
      <c r="I4" s="25" t="s">
        <v>68</v>
      </c>
      <c r="J4" s="25" t="s">
        <v>69</v>
      </c>
      <c r="K4" s="28">
        <v>0.5</v>
      </c>
      <c r="L4" s="25" t="s">
        <v>89</v>
      </c>
      <c r="M4" s="25">
        <v>2016</v>
      </c>
      <c r="N4" s="25" t="s">
        <v>35</v>
      </c>
      <c r="O4" s="26" t="s">
        <v>35</v>
      </c>
      <c r="P4" s="25" t="s">
        <v>35</v>
      </c>
      <c r="Q4" s="26" t="s">
        <v>35</v>
      </c>
      <c r="R4" s="27">
        <v>100</v>
      </c>
      <c r="S4" s="28">
        <v>0.5</v>
      </c>
      <c r="T4" s="28">
        <v>0</v>
      </c>
      <c r="U4" s="28">
        <v>0</v>
      </c>
    </row>
    <row r="5" spans="1:21" x14ac:dyDescent="0.2">
      <c r="A5" s="25" t="s">
        <v>68</v>
      </c>
      <c r="B5" s="25" t="s">
        <v>69</v>
      </c>
      <c r="C5" s="25" t="s">
        <v>73</v>
      </c>
      <c r="D5" s="25" t="s">
        <v>106</v>
      </c>
      <c r="E5" s="25" t="s">
        <v>107</v>
      </c>
      <c r="F5" s="25" t="s">
        <v>39</v>
      </c>
      <c r="G5" s="25" t="s">
        <v>108</v>
      </c>
      <c r="H5" s="25" t="s">
        <v>33</v>
      </c>
      <c r="I5" s="25" t="s">
        <v>68</v>
      </c>
      <c r="J5" s="25" t="s">
        <v>69</v>
      </c>
      <c r="K5" s="28">
        <v>0.5</v>
      </c>
      <c r="L5" s="25" t="s">
        <v>89</v>
      </c>
      <c r="M5" s="25">
        <v>2016</v>
      </c>
      <c r="N5" s="25" t="s">
        <v>35</v>
      </c>
      <c r="O5" s="26" t="s">
        <v>35</v>
      </c>
      <c r="P5" s="25" t="s">
        <v>35</v>
      </c>
      <c r="Q5" s="26" t="s">
        <v>35</v>
      </c>
      <c r="R5" s="27">
        <v>100</v>
      </c>
      <c r="S5" s="28">
        <v>0.5</v>
      </c>
      <c r="T5" s="28">
        <v>0</v>
      </c>
      <c r="U5" s="28">
        <v>0</v>
      </c>
    </row>
    <row r="6" spans="1:21" x14ac:dyDescent="0.2">
      <c r="A6" s="25" t="s">
        <v>68</v>
      </c>
      <c r="B6" s="25" t="s">
        <v>69</v>
      </c>
      <c r="C6" s="25" t="s">
        <v>73</v>
      </c>
      <c r="D6" s="25" t="s">
        <v>106</v>
      </c>
      <c r="E6" s="25" t="s">
        <v>107</v>
      </c>
      <c r="F6" s="25" t="s">
        <v>39</v>
      </c>
      <c r="G6" s="25" t="s">
        <v>92</v>
      </c>
      <c r="H6" s="25" t="s">
        <v>33</v>
      </c>
      <c r="I6" s="25" t="s">
        <v>68</v>
      </c>
      <c r="J6" s="25" t="s">
        <v>69</v>
      </c>
      <c r="K6" s="28">
        <v>0.5</v>
      </c>
      <c r="L6" s="25" t="s">
        <v>89</v>
      </c>
      <c r="M6" s="25">
        <v>2016</v>
      </c>
      <c r="N6" s="25" t="s">
        <v>35</v>
      </c>
      <c r="O6" s="26" t="s">
        <v>35</v>
      </c>
      <c r="P6" s="25" t="s">
        <v>35</v>
      </c>
      <c r="Q6" s="26" t="s">
        <v>35</v>
      </c>
      <c r="R6" s="27">
        <v>100</v>
      </c>
      <c r="S6" s="28">
        <v>0.5</v>
      </c>
      <c r="T6" s="28">
        <v>0</v>
      </c>
      <c r="U6" s="28">
        <v>0</v>
      </c>
    </row>
    <row r="7" spans="1:21" x14ac:dyDescent="0.2">
      <c r="A7" s="25" t="s">
        <v>68</v>
      </c>
      <c r="B7" s="25" t="s">
        <v>69</v>
      </c>
      <c r="C7" s="25" t="s">
        <v>73</v>
      </c>
      <c r="D7" s="25" t="s">
        <v>99</v>
      </c>
      <c r="E7" s="25" t="s">
        <v>100</v>
      </c>
      <c r="F7" s="25" t="s">
        <v>55</v>
      </c>
      <c r="G7" s="25" t="s">
        <v>38</v>
      </c>
      <c r="H7" s="25" t="s">
        <v>33</v>
      </c>
      <c r="I7" s="25" t="s">
        <v>68</v>
      </c>
      <c r="J7" s="25" t="s">
        <v>69</v>
      </c>
      <c r="K7" s="28">
        <v>0.5</v>
      </c>
      <c r="L7" s="25" t="s">
        <v>89</v>
      </c>
      <c r="M7" s="25">
        <v>2016</v>
      </c>
      <c r="N7" s="25" t="s">
        <v>35</v>
      </c>
      <c r="O7" s="26" t="s">
        <v>35</v>
      </c>
      <c r="P7" s="25" t="s">
        <v>35</v>
      </c>
      <c r="Q7" s="26" t="s">
        <v>35</v>
      </c>
      <c r="R7" s="27">
        <v>100</v>
      </c>
      <c r="S7" s="28">
        <v>0.5</v>
      </c>
      <c r="T7" s="28">
        <v>0</v>
      </c>
      <c r="U7" s="28">
        <v>0</v>
      </c>
    </row>
    <row r="8" spans="1:21" x14ac:dyDescent="0.2">
      <c r="A8" s="25" t="s">
        <v>68</v>
      </c>
      <c r="B8" s="25" t="s">
        <v>69</v>
      </c>
      <c r="C8" s="25" t="s">
        <v>73</v>
      </c>
      <c r="D8" s="25" t="s">
        <v>104</v>
      </c>
      <c r="E8" s="25" t="s">
        <v>105</v>
      </c>
      <c r="F8" s="25" t="s">
        <v>61</v>
      </c>
      <c r="G8" s="25" t="s">
        <v>96</v>
      </c>
      <c r="H8" s="25" t="s">
        <v>36</v>
      </c>
      <c r="I8" s="25" t="s">
        <v>68</v>
      </c>
      <c r="J8" s="25" t="s">
        <v>69</v>
      </c>
      <c r="K8" s="28">
        <v>1</v>
      </c>
      <c r="L8" s="25" t="s">
        <v>89</v>
      </c>
      <c r="M8" s="25">
        <v>2016</v>
      </c>
      <c r="N8" s="25" t="s">
        <v>35</v>
      </c>
      <c r="O8" s="26" t="s">
        <v>35</v>
      </c>
      <c r="P8" s="25" t="s">
        <v>35</v>
      </c>
      <c r="Q8" s="26" t="s">
        <v>35</v>
      </c>
      <c r="R8" s="27">
        <v>100</v>
      </c>
      <c r="S8" s="28">
        <v>1</v>
      </c>
      <c r="T8" s="28">
        <v>0</v>
      </c>
      <c r="U8" s="28">
        <v>0</v>
      </c>
    </row>
    <row r="9" spans="1:21" x14ac:dyDescent="0.2">
      <c r="A9" s="25" t="s">
        <v>68</v>
      </c>
      <c r="B9" s="25" t="s">
        <v>69</v>
      </c>
      <c r="C9" s="25" t="s">
        <v>73</v>
      </c>
      <c r="D9" s="25" t="s">
        <v>111</v>
      </c>
      <c r="E9" s="25" t="s">
        <v>112</v>
      </c>
      <c r="F9" s="25" t="s">
        <v>113</v>
      </c>
      <c r="G9" s="25" t="s">
        <v>90</v>
      </c>
      <c r="H9" s="25" t="s">
        <v>33</v>
      </c>
      <c r="I9" s="25" t="s">
        <v>68</v>
      </c>
      <c r="J9" s="25" t="s">
        <v>69</v>
      </c>
      <c r="K9" s="28">
        <v>0.5</v>
      </c>
      <c r="L9" s="25" t="s">
        <v>89</v>
      </c>
      <c r="M9" s="25">
        <v>2017</v>
      </c>
      <c r="N9" s="25" t="s">
        <v>35</v>
      </c>
      <c r="O9" s="26" t="s">
        <v>35</v>
      </c>
      <c r="P9" s="25" t="s">
        <v>35</v>
      </c>
      <c r="Q9" s="26" t="s">
        <v>35</v>
      </c>
      <c r="R9" s="27">
        <v>100</v>
      </c>
      <c r="S9" s="28">
        <v>0.5</v>
      </c>
      <c r="T9" s="28">
        <v>0</v>
      </c>
      <c r="U9" s="28">
        <v>0</v>
      </c>
    </row>
    <row r="10" spans="1:21" x14ac:dyDescent="0.2">
      <c r="A10" s="25" t="s">
        <v>68</v>
      </c>
      <c r="B10" s="25" t="s">
        <v>69</v>
      </c>
      <c r="C10" s="25" t="s">
        <v>73</v>
      </c>
      <c r="D10" s="25" t="s">
        <v>111</v>
      </c>
      <c r="E10" s="25" t="s">
        <v>112</v>
      </c>
      <c r="F10" s="25" t="s">
        <v>113</v>
      </c>
      <c r="G10" s="25" t="s">
        <v>108</v>
      </c>
      <c r="H10" s="25" t="s">
        <v>33</v>
      </c>
      <c r="I10" s="25" t="s">
        <v>68</v>
      </c>
      <c r="J10" s="25" t="s">
        <v>69</v>
      </c>
      <c r="K10" s="28">
        <v>0.5</v>
      </c>
      <c r="L10" s="25" t="s">
        <v>89</v>
      </c>
      <c r="M10" s="25">
        <v>2017</v>
      </c>
      <c r="N10" s="25" t="s">
        <v>35</v>
      </c>
      <c r="O10" s="26" t="s">
        <v>35</v>
      </c>
      <c r="P10" s="25" t="s">
        <v>35</v>
      </c>
      <c r="Q10" s="26" t="s">
        <v>35</v>
      </c>
      <c r="R10" s="27">
        <v>100</v>
      </c>
      <c r="S10" s="28">
        <v>0.5</v>
      </c>
      <c r="T10" s="28">
        <v>0</v>
      </c>
      <c r="U10" s="28">
        <v>0</v>
      </c>
    </row>
    <row r="11" spans="1:21" x14ac:dyDescent="0.2">
      <c r="A11" s="25" t="s">
        <v>68</v>
      </c>
      <c r="B11" s="25" t="s">
        <v>69</v>
      </c>
      <c r="C11" s="25" t="s">
        <v>73</v>
      </c>
      <c r="D11" s="25" t="s">
        <v>121</v>
      </c>
      <c r="E11" s="25" t="s">
        <v>122</v>
      </c>
      <c r="F11" s="25" t="s">
        <v>123</v>
      </c>
      <c r="G11" s="25" t="s">
        <v>116</v>
      </c>
      <c r="H11" s="25" t="s">
        <v>36</v>
      </c>
      <c r="I11" s="25" t="s">
        <v>68</v>
      </c>
      <c r="J11" s="25" t="s">
        <v>69</v>
      </c>
      <c r="K11" s="28">
        <v>1</v>
      </c>
      <c r="L11" s="25" t="s">
        <v>89</v>
      </c>
      <c r="M11" s="25">
        <v>2017</v>
      </c>
      <c r="N11" s="25" t="s">
        <v>35</v>
      </c>
      <c r="O11" s="26" t="s">
        <v>35</v>
      </c>
      <c r="P11" s="25" t="s">
        <v>35</v>
      </c>
      <c r="Q11" s="26" t="s">
        <v>35</v>
      </c>
      <c r="R11" s="27">
        <v>100</v>
      </c>
      <c r="S11" s="28">
        <v>1</v>
      </c>
      <c r="T11" s="28">
        <v>0</v>
      </c>
      <c r="U11" s="28">
        <v>0</v>
      </c>
    </row>
    <row r="12" spans="1:21" x14ac:dyDescent="0.2">
      <c r="A12" s="25" t="s">
        <v>68</v>
      </c>
      <c r="B12" s="25" t="s">
        <v>69</v>
      </c>
      <c r="C12" s="25" t="s">
        <v>73</v>
      </c>
      <c r="D12" s="25" t="s">
        <v>124</v>
      </c>
      <c r="E12" s="25" t="s">
        <v>125</v>
      </c>
      <c r="F12" s="25" t="s">
        <v>66</v>
      </c>
      <c r="G12" s="25" t="s">
        <v>116</v>
      </c>
      <c r="H12" s="25" t="s">
        <v>33</v>
      </c>
      <c r="I12" s="25" t="s">
        <v>68</v>
      </c>
      <c r="J12" s="25" t="s">
        <v>69</v>
      </c>
      <c r="K12" s="28">
        <v>0.5</v>
      </c>
      <c r="L12" s="25" t="s">
        <v>89</v>
      </c>
      <c r="M12" s="25">
        <v>2017</v>
      </c>
      <c r="N12" s="25" t="s">
        <v>35</v>
      </c>
      <c r="O12" s="26" t="s">
        <v>35</v>
      </c>
      <c r="P12" s="25" t="s">
        <v>35</v>
      </c>
      <c r="Q12" s="26" t="s">
        <v>35</v>
      </c>
      <c r="R12" s="27">
        <v>100</v>
      </c>
      <c r="S12" s="28">
        <v>0.5</v>
      </c>
      <c r="T12" s="28">
        <v>0</v>
      </c>
      <c r="U12" s="28">
        <v>0</v>
      </c>
    </row>
    <row r="13" spans="1:21" x14ac:dyDescent="0.2">
      <c r="A13" s="25" t="s">
        <v>68</v>
      </c>
      <c r="B13" s="25" t="s">
        <v>69</v>
      </c>
      <c r="C13" s="25" t="s">
        <v>73</v>
      </c>
      <c r="D13" s="25" t="s">
        <v>124</v>
      </c>
      <c r="E13" s="25" t="s">
        <v>125</v>
      </c>
      <c r="F13" s="25" t="s">
        <v>66</v>
      </c>
      <c r="G13" s="25" t="s">
        <v>117</v>
      </c>
      <c r="H13" s="25" t="s">
        <v>33</v>
      </c>
      <c r="I13" s="25" t="s">
        <v>68</v>
      </c>
      <c r="J13" s="25" t="s">
        <v>69</v>
      </c>
      <c r="K13" s="28">
        <v>0.5</v>
      </c>
      <c r="L13" s="25" t="s">
        <v>89</v>
      </c>
      <c r="M13" s="25">
        <v>2017</v>
      </c>
      <c r="N13" s="25" t="s">
        <v>35</v>
      </c>
      <c r="O13" s="26" t="s">
        <v>35</v>
      </c>
      <c r="P13" s="25" t="s">
        <v>35</v>
      </c>
      <c r="Q13" s="26" t="s">
        <v>35</v>
      </c>
      <c r="R13" s="27">
        <v>100</v>
      </c>
      <c r="S13" s="28">
        <v>0.5</v>
      </c>
      <c r="T13" s="28">
        <v>0</v>
      </c>
      <c r="U13" s="28">
        <v>0</v>
      </c>
    </row>
    <row r="14" spans="1:21" x14ac:dyDescent="0.2">
      <c r="A14" s="25" t="s">
        <v>68</v>
      </c>
      <c r="B14" s="25" t="s">
        <v>69</v>
      </c>
      <c r="C14" s="25" t="s">
        <v>73</v>
      </c>
      <c r="D14" s="25" t="s">
        <v>74</v>
      </c>
      <c r="E14" s="25" t="s">
        <v>75</v>
      </c>
      <c r="F14" s="25" t="s">
        <v>67</v>
      </c>
      <c r="G14" s="25" t="s">
        <v>38</v>
      </c>
      <c r="H14" s="25" t="s">
        <v>33</v>
      </c>
      <c r="I14" s="25" t="s">
        <v>68</v>
      </c>
      <c r="J14" s="25" t="s">
        <v>69</v>
      </c>
      <c r="K14" s="28">
        <v>0.5</v>
      </c>
      <c r="L14" s="25" t="s">
        <v>89</v>
      </c>
      <c r="M14" s="25">
        <v>2017</v>
      </c>
      <c r="N14" s="25" t="s">
        <v>35</v>
      </c>
      <c r="O14" s="26" t="s">
        <v>35</v>
      </c>
      <c r="P14" s="25" t="s">
        <v>35</v>
      </c>
      <c r="Q14" s="26" t="s">
        <v>35</v>
      </c>
      <c r="R14" s="27">
        <v>100</v>
      </c>
      <c r="S14" s="28">
        <v>0.5</v>
      </c>
      <c r="T14" s="28">
        <v>0</v>
      </c>
      <c r="U14" s="28">
        <v>0</v>
      </c>
    </row>
    <row r="15" spans="1:21" x14ac:dyDescent="0.2">
      <c r="A15" s="25" t="s">
        <v>68</v>
      </c>
      <c r="B15" s="25" t="s">
        <v>69</v>
      </c>
      <c r="C15" s="25" t="s">
        <v>73</v>
      </c>
      <c r="D15" s="25" t="s">
        <v>114</v>
      </c>
      <c r="E15" s="25" t="s">
        <v>115</v>
      </c>
      <c r="F15" s="25" t="s">
        <v>67</v>
      </c>
      <c r="G15" s="25" t="s">
        <v>116</v>
      </c>
      <c r="H15" s="25" t="s">
        <v>33</v>
      </c>
      <c r="I15" s="25" t="s">
        <v>68</v>
      </c>
      <c r="J15" s="25" t="s">
        <v>69</v>
      </c>
      <c r="K15" s="28">
        <v>0.5</v>
      </c>
      <c r="L15" s="25" t="s">
        <v>89</v>
      </c>
      <c r="M15" s="25">
        <v>2017</v>
      </c>
      <c r="N15" s="25" t="s">
        <v>35</v>
      </c>
      <c r="O15" s="26" t="s">
        <v>35</v>
      </c>
      <c r="P15" s="25" t="s">
        <v>35</v>
      </c>
      <c r="Q15" s="26" t="s">
        <v>35</v>
      </c>
      <c r="R15" s="27">
        <v>100</v>
      </c>
      <c r="S15" s="28">
        <v>0.5</v>
      </c>
      <c r="T15" s="28">
        <v>0</v>
      </c>
      <c r="U15" s="28">
        <v>0</v>
      </c>
    </row>
    <row r="16" spans="1:21" x14ac:dyDescent="0.2">
      <c r="A16" s="25" t="s">
        <v>68</v>
      </c>
      <c r="B16" s="25" t="s">
        <v>69</v>
      </c>
      <c r="C16" s="25" t="s">
        <v>73</v>
      </c>
      <c r="D16" s="25" t="s">
        <v>114</v>
      </c>
      <c r="E16" s="25" t="s">
        <v>115</v>
      </c>
      <c r="F16" s="25" t="s">
        <v>67</v>
      </c>
      <c r="G16" s="25" t="s">
        <v>117</v>
      </c>
      <c r="H16" s="25" t="s">
        <v>33</v>
      </c>
      <c r="I16" s="25" t="s">
        <v>68</v>
      </c>
      <c r="J16" s="25" t="s">
        <v>69</v>
      </c>
      <c r="K16" s="28">
        <v>0.5</v>
      </c>
      <c r="L16" s="25" t="s">
        <v>89</v>
      </c>
      <c r="M16" s="25">
        <v>2017</v>
      </c>
      <c r="N16" s="25" t="s">
        <v>35</v>
      </c>
      <c r="O16" s="26" t="s">
        <v>35</v>
      </c>
      <c r="P16" s="25" t="s">
        <v>35</v>
      </c>
      <c r="Q16" s="26" t="s">
        <v>35</v>
      </c>
      <c r="R16" s="27">
        <v>100</v>
      </c>
      <c r="S16" s="28">
        <v>0.5</v>
      </c>
      <c r="T16" s="28">
        <v>0</v>
      </c>
      <c r="U16" s="28">
        <v>0</v>
      </c>
    </row>
    <row r="17" spans="1:21" x14ac:dyDescent="0.2">
      <c r="A17" s="25" t="s">
        <v>68</v>
      </c>
      <c r="B17" s="25" t="s">
        <v>69</v>
      </c>
      <c r="C17" s="25" t="s">
        <v>73</v>
      </c>
      <c r="D17" s="25" t="s">
        <v>118</v>
      </c>
      <c r="E17" s="25" t="s">
        <v>119</v>
      </c>
      <c r="F17" s="25" t="s">
        <v>63</v>
      </c>
      <c r="G17" s="25" t="s">
        <v>90</v>
      </c>
      <c r="H17" s="25" t="s">
        <v>33</v>
      </c>
      <c r="I17" s="25" t="s">
        <v>68</v>
      </c>
      <c r="J17" s="25" t="s">
        <v>69</v>
      </c>
      <c r="K17" s="28">
        <v>0.5</v>
      </c>
      <c r="L17" s="25" t="s">
        <v>89</v>
      </c>
      <c r="M17" s="25">
        <v>2017</v>
      </c>
      <c r="N17" s="25" t="s">
        <v>35</v>
      </c>
      <c r="O17" s="26" t="s">
        <v>35</v>
      </c>
      <c r="P17" s="25" t="s">
        <v>35</v>
      </c>
      <c r="Q17" s="26" t="s">
        <v>35</v>
      </c>
      <c r="R17" s="27">
        <v>100</v>
      </c>
      <c r="S17" s="28">
        <v>0.5</v>
      </c>
      <c r="T17" s="28">
        <v>0</v>
      </c>
      <c r="U17" s="28">
        <v>0</v>
      </c>
    </row>
    <row r="18" spans="1:21" x14ac:dyDescent="0.2">
      <c r="A18" s="25" t="s">
        <v>68</v>
      </c>
      <c r="B18" s="25" t="s">
        <v>69</v>
      </c>
      <c r="C18" s="25" t="s">
        <v>73</v>
      </c>
      <c r="D18" s="25" t="s">
        <v>118</v>
      </c>
      <c r="E18" s="25" t="s">
        <v>119</v>
      </c>
      <c r="F18" s="25" t="s">
        <v>63</v>
      </c>
      <c r="G18" s="25" t="s">
        <v>120</v>
      </c>
      <c r="H18" s="25" t="s">
        <v>33</v>
      </c>
      <c r="I18" s="25" t="s">
        <v>68</v>
      </c>
      <c r="J18" s="25" t="s">
        <v>69</v>
      </c>
      <c r="K18" s="28">
        <v>0.5</v>
      </c>
      <c r="L18" s="25" t="s">
        <v>89</v>
      </c>
      <c r="M18" s="25">
        <v>2017</v>
      </c>
      <c r="N18" s="25" t="s">
        <v>35</v>
      </c>
      <c r="O18" s="26" t="s">
        <v>35</v>
      </c>
      <c r="P18" s="25" t="s">
        <v>35</v>
      </c>
      <c r="Q18" s="26" t="s">
        <v>35</v>
      </c>
      <c r="R18" s="27">
        <v>100</v>
      </c>
      <c r="S18" s="28">
        <v>0.5</v>
      </c>
      <c r="T18" s="28">
        <v>0</v>
      </c>
      <c r="U18" s="28">
        <v>0</v>
      </c>
    </row>
    <row r="19" spans="1:21" x14ac:dyDescent="0.2">
      <c r="A19" s="25" t="s">
        <v>51</v>
      </c>
      <c r="B19" s="25" t="s">
        <v>52</v>
      </c>
      <c r="C19" s="25" t="s">
        <v>53</v>
      </c>
      <c r="D19" s="25" t="s">
        <v>109</v>
      </c>
      <c r="E19" s="25" t="s">
        <v>110</v>
      </c>
      <c r="F19" s="25" t="s">
        <v>62</v>
      </c>
      <c r="G19" s="25" t="s">
        <v>93</v>
      </c>
      <c r="H19" s="25" t="s">
        <v>33</v>
      </c>
      <c r="I19" s="25" t="s">
        <v>68</v>
      </c>
      <c r="J19" s="25" t="s">
        <v>69</v>
      </c>
      <c r="K19" s="28">
        <v>0.5</v>
      </c>
      <c r="L19" s="25" t="s">
        <v>89</v>
      </c>
      <c r="M19" s="25">
        <v>2017</v>
      </c>
      <c r="N19" s="25" t="s">
        <v>40</v>
      </c>
      <c r="O19" s="26" t="s">
        <v>50</v>
      </c>
      <c r="P19" s="25" t="s">
        <v>35</v>
      </c>
      <c r="Q19" s="26" t="s">
        <v>35</v>
      </c>
      <c r="R19" s="27">
        <v>20</v>
      </c>
      <c r="S19" s="28">
        <v>0.1</v>
      </c>
      <c r="T19" s="28">
        <v>0.4</v>
      </c>
      <c r="U19" s="28">
        <v>0</v>
      </c>
    </row>
    <row r="20" spans="1:21" x14ac:dyDescent="0.2">
      <c r="A20" s="25" t="s">
        <v>51</v>
      </c>
      <c r="B20" s="25" t="s">
        <v>52</v>
      </c>
      <c r="C20" s="25" t="s">
        <v>53</v>
      </c>
      <c r="D20" s="25" t="s">
        <v>76</v>
      </c>
      <c r="E20" s="25" t="s">
        <v>77</v>
      </c>
      <c r="F20" s="25" t="s">
        <v>57</v>
      </c>
      <c r="G20" s="25" t="s">
        <v>93</v>
      </c>
      <c r="H20" s="25" t="s">
        <v>33</v>
      </c>
      <c r="I20" s="25" t="s">
        <v>68</v>
      </c>
      <c r="J20" s="25" t="s">
        <v>69</v>
      </c>
      <c r="K20" s="28">
        <v>0.5</v>
      </c>
      <c r="L20" s="25" t="s">
        <v>89</v>
      </c>
      <c r="M20" s="25">
        <v>2017</v>
      </c>
      <c r="N20" s="25" t="s">
        <v>40</v>
      </c>
      <c r="O20" s="26" t="s">
        <v>50</v>
      </c>
      <c r="P20" s="25" t="s">
        <v>35</v>
      </c>
      <c r="Q20" s="26" t="s">
        <v>35</v>
      </c>
      <c r="R20" s="27">
        <v>20</v>
      </c>
      <c r="S20" s="28">
        <v>0.1</v>
      </c>
      <c r="T20" s="28">
        <v>0.4</v>
      </c>
      <c r="U20" s="28">
        <v>0</v>
      </c>
    </row>
    <row r="21" spans="1:21" x14ac:dyDescent="0.2">
      <c r="A21" s="25" t="s">
        <v>42</v>
      </c>
      <c r="B21" s="25" t="s">
        <v>43</v>
      </c>
      <c r="C21" s="25" t="s">
        <v>44</v>
      </c>
      <c r="D21" s="25" t="s">
        <v>45</v>
      </c>
      <c r="E21" s="25" t="s">
        <v>46</v>
      </c>
      <c r="F21" s="25" t="s">
        <v>47</v>
      </c>
      <c r="G21" s="25" t="s">
        <v>87</v>
      </c>
      <c r="H21" s="25" t="s">
        <v>33</v>
      </c>
      <c r="I21" s="25" t="s">
        <v>68</v>
      </c>
      <c r="J21" s="25" t="s">
        <v>69</v>
      </c>
      <c r="K21" s="28">
        <v>0.5</v>
      </c>
      <c r="L21" s="25" t="s">
        <v>89</v>
      </c>
      <c r="M21" s="25">
        <v>2017</v>
      </c>
      <c r="N21" s="25" t="s">
        <v>40</v>
      </c>
      <c r="O21" s="26" t="s">
        <v>34</v>
      </c>
      <c r="P21" s="25" t="s">
        <v>41</v>
      </c>
      <c r="Q21" s="26" t="s">
        <v>49</v>
      </c>
      <c r="R21" s="27">
        <v>30</v>
      </c>
      <c r="S21" s="28">
        <v>0.15</v>
      </c>
      <c r="T21" s="28">
        <v>0.25</v>
      </c>
      <c r="U21" s="28">
        <v>0.1</v>
      </c>
    </row>
    <row r="22" spans="1:21" x14ac:dyDescent="0.2">
      <c r="A22" s="25" t="s">
        <v>51</v>
      </c>
      <c r="B22" s="25" t="s">
        <v>52</v>
      </c>
      <c r="C22" s="25" t="s">
        <v>53</v>
      </c>
      <c r="D22" s="25" t="s">
        <v>64</v>
      </c>
      <c r="E22" s="25" t="s">
        <v>65</v>
      </c>
      <c r="F22" s="25" t="s">
        <v>66</v>
      </c>
      <c r="G22" s="25" t="s">
        <v>87</v>
      </c>
      <c r="H22" s="25" t="s">
        <v>33</v>
      </c>
      <c r="I22" s="25" t="s">
        <v>68</v>
      </c>
      <c r="J22" s="25" t="s">
        <v>69</v>
      </c>
      <c r="K22" s="133">
        <v>0.5</v>
      </c>
      <c r="L22" s="25" t="s">
        <v>89</v>
      </c>
      <c r="M22" s="25">
        <v>2017</v>
      </c>
      <c r="N22" s="25" t="s">
        <v>41</v>
      </c>
      <c r="O22" s="26" t="s">
        <v>49</v>
      </c>
      <c r="P22" s="25" t="s">
        <v>40</v>
      </c>
      <c r="Q22" s="26" t="s">
        <v>34</v>
      </c>
      <c r="R22" s="27">
        <v>30</v>
      </c>
      <c r="S22" s="28">
        <v>0.15</v>
      </c>
      <c r="T22" s="28">
        <v>0.1</v>
      </c>
      <c r="U22" s="28">
        <v>0.25</v>
      </c>
    </row>
    <row r="23" spans="1:21" x14ac:dyDescent="0.2">
      <c r="A23" s="25" t="s">
        <v>68</v>
      </c>
      <c r="B23" s="25" t="s">
        <v>69</v>
      </c>
      <c r="C23" s="25" t="s">
        <v>73</v>
      </c>
      <c r="D23" s="25" t="s">
        <v>130</v>
      </c>
      <c r="E23" s="25" t="s">
        <v>131</v>
      </c>
      <c r="F23" s="25" t="s">
        <v>58</v>
      </c>
      <c r="G23" s="25" t="s">
        <v>38</v>
      </c>
      <c r="H23" s="25" t="s">
        <v>36</v>
      </c>
      <c r="I23" s="25" t="s">
        <v>68</v>
      </c>
      <c r="J23" s="25" t="s">
        <v>69</v>
      </c>
      <c r="K23" s="133">
        <v>1</v>
      </c>
      <c r="L23" s="25" t="s">
        <v>89</v>
      </c>
      <c r="M23" s="25">
        <v>2018</v>
      </c>
      <c r="N23" s="25" t="s">
        <v>35</v>
      </c>
      <c r="O23" s="26" t="s">
        <v>35</v>
      </c>
      <c r="P23" s="25" t="s">
        <v>35</v>
      </c>
      <c r="Q23" s="26" t="s">
        <v>35</v>
      </c>
      <c r="R23" s="27">
        <v>100</v>
      </c>
      <c r="S23" s="28">
        <v>1</v>
      </c>
      <c r="T23" s="28">
        <v>0</v>
      </c>
      <c r="U23" s="28">
        <v>0</v>
      </c>
    </row>
    <row r="24" spans="1:21" x14ac:dyDescent="0.2">
      <c r="A24" s="25" t="s">
        <v>68</v>
      </c>
      <c r="B24" s="25" t="s">
        <v>69</v>
      </c>
      <c r="C24" s="25" t="s">
        <v>73</v>
      </c>
      <c r="D24" s="25" t="s">
        <v>126</v>
      </c>
      <c r="E24" s="25" t="s">
        <v>127</v>
      </c>
      <c r="F24" s="25" t="s">
        <v>58</v>
      </c>
      <c r="G24" s="25" t="s">
        <v>86</v>
      </c>
      <c r="H24" s="25" t="s">
        <v>33</v>
      </c>
      <c r="I24" s="25" t="s">
        <v>68</v>
      </c>
      <c r="J24" s="25" t="s">
        <v>69</v>
      </c>
      <c r="K24" s="133">
        <v>0.5</v>
      </c>
      <c r="L24" s="25" t="s">
        <v>89</v>
      </c>
      <c r="M24" s="25">
        <v>2018</v>
      </c>
      <c r="N24" s="25" t="s">
        <v>35</v>
      </c>
      <c r="O24" s="26" t="s">
        <v>35</v>
      </c>
      <c r="P24" s="25" t="s">
        <v>35</v>
      </c>
      <c r="Q24" s="26" t="s">
        <v>35</v>
      </c>
      <c r="R24" s="27">
        <v>100</v>
      </c>
      <c r="S24" s="28">
        <v>0.5</v>
      </c>
      <c r="T24" s="28">
        <v>0</v>
      </c>
      <c r="U24" s="28">
        <v>0</v>
      </c>
    </row>
    <row r="25" spans="1:21" x14ac:dyDescent="0.2">
      <c r="A25" s="25" t="s">
        <v>68</v>
      </c>
      <c r="B25" s="25" t="s">
        <v>69</v>
      </c>
      <c r="C25" s="25" t="s">
        <v>73</v>
      </c>
      <c r="D25" s="25" t="s">
        <v>84</v>
      </c>
      <c r="E25" s="25" t="s">
        <v>85</v>
      </c>
      <c r="F25" s="25" t="s">
        <v>59</v>
      </c>
      <c r="G25" s="25" t="s">
        <v>90</v>
      </c>
      <c r="H25" s="25" t="s">
        <v>33</v>
      </c>
      <c r="I25" s="25" t="s">
        <v>68</v>
      </c>
      <c r="J25" s="25" t="s">
        <v>69</v>
      </c>
      <c r="K25" s="133">
        <v>0.5</v>
      </c>
      <c r="L25" s="25" t="s">
        <v>89</v>
      </c>
      <c r="M25" s="25">
        <v>2018</v>
      </c>
      <c r="N25" s="25" t="s">
        <v>35</v>
      </c>
      <c r="O25" s="26" t="s">
        <v>35</v>
      </c>
      <c r="P25" s="25" t="s">
        <v>35</v>
      </c>
      <c r="Q25" s="26" t="s">
        <v>35</v>
      </c>
      <c r="R25" s="27">
        <v>100</v>
      </c>
      <c r="S25" s="28">
        <v>0.5</v>
      </c>
      <c r="T25" s="28">
        <v>0</v>
      </c>
      <c r="U25" s="28">
        <v>0</v>
      </c>
    </row>
    <row r="26" spans="1:21" x14ac:dyDescent="0.2">
      <c r="A26" s="25" t="s">
        <v>68</v>
      </c>
      <c r="B26" s="25" t="s">
        <v>69</v>
      </c>
      <c r="C26" s="25" t="s">
        <v>73</v>
      </c>
      <c r="D26" s="25" t="s">
        <v>128</v>
      </c>
      <c r="E26" s="25" t="s">
        <v>129</v>
      </c>
      <c r="F26" s="25" t="s">
        <v>83</v>
      </c>
      <c r="G26" s="25" t="s">
        <v>95</v>
      </c>
      <c r="H26" s="25" t="s">
        <v>33</v>
      </c>
      <c r="I26" s="25" t="s">
        <v>68</v>
      </c>
      <c r="J26" s="25" t="s">
        <v>69</v>
      </c>
      <c r="K26" s="133">
        <v>0.5</v>
      </c>
      <c r="L26" s="25" t="s">
        <v>89</v>
      </c>
      <c r="M26" s="25">
        <v>2018</v>
      </c>
      <c r="N26" s="25" t="s">
        <v>35</v>
      </c>
      <c r="O26" s="26" t="s">
        <v>35</v>
      </c>
      <c r="P26" s="25" t="s">
        <v>35</v>
      </c>
      <c r="Q26" s="26" t="s">
        <v>35</v>
      </c>
      <c r="R26" s="27">
        <v>100</v>
      </c>
      <c r="S26" s="28">
        <v>0.5</v>
      </c>
      <c r="T26" s="28">
        <v>0</v>
      </c>
      <c r="U26" s="28">
        <v>0</v>
      </c>
    </row>
    <row r="27" spans="1:21" x14ac:dyDescent="0.2">
      <c r="A27" s="25" t="s">
        <v>68</v>
      </c>
      <c r="B27" s="25" t="s">
        <v>69</v>
      </c>
      <c r="C27" s="25" t="s">
        <v>73</v>
      </c>
      <c r="D27" s="25" t="s">
        <v>128</v>
      </c>
      <c r="E27" s="25" t="s">
        <v>129</v>
      </c>
      <c r="F27" s="25" t="s">
        <v>83</v>
      </c>
      <c r="G27" s="25" t="s">
        <v>38</v>
      </c>
      <c r="H27" s="25" t="s">
        <v>33</v>
      </c>
      <c r="I27" s="25" t="s">
        <v>68</v>
      </c>
      <c r="J27" s="25" t="s">
        <v>69</v>
      </c>
      <c r="K27" s="133">
        <v>0.5</v>
      </c>
      <c r="L27" s="25" t="s">
        <v>89</v>
      </c>
      <c r="M27" s="25">
        <v>2018</v>
      </c>
      <c r="N27" s="25" t="s">
        <v>35</v>
      </c>
      <c r="O27" s="26" t="s">
        <v>35</v>
      </c>
      <c r="P27" s="25" t="s">
        <v>35</v>
      </c>
      <c r="Q27" s="26" t="s">
        <v>35</v>
      </c>
      <c r="R27" s="27">
        <v>100</v>
      </c>
      <c r="S27" s="28">
        <v>0.5</v>
      </c>
      <c r="T27" s="28">
        <v>0</v>
      </c>
      <c r="U27" s="28">
        <v>0</v>
      </c>
    </row>
    <row r="28" spans="1:21" x14ac:dyDescent="0.2">
      <c r="A28" s="25" t="s">
        <v>51</v>
      </c>
      <c r="B28" s="25" t="s">
        <v>52</v>
      </c>
      <c r="C28" s="25" t="s">
        <v>53</v>
      </c>
      <c r="D28" s="25" t="s">
        <v>81</v>
      </c>
      <c r="E28" s="25" t="s">
        <v>82</v>
      </c>
      <c r="F28" s="25" t="s">
        <v>56</v>
      </c>
      <c r="G28" s="25" t="s">
        <v>93</v>
      </c>
      <c r="H28" s="25" t="s">
        <v>33</v>
      </c>
      <c r="I28" s="25" t="s">
        <v>68</v>
      </c>
      <c r="J28" s="25" t="s">
        <v>69</v>
      </c>
      <c r="K28" s="133">
        <v>0.5</v>
      </c>
      <c r="L28" s="25" t="s">
        <v>89</v>
      </c>
      <c r="M28" s="25">
        <v>2018</v>
      </c>
      <c r="N28" s="25" t="s">
        <v>40</v>
      </c>
      <c r="O28" s="26" t="s">
        <v>50</v>
      </c>
      <c r="P28" s="25" t="s">
        <v>35</v>
      </c>
      <c r="Q28" s="26" t="s">
        <v>35</v>
      </c>
      <c r="R28" s="27">
        <v>20</v>
      </c>
      <c r="S28" s="28">
        <v>0.1</v>
      </c>
      <c r="T28" s="28">
        <v>0.4</v>
      </c>
      <c r="U28" s="28">
        <v>0</v>
      </c>
    </row>
    <row r="29" spans="1:21" x14ac:dyDescent="0.2">
      <c r="A29" s="25" t="s">
        <v>51</v>
      </c>
      <c r="B29" s="25" t="s">
        <v>52</v>
      </c>
      <c r="C29" s="25" t="s">
        <v>53</v>
      </c>
      <c r="D29" s="25" t="s">
        <v>78</v>
      </c>
      <c r="E29" s="25" t="s">
        <v>79</v>
      </c>
      <c r="F29" s="25" t="s">
        <v>80</v>
      </c>
      <c r="G29" s="25" t="s">
        <v>93</v>
      </c>
      <c r="H29" s="25" t="s">
        <v>33</v>
      </c>
      <c r="I29" s="25" t="s">
        <v>68</v>
      </c>
      <c r="J29" s="25" t="s">
        <v>69</v>
      </c>
      <c r="K29" s="133">
        <v>0.5</v>
      </c>
      <c r="L29" s="25" t="s">
        <v>89</v>
      </c>
      <c r="M29" s="25">
        <v>2018</v>
      </c>
      <c r="N29" s="25" t="s">
        <v>40</v>
      </c>
      <c r="O29" s="26" t="s">
        <v>50</v>
      </c>
      <c r="P29" s="25" t="s">
        <v>35</v>
      </c>
      <c r="Q29" s="26" t="s">
        <v>35</v>
      </c>
      <c r="R29" s="27">
        <v>20</v>
      </c>
      <c r="S29" s="28">
        <v>0.1</v>
      </c>
      <c r="T29" s="28">
        <v>0.4</v>
      </c>
      <c r="U29" s="28">
        <v>0</v>
      </c>
    </row>
    <row r="30" spans="1:21" x14ac:dyDescent="0.2">
      <c r="A30" s="29" t="s">
        <v>68</v>
      </c>
      <c r="B30" s="29" t="s">
        <v>69</v>
      </c>
      <c r="C30" s="29" t="s">
        <v>73</v>
      </c>
      <c r="D30" s="29" t="s">
        <v>281</v>
      </c>
      <c r="E30" s="29" t="s">
        <v>282</v>
      </c>
      <c r="F30" s="29" t="s">
        <v>283</v>
      </c>
      <c r="G30" s="29" t="s">
        <v>90</v>
      </c>
      <c r="H30" s="29" t="s">
        <v>33</v>
      </c>
      <c r="I30" s="29" t="s">
        <v>68</v>
      </c>
      <c r="J30" s="29" t="s">
        <v>69</v>
      </c>
      <c r="K30" s="134">
        <v>0.5</v>
      </c>
      <c r="L30" s="29" t="s">
        <v>89</v>
      </c>
      <c r="M30" s="29">
        <v>2019</v>
      </c>
      <c r="N30" s="29" t="s">
        <v>35</v>
      </c>
      <c r="O30" s="30" t="s">
        <v>35</v>
      </c>
      <c r="P30" s="29" t="s">
        <v>35</v>
      </c>
      <c r="Q30" s="30" t="s">
        <v>35</v>
      </c>
      <c r="R30" s="31">
        <v>100</v>
      </c>
      <c r="S30" s="32">
        <v>0.5</v>
      </c>
      <c r="T30" s="32">
        <v>0</v>
      </c>
      <c r="U30" s="32">
        <v>0</v>
      </c>
    </row>
    <row r="31" spans="1:21" x14ac:dyDescent="0.2">
      <c r="A31" s="29" t="s">
        <v>68</v>
      </c>
      <c r="B31" s="29" t="s">
        <v>69</v>
      </c>
      <c r="C31" s="29" t="s">
        <v>73</v>
      </c>
      <c r="D31" s="29" t="s">
        <v>281</v>
      </c>
      <c r="E31" s="29" t="s">
        <v>282</v>
      </c>
      <c r="F31" s="29" t="s">
        <v>283</v>
      </c>
      <c r="G31" s="29" t="s">
        <v>108</v>
      </c>
      <c r="H31" s="29" t="s">
        <v>33</v>
      </c>
      <c r="I31" s="29" t="s">
        <v>68</v>
      </c>
      <c r="J31" s="29" t="s">
        <v>69</v>
      </c>
      <c r="K31" s="134">
        <v>0.5</v>
      </c>
      <c r="L31" s="29" t="s">
        <v>89</v>
      </c>
      <c r="M31" s="29">
        <v>2019</v>
      </c>
      <c r="N31" s="29" t="s">
        <v>35</v>
      </c>
      <c r="O31" s="30" t="s">
        <v>35</v>
      </c>
      <c r="P31" s="29" t="s">
        <v>35</v>
      </c>
      <c r="Q31" s="30" t="s">
        <v>35</v>
      </c>
      <c r="R31" s="31">
        <v>100</v>
      </c>
      <c r="S31" s="32">
        <v>0.5</v>
      </c>
      <c r="T31" s="32">
        <v>0</v>
      </c>
      <c r="U31" s="32">
        <v>0</v>
      </c>
    </row>
    <row r="32" spans="1:21" x14ac:dyDescent="0.2">
      <c r="A32" s="29" t="s">
        <v>68</v>
      </c>
      <c r="B32" s="29" t="s">
        <v>69</v>
      </c>
      <c r="C32" s="29" t="s">
        <v>73</v>
      </c>
      <c r="D32" s="29" t="s">
        <v>287</v>
      </c>
      <c r="E32" s="29" t="s">
        <v>288</v>
      </c>
      <c r="F32" s="29" t="s">
        <v>289</v>
      </c>
      <c r="G32" s="29" t="s">
        <v>38</v>
      </c>
      <c r="H32" s="29" t="s">
        <v>33</v>
      </c>
      <c r="I32" s="29" t="s">
        <v>68</v>
      </c>
      <c r="J32" s="29" t="s">
        <v>69</v>
      </c>
      <c r="K32" s="134">
        <v>1</v>
      </c>
      <c r="L32" s="29" t="s">
        <v>89</v>
      </c>
      <c r="M32" s="29">
        <v>2019</v>
      </c>
      <c r="N32" s="29" t="s">
        <v>35</v>
      </c>
      <c r="O32" s="30" t="s">
        <v>35</v>
      </c>
      <c r="P32" s="29" t="s">
        <v>35</v>
      </c>
      <c r="Q32" s="30" t="s">
        <v>35</v>
      </c>
      <c r="R32" s="31">
        <v>100</v>
      </c>
      <c r="S32" s="32">
        <v>1</v>
      </c>
      <c r="T32" s="32">
        <v>0</v>
      </c>
      <c r="U32" s="32">
        <v>0</v>
      </c>
    </row>
    <row r="33" spans="1:21" x14ac:dyDescent="0.2">
      <c r="A33" s="29" t="s">
        <v>68</v>
      </c>
      <c r="B33" s="29" t="s">
        <v>69</v>
      </c>
      <c r="C33" s="29" t="s">
        <v>73</v>
      </c>
      <c r="D33" s="29" t="s">
        <v>284</v>
      </c>
      <c r="E33" s="29" t="s">
        <v>285</v>
      </c>
      <c r="F33" s="29" t="s">
        <v>286</v>
      </c>
      <c r="G33" s="29" t="s">
        <v>98</v>
      </c>
      <c r="H33" s="29" t="s">
        <v>33</v>
      </c>
      <c r="I33" s="29" t="s">
        <v>68</v>
      </c>
      <c r="J33" s="29" t="s">
        <v>69</v>
      </c>
      <c r="K33" s="134">
        <v>0.5</v>
      </c>
      <c r="L33" s="29" t="s">
        <v>89</v>
      </c>
      <c r="M33" s="29">
        <v>2019</v>
      </c>
      <c r="N33" s="29" t="s">
        <v>35</v>
      </c>
      <c r="O33" s="30" t="s">
        <v>35</v>
      </c>
      <c r="P33" s="29" t="s">
        <v>35</v>
      </c>
      <c r="Q33" s="30" t="s">
        <v>35</v>
      </c>
      <c r="R33" s="31">
        <v>100</v>
      </c>
      <c r="S33" s="32">
        <v>0.5</v>
      </c>
      <c r="T33" s="32">
        <v>0</v>
      </c>
      <c r="U33" s="32">
        <v>0</v>
      </c>
    </row>
    <row r="34" spans="1:21" x14ac:dyDescent="0.2">
      <c r="A34" s="29" t="s">
        <v>68</v>
      </c>
      <c r="B34" s="29" t="s">
        <v>69</v>
      </c>
      <c r="C34" s="29" t="s">
        <v>73</v>
      </c>
      <c r="D34" s="29" t="s">
        <v>284</v>
      </c>
      <c r="E34" s="29" t="s">
        <v>285</v>
      </c>
      <c r="F34" s="29" t="s">
        <v>286</v>
      </c>
      <c r="G34" s="29" t="s">
        <v>38</v>
      </c>
      <c r="H34" s="29" t="s">
        <v>33</v>
      </c>
      <c r="I34" s="29" t="s">
        <v>68</v>
      </c>
      <c r="J34" s="29" t="s">
        <v>69</v>
      </c>
      <c r="K34" s="134">
        <v>0.5</v>
      </c>
      <c r="L34" s="29" t="s">
        <v>89</v>
      </c>
      <c r="M34" s="29">
        <v>2019</v>
      </c>
      <c r="N34" s="29" t="s">
        <v>35</v>
      </c>
      <c r="O34" s="30" t="s">
        <v>35</v>
      </c>
      <c r="P34" s="29" t="s">
        <v>35</v>
      </c>
      <c r="Q34" s="30" t="s">
        <v>35</v>
      </c>
      <c r="R34" s="31">
        <v>100</v>
      </c>
      <c r="S34" s="32">
        <v>0.5</v>
      </c>
      <c r="T34" s="32">
        <v>0</v>
      </c>
      <c r="U34" s="32">
        <v>0</v>
      </c>
    </row>
    <row r="35" spans="1:21" ht="10.8" thickBot="1" x14ac:dyDescent="0.25">
      <c r="A35" s="25" t="s">
        <v>51</v>
      </c>
      <c r="B35" s="25" t="s">
        <v>52</v>
      </c>
      <c r="C35" s="25" t="s">
        <v>53</v>
      </c>
      <c r="D35" s="25" t="s">
        <v>299</v>
      </c>
      <c r="E35" s="25" t="s">
        <v>300</v>
      </c>
      <c r="F35" s="25" t="s">
        <v>301</v>
      </c>
      <c r="G35" s="25" t="s">
        <v>93</v>
      </c>
      <c r="H35" s="25" t="s">
        <v>33</v>
      </c>
      <c r="I35" s="25" t="s">
        <v>68</v>
      </c>
      <c r="J35" s="25" t="s">
        <v>69</v>
      </c>
      <c r="K35" s="33">
        <v>0.5</v>
      </c>
      <c r="L35" s="33" t="s">
        <v>89</v>
      </c>
      <c r="M35" s="34">
        <v>2019</v>
      </c>
      <c r="N35" s="25" t="s">
        <v>40</v>
      </c>
      <c r="O35" s="26" t="s">
        <v>50</v>
      </c>
      <c r="P35" s="25" t="s">
        <v>35</v>
      </c>
      <c r="Q35" s="26" t="s">
        <v>35</v>
      </c>
      <c r="R35" s="25">
        <v>20</v>
      </c>
      <c r="S35" s="25">
        <v>0.1</v>
      </c>
      <c r="T35" s="25">
        <v>0.4</v>
      </c>
      <c r="U35" s="25">
        <v>0</v>
      </c>
    </row>
    <row r="36" spans="1:21" ht="10.8" thickBot="1" x14ac:dyDescent="0.25">
      <c r="A36" s="35" t="s">
        <v>68</v>
      </c>
      <c r="B36" s="35" t="s">
        <v>69</v>
      </c>
      <c r="C36" s="35" t="s">
        <v>73</v>
      </c>
      <c r="D36" s="35" t="s">
        <v>603</v>
      </c>
      <c r="E36" s="35" t="s">
        <v>302</v>
      </c>
      <c r="F36" s="35" t="s">
        <v>303</v>
      </c>
      <c r="G36" s="36" t="s">
        <v>38</v>
      </c>
      <c r="H36" s="37" t="s">
        <v>33</v>
      </c>
      <c r="I36" s="37" t="s">
        <v>68</v>
      </c>
      <c r="J36" s="38" t="s">
        <v>69</v>
      </c>
      <c r="K36" s="33">
        <v>1</v>
      </c>
      <c r="L36" s="33" t="s">
        <v>89</v>
      </c>
      <c r="M36" s="25">
        <v>2020</v>
      </c>
      <c r="N36" s="25" t="s">
        <v>35</v>
      </c>
      <c r="O36" s="26" t="s">
        <v>35</v>
      </c>
      <c r="P36" s="25" t="s">
        <v>35</v>
      </c>
      <c r="Q36" s="26" t="s">
        <v>35</v>
      </c>
      <c r="R36" s="25">
        <v>100</v>
      </c>
      <c r="S36" s="25">
        <v>1</v>
      </c>
      <c r="T36" s="25">
        <v>0</v>
      </c>
      <c r="U36" s="25">
        <v>0</v>
      </c>
    </row>
    <row r="37" spans="1:21" ht="10.8" thickBot="1" x14ac:dyDescent="0.25">
      <c r="A37" s="35" t="s">
        <v>68</v>
      </c>
      <c r="B37" s="35" t="s">
        <v>69</v>
      </c>
      <c r="C37" s="35" t="s">
        <v>73</v>
      </c>
      <c r="D37" s="35" t="s">
        <v>304</v>
      </c>
      <c r="E37" s="35" t="s">
        <v>305</v>
      </c>
      <c r="F37" s="35" t="s">
        <v>306</v>
      </c>
      <c r="G37" s="36" t="s">
        <v>103</v>
      </c>
      <c r="H37" s="37" t="s">
        <v>33</v>
      </c>
      <c r="I37" s="37" t="s">
        <v>68</v>
      </c>
      <c r="J37" s="38" t="s">
        <v>69</v>
      </c>
      <c r="K37" s="33">
        <v>0.5</v>
      </c>
      <c r="L37" s="33" t="s">
        <v>89</v>
      </c>
      <c r="M37" s="25">
        <v>2020</v>
      </c>
      <c r="N37" s="25" t="s">
        <v>35</v>
      </c>
      <c r="O37" s="26" t="s">
        <v>35</v>
      </c>
      <c r="P37" s="25" t="s">
        <v>35</v>
      </c>
      <c r="Q37" s="26" t="s">
        <v>35</v>
      </c>
      <c r="R37" s="25">
        <v>100</v>
      </c>
      <c r="S37" s="25">
        <v>0.5</v>
      </c>
      <c r="T37" s="25">
        <v>0</v>
      </c>
      <c r="U37" s="25">
        <v>0</v>
      </c>
    </row>
    <row r="38" spans="1:21" ht="10.8" thickBot="1" x14ac:dyDescent="0.25">
      <c r="A38" s="35" t="s">
        <v>68</v>
      </c>
      <c r="B38" s="35" t="s">
        <v>69</v>
      </c>
      <c r="C38" s="35" t="s">
        <v>73</v>
      </c>
      <c r="D38" s="35" t="s">
        <v>307</v>
      </c>
      <c r="E38" s="35" t="s">
        <v>308</v>
      </c>
      <c r="F38" s="35" t="s">
        <v>309</v>
      </c>
      <c r="G38" s="36" t="s">
        <v>38</v>
      </c>
      <c r="H38" s="37" t="s">
        <v>33</v>
      </c>
      <c r="I38" s="37" t="s">
        <v>68</v>
      </c>
      <c r="J38" s="38" t="s">
        <v>69</v>
      </c>
      <c r="K38" s="33">
        <v>0.5</v>
      </c>
      <c r="L38" s="33" t="s">
        <v>89</v>
      </c>
      <c r="M38" s="25">
        <v>2020</v>
      </c>
      <c r="N38" s="25" t="s">
        <v>35</v>
      </c>
      <c r="O38" s="26" t="s">
        <v>35</v>
      </c>
      <c r="P38" s="25" t="s">
        <v>35</v>
      </c>
      <c r="Q38" s="26" t="s">
        <v>35</v>
      </c>
      <c r="R38" s="25">
        <v>100</v>
      </c>
      <c r="S38" s="25">
        <v>0.5</v>
      </c>
      <c r="T38" s="25">
        <v>0</v>
      </c>
      <c r="U38" s="25">
        <v>0</v>
      </c>
    </row>
    <row r="39" spans="1:21" ht="10.8" thickBot="1" x14ac:dyDescent="0.25">
      <c r="A39" s="35" t="s">
        <v>68</v>
      </c>
      <c r="B39" s="35" t="s">
        <v>69</v>
      </c>
      <c r="C39" s="35" t="s">
        <v>73</v>
      </c>
      <c r="D39" s="35" t="s">
        <v>310</v>
      </c>
      <c r="E39" s="35" t="s">
        <v>311</v>
      </c>
      <c r="F39" s="35" t="s">
        <v>312</v>
      </c>
      <c r="G39" s="36" t="s">
        <v>88</v>
      </c>
      <c r="H39" s="37" t="s">
        <v>33</v>
      </c>
      <c r="I39" s="37" t="s">
        <v>68</v>
      </c>
      <c r="J39" s="38" t="s">
        <v>69</v>
      </c>
      <c r="K39" s="33">
        <v>0.5</v>
      </c>
      <c r="L39" s="33" t="s">
        <v>89</v>
      </c>
      <c r="M39" s="25">
        <v>2020</v>
      </c>
      <c r="N39" s="25" t="s">
        <v>35</v>
      </c>
      <c r="O39" s="26" t="s">
        <v>35</v>
      </c>
      <c r="P39" s="25" t="s">
        <v>35</v>
      </c>
      <c r="Q39" s="26" t="s">
        <v>35</v>
      </c>
      <c r="R39" s="25">
        <v>100</v>
      </c>
      <c r="S39" s="135">
        <v>0.5</v>
      </c>
      <c r="T39" s="25">
        <v>0</v>
      </c>
      <c r="U39" s="25">
        <v>0</v>
      </c>
    </row>
    <row r="40" spans="1:21" ht="10.8" thickBot="1" x14ac:dyDescent="0.25">
      <c r="A40" s="35" t="s">
        <v>68</v>
      </c>
      <c r="B40" s="35" t="s">
        <v>69</v>
      </c>
      <c r="C40" s="35" t="s">
        <v>73</v>
      </c>
      <c r="D40" s="35" t="s">
        <v>310</v>
      </c>
      <c r="E40" s="35" t="s">
        <v>311</v>
      </c>
      <c r="F40" s="35" t="s">
        <v>312</v>
      </c>
      <c r="G40" s="36" t="s">
        <v>313</v>
      </c>
      <c r="H40" s="37" t="s">
        <v>33</v>
      </c>
      <c r="I40" s="37" t="s">
        <v>68</v>
      </c>
      <c r="J40" s="38" t="s">
        <v>69</v>
      </c>
      <c r="K40" s="33">
        <v>0.5</v>
      </c>
      <c r="L40" s="33" t="s">
        <v>89</v>
      </c>
      <c r="M40" s="25">
        <v>2020</v>
      </c>
      <c r="N40" s="25" t="s">
        <v>35</v>
      </c>
      <c r="O40" s="26" t="s">
        <v>35</v>
      </c>
      <c r="P40" s="25" t="s">
        <v>35</v>
      </c>
      <c r="Q40" s="26" t="s">
        <v>35</v>
      </c>
      <c r="R40" s="25">
        <v>100</v>
      </c>
      <c r="S40" s="135">
        <v>0.5</v>
      </c>
      <c r="T40" s="25">
        <v>0</v>
      </c>
      <c r="U40" s="25">
        <v>0</v>
      </c>
    </row>
    <row r="41" spans="1:21" ht="10.8" thickBot="1" x14ac:dyDescent="0.25">
      <c r="A41" s="35" t="s">
        <v>68</v>
      </c>
      <c r="B41" s="35" t="s">
        <v>69</v>
      </c>
      <c r="C41" s="35" t="s">
        <v>73</v>
      </c>
      <c r="D41" s="35" t="s">
        <v>314</v>
      </c>
      <c r="E41" s="35" t="s">
        <v>315</v>
      </c>
      <c r="F41" s="35" t="s">
        <v>316</v>
      </c>
      <c r="G41" s="36" t="s">
        <v>38</v>
      </c>
      <c r="H41" s="37" t="s">
        <v>33</v>
      </c>
      <c r="I41" s="37" t="s">
        <v>68</v>
      </c>
      <c r="J41" s="38" t="s">
        <v>69</v>
      </c>
      <c r="K41" s="33">
        <v>0.5</v>
      </c>
      <c r="L41" s="33" t="s">
        <v>89</v>
      </c>
      <c r="M41" s="25">
        <v>2020</v>
      </c>
      <c r="N41" s="25" t="s">
        <v>35</v>
      </c>
      <c r="O41" s="26" t="s">
        <v>35</v>
      </c>
      <c r="P41" s="25" t="s">
        <v>35</v>
      </c>
      <c r="Q41" s="26" t="s">
        <v>35</v>
      </c>
      <c r="R41" s="25">
        <v>100</v>
      </c>
      <c r="S41" s="25">
        <v>0.5</v>
      </c>
      <c r="T41" s="25">
        <v>0</v>
      </c>
      <c r="U41" s="25">
        <v>0</v>
      </c>
    </row>
    <row r="42" spans="1:21" ht="10.8" thickBot="1" x14ac:dyDescent="0.25">
      <c r="A42" s="35" t="s">
        <v>51</v>
      </c>
      <c r="B42" s="35" t="s">
        <v>52</v>
      </c>
      <c r="C42" s="35" t="s">
        <v>53</v>
      </c>
      <c r="D42" s="35" t="s">
        <v>604</v>
      </c>
      <c r="E42" s="35" t="s">
        <v>321</v>
      </c>
      <c r="F42" s="35" t="s">
        <v>322</v>
      </c>
      <c r="G42" s="36" t="s">
        <v>93</v>
      </c>
      <c r="H42" s="37" t="s">
        <v>33</v>
      </c>
      <c r="I42" s="37" t="s">
        <v>68</v>
      </c>
      <c r="J42" s="38" t="s">
        <v>69</v>
      </c>
      <c r="K42" s="33">
        <v>0.5</v>
      </c>
      <c r="L42" s="33" t="s">
        <v>89</v>
      </c>
      <c r="M42" s="25">
        <v>2020</v>
      </c>
      <c r="N42" s="25" t="s">
        <v>40</v>
      </c>
      <c r="O42" s="26" t="s">
        <v>50</v>
      </c>
      <c r="P42" s="25" t="s">
        <v>35</v>
      </c>
      <c r="Q42" s="26" t="s">
        <v>35</v>
      </c>
      <c r="R42" s="25">
        <v>20</v>
      </c>
      <c r="S42" s="25">
        <v>0.1</v>
      </c>
      <c r="T42" s="25">
        <v>0.4</v>
      </c>
      <c r="U42" s="25">
        <v>0</v>
      </c>
    </row>
    <row r="43" spans="1:21" ht="10.8" thickBot="1" x14ac:dyDescent="0.25">
      <c r="A43" s="35" t="s">
        <v>51</v>
      </c>
      <c r="B43" s="35" t="s">
        <v>52</v>
      </c>
      <c r="C43" s="35" t="s">
        <v>53</v>
      </c>
      <c r="D43" s="35" t="s">
        <v>317</v>
      </c>
      <c r="E43" s="35" t="s">
        <v>318</v>
      </c>
      <c r="F43" s="35" t="s">
        <v>319</v>
      </c>
      <c r="G43" s="36" t="s">
        <v>320</v>
      </c>
      <c r="H43" s="37" t="s">
        <v>33</v>
      </c>
      <c r="I43" s="37" t="s">
        <v>68</v>
      </c>
      <c r="J43" s="38" t="s">
        <v>69</v>
      </c>
      <c r="K43" s="33">
        <v>0.33333333333333331</v>
      </c>
      <c r="L43" s="33" t="s">
        <v>89</v>
      </c>
      <c r="M43" s="25">
        <v>2020</v>
      </c>
      <c r="N43" s="25" t="s">
        <v>40</v>
      </c>
      <c r="O43" s="26" t="s">
        <v>37</v>
      </c>
      <c r="P43" s="25" t="s">
        <v>35</v>
      </c>
      <c r="Q43" s="26" t="s">
        <v>35</v>
      </c>
      <c r="R43" s="25">
        <v>90</v>
      </c>
      <c r="S43" s="25">
        <v>0.3</v>
      </c>
      <c r="T43" s="25">
        <v>3.3333333333333333E-2</v>
      </c>
      <c r="U43" s="25">
        <v>0</v>
      </c>
    </row>
    <row r="44" spans="1:21" x14ac:dyDescent="0.2">
      <c r="A44" s="25" t="s">
        <v>68</v>
      </c>
      <c r="B44" s="25" t="s">
        <v>69</v>
      </c>
      <c r="C44" s="25" t="s">
        <v>73</v>
      </c>
      <c r="D44" s="25" t="s">
        <v>605</v>
      </c>
      <c r="E44" s="25" t="s">
        <v>606</v>
      </c>
      <c r="F44" s="25" t="s">
        <v>607</v>
      </c>
      <c r="G44" s="25" t="s">
        <v>97</v>
      </c>
      <c r="H44" s="25" t="s">
        <v>33</v>
      </c>
      <c r="I44" s="25" t="s">
        <v>68</v>
      </c>
      <c r="J44" s="25" t="s">
        <v>69</v>
      </c>
      <c r="K44" s="33">
        <v>0.5</v>
      </c>
      <c r="L44" s="33" t="s">
        <v>89</v>
      </c>
      <c r="M44" s="25">
        <v>2021</v>
      </c>
      <c r="N44" s="25" t="s">
        <v>35</v>
      </c>
      <c r="O44" s="26" t="s">
        <v>35</v>
      </c>
      <c r="P44" s="25" t="s">
        <v>35</v>
      </c>
      <c r="Q44" s="26" t="s">
        <v>35</v>
      </c>
      <c r="R44" s="25">
        <v>100</v>
      </c>
      <c r="S44" s="25">
        <v>0.5</v>
      </c>
      <c r="T44" s="25">
        <v>0</v>
      </c>
      <c r="U44" s="25">
        <v>0</v>
      </c>
    </row>
    <row r="45" spans="1:21" x14ac:dyDescent="0.2">
      <c r="A45" s="25" t="s">
        <v>68</v>
      </c>
      <c r="B45" s="25" t="s">
        <v>69</v>
      </c>
      <c r="C45" s="25" t="s">
        <v>73</v>
      </c>
      <c r="D45" s="25" t="s">
        <v>605</v>
      </c>
      <c r="E45" s="25" t="s">
        <v>606</v>
      </c>
      <c r="F45" s="25" t="s">
        <v>607</v>
      </c>
      <c r="G45" s="25" t="s">
        <v>608</v>
      </c>
      <c r="H45" s="25" t="s">
        <v>33</v>
      </c>
      <c r="I45" s="25" t="s">
        <v>68</v>
      </c>
      <c r="J45" s="25" t="s">
        <v>69</v>
      </c>
      <c r="K45" s="33">
        <v>0.5</v>
      </c>
      <c r="L45" s="33" t="s">
        <v>89</v>
      </c>
      <c r="M45" s="25">
        <v>2021</v>
      </c>
      <c r="N45" s="25" t="s">
        <v>35</v>
      </c>
      <c r="O45" s="26" t="s">
        <v>35</v>
      </c>
      <c r="P45" s="25" t="s">
        <v>35</v>
      </c>
      <c r="Q45" s="26" t="s">
        <v>35</v>
      </c>
      <c r="R45" s="25">
        <v>100</v>
      </c>
      <c r="S45" s="25">
        <v>0.5</v>
      </c>
      <c r="T45" s="25">
        <v>0</v>
      </c>
      <c r="U45" s="25">
        <v>0</v>
      </c>
    </row>
    <row r="46" spans="1:21" x14ac:dyDescent="0.2">
      <c r="A46" s="25" t="s">
        <v>68</v>
      </c>
      <c r="B46" s="25" t="s">
        <v>69</v>
      </c>
      <c r="C46" s="25" t="s">
        <v>73</v>
      </c>
      <c r="D46" s="25" t="s">
        <v>609</v>
      </c>
      <c r="E46" s="25" t="s">
        <v>610</v>
      </c>
      <c r="F46" s="25" t="s">
        <v>611</v>
      </c>
      <c r="G46" s="25" t="s">
        <v>38</v>
      </c>
      <c r="H46" s="25" t="s">
        <v>33</v>
      </c>
      <c r="I46" s="25" t="s">
        <v>68</v>
      </c>
      <c r="J46" s="25" t="s">
        <v>69</v>
      </c>
      <c r="K46" s="33">
        <v>0.5</v>
      </c>
      <c r="L46" s="33" t="s">
        <v>89</v>
      </c>
      <c r="M46" s="25">
        <v>2021</v>
      </c>
      <c r="N46" s="25" t="s">
        <v>35</v>
      </c>
      <c r="O46" s="26" t="s">
        <v>35</v>
      </c>
      <c r="P46" s="25" t="s">
        <v>35</v>
      </c>
      <c r="Q46" s="26" t="s">
        <v>35</v>
      </c>
      <c r="R46" s="25">
        <v>100</v>
      </c>
      <c r="S46" s="25">
        <v>0.5</v>
      </c>
      <c r="T46" s="25">
        <v>0</v>
      </c>
      <c r="U46" s="25">
        <v>0</v>
      </c>
    </row>
    <row r="47" spans="1:21" x14ac:dyDescent="0.2">
      <c r="A47" s="25" t="s">
        <v>68</v>
      </c>
      <c r="B47" s="25" t="s">
        <v>69</v>
      </c>
      <c r="C47" s="25" t="s">
        <v>73</v>
      </c>
      <c r="D47" s="25" t="s">
        <v>612</v>
      </c>
      <c r="E47" s="25" t="s">
        <v>613</v>
      </c>
      <c r="F47" s="25" t="s">
        <v>614</v>
      </c>
      <c r="G47" s="25" t="s">
        <v>108</v>
      </c>
      <c r="H47" s="25" t="s">
        <v>33</v>
      </c>
      <c r="I47" s="25" t="s">
        <v>68</v>
      </c>
      <c r="J47" s="25" t="s">
        <v>69</v>
      </c>
      <c r="K47" s="33">
        <v>0.5</v>
      </c>
      <c r="L47" s="33" t="s">
        <v>89</v>
      </c>
      <c r="M47" s="25">
        <v>2021</v>
      </c>
      <c r="N47" s="25" t="s">
        <v>35</v>
      </c>
      <c r="O47" s="26" t="s">
        <v>35</v>
      </c>
      <c r="P47" s="25" t="s">
        <v>35</v>
      </c>
      <c r="Q47" s="26" t="s">
        <v>35</v>
      </c>
      <c r="R47" s="25">
        <v>100</v>
      </c>
      <c r="S47" s="25">
        <v>0.5</v>
      </c>
      <c r="T47" s="25">
        <v>0</v>
      </c>
      <c r="U47" s="25">
        <v>0</v>
      </c>
    </row>
    <row r="48" spans="1:21" x14ac:dyDescent="0.2">
      <c r="A48" s="25" t="s">
        <v>68</v>
      </c>
      <c r="B48" s="25" t="s">
        <v>69</v>
      </c>
      <c r="C48" s="25" t="s">
        <v>73</v>
      </c>
      <c r="D48" s="25" t="s">
        <v>612</v>
      </c>
      <c r="E48" s="25" t="s">
        <v>613</v>
      </c>
      <c r="F48" s="25" t="s">
        <v>614</v>
      </c>
      <c r="G48" s="25" t="s">
        <v>92</v>
      </c>
      <c r="H48" s="25" t="s">
        <v>33</v>
      </c>
      <c r="I48" s="25" t="s">
        <v>68</v>
      </c>
      <c r="J48" s="25" t="s">
        <v>69</v>
      </c>
      <c r="K48" s="33">
        <v>0.5</v>
      </c>
      <c r="L48" s="33" t="s">
        <v>89</v>
      </c>
      <c r="M48" s="25">
        <v>2021</v>
      </c>
      <c r="N48" s="25" t="s">
        <v>35</v>
      </c>
      <c r="O48" s="26" t="s">
        <v>35</v>
      </c>
      <c r="P48" s="25" t="s">
        <v>35</v>
      </c>
      <c r="Q48" s="26" t="s">
        <v>35</v>
      </c>
      <c r="R48" s="25">
        <v>100</v>
      </c>
      <c r="S48" s="25">
        <v>0.5</v>
      </c>
      <c r="T48" s="25">
        <v>0</v>
      </c>
      <c r="U48" s="25">
        <v>0</v>
      </c>
    </row>
    <row r="49" spans="1:21" x14ac:dyDescent="0.2">
      <c r="A49" s="25" t="s">
        <v>68</v>
      </c>
      <c r="B49" s="25" t="s">
        <v>69</v>
      </c>
      <c r="C49" s="25" t="s">
        <v>73</v>
      </c>
      <c r="D49" s="25" t="s">
        <v>615</v>
      </c>
      <c r="E49" s="25" t="s">
        <v>616</v>
      </c>
      <c r="F49" s="25" t="s">
        <v>617</v>
      </c>
      <c r="G49" s="25" t="s">
        <v>91</v>
      </c>
      <c r="H49" s="25" t="s">
        <v>33</v>
      </c>
      <c r="I49" s="25" t="s">
        <v>68</v>
      </c>
      <c r="J49" s="25" t="s">
        <v>69</v>
      </c>
      <c r="K49" s="33">
        <v>0.5</v>
      </c>
      <c r="L49" s="33" t="s">
        <v>89</v>
      </c>
      <c r="M49" s="25">
        <v>2021</v>
      </c>
      <c r="N49" s="25" t="s">
        <v>35</v>
      </c>
      <c r="O49" s="26" t="s">
        <v>35</v>
      </c>
      <c r="P49" s="25" t="s">
        <v>35</v>
      </c>
      <c r="Q49" s="26" t="s">
        <v>35</v>
      </c>
      <c r="R49" s="25">
        <v>100</v>
      </c>
      <c r="S49" s="25">
        <v>0.5</v>
      </c>
      <c r="T49" s="25">
        <v>0</v>
      </c>
      <c r="U49" s="25">
        <v>0</v>
      </c>
    </row>
    <row r="50" spans="1:21" x14ac:dyDescent="0.2">
      <c r="A50" s="25" t="s">
        <v>68</v>
      </c>
      <c r="B50" s="25" t="s">
        <v>69</v>
      </c>
      <c r="C50" s="25" t="s">
        <v>73</v>
      </c>
      <c r="D50" s="25" t="s">
        <v>618</v>
      </c>
      <c r="E50" s="25" t="s">
        <v>619</v>
      </c>
      <c r="F50" s="25" t="s">
        <v>620</v>
      </c>
      <c r="G50" s="25" t="s">
        <v>97</v>
      </c>
      <c r="H50" s="25" t="s">
        <v>33</v>
      </c>
      <c r="I50" s="25" t="s">
        <v>68</v>
      </c>
      <c r="J50" s="25" t="s">
        <v>69</v>
      </c>
      <c r="K50" s="33">
        <v>0.5</v>
      </c>
      <c r="L50" s="33" t="s">
        <v>89</v>
      </c>
      <c r="M50" s="25">
        <v>2021</v>
      </c>
      <c r="N50" s="25" t="s">
        <v>35</v>
      </c>
      <c r="O50" s="26" t="s">
        <v>35</v>
      </c>
      <c r="P50" s="25" t="s">
        <v>35</v>
      </c>
      <c r="Q50" s="26" t="s">
        <v>35</v>
      </c>
      <c r="R50" s="25">
        <v>100</v>
      </c>
      <c r="S50" s="25">
        <v>0.5</v>
      </c>
      <c r="T50" s="25">
        <v>0</v>
      </c>
      <c r="U50" s="25">
        <v>0</v>
      </c>
    </row>
    <row r="51" spans="1:21" x14ac:dyDescent="0.2">
      <c r="A51" s="25" t="s">
        <v>68</v>
      </c>
      <c r="B51" s="25" t="s">
        <v>69</v>
      </c>
      <c r="C51" s="25" t="s">
        <v>73</v>
      </c>
      <c r="D51" s="25" t="s">
        <v>618</v>
      </c>
      <c r="E51" s="25" t="s">
        <v>619</v>
      </c>
      <c r="F51" s="25" t="s">
        <v>620</v>
      </c>
      <c r="G51" s="25" t="s">
        <v>608</v>
      </c>
      <c r="H51" s="25" t="s">
        <v>33</v>
      </c>
      <c r="I51" s="25" t="s">
        <v>68</v>
      </c>
      <c r="J51" s="25" t="s">
        <v>69</v>
      </c>
      <c r="K51" s="33">
        <v>0.5</v>
      </c>
      <c r="L51" s="33" t="s">
        <v>89</v>
      </c>
      <c r="M51" s="25">
        <v>2021</v>
      </c>
      <c r="N51" s="25" t="s">
        <v>35</v>
      </c>
      <c r="O51" s="26" t="s">
        <v>35</v>
      </c>
      <c r="P51" s="25" t="s">
        <v>35</v>
      </c>
      <c r="Q51" s="26" t="s">
        <v>35</v>
      </c>
      <c r="R51" s="25">
        <v>100</v>
      </c>
      <c r="S51" s="25">
        <v>0.5</v>
      </c>
      <c r="T51" s="25">
        <v>0</v>
      </c>
      <c r="U51" s="25">
        <v>0</v>
      </c>
    </row>
    <row r="52" spans="1:21" x14ac:dyDescent="0.2">
      <c r="A52" s="25" t="s">
        <v>68</v>
      </c>
      <c r="B52" s="25" t="s">
        <v>69</v>
      </c>
      <c r="C52" s="25" t="s">
        <v>73</v>
      </c>
      <c r="D52" s="25" t="s">
        <v>621</v>
      </c>
      <c r="E52" s="25" t="s">
        <v>622</v>
      </c>
      <c r="F52" s="25" t="s">
        <v>623</v>
      </c>
      <c r="G52" s="25" t="s">
        <v>94</v>
      </c>
      <c r="H52" s="25" t="s">
        <v>33</v>
      </c>
      <c r="I52" s="25" t="s">
        <v>68</v>
      </c>
      <c r="J52" s="25" t="s">
        <v>69</v>
      </c>
      <c r="K52" s="33">
        <v>0.5</v>
      </c>
      <c r="L52" s="33" t="s">
        <v>89</v>
      </c>
      <c r="M52" s="25">
        <v>2021</v>
      </c>
      <c r="N52" s="25" t="s">
        <v>35</v>
      </c>
      <c r="O52" s="26" t="s">
        <v>35</v>
      </c>
      <c r="P52" s="25" t="s">
        <v>35</v>
      </c>
      <c r="Q52" s="26" t="s">
        <v>35</v>
      </c>
      <c r="R52" s="25">
        <v>100</v>
      </c>
      <c r="S52" s="25">
        <v>0.5</v>
      </c>
      <c r="T52" s="25">
        <v>0</v>
      </c>
      <c r="U52" s="25">
        <v>0</v>
      </c>
    </row>
    <row r="53" spans="1:21" x14ac:dyDescent="0.2">
      <c r="A53" s="25" t="s">
        <v>68</v>
      </c>
      <c r="B53" s="25" t="s">
        <v>69</v>
      </c>
      <c r="C53" s="25" t="s">
        <v>73</v>
      </c>
      <c r="D53" s="25" t="s">
        <v>621</v>
      </c>
      <c r="E53" s="25" t="s">
        <v>622</v>
      </c>
      <c r="F53" s="25" t="s">
        <v>623</v>
      </c>
      <c r="G53" s="25" t="s">
        <v>92</v>
      </c>
      <c r="H53" s="25" t="s">
        <v>33</v>
      </c>
      <c r="I53" s="25" t="s">
        <v>68</v>
      </c>
      <c r="J53" s="25" t="s">
        <v>69</v>
      </c>
      <c r="K53" s="33">
        <v>0.5</v>
      </c>
      <c r="L53" s="33" t="s">
        <v>89</v>
      </c>
      <c r="M53" s="25">
        <v>2021</v>
      </c>
      <c r="N53" s="25" t="s">
        <v>35</v>
      </c>
      <c r="O53" s="26" t="s">
        <v>35</v>
      </c>
      <c r="P53" s="25" t="s">
        <v>35</v>
      </c>
      <c r="Q53" s="26" t="s">
        <v>35</v>
      </c>
      <c r="R53" s="25">
        <v>100</v>
      </c>
      <c r="S53" s="25">
        <v>0.5</v>
      </c>
      <c r="T53" s="25">
        <v>0</v>
      </c>
      <c r="U53" s="25">
        <v>0</v>
      </c>
    </row>
    <row r="54" spans="1:21" x14ac:dyDescent="0.2">
      <c r="A54" s="25" t="s">
        <v>624</v>
      </c>
      <c r="B54" s="25" t="s">
        <v>625</v>
      </c>
      <c r="C54" s="25" t="s">
        <v>626</v>
      </c>
      <c r="D54" s="25" t="s">
        <v>627</v>
      </c>
      <c r="E54" s="25" t="s">
        <v>628</v>
      </c>
      <c r="F54" s="25" t="s">
        <v>629</v>
      </c>
      <c r="G54" s="25" t="s">
        <v>630</v>
      </c>
      <c r="H54" s="25" t="s">
        <v>33</v>
      </c>
      <c r="I54" s="25" t="s">
        <v>68</v>
      </c>
      <c r="J54" s="25" t="s">
        <v>69</v>
      </c>
      <c r="K54" s="33">
        <v>0.5</v>
      </c>
      <c r="L54" s="33" t="s">
        <v>89</v>
      </c>
      <c r="M54" s="25">
        <v>2021</v>
      </c>
      <c r="N54" s="25" t="s">
        <v>48</v>
      </c>
      <c r="O54" s="26" t="s">
        <v>34</v>
      </c>
      <c r="P54" s="25" t="s">
        <v>35</v>
      </c>
      <c r="Q54" s="26" t="s">
        <v>35</v>
      </c>
      <c r="R54" s="25">
        <v>50</v>
      </c>
      <c r="S54" s="25">
        <v>0.25</v>
      </c>
      <c r="T54" s="25">
        <v>0.25</v>
      </c>
      <c r="U54" s="25">
        <v>0</v>
      </c>
    </row>
    <row r="55" spans="1:21" x14ac:dyDescent="0.2">
      <c r="A55" s="136"/>
      <c r="B55" s="136"/>
      <c r="C55" s="136"/>
      <c r="D55" s="136"/>
      <c r="E55" s="136"/>
      <c r="F55" s="136"/>
      <c r="G55" s="136"/>
      <c r="H55" s="136"/>
      <c r="I55" s="136"/>
      <c r="J55" s="136"/>
      <c r="K55" s="136"/>
      <c r="L55" s="136"/>
      <c r="M55" s="136"/>
      <c r="N55" s="136"/>
      <c r="O55" s="137"/>
      <c r="P55" s="136"/>
      <c r="Q55" s="137"/>
      <c r="R55" s="136"/>
      <c r="S55" s="143">
        <f>SUM(S2:S54)</f>
        <v>25.450000000000003</v>
      </c>
      <c r="T55" s="136"/>
      <c r="U55" s="136"/>
    </row>
  </sheetData>
  <autoFilter ref="A1:U1" xr:uid="{00000000-0009-0000-0000-000004000000}">
    <sortState xmlns:xlrd2="http://schemas.microsoft.com/office/spreadsheetml/2017/richdata2" ref="A2:S1853">
      <sortCondition ref="K2:K1853"/>
      <sortCondition ref="D2:D1853"/>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36"/>
  <sheetViews>
    <sheetView zoomScaleNormal="100" workbookViewId="0">
      <selection activeCell="S36" sqref="S36"/>
    </sheetView>
  </sheetViews>
  <sheetFormatPr baseColWidth="10" defaultColWidth="11.44140625" defaultRowHeight="13.2" x14ac:dyDescent="0.25"/>
  <cols>
    <col min="1" max="1" width="10.88671875" style="18" bestFit="1" customWidth="1"/>
    <col min="2" max="2" width="42.44140625" style="18" bestFit="1" customWidth="1"/>
    <col min="3" max="3" width="17" style="18" bestFit="1" customWidth="1"/>
    <col min="4" max="9" width="3.33203125" style="18" bestFit="1" customWidth="1"/>
    <col min="10" max="10" width="13.109375" style="18" bestFit="1" customWidth="1"/>
    <col min="11" max="11" width="5.33203125" style="18" bestFit="1" customWidth="1"/>
    <col min="12" max="13" width="5.6640625" style="18" bestFit="1" customWidth="1"/>
    <col min="14"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0" customHeight="1" x14ac:dyDescent="0.25">
      <c r="A1" s="20" t="s">
        <v>132</v>
      </c>
      <c r="B1" s="20" t="s">
        <v>133</v>
      </c>
      <c r="C1" s="20" t="s">
        <v>134</v>
      </c>
      <c r="D1" s="21">
        <v>2017</v>
      </c>
      <c r="E1" s="21">
        <v>2018</v>
      </c>
      <c r="F1" s="21">
        <v>2019</v>
      </c>
      <c r="G1" s="21">
        <v>2020</v>
      </c>
      <c r="H1" s="21">
        <v>2021</v>
      </c>
      <c r="I1" s="21">
        <v>2022</v>
      </c>
      <c r="J1" s="20" t="s">
        <v>135</v>
      </c>
      <c r="K1" s="22" t="s">
        <v>292</v>
      </c>
      <c r="L1" s="15" t="s">
        <v>136</v>
      </c>
      <c r="M1" s="15" t="s">
        <v>137</v>
      </c>
      <c r="N1" s="15" t="s">
        <v>138</v>
      </c>
      <c r="O1" s="15" t="s">
        <v>139</v>
      </c>
      <c r="P1" s="16" t="s">
        <v>140</v>
      </c>
      <c r="Q1" s="16" t="s">
        <v>141</v>
      </c>
      <c r="R1" s="16" t="s">
        <v>142</v>
      </c>
      <c r="S1" s="16" t="s">
        <v>143</v>
      </c>
    </row>
    <row r="2" spans="1:19" ht="14.4" x14ac:dyDescent="0.3">
      <c r="A2" s="23" t="s">
        <v>164</v>
      </c>
      <c r="B2" s="23" t="s">
        <v>165</v>
      </c>
      <c r="C2" s="23" t="s">
        <v>144</v>
      </c>
      <c r="D2" s="23"/>
      <c r="E2" s="23"/>
      <c r="F2" s="23">
        <v>1</v>
      </c>
      <c r="G2" s="23">
        <v>1</v>
      </c>
      <c r="H2" s="23"/>
      <c r="I2" s="23"/>
      <c r="J2" s="23">
        <v>2</v>
      </c>
      <c r="K2" s="23" t="s">
        <v>89</v>
      </c>
      <c r="L2" s="24">
        <v>0</v>
      </c>
      <c r="M2" s="24">
        <v>0</v>
      </c>
      <c r="N2" s="24" t="s">
        <v>35</v>
      </c>
      <c r="O2" s="24" t="s">
        <v>35</v>
      </c>
      <c r="P2" s="24">
        <v>100</v>
      </c>
      <c r="Q2" s="24">
        <v>0</v>
      </c>
      <c r="R2" s="24">
        <v>0</v>
      </c>
      <c r="S2" s="24">
        <v>2</v>
      </c>
    </row>
    <row r="3" spans="1:19" ht="14.4" x14ac:dyDescent="0.3">
      <c r="A3" s="23" t="s">
        <v>184</v>
      </c>
      <c r="B3" s="23" t="s">
        <v>185</v>
      </c>
      <c r="C3" s="23" t="s">
        <v>144</v>
      </c>
      <c r="D3" s="23"/>
      <c r="E3" s="23"/>
      <c r="F3" s="23"/>
      <c r="G3" s="23"/>
      <c r="H3" s="23">
        <v>1</v>
      </c>
      <c r="I3" s="23"/>
      <c r="J3" s="23">
        <v>1</v>
      </c>
      <c r="K3" s="23" t="s">
        <v>89</v>
      </c>
      <c r="L3" s="24" t="s">
        <v>40</v>
      </c>
      <c r="M3" s="24" t="s">
        <v>50</v>
      </c>
      <c r="N3" s="24" t="s">
        <v>35</v>
      </c>
      <c r="O3" s="24" t="s">
        <v>35</v>
      </c>
      <c r="P3" s="24">
        <v>20</v>
      </c>
      <c r="Q3" s="24">
        <v>0.8</v>
      </c>
      <c r="R3" s="24">
        <v>0</v>
      </c>
      <c r="S3" s="24">
        <v>0.2</v>
      </c>
    </row>
    <row r="4" spans="1:19" ht="14.4" x14ac:dyDescent="0.3">
      <c r="A4" s="23" t="s">
        <v>156</v>
      </c>
      <c r="B4" s="23" t="s">
        <v>157</v>
      </c>
      <c r="C4" s="23">
        <v>6</v>
      </c>
      <c r="D4" s="23"/>
      <c r="E4" s="23"/>
      <c r="F4" s="23">
        <v>2</v>
      </c>
      <c r="G4" s="23"/>
      <c r="H4" s="23"/>
      <c r="I4" s="23"/>
      <c r="J4" s="23">
        <v>2</v>
      </c>
      <c r="K4" s="23" t="s">
        <v>89</v>
      </c>
      <c r="L4" s="24">
        <v>0</v>
      </c>
      <c r="M4" s="24">
        <v>0</v>
      </c>
      <c r="N4" s="24" t="s">
        <v>35</v>
      </c>
      <c r="O4" s="24" t="s">
        <v>35</v>
      </c>
      <c r="P4" s="24">
        <v>100</v>
      </c>
      <c r="Q4" s="24">
        <v>0</v>
      </c>
      <c r="R4" s="24">
        <v>0</v>
      </c>
      <c r="S4" s="24">
        <v>2</v>
      </c>
    </row>
    <row r="5" spans="1:19" ht="14.4" x14ac:dyDescent="0.3">
      <c r="A5" s="23" t="s">
        <v>162</v>
      </c>
      <c r="B5" s="23" t="s">
        <v>163</v>
      </c>
      <c r="C5" s="23" t="s">
        <v>144</v>
      </c>
      <c r="D5" s="23"/>
      <c r="E5" s="23">
        <v>1</v>
      </c>
      <c r="F5" s="23"/>
      <c r="G5" s="23"/>
      <c r="H5" s="23"/>
      <c r="I5" s="23"/>
      <c r="J5" s="23">
        <v>1</v>
      </c>
      <c r="K5" s="23" t="s">
        <v>89</v>
      </c>
      <c r="L5" s="24">
        <v>0</v>
      </c>
      <c r="M5" s="24">
        <v>0</v>
      </c>
      <c r="N5" s="24" t="s">
        <v>35</v>
      </c>
      <c r="O5" s="24" t="s">
        <v>35</v>
      </c>
      <c r="P5" s="24">
        <v>100</v>
      </c>
      <c r="Q5" s="24">
        <v>0</v>
      </c>
      <c r="R5" s="24">
        <v>0</v>
      </c>
      <c r="S5" s="24">
        <v>1</v>
      </c>
    </row>
    <row r="6" spans="1:19" ht="14.4" x14ac:dyDescent="0.3">
      <c r="A6" s="23" t="s">
        <v>290</v>
      </c>
      <c r="B6" s="23" t="s">
        <v>291</v>
      </c>
      <c r="C6" s="23" t="s">
        <v>144</v>
      </c>
      <c r="D6" s="23"/>
      <c r="E6" s="23"/>
      <c r="F6" s="23"/>
      <c r="G6" s="23">
        <v>1</v>
      </c>
      <c r="H6" s="23"/>
      <c r="I6" s="23"/>
      <c r="J6" s="23">
        <v>1</v>
      </c>
      <c r="K6" s="23" t="s">
        <v>89</v>
      </c>
      <c r="L6" s="24">
        <v>0</v>
      </c>
      <c r="M6" s="24">
        <v>0</v>
      </c>
      <c r="N6" s="24" t="s">
        <v>35</v>
      </c>
      <c r="O6" s="24" t="s">
        <v>35</v>
      </c>
      <c r="P6" s="24">
        <v>100</v>
      </c>
      <c r="Q6" s="24">
        <v>0</v>
      </c>
      <c r="R6" s="24">
        <v>0</v>
      </c>
      <c r="S6" s="24">
        <v>1</v>
      </c>
    </row>
    <row r="7" spans="1:19" ht="14.4" x14ac:dyDescent="0.3">
      <c r="A7" s="23" t="s">
        <v>176</v>
      </c>
      <c r="B7" s="23" t="s">
        <v>177</v>
      </c>
      <c r="C7" s="23" t="s">
        <v>144</v>
      </c>
      <c r="D7" s="23"/>
      <c r="E7" s="23"/>
      <c r="F7" s="23"/>
      <c r="G7" s="23"/>
      <c r="H7" s="23">
        <v>1</v>
      </c>
      <c r="I7" s="23"/>
      <c r="J7" s="23">
        <v>1</v>
      </c>
      <c r="K7" s="23" t="s">
        <v>89</v>
      </c>
      <c r="L7" s="24">
        <v>0</v>
      </c>
      <c r="M7" s="24">
        <v>0</v>
      </c>
      <c r="N7" s="24" t="s">
        <v>35</v>
      </c>
      <c r="O7" s="24" t="s">
        <v>35</v>
      </c>
      <c r="P7" s="24">
        <v>100</v>
      </c>
      <c r="Q7" s="24">
        <v>0</v>
      </c>
      <c r="R7" s="24">
        <v>0</v>
      </c>
      <c r="S7" s="24">
        <v>1</v>
      </c>
    </row>
    <row r="8" spans="1:19" ht="14.4" x14ac:dyDescent="0.3">
      <c r="A8" s="23" t="s">
        <v>146</v>
      </c>
      <c r="B8" s="23" t="s">
        <v>147</v>
      </c>
      <c r="C8" s="23" t="s">
        <v>144</v>
      </c>
      <c r="D8" s="23"/>
      <c r="E8" s="23"/>
      <c r="F8" s="23">
        <v>1</v>
      </c>
      <c r="G8" s="23"/>
      <c r="H8" s="23"/>
      <c r="I8" s="23"/>
      <c r="J8" s="23">
        <v>1</v>
      </c>
      <c r="K8" s="23" t="s">
        <v>89</v>
      </c>
      <c r="L8" s="24">
        <v>0</v>
      </c>
      <c r="M8" s="24">
        <v>0</v>
      </c>
      <c r="N8" s="24" t="s">
        <v>35</v>
      </c>
      <c r="O8" s="24" t="s">
        <v>35</v>
      </c>
      <c r="P8" s="24">
        <v>100</v>
      </c>
      <c r="Q8" s="24">
        <v>0</v>
      </c>
      <c r="R8" s="24">
        <v>0</v>
      </c>
      <c r="S8" s="24">
        <v>1</v>
      </c>
    </row>
    <row r="9" spans="1:19" ht="14.4" x14ac:dyDescent="0.3">
      <c r="A9" s="23" t="s">
        <v>178</v>
      </c>
      <c r="B9" s="23" t="s">
        <v>179</v>
      </c>
      <c r="C9" s="23" t="s">
        <v>144</v>
      </c>
      <c r="D9" s="23"/>
      <c r="E9" s="23"/>
      <c r="F9" s="23">
        <v>1</v>
      </c>
      <c r="G9" s="23"/>
      <c r="H9" s="23"/>
      <c r="I9" s="23"/>
      <c r="J9" s="23">
        <v>1</v>
      </c>
      <c r="K9" s="23" t="s">
        <v>89</v>
      </c>
      <c r="L9" s="24">
        <v>0</v>
      </c>
      <c r="M9" s="24">
        <v>0</v>
      </c>
      <c r="N9" s="24" t="s">
        <v>35</v>
      </c>
      <c r="O9" s="24" t="s">
        <v>35</v>
      </c>
      <c r="P9" s="24">
        <v>100</v>
      </c>
      <c r="Q9" s="24">
        <v>0</v>
      </c>
      <c r="R9" s="24">
        <v>0</v>
      </c>
      <c r="S9" s="24">
        <v>1</v>
      </c>
    </row>
    <row r="10" spans="1:19" ht="14.4" x14ac:dyDescent="0.3">
      <c r="A10" s="23" t="s">
        <v>148</v>
      </c>
      <c r="B10" s="23" t="s">
        <v>149</v>
      </c>
      <c r="C10" s="23" t="s">
        <v>145</v>
      </c>
      <c r="D10" s="23"/>
      <c r="E10" s="23"/>
      <c r="F10" s="23">
        <v>1</v>
      </c>
      <c r="G10" s="23"/>
      <c r="H10" s="23">
        <v>1</v>
      </c>
      <c r="I10" s="23"/>
      <c r="J10" s="23">
        <v>2</v>
      </c>
      <c r="K10" s="23" t="s">
        <v>89</v>
      </c>
      <c r="L10" s="24">
        <v>0</v>
      </c>
      <c r="M10" s="24">
        <v>0</v>
      </c>
      <c r="N10" s="24" t="s">
        <v>35</v>
      </c>
      <c r="O10" s="24" t="s">
        <v>35</v>
      </c>
      <c r="P10" s="24">
        <v>100</v>
      </c>
      <c r="Q10" s="24">
        <v>0</v>
      </c>
      <c r="R10" s="24">
        <v>0</v>
      </c>
      <c r="S10" s="24">
        <v>2</v>
      </c>
    </row>
    <row r="11" spans="1:19" ht="14.4" x14ac:dyDescent="0.3">
      <c r="A11" s="23" t="s">
        <v>158</v>
      </c>
      <c r="B11" s="23" t="s">
        <v>159</v>
      </c>
      <c r="C11" s="23" t="s">
        <v>144</v>
      </c>
      <c r="D11" s="23"/>
      <c r="E11" s="23"/>
      <c r="F11" s="23">
        <v>1</v>
      </c>
      <c r="G11" s="23"/>
      <c r="H11" s="23"/>
      <c r="I11" s="23"/>
      <c r="J11" s="23">
        <v>1</v>
      </c>
      <c r="K11" s="23" t="s">
        <v>89</v>
      </c>
      <c r="L11" s="24">
        <v>0</v>
      </c>
      <c r="M11" s="24">
        <v>0</v>
      </c>
      <c r="N11" s="24" t="s">
        <v>35</v>
      </c>
      <c r="O11" s="24" t="s">
        <v>35</v>
      </c>
      <c r="P11" s="24">
        <v>100</v>
      </c>
      <c r="Q11" s="24">
        <v>0</v>
      </c>
      <c r="R11" s="24">
        <v>0</v>
      </c>
      <c r="S11" s="24">
        <v>1</v>
      </c>
    </row>
    <row r="12" spans="1:19" ht="14.4" x14ac:dyDescent="0.3">
      <c r="A12" s="23" t="s">
        <v>631</v>
      </c>
      <c r="B12" s="23" t="s">
        <v>632</v>
      </c>
      <c r="C12" s="23" t="s">
        <v>145</v>
      </c>
      <c r="D12" s="23"/>
      <c r="E12" s="23"/>
      <c r="F12" s="23"/>
      <c r="G12" s="23"/>
      <c r="H12" s="23"/>
      <c r="I12" s="23">
        <v>1</v>
      </c>
      <c r="J12" s="23">
        <v>1</v>
      </c>
      <c r="K12" s="23" t="s">
        <v>89</v>
      </c>
      <c r="L12" s="24">
        <v>0</v>
      </c>
      <c r="M12" s="24">
        <v>0</v>
      </c>
      <c r="N12" s="24" t="s">
        <v>35</v>
      </c>
      <c r="O12" s="24" t="s">
        <v>35</v>
      </c>
      <c r="P12" s="24">
        <v>100</v>
      </c>
      <c r="Q12" s="24">
        <v>0</v>
      </c>
      <c r="R12" s="24">
        <v>0</v>
      </c>
      <c r="S12" s="24">
        <v>1</v>
      </c>
    </row>
    <row r="13" spans="1:19" ht="14.4" x14ac:dyDescent="0.3">
      <c r="A13" s="23" t="s">
        <v>633</v>
      </c>
      <c r="B13" s="23" t="s">
        <v>634</v>
      </c>
      <c r="C13" s="23" t="s">
        <v>145</v>
      </c>
      <c r="D13" s="23"/>
      <c r="E13" s="23"/>
      <c r="F13" s="23"/>
      <c r="G13" s="23"/>
      <c r="H13" s="23"/>
      <c r="I13" s="23">
        <v>1</v>
      </c>
      <c r="J13" s="23">
        <v>1</v>
      </c>
      <c r="K13" s="23" t="s">
        <v>89</v>
      </c>
      <c r="L13" s="24">
        <v>0</v>
      </c>
      <c r="M13" s="24">
        <v>0</v>
      </c>
      <c r="N13" s="24" t="s">
        <v>35</v>
      </c>
      <c r="O13" s="24" t="s">
        <v>35</v>
      </c>
      <c r="P13" s="24">
        <v>100</v>
      </c>
      <c r="Q13" s="24">
        <v>0</v>
      </c>
      <c r="R13" s="24">
        <v>0</v>
      </c>
      <c r="S13" s="24">
        <v>1</v>
      </c>
    </row>
    <row r="14" spans="1:19" ht="14.4" x14ac:dyDescent="0.3">
      <c r="A14" s="23" t="s">
        <v>154</v>
      </c>
      <c r="B14" s="23" t="s">
        <v>155</v>
      </c>
      <c r="C14" s="23" t="s">
        <v>144</v>
      </c>
      <c r="D14" s="23"/>
      <c r="E14" s="23">
        <v>1</v>
      </c>
      <c r="F14" s="23">
        <v>1</v>
      </c>
      <c r="G14" s="23"/>
      <c r="H14" s="23"/>
      <c r="I14" s="23"/>
      <c r="J14" s="23">
        <v>2</v>
      </c>
      <c r="K14" s="23" t="s">
        <v>89</v>
      </c>
      <c r="L14" s="24">
        <v>0</v>
      </c>
      <c r="M14" s="24">
        <v>0</v>
      </c>
      <c r="N14" s="24" t="s">
        <v>35</v>
      </c>
      <c r="O14" s="24" t="s">
        <v>35</v>
      </c>
      <c r="P14" s="24">
        <v>100</v>
      </c>
      <c r="Q14" s="24">
        <v>0</v>
      </c>
      <c r="R14" s="24">
        <v>0</v>
      </c>
      <c r="S14" s="24">
        <v>2</v>
      </c>
    </row>
    <row r="15" spans="1:19" ht="14.4" x14ac:dyDescent="0.3">
      <c r="A15" s="23" t="s">
        <v>160</v>
      </c>
      <c r="B15" s="23" t="s">
        <v>161</v>
      </c>
      <c r="C15" s="23" t="s">
        <v>144</v>
      </c>
      <c r="D15" s="23"/>
      <c r="E15" s="23"/>
      <c r="F15" s="23">
        <v>1</v>
      </c>
      <c r="G15" s="23"/>
      <c r="H15" s="23">
        <v>1</v>
      </c>
      <c r="I15" s="23"/>
      <c r="J15" s="23">
        <v>2</v>
      </c>
      <c r="K15" s="23" t="s">
        <v>89</v>
      </c>
      <c r="L15" s="24" t="s">
        <v>48</v>
      </c>
      <c r="M15" s="24" t="s">
        <v>34</v>
      </c>
      <c r="N15" s="24" t="s">
        <v>35</v>
      </c>
      <c r="O15" s="24" t="s">
        <v>35</v>
      </c>
      <c r="P15" s="24">
        <v>50</v>
      </c>
      <c r="Q15" s="24">
        <v>1</v>
      </c>
      <c r="R15" s="24">
        <v>0</v>
      </c>
      <c r="S15" s="24">
        <v>1</v>
      </c>
    </row>
    <row r="16" spans="1:19" ht="14.4" x14ac:dyDescent="0.3">
      <c r="A16" s="23" t="s">
        <v>188</v>
      </c>
      <c r="B16" s="23" t="s">
        <v>189</v>
      </c>
      <c r="C16" s="23" t="s">
        <v>144</v>
      </c>
      <c r="D16" s="23"/>
      <c r="E16" s="23"/>
      <c r="F16" s="23"/>
      <c r="G16" s="23"/>
      <c r="H16" s="23">
        <v>1</v>
      </c>
      <c r="I16" s="23"/>
      <c r="J16" s="23">
        <v>1</v>
      </c>
      <c r="K16" s="23" t="s">
        <v>89</v>
      </c>
      <c r="L16" s="24">
        <v>0</v>
      </c>
      <c r="M16" s="24">
        <v>0</v>
      </c>
      <c r="N16" s="24" t="s">
        <v>35</v>
      </c>
      <c r="O16" s="24" t="s">
        <v>35</v>
      </c>
      <c r="P16" s="24">
        <v>100</v>
      </c>
      <c r="Q16" s="24">
        <v>0</v>
      </c>
      <c r="R16" s="24">
        <v>0</v>
      </c>
      <c r="S16" s="24">
        <v>1</v>
      </c>
    </row>
    <row r="17" spans="1:19" ht="14.4" x14ac:dyDescent="0.3">
      <c r="A17" s="23" t="s">
        <v>635</v>
      </c>
      <c r="B17" s="23" t="s">
        <v>636</v>
      </c>
      <c r="C17" s="23" t="s">
        <v>145</v>
      </c>
      <c r="D17" s="23"/>
      <c r="E17" s="23"/>
      <c r="F17" s="23"/>
      <c r="G17" s="23"/>
      <c r="H17" s="23"/>
      <c r="I17" s="23">
        <v>1</v>
      </c>
      <c r="J17" s="23">
        <v>1</v>
      </c>
      <c r="K17" s="23" t="s">
        <v>89</v>
      </c>
      <c r="L17" s="24">
        <v>0</v>
      </c>
      <c r="M17" s="24">
        <v>0</v>
      </c>
      <c r="N17" s="24" t="s">
        <v>35</v>
      </c>
      <c r="O17" s="24" t="s">
        <v>35</v>
      </c>
      <c r="P17" s="24">
        <v>100</v>
      </c>
      <c r="Q17" s="24">
        <v>0</v>
      </c>
      <c r="R17" s="24">
        <v>0</v>
      </c>
      <c r="S17" s="24">
        <v>1</v>
      </c>
    </row>
    <row r="18" spans="1:19" ht="14.4" x14ac:dyDescent="0.3">
      <c r="A18" s="23" t="s">
        <v>172</v>
      </c>
      <c r="B18" s="23" t="s">
        <v>173</v>
      </c>
      <c r="C18" s="23" t="s">
        <v>145</v>
      </c>
      <c r="D18" s="23"/>
      <c r="E18" s="23"/>
      <c r="F18" s="23">
        <v>1</v>
      </c>
      <c r="G18" s="23"/>
      <c r="H18" s="23"/>
      <c r="I18" s="23"/>
      <c r="J18" s="23">
        <v>1</v>
      </c>
      <c r="K18" s="23" t="s">
        <v>89</v>
      </c>
      <c r="L18" s="24">
        <v>0</v>
      </c>
      <c r="M18" s="24">
        <v>0</v>
      </c>
      <c r="N18" s="24" t="s">
        <v>35</v>
      </c>
      <c r="O18" s="24" t="s">
        <v>35</v>
      </c>
      <c r="P18" s="24">
        <v>100</v>
      </c>
      <c r="Q18" s="24">
        <v>0</v>
      </c>
      <c r="R18" s="24">
        <v>0</v>
      </c>
      <c r="S18" s="24">
        <v>1</v>
      </c>
    </row>
    <row r="19" spans="1:19" ht="14.4" x14ac:dyDescent="0.3">
      <c r="A19" s="23" t="s">
        <v>293</v>
      </c>
      <c r="B19" s="23" t="s">
        <v>294</v>
      </c>
      <c r="C19" s="23" t="s">
        <v>144</v>
      </c>
      <c r="D19" s="23"/>
      <c r="E19" s="23"/>
      <c r="F19" s="23"/>
      <c r="G19" s="23"/>
      <c r="H19" s="23">
        <v>2</v>
      </c>
      <c r="I19" s="23"/>
      <c r="J19" s="23">
        <v>2</v>
      </c>
      <c r="K19" s="23" t="s">
        <v>89</v>
      </c>
      <c r="L19" s="24">
        <v>0</v>
      </c>
      <c r="M19" s="24">
        <v>0</v>
      </c>
      <c r="N19" s="24" t="s">
        <v>35</v>
      </c>
      <c r="O19" s="24" t="s">
        <v>35</v>
      </c>
      <c r="P19" s="24">
        <v>100</v>
      </c>
      <c r="Q19" s="24">
        <v>0</v>
      </c>
      <c r="R19" s="24">
        <v>0</v>
      </c>
      <c r="S19" s="24">
        <v>2</v>
      </c>
    </row>
    <row r="20" spans="1:19" ht="14.4" x14ac:dyDescent="0.3">
      <c r="A20" s="23" t="s">
        <v>295</v>
      </c>
      <c r="B20" s="23" t="s">
        <v>296</v>
      </c>
      <c r="C20" s="23" t="s">
        <v>144</v>
      </c>
      <c r="D20" s="23"/>
      <c r="E20" s="23"/>
      <c r="F20" s="23"/>
      <c r="G20" s="23"/>
      <c r="H20" s="23">
        <v>1</v>
      </c>
      <c r="I20" s="23"/>
      <c r="J20" s="23">
        <v>1</v>
      </c>
      <c r="K20" s="23" t="s">
        <v>89</v>
      </c>
      <c r="L20" s="24">
        <v>0</v>
      </c>
      <c r="M20" s="24">
        <v>0</v>
      </c>
      <c r="N20" s="24" t="s">
        <v>35</v>
      </c>
      <c r="O20" s="24" t="s">
        <v>35</v>
      </c>
      <c r="P20" s="24">
        <v>100</v>
      </c>
      <c r="Q20" s="24">
        <v>0</v>
      </c>
      <c r="R20" s="24">
        <v>0</v>
      </c>
      <c r="S20" s="24">
        <v>1</v>
      </c>
    </row>
    <row r="21" spans="1:19" ht="14.4" x14ac:dyDescent="0.3">
      <c r="A21" s="23" t="s">
        <v>192</v>
      </c>
      <c r="B21" s="23" t="s">
        <v>193</v>
      </c>
      <c r="C21" s="23" t="s">
        <v>144</v>
      </c>
      <c r="D21" s="23"/>
      <c r="E21" s="23"/>
      <c r="F21" s="23"/>
      <c r="G21" s="23"/>
      <c r="H21" s="23"/>
      <c r="I21" s="23">
        <v>1</v>
      </c>
      <c r="J21" s="23">
        <v>1</v>
      </c>
      <c r="K21" s="23" t="s">
        <v>89</v>
      </c>
      <c r="L21" s="24" t="s">
        <v>40</v>
      </c>
      <c r="M21" s="24" t="s">
        <v>49</v>
      </c>
      <c r="N21" s="24" t="s">
        <v>35</v>
      </c>
      <c r="O21" s="24" t="s">
        <v>35</v>
      </c>
      <c r="P21" s="24">
        <v>80</v>
      </c>
      <c r="Q21" s="24">
        <v>0.2</v>
      </c>
      <c r="R21" s="24">
        <v>0</v>
      </c>
      <c r="S21" s="24">
        <v>0.8</v>
      </c>
    </row>
    <row r="22" spans="1:19" ht="14.4" x14ac:dyDescent="0.3">
      <c r="A22" s="23" t="s">
        <v>182</v>
      </c>
      <c r="B22" s="23" t="s">
        <v>183</v>
      </c>
      <c r="C22" s="23" t="s">
        <v>144</v>
      </c>
      <c r="D22" s="23"/>
      <c r="E22" s="23">
        <v>1</v>
      </c>
      <c r="F22" s="23"/>
      <c r="G22" s="23"/>
      <c r="H22" s="23"/>
      <c r="I22" s="23"/>
      <c r="J22" s="23">
        <v>1</v>
      </c>
      <c r="K22" s="23" t="s">
        <v>89</v>
      </c>
      <c r="L22" s="24">
        <v>0</v>
      </c>
      <c r="M22" s="24">
        <v>0</v>
      </c>
      <c r="N22" s="24" t="s">
        <v>35</v>
      </c>
      <c r="O22" s="24" t="s">
        <v>35</v>
      </c>
      <c r="P22" s="24">
        <v>100</v>
      </c>
      <c r="Q22" s="24">
        <v>0</v>
      </c>
      <c r="R22" s="24">
        <v>0</v>
      </c>
      <c r="S22" s="24">
        <v>1</v>
      </c>
    </row>
    <row r="23" spans="1:19" ht="14.4" x14ac:dyDescent="0.3">
      <c r="A23" s="23" t="s">
        <v>168</v>
      </c>
      <c r="B23" s="23" t="s">
        <v>169</v>
      </c>
      <c r="C23" s="23" t="s">
        <v>144</v>
      </c>
      <c r="D23" s="23"/>
      <c r="E23" s="23"/>
      <c r="F23" s="23">
        <v>1</v>
      </c>
      <c r="G23" s="23"/>
      <c r="H23" s="23">
        <v>1</v>
      </c>
      <c r="I23" s="23"/>
      <c r="J23" s="23">
        <v>2</v>
      </c>
      <c r="K23" s="23" t="s">
        <v>89</v>
      </c>
      <c r="L23" s="24">
        <v>0</v>
      </c>
      <c r="M23" s="24">
        <v>0</v>
      </c>
      <c r="N23" s="24" t="s">
        <v>35</v>
      </c>
      <c r="O23" s="24" t="s">
        <v>35</v>
      </c>
      <c r="P23" s="24">
        <v>100</v>
      </c>
      <c r="Q23" s="24">
        <v>0</v>
      </c>
      <c r="R23" s="24">
        <v>0</v>
      </c>
      <c r="S23" s="24">
        <v>2</v>
      </c>
    </row>
    <row r="24" spans="1:19" ht="14.4" x14ac:dyDescent="0.3">
      <c r="A24" s="23" t="s">
        <v>152</v>
      </c>
      <c r="B24" s="23" t="s">
        <v>153</v>
      </c>
      <c r="C24" s="23" t="s">
        <v>145</v>
      </c>
      <c r="D24" s="23"/>
      <c r="E24" s="23"/>
      <c r="F24" s="23">
        <v>1</v>
      </c>
      <c r="G24" s="23"/>
      <c r="H24" s="23"/>
      <c r="I24" s="23"/>
      <c r="J24" s="23">
        <v>1</v>
      </c>
      <c r="K24" s="23" t="s">
        <v>89</v>
      </c>
      <c r="L24" s="24">
        <v>0</v>
      </c>
      <c r="M24" s="24">
        <v>0</v>
      </c>
      <c r="N24" s="24" t="s">
        <v>35</v>
      </c>
      <c r="O24" s="24" t="s">
        <v>35</v>
      </c>
      <c r="P24" s="24">
        <v>100</v>
      </c>
      <c r="Q24" s="24">
        <v>0</v>
      </c>
      <c r="R24" s="24">
        <v>0</v>
      </c>
      <c r="S24" s="24">
        <v>1</v>
      </c>
    </row>
    <row r="25" spans="1:19" ht="14.4" x14ac:dyDescent="0.3">
      <c r="A25" s="23" t="s">
        <v>180</v>
      </c>
      <c r="B25" s="23" t="s">
        <v>181</v>
      </c>
      <c r="C25" s="23" t="s">
        <v>144</v>
      </c>
      <c r="D25" s="23"/>
      <c r="E25" s="23"/>
      <c r="F25" s="23"/>
      <c r="G25" s="23">
        <v>1</v>
      </c>
      <c r="H25" s="23"/>
      <c r="I25" s="23"/>
      <c r="J25" s="23">
        <v>1</v>
      </c>
      <c r="K25" s="23" t="s">
        <v>89</v>
      </c>
      <c r="L25" s="24">
        <v>0</v>
      </c>
      <c r="M25" s="24">
        <v>0</v>
      </c>
      <c r="N25" s="24" t="s">
        <v>35</v>
      </c>
      <c r="O25" s="24" t="s">
        <v>35</v>
      </c>
      <c r="P25" s="24">
        <v>100</v>
      </c>
      <c r="Q25" s="24">
        <v>0</v>
      </c>
      <c r="R25" s="24">
        <v>0</v>
      </c>
      <c r="S25" s="24">
        <v>1</v>
      </c>
    </row>
    <row r="26" spans="1:19" ht="14.4" x14ac:dyDescent="0.3">
      <c r="A26" s="23" t="s">
        <v>150</v>
      </c>
      <c r="B26" s="23" t="s">
        <v>151</v>
      </c>
      <c r="C26" s="23" t="s">
        <v>144</v>
      </c>
      <c r="D26" s="23"/>
      <c r="E26" s="23"/>
      <c r="F26" s="23">
        <v>1</v>
      </c>
      <c r="G26" s="23"/>
      <c r="H26" s="23"/>
      <c r="I26" s="23">
        <v>1</v>
      </c>
      <c r="J26" s="23">
        <v>2</v>
      </c>
      <c r="K26" s="23" t="s">
        <v>89</v>
      </c>
      <c r="L26" s="24">
        <v>0</v>
      </c>
      <c r="M26" s="24">
        <v>0</v>
      </c>
      <c r="N26" s="24" t="s">
        <v>35</v>
      </c>
      <c r="O26" s="24" t="s">
        <v>35</v>
      </c>
      <c r="P26" s="24">
        <v>100</v>
      </c>
      <c r="Q26" s="24">
        <v>0</v>
      </c>
      <c r="R26" s="24">
        <v>0</v>
      </c>
      <c r="S26" s="24">
        <v>2</v>
      </c>
    </row>
    <row r="27" spans="1:19" ht="14.4" x14ac:dyDescent="0.3">
      <c r="A27" s="23" t="s">
        <v>194</v>
      </c>
      <c r="B27" s="23" t="s">
        <v>195</v>
      </c>
      <c r="C27" s="23" t="s">
        <v>144</v>
      </c>
      <c r="D27" s="23"/>
      <c r="E27" s="23"/>
      <c r="F27" s="23"/>
      <c r="G27" s="23"/>
      <c r="H27" s="23"/>
      <c r="I27" s="23">
        <v>1</v>
      </c>
      <c r="J27" s="23">
        <v>1</v>
      </c>
      <c r="K27" s="23" t="s">
        <v>89</v>
      </c>
      <c r="L27" s="24" t="s">
        <v>40</v>
      </c>
      <c r="M27" s="24" t="s">
        <v>49</v>
      </c>
      <c r="N27" s="24" t="s">
        <v>35</v>
      </c>
      <c r="O27" s="24" t="s">
        <v>35</v>
      </c>
      <c r="P27" s="24">
        <v>80</v>
      </c>
      <c r="Q27" s="24">
        <v>0.2</v>
      </c>
      <c r="R27" s="24">
        <v>0</v>
      </c>
      <c r="S27" s="24">
        <v>0.8</v>
      </c>
    </row>
    <row r="28" spans="1:19" ht="14.4" x14ac:dyDescent="0.3">
      <c r="A28" s="23" t="s">
        <v>637</v>
      </c>
      <c r="B28" s="23" t="s">
        <v>638</v>
      </c>
      <c r="C28" s="23" t="s">
        <v>145</v>
      </c>
      <c r="D28" s="23"/>
      <c r="E28" s="23"/>
      <c r="F28" s="23"/>
      <c r="G28" s="23"/>
      <c r="H28" s="23">
        <v>1</v>
      </c>
      <c r="I28" s="23"/>
      <c r="J28" s="23">
        <v>1</v>
      </c>
      <c r="K28" s="23" t="s">
        <v>89</v>
      </c>
      <c r="L28" s="24">
        <v>0</v>
      </c>
      <c r="M28" s="24">
        <v>0</v>
      </c>
      <c r="N28" s="24" t="s">
        <v>35</v>
      </c>
      <c r="O28" s="24" t="s">
        <v>35</v>
      </c>
      <c r="P28" s="24">
        <v>100</v>
      </c>
      <c r="Q28" s="24">
        <v>0</v>
      </c>
      <c r="R28" s="24">
        <v>0</v>
      </c>
      <c r="S28" s="24">
        <v>1</v>
      </c>
    </row>
    <row r="29" spans="1:19" ht="14.4" x14ac:dyDescent="0.3">
      <c r="A29" s="23" t="s">
        <v>190</v>
      </c>
      <c r="B29" s="23" t="s">
        <v>191</v>
      </c>
      <c r="C29" s="23" t="s">
        <v>144</v>
      </c>
      <c r="D29" s="23"/>
      <c r="E29" s="23"/>
      <c r="F29" s="23"/>
      <c r="G29" s="23"/>
      <c r="H29" s="23">
        <v>1</v>
      </c>
      <c r="I29" s="23"/>
      <c r="J29" s="23">
        <v>1</v>
      </c>
      <c r="K29" s="23" t="s">
        <v>89</v>
      </c>
      <c r="L29" s="24">
        <v>0</v>
      </c>
      <c r="M29" s="24">
        <v>0</v>
      </c>
      <c r="N29" s="24" t="s">
        <v>35</v>
      </c>
      <c r="O29" s="24" t="s">
        <v>35</v>
      </c>
      <c r="P29" s="24">
        <v>100</v>
      </c>
      <c r="Q29" s="24">
        <v>0</v>
      </c>
      <c r="R29" s="24">
        <v>0</v>
      </c>
      <c r="S29" s="24">
        <v>1</v>
      </c>
    </row>
    <row r="30" spans="1:19" ht="14.4" x14ac:dyDescent="0.3">
      <c r="A30" s="23" t="s">
        <v>174</v>
      </c>
      <c r="B30" s="23" t="s">
        <v>175</v>
      </c>
      <c r="C30" s="23" t="s">
        <v>144</v>
      </c>
      <c r="D30" s="23">
        <v>2</v>
      </c>
      <c r="E30" s="23"/>
      <c r="F30" s="23">
        <v>1</v>
      </c>
      <c r="G30" s="23"/>
      <c r="H30" s="23"/>
      <c r="I30" s="23"/>
      <c r="J30" s="23">
        <v>3</v>
      </c>
      <c r="K30" s="23" t="s">
        <v>89</v>
      </c>
      <c r="L30" s="24">
        <v>0</v>
      </c>
      <c r="M30" s="24">
        <v>0</v>
      </c>
      <c r="N30" s="24" t="s">
        <v>35</v>
      </c>
      <c r="O30" s="24" t="s">
        <v>35</v>
      </c>
      <c r="P30" s="24">
        <v>100</v>
      </c>
      <c r="Q30" s="24">
        <v>0</v>
      </c>
      <c r="R30" s="24">
        <v>0</v>
      </c>
      <c r="S30" s="24">
        <v>3</v>
      </c>
    </row>
    <row r="31" spans="1:19" ht="14.4" x14ac:dyDescent="0.3">
      <c r="A31" s="23" t="s">
        <v>186</v>
      </c>
      <c r="B31" s="23" t="s">
        <v>187</v>
      </c>
      <c r="C31" s="138" t="s">
        <v>144</v>
      </c>
      <c r="D31" s="23"/>
      <c r="E31" s="23"/>
      <c r="F31" s="23"/>
      <c r="G31" s="23">
        <v>1</v>
      </c>
      <c r="H31" s="23"/>
      <c r="I31" s="23">
        <v>1</v>
      </c>
      <c r="J31" s="23">
        <v>2</v>
      </c>
      <c r="K31" s="23" t="s">
        <v>89</v>
      </c>
      <c r="L31" s="24" t="s">
        <v>40</v>
      </c>
      <c r="M31" s="24" t="s">
        <v>37</v>
      </c>
      <c r="N31" s="24" t="s">
        <v>35</v>
      </c>
      <c r="O31" s="24" t="s">
        <v>35</v>
      </c>
      <c r="P31" s="24">
        <v>90</v>
      </c>
      <c r="Q31" s="24">
        <v>0.2</v>
      </c>
      <c r="R31" s="24">
        <v>0</v>
      </c>
      <c r="S31" s="24">
        <v>1.8</v>
      </c>
    </row>
    <row r="32" spans="1:19" ht="14.4" x14ac:dyDescent="0.3">
      <c r="A32" s="23" t="s">
        <v>297</v>
      </c>
      <c r="B32" s="23" t="s">
        <v>298</v>
      </c>
      <c r="C32" s="23" t="s">
        <v>144</v>
      </c>
      <c r="D32" s="23"/>
      <c r="E32" s="23"/>
      <c r="F32" s="23"/>
      <c r="G32" s="23"/>
      <c r="H32" s="23">
        <v>1</v>
      </c>
      <c r="I32" s="23"/>
      <c r="J32" s="23">
        <v>1</v>
      </c>
      <c r="K32" s="23" t="s">
        <v>89</v>
      </c>
      <c r="L32" s="24">
        <v>0</v>
      </c>
      <c r="M32" s="24">
        <v>0</v>
      </c>
      <c r="N32" s="24" t="s">
        <v>35</v>
      </c>
      <c r="O32" s="24" t="s">
        <v>35</v>
      </c>
      <c r="P32" s="24">
        <v>100</v>
      </c>
      <c r="Q32" s="24">
        <v>0</v>
      </c>
      <c r="R32" s="24">
        <v>0</v>
      </c>
      <c r="S32" s="24">
        <v>1</v>
      </c>
    </row>
    <row r="33" spans="1:19" ht="14.4" x14ac:dyDescent="0.3">
      <c r="A33" s="23" t="s">
        <v>639</v>
      </c>
      <c r="B33" s="23" t="s">
        <v>640</v>
      </c>
      <c r="C33" s="138" t="s">
        <v>145</v>
      </c>
      <c r="D33" s="23"/>
      <c r="E33" s="23"/>
      <c r="F33" s="23"/>
      <c r="G33" s="23"/>
      <c r="H33" s="23">
        <v>1</v>
      </c>
      <c r="I33" s="23"/>
      <c r="J33" s="23">
        <v>1</v>
      </c>
      <c r="K33" s="23" t="s">
        <v>89</v>
      </c>
      <c r="L33" s="24">
        <v>0</v>
      </c>
      <c r="M33" s="24">
        <v>0</v>
      </c>
      <c r="N33" s="24" t="s">
        <v>35</v>
      </c>
      <c r="O33" s="24" t="s">
        <v>35</v>
      </c>
      <c r="P33" s="24">
        <v>100</v>
      </c>
      <c r="Q33" s="24">
        <v>0</v>
      </c>
      <c r="R33" s="24">
        <v>0</v>
      </c>
      <c r="S33" s="24">
        <v>1</v>
      </c>
    </row>
    <row r="34" spans="1:19" ht="14.4" x14ac:dyDescent="0.3">
      <c r="A34" s="23" t="s">
        <v>166</v>
      </c>
      <c r="B34" s="23" t="s">
        <v>167</v>
      </c>
      <c r="C34" s="138" t="s">
        <v>144</v>
      </c>
      <c r="D34" s="23"/>
      <c r="E34" s="23"/>
      <c r="F34" s="23">
        <v>2</v>
      </c>
      <c r="G34" s="23"/>
      <c r="H34" s="23"/>
      <c r="I34" s="23"/>
      <c r="J34" s="23">
        <v>2</v>
      </c>
      <c r="K34" s="23" t="s">
        <v>89</v>
      </c>
      <c r="L34" s="24">
        <v>0</v>
      </c>
      <c r="M34" s="24">
        <v>0</v>
      </c>
      <c r="N34" s="24" t="s">
        <v>35</v>
      </c>
      <c r="O34" s="24" t="s">
        <v>35</v>
      </c>
      <c r="P34" s="24">
        <v>100</v>
      </c>
      <c r="Q34" s="24">
        <v>0</v>
      </c>
      <c r="R34" s="24">
        <v>0</v>
      </c>
      <c r="S34" s="24">
        <v>2</v>
      </c>
    </row>
    <row r="35" spans="1:19" ht="14.4" x14ac:dyDescent="0.3">
      <c r="A35" s="23" t="s">
        <v>170</v>
      </c>
      <c r="B35" s="23" t="s">
        <v>171</v>
      </c>
      <c r="C35" s="138" t="s">
        <v>144</v>
      </c>
      <c r="D35" s="23"/>
      <c r="E35" s="23"/>
      <c r="F35" s="23"/>
      <c r="G35" s="23">
        <v>2</v>
      </c>
      <c r="H35" s="23"/>
      <c r="I35" s="23"/>
      <c r="J35" s="23">
        <v>2</v>
      </c>
      <c r="K35" s="23" t="s">
        <v>89</v>
      </c>
      <c r="L35" s="24" t="s">
        <v>41</v>
      </c>
      <c r="M35" s="24" t="s">
        <v>49</v>
      </c>
      <c r="N35" s="24" t="s">
        <v>40</v>
      </c>
      <c r="O35" s="24" t="s">
        <v>34</v>
      </c>
      <c r="P35" s="24">
        <v>30</v>
      </c>
      <c r="Q35" s="24">
        <v>0.4</v>
      </c>
      <c r="R35" s="24">
        <v>1</v>
      </c>
      <c r="S35" s="24">
        <v>0.6</v>
      </c>
    </row>
    <row r="36" spans="1:19" x14ac:dyDescent="0.25">
      <c r="A36" s="139"/>
      <c r="B36" s="139"/>
      <c r="C36" s="139"/>
      <c r="D36" s="139"/>
      <c r="E36" s="139"/>
      <c r="F36" s="139"/>
      <c r="G36" s="139"/>
      <c r="H36" s="139"/>
      <c r="I36" s="139"/>
      <c r="J36" s="139"/>
      <c r="K36" s="139"/>
      <c r="L36" s="139"/>
      <c r="M36" s="139"/>
      <c r="N36" s="140"/>
      <c r="O36" s="139"/>
      <c r="P36" s="140"/>
      <c r="Q36" s="139"/>
      <c r="R36" s="139"/>
      <c r="S36" s="144">
        <f>SUM(S2:S35)</f>
        <v>43.199999999999996</v>
      </c>
    </row>
  </sheetData>
  <pageMargins left="0.39370078740157483" right="0.39370078740157483" top="0.39370078740157483" bottom="0.39370078740157483" header="0.31496062992125984" footer="0.31496062992125984"/>
  <pageSetup paperSize="9" scale="1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80"/>
  <sheetViews>
    <sheetView topLeftCell="A73" zoomScaleNormal="100" workbookViewId="0">
      <selection activeCell="F93" sqref="F93"/>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196</v>
      </c>
      <c r="B2" s="5"/>
    </row>
    <row r="3" spans="1:2" x14ac:dyDescent="0.2">
      <c r="A3" s="4" t="s">
        <v>197</v>
      </c>
      <c r="B3" s="5">
        <v>60</v>
      </c>
    </row>
    <row r="4" spans="1:2" x14ac:dyDescent="0.2">
      <c r="A4" s="4" t="s">
        <v>198</v>
      </c>
      <c r="B4" s="5"/>
    </row>
    <row r="5" spans="1:2" x14ac:dyDescent="0.2">
      <c r="A5" s="4" t="s">
        <v>199</v>
      </c>
      <c r="B5" s="5">
        <v>60</v>
      </c>
    </row>
    <row r="6" spans="1:2" x14ac:dyDescent="0.2">
      <c r="A6" s="4" t="s">
        <v>200</v>
      </c>
      <c r="B6" s="5"/>
    </row>
    <row r="7" spans="1:2" x14ac:dyDescent="0.2">
      <c r="A7" s="4" t="s">
        <v>201</v>
      </c>
      <c r="B7" s="5">
        <v>60</v>
      </c>
    </row>
    <row r="8" spans="1:2" x14ac:dyDescent="0.2">
      <c r="A8" s="4" t="s">
        <v>5</v>
      </c>
      <c r="B8" s="5"/>
    </row>
    <row r="9" spans="1:2" x14ac:dyDescent="0.2">
      <c r="A9" s="4" t="s">
        <v>202</v>
      </c>
      <c r="B9" s="5">
        <v>2.25</v>
      </c>
    </row>
    <row r="10" spans="1:2" x14ac:dyDescent="0.2">
      <c r="A10" s="4" t="s">
        <v>203</v>
      </c>
      <c r="B10" s="5">
        <v>0.03</v>
      </c>
    </row>
    <row r="11" spans="1:2" x14ac:dyDescent="0.2">
      <c r="A11" s="4" t="s">
        <v>204</v>
      </c>
      <c r="B11" s="5"/>
    </row>
    <row r="12" spans="1:2" x14ac:dyDescent="0.2">
      <c r="A12" s="4" t="s">
        <v>205</v>
      </c>
      <c r="B12" s="5">
        <v>800</v>
      </c>
    </row>
    <row r="13" spans="1:2" x14ac:dyDescent="0.2">
      <c r="A13" s="4" t="s">
        <v>7</v>
      </c>
      <c r="B13" s="5"/>
    </row>
    <row r="14" spans="1:2" x14ac:dyDescent="0.2">
      <c r="A14" s="4" t="s">
        <v>206</v>
      </c>
      <c r="B14" s="5">
        <v>26500</v>
      </c>
    </row>
    <row r="15" spans="1:2" x14ac:dyDescent="0.2">
      <c r="A15" s="4" t="s">
        <v>207</v>
      </c>
      <c r="B15" s="5">
        <v>493.41</v>
      </c>
    </row>
    <row r="16" spans="1:2" x14ac:dyDescent="0.2">
      <c r="A16" s="4" t="s">
        <v>208</v>
      </c>
      <c r="B16" s="5"/>
    </row>
    <row r="17" spans="1:2" x14ac:dyDescent="0.2">
      <c r="A17" s="4" t="s">
        <v>209</v>
      </c>
      <c r="B17" s="5">
        <v>6000</v>
      </c>
    </row>
    <row r="18" spans="1:2" x14ac:dyDescent="0.2">
      <c r="A18" s="4" t="s">
        <v>210</v>
      </c>
      <c r="B18" s="5"/>
    </row>
    <row r="19" spans="1:2" x14ac:dyDescent="0.2">
      <c r="A19" s="4" t="s">
        <v>211</v>
      </c>
      <c r="B19" s="5">
        <v>8400</v>
      </c>
    </row>
    <row r="20" spans="1:2" x14ac:dyDescent="0.2">
      <c r="A20" s="4" t="s">
        <v>212</v>
      </c>
      <c r="B20" s="5"/>
    </row>
    <row r="21" spans="1:2" x14ac:dyDescent="0.2">
      <c r="A21" s="4" t="s">
        <v>213</v>
      </c>
      <c r="B21" s="5">
        <v>1150</v>
      </c>
    </row>
    <row r="22" spans="1:2" x14ac:dyDescent="0.2">
      <c r="A22" s="4" t="s">
        <v>214</v>
      </c>
      <c r="B22" s="5"/>
    </row>
    <row r="23" spans="1:2" x14ac:dyDescent="0.2">
      <c r="A23" s="4" t="s">
        <v>215</v>
      </c>
      <c r="B23" s="5">
        <v>5878</v>
      </c>
    </row>
    <row r="24" spans="1:2" x14ac:dyDescent="0.2">
      <c r="A24" s="4" t="s">
        <v>216</v>
      </c>
      <c r="B24" s="5"/>
    </row>
    <row r="25" spans="1:2" x14ac:dyDescent="0.2">
      <c r="A25" s="4" t="s">
        <v>217</v>
      </c>
      <c r="B25" s="5">
        <v>2333.33</v>
      </c>
    </row>
    <row r="26" spans="1:2" x14ac:dyDescent="0.2">
      <c r="A26" s="4" t="s">
        <v>218</v>
      </c>
      <c r="B26" s="5">
        <v>2333.33</v>
      </c>
    </row>
    <row r="27" spans="1:2" x14ac:dyDescent="0.2">
      <c r="A27" s="4" t="s">
        <v>219</v>
      </c>
      <c r="B27" s="5">
        <v>2333.33</v>
      </c>
    </row>
    <row r="28" spans="1:2" x14ac:dyDescent="0.2">
      <c r="A28" s="4" t="s">
        <v>220</v>
      </c>
      <c r="B28" s="5">
        <v>2333.33</v>
      </c>
    </row>
    <row r="29" spans="1:2" x14ac:dyDescent="0.2">
      <c r="A29" s="4" t="s">
        <v>221</v>
      </c>
      <c r="B29" s="5">
        <v>2333.33</v>
      </c>
    </row>
    <row r="30" spans="1:2" x14ac:dyDescent="0.2">
      <c r="A30" s="4" t="s">
        <v>222</v>
      </c>
      <c r="B30" s="5">
        <v>2333.33</v>
      </c>
    </row>
    <row r="31" spans="1:2" x14ac:dyDescent="0.2">
      <c r="A31" s="4" t="s">
        <v>223</v>
      </c>
      <c r="B31" s="5"/>
    </row>
    <row r="32" spans="1:2" x14ac:dyDescent="0.2">
      <c r="A32" s="4" t="s">
        <v>224</v>
      </c>
      <c r="B32" s="5">
        <v>4000</v>
      </c>
    </row>
    <row r="33" spans="1:2" x14ac:dyDescent="0.2">
      <c r="A33" s="4" t="s">
        <v>225</v>
      </c>
      <c r="B33" s="5"/>
    </row>
    <row r="34" spans="1:2" x14ac:dyDescent="0.2">
      <c r="A34" s="4" t="s">
        <v>226</v>
      </c>
      <c r="B34" s="5">
        <v>6000</v>
      </c>
    </row>
    <row r="35" spans="1:2" x14ac:dyDescent="0.2">
      <c r="A35" s="4" t="s">
        <v>227</v>
      </c>
      <c r="B35" s="5"/>
    </row>
    <row r="36" spans="1:2" x14ac:dyDescent="0.2">
      <c r="A36" s="4" t="s">
        <v>228</v>
      </c>
      <c r="B36" s="5">
        <v>14000</v>
      </c>
    </row>
    <row r="37" spans="1:2" x14ac:dyDescent="0.2">
      <c r="A37" s="4" t="s">
        <v>229</v>
      </c>
      <c r="B37" s="5"/>
    </row>
    <row r="38" spans="1:2" x14ac:dyDescent="0.2">
      <c r="A38" s="4" t="s">
        <v>230</v>
      </c>
      <c r="B38" s="5">
        <v>23430</v>
      </c>
    </row>
    <row r="39" spans="1:2" x14ac:dyDescent="0.2">
      <c r="A39" s="4" t="s">
        <v>231</v>
      </c>
      <c r="B39" s="5">
        <v>2500</v>
      </c>
    </row>
    <row r="40" spans="1:2" x14ac:dyDescent="0.2">
      <c r="A40" s="4" t="s">
        <v>232</v>
      </c>
      <c r="B40" s="5">
        <v>2500</v>
      </c>
    </row>
    <row r="41" spans="1:2" x14ac:dyDescent="0.2">
      <c r="A41" s="4" t="s">
        <v>233</v>
      </c>
      <c r="B41" s="5">
        <v>2500</v>
      </c>
    </row>
    <row r="42" spans="1:2" x14ac:dyDescent="0.2">
      <c r="A42" s="4" t="s">
        <v>234</v>
      </c>
      <c r="B42" s="5"/>
    </row>
    <row r="43" spans="1:2" x14ac:dyDescent="0.2">
      <c r="A43" s="4" t="s">
        <v>235</v>
      </c>
      <c r="B43" s="5">
        <v>400</v>
      </c>
    </row>
    <row r="44" spans="1:2" x14ac:dyDescent="0.2">
      <c r="A44" s="4" t="s">
        <v>236</v>
      </c>
      <c r="B44" s="5"/>
    </row>
    <row r="45" spans="1:2" x14ac:dyDescent="0.2">
      <c r="A45" s="4" t="s">
        <v>237</v>
      </c>
      <c r="B45" s="5">
        <v>300</v>
      </c>
    </row>
    <row r="46" spans="1:2" x14ac:dyDescent="0.2">
      <c r="A46" s="4" t="s">
        <v>238</v>
      </c>
      <c r="B46" s="5"/>
    </row>
    <row r="47" spans="1:2" x14ac:dyDescent="0.2">
      <c r="A47" s="4" t="s">
        <v>239</v>
      </c>
      <c r="B47" s="5">
        <v>980</v>
      </c>
    </row>
    <row r="48" spans="1:2" x14ac:dyDescent="0.2">
      <c r="A48" s="4" t="s">
        <v>240</v>
      </c>
      <c r="B48" s="5"/>
    </row>
    <row r="49" spans="1:2" x14ac:dyDescent="0.2">
      <c r="A49" s="4" t="s">
        <v>241</v>
      </c>
      <c r="B49" s="5">
        <v>150</v>
      </c>
    </row>
    <row r="50" spans="1:2" x14ac:dyDescent="0.2">
      <c r="A50" s="4" t="s">
        <v>242</v>
      </c>
      <c r="B50" s="5"/>
    </row>
    <row r="51" spans="1:2" x14ac:dyDescent="0.2">
      <c r="A51" s="4" t="s">
        <v>243</v>
      </c>
      <c r="B51" s="5">
        <v>2464</v>
      </c>
    </row>
    <row r="52" spans="1:2" x14ac:dyDescent="0.2">
      <c r="A52" s="4" t="s">
        <v>244</v>
      </c>
      <c r="B52" s="5"/>
    </row>
    <row r="53" spans="1:2" x14ac:dyDescent="0.2">
      <c r="A53" s="4" t="s">
        <v>245</v>
      </c>
      <c r="B53" s="5">
        <v>3000</v>
      </c>
    </row>
    <row r="54" spans="1:2" x14ac:dyDescent="0.2">
      <c r="A54" s="4" t="s">
        <v>246</v>
      </c>
      <c r="B54" s="5"/>
    </row>
    <row r="55" spans="1:2" x14ac:dyDescent="0.2">
      <c r="A55" s="4" t="s">
        <v>247</v>
      </c>
      <c r="B55" s="5">
        <v>720</v>
      </c>
    </row>
    <row r="56" spans="1:2" x14ac:dyDescent="0.2">
      <c r="A56" s="4" t="s">
        <v>248</v>
      </c>
      <c r="B56" s="5"/>
    </row>
    <row r="57" spans="1:2" x14ac:dyDescent="0.2">
      <c r="A57" s="4" t="s">
        <v>249</v>
      </c>
      <c r="B57" s="5">
        <v>610</v>
      </c>
    </row>
    <row r="58" spans="1:2" x14ac:dyDescent="0.2">
      <c r="A58" s="4" t="s">
        <v>250</v>
      </c>
      <c r="B58" s="5"/>
    </row>
    <row r="59" spans="1:2" x14ac:dyDescent="0.2">
      <c r="A59" s="4" t="s">
        <v>251</v>
      </c>
      <c r="B59" s="5">
        <v>4999.67</v>
      </c>
    </row>
    <row r="60" spans="1:2" x14ac:dyDescent="0.2">
      <c r="A60" s="4" t="s">
        <v>8</v>
      </c>
      <c r="B60" s="5"/>
    </row>
    <row r="61" spans="1:2" x14ac:dyDescent="0.2">
      <c r="A61" s="4" t="s">
        <v>252</v>
      </c>
      <c r="B61" s="5">
        <v>1500</v>
      </c>
    </row>
    <row r="62" spans="1:2" x14ac:dyDescent="0.2">
      <c r="A62" s="4" t="s">
        <v>9</v>
      </c>
      <c r="B62" s="5"/>
    </row>
    <row r="63" spans="1:2" x14ac:dyDescent="0.2">
      <c r="A63" s="4" t="s">
        <v>253</v>
      </c>
      <c r="B63" s="5">
        <v>22825</v>
      </c>
    </row>
    <row r="64" spans="1:2" x14ac:dyDescent="0.2">
      <c r="A64" s="4" t="s">
        <v>202</v>
      </c>
      <c r="B64" s="5">
        <v>588.94000000000005</v>
      </c>
    </row>
    <row r="65" spans="1:2" x14ac:dyDescent="0.2">
      <c r="A65" s="4" t="s">
        <v>10</v>
      </c>
      <c r="B65" s="5"/>
    </row>
    <row r="66" spans="1:2" x14ac:dyDescent="0.2">
      <c r="A66" s="4" t="s">
        <v>254</v>
      </c>
      <c r="B66" s="5">
        <v>3500</v>
      </c>
    </row>
    <row r="67" spans="1:2" x14ac:dyDescent="0.2">
      <c r="A67" s="4" t="s">
        <v>255</v>
      </c>
      <c r="B67" s="5"/>
    </row>
    <row r="68" spans="1:2" x14ac:dyDescent="0.2">
      <c r="A68" s="4" t="s">
        <v>256</v>
      </c>
      <c r="B68" s="5">
        <v>5860</v>
      </c>
    </row>
    <row r="69" spans="1:2" x14ac:dyDescent="0.2">
      <c r="A69" s="4" t="s">
        <v>257</v>
      </c>
      <c r="B69" s="5"/>
    </row>
    <row r="70" spans="1:2" x14ac:dyDescent="0.2">
      <c r="A70" s="4" t="s">
        <v>258</v>
      </c>
      <c r="B70" s="5">
        <v>46000</v>
      </c>
    </row>
    <row r="71" spans="1:2" x14ac:dyDescent="0.2">
      <c r="A71" s="4" t="s">
        <v>259</v>
      </c>
      <c r="B71" s="5">
        <v>22080</v>
      </c>
    </row>
    <row r="72" spans="1:2" x14ac:dyDescent="0.2">
      <c r="A72" s="4" t="s">
        <v>260</v>
      </c>
      <c r="B72" s="5"/>
    </row>
    <row r="73" spans="1:2" x14ac:dyDescent="0.2">
      <c r="A73" s="4" t="s">
        <v>261</v>
      </c>
      <c r="B73" s="5">
        <v>5258.36</v>
      </c>
    </row>
    <row r="74" spans="1:2" x14ac:dyDescent="0.2">
      <c r="A74" s="4" t="s">
        <v>262</v>
      </c>
      <c r="B74" s="5"/>
    </row>
    <row r="75" spans="1:2" x14ac:dyDescent="0.2">
      <c r="A75" s="4" t="s">
        <v>261</v>
      </c>
      <c r="B75" s="5">
        <v>7800</v>
      </c>
    </row>
    <row r="76" spans="1:2" x14ac:dyDescent="0.2">
      <c r="A76" s="4" t="s">
        <v>263</v>
      </c>
      <c r="B76" s="5"/>
    </row>
    <row r="77" spans="1:2" x14ac:dyDescent="0.2">
      <c r="A77" s="4" t="s">
        <v>264</v>
      </c>
      <c r="B77" s="5">
        <v>20000</v>
      </c>
    </row>
    <row r="78" spans="1:2" x14ac:dyDescent="0.2">
      <c r="A78" s="4" t="s">
        <v>11</v>
      </c>
      <c r="B78" s="5"/>
    </row>
    <row r="79" spans="1:2" x14ac:dyDescent="0.2">
      <c r="A79" s="4" t="s">
        <v>265</v>
      </c>
      <c r="B79" s="5">
        <v>21578.67</v>
      </c>
    </row>
    <row r="80" spans="1:2" x14ac:dyDescent="0.2">
      <c r="A80" s="6" t="s">
        <v>2</v>
      </c>
      <c r="B80" s="7">
        <f>SUM(B3:B79)</f>
        <v>288948.31</v>
      </c>
    </row>
  </sheetData>
  <pageMargins left="0.39370078740157483" right="0.39370078740157483" top="0.74803149606299213" bottom="0.7480314960629921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79B85-E848-41C9-9290-2026E653C4AA}">
  <dimension ref="A1:B178"/>
  <sheetViews>
    <sheetView topLeftCell="A156" zoomScaleNormal="100" workbookViewId="0">
      <selection activeCell="B178" sqref="B17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323</v>
      </c>
      <c r="B2" s="5"/>
    </row>
    <row r="3" spans="1:2" x14ac:dyDescent="0.2">
      <c r="A3" s="4" t="s">
        <v>324</v>
      </c>
      <c r="B3" s="5">
        <v>1320</v>
      </c>
    </row>
    <row r="4" spans="1:2" x14ac:dyDescent="0.2">
      <c r="A4" s="4" t="s">
        <v>325</v>
      </c>
      <c r="B4" s="5"/>
    </row>
    <row r="5" spans="1:2" x14ac:dyDescent="0.2">
      <c r="A5" s="4" t="s">
        <v>326</v>
      </c>
      <c r="B5" s="5">
        <v>598.40000000000009</v>
      </c>
    </row>
    <row r="6" spans="1:2" x14ac:dyDescent="0.2">
      <c r="A6" s="4" t="s">
        <v>3</v>
      </c>
      <c r="B6" s="5"/>
    </row>
    <row r="7" spans="1:2" x14ac:dyDescent="0.2">
      <c r="A7" s="4" t="s">
        <v>327</v>
      </c>
      <c r="B7" s="5">
        <v>1.37</v>
      </c>
    </row>
    <row r="8" spans="1:2" x14ac:dyDescent="0.2">
      <c r="A8" s="4" t="s">
        <v>328</v>
      </c>
      <c r="B8" s="5">
        <v>15.36</v>
      </c>
    </row>
    <row r="9" spans="1:2" x14ac:dyDescent="0.2">
      <c r="A9" s="4" t="s">
        <v>329</v>
      </c>
      <c r="B9" s="5">
        <v>20.149999999999999</v>
      </c>
    </row>
    <row r="10" spans="1:2" x14ac:dyDescent="0.2">
      <c r="A10" s="4" t="s">
        <v>4</v>
      </c>
      <c r="B10" s="5"/>
    </row>
    <row r="11" spans="1:2" x14ac:dyDescent="0.2">
      <c r="A11" s="4" t="s">
        <v>327</v>
      </c>
      <c r="B11" s="5">
        <v>1.08</v>
      </c>
    </row>
    <row r="12" spans="1:2" x14ac:dyDescent="0.2">
      <c r="A12" s="4" t="s">
        <v>328</v>
      </c>
      <c r="B12" s="5">
        <v>12.91</v>
      </c>
    </row>
    <row r="13" spans="1:2" x14ac:dyDescent="0.2">
      <c r="A13" s="4" t="s">
        <v>329</v>
      </c>
      <c r="B13" s="5">
        <v>17.21</v>
      </c>
    </row>
    <row r="14" spans="1:2" x14ac:dyDescent="0.2">
      <c r="A14" s="4" t="s">
        <v>330</v>
      </c>
      <c r="B14" s="5"/>
    </row>
    <row r="15" spans="1:2" x14ac:dyDescent="0.2">
      <c r="A15" s="4" t="s">
        <v>331</v>
      </c>
      <c r="B15" s="5">
        <v>70.400000000000006</v>
      </c>
    </row>
    <row r="16" spans="1:2" x14ac:dyDescent="0.2">
      <c r="A16" s="4" t="s">
        <v>332</v>
      </c>
      <c r="B16" s="5"/>
    </row>
    <row r="17" spans="1:2" x14ac:dyDescent="0.2">
      <c r="A17" s="4" t="s">
        <v>333</v>
      </c>
      <c r="B17" s="5">
        <v>52.8</v>
      </c>
    </row>
    <row r="18" spans="1:2" x14ac:dyDescent="0.2">
      <c r="A18" s="4" t="s">
        <v>334</v>
      </c>
      <c r="B18" s="5"/>
    </row>
    <row r="19" spans="1:2" x14ac:dyDescent="0.2">
      <c r="A19" s="4" t="s">
        <v>335</v>
      </c>
      <c r="B19" s="5">
        <v>70.400000000000006</v>
      </c>
    </row>
    <row r="20" spans="1:2" x14ac:dyDescent="0.2">
      <c r="A20" s="4" t="s">
        <v>336</v>
      </c>
      <c r="B20" s="5"/>
    </row>
    <row r="21" spans="1:2" x14ac:dyDescent="0.2">
      <c r="A21" s="4" t="s">
        <v>337</v>
      </c>
      <c r="B21" s="5">
        <v>52.8</v>
      </c>
    </row>
    <row r="22" spans="1:2" x14ac:dyDescent="0.2">
      <c r="A22" s="4" t="s">
        <v>338</v>
      </c>
      <c r="B22" s="5"/>
    </row>
    <row r="23" spans="1:2" x14ac:dyDescent="0.2">
      <c r="A23" s="4" t="s">
        <v>339</v>
      </c>
      <c r="B23" s="5">
        <v>52.8</v>
      </c>
    </row>
    <row r="24" spans="1:2" x14ac:dyDescent="0.2">
      <c r="A24" s="4" t="s">
        <v>5</v>
      </c>
      <c r="B24" s="5"/>
    </row>
    <row r="25" spans="1:2" x14ac:dyDescent="0.2">
      <c r="A25" s="4" t="s">
        <v>327</v>
      </c>
      <c r="B25" s="5">
        <v>13.66</v>
      </c>
    </row>
    <row r="26" spans="1:2" x14ac:dyDescent="0.2">
      <c r="A26" s="4" t="s">
        <v>328</v>
      </c>
      <c r="B26" s="5">
        <v>22.21</v>
      </c>
    </row>
    <row r="27" spans="1:2" x14ac:dyDescent="0.2">
      <c r="A27" s="4" t="s">
        <v>329</v>
      </c>
      <c r="B27" s="5">
        <v>95.05</v>
      </c>
    </row>
    <row r="28" spans="1:2" x14ac:dyDescent="0.2">
      <c r="A28" s="4" t="s">
        <v>6</v>
      </c>
      <c r="B28" s="5"/>
    </row>
    <row r="29" spans="1:2" x14ac:dyDescent="0.2">
      <c r="A29" s="4" t="s">
        <v>327</v>
      </c>
      <c r="B29" s="5">
        <v>0.82</v>
      </c>
    </row>
    <row r="30" spans="1:2" x14ac:dyDescent="0.2">
      <c r="A30" s="4" t="s">
        <v>328</v>
      </c>
      <c r="B30" s="5">
        <v>9.19</v>
      </c>
    </row>
    <row r="31" spans="1:2" x14ac:dyDescent="0.2">
      <c r="A31" s="4" t="s">
        <v>329</v>
      </c>
      <c r="B31" s="5">
        <v>12.35</v>
      </c>
    </row>
    <row r="32" spans="1:2" x14ac:dyDescent="0.2">
      <c r="A32" s="4" t="s">
        <v>340</v>
      </c>
      <c r="B32" s="5"/>
    </row>
    <row r="33" spans="1:2" x14ac:dyDescent="0.2">
      <c r="A33" s="4" t="s">
        <v>341</v>
      </c>
      <c r="B33" s="5">
        <v>5544</v>
      </c>
    </row>
    <row r="34" spans="1:2" x14ac:dyDescent="0.2">
      <c r="A34" s="4" t="s">
        <v>342</v>
      </c>
      <c r="B34" s="5"/>
    </row>
    <row r="35" spans="1:2" x14ac:dyDescent="0.2">
      <c r="A35" s="4" t="s">
        <v>343</v>
      </c>
      <c r="B35" s="5">
        <v>70.400000000000006</v>
      </c>
    </row>
    <row r="36" spans="1:2" x14ac:dyDescent="0.2">
      <c r="A36" s="4" t="s">
        <v>344</v>
      </c>
      <c r="B36" s="5"/>
    </row>
    <row r="37" spans="1:2" x14ac:dyDescent="0.2">
      <c r="A37" s="4" t="s">
        <v>345</v>
      </c>
      <c r="B37" s="5">
        <v>52.8</v>
      </c>
    </row>
    <row r="38" spans="1:2" x14ac:dyDescent="0.2">
      <c r="A38" s="4" t="s">
        <v>346</v>
      </c>
      <c r="B38" s="5"/>
    </row>
    <row r="39" spans="1:2" x14ac:dyDescent="0.2">
      <c r="A39" s="4" t="s">
        <v>347</v>
      </c>
      <c r="B39" s="5">
        <v>52.8</v>
      </c>
    </row>
    <row r="40" spans="1:2" x14ac:dyDescent="0.2">
      <c r="A40" s="4" t="s">
        <v>348</v>
      </c>
      <c r="B40" s="5"/>
    </row>
    <row r="41" spans="1:2" x14ac:dyDescent="0.2">
      <c r="A41" s="4" t="s">
        <v>349</v>
      </c>
      <c r="B41" s="5">
        <v>52.8</v>
      </c>
    </row>
    <row r="42" spans="1:2" x14ac:dyDescent="0.2">
      <c r="A42" s="4" t="s">
        <v>350</v>
      </c>
      <c r="B42" s="5"/>
    </row>
    <row r="43" spans="1:2" x14ac:dyDescent="0.2">
      <c r="A43" s="4" t="s">
        <v>351</v>
      </c>
      <c r="B43" s="5">
        <v>52.8</v>
      </c>
    </row>
    <row r="44" spans="1:2" x14ac:dyDescent="0.2">
      <c r="A44" s="4" t="s">
        <v>7</v>
      </c>
      <c r="B44" s="5"/>
    </row>
    <row r="45" spans="1:2" x14ac:dyDescent="0.2">
      <c r="A45" s="4" t="s">
        <v>352</v>
      </c>
      <c r="B45" s="5">
        <v>23320</v>
      </c>
    </row>
    <row r="46" spans="1:2" x14ac:dyDescent="0.2">
      <c r="A46" s="4" t="s">
        <v>208</v>
      </c>
      <c r="B46" s="5"/>
    </row>
    <row r="47" spans="1:2" x14ac:dyDescent="0.2">
      <c r="A47" s="4" t="s">
        <v>327</v>
      </c>
      <c r="B47" s="5">
        <v>1.66</v>
      </c>
    </row>
    <row r="48" spans="1:2" x14ac:dyDescent="0.2">
      <c r="A48" s="4" t="s">
        <v>328</v>
      </c>
      <c r="B48" s="5">
        <v>18</v>
      </c>
    </row>
    <row r="49" spans="1:2" x14ac:dyDescent="0.2">
      <c r="A49" s="4" t="s">
        <v>329</v>
      </c>
      <c r="B49" s="5">
        <v>23.86</v>
      </c>
    </row>
    <row r="50" spans="1:2" x14ac:dyDescent="0.2">
      <c r="A50" s="4" t="s">
        <v>353</v>
      </c>
      <c r="B50" s="5"/>
    </row>
    <row r="51" spans="1:2" x14ac:dyDescent="0.2">
      <c r="A51" s="4" t="s">
        <v>354</v>
      </c>
      <c r="B51" s="5">
        <v>52.8</v>
      </c>
    </row>
    <row r="52" spans="1:2" x14ac:dyDescent="0.2">
      <c r="A52" s="4" t="s">
        <v>355</v>
      </c>
      <c r="B52" s="5"/>
    </row>
    <row r="53" spans="1:2" x14ac:dyDescent="0.2">
      <c r="A53" s="4" t="s">
        <v>356</v>
      </c>
      <c r="B53" s="5">
        <v>52.8</v>
      </c>
    </row>
    <row r="54" spans="1:2" x14ac:dyDescent="0.2">
      <c r="A54" s="4" t="s">
        <v>357</v>
      </c>
      <c r="B54" s="5"/>
    </row>
    <row r="55" spans="1:2" x14ac:dyDescent="0.2">
      <c r="A55" s="4" t="s">
        <v>358</v>
      </c>
      <c r="B55" s="5">
        <v>52.8</v>
      </c>
    </row>
    <row r="56" spans="1:2" x14ac:dyDescent="0.2">
      <c r="A56" s="4" t="s">
        <v>359</v>
      </c>
      <c r="B56" s="5"/>
    </row>
    <row r="57" spans="1:2" x14ac:dyDescent="0.2">
      <c r="A57" s="4" t="s">
        <v>360</v>
      </c>
      <c r="B57" s="5">
        <v>52.8</v>
      </c>
    </row>
    <row r="58" spans="1:2" x14ac:dyDescent="0.2">
      <c r="A58" s="4" t="s">
        <v>361</v>
      </c>
      <c r="B58" s="5"/>
    </row>
    <row r="59" spans="1:2" x14ac:dyDescent="0.2">
      <c r="A59" s="4" t="s">
        <v>362</v>
      </c>
      <c r="B59" s="5">
        <v>52.8</v>
      </c>
    </row>
    <row r="60" spans="1:2" x14ac:dyDescent="0.2">
      <c r="A60" s="4" t="s">
        <v>216</v>
      </c>
      <c r="B60" s="5"/>
    </row>
    <row r="61" spans="1:2" x14ac:dyDescent="0.2">
      <c r="A61" s="4" t="s">
        <v>363</v>
      </c>
      <c r="B61" s="5">
        <v>2053.33</v>
      </c>
    </row>
    <row r="62" spans="1:2" x14ac:dyDescent="0.2">
      <c r="A62" s="4" t="s">
        <v>364</v>
      </c>
      <c r="B62" s="5">
        <v>2053.33</v>
      </c>
    </row>
    <row r="63" spans="1:2" x14ac:dyDescent="0.2">
      <c r="A63" s="4" t="s">
        <v>365</v>
      </c>
      <c r="B63" s="5">
        <v>2053.33</v>
      </c>
    </row>
    <row r="64" spans="1:2" x14ac:dyDescent="0.2">
      <c r="A64" s="4" t="s">
        <v>366</v>
      </c>
      <c r="B64" s="5">
        <v>2053.33</v>
      </c>
    </row>
    <row r="65" spans="1:2" x14ac:dyDescent="0.2">
      <c r="A65" s="4" t="s">
        <v>367</v>
      </c>
      <c r="B65" s="5">
        <v>2053.33</v>
      </c>
    </row>
    <row r="66" spans="1:2" x14ac:dyDescent="0.2">
      <c r="A66" s="4" t="s">
        <v>368</v>
      </c>
      <c r="B66" s="5">
        <v>2053.33</v>
      </c>
    </row>
    <row r="67" spans="1:2" x14ac:dyDescent="0.2">
      <c r="A67" s="4" t="s">
        <v>223</v>
      </c>
      <c r="B67" s="5"/>
    </row>
    <row r="68" spans="1:2" x14ac:dyDescent="0.2">
      <c r="A68" s="4" t="s">
        <v>327</v>
      </c>
      <c r="B68" s="5">
        <v>7.86</v>
      </c>
    </row>
    <row r="69" spans="1:2" x14ac:dyDescent="0.2">
      <c r="A69" s="4" t="s">
        <v>328</v>
      </c>
      <c r="B69" s="5">
        <v>2.99</v>
      </c>
    </row>
    <row r="70" spans="1:2" x14ac:dyDescent="0.2">
      <c r="A70" s="4" t="s">
        <v>329</v>
      </c>
      <c r="B70" s="5">
        <v>47.29</v>
      </c>
    </row>
    <row r="71" spans="1:2" x14ac:dyDescent="0.2">
      <c r="A71" s="4" t="s">
        <v>369</v>
      </c>
      <c r="B71" s="5"/>
    </row>
    <row r="72" spans="1:2" x14ac:dyDescent="0.2">
      <c r="A72" s="4" t="s">
        <v>370</v>
      </c>
      <c r="B72" s="5">
        <v>52.8</v>
      </c>
    </row>
    <row r="73" spans="1:2" x14ac:dyDescent="0.2">
      <c r="A73" s="4" t="s">
        <v>225</v>
      </c>
      <c r="B73" s="5"/>
    </row>
    <row r="74" spans="1:2" x14ac:dyDescent="0.2">
      <c r="A74" s="4" t="s">
        <v>327</v>
      </c>
      <c r="B74" s="5">
        <v>2.29</v>
      </c>
    </row>
    <row r="75" spans="1:2" x14ac:dyDescent="0.2">
      <c r="A75" s="4" t="s">
        <v>229</v>
      </c>
      <c r="B75" s="5"/>
    </row>
    <row r="76" spans="1:2" x14ac:dyDescent="0.2">
      <c r="A76" s="4" t="s">
        <v>371</v>
      </c>
      <c r="B76" s="5">
        <v>11440</v>
      </c>
    </row>
    <row r="77" spans="1:2" x14ac:dyDescent="0.2">
      <c r="A77" s="4" t="s">
        <v>372</v>
      </c>
      <c r="B77" s="5">
        <v>17600</v>
      </c>
    </row>
    <row r="78" spans="1:2" x14ac:dyDescent="0.2">
      <c r="A78" s="4" t="s">
        <v>373</v>
      </c>
      <c r="B78" s="5"/>
    </row>
    <row r="79" spans="1:2" x14ac:dyDescent="0.2">
      <c r="A79" s="4" t="s">
        <v>374</v>
      </c>
      <c r="B79" s="5">
        <v>52.8</v>
      </c>
    </row>
    <row r="80" spans="1:2" x14ac:dyDescent="0.2">
      <c r="A80" s="4" t="s">
        <v>375</v>
      </c>
      <c r="B80" s="5"/>
    </row>
    <row r="81" spans="1:2" x14ac:dyDescent="0.2">
      <c r="A81" s="4" t="s">
        <v>376</v>
      </c>
      <c r="B81" s="5">
        <v>1496</v>
      </c>
    </row>
    <row r="82" spans="1:2" x14ac:dyDescent="0.2">
      <c r="A82" s="4" t="s">
        <v>377</v>
      </c>
      <c r="B82" s="5"/>
    </row>
    <row r="83" spans="1:2" x14ac:dyDescent="0.2">
      <c r="A83" s="4" t="s">
        <v>378</v>
      </c>
      <c r="B83" s="5">
        <v>52.8</v>
      </c>
    </row>
    <row r="84" spans="1:2" x14ac:dyDescent="0.2">
      <c r="A84" s="4" t="s">
        <v>379</v>
      </c>
      <c r="B84" s="5"/>
    </row>
    <row r="85" spans="1:2" x14ac:dyDescent="0.2">
      <c r="A85" s="4" t="s">
        <v>380</v>
      </c>
      <c r="B85" s="5">
        <v>52.8</v>
      </c>
    </row>
    <row r="86" spans="1:2" x14ac:dyDescent="0.2">
      <c r="A86" s="4" t="s">
        <v>381</v>
      </c>
      <c r="B86" s="5"/>
    </row>
    <row r="87" spans="1:2" x14ac:dyDescent="0.2">
      <c r="A87" s="4" t="s">
        <v>382</v>
      </c>
      <c r="B87" s="5">
        <v>52.8</v>
      </c>
    </row>
    <row r="88" spans="1:2" x14ac:dyDescent="0.2">
      <c r="A88" s="4" t="s">
        <v>383</v>
      </c>
      <c r="B88" s="5"/>
    </row>
    <row r="89" spans="1:2" x14ac:dyDescent="0.2">
      <c r="A89" s="4" t="s">
        <v>384</v>
      </c>
      <c r="B89" s="5">
        <v>52.8</v>
      </c>
    </row>
    <row r="90" spans="1:2" x14ac:dyDescent="0.2">
      <c r="A90" s="4" t="s">
        <v>385</v>
      </c>
      <c r="B90" s="5"/>
    </row>
    <row r="91" spans="1:2" x14ac:dyDescent="0.2">
      <c r="A91" s="4" t="s">
        <v>386</v>
      </c>
      <c r="B91" s="5">
        <v>1056</v>
      </c>
    </row>
    <row r="92" spans="1:2" x14ac:dyDescent="0.2">
      <c r="A92" s="4" t="s">
        <v>387</v>
      </c>
      <c r="B92" s="5"/>
    </row>
    <row r="93" spans="1:2" x14ac:dyDescent="0.2">
      <c r="A93" s="4" t="s">
        <v>388</v>
      </c>
      <c r="B93" s="5">
        <v>52.8</v>
      </c>
    </row>
    <row r="94" spans="1:2" x14ac:dyDescent="0.2">
      <c r="A94" s="4" t="s">
        <v>389</v>
      </c>
      <c r="B94" s="5"/>
    </row>
    <row r="95" spans="1:2" x14ac:dyDescent="0.2">
      <c r="A95" s="4" t="s">
        <v>390</v>
      </c>
      <c r="B95" s="5">
        <v>52.8</v>
      </c>
    </row>
    <row r="96" spans="1:2" x14ac:dyDescent="0.2">
      <c r="A96" s="4" t="s">
        <v>391</v>
      </c>
      <c r="B96" s="5"/>
    </row>
    <row r="97" spans="1:2" x14ac:dyDescent="0.2">
      <c r="A97" s="4" t="s">
        <v>392</v>
      </c>
      <c r="B97" s="5">
        <v>52.8</v>
      </c>
    </row>
    <row r="98" spans="1:2" x14ac:dyDescent="0.2">
      <c r="A98" s="4" t="s">
        <v>393</v>
      </c>
      <c r="B98" s="5"/>
    </row>
    <row r="99" spans="1:2" x14ac:dyDescent="0.2">
      <c r="A99" s="4" t="s">
        <v>394</v>
      </c>
      <c r="B99" s="5">
        <v>3351.04</v>
      </c>
    </row>
    <row r="100" spans="1:2" x14ac:dyDescent="0.2">
      <c r="A100" s="4" t="s">
        <v>395</v>
      </c>
      <c r="B100" s="5"/>
    </row>
    <row r="101" spans="1:2" x14ac:dyDescent="0.2">
      <c r="A101" s="4" t="s">
        <v>396</v>
      </c>
      <c r="B101" s="5">
        <v>5280</v>
      </c>
    </row>
    <row r="102" spans="1:2" x14ac:dyDescent="0.2">
      <c r="A102" s="4" t="s">
        <v>327</v>
      </c>
      <c r="B102" s="5">
        <v>4.22</v>
      </c>
    </row>
    <row r="103" spans="1:2" x14ac:dyDescent="0.2">
      <c r="A103" s="4" t="s">
        <v>250</v>
      </c>
      <c r="B103" s="5"/>
    </row>
    <row r="104" spans="1:2" x14ac:dyDescent="0.2">
      <c r="A104" s="4" t="s">
        <v>251</v>
      </c>
      <c r="B104" s="5">
        <v>8712.2900000000009</v>
      </c>
    </row>
    <row r="105" spans="1:2" x14ac:dyDescent="0.2">
      <c r="A105" s="4" t="s">
        <v>327</v>
      </c>
      <c r="B105" s="5">
        <v>13.46</v>
      </c>
    </row>
    <row r="106" spans="1:2" x14ac:dyDescent="0.2">
      <c r="A106" s="4" t="s">
        <v>397</v>
      </c>
      <c r="B106" s="5"/>
    </row>
    <row r="107" spans="1:2" x14ac:dyDescent="0.2">
      <c r="A107" s="4" t="s">
        <v>398</v>
      </c>
      <c r="B107" s="5">
        <v>1890.91</v>
      </c>
    </row>
    <row r="108" spans="1:2" x14ac:dyDescent="0.2">
      <c r="A108" s="4" t="s">
        <v>399</v>
      </c>
      <c r="B108" s="5"/>
    </row>
    <row r="109" spans="1:2" x14ac:dyDescent="0.2">
      <c r="A109" s="4" t="s">
        <v>400</v>
      </c>
      <c r="B109" s="5">
        <v>528</v>
      </c>
    </row>
    <row r="110" spans="1:2" x14ac:dyDescent="0.2">
      <c r="A110" s="4" t="s">
        <v>401</v>
      </c>
      <c r="B110" s="5"/>
    </row>
    <row r="111" spans="1:2" x14ac:dyDescent="0.2">
      <c r="A111" s="4" t="s">
        <v>402</v>
      </c>
      <c r="B111" s="5">
        <v>2464</v>
      </c>
    </row>
    <row r="112" spans="1:2" x14ac:dyDescent="0.2">
      <c r="A112" s="4" t="s">
        <v>403</v>
      </c>
      <c r="B112" s="5"/>
    </row>
    <row r="113" spans="1:2" x14ac:dyDescent="0.2">
      <c r="A113" s="4" t="s">
        <v>404</v>
      </c>
      <c r="B113" s="5">
        <v>26400</v>
      </c>
    </row>
    <row r="114" spans="1:2" x14ac:dyDescent="0.2">
      <c r="A114" s="4" t="s">
        <v>327</v>
      </c>
      <c r="B114" s="5">
        <v>53.59</v>
      </c>
    </row>
    <row r="115" spans="1:2" x14ac:dyDescent="0.2">
      <c r="A115" s="4" t="s">
        <v>405</v>
      </c>
      <c r="B115" s="5"/>
    </row>
    <row r="116" spans="1:2" x14ac:dyDescent="0.2">
      <c r="A116" s="4" t="s">
        <v>406</v>
      </c>
      <c r="B116" s="5">
        <v>774.21</v>
      </c>
    </row>
    <row r="117" spans="1:2" x14ac:dyDescent="0.2">
      <c r="A117" s="4" t="s">
        <v>407</v>
      </c>
      <c r="B117" s="5"/>
    </row>
    <row r="118" spans="1:2" x14ac:dyDescent="0.2">
      <c r="A118" s="4" t="s">
        <v>408</v>
      </c>
      <c r="B118" s="5">
        <v>13156</v>
      </c>
    </row>
    <row r="119" spans="1:2" x14ac:dyDescent="0.2">
      <c r="A119" s="4" t="s">
        <v>409</v>
      </c>
      <c r="B119" s="5"/>
    </row>
    <row r="120" spans="1:2" x14ac:dyDescent="0.2">
      <c r="A120" s="4" t="s">
        <v>410</v>
      </c>
      <c r="B120" s="5">
        <v>3960</v>
      </c>
    </row>
    <row r="121" spans="1:2" x14ac:dyDescent="0.2">
      <c r="A121" s="4" t="s">
        <v>327</v>
      </c>
      <c r="B121" s="5">
        <v>5.31</v>
      </c>
    </row>
    <row r="122" spans="1:2" x14ac:dyDescent="0.2">
      <c r="A122" s="4" t="s">
        <v>411</v>
      </c>
      <c r="B122" s="5"/>
    </row>
    <row r="123" spans="1:2" x14ac:dyDescent="0.2">
      <c r="A123" s="4" t="s">
        <v>412</v>
      </c>
      <c r="B123" s="5">
        <v>13156</v>
      </c>
    </row>
    <row r="124" spans="1:2" x14ac:dyDescent="0.2">
      <c r="A124" s="4" t="s">
        <v>413</v>
      </c>
      <c r="B124" s="5"/>
    </row>
    <row r="125" spans="1:2" x14ac:dyDescent="0.2">
      <c r="A125" s="4" t="s">
        <v>414</v>
      </c>
      <c r="B125" s="5">
        <v>1584</v>
      </c>
    </row>
    <row r="126" spans="1:2" x14ac:dyDescent="0.2">
      <c r="A126" s="4" t="s">
        <v>415</v>
      </c>
      <c r="B126" s="5"/>
    </row>
    <row r="127" spans="1:2" x14ac:dyDescent="0.2">
      <c r="A127" s="4" t="s">
        <v>416</v>
      </c>
      <c r="B127" s="5">
        <v>1760</v>
      </c>
    </row>
    <row r="128" spans="1:2" x14ac:dyDescent="0.2">
      <c r="A128" s="4" t="s">
        <v>417</v>
      </c>
      <c r="B128" s="5"/>
    </row>
    <row r="129" spans="1:2" x14ac:dyDescent="0.2">
      <c r="A129" s="4" t="s">
        <v>418</v>
      </c>
      <c r="B129" s="5">
        <v>704</v>
      </c>
    </row>
    <row r="130" spans="1:2" x14ac:dyDescent="0.2">
      <c r="A130" s="4" t="s">
        <v>419</v>
      </c>
      <c r="B130" s="5"/>
    </row>
    <row r="131" spans="1:2" x14ac:dyDescent="0.2">
      <c r="A131" s="4" t="s">
        <v>420</v>
      </c>
      <c r="B131" s="5">
        <v>1584</v>
      </c>
    </row>
    <row r="132" spans="1:2" x14ac:dyDescent="0.2">
      <c r="A132" s="4" t="s">
        <v>421</v>
      </c>
      <c r="B132" s="5"/>
    </row>
    <row r="133" spans="1:2" x14ac:dyDescent="0.2">
      <c r="A133" s="4" t="s">
        <v>422</v>
      </c>
      <c r="B133" s="5">
        <v>1320</v>
      </c>
    </row>
    <row r="134" spans="1:2" x14ac:dyDescent="0.2">
      <c r="A134" s="4" t="s">
        <v>423</v>
      </c>
      <c r="B134" s="5"/>
    </row>
    <row r="135" spans="1:2" x14ac:dyDescent="0.2">
      <c r="A135" s="4" t="s">
        <v>424</v>
      </c>
      <c r="B135" s="5">
        <v>880</v>
      </c>
    </row>
    <row r="136" spans="1:2" x14ac:dyDescent="0.2">
      <c r="A136" s="4" t="s">
        <v>425</v>
      </c>
      <c r="B136" s="5"/>
    </row>
    <row r="137" spans="1:2" x14ac:dyDescent="0.2">
      <c r="A137" s="4" t="s">
        <v>426</v>
      </c>
      <c r="B137" s="5">
        <v>13156</v>
      </c>
    </row>
    <row r="138" spans="1:2" x14ac:dyDescent="0.2">
      <c r="A138" s="4" t="s">
        <v>427</v>
      </c>
      <c r="B138" s="5"/>
    </row>
    <row r="139" spans="1:2" x14ac:dyDescent="0.2">
      <c r="A139" s="4" t="s">
        <v>428</v>
      </c>
      <c r="B139" s="5">
        <v>12672</v>
      </c>
    </row>
    <row r="140" spans="1:2" x14ac:dyDescent="0.2">
      <c r="A140" s="4" t="s">
        <v>429</v>
      </c>
      <c r="B140" s="5"/>
    </row>
    <row r="141" spans="1:2" x14ac:dyDescent="0.2">
      <c r="A141" s="4" t="s">
        <v>430</v>
      </c>
      <c r="B141" s="5">
        <v>936.32</v>
      </c>
    </row>
    <row r="142" spans="1:2" x14ac:dyDescent="0.2">
      <c r="A142" s="4" t="s">
        <v>431</v>
      </c>
      <c r="B142" s="5"/>
    </row>
    <row r="143" spans="1:2" x14ac:dyDescent="0.2">
      <c r="A143" s="4" t="s">
        <v>432</v>
      </c>
      <c r="B143" s="5">
        <v>7040</v>
      </c>
    </row>
    <row r="144" spans="1:2" x14ac:dyDescent="0.2">
      <c r="A144" s="4" t="s">
        <v>433</v>
      </c>
      <c r="B144" s="5"/>
    </row>
    <row r="145" spans="1:2" x14ac:dyDescent="0.2">
      <c r="A145" s="4" t="s">
        <v>434</v>
      </c>
      <c r="B145" s="5">
        <v>1056</v>
      </c>
    </row>
    <row r="146" spans="1:2" x14ac:dyDescent="0.2">
      <c r="A146" s="4" t="s">
        <v>435</v>
      </c>
      <c r="B146" s="5"/>
    </row>
    <row r="147" spans="1:2" x14ac:dyDescent="0.2">
      <c r="A147" s="4" t="s">
        <v>436</v>
      </c>
      <c r="B147" s="5">
        <v>352</v>
      </c>
    </row>
    <row r="148" spans="1:2" x14ac:dyDescent="0.2">
      <c r="A148" s="4" t="s">
        <v>437</v>
      </c>
      <c r="B148" s="5"/>
    </row>
    <row r="149" spans="1:2" x14ac:dyDescent="0.2">
      <c r="A149" s="4" t="s">
        <v>438</v>
      </c>
      <c r="B149" s="5">
        <v>44</v>
      </c>
    </row>
    <row r="150" spans="1:2" x14ac:dyDescent="0.2">
      <c r="A150" s="4" t="s">
        <v>439</v>
      </c>
      <c r="B150" s="5"/>
    </row>
    <row r="151" spans="1:2" x14ac:dyDescent="0.2">
      <c r="A151" s="4" t="s">
        <v>440</v>
      </c>
      <c r="B151" s="5">
        <v>2200</v>
      </c>
    </row>
    <row r="152" spans="1:2" x14ac:dyDescent="0.2">
      <c r="A152" s="4" t="s">
        <v>441</v>
      </c>
      <c r="B152" s="5"/>
    </row>
    <row r="153" spans="1:2" x14ac:dyDescent="0.2">
      <c r="A153" s="4" t="s">
        <v>442</v>
      </c>
      <c r="B153" s="5">
        <v>13156</v>
      </c>
    </row>
    <row r="154" spans="1:2" x14ac:dyDescent="0.2">
      <c r="A154" s="4" t="s">
        <v>443</v>
      </c>
      <c r="B154" s="5"/>
    </row>
    <row r="155" spans="1:2" x14ac:dyDescent="0.2">
      <c r="A155" s="4" t="s">
        <v>444</v>
      </c>
      <c r="B155" s="5">
        <v>220</v>
      </c>
    </row>
    <row r="156" spans="1:2" x14ac:dyDescent="0.2">
      <c r="A156" s="4" t="s">
        <v>445</v>
      </c>
      <c r="B156" s="5"/>
    </row>
    <row r="157" spans="1:2" x14ac:dyDescent="0.2">
      <c r="A157" s="4" t="s">
        <v>446</v>
      </c>
      <c r="B157" s="5">
        <v>6000</v>
      </c>
    </row>
    <row r="158" spans="1:2" x14ac:dyDescent="0.2">
      <c r="A158" s="4" t="s">
        <v>257</v>
      </c>
      <c r="B158" s="5"/>
    </row>
    <row r="159" spans="1:2" x14ac:dyDescent="0.2">
      <c r="A159" s="4" t="s">
        <v>447</v>
      </c>
      <c r="B159" s="5">
        <v>4600</v>
      </c>
    </row>
    <row r="160" spans="1:2" x14ac:dyDescent="0.2">
      <c r="A160" s="4" t="s">
        <v>260</v>
      </c>
      <c r="B160" s="5"/>
    </row>
    <row r="161" spans="1:2" x14ac:dyDescent="0.2">
      <c r="A161" s="4" t="s">
        <v>448</v>
      </c>
      <c r="B161" s="5">
        <v>6786.94</v>
      </c>
    </row>
    <row r="162" spans="1:2" x14ac:dyDescent="0.2">
      <c r="A162" s="4" t="s">
        <v>262</v>
      </c>
      <c r="B162" s="5"/>
    </row>
    <row r="163" spans="1:2" x14ac:dyDescent="0.2">
      <c r="A163" s="4" t="s">
        <v>448</v>
      </c>
      <c r="B163" s="5">
        <v>6550</v>
      </c>
    </row>
    <row r="164" spans="1:2" x14ac:dyDescent="0.2">
      <c r="A164" s="4" t="s">
        <v>263</v>
      </c>
      <c r="B164" s="5"/>
    </row>
    <row r="165" spans="1:2" x14ac:dyDescent="0.2">
      <c r="A165" s="4" t="s">
        <v>449</v>
      </c>
      <c r="B165" s="5">
        <v>20000</v>
      </c>
    </row>
    <row r="166" spans="1:2" x14ac:dyDescent="0.2">
      <c r="A166" s="4" t="s">
        <v>450</v>
      </c>
      <c r="B166" s="5"/>
    </row>
    <row r="167" spans="1:2" x14ac:dyDescent="0.2">
      <c r="A167" s="4" t="s">
        <v>451</v>
      </c>
      <c r="B167" s="5">
        <v>7800</v>
      </c>
    </row>
    <row r="168" spans="1:2" x14ac:dyDescent="0.2">
      <c r="A168" s="4" t="s">
        <v>452</v>
      </c>
      <c r="B168" s="5"/>
    </row>
    <row r="169" spans="1:2" x14ac:dyDescent="0.2">
      <c r="A169" s="4" t="s">
        <v>451</v>
      </c>
      <c r="B169" s="5">
        <v>7950</v>
      </c>
    </row>
    <row r="170" spans="1:2" x14ac:dyDescent="0.2">
      <c r="A170" s="4" t="s">
        <v>453</v>
      </c>
      <c r="B170" s="5"/>
    </row>
    <row r="171" spans="1:2" x14ac:dyDescent="0.2">
      <c r="A171" s="4" t="s">
        <v>451</v>
      </c>
      <c r="B171" s="5">
        <v>7960</v>
      </c>
    </row>
    <row r="172" spans="1:2" x14ac:dyDescent="0.2">
      <c r="A172" s="4" t="s">
        <v>454</v>
      </c>
      <c r="B172" s="5"/>
    </row>
    <row r="173" spans="1:2" x14ac:dyDescent="0.2">
      <c r="A173" s="4" t="s">
        <v>455</v>
      </c>
      <c r="B173" s="5">
        <v>8041.73</v>
      </c>
    </row>
    <row r="174" spans="1:2" x14ac:dyDescent="0.2">
      <c r="A174" s="4" t="s">
        <v>11</v>
      </c>
      <c r="B174" s="5"/>
    </row>
    <row r="175" spans="1:2" x14ac:dyDescent="0.2">
      <c r="A175" s="4" t="s">
        <v>456</v>
      </c>
      <c r="B175" s="5">
        <v>20170.919999999998</v>
      </c>
    </row>
    <row r="176" spans="1:2" x14ac:dyDescent="0.2">
      <c r="A176" s="4" t="s">
        <v>457</v>
      </c>
      <c r="B176" s="5"/>
    </row>
    <row r="177" spans="1:2" x14ac:dyDescent="0.2">
      <c r="A177" s="4" t="s">
        <v>458</v>
      </c>
      <c r="B177" s="5">
        <v>93445.440000000002</v>
      </c>
    </row>
    <row r="178" spans="1:2" x14ac:dyDescent="0.2">
      <c r="A178" s="6" t="s">
        <v>2</v>
      </c>
      <c r="B178" s="7">
        <f>SUM(B3:B177)</f>
        <v>404058.07</v>
      </c>
    </row>
  </sheetData>
  <pageMargins left="0.39370078740157483" right="0.39370078740157483" top="0.74803149606299213" bottom="0.74803149606299213"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2BB9B-0473-4FC6-8D6B-986614FDD725}">
  <dimension ref="A1:C80"/>
  <sheetViews>
    <sheetView topLeftCell="A67" zoomScaleNormal="100" workbookViewId="0">
      <selection activeCell="C80" sqref="C80"/>
    </sheetView>
  </sheetViews>
  <sheetFormatPr baseColWidth="10" defaultColWidth="11.44140625" defaultRowHeight="14.4" x14ac:dyDescent="0.3"/>
  <cols>
    <col min="1" max="1" width="13.5546875" bestFit="1" customWidth="1"/>
    <col min="2" max="2" width="71.5546875" customWidth="1"/>
  </cols>
  <sheetData>
    <row r="1" spans="1:3" ht="15" thickBot="1" x14ac:dyDescent="0.35">
      <c r="A1" s="112" t="s">
        <v>494</v>
      </c>
      <c r="B1" s="112" t="s">
        <v>495</v>
      </c>
      <c r="C1" s="113" t="s">
        <v>1</v>
      </c>
    </row>
    <row r="2" spans="1:3" ht="15" thickTop="1" x14ac:dyDescent="0.3">
      <c r="A2" s="116" t="s">
        <v>5</v>
      </c>
      <c r="B2" s="117" t="s">
        <v>496</v>
      </c>
      <c r="C2" s="118">
        <v>0.15</v>
      </c>
    </row>
    <row r="3" spans="1:3" ht="43.2" x14ac:dyDescent="0.3">
      <c r="A3" s="119" t="s">
        <v>497</v>
      </c>
      <c r="B3" s="120" t="s">
        <v>498</v>
      </c>
      <c r="C3" s="121">
        <v>1760</v>
      </c>
    </row>
    <row r="4" spans="1:3" x14ac:dyDescent="0.3">
      <c r="A4" s="116" t="s">
        <v>216</v>
      </c>
      <c r="B4" s="117" t="s">
        <v>496</v>
      </c>
      <c r="C4" s="118">
        <v>7.62</v>
      </c>
    </row>
    <row r="5" spans="1:3" ht="43.2" x14ac:dyDescent="0.3">
      <c r="A5" s="119" t="s">
        <v>216</v>
      </c>
      <c r="B5" s="120" t="s">
        <v>499</v>
      </c>
      <c r="C5" s="121">
        <v>2053.33</v>
      </c>
    </row>
    <row r="6" spans="1:3" ht="43.2" x14ac:dyDescent="0.3">
      <c r="A6" s="116" t="s">
        <v>216</v>
      </c>
      <c r="B6" s="117" t="s">
        <v>500</v>
      </c>
      <c r="C6" s="118">
        <v>2053.33</v>
      </c>
    </row>
    <row r="7" spans="1:3" ht="43.2" x14ac:dyDescent="0.3">
      <c r="A7" s="119" t="s">
        <v>216</v>
      </c>
      <c r="B7" s="120" t="s">
        <v>501</v>
      </c>
      <c r="C7" s="121">
        <v>2053.33</v>
      </c>
    </row>
    <row r="8" spans="1:3" ht="43.2" x14ac:dyDescent="0.3">
      <c r="A8" s="116" t="s">
        <v>216</v>
      </c>
      <c r="B8" s="117" t="s">
        <v>502</v>
      </c>
      <c r="C8" s="118">
        <v>2053.33</v>
      </c>
    </row>
    <row r="9" spans="1:3" ht="43.2" x14ac:dyDescent="0.3">
      <c r="A9" s="119" t="s">
        <v>216</v>
      </c>
      <c r="B9" s="120" t="s">
        <v>503</v>
      </c>
      <c r="C9" s="121">
        <v>2053.33</v>
      </c>
    </row>
    <row r="10" spans="1:3" ht="43.2" x14ac:dyDescent="0.3">
      <c r="A10" s="116" t="s">
        <v>216</v>
      </c>
      <c r="B10" s="117" t="s">
        <v>504</v>
      </c>
      <c r="C10" s="118">
        <v>2053.33</v>
      </c>
    </row>
    <row r="11" spans="1:3" ht="43.2" x14ac:dyDescent="0.3">
      <c r="A11" s="119" t="s">
        <v>216</v>
      </c>
      <c r="B11" s="120" t="s">
        <v>505</v>
      </c>
      <c r="C11" s="121">
        <v>2053.33</v>
      </c>
    </row>
    <row r="12" spans="1:3" x14ac:dyDescent="0.3">
      <c r="A12" s="116" t="s">
        <v>223</v>
      </c>
      <c r="B12" s="117" t="s">
        <v>496</v>
      </c>
      <c r="C12" s="118">
        <v>0.09</v>
      </c>
    </row>
    <row r="13" spans="1:3" x14ac:dyDescent="0.3">
      <c r="A13" s="119" t="s">
        <v>229</v>
      </c>
      <c r="B13" s="120" t="s">
        <v>506</v>
      </c>
      <c r="C13" s="121">
        <v>39.76</v>
      </c>
    </row>
    <row r="14" spans="1:3" ht="57.6" x14ac:dyDescent="0.3">
      <c r="A14" s="116" t="s">
        <v>507</v>
      </c>
      <c r="B14" s="117" t="s">
        <v>508</v>
      </c>
      <c r="C14" s="118">
        <v>506</v>
      </c>
    </row>
    <row r="15" spans="1:3" x14ac:dyDescent="0.3">
      <c r="A15" s="119" t="s">
        <v>395</v>
      </c>
      <c r="B15" s="120" t="s">
        <v>496</v>
      </c>
      <c r="C15" s="121">
        <v>0.08</v>
      </c>
    </row>
    <row r="16" spans="1:3" ht="57.6" x14ac:dyDescent="0.3">
      <c r="A16" s="116" t="s">
        <v>509</v>
      </c>
      <c r="B16" s="117" t="s">
        <v>510</v>
      </c>
      <c r="C16" s="118">
        <v>506</v>
      </c>
    </row>
    <row r="17" spans="1:3" ht="28.8" x14ac:dyDescent="0.3">
      <c r="A17" s="119" t="s">
        <v>511</v>
      </c>
      <c r="B17" s="120" t="s">
        <v>512</v>
      </c>
      <c r="C17" s="121">
        <v>651.64</v>
      </c>
    </row>
    <row r="18" spans="1:3" ht="28.8" x14ac:dyDescent="0.3">
      <c r="A18" s="116" t="s">
        <v>511</v>
      </c>
      <c r="B18" s="117" t="s">
        <v>513</v>
      </c>
      <c r="C18" s="118">
        <v>896</v>
      </c>
    </row>
    <row r="19" spans="1:3" ht="28.8" x14ac:dyDescent="0.3">
      <c r="A19" s="119" t="s">
        <v>511</v>
      </c>
      <c r="B19" s="120" t="s">
        <v>514</v>
      </c>
      <c r="C19" s="121">
        <v>1873.46</v>
      </c>
    </row>
    <row r="20" spans="1:3" x14ac:dyDescent="0.3">
      <c r="A20" s="116" t="s">
        <v>403</v>
      </c>
      <c r="B20" s="117" t="s">
        <v>496</v>
      </c>
      <c r="C20" s="118">
        <v>0.63</v>
      </c>
    </row>
    <row r="21" spans="1:3" x14ac:dyDescent="0.3">
      <c r="A21" s="119" t="s">
        <v>407</v>
      </c>
      <c r="B21" s="120" t="s">
        <v>496</v>
      </c>
      <c r="C21" s="121">
        <v>1.18</v>
      </c>
    </row>
    <row r="22" spans="1:3" x14ac:dyDescent="0.3">
      <c r="A22" s="116" t="s">
        <v>407</v>
      </c>
      <c r="B22" s="117" t="s">
        <v>515</v>
      </c>
      <c r="C22" s="118">
        <v>22.82</v>
      </c>
    </row>
    <row r="23" spans="1:3" ht="72" x14ac:dyDescent="0.3">
      <c r="A23" s="119" t="s">
        <v>409</v>
      </c>
      <c r="B23" s="120" t="s">
        <v>516</v>
      </c>
      <c r="C23" s="121">
        <v>3960</v>
      </c>
    </row>
    <row r="24" spans="1:3" x14ac:dyDescent="0.3">
      <c r="A24" s="116" t="s">
        <v>425</v>
      </c>
      <c r="B24" s="117" t="s">
        <v>496</v>
      </c>
      <c r="C24" s="118">
        <v>1.18</v>
      </c>
    </row>
    <row r="25" spans="1:3" x14ac:dyDescent="0.3">
      <c r="A25" s="119" t="s">
        <v>425</v>
      </c>
      <c r="B25" s="120" t="s">
        <v>515</v>
      </c>
      <c r="C25" s="121">
        <v>22.82</v>
      </c>
    </row>
    <row r="26" spans="1:3" x14ac:dyDescent="0.3">
      <c r="A26" s="116" t="s">
        <v>437</v>
      </c>
      <c r="B26" s="117" t="s">
        <v>517</v>
      </c>
      <c r="C26" s="118">
        <v>88</v>
      </c>
    </row>
    <row r="27" spans="1:3" ht="57.6" x14ac:dyDescent="0.3">
      <c r="A27" s="119" t="s">
        <v>518</v>
      </c>
      <c r="B27" s="120" t="s">
        <v>519</v>
      </c>
      <c r="C27" s="121">
        <v>1760</v>
      </c>
    </row>
    <row r="28" spans="1:3" ht="28.8" x14ac:dyDescent="0.3">
      <c r="A28" s="116" t="s">
        <v>520</v>
      </c>
      <c r="B28" s="117" t="s">
        <v>521</v>
      </c>
      <c r="C28" s="118">
        <v>844.8</v>
      </c>
    </row>
    <row r="29" spans="1:3" ht="28.8" x14ac:dyDescent="0.3">
      <c r="A29" s="119" t="s">
        <v>522</v>
      </c>
      <c r="B29" s="120" t="s">
        <v>523</v>
      </c>
      <c r="C29" s="121">
        <v>1716</v>
      </c>
    </row>
    <row r="30" spans="1:3" ht="28.8" x14ac:dyDescent="0.3">
      <c r="A30" s="116" t="s">
        <v>524</v>
      </c>
      <c r="B30" s="117" t="s">
        <v>525</v>
      </c>
      <c r="C30" s="118">
        <v>1478.4</v>
      </c>
    </row>
    <row r="31" spans="1:3" ht="28.8" x14ac:dyDescent="0.3">
      <c r="A31" s="119" t="s">
        <v>524</v>
      </c>
      <c r="B31" s="120" t="s">
        <v>526</v>
      </c>
      <c r="C31" s="121">
        <v>2956.8</v>
      </c>
    </row>
    <row r="32" spans="1:3" ht="28.8" x14ac:dyDescent="0.3">
      <c r="A32" s="116" t="s">
        <v>524</v>
      </c>
      <c r="B32" s="117" t="s">
        <v>527</v>
      </c>
      <c r="C32" s="118">
        <v>5913.6</v>
      </c>
    </row>
    <row r="33" spans="1:3" ht="28.8" x14ac:dyDescent="0.3">
      <c r="A33" s="119" t="s">
        <v>524</v>
      </c>
      <c r="B33" s="120" t="s">
        <v>528</v>
      </c>
      <c r="C33" s="121">
        <v>7884.8</v>
      </c>
    </row>
    <row r="34" spans="1:3" ht="57.6" x14ac:dyDescent="0.3">
      <c r="A34" s="116" t="s">
        <v>529</v>
      </c>
      <c r="B34" s="117" t="s">
        <v>530</v>
      </c>
      <c r="C34" s="118">
        <v>90.36</v>
      </c>
    </row>
    <row r="35" spans="1:3" ht="43.2" x14ac:dyDescent="0.3">
      <c r="A35" s="119" t="s">
        <v>529</v>
      </c>
      <c r="B35" s="120" t="s">
        <v>531</v>
      </c>
      <c r="C35" s="121">
        <v>3000</v>
      </c>
    </row>
    <row r="36" spans="1:3" ht="28.8" x14ac:dyDescent="0.3">
      <c r="A36" s="116" t="s">
        <v>529</v>
      </c>
      <c r="B36" s="117" t="s">
        <v>532</v>
      </c>
      <c r="C36" s="118">
        <v>3000</v>
      </c>
    </row>
    <row r="37" spans="1:3" x14ac:dyDescent="0.3">
      <c r="A37" s="119" t="s">
        <v>533</v>
      </c>
      <c r="B37" s="120" t="s">
        <v>496</v>
      </c>
      <c r="C37" s="121">
        <v>1.18</v>
      </c>
    </row>
    <row r="38" spans="1:3" x14ac:dyDescent="0.3">
      <c r="A38" s="116" t="s">
        <v>533</v>
      </c>
      <c r="B38" s="117" t="s">
        <v>515</v>
      </c>
      <c r="C38" s="118">
        <v>22.82</v>
      </c>
    </row>
    <row r="39" spans="1:3" ht="43.2" x14ac:dyDescent="0.3">
      <c r="A39" s="119" t="s">
        <v>533</v>
      </c>
      <c r="B39" s="120" t="s">
        <v>534</v>
      </c>
      <c r="C39" s="121">
        <v>19800</v>
      </c>
    </row>
    <row r="40" spans="1:3" ht="28.8" x14ac:dyDescent="0.3">
      <c r="A40" s="116" t="s">
        <v>535</v>
      </c>
      <c r="B40" s="117" t="s">
        <v>536</v>
      </c>
      <c r="C40" s="118">
        <v>17160</v>
      </c>
    </row>
    <row r="41" spans="1:3" ht="28.8" x14ac:dyDescent="0.3">
      <c r="A41" s="119" t="s">
        <v>537</v>
      </c>
      <c r="B41" s="120" t="s">
        <v>538</v>
      </c>
      <c r="C41" s="121">
        <v>475.2</v>
      </c>
    </row>
    <row r="42" spans="1:3" ht="28.8" x14ac:dyDescent="0.3">
      <c r="A42" s="116" t="s">
        <v>539</v>
      </c>
      <c r="B42" s="117" t="s">
        <v>540</v>
      </c>
      <c r="C42" s="118">
        <v>1100</v>
      </c>
    </row>
    <row r="43" spans="1:3" ht="57.6" x14ac:dyDescent="0.3">
      <c r="A43" s="119" t="s">
        <v>541</v>
      </c>
      <c r="B43" s="120" t="s">
        <v>542</v>
      </c>
      <c r="C43" s="121">
        <v>598.4</v>
      </c>
    </row>
    <row r="44" spans="1:3" ht="57.6" x14ac:dyDescent="0.3">
      <c r="A44" s="116" t="s">
        <v>543</v>
      </c>
      <c r="B44" s="117" t="s">
        <v>544</v>
      </c>
      <c r="C44" s="118">
        <v>492.8</v>
      </c>
    </row>
    <row r="45" spans="1:3" ht="57.6" x14ac:dyDescent="0.3">
      <c r="A45" s="119" t="s">
        <v>543</v>
      </c>
      <c r="B45" s="120" t="s">
        <v>545</v>
      </c>
      <c r="C45" s="121">
        <v>492.8</v>
      </c>
    </row>
    <row r="46" spans="1:3" ht="57.6" x14ac:dyDescent="0.3">
      <c r="A46" s="116" t="s">
        <v>543</v>
      </c>
      <c r="B46" s="117" t="s">
        <v>546</v>
      </c>
      <c r="C46" s="118">
        <v>492.8</v>
      </c>
    </row>
    <row r="47" spans="1:3" ht="57.6" x14ac:dyDescent="0.3">
      <c r="A47" s="119" t="s">
        <v>543</v>
      </c>
      <c r="B47" s="120" t="s">
        <v>547</v>
      </c>
      <c r="C47" s="121">
        <v>6475.39</v>
      </c>
    </row>
    <row r="48" spans="1:3" ht="43.2" x14ac:dyDescent="0.3">
      <c r="A48" s="116" t="s">
        <v>548</v>
      </c>
      <c r="B48" s="117" t="s">
        <v>549</v>
      </c>
      <c r="C48" s="118">
        <v>1848</v>
      </c>
    </row>
    <row r="49" spans="1:3" ht="28.8" x14ac:dyDescent="0.3">
      <c r="A49" s="119" t="s">
        <v>550</v>
      </c>
      <c r="B49" s="120" t="s">
        <v>551</v>
      </c>
      <c r="C49" s="121">
        <v>7920</v>
      </c>
    </row>
    <row r="50" spans="1:3" ht="28.8" x14ac:dyDescent="0.3">
      <c r="A50" s="116" t="s">
        <v>552</v>
      </c>
      <c r="B50" s="117" t="s">
        <v>553</v>
      </c>
      <c r="C50" s="118">
        <v>3300</v>
      </c>
    </row>
    <row r="51" spans="1:3" ht="43.2" x14ac:dyDescent="0.3">
      <c r="A51" s="119" t="s">
        <v>554</v>
      </c>
      <c r="B51" s="120" t="s">
        <v>555</v>
      </c>
      <c r="C51" s="121">
        <v>2266.88</v>
      </c>
    </row>
    <row r="52" spans="1:3" ht="28.8" x14ac:dyDescent="0.3">
      <c r="A52" s="116" t="s">
        <v>556</v>
      </c>
      <c r="B52" s="117" t="s">
        <v>557</v>
      </c>
      <c r="C52" s="118">
        <v>13112</v>
      </c>
    </row>
    <row r="53" spans="1:3" ht="57.6" x14ac:dyDescent="0.3">
      <c r="A53" s="119" t="s">
        <v>558</v>
      </c>
      <c r="B53" s="120" t="s">
        <v>559</v>
      </c>
      <c r="C53" s="121">
        <v>8096</v>
      </c>
    </row>
    <row r="54" spans="1:3" ht="28.8" x14ac:dyDescent="0.3">
      <c r="A54" s="116" t="s">
        <v>560</v>
      </c>
      <c r="B54" s="117" t="s">
        <v>561</v>
      </c>
      <c r="C54" s="118">
        <v>1188</v>
      </c>
    </row>
    <row r="55" spans="1:3" ht="28.8" x14ac:dyDescent="0.3">
      <c r="A55" s="119" t="s">
        <v>562</v>
      </c>
      <c r="B55" s="120" t="s">
        <v>563</v>
      </c>
      <c r="C55" s="121">
        <v>3520</v>
      </c>
    </row>
    <row r="56" spans="1:3" ht="28.8" x14ac:dyDescent="0.3">
      <c r="A56" s="116" t="s">
        <v>564</v>
      </c>
      <c r="B56" s="117" t="s">
        <v>565</v>
      </c>
      <c r="C56" s="118">
        <v>633.6</v>
      </c>
    </row>
    <row r="57" spans="1:3" ht="43.2" x14ac:dyDescent="0.3">
      <c r="A57" s="119" t="s">
        <v>566</v>
      </c>
      <c r="B57" s="120" t="s">
        <v>567</v>
      </c>
      <c r="C57" s="121">
        <v>2252.8000000000002</v>
      </c>
    </row>
    <row r="58" spans="1:3" ht="43.2" x14ac:dyDescent="0.3">
      <c r="A58" s="116" t="s">
        <v>568</v>
      </c>
      <c r="B58" s="117" t="s">
        <v>569</v>
      </c>
      <c r="C58" s="118">
        <v>4400</v>
      </c>
    </row>
    <row r="59" spans="1:3" ht="57.6" x14ac:dyDescent="0.3">
      <c r="A59" s="119" t="s">
        <v>570</v>
      </c>
      <c r="B59" s="120" t="s">
        <v>571</v>
      </c>
      <c r="C59" s="121">
        <v>4.3600000000000003</v>
      </c>
    </row>
    <row r="60" spans="1:3" ht="57.6" x14ac:dyDescent="0.3">
      <c r="A60" s="116" t="s">
        <v>570</v>
      </c>
      <c r="B60" s="117" t="s">
        <v>571</v>
      </c>
      <c r="C60" s="118">
        <v>523.64</v>
      </c>
    </row>
    <row r="61" spans="1:3" ht="43.2" x14ac:dyDescent="0.3">
      <c r="A61" s="119" t="s">
        <v>572</v>
      </c>
      <c r="B61" s="120" t="s">
        <v>573</v>
      </c>
      <c r="C61" s="121">
        <v>616</v>
      </c>
    </row>
    <row r="62" spans="1:3" ht="86.4" x14ac:dyDescent="0.3">
      <c r="A62" s="116" t="s">
        <v>574</v>
      </c>
      <c r="B62" s="117" t="s">
        <v>575</v>
      </c>
      <c r="C62" s="118">
        <v>2288</v>
      </c>
    </row>
    <row r="63" spans="1:3" ht="28.8" x14ac:dyDescent="0.3">
      <c r="A63" s="119" t="s">
        <v>576</v>
      </c>
      <c r="B63" s="120" t="s">
        <v>577</v>
      </c>
      <c r="C63" s="121">
        <v>2200</v>
      </c>
    </row>
    <row r="64" spans="1:3" ht="28.8" x14ac:dyDescent="0.3">
      <c r="A64" s="116" t="s">
        <v>578</v>
      </c>
      <c r="B64" s="117" t="s">
        <v>579</v>
      </c>
      <c r="C64" s="118">
        <v>2288</v>
      </c>
    </row>
    <row r="65" spans="1:3" ht="28.8" x14ac:dyDescent="0.3">
      <c r="A65" s="119" t="s">
        <v>580</v>
      </c>
      <c r="B65" s="120" t="s">
        <v>581</v>
      </c>
      <c r="C65" s="121">
        <v>2024</v>
      </c>
    </row>
    <row r="66" spans="1:3" ht="28.8" x14ac:dyDescent="0.3">
      <c r="A66" s="116" t="s">
        <v>582</v>
      </c>
      <c r="B66" s="117" t="s">
        <v>583</v>
      </c>
      <c r="C66" s="118">
        <v>1936</v>
      </c>
    </row>
    <row r="67" spans="1:3" ht="43.2" x14ac:dyDescent="0.3">
      <c r="A67" s="119" t="s">
        <v>584</v>
      </c>
      <c r="B67" s="120" t="s">
        <v>585</v>
      </c>
      <c r="C67" s="121">
        <v>6218.18</v>
      </c>
    </row>
    <row r="68" spans="1:3" ht="28.8" x14ac:dyDescent="0.3">
      <c r="A68" s="116" t="s">
        <v>586</v>
      </c>
      <c r="B68" s="117" t="s">
        <v>587</v>
      </c>
      <c r="C68" s="118">
        <v>1232</v>
      </c>
    </row>
    <row r="69" spans="1:3" x14ac:dyDescent="0.3">
      <c r="A69" s="119" t="s">
        <v>588</v>
      </c>
      <c r="B69" s="120" t="s">
        <v>589</v>
      </c>
      <c r="C69" s="121">
        <v>60.19</v>
      </c>
    </row>
    <row r="70" spans="1:3" x14ac:dyDescent="0.3">
      <c r="A70" s="116" t="s">
        <v>445</v>
      </c>
      <c r="B70" s="117" t="s">
        <v>590</v>
      </c>
      <c r="C70" s="118">
        <v>13000</v>
      </c>
    </row>
    <row r="71" spans="1:3" x14ac:dyDescent="0.3">
      <c r="A71" s="119" t="s">
        <v>257</v>
      </c>
      <c r="B71" s="120" t="s">
        <v>591</v>
      </c>
      <c r="C71" s="121">
        <v>19320</v>
      </c>
    </row>
    <row r="72" spans="1:3" x14ac:dyDescent="0.3">
      <c r="A72" s="116" t="s">
        <v>452</v>
      </c>
      <c r="B72" s="117" t="s">
        <v>592</v>
      </c>
      <c r="C72" s="118">
        <v>7900</v>
      </c>
    </row>
    <row r="73" spans="1:3" x14ac:dyDescent="0.3">
      <c r="A73" s="119" t="s">
        <v>453</v>
      </c>
      <c r="B73" s="120" t="s">
        <v>592</v>
      </c>
      <c r="C73" s="121">
        <v>8000</v>
      </c>
    </row>
    <row r="74" spans="1:3" ht="28.8" x14ac:dyDescent="0.3">
      <c r="A74" s="116" t="s">
        <v>454</v>
      </c>
      <c r="B74" s="117" t="s">
        <v>593</v>
      </c>
      <c r="C74" s="118">
        <v>52550</v>
      </c>
    </row>
    <row r="75" spans="1:3" x14ac:dyDescent="0.3">
      <c r="A75" s="119" t="s">
        <v>594</v>
      </c>
      <c r="B75" s="120" t="s">
        <v>595</v>
      </c>
      <c r="C75" s="121">
        <v>14624</v>
      </c>
    </row>
    <row r="76" spans="1:3" ht="15" thickBot="1" x14ac:dyDescent="0.35">
      <c r="A76" s="116" t="s">
        <v>596</v>
      </c>
      <c r="B76" s="117" t="s">
        <v>597</v>
      </c>
      <c r="C76" s="118">
        <v>84933.75</v>
      </c>
    </row>
    <row r="77" spans="1:3" ht="15" thickTop="1" x14ac:dyDescent="0.3">
      <c r="A77" s="114"/>
      <c r="B77" s="114"/>
      <c r="C77" s="115">
        <v>368722.29000000004</v>
      </c>
    </row>
    <row r="80" spans="1:3" x14ac:dyDescent="0.3">
      <c r="B80" s="141" t="s">
        <v>641</v>
      </c>
      <c r="C80" s="142">
        <f>C77+'Ingresos investigación 2020'!B178+'Ingresos investigación 2019'!B80</f>
        <v>1061728.6700000002</v>
      </c>
    </row>
  </sheetData>
  <pageMargins left="0.39370078740157483" right="0.39370078740157483" top="0.74803149606299213" bottom="0.74803149606299213"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8"/>
  <sheetViews>
    <sheetView zoomScaleNormal="100" workbookViewId="0">
      <selection activeCell="A5" sqref="A5:B1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266</v>
      </c>
      <c r="B2" s="5"/>
    </row>
    <row r="3" spans="1:2" x14ac:dyDescent="0.2">
      <c r="A3" s="4" t="s">
        <v>267</v>
      </c>
      <c r="B3" s="5">
        <v>15000</v>
      </c>
    </row>
    <row r="4" spans="1:2" x14ac:dyDescent="0.2">
      <c r="A4" s="4" t="s">
        <v>268</v>
      </c>
      <c r="B4" s="5"/>
    </row>
    <row r="5" spans="1:2" x14ac:dyDescent="0.2">
      <c r="A5" s="4" t="s">
        <v>269</v>
      </c>
      <c r="B5" s="5">
        <v>19500</v>
      </c>
    </row>
    <row r="6" spans="1:2" x14ac:dyDescent="0.2">
      <c r="A6" s="4" t="s">
        <v>203</v>
      </c>
      <c r="B6" s="5">
        <v>38.82</v>
      </c>
    </row>
    <row r="7" spans="1:2" x14ac:dyDescent="0.2">
      <c r="A7" s="4" t="s">
        <v>270</v>
      </c>
      <c r="B7" s="5">
        <v>7.02</v>
      </c>
    </row>
    <row r="8" spans="1:2" x14ac:dyDescent="0.2">
      <c r="A8" s="4" t="s">
        <v>271</v>
      </c>
      <c r="B8" s="5">
        <v>12.03</v>
      </c>
    </row>
    <row r="9" spans="1:2" x14ac:dyDescent="0.2">
      <c r="A9" s="4" t="s">
        <v>272</v>
      </c>
      <c r="B9" s="5"/>
    </row>
    <row r="10" spans="1:2" x14ac:dyDescent="0.2">
      <c r="A10" s="4" t="s">
        <v>273</v>
      </c>
      <c r="B10" s="5">
        <v>155</v>
      </c>
    </row>
    <row r="11" spans="1:2" x14ac:dyDescent="0.2">
      <c r="A11" s="4" t="s">
        <v>274</v>
      </c>
      <c r="B11" s="5"/>
    </row>
    <row r="12" spans="1:2" x14ac:dyDescent="0.2">
      <c r="A12" s="4" t="s">
        <v>275</v>
      </c>
      <c r="B12" s="5">
        <v>105</v>
      </c>
    </row>
    <row r="13" spans="1:2" x14ac:dyDescent="0.2">
      <c r="A13" s="4" t="s">
        <v>276</v>
      </c>
      <c r="B13" s="5"/>
    </row>
    <row r="14" spans="1:2" x14ac:dyDescent="0.2">
      <c r="A14" s="4" t="s">
        <v>277</v>
      </c>
      <c r="B14" s="5">
        <v>1998.21</v>
      </c>
    </row>
    <row r="15" spans="1:2" x14ac:dyDescent="0.2">
      <c r="A15" s="4" t="s">
        <v>278</v>
      </c>
      <c r="B15" s="5">
        <v>3996.42</v>
      </c>
    </row>
    <row r="16" spans="1:2" x14ac:dyDescent="0.2">
      <c r="A16" s="4" t="s">
        <v>279</v>
      </c>
      <c r="B16" s="5">
        <v>20689.490000000002</v>
      </c>
    </row>
    <row r="17" spans="1:2" x14ac:dyDescent="0.2">
      <c r="A17" s="4" t="s">
        <v>280</v>
      </c>
      <c r="B17" s="5">
        <v>2296.25</v>
      </c>
    </row>
    <row r="18" spans="1:2" x14ac:dyDescent="0.2">
      <c r="A18" s="6" t="s">
        <v>2</v>
      </c>
      <c r="B18" s="7">
        <f>SUM(B3:B17)</f>
        <v>63798.239999999991</v>
      </c>
    </row>
  </sheetData>
  <pageMargins left="0.39370078740157483" right="0.39370078740157483" top="0.74803149606299213" bottom="0.74803149606299213" header="0.31496062992125984" footer="0.31496062992125984"/>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058E4-A573-442F-8861-ADC9C597E8DD}">
  <dimension ref="A1:B9"/>
  <sheetViews>
    <sheetView zoomScaleNormal="100" workbookViewId="0">
      <selection activeCell="A18" sqref="A1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276</v>
      </c>
      <c r="B2" s="5"/>
    </row>
    <row r="3" spans="1:2" x14ac:dyDescent="0.2">
      <c r="A3" s="4" t="s">
        <v>327</v>
      </c>
      <c r="B3" s="5">
        <v>44.04</v>
      </c>
    </row>
    <row r="4" spans="1:2" x14ac:dyDescent="0.2">
      <c r="A4" s="4" t="s">
        <v>459</v>
      </c>
      <c r="B4" s="5"/>
    </row>
    <row r="5" spans="1:2" x14ac:dyDescent="0.2">
      <c r="A5" s="4" t="s">
        <v>460</v>
      </c>
      <c r="B5" s="5">
        <v>11893.09</v>
      </c>
    </row>
    <row r="6" spans="1:2" x14ac:dyDescent="0.2">
      <c r="A6" s="4" t="s">
        <v>461</v>
      </c>
      <c r="B6" s="5">
        <v>1427.78</v>
      </c>
    </row>
    <row r="7" spans="1:2" x14ac:dyDescent="0.2">
      <c r="A7" s="4" t="s">
        <v>462</v>
      </c>
      <c r="B7" s="5">
        <v>6003.72</v>
      </c>
    </row>
    <row r="8" spans="1:2" x14ac:dyDescent="0.2">
      <c r="A8" s="4" t="s">
        <v>463</v>
      </c>
      <c r="B8" s="5">
        <v>1216.8599999999999</v>
      </c>
    </row>
    <row r="9" spans="1:2" x14ac:dyDescent="0.2">
      <c r="A9" s="6" t="s">
        <v>2</v>
      </c>
      <c r="B9" s="7">
        <f>SUM(B3:B8)</f>
        <v>20585.490000000002</v>
      </c>
    </row>
  </sheetData>
  <pageMargins left="0.39370078740157483" right="0.39370078740157483" top="0.74803149606299213" bottom="0.74803149606299213"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C5FC9-3941-44A5-A4FC-2DA1C3CF6F66}">
  <dimension ref="A1:C12"/>
  <sheetViews>
    <sheetView zoomScaleNormal="100" workbookViewId="0">
      <selection activeCell="B16" sqref="B16"/>
    </sheetView>
  </sheetViews>
  <sheetFormatPr baseColWidth="10" defaultColWidth="11.44140625" defaultRowHeight="14.4" x14ac:dyDescent="0.3"/>
  <cols>
    <col min="1" max="1" width="13.5546875" bestFit="1" customWidth="1"/>
    <col min="2" max="2" width="64.44140625" customWidth="1"/>
  </cols>
  <sheetData>
    <row r="1" spans="1:3" x14ac:dyDescent="0.3">
      <c r="A1" s="123" t="s">
        <v>494</v>
      </c>
      <c r="B1" s="123" t="s">
        <v>495</v>
      </c>
      <c r="C1" s="124" t="s">
        <v>1</v>
      </c>
    </row>
    <row r="2" spans="1:3" x14ac:dyDescent="0.3">
      <c r="A2" s="127" t="s">
        <v>276</v>
      </c>
      <c r="B2" s="128" t="s">
        <v>598</v>
      </c>
      <c r="C2" s="129">
        <v>61.31</v>
      </c>
    </row>
    <row r="3" spans="1:3" x14ac:dyDescent="0.3">
      <c r="A3" s="130" t="s">
        <v>459</v>
      </c>
      <c r="B3" s="131" t="s">
        <v>598</v>
      </c>
      <c r="C3" s="132">
        <v>6.16</v>
      </c>
    </row>
    <row r="4" spans="1:3" ht="28.8" x14ac:dyDescent="0.3">
      <c r="A4" s="127" t="s">
        <v>599</v>
      </c>
      <c r="B4" s="128" t="s">
        <v>600</v>
      </c>
      <c r="C4" s="129">
        <v>353.41</v>
      </c>
    </row>
    <row r="5" spans="1:3" x14ac:dyDescent="0.3">
      <c r="A5" s="130" t="s">
        <v>599</v>
      </c>
      <c r="B5" s="131" t="s">
        <v>601</v>
      </c>
      <c r="C5" s="132">
        <v>1302.1600000000001</v>
      </c>
    </row>
    <row r="6" spans="1:3" ht="28.8" x14ac:dyDescent="0.3">
      <c r="A6" s="127" t="s">
        <v>599</v>
      </c>
      <c r="B6" s="128" t="s">
        <v>602</v>
      </c>
      <c r="C6" s="129">
        <v>1764.63</v>
      </c>
    </row>
    <row r="7" spans="1:3" ht="29.4" thickBot="1" x14ac:dyDescent="0.35">
      <c r="A7" s="130" t="s">
        <v>599</v>
      </c>
      <c r="B7" s="131" t="s">
        <v>602</v>
      </c>
      <c r="C7" s="132">
        <v>8311.9</v>
      </c>
    </row>
    <row r="8" spans="1:3" ht="15" thickTop="1" x14ac:dyDescent="0.3">
      <c r="A8" s="125"/>
      <c r="B8" s="125"/>
      <c r="C8" s="126">
        <v>11799.57</v>
      </c>
    </row>
    <row r="10" spans="1:3" x14ac:dyDescent="0.3">
      <c r="C10" s="122"/>
    </row>
    <row r="12" spans="1:3" x14ac:dyDescent="0.3">
      <c r="B12" s="141" t="s">
        <v>642</v>
      </c>
      <c r="C12" s="142">
        <f>C8+'Ingresos formación 2020'!B9+'Ingresos formación 2019'!B18</f>
        <v>96183.299999999988</v>
      </c>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2</vt:i4>
      </vt:variant>
    </vt:vector>
  </HeadingPairs>
  <TitlesOfParts>
    <vt:vector size="15" baseType="lpstr">
      <vt:lpstr>Cr.20</vt:lpstr>
      <vt:lpstr>Cr. 1ª 20</vt:lpstr>
      <vt:lpstr>Cr.21 y Cr. 1ª21</vt:lpstr>
      <vt:lpstr>Cr.22</vt:lpstr>
      <vt:lpstr>Cr. 1ª 22</vt: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2022-10-19T11:25:26Z</dcterms:modified>
</cp:coreProperties>
</file>