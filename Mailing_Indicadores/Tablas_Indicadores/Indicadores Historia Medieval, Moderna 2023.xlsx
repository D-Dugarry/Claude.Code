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8D60238B-FA84-4EEF-981C-93F5209BEC68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</sheets>
  <definedNames>
    <definedName name="_xlnm._FilterDatabase" localSheetId="1" hidden="1">Sexenios!$A$1:$S$9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3" l="1"/>
  <c r="S23" i="2" l="1"/>
  <c r="B4" i="7" l="1"/>
  <c r="B4" i="6"/>
  <c r="B8" i="5" l="1"/>
  <c r="B9" i="7" s="1"/>
</calcChain>
</file>

<file path=xl/sharedStrings.xml><?xml version="1.0" encoding="utf-8"?>
<sst xmlns="http://schemas.openxmlformats.org/spreadsheetml/2006/main" count="429" uniqueCount="157">
  <si>
    <t>Orgánica
Descripción justificante</t>
  </si>
  <si>
    <t>Importe</t>
  </si>
  <si>
    <t>Total</t>
  </si>
  <si>
    <t>30.30.6P.00.06</t>
  </si>
  <si>
    <t>30.30.6P.00.08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</si>
  <si>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</si>
  <si>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</si>
  <si>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</si>
  <si>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</si>
  <si>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</si>
  <si>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</si>
  <si>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</si>
  <si>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</si>
  <si>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</si>
  <si>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</si>
  <si>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</si>
  <si>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</si>
  <si>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</si>
  <si>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</si>
  <si>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</si>
  <si>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</si>
  <si>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</si>
  <si>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</si>
  <si>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</si>
  <si>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</si>
  <si>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</si>
  <si>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</si>
  <si>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</si>
  <si>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</si>
  <si>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10</t>
  </si>
  <si>
    <t>28/09/2018 </t>
  </si>
  <si>
    <t>10.25</t>
  </si>
  <si>
    <t>20</t>
  </si>
  <si>
    <t>19/09/2017 </t>
  </si>
  <si>
    <t>ZZ </t>
  </si>
  <si>
    <t>SIN ASIGNAR </t>
  </si>
  <si>
    <t>60</t>
  </si>
  <si>
    <t>U023 </t>
  </si>
  <si>
    <t>ADM. FACULTAD DE FILOSOFIA Y LETRAS </t>
  </si>
  <si>
    <t>10.23</t>
  </si>
  <si>
    <t>U073 </t>
  </si>
  <si>
    <t>ADM. I.U. INVESTIGACIÓN DE ESTUDIOS DE GÉNERO </t>
  </si>
  <si>
    <t>DOCTORADO EN ESTUDIOS INTERDISCIPLINARES DE GÉNERO </t>
  </si>
  <si>
    <t>DOCTORADO EN FILOSOFÍA Y LETRAS </t>
  </si>
  <si>
    <t>B174 </t>
  </si>
  <si>
    <t>HISTORIA MEDIEVAL, HISTORIA MODERNA Y CIENCIAS Y TÉCNICAS HISTORIOGRÀFICAS </t>
  </si>
  <si>
    <t>28/07/2017 </t>
  </si>
  <si>
    <t>25</t>
  </si>
  <si>
    <t>11/04/2019 </t>
  </si>
  <si>
    <t>19/05/2017 </t>
  </si>
  <si>
    <t>22126836P </t>
  </si>
  <si>
    <t>B174</t>
  </si>
  <si>
    <t>21395777G </t>
  </si>
  <si>
    <t>DOCTORADO EN HISTORIA MODERNA </t>
  </si>
  <si>
    <t>74171221Q </t>
  </si>
  <si>
    <t>21436046T </t>
  </si>
  <si>
    <t>50283950Q </t>
  </si>
  <si>
    <t>Delicado Moratalla, Lidia </t>
  </si>
  <si>
    <t>DESDE LA ESCLAVITUD DE MUJERES NEGRO AFRICANAS A LA PROSTITUCIÓN NIGERIANA EN ALICANTE. UNA GEOGRAFÍA FEMINISTA (SS. XVI-XXI) </t>
  </si>
  <si>
    <t>Echaniz Martínez, Berta Maria </t>
  </si>
  <si>
    <t>LAS MONJAS DE LA SANGRE. HISTORIAS DE VIDA EN LA MODERNIDAD ALICANTINA </t>
  </si>
  <si>
    <t>López Serrano, Sergio </t>
  </si>
  <si>
    <t>LA CORTE DEL JUSTICIA DE LA VILLA DE ALCOY DURANTE EL REINADO DE ALFONSO V EL MAGNÁNIMO (1416-1458) </t>
  </si>
  <si>
    <t>Parra Villaescusa, Miriam </t>
  </si>
  <si>
    <t>PAISAJE, EXPLOTACIÓN AGRÍCOLA Y AGUA EN LAS TIERRAS MERIDIONALES VALENCIANAS: LA ORGANIZACIÓN SOCIAL DEL ESPACIO. LA HUERTA Y CAMPO DE ORIHUELA (SIGLOS XIII-XVI) </t>
  </si>
  <si>
    <t>06/09/2017 </t>
  </si>
  <si>
    <t>Tribaldos Soriano, Rosa </t>
  </si>
  <si>
    <t>LAS MUJERES GUARANÍES DE LOS TREINTA PUEBLOS MISIONEROS DE LA COMPAÑÍA DE JESÚS (SIGLOS XVII-XVIII) </t>
  </si>
  <si>
    <t>11/11/2016 </t>
  </si>
  <si>
    <t>Díaz Mejías, Laura </t>
  </si>
  <si>
    <t>MAQUILLAR LA ENFERMEDAD O ENFERMAR POR MAQUILLARSE: MODA E HIGIENE EN LA MODERNIDAD DE LA MONARQUÍA HISPÁNICA </t>
  </si>
  <si>
    <t>Ferrándiz Moreno, Mónica </t>
  </si>
  <si>
    <t>CLERO Y REAL PATRONATO EN TIEMPOS DE CARLOS III. UN ESTUDIO A PARTIR DE LAS PROVISIONES BENEFICIALES DE LA ARCHIDIÓCESIS DE TOLEDO Y SUS SUFRAGÁNEAS </t>
  </si>
  <si>
    <t>05159914W </t>
  </si>
  <si>
    <t>Muñoz Pertierra, Jesús María </t>
  </si>
  <si>
    <t>RIESGO Y CATÁSTROFE. EL IMPACTO DE LAS PLAGAS DE LANGOSTA EN LA ESPAÑA DE FINALES DEL SIGLO XVIII (1770-1800) </t>
  </si>
  <si>
    <t>22/01/2019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</si>
  <si>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</si>
  <si>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</si>
  <si>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</si>
  <si>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</si>
  <si>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</si>
  <si>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</si>
  <si>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</si>
  <si>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</si>
  <si>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</si>
  <si>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</si>
  <si>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</si>
  <si>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</si>
  <si>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</si>
  <si>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21395777G</t>
  </si>
  <si>
    <t>ALBEROLA ROMA, ARMANDO</t>
  </si>
  <si>
    <t>21436046T</t>
  </si>
  <si>
    <t>BARRIO BARRIO, JUAN ANTONIO</t>
  </si>
  <si>
    <t>21413644T</t>
  </si>
  <si>
    <t>BERNABE GIL, DAVID</t>
  </si>
  <si>
    <t>22126836P</t>
  </si>
  <si>
    <t>CABEZUELO PLIEGO, JOSE VICENTE</t>
  </si>
  <si>
    <t>50283950Q</t>
  </si>
  <si>
    <t>FERNANDEZ ARRILLAGA, MARIA INMACULADA CONCEPCION</t>
  </si>
  <si>
    <t>21978192J</t>
  </si>
  <si>
    <t>IRLES VICENTE, M. CARMEN</t>
  </si>
  <si>
    <t>74171221Q</t>
  </si>
  <si>
    <t>MAS GALVAÑ, CAYETANO ENRIQUE</t>
  </si>
  <si>
    <t>21466262V</t>
  </si>
  <si>
    <t>MATEO RIPOLL, VERONICA</t>
  </si>
  <si>
    <t>FLIB 15/07/19. PROYECTOS I+D EXCELENCIA 2016. ANUAL 2019. S PROYECTOS I+D (PIA1) N EXPEDIENTE: PIA12016-1 - 4 ANUALIDAD REFERENCIA: HAR201. REF. DEL ORDENANTE PARA EL BENEFICIARIO 27402219310020803.</t>
  </si>
  <si>
    <t>LIBERADOS EL 18/03/19, ANUALIDAD 2019 PROYECTOS I+D (PIA1) N EXPEDIENTE: PIA12017-1 -2 ANUALIDAD REFERENCIA: HAR2017-82810-P. REF. ORDENANTE: 27402219310015473.</t>
  </si>
  <si>
    <t>30.30.6P.00.09</t>
  </si>
  <si>
    <t xml:space="preserve">SUBVENCIONES REALIZACIÓN PROYECTOS I+D+I GRUPOS EMERGENTES GV/2018.2ªANUALIDAD </t>
  </si>
  <si>
    <t>Castro Carbonell, Ana Isabel </t>
  </si>
  <si>
    <t>MUERTE, ESPIRITUALIDAD Y MATERIALIDAD EN EL SUR DEL REINO DE VALENCIA (SIGLOS XIV-XVI) </t>
  </si>
  <si>
    <t>31/01/2020 </t>
  </si>
  <si>
    <t>Die Maculet, María del Rosario </t>
  </si>
  <si>
    <t>LA CORRESPONDENCIA ERUDITA DE ANTONIO VALCÁRCEL PIO DE SABOYA, CONDE DE LUMIARES (1748-1808) </t>
  </si>
  <si>
    <t>15/09/2020 </t>
  </si>
  <si>
    <t>Pérez Pérez, Lucía Del Mar </t>
  </si>
  <si>
    <t>LA VOZ DE LA PROFECÍA FEMENINA DE LOS JESUITAS ESPAÑOLES (1767-1814) </t>
  </si>
  <si>
    <t>28/11/2019 </t>
  </si>
  <si>
    <t>Pometti Benítez, Kevin Albert </t>
  </si>
  <si>
    <t>INESTABILIDAD AMBIENTAL Y SALUD PÚBLICA EN UNA CIUDAD MEDITERRÁNEA DEL ANTIGUO RÉGIMEN, BARCELONA ENTRE EL PALUDISMO Y LA FIEBRE AMARILLA (1780-1821) </t>
  </si>
  <si>
    <t>04/12/2019 </t>
  </si>
  <si>
    <t>COD DEP</t>
  </si>
  <si>
    <t>vivos</t>
  </si>
  <si>
    <t>50</t>
  </si>
  <si>
    <t>B112 </t>
  </si>
  <si>
    <t>DIDACTICA GENERAL Y DIDÁCTICAS ESPECÍFICAS </t>
  </si>
  <si>
    <t>DOCTORADO EN INVESTIGACIÓN EDUCATIVA </t>
  </si>
  <si>
    <t>Ventura Romero, José Modesto </t>
  </si>
  <si>
    <t>Factores asociados a las causas de deserción estudiantil en instituciones de educación superior de El Salvador </t>
  </si>
  <si>
    <t>31/05/2021 </t>
  </si>
  <si>
    <t>DOCTORADO EN TRANSFERENCIAS INTERCULTURALES E HISTÓRICAS EN LA EUROPA MEDIE </t>
  </si>
  <si>
    <t>Soler Molina, Joan Abel </t>
  </si>
  <si>
    <t>Intervenció senyorial i transformacions locals a la baronia de Rebollet-Comtat d'Oliva (segles XIII-XVI). Els Carròs i el Centelles </t>
  </si>
  <si>
    <t>04/03/2021 </t>
  </si>
  <si>
    <t>Blanco Fernández, Marta Susana </t>
  </si>
  <si>
    <t>Origen, demonización y pervivencia de lo divino femenino en la península ibérica. Una aproximación desde la tealogía y el ecofeminismo </t>
  </si>
  <si>
    <t>28/05/2021 </t>
  </si>
  <si>
    <t xml:space="preserve">LIBERADOS EL 18/02/2020, ANUALIDAD 2020 PROYECTOS I+D (PIA 1) N EXPEDIENTE: PIA 12017-1-3 ANUALIDAD REFERENCIA:HAR2017-82810-P </t>
  </si>
  <si>
    <t>Sin ingresos de investigación en 2021</t>
  </si>
  <si>
    <t>Crespo Amat, Carlos </t>
  </si>
  <si>
    <t>Entre Castilla, la Corona de Aragón y el Mediterráneo: la formación de un mercado transnacional en el reino de Valencia durante la Baja Edad Media (1370-1430) </t>
  </si>
  <si>
    <t>30/09/2021 </t>
  </si>
  <si>
    <t>Cañizares Gómez, María José </t>
  </si>
  <si>
    <t>Iglesia, frontera y poder: el pleito del obispado de Orihuela entre la Corona de Castilla y la Corona de Aragón (siglos XIII y XVI) </t>
  </si>
  <si>
    <t>29/09/2021 </t>
  </si>
  <si>
    <t>Ávila Martínez, María Teresa </t>
  </si>
  <si>
    <t>Una viajera con nombre propio: Lady Elizabeth Holland y sus cuadernos hispanos </t>
  </si>
  <si>
    <t>27/05/2022 </t>
  </si>
  <si>
    <t>Corona Verdú, Rafael </t>
  </si>
  <si>
    <t>Viri ac mulieres ludentes. Los hábitos higiénicos y los juegos recreativos como elementos articuladores del hecho deportivo en la España Moderna (1700-1812) </t>
  </si>
  <si>
    <t>25/07/2022 </t>
  </si>
  <si>
    <t>44765640G</t>
  </si>
  <si>
    <t>SOLER MILLA, JUAN LEONARDO</t>
  </si>
  <si>
    <t>NO FUNCIONARIO</t>
  </si>
  <si>
    <t>30</t>
  </si>
  <si>
    <t>Total ingresos investigación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</si>
</sst>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11" fillId="6" borderId="1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4" fontId="1" fillId="0" borderId="0" xfId="0" applyNumberFormat="1" applyFont="1"/>
    <xf numFmtId="165" fontId="3" fillId="4" borderId="1" xfId="1" applyNumberFormat="1" applyFill="1" applyBorder="1"/>
    <xf numFmtId="165" fontId="3" fillId="4" borderId="2" xfId="1" applyNumberFormat="1" applyFill="1" applyBorder="1"/>
    <xf numFmtId="2" fontId="3" fillId="4" borderId="1" xfId="1" applyNumberFormat="1" applyFill="1" applyBorder="1"/>
    <xf numFmtId="0" fontId="10" fillId="7" borderId="6" xfId="5" applyFont="1" applyFill="1" applyBorder="1"/>
    <xf numFmtId="0" fontId="10" fillId="7" borderId="6" xfId="5" applyFont="1" applyFill="1" applyBorder="1" applyAlignment="1">
      <alignment horizontal="right"/>
    </xf>
    <xf numFmtId="0" fontId="3" fillId="7" borderId="6" xfId="1" applyFont="1" applyFill="1" applyBorder="1" applyAlignment="1"/>
    <xf numFmtId="0" fontId="3" fillId="7" borderId="6" xfId="1" applyFont="1" applyFill="1" applyBorder="1" applyAlignment="1">
      <alignment horizontal="right"/>
    </xf>
    <xf numFmtId="0" fontId="12" fillId="8" borderId="1" xfId="0" applyFont="1" applyFill="1" applyBorder="1" applyAlignment="1">
      <alignment horizontal="right"/>
    </xf>
    <xf numFmtId="4" fontId="1" fillId="7" borderId="1" xfId="0" applyNumberFormat="1" applyFont="1" applyFill="1" applyBorder="1"/>
    <xf numFmtId="164" fontId="4" fillId="7" borderId="6" xfId="1" applyNumberFormat="1" applyFont="1" applyFill="1" applyBorder="1" applyAlignment="1"/>
    <xf numFmtId="164" fontId="13" fillId="7" borderId="6" xfId="5" applyNumberFormat="1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"/>
  <sheetViews>
    <sheetView showGridLines="0" tabSelected="1" zoomScale="120" zoomScaleNormal="120" workbookViewId="0">
      <pane xSplit="1" ySplit="1" topLeftCell="F5" activePane="bottomRight" state="frozen"/>
      <selection pane="topRight" activeCell="B1" sqref="B1"/>
      <selection pane="bottomLeft" activeCell="A2" sqref="A2"/>
      <selection pane="bottomRight" activeCell="S23" sqref="S23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26" t="s">
        <v>44</v>
      </c>
      <c r="B2" s="26" t="s">
        <v>45</v>
      </c>
      <c r="C2" s="26" t="s">
        <v>53</v>
      </c>
      <c r="D2" s="26" t="s">
        <v>66</v>
      </c>
      <c r="E2" s="26" t="s">
        <v>67</v>
      </c>
      <c r="F2" s="26" t="s">
        <v>68</v>
      </c>
      <c r="G2" s="26" t="s">
        <v>56</v>
      </c>
      <c r="H2" s="26" t="s">
        <v>28</v>
      </c>
      <c r="I2" s="26" t="s">
        <v>44</v>
      </c>
      <c r="J2" s="26" t="s">
        <v>45</v>
      </c>
      <c r="K2" s="29">
        <v>1</v>
      </c>
      <c r="L2" s="26" t="s">
        <v>51</v>
      </c>
      <c r="M2" s="26">
        <v>2016</v>
      </c>
      <c r="N2" s="26" t="s">
        <v>39</v>
      </c>
      <c r="O2" s="27" t="s">
        <v>36</v>
      </c>
      <c r="P2" s="26" t="s">
        <v>27</v>
      </c>
      <c r="Q2" s="27" t="s">
        <v>27</v>
      </c>
      <c r="R2" s="28">
        <v>40</v>
      </c>
      <c r="S2" s="29">
        <v>0.4</v>
      </c>
      <c r="T2" s="29">
        <v>0.6</v>
      </c>
      <c r="U2" s="29">
        <v>0</v>
      </c>
    </row>
    <row r="3" spans="1:21" x14ac:dyDescent="0.2">
      <c r="A3" s="26" t="s">
        <v>44</v>
      </c>
      <c r="B3" s="26" t="s">
        <v>45</v>
      </c>
      <c r="C3" s="26" t="s">
        <v>53</v>
      </c>
      <c r="D3" s="26" t="s">
        <v>59</v>
      </c>
      <c r="E3" s="26" t="s">
        <v>60</v>
      </c>
      <c r="F3" s="26" t="s">
        <v>46</v>
      </c>
      <c r="G3" s="26" t="s">
        <v>56</v>
      </c>
      <c r="H3" s="26" t="s">
        <v>28</v>
      </c>
      <c r="I3" s="26" t="s">
        <v>44</v>
      </c>
      <c r="J3" s="26" t="s">
        <v>45</v>
      </c>
      <c r="K3" s="29">
        <v>1</v>
      </c>
      <c r="L3" s="26" t="s">
        <v>51</v>
      </c>
      <c r="M3" s="26">
        <v>2016</v>
      </c>
      <c r="N3" s="26" t="s">
        <v>39</v>
      </c>
      <c r="O3" s="27" t="s">
        <v>36</v>
      </c>
      <c r="P3" s="26" t="s">
        <v>27</v>
      </c>
      <c r="Q3" s="27" t="s">
        <v>27</v>
      </c>
      <c r="R3" s="28">
        <v>40</v>
      </c>
      <c r="S3" s="29">
        <v>0.4</v>
      </c>
      <c r="T3" s="29">
        <v>0.6</v>
      </c>
      <c r="U3" s="29">
        <v>0</v>
      </c>
    </row>
    <row r="4" spans="1:21" x14ac:dyDescent="0.2">
      <c r="A4" s="26" t="s">
        <v>40</v>
      </c>
      <c r="B4" s="26" t="s">
        <v>41</v>
      </c>
      <c r="C4" s="26" t="s">
        <v>42</v>
      </c>
      <c r="D4" s="26" t="s">
        <v>57</v>
      </c>
      <c r="E4" s="26" t="s">
        <v>58</v>
      </c>
      <c r="F4" s="26" t="s">
        <v>49</v>
      </c>
      <c r="G4" s="26" t="s">
        <v>56</v>
      </c>
      <c r="H4" s="26" t="s">
        <v>28</v>
      </c>
      <c r="I4" s="26" t="s">
        <v>44</v>
      </c>
      <c r="J4" s="26" t="s">
        <v>45</v>
      </c>
      <c r="K4" s="29">
        <v>1</v>
      </c>
      <c r="L4" s="26" t="s">
        <v>51</v>
      </c>
      <c r="M4" s="26">
        <v>2016</v>
      </c>
      <c r="N4" s="26" t="s">
        <v>39</v>
      </c>
      <c r="O4" s="27" t="s">
        <v>36</v>
      </c>
      <c r="P4" s="26" t="s">
        <v>27</v>
      </c>
      <c r="Q4" s="27" t="s">
        <v>27</v>
      </c>
      <c r="R4" s="28">
        <v>40</v>
      </c>
      <c r="S4" s="29">
        <v>0.4</v>
      </c>
      <c r="T4" s="29">
        <v>0.6</v>
      </c>
      <c r="U4" s="29">
        <v>0</v>
      </c>
    </row>
    <row r="5" spans="1:21" x14ac:dyDescent="0.2">
      <c r="A5" s="26" t="s">
        <v>34</v>
      </c>
      <c r="B5" s="26" t="s">
        <v>35</v>
      </c>
      <c r="C5" s="26" t="s">
        <v>43</v>
      </c>
      <c r="D5" s="26" t="s">
        <v>61</v>
      </c>
      <c r="E5" s="26" t="s">
        <v>62</v>
      </c>
      <c r="F5" s="26" t="s">
        <v>33</v>
      </c>
      <c r="G5" s="26" t="s">
        <v>50</v>
      </c>
      <c r="H5" s="26" t="s">
        <v>28</v>
      </c>
      <c r="I5" s="26" t="s">
        <v>44</v>
      </c>
      <c r="J5" s="26" t="s">
        <v>45</v>
      </c>
      <c r="K5" s="29">
        <v>1</v>
      </c>
      <c r="L5" s="26" t="s">
        <v>51</v>
      </c>
      <c r="M5" s="26">
        <v>2016</v>
      </c>
      <c r="N5" s="26" t="s">
        <v>27</v>
      </c>
      <c r="O5" s="27" t="s">
        <v>27</v>
      </c>
      <c r="P5" s="26" t="s">
        <v>27</v>
      </c>
      <c r="Q5" s="27" t="s">
        <v>27</v>
      </c>
      <c r="R5" s="28">
        <v>100</v>
      </c>
      <c r="S5" s="29">
        <v>1</v>
      </c>
      <c r="T5" s="29">
        <v>0</v>
      </c>
      <c r="U5" s="29">
        <v>0</v>
      </c>
    </row>
    <row r="6" spans="1:21" x14ac:dyDescent="0.2">
      <c r="A6" s="26" t="s">
        <v>44</v>
      </c>
      <c r="B6" s="26" t="s">
        <v>45</v>
      </c>
      <c r="C6" s="26" t="s">
        <v>53</v>
      </c>
      <c r="D6" s="26" t="s">
        <v>63</v>
      </c>
      <c r="E6" s="26" t="s">
        <v>64</v>
      </c>
      <c r="F6" s="26" t="s">
        <v>65</v>
      </c>
      <c r="G6" s="26" t="s">
        <v>50</v>
      </c>
      <c r="H6" s="26" t="s">
        <v>28</v>
      </c>
      <c r="I6" s="26" t="s">
        <v>44</v>
      </c>
      <c r="J6" s="26" t="s">
        <v>45</v>
      </c>
      <c r="K6" s="29">
        <v>1</v>
      </c>
      <c r="L6" s="26" t="s">
        <v>51</v>
      </c>
      <c r="M6" s="26">
        <v>2016</v>
      </c>
      <c r="N6" s="26" t="s">
        <v>27</v>
      </c>
      <c r="O6" s="27" t="s">
        <v>27</v>
      </c>
      <c r="P6" s="26" t="s">
        <v>27</v>
      </c>
      <c r="Q6" s="27" t="s">
        <v>27</v>
      </c>
      <c r="R6" s="28">
        <v>100</v>
      </c>
      <c r="S6" s="29">
        <v>1</v>
      </c>
      <c r="T6" s="29">
        <v>0</v>
      </c>
      <c r="U6" s="29">
        <v>0</v>
      </c>
    </row>
    <row r="7" spans="1:21" x14ac:dyDescent="0.2">
      <c r="A7" s="26" t="s">
        <v>37</v>
      </c>
      <c r="B7" s="26" t="s">
        <v>38</v>
      </c>
      <c r="C7" s="26" t="s">
        <v>43</v>
      </c>
      <c r="D7" s="26" t="s">
        <v>69</v>
      </c>
      <c r="E7" s="26" t="s">
        <v>70</v>
      </c>
      <c r="F7" s="26" t="s">
        <v>30</v>
      </c>
      <c r="G7" s="26" t="s">
        <v>56</v>
      </c>
      <c r="H7" s="26" t="s">
        <v>28</v>
      </c>
      <c r="I7" s="26" t="s">
        <v>44</v>
      </c>
      <c r="J7" s="26" t="s">
        <v>45</v>
      </c>
      <c r="K7" s="29">
        <v>1</v>
      </c>
      <c r="L7" s="26" t="s">
        <v>51</v>
      </c>
      <c r="M7" s="26">
        <v>2017</v>
      </c>
      <c r="N7" s="26" t="s">
        <v>39</v>
      </c>
      <c r="O7" s="27" t="s">
        <v>36</v>
      </c>
      <c r="P7" s="26" t="s">
        <v>27</v>
      </c>
      <c r="Q7" s="27" t="s">
        <v>27</v>
      </c>
      <c r="R7" s="28">
        <v>40</v>
      </c>
      <c r="S7" s="29">
        <v>0.4</v>
      </c>
      <c r="T7" s="29">
        <v>0.6</v>
      </c>
      <c r="U7" s="29">
        <v>0</v>
      </c>
    </row>
    <row r="8" spans="1:21" x14ac:dyDescent="0.2">
      <c r="A8" s="26" t="s">
        <v>37</v>
      </c>
      <c r="B8" s="26" t="s">
        <v>38</v>
      </c>
      <c r="C8" s="26" t="s">
        <v>43</v>
      </c>
      <c r="D8" s="26" t="s">
        <v>74</v>
      </c>
      <c r="E8" s="26" t="s">
        <v>75</v>
      </c>
      <c r="F8" s="26" t="s">
        <v>76</v>
      </c>
      <c r="G8" s="26" t="s">
        <v>52</v>
      </c>
      <c r="H8" s="26" t="s">
        <v>28</v>
      </c>
      <c r="I8" s="26" t="s">
        <v>44</v>
      </c>
      <c r="J8" s="26" t="s">
        <v>45</v>
      </c>
      <c r="K8" s="40">
        <v>1</v>
      </c>
      <c r="L8" s="26" t="s">
        <v>51</v>
      </c>
      <c r="M8" s="26">
        <v>2018</v>
      </c>
      <c r="N8" s="26" t="s">
        <v>27</v>
      </c>
      <c r="O8" s="27" t="s">
        <v>27</v>
      </c>
      <c r="P8" s="26" t="s">
        <v>27</v>
      </c>
      <c r="Q8" s="27" t="s">
        <v>27</v>
      </c>
      <c r="R8" s="28">
        <v>100</v>
      </c>
      <c r="S8" s="29">
        <v>1</v>
      </c>
      <c r="T8" s="29">
        <v>0</v>
      </c>
      <c r="U8" s="29">
        <v>0</v>
      </c>
    </row>
    <row r="9" spans="1:21" x14ac:dyDescent="0.2">
      <c r="A9" s="26" t="s">
        <v>37</v>
      </c>
      <c r="B9" s="26" t="s">
        <v>38</v>
      </c>
      <c r="C9" s="26" t="s">
        <v>43</v>
      </c>
      <c r="D9" s="26" t="s">
        <v>71</v>
      </c>
      <c r="E9" s="26" t="s">
        <v>72</v>
      </c>
      <c r="F9" s="26" t="s">
        <v>48</v>
      </c>
      <c r="G9" s="26" t="s">
        <v>73</v>
      </c>
      <c r="H9" s="26" t="s">
        <v>26</v>
      </c>
      <c r="I9" s="26" t="s">
        <v>44</v>
      </c>
      <c r="J9" s="26" t="s">
        <v>45</v>
      </c>
      <c r="K9" s="40">
        <v>0.5</v>
      </c>
      <c r="L9" s="26" t="s">
        <v>51</v>
      </c>
      <c r="M9" s="26">
        <v>2018</v>
      </c>
      <c r="N9" s="26" t="s">
        <v>27</v>
      </c>
      <c r="O9" s="27" t="s">
        <v>27</v>
      </c>
      <c r="P9" s="26" t="s">
        <v>27</v>
      </c>
      <c r="Q9" s="27" t="s">
        <v>27</v>
      </c>
      <c r="R9" s="28">
        <v>100</v>
      </c>
      <c r="S9" s="29">
        <v>0.5</v>
      </c>
      <c r="T9" s="29">
        <v>0</v>
      </c>
      <c r="U9" s="29">
        <v>0</v>
      </c>
    </row>
    <row r="10" spans="1:21" x14ac:dyDescent="0.2">
      <c r="A10" s="26" t="s">
        <v>37</v>
      </c>
      <c r="B10" s="26" t="s">
        <v>38</v>
      </c>
      <c r="C10" s="26" t="s">
        <v>43</v>
      </c>
      <c r="D10" s="26" t="s">
        <v>71</v>
      </c>
      <c r="E10" s="26" t="s">
        <v>72</v>
      </c>
      <c r="F10" s="26" t="s">
        <v>48</v>
      </c>
      <c r="G10" s="26" t="s">
        <v>54</v>
      </c>
      <c r="H10" s="26" t="s">
        <v>26</v>
      </c>
      <c r="I10" s="26" t="s">
        <v>44</v>
      </c>
      <c r="J10" s="26" t="s">
        <v>45</v>
      </c>
      <c r="K10" s="40">
        <v>0.5</v>
      </c>
      <c r="L10" s="26" t="s">
        <v>51</v>
      </c>
      <c r="M10" s="26">
        <v>2018</v>
      </c>
      <c r="N10" s="26" t="s">
        <v>27</v>
      </c>
      <c r="O10" s="27" t="s">
        <v>27</v>
      </c>
      <c r="P10" s="26" t="s">
        <v>27</v>
      </c>
      <c r="Q10" s="27" t="s">
        <v>27</v>
      </c>
      <c r="R10" s="28">
        <v>100</v>
      </c>
      <c r="S10" s="29">
        <v>0.5</v>
      </c>
      <c r="T10" s="29">
        <v>0</v>
      </c>
      <c r="U10" s="29">
        <v>0</v>
      </c>
    </row>
    <row r="11" spans="1:21" x14ac:dyDescent="0.2">
      <c r="A11" s="30" t="s">
        <v>37</v>
      </c>
      <c r="B11" s="30" t="s">
        <v>38</v>
      </c>
      <c r="C11" s="30" t="s">
        <v>43</v>
      </c>
      <c r="D11" s="30" t="s">
        <v>113</v>
      </c>
      <c r="E11" s="30" t="s">
        <v>114</v>
      </c>
      <c r="F11" s="30" t="s">
        <v>115</v>
      </c>
      <c r="G11" s="30" t="s">
        <v>54</v>
      </c>
      <c r="H11" s="30" t="s">
        <v>26</v>
      </c>
      <c r="I11" s="30" t="s">
        <v>44</v>
      </c>
      <c r="J11" s="30" t="s">
        <v>45</v>
      </c>
      <c r="K11" s="41">
        <v>0.5</v>
      </c>
      <c r="L11" s="30" t="s">
        <v>51</v>
      </c>
      <c r="M11" s="30">
        <v>2019</v>
      </c>
      <c r="N11" s="30" t="s">
        <v>27</v>
      </c>
      <c r="O11" s="31" t="s">
        <v>27</v>
      </c>
      <c r="P11" s="30" t="s">
        <v>27</v>
      </c>
      <c r="Q11" s="31" t="s">
        <v>27</v>
      </c>
      <c r="R11" s="32">
        <v>100</v>
      </c>
      <c r="S11" s="33">
        <v>0.5</v>
      </c>
      <c r="T11" s="33">
        <v>0</v>
      </c>
      <c r="U11" s="33">
        <v>0</v>
      </c>
    </row>
    <row r="12" spans="1:21" x14ac:dyDescent="0.2">
      <c r="A12" s="30" t="s">
        <v>37</v>
      </c>
      <c r="B12" s="30" t="s">
        <v>38</v>
      </c>
      <c r="C12" s="30" t="s">
        <v>43</v>
      </c>
      <c r="D12" s="30" t="s">
        <v>119</v>
      </c>
      <c r="E12" s="30" t="s">
        <v>120</v>
      </c>
      <c r="F12" s="30" t="s">
        <v>121</v>
      </c>
      <c r="G12" s="30" t="s">
        <v>52</v>
      </c>
      <c r="H12" s="30" t="s">
        <v>26</v>
      </c>
      <c r="I12" s="30" t="s">
        <v>44</v>
      </c>
      <c r="J12" s="30" t="s">
        <v>45</v>
      </c>
      <c r="K12" s="41">
        <v>0.5</v>
      </c>
      <c r="L12" s="30" t="s">
        <v>51</v>
      </c>
      <c r="M12" s="30">
        <v>2019</v>
      </c>
      <c r="N12" s="30" t="s">
        <v>27</v>
      </c>
      <c r="O12" s="31" t="s">
        <v>27</v>
      </c>
      <c r="P12" s="30" t="s">
        <v>27</v>
      </c>
      <c r="Q12" s="31" t="s">
        <v>27</v>
      </c>
      <c r="R12" s="32">
        <v>100</v>
      </c>
      <c r="S12" s="33">
        <v>0.5</v>
      </c>
      <c r="T12" s="33">
        <v>0</v>
      </c>
      <c r="U12" s="33">
        <v>0</v>
      </c>
    </row>
    <row r="13" spans="1:21" x14ac:dyDescent="0.2">
      <c r="A13" s="30" t="s">
        <v>37</v>
      </c>
      <c r="B13" s="30" t="s">
        <v>38</v>
      </c>
      <c r="C13" s="30" t="s">
        <v>43</v>
      </c>
      <c r="D13" s="30" t="s">
        <v>110</v>
      </c>
      <c r="E13" s="30" t="s">
        <v>111</v>
      </c>
      <c r="F13" s="30" t="s">
        <v>112</v>
      </c>
      <c r="G13" s="30" t="s">
        <v>50</v>
      </c>
      <c r="H13" s="30" t="s">
        <v>28</v>
      </c>
      <c r="I13" s="30" t="s">
        <v>44</v>
      </c>
      <c r="J13" s="30" t="s">
        <v>45</v>
      </c>
      <c r="K13" s="41">
        <v>1</v>
      </c>
      <c r="L13" s="30" t="s">
        <v>51</v>
      </c>
      <c r="M13" s="30">
        <v>2019</v>
      </c>
      <c r="N13" s="30" t="s">
        <v>31</v>
      </c>
      <c r="O13" s="31" t="s">
        <v>124</v>
      </c>
      <c r="P13" s="30" t="s">
        <v>27</v>
      </c>
      <c r="Q13" s="31" t="s">
        <v>27</v>
      </c>
      <c r="R13" s="32">
        <v>50</v>
      </c>
      <c r="S13" s="33">
        <v>0.5</v>
      </c>
      <c r="T13" s="33">
        <v>0.5</v>
      </c>
      <c r="U13" s="33">
        <v>0</v>
      </c>
    </row>
    <row r="14" spans="1:21" ht="10.8" thickBot="1" x14ac:dyDescent="0.25">
      <c r="A14" s="30" t="s">
        <v>40</v>
      </c>
      <c r="B14" s="30" t="s">
        <v>41</v>
      </c>
      <c r="C14" s="30" t="s">
        <v>42</v>
      </c>
      <c r="D14" s="30" t="s">
        <v>116</v>
      </c>
      <c r="E14" s="30" t="s">
        <v>117</v>
      </c>
      <c r="F14" s="30" t="s">
        <v>118</v>
      </c>
      <c r="G14" s="30" t="s">
        <v>56</v>
      </c>
      <c r="H14" s="30" t="s">
        <v>26</v>
      </c>
      <c r="I14" s="30" t="s">
        <v>44</v>
      </c>
      <c r="J14" s="30" t="s">
        <v>45</v>
      </c>
      <c r="K14" s="41">
        <v>0.5</v>
      </c>
      <c r="L14" s="30" t="s">
        <v>51</v>
      </c>
      <c r="M14" s="30">
        <v>2019</v>
      </c>
      <c r="N14" s="30" t="s">
        <v>39</v>
      </c>
      <c r="O14" s="31" t="s">
        <v>36</v>
      </c>
      <c r="P14" s="30" t="s">
        <v>27</v>
      </c>
      <c r="Q14" s="31" t="s">
        <v>27</v>
      </c>
      <c r="R14" s="32">
        <v>40</v>
      </c>
      <c r="S14" s="33">
        <v>0.2</v>
      </c>
      <c r="T14" s="33">
        <v>0.3</v>
      </c>
      <c r="U14" s="33">
        <v>0</v>
      </c>
    </row>
    <row r="15" spans="1:21" ht="10.8" thickBot="1" x14ac:dyDescent="0.25">
      <c r="A15" s="35" t="s">
        <v>125</v>
      </c>
      <c r="B15" s="35" t="s">
        <v>126</v>
      </c>
      <c r="C15" s="35" t="s">
        <v>127</v>
      </c>
      <c r="D15" s="35" t="s">
        <v>128</v>
      </c>
      <c r="E15" s="35" t="s">
        <v>129</v>
      </c>
      <c r="F15" s="35" t="s">
        <v>130</v>
      </c>
      <c r="G15" s="36" t="s">
        <v>50</v>
      </c>
      <c r="H15" s="37" t="s">
        <v>28</v>
      </c>
      <c r="I15" s="37" t="s">
        <v>44</v>
      </c>
      <c r="J15" s="38" t="s">
        <v>45</v>
      </c>
      <c r="K15" s="34">
        <v>1</v>
      </c>
      <c r="L15" s="34" t="s">
        <v>51</v>
      </c>
      <c r="M15" s="26">
        <v>2020</v>
      </c>
      <c r="N15" s="26" t="s">
        <v>31</v>
      </c>
      <c r="O15" s="27" t="s">
        <v>124</v>
      </c>
      <c r="P15" s="26" t="s">
        <v>27</v>
      </c>
      <c r="Q15" s="27" t="s">
        <v>27</v>
      </c>
      <c r="R15" s="26">
        <v>50</v>
      </c>
      <c r="S15" s="26">
        <v>0.5</v>
      </c>
      <c r="T15" s="26">
        <v>0.5</v>
      </c>
      <c r="U15" s="26">
        <v>0</v>
      </c>
    </row>
    <row r="16" spans="1:21" ht="10.8" thickBot="1" x14ac:dyDescent="0.25">
      <c r="A16" s="35" t="s">
        <v>37</v>
      </c>
      <c r="B16" s="35" t="s">
        <v>38</v>
      </c>
      <c r="C16" s="35" t="s">
        <v>43</v>
      </c>
      <c r="D16" s="35" t="s">
        <v>140</v>
      </c>
      <c r="E16" s="35" t="s">
        <v>141</v>
      </c>
      <c r="F16" s="35" t="s">
        <v>142</v>
      </c>
      <c r="G16" s="36" t="s">
        <v>50</v>
      </c>
      <c r="H16" s="37" t="s">
        <v>26</v>
      </c>
      <c r="I16" s="37" t="s">
        <v>44</v>
      </c>
      <c r="J16" s="38" t="s">
        <v>45</v>
      </c>
      <c r="K16" s="34">
        <v>0.5</v>
      </c>
      <c r="L16" s="34" t="s">
        <v>51</v>
      </c>
      <c r="M16" s="26">
        <v>2020</v>
      </c>
      <c r="N16" s="26" t="s">
        <v>31</v>
      </c>
      <c r="O16" s="27" t="s">
        <v>124</v>
      </c>
      <c r="P16" s="26" t="s">
        <v>27</v>
      </c>
      <c r="Q16" s="27" t="s">
        <v>27</v>
      </c>
      <c r="R16" s="26">
        <v>50</v>
      </c>
      <c r="S16" s="42">
        <v>0.25</v>
      </c>
      <c r="T16" s="26">
        <v>0.25</v>
      </c>
      <c r="U16" s="26">
        <v>0</v>
      </c>
    </row>
    <row r="17" spans="1:21" ht="10.8" thickBot="1" x14ac:dyDescent="0.25">
      <c r="A17" s="35" t="s">
        <v>37</v>
      </c>
      <c r="B17" s="35" t="s">
        <v>38</v>
      </c>
      <c r="C17" s="35" t="s">
        <v>43</v>
      </c>
      <c r="D17" s="35" t="s">
        <v>143</v>
      </c>
      <c r="E17" s="35" t="s">
        <v>144</v>
      </c>
      <c r="F17" s="35" t="s">
        <v>145</v>
      </c>
      <c r="G17" s="36" t="s">
        <v>55</v>
      </c>
      <c r="H17" s="37" t="s">
        <v>26</v>
      </c>
      <c r="I17" s="37" t="s">
        <v>44</v>
      </c>
      <c r="J17" s="38" t="s">
        <v>45</v>
      </c>
      <c r="K17" s="34">
        <v>0.5</v>
      </c>
      <c r="L17" s="34" t="s">
        <v>51</v>
      </c>
      <c r="M17" s="26">
        <v>2020</v>
      </c>
      <c r="N17" s="26" t="s">
        <v>39</v>
      </c>
      <c r="O17" s="27" t="s">
        <v>29</v>
      </c>
      <c r="P17" s="26" t="s">
        <v>31</v>
      </c>
      <c r="Q17" s="27" t="s">
        <v>47</v>
      </c>
      <c r="R17" s="26">
        <v>65</v>
      </c>
      <c r="S17" s="26">
        <v>0.32500000000000001</v>
      </c>
      <c r="T17" s="26">
        <v>0.05</v>
      </c>
      <c r="U17" s="26">
        <v>0.125</v>
      </c>
    </row>
    <row r="18" spans="1:21" ht="10.8" thickBot="1" x14ac:dyDescent="0.25">
      <c r="A18" s="35" t="s">
        <v>37</v>
      </c>
      <c r="B18" s="35" t="s">
        <v>38</v>
      </c>
      <c r="C18" s="35" t="s">
        <v>43</v>
      </c>
      <c r="D18" s="35" t="s">
        <v>143</v>
      </c>
      <c r="E18" s="35" t="s">
        <v>144</v>
      </c>
      <c r="F18" s="35" t="s">
        <v>145</v>
      </c>
      <c r="G18" s="36" t="s">
        <v>50</v>
      </c>
      <c r="H18" s="37" t="s">
        <v>26</v>
      </c>
      <c r="I18" s="37" t="s">
        <v>44</v>
      </c>
      <c r="J18" s="38" t="s">
        <v>45</v>
      </c>
      <c r="K18" s="34">
        <v>0.5</v>
      </c>
      <c r="L18" s="34" t="s">
        <v>51</v>
      </c>
      <c r="M18" s="26">
        <v>2020</v>
      </c>
      <c r="N18" s="26" t="s">
        <v>31</v>
      </c>
      <c r="O18" s="27" t="s">
        <v>124</v>
      </c>
      <c r="P18" s="26" t="s">
        <v>27</v>
      </c>
      <c r="Q18" s="27" t="s">
        <v>27</v>
      </c>
      <c r="R18" s="26">
        <v>50</v>
      </c>
      <c r="S18" s="26">
        <v>0.25</v>
      </c>
      <c r="T18" s="26">
        <v>0.25</v>
      </c>
      <c r="U18" s="26">
        <v>0</v>
      </c>
    </row>
    <row r="19" spans="1:21" ht="10.8" thickBot="1" x14ac:dyDescent="0.25">
      <c r="A19" s="35" t="s">
        <v>37</v>
      </c>
      <c r="B19" s="35" t="s">
        <v>38</v>
      </c>
      <c r="C19" s="35" t="s">
        <v>131</v>
      </c>
      <c r="D19" s="35" t="s">
        <v>132</v>
      </c>
      <c r="E19" s="35" t="s">
        <v>133</v>
      </c>
      <c r="F19" s="35" t="s">
        <v>134</v>
      </c>
      <c r="G19" s="36" t="s">
        <v>50</v>
      </c>
      <c r="H19" s="37" t="s">
        <v>26</v>
      </c>
      <c r="I19" s="37" t="s">
        <v>44</v>
      </c>
      <c r="J19" s="38" t="s">
        <v>45</v>
      </c>
      <c r="K19" s="34">
        <v>0.5</v>
      </c>
      <c r="L19" s="34" t="s">
        <v>51</v>
      </c>
      <c r="M19" s="26">
        <v>2020</v>
      </c>
      <c r="N19" s="26" t="s">
        <v>31</v>
      </c>
      <c r="O19" s="27" t="s">
        <v>124</v>
      </c>
      <c r="P19" s="26" t="s">
        <v>27</v>
      </c>
      <c r="Q19" s="27" t="s">
        <v>27</v>
      </c>
      <c r="R19" s="26">
        <v>50</v>
      </c>
      <c r="S19" s="26">
        <v>0.25</v>
      </c>
      <c r="T19" s="26">
        <v>0.25</v>
      </c>
      <c r="U19" s="26">
        <v>0</v>
      </c>
    </row>
    <row r="20" spans="1:21" x14ac:dyDescent="0.2">
      <c r="A20" s="26" t="s">
        <v>40</v>
      </c>
      <c r="B20" s="26" t="s">
        <v>41</v>
      </c>
      <c r="C20" s="26" t="s">
        <v>42</v>
      </c>
      <c r="D20" s="26" t="s">
        <v>135</v>
      </c>
      <c r="E20" s="26" t="s">
        <v>136</v>
      </c>
      <c r="F20" s="26" t="s">
        <v>137</v>
      </c>
      <c r="G20" s="26" t="s">
        <v>56</v>
      </c>
      <c r="H20" s="26" t="s">
        <v>28</v>
      </c>
      <c r="I20" s="26" t="s">
        <v>44</v>
      </c>
      <c r="J20" s="26" t="s">
        <v>45</v>
      </c>
      <c r="K20" s="34">
        <v>1</v>
      </c>
      <c r="L20" s="34" t="s">
        <v>51</v>
      </c>
      <c r="M20" s="26">
        <v>2020</v>
      </c>
      <c r="N20" s="26" t="s">
        <v>39</v>
      </c>
      <c r="O20" s="27" t="s">
        <v>36</v>
      </c>
      <c r="P20" s="26" t="s">
        <v>27</v>
      </c>
      <c r="Q20" s="27" t="s">
        <v>27</v>
      </c>
      <c r="R20" s="26">
        <v>40</v>
      </c>
      <c r="S20" s="26">
        <v>0.4</v>
      </c>
      <c r="T20" s="26">
        <v>0.6</v>
      </c>
      <c r="U20" s="26">
        <v>0</v>
      </c>
    </row>
    <row r="21" spans="1:21" x14ac:dyDescent="0.2">
      <c r="A21" s="26" t="s">
        <v>40</v>
      </c>
      <c r="B21" s="26" t="s">
        <v>41</v>
      </c>
      <c r="C21" s="26" t="s">
        <v>42</v>
      </c>
      <c r="D21" s="26" t="s">
        <v>146</v>
      </c>
      <c r="E21" s="26" t="s">
        <v>147</v>
      </c>
      <c r="F21" s="26" t="s">
        <v>148</v>
      </c>
      <c r="G21" s="26" t="s">
        <v>56</v>
      </c>
      <c r="H21" s="26" t="s">
        <v>28</v>
      </c>
      <c r="I21" s="26" t="s">
        <v>44</v>
      </c>
      <c r="J21" s="26" t="s">
        <v>45</v>
      </c>
      <c r="K21" s="34">
        <v>1</v>
      </c>
      <c r="L21" s="34" t="s">
        <v>51</v>
      </c>
      <c r="M21" s="26">
        <v>2021</v>
      </c>
      <c r="N21" s="26" t="s">
        <v>39</v>
      </c>
      <c r="O21" s="27" t="s">
        <v>36</v>
      </c>
      <c r="P21" s="26" t="s">
        <v>27</v>
      </c>
      <c r="Q21" s="27" t="s">
        <v>27</v>
      </c>
      <c r="R21" s="26">
        <v>40</v>
      </c>
      <c r="S21" s="26">
        <v>0.4</v>
      </c>
      <c r="T21" s="26">
        <v>0.6</v>
      </c>
      <c r="U21" s="26">
        <v>0</v>
      </c>
    </row>
    <row r="22" spans="1:21" x14ac:dyDescent="0.2">
      <c r="A22" s="26" t="s">
        <v>40</v>
      </c>
      <c r="B22" s="26" t="s">
        <v>41</v>
      </c>
      <c r="C22" s="26" t="s">
        <v>42</v>
      </c>
      <c r="D22" s="26" t="s">
        <v>149</v>
      </c>
      <c r="E22" s="26" t="s">
        <v>150</v>
      </c>
      <c r="F22" s="26" t="s">
        <v>151</v>
      </c>
      <c r="G22" s="26" t="s">
        <v>56</v>
      </c>
      <c r="H22" s="26" t="s">
        <v>28</v>
      </c>
      <c r="I22" s="26" t="s">
        <v>44</v>
      </c>
      <c r="J22" s="26" t="s">
        <v>45</v>
      </c>
      <c r="K22" s="34">
        <v>1</v>
      </c>
      <c r="L22" s="34" t="s">
        <v>51</v>
      </c>
      <c r="M22" s="26">
        <v>2021</v>
      </c>
      <c r="N22" s="26" t="s">
        <v>39</v>
      </c>
      <c r="O22" s="27" t="s">
        <v>36</v>
      </c>
      <c r="P22" s="26" t="s">
        <v>27</v>
      </c>
      <c r="Q22" s="27" t="s">
        <v>27</v>
      </c>
      <c r="R22" s="26">
        <v>40</v>
      </c>
      <c r="S22" s="26">
        <v>0.4</v>
      </c>
      <c r="T22" s="26">
        <v>0.6</v>
      </c>
      <c r="U22" s="26">
        <v>0</v>
      </c>
    </row>
    <row r="23" spans="1:21" x14ac:dyDescent="0.2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6"/>
      <c r="P23" s="45"/>
      <c r="Q23" s="46"/>
      <c r="R23" s="45"/>
      <c r="S23" s="49">
        <f>SUM(S2:S22)</f>
        <v>10.075000000000001</v>
      </c>
      <c r="T23" s="45"/>
      <c r="U23" s="45"/>
    </row>
  </sheetData>
  <autoFilter ref="A1:U1" xr:uid="{00000000-0009-0000-0000-000000000000}">
    <sortState xmlns:xlrd2="http://schemas.microsoft.com/office/spreadsheetml/2017/richdata2" ref="A2:T1886">
      <sortCondition ref="K2:K1886"/>
      <sortCondition ref="L2:L1886"/>
      <sortCondition ref="D2:D1886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1"/>
  <sheetViews>
    <sheetView zoomScaleNormal="100" workbookViewId="0">
      <selection activeCell="S11" sqref="S11"/>
    </sheetView>
  </sheetViews>
  <sheetFormatPr baseColWidth="10" defaultColWidth="11.44140625" defaultRowHeight="13.2" x14ac:dyDescent="0.25"/>
  <cols>
    <col min="1" max="1" width="10.44140625" style="18" bestFit="1" customWidth="1"/>
    <col min="2" max="2" width="56.5546875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77</v>
      </c>
      <c r="B1" s="20" t="s">
        <v>78</v>
      </c>
      <c r="C1" s="20" t="s">
        <v>79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80</v>
      </c>
      <c r="K1" s="22" t="s">
        <v>122</v>
      </c>
      <c r="L1" s="15" t="s">
        <v>81</v>
      </c>
      <c r="M1" s="15" t="s">
        <v>82</v>
      </c>
      <c r="N1" s="15" t="s">
        <v>83</v>
      </c>
      <c r="O1" s="15" t="s">
        <v>84</v>
      </c>
      <c r="P1" s="16" t="s">
        <v>85</v>
      </c>
      <c r="Q1" s="16" t="s">
        <v>86</v>
      </c>
      <c r="R1" s="16" t="s">
        <v>87</v>
      </c>
      <c r="S1" s="16" t="s">
        <v>88</v>
      </c>
    </row>
    <row r="2" spans="1:19" ht="14.4" x14ac:dyDescent="0.3">
      <c r="A2" s="23" t="s">
        <v>90</v>
      </c>
      <c r="B2" s="23" t="s">
        <v>91</v>
      </c>
      <c r="C2" s="23">
        <v>6</v>
      </c>
      <c r="D2" s="23"/>
      <c r="E2" s="23">
        <v>1</v>
      </c>
      <c r="F2" s="23"/>
      <c r="G2" s="23"/>
      <c r="H2" s="23"/>
      <c r="I2" s="23"/>
      <c r="J2" s="23">
        <v>1</v>
      </c>
      <c r="K2" s="23" t="s">
        <v>51</v>
      </c>
      <c r="L2" s="24">
        <v>0</v>
      </c>
      <c r="M2" s="24">
        <v>0</v>
      </c>
      <c r="N2" s="24" t="s">
        <v>27</v>
      </c>
      <c r="O2" s="24" t="s">
        <v>27</v>
      </c>
      <c r="P2" s="24">
        <v>100</v>
      </c>
      <c r="Q2" s="24">
        <v>0</v>
      </c>
      <c r="R2" s="24">
        <v>0</v>
      </c>
      <c r="S2" s="24">
        <v>1</v>
      </c>
    </row>
    <row r="3" spans="1:19" ht="14.4" x14ac:dyDescent="0.3">
      <c r="A3" s="23" t="s">
        <v>94</v>
      </c>
      <c r="B3" s="23" t="s">
        <v>95</v>
      </c>
      <c r="C3" s="23">
        <v>6</v>
      </c>
      <c r="D3" s="23"/>
      <c r="E3" s="23">
        <v>1</v>
      </c>
      <c r="F3" s="23"/>
      <c r="G3" s="23"/>
      <c r="H3" s="23"/>
      <c r="I3" s="23"/>
      <c r="J3" s="23">
        <v>1</v>
      </c>
      <c r="K3" s="23" t="s">
        <v>51</v>
      </c>
      <c r="L3" s="24">
        <v>0</v>
      </c>
      <c r="M3" s="24">
        <v>0</v>
      </c>
      <c r="N3" s="24" t="s">
        <v>27</v>
      </c>
      <c r="O3" s="24" t="s">
        <v>27</v>
      </c>
      <c r="P3" s="24">
        <v>100</v>
      </c>
      <c r="Q3" s="24">
        <v>0</v>
      </c>
      <c r="R3" s="24">
        <v>0</v>
      </c>
      <c r="S3" s="24">
        <v>1</v>
      </c>
    </row>
    <row r="4" spans="1:19" ht="14.4" x14ac:dyDescent="0.3">
      <c r="A4" s="23" t="s">
        <v>104</v>
      </c>
      <c r="B4" s="23" t="s">
        <v>105</v>
      </c>
      <c r="C4" s="23" t="s">
        <v>89</v>
      </c>
      <c r="D4" s="23"/>
      <c r="E4" s="23">
        <v>2</v>
      </c>
      <c r="F4" s="23"/>
      <c r="G4" s="23"/>
      <c r="H4" s="23"/>
      <c r="I4" s="23"/>
      <c r="J4" s="23">
        <v>2</v>
      </c>
      <c r="K4" s="23" t="s">
        <v>51</v>
      </c>
      <c r="L4" s="24" t="s">
        <v>39</v>
      </c>
      <c r="M4" s="24" t="s">
        <v>32</v>
      </c>
      <c r="N4" s="24" t="s">
        <v>27</v>
      </c>
      <c r="O4" s="24" t="s">
        <v>27</v>
      </c>
      <c r="P4" s="24">
        <v>80</v>
      </c>
      <c r="Q4" s="24">
        <v>0.4</v>
      </c>
      <c r="R4" s="24">
        <v>0</v>
      </c>
      <c r="S4" s="24">
        <v>1.6</v>
      </c>
    </row>
    <row r="5" spans="1:19" ht="14.4" x14ac:dyDescent="0.3">
      <c r="A5" s="23" t="s">
        <v>100</v>
      </c>
      <c r="B5" s="23" t="s">
        <v>101</v>
      </c>
      <c r="C5" s="23" t="s">
        <v>89</v>
      </c>
      <c r="D5" s="23"/>
      <c r="E5" s="23">
        <v>1</v>
      </c>
      <c r="F5" s="23"/>
      <c r="G5" s="23">
        <v>1</v>
      </c>
      <c r="H5" s="23"/>
      <c r="I5" s="23"/>
      <c r="J5" s="23">
        <v>2</v>
      </c>
      <c r="K5" s="23" t="s">
        <v>51</v>
      </c>
      <c r="L5" s="24">
        <v>0</v>
      </c>
      <c r="M5" s="24">
        <v>0</v>
      </c>
      <c r="N5" s="24" t="s">
        <v>27</v>
      </c>
      <c r="O5" s="24" t="s">
        <v>27</v>
      </c>
      <c r="P5" s="24">
        <v>100</v>
      </c>
      <c r="Q5" s="24">
        <v>0</v>
      </c>
      <c r="R5" s="24">
        <v>0</v>
      </c>
      <c r="S5" s="24">
        <v>2</v>
      </c>
    </row>
    <row r="6" spans="1:19" ht="14.4" x14ac:dyDescent="0.3">
      <c r="A6" s="23" t="s">
        <v>96</v>
      </c>
      <c r="B6" s="23" t="s">
        <v>97</v>
      </c>
      <c r="C6" s="23">
        <v>6</v>
      </c>
      <c r="D6" s="23"/>
      <c r="E6" s="23"/>
      <c r="F6" s="23">
        <v>1</v>
      </c>
      <c r="G6" s="23">
        <v>1</v>
      </c>
      <c r="H6" s="23"/>
      <c r="I6" s="23"/>
      <c r="J6" s="23">
        <v>2</v>
      </c>
      <c r="K6" s="23" t="s">
        <v>51</v>
      </c>
      <c r="L6" s="24" t="s">
        <v>31</v>
      </c>
      <c r="M6" s="24" t="s">
        <v>124</v>
      </c>
      <c r="N6" s="24" t="s">
        <v>27</v>
      </c>
      <c r="O6" s="24" t="s">
        <v>27</v>
      </c>
      <c r="P6" s="24">
        <v>50</v>
      </c>
      <c r="Q6" s="24">
        <v>1</v>
      </c>
      <c r="R6" s="24">
        <v>0</v>
      </c>
      <c r="S6" s="24">
        <v>1</v>
      </c>
    </row>
    <row r="7" spans="1:19" ht="14.4" x14ac:dyDescent="0.3">
      <c r="A7" s="23" t="s">
        <v>152</v>
      </c>
      <c r="B7" s="23" t="s">
        <v>153</v>
      </c>
      <c r="C7" s="23" t="s">
        <v>154</v>
      </c>
      <c r="D7" s="23"/>
      <c r="E7" s="23"/>
      <c r="F7" s="23"/>
      <c r="G7" s="23"/>
      <c r="H7" s="23"/>
      <c r="I7" s="23">
        <v>1</v>
      </c>
      <c r="J7" s="23">
        <v>1</v>
      </c>
      <c r="K7" s="23" t="s">
        <v>51</v>
      </c>
      <c r="L7" s="24" t="s">
        <v>31</v>
      </c>
      <c r="M7" s="24" t="s">
        <v>155</v>
      </c>
      <c r="N7" s="24" t="s">
        <v>27</v>
      </c>
      <c r="O7" s="24" t="s">
        <v>27</v>
      </c>
      <c r="P7" s="24">
        <v>70</v>
      </c>
      <c r="Q7" s="24">
        <v>0.3</v>
      </c>
      <c r="R7" s="24">
        <v>0</v>
      </c>
      <c r="S7" s="24">
        <v>0.7</v>
      </c>
    </row>
    <row r="8" spans="1:19" ht="14.4" x14ac:dyDescent="0.3">
      <c r="A8" s="23" t="s">
        <v>98</v>
      </c>
      <c r="B8" s="23" t="s">
        <v>99</v>
      </c>
      <c r="C8" s="23" t="s">
        <v>89</v>
      </c>
      <c r="D8" s="23">
        <v>1</v>
      </c>
      <c r="E8" s="23"/>
      <c r="F8" s="23"/>
      <c r="G8" s="23"/>
      <c r="H8" s="23"/>
      <c r="I8" s="23"/>
      <c r="J8" s="23">
        <v>1</v>
      </c>
      <c r="K8" s="23" t="s">
        <v>51</v>
      </c>
      <c r="L8" s="24" t="s">
        <v>39</v>
      </c>
      <c r="M8" s="24" t="s">
        <v>36</v>
      </c>
      <c r="N8" s="24" t="s">
        <v>27</v>
      </c>
      <c r="O8" s="24" t="s">
        <v>27</v>
      </c>
      <c r="P8" s="24">
        <v>40</v>
      </c>
      <c r="Q8" s="24">
        <v>0.6</v>
      </c>
      <c r="R8" s="24">
        <v>0</v>
      </c>
      <c r="S8" s="24">
        <v>0.4</v>
      </c>
    </row>
    <row r="9" spans="1:19" ht="14.4" x14ac:dyDescent="0.3">
      <c r="A9" s="23" t="s">
        <v>102</v>
      </c>
      <c r="B9" s="23" t="s">
        <v>103</v>
      </c>
      <c r="C9" s="23" t="s">
        <v>89</v>
      </c>
      <c r="D9" s="23">
        <v>1</v>
      </c>
      <c r="E9" s="23"/>
      <c r="F9" s="23"/>
      <c r="G9" s="23"/>
      <c r="H9" s="23"/>
      <c r="I9" s="23"/>
      <c r="J9" s="23">
        <v>1</v>
      </c>
      <c r="K9" s="23" t="s">
        <v>51</v>
      </c>
      <c r="L9" s="24">
        <v>0</v>
      </c>
      <c r="M9" s="24">
        <v>0</v>
      </c>
      <c r="N9" s="24" t="s">
        <v>27</v>
      </c>
      <c r="O9" s="24" t="s">
        <v>27</v>
      </c>
      <c r="P9" s="24">
        <v>100</v>
      </c>
      <c r="Q9" s="24">
        <v>0</v>
      </c>
      <c r="R9" s="24">
        <v>0</v>
      </c>
      <c r="S9" s="24">
        <v>1</v>
      </c>
    </row>
    <row r="10" spans="1:19" ht="14.4" x14ac:dyDescent="0.3">
      <c r="A10" s="23" t="s">
        <v>92</v>
      </c>
      <c r="B10" s="23" t="s">
        <v>93</v>
      </c>
      <c r="C10" s="25" t="s">
        <v>123</v>
      </c>
      <c r="D10" s="23"/>
      <c r="E10" s="23"/>
      <c r="F10" s="23"/>
      <c r="G10" s="23"/>
      <c r="H10" s="23"/>
      <c r="I10" s="23">
        <v>1</v>
      </c>
      <c r="J10" s="23">
        <v>1</v>
      </c>
      <c r="K10" s="23" t="s">
        <v>51</v>
      </c>
      <c r="L10" s="24" t="s">
        <v>39</v>
      </c>
      <c r="M10" s="24" t="s">
        <v>29</v>
      </c>
      <c r="N10" s="24" t="s">
        <v>31</v>
      </c>
      <c r="O10" s="24" t="s">
        <v>47</v>
      </c>
      <c r="P10" s="24">
        <v>65</v>
      </c>
      <c r="Q10" s="24">
        <v>0.1</v>
      </c>
      <c r="R10" s="24">
        <v>0.25</v>
      </c>
      <c r="S10" s="24">
        <v>0.65</v>
      </c>
    </row>
    <row r="11" spans="1:19" x14ac:dyDescent="0.25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O11" s="43"/>
      <c r="P11" s="44"/>
      <c r="Q11" s="43"/>
      <c r="R11" s="43"/>
      <c r="S11" s="50">
        <f>SUM(S2:S10)</f>
        <v>9.35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Normal="100" workbookViewId="0">
      <selection activeCell="B11" sqref="B11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106</v>
      </c>
      <c r="B3" s="5">
        <v>7425</v>
      </c>
    </row>
    <row r="4" spans="1:2" x14ac:dyDescent="0.2">
      <c r="A4" s="4" t="s">
        <v>4</v>
      </c>
      <c r="B4" s="5"/>
    </row>
    <row r="5" spans="1:2" x14ac:dyDescent="0.2">
      <c r="A5" s="4" t="s">
        <v>107</v>
      </c>
      <c r="B5" s="5">
        <v>3750</v>
      </c>
    </row>
    <row r="6" spans="1:2" x14ac:dyDescent="0.2">
      <c r="A6" s="4" t="s">
        <v>108</v>
      </c>
      <c r="B6" s="5"/>
    </row>
    <row r="7" spans="1:2" x14ac:dyDescent="0.2">
      <c r="A7" s="4" t="s">
        <v>109</v>
      </c>
      <c r="B7" s="5">
        <v>8000</v>
      </c>
    </row>
    <row r="8" spans="1:2" x14ac:dyDescent="0.2">
      <c r="A8" s="6" t="s">
        <v>2</v>
      </c>
      <c r="B8" s="7">
        <f>SUM(B3:B7)</f>
        <v>19175</v>
      </c>
    </row>
    <row r="11" spans="1:2" x14ac:dyDescent="0.2">
      <c r="B11" s="39"/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B62C-7D12-4144-915A-08F7A9EEC70C}">
  <dimension ref="A1:B4"/>
  <sheetViews>
    <sheetView zoomScaleNormal="100" workbookViewId="0">
      <selection activeCell="A20" sqref="A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138</v>
      </c>
      <c r="B3" s="5">
        <v>7500</v>
      </c>
    </row>
    <row r="4" spans="1:2" x14ac:dyDescent="0.2">
      <c r="A4" s="6" t="s">
        <v>2</v>
      </c>
      <c r="B4" s="7">
        <f>SUM(B3:B3)</f>
        <v>7500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874F-374F-4C55-868D-D29B59B4F06E}">
  <dimension ref="A1:B9"/>
  <sheetViews>
    <sheetView zoomScaleNormal="100" workbookViewId="0">
      <selection activeCell="A14" sqref="A14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139</v>
      </c>
      <c r="B2" s="5"/>
    </row>
    <row r="3" spans="1:2" x14ac:dyDescent="0.2">
      <c r="A3" s="4"/>
      <c r="B3" s="5"/>
    </row>
    <row r="4" spans="1:2" x14ac:dyDescent="0.2">
      <c r="A4" s="6" t="s">
        <v>2</v>
      </c>
      <c r="B4" s="7">
        <f>SUM(B3:B3)</f>
        <v>0</v>
      </c>
    </row>
    <row r="8" spans="1:2" x14ac:dyDescent="0.2">
      <c r="B8" s="39"/>
    </row>
    <row r="9" spans="1:2" ht="14.4" x14ac:dyDescent="0.3">
      <c r="A9" s="47" t="s">
        <v>156</v>
      </c>
      <c r="B9" s="48">
        <f>B4+'Ingresos investigación 2020'!B4+'Ingresos investigación 2019'!B8</f>
        <v>26675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2019</vt:lpstr>
      <vt:lpstr>Ingresos investigación 2020</vt:lpstr>
      <vt:lpstr>Ingresos investigación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2022-10-18T14:31:59Z</dcterms:modified>
</cp:coreProperties>
</file>