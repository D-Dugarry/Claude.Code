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C2100B9D-4A5F-4B0F-BDC0-50F2CFF110CC}" xr6:coauthVersionLast="47" xr6:coauthVersionMax="47" xr10:uidLastSave="{00000000-0000-0000-0000-000000000000}"/>
  <bookViews>
    <workbookView xWindow="22932" yWindow="-108" windowWidth="23256" windowHeight="12456" tabRatio="779" xr2:uid="{00000000-000D-0000-FFFF-FFFF00000000}"/>
  </bookViews>
  <sheets>
    <sheet name="Tesis" sheetId="5" r:id="rId1"/>
    <sheet name="Sexenios" sheetId="6" r:id="rId2"/>
    <sheet name="Ingresos investigación 2019" sheetId="9" r:id="rId3"/>
    <sheet name="Ingresos investigación 2020" sheetId="11" r:id="rId4"/>
    <sheet name="Ingresos investigación 2021" sheetId="14" r:id="rId5"/>
    <sheet name="Ingresos formación 2019" sheetId="10" r:id="rId6"/>
    <sheet name="Ingresos formación 2020" sheetId="12" r:id="rId7"/>
    <sheet name="Ingresos formación 2021" sheetId="13" r:id="rId8"/>
  </sheets>
  <definedNames>
    <definedName name="_xlnm._FilterDatabase" localSheetId="1" hidden="1">Sexenios!$A$1:$S$14</definedName>
    <definedName name="_xlnm._FilterDatabase" localSheetId="0" hidden="1">Tesis!$A$1:$T$11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3" l="1"/>
  <c r="B39" i="14"/>
  <c r="S16" i="6"/>
  <c r="B36" i="14"/>
  <c r="B10" i="13"/>
  <c r="B14" i="12" l="1"/>
  <c r="B71" i="11"/>
  <c r="S14" i="5"/>
  <c r="B13" i="10" l="1"/>
  <c r="B63" i="9" l="1"/>
</calcChain>
</file>

<file path=xl/sharedStrings.xml><?xml version="1.0" encoding="utf-8"?>
<sst xmlns="http://schemas.openxmlformats.org/spreadsheetml/2006/main" count="535" uniqueCount="303">
  <si>
    <t>Orgánica
Descripción justificante</t>
  </si>
  <si>
    <t>Importe</t>
  </si>
  <si>
    <t>Total</t>
  </si>
  <si>
    <t>30.90.6C.00.02</t>
  </si>
  <si>
    <t>30.90.2T.00.02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</si>
  <si>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</si>
  <si>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</si>
  <si>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</si>
  <si>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</si>
  <si>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</si>
  <si>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</si>
  <si>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</si>
  <si>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</si>
  <si>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</si>
  <si>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</si>
  <si>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</si>
  <si>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</si>
  <si>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</si>
  <si>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</si>
  <si>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</si>
  <si>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</si>
  <si>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</si>
  <si>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</si>
  <si>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</si>
  <si>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</si>
  <si>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</si>
  <si>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21511536G </t>
  </si>
  <si>
    <t>Codirector de tesis </t>
  </si>
  <si>
    <t>B101 </t>
  </si>
  <si>
    <t>AGROQUIMICA Y BIOQUIMICA </t>
  </si>
  <si>
    <t>B101</t>
  </si>
  <si>
    <t>10.13</t>
  </si>
  <si>
    <t>50</t>
  </si>
  <si>
    <t/>
  </si>
  <si>
    <t>10.16</t>
  </si>
  <si>
    <t>U022 </t>
  </si>
  <si>
    <t>ADM. FACULTAD DE CIENCIAS </t>
  </si>
  <si>
    <t>DOCTORADO EN CIENCIAS EXPERIMENTALES Y BIOSANITARIAS </t>
  </si>
  <si>
    <t>Director de tesis </t>
  </si>
  <si>
    <t>DOCTORADO EN BIOLOGÍA EXPERIMENTAL Y APLICADA </t>
  </si>
  <si>
    <t>Martínez Márquez, Ascensión </t>
  </si>
  <si>
    <t>DIVERSIFICACIÓN DE LA PRODUCCIÓN DE ESTILBENOS EN CULTIVOS CELULARES DE VID MEDIANTE INGENIERÍA METABÓLICA </t>
  </si>
  <si>
    <t>02/12/2016 </t>
  </si>
  <si>
    <t>74187810E </t>
  </si>
  <si>
    <t>B164 </t>
  </si>
  <si>
    <t>FISIOLOGÍA, GENÉTICA Y MICROBIOLOGÍA </t>
  </si>
  <si>
    <t>Vegara Luque, Anna </t>
  </si>
  <si>
    <t>GLUTAMINAS SINTETASAS RECOMBINANTES DE HALOFERAX MEDITERRANEI. </t>
  </si>
  <si>
    <t>15/09/2017 </t>
  </si>
  <si>
    <t>21422350N </t>
  </si>
  <si>
    <t>10</t>
  </si>
  <si>
    <t>22106650Q </t>
  </si>
  <si>
    <t>González Ruiz, Maria Tania </t>
  </si>
  <si>
    <t>EVALUACIÓN DE NUEVAS APLICACIONES DE ARRIBAZONES DE POSIDONIA OCEANICA EN LA AGRICULTURA </t>
  </si>
  <si>
    <t>28/06/2019 </t>
  </si>
  <si>
    <t>34804871Y </t>
  </si>
  <si>
    <t>Torregrosa Crespo, Javier </t>
  </si>
  <si>
    <t>DENITRIFICATION IN HALOARCHAEA: FROM GENES TO CLIMATE CHANGE </t>
  </si>
  <si>
    <t>27/09/2019 </t>
  </si>
  <si>
    <t>21487724C </t>
  </si>
  <si>
    <t>20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</si>
  <si>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</si>
  <si>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</si>
  <si>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</si>
  <si>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</si>
  <si>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</si>
  <si>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</si>
  <si>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</si>
  <si>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</si>
  <si>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</si>
  <si>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</si>
  <si>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</si>
  <si>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</si>
  <si>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22106650Q</t>
  </si>
  <si>
    <t>BONETE PEREZ, MARIA JOSE</t>
  </si>
  <si>
    <t>FUNCIONARIO</t>
  </si>
  <si>
    <t>74187810E</t>
  </si>
  <si>
    <t>BRU MARTINEZ, ROQUE</t>
  </si>
  <si>
    <t>21422350N</t>
  </si>
  <si>
    <t>CAMACHO CARRASCO, MONICA LOURDES</t>
  </si>
  <si>
    <t>48316865Y</t>
  </si>
  <si>
    <t>ESCLAPEZ ESPLIEGO, JULIA MARIA</t>
  </si>
  <si>
    <t>21431941N</t>
  </si>
  <si>
    <t>FERRER CASANOVA, JUAN</t>
  </si>
  <si>
    <t>21434080N</t>
  </si>
  <si>
    <t>JORDA GUIJARRO, JUANA DOLORES</t>
  </si>
  <si>
    <t>21463234W</t>
  </si>
  <si>
    <t>MARHUENDA EGEA, FRUTOS CARLOS</t>
  </si>
  <si>
    <t>44754725Z</t>
  </si>
  <si>
    <t>MARTINEZ ESPINOSA, ROSA MARIA</t>
  </si>
  <si>
    <t>21487724C</t>
  </si>
  <si>
    <t>PIRE GALIANA, CARMEN LUCIA</t>
  </si>
  <si>
    <t>34804871Y</t>
  </si>
  <si>
    <t>SANCHEZ SANCHEZ, ANTONIO</t>
  </si>
  <si>
    <t>NO FUNCIONARIO</t>
  </si>
  <si>
    <t>79105660N</t>
  </si>
  <si>
    <t>SELLES MARCHART, SUSANA</t>
  </si>
  <si>
    <t>Regalia anual por la explotación comercial de la patente: P200803107: "Uso de las ciclodextrinas para la producción y extracción de fitoesteroles en cultivos celulares". 40% correspondiente a la Universidad de Alicante.PHYTUREBIOTECH1-16O</t>
  </si>
  <si>
    <t>30.90.6C.00.44</t>
  </si>
  <si>
    <t>Ensayo de germinación en dos cultivos a elegir entre trigo, cebada y arroz. Stoller2-18TPA</t>
  </si>
  <si>
    <t>30.90.6C.00.52</t>
  </si>
  <si>
    <t>ACERTA5-18TPA</t>
  </si>
  <si>
    <t>30.90.6C.00.53</t>
  </si>
  <si>
    <t>Realización de Estudio Proteómico en Hojas y Raices de Tomate.</t>
  </si>
  <si>
    <t>30.90.6C.00.54</t>
  </si>
  <si>
    <t>EQA41-18TPA</t>
  </si>
  <si>
    <t>30.90.6C.00.55</t>
  </si>
  <si>
    <t>EQA42-18TPA</t>
  </si>
  <si>
    <t>30.90.6C.00.56</t>
  </si>
  <si>
    <t>Evaluación como experta del proyecto con nº de referencia 639.280</t>
  </si>
  <si>
    <t>30.90.6C.00.57</t>
  </si>
  <si>
    <t>Evaluación como experta del proyecto en fase comité 641.615</t>
  </si>
  <si>
    <t>30.90.6C.00.58</t>
  </si>
  <si>
    <t>Análisis de calidad organoléptica en cítricos: determinación del porcentaje en materia seca.</t>
  </si>
  <si>
    <t>30.90.6C.00.59</t>
  </si>
  <si>
    <t>Evaluación de productos Stoller sobre el desarrollo vegetativo en plántulas de trigo</t>
  </si>
  <si>
    <t>30.90.6C.00.60</t>
  </si>
  <si>
    <t>Evaluación como experta del proyecto de investigación nº de referencia 673.811</t>
  </si>
  <si>
    <t>30.90.6C.00.61</t>
  </si>
  <si>
    <t>Evaluación como experta 4D de los proyectos: NEWFERT015 (Nº expediente:0419/32)</t>
  </si>
  <si>
    <t>30.90.6C.00.62</t>
  </si>
  <si>
    <t>Evaluación como experta del proyecto de investigación de referencia 696.111</t>
  </si>
  <si>
    <t>30.90.6C.00.63</t>
  </si>
  <si>
    <t xml:space="preserve">Primer plazo mensual por el asesoramiento para establecer estrategias de cultivo par la producción en contínuo de b-caroteno a partir de Dunaliella salina en fotobiorreactores industriales </t>
  </si>
  <si>
    <t>Segundo plazo mensual por el asesoramiento para establecer estrategias de cultivo para la producción en contínuo de b-caroteno a partir de Dunaliella salina en fotobiorreactores industriales. GLOBALBIOTECH1-19APA</t>
  </si>
  <si>
    <t>30.90.6C.00.64</t>
  </si>
  <si>
    <t xml:space="preserve">Determinación de perfiles proteicos en las siguientes 3 muestras: OC/SEV/5453/19. A-058. Schinus molle. L-020.B. OC/SEV/5454/19. H-005. Chenopodium álbum.. L-020.A. OC/SEV/5455/19. H-074. Ambrosia elatior L-020.A. </t>
  </si>
  <si>
    <t>Determinación de perfiles proteicos en las siguientes 5 muestras: SP/SEV/4354/19. A-085. Eucalyptus camaldulensis. L-020.A SP/SEV/4355/19. G-034. Phleum pratense.L-020.B SP/SEV/4356/19. G-034. Phleum pratense.L-020.A(2) SP/SEV/4357/19. G-006.Festuca elatior.L-018.B SP/SEV/4358/19. A-022. Olea europaca.L-020.</t>
  </si>
  <si>
    <t xml:space="preserve">Determinación de perfiles proteicos en las siguientes 7 muestras de polen: 2853, 2854, 2855, 2856, JL/SEV/3453/19, JL/SEV/3454/19, JL/SEV/3455/19 </t>
  </si>
  <si>
    <t>Determinación de perfiles proteicos en las siguientes 9 muestras: JL/SEV/3592/19. A-22. Olea europea. L-020.A JL/SEV/3593/19. A-22.02 Olea var. blanqueta. L-020.A JL/SEV/3594/19. A-22. 08. Olea var. lucio. L-020.A JL/SEV/3595/19. A-22.10 Olea var. picual. L-020.B JL/SEV/3596/19. A-22.10 Olea var. picual. L-020.C JL/SEV/3597/19. A-22.11 Olea var. picudo. L-020.A JL/SEV/3598/19. A-29. Pinus pinea. L-020.A JL/SEV/3599/19. G-008. Lolium perenne. L-020.A JL/SEV/3600/19. H-018. Plantago lanceolata. L-020.</t>
  </si>
  <si>
    <t>Determinación de perfiles proteicos en las siguientes dos muestras: NV/SEV/6263/19.A-033. Populus nigra. L-016. NV/SEV/6264/19.G-034. Phleum pratense. L-020.C</t>
  </si>
  <si>
    <t>30.90.6C.00.65</t>
  </si>
  <si>
    <t>Evaluación como experta 4D del proyecto: ISECBIO18 (Nº expediente: 0619/55)</t>
  </si>
  <si>
    <t>30.90.6C.00.66</t>
  </si>
  <si>
    <t>Evaluación como experta 4D del proyecto: HERBICIDAS (Nº expediente: 0619/54)ACERTA4-19TPA</t>
  </si>
  <si>
    <t>30.90.6C.00.68</t>
  </si>
  <si>
    <t>Evaluación como experta del proyecto de investigación de referencia nº 714.276</t>
  </si>
  <si>
    <t>30.90.6C.00.69</t>
  </si>
  <si>
    <t>Evaluación como experta del proyecto de refeencia 701.146</t>
  </si>
  <si>
    <t>30.90.6C.00.71</t>
  </si>
  <si>
    <t>Evaluación como experta 4D del proyecto STAOHYT018</t>
  </si>
  <si>
    <t>30.90.6C.00.73</t>
  </si>
  <si>
    <t>Contrato para la ejecución del proyecto de investigación: "Producción de bioplásticos empleando haloarqueas a partir de residuos industriales".CETEC1-19I</t>
  </si>
  <si>
    <t>30.90.6C.00.74</t>
  </si>
  <si>
    <t>50% tras la firma del contrato para el desarrollo de una metodología análitica para la determinación de alérgenos. (Número de pedido: 19-PC05106)</t>
  </si>
  <si>
    <t>Analítica para la determinación de alérgenos". Segundo pago del 50% del presupuesto tras la entrega de informe final. (Nº pedido 19-PC05106)</t>
  </si>
  <si>
    <t>30.90.6C.00.75</t>
  </si>
  <si>
    <t>Análisis de calidad organoléptica en cítricos: determinación del grosor de la corteza "Brix y Acidez valorable.</t>
  </si>
  <si>
    <t>30.90.6C.00.77</t>
  </si>
  <si>
    <t>Evaluación del proyeto de investigación de referencia 734.031. (Actuación como experta 4D)</t>
  </si>
  <si>
    <t>30.90.6M.00.01</t>
  </si>
  <si>
    <t>TRANSFERENCIA DE FUNDACIÓN CIUDAD DE REQUENA. 50 ANTICIPO DE LA BECA INVESTIGACIÓN DEL CAVA 2018. EL DEPARTAMENTO DE AGROQUÍMICA Y BIOQUÍMICA INFORMA QUE CORRESPONDE A UNA BECA POR LA INVESTIGACIÓN: ANÁLISIS ÓMICOS EN CAVAS DE REQUENA.</t>
  </si>
  <si>
    <t>30.90.6M.00.03</t>
  </si>
  <si>
    <t>Curso: "Introducción a la Proteómica" (Nº pedido 19-PC05455)</t>
  </si>
  <si>
    <t>30.90.6P.00.15</t>
  </si>
  <si>
    <t>PAGO 1 ANUALIDAD PROYECTOS RETOS I+D+I 2018. ANUAL 2019 PROYECTOS I+D RETOS (PIA 13) N EXPEDIENTE: PIA 132018 - 1- 1 ANUALIDAD REFERENCIA: R. REFERENCIA DEL ORDENANTE PARA EL BENEFICIARIO: 00173219310010854 - 2019/009674</t>
  </si>
  <si>
    <t>PARA EL PAGO DE LA ANUALIDAD 2019 DE LA CONVOCATORIA RTI 2018 PROYECTOS I+D RETOS  (PIA 13) N EXPEDIENTE: PIA 132018-1 - 1 ANUALIDAD REFERENC REFERENCIA DEL ORDENANTE PARA EL BENEFICIARIO: 27402219310026367</t>
  </si>
  <si>
    <t>ALBERTO MOSCARDÓ NAVARRO CURSO FUNDAMENTOS TÉCNICOS DE LA ELABORACIÓN DE CERVEZA ARTESANA</t>
  </si>
  <si>
    <t>ELISABETH ANGULO MACIAS CURSO FUNDAMENTOS TÉCNICOS DE LA ELABORACIÓN DE CERVEZA ARTESANA</t>
  </si>
  <si>
    <t>FRANCISCO ALONSO PÉREZ DNI 24255239Z CURSO: FUNDAMENTOS TECNICOS DE ELABORACIÓN DE CERVEZA</t>
  </si>
  <si>
    <t>Liquidación  PLAN G729 curso ''LA MICROCERVECERIA COMO MODELO DE NEGOCIO'' ORDEN 5451</t>
  </si>
  <si>
    <t>Liquidación  PLAN G730 curso ''CURSO DE ESPECIALIZACIÓN FUNDAMENTOS TÉCNICOS DE LA ELABORACIÓN DE CERVEZA (190 H)'' ORDEN 5442</t>
  </si>
  <si>
    <t>Liquidación  PLAN G730 curso ''CURSO DE ESPECIALIZACIÓN FUNDAMENTOS TÉCNICOS DE LA ELABORACIÓN DE LA CERVEZA (190H)'' ORDEN 5538</t>
  </si>
  <si>
    <t>MATRICULA ALUMNOS RICCARDO STILLAVATO CURSO FUNDAMENTOS TÉCNICOS DE LA ELABORACIÓN DE LA CERVEZA</t>
  </si>
  <si>
    <t>MIGUEL ANGEL PONCE ROMERO CURSO: FUNDAMENTOS TÉCNICOS DE LA ELABORACIÓN DE CERVEZA</t>
  </si>
  <si>
    <t>REINTEGRO CUOTA PATRONAL CORRESPONDIENTE AL MES DE OCTUBRE 2019.</t>
  </si>
  <si>
    <t>ROBERTO NOVO SANCHEZ  CURSO FUNDAMENTOS TÉCNICOS DE ELABORACIÓN DE CERVEZA ARTESANA</t>
  </si>
  <si>
    <t>21511536G</t>
  </si>
  <si>
    <t>CERDAN SALA, MARIA DEL MAR</t>
  </si>
  <si>
    <t>53232559W</t>
  </si>
  <si>
    <t>MARTINEZ ESTESO, MARIA JOSE</t>
  </si>
  <si>
    <t>COD DEP</t>
  </si>
  <si>
    <t>Hurtado Gaitan, Elias </t>
  </si>
  <si>
    <t>Exploring phosphoenolpyruvate carboxylase kinase as a potential key regulator of carbon flow towards phenylpropanoid - stilbenoid pathways in grapevine (Vitis vinifera L.) </t>
  </si>
  <si>
    <t>26/11/2020 </t>
  </si>
  <si>
    <t>Rodríguez Herrero, Verónica </t>
  </si>
  <si>
    <t>Análisis de los genes glnA y su relación con el metabolismo del nitrógeno en Haloferax mediterranei </t>
  </si>
  <si>
    <t>06/05/2021 </t>
  </si>
  <si>
    <t>48316865Y </t>
  </si>
  <si>
    <t>Regalia anual por la explotación comercial de la patente: P200803107: "Uso de las ciclodextrinas para la producción y extracción de fitoesteroles en cultivos celulares". 40% correspondiente a la Universidad de Alicante.</t>
  </si>
  <si>
    <t>Cuarto plazo mensual por el asesoramiento para establecer estrategias de cultivo para la producción en contínuo de b-caroteno a partir de Dunaliella salina en fotobiorreactores industriales.</t>
  </si>
  <si>
    <t>Noveno plazo mensual por el asesoramiento para establecer estrategias de cultivo para la producción en contínuo de b-caroteno a partir de Dunaliella salina en fotobiorreactores industriales.</t>
  </si>
  <si>
    <t>Octavo plazo mensual por el asesoramiento para establecer estratégias de cultivo para la producción en contínuo de b-caroteno a partir de Dunaliella salina en fotobiorreactores industriales.</t>
  </si>
  <si>
    <t>Quinto plazo mensual por el asesoramiento para establecer estrategias de cultivo para la producción en contínuo de b-caroteno a partir de Dunaliella salina en fotobiorreactores industriales.</t>
  </si>
  <si>
    <t>Séptimo plazo mensual por el asesoramiento para establecer estratégias de cultivo para la producción en contínuo de b-caroteno a partir de Dunaliella salina en fotobiorreactores indistriales.</t>
  </si>
  <si>
    <t>Sexto plazo mensual por el asesoramiento para establecer estrategias de cultivo para la producción en contínuo de b-caroteno a partir de Dunaliella salina en fotobiorreactores industriales.</t>
  </si>
  <si>
    <t>Tercer plazo mensual por el asesoramiento para establecer estrategias de cultivo para la producción en contínuo de b-caroteno a partir de Dunaliella salina en fotobiorreactores industriales.</t>
  </si>
  <si>
    <t>Análisis de perfiles proteicos (SDS-PAGE) de 9 muestras de pole identificadas como NV/7066/20 a NV/7074/2020. Análisis de perfiles proteicos y estudios de estabilidad de 5muestras identificadas como EN/SEV/402/19; EN/SEV/406/19; EN/SEV/410/19; EN/SEV/414/19 y EN/SEV/549/19</t>
  </si>
  <si>
    <t>Determinación de perfiles proteicos en las 14 muestras siguientes: SEV/1501/20. H-021. Rumes acetosella L.L-020.B SEV/1603/20. H-031. Artemisa vulgaris L.L-018.A SEV/1864/20. A-029. Pinus pinea L.L-019.A SEV/1865/20. A-021.Morus alba L.L-015 SEV/1866/20. G-020. Hordeum vulgare L.L-017 SEV/1867/20. A-018. Juglans regla L.L-016 SEV/1868/20. G-004. Cynodon dactylon L.L-020.A SEV/1869/20. G-021. Avena sativa L.L-017 SEV/1870/20. H-007.Crysanthemum segetum L.L-016 SEV/2257/20. H-022. Olea europea L-020.B.R.5 SEV/2485/20. A-017. Fraxinus excelsor L-019.A SEV/2486/20. A-062. Quercus robur L-019.A SEV/2487/20. A-052. Robinia pseudoacacia L-019.A SEV/2488/20. A-039. Salix fragilis L.L-021.A</t>
  </si>
  <si>
    <t>Determinación de perfiles proteicos en las siguientes dos muestras: DC/SEV/7405/19.H-015. Parietaria judaica. L-ORO.A DC/SEV/6872/19.A-012. Cupressus arizonic. L-019.C</t>
  </si>
  <si>
    <t>Determinación de perfiles proteicos en las siguientes muestras analizadas: SEV/2899/20 H-074 Ambrosia elatior. L-020.A.EE: T-3 M/5ºC SEV/2900/20 H-031 Artemisa vulgaris. L-020.A.EE: T-3 M/5ºC SEV/2901/20 A-022 Olea europea var. picual. L-020.A.EE:T-3 M/5ºC SEV/2902/20A-022 .Olea europea var.picudol.L-020.A.EE:T-3M/5ºC SEV/2903/20 AQ-020 Juniperus oxycedrus. L-020. A. EE:T-3 M/5ºC SEV/2904/20 A-012 Cupressus arizonica. L-019. B. EE:T-24 M/5ºC SEV/2905/20 A-012 Cupressus arizonica. L-016.  EE:T-60 M/5ºC SEV/5696/20 A-022 Olea europaea var. picual. L-021.D SEV/5249/20 A-022 Olea europaea . L-020.B.R (6) SEV/5250/20 G-018 Anthoxanthum odoraum. L-021.A SEV/5251/20 G-018 Anthoxanthum odoraum. L-021.B SEV/5252/20 G-035 Poa pratensis. L-021.A Estudio de estabilidad de las siguientes muestras: SEV/2904/20 A-012 Cupressus arizonica. L-019. B. EE:T-24 M/5ºC SEV/2905/20 A-012 Cupressus arizonica. L-016.  EE:T-60 M/5ºC</t>
  </si>
  <si>
    <t>Determinación de perfiles proteicos en las siguientes muestras analizadas: SEV/3800/20.A-022.10. Olea Europea var. picual. L-021.B. SEV/3801/20.A-022.10. Olea Europea var. picual. L-021.C. SEV/3802/20.A-031. Platanus acerifolia. L-021.B. SEV/3803/20.G-008. Lolium perenne. L-021.A. SEV/3804/20.G-007. Holcus lanatus. L-017. SEV/3805/20.G-007. Holcus lanatus. L-021.A SEV/3806/20.G-007. Holcus lanatus. L-021 B SEV/4033/20.A-085. Eucalyptus camaldulensis. L-021.A</t>
  </si>
  <si>
    <t>Determinación de perfiles proteicos en las tres muestras siguientes: FE/SEV/1056/20.A-014 Cupressus sempervirens. L-018.B EN/SEV/398/19. A-020. Juniperus oxycedrus. L-020.A. EN/SEV/399/19. A-020. H-031. Artemisia Vulgaris. L-020.A.</t>
  </si>
  <si>
    <t>30.90.6C.00.70</t>
  </si>
  <si>
    <t>Evaluación como experta del proyecto de referencia 0719/28/23. Número de pedido 4300006299</t>
  </si>
  <si>
    <t>75% del total de la I Addenda al contrato de investigación para el desarrollo de bioplásticos empleando Haloarqueas a partir de residuos industriales como parte de los trabajos del proyecto CETEC "Nuevas estrategias biotecnológicas para un desarrollo económico viable y sostenible de bioplásticos biodegradables en la región de Murcia"</t>
  </si>
  <si>
    <t>30.90.6C.00.78</t>
  </si>
  <si>
    <t>Industrial and home composting screening work on Biome Bioplastics samples.</t>
  </si>
  <si>
    <t>30.90.6C.00.79</t>
  </si>
  <si>
    <t>Elementary analysis of bioplastic samples by X-Ray Fluorescence and Thermogavimetry</t>
  </si>
  <si>
    <t>30.90.6C.00.80</t>
  </si>
  <si>
    <t>Análisis de calidad organoléptica en mandarinas: determinación del porcentaje en materia seca.</t>
  </si>
  <si>
    <t>30.90.6C.00.81</t>
  </si>
  <si>
    <t>Evaluación como experta del proyecto de investigación de referencia 717.812</t>
  </si>
  <si>
    <t>30.90.6C.00.82</t>
  </si>
  <si>
    <t>Determinaciones analíticas para llevar a cabo el potencial nutritivo de una muestra de suelo TANIAGONZALEZ1-20TPA</t>
  </si>
  <si>
    <t>30.90.6C.00.83</t>
  </si>
  <si>
    <t>Evaluación de Rosa María Martínez como experta del proyecto de referencia 793.605</t>
  </si>
  <si>
    <t>30.90.6C.00.84</t>
  </si>
  <si>
    <t>Evaluación de Rosa María Martínez como experta del proyecto de referencia 793.571</t>
  </si>
  <si>
    <t>30.90.6C.00.85</t>
  </si>
  <si>
    <t>Evalualción de Rosa María Martínez como experta del proyecto de referencia 794.174</t>
  </si>
  <si>
    <t>30.90.6C.00.86</t>
  </si>
  <si>
    <t>Evaluación de Rosa María Martínez como experta del proyecto de investigación con referencia 802.224</t>
  </si>
  <si>
    <t>30.90.6C.00.87</t>
  </si>
  <si>
    <t>Evaluación como experta del proyecto de investigación de referencia nº 799.185</t>
  </si>
  <si>
    <t>30.90.6C.00.88</t>
  </si>
  <si>
    <t>Evaluación como experta del proyecto de investigación de referencia nº 797.668</t>
  </si>
  <si>
    <t>30.90.6C.00.89</t>
  </si>
  <si>
    <t>Evaluación como experta del proyecto de investigación de referencia nº 809.346</t>
  </si>
  <si>
    <t>30.90.6C.00.90</t>
  </si>
  <si>
    <t>Evaluación como experta del proyecto de investigación de referencia 844.996</t>
  </si>
  <si>
    <t>30.90.6C.00.91</t>
  </si>
  <si>
    <t>Estudio proteómico en 12 muestras de hojas de tabaco (pago a la firma del contrato)</t>
  </si>
  <si>
    <t>30.90.6C.00.92</t>
  </si>
  <si>
    <t>100% de la prestación de servicios: Evaluación de dos productos Stoller sobre el desarrollo vegetativo en plántulas de trigo a 3 y 6 meses desde la aplicación de los tratamientos en semillas.  Ha sido entregado informe de resultados.</t>
  </si>
  <si>
    <t>30.90.6C.00.93</t>
  </si>
  <si>
    <t>50% del total a la firma de la prestación de servicios: Evaluación de dos productos Stoller sobre el desarrollo vegetativo en plántulas de trigo y maíz.</t>
  </si>
  <si>
    <t>50% del total tras la recepción de informe de resultados de la prestación de servicios: Evaluación de dos productos Stoller sobre el desarrollo vegetativo en plántulas de trigo y maiz.</t>
  </si>
  <si>
    <t>30.90.6C.00.97</t>
  </si>
  <si>
    <t>Realización de ensayos fosfoproteómicos en hojas de tomate</t>
  </si>
  <si>
    <t>30.90.6C.00.98</t>
  </si>
  <si>
    <t>50% del total a la firma de la prestación de servicios: Evaluación de cuatro productos Stoller sobre el desarrollo vegetativo en plántulas de trigo y maíz.</t>
  </si>
  <si>
    <t>30.90.6H.00.02</t>
  </si>
  <si>
    <t>PAGO SEGUNDA ANUALIDAD PROMOCION EMPLEO JOVEN (PEJ-) N EXPEDIENTE: PEJ-2018-1 - 2 ANUALIDAD REFERENCIA: PEJ2018-003063-P - ACTUACION: PEJ2</t>
  </si>
  <si>
    <t xml:space="preserve">PROMOCIÓN EMPLEO JOVEN (PEJ-)N EXPEDIENTE:PEJ-20 18-1 -1 ANUALIDAD REFERENCIAS: PEJ2018-005099-A/PEJ2018-004471-A/PEJ2018-002736-A/PEJ2018-002571-A/PEJ2018-001733-A/ PEJ2018-003063-A/PEJ2018-002648-A       </t>
  </si>
  <si>
    <t>SEGUNDO Y ÚLTIMO PAGO BECA FUNDACIÓN CIUDAD DE REQUENA (ROQUE BRU MARTÍNEZ)</t>
  </si>
  <si>
    <t>INGRESO AGENCIA ESTATAL INVESTIGACIÓN. RTI2018-099860-B-I00</t>
  </si>
  <si>
    <t>30.90.6P.00.16</t>
  </si>
  <si>
    <t>SUBVENCIONES PARA LA REALIZACIÓN DE PROYECTOS DE I+D+I DESARROLLADOS POR GRUPOS DE INVESTIGACIÓN EMERGENTES GV/2020 (NNOVACIÓN,UNIVERSIDADES,CIENCIA SOC.DIG)</t>
  </si>
  <si>
    <t>30.90.6S.00.05</t>
  </si>
  <si>
    <t>REINTEGRO CUOTA PATRONAL CORRESPONDIENTE A OCTUBRE DE 2020.</t>
  </si>
  <si>
    <t>ALUMNA: SAVETA MIHALCA. CURSO FUNDAMENTOS TÉCNICOS DE ELABORACIÓN DE CERVEZA</t>
  </si>
  <si>
    <t>Alumno Boris Sihakhom Ballesteros NIf C01571579 Curso Fundamentos Técnicos de Elaboración de Cerveza</t>
  </si>
  <si>
    <t>ALUMNO: ADRIAN RUIZ GARCÍAO NIF 47524194F CURSO LA MICROCERVECERIA COMO MODELO DE NEGOCIO</t>
  </si>
  <si>
    <t>ALUMNO: ANDRÉS LOMBARDA SÁNCHEZ NIF 05289725R CURSO LA MICROCERVECERIA COMO MODELO DE NEGOCIO</t>
  </si>
  <si>
    <t>ALUMNO: EDUARDO OLEMDO SAMPERIO NIF 05713559Z CURSO LA MICROCERVECERIA COMO MODELO DE NEGOCIO</t>
  </si>
  <si>
    <t>ALUMNO: JESUS OLANO ESPINOSA NIF 44464126C CURSO LA MICROCERVECERIA COMO MODELO DE NEGOCIO</t>
  </si>
  <si>
    <t>C01571579-BORIS SIHAKHOM BALLESTEROS. FUNDAMENTOS TÉCNICOS DE ELABORACIÓN DE CERVEZA</t>
  </si>
  <si>
    <t xml:space="preserve">Plan  G730 2020-21 Fundamentos Técnicos de la Elaboración de la Cerveza </t>
  </si>
  <si>
    <t>30.90.2T.00.04</t>
  </si>
  <si>
    <t>CURSO ALUMNO MATIAS RIESCO NIF Y7574250 CURSO LA MICROCERVERÍA COMO MODELO DE NEGOCIO</t>
  </si>
  <si>
    <t>Liquidación PLAN G729 "Curso de Microcervecería como modelo de negocio"</t>
  </si>
  <si>
    <t>MATRICULA CURSO: FUNDAMENTOS TÉCNICOS DE ELABORACIÓN DE LA CERVEZA. ALUMNA MARÍA ROCHER IZQUIERDO</t>
  </si>
  <si>
    <t>MATRICULA CURSO FUNDAMENTOS TÉCNICOS DE ELABORACIÓN DE LA CERVEZA. ALUMNA:  YOLANDA FUSTER MESTRE</t>
  </si>
  <si>
    <t>CURSO FUNDAMENTOS TÉCNICOS DE ELABORACIÓN DE LA CERVEZA MATRICULA ALUMNA: MARÍA RITA CALDAS DA SILVA</t>
  </si>
  <si>
    <t>Plan G729_2020-21_LA MICROCERVECERÍA COMO MODELO DE NEGOCIO</t>
  </si>
  <si>
    <t>30.90.2T.00.05</t>
  </si>
  <si>
    <t>Plan G730_2021-22_CURSO DE ESPECIALIZACIÓN FUNDAMENTOS TÉCNICOS DE LA ELABORACIÓN DE CERVEZA.</t>
  </si>
  <si>
    <t>Regalia anual por la explotación comercial de la patente: P20083107: "Uso de las ciclodextrinas para la producción y extracción de fitoesteroles en cultivos celulares". 40% correspondiente a la Universidad de Alicante.</t>
  </si>
  <si>
    <t>Determinación de perfiles proteicos y estudio de estabilidad en las siguientes muestras: EN/SEV/403/19. H-031 Artemisia vulgaris.  L-20.A.  EE: T-6  M/25ºC EN/SEV/407/19. H-074 Ambrosia elatior.  L-20.A.  EE: T-6  M/25ºC EN/SEV/411/19. A-022.10.Olea europaea var. picual L-20.C. EE:T-6 EN/SEV/415/19. A-022.11Olea europaea var. picudol L-20.A. EE: T6 EN/SEV/550/19. A-020. Juniperus oxycedrus. L-20.A. EE: T-6 Determinación perfiles proteicos en la siguiente muestra: DC/SEV/8637/20 H-015 Parietaria judaica. L-021.B</t>
  </si>
  <si>
    <t xml:space="preserve">Determinación de perfiles proteicos en las siguientes muestras analizadas: FB/SEV/00577/21 FB/SEV/00578/21 FB/SEV/00579/21 FB/SEV/00580/21 FB/SEV/00581/21 </t>
  </si>
  <si>
    <t>Determinación de perfiles proteicos en las siguientes muestras analizadas: FB/SEV/00721/21.A-003 ACER NEGUNDO L-020A FB/SEV/00722/21.A-020 JUNIPERUS OXYCEDRUS L.L-021A FB/SEV/00723/21.G-002 AGROTIS ALBA L-018A FB/SEV/00724/21.G-034 PHLEUM PRATENSE L-021A FB/SEV/00725/21.H-002 AMARANTHUS RETROFLEXUS L-020A FB/SEV/00726/21.H-018 PLANTAGO LANCEOLATA L-021A FB/SEV/00727/21.H-079 TRIFOLIUM PRATENSE L-021A FB/SEV/00729/21.H-005 CHENOPDIUM ALBUM L-017B</t>
  </si>
  <si>
    <t>Determinación de perfiles proteicos en las siguientes muestras analizadas: MZ/SEV/01340/21. A-034 PRUNUS AYGDALUS L-020.A MZ/SEV/01341/21. A-042 ULMUS MINOR L-017 MZ/SEV/01342/21. G-005 DACTYLIS GLOMERATA L-019.A MZ/SEV/01339/21. H-015 PARIETARIA JUDAICA L-021.C</t>
  </si>
  <si>
    <t xml:space="preserve">Determinación de perfiles proteicos en las siguientes muestras analizadas: AB/SEV/02194/21.H-074. AMBROSIA ELATIOR L-020.A  AB/SEV/02195/21.H-031. ARTEMISIA VULGARIS L-020.A AB/SEV/02196/21. A-022.10. OLEA EUROPAEA VAR. PICUAL L-020 AB/SEV/02197/21. A-022.11. OLEA EUROPAEA VAR. PICUAL L-020 AB/SEV/02198/21. A-020. JUNIPERUS OXYCEDRUS L-020.A  AB/SEV/02199/21.A-012. CUPRESSUS ARIZONICA  L-019.B  AB/SEV/02200/21.A-012. CUPRESSUS ARIZONICA  L-016 </t>
  </si>
  <si>
    <t>Determinación de perfiles proteicos en las siguientes 12 muestras analizadas: JN/SEV/3981/21.A-047.ACACIA SP(RETINOIDES)L-022A JN/SEV/3982/21.A-031.G035 POA PRATENSIS L-021B JL/SEV/4104/21.G-019.TRITICUM AESTIVUM L-017 JL/SEV/4105/21.G-005. DACTYLIS GLOMERATA L-019B JL/SEV/4106/21.G-006. FESTUCA ELATIOR L-020A JL/SEV/4107/21.A-021. MORUS ALBA L-022B JL/SEV/4108/21. A-016. FAGUS SYLVATIVA L-019A JL/SEV/4276/21.H-074. AMBROSIA ELATIOR L-020A JL/SEV/4277/21.H-031. ARTEMISA VULGARIS L-020A JL/SEV/4278/21.A-022.10 OLEA EUROPA VAR.PICUAL L-020C JL/SEV/4279/21.A-022.11 OLEA EUROPA VAR.PICUDO L-020A JL/SEV/4280/21.A-020. JUNIPERUS OXYCEDRUS L-020A</t>
  </si>
  <si>
    <t>Determinación de perfiles proteicos en ls siguientes muestras analizadas: SP/SEV/5212/21. A-006. CASTANEA SATIVA. L-022.A SP/SEV/5213/21. G-014. SORGHUM HALEPENSE.  L-022.B SP/SEV/5032/21. A-022.10 OLEA EUROPAEA VAR. PICUAL. L-022.B SP/SEV/5033/21. A-022. OLEA EUROPAEA L-022.B</t>
  </si>
  <si>
    <t>Determinación de perfiles proteicos en las siguientes muestras: OC/SEV/05758/21:A-012.CUPRESUS ARIZOMICA. L-015 OC/SEV/05759/21:G-034. Phleum pratense. L-016 OC/SEV/05760/21:H-010. Helianthus annuus. L-022.A OC/SEV/6239/21:A-058. SCHINUS MOLLE L-022.A OC/SEV/6240/21:G-011. PHRAGMITES COMMUNIS L-022.A OC/SEV/6241/21:G-034. PHLEUM PRATENSE L-022.A OC/SEV/6242/21:H-034. URTICA DIOICA L-022.A</t>
  </si>
  <si>
    <t>Determinación de perfiles proteicos en las siguientes muestras: NV/SEV/6991/21: A-022.10 OLEA EUROPEA VAR. PICUAL L-22.C NV/SEV/6992/21: A-022.10 OLEA EUROPEA VAR. PICUAL L-22.E NV/SEV/6993/21: A-76. SALSOLA KALI L-022.A NV/SEV/6994/21: A-034. PHLEUM PRATENSE. L-015 EE:T-84M/5ºC NV/SEV/6995/21: A-034. PHLEUM PRATENSE. L-015.B EE:T-84M/5ºC</t>
  </si>
  <si>
    <t>25% Restante de la I Addenda al contrato de investigación para el desarrollo de bioplásticos empleando Haloarqueas a partir de residuos industriales como parte de los trabajos del proyecto CETEC. "Nuevas estrategias biotecnológicas para un desarrollo económico viable y sostenible de bioplásticos biodegradables en la región de Murcia".</t>
  </si>
  <si>
    <t>Primer plazo mensual por el asesoramiento para establecer estrategias de cultivo para la producción en contínuo de b-caroteno a partir de Dunaliella salina en fotobiorreactores industriales.</t>
  </si>
  <si>
    <t>Evaluación como experta del proyecto de investigación de referencia 857.833</t>
  </si>
  <si>
    <t>Evaluación como experta del proyecto de investigación de referencia 852.949</t>
  </si>
  <si>
    <t>Parte del 2º plazo Stoller: 100% del presupuesto del ensayo WHEAT_GERMINATION AND EARY VEGETATIVE DEVELOPMENT AT 30D DRESSING_COMPARATIVE TRIALS STO-BF/BFP</t>
  </si>
  <si>
    <t>Parte 2º plazo Stoller: 50% restante de los ensayos de germinación y desarrollo de VS/VSP y BF/BFP en trigo y maiz a 24h y 30D</t>
  </si>
  <si>
    <t>Evaluación como experta del proyecto de investigación de referencia 872.841</t>
  </si>
  <si>
    <t>Evaluación como experta del proyecto de investigación de referencia nº 870.788</t>
  </si>
  <si>
    <t>Evaluación como experta del proyecto de investigación de referencia nº 873.535</t>
  </si>
  <si>
    <t>Evaluación como experto técnico de certificado de seguimiento: expediente 3104.001.20</t>
  </si>
  <si>
    <t>Evaluación como experta del proyecto de investigación de referencia nº 903.486</t>
  </si>
  <si>
    <t>60% A LA FIRMA DEL CONTRATO. DESARROLLO E IMPLEMENTACIÓN DE PROCESOS DE RECUPERACIÓN DE COMPUESTOS DE VALOR AÑADIDO DE MOSTOS CONCENTRADOS GENERADOS POR LA EMPRESA: HACIA UNA BIOREFINERIA DE MOSTO.</t>
  </si>
  <si>
    <t>Evaluación Comité de Certificación de Certificado de seguimiento, expediente nº 1456.016.21</t>
  </si>
  <si>
    <t>Determinación de la tolerancia a la sal y la capacidad de crecimiento en sal de liofilizado proporcionado por la empresa "Sal la Cococha".</t>
  </si>
  <si>
    <t>Evaluación como experta del proyecto de referencia 932.340: "Estudio de Agar específico para recuperación e identificación simultánea de pseudomonas aeruginosa"</t>
  </si>
  <si>
    <t>Evaluación como experta del proyecto 925.247 - Aplicaciones digitales en el diagnóstico COVID19 usando la tecnología CRISPR.</t>
  </si>
  <si>
    <t>Evaluación como experta del proyecto de referencia 932.879: "Escalado inoculantes moleculares derivados microorganismo PGPR y metabolitos comunicación bacteriana"</t>
  </si>
  <si>
    <t>50% al inicio de la prestación: "Busqueda y determinación de microorganismos capaces de "secuestrar" o atrapar metales..." realizada por la Universidad de Alicante</t>
  </si>
  <si>
    <t>Trabajos de investigación dentro del proyecto "ALTEPLAS" - Alternativas tecnológicas para la producción sostenible de bioplásticos.</t>
  </si>
  <si>
    <t>Número de pedido P000050018. Evaluación del proyecto: Antifoulings ecológicos del Mar Mediterráneo. Expediente: 3104.001.21</t>
  </si>
  <si>
    <t>Evaluación como experta del proyecto de investigación de referencia: 933.526</t>
  </si>
  <si>
    <t>CURSO PRÁCTICO: "PROTEÓMICA CUANTITATIVA"</t>
  </si>
  <si>
    <t xml:space="preserve">RTI2018-099860-B-I00 </t>
  </si>
  <si>
    <t>RESOLUCIÓN CONCESIÓN SUBVENCIONESEMERGENTES GV 2020 EN 2021</t>
  </si>
  <si>
    <t>4475475Z </t>
  </si>
  <si>
    <t>Payá Cuadra, Gloria </t>
  </si>
  <si>
    <t>Small RNAs y proteínas reguladoras relacionadas con el metabolismo del nitrógeno en </t>
  </si>
  <si>
    <t>25/07/2022 </t>
  </si>
  <si>
    <t>48321668W </t>
  </si>
  <si>
    <t>48321668W</t>
  </si>
  <si>
    <t>BAUTISTA SAIZ, VANESA</t>
  </si>
  <si>
    <t>vivos</t>
  </si>
  <si>
    <t>Total ingresos investigación 2019, 2020 y 2021</t>
  </si>
  <si>
    <t>Total ingresos 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</si>
</sst>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24994659260841701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medium">
        <color theme="9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medium">
        <color theme="9" tint="-0.24994659260841701"/>
      </left>
      <right style="medium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9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4659260841701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1" xfId="5" applyFont="1" applyBorder="1"/>
    <xf numFmtId="0" fontId="10" fillId="0" borderId="2" xfId="5" applyFont="1" applyBorder="1"/>
    <xf numFmtId="0" fontId="10" fillId="0" borderId="3" xfId="5" applyFont="1" applyBorder="1" applyAlignment="1">
      <alignment horizontal="right"/>
    </xf>
    <xf numFmtId="1" fontId="10" fillId="0" borderId="4" xfId="5" applyNumberFormat="1" applyFont="1" applyBorder="1" applyAlignment="1">
      <alignment horizontal="right"/>
    </xf>
    <xf numFmtId="0" fontId="10" fillId="0" borderId="5" xfId="5" applyFont="1" applyBorder="1" applyAlignment="1">
      <alignment horizontal="right"/>
    </xf>
    <xf numFmtId="1" fontId="10" fillId="0" borderId="6" xfId="5" applyNumberFormat="1" applyFont="1" applyBorder="1" applyAlignment="1">
      <alignment horizontal="right"/>
    </xf>
    <xf numFmtId="1" fontId="10" fillId="0" borderId="7" xfId="5" applyNumberFormat="1" applyFont="1" applyBorder="1"/>
    <xf numFmtId="164" fontId="10" fillId="0" borderId="1" xfId="5" applyNumberFormat="1" applyFont="1" applyBorder="1"/>
    <xf numFmtId="0" fontId="10" fillId="0" borderId="0" xfId="5" applyFont="1"/>
    <xf numFmtId="0" fontId="10" fillId="0" borderId="3" xfId="5" applyFont="1" applyBorder="1"/>
    <xf numFmtId="0" fontId="10" fillId="0" borderId="5" xfId="5" applyFont="1" applyBorder="1"/>
    <xf numFmtId="0" fontId="10" fillId="2" borderId="0" xfId="5" applyFont="1" applyFill="1"/>
    <xf numFmtId="0" fontId="10" fillId="2" borderId="0" xfId="5" applyFont="1" applyFill="1" applyAlignment="1">
      <alignment horizontal="right"/>
    </xf>
    <xf numFmtId="0" fontId="10" fillId="0" borderId="0" xfId="5" applyFont="1" applyAlignment="1">
      <alignment horizontal="right"/>
    </xf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0" borderId="1" xfId="1" applyBorder="1"/>
    <xf numFmtId="0" fontId="3" fillId="4" borderId="8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9" xfId="0" applyFont="1" applyFill="1" applyBorder="1" applyAlignment="1">
      <alignment horizontal="left" vertical="center"/>
    </xf>
    <xf numFmtId="0" fontId="12" fillId="6" borderId="10" xfId="0" applyFont="1" applyFill="1" applyBorder="1" applyAlignment="1">
      <alignment horizontal="left" vertical="center"/>
    </xf>
    <xf numFmtId="0" fontId="12" fillId="6" borderId="11" xfId="0" applyFont="1" applyFill="1" applyBorder="1" applyAlignment="1">
      <alignment horizontal="left" vertical="center"/>
    </xf>
    <xf numFmtId="0" fontId="3" fillId="7" borderId="0" xfId="1" applyFont="1" applyFill="1" applyAlignment="1"/>
    <xf numFmtId="0" fontId="3" fillId="7" borderId="0" xfId="1" applyFont="1" applyFill="1" applyAlignment="1">
      <alignment horizontal="right"/>
    </xf>
    <xf numFmtId="164" fontId="4" fillId="7" borderId="0" xfId="1" applyNumberFormat="1" applyFont="1" applyFill="1" applyAlignment="1"/>
    <xf numFmtId="4" fontId="1" fillId="0" borderId="0" xfId="0" applyNumberFormat="1" applyFont="1"/>
    <xf numFmtId="164" fontId="10" fillId="0" borderId="1" xfId="5" applyNumberFormat="1" applyFont="1" applyFill="1" applyBorder="1"/>
    <xf numFmtId="164" fontId="11" fillId="2" borderId="0" xfId="5" applyNumberFormat="1" applyFont="1" applyFill="1"/>
    <xf numFmtId="0" fontId="10" fillId="0" borderId="1" xfId="5" applyFont="1" applyFill="1" applyBorder="1"/>
    <xf numFmtId="0" fontId="10" fillId="0" borderId="1" xfId="5" applyFont="1" applyFill="1" applyBorder="1" applyAlignment="1">
      <alignment horizontal="right"/>
    </xf>
    <xf numFmtId="0" fontId="10" fillId="0" borderId="2" xfId="5" applyFont="1" applyFill="1" applyBorder="1"/>
    <xf numFmtId="0" fontId="10" fillId="0" borderId="7" xfId="5" applyFont="1" applyFill="1" applyBorder="1" applyAlignment="1">
      <alignment horizontal="right"/>
    </xf>
    <xf numFmtId="0" fontId="10" fillId="0" borderId="13" xfId="5" applyFont="1" applyFill="1" applyBorder="1"/>
    <xf numFmtId="1" fontId="10" fillId="0" borderId="14" xfId="5" applyNumberFormat="1" applyFont="1" applyBorder="1" applyAlignment="1">
      <alignment horizontal="right"/>
    </xf>
    <xf numFmtId="0" fontId="10" fillId="0" borderId="7" xfId="5" applyFont="1" applyFill="1" applyBorder="1"/>
    <xf numFmtId="0" fontId="10" fillId="0" borderId="12" xfId="5" applyFont="1" applyBorder="1"/>
    <xf numFmtId="0" fontId="10" fillId="0" borderId="12" xfId="5" applyFont="1" applyFill="1" applyBorder="1"/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H25" sqref="H25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1" width="5.109375" style="13" customWidth="1"/>
    <col min="12" max="12" width="4.44140625" style="13" customWidth="1"/>
    <col min="13" max="13" width="4.88671875" style="13" customWidth="1"/>
    <col min="14" max="14" width="4.88671875" style="14" customWidth="1"/>
    <col min="15" max="15" width="4.88671875" style="13" customWidth="1"/>
    <col min="16" max="16" width="3.5546875" style="14" customWidth="1"/>
    <col min="17" max="17" width="3.5546875" style="13" customWidth="1"/>
    <col min="18" max="20" width="5.109375" style="13" customWidth="1"/>
    <col min="21" max="16384" width="10.33203125" style="13"/>
  </cols>
  <sheetData>
    <row r="1" spans="1:21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9" t="s">
        <v>15</v>
      </c>
      <c r="L1" s="10" t="s">
        <v>16</v>
      </c>
      <c r="M1" s="11" t="s">
        <v>17</v>
      </c>
      <c r="N1" s="12" t="s">
        <v>18</v>
      </c>
      <c r="O1" s="11" t="s">
        <v>19</v>
      </c>
      <c r="P1" s="12" t="s">
        <v>20</v>
      </c>
      <c r="Q1" s="11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1" x14ac:dyDescent="0.2">
      <c r="A2" s="38" t="s">
        <v>28</v>
      </c>
      <c r="B2" s="38" t="s">
        <v>29</v>
      </c>
      <c r="C2" s="38" t="s">
        <v>39</v>
      </c>
      <c r="D2" s="38" t="s">
        <v>40</v>
      </c>
      <c r="E2" s="38" t="s">
        <v>41</v>
      </c>
      <c r="F2" s="38" t="s">
        <v>42</v>
      </c>
      <c r="G2" s="38" t="s">
        <v>43</v>
      </c>
      <c r="H2" s="38" t="s">
        <v>38</v>
      </c>
      <c r="I2" s="38" t="s">
        <v>28</v>
      </c>
      <c r="J2" s="38" t="s">
        <v>29</v>
      </c>
      <c r="K2" s="39">
        <v>1</v>
      </c>
      <c r="L2" s="38" t="s">
        <v>30</v>
      </c>
      <c r="M2" s="38">
        <v>2016</v>
      </c>
      <c r="N2" s="38" t="s">
        <v>34</v>
      </c>
      <c r="O2" s="40" t="s">
        <v>32</v>
      </c>
      <c r="P2" s="38" t="s">
        <v>33</v>
      </c>
      <c r="Q2" s="40" t="s">
        <v>33</v>
      </c>
      <c r="R2" s="41">
        <v>50</v>
      </c>
      <c r="S2" s="39">
        <v>0.5</v>
      </c>
      <c r="T2" s="39">
        <v>0.5</v>
      </c>
      <c r="U2" s="39">
        <v>0</v>
      </c>
    </row>
    <row r="3" spans="1:21" x14ac:dyDescent="0.2">
      <c r="A3" s="38" t="s">
        <v>44</v>
      </c>
      <c r="B3" s="38" t="s">
        <v>45</v>
      </c>
      <c r="C3" s="38" t="s">
        <v>39</v>
      </c>
      <c r="D3" s="38" t="s">
        <v>46</v>
      </c>
      <c r="E3" s="38" t="s">
        <v>47</v>
      </c>
      <c r="F3" s="38" t="s">
        <v>48</v>
      </c>
      <c r="G3" s="38" t="s">
        <v>49</v>
      </c>
      <c r="H3" s="38" t="s">
        <v>27</v>
      </c>
      <c r="I3" s="38" t="s">
        <v>28</v>
      </c>
      <c r="J3" s="38" t="s">
        <v>29</v>
      </c>
      <c r="K3" s="39">
        <v>0.5</v>
      </c>
      <c r="L3" s="38" t="s">
        <v>30</v>
      </c>
      <c r="M3" s="38">
        <v>2016</v>
      </c>
      <c r="N3" s="38" t="s">
        <v>34</v>
      </c>
      <c r="O3" s="40" t="s">
        <v>50</v>
      </c>
      <c r="P3" s="38" t="s">
        <v>33</v>
      </c>
      <c r="Q3" s="40" t="s">
        <v>33</v>
      </c>
      <c r="R3" s="41">
        <v>90</v>
      </c>
      <c r="S3" s="39">
        <v>0.45</v>
      </c>
      <c r="T3" s="39">
        <v>0.05</v>
      </c>
      <c r="U3" s="39">
        <v>0</v>
      </c>
    </row>
    <row r="4" spans="1:21" x14ac:dyDescent="0.2">
      <c r="A4" s="38" t="s">
        <v>44</v>
      </c>
      <c r="B4" s="38" t="s">
        <v>45</v>
      </c>
      <c r="C4" s="38" t="s">
        <v>39</v>
      </c>
      <c r="D4" s="38" t="s">
        <v>46</v>
      </c>
      <c r="E4" s="38" t="s">
        <v>47</v>
      </c>
      <c r="F4" s="38" t="s">
        <v>48</v>
      </c>
      <c r="G4" s="38" t="s">
        <v>51</v>
      </c>
      <c r="H4" s="38" t="s">
        <v>27</v>
      </c>
      <c r="I4" s="38" t="s">
        <v>28</v>
      </c>
      <c r="J4" s="38" t="s">
        <v>29</v>
      </c>
      <c r="K4" s="39">
        <v>0.5</v>
      </c>
      <c r="L4" s="38" t="s">
        <v>30</v>
      </c>
      <c r="M4" s="38">
        <v>2016</v>
      </c>
      <c r="N4" s="38" t="s">
        <v>34</v>
      </c>
      <c r="O4" s="40" t="s">
        <v>50</v>
      </c>
      <c r="P4" s="38" t="s">
        <v>33</v>
      </c>
      <c r="Q4" s="40" t="s">
        <v>33</v>
      </c>
      <c r="R4" s="41">
        <v>90</v>
      </c>
      <c r="S4" s="39">
        <v>0.45</v>
      </c>
      <c r="T4" s="39">
        <v>0.05</v>
      </c>
      <c r="U4" s="39">
        <v>0</v>
      </c>
    </row>
    <row r="5" spans="1:21" x14ac:dyDescent="0.2">
      <c r="A5" s="38" t="s">
        <v>44</v>
      </c>
      <c r="B5" s="38" t="s">
        <v>45</v>
      </c>
      <c r="C5" s="38" t="s">
        <v>39</v>
      </c>
      <c r="D5" s="38" t="s">
        <v>56</v>
      </c>
      <c r="E5" s="38" t="s">
        <v>57</v>
      </c>
      <c r="F5" s="38" t="s">
        <v>58</v>
      </c>
      <c r="G5" s="38" t="s">
        <v>293</v>
      </c>
      <c r="H5" s="38" t="s">
        <v>27</v>
      </c>
      <c r="I5" s="38" t="s">
        <v>28</v>
      </c>
      <c r="J5" s="38" t="s">
        <v>29</v>
      </c>
      <c r="K5" s="42">
        <v>0.5</v>
      </c>
      <c r="L5" s="38" t="s">
        <v>30</v>
      </c>
      <c r="M5" s="38">
        <v>2018</v>
      </c>
      <c r="N5" s="38" t="s">
        <v>34</v>
      </c>
      <c r="O5" s="40" t="s">
        <v>50</v>
      </c>
      <c r="P5" s="38" t="s">
        <v>33</v>
      </c>
      <c r="Q5" s="40" t="s">
        <v>33</v>
      </c>
      <c r="R5" s="41">
        <v>90</v>
      </c>
      <c r="S5" s="39">
        <v>0.45</v>
      </c>
      <c r="T5" s="39">
        <v>0.05</v>
      </c>
      <c r="U5" s="39">
        <v>0</v>
      </c>
    </row>
    <row r="6" spans="1:21" x14ac:dyDescent="0.2">
      <c r="A6" s="38" t="s">
        <v>44</v>
      </c>
      <c r="B6" s="38" t="s">
        <v>45</v>
      </c>
      <c r="C6" s="38" t="s">
        <v>39</v>
      </c>
      <c r="D6" s="38" t="s">
        <v>56</v>
      </c>
      <c r="E6" s="38" t="s">
        <v>57</v>
      </c>
      <c r="F6" s="38" t="s">
        <v>58</v>
      </c>
      <c r="G6" s="38" t="s">
        <v>59</v>
      </c>
      <c r="H6" s="38" t="s">
        <v>27</v>
      </c>
      <c r="I6" s="38" t="s">
        <v>28</v>
      </c>
      <c r="J6" s="38" t="s">
        <v>29</v>
      </c>
      <c r="K6" s="42">
        <v>0.5</v>
      </c>
      <c r="L6" s="38" t="s">
        <v>30</v>
      </c>
      <c r="M6" s="38">
        <v>2018</v>
      </c>
      <c r="N6" s="38" t="s">
        <v>34</v>
      </c>
      <c r="O6" s="40" t="s">
        <v>50</v>
      </c>
      <c r="P6" s="38" t="s">
        <v>33</v>
      </c>
      <c r="Q6" s="40" t="s">
        <v>33</v>
      </c>
      <c r="R6" s="41">
        <v>90</v>
      </c>
      <c r="S6" s="39">
        <v>0.45</v>
      </c>
      <c r="T6" s="39">
        <v>0.05</v>
      </c>
      <c r="U6" s="39">
        <v>0</v>
      </c>
    </row>
    <row r="7" spans="1:21" x14ac:dyDescent="0.2">
      <c r="A7" s="38" t="s">
        <v>35</v>
      </c>
      <c r="B7" s="38" t="s">
        <v>36</v>
      </c>
      <c r="C7" s="38" t="s">
        <v>37</v>
      </c>
      <c r="D7" s="38" t="s">
        <v>52</v>
      </c>
      <c r="E7" s="38" t="s">
        <v>53</v>
      </c>
      <c r="F7" s="38" t="s">
        <v>54</v>
      </c>
      <c r="G7" s="38" t="s">
        <v>26</v>
      </c>
      <c r="H7" s="38" t="s">
        <v>27</v>
      </c>
      <c r="I7" s="38" t="s">
        <v>28</v>
      </c>
      <c r="J7" s="38" t="s">
        <v>29</v>
      </c>
      <c r="K7" s="42">
        <v>0.5</v>
      </c>
      <c r="L7" s="38" t="s">
        <v>30</v>
      </c>
      <c r="M7" s="38">
        <v>2018</v>
      </c>
      <c r="N7" s="38" t="s">
        <v>31</v>
      </c>
      <c r="O7" s="40" t="s">
        <v>32</v>
      </c>
      <c r="P7" s="38" t="s">
        <v>33</v>
      </c>
      <c r="Q7" s="40" t="s">
        <v>33</v>
      </c>
      <c r="R7" s="41">
        <v>50</v>
      </c>
      <c r="S7" s="39">
        <v>0.25</v>
      </c>
      <c r="T7" s="39">
        <v>0.25</v>
      </c>
      <c r="U7" s="39">
        <v>0</v>
      </c>
    </row>
    <row r="8" spans="1:21" x14ac:dyDescent="0.2">
      <c r="A8" s="38" t="s">
        <v>35</v>
      </c>
      <c r="B8" s="38" t="s">
        <v>36</v>
      </c>
      <c r="C8" s="38" t="s">
        <v>37</v>
      </c>
      <c r="D8" s="38" t="s">
        <v>52</v>
      </c>
      <c r="E8" s="38" t="s">
        <v>53</v>
      </c>
      <c r="F8" s="38" t="s">
        <v>54</v>
      </c>
      <c r="G8" s="38" t="s">
        <v>55</v>
      </c>
      <c r="H8" s="38" t="s">
        <v>27</v>
      </c>
      <c r="I8" s="38" t="s">
        <v>28</v>
      </c>
      <c r="J8" s="38" t="s">
        <v>29</v>
      </c>
      <c r="K8" s="42">
        <v>0.5</v>
      </c>
      <c r="L8" s="38" t="s">
        <v>30</v>
      </c>
      <c r="M8" s="38">
        <v>2018</v>
      </c>
      <c r="N8" s="38" t="s">
        <v>31</v>
      </c>
      <c r="O8" s="40" t="s">
        <v>32</v>
      </c>
      <c r="P8" s="38" t="s">
        <v>33</v>
      </c>
      <c r="Q8" s="40" t="s">
        <v>33</v>
      </c>
      <c r="R8" s="41">
        <v>50</v>
      </c>
      <c r="S8" s="39">
        <v>0.25</v>
      </c>
      <c r="T8" s="39">
        <v>0.25</v>
      </c>
      <c r="U8" s="39">
        <v>0</v>
      </c>
    </row>
    <row r="9" spans="1:21" ht="10.8" thickBot="1" x14ac:dyDescent="0.25">
      <c r="A9" s="38" t="s">
        <v>44</v>
      </c>
      <c r="B9" s="38" t="s">
        <v>45</v>
      </c>
      <c r="C9" s="38" t="s">
        <v>39</v>
      </c>
      <c r="D9" s="38" t="s">
        <v>172</v>
      </c>
      <c r="E9" s="38" t="s">
        <v>173</v>
      </c>
      <c r="F9" s="38" t="s">
        <v>174</v>
      </c>
      <c r="G9" s="38" t="s">
        <v>43</v>
      </c>
      <c r="H9" s="38" t="s">
        <v>38</v>
      </c>
      <c r="I9" s="38" t="s">
        <v>28</v>
      </c>
      <c r="J9" s="38" t="s">
        <v>29</v>
      </c>
      <c r="K9" s="43">
        <v>1</v>
      </c>
      <c r="L9" s="43" t="s">
        <v>30</v>
      </c>
      <c r="M9" s="44">
        <v>2019</v>
      </c>
      <c r="N9" s="38" t="s">
        <v>34</v>
      </c>
      <c r="O9" s="40" t="s">
        <v>32</v>
      </c>
      <c r="P9" s="38" t="s">
        <v>33</v>
      </c>
      <c r="Q9" s="40" t="s">
        <v>33</v>
      </c>
      <c r="R9" s="38">
        <v>50</v>
      </c>
      <c r="S9" s="38">
        <v>0.5</v>
      </c>
      <c r="T9" s="38">
        <v>0.5</v>
      </c>
      <c r="U9" s="38">
        <v>0</v>
      </c>
    </row>
    <row r="10" spans="1:21" ht="10.8" thickBot="1" x14ac:dyDescent="0.25">
      <c r="A10" s="45" t="s">
        <v>44</v>
      </c>
      <c r="B10" s="45" t="s">
        <v>45</v>
      </c>
      <c r="C10" s="45" t="s">
        <v>39</v>
      </c>
      <c r="D10" s="45" t="s">
        <v>175</v>
      </c>
      <c r="E10" s="45" t="s">
        <v>176</v>
      </c>
      <c r="F10" s="45" t="s">
        <v>177</v>
      </c>
      <c r="G10" s="46" t="s">
        <v>178</v>
      </c>
      <c r="H10" s="47" t="s">
        <v>27</v>
      </c>
      <c r="I10" s="47" t="s">
        <v>28</v>
      </c>
      <c r="J10" s="48" t="s">
        <v>29</v>
      </c>
      <c r="K10" s="43">
        <v>0.5</v>
      </c>
      <c r="L10" s="43" t="s">
        <v>30</v>
      </c>
      <c r="M10" s="38">
        <v>2020</v>
      </c>
      <c r="N10" s="38" t="s">
        <v>34</v>
      </c>
      <c r="O10" s="40" t="s">
        <v>60</v>
      </c>
      <c r="P10" s="38" t="s">
        <v>33</v>
      </c>
      <c r="Q10" s="40" t="s">
        <v>33</v>
      </c>
      <c r="R10" s="38">
        <v>80</v>
      </c>
      <c r="S10" s="38">
        <v>0.4</v>
      </c>
      <c r="T10" s="38">
        <v>0.1</v>
      </c>
      <c r="U10" s="38">
        <v>0</v>
      </c>
    </row>
    <row r="11" spans="1:21" ht="10.8" thickBot="1" x14ac:dyDescent="0.25">
      <c r="A11" s="45" t="s">
        <v>44</v>
      </c>
      <c r="B11" s="45" t="s">
        <v>45</v>
      </c>
      <c r="C11" s="45" t="s">
        <v>39</v>
      </c>
      <c r="D11" s="45" t="s">
        <v>175</v>
      </c>
      <c r="E11" s="45" t="s">
        <v>176</v>
      </c>
      <c r="F11" s="45" t="s">
        <v>177</v>
      </c>
      <c r="G11" s="46" t="s">
        <v>51</v>
      </c>
      <c r="H11" s="47" t="s">
        <v>27</v>
      </c>
      <c r="I11" s="47" t="s">
        <v>28</v>
      </c>
      <c r="J11" s="48" t="s">
        <v>29</v>
      </c>
      <c r="K11" s="43">
        <v>0.5</v>
      </c>
      <c r="L11" s="43" t="s">
        <v>30</v>
      </c>
      <c r="M11" s="38">
        <v>2020</v>
      </c>
      <c r="N11" s="38" t="s">
        <v>34</v>
      </c>
      <c r="O11" s="40" t="s">
        <v>50</v>
      </c>
      <c r="P11" s="38" t="s">
        <v>33</v>
      </c>
      <c r="Q11" s="40" t="s">
        <v>33</v>
      </c>
      <c r="R11" s="38">
        <v>90</v>
      </c>
      <c r="S11" s="38">
        <v>0.45</v>
      </c>
      <c r="T11" s="38">
        <v>0.05</v>
      </c>
      <c r="U11" s="38">
        <v>0</v>
      </c>
    </row>
    <row r="12" spans="1:21" x14ac:dyDescent="0.2">
      <c r="A12" s="38" t="s">
        <v>44</v>
      </c>
      <c r="B12" s="38" t="s">
        <v>45</v>
      </c>
      <c r="C12" s="38" t="s">
        <v>39</v>
      </c>
      <c r="D12" s="38" t="s">
        <v>294</v>
      </c>
      <c r="E12" s="38" t="s">
        <v>295</v>
      </c>
      <c r="F12" s="38" t="s">
        <v>296</v>
      </c>
      <c r="G12" s="38" t="s">
        <v>297</v>
      </c>
      <c r="H12" s="38" t="s">
        <v>27</v>
      </c>
      <c r="I12" s="38" t="s">
        <v>28</v>
      </c>
      <c r="J12" s="38" t="s">
        <v>29</v>
      </c>
      <c r="K12" s="43">
        <v>0.5</v>
      </c>
      <c r="L12" s="43" t="s">
        <v>30</v>
      </c>
      <c r="M12" s="38">
        <v>2021</v>
      </c>
      <c r="N12" s="38" t="s">
        <v>33</v>
      </c>
      <c r="O12" s="40" t="s">
        <v>33</v>
      </c>
      <c r="P12" s="38" t="s">
        <v>33</v>
      </c>
      <c r="Q12" s="40" t="s">
        <v>33</v>
      </c>
      <c r="R12" s="38">
        <v>100</v>
      </c>
      <c r="S12" s="38">
        <v>0.5</v>
      </c>
      <c r="T12" s="38">
        <v>0</v>
      </c>
      <c r="U12" s="38">
        <v>0</v>
      </c>
    </row>
    <row r="13" spans="1:21" x14ac:dyDescent="0.2">
      <c r="A13" s="38" t="s">
        <v>44</v>
      </c>
      <c r="B13" s="38" t="s">
        <v>45</v>
      </c>
      <c r="C13" s="38" t="s">
        <v>39</v>
      </c>
      <c r="D13" s="38" t="s">
        <v>294</v>
      </c>
      <c r="E13" s="38" t="s">
        <v>295</v>
      </c>
      <c r="F13" s="38" t="s">
        <v>296</v>
      </c>
      <c r="G13" s="38" t="s">
        <v>51</v>
      </c>
      <c r="H13" s="38" t="s">
        <v>27</v>
      </c>
      <c r="I13" s="38" t="s">
        <v>28</v>
      </c>
      <c r="J13" s="38" t="s">
        <v>29</v>
      </c>
      <c r="K13" s="43">
        <v>0.5</v>
      </c>
      <c r="L13" s="43" t="s">
        <v>30</v>
      </c>
      <c r="M13" s="38">
        <v>2021</v>
      </c>
      <c r="N13" s="38" t="s">
        <v>34</v>
      </c>
      <c r="O13" s="40" t="s">
        <v>50</v>
      </c>
      <c r="P13" s="38" t="s">
        <v>33</v>
      </c>
      <c r="Q13" s="40" t="s">
        <v>33</v>
      </c>
      <c r="R13" s="38">
        <v>90</v>
      </c>
      <c r="S13" s="38">
        <v>0.45</v>
      </c>
      <c r="T13" s="38">
        <v>0.05</v>
      </c>
      <c r="U13" s="38">
        <v>0</v>
      </c>
    </row>
    <row r="14" spans="1:21" x14ac:dyDescent="0.2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50"/>
      <c r="O14" s="49"/>
      <c r="P14" s="50"/>
      <c r="Q14" s="49"/>
      <c r="R14" s="49"/>
      <c r="S14" s="51">
        <f>SUM(S2:S13)</f>
        <v>5.0999999999999996</v>
      </c>
      <c r="T14" s="49"/>
      <c r="U14" s="49"/>
    </row>
  </sheetData>
  <autoFilter ref="A1:T11" xr:uid="{00000000-0009-0000-0000-000000000000}">
    <sortState xmlns:xlrd2="http://schemas.microsoft.com/office/spreadsheetml/2017/richdata2" ref="A2:T1910">
      <sortCondition ref="K2:K1910"/>
      <sortCondition ref="L2:L1910"/>
      <sortCondition ref="D2:D1910"/>
    </sortState>
  </autoFilter>
  <printOptions horizontalCentered="1"/>
  <pageMargins left="0.39370078740157483" right="0.39370078740157483" top="0.39370078740157483" bottom="0.39370078740157483" header="0.78740157480314965" footer="0"/>
  <pageSetup paperSize="9" orientation="landscape" r:id="rId1"/>
  <headerFooter alignWithMargins="0">
    <oddHeader>&amp;C&amp;"Arial,Negrita"TESIS DOCTORALES POR DEPARTAMENTO / INSTITUTO
CURSOS 2006-2012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zoomScaleNormal="100" workbookViewId="0">
      <selection activeCell="N20" sqref="N20"/>
    </sheetView>
  </sheetViews>
  <sheetFormatPr baseColWidth="10" defaultColWidth="11.44140625" defaultRowHeight="13.2" x14ac:dyDescent="0.25"/>
  <cols>
    <col min="1" max="1" width="10.88671875" style="26" bestFit="1" customWidth="1"/>
    <col min="2" max="2" width="39" style="26" bestFit="1" customWidth="1"/>
    <col min="3" max="3" width="17" style="26" bestFit="1" customWidth="1"/>
    <col min="4" max="9" width="3" style="26" customWidth="1"/>
    <col min="10" max="10" width="5.109375" style="26" customWidth="1"/>
    <col min="11" max="11" width="5.33203125" style="26" bestFit="1" customWidth="1"/>
    <col min="12" max="12" width="5.33203125" style="26" customWidth="1"/>
    <col min="13" max="13" width="4.88671875" style="26" customWidth="1"/>
    <col min="14" max="14" width="4.6640625" style="31" customWidth="1"/>
    <col min="15" max="15" width="4.88671875" style="26" customWidth="1"/>
    <col min="16" max="16" width="4.6640625" style="31" customWidth="1"/>
    <col min="17" max="19" width="4.88671875" style="26" customWidth="1"/>
    <col min="20" max="16384" width="11.44140625" style="26"/>
  </cols>
  <sheetData>
    <row r="1" spans="1:19" s="17" customFormat="1" ht="27" x14ac:dyDescent="0.25">
      <c r="A1" s="35" t="s">
        <v>61</v>
      </c>
      <c r="B1" s="35" t="s">
        <v>62</v>
      </c>
      <c r="C1" s="35" t="s">
        <v>63</v>
      </c>
      <c r="D1" s="36">
        <v>2016</v>
      </c>
      <c r="E1" s="36">
        <v>2017</v>
      </c>
      <c r="F1" s="36">
        <v>2018</v>
      </c>
      <c r="G1" s="36">
        <v>2019</v>
      </c>
      <c r="H1" s="36">
        <v>2020</v>
      </c>
      <c r="I1" s="36">
        <v>2021</v>
      </c>
      <c r="J1" s="35" t="s">
        <v>64</v>
      </c>
      <c r="K1" s="37" t="s">
        <v>171</v>
      </c>
      <c r="L1" s="15" t="s">
        <v>65</v>
      </c>
      <c r="M1" s="15" t="s">
        <v>66</v>
      </c>
      <c r="N1" s="15" t="s">
        <v>67</v>
      </c>
      <c r="O1" s="15" t="s">
        <v>68</v>
      </c>
      <c r="P1" s="16" t="s">
        <v>69</v>
      </c>
      <c r="Q1" s="16" t="s">
        <v>70</v>
      </c>
      <c r="R1" s="16" t="s">
        <v>71</v>
      </c>
      <c r="S1" s="16" t="s">
        <v>72</v>
      </c>
    </row>
    <row r="2" spans="1:19" x14ac:dyDescent="0.25">
      <c r="A2" s="33" t="s">
        <v>78</v>
      </c>
      <c r="B2" s="33" t="s">
        <v>79</v>
      </c>
      <c r="C2" s="34" t="s">
        <v>75</v>
      </c>
      <c r="D2" s="33"/>
      <c r="E2" s="33"/>
      <c r="F2" s="33"/>
      <c r="G2" s="33"/>
      <c r="H2" s="33"/>
      <c r="I2" s="33">
        <v>1</v>
      </c>
      <c r="J2" s="32">
        <v>1</v>
      </c>
      <c r="K2" s="19" t="s">
        <v>30</v>
      </c>
      <c r="L2" s="20" t="s">
        <v>34</v>
      </c>
      <c r="M2" s="21" t="s">
        <v>50</v>
      </c>
      <c r="N2" s="22" t="s">
        <v>33</v>
      </c>
      <c r="O2" s="23" t="s">
        <v>33</v>
      </c>
      <c r="P2" s="24">
        <v>90</v>
      </c>
      <c r="Q2" s="25">
        <v>0.1</v>
      </c>
      <c r="R2" s="25">
        <v>0</v>
      </c>
      <c r="S2" s="25">
        <v>0.9</v>
      </c>
    </row>
    <row r="3" spans="1:19" x14ac:dyDescent="0.25">
      <c r="A3" s="33" t="s">
        <v>82</v>
      </c>
      <c r="B3" s="33" t="s">
        <v>83</v>
      </c>
      <c r="C3" s="34" t="s">
        <v>75</v>
      </c>
      <c r="D3" s="33"/>
      <c r="E3" s="33">
        <v>1</v>
      </c>
      <c r="F3" s="33"/>
      <c r="G3" s="33"/>
      <c r="H3" s="33"/>
      <c r="I3" s="33"/>
      <c r="J3" s="18">
        <v>1</v>
      </c>
      <c r="K3" s="19" t="s">
        <v>30</v>
      </c>
      <c r="L3" s="27" t="s">
        <v>34</v>
      </c>
      <c r="M3" s="21" t="s">
        <v>32</v>
      </c>
      <c r="N3" s="28" t="s">
        <v>33</v>
      </c>
      <c r="O3" s="23" t="s">
        <v>33</v>
      </c>
      <c r="P3" s="24">
        <v>50</v>
      </c>
      <c r="Q3" s="25">
        <v>0.5</v>
      </c>
      <c r="R3" s="25">
        <v>0</v>
      </c>
      <c r="S3" s="25">
        <v>0.5</v>
      </c>
    </row>
    <row r="4" spans="1:19" x14ac:dyDescent="0.25">
      <c r="A4" s="33" t="s">
        <v>84</v>
      </c>
      <c r="B4" s="33" t="s">
        <v>85</v>
      </c>
      <c r="C4" s="34" t="s">
        <v>75</v>
      </c>
      <c r="D4" s="33"/>
      <c r="E4" s="33">
        <v>1</v>
      </c>
      <c r="F4" s="33"/>
      <c r="G4" s="33"/>
      <c r="H4" s="33"/>
      <c r="I4" s="33"/>
      <c r="J4" s="32">
        <v>1</v>
      </c>
      <c r="K4" s="19" t="s">
        <v>30</v>
      </c>
      <c r="L4" s="20" t="s">
        <v>34</v>
      </c>
      <c r="M4" s="21" t="s">
        <v>32</v>
      </c>
      <c r="N4" s="22" t="s">
        <v>33</v>
      </c>
      <c r="O4" s="23" t="s">
        <v>33</v>
      </c>
      <c r="P4" s="24">
        <v>50</v>
      </c>
      <c r="Q4" s="25">
        <v>0.5</v>
      </c>
      <c r="R4" s="25">
        <v>0</v>
      </c>
      <c r="S4" s="25">
        <v>0.5</v>
      </c>
    </row>
    <row r="5" spans="1:19" x14ac:dyDescent="0.25">
      <c r="A5" s="33" t="s">
        <v>86</v>
      </c>
      <c r="B5" s="33" t="s">
        <v>87</v>
      </c>
      <c r="C5" s="34" t="s">
        <v>75</v>
      </c>
      <c r="D5" s="33">
        <v>1</v>
      </c>
      <c r="E5" s="33"/>
      <c r="F5" s="33"/>
      <c r="G5" s="33"/>
      <c r="H5" s="33"/>
      <c r="I5" s="33"/>
      <c r="J5" s="32">
        <v>1</v>
      </c>
      <c r="K5" s="19" t="s">
        <v>30</v>
      </c>
      <c r="L5" s="20" t="s">
        <v>34</v>
      </c>
      <c r="M5" s="21" t="s">
        <v>32</v>
      </c>
      <c r="N5" s="22" t="s">
        <v>33</v>
      </c>
      <c r="O5" s="23" t="s">
        <v>33</v>
      </c>
      <c r="P5" s="24">
        <v>50</v>
      </c>
      <c r="Q5" s="25">
        <v>0.5</v>
      </c>
      <c r="R5" s="25">
        <v>0</v>
      </c>
      <c r="S5" s="25">
        <v>0.5</v>
      </c>
    </row>
    <row r="6" spans="1:19" x14ac:dyDescent="0.25">
      <c r="A6" s="33" t="s">
        <v>90</v>
      </c>
      <c r="B6" s="33" t="s">
        <v>91</v>
      </c>
      <c r="C6" s="34" t="s">
        <v>75</v>
      </c>
      <c r="D6" s="33"/>
      <c r="E6" s="33"/>
      <c r="F6" s="33"/>
      <c r="G6" s="33"/>
      <c r="H6" s="33">
        <v>1</v>
      </c>
      <c r="I6" s="33"/>
      <c r="J6" s="32">
        <v>1</v>
      </c>
      <c r="K6" s="19" t="s">
        <v>30</v>
      </c>
      <c r="L6" s="27" t="s">
        <v>34</v>
      </c>
      <c r="M6" s="21" t="s">
        <v>32</v>
      </c>
      <c r="N6" s="28" t="s">
        <v>33</v>
      </c>
      <c r="O6" s="23" t="s">
        <v>33</v>
      </c>
      <c r="P6" s="24">
        <v>50</v>
      </c>
      <c r="Q6" s="25">
        <v>0.5</v>
      </c>
      <c r="R6" s="25">
        <v>0</v>
      </c>
      <c r="S6" s="25">
        <v>0.5</v>
      </c>
    </row>
    <row r="7" spans="1:19" x14ac:dyDescent="0.25">
      <c r="A7" s="33" t="s">
        <v>167</v>
      </c>
      <c r="B7" s="33" t="s">
        <v>168</v>
      </c>
      <c r="C7" s="34" t="s">
        <v>94</v>
      </c>
      <c r="D7" s="33"/>
      <c r="E7" s="33"/>
      <c r="F7" s="33"/>
      <c r="G7" s="33">
        <v>1</v>
      </c>
      <c r="H7" s="33"/>
      <c r="I7" s="33"/>
      <c r="J7" s="32">
        <v>1</v>
      </c>
      <c r="K7" s="19" t="s">
        <v>30</v>
      </c>
      <c r="L7" s="20" t="s">
        <v>31</v>
      </c>
      <c r="M7" s="21" t="s">
        <v>32</v>
      </c>
      <c r="N7" s="22" t="s">
        <v>33</v>
      </c>
      <c r="O7" s="23" t="s">
        <v>33</v>
      </c>
      <c r="P7" s="24">
        <v>50</v>
      </c>
      <c r="Q7" s="25">
        <v>0.5</v>
      </c>
      <c r="R7" s="25">
        <v>0</v>
      </c>
      <c r="S7" s="25">
        <v>0.5</v>
      </c>
    </row>
    <row r="8" spans="1:19" x14ac:dyDescent="0.25">
      <c r="A8" s="33" t="s">
        <v>73</v>
      </c>
      <c r="B8" s="33" t="s">
        <v>74</v>
      </c>
      <c r="C8" s="34" t="s">
        <v>75</v>
      </c>
      <c r="D8" s="33">
        <v>1</v>
      </c>
      <c r="E8" s="33"/>
      <c r="F8" s="33"/>
      <c r="G8" s="33"/>
      <c r="H8" s="33"/>
      <c r="I8" s="33"/>
      <c r="J8" s="32">
        <v>1</v>
      </c>
      <c r="K8" s="19" t="s">
        <v>30</v>
      </c>
      <c r="L8" s="20" t="s">
        <v>34</v>
      </c>
      <c r="M8" s="21" t="s">
        <v>50</v>
      </c>
      <c r="N8" s="22" t="s">
        <v>33</v>
      </c>
      <c r="O8" s="23" t="s">
        <v>33</v>
      </c>
      <c r="P8" s="24">
        <v>90</v>
      </c>
      <c r="Q8" s="25">
        <v>0.1</v>
      </c>
      <c r="R8" s="25">
        <v>0</v>
      </c>
      <c r="S8" s="25">
        <v>0.9</v>
      </c>
    </row>
    <row r="9" spans="1:19" x14ac:dyDescent="0.25">
      <c r="A9" s="33" t="s">
        <v>88</v>
      </c>
      <c r="B9" s="33" t="s">
        <v>89</v>
      </c>
      <c r="C9" s="34" t="s">
        <v>75</v>
      </c>
      <c r="D9" s="33"/>
      <c r="E9" s="33">
        <v>1</v>
      </c>
      <c r="F9" s="33"/>
      <c r="G9" s="33"/>
      <c r="H9" s="33"/>
      <c r="I9" s="33"/>
      <c r="J9" s="32">
        <v>1</v>
      </c>
      <c r="K9" s="19" t="s">
        <v>30</v>
      </c>
      <c r="L9" s="27" t="s">
        <v>34</v>
      </c>
      <c r="M9" s="21" t="s">
        <v>32</v>
      </c>
      <c r="N9" s="28" t="s">
        <v>33</v>
      </c>
      <c r="O9" s="23" t="s">
        <v>33</v>
      </c>
      <c r="P9" s="24">
        <v>50</v>
      </c>
      <c r="Q9" s="25">
        <v>0.5</v>
      </c>
      <c r="R9" s="25">
        <v>0</v>
      </c>
      <c r="S9" s="25">
        <v>0.5</v>
      </c>
    </row>
    <row r="10" spans="1:19" x14ac:dyDescent="0.25">
      <c r="A10" s="33" t="s">
        <v>80</v>
      </c>
      <c r="B10" s="33" t="s">
        <v>81</v>
      </c>
      <c r="C10" s="34" t="s">
        <v>75</v>
      </c>
      <c r="D10" s="33"/>
      <c r="E10" s="33">
        <v>2</v>
      </c>
      <c r="F10" s="33"/>
      <c r="G10" s="33">
        <v>1</v>
      </c>
      <c r="H10" s="33"/>
      <c r="I10" s="33"/>
      <c r="J10" s="32">
        <v>3</v>
      </c>
      <c r="K10" s="19" t="s">
        <v>30</v>
      </c>
      <c r="L10" s="20" t="s">
        <v>34</v>
      </c>
      <c r="M10" s="21" t="s">
        <v>60</v>
      </c>
      <c r="N10" s="22" t="s">
        <v>33</v>
      </c>
      <c r="O10" s="23" t="s">
        <v>33</v>
      </c>
      <c r="P10" s="24">
        <v>80</v>
      </c>
      <c r="Q10" s="25">
        <v>0.6</v>
      </c>
      <c r="R10" s="25">
        <v>0</v>
      </c>
      <c r="S10" s="25">
        <v>2.4</v>
      </c>
    </row>
    <row r="11" spans="1:19" x14ac:dyDescent="0.25">
      <c r="A11" s="33" t="s">
        <v>298</v>
      </c>
      <c r="B11" s="33" t="s">
        <v>299</v>
      </c>
      <c r="C11" s="34" t="s">
        <v>94</v>
      </c>
      <c r="D11" s="33"/>
      <c r="E11" s="33"/>
      <c r="F11" s="33"/>
      <c r="G11" s="33"/>
      <c r="H11" s="33"/>
      <c r="I11" s="33">
        <v>1</v>
      </c>
      <c r="J11" s="32">
        <v>1</v>
      </c>
      <c r="K11" s="19" t="s">
        <v>30</v>
      </c>
      <c r="L11" s="27">
        <v>0</v>
      </c>
      <c r="M11" s="21">
        <v>0</v>
      </c>
      <c r="N11" s="28" t="s">
        <v>33</v>
      </c>
      <c r="O11" s="23" t="s">
        <v>33</v>
      </c>
      <c r="P11" s="24">
        <v>100</v>
      </c>
      <c r="Q11" s="25">
        <v>0</v>
      </c>
      <c r="R11" s="25">
        <v>0</v>
      </c>
      <c r="S11" s="25">
        <v>1</v>
      </c>
    </row>
    <row r="12" spans="1:19" x14ac:dyDescent="0.25">
      <c r="A12" s="33" t="s">
        <v>169</v>
      </c>
      <c r="B12" s="33" t="s">
        <v>170</v>
      </c>
      <c r="C12" s="34" t="s">
        <v>94</v>
      </c>
      <c r="D12" s="33"/>
      <c r="E12" s="33"/>
      <c r="F12" s="33"/>
      <c r="G12" s="33"/>
      <c r="H12" s="33"/>
      <c r="I12" s="33">
        <v>1</v>
      </c>
      <c r="J12" s="32">
        <v>1</v>
      </c>
      <c r="K12" s="19" t="s">
        <v>30</v>
      </c>
      <c r="L12" s="20">
        <v>0</v>
      </c>
      <c r="M12" s="21">
        <v>0</v>
      </c>
      <c r="N12" s="22" t="s">
        <v>33</v>
      </c>
      <c r="O12" s="23" t="s">
        <v>33</v>
      </c>
      <c r="P12" s="24">
        <v>100</v>
      </c>
      <c r="Q12" s="25">
        <v>0</v>
      </c>
      <c r="R12" s="25">
        <v>0</v>
      </c>
      <c r="S12" s="25">
        <v>1</v>
      </c>
    </row>
    <row r="13" spans="1:19" x14ac:dyDescent="0.25">
      <c r="A13" s="33" t="s">
        <v>76</v>
      </c>
      <c r="B13" s="33" t="s">
        <v>77</v>
      </c>
      <c r="C13" s="34" t="s">
        <v>75</v>
      </c>
      <c r="D13" s="33"/>
      <c r="E13" s="33"/>
      <c r="F13" s="33">
        <v>1</v>
      </c>
      <c r="G13" s="33"/>
      <c r="H13" s="33"/>
      <c r="I13" s="33"/>
      <c r="J13" s="32">
        <v>1</v>
      </c>
      <c r="K13" s="19" t="s">
        <v>30</v>
      </c>
      <c r="L13" s="27" t="s">
        <v>34</v>
      </c>
      <c r="M13" s="21" t="s">
        <v>32</v>
      </c>
      <c r="N13" s="28" t="s">
        <v>33</v>
      </c>
      <c r="O13" s="23" t="s">
        <v>33</v>
      </c>
      <c r="P13" s="24">
        <v>50</v>
      </c>
      <c r="Q13" s="25">
        <v>0.5</v>
      </c>
      <c r="R13" s="25">
        <v>0</v>
      </c>
      <c r="S13" s="25">
        <v>0.5</v>
      </c>
    </row>
    <row r="14" spans="1:19" x14ac:dyDescent="0.25">
      <c r="A14" s="18" t="s">
        <v>95</v>
      </c>
      <c r="B14" s="18" t="s">
        <v>96</v>
      </c>
      <c r="C14" s="18" t="s">
        <v>94</v>
      </c>
      <c r="D14" s="18">
        <v>2</v>
      </c>
      <c r="E14" s="18"/>
      <c r="F14" s="18"/>
      <c r="G14" s="18"/>
      <c r="H14" s="18"/>
      <c r="I14" s="18"/>
      <c r="J14" s="18">
        <v>2</v>
      </c>
      <c r="K14" s="19" t="s">
        <v>30</v>
      </c>
      <c r="L14" s="62">
        <v>0</v>
      </c>
      <c r="M14" s="60">
        <v>0</v>
      </c>
      <c r="N14" s="28" t="s">
        <v>33</v>
      </c>
      <c r="O14" s="23" t="s">
        <v>33</v>
      </c>
      <c r="P14" s="24">
        <v>100</v>
      </c>
      <c r="Q14" s="25">
        <v>0</v>
      </c>
      <c r="R14" s="25">
        <v>0</v>
      </c>
      <c r="S14" s="25">
        <v>2</v>
      </c>
    </row>
    <row r="15" spans="1:19" x14ac:dyDescent="0.25">
      <c r="A15" s="55" t="s">
        <v>92</v>
      </c>
      <c r="B15" s="55" t="s">
        <v>93</v>
      </c>
      <c r="C15" s="55" t="s">
        <v>300</v>
      </c>
      <c r="D15" s="55"/>
      <c r="E15" s="55"/>
      <c r="F15" s="55"/>
      <c r="G15" s="55"/>
      <c r="H15" s="55"/>
      <c r="I15" s="55">
        <v>1</v>
      </c>
      <c r="J15" s="55">
        <v>1</v>
      </c>
      <c r="K15" s="57" t="s">
        <v>30</v>
      </c>
      <c r="L15" s="63" t="s">
        <v>31</v>
      </c>
      <c r="M15" s="61" t="s">
        <v>32</v>
      </c>
      <c r="N15" s="56" t="s">
        <v>33</v>
      </c>
      <c r="O15" s="59" t="s">
        <v>33</v>
      </c>
      <c r="P15" s="58">
        <v>50</v>
      </c>
      <c r="Q15" s="55">
        <v>0.5</v>
      </c>
      <c r="R15" s="55">
        <v>0</v>
      </c>
      <c r="S15" s="53">
        <v>0.5</v>
      </c>
    </row>
    <row r="16" spans="1:19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29"/>
      <c r="P16" s="30"/>
      <c r="Q16" s="29"/>
      <c r="R16" s="29"/>
      <c r="S16" s="54">
        <f>SUM(S2:S15)</f>
        <v>12.2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3"/>
  <sheetViews>
    <sheetView topLeftCell="A40" zoomScaleNormal="100" workbookViewId="0">
      <selection activeCell="C68" sqref="C6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97</v>
      </c>
      <c r="B3" s="5">
        <v>921.82</v>
      </c>
    </row>
    <row r="4" spans="1:2" x14ac:dyDescent="0.2">
      <c r="A4" s="4" t="s">
        <v>98</v>
      </c>
      <c r="B4" s="7"/>
    </row>
    <row r="5" spans="1:2" x14ac:dyDescent="0.2">
      <c r="A5" s="4" t="s">
        <v>99</v>
      </c>
      <c r="B5" s="5">
        <v>730</v>
      </c>
    </row>
    <row r="6" spans="1:2" x14ac:dyDescent="0.2">
      <c r="A6" s="4" t="s">
        <v>100</v>
      </c>
      <c r="B6" s="5"/>
    </row>
    <row r="7" spans="1:2" x14ac:dyDescent="0.2">
      <c r="A7" s="4" t="s">
        <v>101</v>
      </c>
      <c r="B7" s="5">
        <v>141</v>
      </c>
    </row>
    <row r="8" spans="1:2" x14ac:dyDescent="0.2">
      <c r="A8" s="4" t="s">
        <v>102</v>
      </c>
      <c r="B8" s="5"/>
    </row>
    <row r="9" spans="1:2" x14ac:dyDescent="0.2">
      <c r="A9" s="4" t="s">
        <v>103</v>
      </c>
      <c r="B9" s="5">
        <v>10590</v>
      </c>
    </row>
    <row r="10" spans="1:2" x14ac:dyDescent="0.2">
      <c r="A10" s="4" t="s">
        <v>104</v>
      </c>
      <c r="B10" s="5"/>
    </row>
    <row r="11" spans="1:2" x14ac:dyDescent="0.2">
      <c r="A11" s="4" t="s">
        <v>105</v>
      </c>
      <c r="B11" s="5">
        <v>80</v>
      </c>
    </row>
    <row r="12" spans="1:2" x14ac:dyDescent="0.2">
      <c r="A12" s="4" t="s">
        <v>106</v>
      </c>
      <c r="B12" s="5"/>
    </row>
    <row r="13" spans="1:2" x14ac:dyDescent="0.2">
      <c r="A13" s="4" t="s">
        <v>107</v>
      </c>
      <c r="B13" s="5">
        <v>430</v>
      </c>
    </row>
    <row r="14" spans="1:2" x14ac:dyDescent="0.2">
      <c r="A14" s="4" t="s">
        <v>108</v>
      </c>
      <c r="B14" s="5"/>
    </row>
    <row r="15" spans="1:2" x14ac:dyDescent="0.2">
      <c r="A15" s="4" t="s">
        <v>109</v>
      </c>
      <c r="B15" s="5">
        <v>80</v>
      </c>
    </row>
    <row r="16" spans="1:2" x14ac:dyDescent="0.2">
      <c r="A16" s="4" t="s">
        <v>110</v>
      </c>
      <c r="B16" s="5"/>
    </row>
    <row r="17" spans="1:2" x14ac:dyDescent="0.2">
      <c r="A17" s="4" t="s">
        <v>111</v>
      </c>
      <c r="B17" s="5">
        <v>80</v>
      </c>
    </row>
    <row r="18" spans="1:2" x14ac:dyDescent="0.2">
      <c r="A18" s="4" t="s">
        <v>112</v>
      </c>
      <c r="B18" s="5"/>
    </row>
    <row r="19" spans="1:2" x14ac:dyDescent="0.2">
      <c r="A19" s="4" t="s">
        <v>113</v>
      </c>
      <c r="B19" s="5">
        <v>158.4</v>
      </c>
    </row>
    <row r="20" spans="1:2" x14ac:dyDescent="0.2">
      <c r="A20" s="4" t="s">
        <v>114</v>
      </c>
      <c r="B20" s="5"/>
    </row>
    <row r="21" spans="1:2" x14ac:dyDescent="0.2">
      <c r="A21" s="4" t="s">
        <v>115</v>
      </c>
      <c r="B21" s="5">
        <v>1680</v>
      </c>
    </row>
    <row r="22" spans="1:2" x14ac:dyDescent="0.2">
      <c r="A22" s="4" t="s">
        <v>116</v>
      </c>
      <c r="B22" s="5"/>
    </row>
    <row r="23" spans="1:2" x14ac:dyDescent="0.2">
      <c r="A23" s="4" t="s">
        <v>117</v>
      </c>
      <c r="B23" s="5">
        <v>80</v>
      </c>
    </row>
    <row r="24" spans="1:2" x14ac:dyDescent="0.2">
      <c r="A24" s="4" t="s">
        <v>118</v>
      </c>
      <c r="B24" s="5"/>
    </row>
    <row r="25" spans="1:2" x14ac:dyDescent="0.2">
      <c r="A25" s="4" t="s">
        <v>119</v>
      </c>
      <c r="B25" s="5">
        <v>148</v>
      </c>
    </row>
    <row r="26" spans="1:2" x14ac:dyDescent="0.2">
      <c r="A26" s="4" t="s">
        <v>120</v>
      </c>
      <c r="B26" s="5"/>
    </row>
    <row r="27" spans="1:2" x14ac:dyDescent="0.2">
      <c r="A27" s="4" t="s">
        <v>121</v>
      </c>
      <c r="B27" s="5">
        <v>430</v>
      </c>
    </row>
    <row r="28" spans="1:2" x14ac:dyDescent="0.2">
      <c r="A28" s="4" t="s">
        <v>122</v>
      </c>
      <c r="B28" s="5"/>
    </row>
    <row r="29" spans="1:2" x14ac:dyDescent="0.2">
      <c r="A29" s="4" t="s">
        <v>123</v>
      </c>
      <c r="B29" s="5">
        <v>1000</v>
      </c>
    </row>
    <row r="30" spans="1:2" x14ac:dyDescent="0.2">
      <c r="A30" s="4" t="s">
        <v>124</v>
      </c>
      <c r="B30" s="5">
        <v>1000</v>
      </c>
    </row>
    <row r="31" spans="1:2" x14ac:dyDescent="0.2">
      <c r="A31" s="4" t="s">
        <v>125</v>
      </c>
      <c r="B31" s="5"/>
    </row>
    <row r="32" spans="1:2" x14ac:dyDescent="0.2">
      <c r="A32" s="4" t="s">
        <v>126</v>
      </c>
      <c r="B32" s="5">
        <v>225</v>
      </c>
    </row>
    <row r="33" spans="1:2" x14ac:dyDescent="0.2">
      <c r="A33" s="4" t="s">
        <v>127</v>
      </c>
      <c r="B33" s="5">
        <v>375</v>
      </c>
    </row>
    <row r="34" spans="1:2" x14ac:dyDescent="0.2">
      <c r="A34" s="4" t="s">
        <v>128</v>
      </c>
      <c r="B34" s="5">
        <v>525</v>
      </c>
    </row>
    <row r="35" spans="1:2" x14ac:dyDescent="0.2">
      <c r="A35" s="4" t="s">
        <v>129</v>
      </c>
      <c r="B35" s="5">
        <v>675</v>
      </c>
    </row>
    <row r="36" spans="1:2" x14ac:dyDescent="0.2">
      <c r="A36" s="4" t="s">
        <v>130</v>
      </c>
      <c r="B36" s="5">
        <v>150</v>
      </c>
    </row>
    <row r="37" spans="1:2" x14ac:dyDescent="0.2">
      <c r="A37" s="4" t="s">
        <v>131</v>
      </c>
      <c r="B37" s="5"/>
    </row>
    <row r="38" spans="1:2" x14ac:dyDescent="0.2">
      <c r="A38" s="4" t="s">
        <v>132</v>
      </c>
      <c r="B38" s="5">
        <v>231</v>
      </c>
    </row>
    <row r="39" spans="1:2" x14ac:dyDescent="0.2">
      <c r="A39" s="4" t="s">
        <v>133</v>
      </c>
      <c r="B39" s="5"/>
    </row>
    <row r="40" spans="1:2" x14ac:dyDescent="0.2">
      <c r="A40" s="4" t="s">
        <v>134</v>
      </c>
      <c r="B40" s="5">
        <v>229</v>
      </c>
    </row>
    <row r="41" spans="1:2" x14ac:dyDescent="0.2">
      <c r="A41" s="4" t="s">
        <v>135</v>
      </c>
      <c r="B41" s="5"/>
    </row>
    <row r="42" spans="1:2" x14ac:dyDescent="0.2">
      <c r="A42" s="4" t="s">
        <v>136</v>
      </c>
      <c r="B42" s="5">
        <v>430</v>
      </c>
    </row>
    <row r="43" spans="1:2" x14ac:dyDescent="0.2">
      <c r="A43" s="4" t="s">
        <v>137</v>
      </c>
      <c r="B43" s="5"/>
    </row>
    <row r="44" spans="1:2" x14ac:dyDescent="0.2">
      <c r="A44" s="4" t="s">
        <v>138</v>
      </c>
      <c r="B44" s="5">
        <v>530</v>
      </c>
    </row>
    <row r="45" spans="1:2" x14ac:dyDescent="0.2">
      <c r="A45" s="4" t="s">
        <v>139</v>
      </c>
      <c r="B45" s="5"/>
    </row>
    <row r="46" spans="1:2" x14ac:dyDescent="0.2">
      <c r="A46" s="4" t="s">
        <v>140</v>
      </c>
      <c r="B46" s="5">
        <v>201</v>
      </c>
    </row>
    <row r="47" spans="1:2" x14ac:dyDescent="0.2">
      <c r="A47" s="4" t="s">
        <v>141</v>
      </c>
      <c r="B47" s="5"/>
    </row>
    <row r="48" spans="1:2" x14ac:dyDescent="0.2">
      <c r="A48" s="4" t="s">
        <v>142</v>
      </c>
      <c r="B48" s="5">
        <v>12102.27</v>
      </c>
    </row>
    <row r="49" spans="1:2" x14ac:dyDescent="0.2">
      <c r="A49" s="4" t="s">
        <v>143</v>
      </c>
      <c r="B49" s="5"/>
    </row>
    <row r="50" spans="1:2" x14ac:dyDescent="0.2">
      <c r="A50" s="4" t="s">
        <v>144</v>
      </c>
      <c r="B50" s="5">
        <v>6282.5</v>
      </c>
    </row>
    <row r="51" spans="1:2" x14ac:dyDescent="0.2">
      <c r="A51" s="4" t="s">
        <v>145</v>
      </c>
      <c r="B51" s="5">
        <v>6282.5</v>
      </c>
    </row>
    <row r="52" spans="1:2" x14ac:dyDescent="0.2">
      <c r="A52" s="4" t="s">
        <v>146</v>
      </c>
      <c r="B52" s="5"/>
    </row>
    <row r="53" spans="1:2" x14ac:dyDescent="0.2">
      <c r="A53" s="4" t="s">
        <v>147</v>
      </c>
      <c r="B53" s="5">
        <v>160</v>
      </c>
    </row>
    <row r="54" spans="1:2" x14ac:dyDescent="0.2">
      <c r="A54" s="4" t="s">
        <v>148</v>
      </c>
      <c r="B54" s="5"/>
    </row>
    <row r="55" spans="1:2" x14ac:dyDescent="0.2">
      <c r="A55" s="4" t="s">
        <v>149</v>
      </c>
      <c r="B55" s="5">
        <v>80</v>
      </c>
    </row>
    <row r="56" spans="1:2" x14ac:dyDescent="0.2">
      <c r="A56" s="4" t="s">
        <v>150</v>
      </c>
      <c r="B56" s="5"/>
    </row>
    <row r="57" spans="1:2" x14ac:dyDescent="0.2">
      <c r="A57" s="4" t="s">
        <v>151</v>
      </c>
      <c r="B57" s="5">
        <v>7500</v>
      </c>
    </row>
    <row r="58" spans="1:2" x14ac:dyDescent="0.2">
      <c r="A58" s="4" t="s">
        <v>152</v>
      </c>
      <c r="B58" s="5"/>
    </row>
    <row r="59" spans="1:2" x14ac:dyDescent="0.2">
      <c r="A59" s="4" t="s">
        <v>153</v>
      </c>
      <c r="B59" s="5">
        <v>4295</v>
      </c>
    </row>
    <row r="60" spans="1:2" x14ac:dyDescent="0.2">
      <c r="A60" s="4" t="s">
        <v>154</v>
      </c>
      <c r="B60" s="5"/>
    </row>
    <row r="61" spans="1:2" x14ac:dyDescent="0.2">
      <c r="A61" s="4" t="s">
        <v>155</v>
      </c>
      <c r="B61" s="5">
        <v>44000</v>
      </c>
    </row>
    <row r="62" spans="1:2" x14ac:dyDescent="0.2">
      <c r="A62" s="4" t="s">
        <v>156</v>
      </c>
      <c r="B62" s="5">
        <v>21120</v>
      </c>
    </row>
    <row r="63" spans="1:2" x14ac:dyDescent="0.2">
      <c r="A63" s="6" t="s">
        <v>2</v>
      </c>
      <c r="B63" s="7">
        <f>SUM(B3:B62)</f>
        <v>122942.49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48BD-12B8-4995-BA99-CE99229D0E27}">
  <dimension ref="A1:B74"/>
  <sheetViews>
    <sheetView topLeftCell="A43" zoomScaleNormal="100" workbookViewId="0">
      <selection activeCell="B74" sqref="B7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179</v>
      </c>
      <c r="B3" s="5">
        <v>841.06</v>
      </c>
    </row>
    <row r="4" spans="1:2" x14ac:dyDescent="0.2">
      <c r="A4" s="4" t="s">
        <v>122</v>
      </c>
      <c r="B4" s="7"/>
    </row>
    <row r="5" spans="1:2" x14ac:dyDescent="0.2">
      <c r="A5" s="4" t="s">
        <v>180</v>
      </c>
      <c r="B5" s="5">
        <v>880</v>
      </c>
    </row>
    <row r="6" spans="1:2" x14ac:dyDescent="0.2">
      <c r="A6" s="4" t="s">
        <v>181</v>
      </c>
      <c r="B6" s="5">
        <v>880</v>
      </c>
    </row>
    <row r="7" spans="1:2" x14ac:dyDescent="0.2">
      <c r="A7" s="4" t="s">
        <v>182</v>
      </c>
      <c r="B7" s="5">
        <v>880</v>
      </c>
    </row>
    <row r="8" spans="1:2" x14ac:dyDescent="0.2">
      <c r="A8" s="4" t="s">
        <v>183</v>
      </c>
      <c r="B8" s="5">
        <v>880</v>
      </c>
    </row>
    <row r="9" spans="1:2" x14ac:dyDescent="0.2">
      <c r="A9" s="4" t="s">
        <v>184</v>
      </c>
      <c r="B9" s="5">
        <v>880</v>
      </c>
    </row>
    <row r="10" spans="1:2" x14ac:dyDescent="0.2">
      <c r="A10" s="4" t="s">
        <v>185</v>
      </c>
      <c r="B10" s="5">
        <v>880</v>
      </c>
    </row>
    <row r="11" spans="1:2" x14ac:dyDescent="0.2">
      <c r="A11" s="4" t="s">
        <v>186</v>
      </c>
      <c r="B11" s="5">
        <v>880</v>
      </c>
    </row>
    <row r="12" spans="1:2" x14ac:dyDescent="0.2">
      <c r="A12" s="4" t="s">
        <v>125</v>
      </c>
      <c r="B12" s="5"/>
    </row>
    <row r="13" spans="1:2" x14ac:dyDescent="0.2">
      <c r="A13" s="4" t="s">
        <v>187</v>
      </c>
      <c r="B13" s="5">
        <v>1254</v>
      </c>
    </row>
    <row r="14" spans="1:2" x14ac:dyDescent="0.2">
      <c r="A14" s="4" t="s">
        <v>188</v>
      </c>
      <c r="B14" s="5">
        <v>924</v>
      </c>
    </row>
    <row r="15" spans="1:2" x14ac:dyDescent="0.2">
      <c r="A15" s="4" t="s">
        <v>189</v>
      </c>
      <c r="B15" s="5">
        <v>132</v>
      </c>
    </row>
    <row r="16" spans="1:2" x14ac:dyDescent="0.2">
      <c r="A16" s="4" t="s">
        <v>190</v>
      </c>
      <c r="B16" s="5">
        <v>924</v>
      </c>
    </row>
    <row r="17" spans="1:2" x14ac:dyDescent="0.2">
      <c r="A17" s="4" t="s">
        <v>191</v>
      </c>
      <c r="B17" s="5">
        <v>528</v>
      </c>
    </row>
    <row r="18" spans="1:2" x14ac:dyDescent="0.2">
      <c r="A18" s="4" t="s">
        <v>192</v>
      </c>
      <c r="B18" s="5">
        <v>198</v>
      </c>
    </row>
    <row r="19" spans="1:2" x14ac:dyDescent="0.2">
      <c r="A19" s="4" t="s">
        <v>193</v>
      </c>
      <c r="B19" s="5"/>
    </row>
    <row r="20" spans="1:2" x14ac:dyDescent="0.2">
      <c r="A20" s="4" t="s">
        <v>194</v>
      </c>
      <c r="B20" s="5">
        <v>88</v>
      </c>
    </row>
    <row r="21" spans="1:2" x14ac:dyDescent="0.2">
      <c r="A21" s="4" t="s">
        <v>141</v>
      </c>
      <c r="B21" s="5"/>
    </row>
    <row r="22" spans="1:2" x14ac:dyDescent="0.2">
      <c r="A22" s="4" t="s">
        <v>195</v>
      </c>
      <c r="B22" s="5">
        <v>9900</v>
      </c>
    </row>
    <row r="23" spans="1:2" x14ac:dyDescent="0.2">
      <c r="A23" s="4" t="s">
        <v>196</v>
      </c>
      <c r="B23" s="5"/>
    </row>
    <row r="24" spans="1:2" x14ac:dyDescent="0.2">
      <c r="A24" s="4" t="s">
        <v>197</v>
      </c>
      <c r="B24" s="5">
        <v>3960</v>
      </c>
    </row>
    <row r="25" spans="1:2" x14ac:dyDescent="0.2">
      <c r="A25" s="4" t="s">
        <v>198</v>
      </c>
      <c r="B25" s="5"/>
    </row>
    <row r="26" spans="1:2" x14ac:dyDescent="0.2">
      <c r="A26" s="4" t="s">
        <v>199</v>
      </c>
      <c r="B26" s="5">
        <v>1320</v>
      </c>
    </row>
    <row r="27" spans="1:2" x14ac:dyDescent="0.2">
      <c r="A27" s="4" t="s">
        <v>200</v>
      </c>
      <c r="B27" s="5"/>
    </row>
    <row r="28" spans="1:2" x14ac:dyDescent="0.2">
      <c r="A28" s="4" t="s">
        <v>201</v>
      </c>
      <c r="B28" s="5">
        <v>139.38999999999999</v>
      </c>
    </row>
    <row r="29" spans="1:2" x14ac:dyDescent="0.2">
      <c r="A29" s="4" t="s">
        <v>202</v>
      </c>
      <c r="B29" s="5"/>
    </row>
    <row r="30" spans="1:2" x14ac:dyDescent="0.2">
      <c r="A30" s="4" t="s">
        <v>203</v>
      </c>
      <c r="B30" s="5">
        <v>70.400000000000006</v>
      </c>
    </row>
    <row r="31" spans="1:2" x14ac:dyDescent="0.2">
      <c r="A31" s="4" t="s">
        <v>204</v>
      </c>
      <c r="B31" s="5"/>
    </row>
    <row r="32" spans="1:2" x14ac:dyDescent="0.2">
      <c r="A32" s="4" t="s">
        <v>205</v>
      </c>
      <c r="B32" s="5">
        <v>162.80000000000001</v>
      </c>
    </row>
    <row r="33" spans="1:2" x14ac:dyDescent="0.2">
      <c r="A33" s="4" t="s">
        <v>206</v>
      </c>
      <c r="B33" s="5"/>
    </row>
    <row r="34" spans="1:2" x14ac:dyDescent="0.2">
      <c r="A34" s="4" t="s">
        <v>207</v>
      </c>
      <c r="B34" s="5">
        <v>176</v>
      </c>
    </row>
    <row r="35" spans="1:2" x14ac:dyDescent="0.2">
      <c r="A35" s="4" t="s">
        <v>208</v>
      </c>
      <c r="B35" s="5"/>
    </row>
    <row r="36" spans="1:2" x14ac:dyDescent="0.2">
      <c r="A36" s="4" t="s">
        <v>209</v>
      </c>
      <c r="B36" s="5">
        <v>176</v>
      </c>
    </row>
    <row r="37" spans="1:2" x14ac:dyDescent="0.2">
      <c r="A37" s="4" t="s">
        <v>210</v>
      </c>
      <c r="B37" s="5"/>
    </row>
    <row r="38" spans="1:2" x14ac:dyDescent="0.2">
      <c r="A38" s="4" t="s">
        <v>211</v>
      </c>
      <c r="B38" s="5">
        <v>176</v>
      </c>
    </row>
    <row r="39" spans="1:2" x14ac:dyDescent="0.2">
      <c r="A39" s="4" t="s">
        <v>212</v>
      </c>
      <c r="B39" s="5"/>
    </row>
    <row r="40" spans="1:2" x14ac:dyDescent="0.2">
      <c r="A40" s="4" t="s">
        <v>213</v>
      </c>
      <c r="B40" s="5">
        <v>176</v>
      </c>
    </row>
    <row r="41" spans="1:2" x14ac:dyDescent="0.2">
      <c r="A41" s="4" t="s">
        <v>214</v>
      </c>
      <c r="B41" s="5"/>
    </row>
    <row r="42" spans="1:2" x14ac:dyDescent="0.2">
      <c r="A42" s="4" t="s">
        <v>215</v>
      </c>
      <c r="B42" s="5">
        <v>176</v>
      </c>
    </row>
    <row r="43" spans="1:2" x14ac:dyDescent="0.2">
      <c r="A43" s="4" t="s">
        <v>216</v>
      </c>
      <c r="B43" s="5"/>
    </row>
    <row r="44" spans="1:2" x14ac:dyDescent="0.2">
      <c r="A44" s="4" t="s">
        <v>217</v>
      </c>
      <c r="B44" s="5">
        <v>378.4</v>
      </c>
    </row>
    <row r="45" spans="1:2" x14ac:dyDescent="0.2">
      <c r="A45" s="4" t="s">
        <v>218</v>
      </c>
      <c r="B45" s="5"/>
    </row>
    <row r="46" spans="1:2" x14ac:dyDescent="0.2">
      <c r="A46" s="4" t="s">
        <v>219</v>
      </c>
      <c r="B46" s="5">
        <v>308</v>
      </c>
    </row>
    <row r="47" spans="1:2" x14ac:dyDescent="0.2">
      <c r="A47" s="4" t="s">
        <v>220</v>
      </c>
      <c r="B47" s="5"/>
    </row>
    <row r="48" spans="1:2" x14ac:dyDescent="0.2">
      <c r="A48" s="4" t="s">
        <v>221</v>
      </c>
      <c r="B48" s="5">
        <v>176</v>
      </c>
    </row>
    <row r="49" spans="1:2" x14ac:dyDescent="0.2">
      <c r="A49" s="4" t="s">
        <v>222</v>
      </c>
      <c r="B49" s="5"/>
    </row>
    <row r="50" spans="1:2" x14ac:dyDescent="0.2">
      <c r="A50" s="4" t="s">
        <v>223</v>
      </c>
      <c r="B50" s="5">
        <v>3801.6</v>
      </c>
    </row>
    <row r="51" spans="1:2" x14ac:dyDescent="0.2">
      <c r="A51" s="4" t="s">
        <v>224</v>
      </c>
      <c r="B51" s="5"/>
    </row>
    <row r="52" spans="1:2" x14ac:dyDescent="0.2">
      <c r="A52" s="4" t="s">
        <v>225</v>
      </c>
      <c r="B52" s="5">
        <v>5500</v>
      </c>
    </row>
    <row r="53" spans="1:2" x14ac:dyDescent="0.2">
      <c r="A53" s="4" t="s">
        <v>226</v>
      </c>
      <c r="B53" s="5"/>
    </row>
    <row r="54" spans="1:2" x14ac:dyDescent="0.2">
      <c r="A54" s="4" t="s">
        <v>227</v>
      </c>
      <c r="B54" s="5">
        <v>3064.6</v>
      </c>
    </row>
    <row r="55" spans="1:2" x14ac:dyDescent="0.2">
      <c r="A55" s="4" t="s">
        <v>228</v>
      </c>
      <c r="B55" s="5">
        <v>3064.6</v>
      </c>
    </row>
    <row r="56" spans="1:2" x14ac:dyDescent="0.2">
      <c r="A56" s="4" t="s">
        <v>229</v>
      </c>
      <c r="B56" s="5"/>
    </row>
    <row r="57" spans="1:2" x14ac:dyDescent="0.2">
      <c r="A57" s="4" t="s">
        <v>230</v>
      </c>
      <c r="B57" s="5">
        <v>7370.88</v>
      </c>
    </row>
    <row r="58" spans="1:2" x14ac:dyDescent="0.2">
      <c r="A58" s="4" t="s">
        <v>231</v>
      </c>
      <c r="B58" s="5"/>
    </row>
    <row r="59" spans="1:2" x14ac:dyDescent="0.2">
      <c r="A59" s="4" t="s">
        <v>232</v>
      </c>
      <c r="B59" s="5">
        <v>3410</v>
      </c>
    </row>
    <row r="60" spans="1:2" x14ac:dyDescent="0.2">
      <c r="A60" s="4" t="s">
        <v>233</v>
      </c>
      <c r="B60" s="5"/>
    </row>
    <row r="61" spans="1:2" x14ac:dyDescent="0.2">
      <c r="A61" s="4" t="s">
        <v>234</v>
      </c>
      <c r="B61" s="5">
        <v>19600</v>
      </c>
    </row>
    <row r="62" spans="1:2" x14ac:dyDescent="0.2">
      <c r="A62" s="4" t="s">
        <v>235</v>
      </c>
      <c r="B62" s="5">
        <v>19600</v>
      </c>
    </row>
    <row r="63" spans="1:2" x14ac:dyDescent="0.2">
      <c r="A63" s="4" t="s">
        <v>150</v>
      </c>
      <c r="B63" s="5"/>
    </row>
    <row r="64" spans="1:2" x14ac:dyDescent="0.2">
      <c r="A64" s="4" t="s">
        <v>236</v>
      </c>
      <c r="B64" s="5">
        <v>7500</v>
      </c>
    </row>
    <row r="65" spans="1:2" x14ac:dyDescent="0.2">
      <c r="A65" s="4" t="s">
        <v>154</v>
      </c>
      <c r="B65" s="5"/>
    </row>
    <row r="66" spans="1:2" x14ac:dyDescent="0.2">
      <c r="A66" s="4" t="s">
        <v>237</v>
      </c>
      <c r="B66" s="5">
        <v>4400</v>
      </c>
    </row>
    <row r="67" spans="1:2" x14ac:dyDescent="0.2">
      <c r="A67" s="4" t="s">
        <v>238</v>
      </c>
      <c r="B67" s="5"/>
    </row>
    <row r="68" spans="1:2" x14ac:dyDescent="0.2">
      <c r="A68" s="4" t="s">
        <v>239</v>
      </c>
      <c r="B68" s="5">
        <v>8000</v>
      </c>
    </row>
    <row r="69" spans="1:2" x14ac:dyDescent="0.2">
      <c r="A69" s="4" t="s">
        <v>240</v>
      </c>
      <c r="B69" s="5"/>
    </row>
    <row r="70" spans="1:2" x14ac:dyDescent="0.2">
      <c r="A70" s="4" t="s">
        <v>241</v>
      </c>
      <c r="B70" s="5">
        <v>2.4500000000000002</v>
      </c>
    </row>
    <row r="71" spans="1:2" x14ac:dyDescent="0.2">
      <c r="A71" s="6" t="s">
        <v>2</v>
      </c>
      <c r="B71" s="7">
        <f>SUM(B3:B70)</f>
        <v>113658.17999999998</v>
      </c>
    </row>
    <row r="74" spans="1:2" x14ac:dyDescent="0.2">
      <c r="B74" s="52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EC0F-294A-47A5-A4E8-E78E91D59F6E}">
  <dimension ref="A1:F40"/>
  <sheetViews>
    <sheetView topLeftCell="A16" zoomScaleNormal="100" workbookViewId="0">
      <selection activeCell="A40" sqref="A4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259</v>
      </c>
      <c r="B2" s="5">
        <v>864.46</v>
      </c>
    </row>
    <row r="3" spans="1:2" x14ac:dyDescent="0.2">
      <c r="A3" s="4" t="s">
        <v>260</v>
      </c>
      <c r="B3" s="5">
        <v>726</v>
      </c>
    </row>
    <row r="4" spans="1:2" x14ac:dyDescent="0.2">
      <c r="A4" s="4" t="s">
        <v>261</v>
      </c>
      <c r="B4" s="7">
        <v>330</v>
      </c>
    </row>
    <row r="5" spans="1:2" x14ac:dyDescent="0.2">
      <c r="A5" s="4" t="s">
        <v>262</v>
      </c>
      <c r="B5" s="5">
        <v>528</v>
      </c>
    </row>
    <row r="6" spans="1:2" x14ac:dyDescent="0.2">
      <c r="A6" s="4" t="s">
        <v>263</v>
      </c>
      <c r="B6" s="5">
        <v>264</v>
      </c>
    </row>
    <row r="7" spans="1:2" x14ac:dyDescent="0.2">
      <c r="A7" s="4" t="s">
        <v>264</v>
      </c>
      <c r="B7" s="5">
        <v>462</v>
      </c>
    </row>
    <row r="8" spans="1:2" x14ac:dyDescent="0.2">
      <c r="A8" s="4" t="s">
        <v>265</v>
      </c>
      <c r="B8" s="5">
        <v>792</v>
      </c>
    </row>
    <row r="9" spans="1:2" x14ac:dyDescent="0.2">
      <c r="A9" s="4" t="s">
        <v>266</v>
      </c>
      <c r="B9" s="5">
        <v>264</v>
      </c>
    </row>
    <row r="10" spans="1:2" x14ac:dyDescent="0.2">
      <c r="A10" s="4" t="s">
        <v>267</v>
      </c>
      <c r="B10" s="5">
        <v>462</v>
      </c>
    </row>
    <row r="11" spans="1:2" x14ac:dyDescent="0.2">
      <c r="A11" s="4" t="s">
        <v>268</v>
      </c>
      <c r="B11" s="5">
        <v>330</v>
      </c>
    </row>
    <row r="12" spans="1:2" x14ac:dyDescent="0.2">
      <c r="A12" s="4" t="s">
        <v>269</v>
      </c>
      <c r="B12" s="5">
        <v>3300</v>
      </c>
    </row>
    <row r="13" spans="1:2" x14ac:dyDescent="0.2">
      <c r="A13" s="4" t="s">
        <v>270</v>
      </c>
      <c r="B13" s="5">
        <v>880</v>
      </c>
    </row>
    <row r="14" spans="1:2" x14ac:dyDescent="0.2">
      <c r="A14" s="4" t="s">
        <v>271</v>
      </c>
      <c r="B14" s="5">
        <v>660</v>
      </c>
    </row>
    <row r="15" spans="1:2" x14ac:dyDescent="0.2">
      <c r="A15" s="4" t="s">
        <v>272</v>
      </c>
      <c r="B15" s="5">
        <v>572</v>
      </c>
    </row>
    <row r="16" spans="1:2" x14ac:dyDescent="0.2">
      <c r="A16" s="4" t="s">
        <v>273</v>
      </c>
      <c r="B16" s="5">
        <v>1375.44</v>
      </c>
    </row>
    <row r="17" spans="1:2" x14ac:dyDescent="0.2">
      <c r="A17" s="4" t="s">
        <v>274</v>
      </c>
      <c r="B17" s="5">
        <v>2034.56</v>
      </c>
    </row>
    <row r="18" spans="1:2" x14ac:dyDescent="0.2">
      <c r="A18" s="4" t="s">
        <v>275</v>
      </c>
      <c r="B18" s="5">
        <v>660</v>
      </c>
    </row>
    <row r="19" spans="1:2" x14ac:dyDescent="0.2">
      <c r="A19" s="4" t="s">
        <v>276</v>
      </c>
      <c r="B19" s="5">
        <v>308</v>
      </c>
    </row>
    <row r="20" spans="1:2" x14ac:dyDescent="0.2">
      <c r="A20" s="4" t="s">
        <v>277</v>
      </c>
      <c r="B20" s="5">
        <v>290.39999999999998</v>
      </c>
    </row>
    <row r="21" spans="1:2" x14ac:dyDescent="0.2">
      <c r="A21" s="4" t="s">
        <v>278</v>
      </c>
      <c r="B21" s="5">
        <v>572</v>
      </c>
    </row>
    <row r="22" spans="1:2" x14ac:dyDescent="0.2">
      <c r="A22" s="4" t="s">
        <v>279</v>
      </c>
      <c r="B22" s="5">
        <v>264</v>
      </c>
    </row>
    <row r="23" spans="1:2" x14ac:dyDescent="0.2">
      <c r="A23" s="4" t="s">
        <v>280</v>
      </c>
      <c r="B23" s="5">
        <v>21960.05</v>
      </c>
    </row>
    <row r="24" spans="1:2" x14ac:dyDescent="0.2">
      <c r="A24" s="4" t="s">
        <v>281</v>
      </c>
      <c r="B24" s="5">
        <v>132</v>
      </c>
    </row>
    <row r="25" spans="1:2" x14ac:dyDescent="0.2">
      <c r="A25" s="4" t="s">
        <v>282</v>
      </c>
      <c r="B25" s="5">
        <v>352</v>
      </c>
    </row>
    <row r="26" spans="1:2" x14ac:dyDescent="0.2">
      <c r="A26" s="4" t="s">
        <v>283</v>
      </c>
      <c r="B26" s="5">
        <v>660</v>
      </c>
    </row>
    <row r="27" spans="1:2" x14ac:dyDescent="0.2">
      <c r="A27" s="4" t="s">
        <v>284</v>
      </c>
      <c r="B27" s="5">
        <v>220</v>
      </c>
    </row>
    <row r="28" spans="1:2" x14ac:dyDescent="0.2">
      <c r="A28" s="4" t="s">
        <v>285</v>
      </c>
      <c r="B28" s="5">
        <v>378.4</v>
      </c>
    </row>
    <row r="29" spans="1:2" x14ac:dyDescent="0.2">
      <c r="A29" s="4" t="s">
        <v>286</v>
      </c>
      <c r="B29" s="5">
        <v>2200</v>
      </c>
    </row>
    <row r="30" spans="1:2" x14ac:dyDescent="0.2">
      <c r="A30" s="4" t="s">
        <v>287</v>
      </c>
      <c r="B30" s="5">
        <v>6600</v>
      </c>
    </row>
    <row r="31" spans="1:2" x14ac:dyDescent="0.2">
      <c r="A31" s="4" t="s">
        <v>288</v>
      </c>
      <c r="B31" s="5">
        <v>440</v>
      </c>
    </row>
    <row r="32" spans="1:2" x14ac:dyDescent="0.2">
      <c r="A32" s="4" t="s">
        <v>289</v>
      </c>
      <c r="B32" s="5">
        <v>308</v>
      </c>
    </row>
    <row r="33" spans="1:6" x14ac:dyDescent="0.2">
      <c r="A33" s="4" t="s">
        <v>290</v>
      </c>
      <c r="B33" s="5">
        <v>7480</v>
      </c>
    </row>
    <row r="34" spans="1:6" x14ac:dyDescent="0.2">
      <c r="A34" s="4" t="s">
        <v>291</v>
      </c>
      <c r="B34" s="5">
        <v>18480</v>
      </c>
    </row>
    <row r="35" spans="1:6" x14ac:dyDescent="0.2">
      <c r="A35" s="4" t="s">
        <v>292</v>
      </c>
      <c r="B35" s="5">
        <v>8000</v>
      </c>
    </row>
    <row r="36" spans="1:6" x14ac:dyDescent="0.2">
      <c r="A36" s="6" t="s">
        <v>2</v>
      </c>
      <c r="B36" s="7">
        <f>SUM(B2:B35)</f>
        <v>83149.31</v>
      </c>
      <c r="F36" s="52"/>
    </row>
    <row r="39" spans="1:6" x14ac:dyDescent="0.2">
      <c r="A39" s="64" t="s">
        <v>301</v>
      </c>
      <c r="B39" s="7">
        <f>+B36+'Ingresos investigación 2020'!B71+'Ingresos investigación 2019'!B63</f>
        <v>319749.98</v>
      </c>
    </row>
    <row r="40" spans="1:6" x14ac:dyDescent="0.2">
      <c r="B40" s="52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zoomScaleNormal="100" workbookViewId="0">
      <selection activeCell="B16" sqref="B1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157</v>
      </c>
      <c r="B3" s="5">
        <v>536.75</v>
      </c>
    </row>
    <row r="4" spans="1:2" x14ac:dyDescent="0.2">
      <c r="A4" s="4" t="s">
        <v>158</v>
      </c>
      <c r="B4" s="5">
        <v>1073.5</v>
      </c>
    </row>
    <row r="5" spans="1:2" x14ac:dyDescent="0.2">
      <c r="A5" s="4" t="s">
        <v>159</v>
      </c>
      <c r="B5" s="5">
        <v>1130</v>
      </c>
    </row>
    <row r="6" spans="1:2" x14ac:dyDescent="0.2">
      <c r="A6" s="4" t="s">
        <v>160</v>
      </c>
      <c r="B6" s="5">
        <v>20830</v>
      </c>
    </row>
    <row r="7" spans="1:2" x14ac:dyDescent="0.2">
      <c r="A7" s="4" t="s">
        <v>161</v>
      </c>
      <c r="B7" s="5">
        <v>565</v>
      </c>
    </row>
    <row r="8" spans="1:2" x14ac:dyDescent="0.2">
      <c r="A8" s="4" t="s">
        <v>162</v>
      </c>
      <c r="B8" s="5">
        <v>94377.37</v>
      </c>
    </row>
    <row r="9" spans="1:2" x14ac:dyDescent="0.2">
      <c r="A9" s="4" t="s">
        <v>163</v>
      </c>
      <c r="B9" s="5">
        <v>1230.06</v>
      </c>
    </row>
    <row r="10" spans="1:2" x14ac:dyDescent="0.2">
      <c r="A10" s="4" t="s">
        <v>164</v>
      </c>
      <c r="B10" s="5">
        <v>1045.57</v>
      </c>
    </row>
    <row r="11" spans="1:2" x14ac:dyDescent="0.2">
      <c r="A11" s="4" t="s">
        <v>165</v>
      </c>
      <c r="B11" s="5">
        <v>1.87</v>
      </c>
    </row>
    <row r="12" spans="1:2" x14ac:dyDescent="0.2">
      <c r="A12" s="4" t="s">
        <v>166</v>
      </c>
      <c r="B12" s="5">
        <v>1073.5</v>
      </c>
    </row>
    <row r="13" spans="1:2" x14ac:dyDescent="0.2">
      <c r="A13" s="6" t="s">
        <v>2</v>
      </c>
      <c r="B13" s="7">
        <f>SUM(B3:B12)</f>
        <v>121863.62</v>
      </c>
    </row>
    <row r="16" spans="1:2" x14ac:dyDescent="0.2">
      <c r="B16" s="52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E3FC-3ECE-460F-9BC9-3466AC0A9614}">
  <dimension ref="A1:B14"/>
  <sheetViews>
    <sheetView zoomScaleNormal="100" workbookViewId="0">
      <selection activeCell="B15" sqref="B1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242</v>
      </c>
      <c r="B3" s="5">
        <v>1168.5</v>
      </c>
    </row>
    <row r="4" spans="1:2" x14ac:dyDescent="0.2">
      <c r="A4" s="4" t="s">
        <v>243</v>
      </c>
      <c r="B4" s="5">
        <v>483.7</v>
      </c>
    </row>
    <row r="5" spans="1:2" x14ac:dyDescent="0.2">
      <c r="A5" s="4" t="s">
        <v>244</v>
      </c>
      <c r="B5" s="5">
        <v>640</v>
      </c>
    </row>
    <row r="6" spans="1:2" x14ac:dyDescent="0.2">
      <c r="A6" s="4" t="s">
        <v>245</v>
      </c>
      <c r="B6" s="5">
        <v>640</v>
      </c>
    </row>
    <row r="7" spans="1:2" x14ac:dyDescent="0.2">
      <c r="A7" s="4" t="s">
        <v>246</v>
      </c>
      <c r="B7" s="5">
        <v>640</v>
      </c>
    </row>
    <row r="8" spans="1:2" x14ac:dyDescent="0.2">
      <c r="A8" s="4" t="s">
        <v>247</v>
      </c>
      <c r="B8" s="5">
        <v>640</v>
      </c>
    </row>
    <row r="9" spans="1:2" x14ac:dyDescent="0.2">
      <c r="A9" s="4" t="s">
        <v>248</v>
      </c>
      <c r="B9" s="5">
        <v>483.7</v>
      </c>
    </row>
    <row r="10" spans="1:2" x14ac:dyDescent="0.2">
      <c r="A10" s="4" t="s">
        <v>249</v>
      </c>
      <c r="B10" s="5">
        <v>92236.080000000016</v>
      </c>
    </row>
    <row r="11" spans="1:2" x14ac:dyDescent="0.2">
      <c r="A11" s="4" t="s">
        <v>250</v>
      </c>
      <c r="B11" s="5"/>
    </row>
    <row r="12" spans="1:2" x14ac:dyDescent="0.2">
      <c r="A12" s="4" t="s">
        <v>251</v>
      </c>
      <c r="B12" s="5">
        <v>640</v>
      </c>
    </row>
    <row r="13" spans="1:2" x14ac:dyDescent="0.2">
      <c r="A13" s="4" t="s">
        <v>252</v>
      </c>
      <c r="B13" s="5">
        <v>14400</v>
      </c>
    </row>
    <row r="14" spans="1:2" x14ac:dyDescent="0.2">
      <c r="A14" s="6" t="s">
        <v>2</v>
      </c>
      <c r="B14" s="7">
        <f>SUM(B2:B13)</f>
        <v>111971.98000000001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163B-0C8F-40B9-8D6E-ACA562D18E2A}">
  <dimension ref="A1:B13"/>
  <sheetViews>
    <sheetView zoomScaleNormal="100" workbookViewId="0">
      <selection activeCell="A17" sqref="A1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253</v>
      </c>
      <c r="B3" s="5">
        <v>997.5</v>
      </c>
    </row>
    <row r="4" spans="1:2" x14ac:dyDescent="0.2">
      <c r="A4" s="4" t="s">
        <v>254</v>
      </c>
      <c r="B4" s="5">
        <v>997.5</v>
      </c>
    </row>
    <row r="5" spans="1:2" x14ac:dyDescent="0.2">
      <c r="A5" s="4" t="s">
        <v>255</v>
      </c>
      <c r="B5" s="5">
        <v>565.25</v>
      </c>
    </row>
    <row r="6" spans="1:2" x14ac:dyDescent="0.2">
      <c r="A6" s="4" t="s">
        <v>250</v>
      </c>
      <c r="B6" s="5"/>
    </row>
    <row r="7" spans="1:2" x14ac:dyDescent="0.2">
      <c r="A7" s="4" t="s">
        <v>256</v>
      </c>
      <c r="B7" s="5">
        <v>16416</v>
      </c>
    </row>
    <row r="8" spans="1:2" x14ac:dyDescent="0.2">
      <c r="A8" s="4" t="s">
        <v>257</v>
      </c>
      <c r="B8" s="5"/>
    </row>
    <row r="9" spans="1:2" x14ac:dyDescent="0.2">
      <c r="A9" s="4" t="s">
        <v>258</v>
      </c>
      <c r="B9" s="5">
        <v>75291.75</v>
      </c>
    </row>
    <row r="10" spans="1:2" x14ac:dyDescent="0.2">
      <c r="A10" s="6" t="s">
        <v>2</v>
      </c>
      <c r="B10" s="7">
        <f>SUM(B2:B9)</f>
        <v>94268</v>
      </c>
    </row>
    <row r="13" spans="1:2" x14ac:dyDescent="0.2">
      <c r="A13" s="64" t="s">
        <v>302</v>
      </c>
      <c r="B13" s="7">
        <f>+B10+'Ingresos formación 2020'!B14+'Ingresos formación 2019'!B13</f>
        <v>328103.59999999998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2022-10-18T07:18:55Z</dcterms:modified>
</cp:coreProperties>
</file>