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97CCB040-A37E-481C-A81E-835CB9A09CCA}" xr6:coauthVersionLast="47" xr6:coauthVersionMax="47" xr10:uidLastSave="{00000000-0000-0000-0000-000000000000}"/>
  <bookViews>
    <workbookView xWindow="22932" yWindow="-108" windowWidth="23256" windowHeight="12456" tabRatio="784" xr2:uid="{00000000-000D-0000-FFFF-FFFF00000000}"/>
  </bookViews>
  <sheets>
    <sheet name="Tesis" sheetId="11" r:id="rId1"/>
    <sheet name="Sexenios" sheetId="12" r:id="rId2"/>
    <sheet name="Ingresos investigación 2019" sheetId="15" r:id="rId3"/>
    <sheet name="Ingresos investigación 2020" sheetId="17" r:id="rId4"/>
    <sheet name="Ingresos investigación 2021" sheetId="19" r:id="rId5"/>
    <sheet name="Ingresos formación 2019" sheetId="16" r:id="rId6"/>
    <sheet name="Ingresos formación 2020" sheetId="18" r:id="rId7"/>
    <sheet name="Ingresos formación 2021" sheetId="20" r:id="rId8"/>
  </sheets>
  <definedNames>
    <definedName name="_xlnm._FilterDatabase" localSheetId="1" hidden="1">Sexenios!$A$1:$S$18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12" l="1"/>
  <c r="S32" i="11" l="1"/>
  <c r="B7" i="18" l="1"/>
  <c r="B96" i="17"/>
  <c r="B11" i="16" l="1"/>
  <c r="D9" i="20" s="1"/>
  <c r="B115" i="15"/>
  <c r="D62" i="19" s="1"/>
</calcChain>
</file>

<file path=xl/sharedStrings.xml><?xml version="1.0" encoding="utf-8"?>
<sst xmlns="http://schemas.openxmlformats.org/spreadsheetml/2006/main" count="1022" uniqueCount="481">
  <si>
    <t>Orgánica
Descripción justificante</t>
  </si>
  <si>
    <t>Importe</t>
  </si>
  <si>
    <t>Total</t>
  </si>
  <si>
    <t>35.30.6C.00.04</t>
  </si>
  <si>
    <t>35.30.6C.00.06</t>
  </si>
  <si>
    <t>35.30.6C.00.26</t>
  </si>
  <si>
    <t>35.30.6P.00.14</t>
  </si>
  <si>
    <t>35.30.6P.00.17</t>
  </si>
  <si>
    <t>35.30.6X.00.01</t>
  </si>
  <si>
    <t>35.30.6X.00.02</t>
  </si>
  <si>
    <t>35.30.2T.00.01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</si>
  <si>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</si>
  <si>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</si>
  <si>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</si>
  <si>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</si>
  <si>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</si>
  <si>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</si>
  <si>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</si>
  <si>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</si>
  <si>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</si>
  <si>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</si>
  <si>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</si>
  <si>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</si>
  <si>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</si>
  <si>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</si>
  <si>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</si>
  <si>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</si>
  <si>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</si>
  <si>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</si>
  <si>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</si>
  <si>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</si>
  <si>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</si>
  <si>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B169 </t>
  </si>
  <si>
    <t>QUÍMICA ANALÍTICA, NUTRICIÓN Y BROMATOLOGÍA </t>
  </si>
  <si>
    <t>DOCTORADO EN QUÍMICA </t>
  </si>
  <si>
    <t>Codirector de tesis </t>
  </si>
  <si>
    <t>50</t>
  </si>
  <si>
    <t/>
  </si>
  <si>
    <t>U022 </t>
  </si>
  <si>
    <t>ADM. FACULTAD DE CIENCIAS </t>
  </si>
  <si>
    <t>DOCTORADO EN CIENCIAS EXPERIMENTALES Y BIOSANITARIAS </t>
  </si>
  <si>
    <t>Director de tesis </t>
  </si>
  <si>
    <t>10</t>
  </si>
  <si>
    <t>10.05</t>
  </si>
  <si>
    <t>20</t>
  </si>
  <si>
    <t>17/07/2017 </t>
  </si>
  <si>
    <t>20/07/2017 </t>
  </si>
  <si>
    <t>10.14</t>
  </si>
  <si>
    <t>U052 </t>
  </si>
  <si>
    <t>ADM. I.U. DE MATERIALES </t>
  </si>
  <si>
    <t>DOCTORADO EN CIENCIA DE MATERIALES </t>
  </si>
  <si>
    <t>Abellán Llobregat, Alejandra </t>
  </si>
  <si>
    <t>DEVELOPMENT OF ELECTROCHEMICAL SENSORS BASED ON NANOSTRUCTURED CARBON MATERIALS FOR HEALTH-CARE APPLICATIONS </t>
  </si>
  <si>
    <t>08/03/2017 </t>
  </si>
  <si>
    <t>U044 </t>
  </si>
  <si>
    <t>ADM. FACULTAD DE CIENCIAS DE LA SALUD </t>
  </si>
  <si>
    <t>DOCTORADO EN CIENCIAS DE LA SALUD </t>
  </si>
  <si>
    <t>18/06/2019 </t>
  </si>
  <si>
    <t>U040 </t>
  </si>
  <si>
    <t>ADM. I.U. DE INGENIERÍA DE LOS PROCESOS QUÍMICOS </t>
  </si>
  <si>
    <t>DOCTORADO EN INGENIERÍA QUÍMICA </t>
  </si>
  <si>
    <t>25/09/2018 </t>
  </si>
  <si>
    <t>33364292D </t>
  </si>
  <si>
    <t>B169</t>
  </si>
  <si>
    <t>21415868Q </t>
  </si>
  <si>
    <t>33482359V </t>
  </si>
  <si>
    <t>21469491A </t>
  </si>
  <si>
    <t>44766117K </t>
  </si>
  <si>
    <t>Albert Navarro, Elena </t>
  </si>
  <si>
    <t>EVALUACIÓN DEL POTENCIAL SENSIBILIZANTE DEL CR (VI) DURANTE EL USO DEL CALZADO </t>
  </si>
  <si>
    <t>Carballo Marrero, Silvia </t>
  </si>
  <si>
    <t>EVALUACIÓN DEL USO DE LA RADIACIÓN MICROONDAS Y DEL CONTROL DE TEMPERATURA PARA LA SEPARACIÓN DE COMPONENTES EN ALIMENTOS POR CROMATOGRAFÍA DE LÍQUIDOS </t>
  </si>
  <si>
    <t>08/06/2017 </t>
  </si>
  <si>
    <t>21649127D </t>
  </si>
  <si>
    <t>41448684Q </t>
  </si>
  <si>
    <t>Fernández Martínez, Elena </t>
  </si>
  <si>
    <t>NUEVOS AVANCES EN METODOLOGÍAS ANALÍTICAS BASADAS EN TÉCNICAS MINIATURIZADAS DE EXTRACCIÓN EN FASE SÓLIDA Y EN FASE LÍQUIDA </t>
  </si>
  <si>
    <t>Costa Dos Reis Cruz, Luciana </t>
  </si>
  <si>
    <t>METODOLOGÍAS ANALÍTICAS RESPETUOSAS CON EL MEDIO AMBIENTE PARA LA DETERMINACIÓN DE MICROCONTAMINANTES ORGÁNICOS EN AGUAS </t>
  </si>
  <si>
    <t>Pérez Hernández, Emma </t>
  </si>
  <si>
    <t>DEVELOPMENT OF NEW METHODOLOGIES FOR BIOMOLECULES DETERMINATION BASED ON THE USE OF IMMUNOASSAYS AND INDUCTIVELY COUPLED PLASMA MASS SPECTROMETRY DETECTION </t>
  </si>
  <si>
    <t>26/02/2018 </t>
  </si>
  <si>
    <t>48348315S </t>
  </si>
  <si>
    <t>21989827X </t>
  </si>
  <si>
    <t>Sánchez Rodríguez, Carlos </t>
  </si>
  <si>
    <t>DEVELOPMENT OF NEW METHODOLOGIES BASED ON ICP TECHNIQUES FOR THE ELEMENTAL AND ISOTOPIC ANALYSIS OF BIOETHANOL AND RELATED SAMPLES </t>
  </si>
  <si>
    <t>28/05/2018 </t>
  </si>
  <si>
    <t>Villaseñor Milán, Ángeles Roxana </t>
  </si>
  <si>
    <t>DEVELOPMENT AND OPTIMIZATION OF METHODS FOR ELEMENTAL QUANTITIVE ANALYSIS OF CATALYSTS AND POLYMERS THROUGH LASER ABLATION-ICP TECHNIQUES </t>
  </si>
  <si>
    <t>25/07/2018 </t>
  </si>
  <si>
    <t>Cañabate López, Águeda </t>
  </si>
  <si>
    <t>ANÁLISIS ELEMENTAL DIRECTO DE MUESTRAS CLÍNICAS MEDIANTE ESPECTROMETRÍA DE MASAS CON FUENTE DE IONIZACIÓN DE PLASMA ACOPLADO POR INDUCCIÓN </t>
  </si>
  <si>
    <t>Martínez Rubio, David </t>
  </si>
  <si>
    <t>DESARROLLO DE NUEVOS MÉTODOS DE ANÁLISIS DE ALIMENTOS BASADOS EN LA MIROEXTRACCIÓN DISPERSIVA LÍQUIDO-LÍQUIDO Y DETECCIÓN MEDIANTE TÉCNICAS DE ESPECTROMETRÍA ATÓMICA </t>
  </si>
  <si>
    <t>11/04/2019 </t>
  </si>
  <si>
    <t>Serrano Corado, Raquel </t>
  </si>
  <si>
    <t>MATRIX EFFECTS IN PLASMA-BASED SPECTROSCOPIC TECHNIQUES (ICP-AES/MIP-AES): APPLICATION TO THE ANALYSIS OF ENVIRONMENTAL SAMPLES </t>
  </si>
  <si>
    <t>10/06/2019 </t>
  </si>
  <si>
    <t>22006105G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</si>
  <si>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</si>
  <si>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</si>
  <si>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</si>
  <si>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</si>
  <si>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</si>
  <si>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</si>
  <si>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</si>
  <si>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</si>
  <si>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</si>
  <si>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</si>
  <si>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</si>
  <si>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</si>
  <si>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</si>
  <si>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</si>
  <si>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74222681W</t>
  </si>
  <si>
    <t>BELTRAN SANAHUJA, ANA</t>
  </si>
  <si>
    <t>21415868Q</t>
  </si>
  <si>
    <t>CANALS HERNANDEZ, ANTONIO</t>
  </si>
  <si>
    <t>33482359V</t>
  </si>
  <si>
    <t>GARRIGOS SELVA, MARIA DEL CARMEN</t>
  </si>
  <si>
    <t>21398727X</t>
  </si>
  <si>
    <t>GRANE TERUEL, NURIA OLGA</t>
  </si>
  <si>
    <t>22006105G</t>
  </si>
  <si>
    <t>GRAS GARCIA, LUIS</t>
  </si>
  <si>
    <t>48348315S</t>
  </si>
  <si>
    <t>GRINDLAY LLEDO, GUILLERMO</t>
  </si>
  <si>
    <t>33364292D</t>
  </si>
  <si>
    <t>HIDALGO NUÑEZ, MARIA MONTSERRAT</t>
  </si>
  <si>
    <t>21469491A</t>
  </si>
  <si>
    <t>JIMENEZ MIGALLON, ALFONSO</t>
  </si>
  <si>
    <t>52773246E</t>
  </si>
  <si>
    <t>MAESTRE PEREZ, SALVADOR ENRIQUE</t>
  </si>
  <si>
    <t>21989827X</t>
  </si>
  <si>
    <t>MORA PASTOR, JUAN</t>
  </si>
  <si>
    <t>41448684Q</t>
  </si>
  <si>
    <t>PRATS MOYA, MARIA SOLEDAD</t>
  </si>
  <si>
    <t>74003073K</t>
  </si>
  <si>
    <t>SANCHEZ ROMERO, RAQUEL</t>
  </si>
  <si>
    <t>21649127D</t>
  </si>
  <si>
    <t>TODOLI TORRO, JOSE LUIS</t>
  </si>
  <si>
    <t>44766117K</t>
  </si>
  <si>
    <t>VIDAL MARTINEZ, LORENA</t>
  </si>
  <si>
    <t>1'5% SOBRE LA FACTURACIÓN DE PRODUCTOS ASOCIADOS A LA REIVINDICACIÓN 8 DE LA PATENTE ES2265270  INGENIATRICS2-13O</t>
  </si>
  <si>
    <t>Reintegro Cuota Patronal por IT del mes de enero 2019</t>
  </si>
  <si>
    <t>Reintegro Cuota Patronal por IT del mes de febrero 2019</t>
  </si>
  <si>
    <t>Reintegro de Cuota Patronal del mes de diciembre 2019</t>
  </si>
  <si>
    <t>35.30.6C.00.61</t>
  </si>
  <si>
    <t>PC19-03704. ASISTENCIA PROYECTO FOOD-REDUWASTE PT4 SEGÚN CONVENIO ITENE3-18Y</t>
  </si>
  <si>
    <t>PEDIDO Nº: PC19-01555. ASISTENCIA PROYECTO OPTIDRY SEGÚN CONVENIO ITENE3-18Y</t>
  </si>
  <si>
    <t>PROVISIÓN DE GASTOS INICIALES PARA COMIENZO DEL PROYECTO SEGÚN CONVENIO. CÓDIGO DE PEDIDO ITENE: PC19-00630</t>
  </si>
  <si>
    <t>35.30.6C.00.62</t>
  </si>
  <si>
    <t>DETERMINACIÓN GRADO DE DESINTEGRACIÓN DE 5 MUESTRAS DE GOMAS ELÁSTICAS DE CAUCHO NATURAL BAJO CONDICIONES DE COMPOSTAJE SIMULADAS EN UN ENSAYO DE LABORATORIOMARTINSAN2-18TPA</t>
  </si>
  <si>
    <t>35.30.6C.00.63</t>
  </si>
  <si>
    <t>DS3499 UNIVERSITE ALICANTE CONSEILLER SCIENTIFIQUE "CONSEILLER SCIENTIFIQUE JL TODOLI DANS LE DOMAINE ELEMENTAL ANALYSIS ICPOES/MS AND HYPHENATED DU 06/06/2017 AU 05/01/2020. PURCHASE REQUEST PR175459. INTERNAL ORDER 30S41ZZZ02ZF. PURCHASE ORDER 4260048842</t>
  </si>
  <si>
    <t>35.30.6C.00.64</t>
  </si>
  <si>
    <t>DELIVERY OF THE 2018 REPORT. PURCHASE ORDER MBO-0000253584</t>
  </si>
  <si>
    <t>FINALIZACIÓN CONTRATO "STUDY OF THE IMPACT OF CARBON ON THE STABILITY OF THE INDUCTIVELY COUPLED PLASMA AND IMPACT OF THE DIFFERENT PARAMETERS OF THE PLASMA"</t>
  </si>
  <si>
    <t>SIGNATURE OF THIS AGREEMENT, PURCHASE ORDER MBO-0000253584 IFP1-18T</t>
  </si>
  <si>
    <t>35.30.6C.00.65</t>
  </si>
  <si>
    <t>ANÁLISIS DE LOS CATIONES MG, NA Y K EN DOS MUESTRAS DE YESO</t>
  </si>
  <si>
    <t>35.30.6C.00.66</t>
  </si>
  <si>
    <t>35.30.6C.00.68</t>
  </si>
  <si>
    <t>REALIZACIÓN, A PETICIÓN DEL MINISTERIO DE CIENCIA, INNOVACIÓN Y UNIVERSIDADES, DE INFORME DE 2ª OPINIÓN SOBRE LA CALIFICACIÓN TÉCNICA A EFECTOS DE DEDUCCIÓN POR ACTIVIDADES DE I+D+iT DEL PROYECTO "INVESTIGACIÓN Y DESARROLLO DE NUEVOS ENVASES Y SISTEMAS DE EMBALAJES MÁS SOSTENIBLES, PRESENTADO POR LA EMPRESA FONT SALEM"</t>
  </si>
  <si>
    <t>35.30.6C.00.69</t>
  </si>
  <si>
    <t>ANÁLISIS A UNA MUESTRA DE LODO Y UNA MUESTRA DE GRASA ANIMAL: ANÁLISIS INMEDIATO, ANÁLISIS ELEMENTAL CON AZUFRE, % DE CL Y PODER CALORÍFICO</t>
  </si>
  <si>
    <t>ANÁLISIS DE COMPUESTOS MAYORITARIOS A TRES MUESTRAS DE SINTERIZADO (E8.1.ST-190710-1700, E8.1.ST-190710-1600 Y E8.1.ST-190710-1630)</t>
  </si>
  <si>
    <t>ANÁLISIS DE TAMAÑO DE PARTÍCULA DE DOS MUESTRAS (D03-E9.1.PV-191112-1000 Y D03-E9.1.PV-191107)</t>
  </si>
  <si>
    <t>ANÁLISIS DE TAMAÑO DE PARTÍCULA Y ANÁLISIS INMEDIATO (TGA HASTA 900ºC EN ATMÓSFERA INERTE Y CONTENIDO EN CENIZAS) DE TRES MUESTRAS DE PARTICULADO GREENE1-19T</t>
  </si>
  <si>
    <t>ANÁLISIS DE UNA MUESTRA DE PELO DE PORCINO: ANÁLISIS INMEDIATO, ANÁLISIS ELEMENTAL CON AZUFRE, % DE CL, PODER CALORÍFICO</t>
  </si>
  <si>
    <t>ANÁLISIS ELEMENTAL (CHNSO) Y DETERMINACIÓN DE % DE CENIZAS DE UNA MUESTRA DE PARTICULADO CARBONOSO</t>
  </si>
  <si>
    <t>ANÁLISIS INMEDIATO (TGA HASTA 900ºC EN ATMÓSFERA INERTE Y CONTENIDO EN CENIZA), PCI Y ANÁLISIS ELEMENTAL DE LA MUESTRA DE CHAR E9.1.C-191105-2300</t>
  </si>
  <si>
    <t>ANÁLISIS INMEDIATO, ANÁLISIS ELEMENTAL CON AZUFRE, % DE Cl Y PODER CALORÍFICO EN 2 MUESTRAS DE ESTIÉRCOL Y UNA DE SANGRE PROCEDENTES DE MATADERO</t>
  </si>
  <si>
    <t>ANÁLISIS TERMOGRAVIMÉTRICO DE 3 MUESTRAS DE FRACCIÓN PLÁSTICA EN ATMÓSFERA INERTE HASTA 900ºC (G297-TT-004-2, G297-TT-004-3, G297-TT-004-4)</t>
  </si>
  <si>
    <t>ANÁLISIS TGA HASTA 900ºC EN ATMÓSFERA INERTE A LAS SIGUIENTES MUESTRAS: CHAR 1608(E7.1.C-190610-1608), CHAR 1215 (E7.1.C-190611-1215), CHAR 030-1800 (E8.2.CV-030719-1800), CHAR 020-1800 (E8.2.CV-020719-1800) Y CHAR 020-2300 (E8.2.CV-020719-2300)</t>
  </si>
  <si>
    <t>DETERMINACIÓN DEL TAMAÑO DE PARTÍCULA DE LA MUESTRA DE PARTICULADO CARBONOSO (E8.1.PV-190904-1230A)</t>
  </si>
  <si>
    <t>DETERMINACIÓN DEL TAMAÑO DE PARTÍCULA DE UNA MUESTRA DE PARTICULADO CARBONOSO</t>
  </si>
  <si>
    <t>GREENE1-19T ANÁLISIS ELEMENTAL, ANÁLISIS TERMOGRAVIMÉTRICO Y DETERMINACIÓN DEL % DE CENIZAS DE TRES MUESTRAS DE RESIDUO CARBONOSO</t>
  </si>
  <si>
    <t>GREENE1-19T DETERMINACIÓN DEL TAMAÑO DE PARTÍCULA DE DOS MUESTRAS DE PARTICULADO CARBONOSO (E8.1.CV-190708-1700 Y E8.1.CV-190708-1705)</t>
  </si>
  <si>
    <t>GREENE1-19T DETERMINACIÓN DEL TAMAÑO DE PARTÍCULA DE LA MUESTRA DE PARTICULADO CARBONOSO (E8.1.CV-190718-1645)</t>
  </si>
  <si>
    <t>GREENE1-19T MUESTRA E7.1.C-190610-1608 Y E7.11C-190611-12515: COMPOSICIÓN ELEMENTAL CHNSO, CONTENIDO CLORO, % CENIZA, PCI, ANÁLISIS INMEDIATO TGA, DISTRIBUCIÓN GRANULOMÉTRICA, COMPUESTOS MAYORITARIOS Y MINORITARIOS, SUPERFICIE BET Y % ALQUITRANES. MUESTRA E7.1.CV-190610-1830: ANÁLISIS ELEMENTAL CHNSO, SUPERFICIE BET, % CENIZAS, DISTRIBUCIÓN GRANULOMÉTRICA Y %ALQUITRANES</t>
  </si>
  <si>
    <t>MICRO FLUORESCENCIA DE RAYOS X A UN AMUESTRA DE TETRABRIK (G297-TT-004-1)</t>
  </si>
  <si>
    <t xml:space="preserve">REALIZACIÓN DE ANÁLISIS A LAS MUESTRAS DE CHAR E8.1.C-190710-1700 Y E8.1.C-190710-1630: ANÁLISIS ELEMENTAL (CHNS), CONTENIDO EN CLOR (CL), %CENIZAS, PCI, TGA HASTA 900ºC EN ATMÓSFERA INERTE, SUPERFICIE BET, COMPUESTOS </t>
  </si>
  <si>
    <t>35.30.6C.00.70</t>
  </si>
  <si>
    <t>35.30.6C.00.71</t>
  </si>
  <si>
    <t>ANÁLISIS DE CLORUROS LIBRES A UNA MUESTRA DE YESO</t>
  </si>
  <si>
    <t>35.30.6C.00.72</t>
  </si>
  <si>
    <t>35.30.6C.00.73</t>
  </si>
  <si>
    <t>ANÁLISIS DE LOS CATIONES Mg, Na y K EN TRES MUESTRAS DE YESOYESOSTORRIQUE4-19TPA</t>
  </si>
  <si>
    <t>35.30.6C.00.74</t>
  </si>
  <si>
    <t xml:space="preserve">ASESORÍA AL GRUPO LANTERO SOBRE POSIBILIDADES DE MEJORA TECNOLÓGICA </t>
  </si>
  <si>
    <t>35.30.6C.00.75</t>
  </si>
  <si>
    <t>684.322/684.325 - EVALUACIÓN I+D INFO PROYECTO 2019.08.CT01.035-CTC-BIOFRE: ESTUDIO Y DESARROLLO DE FILMS BIODEGRADABLES PARA ENVASADO DE ALIMENTOS FRESCOS O MÍNIMAMENTE PROCESADOS</t>
  </si>
  <si>
    <t>35.30.6C.00.76</t>
  </si>
  <si>
    <t>NUTRITIONAL CHARACTERISATION OF TWO SAMPLES OF COFFEE</t>
  </si>
  <si>
    <t>35.30.6C.00.77</t>
  </si>
  <si>
    <t>COLABORACIÓN EN EL PROYECTO CIRCLE 19. DETERMINACIÓN DEL GRADO DE DESINTEGRACIÓN DE 6 MUESTRAS BAJO CONDICIONES DE COMPOSTAJE SIMULADAS EN UN ENSAYO SIGUIENDO LA NORMA UNE-ISO 20200:2015. PC.19-2860</t>
  </si>
  <si>
    <t>35.30.6C.00.78</t>
  </si>
  <si>
    <t>ELABORACIÓN DE 2 PANELES ORGANOLÉPTICOS PARA ANÁLISIS SENSORIAL DE MUESTRAS DE HELADOS ICFC1-19TPA</t>
  </si>
  <si>
    <t>35.30.6C.00.79</t>
  </si>
  <si>
    <t>COLABORACIÓN TÉCNICA EN EL PROYECTO ECO&amp;TECNO CARPET II. DETERMINACIÓN DEL GRADO DE DESINTEGRACIÓN DE 5 MUESTRAS DE MOQUETAS/ALFOMBRAS BAJO CONDICIONES DE COMPOSTAJE SIMULADAS EN UN ENSAYO SIGUIENDO LA NORMA UNE-ISO 20200:2015. PC.19-3063</t>
  </si>
  <si>
    <t>35.30.6C.00.80</t>
  </si>
  <si>
    <t>PRIMER PAGO FIRMA DEL CONTRATO REF. LABORATORIOSQUINTON1-19I</t>
  </si>
  <si>
    <t>35.30.6C.00.81</t>
  </si>
  <si>
    <t>ENSAYOS DE CARACTERIZACIÓN E IDENTIFICACIÓN DE COMPONENTES DE DOS MUESTRAS DE LINEA DE PAN: POLVO Y MATERIAL POLIMÉRICO</t>
  </si>
  <si>
    <t>35.30.6C.00.82</t>
  </si>
  <si>
    <t>CARACTERIZACIÓN TÉRMICA Y FÍSICA DE COMPONENTES BIO-BASED. CARACTERIZACIÓN MEDIANTE RMN DE PARTÍCULAS AGLOMERADAS DE ORIGEN CERÁMICO</t>
  </si>
  <si>
    <t>35.30.6C.00.84</t>
  </si>
  <si>
    <t>ANÁLISIS DE LOS CATIONES MG, NA Y K A UNA MUESTRA DE YESO MOLIDO YESOSTORRIQUE11-19TPA</t>
  </si>
  <si>
    <t>35.30.6C.00.85</t>
  </si>
  <si>
    <t>YESOSTORRIQUE12-19TPA</t>
  </si>
  <si>
    <t>35.30.6C.00.86</t>
  </si>
  <si>
    <t>ENSAYOS DE DETERMINACIÓN DEL EFECTO DE SOLUCIONES CLORADAS A 8 PROBETAS DE ENSAYO SEGÚN NORMA ASTM-D-6284-17. PC-19-0917</t>
  </si>
  <si>
    <t>35.30.6C.00.87</t>
  </si>
  <si>
    <t>728.462 - DESARROLLO DE UN NUEVO AROMA DE REACCIÓN DE ELEVADAS PROPIEDADES PARA LA INDUSTRIA ALIMENTARIAEQA36-19TPA</t>
  </si>
  <si>
    <t>35.30.6C.00.88</t>
  </si>
  <si>
    <t>722.499-NUEVAS TÉCNICAS DE VAPORIZACIÓN EN EL ENVASADO DE ACEITUNAS PARA EL AUMENTO DE LA ESTABILIDAD</t>
  </si>
  <si>
    <t>35.30.6C.00.89</t>
  </si>
  <si>
    <t>PURCHASE ORDER Nº 4505034423. 50005416 30.09.2019. D16 ÉTUDES SCIENTIFIQUES ET TECHNIQUES D16 ETUDES RECHERCHE</t>
  </si>
  <si>
    <t>35.30.6C.00.90</t>
  </si>
  <si>
    <t>ANÁLISIS DE LOS FILMS: PLÁSTICO DE ACOLCHADO NEGRO, PLASTICOS DE ALTA TRANSPARENCIA, DESINFECCIÓN Y SOLARIZACIÓN, MANTA TÉRMICA</t>
  </si>
  <si>
    <t>35.30.6C.00.91</t>
  </si>
  <si>
    <t>ANÁLISIS ELEMENTAL DE MUESTRAS MEDIOAMBIENTALES POR TÉCNICA ICP-MS</t>
  </si>
  <si>
    <t>35.30.6C.00.93</t>
  </si>
  <si>
    <t>EVALUACIÓN DEL PROYECTO INCARLOWCO COMO EXPERTA TÉCNICA</t>
  </si>
  <si>
    <t>35.30.6C.00.94</t>
  </si>
  <si>
    <t>REALIZACIÓN DE ENSAYOS DE CARACTERIZACIÓN SOBRE MATERIALES SUMINISTRADOS POR LA EMPRESA</t>
  </si>
  <si>
    <t>35.30.6C.00.95</t>
  </si>
  <si>
    <t>PROYECTO:BIOMATTER 2019. Nº PEDIDO: PC.19-3442. DETERMINACIÓN DEL GRADO DE DESINTEGRACIÓN DE 4 MUESTRAS DESARROLLADAS A PARTIR DE PROTOTIPOS BIOMATTER BAJO CONDICIONES DE COMPOSTAJE SIMULADAS EN UN ENSAYO DE LABORATORIO (ISO 20200:2005)</t>
  </si>
  <si>
    <t>35.30.6C.00.96</t>
  </si>
  <si>
    <t>PROYECTO DE INVESTIAGACIÓN IVACE-GREENFILS (P19-005) CARACTERIZACIÓN DE PHB, PLA Y PHB/PLA FUNCIONALIZADOS MEDIANTE EXTRUSIÓN REACTIVA. REALIZACIÓN DE ENSAYOS DE RMN DE SÓLIDOS, RMN DE LÍQUIDOS, TGA-DTA, T VICAT. EMISIÓN DE INFORME. PC.19-482</t>
  </si>
  <si>
    <t>35.30.6C.00.97</t>
  </si>
  <si>
    <t>EVALUACIÓN TÉCNICA DE PROYECTO I+D+i PARA DEDUCCIONES FISCALES SEGÚN RD1432/2003 Y ARTÍCULO 35 DE LA LEY 27/2017 DEL IMPUESTO SOBRE SOCIEDADES CON NÚMERO DE EXPEDIENTE IDI.373.19 DE LA EMPRESA ARTIBAL S.A.</t>
  </si>
  <si>
    <t>35.30.6M.00.03</t>
  </si>
  <si>
    <t>FORMACIÓN EN ENSAYOS DE MIGRACIÓN GLOBAL PARA MATERIALES EN CONTACTO CON ALIMENTOS</t>
  </si>
  <si>
    <t xml:space="preserve">SUBVENCIONES PARA LA REALIZACIÓN DE PROYECTOS DE I+D+I DESARROLLADOS POR GRUPOS DE INVESTIGACIÓN EMERGENTES GV/2017-3ªA. </t>
  </si>
  <si>
    <t>FLIB 18/03/19. PROYECTOS I+D+I RETOS 2017. ANUAL 2019. UNIV2 PROYECTOS I+D RETOS (PIA13) N EXPEDIENTE: PIA132017-1 - 2 ANUALIDAD REFERENCI. REF. ORDENANTE: 27402219310014438.</t>
  </si>
  <si>
    <t>35.30.6P.00.22</t>
  </si>
  <si>
    <t>JUAN DE LA CIERVA EXPEDIENTE: IJCI-2017-2 SOLICITUDES: IJCI-2017-31522, IJCI-2017-34174 - 1 ANUALIDAD. REF. DEL ORDENANTE PARA EL BENEFICIARIO: 27402219310013702.</t>
  </si>
  <si>
    <t>35.30.6P.00.25</t>
  </si>
  <si>
    <t xml:space="preserve">APE - CAPTACIÓ PROJECTES EUROPEUS </t>
  </si>
  <si>
    <t>35.30.6P.00.26</t>
  </si>
  <si>
    <t>PARA EL PAGO DE LA ANUALIDAD 2019. PROYECTOS I+D (PIA 1) N EXPEDIENTE: PIA12018 - 1 - 1 ANUALIDAD REFERENCIA: PGC2018 - 100711 - B I00. REFERENCIA DEL ORDENANTE PARA EL BENEFICIARIO: 00173219310010719 - 2019/009174</t>
  </si>
  <si>
    <t>PARA PAGO ANUALIDAD 2019 CONVOCATORIA PGC 2018 PROYECTOS I+D (PIA 1) N EXPEDIENTE: PIA 12018-1-1 ANUALIDAD REFERENCIA: PGC2018- 100711 - B-10. REFERENCIA DEL ORDENANTE PARA EL BENEFICIARIO:27402219310024692</t>
  </si>
  <si>
    <t>35.30.6X.00.03</t>
  </si>
  <si>
    <t>BARBARA GA 745578 1ST INTERIM PAYMENT. LA OFICINA DE GESTIÓN DE PROYECTOS INTERNACIONALES INFORMA QUE SE TRATA DEL TERCER PAGO DEL PROYECTO BARBARA.</t>
  </si>
  <si>
    <t>35.30.6X.00.04</t>
  </si>
  <si>
    <t>837863 ADVANCE PAYMENT ECOAT EUROP. PROJECT G.A. 837863. REF. ORDENANTE: 837863 ADVANCE PAYMENT ECOAT EUROP. LA OFICINA DE GESTIÓN DE PROYECTOS INTERNACIONALES INFORMA QUE SE TRATA DEL PRIMER PAGO DEL PROYECTO ECOAT.</t>
  </si>
  <si>
    <t xml:space="preserve">Coloma García, Pedro Javier. EXPERTO EN ELABORACIÓN ARTESANAL DE HELADOS. </t>
  </si>
  <si>
    <t xml:space="preserve">Jorge Alberto Vázquez Valdés. Experto en elaboración artesanal de helados. </t>
  </si>
  <si>
    <t>Jorge Martínez Rico. EXPERTO/A EN ELABORACIÓN ARTESANAL DE HELADOS (9183)</t>
  </si>
  <si>
    <t>Liquidación  PLAN 9183 curso ''EXPERTO EN ELABORACIÓN ARTESANAL DE HELADOS'' ORDEN 5353</t>
  </si>
  <si>
    <t>Puchol Garrigós, Arnau. EXPERTO/A EN ELABORACIÓN ARTESANAL DE HELADOS</t>
  </si>
  <si>
    <t>REINTEGRO CUOTA PATRONAL CORRESPONDIENTE AL MES DE OCTUBRE DE 2019.</t>
  </si>
  <si>
    <t>35.30.2T.00.03</t>
  </si>
  <si>
    <t>Liquidación PLAN 9183 "Experto en elaboración artesanal de helados"</t>
  </si>
  <si>
    <t>B164 </t>
  </si>
  <si>
    <t>FISIOLOGÍA, GENÉTICA Y MICROBIOLOGÍA </t>
  </si>
  <si>
    <t>DOCTORADO EN BIOLOGÍA EXPERIMENTAL Y APLICADA </t>
  </si>
  <si>
    <t>Alustiza Fernandez, Miren </t>
  </si>
  <si>
    <t>Búsqueda de biomarcadores para la detección de enfermedades gastrointestinales </t>
  </si>
  <si>
    <t>18/09/2020 </t>
  </si>
  <si>
    <t>Baile Pomares, Paola </t>
  </si>
  <si>
    <t>DESARROLLO DE NUEVAS METODOLOGÍAS ECOLÓGICAS APLICADAS AL ANÁLISIS CLÍNICO </t>
  </si>
  <si>
    <t>18/11/2019 </t>
  </si>
  <si>
    <t>vivos</t>
  </si>
  <si>
    <t>48539721S</t>
  </si>
  <si>
    <t>RAMOS SANTONJA, MARINA</t>
  </si>
  <si>
    <t>48561318S</t>
  </si>
  <si>
    <t>AGUIRRE PASTOR, MIGUEL ANGEL</t>
  </si>
  <si>
    <t>48572463M</t>
  </si>
  <si>
    <t>VALDES GARCIA, ARANTZAZU</t>
  </si>
  <si>
    <t>Rubio Silva, Patricia </t>
  </si>
  <si>
    <t>Determinación del contenido elemental de "Hermetia illucens" y otros dípteros descomponedores, como fuentes de proteínas en alimentación animal </t>
  </si>
  <si>
    <t>30/11/2020 </t>
  </si>
  <si>
    <t>Ripoll Seguer, Laura </t>
  </si>
  <si>
    <t>Sensibilización de la técnica Espectroscopía de Plasmas Producidos por Laser para el análisis de muestras líquidas mediante el uso de procedimientos de preparación de la muestra eficientes y fácilmente automatizables </t>
  </si>
  <si>
    <t>28/10/2020 </t>
  </si>
  <si>
    <t>Mellinas Ciller, Ana Cristina </t>
  </si>
  <si>
    <t>¿Revalorización de residuos agro-industriales de cacao para su aplicación en el desarrollo de sistemas sostenibles y avanzados de envasado activo¿ </t>
  </si>
  <si>
    <t>24/02/2021 </t>
  </si>
  <si>
    <t>Lledó García, David </t>
  </si>
  <si>
    <t>APPLICATIONS OF IONIC LIQUIDS IN CATALYSIS AND METAL EXTRACTION </t>
  </si>
  <si>
    <t>19/02/2021 </t>
  </si>
  <si>
    <t>García Martínez, Miriam </t>
  </si>
  <si>
    <t>Diseño, construcción y evaluación de un nuevo nebulizador multiconducto como estrategia innovadora para mejorar los parámetros analíticos de calidad en los análisis de muestras de matriz compleja mediante técnicas basadas en plasma: (ICP OES e ICP-MS </t>
  </si>
  <si>
    <t>10/05/2021 </t>
  </si>
  <si>
    <t>48561318S </t>
  </si>
  <si>
    <t>INGENIATRICS2-13O. 1,5% SOBRE LA FACTURACIÓN DEL PERÍODO 01/01/2019 AL 31/12/2019 DE PRODUCTOS ASOCIADOS A LA REIVINDICACIÓN 8 DE LA PATENTE ES2265270</t>
  </si>
  <si>
    <t>35.30.6C.00.22</t>
  </si>
  <si>
    <t>INGENIATRICS1-17O. 5% SOBRE LA FACTURACIÓN DEL PERÍODO 01/01/2019 A 31/12/2019 DE PRODUCTOS ASOCIADOS DE LA PATENTE P201431797</t>
  </si>
  <si>
    <t>DESARROLLO DE ENVASE ANTIOXIDANTE Y POTENCIADOR DEL AROMA PARA FRUTOS SECOS. PC20-02443</t>
  </si>
  <si>
    <t>PC20-01063:"APOYO TÉCNICO EN TAREAS RELACIONADAS CON LA ESTABILIDAD Y METODOLOGÍA DE ANÁLISIS DE LOS PARÁMETROS RELACIONADOS CON VIDA ÚTIL EN FRUTOS SECOS, INCLUYENDO EL ENRANCIAMIENTO, EN ENVASE ACTIVOS DE DOBLE FONDO CON CAPACIAD DE ABSORCIÓN DE OXÍGENO"</t>
  </si>
  <si>
    <t>REINTEGRO CUOTA PATRONAL CORRESPONDIENTE A DICIEMBRE DE 2020.</t>
  </si>
  <si>
    <t>REINTEGRO CUOTA PATRONAL CORRESPONDIENTE A OCTUBRE DE 2020.</t>
  </si>
  <si>
    <t>SEGUNDO PAGO DEL CONTRATO REF. LABORATORIOSQUINTON1-19I</t>
  </si>
  <si>
    <t>TERCER PAGO DEL CONTRATO REF. LABORATORIOSQUINTON1-19I</t>
  </si>
  <si>
    <t>PURCHASE ORDER Nº 4505034423 50005416 13.06.2020 D16 ÉTUDES SCIENTIFIQUES ET TECHNIQUES D16ETUDES RECHERCHE</t>
  </si>
  <si>
    <t>PURCHASE ORDER Nº 4505034423  50005416  13.09.2020  D16 ÉTUDES SCIENTIFIQUES ET TECHNIQUES D16ETUDES RECHERCHE</t>
  </si>
  <si>
    <t>PURCHASE ORDER Nº 4505034423  50005416  13.12.2020  D16 ÉTUDES SCIENTIFIQUES ET TECHNIQUES D16ETUDES RECHERCHE</t>
  </si>
  <si>
    <t>PURCHASE ORDER Nº 4505034423. 50005416 13.03.2020. D16 ÉTUDES SCIENTIFIQUES ET TECHNIQUES D16ETUDES RECHERCHE</t>
  </si>
  <si>
    <t>35.30.6C.00.92</t>
  </si>
  <si>
    <t>740.906 - DESARROLLO DE UN NUEVO MÉTODO DE LABORATORIO DE ANÁLISIS</t>
  </si>
  <si>
    <t>35.30.6C.00.98</t>
  </si>
  <si>
    <t>PRIMER PAGO TRAS FIRMA DEL CONTRATO:PROYECTO ALIEN-EVALUACIÓN DISPOSITIVO PROPIEDAD DE LA EMPRESA Y ESTUDIO DE VIABILIDAD PARA MODIFICAR Y MEJORAR FUNCIONALIDADES.</t>
  </si>
  <si>
    <t>35.30.6C.01.01</t>
  </si>
  <si>
    <t>MONTELOEDER1-19Y: SEGUNDO PAGO DEL 30% DEL PRESUPUESTO TOTAL TRAS EL INICIO OFICIAL DEL PROYECTO IMIDTA/2019/66</t>
  </si>
  <si>
    <t>PRIMER PAGO DEL 40% DEL PRESUPUESTO TOTAL TRAS EL INICIO OFICIAL DEL PROYECTO IMIDTA/2019/66 MONTELOEDER1-19Y</t>
  </si>
  <si>
    <t>35.30.6C.01.02</t>
  </si>
  <si>
    <t>INFORME CIENTÍFICO-TÉCNICO QUE INCLUYE: ELABOARACIÓN DE MATERIAL DE ASESORAMIENTO GENERAL EN LAS ÁREAS DE SALUD (NUTRICIÓN Y HÁBITOS ALIMENTARIOS) Y DEPORTE PARA INCLUIRLAS EN UNA APLICACIÓN MÓVIL ESPECÍFICA PARA EL CONSUMO DE UN SUPLEMENTO ALIMENTARIO</t>
  </si>
  <si>
    <t>35.30.6C.01.03</t>
  </si>
  <si>
    <t>802.224-DISEÑO Y CONSTRUCCIÓN DE UN REACTOR CONTINUO PARA LA PRODUCCIÓN DE LACTULOSA A PARTIR DE LACTOSUERO</t>
  </si>
  <si>
    <t>35.30.6C.01.04</t>
  </si>
  <si>
    <t>EQA17-20TPA: 805.980-GENERACIÓN E IDENTIFICACIÓN DE NUEVOS AROMAS Y POTENCIADORES DEL SABOR MEDIANTE NADES.</t>
  </si>
  <si>
    <t>35.30.6C.01.05</t>
  </si>
  <si>
    <t>801.267-INVESTIGACIÓN SOBRE NUEVOS MATERIALES PLÁSTICOS PARA DISPOSITIVO DE AUTOCALENTAMIENTO</t>
  </si>
  <si>
    <t>35.30.6C.01.06</t>
  </si>
  <si>
    <t>PRIMER PAGO TRAS LA FIRMA DEL CONTRATO "DISEÑO, FABRICACIÓN Y ESTUDIO DE VIABILIDAD DE PROTOTIPO INDUSTRIAL PARA EL RECONOCIMIENTO DE ALMENDRA AMARGAS EN CONTINUO"</t>
  </si>
  <si>
    <t>35.30.6C.01.07</t>
  </si>
  <si>
    <t>801.267 - INVESTIGACIÓN SOBRE NUEVOS MATERIALES PLÁSTICOS PARA DISPOSITIVO DE AUTOCALENTAMIENTO</t>
  </si>
  <si>
    <t>35.30.6C.01.08</t>
  </si>
  <si>
    <t>EVALUACIÓN COMO EXPERTA TÉCNICA DEL PROYECTO INCARLOWCO. DISEÑO DE NUEVOS SISTEMAS DE ENVASADO CON ATMÓSFERA POBRE EN CO2 PARA CONSERVACIÓN DE CARNE FRESCA.</t>
  </si>
  <si>
    <t>35.30.6C.01.09</t>
  </si>
  <si>
    <t>808.055: DESARROLLO NUEVA PIEZA INYECTADA DE GRANDES DIMENSIONES CON POLÍMEROS 100% RECICLABLES</t>
  </si>
  <si>
    <t>35.30.6C.01.10</t>
  </si>
  <si>
    <t>FABRICACIÓN SISTEMA INTRODUCCIÓN DE MUESTRAS. PEDIDO: 4200238087</t>
  </si>
  <si>
    <t>35.30.6C.01.11</t>
  </si>
  <si>
    <t>EQA33-20TPA: 819.388-MEJORA DE LA CONSERVACIÓN DE LOS ALIMENTOS PARA ANIMALES</t>
  </si>
  <si>
    <t>35.30.6C.01.12</t>
  </si>
  <si>
    <t>ANÁLISIS DE LOS CATIONES MG, NA Y K EN SIETE MUESTRAS DE YESO REALIZADOS EL DÍA 02/07/2020.</t>
  </si>
  <si>
    <t>35.30.6C.01.13</t>
  </si>
  <si>
    <t>ENSAYOS DE UNA MUESTRA DE PARTICULADO CARBONOSO (D03-E10.1.PV QUEMADOR ) Y ANÁLISIS DE FLUORESCENCIA DE RAYOS X A UNA MUESTRA DE SINTERIZADO (D03-E10.1.S QUEMADOR)</t>
  </si>
  <si>
    <t xml:space="preserve">ENSAYOS DE UNA MUESTRA DE PARTICULADO CARBONOSO (D03-E10.1.PV-200610-0000) </t>
  </si>
  <si>
    <t>ENSAYOS PARA UNA MUESTRA DE CHAR (D03-E12.1-C-200909-2130), UNA MUESTRA DE HOLLÍN (D03-E12.1-HLL-200910-1830), UNA MUESTRA DE PARTICULADO (D03-E12.1-PV-200914-1200)</t>
  </si>
  <si>
    <t>35.30.6C.01.14</t>
  </si>
  <si>
    <t>ANÁLISIS DE LOS CATIONES Mg, Na Y K EN UNA MUESTA DE YESO REALIZADA EL DÍA 25/09/2020</t>
  </si>
  <si>
    <t>35.30.6C.01.15</t>
  </si>
  <si>
    <t>ANÁLISIS DE LOS CATIONES Mg, Na y K EN CUATRO MUESTRAS DE YESO REALIZADOS EL DÍA 25/09/2020</t>
  </si>
  <si>
    <t>35.30.6C.01.16</t>
  </si>
  <si>
    <t>855.480- NUEVAS TÉCNICAS DE VAPORIZACIÓN EN EL ENVASADO DE ACEITUNAS PARA EL AUMENTO DE ESTABILIDAD</t>
  </si>
  <si>
    <t>35.30.6C.01.17</t>
  </si>
  <si>
    <t>854.351-NUEVA SOLUCIÓN AUTOMATIZADA PARA AUMENTO DE EFICIENCIA Y PRECISIÓN EN ENVASADO DE GUACAMOLE FRESCO.</t>
  </si>
  <si>
    <t>35.30.6C.01.18</t>
  </si>
  <si>
    <t>856.848 - DESARROLLO DE UN NUEVO AROMA DE REACCIÓN DE ELEVADAS PROPIEDADES PARA LA INDUSTRIA ALIMENTARIA</t>
  </si>
  <si>
    <t>35.30.6C.01.19</t>
  </si>
  <si>
    <t>CARACTERIZACIÓN CHOCOLATES MEDIANTE TÉCNICAS ESPECTROSCÓPICAS: EVALUACIÓN DE DIFERENTES ESTRATEGIAS DE ANÁLISIS</t>
  </si>
  <si>
    <t>35.30.6C.01.20</t>
  </si>
  <si>
    <t>DETERMINACIÓN DEL GRADO DE DESINTEGRACIÓN DE UNA MUESTRA DE NO TEJIDO BAJO CONDICIONES DE COMPOSTAJE SIMULADAS EN UN ENSAYO DE LABORATORIO (ISO 20200:2015) PC.20-0021 F18-020</t>
  </si>
  <si>
    <t>35.30.6C.01.21</t>
  </si>
  <si>
    <t>PROYECTOR BIOMATTER-2020. PC.20-3367. DETERMINACIÓN DEL GRADO DE DESINTEGRACIÓN DE 8 MUESTRAS DESARROLLADAS A PARTIR DE LOS PROTOTIPOS BIOMATTER BAJO CONDICIONES DE COMPOSTAJE SIMULADAS EN UN ENSAYO DE LABORATORIO (ISO20200:2015)</t>
  </si>
  <si>
    <t>35.30.6C.01.22</t>
  </si>
  <si>
    <t>"EVALUACIÓN DEL PROYECTO COLOUR2019 COMO EXPERTA TÉCNICA:REDUCCIÓN DE ACRILAMIDA EN ALIMENTOS PROCESADOS"</t>
  </si>
  <si>
    <t>35.30.6C.01.23</t>
  </si>
  <si>
    <t>"ANÁLISIS DE CATIONES Mg, Na y K EN DOS MUESTRAS DE YESO. DOS ANÁLISIS REALIZADOS EL 20 DE NOVIEMBRE DE 2020"</t>
  </si>
  <si>
    <t>35.30.6C.01.24</t>
  </si>
  <si>
    <t>ANÁLISIS DE CATIONES Mg, Na y K EN UNA MUESTRA DE YESO. ANÁLISIS REALIZADO EL 20 DE NOVIEMBRE DE 2020</t>
  </si>
  <si>
    <t>35.30.6C.01.25</t>
  </si>
  <si>
    <t>DETERMINACIÓN DE POLIFENOLES EN EXTRACTOS DE RESIDUOS AGRÍCOLAS MEDIANTE TÉCNICAS CROMATOGRÁFICAS, PARA SU APLICACIÓN EN MUESTRAS DE CALZADO. Nº PEDIDO: 55851</t>
  </si>
  <si>
    <t>35.30.6C.01.27</t>
  </si>
  <si>
    <t>DETERMINACIÓN DEL GRADO DE DESINTEGRACIÓN DE UNA MUESTRA DE TEJIDO BAJO CONDICIONES DE COMPOSTAJE SIMULADAS EN UN ENSAYO DE LABORATORIO (ISO 20200:2015). INTERPRETACIÓN DE RESULTADOS Y EMISIÓN DE INFORME.           PC 20-4538</t>
  </si>
  <si>
    <t>REINTEGRO CUOTA PATRONAL CORRESPONDIENTE A JULIO 2020.</t>
  </si>
  <si>
    <t>FLIB. 14/04/20. PROYECTOS RETOS INVESTIGACION 2017. ANUAL 2020 PROYECTOS I+D RETOS (PIA13) N EXPEDIENTE: PIA132017-1 - 3 ANUALIDAD REFEREN</t>
  </si>
  <si>
    <t>LIBERADOS EL 30/06/2020, ANUALIDAD 2020 PROYECTOS / I+D (PIA1) N EXPEDIENTE: PIA12018-1 - 2 ANUAL / IDAD REFERENCIA: PGC2018-100711-B-I00 / GOVT / 27402220310030697</t>
  </si>
  <si>
    <t>35.30.6P.00.33</t>
  </si>
  <si>
    <t>10081 EBCORG/2020/9  PAGO  (ECONOMÍA SOSTENIBLE,S.PRODUCTIVOS, C Y T)</t>
  </si>
  <si>
    <t>PAGO INTERMEDIO DEL PROYECTO FUNGUSCHAIN, INVESTIGADOR PRINCIPAL ALFONSO JIMÉNEZ</t>
  </si>
  <si>
    <t>PAGO INTERMEDIO DEL PROYECTO FUNGUSCHAIN. INVESTIGADOR PRINCIPAL ALFONSO JIMÉNEZ</t>
  </si>
  <si>
    <t>PROYECTO FLEXPOL (INVESTIGADOR PRINCIPAL ALFONSO JIMÉNEZ)</t>
  </si>
  <si>
    <t>PROYECTO FLEXPOL (INVESTIGADOR PRINCIPAL ALFONSO JIMÉNEZ). SEGUN LA OGPI, PAGO FINAL DEL PROYECTO</t>
  </si>
  <si>
    <t>SEGUNDO PAGO PROYECTO ECOAT. INVESTIGADOR PRINCIPAL MARI CARMEN GARRIGÓS</t>
  </si>
  <si>
    <t>Lorena Jordá Vilar. EXPERTO/A EN ELABORACIÓN ARTESANAL DE HELADOS</t>
  </si>
  <si>
    <t>Maria Luisa Fernández Talavera. EXPERTO/A EN ELABORACIÓN ARTESANAL DE HELADOS</t>
  </si>
  <si>
    <t>Plan 9183 Curso 2020-21 EXPERTO/A EN ELABORACIÓN ARTESANAL DE HELADOS</t>
  </si>
  <si>
    <t>Unidad</t>
  </si>
  <si>
    <t>Cód. org. aplic.</t>
  </si>
  <si>
    <t>Descripción justificante</t>
  </si>
  <si>
    <t>35.30</t>
  </si>
  <si>
    <t>Adrián Valenzuela Donoso. EXPERTO/A EN ELABORACIÓN ARTESANAL DE HELADOS</t>
  </si>
  <si>
    <t>Jorge Rumayor Llanderrozos. EXPERTO/A EN ELABORACIÓN ARTESANAL DE HELADOS</t>
  </si>
  <si>
    <t>Luis Martín Rodríguez. EXPERTO/A EN ELABORACIÓN ARTESANAL DE HELADOS</t>
  </si>
  <si>
    <t xml:space="preserve">Plan 9183 curso 2021-22, EXPERTO/A EN ELABORACIÓN ARTESANAL DE HELADOS - 35.30.2T.00.03 </t>
  </si>
  <si>
    <t>1,5% SOBRE LA FACTURACIÓN DEL PERÍODO 01/01/2020 AL 31/12/2020 DE PRODUCTOS ASOCIADOS A LA REIVINDICACIÓN 8 DE LA PATENTE ES2265270</t>
  </si>
  <si>
    <t>5% SOBRE LA FACTURACIÓN DEL PERÍODO 01/01/2020 AL 31/12/2020 DE PRODUCTOS ASOCIADOS DE LA PATENTE P201431797</t>
  </si>
  <si>
    <t>ESTUDIO DE LAS PROPIEDADES DE LOS MATERIALES PARA EL ENVASADO DE ALIMENTOS. PC21-00825</t>
  </si>
  <si>
    <t>PURCHASE ORDER Nº 4505034423 50005416 13.06.2021 D16 ÉTUDES SCIENTIFIQUES ET TECHNIQUES D16 ETUDES RECHERCHE</t>
  </si>
  <si>
    <t>PURCHASE ORDER Nº 4505034423 50005416 13.09.2021 D16 ÉTUDES SCIENTIFIQUES ET TECHNIQUES D16 ETUDES RECHERCHE</t>
  </si>
  <si>
    <t>PURCHASE ORDER Nº 4505034423 50005416 13.03.2021  D16 ÉTUDES SCIENTIFIQUES ET TECHNIQUES  D16 ETUDES RECHERCHE</t>
  </si>
  <si>
    <t>CUARTO PAGO DEL 15% DEL PRESUPUESTO TOTAL A LA FINALIZACIÓN DEL PROYECTO IMIDTA/2019/66</t>
  </si>
  <si>
    <t>TERCER PAGO DEL 15% DEL PRESUPUESTO TOTAL A LA FINALIZACIÓN DEL PROYECTO IMIDTA/2019/66</t>
  </si>
  <si>
    <t>REINTEGRO CUOTA PATRONAL CORRESPONDIENTE A AGOSTO DE 2021.</t>
  </si>
  <si>
    <t>TERCER PAGO TRAS LA FIRMA DEL CONTRATO "DISEÑO, FABRICACIÓN Y ESTUDIO DE VIABILIDAD DE PROTOTIPO INDUSTRIAL PARA EL RECONOCIMIENTO DE ALMENDRA AMARGA EN CONTINUO"</t>
  </si>
  <si>
    <t>SEGUNDO PAGO TRAS LA FIRMA DEL CONTRATO "DISEÑO, FABRICACIÓN Y ESTUDIO DE VIABILIDAD DE PROTOTIPO INDUSTRIAL PARA EL RECONOCIMIENTO DE ALMENDRA AMARGA EN CONTINUO"</t>
  </si>
  <si>
    <t>DETERMINACIÓN DEL TAMAÑO DE PARTÍCULA (D03-E12.1-PV-200914-1200)</t>
  </si>
  <si>
    <t xml:space="preserve">ANÁLISIS ELEMENTAL POR FLUORESCENCIA DE RAYOS X EN UNA MUESTRA DE CENIZAS </t>
  </si>
  <si>
    <t>ANÁLISIS ELEMENTAL POR FLUORESCENCIA DE RAYOS X EN UNA MUESTRA DE CHAR</t>
  </si>
  <si>
    <t>ENSAYO PARA UNA MUESTRA DE CHAR</t>
  </si>
  <si>
    <t>ANÁLISIS ELEMENTAL (CHNSO) EN UNA MUESTRA DE CHAR (G401-EE1-C-210202-1600-A)</t>
  </si>
  <si>
    <t>ENSAYOS PARA UNA MUESTRA DE CHAR</t>
  </si>
  <si>
    <t>ENSAYOS PARA UNA MUESTRA DE PARTICULADOR Y DOS MUESTRAS DE CHAR</t>
  </si>
  <si>
    <t>ENSAYOS PARA MUESTRAS DE LODOS DE PAPELERA (MUESTRA087,MUESTRA 088, MUESTRA 089, MUESTRA090, MUESTRA 092, MUESTRA 093)</t>
  </si>
  <si>
    <t>35.30.6C.01.26</t>
  </si>
  <si>
    <t>CARACTERIZACIÓN DE LOS CAMBIOS DE COMPOSICIÓN EN CHOCOLATES MEDIANTE UV-VIS-NIR</t>
  </si>
  <si>
    <t>35.30.6C.01.30</t>
  </si>
  <si>
    <t>ANÁLISIS DE LOS CATIONES Mg, Na Y K EN DOS MUESTRAS DE YESO. ANÁLISIS REALIZADOS EL 22/12/2020</t>
  </si>
  <si>
    <t>35.30.6C.01.31</t>
  </si>
  <si>
    <t>ANÁLISIS DE LOS CATIONES Mg, Na y K EN UNA MUESTRA DE YESO. ANÁLISIS REALIZADO 22/12/2020</t>
  </si>
  <si>
    <t>35.30.6C.01.32</t>
  </si>
  <si>
    <t>ANÁLISIS DE LOS CATIONES Mg, Na y K EN TRES MUESTRAS DE YESO REALIZADAS EL 09 DE FEBRERO DE 2021</t>
  </si>
  <si>
    <t>35.30.6C.01.34</t>
  </si>
  <si>
    <t>ANÁLISIS DE LOS CATIONES Mg, Na y K EN 4 MUESTRAS DE YESO. LOS ANÁLISIS SE REALIZARON EL 15/03/2021</t>
  </si>
  <si>
    <t>35.30.6C.01.35</t>
  </si>
  <si>
    <t>ANÁLISIS DE LOS CATIONES Mg, Na y K EN UNA MUESTRA DE YESO. ANÁLISIS REALIZADO 15/03/2021</t>
  </si>
  <si>
    <t>35.30.6C.01.36</t>
  </si>
  <si>
    <t>PARTICIPACIÓN EN LA COMISIÓN TÉCNICA DE PREEVALUACIÓN Nº 2</t>
  </si>
  <si>
    <t>35.30.6C.01.37</t>
  </si>
  <si>
    <t>EVALUACIÓN DE LOS PROYECTOS PRESENTADOS A LOS PROGRAMAS DE AYUDAS PIDI-CV/ PIDCOP-CV / INNOVA-CV 2020 Nº DE EXPEDIENTES: IMIDTA/2020/14; IMIDCA/2020/7; IMIDCA/2020/9; IMINOA/2020/38</t>
  </si>
  <si>
    <t>35.30.6C.01.38</t>
  </si>
  <si>
    <t>EVALUACIÓN DE LOS PROYECTOS PRESENTADOS A LOS PROGRAMAS DE AYUDAS PIDI-CV/ PIDCOP-CV / INNOVA-CV 2020 Nº DE EXPEDIENTES: IMIDTA/2020/16; IMIDCA/2020/33</t>
  </si>
  <si>
    <t>35.30.6C.01.39</t>
  </si>
  <si>
    <t>EVALUACIÓN DE LOS PROYECTOS PRESENTADOS A LOS PROGRAMAS DE AYUDAS PIDI-CV/ PIDCOP-CV / INNOVA-CV 2020 Nº DE EXPEDIENTE: IMIDTA/2020/6</t>
  </si>
  <si>
    <t>35.30.6C.01.40</t>
  </si>
  <si>
    <t xml:space="preserve">OBTENCIÓN DE UN AGENTE ANTIMICROBIANO MEDIANTE EXTRACCIÓN ASISTIDA POR MICROONDAS (MAE) A PARTIR DE RESIDUOS AGROALIMENTARIOS </t>
  </si>
  <si>
    <t>35.30.6C.01.41</t>
  </si>
  <si>
    <t>ANÁLISIS DE LOS CATIONES Mg, Na y K EN DOS MUESTRAS DE YESO. SE REALIZARON 2 ANÁLISIS CON FECHA 12/5/2021</t>
  </si>
  <si>
    <t>35.30.6C.01.42</t>
  </si>
  <si>
    <t>ANÁLISIS DE LOS CATIONES Mg, Na y K EN UNA MUESTRA DE YESO. SE REALIZÓ 1 ANÁLISIS CON FECHA 12/5/2021</t>
  </si>
  <si>
    <t>35.30.6C.01.43</t>
  </si>
  <si>
    <t>ANÁLISIS QUÍMICO DE MUESTRAS DE ANTICONGELANTE</t>
  </si>
  <si>
    <t>35.30.6C.01.44</t>
  </si>
  <si>
    <t>CARACTERIZACIÓN DE CHOCOLATES MEDIANTE TÉCNICAS ESPECTROSCÓPICAS (UV-VIS-NIR)</t>
  </si>
  <si>
    <t>35.30.6C.01.45</t>
  </si>
  <si>
    <t>931.751 - ENVASES ALIMENTARIOS TERMOSELLADOS CON RECUBRIMIENTOS APTOS PARA CONDICIONES EXTREMAS</t>
  </si>
  <si>
    <t>35.30.6C.01.46</t>
  </si>
  <si>
    <t>931.662 - GENERACIÓN E IDENTIFICACIÓN DE NUEVOS AROMAS Y POTENCIADORES DEL SABOR MEDIANTE NADES</t>
  </si>
  <si>
    <t>35.30.6C.01.47</t>
  </si>
  <si>
    <t xml:space="preserve">930.669 - NUEVAS FORMULACIONES DE GOMA SOSTENIBLES DE ELEVADA ESTABILIDAD TÉRMICA </t>
  </si>
  <si>
    <t>35.30.6C.01.48</t>
  </si>
  <si>
    <t xml:space="preserve">931.733 - DESARROLLO DE NUEVAS TAPAS METÁLICAS CON ACTIVIDAD FUNCIONAL ESPECÍFICA </t>
  </si>
  <si>
    <t>35.30.6C.01.49</t>
  </si>
  <si>
    <t>PEDIDO DE COMPRA: PC.21-4023. PROYECTO P21-015 CLEANTEX. ANÁLISIS QUÍMICO DE FORMULACIONES DE DETERGENTES BIODEGRADABLES Y ESTUDIO DE INGREDIENTES: ANÁLISIS ÁCIDOS GRASOS 6-175,00 - 1050,00€ ANÁLISIS TENSIOACTIVOS  6-175,00 - 1050,00€ ANÁLISIS ENZIMAS 6 - 100,00 - 600,00€</t>
  </si>
  <si>
    <t>35.30.6C.01.50</t>
  </si>
  <si>
    <t>ANÁLISIS DE LOS CATIONES Mg, Na y K EN TRES MUESTRAS DE YESO. ANÁLISIS REALIZADOS 18/06/2021</t>
  </si>
  <si>
    <t>35.30.6C.01.51</t>
  </si>
  <si>
    <t>ANÁLISIS DE LOS CATIONES Mg, Na y K EN UNA MUESTRA DE YESO. ANÁLISIS REALIZADO 18/06/2021</t>
  </si>
  <si>
    <t>35.30.6C.01.52</t>
  </si>
  <si>
    <t>APLICACIÓN DE TÉCNICAS ANALÍTICAS DE ESTUDIO DE COMPOSICIÓN PARA LA IDENTIFICACIÓN DE NUEVOS COMPONENTES SOSTENIBLES FORMULADOS. Nº PEDIDO 57290</t>
  </si>
  <si>
    <t>35.30.6C.01.53</t>
  </si>
  <si>
    <t>Nº PEDIDO: PM187064. CARACTERIZACIÓN TÉRMICO-DINÁMICA, TÉRMICA Y FÍSICA DE COMPOSITE BIO-BASED Y CARACTERIZACIÓN MEDIANTE XRD, RMN DE PARTÍCULAS AGLOMERADAS</t>
  </si>
  <si>
    <t>35.30.6C.01.55</t>
  </si>
  <si>
    <t>932.199 DESARROLLO NUEVO CUBO FUNCIONAL ECOEFICIENTE</t>
  </si>
  <si>
    <t>35.30.6C.01.56</t>
  </si>
  <si>
    <t>932.384 - DESARROLLO DE UN NUEVO SISTEMA DE EMBALAJE FUNCIONAL FÁCILMENTE APILABLE ECOEFICIENTE</t>
  </si>
  <si>
    <t>35.30.6C.01.57</t>
  </si>
  <si>
    <t>ANÁLISIS DE LOS CATIONES Mg, Na y K EN CUATRO MUESTRAS DE YESO. ANÁLISIS REALIZADOS EL 20/09/2021</t>
  </si>
  <si>
    <t>35.30.6C.01.58</t>
  </si>
  <si>
    <t>ANÁLISIS DE LOS CATIONES Mg, Na y K EN ONCE MUESTRAS DE YESO. ANÁLISIS REALIZADOS EL 29/10/2021</t>
  </si>
  <si>
    <t>35.30.6C.01.59</t>
  </si>
  <si>
    <t>ANÁLISIS DE LOS CATIONES Mg, Na y K EN UNA MUESTRA DE YESO. ANÁLISIS REALIZADO EL 20/09/2021</t>
  </si>
  <si>
    <t>35.30.6C.01.60</t>
  </si>
  <si>
    <t>ANÁLISIS QUÍMICO DE MUESTRAS DE ALMIDÓN.</t>
  </si>
  <si>
    <t>35.30.6C.01.62</t>
  </si>
  <si>
    <t>CARACTERIZACIÓN DE MATERIALES POLIMÉRICOS Y NANOCOMPUESTOS</t>
  </si>
  <si>
    <t xml:space="preserve">PGC2018-100711-B-I00 </t>
  </si>
  <si>
    <t>35.30.6P.00.32</t>
  </si>
  <si>
    <t>INNEST/2020/110 (Desarrollo de envases compostables con propiedades de barrera al oxígeno) AÑO 2020</t>
  </si>
  <si>
    <t>35.30.6P.00.36</t>
  </si>
  <si>
    <t>PID2020-116496RB-C21</t>
  </si>
  <si>
    <t>35.30.6P.00.39</t>
  </si>
  <si>
    <t>PDC2021 -121345-C21 PDC-2021-1 1 ANUALIDAD PARA EL PAGO DE LA ANUALIDAD 2021 PROYECTOS PRUEBAS DE CONCEPTO (PDC)</t>
  </si>
  <si>
    <t>FINAL PAIEMENT BARBARA</t>
  </si>
  <si>
    <t>TERCER PAGO INTERMEDIO PROYECTO ECOAT, INVESTIGADOR PPAL MARI CARMEN GARRIGOS</t>
  </si>
  <si>
    <t>Martínez del Olmo, Santiago </t>
  </si>
  <si>
    <t>¿Development of new methodologies based on icp techniques for the elemental analysis of renewable fuel feedstock and light petroleum products¿ </t>
  </si>
  <si>
    <t>27/04/2022 </t>
  </si>
  <si>
    <t>74003073K </t>
  </si>
  <si>
    <t>Rubio Barber, Gemma Maria </t>
  </si>
  <si>
    <t>Estudio de la problemática y resolución en la cuantificación de ftalatos en el sector calzado </t>
  </si>
  <si>
    <t>10/06/2022 </t>
  </si>
  <si>
    <t>COD DEP</t>
  </si>
  <si>
    <t>74244305Y</t>
  </si>
  <si>
    <t>MARTINEZ RODRIGUEZ, ALEJANDRO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</si>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</sst>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8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Fill="1"/>
    <xf numFmtId="0" fontId="10" fillId="0" borderId="0" xfId="5" applyFont="1" applyAlignment="1">
      <alignment horizontal="righ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7" xfId="0" applyNumberFormat="1" applyFont="1" applyFill="1" applyBorder="1"/>
    <xf numFmtId="0" fontId="12" fillId="7" borderId="8" xfId="0" applyNumberFormat="1" applyFont="1" applyFill="1" applyBorder="1"/>
    <xf numFmtId="0" fontId="12" fillId="7" borderId="9" xfId="0" applyNumberFormat="1" applyFont="1" applyFill="1" applyBorder="1"/>
    <xf numFmtId="0" fontId="0" fillId="8" borderId="7" xfId="0" applyNumberFormat="1" applyFont="1" applyFill="1" applyBorder="1"/>
    <xf numFmtId="0" fontId="0" fillId="8" borderId="8" xfId="0" applyFont="1" applyFill="1" applyBorder="1"/>
    <xf numFmtId="4" fontId="0" fillId="8" borderId="9" xfId="0" applyNumberFormat="1" applyFont="1" applyFill="1" applyBorder="1"/>
    <xf numFmtId="0" fontId="0" fillId="0" borderId="7" xfId="0" applyNumberFormat="1" applyFont="1" applyBorder="1"/>
    <xf numFmtId="0" fontId="0" fillId="0" borderId="8" xfId="0" applyFont="1" applyBorder="1"/>
    <xf numFmtId="4" fontId="0" fillId="0" borderId="9" xfId="0" applyNumberFormat="1" applyFont="1" applyBorder="1"/>
    <xf numFmtId="0" fontId="13" fillId="0" borderId="10" xfId="0" applyFont="1" applyBorder="1"/>
    <xf numFmtId="0" fontId="13" fillId="0" borderId="11" xfId="0" applyFont="1" applyBorder="1"/>
    <xf numFmtId="4" fontId="13" fillId="0" borderId="12" xfId="0" applyNumberFormat="1" applyFont="1" applyBorder="1"/>
    <xf numFmtId="0" fontId="12" fillId="7" borderId="13" xfId="0" applyNumberFormat="1" applyFont="1" applyFill="1" applyBorder="1"/>
    <xf numFmtId="0" fontId="12" fillId="7" borderId="14" xfId="0" applyNumberFormat="1" applyFont="1" applyFill="1" applyBorder="1"/>
    <xf numFmtId="0" fontId="12" fillId="7" borderId="15" xfId="0" applyFont="1" applyFill="1" applyBorder="1" applyAlignment="1">
      <alignment horizontal="right"/>
    </xf>
    <xf numFmtId="0" fontId="0" fillId="9" borderId="16" xfId="0" applyNumberFormat="1" applyFont="1" applyFill="1" applyBorder="1"/>
    <xf numFmtId="0" fontId="0" fillId="9" borderId="17" xfId="0" applyFont="1" applyFill="1" applyBorder="1"/>
    <xf numFmtId="4" fontId="0" fillId="9" borderId="18" xfId="0" applyNumberFormat="1" applyFont="1" applyFill="1" applyBorder="1"/>
    <xf numFmtId="0" fontId="0" fillId="8" borderId="16" xfId="0" applyNumberFormat="1" applyFont="1" applyFill="1" applyBorder="1"/>
    <xf numFmtId="0" fontId="0" fillId="8" borderId="17" xfId="0" applyFont="1" applyFill="1" applyBorder="1"/>
    <xf numFmtId="4" fontId="0" fillId="8" borderId="18" xfId="0" applyNumberFormat="1" applyFont="1" applyFill="1" applyBorder="1"/>
    <xf numFmtId="0" fontId="12" fillId="7" borderId="19" xfId="0" applyFont="1" applyFill="1" applyBorder="1"/>
    <xf numFmtId="0" fontId="12" fillId="7" borderId="20" xfId="0" applyFont="1" applyFill="1" applyBorder="1"/>
    <xf numFmtId="4" fontId="12" fillId="7" borderId="21" xfId="0" applyNumberFormat="1" applyFont="1" applyFill="1" applyBorder="1"/>
    <xf numFmtId="0" fontId="3" fillId="4" borderId="22" xfId="1" applyFill="1" applyBorder="1"/>
    <xf numFmtId="165" fontId="3" fillId="4" borderId="23" xfId="1" applyNumberFormat="1" applyFill="1" applyBorder="1"/>
    <xf numFmtId="0" fontId="3" fillId="4" borderId="22" xfId="1" applyFill="1" applyBorder="1" applyAlignment="1">
      <alignment horizontal="right"/>
    </xf>
    <xf numFmtId="1" fontId="3" fillId="4" borderId="22" xfId="1" applyNumberFormat="1" applyFill="1" applyBorder="1"/>
    <xf numFmtId="164" fontId="3" fillId="4" borderId="22" xfId="1" applyNumberForma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24" xfId="1" applyFont="1" applyFill="1" applyBorder="1" applyAlignment="1"/>
    <xf numFmtId="0" fontId="3" fillId="10" borderId="24" xfId="1" applyFont="1" applyFill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10" borderId="25" xfId="5" applyFont="1" applyFill="1" applyBorder="1"/>
    <xf numFmtId="0" fontId="10" fillId="10" borderId="25" xfId="5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4" fontId="0" fillId="10" borderId="1" xfId="0" applyNumberFormat="1" applyFill="1" applyBorder="1" applyAlignment="1">
      <alignment horizontal="right"/>
    </xf>
    <xf numFmtId="164" fontId="4" fillId="10" borderId="24" xfId="1" applyNumberFormat="1" applyFont="1" applyFill="1" applyBorder="1" applyAlignment="1"/>
    <xf numFmtId="0" fontId="14" fillId="10" borderId="25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showGridLines="0" tabSelected="1" zoomScale="120" zoomScaleNormal="120" workbookViewId="0">
      <pane xSplit="1" ySplit="1" topLeftCell="F11" activePane="bottomRight" state="frozen"/>
      <selection pane="topRight" activeCell="B1" sqref="B1"/>
      <selection pane="bottomLeft" activeCell="A2" sqref="A2"/>
      <selection pane="bottomRight" activeCell="S32" sqref="S32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8" t="s">
        <v>19</v>
      </c>
      <c r="J1" s="9" t="s">
        <v>20</v>
      </c>
      <c r="K1" s="8" t="s">
        <v>21</v>
      </c>
      <c r="L1" s="9" t="s">
        <v>22</v>
      </c>
      <c r="M1" s="10" t="s">
        <v>23</v>
      </c>
      <c r="N1" s="11" t="s">
        <v>24</v>
      </c>
      <c r="O1" s="12" t="s">
        <v>25</v>
      </c>
      <c r="P1" s="11" t="s">
        <v>26</v>
      </c>
      <c r="Q1" s="12" t="s">
        <v>27</v>
      </c>
      <c r="R1" s="11" t="s">
        <v>28</v>
      </c>
      <c r="S1" s="11" t="s">
        <v>29</v>
      </c>
      <c r="T1" s="11" t="s">
        <v>30</v>
      </c>
      <c r="U1" s="11" t="s">
        <v>31</v>
      </c>
    </row>
    <row r="2" spans="1:21" x14ac:dyDescent="0.2">
      <c r="A2" s="21" t="s">
        <v>32</v>
      </c>
      <c r="B2" s="21" t="s">
        <v>33</v>
      </c>
      <c r="C2" s="21" t="s">
        <v>34</v>
      </c>
      <c r="D2" s="21" t="s">
        <v>70</v>
      </c>
      <c r="E2" s="21" t="s">
        <v>71</v>
      </c>
      <c r="F2" s="21" t="s">
        <v>72</v>
      </c>
      <c r="G2" s="21" t="s">
        <v>73</v>
      </c>
      <c r="H2" s="21" t="s">
        <v>35</v>
      </c>
      <c r="I2" s="21" t="s">
        <v>32</v>
      </c>
      <c r="J2" s="21" t="s">
        <v>33</v>
      </c>
      <c r="K2" s="24">
        <v>0.5</v>
      </c>
      <c r="L2" s="21" t="s">
        <v>63</v>
      </c>
      <c r="M2" s="21">
        <v>2016</v>
      </c>
      <c r="N2" s="21" t="s">
        <v>37</v>
      </c>
      <c r="O2" s="22" t="s">
        <v>37</v>
      </c>
      <c r="P2" s="21" t="s">
        <v>37</v>
      </c>
      <c r="Q2" s="22" t="s">
        <v>37</v>
      </c>
      <c r="R2" s="23">
        <v>100</v>
      </c>
      <c r="S2" s="24">
        <v>0.5</v>
      </c>
      <c r="T2" s="24">
        <v>0</v>
      </c>
      <c r="U2" s="24">
        <v>0</v>
      </c>
    </row>
    <row r="3" spans="1:21" x14ac:dyDescent="0.2">
      <c r="A3" s="21" t="s">
        <v>32</v>
      </c>
      <c r="B3" s="21" t="s">
        <v>33</v>
      </c>
      <c r="C3" s="21" t="s">
        <v>34</v>
      </c>
      <c r="D3" s="21" t="s">
        <v>70</v>
      </c>
      <c r="E3" s="21" t="s">
        <v>71</v>
      </c>
      <c r="F3" s="21" t="s">
        <v>72</v>
      </c>
      <c r="G3" s="21" t="s">
        <v>74</v>
      </c>
      <c r="H3" s="21" t="s">
        <v>35</v>
      </c>
      <c r="I3" s="21" t="s">
        <v>32</v>
      </c>
      <c r="J3" s="21" t="s">
        <v>33</v>
      </c>
      <c r="K3" s="24">
        <v>0.5</v>
      </c>
      <c r="L3" s="21" t="s">
        <v>63</v>
      </c>
      <c r="M3" s="21">
        <v>2016</v>
      </c>
      <c r="N3" s="21" t="s">
        <v>37</v>
      </c>
      <c r="O3" s="22" t="s">
        <v>37</v>
      </c>
      <c r="P3" s="21" t="s">
        <v>37</v>
      </c>
      <c r="Q3" s="22" t="s">
        <v>37</v>
      </c>
      <c r="R3" s="23">
        <v>100</v>
      </c>
      <c r="S3" s="24">
        <v>0.5</v>
      </c>
      <c r="T3" s="24">
        <v>0</v>
      </c>
      <c r="U3" s="24">
        <v>0</v>
      </c>
    </row>
    <row r="4" spans="1:21" x14ac:dyDescent="0.2">
      <c r="A4" s="21" t="s">
        <v>58</v>
      </c>
      <c r="B4" s="21" t="s">
        <v>59</v>
      </c>
      <c r="C4" s="21" t="s">
        <v>60</v>
      </c>
      <c r="D4" s="21" t="s">
        <v>68</v>
      </c>
      <c r="E4" s="21" t="s">
        <v>69</v>
      </c>
      <c r="F4" s="21" t="s">
        <v>46</v>
      </c>
      <c r="G4" s="21" t="s">
        <v>65</v>
      </c>
      <c r="H4" s="21" t="s">
        <v>35</v>
      </c>
      <c r="I4" s="21" t="s">
        <v>32</v>
      </c>
      <c r="J4" s="21" t="s">
        <v>33</v>
      </c>
      <c r="K4" s="24">
        <v>0.5</v>
      </c>
      <c r="L4" s="21" t="s">
        <v>63</v>
      </c>
      <c r="M4" s="21">
        <v>2016</v>
      </c>
      <c r="N4" s="21" t="s">
        <v>37</v>
      </c>
      <c r="O4" s="22" t="s">
        <v>37</v>
      </c>
      <c r="P4" s="21" t="s">
        <v>37</v>
      </c>
      <c r="Q4" s="22" t="s">
        <v>37</v>
      </c>
      <c r="R4" s="23">
        <v>100</v>
      </c>
      <c r="S4" s="24">
        <v>0.5</v>
      </c>
      <c r="T4" s="24">
        <v>0</v>
      </c>
      <c r="U4" s="24">
        <v>0</v>
      </c>
    </row>
    <row r="5" spans="1:21" x14ac:dyDescent="0.2">
      <c r="A5" s="21" t="s">
        <v>48</v>
      </c>
      <c r="B5" s="21" t="s">
        <v>49</v>
      </c>
      <c r="C5" s="21" t="s">
        <v>50</v>
      </c>
      <c r="D5" s="21" t="s">
        <v>75</v>
      </c>
      <c r="E5" s="21" t="s">
        <v>76</v>
      </c>
      <c r="F5" s="21" t="s">
        <v>45</v>
      </c>
      <c r="G5" s="21" t="s">
        <v>67</v>
      </c>
      <c r="H5" s="21" t="s">
        <v>35</v>
      </c>
      <c r="I5" s="21" t="s">
        <v>32</v>
      </c>
      <c r="J5" s="21" t="s">
        <v>33</v>
      </c>
      <c r="K5" s="24">
        <v>0.5</v>
      </c>
      <c r="L5" s="21" t="s">
        <v>63</v>
      </c>
      <c r="M5" s="21">
        <v>2016</v>
      </c>
      <c r="N5" s="21" t="s">
        <v>47</v>
      </c>
      <c r="O5" s="22" t="s">
        <v>44</v>
      </c>
      <c r="P5" s="21" t="s">
        <v>37</v>
      </c>
      <c r="Q5" s="22" t="s">
        <v>37</v>
      </c>
      <c r="R5" s="23">
        <v>80</v>
      </c>
      <c r="S5" s="24">
        <v>0.4</v>
      </c>
      <c r="T5" s="24">
        <v>0.1</v>
      </c>
      <c r="U5" s="24">
        <v>0</v>
      </c>
    </row>
    <row r="6" spans="1:21" x14ac:dyDescent="0.2">
      <c r="A6" s="21" t="s">
        <v>48</v>
      </c>
      <c r="B6" s="21" t="s">
        <v>49</v>
      </c>
      <c r="C6" s="21" t="s">
        <v>50</v>
      </c>
      <c r="D6" s="21" t="s">
        <v>75</v>
      </c>
      <c r="E6" s="21" t="s">
        <v>76</v>
      </c>
      <c r="F6" s="21" t="s">
        <v>45</v>
      </c>
      <c r="G6" s="21" t="s">
        <v>64</v>
      </c>
      <c r="H6" s="21" t="s">
        <v>35</v>
      </c>
      <c r="I6" s="21" t="s">
        <v>32</v>
      </c>
      <c r="J6" s="21" t="s">
        <v>33</v>
      </c>
      <c r="K6" s="24">
        <v>0.5</v>
      </c>
      <c r="L6" s="21" t="s">
        <v>63</v>
      </c>
      <c r="M6" s="21">
        <v>2016</v>
      </c>
      <c r="N6" s="21" t="s">
        <v>47</v>
      </c>
      <c r="O6" s="22" t="s">
        <v>36</v>
      </c>
      <c r="P6" s="21" t="s">
        <v>37</v>
      </c>
      <c r="Q6" s="22" t="s">
        <v>37</v>
      </c>
      <c r="R6" s="23">
        <v>50</v>
      </c>
      <c r="S6" s="24">
        <v>0.25</v>
      </c>
      <c r="T6" s="24">
        <v>0.25</v>
      </c>
      <c r="U6" s="24">
        <v>0</v>
      </c>
    </row>
    <row r="7" spans="1:21" x14ac:dyDescent="0.2">
      <c r="A7" s="21" t="s">
        <v>48</v>
      </c>
      <c r="B7" s="21" t="s">
        <v>49</v>
      </c>
      <c r="C7" s="21" t="s">
        <v>50</v>
      </c>
      <c r="D7" s="21" t="s">
        <v>51</v>
      </c>
      <c r="E7" s="21" t="s">
        <v>52</v>
      </c>
      <c r="F7" s="21" t="s">
        <v>53</v>
      </c>
      <c r="G7" s="21" t="s">
        <v>67</v>
      </c>
      <c r="H7" s="21" t="s">
        <v>35</v>
      </c>
      <c r="I7" s="21" t="s">
        <v>32</v>
      </c>
      <c r="J7" s="21" t="s">
        <v>33</v>
      </c>
      <c r="K7" s="24">
        <v>0.5</v>
      </c>
      <c r="L7" s="21" t="s">
        <v>63</v>
      </c>
      <c r="M7" s="21">
        <v>2016</v>
      </c>
      <c r="N7" s="21" t="s">
        <v>47</v>
      </c>
      <c r="O7" s="22" t="s">
        <v>44</v>
      </c>
      <c r="P7" s="21" t="s">
        <v>37</v>
      </c>
      <c r="Q7" s="22" t="s">
        <v>37</v>
      </c>
      <c r="R7" s="23">
        <v>80</v>
      </c>
      <c r="S7" s="24">
        <v>0.4</v>
      </c>
      <c r="T7" s="24">
        <v>0.1</v>
      </c>
      <c r="U7" s="24">
        <v>0</v>
      </c>
    </row>
    <row r="8" spans="1:21" x14ac:dyDescent="0.2">
      <c r="A8" s="21" t="s">
        <v>38</v>
      </c>
      <c r="B8" s="21" t="s">
        <v>39</v>
      </c>
      <c r="C8" s="21" t="s">
        <v>40</v>
      </c>
      <c r="D8" s="21" t="s">
        <v>84</v>
      </c>
      <c r="E8" s="21" t="s">
        <v>85</v>
      </c>
      <c r="F8" s="21" t="s">
        <v>86</v>
      </c>
      <c r="G8" s="21" t="s">
        <v>73</v>
      </c>
      <c r="H8" s="21" t="s">
        <v>35</v>
      </c>
      <c r="I8" s="21" t="s">
        <v>32</v>
      </c>
      <c r="J8" s="21" t="s">
        <v>33</v>
      </c>
      <c r="K8" s="24">
        <v>0.5</v>
      </c>
      <c r="L8" s="21" t="s">
        <v>63</v>
      </c>
      <c r="M8" s="21">
        <v>2017</v>
      </c>
      <c r="N8" s="21" t="s">
        <v>37</v>
      </c>
      <c r="O8" s="22" t="s">
        <v>37</v>
      </c>
      <c r="P8" s="21" t="s">
        <v>37</v>
      </c>
      <c r="Q8" s="22" t="s">
        <v>37</v>
      </c>
      <c r="R8" s="23">
        <v>100</v>
      </c>
      <c r="S8" s="24">
        <v>0.5</v>
      </c>
      <c r="T8" s="24">
        <v>0</v>
      </c>
      <c r="U8" s="24">
        <v>0</v>
      </c>
    </row>
    <row r="9" spans="1:21" x14ac:dyDescent="0.2">
      <c r="A9" s="21" t="s">
        <v>38</v>
      </c>
      <c r="B9" s="21" t="s">
        <v>39</v>
      </c>
      <c r="C9" s="21" t="s">
        <v>40</v>
      </c>
      <c r="D9" s="21" t="s">
        <v>79</v>
      </c>
      <c r="E9" s="21" t="s">
        <v>80</v>
      </c>
      <c r="F9" s="21" t="s">
        <v>81</v>
      </c>
      <c r="G9" s="21" t="s">
        <v>82</v>
      </c>
      <c r="H9" s="21" t="s">
        <v>35</v>
      </c>
      <c r="I9" s="21" t="s">
        <v>32</v>
      </c>
      <c r="J9" s="21" t="s">
        <v>33</v>
      </c>
      <c r="K9" s="24">
        <v>0.5</v>
      </c>
      <c r="L9" s="21" t="s">
        <v>63</v>
      </c>
      <c r="M9" s="21">
        <v>2017</v>
      </c>
      <c r="N9" s="21" t="s">
        <v>37</v>
      </c>
      <c r="O9" s="22" t="s">
        <v>37</v>
      </c>
      <c r="P9" s="21" t="s">
        <v>37</v>
      </c>
      <c r="Q9" s="22" t="s">
        <v>37</v>
      </c>
      <c r="R9" s="23">
        <v>100</v>
      </c>
      <c r="S9" s="24">
        <v>0.5</v>
      </c>
      <c r="T9" s="24">
        <v>0</v>
      </c>
      <c r="U9" s="24">
        <v>0</v>
      </c>
    </row>
    <row r="10" spans="1:21" x14ac:dyDescent="0.2">
      <c r="A10" s="21" t="s">
        <v>38</v>
      </c>
      <c r="B10" s="21" t="s">
        <v>39</v>
      </c>
      <c r="C10" s="21" t="s">
        <v>40</v>
      </c>
      <c r="D10" s="21" t="s">
        <v>79</v>
      </c>
      <c r="E10" s="21" t="s">
        <v>80</v>
      </c>
      <c r="F10" s="21" t="s">
        <v>81</v>
      </c>
      <c r="G10" s="21" t="s">
        <v>83</v>
      </c>
      <c r="H10" s="21" t="s">
        <v>35</v>
      </c>
      <c r="I10" s="21" t="s">
        <v>32</v>
      </c>
      <c r="J10" s="21" t="s">
        <v>33</v>
      </c>
      <c r="K10" s="24">
        <v>0.5</v>
      </c>
      <c r="L10" s="21" t="s">
        <v>63</v>
      </c>
      <c r="M10" s="21">
        <v>2017</v>
      </c>
      <c r="N10" s="21" t="s">
        <v>37</v>
      </c>
      <c r="O10" s="22" t="s">
        <v>37</v>
      </c>
      <c r="P10" s="21" t="s">
        <v>37</v>
      </c>
      <c r="Q10" s="22" t="s">
        <v>37</v>
      </c>
      <c r="R10" s="23">
        <v>100</v>
      </c>
      <c r="S10" s="24">
        <v>0.5</v>
      </c>
      <c r="T10" s="24">
        <v>0</v>
      </c>
      <c r="U10" s="24">
        <v>0</v>
      </c>
    </row>
    <row r="11" spans="1:21" x14ac:dyDescent="0.2">
      <c r="A11" s="21" t="s">
        <v>48</v>
      </c>
      <c r="B11" s="21" t="s">
        <v>49</v>
      </c>
      <c r="C11" s="21" t="s">
        <v>50</v>
      </c>
      <c r="D11" s="21" t="s">
        <v>77</v>
      </c>
      <c r="E11" s="21" t="s">
        <v>78</v>
      </c>
      <c r="F11" s="21" t="s">
        <v>61</v>
      </c>
      <c r="G11" s="21" t="s">
        <v>67</v>
      </c>
      <c r="H11" s="21" t="s">
        <v>35</v>
      </c>
      <c r="I11" s="21" t="s">
        <v>32</v>
      </c>
      <c r="J11" s="21" t="s">
        <v>33</v>
      </c>
      <c r="K11" s="24">
        <v>0.5</v>
      </c>
      <c r="L11" s="21" t="s">
        <v>63</v>
      </c>
      <c r="M11" s="21">
        <v>2017</v>
      </c>
      <c r="N11" s="21" t="s">
        <v>47</v>
      </c>
      <c r="O11" s="22" t="s">
        <v>44</v>
      </c>
      <c r="P11" s="21" t="s">
        <v>37</v>
      </c>
      <c r="Q11" s="22" t="s">
        <v>37</v>
      </c>
      <c r="R11" s="23">
        <v>80</v>
      </c>
      <c r="S11" s="24">
        <v>0.4</v>
      </c>
      <c r="T11" s="24">
        <v>0.1</v>
      </c>
      <c r="U11" s="24">
        <v>0</v>
      </c>
    </row>
    <row r="12" spans="1:21" x14ac:dyDescent="0.2">
      <c r="A12" s="21" t="s">
        <v>48</v>
      </c>
      <c r="B12" s="21" t="s">
        <v>49</v>
      </c>
      <c r="C12" s="21" t="s">
        <v>50</v>
      </c>
      <c r="D12" s="21" t="s">
        <v>77</v>
      </c>
      <c r="E12" s="21" t="s">
        <v>78</v>
      </c>
      <c r="F12" s="21" t="s">
        <v>61</v>
      </c>
      <c r="G12" s="21" t="s">
        <v>64</v>
      </c>
      <c r="H12" s="21" t="s">
        <v>35</v>
      </c>
      <c r="I12" s="21" t="s">
        <v>32</v>
      </c>
      <c r="J12" s="21" t="s">
        <v>33</v>
      </c>
      <c r="K12" s="24">
        <v>0.5</v>
      </c>
      <c r="L12" s="21" t="s">
        <v>63</v>
      </c>
      <c r="M12" s="21">
        <v>2017</v>
      </c>
      <c r="N12" s="21" t="s">
        <v>47</v>
      </c>
      <c r="O12" s="22" t="s">
        <v>36</v>
      </c>
      <c r="P12" s="21" t="s">
        <v>37</v>
      </c>
      <c r="Q12" s="22" t="s">
        <v>37</v>
      </c>
      <c r="R12" s="23">
        <v>50</v>
      </c>
      <c r="S12" s="24">
        <v>0.25</v>
      </c>
      <c r="T12" s="24">
        <v>0.25</v>
      </c>
      <c r="U12" s="24">
        <v>0</v>
      </c>
    </row>
    <row r="13" spans="1:21" x14ac:dyDescent="0.2">
      <c r="A13" s="59" t="s">
        <v>38</v>
      </c>
      <c r="B13" s="59" t="s">
        <v>39</v>
      </c>
      <c r="C13" s="59" t="s">
        <v>40</v>
      </c>
      <c r="D13" s="59" t="s">
        <v>87</v>
      </c>
      <c r="E13" s="59" t="s">
        <v>88</v>
      </c>
      <c r="F13" s="59" t="s">
        <v>89</v>
      </c>
      <c r="G13" s="59" t="s">
        <v>73</v>
      </c>
      <c r="H13" s="59" t="s">
        <v>41</v>
      </c>
      <c r="I13" s="59" t="s">
        <v>32</v>
      </c>
      <c r="J13" s="59" t="s">
        <v>33</v>
      </c>
      <c r="K13" s="60">
        <v>1</v>
      </c>
      <c r="L13" s="59" t="s">
        <v>63</v>
      </c>
      <c r="M13" s="59">
        <v>2017</v>
      </c>
      <c r="N13" s="59" t="s">
        <v>37</v>
      </c>
      <c r="O13" s="61" t="s">
        <v>37</v>
      </c>
      <c r="P13" s="59" t="s">
        <v>37</v>
      </c>
      <c r="Q13" s="61" t="s">
        <v>37</v>
      </c>
      <c r="R13" s="62">
        <v>100</v>
      </c>
      <c r="S13" s="63">
        <v>1</v>
      </c>
      <c r="T13" s="63">
        <v>0</v>
      </c>
      <c r="U13" s="63">
        <v>0</v>
      </c>
    </row>
    <row r="14" spans="1:21" x14ac:dyDescent="0.2">
      <c r="A14" s="21" t="s">
        <v>38</v>
      </c>
      <c r="B14" s="21" t="s">
        <v>39</v>
      </c>
      <c r="C14" s="21" t="s">
        <v>40</v>
      </c>
      <c r="D14" s="21" t="s">
        <v>90</v>
      </c>
      <c r="E14" s="21" t="s">
        <v>91</v>
      </c>
      <c r="F14" s="21" t="s">
        <v>57</v>
      </c>
      <c r="G14" s="21" t="s">
        <v>73</v>
      </c>
      <c r="H14" s="21" t="s">
        <v>35</v>
      </c>
      <c r="I14" s="21" t="s">
        <v>32</v>
      </c>
      <c r="J14" s="21" t="s">
        <v>33</v>
      </c>
      <c r="K14" s="64">
        <v>0.5</v>
      </c>
      <c r="L14" s="21" t="s">
        <v>63</v>
      </c>
      <c r="M14" s="21">
        <v>2018</v>
      </c>
      <c r="N14" s="21" t="s">
        <v>37</v>
      </c>
      <c r="O14" s="22" t="s">
        <v>37</v>
      </c>
      <c r="P14" s="21" t="s">
        <v>37</v>
      </c>
      <c r="Q14" s="22" t="s">
        <v>37</v>
      </c>
      <c r="R14" s="23">
        <v>100</v>
      </c>
      <c r="S14" s="24">
        <v>0.5</v>
      </c>
      <c r="T14" s="24">
        <v>0</v>
      </c>
      <c r="U14" s="24">
        <v>0</v>
      </c>
    </row>
    <row r="15" spans="1:21" x14ac:dyDescent="0.2">
      <c r="A15" s="21" t="s">
        <v>38</v>
      </c>
      <c r="B15" s="21" t="s">
        <v>39</v>
      </c>
      <c r="C15" s="21" t="s">
        <v>40</v>
      </c>
      <c r="D15" s="21" t="s">
        <v>95</v>
      </c>
      <c r="E15" s="21" t="s">
        <v>96</v>
      </c>
      <c r="F15" s="21" t="s">
        <v>97</v>
      </c>
      <c r="G15" s="21" t="s">
        <v>82</v>
      </c>
      <c r="H15" s="21" t="s">
        <v>35</v>
      </c>
      <c r="I15" s="21" t="s">
        <v>32</v>
      </c>
      <c r="J15" s="21" t="s">
        <v>33</v>
      </c>
      <c r="K15" s="64">
        <v>0.5</v>
      </c>
      <c r="L15" s="21" t="s">
        <v>63</v>
      </c>
      <c r="M15" s="21">
        <v>2018</v>
      </c>
      <c r="N15" s="21" t="s">
        <v>43</v>
      </c>
      <c r="O15" s="22" t="s">
        <v>42</v>
      </c>
      <c r="P15" s="21" t="s">
        <v>37</v>
      </c>
      <c r="Q15" s="22" t="s">
        <v>37</v>
      </c>
      <c r="R15" s="23">
        <v>90</v>
      </c>
      <c r="S15" s="24">
        <v>0.45</v>
      </c>
      <c r="T15" s="24">
        <v>0.05</v>
      </c>
      <c r="U15" s="24">
        <v>0</v>
      </c>
    </row>
    <row r="16" spans="1:21" x14ac:dyDescent="0.2">
      <c r="A16" s="21" t="s">
        <v>38</v>
      </c>
      <c r="B16" s="21" t="s">
        <v>39</v>
      </c>
      <c r="C16" s="21" t="s">
        <v>40</v>
      </c>
      <c r="D16" s="21" t="s">
        <v>95</v>
      </c>
      <c r="E16" s="21" t="s">
        <v>96</v>
      </c>
      <c r="F16" s="21" t="s">
        <v>97</v>
      </c>
      <c r="G16" s="21" t="s">
        <v>98</v>
      </c>
      <c r="H16" s="21" t="s">
        <v>35</v>
      </c>
      <c r="I16" s="21" t="s">
        <v>32</v>
      </c>
      <c r="J16" s="21" t="s">
        <v>33</v>
      </c>
      <c r="K16" s="64">
        <v>0.5</v>
      </c>
      <c r="L16" s="21" t="s">
        <v>63</v>
      </c>
      <c r="M16" s="21">
        <v>2018</v>
      </c>
      <c r="N16" s="21" t="s">
        <v>37</v>
      </c>
      <c r="O16" s="22" t="s">
        <v>37</v>
      </c>
      <c r="P16" s="21" t="s">
        <v>37</v>
      </c>
      <c r="Q16" s="22" t="s">
        <v>37</v>
      </c>
      <c r="R16" s="23">
        <v>100</v>
      </c>
      <c r="S16" s="24">
        <v>0.5</v>
      </c>
      <c r="T16" s="24">
        <v>0</v>
      </c>
      <c r="U16" s="24">
        <v>0</v>
      </c>
    </row>
    <row r="17" spans="1:21" x14ac:dyDescent="0.2">
      <c r="A17" s="21" t="s">
        <v>54</v>
      </c>
      <c r="B17" s="21" t="s">
        <v>55</v>
      </c>
      <c r="C17" s="21" t="s">
        <v>56</v>
      </c>
      <c r="D17" s="21" t="s">
        <v>92</v>
      </c>
      <c r="E17" s="21" t="s">
        <v>93</v>
      </c>
      <c r="F17" s="21" t="s">
        <v>94</v>
      </c>
      <c r="G17" s="21" t="s">
        <v>82</v>
      </c>
      <c r="H17" s="21" t="s">
        <v>35</v>
      </c>
      <c r="I17" s="21" t="s">
        <v>32</v>
      </c>
      <c r="J17" s="21" t="s">
        <v>33</v>
      </c>
      <c r="K17" s="64">
        <v>0.5</v>
      </c>
      <c r="L17" s="21" t="s">
        <v>63</v>
      </c>
      <c r="M17" s="21">
        <v>2018</v>
      </c>
      <c r="N17" s="21" t="s">
        <v>43</v>
      </c>
      <c r="O17" s="22" t="s">
        <v>42</v>
      </c>
      <c r="P17" s="21" t="s">
        <v>37</v>
      </c>
      <c r="Q17" s="22" t="s">
        <v>37</v>
      </c>
      <c r="R17" s="23">
        <v>90</v>
      </c>
      <c r="S17" s="24">
        <v>0.45</v>
      </c>
      <c r="T17" s="24">
        <v>0.05</v>
      </c>
      <c r="U17" s="24">
        <v>0</v>
      </c>
    </row>
    <row r="18" spans="1:21" x14ac:dyDescent="0.2">
      <c r="A18" s="21" t="s">
        <v>54</v>
      </c>
      <c r="B18" s="21" t="s">
        <v>55</v>
      </c>
      <c r="C18" s="21" t="s">
        <v>56</v>
      </c>
      <c r="D18" s="21" t="s">
        <v>92</v>
      </c>
      <c r="E18" s="21" t="s">
        <v>93</v>
      </c>
      <c r="F18" s="21" t="s">
        <v>94</v>
      </c>
      <c r="G18" s="21" t="s">
        <v>83</v>
      </c>
      <c r="H18" s="21" t="s">
        <v>35</v>
      </c>
      <c r="I18" s="21" t="s">
        <v>32</v>
      </c>
      <c r="J18" s="21" t="s">
        <v>33</v>
      </c>
      <c r="K18" s="64">
        <v>0.5</v>
      </c>
      <c r="L18" s="21" t="s">
        <v>63</v>
      </c>
      <c r="M18" s="21">
        <v>2018</v>
      </c>
      <c r="N18" s="21" t="s">
        <v>37</v>
      </c>
      <c r="O18" s="22" t="s">
        <v>37</v>
      </c>
      <c r="P18" s="21" t="s">
        <v>37</v>
      </c>
      <c r="Q18" s="22" t="s">
        <v>37</v>
      </c>
      <c r="R18" s="23">
        <v>100</v>
      </c>
      <c r="S18" s="24">
        <v>0.5</v>
      </c>
      <c r="T18" s="24">
        <v>0</v>
      </c>
      <c r="U18" s="24">
        <v>0</v>
      </c>
    </row>
    <row r="19" spans="1:21" x14ac:dyDescent="0.2">
      <c r="A19" s="25" t="s">
        <v>254</v>
      </c>
      <c r="B19" s="25" t="s">
        <v>255</v>
      </c>
      <c r="C19" s="25" t="s">
        <v>256</v>
      </c>
      <c r="D19" s="25" t="s">
        <v>257</v>
      </c>
      <c r="E19" s="25" t="s">
        <v>258</v>
      </c>
      <c r="F19" s="25" t="s">
        <v>259</v>
      </c>
      <c r="G19" s="25" t="s">
        <v>67</v>
      </c>
      <c r="H19" s="25" t="s">
        <v>35</v>
      </c>
      <c r="I19" s="25" t="s">
        <v>32</v>
      </c>
      <c r="J19" s="25" t="s">
        <v>33</v>
      </c>
      <c r="K19" s="65">
        <v>0.5</v>
      </c>
      <c r="L19" s="25" t="s">
        <v>63</v>
      </c>
      <c r="M19" s="25">
        <v>2019</v>
      </c>
      <c r="N19" s="25" t="s">
        <v>47</v>
      </c>
      <c r="O19" s="26" t="s">
        <v>44</v>
      </c>
      <c r="P19" s="25" t="s">
        <v>37</v>
      </c>
      <c r="Q19" s="26" t="s">
        <v>37</v>
      </c>
      <c r="R19" s="27">
        <v>80</v>
      </c>
      <c r="S19" s="28">
        <v>0.4</v>
      </c>
      <c r="T19" s="28">
        <v>0.1</v>
      </c>
      <c r="U19" s="28">
        <v>0</v>
      </c>
    </row>
    <row r="20" spans="1:21" x14ac:dyDescent="0.2">
      <c r="A20" s="25" t="s">
        <v>48</v>
      </c>
      <c r="B20" s="25" t="s">
        <v>49</v>
      </c>
      <c r="C20" s="25" t="s">
        <v>50</v>
      </c>
      <c r="D20" s="25" t="s">
        <v>260</v>
      </c>
      <c r="E20" s="25" t="s">
        <v>261</v>
      </c>
      <c r="F20" s="25" t="s">
        <v>262</v>
      </c>
      <c r="G20" s="25" t="s">
        <v>67</v>
      </c>
      <c r="H20" s="25" t="s">
        <v>35</v>
      </c>
      <c r="I20" s="25" t="s">
        <v>32</v>
      </c>
      <c r="J20" s="25" t="s">
        <v>33</v>
      </c>
      <c r="K20" s="65">
        <v>0.5</v>
      </c>
      <c r="L20" s="25" t="s">
        <v>63</v>
      </c>
      <c r="M20" s="25">
        <v>2019</v>
      </c>
      <c r="N20" s="25" t="s">
        <v>47</v>
      </c>
      <c r="O20" s="26" t="s">
        <v>44</v>
      </c>
      <c r="P20" s="25" t="s">
        <v>37</v>
      </c>
      <c r="Q20" s="26" t="s">
        <v>37</v>
      </c>
      <c r="R20" s="27">
        <v>80</v>
      </c>
      <c r="S20" s="28">
        <v>0.4</v>
      </c>
      <c r="T20" s="28">
        <v>0.1</v>
      </c>
      <c r="U20" s="28">
        <v>0</v>
      </c>
    </row>
    <row r="21" spans="1:21" x14ac:dyDescent="0.2">
      <c r="A21" s="25" t="s">
        <v>48</v>
      </c>
      <c r="B21" s="25" t="s">
        <v>49</v>
      </c>
      <c r="C21" s="25" t="s">
        <v>50</v>
      </c>
      <c r="D21" s="25" t="s">
        <v>260</v>
      </c>
      <c r="E21" s="25" t="s">
        <v>261</v>
      </c>
      <c r="F21" s="25" t="s">
        <v>262</v>
      </c>
      <c r="G21" s="25" t="s">
        <v>64</v>
      </c>
      <c r="H21" s="25" t="s">
        <v>35</v>
      </c>
      <c r="I21" s="25" t="s">
        <v>32</v>
      </c>
      <c r="J21" s="25" t="s">
        <v>33</v>
      </c>
      <c r="K21" s="65">
        <v>0.5</v>
      </c>
      <c r="L21" s="25" t="s">
        <v>63</v>
      </c>
      <c r="M21" s="25">
        <v>2019</v>
      </c>
      <c r="N21" s="25" t="s">
        <v>47</v>
      </c>
      <c r="O21" s="26" t="s">
        <v>36</v>
      </c>
      <c r="P21" s="25" t="s">
        <v>37</v>
      </c>
      <c r="Q21" s="26" t="s">
        <v>37</v>
      </c>
      <c r="R21" s="27">
        <v>50</v>
      </c>
      <c r="S21" s="28">
        <v>0.25</v>
      </c>
      <c r="T21" s="28">
        <v>0.25</v>
      </c>
      <c r="U21" s="28">
        <v>0</v>
      </c>
    </row>
    <row r="22" spans="1:21" x14ac:dyDescent="0.2">
      <c r="A22" s="21" t="s">
        <v>38</v>
      </c>
      <c r="B22" s="21" t="s">
        <v>39</v>
      </c>
      <c r="C22" s="21" t="s">
        <v>40</v>
      </c>
      <c r="D22" s="21" t="s">
        <v>270</v>
      </c>
      <c r="E22" s="21" t="s">
        <v>271</v>
      </c>
      <c r="F22" s="21" t="s">
        <v>272</v>
      </c>
      <c r="G22" s="21" t="s">
        <v>73</v>
      </c>
      <c r="H22" s="21" t="s">
        <v>35</v>
      </c>
      <c r="I22" s="21" t="s">
        <v>32</v>
      </c>
      <c r="J22" s="21" t="s">
        <v>33</v>
      </c>
      <c r="K22" s="29">
        <v>0.33333333333333331</v>
      </c>
      <c r="L22" s="29" t="s">
        <v>63</v>
      </c>
      <c r="M22" s="30">
        <v>2019</v>
      </c>
      <c r="N22" s="21" t="s">
        <v>37</v>
      </c>
      <c r="O22" s="22" t="s">
        <v>37</v>
      </c>
      <c r="P22" s="21" t="s">
        <v>37</v>
      </c>
      <c r="Q22" s="22" t="s">
        <v>37</v>
      </c>
      <c r="R22" s="21">
        <v>100</v>
      </c>
      <c r="S22" s="21">
        <v>0.33333333333333326</v>
      </c>
      <c r="T22" s="21">
        <v>0</v>
      </c>
      <c r="U22" s="21">
        <v>0</v>
      </c>
    </row>
    <row r="23" spans="1:21" ht="10.8" thickBot="1" x14ac:dyDescent="0.25">
      <c r="A23" s="21" t="s">
        <v>48</v>
      </c>
      <c r="B23" s="21" t="s">
        <v>49</v>
      </c>
      <c r="C23" s="21" t="s">
        <v>50</v>
      </c>
      <c r="D23" s="21" t="s">
        <v>273</v>
      </c>
      <c r="E23" s="21" t="s">
        <v>274</v>
      </c>
      <c r="F23" s="21" t="s">
        <v>275</v>
      </c>
      <c r="G23" s="21" t="s">
        <v>62</v>
      </c>
      <c r="H23" s="21" t="s">
        <v>41</v>
      </c>
      <c r="I23" s="21" t="s">
        <v>32</v>
      </c>
      <c r="J23" s="21" t="s">
        <v>33</v>
      </c>
      <c r="K23" s="29">
        <v>1</v>
      </c>
      <c r="L23" s="29" t="s">
        <v>63</v>
      </c>
      <c r="M23" s="30">
        <v>2019</v>
      </c>
      <c r="N23" s="21" t="s">
        <v>47</v>
      </c>
      <c r="O23" s="22" t="s">
        <v>36</v>
      </c>
      <c r="P23" s="21" t="s">
        <v>37</v>
      </c>
      <c r="Q23" s="22" t="s">
        <v>37</v>
      </c>
      <c r="R23" s="21">
        <v>50</v>
      </c>
      <c r="S23" s="21">
        <v>0.5</v>
      </c>
      <c r="T23" s="21">
        <v>0.5</v>
      </c>
      <c r="U23" s="21">
        <v>0</v>
      </c>
    </row>
    <row r="24" spans="1:21" ht="10.8" thickBot="1" x14ac:dyDescent="0.25">
      <c r="A24" s="31" t="s">
        <v>38</v>
      </c>
      <c r="B24" s="31" t="s">
        <v>39</v>
      </c>
      <c r="C24" s="31" t="s">
        <v>40</v>
      </c>
      <c r="D24" s="31" t="s">
        <v>276</v>
      </c>
      <c r="E24" s="31" t="s">
        <v>277</v>
      </c>
      <c r="F24" s="31" t="s">
        <v>278</v>
      </c>
      <c r="G24" s="32" t="s">
        <v>65</v>
      </c>
      <c r="H24" s="33" t="s">
        <v>35</v>
      </c>
      <c r="I24" s="33" t="s">
        <v>32</v>
      </c>
      <c r="J24" s="34" t="s">
        <v>33</v>
      </c>
      <c r="K24" s="29">
        <v>0.5</v>
      </c>
      <c r="L24" s="29" t="s">
        <v>63</v>
      </c>
      <c r="M24" s="21">
        <v>2020</v>
      </c>
      <c r="N24" s="21" t="s">
        <v>37</v>
      </c>
      <c r="O24" s="22" t="s">
        <v>37</v>
      </c>
      <c r="P24" s="21" t="s">
        <v>37</v>
      </c>
      <c r="Q24" s="22" t="s">
        <v>37</v>
      </c>
      <c r="R24" s="21">
        <v>100</v>
      </c>
      <c r="S24" s="21">
        <v>0.5</v>
      </c>
      <c r="T24" s="21">
        <v>0</v>
      </c>
      <c r="U24" s="21">
        <v>0</v>
      </c>
    </row>
    <row r="25" spans="1:21" ht="10.8" thickBot="1" x14ac:dyDescent="0.25">
      <c r="A25" s="31" t="s">
        <v>38</v>
      </c>
      <c r="B25" s="31" t="s">
        <v>39</v>
      </c>
      <c r="C25" s="31" t="s">
        <v>40</v>
      </c>
      <c r="D25" s="31" t="s">
        <v>276</v>
      </c>
      <c r="E25" s="31" t="s">
        <v>277</v>
      </c>
      <c r="F25" s="31" t="s">
        <v>278</v>
      </c>
      <c r="G25" s="32" t="s">
        <v>66</v>
      </c>
      <c r="H25" s="33" t="s">
        <v>35</v>
      </c>
      <c r="I25" s="33" t="s">
        <v>32</v>
      </c>
      <c r="J25" s="34" t="s">
        <v>33</v>
      </c>
      <c r="K25" s="29">
        <v>0.5</v>
      </c>
      <c r="L25" s="29" t="s">
        <v>63</v>
      </c>
      <c r="M25" s="21">
        <v>2020</v>
      </c>
      <c r="N25" s="21" t="s">
        <v>37</v>
      </c>
      <c r="O25" s="22" t="s">
        <v>37</v>
      </c>
      <c r="P25" s="21" t="s">
        <v>37</v>
      </c>
      <c r="Q25" s="22" t="s">
        <v>37</v>
      </c>
      <c r="R25" s="21">
        <v>100</v>
      </c>
      <c r="S25" s="21">
        <v>0.5</v>
      </c>
      <c r="T25" s="21">
        <v>0</v>
      </c>
      <c r="U25" s="21">
        <v>0</v>
      </c>
    </row>
    <row r="26" spans="1:21" ht="10.8" thickBot="1" x14ac:dyDescent="0.25">
      <c r="A26" s="31" t="s">
        <v>38</v>
      </c>
      <c r="B26" s="31" t="s">
        <v>39</v>
      </c>
      <c r="C26" s="31" t="s">
        <v>40</v>
      </c>
      <c r="D26" s="31" t="s">
        <v>279</v>
      </c>
      <c r="E26" s="31" t="s">
        <v>280</v>
      </c>
      <c r="F26" s="31" t="s">
        <v>281</v>
      </c>
      <c r="G26" s="32" t="s">
        <v>82</v>
      </c>
      <c r="H26" s="33" t="s">
        <v>35</v>
      </c>
      <c r="I26" s="33" t="s">
        <v>32</v>
      </c>
      <c r="J26" s="34" t="s">
        <v>33</v>
      </c>
      <c r="K26" s="29">
        <v>0.5</v>
      </c>
      <c r="L26" s="29" t="s">
        <v>63</v>
      </c>
      <c r="M26" s="21">
        <v>2020</v>
      </c>
      <c r="N26" s="21" t="s">
        <v>43</v>
      </c>
      <c r="O26" s="22" t="s">
        <v>42</v>
      </c>
      <c r="P26" s="21" t="s">
        <v>37</v>
      </c>
      <c r="Q26" s="22" t="s">
        <v>37</v>
      </c>
      <c r="R26" s="21">
        <v>90</v>
      </c>
      <c r="S26" s="21">
        <v>0.45</v>
      </c>
      <c r="T26" s="21">
        <v>0.05</v>
      </c>
      <c r="U26" s="21">
        <v>0</v>
      </c>
    </row>
    <row r="27" spans="1:21" ht="10.8" thickBot="1" x14ac:dyDescent="0.25">
      <c r="A27" s="31" t="s">
        <v>48</v>
      </c>
      <c r="B27" s="31" t="s">
        <v>49</v>
      </c>
      <c r="C27" s="31" t="s">
        <v>50</v>
      </c>
      <c r="D27" s="31" t="s">
        <v>282</v>
      </c>
      <c r="E27" s="31" t="s">
        <v>283</v>
      </c>
      <c r="F27" s="31" t="s">
        <v>284</v>
      </c>
      <c r="G27" s="32" t="s">
        <v>285</v>
      </c>
      <c r="H27" s="33" t="s">
        <v>35</v>
      </c>
      <c r="I27" s="33" t="s">
        <v>32</v>
      </c>
      <c r="J27" s="34" t="s">
        <v>33</v>
      </c>
      <c r="K27" s="29">
        <v>0.5</v>
      </c>
      <c r="L27" s="29" t="s">
        <v>63</v>
      </c>
      <c r="M27" s="21">
        <v>2020</v>
      </c>
      <c r="N27" s="21" t="s">
        <v>37</v>
      </c>
      <c r="O27" s="22" t="s">
        <v>37</v>
      </c>
      <c r="P27" s="21" t="s">
        <v>37</v>
      </c>
      <c r="Q27" s="22" t="s">
        <v>37</v>
      </c>
      <c r="R27" s="21">
        <v>100</v>
      </c>
      <c r="S27" s="21">
        <v>0.5</v>
      </c>
      <c r="T27" s="21">
        <v>0</v>
      </c>
      <c r="U27" s="21">
        <v>0</v>
      </c>
    </row>
    <row r="28" spans="1:21" ht="10.8" thickBot="1" x14ac:dyDescent="0.25">
      <c r="A28" s="31" t="s">
        <v>48</v>
      </c>
      <c r="B28" s="31" t="s">
        <v>49</v>
      </c>
      <c r="C28" s="31" t="s">
        <v>50</v>
      </c>
      <c r="D28" s="31" t="s">
        <v>282</v>
      </c>
      <c r="E28" s="31" t="s">
        <v>283</v>
      </c>
      <c r="F28" s="31" t="s">
        <v>284</v>
      </c>
      <c r="G28" s="32" t="s">
        <v>64</v>
      </c>
      <c r="H28" s="33" t="s">
        <v>35</v>
      </c>
      <c r="I28" s="33" t="s">
        <v>32</v>
      </c>
      <c r="J28" s="34" t="s">
        <v>33</v>
      </c>
      <c r="K28" s="29">
        <v>0.5</v>
      </c>
      <c r="L28" s="29" t="s">
        <v>63</v>
      </c>
      <c r="M28" s="21">
        <v>2020</v>
      </c>
      <c r="N28" s="21" t="s">
        <v>47</v>
      </c>
      <c r="O28" s="22" t="s">
        <v>36</v>
      </c>
      <c r="P28" s="21" t="s">
        <v>37</v>
      </c>
      <c r="Q28" s="22" t="s">
        <v>37</v>
      </c>
      <c r="R28" s="21">
        <v>50</v>
      </c>
      <c r="S28" s="21">
        <v>0.25</v>
      </c>
      <c r="T28" s="21">
        <v>0.25</v>
      </c>
      <c r="U28" s="21">
        <v>0</v>
      </c>
    </row>
    <row r="29" spans="1:21" x14ac:dyDescent="0.2">
      <c r="A29" s="21" t="s">
        <v>38</v>
      </c>
      <c r="B29" s="21" t="s">
        <v>39</v>
      </c>
      <c r="C29" s="21" t="s">
        <v>40</v>
      </c>
      <c r="D29" s="21" t="s">
        <v>469</v>
      </c>
      <c r="E29" s="21" t="s">
        <v>470</v>
      </c>
      <c r="F29" s="21" t="s">
        <v>471</v>
      </c>
      <c r="G29" s="21" t="s">
        <v>472</v>
      </c>
      <c r="H29" s="21" t="s">
        <v>35</v>
      </c>
      <c r="I29" s="21" t="s">
        <v>32</v>
      </c>
      <c r="J29" s="21" t="s">
        <v>33</v>
      </c>
      <c r="K29" s="29">
        <v>0.5</v>
      </c>
      <c r="L29" s="29" t="s">
        <v>63</v>
      </c>
      <c r="M29" s="21">
        <v>2021</v>
      </c>
      <c r="N29" s="21" t="s">
        <v>37</v>
      </c>
      <c r="O29" s="22" t="s">
        <v>37</v>
      </c>
      <c r="P29" s="21" t="s">
        <v>37</v>
      </c>
      <c r="Q29" s="22" t="s">
        <v>37</v>
      </c>
      <c r="R29" s="21">
        <v>100</v>
      </c>
      <c r="S29" s="21">
        <v>0.5</v>
      </c>
      <c r="T29" s="21">
        <v>0</v>
      </c>
      <c r="U29" s="21">
        <v>0</v>
      </c>
    </row>
    <row r="30" spans="1:21" x14ac:dyDescent="0.2">
      <c r="A30" s="21" t="s">
        <v>38</v>
      </c>
      <c r="B30" s="21" t="s">
        <v>39</v>
      </c>
      <c r="C30" s="21" t="s">
        <v>40</v>
      </c>
      <c r="D30" s="21" t="s">
        <v>469</v>
      </c>
      <c r="E30" s="21" t="s">
        <v>470</v>
      </c>
      <c r="F30" s="21" t="s">
        <v>471</v>
      </c>
      <c r="G30" s="21" t="s">
        <v>73</v>
      </c>
      <c r="H30" s="21" t="s">
        <v>35</v>
      </c>
      <c r="I30" s="21" t="s">
        <v>32</v>
      </c>
      <c r="J30" s="21" t="s">
        <v>33</v>
      </c>
      <c r="K30" s="29">
        <v>0.5</v>
      </c>
      <c r="L30" s="29" t="s">
        <v>63</v>
      </c>
      <c r="M30" s="21">
        <v>2021</v>
      </c>
      <c r="N30" s="21" t="s">
        <v>37</v>
      </c>
      <c r="O30" s="22" t="s">
        <v>37</v>
      </c>
      <c r="P30" s="21" t="s">
        <v>37</v>
      </c>
      <c r="Q30" s="22" t="s">
        <v>37</v>
      </c>
      <c r="R30" s="21">
        <v>100</v>
      </c>
      <c r="S30" s="21">
        <v>0.5</v>
      </c>
      <c r="T30" s="21">
        <v>0</v>
      </c>
      <c r="U30" s="21">
        <v>0</v>
      </c>
    </row>
    <row r="31" spans="1:21" x14ac:dyDescent="0.2">
      <c r="A31" s="21" t="s">
        <v>38</v>
      </c>
      <c r="B31" s="21" t="s">
        <v>39</v>
      </c>
      <c r="C31" s="21" t="s">
        <v>40</v>
      </c>
      <c r="D31" s="21" t="s">
        <v>473</v>
      </c>
      <c r="E31" s="21" t="s">
        <v>474</v>
      </c>
      <c r="F31" s="21" t="s">
        <v>475</v>
      </c>
      <c r="G31" s="21" t="s">
        <v>98</v>
      </c>
      <c r="H31" s="21" t="s">
        <v>35</v>
      </c>
      <c r="I31" s="21" t="s">
        <v>32</v>
      </c>
      <c r="J31" s="21" t="s">
        <v>33</v>
      </c>
      <c r="K31" s="29">
        <v>0.5</v>
      </c>
      <c r="L31" s="29" t="s">
        <v>63</v>
      </c>
      <c r="M31" s="21">
        <v>2021</v>
      </c>
      <c r="N31" s="21" t="s">
        <v>37</v>
      </c>
      <c r="O31" s="22" t="s">
        <v>37</v>
      </c>
      <c r="P31" s="21" t="s">
        <v>37</v>
      </c>
      <c r="Q31" s="22" t="s">
        <v>37</v>
      </c>
      <c r="R31" s="21">
        <v>100</v>
      </c>
      <c r="S31" s="21">
        <v>0.5</v>
      </c>
      <c r="T31" s="21">
        <v>0</v>
      </c>
      <c r="U31" s="21">
        <v>0</v>
      </c>
    </row>
    <row r="32" spans="1:21" x14ac:dyDescent="0.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7"/>
      <c r="P32" s="66"/>
      <c r="Q32" s="67"/>
      <c r="R32" s="66"/>
      <c r="S32" s="78">
        <f>SUM(S2:S31)</f>
        <v>13.683333333333335</v>
      </c>
      <c r="T32" s="66"/>
      <c r="U32" s="66"/>
    </row>
  </sheetData>
  <autoFilter ref="A1:U1" xr:uid="{00000000-0009-0000-0000-000000000000}">
    <sortState xmlns:xlrd2="http://schemas.microsoft.com/office/spreadsheetml/2017/richdata2" ref="A2:T1885">
      <sortCondition ref="K4:K1885"/>
      <sortCondition ref="L4:L1885"/>
      <sortCondition ref="D4:D188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0"/>
  <sheetViews>
    <sheetView zoomScaleNormal="100" workbookViewId="0">
      <selection activeCell="S20" sqref="S20"/>
    </sheetView>
  </sheetViews>
  <sheetFormatPr baseColWidth="10" defaultColWidth="11.44140625" defaultRowHeight="13.2" x14ac:dyDescent="0.25"/>
  <cols>
    <col min="1" max="1" width="10.88671875" style="18" bestFit="1" customWidth="1"/>
    <col min="2" max="2" width="38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20" bestFit="1" customWidth="1"/>
    <col min="15" max="15" width="5.6640625" style="18" bestFit="1" customWidth="1"/>
    <col min="16" max="16" width="5.6640625" style="20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68" t="s">
        <v>99</v>
      </c>
      <c r="B1" s="68" t="s">
        <v>100</v>
      </c>
      <c r="C1" s="68" t="s">
        <v>101</v>
      </c>
      <c r="D1" s="69">
        <v>2017</v>
      </c>
      <c r="E1" s="69">
        <v>2018</v>
      </c>
      <c r="F1" s="69">
        <v>2019</v>
      </c>
      <c r="G1" s="69">
        <v>2020</v>
      </c>
      <c r="H1" s="69">
        <v>2021</v>
      </c>
      <c r="I1" s="69">
        <v>2022</v>
      </c>
      <c r="J1" s="68" t="s">
        <v>102</v>
      </c>
      <c r="K1" s="70" t="s">
        <v>476</v>
      </c>
      <c r="L1" s="15" t="s">
        <v>103</v>
      </c>
      <c r="M1" s="15" t="s">
        <v>104</v>
      </c>
      <c r="N1" s="15" t="s">
        <v>105</v>
      </c>
      <c r="O1" s="15" t="s">
        <v>106</v>
      </c>
      <c r="P1" s="16" t="s">
        <v>107</v>
      </c>
      <c r="Q1" s="16" t="s">
        <v>108</v>
      </c>
      <c r="R1" s="16" t="s">
        <v>109</v>
      </c>
      <c r="S1" s="16" t="s">
        <v>110</v>
      </c>
    </row>
    <row r="2" spans="1:19" s="19" customFormat="1" ht="14.4" x14ac:dyDescent="0.3">
      <c r="A2" s="71" t="s">
        <v>115</v>
      </c>
      <c r="B2" s="71" t="s">
        <v>116</v>
      </c>
      <c r="C2" s="71">
        <v>6</v>
      </c>
      <c r="D2" s="71"/>
      <c r="E2" s="71"/>
      <c r="F2" s="71">
        <v>1</v>
      </c>
      <c r="G2" s="71"/>
      <c r="H2" s="71"/>
      <c r="I2" s="71"/>
      <c r="J2" s="71">
        <v>1</v>
      </c>
      <c r="K2" s="71" t="s">
        <v>63</v>
      </c>
      <c r="L2" s="72" t="s">
        <v>47</v>
      </c>
      <c r="M2" s="72" t="s">
        <v>36</v>
      </c>
      <c r="N2" s="72" t="s">
        <v>37</v>
      </c>
      <c r="O2" s="72" t="s">
        <v>37</v>
      </c>
      <c r="P2" s="72">
        <v>50</v>
      </c>
      <c r="Q2" s="72">
        <v>0.5</v>
      </c>
      <c r="R2" s="72">
        <v>0</v>
      </c>
      <c r="S2" s="72">
        <v>0.5</v>
      </c>
    </row>
    <row r="3" spans="1:19" ht="14.4" x14ac:dyDescent="0.3">
      <c r="A3" s="71" t="s">
        <v>127</v>
      </c>
      <c r="B3" s="71" t="s">
        <v>128</v>
      </c>
      <c r="C3" s="71" t="s">
        <v>111</v>
      </c>
      <c r="D3" s="71"/>
      <c r="E3" s="71"/>
      <c r="F3" s="71">
        <v>1</v>
      </c>
      <c r="G3" s="71">
        <v>1</v>
      </c>
      <c r="H3" s="71"/>
      <c r="I3" s="71"/>
      <c r="J3" s="71">
        <v>2</v>
      </c>
      <c r="K3" s="71" t="s">
        <v>63</v>
      </c>
      <c r="L3" s="72">
        <v>0</v>
      </c>
      <c r="M3" s="72">
        <v>0</v>
      </c>
      <c r="N3" s="72" t="s">
        <v>37</v>
      </c>
      <c r="O3" s="72" t="s">
        <v>37</v>
      </c>
      <c r="P3" s="72">
        <v>100</v>
      </c>
      <c r="Q3" s="72">
        <v>0</v>
      </c>
      <c r="R3" s="72">
        <v>0</v>
      </c>
      <c r="S3" s="72">
        <v>2</v>
      </c>
    </row>
    <row r="4" spans="1:19" ht="14.4" x14ac:dyDescent="0.3">
      <c r="A4" s="71" t="s">
        <v>137</v>
      </c>
      <c r="B4" s="71" t="s">
        <v>138</v>
      </c>
      <c r="C4" s="71">
        <v>6</v>
      </c>
      <c r="D4" s="71"/>
      <c r="E4" s="71"/>
      <c r="F4" s="71">
        <v>1</v>
      </c>
      <c r="G4" s="71"/>
      <c r="H4" s="71"/>
      <c r="I4" s="71">
        <v>1</v>
      </c>
      <c r="J4" s="71">
        <v>2</v>
      </c>
      <c r="K4" s="71" t="s">
        <v>63</v>
      </c>
      <c r="L4" s="72">
        <v>0</v>
      </c>
      <c r="M4" s="72">
        <v>0</v>
      </c>
      <c r="N4" s="72" t="s">
        <v>37</v>
      </c>
      <c r="O4" s="72" t="s">
        <v>37</v>
      </c>
      <c r="P4" s="72">
        <v>100</v>
      </c>
      <c r="Q4" s="72">
        <v>0</v>
      </c>
      <c r="R4" s="72">
        <v>0</v>
      </c>
      <c r="S4" s="72">
        <v>2</v>
      </c>
    </row>
    <row r="5" spans="1:19" ht="14.4" x14ac:dyDescent="0.3">
      <c r="A5" s="71" t="s">
        <v>131</v>
      </c>
      <c r="B5" s="71" t="s">
        <v>132</v>
      </c>
      <c r="C5" s="71">
        <v>6</v>
      </c>
      <c r="D5" s="71"/>
      <c r="E5" s="71"/>
      <c r="F5" s="71">
        <v>1</v>
      </c>
      <c r="G5" s="71"/>
      <c r="H5" s="71"/>
      <c r="I5" s="71">
        <v>1</v>
      </c>
      <c r="J5" s="71">
        <v>2</v>
      </c>
      <c r="K5" s="71" t="s">
        <v>63</v>
      </c>
      <c r="L5" s="72">
        <v>0</v>
      </c>
      <c r="M5" s="72">
        <v>0</v>
      </c>
      <c r="N5" s="72" t="s">
        <v>37</v>
      </c>
      <c r="O5" s="72" t="s">
        <v>37</v>
      </c>
      <c r="P5" s="72">
        <v>100</v>
      </c>
      <c r="Q5" s="72">
        <v>0</v>
      </c>
      <c r="R5" s="72">
        <v>0</v>
      </c>
      <c r="S5" s="72">
        <v>2</v>
      </c>
    </row>
    <row r="6" spans="1:19" ht="14.4" x14ac:dyDescent="0.3">
      <c r="A6" s="71" t="s">
        <v>121</v>
      </c>
      <c r="B6" s="71" t="s">
        <v>122</v>
      </c>
      <c r="C6" s="71" t="s">
        <v>111</v>
      </c>
      <c r="D6" s="71"/>
      <c r="E6" s="71"/>
      <c r="F6" s="71">
        <v>1</v>
      </c>
      <c r="G6" s="71"/>
      <c r="H6" s="71">
        <v>1</v>
      </c>
      <c r="I6" s="71"/>
      <c r="J6" s="71">
        <v>2</v>
      </c>
      <c r="K6" s="71" t="s">
        <v>63</v>
      </c>
      <c r="L6" s="72">
        <v>0</v>
      </c>
      <c r="M6" s="72">
        <v>0</v>
      </c>
      <c r="N6" s="72" t="s">
        <v>37</v>
      </c>
      <c r="O6" s="72" t="s">
        <v>37</v>
      </c>
      <c r="P6" s="72">
        <v>100</v>
      </c>
      <c r="Q6" s="72">
        <v>0</v>
      </c>
      <c r="R6" s="72">
        <v>0</v>
      </c>
      <c r="S6" s="72">
        <v>2</v>
      </c>
    </row>
    <row r="7" spans="1:19" ht="14.4" x14ac:dyDescent="0.3">
      <c r="A7" s="71" t="s">
        <v>125</v>
      </c>
      <c r="B7" s="71" t="s">
        <v>126</v>
      </c>
      <c r="C7" s="71" t="s">
        <v>111</v>
      </c>
      <c r="D7" s="71"/>
      <c r="E7" s="71"/>
      <c r="F7" s="71">
        <v>3</v>
      </c>
      <c r="G7" s="71"/>
      <c r="H7" s="71"/>
      <c r="I7" s="71"/>
      <c r="J7" s="71">
        <v>3</v>
      </c>
      <c r="K7" s="71" t="s">
        <v>63</v>
      </c>
      <c r="L7" s="72" t="s">
        <v>47</v>
      </c>
      <c r="M7" s="72" t="s">
        <v>36</v>
      </c>
      <c r="N7" s="72" t="s">
        <v>37</v>
      </c>
      <c r="O7" s="72" t="s">
        <v>37</v>
      </c>
      <c r="P7" s="72">
        <v>50</v>
      </c>
      <c r="Q7" s="72">
        <v>1.5</v>
      </c>
      <c r="R7" s="72">
        <v>0</v>
      </c>
      <c r="S7" s="72">
        <v>1.5</v>
      </c>
    </row>
    <row r="8" spans="1:19" ht="14.4" x14ac:dyDescent="0.3">
      <c r="A8" s="71" t="s">
        <v>117</v>
      </c>
      <c r="B8" s="71" t="s">
        <v>118</v>
      </c>
      <c r="C8" s="71" t="s">
        <v>111</v>
      </c>
      <c r="D8" s="71"/>
      <c r="E8" s="71">
        <v>2</v>
      </c>
      <c r="F8" s="71">
        <v>2</v>
      </c>
      <c r="G8" s="71"/>
      <c r="H8" s="71"/>
      <c r="I8" s="71"/>
      <c r="J8" s="71">
        <v>4</v>
      </c>
      <c r="K8" s="71" t="s">
        <v>63</v>
      </c>
      <c r="L8" s="72">
        <v>0</v>
      </c>
      <c r="M8" s="72">
        <v>0</v>
      </c>
      <c r="N8" s="72" t="s">
        <v>37</v>
      </c>
      <c r="O8" s="72" t="s">
        <v>37</v>
      </c>
      <c r="P8" s="72">
        <v>100</v>
      </c>
      <c r="Q8" s="72">
        <v>0</v>
      </c>
      <c r="R8" s="72">
        <v>0</v>
      </c>
      <c r="S8" s="72">
        <v>4</v>
      </c>
    </row>
    <row r="9" spans="1:19" ht="14.4" x14ac:dyDescent="0.3">
      <c r="A9" s="71" t="s">
        <v>133</v>
      </c>
      <c r="B9" s="71" t="s">
        <v>134</v>
      </c>
      <c r="C9" s="71" t="s">
        <v>111</v>
      </c>
      <c r="D9" s="71"/>
      <c r="E9" s="71"/>
      <c r="F9" s="71"/>
      <c r="G9" s="71"/>
      <c r="H9" s="71">
        <v>1</v>
      </c>
      <c r="I9" s="71"/>
      <c r="J9" s="71">
        <v>1</v>
      </c>
      <c r="K9" s="71" t="s">
        <v>63</v>
      </c>
      <c r="L9" s="72">
        <v>0</v>
      </c>
      <c r="M9" s="72">
        <v>0</v>
      </c>
      <c r="N9" s="72" t="s">
        <v>37</v>
      </c>
      <c r="O9" s="72" t="s">
        <v>37</v>
      </c>
      <c r="P9" s="72">
        <v>100</v>
      </c>
      <c r="Q9" s="72">
        <v>0</v>
      </c>
      <c r="R9" s="72">
        <v>0</v>
      </c>
      <c r="S9" s="72">
        <v>1</v>
      </c>
    </row>
    <row r="10" spans="1:19" ht="14.4" x14ac:dyDescent="0.3">
      <c r="A10" s="71" t="s">
        <v>139</v>
      </c>
      <c r="B10" s="71" t="s">
        <v>140</v>
      </c>
      <c r="C10" s="71" t="s">
        <v>111</v>
      </c>
      <c r="D10" s="71"/>
      <c r="E10" s="71"/>
      <c r="F10" s="71">
        <v>2</v>
      </c>
      <c r="G10" s="71"/>
      <c r="H10" s="71"/>
      <c r="I10" s="71"/>
      <c r="J10" s="71">
        <v>2</v>
      </c>
      <c r="K10" s="71" t="s">
        <v>63</v>
      </c>
      <c r="L10" s="72" t="s">
        <v>47</v>
      </c>
      <c r="M10" s="72" t="s">
        <v>44</v>
      </c>
      <c r="N10" s="72" t="s">
        <v>37</v>
      </c>
      <c r="O10" s="72" t="s">
        <v>37</v>
      </c>
      <c r="P10" s="72">
        <v>80</v>
      </c>
      <c r="Q10" s="72">
        <v>0.4</v>
      </c>
      <c r="R10" s="72">
        <v>0</v>
      </c>
      <c r="S10" s="72">
        <v>1.6</v>
      </c>
    </row>
    <row r="11" spans="1:19" ht="14.4" x14ac:dyDescent="0.3">
      <c r="A11" s="71" t="s">
        <v>123</v>
      </c>
      <c r="B11" s="71" t="s">
        <v>124</v>
      </c>
      <c r="C11" s="71" t="s">
        <v>111</v>
      </c>
      <c r="D11" s="71"/>
      <c r="E11" s="71"/>
      <c r="F11" s="71"/>
      <c r="G11" s="71">
        <v>2</v>
      </c>
      <c r="H11" s="71"/>
      <c r="I11" s="71">
        <v>1</v>
      </c>
      <c r="J11" s="71">
        <v>3</v>
      </c>
      <c r="K11" s="71" t="s">
        <v>63</v>
      </c>
      <c r="L11" s="72" t="s">
        <v>43</v>
      </c>
      <c r="M11" s="72" t="s">
        <v>42</v>
      </c>
      <c r="N11" s="72" t="s">
        <v>37</v>
      </c>
      <c r="O11" s="72" t="s">
        <v>37</v>
      </c>
      <c r="P11" s="72">
        <v>90</v>
      </c>
      <c r="Q11" s="72">
        <v>0.3</v>
      </c>
      <c r="R11" s="72">
        <v>0</v>
      </c>
      <c r="S11" s="72">
        <v>2.7</v>
      </c>
    </row>
    <row r="12" spans="1:19" s="19" customFormat="1" ht="14.4" x14ac:dyDescent="0.3">
      <c r="A12" s="71" t="s">
        <v>264</v>
      </c>
      <c r="B12" s="71" t="s">
        <v>265</v>
      </c>
      <c r="C12" s="71" t="s">
        <v>112</v>
      </c>
      <c r="D12" s="71"/>
      <c r="E12" s="71"/>
      <c r="F12" s="71"/>
      <c r="G12" s="71"/>
      <c r="H12" s="71"/>
      <c r="I12" s="71">
        <v>1</v>
      </c>
      <c r="J12" s="71">
        <v>1</v>
      </c>
      <c r="K12" s="71" t="s">
        <v>63</v>
      </c>
      <c r="L12" s="72">
        <v>0</v>
      </c>
      <c r="M12" s="72">
        <v>0</v>
      </c>
      <c r="N12" s="72" t="s">
        <v>37</v>
      </c>
      <c r="O12" s="72" t="s">
        <v>37</v>
      </c>
      <c r="P12" s="72">
        <v>100</v>
      </c>
      <c r="Q12" s="72">
        <v>0</v>
      </c>
      <c r="R12" s="72">
        <v>0</v>
      </c>
      <c r="S12" s="72">
        <v>1</v>
      </c>
    </row>
    <row r="13" spans="1:19" ht="14.4" x14ac:dyDescent="0.3">
      <c r="A13" s="71" t="s">
        <v>266</v>
      </c>
      <c r="B13" s="71" t="s">
        <v>267</v>
      </c>
      <c r="C13" s="71" t="s">
        <v>112</v>
      </c>
      <c r="D13" s="71"/>
      <c r="E13" s="71"/>
      <c r="F13" s="71"/>
      <c r="G13" s="71">
        <v>1</v>
      </c>
      <c r="H13" s="71"/>
      <c r="I13" s="71"/>
      <c r="J13" s="71">
        <v>1</v>
      </c>
      <c r="K13" s="71" t="s">
        <v>63</v>
      </c>
      <c r="L13" s="72">
        <v>0</v>
      </c>
      <c r="M13" s="72">
        <v>0</v>
      </c>
      <c r="N13" s="72" t="s">
        <v>37</v>
      </c>
      <c r="O13" s="72" t="s">
        <v>37</v>
      </c>
      <c r="P13" s="72">
        <v>100</v>
      </c>
      <c r="Q13" s="72">
        <v>0</v>
      </c>
      <c r="R13" s="72">
        <v>0</v>
      </c>
      <c r="S13" s="72">
        <v>1</v>
      </c>
    </row>
    <row r="14" spans="1:19" ht="14.4" x14ac:dyDescent="0.3">
      <c r="A14" s="71" t="s">
        <v>268</v>
      </c>
      <c r="B14" s="71" t="s">
        <v>269</v>
      </c>
      <c r="C14" s="71" t="s">
        <v>112</v>
      </c>
      <c r="D14" s="71"/>
      <c r="E14" s="71"/>
      <c r="F14" s="71"/>
      <c r="G14" s="71"/>
      <c r="H14" s="71"/>
      <c r="I14" s="71">
        <v>1</v>
      </c>
      <c r="J14" s="71">
        <v>1</v>
      </c>
      <c r="K14" s="71" t="s">
        <v>63</v>
      </c>
      <c r="L14" s="72">
        <v>0</v>
      </c>
      <c r="M14" s="72">
        <v>0</v>
      </c>
      <c r="N14" s="72" t="s">
        <v>37</v>
      </c>
      <c r="O14" s="72" t="s">
        <v>37</v>
      </c>
      <c r="P14" s="72">
        <v>100</v>
      </c>
      <c r="Q14" s="72">
        <v>0</v>
      </c>
      <c r="R14" s="72">
        <v>0</v>
      </c>
      <c r="S14" s="72">
        <v>1</v>
      </c>
    </row>
    <row r="15" spans="1:19" ht="14.4" x14ac:dyDescent="0.3">
      <c r="A15" s="71" t="s">
        <v>129</v>
      </c>
      <c r="B15" s="71" t="s">
        <v>130</v>
      </c>
      <c r="C15" s="71" t="s">
        <v>111</v>
      </c>
      <c r="D15" s="71"/>
      <c r="E15" s="71">
        <v>2</v>
      </c>
      <c r="F15" s="71">
        <v>2</v>
      </c>
      <c r="G15" s="71"/>
      <c r="H15" s="71"/>
      <c r="I15" s="71"/>
      <c r="J15" s="71">
        <v>4</v>
      </c>
      <c r="K15" s="71" t="s">
        <v>63</v>
      </c>
      <c r="L15" s="72">
        <v>0</v>
      </c>
      <c r="M15" s="72">
        <v>0</v>
      </c>
      <c r="N15" s="72" t="s">
        <v>37</v>
      </c>
      <c r="O15" s="72" t="s">
        <v>37</v>
      </c>
      <c r="P15" s="72">
        <v>100</v>
      </c>
      <c r="Q15" s="72">
        <v>0</v>
      </c>
      <c r="R15" s="72">
        <v>0</v>
      </c>
      <c r="S15" s="72">
        <v>4</v>
      </c>
    </row>
    <row r="16" spans="1:19" ht="14.4" x14ac:dyDescent="0.3">
      <c r="A16" s="71" t="s">
        <v>135</v>
      </c>
      <c r="B16" s="71" t="s">
        <v>136</v>
      </c>
      <c r="C16" s="71" t="s">
        <v>112</v>
      </c>
      <c r="D16" s="71"/>
      <c r="E16" s="71"/>
      <c r="F16" s="71"/>
      <c r="G16" s="71"/>
      <c r="H16" s="71"/>
      <c r="I16" s="71">
        <v>1</v>
      </c>
      <c r="J16" s="71">
        <v>1</v>
      </c>
      <c r="K16" s="71" t="s">
        <v>63</v>
      </c>
      <c r="L16" s="72">
        <v>0</v>
      </c>
      <c r="M16" s="72">
        <v>0</v>
      </c>
      <c r="N16" s="72" t="s">
        <v>37</v>
      </c>
      <c r="O16" s="72" t="s">
        <v>37</v>
      </c>
      <c r="P16" s="72">
        <v>100</v>
      </c>
      <c r="Q16" s="72">
        <v>0</v>
      </c>
      <c r="R16" s="72">
        <v>0</v>
      </c>
      <c r="S16" s="72">
        <v>1</v>
      </c>
    </row>
    <row r="17" spans="1:19" ht="14.4" x14ac:dyDescent="0.3">
      <c r="A17" s="71" t="s">
        <v>113</v>
      </c>
      <c r="B17" s="71" t="s">
        <v>114</v>
      </c>
      <c r="C17" s="71" t="s">
        <v>112</v>
      </c>
      <c r="D17" s="71"/>
      <c r="E17" s="71"/>
      <c r="F17" s="71"/>
      <c r="G17" s="71"/>
      <c r="H17" s="71"/>
      <c r="I17" s="71">
        <v>1</v>
      </c>
      <c r="J17" s="71">
        <v>1</v>
      </c>
      <c r="K17" s="71" t="s">
        <v>63</v>
      </c>
      <c r="L17" s="72">
        <v>0</v>
      </c>
      <c r="M17" s="72">
        <v>0</v>
      </c>
      <c r="N17" s="72" t="s">
        <v>37</v>
      </c>
      <c r="O17" s="72" t="s">
        <v>37</v>
      </c>
      <c r="P17" s="72">
        <v>100</v>
      </c>
      <c r="Q17" s="72">
        <v>0</v>
      </c>
      <c r="R17" s="72">
        <v>0</v>
      </c>
      <c r="S17" s="72">
        <v>1</v>
      </c>
    </row>
    <row r="18" spans="1:19" ht="14.4" x14ac:dyDescent="0.3">
      <c r="A18" s="71" t="s">
        <v>477</v>
      </c>
      <c r="B18" s="71" t="s">
        <v>478</v>
      </c>
      <c r="C18" s="71" t="s">
        <v>112</v>
      </c>
      <c r="D18" s="71"/>
      <c r="E18" s="71"/>
      <c r="F18" s="71"/>
      <c r="G18" s="71"/>
      <c r="H18" s="71">
        <v>1</v>
      </c>
      <c r="I18" s="71"/>
      <c r="J18" s="71">
        <v>1</v>
      </c>
      <c r="K18" s="71" t="s">
        <v>63</v>
      </c>
      <c r="L18" s="72">
        <v>0</v>
      </c>
      <c r="M18" s="72">
        <v>0</v>
      </c>
      <c r="N18" s="72" t="s">
        <v>37</v>
      </c>
      <c r="O18" s="72" t="s">
        <v>37</v>
      </c>
      <c r="P18" s="72">
        <v>100</v>
      </c>
      <c r="Q18" s="72">
        <v>0</v>
      </c>
      <c r="R18" s="72">
        <v>0</v>
      </c>
      <c r="S18" s="72">
        <v>1</v>
      </c>
    </row>
    <row r="19" spans="1:19" ht="14.4" x14ac:dyDescent="0.3">
      <c r="A19" s="71" t="s">
        <v>119</v>
      </c>
      <c r="B19" s="71" t="s">
        <v>120</v>
      </c>
      <c r="C19" s="73" t="s">
        <v>263</v>
      </c>
      <c r="D19" s="71"/>
      <c r="E19" s="71"/>
      <c r="F19" s="71"/>
      <c r="G19" s="71"/>
      <c r="H19" s="71"/>
      <c r="I19" s="71">
        <v>1</v>
      </c>
      <c r="J19" s="71">
        <v>1</v>
      </c>
      <c r="K19" s="71" t="s">
        <v>63</v>
      </c>
      <c r="L19" s="72">
        <v>0</v>
      </c>
      <c r="M19" s="72">
        <v>0</v>
      </c>
      <c r="N19" s="72" t="s">
        <v>37</v>
      </c>
      <c r="O19" s="72" t="s">
        <v>37</v>
      </c>
      <c r="P19" s="72">
        <v>100</v>
      </c>
      <c r="Q19" s="72">
        <v>0</v>
      </c>
      <c r="R19" s="72">
        <v>0</v>
      </c>
      <c r="S19" s="72">
        <v>1</v>
      </c>
    </row>
    <row r="20" spans="1:19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5"/>
      <c r="O20" s="74"/>
      <c r="P20" s="75"/>
      <c r="Q20" s="74"/>
      <c r="R20" s="74"/>
      <c r="S20" s="79">
        <f>SUM(S2:S19)</f>
        <v>30.3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5"/>
  <sheetViews>
    <sheetView topLeftCell="A89" zoomScaleNormal="100" workbookViewId="0">
      <selection activeCell="A76" sqref="A7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141</v>
      </c>
      <c r="B3" s="5">
        <v>9204.5499999999993</v>
      </c>
    </row>
    <row r="4" spans="1:2" x14ac:dyDescent="0.2">
      <c r="A4" s="4" t="s">
        <v>4</v>
      </c>
      <c r="B4" s="5"/>
    </row>
    <row r="5" spans="1:2" x14ac:dyDescent="0.2">
      <c r="A5" s="4" t="s">
        <v>142</v>
      </c>
      <c r="B5" s="5">
        <v>76.05</v>
      </c>
    </row>
    <row r="6" spans="1:2" x14ac:dyDescent="0.2">
      <c r="A6" s="4" t="s">
        <v>143</v>
      </c>
      <c r="B6" s="5">
        <v>525.48</v>
      </c>
    </row>
    <row r="7" spans="1:2" x14ac:dyDescent="0.2">
      <c r="A7" s="4" t="s">
        <v>5</v>
      </c>
      <c r="B7" s="5"/>
    </row>
    <row r="8" spans="1:2" x14ac:dyDescent="0.2">
      <c r="A8" s="4" t="s">
        <v>144</v>
      </c>
      <c r="B8" s="5">
        <v>64.61</v>
      </c>
    </row>
    <row r="9" spans="1:2" x14ac:dyDescent="0.2">
      <c r="A9" s="4" t="s">
        <v>145</v>
      </c>
      <c r="B9" s="5"/>
    </row>
    <row r="10" spans="1:2" x14ac:dyDescent="0.2">
      <c r="A10" s="4" t="s">
        <v>146</v>
      </c>
      <c r="B10" s="5">
        <v>5000</v>
      </c>
    </row>
    <row r="11" spans="1:2" x14ac:dyDescent="0.2">
      <c r="A11" s="4" t="s">
        <v>147</v>
      </c>
      <c r="B11" s="5">
        <v>2500</v>
      </c>
    </row>
    <row r="12" spans="1:2" x14ac:dyDescent="0.2">
      <c r="A12" s="4" t="s">
        <v>148</v>
      </c>
      <c r="B12" s="5">
        <v>7500</v>
      </c>
    </row>
    <row r="13" spans="1:2" x14ac:dyDescent="0.2">
      <c r="A13" s="4" t="s">
        <v>149</v>
      </c>
      <c r="B13" s="5"/>
    </row>
    <row r="14" spans="1:2" x14ac:dyDescent="0.2">
      <c r="A14" s="4" t="s">
        <v>150</v>
      </c>
      <c r="B14" s="5">
        <v>3500</v>
      </c>
    </row>
    <row r="15" spans="1:2" x14ac:dyDescent="0.2">
      <c r="A15" s="4" t="s">
        <v>151</v>
      </c>
      <c r="B15" s="5"/>
    </row>
    <row r="16" spans="1:2" x14ac:dyDescent="0.2">
      <c r="A16" s="4" t="s">
        <v>152</v>
      </c>
      <c r="B16" s="5">
        <v>8400</v>
      </c>
    </row>
    <row r="17" spans="1:2" x14ac:dyDescent="0.2">
      <c r="A17" s="4" t="s">
        <v>153</v>
      </c>
      <c r="B17" s="5"/>
    </row>
    <row r="18" spans="1:2" x14ac:dyDescent="0.2">
      <c r="A18" s="4" t="s">
        <v>154</v>
      </c>
      <c r="B18" s="5">
        <v>3000</v>
      </c>
    </row>
    <row r="19" spans="1:2" x14ac:dyDescent="0.2">
      <c r="A19" s="4" t="s">
        <v>155</v>
      </c>
      <c r="B19" s="5">
        <v>2000</v>
      </c>
    </row>
    <row r="20" spans="1:2" x14ac:dyDescent="0.2">
      <c r="A20" s="4" t="s">
        <v>156</v>
      </c>
      <c r="B20" s="5">
        <v>5000</v>
      </c>
    </row>
    <row r="21" spans="1:2" x14ac:dyDescent="0.2">
      <c r="A21" s="4" t="s">
        <v>157</v>
      </c>
      <c r="B21" s="5"/>
    </row>
    <row r="22" spans="1:2" x14ac:dyDescent="0.2">
      <c r="A22" s="4" t="s">
        <v>158</v>
      </c>
      <c r="B22" s="5">
        <v>230</v>
      </c>
    </row>
    <row r="23" spans="1:2" x14ac:dyDescent="0.2">
      <c r="A23" s="4" t="s">
        <v>159</v>
      </c>
      <c r="B23" s="5"/>
    </row>
    <row r="24" spans="1:2" x14ac:dyDescent="0.2">
      <c r="A24" s="4" t="s">
        <v>158</v>
      </c>
      <c r="B24" s="5">
        <v>230</v>
      </c>
    </row>
    <row r="25" spans="1:2" x14ac:dyDescent="0.2">
      <c r="A25" s="4" t="s">
        <v>160</v>
      </c>
      <c r="B25" s="5"/>
    </row>
    <row r="26" spans="1:2" x14ac:dyDescent="0.2">
      <c r="A26" s="4" t="s">
        <v>161</v>
      </c>
      <c r="B26" s="5">
        <v>400</v>
      </c>
    </row>
    <row r="27" spans="1:2" x14ac:dyDescent="0.2">
      <c r="A27" s="4" t="s">
        <v>162</v>
      </c>
      <c r="B27" s="5"/>
    </row>
    <row r="28" spans="1:2" x14ac:dyDescent="0.2">
      <c r="A28" s="4" t="s">
        <v>163</v>
      </c>
      <c r="B28" s="5">
        <v>720</v>
      </c>
    </row>
    <row r="29" spans="1:2" x14ac:dyDescent="0.2">
      <c r="A29" s="4" t="s">
        <v>164</v>
      </c>
      <c r="B29" s="5">
        <v>360</v>
      </c>
    </row>
    <row r="30" spans="1:2" x14ac:dyDescent="0.2">
      <c r="A30" s="4" t="s">
        <v>165</v>
      </c>
      <c r="B30" s="5">
        <v>240</v>
      </c>
    </row>
    <row r="31" spans="1:2" x14ac:dyDescent="0.2">
      <c r="A31" s="4" t="s">
        <v>166</v>
      </c>
      <c r="B31" s="5">
        <v>780</v>
      </c>
    </row>
    <row r="32" spans="1:2" x14ac:dyDescent="0.2">
      <c r="A32" s="4" t="s">
        <v>167</v>
      </c>
      <c r="B32" s="5">
        <v>360</v>
      </c>
    </row>
    <row r="33" spans="1:2" x14ac:dyDescent="0.2">
      <c r="A33" s="4" t="s">
        <v>168</v>
      </c>
      <c r="B33" s="5">
        <v>190</v>
      </c>
    </row>
    <row r="34" spans="1:2" x14ac:dyDescent="0.2">
      <c r="A34" s="4" t="s">
        <v>169</v>
      </c>
      <c r="B34" s="5">
        <v>300</v>
      </c>
    </row>
    <row r="35" spans="1:2" x14ac:dyDescent="0.2">
      <c r="A35" s="4" t="s">
        <v>170</v>
      </c>
      <c r="B35" s="5">
        <v>720</v>
      </c>
    </row>
    <row r="36" spans="1:2" x14ac:dyDescent="0.2">
      <c r="A36" s="4" t="s">
        <v>171</v>
      </c>
      <c r="B36" s="5">
        <v>300</v>
      </c>
    </row>
    <row r="37" spans="1:2" x14ac:dyDescent="0.2">
      <c r="A37" s="4" t="s">
        <v>172</v>
      </c>
      <c r="B37" s="5">
        <v>250</v>
      </c>
    </row>
    <row r="38" spans="1:2" x14ac:dyDescent="0.2">
      <c r="A38" s="4" t="s">
        <v>173</v>
      </c>
      <c r="B38" s="5">
        <v>120</v>
      </c>
    </row>
    <row r="39" spans="1:2" x14ac:dyDescent="0.2">
      <c r="A39" s="4" t="s">
        <v>174</v>
      </c>
      <c r="B39" s="5">
        <v>120</v>
      </c>
    </row>
    <row r="40" spans="1:2" x14ac:dyDescent="0.2">
      <c r="A40" s="4" t="s">
        <v>175</v>
      </c>
      <c r="B40" s="5">
        <v>870</v>
      </c>
    </row>
    <row r="41" spans="1:2" x14ac:dyDescent="0.2">
      <c r="A41" s="4" t="s">
        <v>176</v>
      </c>
      <c r="B41" s="5">
        <v>240</v>
      </c>
    </row>
    <row r="42" spans="1:2" x14ac:dyDescent="0.2">
      <c r="A42" s="4" t="s">
        <v>177</v>
      </c>
      <c r="B42" s="5">
        <v>120</v>
      </c>
    </row>
    <row r="43" spans="1:2" x14ac:dyDescent="0.2">
      <c r="A43" s="4" t="s">
        <v>178</v>
      </c>
      <c r="B43" s="5">
        <v>1820</v>
      </c>
    </row>
    <row r="44" spans="1:2" x14ac:dyDescent="0.2">
      <c r="A44" s="4" t="s">
        <v>179</v>
      </c>
      <c r="B44" s="5">
        <v>120</v>
      </c>
    </row>
    <row r="45" spans="1:2" x14ac:dyDescent="0.2">
      <c r="A45" s="4" t="s">
        <v>180</v>
      </c>
      <c r="B45" s="5">
        <v>1320</v>
      </c>
    </row>
    <row r="46" spans="1:2" x14ac:dyDescent="0.2">
      <c r="A46" s="4" t="s">
        <v>181</v>
      </c>
      <c r="B46" s="5"/>
    </row>
    <row r="47" spans="1:2" x14ac:dyDescent="0.2">
      <c r="A47" s="4" t="s">
        <v>158</v>
      </c>
      <c r="B47" s="5">
        <v>230</v>
      </c>
    </row>
    <row r="48" spans="1:2" x14ac:dyDescent="0.2">
      <c r="A48" s="4" t="s">
        <v>182</v>
      </c>
      <c r="B48" s="5"/>
    </row>
    <row r="49" spans="1:2" x14ac:dyDescent="0.2">
      <c r="A49" s="4" t="s">
        <v>183</v>
      </c>
      <c r="B49" s="5">
        <v>115</v>
      </c>
    </row>
    <row r="50" spans="1:2" x14ac:dyDescent="0.2">
      <c r="A50" s="4" t="s">
        <v>184</v>
      </c>
      <c r="B50" s="5"/>
    </row>
    <row r="51" spans="1:2" x14ac:dyDescent="0.2">
      <c r="A51" s="4" t="s">
        <v>158</v>
      </c>
      <c r="B51" s="5">
        <v>230</v>
      </c>
    </row>
    <row r="52" spans="1:2" x14ac:dyDescent="0.2">
      <c r="A52" s="4" t="s">
        <v>185</v>
      </c>
      <c r="B52" s="5"/>
    </row>
    <row r="53" spans="1:2" x14ac:dyDescent="0.2">
      <c r="A53" s="4" t="s">
        <v>186</v>
      </c>
      <c r="B53" s="5">
        <v>345</v>
      </c>
    </row>
    <row r="54" spans="1:2" x14ac:dyDescent="0.2">
      <c r="A54" s="4" t="s">
        <v>187</v>
      </c>
      <c r="B54" s="5"/>
    </row>
    <row r="55" spans="1:2" x14ac:dyDescent="0.2">
      <c r="A55" s="4" t="s">
        <v>188</v>
      </c>
      <c r="B55" s="5">
        <v>500</v>
      </c>
    </row>
    <row r="56" spans="1:2" x14ac:dyDescent="0.2">
      <c r="A56" s="4" t="s">
        <v>189</v>
      </c>
      <c r="B56" s="5"/>
    </row>
    <row r="57" spans="1:2" x14ac:dyDescent="0.2">
      <c r="A57" s="4" t="s">
        <v>190</v>
      </c>
      <c r="B57" s="5">
        <v>300</v>
      </c>
    </row>
    <row r="58" spans="1:2" x14ac:dyDescent="0.2">
      <c r="A58" s="4" t="s">
        <v>191</v>
      </c>
      <c r="B58" s="5"/>
    </row>
    <row r="59" spans="1:2" x14ac:dyDescent="0.2">
      <c r="A59" s="4" t="s">
        <v>192</v>
      </c>
      <c r="B59" s="5">
        <v>160</v>
      </c>
    </row>
    <row r="60" spans="1:2" x14ac:dyDescent="0.2">
      <c r="A60" s="4" t="s">
        <v>193</v>
      </c>
      <c r="B60" s="5"/>
    </row>
    <row r="61" spans="1:2" x14ac:dyDescent="0.2">
      <c r="A61" s="4" t="s">
        <v>194</v>
      </c>
      <c r="B61" s="5">
        <v>5795.45</v>
      </c>
    </row>
    <row r="62" spans="1:2" x14ac:dyDescent="0.2">
      <c r="A62" s="4" t="s">
        <v>195</v>
      </c>
      <c r="B62" s="5"/>
    </row>
    <row r="63" spans="1:2" x14ac:dyDescent="0.2">
      <c r="A63" s="4" t="s">
        <v>196</v>
      </c>
      <c r="B63" s="5">
        <v>360</v>
      </c>
    </row>
    <row r="64" spans="1:2" x14ac:dyDescent="0.2">
      <c r="A64" s="4" t="s">
        <v>197</v>
      </c>
      <c r="B64" s="5"/>
    </row>
    <row r="65" spans="1:2" x14ac:dyDescent="0.2">
      <c r="A65" s="4" t="s">
        <v>198</v>
      </c>
      <c r="B65" s="5">
        <v>6000</v>
      </c>
    </row>
    <row r="66" spans="1:2" x14ac:dyDescent="0.2">
      <c r="A66" s="4" t="s">
        <v>199</v>
      </c>
      <c r="B66" s="5"/>
    </row>
    <row r="67" spans="1:2" x14ac:dyDescent="0.2">
      <c r="A67" s="4" t="s">
        <v>200</v>
      </c>
      <c r="B67" s="5">
        <v>5405</v>
      </c>
    </row>
    <row r="68" spans="1:2" x14ac:dyDescent="0.2">
      <c r="A68" s="4" t="s">
        <v>201</v>
      </c>
      <c r="B68" s="5"/>
    </row>
    <row r="69" spans="1:2" x14ac:dyDescent="0.2">
      <c r="A69" s="4" t="s">
        <v>202</v>
      </c>
      <c r="B69" s="5">
        <v>560</v>
      </c>
    </row>
    <row r="70" spans="1:2" x14ac:dyDescent="0.2">
      <c r="A70" s="4" t="s">
        <v>203</v>
      </c>
      <c r="B70" s="5"/>
    </row>
    <row r="71" spans="1:2" x14ac:dyDescent="0.2">
      <c r="A71" s="4" t="s">
        <v>204</v>
      </c>
      <c r="B71" s="5">
        <v>4900</v>
      </c>
    </row>
    <row r="72" spans="1:2" x14ac:dyDescent="0.2">
      <c r="A72" s="4" t="s">
        <v>205</v>
      </c>
      <c r="B72" s="5"/>
    </row>
    <row r="73" spans="1:2" x14ac:dyDescent="0.2">
      <c r="A73" s="4" t="s">
        <v>206</v>
      </c>
      <c r="B73" s="5">
        <v>115</v>
      </c>
    </row>
    <row r="74" spans="1:2" x14ac:dyDescent="0.2">
      <c r="A74" s="4" t="s">
        <v>207</v>
      </c>
      <c r="B74" s="5"/>
    </row>
    <row r="75" spans="1:2" x14ac:dyDescent="0.2">
      <c r="A75" s="4" t="s">
        <v>208</v>
      </c>
      <c r="B75" s="5">
        <v>115</v>
      </c>
    </row>
    <row r="76" spans="1:2" x14ac:dyDescent="0.2">
      <c r="A76" s="4" t="s">
        <v>209</v>
      </c>
      <c r="B76" s="5"/>
    </row>
    <row r="77" spans="1:2" x14ac:dyDescent="0.2">
      <c r="A77" s="4" t="s">
        <v>210</v>
      </c>
      <c r="B77" s="5">
        <v>1250</v>
      </c>
    </row>
    <row r="78" spans="1:2" x14ac:dyDescent="0.2">
      <c r="A78" s="4" t="s">
        <v>211</v>
      </c>
      <c r="B78" s="5"/>
    </row>
    <row r="79" spans="1:2" x14ac:dyDescent="0.2">
      <c r="A79" s="4" t="s">
        <v>212</v>
      </c>
      <c r="B79" s="5">
        <v>750</v>
      </c>
    </row>
    <row r="80" spans="1:2" x14ac:dyDescent="0.2">
      <c r="A80" s="4" t="s">
        <v>213</v>
      </c>
      <c r="B80" s="5"/>
    </row>
    <row r="81" spans="1:2" x14ac:dyDescent="0.2">
      <c r="A81" s="4" t="s">
        <v>214</v>
      </c>
      <c r="B81" s="5">
        <v>750</v>
      </c>
    </row>
    <row r="82" spans="1:2" x14ac:dyDescent="0.2">
      <c r="A82" s="4" t="s">
        <v>215</v>
      </c>
      <c r="B82" s="5"/>
    </row>
    <row r="83" spans="1:2" x14ac:dyDescent="0.2">
      <c r="A83" s="4" t="s">
        <v>216</v>
      </c>
      <c r="B83" s="5">
        <v>20000</v>
      </c>
    </row>
    <row r="84" spans="1:2" x14ac:dyDescent="0.2">
      <c r="A84" s="4" t="s">
        <v>217</v>
      </c>
      <c r="B84" s="5"/>
    </row>
    <row r="85" spans="1:2" x14ac:dyDescent="0.2">
      <c r="A85" s="4" t="s">
        <v>218</v>
      </c>
      <c r="B85" s="5">
        <v>1080</v>
      </c>
    </row>
    <row r="86" spans="1:2" x14ac:dyDescent="0.2">
      <c r="A86" s="4" t="s">
        <v>219</v>
      </c>
      <c r="B86" s="5"/>
    </row>
    <row r="87" spans="1:2" x14ac:dyDescent="0.2">
      <c r="A87" s="4" t="s">
        <v>220</v>
      </c>
      <c r="B87" s="5">
        <v>717</v>
      </c>
    </row>
    <row r="88" spans="1:2" x14ac:dyDescent="0.2">
      <c r="A88" s="4" t="s">
        <v>221</v>
      </c>
      <c r="B88" s="5"/>
    </row>
    <row r="89" spans="1:2" x14ac:dyDescent="0.2">
      <c r="A89" s="4" t="s">
        <v>222</v>
      </c>
      <c r="B89" s="5">
        <v>605</v>
      </c>
    </row>
    <row r="90" spans="1:2" x14ac:dyDescent="0.2">
      <c r="A90" s="4" t="s">
        <v>223</v>
      </c>
      <c r="B90" s="5"/>
    </row>
    <row r="91" spans="1:2" x14ac:dyDescent="0.2">
      <c r="A91" s="4" t="s">
        <v>224</v>
      </c>
      <c r="B91" s="5">
        <v>2500</v>
      </c>
    </row>
    <row r="92" spans="1:2" x14ac:dyDescent="0.2">
      <c r="A92" s="4" t="s">
        <v>225</v>
      </c>
      <c r="B92" s="5"/>
    </row>
    <row r="93" spans="1:2" x14ac:dyDescent="0.2">
      <c r="A93" s="4" t="s">
        <v>226</v>
      </c>
      <c r="B93" s="5">
        <v>5568.18</v>
      </c>
    </row>
    <row r="94" spans="1:2" x14ac:dyDescent="0.2">
      <c r="A94" s="4" t="s">
        <v>227</v>
      </c>
      <c r="B94" s="5"/>
    </row>
    <row r="95" spans="1:2" x14ac:dyDescent="0.2">
      <c r="A95" s="4" t="s">
        <v>228</v>
      </c>
      <c r="B95" s="5">
        <v>7145</v>
      </c>
    </row>
    <row r="96" spans="1:2" x14ac:dyDescent="0.2">
      <c r="A96" s="4" t="s">
        <v>229</v>
      </c>
      <c r="B96" s="5"/>
    </row>
    <row r="97" spans="1:2" x14ac:dyDescent="0.2">
      <c r="A97" s="4" t="s">
        <v>230</v>
      </c>
      <c r="B97" s="5">
        <v>700</v>
      </c>
    </row>
    <row r="98" spans="1:2" x14ac:dyDescent="0.2">
      <c r="A98" s="4" t="s">
        <v>231</v>
      </c>
      <c r="B98" s="5"/>
    </row>
    <row r="99" spans="1:2" x14ac:dyDescent="0.2">
      <c r="A99" s="4" t="s">
        <v>232</v>
      </c>
      <c r="B99" s="5">
        <v>1500</v>
      </c>
    </row>
    <row r="100" spans="1:2" x14ac:dyDescent="0.2">
      <c r="A100" s="4" t="s">
        <v>6</v>
      </c>
      <c r="B100" s="5"/>
    </row>
    <row r="101" spans="1:2" x14ac:dyDescent="0.2">
      <c r="A101" s="4" t="s">
        <v>233</v>
      </c>
      <c r="B101" s="5">
        <v>6400</v>
      </c>
    </row>
    <row r="102" spans="1:2" x14ac:dyDescent="0.2">
      <c r="A102" s="4" t="s">
        <v>7</v>
      </c>
      <c r="B102" s="5"/>
    </row>
    <row r="103" spans="1:2" x14ac:dyDescent="0.2">
      <c r="A103" s="4" t="s">
        <v>234</v>
      </c>
      <c r="B103" s="5">
        <v>7500</v>
      </c>
    </row>
    <row r="104" spans="1:2" x14ac:dyDescent="0.2">
      <c r="A104" s="4" t="s">
        <v>235</v>
      </c>
      <c r="B104" s="5"/>
    </row>
    <row r="105" spans="1:2" x14ac:dyDescent="0.2">
      <c r="A105" s="4" t="s">
        <v>236</v>
      </c>
      <c r="B105" s="5">
        <v>6000</v>
      </c>
    </row>
    <row r="106" spans="1:2" x14ac:dyDescent="0.2">
      <c r="A106" s="4" t="s">
        <v>237</v>
      </c>
      <c r="B106" s="5"/>
    </row>
    <row r="107" spans="1:2" x14ac:dyDescent="0.2">
      <c r="A107" s="4" t="s">
        <v>238</v>
      </c>
      <c r="B107" s="5">
        <v>5500</v>
      </c>
    </row>
    <row r="108" spans="1:2" x14ac:dyDescent="0.2">
      <c r="A108" s="4" t="s">
        <v>239</v>
      </c>
      <c r="B108" s="5"/>
    </row>
    <row r="109" spans="1:2" x14ac:dyDescent="0.2">
      <c r="A109" s="4" t="s">
        <v>240</v>
      </c>
      <c r="B109" s="5">
        <v>23500</v>
      </c>
    </row>
    <row r="110" spans="1:2" x14ac:dyDescent="0.2">
      <c r="A110" s="4" t="s">
        <v>241</v>
      </c>
      <c r="B110" s="5">
        <v>11280</v>
      </c>
    </row>
    <row r="111" spans="1:2" x14ac:dyDescent="0.2">
      <c r="A111" s="4" t="s">
        <v>242</v>
      </c>
      <c r="B111" s="5"/>
    </row>
    <row r="112" spans="1:2" x14ac:dyDescent="0.2">
      <c r="A112" s="4" t="s">
        <v>243</v>
      </c>
      <c r="B112" s="5">
        <v>214684.59</v>
      </c>
    </row>
    <row r="113" spans="1:2" x14ac:dyDescent="0.2">
      <c r="A113" s="4" t="s">
        <v>244</v>
      </c>
      <c r="B113" s="5"/>
    </row>
    <row r="114" spans="1:2" x14ac:dyDescent="0.2">
      <c r="A114" s="4" t="s">
        <v>245</v>
      </c>
      <c r="B114" s="5">
        <v>202661.25</v>
      </c>
    </row>
    <row r="115" spans="1:2" x14ac:dyDescent="0.2">
      <c r="A115" s="6" t="s">
        <v>2</v>
      </c>
      <c r="B115" s="7">
        <f>SUM(B3:B114)</f>
        <v>601802.16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C9A7-1ADB-43BC-AC5E-E2E880B79D83}">
  <dimension ref="A1:B96"/>
  <sheetViews>
    <sheetView topLeftCell="A77" zoomScaleNormal="100" workbookViewId="0">
      <selection activeCell="A101" sqref="A10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286</v>
      </c>
      <c r="B3" s="5">
        <v>8946.32</v>
      </c>
    </row>
    <row r="4" spans="1:2" x14ac:dyDescent="0.2">
      <c r="A4" s="4" t="s">
        <v>287</v>
      </c>
      <c r="B4" s="5"/>
    </row>
    <row r="5" spans="1:2" x14ac:dyDescent="0.2">
      <c r="A5" s="4" t="s">
        <v>288</v>
      </c>
      <c r="B5" s="5">
        <v>60</v>
      </c>
    </row>
    <row r="6" spans="1:2" x14ac:dyDescent="0.2">
      <c r="A6" s="4" t="s">
        <v>145</v>
      </c>
      <c r="B6" s="5"/>
    </row>
    <row r="7" spans="1:2" x14ac:dyDescent="0.2">
      <c r="A7" s="4" t="s">
        <v>289</v>
      </c>
      <c r="B7" s="5">
        <v>4400</v>
      </c>
    </row>
    <row r="8" spans="1:2" x14ac:dyDescent="0.2">
      <c r="A8" s="4" t="s">
        <v>290</v>
      </c>
      <c r="B8" s="5">
        <v>4400</v>
      </c>
    </row>
    <row r="9" spans="1:2" x14ac:dyDescent="0.2">
      <c r="A9" s="4" t="s">
        <v>162</v>
      </c>
      <c r="B9" s="5"/>
    </row>
    <row r="10" spans="1:2" x14ac:dyDescent="0.2">
      <c r="A10" s="4" t="s">
        <v>291</v>
      </c>
      <c r="B10" s="5">
        <v>13.9</v>
      </c>
    </row>
    <row r="11" spans="1:2" x14ac:dyDescent="0.2">
      <c r="A11" s="4" t="s">
        <v>292</v>
      </c>
      <c r="B11" s="5">
        <v>39.51</v>
      </c>
    </row>
    <row r="12" spans="1:2" x14ac:dyDescent="0.2">
      <c r="A12" s="4" t="s">
        <v>199</v>
      </c>
      <c r="B12" s="5"/>
    </row>
    <row r="13" spans="1:2" x14ac:dyDescent="0.2">
      <c r="A13" s="4" t="s">
        <v>293</v>
      </c>
      <c r="B13" s="5">
        <v>2377.7600000000002</v>
      </c>
    </row>
    <row r="14" spans="1:2" x14ac:dyDescent="0.2">
      <c r="A14" s="4" t="s">
        <v>294</v>
      </c>
      <c r="B14" s="5">
        <v>2377.7600000000002</v>
      </c>
    </row>
    <row r="15" spans="1:2" x14ac:dyDescent="0.2">
      <c r="A15" s="4" t="s">
        <v>215</v>
      </c>
      <c r="B15" s="5"/>
    </row>
    <row r="16" spans="1:2" x14ac:dyDescent="0.2">
      <c r="A16" s="4" t="s">
        <v>295</v>
      </c>
      <c r="B16" s="5">
        <v>18480</v>
      </c>
    </row>
    <row r="17" spans="1:2" x14ac:dyDescent="0.2">
      <c r="A17" s="4" t="s">
        <v>296</v>
      </c>
      <c r="B17" s="5">
        <v>18480</v>
      </c>
    </row>
    <row r="18" spans="1:2" x14ac:dyDescent="0.2">
      <c r="A18" s="4" t="s">
        <v>297</v>
      </c>
      <c r="B18" s="5">
        <v>18480</v>
      </c>
    </row>
    <row r="19" spans="1:2" x14ac:dyDescent="0.2">
      <c r="A19" s="4" t="s">
        <v>298</v>
      </c>
      <c r="B19" s="5">
        <v>18480</v>
      </c>
    </row>
    <row r="20" spans="1:2" x14ac:dyDescent="0.2">
      <c r="A20" s="4" t="s">
        <v>299</v>
      </c>
      <c r="B20" s="5"/>
    </row>
    <row r="21" spans="1:2" x14ac:dyDescent="0.2">
      <c r="A21" s="4" t="s">
        <v>300</v>
      </c>
      <c r="B21" s="5">
        <v>660</v>
      </c>
    </row>
    <row r="22" spans="1:2" x14ac:dyDescent="0.2">
      <c r="A22" s="4" t="s">
        <v>301</v>
      </c>
      <c r="B22" s="5"/>
    </row>
    <row r="23" spans="1:2" x14ac:dyDescent="0.2">
      <c r="A23" s="4" t="s">
        <v>302</v>
      </c>
      <c r="B23" s="5">
        <v>17600</v>
      </c>
    </row>
    <row r="24" spans="1:2" x14ac:dyDescent="0.2">
      <c r="A24" s="4" t="s">
        <v>303</v>
      </c>
      <c r="B24" s="5"/>
    </row>
    <row r="25" spans="1:2" x14ac:dyDescent="0.2">
      <c r="A25" s="4" t="s">
        <v>304</v>
      </c>
      <c r="B25" s="5">
        <v>3958.68</v>
      </c>
    </row>
    <row r="26" spans="1:2" x14ac:dyDescent="0.2">
      <c r="A26" s="4" t="s">
        <v>305</v>
      </c>
      <c r="B26" s="5">
        <v>5278.24</v>
      </c>
    </row>
    <row r="27" spans="1:2" x14ac:dyDescent="0.2">
      <c r="A27" s="4" t="s">
        <v>306</v>
      </c>
      <c r="B27" s="5"/>
    </row>
    <row r="28" spans="1:2" x14ac:dyDescent="0.2">
      <c r="A28" s="4" t="s">
        <v>307</v>
      </c>
      <c r="B28" s="5">
        <v>2640</v>
      </c>
    </row>
    <row r="29" spans="1:2" x14ac:dyDescent="0.2">
      <c r="A29" s="4" t="s">
        <v>308</v>
      </c>
      <c r="B29" s="5"/>
    </row>
    <row r="30" spans="1:2" x14ac:dyDescent="0.2">
      <c r="A30" s="4" t="s">
        <v>309</v>
      </c>
      <c r="B30" s="5">
        <v>176</v>
      </c>
    </row>
    <row r="31" spans="1:2" x14ac:dyDescent="0.2">
      <c r="A31" s="4" t="s">
        <v>310</v>
      </c>
      <c r="B31" s="5"/>
    </row>
    <row r="32" spans="1:2" x14ac:dyDescent="0.2">
      <c r="A32" s="4" t="s">
        <v>311</v>
      </c>
      <c r="B32" s="5">
        <v>660</v>
      </c>
    </row>
    <row r="33" spans="1:2" x14ac:dyDescent="0.2">
      <c r="A33" s="4" t="s">
        <v>312</v>
      </c>
      <c r="B33" s="5"/>
    </row>
    <row r="34" spans="1:2" x14ac:dyDescent="0.2">
      <c r="A34" s="4" t="s">
        <v>313</v>
      </c>
      <c r="B34" s="5">
        <v>264</v>
      </c>
    </row>
    <row r="35" spans="1:2" x14ac:dyDescent="0.2">
      <c r="A35" s="4" t="s">
        <v>314</v>
      </c>
      <c r="B35" s="5"/>
    </row>
    <row r="36" spans="1:2" x14ac:dyDescent="0.2">
      <c r="A36" s="4" t="s">
        <v>315</v>
      </c>
      <c r="B36" s="5">
        <v>24640</v>
      </c>
    </row>
    <row r="37" spans="1:2" x14ac:dyDescent="0.2">
      <c r="A37" s="4" t="s">
        <v>291</v>
      </c>
      <c r="B37" s="5">
        <v>34.9</v>
      </c>
    </row>
    <row r="38" spans="1:2" x14ac:dyDescent="0.2">
      <c r="A38" s="4" t="s">
        <v>316</v>
      </c>
      <c r="B38" s="5"/>
    </row>
    <row r="39" spans="1:2" x14ac:dyDescent="0.2">
      <c r="A39" s="4" t="s">
        <v>317</v>
      </c>
      <c r="B39" s="5">
        <v>396</v>
      </c>
    </row>
    <row r="40" spans="1:2" x14ac:dyDescent="0.2">
      <c r="A40" s="4" t="s">
        <v>318</v>
      </c>
      <c r="B40" s="5"/>
    </row>
    <row r="41" spans="1:2" x14ac:dyDescent="0.2">
      <c r="A41" s="4" t="s">
        <v>319</v>
      </c>
      <c r="B41" s="5">
        <v>280.72000000000003</v>
      </c>
    </row>
    <row r="42" spans="1:2" x14ac:dyDescent="0.2">
      <c r="A42" s="4" t="s">
        <v>320</v>
      </c>
      <c r="B42" s="5"/>
    </row>
    <row r="43" spans="1:2" x14ac:dyDescent="0.2">
      <c r="A43" s="4" t="s">
        <v>321</v>
      </c>
      <c r="B43" s="5">
        <v>660</v>
      </c>
    </row>
    <row r="44" spans="1:2" x14ac:dyDescent="0.2">
      <c r="A44" s="4" t="s">
        <v>322</v>
      </c>
      <c r="B44" s="5"/>
    </row>
    <row r="45" spans="1:2" x14ac:dyDescent="0.2">
      <c r="A45" s="4" t="s">
        <v>323</v>
      </c>
      <c r="B45" s="5">
        <v>836</v>
      </c>
    </row>
    <row r="46" spans="1:2" x14ac:dyDescent="0.2">
      <c r="A46" s="4" t="s">
        <v>324</v>
      </c>
      <c r="B46" s="5"/>
    </row>
    <row r="47" spans="1:2" x14ac:dyDescent="0.2">
      <c r="A47" s="4" t="s">
        <v>325</v>
      </c>
      <c r="B47" s="5">
        <v>660</v>
      </c>
    </row>
    <row r="48" spans="1:2" x14ac:dyDescent="0.2">
      <c r="A48" s="4" t="s">
        <v>326</v>
      </c>
      <c r="B48" s="5"/>
    </row>
    <row r="49" spans="1:2" x14ac:dyDescent="0.2">
      <c r="A49" s="4" t="s">
        <v>327</v>
      </c>
      <c r="B49" s="5">
        <v>708.4</v>
      </c>
    </row>
    <row r="50" spans="1:2" x14ac:dyDescent="0.2">
      <c r="A50" s="4" t="s">
        <v>328</v>
      </c>
      <c r="B50" s="5"/>
    </row>
    <row r="51" spans="1:2" x14ac:dyDescent="0.2">
      <c r="A51" s="4" t="s">
        <v>329</v>
      </c>
      <c r="B51" s="5">
        <v>360.8</v>
      </c>
    </row>
    <row r="52" spans="1:2" x14ac:dyDescent="0.2">
      <c r="A52" s="4" t="s">
        <v>330</v>
      </c>
      <c r="B52" s="5">
        <v>255.2</v>
      </c>
    </row>
    <row r="53" spans="1:2" x14ac:dyDescent="0.2">
      <c r="A53" s="4" t="s">
        <v>331</v>
      </c>
      <c r="B53" s="5">
        <v>484</v>
      </c>
    </row>
    <row r="54" spans="1:2" x14ac:dyDescent="0.2">
      <c r="A54" s="4" t="s">
        <v>332</v>
      </c>
      <c r="B54" s="5"/>
    </row>
    <row r="55" spans="1:2" x14ac:dyDescent="0.2">
      <c r="A55" s="4" t="s">
        <v>333</v>
      </c>
      <c r="B55" s="5">
        <v>101.2</v>
      </c>
    </row>
    <row r="56" spans="1:2" x14ac:dyDescent="0.2">
      <c r="A56" s="4" t="s">
        <v>334</v>
      </c>
      <c r="B56" s="5"/>
    </row>
    <row r="57" spans="1:2" x14ac:dyDescent="0.2">
      <c r="A57" s="4" t="s">
        <v>335</v>
      </c>
      <c r="B57" s="5">
        <v>404.8</v>
      </c>
    </row>
    <row r="58" spans="1:2" x14ac:dyDescent="0.2">
      <c r="A58" s="4" t="s">
        <v>336</v>
      </c>
      <c r="B58" s="5"/>
    </row>
    <row r="59" spans="1:2" x14ac:dyDescent="0.2">
      <c r="A59" s="4" t="s">
        <v>337</v>
      </c>
      <c r="B59" s="5">
        <v>378.4</v>
      </c>
    </row>
    <row r="60" spans="1:2" x14ac:dyDescent="0.2">
      <c r="A60" s="4" t="s">
        <v>338</v>
      </c>
      <c r="B60" s="5"/>
    </row>
    <row r="61" spans="1:2" x14ac:dyDescent="0.2">
      <c r="A61" s="4" t="s">
        <v>339</v>
      </c>
      <c r="B61" s="5">
        <v>660</v>
      </c>
    </row>
    <row r="62" spans="1:2" x14ac:dyDescent="0.2">
      <c r="A62" s="4" t="s">
        <v>340</v>
      </c>
      <c r="B62" s="5"/>
    </row>
    <row r="63" spans="1:2" x14ac:dyDescent="0.2">
      <c r="A63" s="4" t="s">
        <v>341</v>
      </c>
      <c r="B63" s="5">
        <v>378.4</v>
      </c>
    </row>
    <row r="64" spans="1:2" x14ac:dyDescent="0.2">
      <c r="A64" s="4" t="s">
        <v>342</v>
      </c>
      <c r="B64" s="5"/>
    </row>
    <row r="65" spans="1:2" x14ac:dyDescent="0.2">
      <c r="A65" s="4" t="s">
        <v>343</v>
      </c>
      <c r="B65" s="5">
        <v>264</v>
      </c>
    </row>
    <row r="66" spans="1:2" x14ac:dyDescent="0.2">
      <c r="A66" s="4" t="s">
        <v>344</v>
      </c>
      <c r="B66" s="5"/>
    </row>
    <row r="67" spans="1:2" x14ac:dyDescent="0.2">
      <c r="A67" s="4" t="s">
        <v>345</v>
      </c>
      <c r="B67" s="5">
        <v>704</v>
      </c>
    </row>
    <row r="68" spans="1:2" x14ac:dyDescent="0.2">
      <c r="A68" s="4" t="s">
        <v>346</v>
      </c>
      <c r="B68" s="5"/>
    </row>
    <row r="69" spans="1:2" x14ac:dyDescent="0.2">
      <c r="A69" s="4" t="s">
        <v>347</v>
      </c>
      <c r="B69" s="5">
        <v>9212.02</v>
      </c>
    </row>
    <row r="70" spans="1:2" x14ac:dyDescent="0.2">
      <c r="A70" s="4" t="s">
        <v>348</v>
      </c>
      <c r="B70" s="5"/>
    </row>
    <row r="71" spans="1:2" x14ac:dyDescent="0.2">
      <c r="A71" s="4" t="s">
        <v>349</v>
      </c>
      <c r="B71" s="5">
        <v>534.16</v>
      </c>
    </row>
    <row r="72" spans="1:2" x14ac:dyDescent="0.2">
      <c r="A72" s="4" t="s">
        <v>350</v>
      </c>
      <c r="B72" s="5"/>
    </row>
    <row r="73" spans="1:2" x14ac:dyDescent="0.2">
      <c r="A73" s="4" t="s">
        <v>351</v>
      </c>
      <c r="B73" s="5">
        <v>202.4</v>
      </c>
    </row>
    <row r="74" spans="1:2" x14ac:dyDescent="0.2">
      <c r="A74" s="4" t="s">
        <v>352</v>
      </c>
      <c r="B74" s="5"/>
    </row>
    <row r="75" spans="1:2" x14ac:dyDescent="0.2">
      <c r="A75" s="4" t="s">
        <v>353</v>
      </c>
      <c r="B75" s="5">
        <v>101.2</v>
      </c>
    </row>
    <row r="76" spans="1:2" x14ac:dyDescent="0.2">
      <c r="A76" s="4" t="s">
        <v>354</v>
      </c>
      <c r="B76" s="5"/>
    </row>
    <row r="77" spans="1:2" x14ac:dyDescent="0.2">
      <c r="A77" s="4" t="s">
        <v>355</v>
      </c>
      <c r="B77" s="5">
        <v>2640</v>
      </c>
    </row>
    <row r="78" spans="1:2" x14ac:dyDescent="0.2">
      <c r="A78" s="4" t="s">
        <v>356</v>
      </c>
      <c r="B78" s="5"/>
    </row>
    <row r="79" spans="1:2" x14ac:dyDescent="0.2">
      <c r="A79" s="4" t="s">
        <v>357</v>
      </c>
      <c r="B79" s="5">
        <v>887.04</v>
      </c>
    </row>
    <row r="80" spans="1:2" x14ac:dyDescent="0.2">
      <c r="A80" s="4" t="s">
        <v>231</v>
      </c>
      <c r="B80" s="5"/>
    </row>
    <row r="81" spans="1:2" x14ac:dyDescent="0.2">
      <c r="A81" s="4" t="s">
        <v>358</v>
      </c>
      <c r="B81" s="5">
        <v>114.96</v>
      </c>
    </row>
    <row r="82" spans="1:2" x14ac:dyDescent="0.2">
      <c r="A82" s="4" t="s">
        <v>7</v>
      </c>
      <c r="B82" s="5"/>
    </row>
    <row r="83" spans="1:2" x14ac:dyDescent="0.2">
      <c r="A83" s="4" t="s">
        <v>359</v>
      </c>
      <c r="B83" s="5">
        <v>15000</v>
      </c>
    </row>
    <row r="84" spans="1:2" x14ac:dyDescent="0.2">
      <c r="A84" s="4" t="s">
        <v>239</v>
      </c>
      <c r="B84" s="5"/>
    </row>
    <row r="85" spans="1:2" x14ac:dyDescent="0.2">
      <c r="A85" s="4" t="s">
        <v>360</v>
      </c>
      <c r="B85" s="5">
        <v>2350</v>
      </c>
    </row>
    <row r="86" spans="1:2" x14ac:dyDescent="0.2">
      <c r="A86" s="4" t="s">
        <v>361</v>
      </c>
      <c r="B86" s="5"/>
    </row>
    <row r="87" spans="1:2" x14ac:dyDescent="0.2">
      <c r="A87" s="4" t="s">
        <v>362</v>
      </c>
      <c r="B87" s="5">
        <v>4949.16</v>
      </c>
    </row>
    <row r="88" spans="1:2" x14ac:dyDescent="0.2">
      <c r="A88" s="4" t="s">
        <v>8</v>
      </c>
      <c r="B88" s="5"/>
    </row>
    <row r="89" spans="1:2" x14ac:dyDescent="0.2">
      <c r="A89" s="4" t="s">
        <v>363</v>
      </c>
      <c r="B89" s="5">
        <v>38559.94</v>
      </c>
    </row>
    <row r="90" spans="1:2" x14ac:dyDescent="0.2">
      <c r="A90" s="4" t="s">
        <v>364</v>
      </c>
      <c r="B90" s="5">
        <v>7163.17</v>
      </c>
    </row>
    <row r="91" spans="1:2" x14ac:dyDescent="0.2">
      <c r="A91" s="4" t="s">
        <v>9</v>
      </c>
      <c r="B91" s="5"/>
    </row>
    <row r="92" spans="1:2" x14ac:dyDescent="0.2">
      <c r="A92" s="4" t="s">
        <v>365</v>
      </c>
      <c r="B92" s="5">
        <v>33323.51</v>
      </c>
    </row>
    <row r="93" spans="1:2" x14ac:dyDescent="0.2">
      <c r="A93" s="4" t="s">
        <v>366</v>
      </c>
      <c r="B93" s="5">
        <v>5863.45</v>
      </c>
    </row>
    <row r="94" spans="1:2" x14ac:dyDescent="0.2">
      <c r="A94" s="4" t="s">
        <v>244</v>
      </c>
      <c r="B94" s="5"/>
    </row>
    <row r="95" spans="1:2" x14ac:dyDescent="0.2">
      <c r="A95" s="4" t="s">
        <v>367</v>
      </c>
      <c r="B95" s="5">
        <v>69938</v>
      </c>
    </row>
    <row r="96" spans="1:2" x14ac:dyDescent="0.2">
      <c r="A96" s="6" t="s">
        <v>2</v>
      </c>
      <c r="B96" s="7">
        <f>SUM(B3:B95)</f>
        <v>350818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A365-03F4-446F-81FE-F17A8F9A9015}">
  <dimension ref="A1:D62"/>
  <sheetViews>
    <sheetView topLeftCell="A49" workbookViewId="0">
      <selection activeCell="C68" sqref="C68"/>
    </sheetView>
  </sheetViews>
  <sheetFormatPr baseColWidth="10" defaultRowHeight="14.4" x14ac:dyDescent="0.3"/>
  <cols>
    <col min="2" max="2" width="14" bestFit="1" customWidth="1"/>
    <col min="3" max="3" width="86.88671875" bestFit="1" customWidth="1"/>
    <col min="4" max="4" width="11.6640625" bestFit="1" customWidth="1"/>
  </cols>
  <sheetData>
    <row r="1" spans="1:4" ht="15" thickBot="1" x14ac:dyDescent="0.35">
      <c r="A1" s="47" t="s">
        <v>371</v>
      </c>
      <c r="B1" s="48" t="s">
        <v>372</v>
      </c>
      <c r="C1" s="48" t="s">
        <v>373</v>
      </c>
      <c r="D1" s="49" t="s">
        <v>1</v>
      </c>
    </row>
    <row r="2" spans="1:4" ht="15" thickTop="1" x14ac:dyDescent="0.3">
      <c r="A2" s="50" t="s">
        <v>374</v>
      </c>
      <c r="B2" s="51" t="s">
        <v>3</v>
      </c>
      <c r="C2" s="51" t="s">
        <v>379</v>
      </c>
      <c r="D2" s="52">
        <v>9160.82</v>
      </c>
    </row>
    <row r="3" spans="1:4" x14ac:dyDescent="0.3">
      <c r="A3" s="53" t="s">
        <v>374</v>
      </c>
      <c r="B3" s="54" t="s">
        <v>287</v>
      </c>
      <c r="C3" s="54" t="s">
        <v>380</v>
      </c>
      <c r="D3" s="55">
        <v>117</v>
      </c>
    </row>
    <row r="4" spans="1:4" x14ac:dyDescent="0.3">
      <c r="A4" s="50" t="s">
        <v>374</v>
      </c>
      <c r="B4" s="51" t="s">
        <v>145</v>
      </c>
      <c r="C4" s="51" t="s">
        <v>381</v>
      </c>
      <c r="D4" s="52">
        <v>8800</v>
      </c>
    </row>
    <row r="5" spans="1:4" x14ac:dyDescent="0.3">
      <c r="A5" s="53" t="s">
        <v>374</v>
      </c>
      <c r="B5" s="54" t="s">
        <v>215</v>
      </c>
      <c r="C5" s="54" t="s">
        <v>382</v>
      </c>
      <c r="D5" s="55">
        <v>18480</v>
      </c>
    </row>
    <row r="6" spans="1:4" x14ac:dyDescent="0.3">
      <c r="A6" s="50" t="s">
        <v>374</v>
      </c>
      <c r="B6" s="51" t="s">
        <v>215</v>
      </c>
      <c r="C6" s="51" t="s">
        <v>383</v>
      </c>
      <c r="D6" s="52">
        <v>18480</v>
      </c>
    </row>
    <row r="7" spans="1:4" x14ac:dyDescent="0.3">
      <c r="A7" s="53" t="s">
        <v>374</v>
      </c>
      <c r="B7" s="54" t="s">
        <v>215</v>
      </c>
      <c r="C7" s="54" t="s">
        <v>384</v>
      </c>
      <c r="D7" s="55">
        <v>18480</v>
      </c>
    </row>
    <row r="8" spans="1:4" x14ac:dyDescent="0.3">
      <c r="A8" s="50" t="s">
        <v>374</v>
      </c>
      <c r="B8" s="51" t="s">
        <v>303</v>
      </c>
      <c r="C8" s="51" t="s">
        <v>385</v>
      </c>
      <c r="D8" s="52">
        <v>1979.34</v>
      </c>
    </row>
    <row r="9" spans="1:4" x14ac:dyDescent="0.3">
      <c r="A9" s="53" t="s">
        <v>374</v>
      </c>
      <c r="B9" s="54" t="s">
        <v>303</v>
      </c>
      <c r="C9" s="54" t="s">
        <v>386</v>
      </c>
      <c r="D9" s="55">
        <v>1979.34</v>
      </c>
    </row>
    <row r="10" spans="1:4" x14ac:dyDescent="0.3">
      <c r="A10" s="50" t="s">
        <v>374</v>
      </c>
      <c r="B10" s="51" t="s">
        <v>314</v>
      </c>
      <c r="C10" s="51" t="s">
        <v>387</v>
      </c>
      <c r="D10" s="52">
        <v>1.04</v>
      </c>
    </row>
    <row r="11" spans="1:4" x14ac:dyDescent="0.3">
      <c r="A11" s="53" t="s">
        <v>374</v>
      </c>
      <c r="B11" s="54" t="s">
        <v>314</v>
      </c>
      <c r="C11" s="54" t="s">
        <v>388</v>
      </c>
      <c r="D11" s="55">
        <v>12320</v>
      </c>
    </row>
    <row r="12" spans="1:4" x14ac:dyDescent="0.3">
      <c r="A12" s="50" t="s">
        <v>374</v>
      </c>
      <c r="B12" s="51" t="s">
        <v>314</v>
      </c>
      <c r="C12" s="51" t="s">
        <v>389</v>
      </c>
      <c r="D12" s="52">
        <v>12320</v>
      </c>
    </row>
    <row r="13" spans="1:4" x14ac:dyDescent="0.3">
      <c r="A13" s="53" t="s">
        <v>374</v>
      </c>
      <c r="B13" s="54" t="s">
        <v>328</v>
      </c>
      <c r="C13" s="54" t="s">
        <v>390</v>
      </c>
      <c r="D13" s="55">
        <v>26.4</v>
      </c>
    </row>
    <row r="14" spans="1:4" x14ac:dyDescent="0.3">
      <c r="A14" s="50" t="s">
        <v>374</v>
      </c>
      <c r="B14" s="51" t="s">
        <v>328</v>
      </c>
      <c r="C14" s="51" t="s">
        <v>391</v>
      </c>
      <c r="D14" s="52">
        <v>105.6</v>
      </c>
    </row>
    <row r="15" spans="1:4" x14ac:dyDescent="0.3">
      <c r="A15" s="53" t="s">
        <v>374</v>
      </c>
      <c r="B15" s="54" t="s">
        <v>328</v>
      </c>
      <c r="C15" s="54" t="s">
        <v>392</v>
      </c>
      <c r="D15" s="55">
        <v>105.6</v>
      </c>
    </row>
    <row r="16" spans="1:4" x14ac:dyDescent="0.3">
      <c r="A16" s="50" t="s">
        <v>374</v>
      </c>
      <c r="B16" s="51" t="s">
        <v>328</v>
      </c>
      <c r="C16" s="51" t="s">
        <v>393</v>
      </c>
      <c r="D16" s="52">
        <v>132</v>
      </c>
    </row>
    <row r="17" spans="1:4" x14ac:dyDescent="0.3">
      <c r="A17" s="53" t="s">
        <v>374</v>
      </c>
      <c r="B17" s="54" t="s">
        <v>328</v>
      </c>
      <c r="C17" s="54" t="s">
        <v>394</v>
      </c>
      <c r="D17" s="55">
        <v>132</v>
      </c>
    </row>
    <row r="18" spans="1:4" x14ac:dyDescent="0.3">
      <c r="A18" s="50" t="s">
        <v>374</v>
      </c>
      <c r="B18" s="51" t="s">
        <v>328</v>
      </c>
      <c r="C18" s="51" t="s">
        <v>395</v>
      </c>
      <c r="D18" s="52">
        <v>299.2</v>
      </c>
    </row>
    <row r="19" spans="1:4" x14ac:dyDescent="0.3">
      <c r="A19" s="53" t="s">
        <v>374</v>
      </c>
      <c r="B19" s="54" t="s">
        <v>328</v>
      </c>
      <c r="C19" s="54" t="s">
        <v>396</v>
      </c>
      <c r="D19" s="55">
        <v>1003.2</v>
      </c>
    </row>
    <row r="20" spans="1:4" x14ac:dyDescent="0.3">
      <c r="A20" s="50" t="s">
        <v>374</v>
      </c>
      <c r="B20" s="51" t="s">
        <v>328</v>
      </c>
      <c r="C20" s="51" t="s">
        <v>397</v>
      </c>
      <c r="D20" s="52">
        <v>1584</v>
      </c>
    </row>
    <row r="21" spans="1:4" x14ac:dyDescent="0.3">
      <c r="A21" s="53" t="s">
        <v>374</v>
      </c>
      <c r="B21" s="54" t="s">
        <v>398</v>
      </c>
      <c r="C21" s="54" t="s">
        <v>399</v>
      </c>
      <c r="D21" s="55">
        <v>264</v>
      </c>
    </row>
    <row r="22" spans="1:4" x14ac:dyDescent="0.3">
      <c r="A22" s="50" t="s">
        <v>374</v>
      </c>
      <c r="B22" s="51" t="s">
        <v>400</v>
      </c>
      <c r="C22" s="51" t="s">
        <v>401</v>
      </c>
      <c r="D22" s="52">
        <v>202.4</v>
      </c>
    </row>
    <row r="23" spans="1:4" x14ac:dyDescent="0.3">
      <c r="A23" s="53" t="s">
        <v>374</v>
      </c>
      <c r="B23" s="54" t="s">
        <v>402</v>
      </c>
      <c r="C23" s="54" t="s">
        <v>403</v>
      </c>
      <c r="D23" s="55">
        <v>101.2</v>
      </c>
    </row>
    <row r="24" spans="1:4" x14ac:dyDescent="0.3">
      <c r="A24" s="50" t="s">
        <v>374</v>
      </c>
      <c r="B24" s="51" t="s">
        <v>404</v>
      </c>
      <c r="C24" s="51" t="s">
        <v>405</v>
      </c>
      <c r="D24" s="52">
        <v>303.60000000000002</v>
      </c>
    </row>
    <row r="25" spans="1:4" x14ac:dyDescent="0.3">
      <c r="A25" s="53" t="s">
        <v>374</v>
      </c>
      <c r="B25" s="54" t="s">
        <v>406</v>
      </c>
      <c r="C25" s="54" t="s">
        <v>407</v>
      </c>
      <c r="D25" s="55">
        <v>404.8</v>
      </c>
    </row>
    <row r="26" spans="1:4" x14ac:dyDescent="0.3">
      <c r="A26" s="50" t="s">
        <v>374</v>
      </c>
      <c r="B26" s="51" t="s">
        <v>408</v>
      </c>
      <c r="C26" s="51" t="s">
        <v>409</v>
      </c>
      <c r="D26" s="52">
        <v>101.2</v>
      </c>
    </row>
    <row r="27" spans="1:4" x14ac:dyDescent="0.3">
      <c r="A27" s="53" t="s">
        <v>374</v>
      </c>
      <c r="B27" s="54" t="s">
        <v>410</v>
      </c>
      <c r="C27" s="54" t="s">
        <v>411</v>
      </c>
      <c r="D27" s="55">
        <v>440</v>
      </c>
    </row>
    <row r="28" spans="1:4" x14ac:dyDescent="0.3">
      <c r="A28" s="50" t="s">
        <v>374</v>
      </c>
      <c r="B28" s="51" t="s">
        <v>412</v>
      </c>
      <c r="C28" s="51" t="s">
        <v>413</v>
      </c>
      <c r="D28" s="52">
        <v>651.20000000000005</v>
      </c>
    </row>
    <row r="29" spans="1:4" x14ac:dyDescent="0.3">
      <c r="A29" s="53" t="s">
        <v>374</v>
      </c>
      <c r="B29" s="54" t="s">
        <v>414</v>
      </c>
      <c r="C29" s="54" t="s">
        <v>415</v>
      </c>
      <c r="D29" s="55">
        <v>325.60000000000002</v>
      </c>
    </row>
    <row r="30" spans="1:4" x14ac:dyDescent="0.3">
      <c r="A30" s="50" t="s">
        <v>374</v>
      </c>
      <c r="B30" s="51" t="s">
        <v>416</v>
      </c>
      <c r="C30" s="51" t="s">
        <v>417</v>
      </c>
      <c r="D30" s="52">
        <v>162.80000000000001</v>
      </c>
    </row>
    <row r="31" spans="1:4" x14ac:dyDescent="0.3">
      <c r="A31" s="53" t="s">
        <v>374</v>
      </c>
      <c r="B31" s="54" t="s">
        <v>418</v>
      </c>
      <c r="C31" s="54" t="s">
        <v>419</v>
      </c>
      <c r="D31" s="55">
        <v>8870.4</v>
      </c>
    </row>
    <row r="32" spans="1:4" x14ac:dyDescent="0.3">
      <c r="A32" s="50" t="s">
        <v>374</v>
      </c>
      <c r="B32" s="51" t="s">
        <v>420</v>
      </c>
      <c r="C32" s="51" t="s">
        <v>421</v>
      </c>
      <c r="D32" s="52">
        <v>202.4</v>
      </c>
    </row>
    <row r="33" spans="1:4" x14ac:dyDescent="0.3">
      <c r="A33" s="53" t="s">
        <v>374</v>
      </c>
      <c r="B33" s="54" t="s">
        <v>422</v>
      </c>
      <c r="C33" s="54" t="s">
        <v>423</v>
      </c>
      <c r="D33" s="55">
        <v>101.2</v>
      </c>
    </row>
    <row r="34" spans="1:4" x14ac:dyDescent="0.3">
      <c r="A34" s="50" t="s">
        <v>374</v>
      </c>
      <c r="B34" s="51" t="s">
        <v>424</v>
      </c>
      <c r="C34" s="51" t="s">
        <v>425</v>
      </c>
      <c r="D34" s="52">
        <v>132</v>
      </c>
    </row>
    <row r="35" spans="1:4" x14ac:dyDescent="0.3">
      <c r="A35" s="53" t="s">
        <v>374</v>
      </c>
      <c r="B35" s="54" t="s">
        <v>426</v>
      </c>
      <c r="C35" s="54" t="s">
        <v>427</v>
      </c>
      <c r="D35" s="55">
        <v>748</v>
      </c>
    </row>
    <row r="36" spans="1:4" x14ac:dyDescent="0.3">
      <c r="A36" s="50" t="s">
        <v>374</v>
      </c>
      <c r="B36" s="51" t="s">
        <v>428</v>
      </c>
      <c r="C36" s="51" t="s">
        <v>429</v>
      </c>
      <c r="D36" s="52">
        <v>660</v>
      </c>
    </row>
    <row r="37" spans="1:4" x14ac:dyDescent="0.3">
      <c r="A37" s="53" t="s">
        <v>374</v>
      </c>
      <c r="B37" s="54" t="s">
        <v>430</v>
      </c>
      <c r="C37" s="54" t="s">
        <v>431</v>
      </c>
      <c r="D37" s="55">
        <v>378.4</v>
      </c>
    </row>
    <row r="38" spans="1:4" x14ac:dyDescent="0.3">
      <c r="A38" s="50" t="s">
        <v>374</v>
      </c>
      <c r="B38" s="51" t="s">
        <v>432</v>
      </c>
      <c r="C38" s="51" t="s">
        <v>433</v>
      </c>
      <c r="D38" s="52">
        <v>440</v>
      </c>
    </row>
    <row r="39" spans="1:4" x14ac:dyDescent="0.3">
      <c r="A39" s="53" t="s">
        <v>374</v>
      </c>
      <c r="B39" s="54" t="s">
        <v>434</v>
      </c>
      <c r="C39" s="54" t="s">
        <v>435</v>
      </c>
      <c r="D39" s="55">
        <v>660</v>
      </c>
    </row>
    <row r="40" spans="1:4" x14ac:dyDescent="0.3">
      <c r="A40" s="50" t="s">
        <v>374</v>
      </c>
      <c r="B40" s="51" t="s">
        <v>436</v>
      </c>
      <c r="C40" s="51" t="s">
        <v>437</v>
      </c>
      <c r="D40" s="52">
        <v>2376</v>
      </c>
    </row>
    <row r="41" spans="1:4" x14ac:dyDescent="0.3">
      <c r="A41" s="53" t="s">
        <v>374</v>
      </c>
      <c r="B41" s="54" t="s">
        <v>438</v>
      </c>
      <c r="C41" s="54" t="s">
        <v>439</v>
      </c>
      <c r="D41" s="55">
        <v>303.60000000000002</v>
      </c>
    </row>
    <row r="42" spans="1:4" x14ac:dyDescent="0.3">
      <c r="A42" s="50" t="s">
        <v>374</v>
      </c>
      <c r="B42" s="51" t="s">
        <v>440</v>
      </c>
      <c r="C42" s="51" t="s">
        <v>441</v>
      </c>
      <c r="D42" s="52">
        <v>101.2</v>
      </c>
    </row>
    <row r="43" spans="1:4" x14ac:dyDescent="0.3">
      <c r="A43" s="53" t="s">
        <v>374</v>
      </c>
      <c r="B43" s="54" t="s">
        <v>442</v>
      </c>
      <c r="C43" s="54" t="s">
        <v>443</v>
      </c>
      <c r="D43" s="55">
        <v>2640</v>
      </c>
    </row>
    <row r="44" spans="1:4" x14ac:dyDescent="0.3">
      <c r="A44" s="50" t="s">
        <v>374</v>
      </c>
      <c r="B44" s="51" t="s">
        <v>444</v>
      </c>
      <c r="C44" s="51" t="s">
        <v>445</v>
      </c>
      <c r="D44" s="52">
        <v>4312</v>
      </c>
    </row>
    <row r="45" spans="1:4" x14ac:dyDescent="0.3">
      <c r="A45" s="53" t="s">
        <v>374</v>
      </c>
      <c r="B45" s="54" t="s">
        <v>446</v>
      </c>
      <c r="C45" s="54" t="s">
        <v>447</v>
      </c>
      <c r="D45" s="55">
        <v>660</v>
      </c>
    </row>
    <row r="46" spans="1:4" x14ac:dyDescent="0.3">
      <c r="A46" s="50" t="s">
        <v>374</v>
      </c>
      <c r="B46" s="51" t="s">
        <v>448</v>
      </c>
      <c r="C46" s="51" t="s">
        <v>449</v>
      </c>
      <c r="D46" s="52">
        <v>660</v>
      </c>
    </row>
    <row r="47" spans="1:4" x14ac:dyDescent="0.3">
      <c r="A47" s="53" t="s">
        <v>374</v>
      </c>
      <c r="B47" s="54" t="s">
        <v>450</v>
      </c>
      <c r="C47" s="54" t="s">
        <v>451</v>
      </c>
      <c r="D47" s="55">
        <v>404.8</v>
      </c>
    </row>
    <row r="48" spans="1:4" x14ac:dyDescent="0.3">
      <c r="A48" s="50" t="s">
        <v>374</v>
      </c>
      <c r="B48" s="51" t="s">
        <v>452</v>
      </c>
      <c r="C48" s="51" t="s">
        <v>453</v>
      </c>
      <c r="D48" s="52">
        <v>1113.2</v>
      </c>
    </row>
    <row r="49" spans="1:4" x14ac:dyDescent="0.3">
      <c r="A49" s="53" t="s">
        <v>374</v>
      </c>
      <c r="B49" s="54" t="s">
        <v>454</v>
      </c>
      <c r="C49" s="54" t="s">
        <v>455</v>
      </c>
      <c r="D49" s="55">
        <v>101.2</v>
      </c>
    </row>
    <row r="50" spans="1:4" x14ac:dyDescent="0.3">
      <c r="A50" s="50" t="s">
        <v>374</v>
      </c>
      <c r="B50" s="51" t="s">
        <v>456</v>
      </c>
      <c r="C50" s="51" t="s">
        <v>457</v>
      </c>
      <c r="D50" s="52">
        <v>743.6</v>
      </c>
    </row>
    <row r="51" spans="1:4" x14ac:dyDescent="0.3">
      <c r="A51" s="53" t="s">
        <v>374</v>
      </c>
      <c r="B51" s="54" t="s">
        <v>458</v>
      </c>
      <c r="C51" s="54" t="s">
        <v>459</v>
      </c>
      <c r="D51" s="55">
        <v>924</v>
      </c>
    </row>
    <row r="52" spans="1:4" x14ac:dyDescent="0.3">
      <c r="A52" s="50" t="s">
        <v>374</v>
      </c>
      <c r="B52" s="51" t="s">
        <v>239</v>
      </c>
      <c r="C52" s="51" t="s">
        <v>460</v>
      </c>
      <c r="D52" s="52">
        <v>9870</v>
      </c>
    </row>
    <row r="53" spans="1:4" x14ac:dyDescent="0.3">
      <c r="A53" s="53" t="s">
        <v>374</v>
      </c>
      <c r="B53" s="54" t="s">
        <v>461</v>
      </c>
      <c r="C53" s="54" t="s">
        <v>462</v>
      </c>
      <c r="D53" s="55">
        <v>47883.8</v>
      </c>
    </row>
    <row r="54" spans="1:4" x14ac:dyDescent="0.3">
      <c r="A54" s="50" t="s">
        <v>374</v>
      </c>
      <c r="B54" s="51" t="s">
        <v>463</v>
      </c>
      <c r="C54" s="51" t="s">
        <v>464</v>
      </c>
      <c r="D54" s="52">
        <v>15200</v>
      </c>
    </row>
    <row r="55" spans="1:4" x14ac:dyDescent="0.3">
      <c r="A55" s="53" t="s">
        <v>374</v>
      </c>
      <c r="B55" s="54" t="s">
        <v>465</v>
      </c>
      <c r="C55" s="54" t="s">
        <v>466</v>
      </c>
      <c r="D55" s="55">
        <v>43987.5</v>
      </c>
    </row>
    <row r="56" spans="1:4" x14ac:dyDescent="0.3">
      <c r="A56" s="50" t="s">
        <v>374</v>
      </c>
      <c r="B56" s="51" t="s">
        <v>242</v>
      </c>
      <c r="C56" s="51" t="s">
        <v>467</v>
      </c>
      <c r="D56" s="52">
        <v>62724.28</v>
      </c>
    </row>
    <row r="57" spans="1:4" ht="15" thickBot="1" x14ac:dyDescent="0.35">
      <c r="A57" s="53" t="s">
        <v>374</v>
      </c>
      <c r="B57" s="54" t="s">
        <v>244</v>
      </c>
      <c r="C57" s="54" t="s">
        <v>468</v>
      </c>
      <c r="D57" s="55">
        <v>20282.009999999998</v>
      </c>
    </row>
    <row r="58" spans="1:4" ht="15" thickTop="1" x14ac:dyDescent="0.3">
      <c r="A58" s="56" t="s">
        <v>2</v>
      </c>
      <c r="B58" s="57"/>
      <c r="C58" s="57"/>
      <c r="D58" s="58">
        <v>334941.93000000005</v>
      </c>
    </row>
    <row r="62" spans="1:4" x14ac:dyDescent="0.3">
      <c r="C62" s="76" t="s">
        <v>479</v>
      </c>
      <c r="D62" s="77">
        <f>D58+'Ingresos investigación 2020'!B96+'Ingresos investigación 2019'!B115</f>
        <v>1287562.0900000001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zoomScaleNormal="100" workbookViewId="0">
      <selection activeCell="A5" sqref="A5:B1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</v>
      </c>
      <c r="B2" s="5"/>
    </row>
    <row r="3" spans="1:2" x14ac:dyDescent="0.2">
      <c r="A3" s="4" t="s">
        <v>246</v>
      </c>
      <c r="B3" s="5">
        <v>2418.21</v>
      </c>
    </row>
    <row r="4" spans="1:2" x14ac:dyDescent="0.2">
      <c r="A4" s="4" t="s">
        <v>247</v>
      </c>
      <c r="B4" s="5">
        <v>2683.21</v>
      </c>
    </row>
    <row r="5" spans="1:2" x14ac:dyDescent="0.2">
      <c r="A5" s="4" t="s">
        <v>248</v>
      </c>
      <c r="B5" s="5">
        <v>2683.21</v>
      </c>
    </row>
    <row r="6" spans="1:2" x14ac:dyDescent="0.2">
      <c r="A6" s="4" t="s">
        <v>249</v>
      </c>
      <c r="B6" s="5">
        <v>20935</v>
      </c>
    </row>
    <row r="7" spans="1:2" x14ac:dyDescent="0.2">
      <c r="A7" s="4" t="s">
        <v>250</v>
      </c>
      <c r="B7" s="5">
        <v>2418.21</v>
      </c>
    </row>
    <row r="8" spans="1:2" x14ac:dyDescent="0.2">
      <c r="A8" s="4" t="s">
        <v>251</v>
      </c>
      <c r="B8" s="5">
        <v>11.24</v>
      </c>
    </row>
    <row r="9" spans="1:2" x14ac:dyDescent="0.2">
      <c r="A9" s="4" t="s">
        <v>252</v>
      </c>
      <c r="B9" s="5"/>
    </row>
    <row r="10" spans="1:2" x14ac:dyDescent="0.2">
      <c r="A10" s="4" t="s">
        <v>253</v>
      </c>
      <c r="B10" s="5">
        <v>30726.210000000003</v>
      </c>
    </row>
    <row r="11" spans="1:2" x14ac:dyDescent="0.2">
      <c r="A11" s="6" t="s">
        <v>2</v>
      </c>
      <c r="B11" s="7">
        <f>SUM(B3:B10)</f>
        <v>61875.290000000008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3666-B206-4E25-8142-2BCFE23646E9}">
  <dimension ref="A1:B7"/>
  <sheetViews>
    <sheetView zoomScaleNormal="100" workbookViewId="0">
      <selection activeCell="A17" sqref="A1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252</v>
      </c>
      <c r="B2" s="5"/>
    </row>
    <row r="3" spans="1:2" x14ac:dyDescent="0.2">
      <c r="A3" s="4" t="s">
        <v>368</v>
      </c>
      <c r="B3" s="5">
        <v>2683.21</v>
      </c>
    </row>
    <row r="4" spans="1:2" x14ac:dyDescent="0.2">
      <c r="A4" s="4" t="s">
        <v>369</v>
      </c>
      <c r="B4" s="5">
        <v>2683.21</v>
      </c>
    </row>
    <row r="5" spans="1:2" x14ac:dyDescent="0.2">
      <c r="A5" s="4" t="s">
        <v>370</v>
      </c>
      <c r="B5" s="5">
        <v>38245.25</v>
      </c>
    </row>
    <row r="6" spans="1:2" x14ac:dyDescent="0.2">
      <c r="A6" s="4" t="s">
        <v>292</v>
      </c>
      <c r="B6" s="5">
        <v>5.22</v>
      </c>
    </row>
    <row r="7" spans="1:2" x14ac:dyDescent="0.2">
      <c r="A7" s="6" t="s">
        <v>2</v>
      </c>
      <c r="B7" s="7">
        <f>SUM(B3:B6)</f>
        <v>43616.89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3B19-0EA9-4ACA-8989-3606B04B1677}">
  <dimension ref="A1:D9"/>
  <sheetViews>
    <sheetView workbookViewId="0">
      <selection activeCell="C15" sqref="C15"/>
    </sheetView>
  </sheetViews>
  <sheetFormatPr baseColWidth="10" defaultRowHeight="14.4" x14ac:dyDescent="0.3"/>
  <cols>
    <col min="2" max="2" width="14" bestFit="1" customWidth="1"/>
    <col min="3" max="3" width="86.88671875" bestFit="1" customWidth="1"/>
  </cols>
  <sheetData>
    <row r="1" spans="1:4" x14ac:dyDescent="0.3">
      <c r="A1" s="35" t="s">
        <v>371</v>
      </c>
      <c r="B1" s="36" t="s">
        <v>372</v>
      </c>
      <c r="C1" s="36" t="s">
        <v>373</v>
      </c>
      <c r="D1" s="37" t="s">
        <v>1</v>
      </c>
    </row>
    <row r="2" spans="1:4" x14ac:dyDescent="0.3">
      <c r="A2" s="38" t="s">
        <v>374</v>
      </c>
      <c r="B2" s="39" t="s">
        <v>252</v>
      </c>
      <c r="C2" s="39" t="s">
        <v>375</v>
      </c>
      <c r="D2" s="40">
        <v>2683.21</v>
      </c>
    </row>
    <row r="3" spans="1:4" x14ac:dyDescent="0.3">
      <c r="A3" s="41" t="s">
        <v>374</v>
      </c>
      <c r="B3" s="42" t="s">
        <v>252</v>
      </c>
      <c r="C3" s="42" t="s">
        <v>376</v>
      </c>
      <c r="D3" s="43">
        <v>2687.16</v>
      </c>
    </row>
    <row r="4" spans="1:4" x14ac:dyDescent="0.3">
      <c r="A4" s="38" t="s">
        <v>374</v>
      </c>
      <c r="B4" s="39" t="s">
        <v>252</v>
      </c>
      <c r="C4" s="39" t="s">
        <v>377</v>
      </c>
      <c r="D4" s="40">
        <v>2687.41</v>
      </c>
    </row>
    <row r="5" spans="1:4" ht="15" thickBot="1" x14ac:dyDescent="0.35">
      <c r="A5" s="41" t="s">
        <v>374</v>
      </c>
      <c r="B5" s="42" t="s">
        <v>252</v>
      </c>
      <c r="C5" s="42" t="s">
        <v>378</v>
      </c>
      <c r="D5" s="43">
        <v>33086.89</v>
      </c>
    </row>
    <row r="6" spans="1:4" ht="15" thickTop="1" x14ac:dyDescent="0.3">
      <c r="A6" s="44" t="s">
        <v>2</v>
      </c>
      <c r="B6" s="45"/>
      <c r="C6" s="45"/>
      <c r="D6" s="46">
        <v>41144.67</v>
      </c>
    </row>
    <row r="9" spans="1:4" x14ac:dyDescent="0.3">
      <c r="C9" s="76" t="s">
        <v>480</v>
      </c>
      <c r="D9" s="77">
        <f>D6+'Ingresos formación 2020'!B7+'Ingresos formación 2019'!B11</f>
        <v>146636.85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2022-10-18T14:59:12Z</dcterms:modified>
</cp:coreProperties>
</file>