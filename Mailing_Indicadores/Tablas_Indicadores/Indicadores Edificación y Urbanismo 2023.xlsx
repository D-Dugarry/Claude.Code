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BDDCBAC7-AAD6-41E6-8148-11061C4077FA}" xr6:coauthVersionLast="47" xr6:coauthVersionMax="47" xr10:uidLastSave="{00000000-0000-0000-0000-000000000000}"/>
  <bookViews>
    <workbookView xWindow="22932" yWindow="-108" windowWidth="23256" windowHeight="12456" activeTab="4" xr2:uid="{00000000-000D-0000-FFFF-FFFF00000000}"/>
  </bookViews>
  <sheets>
    <sheet name="Tesis" sheetId="2" r:id="rId1"/>
    <sheet name="Sexenios" sheetId="3" r:id="rId2"/>
    <sheet name="Ingresos investigación 2019" sheetId="6" r:id="rId3"/>
    <sheet name="Ingresos investigación 2020" sheetId="7" r:id="rId4"/>
    <sheet name="Ingresos investigación 2021" sheetId="8" r:id="rId5"/>
  </sheets>
  <definedNames>
    <definedName name="_xlnm._FilterDatabase" localSheetId="1" hidden="1">Sexenios!$A$1:$S$1</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 i="3" l="1"/>
  <c r="B21" i="8" l="1"/>
  <c r="B25" i="7" l="1"/>
  <c r="B19" i="6" l="1"/>
  <c r="B24" i="8" s="1"/>
  <c r="S16" i="2" l="1"/>
</calcChain>
</file>

<file path=xl/sharedStrings.xml><?xml version="1.0" encoding="utf-8"?>
<sst xmlns="http://schemas.openxmlformats.org/spreadsheetml/2006/main" count="395" uniqueCount="182">
  <si>
    <t>Orgánica
Descripción justificante</t>
  </si>
  <si>
    <t>Importe</t>
  </si>
  <si>
    <t>Total</t>
  </si>
  <si>
    <t>36.90.6P.00.05</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</si>
  <si>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</si>
  <si>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</si>
  <si>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</si>
  <si>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</si>
  <si>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</si>
  <si>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</si>
  <si>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</si>
  <si>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</si>
  <si>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</si>
  <si>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</si>
  <si>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</si>
  <si>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</si>
  <si>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</si>
  <si>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</si>
  <si>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</si>
  <si>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</si>
  <si>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</si>
  <si>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</si>
  <si>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</si>
  <si>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</si>
  <si>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</si>
  <si>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</si>
  <si>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</si>
  <si>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</si>
  <si>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 </t>
  </si>
  <si>
    <t>10.05</t>
  </si>
  <si>
    <t>20</t>
  </si>
  <si>
    <t>14/07/2017 </t>
  </si>
  <si>
    <t>U020 </t>
  </si>
  <si>
    <t>ADM. I.U. DEL AGUA Y DE LAS CIENCIAS AMBIENTALES </t>
  </si>
  <si>
    <t>DOCTORADO EN AGUA Y DESARROLLO SOSTENIBLE </t>
  </si>
  <si>
    <t>Ros McDonnell, Margarita </t>
  </si>
  <si>
    <t>"OCUPACIÓN ARTIFICIAL Y TRANSFORMACIÓN EN EL ENTORNO DEL MAR MENOR. BÚSQUEDA DE PAUTAS PARA UN DESARROLLO EQUILIBRADO" </t>
  </si>
  <si>
    <t>02/11/2018 </t>
  </si>
  <si>
    <t>22/12/2016 </t>
  </si>
  <si>
    <t>B147 </t>
  </si>
  <si>
    <t>CONSTRUCCIONES ARQUITECTONICAS </t>
  </si>
  <si>
    <t>DOCTORADO EN INVESTIG. EN ARQUITECTURA Y URBANISMO SOSTENIBLES </t>
  </si>
  <si>
    <t>B185 </t>
  </si>
  <si>
    <t>INGENIERÍA CIVIL </t>
  </si>
  <si>
    <t>B184 </t>
  </si>
  <si>
    <t>EDIFICACIÓN Y URBANISMO </t>
  </si>
  <si>
    <t>DOCTORADO EN GESTIÓN DE LA EDIFICACIÓN </t>
  </si>
  <si>
    <t>Lloret Mauri, Ángel Tomás </t>
  </si>
  <si>
    <t>ESTUDIO Y ANÁLISIS DEL IMPACTO Y REPERCUSIÓN AMBIENTAL SOBRE EL PATRIMONIO HISTÓRICO EDIFICADO EN EL CENTRO HISTÓRICO DE VILLAJOYOSA DURANTE LAS FIESTAS PATRONALES </t>
  </si>
  <si>
    <t>Rizo Maestre, Carlos </t>
  </si>
  <si>
    <t>LA CALIDAD DEL AIRE EN LA ARQUITECTURA HISTÓRICA Y CIVIL DE ALICANTE. EL RADÓN COMO ELEMENTO CONSTRUCTIVO </t>
  </si>
  <si>
    <t>16/05/2017 </t>
  </si>
  <si>
    <t>04/07/2017 </t>
  </si>
  <si>
    <t>DOCTORADO EN INGENIERÍA DE MATERIALES, ESTRUCTURAS Y TERRENO: CONSTR. SOST. </t>
  </si>
  <si>
    <t>B184</t>
  </si>
  <si>
    <t>46336900L </t>
  </si>
  <si>
    <t>Arrarte Ayuso, Begoña </t>
  </si>
  <si>
    <t>LOS CATÁLOGOS DE PROTECCIONES. APLICACIÓN PRÁCTICA AL PATRIMONIO URBANO COMÚN DEL MUNICIPIO DE ALICANTE </t>
  </si>
  <si>
    <t>Domínguez Martínez, Laura </t>
  </si>
  <si>
    <t>EL DESARROLLO URBANÍSTICO LITORAL Y LA OCUPACIÓN TURÍSTICA EXTRANJERA EN LA COSTA BLANCA </t>
  </si>
  <si>
    <t>Grao Gil, Olga </t>
  </si>
  <si>
    <t>GÉNESIS Y EVOLUCIÓN DE LA FACHADA MARÍTIMA URBANA DE ALICANTE: DIÁLOGO CIUDAD Y MAR </t>
  </si>
  <si>
    <t>14/06/2017 </t>
  </si>
  <si>
    <t>Moreno Vicente, Elisa </t>
  </si>
  <si>
    <t>NUEVOS ASENTAMIENTOS EN LA PERIFERIA METROPOLITANA DE MURCIA. LOS DESARROLLOS EN TORNO A LA AUTOVÍA A-7 EN LA DÉCADA 2001-2010 </t>
  </si>
  <si>
    <t>09/06/2017 </t>
  </si>
  <si>
    <t>79108766J </t>
  </si>
  <si>
    <t>Sánchez Galiano, Juan Carlos </t>
  </si>
  <si>
    <t>BENIDORM: MOVILIDAD, POBLACIÓN Y TURISMO </t>
  </si>
  <si>
    <t>18/09/2017 </t>
  </si>
  <si>
    <t>NIF</t>
  </si>
  <si>
    <t>NOMBRE_COMPLETO</t>
  </si>
  <si>
    <t>TIPO_SEXENIO</t>
  </si>
  <si>
    <t>Total general</t>
  </si>
  <si>
    <t>INS
1</t>
  </si>
  <si>
    <t>DED
INS 1</t>
  </si>
  <si>
    <t>INS
2</t>
  </si>
  <si>
    <t>DED
INS 2</t>
  </si>
  <si>
    <t>DED
DEP</t>
  </si>
  <si>
    <t>SEX
INS 1</t>
  </si>
  <si>
    <t>SEX
INS 2</t>
  </si>
  <si>
    <t>SEX
DEP</t>
  </si>
  <si>
    <t>FUNCIONARIO</t>
  </si>
  <si>
    <t>NO FUNCIONARIO</t>
  </si>
  <si>
    <t>46336900L</t>
  </si>
  <si>
    <t>MARTI CIRIQUIAN, PABLO</t>
  </si>
  <si>
    <t>18445118S</t>
  </si>
  <si>
    <t>NOLASCO CIRUGEDA, ALMUDENA</t>
  </si>
  <si>
    <t>21497219Q</t>
  </si>
  <si>
    <t>PEREZ DEL HOYO, RAQUEL</t>
  </si>
  <si>
    <t>36.90.6C.00.27</t>
  </si>
  <si>
    <t>Pago por la prestación de servicios "Asesoramiento técnico para la integración ambientla y paisajística de las obras de la Variante Ferroviaria de Finca-Adoc, en la bocas Norte y Sur del tunel de Serra Grossa"</t>
  </si>
  <si>
    <t>36.90.6C.00.28</t>
  </si>
  <si>
    <t>Pago de la prestación de servicio "Informe para la determinación y posible localización de las causas por las cuales están apareciendo una serie de filtraciones de lluvia por algunos de los elementos de la edificación sita en calle Guillermo Magro nº 3 y procedimiento a realizar para su solucionado"</t>
  </si>
  <si>
    <t>36.90.6C.00.29</t>
  </si>
  <si>
    <t>Pago del convenio "Colaboración en el estudio de patologías y daños producidos por un incendio en una nave sita en Polígono Industrial I6 nº 69A de Crevillente propiedad de Gondur S.L., para la posterior realización de proyecto de reparación de la misma"</t>
  </si>
  <si>
    <t>36.90.6C.00.30</t>
  </si>
  <si>
    <t>Pago del convenio "Estudio para la determinación de las condiciones y procedimientos a realizar para la reforma de los aseos de EEI Mestra Pilar Ruiz en su adaptación al Primer Ciclo de Educación Infantil"</t>
  </si>
  <si>
    <t>36.90.6C.00.31</t>
  </si>
  <si>
    <t>Pago del convenio "Estudio para la determinación de las condiciones y procedimientos a realizar para la reforma de los aseos de CEIP Francisco Candela en su adaptación al Segundo Ciclo de Educación Infantil"</t>
  </si>
  <si>
    <t>Reintegro de Cuota Patronal del mes de diciembre 2019</t>
  </si>
  <si>
    <t xml:space="preserve">SUBVENCIONES PARA GRUPOS DE INVESTIGACIÓN CONSOLIDABLES AICO/2017-3ª ANUALIDAD </t>
  </si>
  <si>
    <t>36.90.6P.00.06</t>
  </si>
  <si>
    <t xml:space="preserve">AEST - ESTADES PI DOCTOR EMPRESES CV   AEST/2019/005 </t>
  </si>
  <si>
    <t>Céspedes López, María Francisca </t>
  </si>
  <si>
    <t>CALIFICACIÓN ENERGÉTICA Y PRECIO DE LA VIVIENDA. ANÁLISIS DE LOS PRECIOS DE VENTA EN LA PROVINCIA DE ALICANTE (ESPAÑA) </t>
  </si>
  <si>
    <t>10/07/2020 </t>
  </si>
  <si>
    <t>48375773B </t>
  </si>
  <si>
    <t>López Baeza, Jesús </t>
  </si>
  <si>
    <t>Unveiling urban dynamics: An exploration of tools and methods using crowd-sourced data for the study of urban space </t>
  </si>
  <si>
    <t>17/02/2020 </t>
  </si>
  <si>
    <t>24509611Y</t>
  </si>
  <si>
    <t>SERRANO ESTRADA, LETICIA</t>
  </si>
  <si>
    <t>36.90.6C.00.05</t>
  </si>
  <si>
    <t>COBRO Fra. 320/2016-I</t>
  </si>
  <si>
    <t>COD DEP</t>
  </si>
  <si>
    <t>21480784A</t>
  </si>
  <si>
    <t>JIMENEZ DELGADO, ANTONIO</t>
  </si>
  <si>
    <t>22002559T</t>
  </si>
  <si>
    <t>PEREZ SANCHEZ, VICENTE RAUL</t>
  </si>
  <si>
    <t>10.25</t>
  </si>
  <si>
    <t>10</t>
  </si>
  <si>
    <t>33485422K</t>
  </si>
  <si>
    <t>PEREZ SANCHEZ, JUAN CARLOS</t>
  </si>
  <si>
    <t>48375773B</t>
  </si>
  <si>
    <t>MORA GARCIA, RAUL TOMAS</t>
  </si>
  <si>
    <t>Abad Ortiz, Rubén </t>
  </si>
  <si>
    <t>Las ciudades ante los nuevos usos no planificados del espacio público: análisis del fenómeno "running" a través de datos geolocalizados de redes sociales del deporte </t>
  </si>
  <si>
    <t>26/07/2021 </t>
  </si>
  <si>
    <t>21497219Q </t>
  </si>
  <si>
    <t>36.90.6C.00.18</t>
  </si>
  <si>
    <t>COBRO FACTURA 2017/685-I</t>
  </si>
  <si>
    <t>36.90.6C.00.20</t>
  </si>
  <si>
    <t>COBRO FACTURA 684/2017-I</t>
  </si>
  <si>
    <t>36.90.6C.00.32</t>
  </si>
  <si>
    <t xml:space="preserve">Pago de la prestación de servicios "Realización de estudio energético de las oficinas de un proyecto de nave industrial ubicada en San Vicente del Raspeig, para el cumplimiento de los requisitos establecidos de eficiencia energética según la normativa vigente, así como la realización de su certificación energética" </t>
  </si>
  <si>
    <t>36.90.6C.00.34</t>
  </si>
  <si>
    <t>Pago del 70% del convenio "Estudio para la determinación de las condiciones y procedimientos a realizar para el derribo de un edificio  por ejecución subsidiaria situado en Ptda. ALMOEXA Nº 1"</t>
  </si>
  <si>
    <t>36.90.6C.00.35</t>
  </si>
  <si>
    <t xml:space="preserve">Pago correspondiente al Informe 1 (fase 1) del convenio "Diagnóstico y Propuestas de Intervención Urbanística en las Áreas de Edificación Dispersa del Municipio de San Vicente del Raspeig" nº operación RC 220200004160 </t>
  </si>
  <si>
    <t>Pago correspondiente al Informe 2 (fase 2, incluye las actividades 4 y 5) del convenio "Diagnóstico y Propuestas de Intervención Urbanística en las Áreas de Edificación Dispersa del Municipio de San Vicente del Raspeig" nº operación RC 220200004160</t>
  </si>
  <si>
    <t>Pago correspondiente al Informe 3 (fase 3, incluye las actividades 6 y7) del convenio "Diagnóstico y Propuestas de Intervención Urbanística en las Áreas de Edificación Dispersa del Municipio de San Vicente del Raspeig" nº operación RC 220200004160</t>
  </si>
  <si>
    <t>36.90.6C.00.36</t>
  </si>
  <si>
    <t>Primer pago correspondiente al Estudio de Integración Paisajística del contrato  "Estudio de integración paisajística y diseño funcional de soluciones en el proyecto de construcción de la vía verde de La Cantera - Alicante"</t>
  </si>
  <si>
    <t>Segundo pago correspondiente al Diseño funcional de áreas de descanso del contrato "Estudio de integración paisajística y diseño funcional de soluciones en el proyecto de construcción de la vía verde de La Cantera - Alicante"</t>
  </si>
  <si>
    <t>36.90.6C.00.39</t>
  </si>
  <si>
    <t>Pago del contrato Redacción del Proyecto "Estudio Sistema Viario El Pla y Carolinas"</t>
  </si>
  <si>
    <t>36.90.6C.00.41</t>
  </si>
  <si>
    <t>Pago correspondiente a la Fase 1 (Informe de los datos) del contrato "Análisis, diagnóstico, y propuestas relativas al terciario y el espacio público en el municipio de Petrer"</t>
  </si>
  <si>
    <t>36.90.6C.00.42</t>
  </si>
  <si>
    <t>Pago del contrato " Diagnóstico urbano a través de las redes sociales para la actualización del plan de movilidad urbana en Almoradí, concretando localización de actividades y zonas de presencia de acción en redes sociales, dentro del término municipal de Almoradí"</t>
  </si>
  <si>
    <t>RESOLUCIÓN CONCESIÓN DE 25/03/2019 AEST/2019. (INNOVACIÓN,UNIVERSIDADES,CIENCIA SOC.DIG)</t>
  </si>
  <si>
    <t>21493423S</t>
  </si>
  <si>
    <t>GARCIA MAYOR, MARIA CLARA</t>
  </si>
  <si>
    <t>48370644B</t>
  </si>
  <si>
    <t>CESPEDES LOPEZ, MARIA FRANCISCA</t>
  </si>
  <si>
    <t>36.90.6C.00.40</t>
  </si>
  <si>
    <t>Primer pago a la firma del contrato del servicio de redacción del "Proyecto aedificatio en el entorno paisajístico de Puente Duda"en el que se incluye la Investigación de las condiciones paisajísticas y redacción del Estudio de Viabilidad para la puesta en valor del patrimonio natural y paisajístico del entorno del Puente Duda. Huéscar -Granada</t>
  </si>
  <si>
    <t>Pago final a la entrega del informe de resultados del contrato del servicio de redacción del "Proyecto aedificatio" en el entorno paisajístico de Puente Duda, en el que se incluye la Investigación de las condiciones paisajísticas y redacción del Estudio de Viabilidad para la puesta en valor del patrimonio natural y paisajístico del entorno del Puente Duda. Huéscar - Granada</t>
  </si>
  <si>
    <t>Pago correspondiente a la Fase 2 (Presentación del diagnóstico y actuaciones) del contrato "Análisis, diagnóstico, y propuestas relativas al terciario y el espacio público en el municipio de Petrer"</t>
  </si>
  <si>
    <t>Pago correspondiente a la Fase 3 (Presentación de conclusiones y recomendaciones) del contrato "Análisis, diagnóstico, y propuestas relativas al terciario y el espacio público en el municipio de Petrer"</t>
  </si>
  <si>
    <t>36.90.6C.00.43</t>
  </si>
  <si>
    <t xml:space="preserve">Pago de la Fase Ia: Análisis y diagnóstico preliminar del contrato  "Elaboración del documentno de paisaje para la tramitación de la declaración de paraje natural municipal" </t>
  </si>
  <si>
    <t>Pago de la Fase Ib: Definición de objetivos de calidad paisajística del contrato "Elaboración del documento de paisaje para la tramitación de la declaración de paraje natural municipal" (Centro de gasto: Medio ambiente)</t>
  </si>
  <si>
    <t>36.90.6C.00.46</t>
  </si>
  <si>
    <t>Pago del contrato "Diagnóstico urbano a través de las redes sociales para la actualización del plan de movilidad urbana en Sax, concretando localización de actividades y zonas de presencia de acción en redes sociales, dentro del término municipal de Sax"</t>
  </si>
  <si>
    <t>36.90.6C.00.47</t>
  </si>
  <si>
    <t>Pago del contrato "Diagnóstico urbano a través de las redes sociales para la actualización del plan de movilidad urbana en Cox, concretando localización de actividades y zonas de presencia de acción en redes sociales, dentro del término municipal de Cox"</t>
  </si>
  <si>
    <t>36.90.6C.00.48</t>
  </si>
  <si>
    <t>Pago del convenio "Estudio para la determinación de las condiciones y procedimientos a realizar para la coordinación de la seguridad  y salud de las obras  del circuito de entrenamiento de la ciudad del fútbol Juan Fran Torres"</t>
  </si>
  <si>
    <t>36.90.6P.00.10</t>
  </si>
  <si>
    <t>AYUDAS GRUPOS EMERGENTES ANUALIDAD 2021</t>
  </si>
  <si>
    <t>36.90.6P.00.11</t>
  </si>
  <si>
    <t>López Davó, Joaquín Antonio </t>
  </si>
  <si>
    <t>La evolución del concepto de confort: el confort ambiental en edificios docentes y administrativos </t>
  </si>
  <si>
    <t>25/03/2022 </t>
  </si>
  <si>
    <t>22002559T </t>
  </si>
  <si>
    <t>10.17</t>
  </si>
  <si>
    <t>10.06</t>
  </si>
  <si>
    <t>74238404Q</t>
  </si>
  <si>
    <t>ANDUJAR MONTOYA, MARIA DOLORES</t>
  </si>
  <si>
    <t>Total ingresos formación 2019, 2020 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</si>
</sst>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s>
  <fills count="8">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52">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2" borderId="0" xfId="1" applyFont="1" applyFill="1" applyAlignment="1"/>
    <xf numFmtId="0" fontId="3" fillId="2" borderId="0" xfId="1" applyFont="1" applyFill="1" applyAlignment="1">
      <alignment horizontal="right"/>
    </xf>
    <xf numFmtId="164" fontId="4" fillId="2" borderId="1" xfId="1" applyNumberFormat="1" applyFont="1" applyFill="1" applyBorder="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1" fillId="0" borderId="1" xfId="0" applyFont="1" applyFill="1" applyBorder="1" applyAlignment="1">
      <alignment horizontal="left" wrapText="1"/>
    </xf>
    <xf numFmtId="0" fontId="1" fillId="0" borderId="1" xfId="0" applyFont="1" applyFill="1" applyBorder="1" applyAlignment="1">
      <alignment horizontal="right"/>
    </xf>
    <xf numFmtId="0" fontId="8" fillId="2" borderId="1" xfId="0" applyFont="1" applyFill="1" applyBorder="1"/>
    <xf numFmtId="0" fontId="8" fillId="2" borderId="1" xfId="0" applyFont="1" applyFill="1" applyBorder="1" applyAlignment="1">
      <alignment textRotation="90"/>
    </xf>
    <xf numFmtId="0" fontId="0" fillId="0" borderId="1" xfId="0" applyBorder="1"/>
    <xf numFmtId="0" fontId="0" fillId="0" borderId="1" xfId="0" applyBorder="1" applyAlignment="1">
      <alignment horizontal="center"/>
    </xf>
    <xf numFmtId="4" fontId="1" fillId="0" borderId="0" xfId="0" applyNumberFormat="1" applyFont="1"/>
    <xf numFmtId="0" fontId="3" fillId="4" borderId="1" xfId="1" applyFill="1" applyBorder="1"/>
    <xf numFmtId="0" fontId="3" fillId="4" borderId="2" xfId="1" applyFill="1" applyBorder="1"/>
    <xf numFmtId="0" fontId="11" fillId="6" borderId="1" xfId="0" applyFont="1" applyFill="1" applyBorder="1" applyAlignment="1">
      <alignment horizontal="left" vertical="center"/>
    </xf>
    <xf numFmtId="0" fontId="11" fillId="6" borderId="3" xfId="0" applyFont="1" applyFill="1" applyBorder="1" applyAlignment="1">
      <alignment horizontal="left" vertical="center"/>
    </xf>
    <xf numFmtId="0" fontId="11" fillId="6" borderId="4" xfId="0" applyFont="1" applyFill="1" applyBorder="1" applyAlignment="1">
      <alignment horizontal="left" vertical="center"/>
    </xf>
    <xf numFmtId="0" fontId="11" fillId="6" borderId="5" xfId="0" applyFont="1" applyFill="1" applyBorder="1" applyAlignment="1">
      <alignment horizontal="left" vertical="center"/>
    </xf>
    <xf numFmtId="164" fontId="3" fillId="4" borderId="1" xfId="1" applyNumberFormat="1" applyFill="1" applyBorder="1"/>
    <xf numFmtId="0" fontId="3" fillId="4" borderId="1" xfId="1" applyFill="1" applyBorder="1" applyAlignment="1">
      <alignment horizontal="right"/>
    </xf>
    <xf numFmtId="1" fontId="3" fillId="4" borderId="1" xfId="1" applyNumberFormat="1" applyFill="1" applyBorder="1"/>
    <xf numFmtId="165" fontId="3" fillId="4" borderId="1" xfId="1" applyNumberFormat="1" applyFill="1" applyBorder="1"/>
    <xf numFmtId="165" fontId="3" fillId="4" borderId="2" xfId="1" applyNumberFormat="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1" xfId="1" applyBorder="1"/>
    <xf numFmtId="0" fontId="7" fillId="0" borderId="1" xfId="0" applyFont="1" applyBorder="1"/>
    <xf numFmtId="0" fontId="7" fillId="0" borderId="1" xfId="0" applyFont="1" applyBorder="1" applyAlignment="1">
      <alignment horizontal="left"/>
    </xf>
    <xf numFmtId="0" fontId="9" fillId="3" borderId="1" xfId="3" applyFont="1" applyFill="1" applyBorder="1" applyAlignment="1">
      <alignment horizontal="center" wrapText="1"/>
    </xf>
    <xf numFmtId="0" fontId="10" fillId="7" borderId="0" xfId="5" applyFont="1" applyFill="1"/>
    <xf numFmtId="0" fontId="10" fillId="7" borderId="0" xfId="5" applyFont="1" applyFill="1" applyAlignment="1">
      <alignment horizontal="right"/>
    </xf>
    <xf numFmtId="0" fontId="12" fillId="7" borderId="0" xfId="5" applyFont="1" applyFill="1"/>
    <xf numFmtId="0" fontId="2" fillId="0" borderId="1" xfId="0" applyFont="1" applyBorder="1" applyAlignment="1">
      <alignment horizontal="right"/>
    </xf>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6"/>
  <sheetViews>
    <sheetView showGridLines="0" zoomScale="120" zoomScaleNormal="120" workbookViewId="0">
      <pane xSplit="1" ySplit="1" topLeftCell="F2" activePane="bottomRight" state="frozen"/>
      <selection pane="topRight" activeCell="B1" sqref="B1"/>
      <selection pane="bottomLeft" activeCell="A2" sqref="A2"/>
      <selection pane="bottomRight" activeCell="J41" sqref="J41"/>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4.44140625" style="13" customWidth="1"/>
    <col min="14" max="14" width="4.88671875" style="13" customWidth="1"/>
    <col min="15" max="15" width="4.88671875" style="17" customWidth="1"/>
    <col min="16" max="16" width="4.88671875" style="13" customWidth="1"/>
    <col min="17" max="17" width="3.5546875" style="17" customWidth="1"/>
    <col min="18" max="18" width="3.5546875" style="13" customWidth="1"/>
    <col min="19" max="21" width="5.109375" style="13" customWidth="1"/>
    <col min="22" max="16384" width="10.33203125" style="13"/>
  </cols>
  <sheetData>
    <row r="1" spans="1:21" ht="40.799999999999997" x14ac:dyDescent="0.2">
      <c r="A1" s="8" t="s">
        <v>4</v>
      </c>
      <c r="B1" s="9" t="s">
        <v>5</v>
      </c>
      <c r="C1" s="9" t="s">
        <v>6</v>
      </c>
      <c r="D1" s="9" t="s">
        <v>7</v>
      </c>
      <c r="E1" s="9" t="s">
        <v>8</v>
      </c>
      <c r="F1" s="9" t="s">
        <v>9</v>
      </c>
      <c r="G1" s="9" t="s">
        <v>10</v>
      </c>
      <c r="H1" s="9" t="s">
        <v>11</v>
      </c>
      <c r="I1" s="8" t="s">
        <v>12</v>
      </c>
      <c r="J1" s="9" t="s">
        <v>13</v>
      </c>
      <c r="K1" s="8" t="s">
        <v>14</v>
      </c>
      <c r="L1" s="9" t="s">
        <v>15</v>
      </c>
      <c r="M1" s="10" t="s">
        <v>16</v>
      </c>
      <c r="N1" s="11" t="s">
        <v>17</v>
      </c>
      <c r="O1" s="12" t="s">
        <v>18</v>
      </c>
      <c r="P1" s="11" t="s">
        <v>19</v>
      </c>
      <c r="Q1" s="12" t="s">
        <v>20</v>
      </c>
      <c r="R1" s="11" t="s">
        <v>21</v>
      </c>
      <c r="S1" s="11" t="s">
        <v>22</v>
      </c>
      <c r="T1" s="11" t="s">
        <v>23</v>
      </c>
      <c r="U1" s="11" t="s">
        <v>24</v>
      </c>
    </row>
    <row r="2" spans="1:21" x14ac:dyDescent="0.2">
      <c r="A2" s="30" t="s">
        <v>39</v>
      </c>
      <c r="B2" s="30" t="s">
        <v>40</v>
      </c>
      <c r="C2" s="30" t="s">
        <v>41</v>
      </c>
      <c r="D2" s="30" t="s">
        <v>56</v>
      </c>
      <c r="E2" s="30" t="s">
        <v>57</v>
      </c>
      <c r="F2" s="30" t="s">
        <v>52</v>
      </c>
      <c r="G2" s="30" t="s">
        <v>55</v>
      </c>
      <c r="H2" s="30" t="s">
        <v>27</v>
      </c>
      <c r="I2" s="30" t="s">
        <v>44</v>
      </c>
      <c r="J2" s="30" t="s">
        <v>45</v>
      </c>
      <c r="K2" s="36">
        <v>1</v>
      </c>
      <c r="L2" s="30" t="s">
        <v>54</v>
      </c>
      <c r="M2" s="30">
        <v>2016</v>
      </c>
      <c r="N2" s="30" t="s">
        <v>29</v>
      </c>
      <c r="O2" s="37" t="s">
        <v>30</v>
      </c>
      <c r="P2" s="30" t="s">
        <v>26</v>
      </c>
      <c r="Q2" s="37" t="s">
        <v>26</v>
      </c>
      <c r="R2" s="38">
        <v>80</v>
      </c>
      <c r="S2" s="36">
        <v>0.8</v>
      </c>
      <c r="T2" s="36">
        <v>0.2</v>
      </c>
      <c r="U2" s="36">
        <v>0</v>
      </c>
    </row>
    <row r="3" spans="1:21" x14ac:dyDescent="0.2">
      <c r="A3" s="30" t="s">
        <v>39</v>
      </c>
      <c r="B3" s="30" t="s">
        <v>40</v>
      </c>
      <c r="C3" s="30" t="s">
        <v>41</v>
      </c>
      <c r="D3" s="30" t="s">
        <v>60</v>
      </c>
      <c r="E3" s="30" t="s">
        <v>61</v>
      </c>
      <c r="F3" s="30" t="s">
        <v>62</v>
      </c>
      <c r="G3" s="30" t="s">
        <v>55</v>
      </c>
      <c r="H3" s="30" t="s">
        <v>27</v>
      </c>
      <c r="I3" s="30" t="s">
        <v>44</v>
      </c>
      <c r="J3" s="30" t="s">
        <v>45</v>
      </c>
      <c r="K3" s="36">
        <v>1</v>
      </c>
      <c r="L3" s="30" t="s">
        <v>54</v>
      </c>
      <c r="M3" s="30">
        <v>2016</v>
      </c>
      <c r="N3" s="30" t="s">
        <v>29</v>
      </c>
      <c r="O3" s="37" t="s">
        <v>30</v>
      </c>
      <c r="P3" s="30" t="s">
        <v>26</v>
      </c>
      <c r="Q3" s="37" t="s">
        <v>26</v>
      </c>
      <c r="R3" s="38">
        <v>80</v>
      </c>
      <c r="S3" s="36">
        <v>0.8</v>
      </c>
      <c r="T3" s="36">
        <v>0.2</v>
      </c>
      <c r="U3" s="36">
        <v>0</v>
      </c>
    </row>
    <row r="4" spans="1:21" x14ac:dyDescent="0.2">
      <c r="A4" s="30" t="s">
        <v>39</v>
      </c>
      <c r="B4" s="30" t="s">
        <v>40</v>
      </c>
      <c r="C4" s="30" t="s">
        <v>41</v>
      </c>
      <c r="D4" s="30" t="s">
        <v>58</v>
      </c>
      <c r="E4" s="30" t="s">
        <v>59</v>
      </c>
      <c r="F4" s="30" t="s">
        <v>38</v>
      </c>
      <c r="G4" s="30" t="s">
        <v>55</v>
      </c>
      <c r="H4" s="30" t="s">
        <v>27</v>
      </c>
      <c r="I4" s="30" t="s">
        <v>44</v>
      </c>
      <c r="J4" s="30" t="s">
        <v>45</v>
      </c>
      <c r="K4" s="36">
        <v>1</v>
      </c>
      <c r="L4" s="30" t="s">
        <v>54</v>
      </c>
      <c r="M4" s="30">
        <v>2016</v>
      </c>
      <c r="N4" s="30" t="s">
        <v>29</v>
      </c>
      <c r="O4" s="37" t="s">
        <v>30</v>
      </c>
      <c r="P4" s="30" t="s">
        <v>26</v>
      </c>
      <c r="Q4" s="37" t="s">
        <v>26</v>
      </c>
      <c r="R4" s="38">
        <v>80</v>
      </c>
      <c r="S4" s="36">
        <v>0.8</v>
      </c>
      <c r="T4" s="36">
        <v>0.2</v>
      </c>
      <c r="U4" s="36">
        <v>0</v>
      </c>
    </row>
    <row r="5" spans="1:21" x14ac:dyDescent="0.2">
      <c r="A5" s="30" t="s">
        <v>39</v>
      </c>
      <c r="B5" s="30" t="s">
        <v>40</v>
      </c>
      <c r="C5" s="30" t="s">
        <v>41</v>
      </c>
      <c r="D5" s="30" t="s">
        <v>63</v>
      </c>
      <c r="E5" s="30" t="s">
        <v>64</v>
      </c>
      <c r="F5" s="30" t="s">
        <v>65</v>
      </c>
      <c r="G5" s="30" t="s">
        <v>55</v>
      </c>
      <c r="H5" s="30" t="s">
        <v>27</v>
      </c>
      <c r="I5" s="30" t="s">
        <v>44</v>
      </c>
      <c r="J5" s="30" t="s">
        <v>45</v>
      </c>
      <c r="K5" s="36">
        <v>1</v>
      </c>
      <c r="L5" s="30" t="s">
        <v>54</v>
      </c>
      <c r="M5" s="30">
        <v>2016</v>
      </c>
      <c r="N5" s="30" t="s">
        <v>29</v>
      </c>
      <c r="O5" s="37" t="s">
        <v>30</v>
      </c>
      <c r="P5" s="30" t="s">
        <v>26</v>
      </c>
      <c r="Q5" s="37" t="s">
        <v>26</v>
      </c>
      <c r="R5" s="38">
        <v>80</v>
      </c>
      <c r="S5" s="36">
        <v>0.8</v>
      </c>
      <c r="T5" s="36">
        <v>0.2</v>
      </c>
      <c r="U5" s="36">
        <v>0</v>
      </c>
    </row>
    <row r="6" spans="1:21" x14ac:dyDescent="0.2">
      <c r="A6" s="30" t="s">
        <v>42</v>
      </c>
      <c r="B6" s="30" t="s">
        <v>43</v>
      </c>
      <c r="C6" s="30" t="s">
        <v>53</v>
      </c>
      <c r="D6" s="30" t="s">
        <v>67</v>
      </c>
      <c r="E6" s="30" t="s">
        <v>68</v>
      </c>
      <c r="F6" s="30" t="s">
        <v>69</v>
      </c>
      <c r="G6" s="30" t="s">
        <v>55</v>
      </c>
      <c r="H6" s="30" t="s">
        <v>27</v>
      </c>
      <c r="I6" s="30" t="s">
        <v>44</v>
      </c>
      <c r="J6" s="30" t="s">
        <v>45</v>
      </c>
      <c r="K6" s="36">
        <v>1</v>
      </c>
      <c r="L6" s="30" t="s">
        <v>54</v>
      </c>
      <c r="M6" s="30">
        <v>2016</v>
      </c>
      <c r="N6" s="30" t="s">
        <v>29</v>
      </c>
      <c r="O6" s="37" t="s">
        <v>30</v>
      </c>
      <c r="P6" s="30" t="s">
        <v>26</v>
      </c>
      <c r="Q6" s="37" t="s">
        <v>26</v>
      </c>
      <c r="R6" s="38">
        <v>80</v>
      </c>
      <c r="S6" s="36">
        <v>0.8</v>
      </c>
      <c r="T6" s="36">
        <v>0.2</v>
      </c>
      <c r="U6" s="36">
        <v>0</v>
      </c>
    </row>
    <row r="7" spans="1:21" x14ac:dyDescent="0.2">
      <c r="A7" s="30" t="s">
        <v>32</v>
      </c>
      <c r="B7" s="30" t="s">
        <v>33</v>
      </c>
      <c r="C7" s="30" t="s">
        <v>34</v>
      </c>
      <c r="D7" s="30" t="s">
        <v>49</v>
      </c>
      <c r="E7" s="30" t="s">
        <v>50</v>
      </c>
      <c r="F7" s="30" t="s">
        <v>51</v>
      </c>
      <c r="G7" s="30" t="s">
        <v>66</v>
      </c>
      <c r="H7" s="30" t="s">
        <v>25</v>
      </c>
      <c r="I7" s="30" t="s">
        <v>44</v>
      </c>
      <c r="J7" s="30" t="s">
        <v>45</v>
      </c>
      <c r="K7" s="36">
        <v>0.5</v>
      </c>
      <c r="L7" s="30" t="s">
        <v>54</v>
      </c>
      <c r="M7" s="30">
        <v>2016</v>
      </c>
      <c r="N7" s="30" t="s">
        <v>26</v>
      </c>
      <c r="O7" s="37" t="s">
        <v>26</v>
      </c>
      <c r="P7" s="30" t="s">
        <v>26</v>
      </c>
      <c r="Q7" s="37" t="s">
        <v>26</v>
      </c>
      <c r="R7" s="38">
        <v>100</v>
      </c>
      <c r="S7" s="36">
        <v>0.5</v>
      </c>
      <c r="T7" s="36">
        <v>0</v>
      </c>
      <c r="U7" s="36">
        <v>0</v>
      </c>
    </row>
    <row r="8" spans="1:21" x14ac:dyDescent="0.2">
      <c r="A8" s="30" t="s">
        <v>44</v>
      </c>
      <c r="B8" s="30" t="s">
        <v>45</v>
      </c>
      <c r="C8" s="30" t="s">
        <v>46</v>
      </c>
      <c r="D8" s="30" t="s">
        <v>47</v>
      </c>
      <c r="E8" s="30" t="s">
        <v>48</v>
      </c>
      <c r="F8" s="30" t="s">
        <v>31</v>
      </c>
      <c r="G8" s="30" t="s">
        <v>28</v>
      </c>
      <c r="H8" s="30" t="s">
        <v>25</v>
      </c>
      <c r="I8" s="30" t="s">
        <v>44</v>
      </c>
      <c r="J8" s="30" t="s">
        <v>45</v>
      </c>
      <c r="K8" s="36">
        <v>0.5</v>
      </c>
      <c r="L8" s="30" t="s">
        <v>54</v>
      </c>
      <c r="M8" s="30">
        <v>2016</v>
      </c>
      <c r="N8" s="30" t="s">
        <v>26</v>
      </c>
      <c r="O8" s="37" t="s">
        <v>26</v>
      </c>
      <c r="P8" s="30" t="s">
        <v>26</v>
      </c>
      <c r="Q8" s="37" t="s">
        <v>26</v>
      </c>
      <c r="R8" s="38">
        <v>100</v>
      </c>
      <c r="S8" s="36">
        <v>0.5</v>
      </c>
      <c r="T8" s="36">
        <v>0</v>
      </c>
      <c r="U8" s="36">
        <v>0</v>
      </c>
    </row>
    <row r="9" spans="1:21" x14ac:dyDescent="0.2">
      <c r="A9" s="30" t="s">
        <v>32</v>
      </c>
      <c r="B9" s="30" t="s">
        <v>33</v>
      </c>
      <c r="C9" s="30" t="s">
        <v>34</v>
      </c>
      <c r="D9" s="30" t="s">
        <v>35</v>
      </c>
      <c r="E9" s="30" t="s">
        <v>36</v>
      </c>
      <c r="F9" s="30" t="s">
        <v>37</v>
      </c>
      <c r="G9" s="30" t="s">
        <v>55</v>
      </c>
      <c r="H9" s="30" t="s">
        <v>25</v>
      </c>
      <c r="I9" s="30" t="s">
        <v>44</v>
      </c>
      <c r="J9" s="30" t="s">
        <v>45</v>
      </c>
      <c r="K9" s="39">
        <v>0.5</v>
      </c>
      <c r="L9" s="30" t="s">
        <v>54</v>
      </c>
      <c r="M9" s="30">
        <v>2018</v>
      </c>
      <c r="N9" s="30" t="s">
        <v>29</v>
      </c>
      <c r="O9" s="37" t="s">
        <v>30</v>
      </c>
      <c r="P9" s="30" t="s">
        <v>26</v>
      </c>
      <c r="Q9" s="37" t="s">
        <v>26</v>
      </c>
      <c r="R9" s="38">
        <v>80</v>
      </c>
      <c r="S9" s="36">
        <v>0.4</v>
      </c>
      <c r="T9" s="36">
        <v>0.1</v>
      </c>
      <c r="U9" s="36">
        <v>0</v>
      </c>
    </row>
    <row r="10" spans="1:21" x14ac:dyDescent="0.2">
      <c r="A10" s="31" t="s">
        <v>32</v>
      </c>
      <c r="B10" s="31" t="s">
        <v>33</v>
      </c>
      <c r="C10" s="31" t="s">
        <v>34</v>
      </c>
      <c r="D10" s="31" t="s">
        <v>104</v>
      </c>
      <c r="E10" s="31" t="s">
        <v>105</v>
      </c>
      <c r="F10" s="31" t="s">
        <v>106</v>
      </c>
      <c r="G10" s="31" t="s">
        <v>55</v>
      </c>
      <c r="H10" s="31" t="s">
        <v>25</v>
      </c>
      <c r="I10" s="31" t="s">
        <v>44</v>
      </c>
      <c r="J10" s="31" t="s">
        <v>45</v>
      </c>
      <c r="K10" s="40">
        <v>0.5</v>
      </c>
      <c r="L10" s="31" t="s">
        <v>54</v>
      </c>
      <c r="M10" s="31">
        <v>2019</v>
      </c>
      <c r="N10" s="31" t="s">
        <v>29</v>
      </c>
      <c r="O10" s="41" t="s">
        <v>30</v>
      </c>
      <c r="P10" s="31" t="s">
        <v>120</v>
      </c>
      <c r="Q10" s="41" t="s">
        <v>121</v>
      </c>
      <c r="R10" s="42">
        <v>70</v>
      </c>
      <c r="S10" s="43">
        <v>0.35</v>
      </c>
      <c r="T10" s="43">
        <v>0.1</v>
      </c>
      <c r="U10" s="43">
        <v>0.05</v>
      </c>
    </row>
    <row r="11" spans="1:21" x14ac:dyDescent="0.2">
      <c r="A11" s="31" t="s">
        <v>32</v>
      </c>
      <c r="B11" s="31" t="s">
        <v>33</v>
      </c>
      <c r="C11" s="31" t="s">
        <v>34</v>
      </c>
      <c r="D11" s="31" t="s">
        <v>104</v>
      </c>
      <c r="E11" s="31" t="s">
        <v>105</v>
      </c>
      <c r="F11" s="31" t="s">
        <v>106</v>
      </c>
      <c r="G11" s="31" t="s">
        <v>107</v>
      </c>
      <c r="H11" s="31" t="s">
        <v>25</v>
      </c>
      <c r="I11" s="31" t="s">
        <v>44</v>
      </c>
      <c r="J11" s="31" t="s">
        <v>45</v>
      </c>
      <c r="K11" s="40">
        <v>0.5</v>
      </c>
      <c r="L11" s="31" t="s">
        <v>54</v>
      </c>
      <c r="M11" s="31">
        <v>2019</v>
      </c>
      <c r="N11" s="31" t="s">
        <v>120</v>
      </c>
      <c r="O11" s="41" t="s">
        <v>121</v>
      </c>
      <c r="P11" s="31" t="s">
        <v>26</v>
      </c>
      <c r="Q11" s="41" t="s">
        <v>26</v>
      </c>
      <c r="R11" s="42">
        <v>90</v>
      </c>
      <c r="S11" s="43">
        <v>0.45</v>
      </c>
      <c r="T11" s="43">
        <v>0.05</v>
      </c>
      <c r="U11" s="43">
        <v>0</v>
      </c>
    </row>
    <row r="12" spans="1:21" ht="10.8" thickBot="1" x14ac:dyDescent="0.25">
      <c r="A12" s="31" t="s">
        <v>32</v>
      </c>
      <c r="B12" s="31" t="s">
        <v>33</v>
      </c>
      <c r="C12" s="31" t="s">
        <v>34</v>
      </c>
      <c r="D12" s="31" t="s">
        <v>108</v>
      </c>
      <c r="E12" s="31" t="s">
        <v>109</v>
      </c>
      <c r="F12" s="31" t="s">
        <v>110</v>
      </c>
      <c r="G12" s="31" t="s">
        <v>55</v>
      </c>
      <c r="H12" s="31" t="s">
        <v>27</v>
      </c>
      <c r="I12" s="31" t="s">
        <v>44</v>
      </c>
      <c r="J12" s="31" t="s">
        <v>45</v>
      </c>
      <c r="K12" s="40">
        <v>1</v>
      </c>
      <c r="L12" s="31" t="s">
        <v>54</v>
      </c>
      <c r="M12" s="31">
        <v>2019</v>
      </c>
      <c r="N12" s="31" t="s">
        <v>29</v>
      </c>
      <c r="O12" s="41" t="s">
        <v>30</v>
      </c>
      <c r="P12" s="31" t="s">
        <v>120</v>
      </c>
      <c r="Q12" s="41" t="s">
        <v>121</v>
      </c>
      <c r="R12" s="42">
        <v>70</v>
      </c>
      <c r="S12" s="43">
        <v>0.7</v>
      </c>
      <c r="T12" s="43">
        <v>0.2</v>
      </c>
      <c r="U12" s="43">
        <v>0.1</v>
      </c>
    </row>
    <row r="13" spans="1:21" ht="10.8" thickBot="1" x14ac:dyDescent="0.25">
      <c r="A13" s="32" t="s">
        <v>42</v>
      </c>
      <c r="B13" s="32" t="s">
        <v>43</v>
      </c>
      <c r="C13" s="32" t="s">
        <v>53</v>
      </c>
      <c r="D13" s="32" t="s">
        <v>126</v>
      </c>
      <c r="E13" s="32" t="s">
        <v>127</v>
      </c>
      <c r="F13" s="32" t="s">
        <v>128</v>
      </c>
      <c r="G13" s="33" t="s">
        <v>129</v>
      </c>
      <c r="H13" s="34" t="s">
        <v>27</v>
      </c>
      <c r="I13" s="34" t="s">
        <v>44</v>
      </c>
      <c r="J13" s="35" t="s">
        <v>45</v>
      </c>
      <c r="K13" s="44">
        <v>1</v>
      </c>
      <c r="L13" s="44" t="s">
        <v>54</v>
      </c>
      <c r="M13" s="30">
        <v>2020</v>
      </c>
      <c r="N13" s="30" t="s">
        <v>29</v>
      </c>
      <c r="O13" s="37" t="s">
        <v>30</v>
      </c>
      <c r="P13" s="30" t="s">
        <v>26</v>
      </c>
      <c r="Q13" s="37" t="s">
        <v>26</v>
      </c>
      <c r="R13" s="30">
        <v>80</v>
      </c>
      <c r="S13" s="30">
        <v>0.8</v>
      </c>
      <c r="T13" s="30">
        <v>0.2</v>
      </c>
      <c r="U13" s="30">
        <v>0</v>
      </c>
    </row>
    <row r="14" spans="1:21" x14ac:dyDescent="0.2">
      <c r="A14" s="30" t="s">
        <v>32</v>
      </c>
      <c r="B14" s="30" t="s">
        <v>33</v>
      </c>
      <c r="C14" s="30" t="s">
        <v>34</v>
      </c>
      <c r="D14" s="30" t="s">
        <v>173</v>
      </c>
      <c r="E14" s="30" t="s">
        <v>174</v>
      </c>
      <c r="F14" s="30" t="s">
        <v>175</v>
      </c>
      <c r="G14" s="30" t="s">
        <v>55</v>
      </c>
      <c r="H14" s="30" t="s">
        <v>25</v>
      </c>
      <c r="I14" s="30" t="s">
        <v>44</v>
      </c>
      <c r="J14" s="30" t="s">
        <v>45</v>
      </c>
      <c r="K14" s="44">
        <v>0.5</v>
      </c>
      <c r="L14" s="44" t="s">
        <v>54</v>
      </c>
      <c r="M14" s="30">
        <v>2021</v>
      </c>
      <c r="N14" s="30" t="s">
        <v>29</v>
      </c>
      <c r="O14" s="37" t="s">
        <v>30</v>
      </c>
      <c r="P14" s="30" t="s">
        <v>120</v>
      </c>
      <c r="Q14" s="37" t="s">
        <v>121</v>
      </c>
      <c r="R14" s="30">
        <v>70</v>
      </c>
      <c r="S14" s="30">
        <v>0.35</v>
      </c>
      <c r="T14" s="30">
        <v>0.1</v>
      </c>
      <c r="U14" s="30">
        <v>0.05</v>
      </c>
    </row>
    <row r="15" spans="1:21" x14ac:dyDescent="0.2">
      <c r="A15" s="30" t="s">
        <v>32</v>
      </c>
      <c r="B15" s="30" t="s">
        <v>33</v>
      </c>
      <c r="C15" s="30" t="s">
        <v>34</v>
      </c>
      <c r="D15" s="30" t="s">
        <v>173</v>
      </c>
      <c r="E15" s="30" t="s">
        <v>174</v>
      </c>
      <c r="F15" s="30" t="s">
        <v>175</v>
      </c>
      <c r="G15" s="30" t="s">
        <v>176</v>
      </c>
      <c r="H15" s="30" t="s">
        <v>25</v>
      </c>
      <c r="I15" s="30" t="s">
        <v>44</v>
      </c>
      <c r="J15" s="30" t="s">
        <v>45</v>
      </c>
      <c r="K15" s="44">
        <v>0.5</v>
      </c>
      <c r="L15" s="44" t="s">
        <v>54</v>
      </c>
      <c r="M15" s="30">
        <v>2021</v>
      </c>
      <c r="N15" s="30" t="s">
        <v>120</v>
      </c>
      <c r="O15" s="37" t="s">
        <v>121</v>
      </c>
      <c r="P15" s="30" t="s">
        <v>26</v>
      </c>
      <c r="Q15" s="37" t="s">
        <v>26</v>
      </c>
      <c r="R15" s="30">
        <v>90</v>
      </c>
      <c r="S15" s="30">
        <v>0.45</v>
      </c>
      <c r="T15" s="30">
        <v>0.05</v>
      </c>
      <c r="U15" s="30">
        <v>0</v>
      </c>
    </row>
    <row r="16" spans="1:21" x14ac:dyDescent="0.2">
      <c r="A16" s="14"/>
      <c r="B16" s="14"/>
      <c r="C16" s="14"/>
      <c r="D16" s="14"/>
      <c r="E16" s="14"/>
      <c r="F16" s="14"/>
      <c r="G16" s="14"/>
      <c r="H16" s="14"/>
      <c r="I16" s="14"/>
      <c r="J16" s="14"/>
      <c r="K16" s="14"/>
      <c r="L16" s="14"/>
      <c r="M16" s="14"/>
      <c r="N16" s="14"/>
      <c r="O16" s="15"/>
      <c r="P16" s="14"/>
      <c r="Q16" s="15"/>
      <c r="R16" s="14"/>
      <c r="S16" s="16">
        <f>SUM(S2:S15)</f>
        <v>8.5</v>
      </c>
      <c r="T16" s="14"/>
      <c r="U16" s="14"/>
    </row>
  </sheetData>
  <autoFilter ref="A1:U15" xr:uid="{00000000-0009-0000-0000-000000000000}">
    <sortState xmlns:xlrd2="http://schemas.microsoft.com/office/spreadsheetml/2017/richdata2" ref="A2:U1900">
      <sortCondition ref="L2:L1900"/>
      <sortCondition ref="M2:M1900"/>
      <sortCondition ref="D2:D1900"/>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3"/>
  <sheetViews>
    <sheetView zoomScaleNormal="100" workbookViewId="0">
      <selection activeCell="B17" sqref="B17"/>
    </sheetView>
  </sheetViews>
  <sheetFormatPr baseColWidth="10" defaultColWidth="11.44140625" defaultRowHeight="13.2" x14ac:dyDescent="0.25"/>
  <cols>
    <col min="1" max="1" width="10.44140625" style="21" bestFit="1" customWidth="1"/>
    <col min="2" max="2" width="32.109375" style="21" bestFit="1" customWidth="1"/>
    <col min="3" max="3" width="17" style="21" bestFit="1" customWidth="1"/>
    <col min="4" max="9" width="3.33203125" style="21" bestFit="1" customWidth="1"/>
    <col min="10" max="10" width="13.109375" style="21" bestFit="1" customWidth="1"/>
    <col min="11" max="11" width="5.33203125" style="21" bestFit="1" customWidth="1"/>
    <col min="12" max="13" width="5.6640625" style="21" bestFit="1" customWidth="1"/>
    <col min="14" max="14" width="5.6640625" style="22" bestFit="1" customWidth="1"/>
    <col min="15" max="15" width="5.6640625" style="21" bestFit="1" customWidth="1"/>
    <col min="16" max="16" width="5.6640625" style="22" bestFit="1" customWidth="1"/>
    <col min="17" max="19" width="5.6640625" style="21" bestFit="1" customWidth="1"/>
    <col min="20" max="16384" width="11.44140625" style="21"/>
  </cols>
  <sheetData>
    <row r="1" spans="1:19" s="20" customFormat="1" ht="60" customHeight="1" x14ac:dyDescent="0.25">
      <c r="A1" s="25" t="s">
        <v>70</v>
      </c>
      <c r="B1" s="25" t="s">
        <v>71</v>
      </c>
      <c r="C1" s="25" t="s">
        <v>72</v>
      </c>
      <c r="D1" s="26">
        <v>2017</v>
      </c>
      <c r="E1" s="26">
        <v>2018</v>
      </c>
      <c r="F1" s="26">
        <v>2019</v>
      </c>
      <c r="G1" s="26">
        <v>2020</v>
      </c>
      <c r="H1" s="26">
        <v>2021</v>
      </c>
      <c r="I1" s="26">
        <v>2022</v>
      </c>
      <c r="J1" s="25" t="s">
        <v>73</v>
      </c>
      <c r="K1" s="47" t="s">
        <v>115</v>
      </c>
      <c r="L1" s="18" t="s">
        <v>74</v>
      </c>
      <c r="M1" s="18" t="s">
        <v>75</v>
      </c>
      <c r="N1" s="18" t="s">
        <v>76</v>
      </c>
      <c r="O1" s="18" t="s">
        <v>77</v>
      </c>
      <c r="P1" s="19" t="s">
        <v>78</v>
      </c>
      <c r="Q1" s="19" t="s">
        <v>79</v>
      </c>
      <c r="R1" s="19" t="s">
        <v>80</v>
      </c>
      <c r="S1" s="19" t="s">
        <v>81</v>
      </c>
    </row>
    <row r="2" spans="1:19" ht="14.4" x14ac:dyDescent="0.3">
      <c r="A2" s="27" t="s">
        <v>86</v>
      </c>
      <c r="B2" s="27" t="s">
        <v>87</v>
      </c>
      <c r="C2" s="27" t="s">
        <v>82</v>
      </c>
      <c r="D2" s="27"/>
      <c r="E2" s="27"/>
      <c r="F2" s="27"/>
      <c r="G2" s="27"/>
      <c r="H2" s="27"/>
      <c r="I2" s="27">
        <v>1</v>
      </c>
      <c r="J2" s="27">
        <v>1</v>
      </c>
      <c r="K2" s="27" t="s">
        <v>54</v>
      </c>
      <c r="L2" s="28" t="s">
        <v>177</v>
      </c>
      <c r="M2" s="28" t="s">
        <v>121</v>
      </c>
      <c r="N2" s="28" t="s">
        <v>26</v>
      </c>
      <c r="O2" s="28" t="s">
        <v>26</v>
      </c>
      <c r="P2" s="28">
        <v>90</v>
      </c>
      <c r="Q2" s="28">
        <v>0.1</v>
      </c>
      <c r="R2" s="28">
        <v>0</v>
      </c>
      <c r="S2" s="28">
        <v>0.9</v>
      </c>
    </row>
    <row r="3" spans="1:19" ht="14.4" x14ac:dyDescent="0.3">
      <c r="A3" s="27" t="s">
        <v>116</v>
      </c>
      <c r="B3" s="27" t="s">
        <v>117</v>
      </c>
      <c r="C3" s="27" t="s">
        <v>82</v>
      </c>
      <c r="D3" s="27">
        <v>2</v>
      </c>
      <c r="E3" s="27"/>
      <c r="F3" s="27"/>
      <c r="G3" s="27"/>
      <c r="H3" s="27"/>
      <c r="I3" s="27"/>
      <c r="J3" s="27">
        <v>2</v>
      </c>
      <c r="K3" s="27" t="s">
        <v>54</v>
      </c>
      <c r="L3" s="28" t="s">
        <v>120</v>
      </c>
      <c r="M3" s="28" t="s">
        <v>121</v>
      </c>
      <c r="N3" s="28" t="s">
        <v>26</v>
      </c>
      <c r="O3" s="28" t="s">
        <v>26</v>
      </c>
      <c r="P3" s="28">
        <v>90</v>
      </c>
      <c r="Q3" s="28">
        <v>0.2</v>
      </c>
      <c r="R3" s="28">
        <v>0</v>
      </c>
      <c r="S3" s="28">
        <v>1.8</v>
      </c>
    </row>
    <row r="4" spans="1:19" ht="14.4" x14ac:dyDescent="0.3">
      <c r="A4" s="27" t="s">
        <v>152</v>
      </c>
      <c r="B4" s="27" t="s">
        <v>153</v>
      </c>
      <c r="C4" s="27" t="s">
        <v>82</v>
      </c>
      <c r="D4" s="27"/>
      <c r="E4" s="27"/>
      <c r="F4" s="27"/>
      <c r="G4" s="27"/>
      <c r="H4" s="27"/>
      <c r="I4" s="27">
        <v>1</v>
      </c>
      <c r="J4" s="27">
        <v>1</v>
      </c>
      <c r="K4" s="27" t="s">
        <v>54</v>
      </c>
      <c r="L4" s="28">
        <v>0</v>
      </c>
      <c r="M4" s="28">
        <v>0</v>
      </c>
      <c r="N4" s="28" t="s">
        <v>26</v>
      </c>
      <c r="O4" s="28" t="s">
        <v>26</v>
      </c>
      <c r="P4" s="28">
        <v>100</v>
      </c>
      <c r="Q4" s="28">
        <v>0</v>
      </c>
      <c r="R4" s="28">
        <v>0</v>
      </c>
      <c r="S4" s="28">
        <v>1</v>
      </c>
    </row>
    <row r="5" spans="1:19" ht="14.4" x14ac:dyDescent="0.3">
      <c r="A5" s="27" t="s">
        <v>88</v>
      </c>
      <c r="B5" s="27" t="s">
        <v>89</v>
      </c>
      <c r="C5" s="27" t="s">
        <v>82</v>
      </c>
      <c r="D5" s="27"/>
      <c r="E5" s="27"/>
      <c r="F5" s="27"/>
      <c r="G5" s="27"/>
      <c r="H5" s="27">
        <v>1</v>
      </c>
      <c r="I5" s="27"/>
      <c r="J5" s="27">
        <v>1</v>
      </c>
      <c r="K5" s="27" t="s">
        <v>54</v>
      </c>
      <c r="L5" s="28" t="s">
        <v>29</v>
      </c>
      <c r="M5" s="28" t="s">
        <v>30</v>
      </c>
      <c r="N5" s="28" t="s">
        <v>26</v>
      </c>
      <c r="O5" s="28" t="s">
        <v>26</v>
      </c>
      <c r="P5" s="28">
        <v>80</v>
      </c>
      <c r="Q5" s="28">
        <v>0.2</v>
      </c>
      <c r="R5" s="28">
        <v>0</v>
      </c>
      <c r="S5" s="28">
        <v>0.8</v>
      </c>
    </row>
    <row r="6" spans="1:19" ht="14.4" x14ac:dyDescent="0.3">
      <c r="A6" s="27" t="s">
        <v>118</v>
      </c>
      <c r="B6" s="27" t="s">
        <v>119</v>
      </c>
      <c r="C6" s="27" t="s">
        <v>82</v>
      </c>
      <c r="D6" s="27"/>
      <c r="E6" s="27"/>
      <c r="F6" s="27"/>
      <c r="G6" s="27"/>
      <c r="H6" s="27">
        <v>1</v>
      </c>
      <c r="I6" s="27"/>
      <c r="J6" s="27">
        <v>1</v>
      </c>
      <c r="K6" s="27" t="s">
        <v>54</v>
      </c>
      <c r="L6" s="28" t="s">
        <v>120</v>
      </c>
      <c r="M6" s="28" t="s">
        <v>121</v>
      </c>
      <c r="N6" s="28" t="s">
        <v>26</v>
      </c>
      <c r="O6" s="28" t="s">
        <v>26</v>
      </c>
      <c r="P6" s="28">
        <v>90</v>
      </c>
      <c r="Q6" s="28">
        <v>0.1</v>
      </c>
      <c r="R6" s="28">
        <v>0</v>
      </c>
      <c r="S6" s="28">
        <v>0.9</v>
      </c>
    </row>
    <row r="7" spans="1:19" ht="14.4" x14ac:dyDescent="0.3">
      <c r="A7" s="45" t="s">
        <v>111</v>
      </c>
      <c r="B7" s="45" t="s">
        <v>112</v>
      </c>
      <c r="C7" s="46" t="s">
        <v>82</v>
      </c>
      <c r="D7" s="45"/>
      <c r="E7" s="45"/>
      <c r="F7" s="45"/>
      <c r="G7" s="45"/>
      <c r="H7" s="45"/>
      <c r="I7" s="45">
        <v>1</v>
      </c>
      <c r="J7" s="27">
        <v>1</v>
      </c>
      <c r="K7" s="27" t="s">
        <v>54</v>
      </c>
      <c r="L7" s="28" t="s">
        <v>178</v>
      </c>
      <c r="M7" s="28" t="s">
        <v>121</v>
      </c>
      <c r="N7" s="28" t="s">
        <v>26</v>
      </c>
      <c r="O7" s="28" t="s">
        <v>26</v>
      </c>
      <c r="P7" s="28">
        <v>90</v>
      </c>
      <c r="Q7" s="28">
        <v>0.1</v>
      </c>
      <c r="R7" s="28">
        <v>0</v>
      </c>
      <c r="S7" s="28">
        <v>0.9</v>
      </c>
    </row>
    <row r="8" spans="1:19" ht="14.4" x14ac:dyDescent="0.3">
      <c r="A8" s="27" t="s">
        <v>122</v>
      </c>
      <c r="B8" s="27" t="s">
        <v>123</v>
      </c>
      <c r="C8" s="27" t="s">
        <v>82</v>
      </c>
      <c r="D8" s="27"/>
      <c r="E8" s="27"/>
      <c r="F8" s="27"/>
      <c r="G8" s="27"/>
      <c r="H8" s="27">
        <v>1</v>
      </c>
      <c r="I8" s="27"/>
      <c r="J8" s="27">
        <v>1</v>
      </c>
      <c r="K8" s="27" t="s">
        <v>54</v>
      </c>
      <c r="L8" s="28" t="s">
        <v>120</v>
      </c>
      <c r="M8" s="28" t="s">
        <v>121</v>
      </c>
      <c r="N8" s="28" t="s">
        <v>26</v>
      </c>
      <c r="O8" s="28" t="s">
        <v>26</v>
      </c>
      <c r="P8" s="28">
        <v>90</v>
      </c>
      <c r="Q8" s="28">
        <v>0.1</v>
      </c>
      <c r="R8" s="28">
        <v>0</v>
      </c>
      <c r="S8" s="28">
        <v>0.9</v>
      </c>
    </row>
    <row r="9" spans="1:19" ht="14.4" x14ac:dyDescent="0.3">
      <c r="A9" s="27" t="s">
        <v>84</v>
      </c>
      <c r="B9" s="27" t="s">
        <v>85</v>
      </c>
      <c r="C9" s="27" t="s">
        <v>82</v>
      </c>
      <c r="D9" s="27"/>
      <c r="E9" s="27"/>
      <c r="F9" s="27"/>
      <c r="G9" s="27">
        <v>1</v>
      </c>
      <c r="H9" s="27"/>
      <c r="I9" s="27"/>
      <c r="J9" s="27">
        <v>1</v>
      </c>
      <c r="K9" s="27" t="s">
        <v>54</v>
      </c>
      <c r="L9" s="28" t="s">
        <v>29</v>
      </c>
      <c r="M9" s="28" t="s">
        <v>30</v>
      </c>
      <c r="N9" s="28" t="s">
        <v>120</v>
      </c>
      <c r="O9" s="28" t="s">
        <v>121</v>
      </c>
      <c r="P9" s="28">
        <v>70</v>
      </c>
      <c r="Q9" s="28">
        <v>0.2</v>
      </c>
      <c r="R9" s="28">
        <v>0.1</v>
      </c>
      <c r="S9" s="28">
        <v>0.7</v>
      </c>
    </row>
    <row r="10" spans="1:19" ht="14.4" x14ac:dyDescent="0.3">
      <c r="A10" s="27" t="s">
        <v>154</v>
      </c>
      <c r="B10" s="27" t="s">
        <v>155</v>
      </c>
      <c r="C10" s="27" t="s">
        <v>83</v>
      </c>
      <c r="D10" s="27"/>
      <c r="E10" s="27"/>
      <c r="F10" s="27"/>
      <c r="G10" s="27"/>
      <c r="H10" s="27"/>
      <c r="I10" s="27">
        <v>1</v>
      </c>
      <c r="J10" s="27">
        <v>1</v>
      </c>
      <c r="K10" s="27" t="s">
        <v>54</v>
      </c>
      <c r="L10" s="28">
        <v>0</v>
      </c>
      <c r="M10" s="28">
        <v>0</v>
      </c>
      <c r="N10" s="28" t="s">
        <v>26</v>
      </c>
      <c r="O10" s="28" t="s">
        <v>26</v>
      </c>
      <c r="P10" s="28">
        <v>100</v>
      </c>
      <c r="Q10" s="28">
        <v>0</v>
      </c>
      <c r="R10" s="28">
        <v>0</v>
      </c>
      <c r="S10" s="28">
        <v>1</v>
      </c>
    </row>
    <row r="11" spans="1:19" ht="14.4" x14ac:dyDescent="0.3">
      <c r="A11" s="27" t="s">
        <v>124</v>
      </c>
      <c r="B11" s="27" t="s">
        <v>125</v>
      </c>
      <c r="C11" s="27" t="s">
        <v>83</v>
      </c>
      <c r="D11" s="27"/>
      <c r="E11" s="27"/>
      <c r="F11" s="27"/>
      <c r="G11" s="27"/>
      <c r="H11" s="27">
        <v>1</v>
      </c>
      <c r="I11" s="27"/>
      <c r="J11" s="27">
        <v>1</v>
      </c>
      <c r="K11" s="27" t="s">
        <v>54</v>
      </c>
      <c r="L11" s="28" t="s">
        <v>120</v>
      </c>
      <c r="M11" s="28" t="s">
        <v>121</v>
      </c>
      <c r="N11" s="28" t="s">
        <v>26</v>
      </c>
      <c r="O11" s="28" t="s">
        <v>26</v>
      </c>
      <c r="P11" s="28">
        <v>90</v>
      </c>
      <c r="Q11" s="28">
        <v>0.1</v>
      </c>
      <c r="R11" s="28">
        <v>0</v>
      </c>
      <c r="S11" s="28">
        <v>0.9</v>
      </c>
    </row>
    <row r="12" spans="1:19" ht="14.4" x14ac:dyDescent="0.3">
      <c r="A12" s="27" t="s">
        <v>179</v>
      </c>
      <c r="B12" s="27" t="s">
        <v>180</v>
      </c>
      <c r="C12" s="45" t="s">
        <v>83</v>
      </c>
      <c r="D12" s="27"/>
      <c r="E12" s="27"/>
      <c r="F12" s="27"/>
      <c r="G12" s="27"/>
      <c r="H12" s="27"/>
      <c r="I12" s="27">
        <v>1</v>
      </c>
      <c r="J12" s="27">
        <v>1</v>
      </c>
      <c r="K12" s="27" t="s">
        <v>54</v>
      </c>
      <c r="L12" s="28">
        <v>0</v>
      </c>
      <c r="M12" s="28">
        <v>0</v>
      </c>
      <c r="N12" s="28" t="s">
        <v>26</v>
      </c>
      <c r="O12" s="28" t="s">
        <v>26</v>
      </c>
      <c r="P12" s="28">
        <v>100</v>
      </c>
      <c r="Q12" s="28">
        <v>0</v>
      </c>
      <c r="R12" s="28">
        <v>0</v>
      </c>
      <c r="S12" s="28">
        <v>1</v>
      </c>
    </row>
    <row r="13" spans="1:19" x14ac:dyDescent="0.25">
      <c r="A13" s="48"/>
      <c r="B13" s="48"/>
      <c r="C13" s="48"/>
      <c r="D13" s="48"/>
      <c r="E13" s="48"/>
      <c r="F13" s="48"/>
      <c r="G13" s="48"/>
      <c r="H13" s="48"/>
      <c r="I13" s="48"/>
      <c r="J13" s="48"/>
      <c r="K13" s="48"/>
      <c r="L13" s="48"/>
      <c r="M13" s="48"/>
      <c r="N13" s="49"/>
      <c r="O13" s="48"/>
      <c r="P13" s="49"/>
      <c r="Q13" s="48"/>
      <c r="R13" s="48"/>
      <c r="S13" s="50">
        <f>SUM(S2:S12)</f>
        <v>10.800000000000002</v>
      </c>
    </row>
  </sheetData>
  <sortState xmlns:xlrd2="http://schemas.microsoft.com/office/spreadsheetml/2017/richdata2" ref="A2:S11">
    <sortCondition ref="B2:B11"/>
  </sortState>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zoomScaleNormal="100" workbookViewId="0">
      <selection activeCell="A35" sqref="A35"/>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23" t="s">
        <v>113</v>
      </c>
      <c r="B2" s="24"/>
    </row>
    <row r="3" spans="1:2" x14ac:dyDescent="0.2">
      <c r="A3" s="23" t="s">
        <v>114</v>
      </c>
      <c r="B3" s="24">
        <v>206.61</v>
      </c>
    </row>
    <row r="4" spans="1:2" x14ac:dyDescent="0.2">
      <c r="A4" s="4" t="s">
        <v>90</v>
      </c>
      <c r="B4" s="5"/>
    </row>
    <row r="5" spans="1:2" x14ac:dyDescent="0.2">
      <c r="A5" s="4" t="s">
        <v>91</v>
      </c>
      <c r="B5" s="5">
        <v>4000</v>
      </c>
    </row>
    <row r="6" spans="1:2" x14ac:dyDescent="0.2">
      <c r="A6" s="4" t="s">
        <v>92</v>
      </c>
      <c r="B6" s="5"/>
    </row>
    <row r="7" spans="1:2" x14ac:dyDescent="0.2">
      <c r="A7" s="4" t="s">
        <v>93</v>
      </c>
      <c r="B7" s="5">
        <v>400</v>
      </c>
    </row>
    <row r="8" spans="1:2" x14ac:dyDescent="0.2">
      <c r="A8" s="4" t="s">
        <v>94</v>
      </c>
      <c r="B8" s="5"/>
    </row>
    <row r="9" spans="1:2" x14ac:dyDescent="0.2">
      <c r="A9" s="4" t="s">
        <v>95</v>
      </c>
      <c r="B9" s="5">
        <v>2269.75</v>
      </c>
    </row>
    <row r="10" spans="1:2" x14ac:dyDescent="0.2">
      <c r="A10" s="4" t="s">
        <v>96</v>
      </c>
      <c r="B10" s="5"/>
    </row>
    <row r="11" spans="1:2" x14ac:dyDescent="0.2">
      <c r="A11" s="4" t="s">
        <v>97</v>
      </c>
      <c r="B11" s="5">
        <v>600</v>
      </c>
    </row>
    <row r="12" spans="1:2" x14ac:dyDescent="0.2">
      <c r="A12" s="4" t="s">
        <v>98</v>
      </c>
      <c r="B12" s="5"/>
    </row>
    <row r="13" spans="1:2" x14ac:dyDescent="0.2">
      <c r="A13" s="4" t="s">
        <v>99</v>
      </c>
      <c r="B13" s="5">
        <v>600</v>
      </c>
    </row>
    <row r="14" spans="1:2" x14ac:dyDescent="0.2">
      <c r="A14" s="4" t="s">
        <v>3</v>
      </c>
      <c r="B14" s="5"/>
    </row>
    <row r="15" spans="1:2" x14ac:dyDescent="0.2">
      <c r="A15" s="4" t="s">
        <v>100</v>
      </c>
      <c r="B15" s="5">
        <v>262.32</v>
      </c>
    </row>
    <row r="16" spans="1:2" x14ac:dyDescent="0.2">
      <c r="A16" s="4" t="s">
        <v>101</v>
      </c>
      <c r="B16" s="5">
        <v>18000</v>
      </c>
    </row>
    <row r="17" spans="1:2" x14ac:dyDescent="0.2">
      <c r="A17" s="4" t="s">
        <v>102</v>
      </c>
      <c r="B17" s="5"/>
    </row>
    <row r="18" spans="1:2" x14ac:dyDescent="0.2">
      <c r="A18" s="4" t="s">
        <v>103</v>
      </c>
      <c r="B18" s="5">
        <v>18000</v>
      </c>
    </row>
    <row r="19" spans="1:2" x14ac:dyDescent="0.2">
      <c r="A19" s="6" t="s">
        <v>2</v>
      </c>
      <c r="B19" s="7">
        <f>SUM(B3:B18)</f>
        <v>44338.68</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8766-EA10-43DA-9BB9-0DE76B3AEE39}">
  <dimension ref="A1:B25"/>
  <sheetViews>
    <sheetView zoomScaleNormal="100" workbookViewId="0">
      <selection activeCell="A18" sqref="A1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23" t="s">
        <v>130</v>
      </c>
      <c r="B2" s="24"/>
    </row>
    <row r="3" spans="1:2" x14ac:dyDescent="0.2">
      <c r="A3" s="23" t="s">
        <v>131</v>
      </c>
      <c r="B3" s="24">
        <v>1100</v>
      </c>
    </row>
    <row r="4" spans="1:2" x14ac:dyDescent="0.2">
      <c r="A4" s="23" t="s">
        <v>132</v>
      </c>
      <c r="B4" s="24"/>
    </row>
    <row r="5" spans="1:2" x14ac:dyDescent="0.2">
      <c r="A5" s="23" t="s">
        <v>133</v>
      </c>
      <c r="B5" s="24">
        <v>600</v>
      </c>
    </row>
    <row r="6" spans="1:2" x14ac:dyDescent="0.2">
      <c r="A6" s="23" t="s">
        <v>134</v>
      </c>
      <c r="B6" s="24"/>
    </row>
    <row r="7" spans="1:2" ht="30.6" x14ac:dyDescent="0.2">
      <c r="A7" s="23" t="s">
        <v>135</v>
      </c>
      <c r="B7" s="24">
        <v>704</v>
      </c>
    </row>
    <row r="8" spans="1:2" x14ac:dyDescent="0.2">
      <c r="A8" s="23" t="s">
        <v>136</v>
      </c>
      <c r="B8" s="24"/>
    </row>
    <row r="9" spans="1:2" ht="20.399999999999999" x14ac:dyDescent="0.2">
      <c r="A9" s="23" t="s">
        <v>137</v>
      </c>
      <c r="B9" s="24">
        <v>462</v>
      </c>
    </row>
    <row r="10" spans="1:2" x14ac:dyDescent="0.2">
      <c r="A10" s="23" t="s">
        <v>138</v>
      </c>
      <c r="B10" s="24"/>
    </row>
    <row r="11" spans="1:2" ht="20.399999999999999" x14ac:dyDescent="0.2">
      <c r="A11" s="23" t="s">
        <v>139</v>
      </c>
      <c r="B11" s="24">
        <v>3944.16</v>
      </c>
    </row>
    <row r="12" spans="1:2" ht="20.399999999999999" x14ac:dyDescent="0.2">
      <c r="A12" s="23" t="s">
        <v>140</v>
      </c>
      <c r="B12" s="24">
        <v>5258.88</v>
      </c>
    </row>
    <row r="13" spans="1:2" ht="20.399999999999999" x14ac:dyDescent="0.2">
      <c r="A13" s="23" t="s">
        <v>141</v>
      </c>
      <c r="B13" s="24">
        <v>3944.16</v>
      </c>
    </row>
    <row r="14" spans="1:2" x14ac:dyDescent="0.2">
      <c r="A14" s="4" t="s">
        <v>142</v>
      </c>
      <c r="B14" s="5"/>
    </row>
    <row r="15" spans="1:2" x14ac:dyDescent="0.2">
      <c r="A15" s="4" t="s">
        <v>143</v>
      </c>
      <c r="B15" s="5">
        <v>2200</v>
      </c>
    </row>
    <row r="16" spans="1:2" x14ac:dyDescent="0.2">
      <c r="A16" s="4" t="s">
        <v>144</v>
      </c>
      <c r="B16" s="5">
        <v>2200</v>
      </c>
    </row>
    <row r="17" spans="1:2" x14ac:dyDescent="0.2">
      <c r="A17" s="4" t="s">
        <v>145</v>
      </c>
      <c r="B17" s="5"/>
    </row>
    <row r="18" spans="1:2" x14ac:dyDescent="0.2">
      <c r="A18" s="4" t="s">
        <v>146</v>
      </c>
      <c r="B18" s="5">
        <v>13147.2</v>
      </c>
    </row>
    <row r="19" spans="1:2" x14ac:dyDescent="0.2">
      <c r="A19" s="4" t="s">
        <v>147</v>
      </c>
      <c r="B19" s="5"/>
    </row>
    <row r="20" spans="1:2" x14ac:dyDescent="0.2">
      <c r="A20" s="4" t="s">
        <v>148</v>
      </c>
      <c r="B20" s="5">
        <v>1760</v>
      </c>
    </row>
    <row r="21" spans="1:2" x14ac:dyDescent="0.2">
      <c r="A21" s="4" t="s">
        <v>149</v>
      </c>
      <c r="B21" s="5"/>
    </row>
    <row r="22" spans="1:2" x14ac:dyDescent="0.2">
      <c r="A22" s="4" t="s">
        <v>150</v>
      </c>
      <c r="B22" s="5">
        <v>3520</v>
      </c>
    </row>
    <row r="23" spans="1:2" x14ac:dyDescent="0.2">
      <c r="A23" s="4" t="s">
        <v>102</v>
      </c>
      <c r="B23" s="5"/>
    </row>
    <row r="24" spans="1:2" x14ac:dyDescent="0.2">
      <c r="A24" s="4" t="s">
        <v>151</v>
      </c>
      <c r="B24" s="5">
        <v>18000</v>
      </c>
    </row>
    <row r="25" spans="1:2" x14ac:dyDescent="0.2">
      <c r="A25" s="6" t="s">
        <v>2</v>
      </c>
      <c r="B25" s="7">
        <f>SUM(B3:B24)</f>
        <v>56840.4</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3FC5-3CD5-4AD2-AAEA-D8EE171F3788}">
  <dimension ref="A1:B24"/>
  <sheetViews>
    <sheetView tabSelected="1" zoomScaleNormal="100" workbookViewId="0">
      <selection activeCell="A24" sqref="A24:B24"/>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23" t="s">
        <v>156</v>
      </c>
      <c r="B2" s="24"/>
    </row>
    <row r="3" spans="1:2" ht="30.6" x14ac:dyDescent="0.2">
      <c r="A3" s="23" t="s">
        <v>157</v>
      </c>
      <c r="B3" s="24">
        <v>4774</v>
      </c>
    </row>
    <row r="4" spans="1:2" ht="30.6" x14ac:dyDescent="0.2">
      <c r="A4" s="23" t="s">
        <v>158</v>
      </c>
      <c r="B4" s="24">
        <v>4774</v>
      </c>
    </row>
    <row r="5" spans="1:2" x14ac:dyDescent="0.2">
      <c r="A5" s="23" t="s">
        <v>147</v>
      </c>
      <c r="B5" s="24"/>
    </row>
    <row r="6" spans="1:2" ht="20.399999999999999" x14ac:dyDescent="0.2">
      <c r="A6" s="23" t="s">
        <v>159</v>
      </c>
      <c r="B6" s="24">
        <v>5280</v>
      </c>
    </row>
    <row r="7" spans="1:2" ht="20.399999999999999" x14ac:dyDescent="0.2">
      <c r="A7" s="23" t="s">
        <v>160</v>
      </c>
      <c r="B7" s="24">
        <v>6124.8</v>
      </c>
    </row>
    <row r="8" spans="1:2" x14ac:dyDescent="0.2">
      <c r="A8" s="23" t="s">
        <v>161</v>
      </c>
      <c r="B8" s="24"/>
    </row>
    <row r="9" spans="1:2" ht="20.399999999999999" x14ac:dyDescent="0.2">
      <c r="A9" s="23" t="s">
        <v>162</v>
      </c>
      <c r="B9" s="24">
        <v>4400</v>
      </c>
    </row>
    <row r="10" spans="1:2" ht="20.399999999999999" x14ac:dyDescent="0.2">
      <c r="A10" s="23" t="s">
        <v>163</v>
      </c>
      <c r="B10" s="24">
        <v>2640</v>
      </c>
    </row>
    <row r="11" spans="1:2" x14ac:dyDescent="0.2">
      <c r="A11" s="23" t="s">
        <v>164</v>
      </c>
      <c r="B11" s="24"/>
    </row>
    <row r="12" spans="1:2" ht="20.399999999999999" x14ac:dyDescent="0.2">
      <c r="A12" s="23" t="s">
        <v>165</v>
      </c>
      <c r="B12" s="24">
        <v>1760</v>
      </c>
    </row>
    <row r="13" spans="1:2" x14ac:dyDescent="0.2">
      <c r="A13" s="23" t="s">
        <v>166</v>
      </c>
      <c r="B13" s="24"/>
    </row>
    <row r="14" spans="1:2" x14ac:dyDescent="0.2">
      <c r="A14" s="4" t="s">
        <v>167</v>
      </c>
      <c r="B14" s="5">
        <v>1760</v>
      </c>
    </row>
    <row r="15" spans="1:2" x14ac:dyDescent="0.2">
      <c r="A15" s="4" t="s">
        <v>168</v>
      </c>
      <c r="B15" s="5"/>
    </row>
    <row r="16" spans="1:2" x14ac:dyDescent="0.2">
      <c r="A16" s="4" t="s">
        <v>169</v>
      </c>
      <c r="B16" s="5">
        <v>440</v>
      </c>
    </row>
    <row r="17" spans="1:2" x14ac:dyDescent="0.2">
      <c r="A17" s="4" t="s">
        <v>170</v>
      </c>
      <c r="B17" s="5"/>
    </row>
    <row r="18" spans="1:2" x14ac:dyDescent="0.2">
      <c r="A18" s="4" t="s">
        <v>171</v>
      </c>
      <c r="B18" s="5">
        <v>10000</v>
      </c>
    </row>
    <row r="19" spans="1:2" x14ac:dyDescent="0.2">
      <c r="A19" s="4" t="s">
        <v>172</v>
      </c>
      <c r="B19" s="5"/>
    </row>
    <row r="20" spans="1:2" x14ac:dyDescent="0.2">
      <c r="A20" s="4" t="s">
        <v>171</v>
      </c>
      <c r="B20" s="5">
        <v>10000</v>
      </c>
    </row>
    <row r="21" spans="1:2" x14ac:dyDescent="0.2">
      <c r="A21" s="6" t="s">
        <v>2</v>
      </c>
      <c r="B21" s="7">
        <f>SUM(B3:B20)</f>
        <v>51952.800000000003</v>
      </c>
    </row>
    <row r="23" spans="1:2" x14ac:dyDescent="0.2">
      <c r="B23" s="29"/>
    </row>
    <row r="24" spans="1:2" x14ac:dyDescent="0.2">
      <c r="A24" s="51" t="s">
        <v>181</v>
      </c>
      <c r="B24" s="7">
        <f>B21+'Ingresos investigación 2020'!B25+'Ingresos investigación 2019'!B19</f>
        <v>153131.88</v>
      </c>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2019</vt:lpstr>
      <vt:lpstr>Ingresos investigación 2020</vt:lpstr>
      <vt:lpstr>Ingresos investigación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2022-10-18T11:12:24Z</dcterms:modified>
</cp:coreProperties>
</file>