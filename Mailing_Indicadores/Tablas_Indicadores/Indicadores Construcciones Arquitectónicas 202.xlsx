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692E3929-3674-4EF0-8E91-B636D87A1387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10" r:id="rId1"/>
    <sheet name="Sexenios" sheetId="11" r:id="rId2"/>
    <sheet name="Ingresos investigación 2019" sheetId="14" r:id="rId3"/>
    <sheet name="Ingresos investigación 2020" sheetId="17" r:id="rId4"/>
    <sheet name="Ingresos investigación 2021" sheetId="18" r:id="rId5"/>
    <sheet name="Ingresos formación 2019" sheetId="15" r:id="rId6"/>
    <sheet name="Ingresos formación 2020" sheetId="16" r:id="rId7"/>
    <sheet name="Ingresos formación 2021" sheetId="19" r:id="rId8"/>
  </sheets>
  <definedNames>
    <definedName name="_xlnm._FilterDatabase" localSheetId="1" hidden="1">Sexenios!$A$1:$S$7</definedName>
    <definedName name="_xlnm._FilterDatabase" localSheetId="0" hidden="1">Tesis!$A$1:$U$10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" i="10" l="1"/>
  <c r="B8" i="19" l="1"/>
  <c r="B26" i="18"/>
  <c r="B27" i="17" l="1"/>
  <c r="B8" i="16"/>
  <c r="S9" i="11"/>
  <c r="B8" i="15" l="1"/>
  <c r="B24" i="14"/>
  <c r="B28" i="18" s="1"/>
</calcChain>
</file>

<file path=xl/sharedStrings.xml><?xml version="1.0" encoding="utf-8"?>
<sst xmlns="http://schemas.openxmlformats.org/spreadsheetml/2006/main" count="315" uniqueCount="187">
  <si>
    <t>Orgánica
Descripción justificante</t>
  </si>
  <si>
    <t>Importe</t>
  </si>
  <si>
    <t>Total</t>
  </si>
  <si>
    <t>34.40.2T.00.01</t>
  </si>
  <si>
    <t>34.40.6C.00.19</t>
  </si>
  <si>
    <t>34.40.6C.00.26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</si>
  <si>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</si>
  <si>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</si>
  <si>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</si>
  <si>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</si>
  <si>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</si>
  <si>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</si>
  <si>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</si>
  <si>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</si>
  <si>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</si>
  <si>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</si>
  <si>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</si>
  <si>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</si>
  <si>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</si>
  <si>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</si>
  <si>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</si>
  <si>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</si>
  <si>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</si>
  <si>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</si>
  <si>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</si>
  <si>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</si>
  <si>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</si>
  <si>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</si>
  <si>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</si>
  <si>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</si>
  <si>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</si>
  <si>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- </t>
  </si>
  <si>
    <t>10.05</t>
  </si>
  <si>
    <t>10.24</t>
  </si>
  <si>
    <t>14/07/2017 </t>
  </si>
  <si>
    <t>U020 </t>
  </si>
  <si>
    <t>ADM. I.U. DEL AGUA Y DE LAS CIENCIAS AMBIENTALES </t>
  </si>
  <si>
    <t>DOCTORADO EN AGUA Y DESARROLLO SOSTENIBLE </t>
  </si>
  <si>
    <t>22/12/2016 </t>
  </si>
  <si>
    <t>08/09/2017 </t>
  </si>
  <si>
    <t>18156442N </t>
  </si>
  <si>
    <t>B147 </t>
  </si>
  <si>
    <t>CONSTRUCCIONES ARQUITECTONICAS </t>
  </si>
  <si>
    <t>B147</t>
  </si>
  <si>
    <t>DOCTORADO EN INVESTIG. EN ARQUITECTURA Y URBANISMO SOSTENIBLES </t>
  </si>
  <si>
    <t>18202656L </t>
  </si>
  <si>
    <t>21358643S </t>
  </si>
  <si>
    <t>Gilsanz Díaz, Ana Covadonga </t>
  </si>
  <si>
    <t>LA ARQUITECTURA COMO ACONTECIMIENTO. LA DOCENCIA DE LA ARQUITECTURA Y SU APRENDIZAJE EN LA EXPERIENCIA DEL BLACK MOUNTAIN COLLEGE (1933-57) </t>
  </si>
  <si>
    <t>B185 </t>
  </si>
  <si>
    <t>INGENIERÍA CIVIL </t>
  </si>
  <si>
    <t>DOCTORADO EN INGENIERÍA DE LOS MATERIALES, AGUA Y TERRENO </t>
  </si>
  <si>
    <t>Gurdián Curran, Flora Hebé </t>
  </si>
  <si>
    <t>CARACTERIZACIÓN DE HORMIGONES ECOLÓGICOS CON ADICIONES PUZOLÁNICAS Y ÁRIDO RECICLADO, Y SU PROTECCIÓN FRENTE A LA CORROSIÓN DE ARMADURAS </t>
  </si>
  <si>
    <t>21477259C </t>
  </si>
  <si>
    <t>B184 </t>
  </si>
  <si>
    <t>EDIFICACIÓN Y URBANISMO </t>
  </si>
  <si>
    <t>DOCTORADO EN GESTIÓN DE LA EDIFICACIÓN </t>
  </si>
  <si>
    <t>Lloret Mauri, Ángel Tomás </t>
  </si>
  <si>
    <t>ESTUDIO Y ANÁLISIS DEL IMPACTO Y REPERCUSIÓN AMBIENTAL SOBRE EL PATRIMONIO HISTÓRICO EDIFICADO EN EL CENTRO HISTÓRICO DE VILLAJOYOSA DURANTE LAS FIESTAS PATRONALES </t>
  </si>
  <si>
    <t>Reus Martínez, Patricia </t>
  </si>
  <si>
    <t>LA FORMA EN LA CIUDAD CÍVICA. EVOLUCIÓN DEL BARRIO DE VISTABELLA, MURCIA, ESPAÑA (1941-2016). DE LA ALDEA PERIFÉRICA A LA ALDEA EXPANDIDA </t>
  </si>
  <si>
    <t>01/12/2016 </t>
  </si>
  <si>
    <t>Rizo Maestre, Carlos </t>
  </si>
  <si>
    <t>LA CALIDAD DEL AIRE EN LA ARQUITECTURA HISTÓRICA Y CIVIL DE ALICANTE. EL RADÓN COMO ELEMENTO CONSTRUCTIVO </t>
  </si>
  <si>
    <t>16/05/2017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</si>
  <si>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</si>
  <si>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</si>
  <si>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</si>
  <si>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</si>
  <si>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</si>
  <si>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</si>
  <si>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</si>
  <si>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</si>
  <si>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</si>
  <si>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</si>
  <si>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</si>
  <si>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</si>
  <si>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</si>
  <si>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</si>
  <si>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52776864Y</t>
  </si>
  <si>
    <t>GALIANO GARRIGOS, ANTONIO LUIS</t>
  </si>
  <si>
    <t>21477259C</t>
  </si>
  <si>
    <t>GARCIA ALCOCEL, EVA MARIA</t>
  </si>
  <si>
    <t>33478305B</t>
  </si>
  <si>
    <t>SPAIRANI BERRIO, YOLANDA</t>
  </si>
  <si>
    <t>34.40.6C.00.17</t>
  </si>
  <si>
    <t xml:space="preserve">ENTREGA BORRADOR DEL INFORME. SEGUNDO PAGO .ESTUDIO SOBRE LA REPARACIÓN DE HORMIGÓN ARMADO CON CORRUGADO INOXIDABLE EN OBRAS Y ELABORACIÓN DE DOCUMENTACIÓN TÉCNICA.  </t>
  </si>
  <si>
    <t>INFORME DEFINITIVO. ESTUDIO SOBRE LA REPARACIÓN DE HORMIGÓN ARMADO CON CORRUGADO INOXIDABLE EN OBRAS Y ELABORACIÓN DE DOCUMENTACIÓN TÉCNICA. REF. CONVENIO CEDINOX</t>
  </si>
  <si>
    <t>HONORARIOS, DIRECCIÓN OBRA Y COORDINACIÓN DE SEGURIDAD 50% HONORARIOS - FINAL OBRA AYTOXIXONA1-17TPA</t>
  </si>
  <si>
    <t>REINTEGRO CUOTA PATRONAL CORRESPONDIENTE AL MES DE DICIEMBRE DE 2019</t>
  </si>
  <si>
    <t>34.40.6C.00.28</t>
  </si>
  <si>
    <t>REDACCIÓN DEL PLAN DIRECTOR DE CONSERVACIÓN E INTERVENCIÓN EN EL CASTILLO DE ORIHUELA</t>
  </si>
  <si>
    <t>34.40.6C.00.31</t>
  </si>
  <si>
    <t>Dirección de obras para restauración del refectorio y aulas del Colegio Diocesano Santo Domingo en Orihuela, seguimiento y resultados de los cuatro primeros meses de la obra.</t>
  </si>
  <si>
    <t>Dirección de obras para restauración del refectorio y aulas del Colegío Diocesano Santo Domingo en Orihuela, seguimiento y resultados de los segundos cuatro meses de la obra.</t>
  </si>
  <si>
    <t>LIQUIDACIÓN DE HONORARIOS DE LA DIRECCIÓN FACULTATIVA DE LAS OBRAS DE RESTAURACIÓN DEL REFECTORIO Y AULAS DEL COLEGIO DIOCESANO SANTO DOMINGO EN ORIHUELA</t>
  </si>
  <si>
    <t>34.40.6C.00.36</t>
  </si>
  <si>
    <t>ANÁLISIS Y CARACTERIZACIÓN DE LOS MATERIALES DEL SALÓN DEL TINELL, PALACIO REAL BARCELONA</t>
  </si>
  <si>
    <t>34.40.6C.00.41</t>
  </si>
  <si>
    <t>2º PAGO POR LOS SERVICIOS DE DIRECCIÓN FACULTATIVA, COORDINACIÓN DE SEGURIDAD Y SALUD Y DIRECCIÓN TÉCNICA DEL SEGUIMIENTO ARQUEOLÓGICO DE OBRAS DEL ACUEDUCTO CINCO OJOS</t>
  </si>
  <si>
    <t>50% DEL IMPORTE TOTAL. SERVICIOS DE DIRECCIÓN FACULTATIVA, COORDINACIÓN DE SEGURIDAD Y SALUD Y DIRECCIÓN TÉCNICA DEL SEGUIMIENTO ARQUEOLÓGICO DE OBRAS DEL ACUEDUCTO CINCO OJOS.</t>
  </si>
  <si>
    <t>34.40.6C.00.44</t>
  </si>
  <si>
    <t>INVESTIGACIÓN SOBRE SOLUCIONES ARQUITECTÓNICAS DE ACONDICIONAMIENTO Y BIOCLIMATISMO MEDIANTE EL USO DE MATERIALES CERÁMICOS</t>
  </si>
  <si>
    <t>34.40.6M.00.03</t>
  </si>
  <si>
    <t>INVESTIGACIÓN SOBRE SOLUCIONES DE ACONDICIONAMIENTO Y SERVICIOS DE MEJORA DE INFRAESTRUCTURAS DE ACCESIBILIDAD EN EDIFICIOS RESIDENCIALES</t>
  </si>
  <si>
    <t>CURSO REVIT AVANZADO</t>
  </si>
  <si>
    <t>Curso Revit Avanzado - Joaquín Sánchez Ruiz</t>
  </si>
  <si>
    <t>CURSO REVIT BÁSICO</t>
  </si>
  <si>
    <t>Liquidación Plan G808 Curs Revit Básico+ Architecture 2019-2020</t>
  </si>
  <si>
    <t xml:space="preserve">Liquidación PLAN G911 curso "Revit Architecture avanzado" </t>
  </si>
  <si>
    <t>DOCTORADO EN INGENIERÍA DE MATERIALES, ESTRUCTURAS Y TERRENO: CONSTR. SOST. </t>
  </si>
  <si>
    <t>Yáñez Pacios, Roberto Tomás </t>
  </si>
  <si>
    <t>Génesis y evolución de las fortificaciones abaluartadas de Fuenterrabía (1496-1638) </t>
  </si>
  <si>
    <t>17/12/2019 </t>
  </si>
  <si>
    <t>20</t>
  </si>
  <si>
    <t>48485566W</t>
  </si>
  <si>
    <t>GONZALEZ AVILES, ANGEL BENIGNO</t>
  </si>
  <si>
    <t>74233136S</t>
  </si>
  <si>
    <t>SPAIRANI BERRIO, SILVIA</t>
  </si>
  <si>
    <t>COD DEP</t>
  </si>
  <si>
    <t>Lillo Polo, Carlos </t>
  </si>
  <si>
    <t>APLICACIÓN DE LA ANHIDRITA NATURAL EN LA FABRICACIÓN DE MORTEROS SOSTENIBLES </t>
  </si>
  <si>
    <t>26/02/2021 </t>
  </si>
  <si>
    <t>Huesca Tortosa, José Antonio </t>
  </si>
  <si>
    <t>La iglesia de Biar y su portada protorrenacentista. Análisis histórico, arquitectónico, constructivo y estudio diagnóstico. Aplicación de técnica LIDAR. </t>
  </si>
  <si>
    <t>19/02/2021 </t>
  </si>
  <si>
    <t>33478305B </t>
  </si>
  <si>
    <t>U062 </t>
  </si>
  <si>
    <t>ADM. I.U. DE INVESTIGACIÓN INFORMÁTICA </t>
  </si>
  <si>
    <t>DOCTORADO EN INFORMÁTICA </t>
  </si>
  <si>
    <t>Mora Lizán, Francisco José </t>
  </si>
  <si>
    <t>Avances en modelado de sistemas multiagente. Propuesta de arquitectura híbrida multinivel </t>
  </si>
  <si>
    <t>26/01/2021 </t>
  </si>
  <si>
    <t>48624316Q </t>
  </si>
  <si>
    <t>34.40.6C.00.33</t>
  </si>
  <si>
    <t>Dirección de las obras para Restauración y rehabilitación de la zona de camarín y cornisa y pináculos de la torre de la iglesia del Colegio Diocesano Santo Domingo Orihuela.</t>
  </si>
  <si>
    <t>34.40.6C.00.34</t>
  </si>
  <si>
    <t>DIRECCIÓN DE LAS OBRAS PARA RESTAURACIÓN Y REHABILITACIÓN DE LA CUBIERTA Y BÓVEDA DE LA SACRISTÍA DEL COLEGIO DIOCESANO SANTO DOMINGO ORIHUELA</t>
  </si>
  <si>
    <t>34.40.6C.00.35</t>
  </si>
  <si>
    <t>Dirección de las obras para la ampliación y reforma en Iglesia San Cayetano de Crevillente (Alicante).  REF. PARROQUIASANCAYETANO1-19APA</t>
  </si>
  <si>
    <t>34.40.6C.00.38</t>
  </si>
  <si>
    <t>20% DEL IMPORTE TOTAL. REDACCIÓN DEL PROYECTO BÁSICO Y DE EJECUCIÓN DEL PROYECTO DE CONSERVACIÓN, RESTAURACIÓN Y REHABILITACIÓN DEL PALACIO DE RUBALCABA Y DIRECCIÓN DE OBRA. FASE DE PROJECTO BÁSICO</t>
  </si>
  <si>
    <t>Entrega y registro del proyecto de ejecución de consolidación y restauración del Palacio de Rubalcava (35% del importe total)</t>
  </si>
  <si>
    <t>33ER Y ULTIMO PAGO POR LOS SERVICIOS DE DIRECCIÓN FACULTATIVA, COORDINACIÓN DE SEGURIDAD Y SALUD Y DIRECCIÓN TÉCNICA DEL SEGUIMIENTO ARQUEOLÓGICO DE OBRAS DEL ACUEDUCTO CINTO OJOS</t>
  </si>
  <si>
    <t>34.40.6C.00.42</t>
  </si>
  <si>
    <t xml:space="preserve">Dirección de las obras de construcción de nuevo comedor, mantenimiento, adecuación y equipamiento - "PLAN EDIFICANT" COLEGIO VIRGEN DE LOS DOLORES. </t>
  </si>
  <si>
    <t>34.40.6C.00.43</t>
  </si>
  <si>
    <t>Asistencia técnica a la dirección de obra para la restauración del Pou de Neu del Barber en Ibi (Alicante) Número R.C.: 2019.2.0011545.000 Responsable del contrato: Arquitecto Técnico Municipal Andrés Jover Román Número de Decreto TA02/526/2019</t>
  </si>
  <si>
    <t>34.40.6C.00.46</t>
  </si>
  <si>
    <t>ESTUDIO DIAGNÓSTICO DE LOS DIFERENTES ELEMENTOS CONSTRUCTIVOS DE LA TORRE PLACIA. ANÁLISIS DE MATERIALES Y PROPUESTAS DE INTERVENCIÓN Y SEGUIMIENTO DE LAS OBRAS DE TRASLADO DEL CONJUNTO ARQUITECTÓNICO A OTRA PARCELA.</t>
  </si>
  <si>
    <t>34.40.6C.00.49</t>
  </si>
  <si>
    <t xml:space="preserve">PRIMER PAGO POR LA PROVISIÓN DE FONDOS PARA LA REDACCIÓN DEL ANTEPROYECTO Y PROYECTO BÁSICO. PROYECTO Y DIRECCIÓN DE OBRA DE AMPLIACIÓN DE CASA DE REPOSO ¿SALUS INFIRMORUM¿.  </t>
  </si>
  <si>
    <t>34.40.6C.00.50</t>
  </si>
  <si>
    <t>PROYECTO BÁSICO Y DE EJECUCIÓN DE LA RESTAURACIÓN DE LA TORRE DE LA IGLESIA DE LA ASUNCION DE LA VILA JOIOSA</t>
  </si>
  <si>
    <t>34.40.6C.00.51</t>
  </si>
  <si>
    <t>Investigación sobre soluciones arquitectónicas de acondicionamiento sostenibles y bioclimáticas mediante el uso de materiales cerámicos-energía y espacio arquitectónico workshop: cerámica, agua y energía</t>
  </si>
  <si>
    <t>34.40.6C.00.52</t>
  </si>
  <si>
    <t>Realización de ensayos físicos y evaluación de prestaciones a elementos cerámicos de piscina del Liceo Francés de Alicante.</t>
  </si>
  <si>
    <t>No existen ingresos de formación en este año</t>
  </si>
  <si>
    <t>48624316Q</t>
  </si>
  <si>
    <t>RIZO MAESTRE, CARLOS</t>
  </si>
  <si>
    <t>Parte restante que corresponde a la liquidación de la parte del proyecto de ejecución de consolidación y restauración del Palacio Rubalcava.</t>
  </si>
  <si>
    <t>34.40.6C.00.39</t>
  </si>
  <si>
    <t>Incremento de honorarios. Redacción de Proyecto de intervención para la consolidación estructural de la Casa Aracil (Cont. 2019/350)</t>
  </si>
  <si>
    <t xml:space="preserve">SEGUNDO PAGO POR EL ANTEPROYECTO Y PROYECTO BÁSICO. PROYECTO Y DIRECCIÓN DE OBRA DE AMPLIACIÓN DE CASA DE REPOSO "SALUS INFIRMORUM". </t>
  </si>
  <si>
    <t xml:space="preserve">TERCER PAGO POR EL PROYECTO DE EJECUCIÓN DE LA OBRA DE AMPLIACIÓN DE CASA DE REPOSO "SALUS INFIRMORUM" </t>
  </si>
  <si>
    <t>34.40.6C.00.53</t>
  </si>
  <si>
    <t xml:space="preserve">INFORME sobre Estudio y Análisis de las características constructivas e históricas de la "Casa de la Horca" en carretera de Dolores a San Fulgencio, para solicitar su declaración como Bien de Relevancia Local </t>
  </si>
  <si>
    <t>34.40.6C.00.54</t>
  </si>
  <si>
    <t>Restauración y Rehabilitación de la Cubierta y Bóveda de la Sacristía, Antesacristía y Trasteros de la Iglesia de las Santas Justa y Rufina de Orihuela.</t>
  </si>
  <si>
    <t>34.40.6C.00.55</t>
  </si>
  <si>
    <t>Modelado en Revit de diferentes modelos de puertas enrollables con definición geométrica de cajón, guías y lamas</t>
  </si>
  <si>
    <t>34.40.6C.00.57</t>
  </si>
  <si>
    <t>INVESTIGACIÓN SOBRE SOLUCIONES ARQUITECTÓNICAS DE ACONDICIONAMIENTO SOSTENIBLES Y BIOCLIMÁTICAS MEDIANTE EL USO DE MATERIALES CERÁMICOS</t>
  </si>
  <si>
    <t>34.40.6C.00.59</t>
  </si>
  <si>
    <t>1er pago del 50% tras la recepción DEL PROYECTO de la prestación de servicio: Redacción de Proyecto Básico y de Ejecución de Restauración Estructural de la Torre de la Malladeta  Linea 81- Partida 3360/22706</t>
  </si>
  <si>
    <t>2do pago del 50% tras la EJECUCIÓN DE LAS OBRAS de la prestación de servicio: Redacción de Proyecto Básico y de Ejecución de Restauración Estructural de la Torre de la Malladeta.  Línea 81- Partida 3360/22706</t>
  </si>
  <si>
    <t>34.40.6C.00.60</t>
  </si>
  <si>
    <t>DIRECCIÓN DE OBRAS Y DE EJECUCIÓN MATERIAL DE LA RESTAURACIÓN DE LA TORRE DE LA IGLESIA DE LA ASUNCIÓN DE LA VILAJOIOSA</t>
  </si>
  <si>
    <t>34.40.6C.00.61</t>
  </si>
  <si>
    <t>REDACCIÓN DE PROYECTO BÁSICO Y DE EJECUCIÓN, ESTUDIO DE SEGURIDAD Y SALUD, GESTIÓN DE RESIDUOS PARA LA CONSOLIDACIÓN Y RESTAURACIÓN DEL ACUEDUCTO CARBONERAS (DOS OJOS) EN T.M. DE ASPE</t>
  </si>
  <si>
    <t>34.40.6M.00.05</t>
  </si>
  <si>
    <t>CURSO PRÁCTICO: CUMPLIMIENTO DEL DB-HS3 "CALIDAD DEL AIRE INTERIOR" EN LOS EDIFICIOS DE CONSUMO DE ENERGÍA CASI NULO EECN (nZEB)</t>
  </si>
  <si>
    <t>74176967N</t>
  </si>
  <si>
    <t>SAURA GOMEZ, PASCUAL</t>
  </si>
  <si>
    <t>Total ingresos formación 2019, 2020 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</si>
</sst>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4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2" borderId="0" xfId="1" applyFont="1" applyFill="1" applyAlignment="1"/>
    <xf numFmtId="0" fontId="3" fillId="2" borderId="0" xfId="1" applyFont="1" applyFill="1" applyAlignment="1">
      <alignment horizontal="right"/>
    </xf>
    <xf numFmtId="164" fontId="4" fillId="2" borderId="1" xfId="1" applyNumberFormat="1" applyFont="1" applyFill="1" applyBorder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left"/>
    </xf>
    <xf numFmtId="0" fontId="0" fillId="2" borderId="2" xfId="0" applyNumberFormat="1" applyFill="1" applyBorder="1"/>
    <xf numFmtId="0" fontId="0" fillId="2" borderId="0" xfId="0" applyFill="1"/>
    <xf numFmtId="0" fontId="3" fillId="4" borderId="1" xfId="1" applyFill="1" applyBorder="1"/>
    <xf numFmtId="0" fontId="3" fillId="4" borderId="3" xfId="1" applyFill="1" applyBorder="1"/>
    <xf numFmtId="0" fontId="11" fillId="6" borderId="1" xfId="0" applyFont="1" applyFill="1" applyBorder="1" applyAlignment="1">
      <alignment horizontal="left" vertical="center"/>
    </xf>
    <xf numFmtId="0" fontId="11" fillId="6" borderId="4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left" vertical="center"/>
    </xf>
    <xf numFmtId="0" fontId="11" fillId="6" borderId="6" xfId="0" applyFont="1" applyFill="1" applyBorder="1" applyAlignment="1">
      <alignment horizontal="left" vertical="center"/>
    </xf>
    <xf numFmtId="164" fontId="3" fillId="4" borderId="1" xfId="1" applyNumberFormat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5" fontId="3" fillId="4" borderId="3" xfId="1" applyNumberFormat="1" applyFill="1" applyBorder="1"/>
    <xf numFmtId="0" fontId="3" fillId="4" borderId="3" xfId="1" applyFill="1" applyBorder="1" applyAlignment="1">
      <alignment horizontal="right"/>
    </xf>
    <xf numFmtId="1" fontId="3" fillId="4" borderId="3" xfId="1" applyNumberFormat="1" applyFill="1" applyBorder="1"/>
    <xf numFmtId="164" fontId="3" fillId="4" borderId="3" xfId="1" applyNumberFormat="1" applyFill="1" applyBorder="1"/>
    <xf numFmtId="0" fontId="3" fillId="0" borderId="1" xfId="1" applyBorder="1"/>
    <xf numFmtId="0" fontId="12" fillId="2" borderId="0" xfId="0" applyFont="1" applyFill="1"/>
    <xf numFmtId="0" fontId="9" fillId="3" borderId="1" xfId="3" applyFont="1" applyFill="1" applyBorder="1" applyAlignment="1">
      <alignment horizontal="center" wrapText="1"/>
    </xf>
    <xf numFmtId="0" fontId="2" fillId="0" borderId="1" xfId="0" applyFont="1" applyBorder="1" applyAlignment="1">
      <alignment horizontal="right"/>
    </xf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1"/>
  <sheetViews>
    <sheetView showGridLines="0" tabSelected="1" zoomScale="120" zoomScaleNormal="12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J18" sqref="J18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7" customWidth="1"/>
    <col min="16" max="16" width="4.88671875" style="13" customWidth="1"/>
    <col min="17" max="17" width="3.5546875" style="17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11</v>
      </c>
      <c r="G1" s="9" t="s">
        <v>12</v>
      </c>
      <c r="H1" s="9" t="s">
        <v>13</v>
      </c>
      <c r="I1" s="8" t="s">
        <v>14</v>
      </c>
      <c r="J1" s="9" t="s">
        <v>15</v>
      </c>
      <c r="K1" s="8" t="s">
        <v>16</v>
      </c>
      <c r="L1" s="9" t="s">
        <v>17</v>
      </c>
      <c r="M1" s="10" t="s">
        <v>18</v>
      </c>
      <c r="N1" s="11" t="s">
        <v>19</v>
      </c>
      <c r="O1" s="12" t="s">
        <v>20</v>
      </c>
      <c r="P1" s="11" t="s">
        <v>21</v>
      </c>
      <c r="Q1" s="12" t="s">
        <v>22</v>
      </c>
      <c r="R1" s="11" t="s">
        <v>23</v>
      </c>
      <c r="S1" s="11" t="s">
        <v>24</v>
      </c>
      <c r="T1" s="11" t="s">
        <v>25</v>
      </c>
      <c r="U1" s="11" t="s">
        <v>26</v>
      </c>
    </row>
    <row r="2" spans="1:21" x14ac:dyDescent="0.2">
      <c r="A2" s="31" t="s">
        <v>41</v>
      </c>
      <c r="B2" s="31" t="s">
        <v>42</v>
      </c>
      <c r="C2" s="31" t="s">
        <v>44</v>
      </c>
      <c r="D2" s="31" t="s">
        <v>60</v>
      </c>
      <c r="E2" s="31" t="s">
        <v>61</v>
      </c>
      <c r="F2" s="31" t="s">
        <v>62</v>
      </c>
      <c r="G2" s="31" t="s">
        <v>31</v>
      </c>
      <c r="H2" s="31" t="s">
        <v>27</v>
      </c>
      <c r="I2" s="31" t="s">
        <v>41</v>
      </c>
      <c r="J2" s="31" t="s">
        <v>42</v>
      </c>
      <c r="K2" s="37">
        <v>0.5</v>
      </c>
      <c r="L2" s="31" t="s">
        <v>43</v>
      </c>
      <c r="M2" s="31">
        <v>2016</v>
      </c>
      <c r="N2" s="31" t="s">
        <v>29</v>
      </c>
      <c r="O2" s="38" t="s">
        <v>29</v>
      </c>
      <c r="P2" s="31" t="s">
        <v>29</v>
      </c>
      <c r="Q2" s="38" t="s">
        <v>29</v>
      </c>
      <c r="R2" s="39">
        <v>100</v>
      </c>
      <c r="S2" s="37">
        <v>0.5</v>
      </c>
      <c r="T2" s="37">
        <v>0</v>
      </c>
      <c r="U2" s="37">
        <v>0</v>
      </c>
    </row>
    <row r="3" spans="1:21" x14ac:dyDescent="0.2">
      <c r="A3" s="31" t="s">
        <v>41</v>
      </c>
      <c r="B3" s="31" t="s">
        <v>42</v>
      </c>
      <c r="C3" s="31" t="s">
        <v>44</v>
      </c>
      <c r="D3" s="31" t="s">
        <v>47</v>
      </c>
      <c r="E3" s="31" t="s">
        <v>48</v>
      </c>
      <c r="F3" s="31" t="s">
        <v>39</v>
      </c>
      <c r="G3" s="31" t="s">
        <v>31</v>
      </c>
      <c r="H3" s="31" t="s">
        <v>27</v>
      </c>
      <c r="I3" s="31" t="s">
        <v>41</v>
      </c>
      <c r="J3" s="31" t="s">
        <v>42</v>
      </c>
      <c r="K3" s="37">
        <v>0.5</v>
      </c>
      <c r="L3" s="31" t="s">
        <v>43</v>
      </c>
      <c r="M3" s="31">
        <v>2016</v>
      </c>
      <c r="N3" s="31" t="s">
        <v>29</v>
      </c>
      <c r="O3" s="38" t="s">
        <v>29</v>
      </c>
      <c r="P3" s="31" t="s">
        <v>29</v>
      </c>
      <c r="Q3" s="38" t="s">
        <v>29</v>
      </c>
      <c r="R3" s="39">
        <v>100</v>
      </c>
      <c r="S3" s="37">
        <v>0.5</v>
      </c>
      <c r="T3" s="37">
        <v>0</v>
      </c>
      <c r="U3" s="37">
        <v>0</v>
      </c>
    </row>
    <row r="4" spans="1:21" x14ac:dyDescent="0.2">
      <c r="A4" s="31" t="s">
        <v>49</v>
      </c>
      <c r="B4" s="31" t="s">
        <v>50</v>
      </c>
      <c r="C4" s="31" t="s">
        <v>51</v>
      </c>
      <c r="D4" s="31" t="s">
        <v>52</v>
      </c>
      <c r="E4" s="31" t="s">
        <v>53</v>
      </c>
      <c r="F4" s="31" t="s">
        <v>38</v>
      </c>
      <c r="G4" s="31" t="s">
        <v>54</v>
      </c>
      <c r="H4" s="31" t="s">
        <v>27</v>
      </c>
      <c r="I4" s="31" t="s">
        <v>41</v>
      </c>
      <c r="J4" s="31" t="s">
        <v>42</v>
      </c>
      <c r="K4" s="37">
        <v>0.5</v>
      </c>
      <c r="L4" s="31" t="s">
        <v>43</v>
      </c>
      <c r="M4" s="31">
        <v>2016</v>
      </c>
      <c r="N4" s="31" t="s">
        <v>29</v>
      </c>
      <c r="O4" s="38" t="s">
        <v>29</v>
      </c>
      <c r="P4" s="31" t="s">
        <v>29</v>
      </c>
      <c r="Q4" s="38" t="s">
        <v>29</v>
      </c>
      <c r="R4" s="39">
        <v>100</v>
      </c>
      <c r="S4" s="37">
        <v>0.5</v>
      </c>
      <c r="T4" s="37">
        <v>0</v>
      </c>
      <c r="U4" s="37">
        <v>0</v>
      </c>
    </row>
    <row r="5" spans="1:21" x14ac:dyDescent="0.2">
      <c r="A5" s="31" t="s">
        <v>35</v>
      </c>
      <c r="B5" s="31" t="s">
        <v>36</v>
      </c>
      <c r="C5" s="31" t="s">
        <v>37</v>
      </c>
      <c r="D5" s="31" t="s">
        <v>63</v>
      </c>
      <c r="E5" s="31" t="s">
        <v>64</v>
      </c>
      <c r="F5" s="31" t="s">
        <v>65</v>
      </c>
      <c r="G5" s="31" t="s">
        <v>40</v>
      </c>
      <c r="H5" s="31" t="s">
        <v>27</v>
      </c>
      <c r="I5" s="31" t="s">
        <v>41</v>
      </c>
      <c r="J5" s="31" t="s">
        <v>42</v>
      </c>
      <c r="K5" s="37">
        <v>0.5</v>
      </c>
      <c r="L5" s="31" t="s">
        <v>43</v>
      </c>
      <c r="M5" s="31">
        <v>2016</v>
      </c>
      <c r="N5" s="31" t="s">
        <v>29</v>
      </c>
      <c r="O5" s="38" t="s">
        <v>29</v>
      </c>
      <c r="P5" s="31" t="s">
        <v>29</v>
      </c>
      <c r="Q5" s="38" t="s">
        <v>29</v>
      </c>
      <c r="R5" s="39">
        <v>100</v>
      </c>
      <c r="S5" s="37">
        <v>0.5</v>
      </c>
      <c r="T5" s="37">
        <v>0</v>
      </c>
      <c r="U5" s="37">
        <v>0</v>
      </c>
    </row>
    <row r="6" spans="1:21" x14ac:dyDescent="0.2">
      <c r="A6" s="31" t="s">
        <v>55</v>
      </c>
      <c r="B6" s="31" t="s">
        <v>56</v>
      </c>
      <c r="C6" s="31" t="s">
        <v>57</v>
      </c>
      <c r="D6" s="31" t="s">
        <v>58</v>
      </c>
      <c r="E6" s="31" t="s">
        <v>59</v>
      </c>
      <c r="F6" s="31" t="s">
        <v>34</v>
      </c>
      <c r="G6" s="31" t="s">
        <v>46</v>
      </c>
      <c r="H6" s="31" t="s">
        <v>27</v>
      </c>
      <c r="I6" s="31" t="s">
        <v>41</v>
      </c>
      <c r="J6" s="31" t="s">
        <v>42</v>
      </c>
      <c r="K6" s="37">
        <v>0.5</v>
      </c>
      <c r="L6" s="31" t="s">
        <v>43</v>
      </c>
      <c r="M6" s="31">
        <v>2016</v>
      </c>
      <c r="N6" s="31" t="s">
        <v>33</v>
      </c>
      <c r="O6" s="38" t="s">
        <v>28</v>
      </c>
      <c r="P6" s="31" t="s">
        <v>29</v>
      </c>
      <c r="Q6" s="38" t="s">
        <v>29</v>
      </c>
      <c r="R6" s="39">
        <v>50</v>
      </c>
      <c r="S6" s="37">
        <v>0.25</v>
      </c>
      <c r="T6" s="37">
        <v>0.25</v>
      </c>
      <c r="U6" s="37">
        <v>0</v>
      </c>
    </row>
    <row r="7" spans="1:21" ht="10.8" thickBot="1" x14ac:dyDescent="0.25">
      <c r="A7" s="32" t="s">
        <v>49</v>
      </c>
      <c r="B7" s="32" t="s">
        <v>50</v>
      </c>
      <c r="C7" s="32" t="s">
        <v>111</v>
      </c>
      <c r="D7" s="32" t="s">
        <v>112</v>
      </c>
      <c r="E7" s="32" t="s">
        <v>113</v>
      </c>
      <c r="F7" s="32" t="s">
        <v>114</v>
      </c>
      <c r="G7" s="32" t="s">
        <v>45</v>
      </c>
      <c r="H7" s="32" t="s">
        <v>30</v>
      </c>
      <c r="I7" s="32" t="s">
        <v>41</v>
      </c>
      <c r="J7" s="32" t="s">
        <v>42</v>
      </c>
      <c r="K7" s="40">
        <v>1</v>
      </c>
      <c r="L7" s="32" t="s">
        <v>43</v>
      </c>
      <c r="M7" s="32">
        <v>2019</v>
      </c>
      <c r="N7" s="32" t="s">
        <v>32</v>
      </c>
      <c r="O7" s="41" t="s">
        <v>115</v>
      </c>
      <c r="P7" s="32" t="s">
        <v>29</v>
      </c>
      <c r="Q7" s="41" t="s">
        <v>29</v>
      </c>
      <c r="R7" s="42">
        <v>80</v>
      </c>
      <c r="S7" s="43">
        <v>0.8</v>
      </c>
      <c r="T7" s="43">
        <v>0.2</v>
      </c>
      <c r="U7" s="43">
        <v>0</v>
      </c>
    </row>
    <row r="8" spans="1:21" ht="10.8" thickBot="1" x14ac:dyDescent="0.25">
      <c r="A8" s="33" t="s">
        <v>49</v>
      </c>
      <c r="B8" s="33" t="s">
        <v>50</v>
      </c>
      <c r="C8" s="33" t="s">
        <v>111</v>
      </c>
      <c r="D8" s="33" t="s">
        <v>121</v>
      </c>
      <c r="E8" s="33" t="s">
        <v>122</v>
      </c>
      <c r="F8" s="33" t="s">
        <v>123</v>
      </c>
      <c r="G8" s="34" t="s">
        <v>54</v>
      </c>
      <c r="H8" s="35" t="s">
        <v>27</v>
      </c>
      <c r="I8" s="35" t="s">
        <v>41</v>
      </c>
      <c r="J8" s="36" t="s">
        <v>42</v>
      </c>
      <c r="K8" s="44">
        <v>0.5</v>
      </c>
      <c r="L8" s="44" t="s">
        <v>43</v>
      </c>
      <c r="M8" s="31">
        <v>2020</v>
      </c>
      <c r="N8" s="31" t="s">
        <v>29</v>
      </c>
      <c r="O8" s="38" t="s">
        <v>29</v>
      </c>
      <c r="P8" s="31" t="s">
        <v>29</v>
      </c>
      <c r="Q8" s="38" t="s">
        <v>29</v>
      </c>
      <c r="R8" s="31">
        <v>100</v>
      </c>
      <c r="S8" s="31">
        <v>0.5</v>
      </c>
      <c r="T8" s="31">
        <v>0</v>
      </c>
      <c r="U8" s="31">
        <v>0</v>
      </c>
    </row>
    <row r="9" spans="1:21" ht="10.8" thickBot="1" x14ac:dyDescent="0.25">
      <c r="A9" s="33" t="s">
        <v>49</v>
      </c>
      <c r="B9" s="33" t="s">
        <v>50</v>
      </c>
      <c r="C9" s="33" t="s">
        <v>111</v>
      </c>
      <c r="D9" s="33" t="s">
        <v>124</v>
      </c>
      <c r="E9" s="33" t="s">
        <v>125</v>
      </c>
      <c r="F9" s="33" t="s">
        <v>126</v>
      </c>
      <c r="G9" s="34" t="s">
        <v>127</v>
      </c>
      <c r="H9" s="35" t="s">
        <v>30</v>
      </c>
      <c r="I9" s="35" t="s">
        <v>41</v>
      </c>
      <c r="J9" s="36" t="s">
        <v>42</v>
      </c>
      <c r="K9" s="44">
        <v>1</v>
      </c>
      <c r="L9" s="44" t="s">
        <v>43</v>
      </c>
      <c r="M9" s="31">
        <v>2020</v>
      </c>
      <c r="N9" s="31" t="s">
        <v>33</v>
      </c>
      <c r="O9" s="38" t="s">
        <v>28</v>
      </c>
      <c r="P9" s="31" t="s">
        <v>29</v>
      </c>
      <c r="Q9" s="38" t="s">
        <v>29</v>
      </c>
      <c r="R9" s="31">
        <v>50</v>
      </c>
      <c r="S9" s="31">
        <v>0.5</v>
      </c>
      <c r="T9" s="31">
        <v>0.5</v>
      </c>
      <c r="U9" s="31">
        <v>0</v>
      </c>
    </row>
    <row r="10" spans="1:21" ht="10.8" thickBot="1" x14ac:dyDescent="0.25">
      <c r="A10" s="33" t="s">
        <v>128</v>
      </c>
      <c r="B10" s="33" t="s">
        <v>129</v>
      </c>
      <c r="C10" s="33" t="s">
        <v>130</v>
      </c>
      <c r="D10" s="33" t="s">
        <v>131</v>
      </c>
      <c r="E10" s="33" t="s">
        <v>132</v>
      </c>
      <c r="F10" s="33" t="s">
        <v>133</v>
      </c>
      <c r="G10" s="34" t="s">
        <v>134</v>
      </c>
      <c r="H10" s="35" t="s">
        <v>27</v>
      </c>
      <c r="I10" s="35" t="s">
        <v>41</v>
      </c>
      <c r="J10" s="36" t="s">
        <v>42</v>
      </c>
      <c r="K10" s="44">
        <v>0.5</v>
      </c>
      <c r="L10" s="44" t="s">
        <v>43</v>
      </c>
      <c r="M10" s="31">
        <v>2020</v>
      </c>
      <c r="N10" s="31" t="s">
        <v>32</v>
      </c>
      <c r="O10" s="38" t="s">
        <v>115</v>
      </c>
      <c r="P10" s="31" t="s">
        <v>29</v>
      </c>
      <c r="Q10" s="38" t="s">
        <v>29</v>
      </c>
      <c r="R10" s="31">
        <v>80</v>
      </c>
      <c r="S10" s="31">
        <v>0.4</v>
      </c>
      <c r="T10" s="31">
        <v>0.1</v>
      </c>
      <c r="U10" s="31">
        <v>0</v>
      </c>
    </row>
    <row r="11" spans="1:2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14"/>
      <c r="Q11" s="15"/>
      <c r="R11" s="14"/>
      <c r="S11" s="16">
        <f>SUM(S2:S10)</f>
        <v>4.45</v>
      </c>
      <c r="T11" s="14"/>
      <c r="U11" s="14"/>
    </row>
  </sheetData>
  <autoFilter ref="A1:U10" xr:uid="{00000000-0009-0000-0000-000000000000}">
    <sortState xmlns:xlrd2="http://schemas.microsoft.com/office/spreadsheetml/2017/richdata2" ref="A2:U1903">
      <sortCondition ref="L2:L1903"/>
      <sortCondition ref="M2:M1903"/>
      <sortCondition ref="D2:D1903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9"/>
  <sheetViews>
    <sheetView zoomScaleNormal="100" workbookViewId="0">
      <selection activeCell="K1" sqref="K1"/>
    </sheetView>
  </sheetViews>
  <sheetFormatPr baseColWidth="10" defaultColWidth="11.44140625" defaultRowHeight="13.2" x14ac:dyDescent="0.25"/>
  <cols>
    <col min="1" max="1" width="10.88671875" style="21" bestFit="1" customWidth="1"/>
    <col min="2" max="2" width="34.88671875" style="21" bestFit="1" customWidth="1"/>
    <col min="3" max="3" width="17" style="21" bestFit="1" customWidth="1"/>
    <col min="4" max="9" width="3.33203125" style="21" bestFit="1" customWidth="1"/>
    <col min="10" max="10" width="13.109375" style="21" bestFit="1" customWidth="1"/>
    <col min="11" max="11" width="5.33203125" style="21" bestFit="1" customWidth="1"/>
    <col min="12" max="13" width="5.6640625" style="21" bestFit="1" customWidth="1"/>
    <col min="14" max="14" width="5.6640625" style="22" bestFit="1" customWidth="1"/>
    <col min="15" max="15" width="5.6640625" style="21" bestFit="1" customWidth="1"/>
    <col min="16" max="16" width="5.6640625" style="22" bestFit="1" customWidth="1"/>
    <col min="17" max="19" width="5.6640625" style="21" bestFit="1" customWidth="1"/>
    <col min="20" max="16384" width="11.44140625" style="21"/>
  </cols>
  <sheetData>
    <row r="1" spans="1:19" s="20" customFormat="1" ht="60" customHeight="1" x14ac:dyDescent="0.25">
      <c r="A1" s="23" t="s">
        <v>66</v>
      </c>
      <c r="B1" s="23" t="s">
        <v>67</v>
      </c>
      <c r="C1" s="23" t="s">
        <v>68</v>
      </c>
      <c r="D1" s="24">
        <v>2017</v>
      </c>
      <c r="E1" s="24">
        <v>2018</v>
      </c>
      <c r="F1" s="24">
        <v>2019</v>
      </c>
      <c r="G1" s="24">
        <v>2020</v>
      </c>
      <c r="H1" s="24">
        <v>2021</v>
      </c>
      <c r="I1" s="24">
        <v>2022</v>
      </c>
      <c r="J1" s="23" t="s">
        <v>69</v>
      </c>
      <c r="K1" s="46" t="s">
        <v>120</v>
      </c>
      <c r="L1" s="18" t="s">
        <v>70</v>
      </c>
      <c r="M1" s="18" t="s">
        <v>71</v>
      </c>
      <c r="N1" s="18" t="s">
        <v>72</v>
      </c>
      <c r="O1" s="18" t="s">
        <v>73</v>
      </c>
      <c r="P1" s="19" t="s">
        <v>74</v>
      </c>
      <c r="Q1" s="19" t="s">
        <v>75</v>
      </c>
      <c r="R1" s="19" t="s">
        <v>76</v>
      </c>
      <c r="S1" s="19" t="s">
        <v>77</v>
      </c>
    </row>
    <row r="2" spans="1:19" ht="14.4" x14ac:dyDescent="0.3">
      <c r="A2" s="25" t="s">
        <v>82</v>
      </c>
      <c r="B2" s="25" t="s">
        <v>83</v>
      </c>
      <c r="C2" s="25" t="s">
        <v>78</v>
      </c>
      <c r="D2" s="25"/>
      <c r="E2" s="25"/>
      <c r="F2" s="25"/>
      <c r="G2" s="25">
        <v>1</v>
      </c>
      <c r="H2" s="25"/>
      <c r="I2" s="25"/>
      <c r="J2" s="25">
        <v>1</v>
      </c>
      <c r="K2" s="25" t="s">
        <v>43</v>
      </c>
      <c r="L2" s="26">
        <v>0</v>
      </c>
      <c r="M2" s="26">
        <v>0</v>
      </c>
      <c r="N2" s="26" t="s">
        <v>29</v>
      </c>
      <c r="O2" s="26" t="s">
        <v>29</v>
      </c>
      <c r="P2" s="26">
        <v>100</v>
      </c>
      <c r="Q2" s="26">
        <v>0</v>
      </c>
      <c r="R2" s="26">
        <v>0</v>
      </c>
      <c r="S2" s="26">
        <v>1</v>
      </c>
    </row>
    <row r="3" spans="1:19" ht="14.4" x14ac:dyDescent="0.3">
      <c r="A3" s="25" t="s">
        <v>84</v>
      </c>
      <c r="B3" s="25" t="s">
        <v>85</v>
      </c>
      <c r="C3" s="25" t="s">
        <v>78</v>
      </c>
      <c r="D3" s="25"/>
      <c r="E3" s="25"/>
      <c r="F3" s="25">
        <v>1</v>
      </c>
      <c r="G3" s="25"/>
      <c r="H3" s="25"/>
      <c r="I3" s="25"/>
      <c r="J3" s="25">
        <v>1</v>
      </c>
      <c r="K3" s="25" t="s">
        <v>43</v>
      </c>
      <c r="L3" s="26" t="s">
        <v>33</v>
      </c>
      <c r="M3" s="26" t="s">
        <v>28</v>
      </c>
      <c r="N3" s="26" t="s">
        <v>29</v>
      </c>
      <c r="O3" s="26" t="s">
        <v>29</v>
      </c>
      <c r="P3" s="26">
        <v>50</v>
      </c>
      <c r="Q3" s="26">
        <v>0.5</v>
      </c>
      <c r="R3" s="26">
        <v>0</v>
      </c>
      <c r="S3" s="26">
        <v>0.5</v>
      </c>
    </row>
    <row r="4" spans="1:19" ht="14.4" x14ac:dyDescent="0.3">
      <c r="A4" s="25" t="s">
        <v>116</v>
      </c>
      <c r="B4" s="25" t="s">
        <v>117</v>
      </c>
      <c r="C4" s="25" t="s">
        <v>79</v>
      </c>
      <c r="D4" s="25"/>
      <c r="E4" s="25"/>
      <c r="F4" s="25"/>
      <c r="G4" s="25">
        <v>1</v>
      </c>
      <c r="H4" s="25"/>
      <c r="I4" s="25"/>
      <c r="J4" s="25">
        <v>1</v>
      </c>
      <c r="K4" s="25" t="s">
        <v>43</v>
      </c>
      <c r="L4" s="26">
        <v>0</v>
      </c>
      <c r="M4" s="26">
        <v>0</v>
      </c>
      <c r="N4" s="26" t="s">
        <v>29</v>
      </c>
      <c r="O4" s="26" t="s">
        <v>29</v>
      </c>
      <c r="P4" s="26">
        <v>100</v>
      </c>
      <c r="Q4" s="26">
        <v>0</v>
      </c>
      <c r="R4" s="26">
        <v>0</v>
      </c>
      <c r="S4" s="26">
        <v>1</v>
      </c>
    </row>
    <row r="5" spans="1:19" ht="14.4" x14ac:dyDescent="0.3">
      <c r="A5" s="25" t="s">
        <v>160</v>
      </c>
      <c r="B5" s="25" t="s">
        <v>161</v>
      </c>
      <c r="C5" s="25" t="s">
        <v>79</v>
      </c>
      <c r="D5" s="25"/>
      <c r="E5" s="25"/>
      <c r="F5" s="25"/>
      <c r="G5" s="25"/>
      <c r="H5" s="25"/>
      <c r="I5" s="25">
        <v>1</v>
      </c>
      <c r="J5" s="25">
        <v>1</v>
      </c>
      <c r="K5" s="25" t="s">
        <v>43</v>
      </c>
      <c r="L5" s="26" t="s">
        <v>32</v>
      </c>
      <c r="M5" s="26" t="s">
        <v>115</v>
      </c>
      <c r="N5" s="26" t="s">
        <v>29</v>
      </c>
      <c r="O5" s="26" t="s">
        <v>29</v>
      </c>
      <c r="P5" s="26">
        <v>80</v>
      </c>
      <c r="Q5" s="26">
        <v>0.2</v>
      </c>
      <c r="R5" s="26">
        <v>0</v>
      </c>
      <c r="S5" s="26">
        <v>0.8</v>
      </c>
    </row>
    <row r="6" spans="1:19" ht="14.4" x14ac:dyDescent="0.3">
      <c r="A6" s="25" t="s">
        <v>80</v>
      </c>
      <c r="B6" s="25" t="s">
        <v>81</v>
      </c>
      <c r="C6" s="25" t="s">
        <v>79</v>
      </c>
      <c r="D6" s="25"/>
      <c r="E6" s="25"/>
      <c r="F6" s="25"/>
      <c r="G6" s="25"/>
      <c r="H6" s="25">
        <v>1</v>
      </c>
      <c r="I6" s="25"/>
      <c r="J6" s="25">
        <v>1</v>
      </c>
      <c r="K6" s="25" t="s">
        <v>43</v>
      </c>
      <c r="L6" s="26">
        <v>0</v>
      </c>
      <c r="M6" s="26">
        <v>0</v>
      </c>
      <c r="N6" s="26" t="s">
        <v>29</v>
      </c>
      <c r="O6" s="26" t="s">
        <v>29</v>
      </c>
      <c r="P6" s="26">
        <v>100</v>
      </c>
      <c r="Q6" s="26">
        <v>0</v>
      </c>
      <c r="R6" s="26">
        <v>0</v>
      </c>
      <c r="S6" s="26">
        <v>1</v>
      </c>
    </row>
    <row r="7" spans="1:19" ht="14.4" x14ac:dyDescent="0.3">
      <c r="A7" s="25" t="s">
        <v>184</v>
      </c>
      <c r="B7" s="25" t="s">
        <v>185</v>
      </c>
      <c r="C7" s="25" t="s">
        <v>79</v>
      </c>
      <c r="D7" s="25"/>
      <c r="E7" s="25"/>
      <c r="F7" s="25"/>
      <c r="G7" s="25"/>
      <c r="H7" s="25"/>
      <c r="I7" s="25">
        <v>1</v>
      </c>
      <c r="J7" s="25">
        <v>1</v>
      </c>
      <c r="K7" s="25" t="s">
        <v>43</v>
      </c>
      <c r="L7" s="26" t="s">
        <v>32</v>
      </c>
      <c r="M7" s="26" t="s">
        <v>115</v>
      </c>
      <c r="N7" s="26" t="s">
        <v>29</v>
      </c>
      <c r="O7" s="26" t="s">
        <v>29</v>
      </c>
      <c r="P7" s="26">
        <v>80</v>
      </c>
      <c r="Q7" s="26">
        <v>0.2</v>
      </c>
      <c r="R7" s="26">
        <v>0</v>
      </c>
      <c r="S7" s="26">
        <v>0.8</v>
      </c>
    </row>
    <row r="8" spans="1:19" ht="14.4" x14ac:dyDescent="0.3">
      <c r="A8" s="25" t="s">
        <v>118</v>
      </c>
      <c r="B8" s="25" t="s">
        <v>119</v>
      </c>
      <c r="C8" s="25" t="s">
        <v>79</v>
      </c>
      <c r="D8" s="25"/>
      <c r="E8" s="25"/>
      <c r="F8" s="25"/>
      <c r="G8" s="25"/>
      <c r="H8" s="25"/>
      <c r="I8" s="25">
        <v>1</v>
      </c>
      <c r="J8" s="25">
        <v>1</v>
      </c>
      <c r="K8" s="25" t="s">
        <v>43</v>
      </c>
      <c r="L8" s="26">
        <v>0</v>
      </c>
      <c r="M8" s="26">
        <v>0</v>
      </c>
      <c r="N8" s="26" t="s">
        <v>29</v>
      </c>
      <c r="O8" s="26" t="s">
        <v>29</v>
      </c>
      <c r="P8" s="26">
        <v>100</v>
      </c>
      <c r="Q8" s="26">
        <v>0</v>
      </c>
      <c r="R8" s="26">
        <v>0</v>
      </c>
      <c r="S8" s="26">
        <v>1</v>
      </c>
    </row>
    <row r="9" spans="1:19" ht="14.4" x14ac:dyDescent="0.3">
      <c r="A9" s="27"/>
      <c r="B9" s="27"/>
      <c r="C9" s="28"/>
      <c r="D9" s="27"/>
      <c r="E9" s="27"/>
      <c r="F9" s="27"/>
      <c r="G9" s="27"/>
      <c r="H9" s="27"/>
      <c r="I9" s="27"/>
      <c r="J9" s="29"/>
      <c r="K9" s="30"/>
      <c r="L9" s="30"/>
      <c r="M9" s="30"/>
      <c r="N9" s="30"/>
      <c r="O9" s="30"/>
      <c r="P9" s="30"/>
      <c r="Q9" s="30"/>
      <c r="R9" s="30"/>
      <c r="S9" s="45">
        <f>SUM(S2:S8)</f>
        <v>6.1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zoomScaleNormal="100" workbookViewId="0">
      <selection activeCell="A34" sqref="A34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86</v>
      </c>
      <c r="B2" s="5"/>
    </row>
    <row r="3" spans="1:2" x14ac:dyDescent="0.2">
      <c r="A3" s="4" t="s">
        <v>87</v>
      </c>
      <c r="B3" s="5">
        <v>5000</v>
      </c>
    </row>
    <row r="4" spans="1:2" x14ac:dyDescent="0.2">
      <c r="A4" s="4" t="s">
        <v>88</v>
      </c>
      <c r="B4" s="5">
        <v>8000</v>
      </c>
    </row>
    <row r="5" spans="1:2" x14ac:dyDescent="0.2">
      <c r="A5" s="4" t="s">
        <v>4</v>
      </c>
      <c r="B5" s="5"/>
    </row>
    <row r="6" spans="1:2" x14ac:dyDescent="0.2">
      <c r="A6" s="4" t="s">
        <v>89</v>
      </c>
      <c r="B6" s="5">
        <v>740</v>
      </c>
    </row>
    <row r="7" spans="1:2" x14ac:dyDescent="0.2">
      <c r="A7" s="4" t="s">
        <v>5</v>
      </c>
      <c r="B7" s="5"/>
    </row>
    <row r="8" spans="1:2" x14ac:dyDescent="0.2">
      <c r="A8" s="4" t="s">
        <v>90</v>
      </c>
      <c r="B8" s="5">
        <v>60.25</v>
      </c>
    </row>
    <row r="9" spans="1:2" x14ac:dyDescent="0.2">
      <c r="A9" s="4" t="s">
        <v>91</v>
      </c>
      <c r="B9" s="5"/>
    </row>
    <row r="10" spans="1:2" x14ac:dyDescent="0.2">
      <c r="A10" s="4" t="s">
        <v>92</v>
      </c>
      <c r="B10" s="5">
        <v>5950</v>
      </c>
    </row>
    <row r="11" spans="1:2" x14ac:dyDescent="0.2">
      <c r="A11" s="4" t="s">
        <v>93</v>
      </c>
      <c r="B11" s="5"/>
    </row>
    <row r="12" spans="1:2" x14ac:dyDescent="0.2">
      <c r="A12" s="4" t="s">
        <v>94</v>
      </c>
      <c r="B12" s="5">
        <v>4000</v>
      </c>
    </row>
    <row r="13" spans="1:2" x14ac:dyDescent="0.2">
      <c r="A13" s="4" t="s">
        <v>95</v>
      </c>
      <c r="B13" s="5">
        <v>4000</v>
      </c>
    </row>
    <row r="14" spans="1:2" x14ac:dyDescent="0.2">
      <c r="A14" s="4" t="s">
        <v>96</v>
      </c>
      <c r="B14" s="5">
        <v>4000</v>
      </c>
    </row>
    <row r="15" spans="1:2" x14ac:dyDescent="0.2">
      <c r="A15" s="4" t="s">
        <v>97</v>
      </c>
      <c r="B15" s="5"/>
    </row>
    <row r="16" spans="1:2" x14ac:dyDescent="0.2">
      <c r="A16" s="4" t="s">
        <v>98</v>
      </c>
      <c r="B16" s="5">
        <v>2060</v>
      </c>
    </row>
    <row r="17" spans="1:2" x14ac:dyDescent="0.2">
      <c r="A17" s="4" t="s">
        <v>99</v>
      </c>
      <c r="B17" s="5"/>
    </row>
    <row r="18" spans="1:2" x14ac:dyDescent="0.2">
      <c r="A18" s="4" t="s">
        <v>100</v>
      </c>
      <c r="B18" s="5">
        <v>2708.99</v>
      </c>
    </row>
    <row r="19" spans="1:2" x14ac:dyDescent="0.2">
      <c r="A19" s="4" t="s">
        <v>101</v>
      </c>
      <c r="B19" s="5">
        <v>4870</v>
      </c>
    </row>
    <row r="20" spans="1:2" x14ac:dyDescent="0.2">
      <c r="A20" s="4" t="s">
        <v>102</v>
      </c>
      <c r="B20" s="5"/>
    </row>
    <row r="21" spans="1:2" x14ac:dyDescent="0.2">
      <c r="A21" s="4" t="s">
        <v>103</v>
      </c>
      <c r="B21" s="5">
        <v>9278</v>
      </c>
    </row>
    <row r="22" spans="1:2" x14ac:dyDescent="0.2">
      <c r="A22" s="4" t="s">
        <v>104</v>
      </c>
      <c r="B22" s="5"/>
    </row>
    <row r="23" spans="1:2" x14ac:dyDescent="0.2">
      <c r="A23" s="4" t="s">
        <v>105</v>
      </c>
      <c r="B23" s="5">
        <v>3000</v>
      </c>
    </row>
    <row r="24" spans="1:2" x14ac:dyDescent="0.2">
      <c r="A24" s="6" t="s">
        <v>2</v>
      </c>
      <c r="B24" s="7">
        <f>SUM(B3:B23)</f>
        <v>53667.24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FEE4-507F-465F-8DEF-642E90184F98}">
  <dimension ref="A1:B27"/>
  <sheetViews>
    <sheetView zoomScaleNormal="100" workbookViewId="0">
      <selection activeCell="D26" sqref="D26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135</v>
      </c>
      <c r="B2" s="5"/>
    </row>
    <row r="3" spans="1:2" x14ac:dyDescent="0.2">
      <c r="A3" s="4" t="s">
        <v>136</v>
      </c>
      <c r="B3" s="5">
        <v>3082.64</v>
      </c>
    </row>
    <row r="4" spans="1:2" x14ac:dyDescent="0.2">
      <c r="A4" s="4" t="s">
        <v>137</v>
      </c>
      <c r="B4" s="5"/>
    </row>
    <row r="5" spans="1:2" x14ac:dyDescent="0.2">
      <c r="A5" s="4" t="s">
        <v>138</v>
      </c>
      <c r="B5" s="5">
        <v>4351.6000000000004</v>
      </c>
    </row>
    <row r="6" spans="1:2" x14ac:dyDescent="0.2">
      <c r="A6" s="4" t="s">
        <v>139</v>
      </c>
      <c r="B6" s="5"/>
    </row>
    <row r="7" spans="1:2" x14ac:dyDescent="0.2">
      <c r="A7" s="4" t="s">
        <v>140</v>
      </c>
      <c r="B7" s="5">
        <v>2323.1999999999998</v>
      </c>
    </row>
    <row r="8" spans="1:2" x14ac:dyDescent="0.2">
      <c r="A8" s="4" t="s">
        <v>141</v>
      </c>
      <c r="B8" s="5"/>
    </row>
    <row r="9" spans="1:2" x14ac:dyDescent="0.2">
      <c r="A9" s="4" t="s">
        <v>142</v>
      </c>
      <c r="B9" s="5">
        <v>13196.48</v>
      </c>
    </row>
    <row r="10" spans="1:2" x14ac:dyDescent="0.2">
      <c r="A10" s="4" t="s">
        <v>143</v>
      </c>
      <c r="B10" s="5">
        <v>23093.84</v>
      </c>
    </row>
    <row r="11" spans="1:2" x14ac:dyDescent="0.2">
      <c r="A11" s="4" t="s">
        <v>99</v>
      </c>
      <c r="B11" s="5"/>
    </row>
    <row r="12" spans="1:2" x14ac:dyDescent="0.2">
      <c r="A12" s="4" t="s">
        <v>144</v>
      </c>
      <c r="B12" s="5">
        <v>1901.69</v>
      </c>
    </row>
    <row r="13" spans="1:2" x14ac:dyDescent="0.2">
      <c r="A13" s="4" t="s">
        <v>145</v>
      </c>
      <c r="B13" s="5"/>
    </row>
    <row r="14" spans="1:2" x14ac:dyDescent="0.2">
      <c r="A14" s="4" t="s">
        <v>146</v>
      </c>
      <c r="B14" s="5">
        <v>9878.23</v>
      </c>
    </row>
    <row r="15" spans="1:2" x14ac:dyDescent="0.2">
      <c r="A15" s="4" t="s">
        <v>147</v>
      </c>
      <c r="B15" s="5"/>
    </row>
    <row r="16" spans="1:2" x14ac:dyDescent="0.2">
      <c r="A16" s="4" t="s">
        <v>148</v>
      </c>
      <c r="B16" s="5">
        <v>2200</v>
      </c>
    </row>
    <row r="17" spans="1:2" x14ac:dyDescent="0.2">
      <c r="A17" s="4" t="s">
        <v>149</v>
      </c>
      <c r="B17" s="5"/>
    </row>
    <row r="18" spans="1:2" x14ac:dyDescent="0.2">
      <c r="A18" s="4" t="s">
        <v>150</v>
      </c>
      <c r="B18" s="5">
        <v>3282.4</v>
      </c>
    </row>
    <row r="19" spans="1:2" x14ac:dyDescent="0.2">
      <c r="A19" s="4" t="s">
        <v>151</v>
      </c>
      <c r="B19" s="5"/>
    </row>
    <row r="20" spans="1:2" x14ac:dyDescent="0.2">
      <c r="A20" s="4" t="s">
        <v>152</v>
      </c>
      <c r="B20" s="5">
        <v>5280</v>
      </c>
    </row>
    <row r="21" spans="1:2" x14ac:dyDescent="0.2">
      <c r="A21" s="4" t="s">
        <v>153</v>
      </c>
      <c r="B21" s="5"/>
    </row>
    <row r="22" spans="1:2" x14ac:dyDescent="0.2">
      <c r="A22" s="4" t="s">
        <v>154</v>
      </c>
      <c r="B22" s="5">
        <v>2464</v>
      </c>
    </row>
    <row r="23" spans="1:2" x14ac:dyDescent="0.2">
      <c r="A23" s="4" t="s">
        <v>155</v>
      </c>
      <c r="B23" s="5"/>
    </row>
    <row r="24" spans="1:2" x14ac:dyDescent="0.2">
      <c r="A24" s="4" t="s">
        <v>156</v>
      </c>
      <c r="B24" s="5">
        <v>7459.76</v>
      </c>
    </row>
    <row r="25" spans="1:2" x14ac:dyDescent="0.2">
      <c r="A25" s="4" t="s">
        <v>157</v>
      </c>
      <c r="B25" s="5"/>
    </row>
    <row r="26" spans="1:2" x14ac:dyDescent="0.2">
      <c r="A26" s="4" t="s">
        <v>158</v>
      </c>
      <c r="B26" s="5">
        <v>462</v>
      </c>
    </row>
    <row r="27" spans="1:2" x14ac:dyDescent="0.2">
      <c r="A27" s="6" t="s">
        <v>2</v>
      </c>
      <c r="B27" s="7">
        <f>SUM(B3:B26)</f>
        <v>78975.839999999982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6CDA-3F0B-4B4F-AC92-81D3C69812F2}">
  <dimension ref="A1:B28"/>
  <sheetViews>
    <sheetView zoomScaleNormal="100" workbookViewId="0">
      <selection activeCell="A34" sqref="A34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141</v>
      </c>
      <c r="B2" s="5"/>
    </row>
    <row r="3" spans="1:2" x14ac:dyDescent="0.2">
      <c r="A3" s="4" t="s">
        <v>162</v>
      </c>
      <c r="B3" s="5">
        <v>9897.36</v>
      </c>
    </row>
    <row r="4" spans="1:2" x14ac:dyDescent="0.2">
      <c r="A4" s="4" t="s">
        <v>163</v>
      </c>
      <c r="B4" s="5"/>
    </row>
    <row r="5" spans="1:2" x14ac:dyDescent="0.2">
      <c r="A5" s="4" t="s">
        <v>164</v>
      </c>
      <c r="B5" s="5">
        <v>3520</v>
      </c>
    </row>
    <row r="6" spans="1:2" x14ac:dyDescent="0.2">
      <c r="A6" s="4" t="s">
        <v>151</v>
      </c>
      <c r="B6" s="5"/>
    </row>
    <row r="7" spans="1:2" x14ac:dyDescent="0.2">
      <c r="A7" s="4" t="s">
        <v>165</v>
      </c>
      <c r="B7" s="5">
        <v>6160</v>
      </c>
    </row>
    <row r="8" spans="1:2" x14ac:dyDescent="0.2">
      <c r="A8" s="4" t="s">
        <v>166</v>
      </c>
      <c r="B8" s="5">
        <v>14080</v>
      </c>
    </row>
    <row r="9" spans="1:2" x14ac:dyDescent="0.2">
      <c r="A9" s="4" t="s">
        <v>167</v>
      </c>
      <c r="B9" s="5"/>
    </row>
    <row r="10" spans="1:2" x14ac:dyDescent="0.2">
      <c r="A10" s="4" t="s">
        <v>168</v>
      </c>
      <c r="B10" s="5">
        <v>880</v>
      </c>
    </row>
    <row r="11" spans="1:2" x14ac:dyDescent="0.2">
      <c r="A11" s="4" t="s">
        <v>169</v>
      </c>
      <c r="B11" s="5"/>
    </row>
    <row r="12" spans="1:2" x14ac:dyDescent="0.2">
      <c r="A12" s="4" t="s">
        <v>170</v>
      </c>
      <c r="B12" s="5">
        <v>9020</v>
      </c>
    </row>
    <row r="13" spans="1:2" x14ac:dyDescent="0.2">
      <c r="A13" s="4" t="s">
        <v>171</v>
      </c>
      <c r="B13" s="5"/>
    </row>
    <row r="14" spans="1:2" x14ac:dyDescent="0.2">
      <c r="A14" s="4" t="s">
        <v>172</v>
      </c>
      <c r="B14" s="5">
        <v>3272.25</v>
      </c>
    </row>
    <row r="15" spans="1:2" x14ac:dyDescent="0.2">
      <c r="A15" s="4" t="s">
        <v>173</v>
      </c>
      <c r="B15" s="5"/>
    </row>
    <row r="16" spans="1:2" x14ac:dyDescent="0.2">
      <c r="A16" s="4" t="s">
        <v>174</v>
      </c>
      <c r="B16" s="5">
        <v>7459.76</v>
      </c>
    </row>
    <row r="17" spans="1:2" x14ac:dyDescent="0.2">
      <c r="A17" s="4" t="s">
        <v>175</v>
      </c>
      <c r="B17" s="5"/>
    </row>
    <row r="18" spans="1:2" x14ac:dyDescent="0.2">
      <c r="A18" s="4" t="s">
        <v>176</v>
      </c>
      <c r="B18" s="5">
        <v>1980</v>
      </c>
    </row>
    <row r="19" spans="1:2" x14ac:dyDescent="0.2">
      <c r="A19" s="4" t="s">
        <v>177</v>
      </c>
      <c r="B19" s="5">
        <v>1980</v>
      </c>
    </row>
    <row r="20" spans="1:2" x14ac:dyDescent="0.2">
      <c r="A20" s="4" t="s">
        <v>178</v>
      </c>
      <c r="B20" s="5"/>
    </row>
    <row r="21" spans="1:2" x14ac:dyDescent="0.2">
      <c r="A21" s="4" t="s">
        <v>179</v>
      </c>
      <c r="B21" s="5">
        <v>2552</v>
      </c>
    </row>
    <row r="22" spans="1:2" x14ac:dyDescent="0.2">
      <c r="A22" s="4" t="s">
        <v>180</v>
      </c>
      <c r="B22" s="5"/>
    </row>
    <row r="23" spans="1:2" x14ac:dyDescent="0.2">
      <c r="A23" s="4" t="s">
        <v>181</v>
      </c>
      <c r="B23" s="5">
        <v>4840</v>
      </c>
    </row>
    <row r="24" spans="1:2" x14ac:dyDescent="0.2">
      <c r="A24" s="4" t="s">
        <v>182</v>
      </c>
      <c r="B24" s="5"/>
    </row>
    <row r="25" spans="1:2" x14ac:dyDescent="0.2">
      <c r="A25" s="4" t="s">
        <v>183</v>
      </c>
      <c r="B25" s="5">
        <v>220</v>
      </c>
    </row>
    <row r="26" spans="1:2" x14ac:dyDescent="0.2">
      <c r="A26" s="6" t="s">
        <v>2</v>
      </c>
      <c r="B26" s="7">
        <f>SUM(B3:B25)</f>
        <v>65861.37</v>
      </c>
    </row>
    <row r="28" spans="1:2" x14ac:dyDescent="0.2">
      <c r="A28" s="47" t="s">
        <v>186</v>
      </c>
      <c r="B28" s="7">
        <f>+B26+'Ingresos investigación 2020'!B27+'Ingresos investigación 2019'!B24</f>
        <v>198504.44999999995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zoomScaleNormal="100" workbookViewId="0">
      <selection activeCell="A8" sqref="A8:XFD8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106</v>
      </c>
      <c r="B3" s="5">
        <v>300</v>
      </c>
    </row>
    <row r="4" spans="1:2" x14ac:dyDescent="0.2">
      <c r="A4" s="4" t="s">
        <v>107</v>
      </c>
      <c r="B4" s="5">
        <v>300</v>
      </c>
    </row>
    <row r="5" spans="1:2" x14ac:dyDescent="0.2">
      <c r="A5" s="4" t="s">
        <v>108</v>
      </c>
      <c r="B5" s="5">
        <v>500</v>
      </c>
    </row>
    <row r="6" spans="1:2" x14ac:dyDescent="0.2">
      <c r="A6" s="4" t="s">
        <v>109</v>
      </c>
      <c r="B6" s="5">
        <v>6610</v>
      </c>
    </row>
    <row r="7" spans="1:2" x14ac:dyDescent="0.2">
      <c r="A7" s="4" t="s">
        <v>110</v>
      </c>
      <c r="B7" s="5">
        <v>5500</v>
      </c>
    </row>
    <row r="8" spans="1:2" x14ac:dyDescent="0.2">
      <c r="A8" s="6" t="s">
        <v>2</v>
      </c>
      <c r="B8" s="7">
        <f>SUM(B3:B7)</f>
        <v>13210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AD25-48E6-4CDF-8585-2E83237CDA12}">
  <dimension ref="A1:B8"/>
  <sheetViews>
    <sheetView zoomScaleNormal="100" workbookViewId="0">
      <selection activeCell="A3" sqref="A3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159</v>
      </c>
      <c r="B2" s="5"/>
    </row>
    <row r="3" spans="1:2" x14ac:dyDescent="0.2">
      <c r="A3" s="4"/>
      <c r="B3" s="5"/>
    </row>
    <row r="4" spans="1:2" x14ac:dyDescent="0.2">
      <c r="A4" s="4"/>
      <c r="B4" s="5"/>
    </row>
    <row r="5" spans="1:2" x14ac:dyDescent="0.2">
      <c r="A5" s="4"/>
      <c r="B5" s="5"/>
    </row>
    <row r="6" spans="1:2" x14ac:dyDescent="0.2">
      <c r="A6" s="4"/>
      <c r="B6" s="5"/>
    </row>
    <row r="7" spans="1:2" x14ac:dyDescent="0.2">
      <c r="A7" s="4"/>
      <c r="B7" s="5"/>
    </row>
    <row r="8" spans="1:2" x14ac:dyDescent="0.2">
      <c r="A8" s="6" t="s">
        <v>2</v>
      </c>
      <c r="B8" s="7">
        <f>SUM(B3:B7)</f>
        <v>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C7320-6084-4B70-AC9F-4DE2CE46D415}">
  <dimension ref="A1:B8"/>
  <sheetViews>
    <sheetView zoomScaleNormal="100" workbookViewId="0">
      <selection activeCell="A3" sqref="A3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159</v>
      </c>
      <c r="B2" s="5"/>
    </row>
    <row r="3" spans="1:2" x14ac:dyDescent="0.2">
      <c r="A3" s="4"/>
      <c r="B3" s="5"/>
    </row>
    <row r="4" spans="1:2" x14ac:dyDescent="0.2">
      <c r="A4" s="4"/>
      <c r="B4" s="5"/>
    </row>
    <row r="5" spans="1:2" x14ac:dyDescent="0.2">
      <c r="A5" s="4"/>
      <c r="B5" s="5"/>
    </row>
    <row r="6" spans="1:2" x14ac:dyDescent="0.2">
      <c r="A6" s="4"/>
      <c r="B6" s="5"/>
    </row>
    <row r="7" spans="1:2" x14ac:dyDescent="0.2">
      <c r="A7" s="4"/>
      <c r="B7" s="5"/>
    </row>
    <row r="8" spans="1:2" x14ac:dyDescent="0.2">
      <c r="A8" s="6" t="s">
        <v>2</v>
      </c>
      <c r="B8" s="7">
        <f>SUM(B3:B7)</f>
        <v>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2022-10-18T10:06:19Z</dcterms:modified>
</cp:coreProperties>
</file>