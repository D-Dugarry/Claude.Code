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Mi unidad\Presupuestación\Presupuesto 2023\Departamentos\Departamentos\"/>
    </mc:Choice>
  </mc:AlternateContent>
  <xr:revisionPtr revIDLastSave="0" documentId="13_ncr:1_{2818D6E2-A97D-495A-AB32-701B453735FF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Tesis" sheetId="2" r:id="rId1"/>
    <sheet name="Sexenios" sheetId="3" r:id="rId2"/>
    <sheet name="Ingresos investigación 2019" sheetId="6" r:id="rId3"/>
    <sheet name="Ingresos investigación 2020" sheetId="7" r:id="rId4"/>
    <sheet name="Ingresos investigación 2021" sheetId="8" r:id="rId5"/>
  </sheets>
  <definedNames>
    <definedName name="_xlnm._FilterDatabase" localSheetId="1" hidden="1">Sexenios!$A$1:$S$24</definedName>
    <definedName name="_xlnm._FilterDatabase" localSheetId="0" hidden="1">Tesis!$A$1:$U$1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6" i="3" l="1"/>
  <c r="S43" i="2" l="1"/>
  <c r="B12" i="7" l="1"/>
  <c r="B18" i="6" l="1"/>
  <c r="D12" i="8" s="1"/>
</calcChain>
</file>

<file path=xl/sharedStrings.xml><?xml version="1.0" encoding="utf-8"?>
<sst xmlns="http://schemas.openxmlformats.org/spreadsheetml/2006/main" count="899" uniqueCount="252">
  <si>
    <t>Orgánica
Descripción justificante</t>
  </si>
  <si>
    <t>Importe</t>
  </si>
  <si>
    <t>Total</t>
  </si>
  <si>
    <t>35.00.6C.00.02</t>
  </si>
  <si>
    <t>35.00.6C.00.05</t>
  </si>
  <si>
    <t>35.00.6C.00.08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</si>
  <si>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</si>
  <si>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</si>
  <si>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</si>
  <si>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</si>
  <si>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</si>
  <si>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</si>
  <si>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</si>
  <si>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</si>
  <si>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</si>
  <si>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</si>
  <si>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</si>
  <si>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</si>
  <si>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</si>
  <si>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</si>
  <si>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</si>
  <si>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</si>
  <si>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</si>
  <si>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</si>
  <si>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</si>
  <si>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</si>
  <si>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</si>
  <si>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</si>
  <si>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>50</t>
  </si>
  <si>
    <t/>
  </si>
  <si>
    <t>Director de tesis </t>
  </si>
  <si>
    <t>10</t>
  </si>
  <si>
    <t>90</t>
  </si>
  <si>
    <t>28/09/2018 </t>
  </si>
  <si>
    <t>10.05</t>
  </si>
  <si>
    <t>03/07/2017 </t>
  </si>
  <si>
    <t>23/09/2019 </t>
  </si>
  <si>
    <t>15</t>
  </si>
  <si>
    <t>80</t>
  </si>
  <si>
    <t>75</t>
  </si>
  <si>
    <t>14/07/2017 </t>
  </si>
  <si>
    <t>U020 </t>
  </si>
  <si>
    <t>ADM. I.U. DEL AGUA Y DE LAS CIENCIAS AMBIENTALES </t>
  </si>
  <si>
    <t>DOCTORADO EN AGUA Y DESARROLLO SOSTENIBLE </t>
  </si>
  <si>
    <t>40</t>
  </si>
  <si>
    <t>20/12/2018 </t>
  </si>
  <si>
    <t>13/07/2017 </t>
  </si>
  <si>
    <t>28/06/2018 </t>
  </si>
  <si>
    <t>18/12/2017 </t>
  </si>
  <si>
    <t>14/12/2018 </t>
  </si>
  <si>
    <t>REPERCUSIONES SOCIOECONÓMICAS DE LA GESTIÓN INTEGRAL DE AGUAS URBANAS: CASO DE LA CIUDAD DE TEGUCIGALPA, HONDURAS </t>
  </si>
  <si>
    <t>Peña Guzmán, Carlos Andrés </t>
  </si>
  <si>
    <t>29/06/2017 </t>
  </si>
  <si>
    <t>"ESTUDIO DE LA INFLUENCIA DE VARIABLES DE SÍNTESIS DE SBA-15 EN SUS PROPIEDADES Y SU EFECTIVIDAD COMO CATALIZADOR PARA REDUCIR LA TOXICIDAD DEL HUMO DEL TABACO. ESCALADO DEL PROCESO DE FABRICACIÓN" </t>
  </si>
  <si>
    <t>26/11/2018 </t>
  </si>
  <si>
    <t>U040 </t>
  </si>
  <si>
    <t>ADM. I.U. DE INGENIERÍA DE LOS PROCESOS QUÍMICOS </t>
  </si>
  <si>
    <t>DOCTORADO EN INGENIERÍA QUÍMICA </t>
  </si>
  <si>
    <t>21401194Q </t>
  </si>
  <si>
    <t>B151 </t>
  </si>
  <si>
    <t>INGENIERÍA QUÍMICA </t>
  </si>
  <si>
    <t>B151</t>
  </si>
  <si>
    <t>10.09</t>
  </si>
  <si>
    <t>22006135B </t>
  </si>
  <si>
    <t>21511293Z </t>
  </si>
  <si>
    <t>21477495A </t>
  </si>
  <si>
    <t>48352073R </t>
  </si>
  <si>
    <t>19439134V </t>
  </si>
  <si>
    <t>21462400L </t>
  </si>
  <si>
    <t>21470517V </t>
  </si>
  <si>
    <t>Benavente Domenech, Verónica </t>
  </si>
  <si>
    <t>LOW TEMPERATURE UPGRADING OF MOIST AGROINDUSTRIAL WASTES FOR SUBSEQUENT ENERGY USES </t>
  </si>
  <si>
    <t>73768475T </t>
  </si>
  <si>
    <t>Calderón Roca, Blanca </t>
  </si>
  <si>
    <t>APLICATION OF IRON-BASED NANOSTRUCTURES TO CONTAMINAT REMEDIATION </t>
  </si>
  <si>
    <t>Garrido López, María De Los Ángeles </t>
  </si>
  <si>
    <t>DESCOMPOSICIÓN TÉRMICA Y BRIQUETADO DE RESIDUOS DE ESPUMAS DE POLIURETANO </t>
  </si>
  <si>
    <t>24/03/2017 </t>
  </si>
  <si>
    <t>Juárez Galán, Juan Manuel </t>
  </si>
  <si>
    <t>DISEÑO Y DESARROLLO DE UN SISTEMA AUTOMÁTICO DE TOMA DE MUESTRAS AMBIENTALES DE GASES Y OLORES MEDIANTE CONDENSACIÓN CRIOGÉNICA </t>
  </si>
  <si>
    <t>15/05/2017 </t>
  </si>
  <si>
    <t>López Ortiz, Carmen María </t>
  </si>
  <si>
    <t>PRESENCIA DE CONTAMINANTES ORGÁNICOS EMERGENTES EN AGUAS SUPERFICIALES Y SUBTERRÁNEAS. TRANSPORTE EN COLUMNA Y PROCESOS DE ELIMINACIÓN MEDIANTE NANOFILTRACIÓN E INTERCAMBIO IÓNICO </t>
  </si>
  <si>
    <t>05/06/2017 </t>
  </si>
  <si>
    <t>21407034Z </t>
  </si>
  <si>
    <t>45</t>
  </si>
  <si>
    <t>21943946Z </t>
  </si>
  <si>
    <t>Ramos Fernández, Gloria </t>
  </si>
  <si>
    <t>EFECTO DE LA QUÍMICA SUPERFICIAL DEL ÓXIDO DE GRAFENO EN EL DESARROLLO DE APLICACIONES </t>
  </si>
  <si>
    <t>Zarzo Martínez, Domingo </t>
  </si>
  <si>
    <t>PROBLEMÁTICA Y SOLUCIONES PARA LA GESTIÓ Y TRATAMIENTO DE SALMUERAS PROCEDENTES DE DESALADORAS </t>
  </si>
  <si>
    <t>13/09/2017 </t>
  </si>
  <si>
    <t>León Bernáldez, María Milagros </t>
  </si>
  <si>
    <t>APROVECHAMIENTO ENERGÉTICO DE SUBPRODUCTOS DE ORIGEN ANIMAL MEDIANTE LICUEFACCIÓN HIDROTÉRMICA. ANÁLISIS DE CICLO DE VIDA </t>
  </si>
  <si>
    <t>Quirante Arenas, Natalia </t>
  </si>
  <si>
    <t>"RIGOROUS DESIGN OF CHEMICAL PROCESSES: SURROGATE MODELS AND SUSTAINABLE INTEGRATION" </t>
  </si>
  <si>
    <t>Vásquez Rodríguez, Edgardo David </t>
  </si>
  <si>
    <t>"ELIMINACIÓN DE MICROCONTAMINANTES ORGÁNICOS PRESENTES EN AGUAS RESIDUALES URBANAS MEDIANTE MBR COMBINADO CON OXIDACIÓN AVANZADA Y CON FILTRACIÓN POR MEMBRANAS" </t>
  </si>
  <si>
    <t>Carrero Parreño, Alba </t>
  </si>
  <si>
    <t>MODELING AND OPTIMIZATION OF SHALE GAS WATER MANAGEMENT SYSTEMS </t>
  </si>
  <si>
    <t>21488087S </t>
  </si>
  <si>
    <t>Iñiguez Cantos, María Esperanza </t>
  </si>
  <si>
    <t>ESTUDIO DE LA CONTAMINACIÓN MARINA POR PLÁSTICOS Y EVALUACIÓN DE CONTAMINANTES DERIVADOS DE SU TRATAMIENTO </t>
  </si>
  <si>
    <t>01/04/2019 </t>
  </si>
  <si>
    <t>Juárez Serrano, Nerea </t>
  </si>
  <si>
    <t>22003811X </t>
  </si>
  <si>
    <t>Medrano García, Juan Diego </t>
  </si>
  <si>
    <t>GLOBAL WARMING POTENTIAL REDUCTION BY CARBON DIOXIDE UTILIZATION IN THE PRODUCTION OF SYNTHESIS GAS AND ITS DERIVATIVES </t>
  </si>
  <si>
    <t>16/09/2019 </t>
  </si>
  <si>
    <t>Mendes Predolin, Lyvia </t>
  </si>
  <si>
    <t>TRATAMIENTO DE AGUAS RESIDUALES MEDIANTE ELECTROCOAGULACIÓN ACOPLADA A UN MBR PARA MINIMIZAR EL ENSUCIAMIENTO DE LA MEMBRANA Y OBTENER EFLUENTES DE ALTA CALIDAD </t>
  </si>
  <si>
    <t>08/02/2019 </t>
  </si>
  <si>
    <t>Moya Llamas, María José </t>
  </si>
  <si>
    <t>EFECTO DE LA CARGA ORGÁNICA EN LA ELIMINACIÓN DE MICROCONTAMINANTES, MATERIA ORGÁNICA Y NUTRIENTES EN UN SISTEMA UASB-MBR ESCALA PILOTO PARA EL TRATAMIENTO DE AGUAS RESIDUALES DE TIPO URBANO </t>
  </si>
  <si>
    <t>Soler Guillén, Aurora </t>
  </si>
  <si>
    <t>REDUCCIÓN DE CONTAMINANTES EN LA DESCOMPOSICIÓN TÉRMICA DE RESIDUOS DE APARATOS ELÉCTRICOS Y ELECTRÓNICOS </t>
  </si>
  <si>
    <t>48356166T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</si>
  <si>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</si>
  <si>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</si>
  <si>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</si>
  <si>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</si>
  <si>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</si>
  <si>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</si>
  <si>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</si>
  <si>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</si>
  <si>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</si>
  <si>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</si>
  <si>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</si>
  <si>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</si>
  <si>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</si>
  <si>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48352073R</t>
  </si>
  <si>
    <t>ARACIL SAEZ, IGNACIO</t>
  </si>
  <si>
    <t>21474957H</t>
  </si>
  <si>
    <t>ASENSI STEEGMANN, JUAN CARLOS</t>
  </si>
  <si>
    <t>22003811X</t>
  </si>
  <si>
    <t>BELTRAN RICO, MARIA ISABEL</t>
  </si>
  <si>
    <t>21455103J</t>
  </si>
  <si>
    <t>BOLUDA BOTELLA, NURIA</t>
  </si>
  <si>
    <t>21477495A</t>
  </si>
  <si>
    <t>CABALLERO SUAREZ, JOSE ANTONIO</t>
  </si>
  <si>
    <t>21444613B</t>
  </si>
  <si>
    <t>CARRATALA GIMENEZ, ADORACION ASUNCION</t>
  </si>
  <si>
    <t>22006135B</t>
  </si>
  <si>
    <t>CONESA FERRER, JUAN ANTONIO</t>
  </si>
  <si>
    <t>21482281M</t>
  </si>
  <si>
    <t>FERNANDEZ TORRES, M. JOSE</t>
  </si>
  <si>
    <t>48344784A</t>
  </si>
  <si>
    <t>FONT ESCAMILLA, ALICIA</t>
  </si>
  <si>
    <t>73768475T</t>
  </si>
  <si>
    <t>FULLANA FONT, ANDRES</t>
  </si>
  <si>
    <t>21470517V</t>
  </si>
  <si>
    <t>GARCIA CORTES, ANGELA NURIA</t>
  </si>
  <si>
    <t>21494722A</t>
  </si>
  <si>
    <t>GARCIA QUESADA, JUAN CARLOS</t>
  </si>
  <si>
    <t>21420512Z</t>
  </si>
  <si>
    <t>GOMEZ SIURANA, MARIA DE LOS DESAMPARADOS</t>
  </si>
  <si>
    <t>21399719J</t>
  </si>
  <si>
    <t>GOMIS YAGUES, VICENTE R.</t>
  </si>
  <si>
    <t>21488087S</t>
  </si>
  <si>
    <t>LABARTA REYES, JUAN ANTONIO</t>
  </si>
  <si>
    <t>21401194Q</t>
  </si>
  <si>
    <t>MARCILLA GOMIS, ANTONIO FRANCISCO</t>
  </si>
  <si>
    <t>21462400L</t>
  </si>
  <si>
    <t>MARTIN GULLON, IGNACIO</t>
  </si>
  <si>
    <t>21513988H</t>
  </si>
  <si>
    <t>MOLTO BERENGUER, JULIA</t>
  </si>
  <si>
    <t>21489023P</t>
  </si>
  <si>
    <t>OLAYA LOPEZ, MARIA DEL MAR</t>
  </si>
  <si>
    <t>21511293Z</t>
  </si>
  <si>
    <t>RUIZ FEMENIA, JOSE RUBEN</t>
  </si>
  <si>
    <t>21510779Y</t>
  </si>
  <si>
    <t>SALCEDO DIAZ, RAQUEL</t>
  </si>
  <si>
    <t>21496269D</t>
  </si>
  <si>
    <t>SAQUETE FERRANDIZ, MARIA DOLORES</t>
  </si>
  <si>
    <t>Pago mínimo regalías por transferencia de tecnología (Ref. contrato: APPLYNANO (EBT)1-15O</t>
  </si>
  <si>
    <t>FRX</t>
  </si>
  <si>
    <t>FRX, Perlado, Pérdidas peso. Foto micro FRX. Preparación muestras y elaboración de resultados</t>
  </si>
  <si>
    <t>Preparación de muestras y análisis de resultados</t>
  </si>
  <si>
    <t>SEGUNDO PAGO DEL CONTRATO DE INVESTIGACIÓN Y DESARROLLO TITULADO "INVESTIGACIÓN Y DESARROLLO EN MÉTODOS DE PRODUCCIÓN DE GRAFENO Y DERIVADOS" AL FINALIZAR LA ANUALIDAD 2018 Y CONTRA ENTREGA DEL INFORME FINAL A LA EMPRESA</t>
  </si>
  <si>
    <t>35.00.6C.00.12</t>
  </si>
  <si>
    <t>Análisis de muestras</t>
  </si>
  <si>
    <t>FRX, perlado y pérdidas de peso de muestras</t>
  </si>
  <si>
    <t>35.00.6M.00.01</t>
  </si>
  <si>
    <t>Reintegro de cuota patronal por IT del mes de mayo</t>
  </si>
  <si>
    <t>Reintegro de Cuota patronal por IT. Mes de junio 2019</t>
  </si>
  <si>
    <t>35.00.6P.00.04</t>
  </si>
  <si>
    <t>Reintegro de Cuota Patronal del mes de diciembre 2019</t>
  </si>
  <si>
    <t>Bernal Romero del Hombre Bueno, María de los Ángeles </t>
  </si>
  <si>
    <t>Reducción de microcontaminantes mediante procesos biológicos, tratamiento con membranas y carbón activado </t>
  </si>
  <si>
    <t>27/05/2020 </t>
  </si>
  <si>
    <t>21455103J </t>
  </si>
  <si>
    <t>Horodytska , Oksana </t>
  </si>
  <si>
    <t>PLASTICS RECYCLING: NEW CHALLENGES IN THE AGE OF THE CIRCULAR ECONOMY </t>
  </si>
  <si>
    <t>15/09/2020 </t>
  </si>
  <si>
    <t>COD DEP</t>
  </si>
  <si>
    <t>65</t>
  </si>
  <si>
    <t>20</t>
  </si>
  <si>
    <t>48317347M</t>
  </si>
  <si>
    <t>GOMEZ-RICO NUÑEZ DE ARENAS, MARIA FRANCISCA</t>
  </si>
  <si>
    <t>55</t>
  </si>
  <si>
    <t>Asensio Morant, Javier </t>
  </si>
  <si>
    <t>PIRÓLISIS TÉRMICA Y CATALÍTICA DE LA NICOTINA Y NNK Y NNN, DOS NITROSAMINAS ESPECÍFICAS DEL TABACO </t>
  </si>
  <si>
    <t>04/12/2020 </t>
  </si>
  <si>
    <t>Vázquez Vázquez, Daniel </t>
  </si>
  <si>
    <t>Integrating and modeling multiple objectives in the design of chemical and industrial processes. </t>
  </si>
  <si>
    <t>23/10/2020 </t>
  </si>
  <si>
    <t>Jódar Abellán, Antonio </t>
  </si>
  <si>
    <t>Hydrological impacts of global change. Adaptation alternatives in complex water systems with water resources scarcity and severe natural risks (southeast of Spain) </t>
  </si>
  <si>
    <t>09/07/2021 </t>
  </si>
  <si>
    <t>Tratamiento de aguas residuales mediante UASB + eMBR para eliminación de productos farmacéuticos en aguas residuales urbanas </t>
  </si>
  <si>
    <t>15/09/2021 </t>
  </si>
  <si>
    <t>Domene López, Daniel </t>
  </si>
  <si>
    <t>ALMIDÓN TERMOPLÁSTICO PARA EL DISEÑO DE APLICACIONES MEDIOAMBIENTALES SOSTENIBLES </t>
  </si>
  <si>
    <t>21/12/2020 </t>
  </si>
  <si>
    <t>21494722A </t>
  </si>
  <si>
    <t>Pago mínimo regalías por transferencia de tecnología 2019 (Ref. contrato: APPLYNANO(EBT)1-15O)</t>
  </si>
  <si>
    <t>FRX; Pérdida de peso; Perlado; Preparación de muestras y tratamiento de resultados.</t>
  </si>
  <si>
    <t>35.00.6C.00.13</t>
  </si>
  <si>
    <t>Treatment for deodorization and removal of VOCs with steam stripping of 4 samples of 400 g provided by Braskem PO number 4502665695</t>
  </si>
  <si>
    <t>35.00.6C.00.14</t>
  </si>
  <si>
    <t>Análisis muestras</t>
  </si>
  <si>
    <t>Unidad</t>
  </si>
  <si>
    <t>Cód. org. aplic.</t>
  </si>
  <si>
    <t>Descripción justificante</t>
  </si>
  <si>
    <t>35.00</t>
  </si>
  <si>
    <t>Pago mínimo de regalias por transferencia tecnología 2020</t>
  </si>
  <si>
    <t>35.00.6C.00.15</t>
  </si>
  <si>
    <t>Ref. pdo. 6043146 Evaluación del proyecto de I+D+i CESPEDFREE (Anualidad 2019)  Experto Técnico: María Isabel Beltrán Rico</t>
  </si>
  <si>
    <t>35.00.6C.00.16</t>
  </si>
  <si>
    <t>Análisis de la base lubricante de referencia y la base lubricante contaminada con filamentos. Nº orden de compra: 4500007420</t>
  </si>
  <si>
    <t>35.00.6C.00.18</t>
  </si>
  <si>
    <t>Pago a la firma del contrato "Determinación de procedimiento de huella de materiales poliméricos"</t>
  </si>
  <si>
    <t>Pago tras la recepción de informe de resultados del contrato "Determinación de procedimiento de huella de materiales poliméricos"</t>
  </si>
  <si>
    <t>35.00.6C.00.19</t>
  </si>
  <si>
    <t>Estudio de turbidez en 150N, que incluye análisis por termogravimetría y EGA y cromatografía de gases masas de 7 muestras. Nº orden de compra: 4500008138</t>
  </si>
  <si>
    <t>35.00.6C.00.21</t>
  </si>
  <si>
    <t>Análisis del proceso en planta piloto de la empresa de extracción de cromo de recortes de curtición. Balances de materia</t>
  </si>
  <si>
    <t>21510814Y </t>
  </si>
  <si>
    <t>MORA CABRERA, KAREN VIVIANA </t>
  </si>
  <si>
    <t>Londoño Larrea, Pablo Andrés </t>
  </si>
  <si>
    <t>Obtención y caracterización del biocarbón de cáscara de cacao y su aplicación como enmienda al suelo </t>
  </si>
  <si>
    <t>25/05/2022 </t>
  </si>
  <si>
    <t>Aldeguer Esquerdo, Alejandro </t>
  </si>
  <si>
    <t>Tratamientos combinados mediante carbón activado y ozono para reducir la presencia de atrazina, simazina, carbamazepina y diclofenaco en medio acuoso. </t>
  </si>
  <si>
    <t>27/05/2022 </t>
  </si>
  <si>
    <t>Calabuig Belda, Emilio </t>
  </si>
  <si>
    <t>"Pirólisis y descomposición del tabaco, efectos del uso catalizadores mesoporosos SBA-15" </t>
  </si>
  <si>
    <t>17/12/2021 </t>
  </si>
  <si>
    <t>48356166T</t>
  </si>
  <si>
    <t>ORTUÑO GARCIA, NURIA</t>
  </si>
  <si>
    <t>NO FUNCIONARIO</t>
  </si>
  <si>
    <t>Total ingresos investigación 2019-2020-2021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</si>
</sst>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5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8"/>
      <color rgb="FF000000"/>
      <name val="Arial"/>
      <family val="2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ck">
        <color theme="0"/>
      </top>
      <bottom/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6" fillId="0" borderId="0"/>
    <xf numFmtId="0" fontId="6" fillId="0" borderId="0"/>
    <xf numFmtId="0" fontId="7" fillId="0" borderId="0"/>
    <xf numFmtId="0" fontId="1" fillId="0" borderId="0"/>
  </cellStyleXfs>
  <cellXfs count="6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4" fontId="1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0" fontId="4" fillId="3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5" fillId="3" borderId="1" xfId="2" applyFont="1" applyFill="1" applyBorder="1" applyAlignment="1">
      <alignment horizontal="center"/>
    </xf>
    <xf numFmtId="0" fontId="5" fillId="3" borderId="1" xfId="3" applyFont="1" applyFill="1" applyBorder="1" applyAlignment="1">
      <alignment horizontal="center" wrapText="1"/>
    </xf>
    <xf numFmtId="0" fontId="5" fillId="3" borderId="1" xfId="3" applyFont="1" applyFill="1" applyBorder="1" applyAlignment="1">
      <alignment horizontal="right" wrapText="1"/>
    </xf>
    <xf numFmtId="0" fontId="3" fillId="4" borderId="0" xfId="1" applyFont="1" applyFill="1" applyAlignment="1"/>
    <xf numFmtId="0" fontId="3" fillId="4" borderId="0" xfId="1" applyFont="1" applyFill="1" applyAlignment="1">
      <alignment horizontal="right"/>
    </xf>
    <xf numFmtId="0" fontId="9" fillId="5" borderId="1" xfId="3" applyFont="1" applyFill="1" applyBorder="1" applyAlignment="1">
      <alignment horizontal="center" textRotation="90" wrapText="1"/>
    </xf>
    <xf numFmtId="0" fontId="9" fillId="3" borderId="1" xfId="3" applyFont="1" applyFill="1" applyBorder="1" applyAlignment="1">
      <alignment horizontal="center" textRotation="90" wrapText="1"/>
    </xf>
    <xf numFmtId="0" fontId="6" fillId="0" borderId="0" xfId="5" applyFont="1"/>
    <xf numFmtId="0" fontId="10" fillId="0" borderId="0" xfId="5" applyFont="1"/>
    <xf numFmtId="0" fontId="10" fillId="0" borderId="0" xfId="5" applyFont="1" applyAlignment="1">
      <alignment horizontal="right"/>
    </xf>
    <xf numFmtId="0" fontId="8" fillId="2" borderId="1" xfId="0" applyFont="1" applyFill="1" applyBorder="1"/>
    <xf numFmtId="0" fontId="8" fillId="2" borderId="1" xfId="0" applyFont="1" applyFill="1" applyBorder="1" applyAlignment="1">
      <alignment textRotation="90"/>
    </xf>
    <xf numFmtId="0" fontId="9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4" borderId="1" xfId="1" applyFill="1" applyBorder="1"/>
    <xf numFmtId="0" fontId="3" fillId="4" borderId="1" xfId="1" applyFill="1" applyBorder="1" applyAlignment="1">
      <alignment horizontal="right"/>
    </xf>
    <xf numFmtId="1" fontId="3" fillId="4" borderId="1" xfId="1" applyNumberFormat="1" applyFill="1" applyBorder="1"/>
    <xf numFmtId="164" fontId="3" fillId="4" borderId="1" xfId="1" applyNumberFormat="1" applyFill="1" applyBorder="1"/>
    <xf numFmtId="0" fontId="3" fillId="4" borderId="2" xfId="1" applyFill="1" applyBorder="1"/>
    <xf numFmtId="0" fontId="3" fillId="4" borderId="2" xfId="1" applyFill="1" applyBorder="1" applyAlignment="1">
      <alignment horizontal="right"/>
    </xf>
    <xf numFmtId="1" fontId="3" fillId="4" borderId="2" xfId="1" applyNumberFormat="1" applyFill="1" applyBorder="1"/>
    <xf numFmtId="164" fontId="3" fillId="4" borderId="2" xfId="1" applyNumberFormat="1" applyFill="1" applyBorder="1"/>
    <xf numFmtId="0" fontId="3" fillId="0" borderId="1" xfId="1" applyBorder="1"/>
    <xf numFmtId="0" fontId="3" fillId="4" borderId="3" xfId="1" applyFill="1" applyBorder="1"/>
    <xf numFmtId="0" fontId="11" fillId="6" borderId="1" xfId="0" applyFont="1" applyFill="1" applyBorder="1" applyAlignment="1">
      <alignment horizontal="left" vertical="center"/>
    </xf>
    <xf numFmtId="0" fontId="11" fillId="6" borderId="4" xfId="0" applyFont="1" applyFill="1" applyBorder="1" applyAlignment="1">
      <alignment horizontal="left" vertical="center"/>
    </xf>
    <xf numFmtId="0" fontId="11" fillId="6" borderId="5" xfId="0" applyFont="1" applyFill="1" applyBorder="1" applyAlignment="1">
      <alignment horizontal="left" vertical="center"/>
    </xf>
    <xf numFmtId="0" fontId="11" fillId="6" borderId="6" xfId="0" applyFont="1" applyFill="1" applyBorder="1" applyAlignment="1">
      <alignment horizontal="left" vertical="center"/>
    </xf>
    <xf numFmtId="0" fontId="12" fillId="7" borderId="7" xfId="0" applyFont="1" applyFill="1" applyBorder="1"/>
    <xf numFmtId="0" fontId="12" fillId="7" borderId="8" xfId="0" applyFont="1" applyFill="1" applyBorder="1"/>
    <xf numFmtId="0" fontId="12" fillId="7" borderId="9" xfId="0" applyFont="1" applyFill="1" applyBorder="1" applyAlignment="1">
      <alignment horizontal="right"/>
    </xf>
    <xf numFmtId="0" fontId="0" fillId="8" borderId="10" xfId="0" applyFill="1" applyBorder="1"/>
    <xf numFmtId="0" fontId="0" fillId="8" borderId="11" xfId="0" applyFill="1" applyBorder="1"/>
    <xf numFmtId="4" fontId="0" fillId="8" borderId="12" xfId="0" applyNumberFormat="1" applyFill="1" applyBorder="1"/>
    <xf numFmtId="0" fontId="0" fillId="9" borderId="10" xfId="0" applyFill="1" applyBorder="1"/>
    <xf numFmtId="0" fontId="0" fillId="9" borderId="11" xfId="0" applyFill="1" applyBorder="1"/>
    <xf numFmtId="4" fontId="0" fillId="9" borderId="12" xfId="0" applyNumberFormat="1" applyFill="1" applyBorder="1"/>
    <xf numFmtId="0" fontId="12" fillId="7" borderId="13" xfId="0" applyFont="1" applyFill="1" applyBorder="1"/>
    <xf numFmtId="0" fontId="12" fillId="7" borderId="14" xfId="0" applyFont="1" applyFill="1" applyBorder="1"/>
    <xf numFmtId="4" fontId="12" fillId="7" borderId="15" xfId="0" applyNumberFormat="1" applyFont="1" applyFill="1" applyBorder="1"/>
    <xf numFmtId="165" fontId="3" fillId="4" borderId="1" xfId="1" applyNumberFormat="1" applyFill="1" applyBorder="1"/>
    <xf numFmtId="165" fontId="3" fillId="4" borderId="2" xfId="1" applyNumberFormat="1" applyFill="1" applyBorder="1"/>
    <xf numFmtId="0" fontId="3" fillId="10" borderId="16" xfId="1" applyFont="1" applyFill="1" applyBorder="1" applyAlignment="1"/>
    <xf numFmtId="0" fontId="3" fillId="10" borderId="16" xfId="1" applyFont="1" applyFill="1" applyBorder="1" applyAlignment="1">
      <alignment horizontal="right"/>
    </xf>
    <xf numFmtId="0" fontId="0" fillId="10" borderId="16" xfId="0" applyFill="1" applyBorder="1"/>
    <xf numFmtId="0" fontId="0" fillId="10" borderId="16" xfId="0" applyFill="1" applyBorder="1" applyAlignment="1">
      <alignment horizontal="left"/>
    </xf>
    <xf numFmtId="0" fontId="0" fillId="10" borderId="16" xfId="0" applyNumberFormat="1" applyFill="1" applyBorder="1"/>
    <xf numFmtId="0" fontId="13" fillId="11" borderId="1" xfId="0" applyFont="1" applyFill="1" applyBorder="1" applyAlignment="1">
      <alignment horizontal="right"/>
    </xf>
    <xf numFmtId="4" fontId="0" fillId="10" borderId="1" xfId="0" applyNumberFormat="1" applyFill="1" applyBorder="1"/>
    <xf numFmtId="164" fontId="4" fillId="10" borderId="16" xfId="1" applyNumberFormat="1" applyFont="1" applyFill="1" applyBorder="1" applyAlignment="1"/>
    <xf numFmtId="164" fontId="14" fillId="10" borderId="16" xfId="0" applyNumberFormat="1" applyFont="1" applyFill="1" applyBorder="1"/>
  </cellXfs>
  <cellStyles count="6"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43"/>
  <sheetViews>
    <sheetView showGridLines="0" tabSelected="1" zoomScale="120" zoomScaleNormal="120" workbookViewId="0">
      <pane xSplit="1" ySplit="1" topLeftCell="E17" activePane="bottomRight" state="frozen"/>
      <selection pane="topRight" activeCell="B1" sqref="B1"/>
      <selection pane="bottomLeft" activeCell="A2" sqref="A2"/>
      <selection pane="bottomRight" activeCell="S43" sqref="S43"/>
    </sheetView>
  </sheetViews>
  <sheetFormatPr baseColWidth="10" defaultColWidth="10.33203125" defaultRowHeight="10.199999999999999" x14ac:dyDescent="0.2"/>
  <cols>
    <col min="1" max="1" width="5" style="13" customWidth="1"/>
    <col min="2" max="4" width="29.6640625" style="13" customWidth="1"/>
    <col min="5" max="5" width="40.6640625" style="13" customWidth="1"/>
    <col min="6" max="6" width="9.109375" style="13" customWidth="1"/>
    <col min="7" max="7" width="9.6640625" style="13" customWidth="1"/>
    <col min="8" max="8" width="14.44140625" style="13" customWidth="1"/>
    <col min="9" max="9" width="5.88671875" style="13" customWidth="1"/>
    <col min="10" max="10" width="25.6640625" style="13" customWidth="1"/>
    <col min="11" max="12" width="5.109375" style="13" customWidth="1"/>
    <col min="13" max="13" width="4.44140625" style="13" customWidth="1"/>
    <col min="14" max="14" width="4.88671875" style="13" customWidth="1"/>
    <col min="15" max="15" width="4.88671875" style="14" customWidth="1"/>
    <col min="16" max="16" width="4.88671875" style="13" customWidth="1"/>
    <col min="17" max="17" width="3.5546875" style="14" customWidth="1"/>
    <col min="18" max="18" width="3.5546875" style="13" customWidth="1"/>
    <col min="19" max="21" width="5.109375" style="13" customWidth="1"/>
    <col min="22" max="16384" width="10.33203125" style="13"/>
  </cols>
  <sheetData>
    <row r="1" spans="1:21" ht="40.799999999999997" x14ac:dyDescent="0.2">
      <c r="A1" s="8" t="s">
        <v>6</v>
      </c>
      <c r="B1" s="9" t="s">
        <v>7</v>
      </c>
      <c r="C1" s="9" t="s">
        <v>8</v>
      </c>
      <c r="D1" s="9" t="s">
        <v>9</v>
      </c>
      <c r="E1" s="9" t="s">
        <v>10</v>
      </c>
      <c r="F1" s="9" t="s">
        <v>11</v>
      </c>
      <c r="G1" s="9" t="s">
        <v>12</v>
      </c>
      <c r="H1" s="9" t="s">
        <v>13</v>
      </c>
      <c r="I1" s="8" t="s">
        <v>14</v>
      </c>
      <c r="J1" s="9" t="s">
        <v>15</v>
      </c>
      <c r="K1" s="8" t="s">
        <v>16</v>
      </c>
      <c r="L1" s="9" t="s">
        <v>17</v>
      </c>
      <c r="M1" s="10" t="s">
        <v>18</v>
      </c>
      <c r="N1" s="11" t="s">
        <v>19</v>
      </c>
      <c r="O1" s="12" t="s">
        <v>20</v>
      </c>
      <c r="P1" s="11" t="s">
        <v>21</v>
      </c>
      <c r="Q1" s="12" t="s">
        <v>22</v>
      </c>
      <c r="R1" s="11" t="s">
        <v>23</v>
      </c>
      <c r="S1" s="11" t="s">
        <v>24</v>
      </c>
      <c r="T1" s="11" t="s">
        <v>25</v>
      </c>
      <c r="U1" s="11" t="s">
        <v>26</v>
      </c>
    </row>
    <row r="2" spans="1:21" x14ac:dyDescent="0.2">
      <c r="A2" s="25" t="s">
        <v>41</v>
      </c>
      <c r="B2" s="25" t="s">
        <v>42</v>
      </c>
      <c r="C2" s="25" t="s">
        <v>43</v>
      </c>
      <c r="D2" s="25" t="s">
        <v>89</v>
      </c>
      <c r="E2" s="25" t="s">
        <v>90</v>
      </c>
      <c r="F2" s="25" t="s">
        <v>91</v>
      </c>
      <c r="G2" s="25" t="s">
        <v>86</v>
      </c>
      <c r="H2" s="25" t="s">
        <v>30</v>
      </c>
      <c r="I2" s="25" t="s">
        <v>59</v>
      </c>
      <c r="J2" s="25" t="s">
        <v>60</v>
      </c>
      <c r="K2" s="28">
        <v>1</v>
      </c>
      <c r="L2" s="25" t="s">
        <v>61</v>
      </c>
      <c r="M2" s="25">
        <v>2016</v>
      </c>
      <c r="N2" s="25" t="s">
        <v>34</v>
      </c>
      <c r="O2" s="26" t="s">
        <v>38</v>
      </c>
      <c r="P2" s="25" t="s">
        <v>62</v>
      </c>
      <c r="Q2" s="26" t="s">
        <v>31</v>
      </c>
      <c r="R2" s="27">
        <v>10</v>
      </c>
      <c r="S2" s="28">
        <v>0.1</v>
      </c>
      <c r="T2" s="28">
        <v>0.8</v>
      </c>
      <c r="U2" s="28">
        <v>0.1</v>
      </c>
    </row>
    <row r="3" spans="1:21" x14ac:dyDescent="0.2">
      <c r="A3" s="25" t="s">
        <v>41</v>
      </c>
      <c r="B3" s="25" t="s">
        <v>42</v>
      </c>
      <c r="C3" s="25" t="s">
        <v>43</v>
      </c>
      <c r="D3" s="25" t="s">
        <v>81</v>
      </c>
      <c r="E3" s="25" t="s">
        <v>82</v>
      </c>
      <c r="F3" s="25" t="s">
        <v>83</v>
      </c>
      <c r="G3" s="25" t="s">
        <v>84</v>
      </c>
      <c r="H3" s="25" t="s">
        <v>27</v>
      </c>
      <c r="I3" s="25" t="s">
        <v>59</v>
      </c>
      <c r="J3" s="25" t="s">
        <v>60</v>
      </c>
      <c r="K3" s="28">
        <v>0.5</v>
      </c>
      <c r="L3" s="25" t="s">
        <v>61</v>
      </c>
      <c r="M3" s="25">
        <v>2016</v>
      </c>
      <c r="N3" s="25" t="s">
        <v>62</v>
      </c>
      <c r="O3" s="26" t="s">
        <v>85</v>
      </c>
      <c r="P3" s="25" t="s">
        <v>34</v>
      </c>
      <c r="Q3" s="26" t="s">
        <v>85</v>
      </c>
      <c r="R3" s="27">
        <v>10</v>
      </c>
      <c r="S3" s="28">
        <v>0.05</v>
      </c>
      <c r="T3" s="28">
        <v>0.22500000000000001</v>
      </c>
      <c r="U3" s="28">
        <v>0.22500000000000001</v>
      </c>
    </row>
    <row r="4" spans="1:21" x14ac:dyDescent="0.2">
      <c r="A4" s="25" t="s">
        <v>41</v>
      </c>
      <c r="B4" s="25" t="s">
        <v>42</v>
      </c>
      <c r="C4" s="25" t="s">
        <v>43</v>
      </c>
      <c r="D4" s="25" t="s">
        <v>51</v>
      </c>
      <c r="E4" s="25" t="s">
        <v>50</v>
      </c>
      <c r="F4" s="25" t="s">
        <v>52</v>
      </c>
      <c r="G4" s="25" t="s">
        <v>86</v>
      </c>
      <c r="H4" s="25" t="s">
        <v>27</v>
      </c>
      <c r="I4" s="25" t="s">
        <v>59</v>
      </c>
      <c r="J4" s="25" t="s">
        <v>60</v>
      </c>
      <c r="K4" s="28">
        <v>0.5</v>
      </c>
      <c r="L4" s="25" t="s">
        <v>61</v>
      </c>
      <c r="M4" s="25">
        <v>2016</v>
      </c>
      <c r="N4" s="25" t="s">
        <v>34</v>
      </c>
      <c r="O4" s="26" t="s">
        <v>38</v>
      </c>
      <c r="P4" s="25" t="s">
        <v>62</v>
      </c>
      <c r="Q4" s="26" t="s">
        <v>31</v>
      </c>
      <c r="R4" s="27">
        <v>10</v>
      </c>
      <c r="S4" s="28">
        <v>0.05</v>
      </c>
      <c r="T4" s="28">
        <v>0.4</v>
      </c>
      <c r="U4" s="28">
        <v>0.05</v>
      </c>
    </row>
    <row r="5" spans="1:21" x14ac:dyDescent="0.2">
      <c r="A5" s="25" t="s">
        <v>55</v>
      </c>
      <c r="B5" s="25" t="s">
        <v>56</v>
      </c>
      <c r="C5" s="25" t="s">
        <v>57</v>
      </c>
      <c r="D5" s="25" t="s">
        <v>73</v>
      </c>
      <c r="E5" s="25" t="s">
        <v>74</v>
      </c>
      <c r="F5" s="25" t="s">
        <v>46</v>
      </c>
      <c r="G5" s="25" t="s">
        <v>66</v>
      </c>
      <c r="H5" s="25" t="s">
        <v>27</v>
      </c>
      <c r="I5" s="25" t="s">
        <v>59</v>
      </c>
      <c r="J5" s="25" t="s">
        <v>60</v>
      </c>
      <c r="K5" s="28">
        <v>0.5</v>
      </c>
      <c r="L5" s="25" t="s">
        <v>61</v>
      </c>
      <c r="M5" s="25">
        <v>2016</v>
      </c>
      <c r="N5" s="25" t="s">
        <v>62</v>
      </c>
      <c r="O5" s="26" t="s">
        <v>32</v>
      </c>
      <c r="P5" s="25" t="s">
        <v>29</v>
      </c>
      <c r="Q5" s="26" t="s">
        <v>29</v>
      </c>
      <c r="R5" s="27">
        <v>10</v>
      </c>
      <c r="S5" s="28">
        <v>0.05</v>
      </c>
      <c r="T5" s="28">
        <v>0.45</v>
      </c>
      <c r="U5" s="28">
        <v>0</v>
      </c>
    </row>
    <row r="6" spans="1:21" x14ac:dyDescent="0.2">
      <c r="A6" s="25" t="s">
        <v>55</v>
      </c>
      <c r="B6" s="25" t="s">
        <v>56</v>
      </c>
      <c r="C6" s="25" t="s">
        <v>57</v>
      </c>
      <c r="D6" s="25" t="s">
        <v>73</v>
      </c>
      <c r="E6" s="25" t="s">
        <v>74</v>
      </c>
      <c r="F6" s="25" t="s">
        <v>46</v>
      </c>
      <c r="G6" s="25" t="s">
        <v>72</v>
      </c>
      <c r="H6" s="25" t="s">
        <v>27</v>
      </c>
      <c r="I6" s="25" t="s">
        <v>59</v>
      </c>
      <c r="J6" s="25" t="s">
        <v>60</v>
      </c>
      <c r="K6" s="28">
        <v>0.5</v>
      </c>
      <c r="L6" s="25" t="s">
        <v>61</v>
      </c>
      <c r="M6" s="25">
        <v>2016</v>
      </c>
      <c r="N6" s="25" t="s">
        <v>62</v>
      </c>
      <c r="O6" s="26" t="s">
        <v>38</v>
      </c>
      <c r="P6" s="25" t="s">
        <v>34</v>
      </c>
      <c r="Q6" s="26" t="s">
        <v>31</v>
      </c>
      <c r="R6" s="27">
        <v>10</v>
      </c>
      <c r="S6" s="28">
        <v>0.05</v>
      </c>
      <c r="T6" s="28">
        <v>0.4</v>
      </c>
      <c r="U6" s="28">
        <v>0.05</v>
      </c>
    </row>
    <row r="7" spans="1:21" x14ac:dyDescent="0.2">
      <c r="A7" s="25" t="s">
        <v>55</v>
      </c>
      <c r="B7" s="25" t="s">
        <v>56</v>
      </c>
      <c r="C7" s="25" t="s">
        <v>57</v>
      </c>
      <c r="D7" s="25" t="s">
        <v>87</v>
      </c>
      <c r="E7" s="25" t="s">
        <v>88</v>
      </c>
      <c r="F7" s="25" t="s">
        <v>40</v>
      </c>
      <c r="G7" s="25" t="s">
        <v>68</v>
      </c>
      <c r="H7" s="25" t="s">
        <v>30</v>
      </c>
      <c r="I7" s="25" t="s">
        <v>59</v>
      </c>
      <c r="J7" s="25" t="s">
        <v>60</v>
      </c>
      <c r="K7" s="28">
        <v>1</v>
      </c>
      <c r="L7" s="25" t="s">
        <v>61</v>
      </c>
      <c r="M7" s="25">
        <v>2016</v>
      </c>
      <c r="N7" s="25" t="s">
        <v>62</v>
      </c>
      <c r="O7" s="26" t="s">
        <v>28</v>
      </c>
      <c r="P7" s="25" t="s">
        <v>29</v>
      </c>
      <c r="Q7" s="26" t="s">
        <v>29</v>
      </c>
      <c r="R7" s="27">
        <v>50</v>
      </c>
      <c r="S7" s="28">
        <v>0.5</v>
      </c>
      <c r="T7" s="28">
        <v>0.5</v>
      </c>
      <c r="U7" s="28">
        <v>0</v>
      </c>
    </row>
    <row r="8" spans="1:21" x14ac:dyDescent="0.2">
      <c r="A8" s="25" t="s">
        <v>55</v>
      </c>
      <c r="B8" s="25" t="s">
        <v>56</v>
      </c>
      <c r="C8" s="25" t="s">
        <v>57</v>
      </c>
      <c r="D8" s="25" t="s">
        <v>75</v>
      </c>
      <c r="E8" s="25" t="s">
        <v>76</v>
      </c>
      <c r="F8" s="25" t="s">
        <v>77</v>
      </c>
      <c r="G8" s="25" t="s">
        <v>67</v>
      </c>
      <c r="H8" s="25" t="s">
        <v>30</v>
      </c>
      <c r="I8" s="25" t="s">
        <v>59</v>
      </c>
      <c r="J8" s="25" t="s">
        <v>60</v>
      </c>
      <c r="K8" s="28">
        <v>1</v>
      </c>
      <c r="L8" s="25" t="s">
        <v>61</v>
      </c>
      <c r="M8" s="25">
        <v>2016</v>
      </c>
      <c r="N8" s="25" t="s">
        <v>62</v>
      </c>
      <c r="O8" s="26" t="s">
        <v>39</v>
      </c>
      <c r="P8" s="25" t="s">
        <v>34</v>
      </c>
      <c r="Q8" s="26" t="s">
        <v>37</v>
      </c>
      <c r="R8" s="27">
        <v>10</v>
      </c>
      <c r="S8" s="28">
        <v>0.1</v>
      </c>
      <c r="T8" s="28">
        <v>0.75</v>
      </c>
      <c r="U8" s="28">
        <v>0.15</v>
      </c>
    </row>
    <row r="9" spans="1:21" x14ac:dyDescent="0.2">
      <c r="A9" s="25" t="s">
        <v>55</v>
      </c>
      <c r="B9" s="25" t="s">
        <v>56</v>
      </c>
      <c r="C9" s="25" t="s">
        <v>57</v>
      </c>
      <c r="D9" s="25" t="s">
        <v>70</v>
      </c>
      <c r="E9" s="25" t="s">
        <v>71</v>
      </c>
      <c r="F9" s="25" t="s">
        <v>35</v>
      </c>
      <c r="G9" s="25" t="s">
        <v>72</v>
      </c>
      <c r="H9" s="25" t="s">
        <v>30</v>
      </c>
      <c r="I9" s="25" t="s">
        <v>59</v>
      </c>
      <c r="J9" s="25" t="s">
        <v>60</v>
      </c>
      <c r="K9" s="28">
        <v>1</v>
      </c>
      <c r="L9" s="25" t="s">
        <v>61</v>
      </c>
      <c r="M9" s="25">
        <v>2016</v>
      </c>
      <c r="N9" s="25" t="s">
        <v>62</v>
      </c>
      <c r="O9" s="26" t="s">
        <v>38</v>
      </c>
      <c r="P9" s="25" t="s">
        <v>34</v>
      </c>
      <c r="Q9" s="26" t="s">
        <v>31</v>
      </c>
      <c r="R9" s="27">
        <v>10</v>
      </c>
      <c r="S9" s="28">
        <v>0.1</v>
      </c>
      <c r="T9" s="28">
        <v>0.8</v>
      </c>
      <c r="U9" s="28">
        <v>0.1</v>
      </c>
    </row>
    <row r="10" spans="1:21" x14ac:dyDescent="0.2">
      <c r="A10" s="25" t="s">
        <v>55</v>
      </c>
      <c r="B10" s="25" t="s">
        <v>56</v>
      </c>
      <c r="C10" s="25" t="s">
        <v>57</v>
      </c>
      <c r="D10" s="25" t="s">
        <v>78</v>
      </c>
      <c r="E10" s="25" t="s">
        <v>79</v>
      </c>
      <c r="F10" s="25" t="s">
        <v>80</v>
      </c>
      <c r="G10" s="25" t="s">
        <v>72</v>
      </c>
      <c r="H10" s="25" t="s">
        <v>30</v>
      </c>
      <c r="I10" s="25" t="s">
        <v>59</v>
      </c>
      <c r="J10" s="25" t="s">
        <v>60</v>
      </c>
      <c r="K10" s="28">
        <v>1</v>
      </c>
      <c r="L10" s="25" t="s">
        <v>61</v>
      </c>
      <c r="M10" s="25">
        <v>2016</v>
      </c>
      <c r="N10" s="25" t="s">
        <v>62</v>
      </c>
      <c r="O10" s="26" t="s">
        <v>38</v>
      </c>
      <c r="P10" s="25" t="s">
        <v>34</v>
      </c>
      <c r="Q10" s="26" t="s">
        <v>31</v>
      </c>
      <c r="R10" s="27">
        <v>10</v>
      </c>
      <c r="S10" s="28">
        <v>0.1</v>
      </c>
      <c r="T10" s="28">
        <v>0.8</v>
      </c>
      <c r="U10" s="28">
        <v>0.1</v>
      </c>
    </row>
    <row r="11" spans="1:21" x14ac:dyDescent="0.2">
      <c r="A11" s="25" t="s">
        <v>41</v>
      </c>
      <c r="B11" s="25" t="s">
        <v>42</v>
      </c>
      <c r="C11" s="25" t="s">
        <v>43</v>
      </c>
      <c r="D11" s="25" t="s">
        <v>96</v>
      </c>
      <c r="E11" s="25" t="s">
        <v>97</v>
      </c>
      <c r="F11" s="25" t="s">
        <v>47</v>
      </c>
      <c r="G11" s="25" t="s">
        <v>86</v>
      </c>
      <c r="H11" s="25" t="s">
        <v>27</v>
      </c>
      <c r="I11" s="25" t="s">
        <v>59</v>
      </c>
      <c r="J11" s="25" t="s">
        <v>60</v>
      </c>
      <c r="K11" s="28">
        <v>0.5</v>
      </c>
      <c r="L11" s="25" t="s">
        <v>61</v>
      </c>
      <c r="M11" s="25">
        <v>2017</v>
      </c>
      <c r="N11" s="25" t="s">
        <v>34</v>
      </c>
      <c r="O11" s="26" t="s">
        <v>38</v>
      </c>
      <c r="P11" s="25" t="s">
        <v>62</v>
      </c>
      <c r="Q11" s="26" t="s">
        <v>31</v>
      </c>
      <c r="R11" s="27">
        <v>10</v>
      </c>
      <c r="S11" s="28">
        <v>0.05</v>
      </c>
      <c r="T11" s="28">
        <v>0.4</v>
      </c>
      <c r="U11" s="28">
        <v>0.05</v>
      </c>
    </row>
    <row r="12" spans="1:21" x14ac:dyDescent="0.2">
      <c r="A12" s="25" t="s">
        <v>55</v>
      </c>
      <c r="B12" s="25" t="s">
        <v>56</v>
      </c>
      <c r="C12" s="25" t="s">
        <v>57</v>
      </c>
      <c r="D12" s="25" t="s">
        <v>94</v>
      </c>
      <c r="E12" s="25" t="s">
        <v>95</v>
      </c>
      <c r="F12" s="25" t="s">
        <v>48</v>
      </c>
      <c r="G12" s="25" t="s">
        <v>65</v>
      </c>
      <c r="H12" s="25" t="s">
        <v>30</v>
      </c>
      <c r="I12" s="25" t="s">
        <v>59</v>
      </c>
      <c r="J12" s="25" t="s">
        <v>60</v>
      </c>
      <c r="K12" s="28">
        <v>1</v>
      </c>
      <c r="L12" s="25" t="s">
        <v>61</v>
      </c>
      <c r="M12" s="25">
        <v>2017</v>
      </c>
      <c r="N12" s="25" t="s">
        <v>62</v>
      </c>
      <c r="O12" s="26" t="s">
        <v>32</v>
      </c>
      <c r="P12" s="25" t="s">
        <v>29</v>
      </c>
      <c r="Q12" s="26" t="s">
        <v>29</v>
      </c>
      <c r="R12" s="27">
        <v>10</v>
      </c>
      <c r="S12" s="28">
        <v>0.1</v>
      </c>
      <c r="T12" s="28">
        <v>0.9</v>
      </c>
      <c r="U12" s="28">
        <v>0</v>
      </c>
    </row>
    <row r="13" spans="1:21" x14ac:dyDescent="0.2">
      <c r="A13" s="25" t="s">
        <v>55</v>
      </c>
      <c r="B13" s="25" t="s">
        <v>56</v>
      </c>
      <c r="C13" s="25" t="s">
        <v>57</v>
      </c>
      <c r="D13" s="25" t="s">
        <v>92</v>
      </c>
      <c r="E13" s="25" t="s">
        <v>93</v>
      </c>
      <c r="F13" s="25" t="s">
        <v>33</v>
      </c>
      <c r="G13" s="25" t="s">
        <v>58</v>
      </c>
      <c r="H13" s="25" t="s">
        <v>27</v>
      </c>
      <c r="I13" s="25" t="s">
        <v>59</v>
      </c>
      <c r="J13" s="25" t="s">
        <v>60</v>
      </c>
      <c r="K13" s="28">
        <v>0.5</v>
      </c>
      <c r="L13" s="25" t="s">
        <v>61</v>
      </c>
      <c r="M13" s="25">
        <v>2017</v>
      </c>
      <c r="N13" s="25" t="s">
        <v>62</v>
      </c>
      <c r="O13" s="26" t="s">
        <v>32</v>
      </c>
      <c r="P13" s="25" t="s">
        <v>29</v>
      </c>
      <c r="Q13" s="26" t="s">
        <v>29</v>
      </c>
      <c r="R13" s="27">
        <v>10</v>
      </c>
      <c r="S13" s="28">
        <v>0.05</v>
      </c>
      <c r="T13" s="28">
        <v>0.45</v>
      </c>
      <c r="U13" s="28">
        <v>0</v>
      </c>
    </row>
    <row r="14" spans="1:21" x14ac:dyDescent="0.2">
      <c r="A14" s="25" t="s">
        <v>55</v>
      </c>
      <c r="B14" s="25" t="s">
        <v>56</v>
      </c>
      <c r="C14" s="25" t="s">
        <v>57</v>
      </c>
      <c r="D14" s="25" t="s">
        <v>92</v>
      </c>
      <c r="E14" s="25" t="s">
        <v>93</v>
      </c>
      <c r="F14" s="25" t="s">
        <v>33</v>
      </c>
      <c r="G14" s="25" t="s">
        <v>69</v>
      </c>
      <c r="H14" s="25" t="s">
        <v>27</v>
      </c>
      <c r="I14" s="25" t="s">
        <v>59</v>
      </c>
      <c r="J14" s="25" t="s">
        <v>60</v>
      </c>
      <c r="K14" s="28">
        <v>0.5</v>
      </c>
      <c r="L14" s="25" t="s">
        <v>61</v>
      </c>
      <c r="M14" s="25">
        <v>2017</v>
      </c>
      <c r="N14" s="25" t="s">
        <v>62</v>
      </c>
      <c r="O14" s="26" t="s">
        <v>32</v>
      </c>
      <c r="P14" s="25" t="s">
        <v>29</v>
      </c>
      <c r="Q14" s="26" t="s">
        <v>29</v>
      </c>
      <c r="R14" s="27">
        <v>10</v>
      </c>
      <c r="S14" s="28">
        <v>0.05</v>
      </c>
      <c r="T14" s="28">
        <v>0.45</v>
      </c>
      <c r="U14" s="28">
        <v>0</v>
      </c>
    </row>
    <row r="15" spans="1:21" x14ac:dyDescent="0.2">
      <c r="A15" s="25" t="s">
        <v>59</v>
      </c>
      <c r="B15" s="25" t="s">
        <v>60</v>
      </c>
      <c r="C15" s="25" t="s">
        <v>57</v>
      </c>
      <c r="D15" s="25" t="s">
        <v>114</v>
      </c>
      <c r="E15" s="25" t="s">
        <v>115</v>
      </c>
      <c r="F15" s="25" t="s">
        <v>54</v>
      </c>
      <c r="G15" s="25" t="s">
        <v>116</v>
      </c>
      <c r="H15" s="25" t="s">
        <v>27</v>
      </c>
      <c r="I15" s="25" t="s">
        <v>59</v>
      </c>
      <c r="J15" s="25" t="s">
        <v>60</v>
      </c>
      <c r="K15" s="51">
        <v>0.5</v>
      </c>
      <c r="L15" s="25" t="s">
        <v>61</v>
      </c>
      <c r="M15" s="25">
        <v>2018</v>
      </c>
      <c r="N15" s="25" t="s">
        <v>29</v>
      </c>
      <c r="O15" s="26" t="s">
        <v>29</v>
      </c>
      <c r="P15" s="25" t="s">
        <v>29</v>
      </c>
      <c r="Q15" s="26" t="s">
        <v>29</v>
      </c>
      <c r="R15" s="27">
        <v>100</v>
      </c>
      <c r="S15" s="28">
        <v>0.5</v>
      </c>
      <c r="T15" s="28">
        <v>0</v>
      </c>
      <c r="U15" s="28">
        <v>0</v>
      </c>
    </row>
    <row r="16" spans="1:21" x14ac:dyDescent="0.2">
      <c r="A16" s="25" t="s">
        <v>59</v>
      </c>
      <c r="B16" s="25" t="s">
        <v>60</v>
      </c>
      <c r="C16" s="25" t="s">
        <v>57</v>
      </c>
      <c r="D16" s="25" t="s">
        <v>114</v>
      </c>
      <c r="E16" s="25" t="s">
        <v>115</v>
      </c>
      <c r="F16" s="25" t="s">
        <v>54</v>
      </c>
      <c r="G16" s="25" t="s">
        <v>63</v>
      </c>
      <c r="H16" s="25" t="s">
        <v>27</v>
      </c>
      <c r="I16" s="25" t="s">
        <v>59</v>
      </c>
      <c r="J16" s="25" t="s">
        <v>60</v>
      </c>
      <c r="K16" s="51">
        <v>0.5</v>
      </c>
      <c r="L16" s="25" t="s">
        <v>61</v>
      </c>
      <c r="M16" s="25">
        <v>2018</v>
      </c>
      <c r="N16" s="25" t="s">
        <v>62</v>
      </c>
      <c r="O16" s="26" t="s">
        <v>32</v>
      </c>
      <c r="P16" s="25" t="s">
        <v>29</v>
      </c>
      <c r="Q16" s="26" t="s">
        <v>29</v>
      </c>
      <c r="R16" s="27">
        <v>10</v>
      </c>
      <c r="S16" s="28">
        <v>0.05</v>
      </c>
      <c r="T16" s="28">
        <v>0.45</v>
      </c>
      <c r="U16" s="28">
        <v>0</v>
      </c>
    </row>
    <row r="17" spans="1:21" x14ac:dyDescent="0.2">
      <c r="A17" s="25" t="s">
        <v>41</v>
      </c>
      <c r="B17" s="25" t="s">
        <v>42</v>
      </c>
      <c r="C17" s="25" t="s">
        <v>43</v>
      </c>
      <c r="D17" s="25" t="s">
        <v>112</v>
      </c>
      <c r="E17" s="25" t="s">
        <v>113</v>
      </c>
      <c r="F17" s="25" t="s">
        <v>45</v>
      </c>
      <c r="G17" s="25" t="s">
        <v>86</v>
      </c>
      <c r="H17" s="25" t="s">
        <v>27</v>
      </c>
      <c r="I17" s="25" t="s">
        <v>59</v>
      </c>
      <c r="J17" s="25" t="s">
        <v>60</v>
      </c>
      <c r="K17" s="51">
        <v>0.5</v>
      </c>
      <c r="L17" s="25" t="s">
        <v>61</v>
      </c>
      <c r="M17" s="25">
        <v>2018</v>
      </c>
      <c r="N17" s="25" t="s">
        <v>62</v>
      </c>
      <c r="O17" s="26" t="s">
        <v>31</v>
      </c>
      <c r="P17" s="25" t="s">
        <v>34</v>
      </c>
      <c r="Q17" s="26" t="s">
        <v>38</v>
      </c>
      <c r="R17" s="27">
        <v>10</v>
      </c>
      <c r="S17" s="28">
        <v>0.05</v>
      </c>
      <c r="T17" s="28">
        <v>0.05</v>
      </c>
      <c r="U17" s="28">
        <v>0.4</v>
      </c>
    </row>
    <row r="18" spans="1:21" x14ac:dyDescent="0.2">
      <c r="A18" s="25" t="s">
        <v>41</v>
      </c>
      <c r="B18" s="25" t="s">
        <v>42</v>
      </c>
      <c r="C18" s="25" t="s">
        <v>43</v>
      </c>
      <c r="D18" s="25" t="s">
        <v>109</v>
      </c>
      <c r="E18" s="25" t="s">
        <v>110</v>
      </c>
      <c r="F18" s="25" t="s">
        <v>111</v>
      </c>
      <c r="G18" s="25" t="s">
        <v>86</v>
      </c>
      <c r="H18" s="25" t="s">
        <v>27</v>
      </c>
      <c r="I18" s="25" t="s">
        <v>59</v>
      </c>
      <c r="J18" s="25" t="s">
        <v>60</v>
      </c>
      <c r="K18" s="51">
        <v>0.5</v>
      </c>
      <c r="L18" s="25" t="s">
        <v>61</v>
      </c>
      <c r="M18" s="25">
        <v>2018</v>
      </c>
      <c r="N18" s="25" t="s">
        <v>62</v>
      </c>
      <c r="O18" s="26" t="s">
        <v>31</v>
      </c>
      <c r="P18" s="25" t="s">
        <v>34</v>
      </c>
      <c r="Q18" s="26" t="s">
        <v>38</v>
      </c>
      <c r="R18" s="27">
        <v>10</v>
      </c>
      <c r="S18" s="28">
        <v>0.05</v>
      </c>
      <c r="T18" s="28">
        <v>0.05</v>
      </c>
      <c r="U18" s="28">
        <v>0.4</v>
      </c>
    </row>
    <row r="19" spans="1:21" x14ac:dyDescent="0.2">
      <c r="A19" s="25" t="s">
        <v>55</v>
      </c>
      <c r="B19" s="25" t="s">
        <v>56</v>
      </c>
      <c r="C19" s="25" t="s">
        <v>57</v>
      </c>
      <c r="D19" s="25" t="s">
        <v>101</v>
      </c>
      <c r="E19" s="25" t="s">
        <v>102</v>
      </c>
      <c r="F19" s="25" t="s">
        <v>103</v>
      </c>
      <c r="G19" s="25" t="s">
        <v>63</v>
      </c>
      <c r="H19" s="25" t="s">
        <v>27</v>
      </c>
      <c r="I19" s="25" t="s">
        <v>59</v>
      </c>
      <c r="J19" s="25" t="s">
        <v>60</v>
      </c>
      <c r="K19" s="51">
        <v>0.5</v>
      </c>
      <c r="L19" s="25" t="s">
        <v>61</v>
      </c>
      <c r="M19" s="25">
        <v>2018</v>
      </c>
      <c r="N19" s="25" t="s">
        <v>62</v>
      </c>
      <c r="O19" s="26" t="s">
        <v>32</v>
      </c>
      <c r="P19" s="25" t="s">
        <v>29</v>
      </c>
      <c r="Q19" s="26" t="s">
        <v>29</v>
      </c>
      <c r="R19" s="27">
        <v>10</v>
      </c>
      <c r="S19" s="28">
        <v>0.05</v>
      </c>
      <c r="T19" s="28">
        <v>0.45</v>
      </c>
      <c r="U19" s="28">
        <v>0</v>
      </c>
    </row>
    <row r="20" spans="1:21" x14ac:dyDescent="0.2">
      <c r="A20" s="25" t="s">
        <v>55</v>
      </c>
      <c r="B20" s="25" t="s">
        <v>56</v>
      </c>
      <c r="C20" s="25" t="s">
        <v>57</v>
      </c>
      <c r="D20" s="25" t="s">
        <v>101</v>
      </c>
      <c r="E20" s="25" t="s">
        <v>102</v>
      </c>
      <c r="F20" s="25" t="s">
        <v>103</v>
      </c>
      <c r="G20" s="25" t="s">
        <v>72</v>
      </c>
      <c r="H20" s="25" t="s">
        <v>27</v>
      </c>
      <c r="I20" s="25" t="s">
        <v>59</v>
      </c>
      <c r="J20" s="25" t="s">
        <v>60</v>
      </c>
      <c r="K20" s="51">
        <v>0.5</v>
      </c>
      <c r="L20" s="25" t="s">
        <v>61</v>
      </c>
      <c r="M20" s="25">
        <v>2018</v>
      </c>
      <c r="N20" s="25" t="s">
        <v>34</v>
      </c>
      <c r="O20" s="26" t="s">
        <v>31</v>
      </c>
      <c r="P20" s="25" t="s">
        <v>62</v>
      </c>
      <c r="Q20" s="26" t="s">
        <v>38</v>
      </c>
      <c r="R20" s="27">
        <v>10</v>
      </c>
      <c r="S20" s="28">
        <v>0.05</v>
      </c>
      <c r="T20" s="28">
        <v>0.05</v>
      </c>
      <c r="U20" s="28">
        <v>0.4</v>
      </c>
    </row>
    <row r="21" spans="1:21" x14ac:dyDescent="0.2">
      <c r="A21" s="25" t="s">
        <v>55</v>
      </c>
      <c r="B21" s="25" t="s">
        <v>56</v>
      </c>
      <c r="C21" s="25" t="s">
        <v>57</v>
      </c>
      <c r="D21" s="25" t="s">
        <v>98</v>
      </c>
      <c r="E21" s="25" t="s">
        <v>99</v>
      </c>
      <c r="F21" s="25" t="s">
        <v>49</v>
      </c>
      <c r="G21" s="25" t="s">
        <v>237</v>
      </c>
      <c r="H21" s="25" t="s">
        <v>27</v>
      </c>
      <c r="I21" s="25" t="s">
        <v>59</v>
      </c>
      <c r="J21" s="25" t="s">
        <v>60</v>
      </c>
      <c r="K21" s="51">
        <v>0.5</v>
      </c>
      <c r="L21" s="25" t="s">
        <v>61</v>
      </c>
      <c r="M21" s="25">
        <v>2018</v>
      </c>
      <c r="N21" s="25" t="s">
        <v>62</v>
      </c>
      <c r="O21" s="26" t="s">
        <v>32</v>
      </c>
      <c r="P21" s="25" t="s">
        <v>29</v>
      </c>
      <c r="Q21" s="26" t="s">
        <v>29</v>
      </c>
      <c r="R21" s="27">
        <v>10</v>
      </c>
      <c r="S21" s="28">
        <v>0.05</v>
      </c>
      <c r="T21" s="28">
        <v>0.45</v>
      </c>
      <c r="U21" s="28">
        <v>0</v>
      </c>
    </row>
    <row r="22" spans="1:21" x14ac:dyDescent="0.2">
      <c r="A22" s="25" t="s">
        <v>55</v>
      </c>
      <c r="B22" s="25" t="s">
        <v>56</v>
      </c>
      <c r="C22" s="25" t="s">
        <v>57</v>
      </c>
      <c r="D22" s="25" t="s">
        <v>98</v>
      </c>
      <c r="E22" s="25" t="s">
        <v>99</v>
      </c>
      <c r="F22" s="25" t="s">
        <v>49</v>
      </c>
      <c r="G22" s="25" t="s">
        <v>100</v>
      </c>
      <c r="H22" s="25" t="s">
        <v>27</v>
      </c>
      <c r="I22" s="25" t="s">
        <v>59</v>
      </c>
      <c r="J22" s="25" t="s">
        <v>60</v>
      </c>
      <c r="K22" s="51">
        <v>0.5</v>
      </c>
      <c r="L22" s="25" t="s">
        <v>61</v>
      </c>
      <c r="M22" s="25">
        <v>2018</v>
      </c>
      <c r="N22" s="25" t="s">
        <v>62</v>
      </c>
      <c r="O22" s="26" t="s">
        <v>32</v>
      </c>
      <c r="P22" s="25" t="s">
        <v>29</v>
      </c>
      <c r="Q22" s="26" t="s">
        <v>29</v>
      </c>
      <c r="R22" s="27">
        <v>10</v>
      </c>
      <c r="S22" s="28">
        <v>0.05</v>
      </c>
      <c r="T22" s="28">
        <v>0.45</v>
      </c>
      <c r="U22" s="28">
        <v>0</v>
      </c>
    </row>
    <row r="23" spans="1:21" x14ac:dyDescent="0.2">
      <c r="A23" s="25" t="s">
        <v>55</v>
      </c>
      <c r="B23" s="25" t="s">
        <v>56</v>
      </c>
      <c r="C23" s="25" t="s">
        <v>57</v>
      </c>
      <c r="D23" s="25" t="s">
        <v>106</v>
      </c>
      <c r="E23" s="25" t="s">
        <v>107</v>
      </c>
      <c r="F23" s="25" t="s">
        <v>108</v>
      </c>
      <c r="G23" s="25" t="s">
        <v>64</v>
      </c>
      <c r="H23" s="25" t="s">
        <v>27</v>
      </c>
      <c r="I23" s="25" t="s">
        <v>59</v>
      </c>
      <c r="J23" s="25" t="s">
        <v>60</v>
      </c>
      <c r="K23" s="51">
        <v>0.5</v>
      </c>
      <c r="L23" s="25" t="s">
        <v>61</v>
      </c>
      <c r="M23" s="25">
        <v>2018</v>
      </c>
      <c r="N23" s="25" t="s">
        <v>62</v>
      </c>
      <c r="O23" s="26" t="s">
        <v>32</v>
      </c>
      <c r="P23" s="25" t="s">
        <v>29</v>
      </c>
      <c r="Q23" s="26" t="s">
        <v>29</v>
      </c>
      <c r="R23" s="27">
        <v>10</v>
      </c>
      <c r="S23" s="28">
        <v>0.05</v>
      </c>
      <c r="T23" s="28">
        <v>0.45</v>
      </c>
      <c r="U23" s="28">
        <v>0</v>
      </c>
    </row>
    <row r="24" spans="1:21" x14ac:dyDescent="0.2">
      <c r="A24" s="25" t="s">
        <v>55</v>
      </c>
      <c r="B24" s="25" t="s">
        <v>56</v>
      </c>
      <c r="C24" s="25" t="s">
        <v>57</v>
      </c>
      <c r="D24" s="25" t="s">
        <v>106</v>
      </c>
      <c r="E24" s="25" t="s">
        <v>107</v>
      </c>
      <c r="F24" s="25" t="s">
        <v>108</v>
      </c>
      <c r="G24" s="25" t="s">
        <v>65</v>
      </c>
      <c r="H24" s="25" t="s">
        <v>27</v>
      </c>
      <c r="I24" s="25" t="s">
        <v>59</v>
      </c>
      <c r="J24" s="25" t="s">
        <v>60</v>
      </c>
      <c r="K24" s="51">
        <v>0.5</v>
      </c>
      <c r="L24" s="25" t="s">
        <v>61</v>
      </c>
      <c r="M24" s="25">
        <v>2018</v>
      </c>
      <c r="N24" s="25" t="s">
        <v>62</v>
      </c>
      <c r="O24" s="26" t="s">
        <v>32</v>
      </c>
      <c r="P24" s="25" t="s">
        <v>29</v>
      </c>
      <c r="Q24" s="26" t="s">
        <v>29</v>
      </c>
      <c r="R24" s="27">
        <v>100</v>
      </c>
      <c r="S24" s="28">
        <v>0.5</v>
      </c>
      <c r="T24" s="28">
        <v>0</v>
      </c>
      <c r="U24" s="28">
        <v>0</v>
      </c>
    </row>
    <row r="25" spans="1:21" x14ac:dyDescent="0.2">
      <c r="A25" s="25" t="s">
        <v>55</v>
      </c>
      <c r="B25" s="25" t="s">
        <v>56</v>
      </c>
      <c r="C25" s="25" t="s">
        <v>57</v>
      </c>
      <c r="D25" s="25" t="s">
        <v>104</v>
      </c>
      <c r="E25" s="25" t="s">
        <v>53</v>
      </c>
      <c r="F25" s="25" t="s">
        <v>36</v>
      </c>
      <c r="G25" s="25" t="s">
        <v>58</v>
      </c>
      <c r="H25" s="25" t="s">
        <v>27</v>
      </c>
      <c r="I25" s="25" t="s">
        <v>59</v>
      </c>
      <c r="J25" s="25" t="s">
        <v>60</v>
      </c>
      <c r="K25" s="51">
        <v>0.5</v>
      </c>
      <c r="L25" s="25" t="s">
        <v>61</v>
      </c>
      <c r="M25" s="25">
        <v>2018</v>
      </c>
      <c r="N25" s="25" t="s">
        <v>62</v>
      </c>
      <c r="O25" s="26" t="s">
        <v>32</v>
      </c>
      <c r="P25" s="25" t="s">
        <v>29</v>
      </c>
      <c r="Q25" s="26" t="s">
        <v>29</v>
      </c>
      <c r="R25" s="27">
        <v>10</v>
      </c>
      <c r="S25" s="28">
        <v>0.05</v>
      </c>
      <c r="T25" s="28">
        <v>0.45</v>
      </c>
      <c r="U25" s="28">
        <v>0</v>
      </c>
    </row>
    <row r="26" spans="1:21" x14ac:dyDescent="0.2">
      <c r="A26" s="25" t="s">
        <v>55</v>
      </c>
      <c r="B26" s="25" t="s">
        <v>56</v>
      </c>
      <c r="C26" s="25" t="s">
        <v>57</v>
      </c>
      <c r="D26" s="25" t="s">
        <v>104</v>
      </c>
      <c r="E26" s="25" t="s">
        <v>53</v>
      </c>
      <c r="F26" s="25" t="s">
        <v>36</v>
      </c>
      <c r="G26" s="25" t="s">
        <v>105</v>
      </c>
      <c r="H26" s="25" t="s">
        <v>27</v>
      </c>
      <c r="I26" s="25" t="s">
        <v>59</v>
      </c>
      <c r="J26" s="25" t="s">
        <v>60</v>
      </c>
      <c r="K26" s="51">
        <v>0.5</v>
      </c>
      <c r="L26" s="25" t="s">
        <v>61</v>
      </c>
      <c r="M26" s="25">
        <v>2018</v>
      </c>
      <c r="N26" s="25" t="s">
        <v>62</v>
      </c>
      <c r="O26" s="26" t="s">
        <v>32</v>
      </c>
      <c r="P26" s="25" t="s">
        <v>29</v>
      </c>
      <c r="Q26" s="26" t="s">
        <v>29</v>
      </c>
      <c r="R26" s="27">
        <v>10</v>
      </c>
      <c r="S26" s="28">
        <v>0.05</v>
      </c>
      <c r="T26" s="28">
        <v>0.45</v>
      </c>
      <c r="U26" s="28">
        <v>0</v>
      </c>
    </row>
    <row r="27" spans="1:21" x14ac:dyDescent="0.2">
      <c r="A27" s="29" t="s">
        <v>41</v>
      </c>
      <c r="B27" s="29" t="s">
        <v>42</v>
      </c>
      <c r="C27" s="29" t="s">
        <v>43</v>
      </c>
      <c r="D27" s="29" t="s">
        <v>187</v>
      </c>
      <c r="E27" s="29" t="s">
        <v>188</v>
      </c>
      <c r="F27" s="29" t="s">
        <v>189</v>
      </c>
      <c r="G27" s="29" t="s">
        <v>190</v>
      </c>
      <c r="H27" s="29" t="s">
        <v>27</v>
      </c>
      <c r="I27" s="29" t="s">
        <v>59</v>
      </c>
      <c r="J27" s="29" t="s">
        <v>60</v>
      </c>
      <c r="K27" s="52">
        <v>0.5</v>
      </c>
      <c r="L27" s="29" t="s">
        <v>61</v>
      </c>
      <c r="M27" s="29">
        <v>2019</v>
      </c>
      <c r="N27" s="29" t="s">
        <v>62</v>
      </c>
      <c r="O27" s="30" t="s">
        <v>44</v>
      </c>
      <c r="P27" s="29" t="s">
        <v>34</v>
      </c>
      <c r="Q27" s="30" t="s">
        <v>196</v>
      </c>
      <c r="R27" s="31">
        <v>40</v>
      </c>
      <c r="S27" s="32">
        <v>0.2</v>
      </c>
      <c r="T27" s="32">
        <v>0.2</v>
      </c>
      <c r="U27" s="32">
        <v>0.1</v>
      </c>
    </row>
    <row r="28" spans="1:21" x14ac:dyDescent="0.2">
      <c r="A28" s="29" t="s">
        <v>41</v>
      </c>
      <c r="B28" s="29" t="s">
        <v>42</v>
      </c>
      <c r="C28" s="29" t="s">
        <v>43</v>
      </c>
      <c r="D28" s="29" t="s">
        <v>187</v>
      </c>
      <c r="E28" s="29" t="s">
        <v>188</v>
      </c>
      <c r="F28" s="29" t="s">
        <v>189</v>
      </c>
      <c r="G28" s="29" t="s">
        <v>86</v>
      </c>
      <c r="H28" s="29" t="s">
        <v>27</v>
      </c>
      <c r="I28" s="29" t="s">
        <v>59</v>
      </c>
      <c r="J28" s="29" t="s">
        <v>60</v>
      </c>
      <c r="K28" s="52">
        <v>0.5</v>
      </c>
      <c r="L28" s="29" t="s">
        <v>61</v>
      </c>
      <c r="M28" s="29">
        <v>2019</v>
      </c>
      <c r="N28" s="29" t="s">
        <v>62</v>
      </c>
      <c r="O28" s="30" t="s">
        <v>31</v>
      </c>
      <c r="P28" s="29" t="s">
        <v>34</v>
      </c>
      <c r="Q28" s="30" t="s">
        <v>38</v>
      </c>
      <c r="R28" s="31">
        <v>10</v>
      </c>
      <c r="S28" s="32">
        <v>0.05</v>
      </c>
      <c r="T28" s="32">
        <v>0.05</v>
      </c>
      <c r="U28" s="32">
        <v>0.4</v>
      </c>
    </row>
    <row r="29" spans="1:21" x14ac:dyDescent="0.2">
      <c r="A29" s="29" t="s">
        <v>55</v>
      </c>
      <c r="B29" s="29" t="s">
        <v>56</v>
      </c>
      <c r="C29" s="29" t="s">
        <v>57</v>
      </c>
      <c r="D29" s="29" t="s">
        <v>191</v>
      </c>
      <c r="E29" s="29" t="s">
        <v>192</v>
      </c>
      <c r="F29" s="29" t="s">
        <v>193</v>
      </c>
      <c r="G29" s="29" t="s">
        <v>72</v>
      </c>
      <c r="H29" s="29" t="s">
        <v>30</v>
      </c>
      <c r="I29" s="29" t="s">
        <v>59</v>
      </c>
      <c r="J29" s="29" t="s">
        <v>60</v>
      </c>
      <c r="K29" s="52">
        <v>1</v>
      </c>
      <c r="L29" s="29" t="s">
        <v>61</v>
      </c>
      <c r="M29" s="29">
        <v>2019</v>
      </c>
      <c r="N29" s="29" t="s">
        <v>34</v>
      </c>
      <c r="O29" s="30" t="s">
        <v>31</v>
      </c>
      <c r="P29" s="29" t="s">
        <v>62</v>
      </c>
      <c r="Q29" s="30" t="s">
        <v>199</v>
      </c>
      <c r="R29" s="31">
        <v>35</v>
      </c>
      <c r="S29" s="32">
        <v>0.35</v>
      </c>
      <c r="T29" s="32">
        <v>0.1</v>
      </c>
      <c r="U29" s="32">
        <v>0.55000000000000004</v>
      </c>
    </row>
    <row r="30" spans="1:21" x14ac:dyDescent="0.2">
      <c r="A30" s="25" t="s">
        <v>55</v>
      </c>
      <c r="B30" s="25" t="s">
        <v>56</v>
      </c>
      <c r="C30" s="25" t="s">
        <v>57</v>
      </c>
      <c r="D30" s="25" t="s">
        <v>200</v>
      </c>
      <c r="E30" s="25" t="s">
        <v>201</v>
      </c>
      <c r="F30" s="25" t="s">
        <v>202</v>
      </c>
      <c r="G30" s="25" t="s">
        <v>58</v>
      </c>
      <c r="H30" s="25" t="s">
        <v>27</v>
      </c>
      <c r="I30" s="25" t="s">
        <v>59</v>
      </c>
      <c r="J30" s="25" t="s">
        <v>60</v>
      </c>
      <c r="K30" s="33">
        <v>0.5</v>
      </c>
      <c r="L30" s="33" t="s">
        <v>61</v>
      </c>
      <c r="M30" s="34">
        <v>2019</v>
      </c>
      <c r="N30" s="25" t="s">
        <v>62</v>
      </c>
      <c r="O30" s="26" t="s">
        <v>195</v>
      </c>
      <c r="P30" s="25" t="s">
        <v>29</v>
      </c>
      <c r="Q30" s="26" t="s">
        <v>29</v>
      </c>
      <c r="R30" s="25">
        <v>35</v>
      </c>
      <c r="S30" s="25">
        <v>0.17499999999999999</v>
      </c>
      <c r="T30" s="25">
        <v>0.32500000000000001</v>
      </c>
      <c r="U30" s="25">
        <v>0</v>
      </c>
    </row>
    <row r="31" spans="1:21" x14ac:dyDescent="0.2">
      <c r="A31" s="25" t="s">
        <v>55</v>
      </c>
      <c r="B31" s="25" t="s">
        <v>56</v>
      </c>
      <c r="C31" s="25" t="s">
        <v>57</v>
      </c>
      <c r="D31" s="25" t="s">
        <v>200</v>
      </c>
      <c r="E31" s="25" t="s">
        <v>201</v>
      </c>
      <c r="F31" s="25" t="s">
        <v>202</v>
      </c>
      <c r="G31" s="25" t="s">
        <v>105</v>
      </c>
      <c r="H31" s="25" t="s">
        <v>27</v>
      </c>
      <c r="I31" s="25" t="s">
        <v>59</v>
      </c>
      <c r="J31" s="25" t="s">
        <v>60</v>
      </c>
      <c r="K31" s="33">
        <v>0.5</v>
      </c>
      <c r="L31" s="33" t="s">
        <v>61</v>
      </c>
      <c r="M31" s="34">
        <v>2019</v>
      </c>
      <c r="N31" s="25" t="s">
        <v>62</v>
      </c>
      <c r="O31" s="26" t="s">
        <v>195</v>
      </c>
      <c r="P31" s="25" t="s">
        <v>29</v>
      </c>
      <c r="Q31" s="26" t="s">
        <v>29</v>
      </c>
      <c r="R31" s="25">
        <v>35</v>
      </c>
      <c r="S31" s="25">
        <v>0.17499999999999999</v>
      </c>
      <c r="T31" s="25">
        <v>0.32500000000000001</v>
      </c>
      <c r="U31" s="25">
        <v>0</v>
      </c>
    </row>
    <row r="32" spans="1:21" x14ac:dyDescent="0.2">
      <c r="A32" s="25" t="s">
        <v>55</v>
      </c>
      <c r="B32" s="25" t="s">
        <v>56</v>
      </c>
      <c r="C32" s="25" t="s">
        <v>57</v>
      </c>
      <c r="D32" s="25" t="s">
        <v>203</v>
      </c>
      <c r="E32" s="25" t="s">
        <v>204</v>
      </c>
      <c r="F32" s="25" t="s">
        <v>205</v>
      </c>
      <c r="G32" s="25" t="s">
        <v>64</v>
      </c>
      <c r="H32" s="25" t="s">
        <v>27</v>
      </c>
      <c r="I32" s="25" t="s">
        <v>59</v>
      </c>
      <c r="J32" s="25" t="s">
        <v>60</v>
      </c>
      <c r="K32" s="33">
        <v>0.5</v>
      </c>
      <c r="L32" s="33" t="s">
        <v>61</v>
      </c>
      <c r="M32" s="34">
        <v>2019</v>
      </c>
      <c r="N32" s="25" t="s">
        <v>62</v>
      </c>
      <c r="O32" s="26" t="s">
        <v>195</v>
      </c>
      <c r="P32" s="25" t="s">
        <v>29</v>
      </c>
      <c r="Q32" s="26" t="s">
        <v>29</v>
      </c>
      <c r="R32" s="25">
        <v>35</v>
      </c>
      <c r="S32" s="25">
        <v>0.17499999999999999</v>
      </c>
      <c r="T32" s="25">
        <v>0.32500000000000001</v>
      </c>
      <c r="U32" s="25">
        <v>0</v>
      </c>
    </row>
    <row r="33" spans="1:21" ht="10.8" thickBot="1" x14ac:dyDescent="0.25">
      <c r="A33" s="25" t="s">
        <v>55</v>
      </c>
      <c r="B33" s="25" t="s">
        <v>56</v>
      </c>
      <c r="C33" s="25" t="s">
        <v>57</v>
      </c>
      <c r="D33" s="25" t="s">
        <v>203</v>
      </c>
      <c r="E33" s="25" t="s">
        <v>204</v>
      </c>
      <c r="F33" s="25" t="s">
        <v>205</v>
      </c>
      <c r="G33" s="25" t="s">
        <v>65</v>
      </c>
      <c r="H33" s="25" t="s">
        <v>27</v>
      </c>
      <c r="I33" s="25" t="s">
        <v>59</v>
      </c>
      <c r="J33" s="25" t="s">
        <v>60</v>
      </c>
      <c r="K33" s="33">
        <v>0.5</v>
      </c>
      <c r="L33" s="33" t="s">
        <v>61</v>
      </c>
      <c r="M33" s="34">
        <v>2019</v>
      </c>
      <c r="N33" s="25" t="s">
        <v>62</v>
      </c>
      <c r="O33" s="26" t="s">
        <v>195</v>
      </c>
      <c r="P33" s="25" t="s">
        <v>29</v>
      </c>
      <c r="Q33" s="26" t="s">
        <v>29</v>
      </c>
      <c r="R33" s="25">
        <v>35</v>
      </c>
      <c r="S33" s="25">
        <v>0.17499999999999999</v>
      </c>
      <c r="T33" s="25">
        <v>0.32500000000000001</v>
      </c>
      <c r="U33" s="25">
        <v>0</v>
      </c>
    </row>
    <row r="34" spans="1:21" ht="10.8" thickBot="1" x14ac:dyDescent="0.25">
      <c r="A34" s="35" t="s">
        <v>41</v>
      </c>
      <c r="B34" s="35" t="s">
        <v>42</v>
      </c>
      <c r="C34" s="35" t="s">
        <v>43</v>
      </c>
      <c r="D34" s="35" t="s">
        <v>238</v>
      </c>
      <c r="E34" s="35" t="s">
        <v>209</v>
      </c>
      <c r="F34" s="35" t="s">
        <v>210</v>
      </c>
      <c r="G34" s="36" t="s">
        <v>86</v>
      </c>
      <c r="H34" s="37" t="s">
        <v>27</v>
      </c>
      <c r="I34" s="37" t="s">
        <v>59</v>
      </c>
      <c r="J34" s="38" t="s">
        <v>60</v>
      </c>
      <c r="K34" s="33">
        <v>0.5</v>
      </c>
      <c r="L34" s="33" t="s">
        <v>61</v>
      </c>
      <c r="M34" s="25">
        <v>2020</v>
      </c>
      <c r="N34" s="25" t="s">
        <v>62</v>
      </c>
      <c r="O34" s="26" t="s">
        <v>31</v>
      </c>
      <c r="P34" s="25" t="s">
        <v>34</v>
      </c>
      <c r="Q34" s="26" t="s">
        <v>38</v>
      </c>
      <c r="R34" s="25">
        <v>10</v>
      </c>
      <c r="S34" s="25">
        <v>0.05</v>
      </c>
      <c r="T34" s="25">
        <v>0.05</v>
      </c>
      <c r="U34" s="25">
        <v>0.4</v>
      </c>
    </row>
    <row r="35" spans="1:21" ht="10.8" thickBot="1" x14ac:dyDescent="0.25">
      <c r="A35" s="35" t="s">
        <v>41</v>
      </c>
      <c r="B35" s="35" t="s">
        <v>42</v>
      </c>
      <c r="C35" s="35" t="s">
        <v>43</v>
      </c>
      <c r="D35" s="35" t="s">
        <v>206</v>
      </c>
      <c r="E35" s="35" t="s">
        <v>207</v>
      </c>
      <c r="F35" s="35" t="s">
        <v>208</v>
      </c>
      <c r="G35" s="36" t="s">
        <v>86</v>
      </c>
      <c r="H35" s="37" t="s">
        <v>27</v>
      </c>
      <c r="I35" s="37" t="s">
        <v>59</v>
      </c>
      <c r="J35" s="38" t="s">
        <v>60</v>
      </c>
      <c r="K35" s="33">
        <v>0.33333333333333331</v>
      </c>
      <c r="L35" s="33" t="s">
        <v>61</v>
      </c>
      <c r="M35" s="25">
        <v>2020</v>
      </c>
      <c r="N35" s="25" t="s">
        <v>62</v>
      </c>
      <c r="O35" s="26" t="s">
        <v>31</v>
      </c>
      <c r="P35" s="25" t="s">
        <v>34</v>
      </c>
      <c r="Q35" s="26" t="s">
        <v>38</v>
      </c>
      <c r="R35" s="25">
        <v>10</v>
      </c>
      <c r="S35" s="25">
        <v>3.3333333333333333E-2</v>
      </c>
      <c r="T35" s="25">
        <v>3.3333333333333333E-2</v>
      </c>
      <c r="U35" s="25">
        <v>0.26666666666666666</v>
      </c>
    </row>
    <row r="36" spans="1:21" ht="10.8" thickBot="1" x14ac:dyDescent="0.25">
      <c r="A36" s="35" t="s">
        <v>55</v>
      </c>
      <c r="B36" s="35" t="s">
        <v>56</v>
      </c>
      <c r="C36" s="35" t="s">
        <v>57</v>
      </c>
      <c r="D36" s="35" t="s">
        <v>211</v>
      </c>
      <c r="E36" s="35" t="s">
        <v>212</v>
      </c>
      <c r="F36" s="35" t="s">
        <v>213</v>
      </c>
      <c r="G36" s="36" t="s">
        <v>68</v>
      </c>
      <c r="H36" s="37" t="s">
        <v>27</v>
      </c>
      <c r="I36" s="37" t="s">
        <v>59</v>
      </c>
      <c r="J36" s="38" t="s">
        <v>60</v>
      </c>
      <c r="K36" s="33">
        <v>0.5</v>
      </c>
      <c r="L36" s="33" t="s">
        <v>61</v>
      </c>
      <c r="M36" s="25">
        <v>2020</v>
      </c>
      <c r="N36" s="25" t="s">
        <v>62</v>
      </c>
      <c r="O36" s="26" t="s">
        <v>195</v>
      </c>
      <c r="P36" s="25" t="s">
        <v>29</v>
      </c>
      <c r="Q36" s="26" t="s">
        <v>29</v>
      </c>
      <c r="R36" s="25">
        <v>35</v>
      </c>
      <c r="S36" s="25">
        <v>0.17499999999999999</v>
      </c>
      <c r="T36" s="25">
        <v>0.32500000000000001</v>
      </c>
      <c r="U36" s="25">
        <v>0</v>
      </c>
    </row>
    <row r="37" spans="1:21" ht="10.8" thickBot="1" x14ac:dyDescent="0.25">
      <c r="A37" s="35" t="s">
        <v>55</v>
      </c>
      <c r="B37" s="35" t="s">
        <v>56</v>
      </c>
      <c r="C37" s="35" t="s">
        <v>57</v>
      </c>
      <c r="D37" s="35" t="s">
        <v>211</v>
      </c>
      <c r="E37" s="35" t="s">
        <v>212</v>
      </c>
      <c r="F37" s="35" t="s">
        <v>213</v>
      </c>
      <c r="G37" s="36" t="s">
        <v>214</v>
      </c>
      <c r="H37" s="37" t="s">
        <v>27</v>
      </c>
      <c r="I37" s="37" t="s">
        <v>59</v>
      </c>
      <c r="J37" s="38" t="s">
        <v>60</v>
      </c>
      <c r="K37" s="33">
        <v>0.5</v>
      </c>
      <c r="L37" s="33" t="s">
        <v>61</v>
      </c>
      <c r="M37" s="25">
        <v>2020</v>
      </c>
      <c r="N37" s="25" t="s">
        <v>62</v>
      </c>
      <c r="O37" s="26" t="s">
        <v>195</v>
      </c>
      <c r="P37" s="25" t="s">
        <v>29</v>
      </c>
      <c r="Q37" s="26" t="s">
        <v>29</v>
      </c>
      <c r="R37" s="25">
        <v>35</v>
      </c>
      <c r="S37" s="25">
        <v>0.17499999999999999</v>
      </c>
      <c r="T37" s="25">
        <v>0.32500000000000001</v>
      </c>
      <c r="U37" s="25">
        <v>0</v>
      </c>
    </row>
    <row r="38" spans="1:21" x14ac:dyDescent="0.2">
      <c r="A38" s="25" t="s">
        <v>59</v>
      </c>
      <c r="B38" s="25" t="s">
        <v>60</v>
      </c>
      <c r="C38" s="25" t="s">
        <v>57</v>
      </c>
      <c r="D38" s="25" t="s">
        <v>239</v>
      </c>
      <c r="E38" s="25" t="s">
        <v>240</v>
      </c>
      <c r="F38" s="25" t="s">
        <v>241</v>
      </c>
      <c r="G38" s="25" t="s">
        <v>58</v>
      </c>
      <c r="H38" s="25" t="s">
        <v>27</v>
      </c>
      <c r="I38" s="25" t="s">
        <v>59</v>
      </c>
      <c r="J38" s="25" t="s">
        <v>60</v>
      </c>
      <c r="K38" s="33">
        <v>0.5</v>
      </c>
      <c r="L38" s="33" t="s">
        <v>61</v>
      </c>
      <c r="M38" s="25">
        <v>2021</v>
      </c>
      <c r="N38" s="25" t="s">
        <v>62</v>
      </c>
      <c r="O38" s="26" t="s">
        <v>195</v>
      </c>
      <c r="P38" s="25" t="s">
        <v>29</v>
      </c>
      <c r="Q38" s="26" t="s">
        <v>29</v>
      </c>
      <c r="R38" s="25">
        <v>35</v>
      </c>
      <c r="S38" s="25">
        <v>0.17499999999999999</v>
      </c>
      <c r="T38" s="25">
        <v>0.32500000000000001</v>
      </c>
      <c r="U38" s="25">
        <v>0</v>
      </c>
    </row>
    <row r="39" spans="1:21" x14ac:dyDescent="0.2">
      <c r="A39" s="25" t="s">
        <v>59</v>
      </c>
      <c r="B39" s="25" t="s">
        <v>60</v>
      </c>
      <c r="C39" s="25" t="s">
        <v>57</v>
      </c>
      <c r="D39" s="25" t="s">
        <v>239</v>
      </c>
      <c r="E39" s="25" t="s">
        <v>240</v>
      </c>
      <c r="F39" s="25" t="s">
        <v>241</v>
      </c>
      <c r="G39" s="25" t="s">
        <v>69</v>
      </c>
      <c r="H39" s="25" t="s">
        <v>27</v>
      </c>
      <c r="I39" s="25" t="s">
        <v>59</v>
      </c>
      <c r="J39" s="25" t="s">
        <v>60</v>
      </c>
      <c r="K39" s="33">
        <v>0.5</v>
      </c>
      <c r="L39" s="33" t="s">
        <v>61</v>
      </c>
      <c r="M39" s="25">
        <v>2021</v>
      </c>
      <c r="N39" s="25" t="s">
        <v>62</v>
      </c>
      <c r="O39" s="26" t="s">
        <v>195</v>
      </c>
      <c r="P39" s="25" t="s">
        <v>29</v>
      </c>
      <c r="Q39" s="26" t="s">
        <v>29</v>
      </c>
      <c r="R39" s="25">
        <v>35</v>
      </c>
      <c r="S39" s="25">
        <v>0.17499999999999999</v>
      </c>
      <c r="T39" s="25">
        <v>0.32500000000000001</v>
      </c>
      <c r="U39" s="25">
        <v>0</v>
      </c>
    </row>
    <row r="40" spans="1:21" x14ac:dyDescent="0.2">
      <c r="A40" s="25" t="s">
        <v>41</v>
      </c>
      <c r="B40" s="25" t="s">
        <v>42</v>
      </c>
      <c r="C40" s="25" t="s">
        <v>43</v>
      </c>
      <c r="D40" s="25" t="s">
        <v>242</v>
      </c>
      <c r="E40" s="25" t="s">
        <v>243</v>
      </c>
      <c r="F40" s="25" t="s">
        <v>244</v>
      </c>
      <c r="G40" s="25" t="s">
        <v>84</v>
      </c>
      <c r="H40" s="25" t="s">
        <v>27</v>
      </c>
      <c r="I40" s="25" t="s">
        <v>59</v>
      </c>
      <c r="J40" s="25" t="s">
        <v>60</v>
      </c>
      <c r="K40" s="33">
        <v>0.5</v>
      </c>
      <c r="L40" s="33" t="s">
        <v>61</v>
      </c>
      <c r="M40" s="25">
        <v>2021</v>
      </c>
      <c r="N40" s="25" t="s">
        <v>34</v>
      </c>
      <c r="O40" s="26" t="s">
        <v>85</v>
      </c>
      <c r="P40" s="25" t="s">
        <v>62</v>
      </c>
      <c r="Q40" s="26" t="s">
        <v>85</v>
      </c>
      <c r="R40" s="25">
        <v>10</v>
      </c>
      <c r="S40" s="25">
        <v>0.05</v>
      </c>
      <c r="T40" s="25">
        <v>0.22500000000000001</v>
      </c>
      <c r="U40" s="25">
        <v>0.22500000000000001</v>
      </c>
    </row>
    <row r="41" spans="1:21" x14ac:dyDescent="0.2">
      <c r="A41" s="25" t="s">
        <v>55</v>
      </c>
      <c r="B41" s="25" t="s">
        <v>56</v>
      </c>
      <c r="C41" s="25" t="s">
        <v>57</v>
      </c>
      <c r="D41" s="25" t="s">
        <v>245</v>
      </c>
      <c r="E41" s="25" t="s">
        <v>246</v>
      </c>
      <c r="F41" s="25" t="s">
        <v>247</v>
      </c>
      <c r="G41" s="25" t="s">
        <v>58</v>
      </c>
      <c r="H41" s="25" t="s">
        <v>27</v>
      </c>
      <c r="I41" s="25" t="s">
        <v>59</v>
      </c>
      <c r="J41" s="25" t="s">
        <v>60</v>
      </c>
      <c r="K41" s="33">
        <v>0.5</v>
      </c>
      <c r="L41" s="33" t="s">
        <v>61</v>
      </c>
      <c r="M41" s="25">
        <v>2021</v>
      </c>
      <c r="N41" s="25" t="s">
        <v>62</v>
      </c>
      <c r="O41" s="26" t="s">
        <v>195</v>
      </c>
      <c r="P41" s="25" t="s">
        <v>29</v>
      </c>
      <c r="Q41" s="26" t="s">
        <v>29</v>
      </c>
      <c r="R41" s="25">
        <v>35</v>
      </c>
      <c r="S41" s="25">
        <v>0.17499999999999999</v>
      </c>
      <c r="T41" s="25">
        <v>0.32500000000000001</v>
      </c>
      <c r="U41" s="25">
        <v>0</v>
      </c>
    </row>
    <row r="42" spans="1:21" x14ac:dyDescent="0.2">
      <c r="A42" s="25" t="s">
        <v>55</v>
      </c>
      <c r="B42" s="25" t="s">
        <v>56</v>
      </c>
      <c r="C42" s="25" t="s">
        <v>57</v>
      </c>
      <c r="D42" s="25" t="s">
        <v>245</v>
      </c>
      <c r="E42" s="25" t="s">
        <v>246</v>
      </c>
      <c r="F42" s="25" t="s">
        <v>247</v>
      </c>
      <c r="G42" s="25" t="s">
        <v>105</v>
      </c>
      <c r="H42" s="25" t="s">
        <v>27</v>
      </c>
      <c r="I42" s="25" t="s">
        <v>59</v>
      </c>
      <c r="J42" s="25" t="s">
        <v>60</v>
      </c>
      <c r="K42" s="33">
        <v>0.5</v>
      </c>
      <c r="L42" s="33" t="s">
        <v>61</v>
      </c>
      <c r="M42" s="25">
        <v>2021</v>
      </c>
      <c r="N42" s="25" t="s">
        <v>62</v>
      </c>
      <c r="O42" s="26" t="s">
        <v>195</v>
      </c>
      <c r="P42" s="25" t="s">
        <v>29</v>
      </c>
      <c r="Q42" s="26" t="s">
        <v>29</v>
      </c>
      <c r="R42" s="25">
        <v>35</v>
      </c>
      <c r="S42" s="25">
        <v>0.17499999999999999</v>
      </c>
      <c r="T42" s="25">
        <v>0.32500000000000001</v>
      </c>
      <c r="U42" s="25">
        <v>0</v>
      </c>
    </row>
    <row r="43" spans="1:21" x14ac:dyDescent="0.2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4"/>
      <c r="P43" s="53"/>
      <c r="Q43" s="54"/>
      <c r="R43" s="53"/>
      <c r="S43" s="60">
        <f>SUM(S2:S42)</f>
        <v>5.3333333333333304</v>
      </c>
      <c r="T43" s="53"/>
      <c r="U43" s="53"/>
    </row>
  </sheetData>
  <autoFilter ref="A1:U1" xr:uid="{00000000-0009-0000-0000-000000000000}">
    <sortState xmlns:xlrd2="http://schemas.microsoft.com/office/spreadsheetml/2017/richdata2" ref="A2:T1862">
      <sortCondition ref="K2:K1862"/>
      <sortCondition ref="L2:L1862"/>
      <sortCondition ref="D2:D1862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26"/>
  <sheetViews>
    <sheetView topLeftCell="A4" zoomScaleNormal="100" workbookViewId="0">
      <selection activeCell="S26" sqref="S26"/>
    </sheetView>
  </sheetViews>
  <sheetFormatPr baseColWidth="10" defaultColWidth="11.44140625" defaultRowHeight="13.2" x14ac:dyDescent="0.25"/>
  <cols>
    <col min="1" max="1" width="10.5546875" style="18" bestFit="1" customWidth="1"/>
    <col min="2" max="2" width="48.33203125" style="18" bestFit="1" customWidth="1"/>
    <col min="3" max="3" width="14.5546875" style="18" bestFit="1" customWidth="1"/>
    <col min="4" max="9" width="3.33203125" style="18" bestFit="1" customWidth="1"/>
    <col min="10" max="10" width="13.109375" style="18" bestFit="1" customWidth="1"/>
    <col min="11" max="11" width="5.33203125" style="18" bestFit="1" customWidth="1"/>
    <col min="12" max="13" width="5.6640625" style="18" bestFit="1" customWidth="1"/>
    <col min="14" max="14" width="5.6640625" style="19" bestFit="1" customWidth="1"/>
    <col min="15" max="15" width="5.6640625" style="18" bestFit="1" customWidth="1"/>
    <col min="16" max="16" width="5.6640625" style="19" bestFit="1" customWidth="1"/>
    <col min="17" max="19" width="5.6640625" style="18" bestFit="1" customWidth="1"/>
    <col min="20" max="16384" width="11.44140625" style="18"/>
  </cols>
  <sheetData>
    <row r="1" spans="1:19" s="17" customFormat="1" ht="60" customHeight="1" x14ac:dyDescent="0.25">
      <c r="A1" s="20" t="s">
        <v>117</v>
      </c>
      <c r="B1" s="20" t="s">
        <v>118</v>
      </c>
      <c r="C1" s="20" t="s">
        <v>119</v>
      </c>
      <c r="D1" s="21">
        <v>2017</v>
      </c>
      <c r="E1" s="21">
        <v>2018</v>
      </c>
      <c r="F1" s="21">
        <v>2019</v>
      </c>
      <c r="G1" s="21">
        <v>2020</v>
      </c>
      <c r="H1" s="21">
        <v>2021</v>
      </c>
      <c r="I1" s="21">
        <v>2022</v>
      </c>
      <c r="J1" s="20" t="s">
        <v>120</v>
      </c>
      <c r="K1" s="22" t="s">
        <v>194</v>
      </c>
      <c r="L1" s="15" t="s">
        <v>121</v>
      </c>
      <c r="M1" s="15" t="s">
        <v>122</v>
      </c>
      <c r="N1" s="15" t="s">
        <v>123</v>
      </c>
      <c r="O1" s="15" t="s">
        <v>124</v>
      </c>
      <c r="P1" s="16" t="s">
        <v>125</v>
      </c>
      <c r="Q1" s="16" t="s">
        <v>126</v>
      </c>
      <c r="R1" s="16" t="s">
        <v>127</v>
      </c>
      <c r="S1" s="16" t="s">
        <v>128</v>
      </c>
    </row>
    <row r="2" spans="1:19" ht="14.4" x14ac:dyDescent="0.3">
      <c r="A2" s="23" t="s">
        <v>156</v>
      </c>
      <c r="B2" s="23" t="s">
        <v>157</v>
      </c>
      <c r="C2" s="23">
        <v>6</v>
      </c>
      <c r="D2" s="23"/>
      <c r="E2" s="23"/>
      <c r="F2" s="23">
        <v>1</v>
      </c>
      <c r="G2" s="23"/>
      <c r="H2" s="23"/>
      <c r="I2" s="23">
        <v>1</v>
      </c>
      <c r="J2" s="23">
        <v>2</v>
      </c>
      <c r="K2" s="23" t="s">
        <v>61</v>
      </c>
      <c r="L2" s="24" t="s">
        <v>34</v>
      </c>
      <c r="M2" s="24" t="s">
        <v>31</v>
      </c>
      <c r="N2" s="24" t="s">
        <v>62</v>
      </c>
      <c r="O2" s="24" t="s">
        <v>195</v>
      </c>
      <c r="P2" s="24">
        <v>25</v>
      </c>
      <c r="Q2" s="24">
        <v>0.2</v>
      </c>
      <c r="R2" s="24">
        <v>1.3</v>
      </c>
      <c r="S2" s="24">
        <v>0.5</v>
      </c>
    </row>
    <row r="3" spans="1:19" ht="14.4" x14ac:dyDescent="0.3">
      <c r="A3" s="23" t="s">
        <v>160</v>
      </c>
      <c r="B3" s="23" t="s">
        <v>161</v>
      </c>
      <c r="C3" s="23">
        <v>6</v>
      </c>
      <c r="D3" s="23"/>
      <c r="E3" s="23"/>
      <c r="F3" s="23">
        <v>1</v>
      </c>
      <c r="G3" s="23"/>
      <c r="H3" s="23"/>
      <c r="I3" s="23"/>
      <c r="J3" s="23">
        <v>1</v>
      </c>
      <c r="K3" s="23" t="s">
        <v>61</v>
      </c>
      <c r="L3" s="24" t="s">
        <v>62</v>
      </c>
      <c r="M3" s="24" t="s">
        <v>195</v>
      </c>
      <c r="N3" s="24" t="s">
        <v>29</v>
      </c>
      <c r="O3" s="24" t="s">
        <v>29</v>
      </c>
      <c r="P3" s="24">
        <v>35</v>
      </c>
      <c r="Q3" s="24">
        <v>0.65</v>
      </c>
      <c r="R3" s="24">
        <v>0</v>
      </c>
      <c r="S3" s="24">
        <v>0.35</v>
      </c>
    </row>
    <row r="4" spans="1:19" ht="14.4" x14ac:dyDescent="0.3">
      <c r="A4" s="23" t="s">
        <v>154</v>
      </c>
      <c r="B4" s="23" t="s">
        <v>155</v>
      </c>
      <c r="C4" s="23" t="s">
        <v>129</v>
      </c>
      <c r="D4" s="23"/>
      <c r="E4" s="23">
        <v>1</v>
      </c>
      <c r="F4" s="23"/>
      <c r="G4" s="23"/>
      <c r="H4" s="23"/>
      <c r="I4" s="23"/>
      <c r="J4" s="23">
        <v>1</v>
      </c>
      <c r="K4" s="23" t="s">
        <v>61</v>
      </c>
      <c r="L4" s="24" t="s">
        <v>62</v>
      </c>
      <c r="M4" s="24" t="s">
        <v>195</v>
      </c>
      <c r="N4" s="24" t="s">
        <v>29</v>
      </c>
      <c r="O4" s="24" t="s">
        <v>29</v>
      </c>
      <c r="P4" s="24">
        <v>35</v>
      </c>
      <c r="Q4" s="24">
        <v>0.65</v>
      </c>
      <c r="R4" s="24">
        <v>0</v>
      </c>
      <c r="S4" s="24">
        <v>0.35</v>
      </c>
    </row>
    <row r="5" spans="1:19" ht="14.4" x14ac:dyDescent="0.3">
      <c r="A5" s="23" t="s">
        <v>140</v>
      </c>
      <c r="B5" s="23" t="s">
        <v>141</v>
      </c>
      <c r="C5" s="23" t="s">
        <v>129</v>
      </c>
      <c r="D5" s="23"/>
      <c r="E5" s="23"/>
      <c r="F5" s="23"/>
      <c r="G5" s="23">
        <v>1</v>
      </c>
      <c r="H5" s="23"/>
      <c r="I5" s="23"/>
      <c r="J5" s="23">
        <v>1</v>
      </c>
      <c r="K5" s="23" t="s">
        <v>61</v>
      </c>
      <c r="L5" s="24" t="s">
        <v>62</v>
      </c>
      <c r="M5" s="24" t="s">
        <v>44</v>
      </c>
      <c r="N5" s="24" t="s">
        <v>34</v>
      </c>
      <c r="O5" s="24" t="s">
        <v>196</v>
      </c>
      <c r="P5" s="24">
        <v>40</v>
      </c>
      <c r="Q5" s="24">
        <v>0.4</v>
      </c>
      <c r="R5" s="24">
        <v>0.2</v>
      </c>
      <c r="S5" s="24">
        <v>0.4</v>
      </c>
    </row>
    <row r="6" spans="1:19" ht="14.4" x14ac:dyDescent="0.3">
      <c r="A6" s="23" t="s">
        <v>136</v>
      </c>
      <c r="B6" s="23" t="s">
        <v>137</v>
      </c>
      <c r="C6" s="23" t="s">
        <v>129</v>
      </c>
      <c r="D6" s="23"/>
      <c r="E6" s="23"/>
      <c r="F6" s="23"/>
      <c r="G6" s="23"/>
      <c r="H6" s="23"/>
      <c r="I6" s="23">
        <v>1</v>
      </c>
      <c r="J6" s="23">
        <v>1</v>
      </c>
      <c r="K6" s="23" t="s">
        <v>61</v>
      </c>
      <c r="L6" s="24" t="s">
        <v>62</v>
      </c>
      <c r="M6" s="24" t="s">
        <v>44</v>
      </c>
      <c r="N6" s="24" t="s">
        <v>34</v>
      </c>
      <c r="O6" s="24" t="s">
        <v>196</v>
      </c>
      <c r="P6" s="24">
        <v>40</v>
      </c>
      <c r="Q6" s="24">
        <v>0.4</v>
      </c>
      <c r="R6" s="24">
        <v>0.2</v>
      </c>
      <c r="S6" s="24">
        <v>0.4</v>
      </c>
    </row>
    <row r="7" spans="1:19" ht="14.4" x14ac:dyDescent="0.3">
      <c r="A7" s="23" t="s">
        <v>162</v>
      </c>
      <c r="B7" s="23" t="s">
        <v>163</v>
      </c>
      <c r="C7" s="23">
        <v>6</v>
      </c>
      <c r="D7" s="23">
        <v>1</v>
      </c>
      <c r="E7" s="23"/>
      <c r="F7" s="23">
        <v>1</v>
      </c>
      <c r="G7" s="23"/>
      <c r="H7" s="23"/>
      <c r="I7" s="23">
        <v>1</v>
      </c>
      <c r="J7" s="23">
        <v>3</v>
      </c>
      <c r="K7" s="23" t="s">
        <v>61</v>
      </c>
      <c r="L7" s="24" t="s">
        <v>62</v>
      </c>
      <c r="M7" s="24" t="s">
        <v>195</v>
      </c>
      <c r="N7" s="24" t="s">
        <v>29</v>
      </c>
      <c r="O7" s="24" t="s">
        <v>29</v>
      </c>
      <c r="P7" s="24">
        <v>35</v>
      </c>
      <c r="Q7" s="24">
        <v>1.95</v>
      </c>
      <c r="R7" s="24">
        <v>0</v>
      </c>
      <c r="S7" s="24">
        <v>1.05</v>
      </c>
    </row>
    <row r="8" spans="1:19" ht="14.4" x14ac:dyDescent="0.3">
      <c r="A8" s="23" t="s">
        <v>150</v>
      </c>
      <c r="B8" s="23" t="s">
        <v>151</v>
      </c>
      <c r="C8" s="23">
        <v>6</v>
      </c>
      <c r="D8" s="23"/>
      <c r="E8" s="23"/>
      <c r="F8" s="23">
        <v>1</v>
      </c>
      <c r="G8" s="23">
        <v>1</v>
      </c>
      <c r="H8" s="23"/>
      <c r="I8" s="23"/>
      <c r="J8" s="23">
        <v>2</v>
      </c>
      <c r="K8" s="23" t="s">
        <v>61</v>
      </c>
      <c r="L8" s="24" t="s">
        <v>62</v>
      </c>
      <c r="M8" s="24" t="s">
        <v>195</v>
      </c>
      <c r="N8" s="24" t="s">
        <v>29</v>
      </c>
      <c r="O8" s="24" t="s">
        <v>29</v>
      </c>
      <c r="P8" s="24">
        <v>35</v>
      </c>
      <c r="Q8" s="24">
        <v>1.3</v>
      </c>
      <c r="R8" s="24">
        <v>0</v>
      </c>
      <c r="S8" s="24">
        <v>0.7</v>
      </c>
    </row>
    <row r="9" spans="1:19" ht="14.4" x14ac:dyDescent="0.3">
      <c r="A9" s="23" t="s">
        <v>132</v>
      </c>
      <c r="B9" s="23" t="s">
        <v>133</v>
      </c>
      <c r="C9" s="23" t="s">
        <v>129</v>
      </c>
      <c r="D9" s="23">
        <v>1</v>
      </c>
      <c r="E9" s="23"/>
      <c r="F9" s="23"/>
      <c r="G9" s="23"/>
      <c r="H9" s="23"/>
      <c r="I9" s="23"/>
      <c r="J9" s="23">
        <v>1</v>
      </c>
      <c r="K9" s="23" t="s">
        <v>61</v>
      </c>
      <c r="L9" s="24" t="s">
        <v>62</v>
      </c>
      <c r="M9" s="24" t="s">
        <v>44</v>
      </c>
      <c r="N9" s="24" t="s">
        <v>34</v>
      </c>
      <c r="O9" s="24" t="s">
        <v>31</v>
      </c>
      <c r="P9" s="24">
        <v>50</v>
      </c>
      <c r="Q9" s="24">
        <v>0.4</v>
      </c>
      <c r="R9" s="24">
        <v>0.1</v>
      </c>
      <c r="S9" s="24">
        <v>0.5</v>
      </c>
    </row>
    <row r="10" spans="1:19" ht="14.4" x14ac:dyDescent="0.3">
      <c r="A10" s="23" t="s">
        <v>138</v>
      </c>
      <c r="B10" s="23" t="s">
        <v>139</v>
      </c>
      <c r="C10" s="23" t="s">
        <v>129</v>
      </c>
      <c r="D10" s="23">
        <v>1</v>
      </c>
      <c r="E10" s="23"/>
      <c r="F10" s="23"/>
      <c r="G10" s="23"/>
      <c r="H10" s="23"/>
      <c r="I10" s="23"/>
      <c r="J10" s="23">
        <v>1</v>
      </c>
      <c r="K10" s="23" t="s">
        <v>61</v>
      </c>
      <c r="L10" s="24" t="s">
        <v>62</v>
      </c>
      <c r="M10" s="24" t="s">
        <v>195</v>
      </c>
      <c r="N10" s="24" t="s">
        <v>29</v>
      </c>
      <c r="O10" s="24" t="s">
        <v>29</v>
      </c>
      <c r="P10" s="24">
        <v>35</v>
      </c>
      <c r="Q10" s="24">
        <v>0.65</v>
      </c>
      <c r="R10" s="24">
        <v>0</v>
      </c>
      <c r="S10" s="24">
        <v>0.35</v>
      </c>
    </row>
    <row r="11" spans="1:19" ht="14.4" x14ac:dyDescent="0.3">
      <c r="A11" s="23" t="s">
        <v>144</v>
      </c>
      <c r="B11" s="23" t="s">
        <v>145</v>
      </c>
      <c r="C11" s="23" t="s">
        <v>129</v>
      </c>
      <c r="D11" s="23"/>
      <c r="E11" s="23">
        <v>1</v>
      </c>
      <c r="F11" s="23"/>
      <c r="G11" s="23"/>
      <c r="H11" s="23"/>
      <c r="I11" s="23"/>
      <c r="J11" s="23">
        <v>1</v>
      </c>
      <c r="K11" s="23" t="s">
        <v>61</v>
      </c>
      <c r="L11" s="24" t="s">
        <v>62</v>
      </c>
      <c r="M11" s="24" t="s">
        <v>195</v>
      </c>
      <c r="N11" s="24" t="s">
        <v>29</v>
      </c>
      <c r="O11" s="24" t="s">
        <v>29</v>
      </c>
      <c r="P11" s="24">
        <v>35</v>
      </c>
      <c r="Q11" s="24">
        <v>0.65</v>
      </c>
      <c r="R11" s="24">
        <v>0</v>
      </c>
      <c r="S11" s="24">
        <v>0.35</v>
      </c>
    </row>
    <row r="12" spans="1:19" ht="14.4" x14ac:dyDescent="0.3">
      <c r="A12" s="23" t="s">
        <v>158</v>
      </c>
      <c r="B12" s="23" t="s">
        <v>159</v>
      </c>
      <c r="C12" s="23" t="s">
        <v>129</v>
      </c>
      <c r="D12" s="23"/>
      <c r="E12" s="23"/>
      <c r="F12" s="23"/>
      <c r="G12" s="23">
        <v>1</v>
      </c>
      <c r="H12" s="23"/>
      <c r="I12" s="23"/>
      <c r="J12" s="23">
        <v>1</v>
      </c>
      <c r="K12" s="23" t="s">
        <v>61</v>
      </c>
      <c r="L12" s="24" t="s">
        <v>62</v>
      </c>
      <c r="M12" s="24" t="s">
        <v>195</v>
      </c>
      <c r="N12" s="24" t="s">
        <v>29</v>
      </c>
      <c r="O12" s="24" t="s">
        <v>29</v>
      </c>
      <c r="P12" s="24">
        <v>35</v>
      </c>
      <c r="Q12" s="24">
        <v>0.65</v>
      </c>
      <c r="R12" s="24">
        <v>0</v>
      </c>
      <c r="S12" s="24">
        <v>0.35</v>
      </c>
    </row>
    <row r="13" spans="1:19" ht="14.4" x14ac:dyDescent="0.3">
      <c r="A13" s="23" t="s">
        <v>166</v>
      </c>
      <c r="B13" s="23" t="s">
        <v>167</v>
      </c>
      <c r="C13" s="23" t="s">
        <v>129</v>
      </c>
      <c r="D13" s="23">
        <v>1</v>
      </c>
      <c r="E13" s="23"/>
      <c r="F13" s="23"/>
      <c r="G13" s="23"/>
      <c r="H13" s="23"/>
      <c r="I13" s="23"/>
      <c r="J13" s="23">
        <v>1</v>
      </c>
      <c r="K13" s="23" t="s">
        <v>61</v>
      </c>
      <c r="L13" s="24" t="s">
        <v>62</v>
      </c>
      <c r="M13" s="24" t="s">
        <v>195</v>
      </c>
      <c r="N13" s="24" t="s">
        <v>29</v>
      </c>
      <c r="O13" s="24" t="s">
        <v>29</v>
      </c>
      <c r="P13" s="24">
        <v>35</v>
      </c>
      <c r="Q13" s="24">
        <v>0.65</v>
      </c>
      <c r="R13" s="24">
        <v>0</v>
      </c>
      <c r="S13" s="24">
        <v>0.35</v>
      </c>
    </row>
    <row r="14" spans="1:19" ht="14.4" x14ac:dyDescent="0.3">
      <c r="A14" s="23" t="s">
        <v>152</v>
      </c>
      <c r="B14" s="23" t="s">
        <v>153</v>
      </c>
      <c r="C14" s="23" t="s">
        <v>129</v>
      </c>
      <c r="D14" s="23"/>
      <c r="E14" s="23">
        <v>1</v>
      </c>
      <c r="F14" s="23"/>
      <c r="G14" s="23"/>
      <c r="H14" s="23"/>
      <c r="I14" s="23"/>
      <c r="J14" s="23">
        <v>1</v>
      </c>
      <c r="K14" s="23" t="s">
        <v>61</v>
      </c>
      <c r="L14" s="24" t="s">
        <v>62</v>
      </c>
      <c r="M14" s="24" t="s">
        <v>195</v>
      </c>
      <c r="N14" s="24" t="s">
        <v>29</v>
      </c>
      <c r="O14" s="24" t="s">
        <v>29</v>
      </c>
      <c r="P14" s="24">
        <v>35</v>
      </c>
      <c r="Q14" s="24">
        <v>0.65</v>
      </c>
      <c r="R14" s="24">
        <v>0</v>
      </c>
      <c r="S14" s="24">
        <v>0.35</v>
      </c>
    </row>
    <row r="15" spans="1:19" ht="14.4" x14ac:dyDescent="0.3">
      <c r="A15" s="23" t="s">
        <v>172</v>
      </c>
      <c r="B15" s="23" t="s">
        <v>173</v>
      </c>
      <c r="C15" s="23" t="s">
        <v>129</v>
      </c>
      <c r="D15" s="23"/>
      <c r="E15" s="23"/>
      <c r="F15" s="23"/>
      <c r="G15" s="23"/>
      <c r="H15" s="23">
        <v>1</v>
      </c>
      <c r="I15" s="23"/>
      <c r="J15" s="23">
        <v>1</v>
      </c>
      <c r="K15" s="23" t="s">
        <v>61</v>
      </c>
      <c r="L15" s="24" t="s">
        <v>34</v>
      </c>
      <c r="M15" s="24" t="s">
        <v>31</v>
      </c>
      <c r="N15" s="24" t="s">
        <v>62</v>
      </c>
      <c r="O15" s="24" t="s">
        <v>195</v>
      </c>
      <c r="P15" s="24">
        <v>25</v>
      </c>
      <c r="Q15" s="24">
        <v>0.1</v>
      </c>
      <c r="R15" s="24">
        <v>0.65</v>
      </c>
      <c r="S15" s="24">
        <v>0.25</v>
      </c>
    </row>
    <row r="16" spans="1:19" ht="14.4" x14ac:dyDescent="0.3">
      <c r="A16" s="23" t="s">
        <v>170</v>
      </c>
      <c r="B16" s="23" t="s">
        <v>171</v>
      </c>
      <c r="C16" s="23" t="s">
        <v>129</v>
      </c>
      <c r="D16" s="23"/>
      <c r="E16" s="23">
        <v>2</v>
      </c>
      <c r="F16" s="23"/>
      <c r="G16" s="23"/>
      <c r="H16" s="23">
        <v>1</v>
      </c>
      <c r="I16" s="23"/>
      <c r="J16" s="23">
        <v>3</v>
      </c>
      <c r="K16" s="23" t="s">
        <v>61</v>
      </c>
      <c r="L16" s="24" t="s">
        <v>62</v>
      </c>
      <c r="M16" s="24" t="s">
        <v>195</v>
      </c>
      <c r="N16" s="24" t="s">
        <v>29</v>
      </c>
      <c r="O16" s="24" t="s">
        <v>29</v>
      </c>
      <c r="P16" s="24">
        <v>35</v>
      </c>
      <c r="Q16" s="24">
        <v>1.95</v>
      </c>
      <c r="R16" s="24">
        <v>0</v>
      </c>
      <c r="S16" s="24">
        <v>1.05</v>
      </c>
    </row>
    <row r="17" spans="1:19" ht="14.4" x14ac:dyDescent="0.3">
      <c r="A17" s="23" t="s">
        <v>168</v>
      </c>
      <c r="B17" s="23" t="s">
        <v>169</v>
      </c>
      <c r="C17" s="23" t="s">
        <v>129</v>
      </c>
      <c r="D17" s="23"/>
      <c r="E17" s="23">
        <v>2</v>
      </c>
      <c r="F17" s="23"/>
      <c r="G17" s="23">
        <v>1</v>
      </c>
      <c r="H17" s="23"/>
      <c r="I17" s="23"/>
      <c r="J17" s="23">
        <v>3</v>
      </c>
      <c r="K17" s="23" t="s">
        <v>61</v>
      </c>
      <c r="L17" s="24" t="s">
        <v>62</v>
      </c>
      <c r="M17" s="24" t="s">
        <v>195</v>
      </c>
      <c r="N17" s="24" t="s">
        <v>29</v>
      </c>
      <c r="O17" s="24" t="s">
        <v>29</v>
      </c>
      <c r="P17" s="24">
        <v>35</v>
      </c>
      <c r="Q17" s="24">
        <v>1.95</v>
      </c>
      <c r="R17" s="24">
        <v>0</v>
      </c>
      <c r="S17" s="24">
        <v>1.05</v>
      </c>
    </row>
    <row r="18" spans="1:19" ht="14.4" x14ac:dyDescent="0.3">
      <c r="A18" s="23" t="s">
        <v>164</v>
      </c>
      <c r="B18" s="23" t="s">
        <v>165</v>
      </c>
      <c r="C18" s="23" t="s">
        <v>129</v>
      </c>
      <c r="D18" s="23">
        <v>2</v>
      </c>
      <c r="E18" s="23"/>
      <c r="F18" s="23"/>
      <c r="G18" s="23"/>
      <c r="H18" s="23"/>
      <c r="I18" s="23"/>
      <c r="J18" s="23">
        <v>2</v>
      </c>
      <c r="K18" s="23" t="s">
        <v>61</v>
      </c>
      <c r="L18" s="24" t="s">
        <v>34</v>
      </c>
      <c r="M18" s="24" t="s">
        <v>31</v>
      </c>
      <c r="N18" s="24" t="s">
        <v>62</v>
      </c>
      <c r="O18" s="24" t="s">
        <v>195</v>
      </c>
      <c r="P18" s="24">
        <v>25</v>
      </c>
      <c r="Q18" s="24">
        <v>0.2</v>
      </c>
      <c r="R18" s="24">
        <v>1.3</v>
      </c>
      <c r="S18" s="24">
        <v>0.5</v>
      </c>
    </row>
    <row r="19" spans="1:19" ht="14.4" x14ac:dyDescent="0.3">
      <c r="A19" s="23" t="s">
        <v>134</v>
      </c>
      <c r="B19" s="23" t="s">
        <v>135</v>
      </c>
      <c r="C19" s="23" t="s">
        <v>129</v>
      </c>
      <c r="D19" s="23"/>
      <c r="E19" s="23">
        <v>1</v>
      </c>
      <c r="F19" s="23">
        <v>1</v>
      </c>
      <c r="G19" s="23"/>
      <c r="H19" s="23"/>
      <c r="I19" s="23"/>
      <c r="J19" s="23">
        <v>2</v>
      </c>
      <c r="K19" s="23" t="s">
        <v>61</v>
      </c>
      <c r="L19" s="24" t="s">
        <v>62</v>
      </c>
      <c r="M19" s="24" t="s">
        <v>195</v>
      </c>
      <c r="N19" s="24" t="s">
        <v>29</v>
      </c>
      <c r="O19" s="24" t="s">
        <v>29</v>
      </c>
      <c r="P19" s="24">
        <v>35</v>
      </c>
      <c r="Q19" s="24">
        <v>1.3</v>
      </c>
      <c r="R19" s="24">
        <v>0</v>
      </c>
      <c r="S19" s="24">
        <v>0.7</v>
      </c>
    </row>
    <row r="20" spans="1:19" ht="14.4" x14ac:dyDescent="0.3">
      <c r="A20" s="23" t="s">
        <v>142</v>
      </c>
      <c r="B20" s="23" t="s">
        <v>143</v>
      </c>
      <c r="C20" s="23" t="s">
        <v>129</v>
      </c>
      <c r="D20" s="23">
        <v>1</v>
      </c>
      <c r="E20" s="23"/>
      <c r="F20" s="23">
        <v>1</v>
      </c>
      <c r="G20" s="23"/>
      <c r="H20" s="23"/>
      <c r="I20" s="23"/>
      <c r="J20" s="23">
        <v>2</v>
      </c>
      <c r="K20" s="23" t="s">
        <v>61</v>
      </c>
      <c r="L20" s="24" t="s">
        <v>62</v>
      </c>
      <c r="M20" s="24" t="s">
        <v>195</v>
      </c>
      <c r="N20" s="24" t="s">
        <v>29</v>
      </c>
      <c r="O20" s="24" t="s">
        <v>29</v>
      </c>
      <c r="P20" s="24">
        <v>35</v>
      </c>
      <c r="Q20" s="24">
        <v>1.3</v>
      </c>
      <c r="R20" s="24">
        <v>0</v>
      </c>
      <c r="S20" s="24">
        <v>0.7</v>
      </c>
    </row>
    <row r="21" spans="1:19" ht="14.4" x14ac:dyDescent="0.3">
      <c r="A21" s="23" t="s">
        <v>197</v>
      </c>
      <c r="B21" s="23" t="s">
        <v>198</v>
      </c>
      <c r="C21" s="23" t="s">
        <v>129</v>
      </c>
      <c r="D21" s="23"/>
      <c r="E21" s="23"/>
      <c r="F21" s="23">
        <v>2</v>
      </c>
      <c r="G21" s="23">
        <v>1</v>
      </c>
      <c r="H21" s="23"/>
      <c r="I21" s="23"/>
      <c r="J21" s="23">
        <v>3</v>
      </c>
      <c r="K21" s="23" t="s">
        <v>61</v>
      </c>
      <c r="L21" s="24" t="s">
        <v>34</v>
      </c>
      <c r="M21" s="24" t="s">
        <v>31</v>
      </c>
      <c r="N21" s="24" t="s">
        <v>62</v>
      </c>
      <c r="O21" s="24" t="s">
        <v>195</v>
      </c>
      <c r="P21" s="24">
        <v>25</v>
      </c>
      <c r="Q21" s="24">
        <v>0.3</v>
      </c>
      <c r="R21" s="24">
        <v>1.95</v>
      </c>
      <c r="S21" s="24">
        <v>0.75</v>
      </c>
    </row>
    <row r="22" spans="1:19" ht="14.4" x14ac:dyDescent="0.3">
      <c r="A22" s="23" t="s">
        <v>146</v>
      </c>
      <c r="B22" s="23" t="s">
        <v>147</v>
      </c>
      <c r="C22" s="23" t="s">
        <v>129</v>
      </c>
      <c r="D22" s="23"/>
      <c r="E22" s="23"/>
      <c r="F22" s="23">
        <v>2</v>
      </c>
      <c r="G22" s="23"/>
      <c r="H22" s="23"/>
      <c r="I22" s="23">
        <v>1</v>
      </c>
      <c r="J22" s="23">
        <v>3</v>
      </c>
      <c r="K22" s="23" t="s">
        <v>61</v>
      </c>
      <c r="L22" s="24" t="s">
        <v>62</v>
      </c>
      <c r="M22" s="24" t="s">
        <v>195</v>
      </c>
      <c r="N22" s="24" t="s">
        <v>29</v>
      </c>
      <c r="O22" s="24" t="s">
        <v>29</v>
      </c>
      <c r="P22" s="24">
        <v>35</v>
      </c>
      <c r="Q22" s="24">
        <v>1.95</v>
      </c>
      <c r="R22" s="24">
        <v>0</v>
      </c>
      <c r="S22" s="24">
        <v>1.05</v>
      </c>
    </row>
    <row r="23" spans="1:19" ht="14.4" x14ac:dyDescent="0.3">
      <c r="A23" s="23" t="s">
        <v>130</v>
      </c>
      <c r="B23" s="23" t="s">
        <v>131</v>
      </c>
      <c r="C23" s="23" t="s">
        <v>129</v>
      </c>
      <c r="D23" s="23"/>
      <c r="E23" s="23">
        <v>2</v>
      </c>
      <c r="F23" s="23"/>
      <c r="G23" s="23"/>
      <c r="H23" s="23">
        <v>1</v>
      </c>
      <c r="I23" s="23"/>
      <c r="J23" s="23">
        <v>3</v>
      </c>
      <c r="K23" s="23" t="s">
        <v>61</v>
      </c>
      <c r="L23" s="24" t="s">
        <v>62</v>
      </c>
      <c r="M23" s="24" t="s">
        <v>195</v>
      </c>
      <c r="N23" s="24" t="s">
        <v>29</v>
      </c>
      <c r="O23" s="24" t="s">
        <v>29</v>
      </c>
      <c r="P23" s="24">
        <v>35</v>
      </c>
      <c r="Q23" s="24">
        <v>1.95</v>
      </c>
      <c r="R23" s="24">
        <v>0</v>
      </c>
      <c r="S23" s="24">
        <v>1.05</v>
      </c>
    </row>
    <row r="24" spans="1:19" ht="14.4" x14ac:dyDescent="0.3">
      <c r="A24" s="23" t="s">
        <v>248</v>
      </c>
      <c r="B24" s="23" t="s">
        <v>249</v>
      </c>
      <c r="C24" s="23" t="s">
        <v>250</v>
      </c>
      <c r="D24" s="23"/>
      <c r="E24" s="23"/>
      <c r="F24" s="23"/>
      <c r="G24" s="23"/>
      <c r="H24" s="23">
        <v>1</v>
      </c>
      <c r="I24" s="23">
        <v>1</v>
      </c>
      <c r="J24" s="23">
        <v>2</v>
      </c>
      <c r="K24" s="23" t="s">
        <v>61</v>
      </c>
      <c r="L24" s="24" t="s">
        <v>62</v>
      </c>
      <c r="M24" s="24" t="s">
        <v>32</v>
      </c>
      <c r="N24" s="24" t="s">
        <v>29</v>
      </c>
      <c r="O24" s="24" t="s">
        <v>29</v>
      </c>
      <c r="P24" s="24">
        <v>10</v>
      </c>
      <c r="Q24" s="24">
        <v>1.8</v>
      </c>
      <c r="R24" s="24">
        <v>0</v>
      </c>
      <c r="S24" s="24">
        <v>0.2</v>
      </c>
    </row>
    <row r="25" spans="1:19" ht="14.4" x14ac:dyDescent="0.3">
      <c r="A25" s="23" t="s">
        <v>148</v>
      </c>
      <c r="B25" s="23" t="s">
        <v>149</v>
      </c>
      <c r="C25" s="23" t="s">
        <v>129</v>
      </c>
      <c r="D25" s="23"/>
      <c r="E25" s="23"/>
      <c r="F25" s="23">
        <v>1</v>
      </c>
      <c r="G25" s="23"/>
      <c r="H25" s="23"/>
      <c r="I25" s="23">
        <v>1</v>
      </c>
      <c r="J25" s="23">
        <v>2</v>
      </c>
      <c r="K25" s="23" t="s">
        <v>61</v>
      </c>
      <c r="L25" s="24" t="s">
        <v>34</v>
      </c>
      <c r="M25" s="24" t="s">
        <v>31</v>
      </c>
      <c r="N25" s="24" t="s">
        <v>62</v>
      </c>
      <c r="O25" s="24" t="s">
        <v>199</v>
      </c>
      <c r="P25" s="24">
        <v>35</v>
      </c>
      <c r="Q25" s="24">
        <v>0.2</v>
      </c>
      <c r="R25" s="24">
        <v>1.1000000000000001</v>
      </c>
      <c r="S25" s="24">
        <v>0.7</v>
      </c>
    </row>
    <row r="26" spans="1:19" ht="14.4" x14ac:dyDescent="0.3">
      <c r="A26" s="55"/>
      <c r="B26" s="55"/>
      <c r="C26" s="56"/>
      <c r="D26" s="55"/>
      <c r="E26" s="55"/>
      <c r="F26" s="55"/>
      <c r="G26" s="55"/>
      <c r="H26" s="55"/>
      <c r="I26" s="55"/>
      <c r="J26" s="57"/>
      <c r="K26" s="55"/>
      <c r="L26" s="55"/>
      <c r="M26" s="55"/>
      <c r="N26" s="55"/>
      <c r="O26" s="55"/>
      <c r="P26" s="55"/>
      <c r="Q26" s="55"/>
      <c r="R26" s="55"/>
      <c r="S26" s="61">
        <f>SUM(S2:S25)</f>
        <v>13.999999999999996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8"/>
  <sheetViews>
    <sheetView zoomScaleNormal="100" workbookViewId="0">
      <selection activeCell="A28" sqref="A28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3</v>
      </c>
      <c r="B2" s="5"/>
    </row>
    <row r="3" spans="1:2" x14ac:dyDescent="0.2">
      <c r="A3" s="4" t="s">
        <v>174</v>
      </c>
      <c r="B3" s="5">
        <v>3000</v>
      </c>
    </row>
    <row r="4" spans="1:2" x14ac:dyDescent="0.2">
      <c r="A4" s="4" t="s">
        <v>4</v>
      </c>
      <c r="B4" s="5"/>
    </row>
    <row r="5" spans="1:2" x14ac:dyDescent="0.2">
      <c r="A5" s="4" t="s">
        <v>175</v>
      </c>
      <c r="B5" s="5">
        <v>1800</v>
      </c>
    </row>
    <row r="6" spans="1:2" x14ac:dyDescent="0.2">
      <c r="A6" s="4" t="s">
        <v>176</v>
      </c>
      <c r="B6" s="5">
        <v>2640</v>
      </c>
    </row>
    <row r="7" spans="1:2" x14ac:dyDescent="0.2">
      <c r="A7" s="4" t="s">
        <v>177</v>
      </c>
      <c r="B7" s="5">
        <v>694</v>
      </c>
    </row>
    <row r="8" spans="1:2" x14ac:dyDescent="0.2">
      <c r="A8" s="4" t="s">
        <v>5</v>
      </c>
      <c r="B8" s="5"/>
    </row>
    <row r="9" spans="1:2" x14ac:dyDescent="0.2">
      <c r="A9" s="4" t="s">
        <v>178</v>
      </c>
      <c r="B9" s="5">
        <v>23000</v>
      </c>
    </row>
    <row r="10" spans="1:2" x14ac:dyDescent="0.2">
      <c r="A10" s="4" t="s">
        <v>179</v>
      </c>
      <c r="B10" s="5"/>
    </row>
    <row r="11" spans="1:2" x14ac:dyDescent="0.2">
      <c r="A11" s="4" t="s">
        <v>180</v>
      </c>
      <c r="B11" s="5">
        <v>827</v>
      </c>
    </row>
    <row r="12" spans="1:2" x14ac:dyDescent="0.2">
      <c r="A12" s="4" t="s">
        <v>181</v>
      </c>
      <c r="B12" s="5">
        <v>1584</v>
      </c>
    </row>
    <row r="13" spans="1:2" x14ac:dyDescent="0.2">
      <c r="A13" s="4" t="s">
        <v>182</v>
      </c>
      <c r="B13" s="5"/>
    </row>
    <row r="14" spans="1:2" x14ac:dyDescent="0.2">
      <c r="A14" s="4" t="s">
        <v>183</v>
      </c>
      <c r="B14" s="5">
        <v>467.87</v>
      </c>
    </row>
    <row r="15" spans="1:2" x14ac:dyDescent="0.2">
      <c r="A15" s="4" t="s">
        <v>184</v>
      </c>
      <c r="B15" s="5">
        <v>452.8</v>
      </c>
    </row>
    <row r="16" spans="1:2" x14ac:dyDescent="0.2">
      <c r="A16" s="4" t="s">
        <v>185</v>
      </c>
      <c r="B16" s="5"/>
    </row>
    <row r="17" spans="1:2" x14ac:dyDescent="0.2">
      <c r="A17" s="4" t="s">
        <v>186</v>
      </c>
      <c r="B17" s="5">
        <v>637.46</v>
      </c>
    </row>
    <row r="18" spans="1:2" x14ac:dyDescent="0.2">
      <c r="A18" s="6" t="s">
        <v>2</v>
      </c>
      <c r="B18" s="7">
        <f>SUM(B3:B17)</f>
        <v>35103.130000000005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6AEB9-7A42-4F29-9BBC-AED241FC506D}">
  <dimension ref="A1:B12"/>
  <sheetViews>
    <sheetView zoomScaleNormal="100" workbookViewId="0">
      <selection activeCell="A24" sqref="A24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3</v>
      </c>
      <c r="B2" s="5"/>
    </row>
    <row r="3" spans="1:2" x14ac:dyDescent="0.2">
      <c r="A3" s="4" t="s">
        <v>215</v>
      </c>
      <c r="B3" s="5">
        <v>1800</v>
      </c>
    </row>
    <row r="4" spans="1:2" x14ac:dyDescent="0.2">
      <c r="A4" s="4" t="s">
        <v>4</v>
      </c>
      <c r="B4" s="5"/>
    </row>
    <row r="5" spans="1:2" x14ac:dyDescent="0.2">
      <c r="A5" s="4" t="s">
        <v>216</v>
      </c>
      <c r="B5" s="5">
        <v>1860.32</v>
      </c>
    </row>
    <row r="6" spans="1:2" x14ac:dyDescent="0.2">
      <c r="A6" s="4" t="s">
        <v>179</v>
      </c>
      <c r="B6" s="5"/>
    </row>
    <row r="7" spans="1:2" x14ac:dyDescent="0.2">
      <c r="A7" s="4" t="s">
        <v>180</v>
      </c>
      <c r="B7" s="5">
        <v>272.8</v>
      </c>
    </row>
    <row r="8" spans="1:2" x14ac:dyDescent="0.2">
      <c r="A8" s="4" t="s">
        <v>217</v>
      </c>
      <c r="B8" s="5"/>
    </row>
    <row r="9" spans="1:2" x14ac:dyDescent="0.2">
      <c r="A9" s="4" t="s">
        <v>218</v>
      </c>
      <c r="B9" s="5">
        <v>1056</v>
      </c>
    </row>
    <row r="10" spans="1:2" x14ac:dyDescent="0.2">
      <c r="A10" s="4" t="s">
        <v>219</v>
      </c>
      <c r="B10" s="5"/>
    </row>
    <row r="11" spans="1:2" x14ac:dyDescent="0.2">
      <c r="A11" s="4" t="s">
        <v>220</v>
      </c>
      <c r="B11" s="5">
        <v>1534.72</v>
      </c>
    </row>
    <row r="12" spans="1:2" x14ac:dyDescent="0.2">
      <c r="A12" s="6" t="s">
        <v>2</v>
      </c>
      <c r="B12" s="7">
        <f>SUM(B3:B11)</f>
        <v>6523.84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3FD44-53D2-468D-ABC4-44E5CEE21145}">
  <dimension ref="A1:D12"/>
  <sheetViews>
    <sheetView workbookViewId="0">
      <selection activeCell="C12" sqref="C12"/>
    </sheetView>
  </sheetViews>
  <sheetFormatPr baseColWidth="10" defaultRowHeight="14.4" x14ac:dyDescent="0.3"/>
  <cols>
    <col min="2" max="2" width="13.5546875" bestFit="1" customWidth="1"/>
    <col min="3" max="3" width="132.33203125" bestFit="1" customWidth="1"/>
  </cols>
  <sheetData>
    <row r="1" spans="1:4" ht="15" thickBot="1" x14ac:dyDescent="0.35">
      <c r="A1" s="39" t="s">
        <v>221</v>
      </c>
      <c r="B1" s="40" t="s">
        <v>222</v>
      </c>
      <c r="C1" s="40" t="s">
        <v>223</v>
      </c>
      <c r="D1" s="41" t="s">
        <v>1</v>
      </c>
    </row>
    <row r="2" spans="1:4" ht="15" thickTop="1" x14ac:dyDescent="0.3">
      <c r="A2" s="42" t="s">
        <v>224</v>
      </c>
      <c r="B2" s="43" t="s">
        <v>3</v>
      </c>
      <c r="C2" s="43" t="s">
        <v>225</v>
      </c>
      <c r="D2" s="44">
        <v>1800</v>
      </c>
    </row>
    <row r="3" spans="1:4" x14ac:dyDescent="0.3">
      <c r="A3" s="45" t="s">
        <v>224</v>
      </c>
      <c r="B3" s="46" t="s">
        <v>219</v>
      </c>
      <c r="C3" s="46" t="s">
        <v>180</v>
      </c>
      <c r="D3" s="47">
        <v>3989.92</v>
      </c>
    </row>
    <row r="4" spans="1:4" x14ac:dyDescent="0.3">
      <c r="A4" s="42" t="s">
        <v>224</v>
      </c>
      <c r="B4" s="43" t="s">
        <v>226</v>
      </c>
      <c r="C4" s="43" t="s">
        <v>227</v>
      </c>
      <c r="D4" s="44">
        <v>378.4</v>
      </c>
    </row>
    <row r="5" spans="1:4" x14ac:dyDescent="0.3">
      <c r="A5" s="45" t="s">
        <v>224</v>
      </c>
      <c r="B5" s="46" t="s">
        <v>228</v>
      </c>
      <c r="C5" s="46" t="s">
        <v>229</v>
      </c>
      <c r="D5" s="47">
        <v>1760</v>
      </c>
    </row>
    <row r="6" spans="1:4" x14ac:dyDescent="0.3">
      <c r="A6" s="42" t="s">
        <v>224</v>
      </c>
      <c r="B6" s="43" t="s">
        <v>230</v>
      </c>
      <c r="C6" s="43" t="s">
        <v>231</v>
      </c>
      <c r="D6" s="44">
        <v>1760</v>
      </c>
    </row>
    <row r="7" spans="1:4" x14ac:dyDescent="0.3">
      <c r="A7" s="45" t="s">
        <v>224</v>
      </c>
      <c r="B7" s="46" t="s">
        <v>230</v>
      </c>
      <c r="C7" s="46" t="s">
        <v>232</v>
      </c>
      <c r="D7" s="47">
        <v>4400</v>
      </c>
    </row>
    <row r="8" spans="1:4" x14ac:dyDescent="0.3">
      <c r="A8" s="42" t="s">
        <v>224</v>
      </c>
      <c r="B8" s="43" t="s">
        <v>233</v>
      </c>
      <c r="C8" s="43" t="s">
        <v>234</v>
      </c>
      <c r="D8" s="44">
        <v>3960</v>
      </c>
    </row>
    <row r="9" spans="1:4" ht="15" thickBot="1" x14ac:dyDescent="0.35">
      <c r="A9" s="45" t="s">
        <v>224</v>
      </c>
      <c r="B9" s="46" t="s">
        <v>235</v>
      </c>
      <c r="C9" s="46" t="s">
        <v>236</v>
      </c>
      <c r="D9" s="47">
        <v>1760</v>
      </c>
    </row>
    <row r="10" spans="1:4" ht="15" thickTop="1" x14ac:dyDescent="0.3">
      <c r="A10" s="48" t="s">
        <v>2</v>
      </c>
      <c r="B10" s="49"/>
      <c r="C10" s="49"/>
      <c r="D10" s="50">
        <v>19808.32</v>
      </c>
    </row>
    <row r="12" spans="1:4" x14ac:dyDescent="0.3">
      <c r="C12" s="58" t="s">
        <v>251</v>
      </c>
      <c r="D12" s="59">
        <f>+D10+'Ingresos investigación 2020'!B12+'Ingresos investigación 2019'!B18</f>
        <v>61435.290000000008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Tesis</vt:lpstr>
      <vt:lpstr>Sexenios</vt:lpstr>
      <vt:lpstr>Ingresos investigación 2019</vt:lpstr>
      <vt:lpstr>Ingresos investigación 2020</vt:lpstr>
      <vt:lpstr>Ingresos investigación 2021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21511974M</cp:lastModifiedBy>
  <dcterms:created xsi:type="dcterms:W3CDTF">2019-07-03T07:15:54Z</dcterms:created>
  <dcterms:modified xsi:type="dcterms:W3CDTF">2022-10-18T14:37:08Z</dcterms:modified>
</cp:coreProperties>
</file>