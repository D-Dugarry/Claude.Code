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DE2A0893-1B45-4A8C-8D2D-4E8C78AAD5C5}" xr6:coauthVersionLast="47" xr6:coauthVersionMax="47" xr10:uidLastSave="{00000000-0000-0000-0000-000000000000}"/>
  <bookViews>
    <workbookView xWindow="22932" yWindow="-108" windowWidth="23256" windowHeight="12456" activeTab="3" xr2:uid="{00000000-000D-0000-FFFF-FFFF00000000}"/>
  </bookViews>
  <sheets>
    <sheet name="Cr.20" sheetId="8" r:id="rId1"/>
    <sheet name="Cr.21" sheetId="12" r:id="rId2"/>
    <sheet name="Cr.22" sheetId="5" r:id="rId3"/>
    <sheet name="Cr. 1ª 20" sheetId="9" r:id="rId4"/>
    <sheet name="Cr. 1ª 21" sheetId="13" r:id="rId5"/>
    <sheet name="Cr. 1ª 22" sheetId="6" r:id="rId6"/>
    <sheet name="Tesis" sheetId="2" r:id="rId7"/>
    <sheet name="Sexenios" sheetId="3" r:id="rId8"/>
    <sheet name="Ingresos investigación 2019" sheetId="7" r:id="rId9"/>
    <sheet name="Ingresos investigación 2020" sheetId="10" r:id="rId10"/>
    <sheet name="Ingresos investigación 2021" sheetId="11" r:id="rId11"/>
  </sheets>
  <definedNames>
    <definedName name="_xlnm._FilterDatabase" localSheetId="7" hidden="1">Sexenios!$A$1:$S$18</definedName>
    <definedName name="_xlnm._FilterDatabase" localSheetId="6" hidden="1">Tesis!$A$1:$U$1</definedName>
    <definedName name="_xlnm.Print_Titles" localSheetId="7">Sexenios!$1:$1</definedName>
    <definedName name="_xlnm.Print_Titles" localSheetId="6">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7" i="3" l="1"/>
  <c r="S35" i="2" l="1"/>
  <c r="B51" i="10" l="1"/>
  <c r="B40" i="7" l="1"/>
  <c r="C49" i="11" s="1"/>
</calcChain>
</file>

<file path=xl/sharedStrings.xml><?xml version="1.0" encoding="utf-8"?>
<sst xmlns="http://schemas.openxmlformats.org/spreadsheetml/2006/main" count="1029" uniqueCount="345">
  <si>
    <t>Orgánica
Descripción justificante</t>
  </si>
  <si>
    <t>Importe</t>
  </si>
  <si>
    <t>Total</t>
  </si>
  <si>
    <t>36.20.6C.00.10</t>
  </si>
  <si>
    <t>36.20.6P.00.13</t>
  </si>
  <si>
    <t>36.20.6P.00.15</t>
  </si>
  <si>
    <t>36.20.6P.00.18</t>
  </si>
  <si>
    <t>36.20.6P.00.22</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</si>
  <si>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</si>
  <si>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</si>
  <si>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</si>
  <si>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</si>
  <si>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</si>
  <si>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</si>
  <si>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</si>
  <si>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</si>
  <si>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</si>
  <si>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</si>
  <si>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</si>
  <si>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</si>
  <si>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</si>
  <si>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</si>
  <si>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</si>
  <si>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</si>
  <si>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</si>
  <si>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</si>
  <si>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</si>
  <si>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</si>
  <si>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</si>
  <si>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</si>
  <si>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B101 </t>
  </si>
  <si>
    <t>AGROQUIMICA Y BIOQUIMICA </t>
  </si>
  <si>
    <t>50</t>
  </si>
  <si>
    <t/>
  </si>
  <si>
    <t>10.16</t>
  </si>
  <si>
    <t>Director de tesis </t>
  </si>
  <si>
    <t>DOCTORADO EN BIOLOGÍA EXPERIMENTAL Y APLICADA </t>
  </si>
  <si>
    <t>B164 </t>
  </si>
  <si>
    <t>FISIOLOGÍA, GENÉTICA Y MICROBIOLOGÍA </t>
  </si>
  <si>
    <t>- </t>
  </si>
  <si>
    <t>26/09/2017 </t>
  </si>
  <si>
    <t>19/07/2019 </t>
  </si>
  <si>
    <t>19/09/2019 </t>
  </si>
  <si>
    <t>27/01/2017 </t>
  </si>
  <si>
    <t>12/09/2019 </t>
  </si>
  <si>
    <t>07/07/2017 </t>
  </si>
  <si>
    <t>13/09/2019 </t>
  </si>
  <si>
    <t>24/09/2018 </t>
  </si>
  <si>
    <t>24/07/2018 </t>
  </si>
  <si>
    <t>Egoavil Rojas, Cecilia Magdalena </t>
  </si>
  <si>
    <t>EL CRIBADO UNIVERSAL EN CÁNCER COLORRECTAL Y CARCINOMA DE ENDOMETRIO PARA LA IDENTIFICACIÓN DE PACEINTES CON SÍDROME DE LYNCH. </t>
  </si>
  <si>
    <t>García Martínez, Araceli </t>
  </si>
  <si>
    <t>ESTUDIO DE BIOMARCADORES EN GLIOMAS Y SU UTILIDAD CLÍNICA </t>
  </si>
  <si>
    <t>21/10/2016 </t>
  </si>
  <si>
    <t>B164</t>
  </si>
  <si>
    <t>27294053E </t>
  </si>
  <si>
    <t>85</t>
  </si>
  <si>
    <t>22112038E </t>
  </si>
  <si>
    <t>34794516R </t>
  </si>
  <si>
    <t>21441866R </t>
  </si>
  <si>
    <t>21501002G </t>
  </si>
  <si>
    <t>Haro Moreno, Carmen </t>
  </si>
  <si>
    <t>EXPRESIÓN DE GENES Y PROTEÍNAS ASOCIADOS A DISTROGLICANOPATÍAS EN FOTORRECEPTORES EN CULTIVO </t>
  </si>
  <si>
    <t>Juárez Quesada, Mirian </t>
  </si>
  <si>
    <t>ANÁLISIS DEL RIESGO DE CÁNCER COLORRECTAL EN PACIENTES CON MÚLTIPLES PÓLIPOS SERRADOS Y ESTUDIO DE MARCADORES MOLECULARES CON IMPLICACIONES EN SU DIAGNÓSTICO Y PREVENCIÓN </t>
  </si>
  <si>
    <t>14/09/2017 </t>
  </si>
  <si>
    <t>Obrebska ., Anna </t>
  </si>
  <si>
    <t>TRANSDUCCIÓN DE SEÑALES MEDIADA POR EL REGULADOR MULTIFINCIONAL PIPX EN SYNECHOCOCCUS SP. PCC 7942 </t>
  </si>
  <si>
    <t>48352607Y </t>
  </si>
  <si>
    <t>08791611E </t>
  </si>
  <si>
    <t>Cabello Yeves, Pedro José </t>
  </si>
  <si>
    <t>NOVEL MICROBIAL LINEAGES FROM FRESHWATER SYSTEMS REVEALED BY GENOMICS AND GENOME-RESOLVED METAGENOMICS </t>
  </si>
  <si>
    <t>Molina Martín, Julio César </t>
  </si>
  <si>
    <t>EVALUACIÓN ANATÓMICA, FUNCIONAL E INMUNOHISTOQUÍMICA DE PACIENTES CON MEMBRANAS EPIRRETINALES IDIOPÁTICAS </t>
  </si>
  <si>
    <t>Cobo Velacoracho, Raúl </t>
  </si>
  <si>
    <t>MECANISMOS DE MODULACIÓN DE RECEPTORES NICOTÍNICOS POR ANESTÉSICOS LOCALES CON GRUPOS AMINO </t>
  </si>
  <si>
    <t>13730291G </t>
  </si>
  <si>
    <t>21437605H </t>
  </si>
  <si>
    <t>Martínez Hernández, Francisco Javier </t>
  </si>
  <si>
    <t>THE POWER OF ONE: STUDY OF THE MARINE VIROSPHERE USING SINGLE-VIRUS GENOMICS </t>
  </si>
  <si>
    <t>48353206F </t>
  </si>
  <si>
    <t>Murcia Pomares, Oscar </t>
  </si>
  <si>
    <t>UTILIDAD DE LOS BIOMARCADORES GENÉTICOS Y MOLECULARES COMO HERRAMIENTA PREDICTIVA DE LA HISTORIA NATURAL Y RESPUESTA QUIMIOTERÁPICA DE NEOPLASIAS COLORRECTALES </t>
  </si>
  <si>
    <t>Ortuño Lizarán, Isabel </t>
  </si>
  <si>
    <t>CELLULAR ALTERATIONS OF THE HUMAN RETINA IN PARKINSON'S DISEASE AND THEIR USE AS EARLY BIOMARKERS </t>
  </si>
  <si>
    <t>NIF</t>
  </si>
  <si>
    <t>NOMBRE_COMPLETO</t>
  </si>
  <si>
    <t>TIPO_SEXENIO</t>
  </si>
  <si>
    <t>Total general</t>
  </si>
  <si>
    <t>INS
1</t>
  </si>
  <si>
    <t>DED
INS 1</t>
  </si>
  <si>
    <t>INS
2</t>
  </si>
  <si>
    <t>DED
INS 2</t>
  </si>
  <si>
    <t>DED
DEP</t>
  </si>
  <si>
    <t>SEX
INS 1</t>
  </si>
  <si>
    <t>SEX
INS 2</t>
  </si>
  <si>
    <t>SEX
DEP</t>
  </si>
  <si>
    <t>FUNCIONARIO</t>
  </si>
  <si>
    <t>NO FUNCIONARIO</t>
  </si>
  <si>
    <t>48562411G</t>
  </si>
  <si>
    <t>ALBEROLA DIE, ARMANDO</t>
  </si>
  <si>
    <t>21441866R</t>
  </si>
  <si>
    <t>ANTON BOTELLA, JOSEFA</t>
  </si>
  <si>
    <t>08791611E</t>
  </si>
  <si>
    <t>CONTRERAS DE VERA, ASUNCION</t>
  </si>
  <si>
    <t>22112038E</t>
  </si>
  <si>
    <t>CUENCA NAVARRO, NICOLAS</t>
  </si>
  <si>
    <t>48352607Y</t>
  </si>
  <si>
    <t>ESPINOSA MANZANO, JAVIER</t>
  </si>
  <si>
    <t>21467282W</t>
  </si>
  <si>
    <t>GARCIA MARTINEZ, JESUS</t>
  </si>
  <si>
    <t>34794516R</t>
  </si>
  <si>
    <t>LAX ZAPATA, PEDRO</t>
  </si>
  <si>
    <t>07972149G</t>
  </si>
  <si>
    <t>MARTIN CUADRADO, ANA BELEN</t>
  </si>
  <si>
    <t>27294053E</t>
  </si>
  <si>
    <t>MARTIN NIETO, JOSE</t>
  </si>
  <si>
    <t>48353206F</t>
  </si>
  <si>
    <t>MARTINEZ GARCIA, MANUEL</t>
  </si>
  <si>
    <t>21989619D</t>
  </si>
  <si>
    <t>MARTINEZ MOJICA, FRANCISCO JUAN</t>
  </si>
  <si>
    <t>21488735L</t>
  </si>
  <si>
    <t>MARTINEZ-PINNA LOPEZ, JUAN ENRIQUE</t>
  </si>
  <si>
    <t>13730291G</t>
  </si>
  <si>
    <t>MORALES CALDERON, ANDRES</t>
  </si>
  <si>
    <t>48367400X</t>
  </si>
  <si>
    <t>SALINAS BERNA, PALOMA</t>
  </si>
  <si>
    <t>44760971G</t>
  </si>
  <si>
    <t>SANTOS SANCHEZ, FERNANDO</t>
  </si>
  <si>
    <t>48287249Z</t>
  </si>
  <si>
    <t>SORIANO UBEDA, SERGIO</t>
  </si>
  <si>
    <t>Total </t>
  </si>
  <si>
    <t>MICROBIOLOGIA </t>
  </si>
  <si>
    <t>630 </t>
  </si>
  <si>
    <t>GENETICA </t>
  </si>
  <si>
    <t>420 </t>
  </si>
  <si>
    <t>FISIOLOGIA </t>
  </si>
  <si>
    <t>410 </t>
  </si>
  <si>
    <t>BIOLOGIA CELULAR </t>
  </si>
  <si>
    <t>050 </t>
  </si>
  <si>
    <t>Máster Universitario Oficial </t>
  </si>
  <si>
    <t>Grado </t>
  </si>
  <si>
    <t>Tipo Titulacion Asig </t>
  </si>
  <si>
    <t>Créditos matriculados (Departamento) </t>
  </si>
  <si>
    <t>Área </t>
  </si>
  <si>
    <t>Departamento </t>
  </si>
  <si>
    <r>
      <t>Departamentos</t>
    </r>
    <r>
      <rPr>
        <sz val="10"/>
        <rFont val="Arial"/>
        <family val="2"/>
      </rPr>
      <t xml:space="preserve"> </t>
    </r>
    <r>
      <rPr>
        <sz val="10"/>
        <color rgb="FF000000"/>
        <rFont val="Calibri"/>
        <family val="2"/>
        <scheme val="minor"/>
      </rPr>
      <t>/ Alumnos</t>
    </r>
    <r>
      <rPr>
        <sz val="10"/>
        <rFont val="Arial"/>
        <family val="2"/>
      </rPr>
      <t xml:space="preserve"> </t>
    </r>
    <r>
      <rPr>
        <sz val="8"/>
        <color rgb="FF000000"/>
        <rFont val="Calibri"/>
        <family val="2"/>
        <scheme val="minor"/>
      </rPr>
      <t>/ Créditos matriculados Normales por departamentos según su dedicación en las asignaturas.</t>
    </r>
  </si>
  <si>
    <t>Estudios propios Europeo </t>
  </si>
  <si>
    <t>Postgrado Doctorado </t>
  </si>
  <si>
    <t>Nom. Área</t>
  </si>
  <si>
    <t>Cod. Dep</t>
  </si>
  <si>
    <t>Dep</t>
  </si>
  <si>
    <t>Créditos Matriculados (sólo normales) </t>
  </si>
  <si>
    <r>
      <t>Departamentos</t>
    </r>
    <r>
      <rPr>
        <sz val="10"/>
        <rFont val="Arial"/>
        <family val="2"/>
      </rPr>
      <t xml:space="preserve"> </t>
    </r>
    <r>
      <rPr>
        <sz val="10"/>
        <color rgb="FF000000"/>
        <rFont val="Calibri"/>
        <family val="2"/>
        <scheme val="minor"/>
      </rPr>
      <t>/ Alumnos</t>
    </r>
    <r>
      <rPr>
        <sz val="10"/>
        <rFont val="Arial"/>
        <family val="2"/>
      </rPr>
      <t xml:space="preserve"> </t>
    </r>
    <r>
      <rPr>
        <sz val="8"/>
        <color rgb="FF000000"/>
        <rFont val="Calibri"/>
        <family val="2"/>
        <scheme val="minor"/>
      </rPr>
      <t>/ Créditos matriculados 1ª matricula ,Aptos y presentados en asignaturas por Departamento Responsable y Área</t>
    </r>
  </si>
  <si>
    <t>36.20.6C.00.01</t>
  </si>
  <si>
    <t>1ER. PAGO A LA FIRMA DE LA HOJA DE ENCARGO FAB-120-EP-01.1 COMO CONTRAPRESTACIÓN DE SERVICIOS DEL "CONTRATO PARA ACTIVIDADES DE ASESORAMIENTO Y APOYO CINETÍFICO-TECNOLÓGICO". Nº DE PEDIDO 4500521051. REF: FERRER1-14T</t>
  </si>
  <si>
    <t>2º PAGO A LA RECEPCIÓN DEL INFORME PRELIMINAR DE LA HOJA DE ENCARGO FAB-120-EP-01.1 COMO CONTRAPRESTACIÓN DE SERVICIOS DEL "CONTRATO PARA ACTIVIDADES DE ASESORAMIENTO Y APOYO CIENTÍFICO-TECNOLÓGICO". Nº DE PEDIDO 4500521051. REF.: FERRER1-14T</t>
  </si>
  <si>
    <t>3ER. PAGO A LA RECEPCIÓN DEL INFORME FINAL DE LA HOJA DE ENCARGO FAB-120-EP-01.1 COMO CONTRAPRESTACIÓN DE SERVICIOS DEL "CONTRATO PARA ACTIVIDADES DE ASESORAMIENTO Y APOYO CIENTÍFICO-TÉCNICO". Nº DE PEDIDO 4500521051. REF: FERRER1-14T</t>
  </si>
  <si>
    <t>REINTEGRO CUOTA PATRONAL CORRESPONDIENTE AL MES DE OCTUBRE DE 2019.</t>
  </si>
  <si>
    <t>Reintegro de cuota patronal correspondiente al mes de agosto 2019</t>
  </si>
  <si>
    <t>36.20.6M.00.02</t>
  </si>
  <si>
    <t>TRANSFERENCIA DE FUNDACIÓN CIENCIA Y TECNOLOGÍA. AV/19/005. PRECIPITA/18/081PR230.</t>
  </si>
  <si>
    <t>36.20.6M.00.03</t>
  </si>
  <si>
    <t xml:space="preserve">MECENAZGO DE LAS ACTIVIDADES DE ORGANIZACIÓN Y REALIZACIÓN DEL PROYECTO: INVESTIGACIÓN SOBRE TUMORES CEREBRALES Y SU REALCIÓN CON ENFERMEDADES RARAS POR LA UNIVERSIDAD DE ALICANTE. </t>
  </si>
  <si>
    <t>36.20.6M.00.04</t>
  </si>
  <si>
    <t>MECENAZGO DE LAS ACTIVIDADES DE ORGANIZACIÓN Y REALIZACIÓN DE UN PROYECTO DE INVESTIGACIÓN TITULADO: "CARACTERIZACIÓN MORFOLÓGICA Y FUNCIONAL DEL MODELO ANIMAL DE DISTROFIA COROIDEA AREOLAR CENTRAL" POR LA UNIVERSIDAD DE ALICANTE</t>
  </si>
  <si>
    <t>36.20.6P.00.03</t>
  </si>
  <si>
    <t>IMPLEMENTACIÓN DE LA ESTANCIA CORTA DE DOCTORADO DEL PROGRAMA BEC.AR, EN EL DPTO. DE FISIOLOGÍA, GENÉTICA Y MICROBIOLOGÍA, DE SILVANA ALICIA PUJATO.</t>
  </si>
  <si>
    <t>FLIB 23/04/2019. PROYECTOS RETOS I+D+I 2015. ANUAL 2019 PROYECTOS I+D RETOS (PIA13) N EXPEDIENTE: PIA132015-1 -4 ANUALIDAD REFERENCIA: BFU2. REFL. DEL ORDENANTE PARA EL BENEFICIARIO: 27402219310017675.</t>
  </si>
  <si>
    <t xml:space="preserve">PROMETEO 2016 EN 2019 </t>
  </si>
  <si>
    <t>REINTEGRO CUOTA PATRONAL CORRESPONDIENTE AL MES DE NOVIEMBRE 2019.</t>
  </si>
  <si>
    <t>36.20.6P.00.17</t>
  </si>
  <si>
    <t>Reintegro de Cuota Patronal del mes de diciembre 2019</t>
  </si>
  <si>
    <t>TERCERA ANUALIDAD(2019) DE LA AYUDA RD 16/0008/0016 DE NICOLÁS CUENCA FINANCIADA POR EL ISCIII.</t>
  </si>
  <si>
    <t>PROMETEO 2017 EN 2019</t>
  </si>
  <si>
    <t>36.20.6P.00.26</t>
  </si>
  <si>
    <t>PAGO 1 ANUALIDAD PROYECTOS RETOS I+D+I 2018. ANUAL 2019 PROYECTOS I+D RETOS (PIA 13) N EXPEDIENTE: PIA 132018 - 1- 1 ANUALIDAD REFERENCIA: R. REFERENCIA DEL ORDENANTE PARA EL BENEFICIARIO: 00173219310010860 - 2019/009678</t>
  </si>
  <si>
    <t>PARA EL PAGO DE LA ANUALIDAD 2019 DE LA CONVOCATORIA RTI 2018 PROYECTOS I+D RETOS (PIA13) N EXPEDIENTE: PIA 132018-1 -1 ANUALIDAD REFERENC REFERENCIA DEL ORDENANTE PARA EL BENENFICIARIO:27402219310026763</t>
  </si>
  <si>
    <t>36.20.6P.00.27</t>
  </si>
  <si>
    <t>PARA EL PAGO DE LA ANUALIDAD 2019. PROYECTOS I+D (PIA 1) N EXPEDIENTE : PIA 12018 - 1 -1 ANUALIDAD REFERENCIA: PGC2018 - 096956- B - C44. REFERENCIA DEL ORDENANTE PARA EL BENEFICIARIO: 00173219310010749 - 2019 / 009204</t>
  </si>
  <si>
    <t>PARA PAGO ANUALIDAD 2019 CONVOCATORIA PGC 2018 PROYECTOS I+D (PIA 1) N EXPEDIENTE: PIA 12018 - 1 - 1 ANUALIDAD REFERENCIA: PGC 2018 - 096956- B-C4. REFERENCIA DEL ORDENANTE PARA EL BENEFICICARIO: 27402219310025596.</t>
  </si>
  <si>
    <t>36.20.6P.00.29</t>
  </si>
  <si>
    <t>INGRESO PREMIO FUNDALUCE 2019</t>
  </si>
  <si>
    <t>36.20.6X.00.03</t>
  </si>
  <si>
    <t>PRIMER PAGO "I ROS MODULATOR", COORDINADO POR EL PROFESOR NICOLÁS CUENCA.</t>
  </si>
  <si>
    <t>Ramos Barbero, María Dolores </t>
  </si>
  <si>
    <t>ECO-METAGENÓMICA DE VIRUS EN AMBIENTES HIPERSALINOS </t>
  </si>
  <si>
    <t>27/09/2019 </t>
  </si>
  <si>
    <t>Alustiza Fernandez, Miren </t>
  </si>
  <si>
    <t>Búsqueda de biomarcadores para la detección de enfermedades gastrointestinales </t>
  </si>
  <si>
    <t>18/09/2020 </t>
  </si>
  <si>
    <t>Kutsyr , Oksana </t>
  </si>
  <si>
    <t>EFFECTS OF ENVIRONMENTAL FACTORS AND NEUROPROTECTIVE COMPOUNDS ON OXIDATIVE STRESS AND INFLAMMATION IN RETINAL NEURODEGENERATIVE DISEASES </t>
  </si>
  <si>
    <t>11/09/2020 </t>
  </si>
  <si>
    <t>Parra Grande, Mónica </t>
  </si>
  <si>
    <t>CARACTERIZACIÓN DE LA MICROBIOTA VESICAL EN PACIENTES CON NEOPLASIA MALIGNA DE VEJIGA </t>
  </si>
  <si>
    <t>28/07/2020 </t>
  </si>
  <si>
    <t>21437605H</t>
  </si>
  <si>
    <t>IVORRA PASTOR, ISABEL</t>
  </si>
  <si>
    <r>
      <t>Curso académico:</t>
    </r>
    <r>
      <rPr>
        <sz val="8"/>
        <color rgb="FF000000"/>
        <rFont val="Calibri"/>
        <family val="2"/>
        <scheme val="minor"/>
      </rPr>
      <t xml:space="preserve"> 2020-21 </t>
    </r>
  </si>
  <si>
    <t>COD DEP</t>
  </si>
  <si>
    <t>vivos</t>
  </si>
  <si>
    <t>21489335K</t>
  </si>
  <si>
    <t>CANTOS COLL, RAQUEL</t>
  </si>
  <si>
    <t>22114159G</t>
  </si>
  <si>
    <t>DE JUAN NAVARRO, EMILIO J.</t>
  </si>
  <si>
    <t>Gil Rivera, Minerva </t>
  </si>
  <si>
    <t>Efectos del disruptor endocrino Bisfenol A en neuronas nociceptoras de ratón: de las bases iónicas a los mecanismos moleculares. </t>
  </si>
  <si>
    <t>24/09/2021 </t>
  </si>
  <si>
    <t>21488735L </t>
  </si>
  <si>
    <t>48287249Z </t>
  </si>
  <si>
    <t>Labella Sanfrutos, Jose Ignacio </t>
  </si>
  <si>
    <t>Señalización mediada por PIPX en Cianobacterias: Componentes, Interacciones, Dianas y Señales </t>
  </si>
  <si>
    <t>22/02/2021 </t>
  </si>
  <si>
    <t>Ferrer Avargues, Rosario </t>
  </si>
  <si>
    <t>"Nuevas aportaciones al riesgo genético de cáncer: co-ocurrencia de variantes patogénicas para diferentes síndromes de cáncer hereditario en pacientes con síndrome de Lynch y caracterización de una nueva variante patogénica fundadora en el gen POLD1" </t>
  </si>
  <si>
    <t>20/07/2021 </t>
  </si>
  <si>
    <t>28997605X </t>
  </si>
  <si>
    <t>González Serrano, Rafael </t>
  </si>
  <si>
    <t>Host recognition strategies and evolution in phages infecting the marine bacterium Alteromonas sp. </t>
  </si>
  <si>
    <t>22/03/2021 </t>
  </si>
  <si>
    <t>Y4109837G </t>
  </si>
  <si>
    <t>Villamor Serrano, Judit </t>
  </si>
  <si>
    <t>Estudio de las virosferas de Salinibacter ruber y Haloquadratum walsbyi </t>
  </si>
  <si>
    <t>07/05/2021 </t>
  </si>
  <si>
    <t>44760971G </t>
  </si>
  <si>
    <t>36.20.6C.00.11</t>
  </si>
  <si>
    <t>Cuarta aportación tras informe parcial 18 meses del Convenio con Título: " Influencia de la microbiota intestinal en la aparición de resistencia a antibióticos. Factores moduladores de la microbiota: prebióticos, probióticos simbióticos y fagos". REFERENCIA: HOSPITALELCHE1-18Y</t>
  </si>
  <si>
    <t>Primera aportación tras la entrada en vigor del Convenio con Título: " Influencia de la microbiota intestinal en la aparición de resistencia a antibióticos. Factores moduladores de la microbiota: prebióticos, probióticos simbióticos y fagos". REFERENCIA: HOSPITALELCHE1-18Y</t>
  </si>
  <si>
    <t>Segunda aportación tras informe parcial 6 meses del Convenio con Título: " Influencia de la microbiota intestinal en la aparición de resistencia a antibióticos. Factores moduladores de la microbiota: prebióticos, probióticos simbióticos y fagos". REFERENCIA: HOSPITALELCHE1-18Y</t>
  </si>
  <si>
    <t>Tercera aportación tras informe parcial 12 meses del Convenio con Título: " Influencia de la microbiota intestinal en la aparición de resistencia a antibióticos. Factores moduladores de la microbiota: prebióticos, probióticos simbióticos y fagos". REFERENCIA: HOSPITALELCHE1-18Y</t>
  </si>
  <si>
    <t>36.20.6C.00.12</t>
  </si>
  <si>
    <t>PRIMER PAGO TRAS LA FIRMA DEL CONVENIO CON TÍTULO: VIRALGA, LOOKING FOR VIRAL "WARRIORS" AGAINST ALGAE. REF: VIRALGA1-20I</t>
  </si>
  <si>
    <t>REINTEGRO CUOTA PATRONAL CORRESPONDIENTE A DICIEMBRE DE 2020.</t>
  </si>
  <si>
    <t>SEGUNDO PAGO DEL CONVENIO CON TÍTULO: VIRALGA, LOOKING FOR VIRAL "WARRIORS" AGAINST ALGAE. REF: VIRALGA1-20I</t>
  </si>
  <si>
    <t>TERCER PAGO DEL CONVENIO CON TÍTULO: VIRALGA, LOOKING FOR VIRAL "WARRIORS" AGAINST ALGAE. REF: VIRALGA1-20I</t>
  </si>
  <si>
    <t>36.20.6C.00.13</t>
  </si>
  <si>
    <t>Primera aportación tras la entrada en vigor del Convenio con Título: " Empleo de la metagenómica en gestión medioambiental: control y caracterización de biofilms en redes de agua". REFERENCIA: LABAQUA-AQUAE2-19Y. Pedido 3200788686</t>
  </si>
  <si>
    <t>Segunda aportación a los seis meses de la entrada en vigor del Convenio con Título: " Empleo de la metagenómica en gestión medioambiental: control y caracterización de biofilms en redes de agua". REFERENCIA: LABAQUA-AQUAE2-19Y</t>
  </si>
  <si>
    <t>36.20.6C.00.14</t>
  </si>
  <si>
    <t>PRIMER PAGO PARA ADQUISICIÓN MATERIAL DE LABORATORIO COMO PARTE DEL CONTRATO DE INVESTIGACIÓN Y DESARROLLO ENTRE COMERCIAL INDUSTRIAL GARCÍA SÁNCHEZ, S.A.-COINGASA Y LA UNIVERSIDAD DE ALICANTE CON TÍTULO "DETERMINACIÓN TAXONÓMICA DE PROCARIOTAS PRESENTES EN EL TRATAMIENTO DE CUERPOS Y BÚSQUEDA DE HALÓFILOS BENEFICIOSOS EN SU PROCESO DE CURADO. TERAPIA HALO-FÁGICA". REFERENCIA: COINGASA1-20Y</t>
  </si>
  <si>
    <t>SEGUNDO PAGO PARA ADQUISICIÓN MATERIAL DE LABORATORIO Y SECUENCIACIÓN COMO PARTE DEL CONTRATO DE INVESTIGACIÓN Y DESARROLLO ENTRE COMERCIAL INDUSTRIAL GARCÍA SÁNCHEZ, S.A.-COINGASA Y LA UNIVERSIDAD DE ALICANTE CON TÍTULO "DETERMINACIÓN TAXONÓMICA DE PROCARIOTAS PRESENTES EN EL TRATAMIENTO DE CUERPOS Y BÚSQUEDA DE HALÓFILOS BENEFICIOSOS EN SU PROCESO DE CURADO. TERAPIA HALO-FÁGICA". REFERENCIA: COINGASA1-20Y</t>
  </si>
  <si>
    <t>36.20.6C.00.15</t>
  </si>
  <si>
    <t>REALIZACIÓN AUDITORÍA EVALUACIÓN 51935 DIRIGIDA POR FERNANDO SANTOS SÁNCHEZ</t>
  </si>
  <si>
    <t>36.20.6C.00.16</t>
  </si>
  <si>
    <t>REALIZACIÓN AUDITORÍA EVALUACIÓN 46599 DIRIGIDA POR FERNANDO SANTOS SÁNCHEZ</t>
  </si>
  <si>
    <t>36.20.6M.00.05</t>
  </si>
  <si>
    <t>Mecenazgo del proyecto de investigación: Terapia de la Distrofia Coroidea Areolar Central utilizando un modelo animal generado con la técnica CRISPR" REF: ASOCIACIONRETINA1-20I</t>
  </si>
  <si>
    <t>INGRESO DEL INSTITUTO DE SALUD CARLOS III, 2-RD16/0008/0016 - ANUALIDAD 2020 / 5-RD16/0008/0016, SEGÚN INFORMA EL SERVICIO DE GESTIÓN ECONÓMICA DE LA INVESTIGACIÓN</t>
  </si>
  <si>
    <t>Reintegro cuota patronal Abril 2020</t>
  </si>
  <si>
    <t>REINTEGRO CUOTA PATRONAL CORRESPONDIENTE A JULIO 2020.</t>
  </si>
  <si>
    <t>REINTEGRO CUOTA PATRONAL CORRESPONDIENTE A JUNIO DE 2020.</t>
  </si>
  <si>
    <t>REINTEGRO CUOTA PATRONAL CORRESPONDIENTE AL MES DE ENERO DE 2020.</t>
  </si>
  <si>
    <t>REINTEGRO CUOTA PATRONAL CORRESPONDIENTE AL MES DE MARZO DE 2020</t>
  </si>
  <si>
    <t>REINTEGRO CUOTA PATRONAL CORRESPONDIENTE AL MES DE MAYO DE 2020.</t>
  </si>
  <si>
    <t>REINTEGRO CUOTA PATRONAL FEBRERO DE 2020.</t>
  </si>
  <si>
    <t>Reintegro de cuota patronal duplicada del mes de octubre 2019</t>
  </si>
  <si>
    <t>PROMETEO 2017 EN 2020 (CONSELLERIA INNOVACIÓN,UNIVERSIDADES,CIENCIA SOC.DIG)</t>
  </si>
  <si>
    <t xml:space="preserve">LIBERADOS EL 13/10/2020, ANUALIDAD 2020 PROYECTOS I+D (PIA1) N EXPEDIENTE: PIA12017-1 - 3 ANUALIDAD REFERENCIA: SAF2017-82977-P   </t>
  </si>
  <si>
    <t>FLIB 30/06/2020. PROYECTOS RETOS INVESTIGACION 201 / 8. ANUAL 2020 PROYECTOS I+D RETOS (PIA13) N E / XPEDIENTE: PIA132018-1 - 2 ANUALIDAD REFERE / GOVT / 27402220310030629</t>
  </si>
  <si>
    <t>LIBERADOS EL 30/06/2020, ANUALIDAD 2020 PROYECTOS / I+D (PIA1) N EXPEDIENTE: PIA12018-1 - 2 ANUAL / IDAD REFERENCIA: PGC2018-096956-B-C44 / GOVT / 27402220310030722</t>
  </si>
  <si>
    <t>36.20.6P.00.31</t>
  </si>
  <si>
    <t xml:space="preserve">PAGO CONVOCATORIA PROYECTOS 2019 1ANUALIDAD 2020 PROYECTOS I+D (PIA 1)N EXPEDIENTE: PIA 1 2019-1-1. ANUALIDAD REFERENCIA: PID2019-106230RB-I00 </t>
  </si>
  <si>
    <t>36.20.6P.00.32</t>
  </si>
  <si>
    <t>RESOLUCIÓN CONCESIÓN DE FECHA 8 DE OCTUBRE DE 2020 SUBVENCIÓN AICO 2020 (INNOVACIÓN,UNIVERSIDADES,CIENCIA SOC.DIG)</t>
  </si>
  <si>
    <t>PROYECTO I ROS MODULATOR, COORDINA PROFESOR NICOLÁS CUENCA.</t>
  </si>
  <si>
    <t>36.20.6X.00.04</t>
  </si>
  <si>
    <t>Re. Sub award Agreement number: S451675 (CELL TO ECOSYSTEM) Total quarterly costs  corresponding to the first period covered: from 01 February to 31st. May 2020 Detailed expenditures reported under the  attached "annex 6"of the refered Sub-award Agreement TOTAL DUE 31.457,70  EUROS (Counter Value in US$:   37.259,40 $ ) Link conversor: https://www1.oanda.com/lang/es/currency/converter/  Date: 14/09/2020.</t>
  </si>
  <si>
    <t>Cód. org. aplic.</t>
  </si>
  <si>
    <t>Descripción justificante</t>
  </si>
  <si>
    <t>Quinta aportación tras informe parcial 24 meses del Convenio con Título: " Influencia de la microbiota intestinal en la aparición de resistencia a antibióticos. Factores moduladores de la microbiota: prebióticos, probióticos simbióticos y fagos". REFERENCIA: HOSPITALELCHE1-18Y</t>
  </si>
  <si>
    <t>Sexta aportación tras informe parcial 30 meses del Convenio con Título: " Influencia de la microbiota intestinal en la aparición de resistencia a antibióticos. Factores moduladores de la microbiota: prebióticos, probióticos simbióticos y fagos". REFERENCIA: HOSPITALELCHE1-18Y</t>
  </si>
  <si>
    <t>REINTEGRO CUOTA PATRONAL CORRESPONDIENTE A JULIO DE 2021.</t>
  </si>
  <si>
    <t>REINTEGRO CUOTA PATRONAL CORRESPONDIENTE A OCTUBRE DE 2021.</t>
  </si>
  <si>
    <t>REINTEGRO CUOTA PATRONAL CORRESPONDIENTE A AGOSTO DE 2021.</t>
  </si>
  <si>
    <t>Cuarta aportación a los dieciocho meses de la entrada en vigor del Convenio con Título: " Empleo de la metagenómica en gestión medioambiental: control y caracterización de biofilms en redes de agua". REFERENCIA: LABAQUA-AQUAE2-19Y</t>
  </si>
  <si>
    <t>Tercera aportación a los doce meses de la entrada en vigor del Convenio con Título: " Empleo de la metagenómica en gestión medioambiental: control y caracterización de biofilms en redes de agua". REFERENCIA: LABAQUA-AQUAE2-19Y Número de pedido: 3200992234</t>
  </si>
  <si>
    <t>OCTAVO PAGO PARA ADQUISICIÓN MATERIAL DE LABORATORIO Y SECUENCIACIÓN COMO PARTE DEL CONTRATO DE INVESTIGACIÓN Y DESARROLLO ENTRE COMERCIAL INDUSTRIAL GARCÍA SÁNCHEZ, S.A.- COINGASA Y LA UNIVERSIDAD DE ALICANTE CON TÍTULO "DETERMINACIÓN TAXONÓMICA DE PROCARIOTAS PRESENTES EN EL TRATAMIENTO DE CUERPOS Y BÚSQUEDA DE HALÓFILOS BENEFICIOSOS EN SU PROCESO DE CURADO. TERAPIA HALO-FÁGICA". REFERENCIA: COINGASA1-20Y</t>
  </si>
  <si>
    <t>QUINTO PAGO PARA ADQUISICIÓN MATERIAL DE LABORATORIO Y SECUENCIACIÓN COMO PARTE DEL CONTRATO DE INVESTIGACIÓN Y DESARROLLO ENTRE COMERCIAL INDUSTRIAL GARCÍA SÁNCHEZ, S.A.-COINGASA Y LA UNIVERSIDAD DE ALICANTE CON TÍTULO "DETERMINACIÓN TAXONÓMICA DE ROCARIOTAS PRESENTES EN EL TRATAMIENTO DE CUERPOS Y BÚSQUEDA DE HALÓFILOS BENEFICIOSOS EN SU PROCESO DE CURADO. TERAPIA HALO-FÁGICA". REFERENCIA: COINGASA1-20Y</t>
  </si>
  <si>
    <t>SEXTO PAGO PARA ADQUISICIÓN MATERIAL DE LABORATORIO Y SECUENCIACIÓN COMO PARTE DEL CONTRATO DE INVESTIGACIÓN Y DESARROLLO ENTRE COMERCIAL INDUSTRIAL GARCÍA SÁNCHEZ, S.A.- COINGASA Y LA UNIVERSIDAD DE ALICANTE CON TÍTULO "DETERMINACIÓN TAXONÓMICA DE  PROCARIOTAS PRESENTES EN EL TRATAMIENTO DE CUERPOS Y BÚSQUEDA DE HALÓFILOS BENEFICIOSOS EN SU PROCESO DE CURADO. TERAPIA HALO-FÁGICA". REFERENCIA: COINGASA1-20Y</t>
  </si>
  <si>
    <t>SÉPTIMO PAGO PARA ADQUISICIÓN MATERIAL DE LABORATORIO Y SECUENCIACIÓN COMO PARTE DEL CONTRATO DE INVESTIGACIÓN Y DESARROLLO ENTRE COMERCIAL INDUSTRIAL GARCÍA SÁNCHEZ, S.A.- COINGASA Y LA UNIVERSIDAD DE ALICANTE CON TÍTULO "DETERMINACIÓN TAXONÓMICA DE PROCARIOTAS PRESENTES EN EL TRATAMIENTO DE CUERPOS Y BÚSQUEDA DE HALÓFILOS BENEFICIOSOS EN SU PROCESO DE CURADO. TERAPIA HALO-FÁGICA". REFERENCIA: COINGASA1-20Y</t>
  </si>
  <si>
    <t>CUARTO PAGO PARA ADQUISICIÓN MATERIAL DE LABORATORIO Y SECUENCIACIÓN COMO PARTE DEL CONTRATO DE INVESTIGACIÓN Y DESARROLLO ENTRE COMERCIAL INDUSTRIAL GARCÍA SÁNCHEZ, S.A.-COINGASA Y LA UNIVERSIDAD DE ALICANTE CON TÍTULO "DETERMINACIÓN TAXONÓMICA DE ROCARIOTAS PRESENTES EN EL TRATAMIENTO DE CUERPOS Y BÚSQUEDA DE HALÓFILOS BENEFICIOSOS EN SU PROCESO DE CURADO. TERAPIA HALO-FÁGICA". REFERENCIA: COINGASA1-20Y</t>
  </si>
  <si>
    <t xml:space="preserve"> TERCER PAGO PARA ADQUISICIÓN MATERIAL DE LABORATORIO Y SECUENCIACIÓN COMO PARTE DEL CONTRATO DE INVESTIGACIÓN Y DESARROLLO ENTRE COMERCIAL INDUSTRIAL GARCÍA SÁNCHEZ, S.A.-COINGASA Y LA UNIVERSIDAD DE ALICANTE CON TÍTULO "DETERMINACIÓN TAXONÓMICA DE OCARIOTAS PRESENTES EN EL TRATAMIENTO DE CUERPOS Y BÚSQUEDA DE HALÓFILOS BENEFICIOSOS EN SU PROCESO DE CURADO. TERAPIA HALO-FÁGICA". REFERENCIA: COINGASA1-20Y</t>
  </si>
  <si>
    <t>NOVENO PAGO PARA ADQUISICIÓN MATERIAL DE LABORATORIO Y SECUENCIACIÓN COMO PARTE DEL CONTRATO DE INVESTIGACIÓN Y DESARROLLO ENTRE COMERCIAL INDUSTRIAL GARCÍA SÁNCHEZ, S.A.- COINGASA Y LA UNIVERSIDAD DE ALICANTE CON TÍTULO "DETERMINACIÓN TAXONÓMICA DE PROCARIOTAS PRESENTES EN EL TRATAMIENTO DE CUERPOS Y BÚSQUEDA DE HALÓFILOS BENEFICIOSOS EN SU PROCESO DE CURADO. TERAPIA HALO-FÁGICA". REFERENCIA: COINGASA1-20Y</t>
  </si>
  <si>
    <t>36.20.6C.00.17</t>
  </si>
  <si>
    <t xml:space="preserve">AYUDA ECONÓMICA A LA REALIZACIÓN DEL PROYECTO "TERAPIA DE LA RETINOSIS PIGMENTARIA MEDIANTE SUSTANCIAS NEUROPROTECTORAS Y ANTIOXIDANTES". </t>
  </si>
  <si>
    <t>36.20.6C.00.18</t>
  </si>
  <si>
    <t>ASESORAMIENTO REALIZADO POR FERNANDO SANTOS SÁNCHEZ EN AUDITORÍA REALIZADA POR ENAC (EVALUACIÓN 51324). REF: ENAC3-21TPA</t>
  </si>
  <si>
    <t>36.20.6C.00.19</t>
  </si>
  <si>
    <t>ASESORAMIENTO REALIZADO POR FERNANDO SANTOS SÁNCHEZ EN AUDITORÍA REALIZADA POR ENAC (EVALUACIÓN 52692). REF: ENAC5-21TPA</t>
  </si>
  <si>
    <t>36.20.6C.00.20</t>
  </si>
  <si>
    <t>ASESORAMIENTO REALIZADO POR FERNANDO SANTOS SÁNCHEZ EN AUDITORÍA REALIZADA POR ENAC (EVALUACIÓN 52693). REF: ENAC6-21TPA</t>
  </si>
  <si>
    <t>36.20.6C.00.21</t>
  </si>
  <si>
    <t>ASESORAMIENTO REALIZADO POR FERNANDO SANTOS SÁNCHEZ EN AUDITORÍA REALIZADA POR ENAC (EVALUACIÓN 52781). REF: ENAC4-21TPA</t>
  </si>
  <si>
    <t>36.20.6C.00.22</t>
  </si>
  <si>
    <t>SERVICIO DE ASESORAMIENTO, COMO EXPERTO TÉCNICO, EN AUDITORÍA LLEVADA A CABO POR ENAC (EVALUACIÓN Nº 53668) ANTE MÉTODOS DE ENSAYOS MICROBIOLÓGICOS SOBRE MATERIALES TEXTILES con referencia "ENAC7-21TPA"</t>
  </si>
  <si>
    <t>36.20.6M.00.06</t>
  </si>
  <si>
    <t xml:space="preserve">ACTIVIDAD FORMATIVA SOBRE FUNDAMENTOS DE LA TECNOLOGÍA CRISPR Y APLICACIONES EN NEFROLOGÍA REALIZADA POR DR. FRANCISCO J. MARTÍNEZ MOJICA. REFERENCIA: SVN1-21FPA </t>
  </si>
  <si>
    <t>36.20.6M.00.07</t>
  </si>
  <si>
    <t>CONVENIO DE COLABORACIÓN EN EL PROYECTO: TERAPIA NEUROPROTECTORA DE LA DISTROFIA COROIDEA AREOLAR CENTRAL. REF.: ASOCIACIONRETINA1-21I</t>
  </si>
  <si>
    <t>REINTEGRO CUOTA PATRONAL CORRESPONDIENTE A FEBRERO 2021</t>
  </si>
  <si>
    <t>PROMETEO 2017 EN 2021 (INNOVACIÓN,UNIVERSIDADES,CIENCIA SOC.DIG)</t>
  </si>
  <si>
    <t>RTI2018-094248-B-I00</t>
  </si>
  <si>
    <t>PGC2018-096956-B-C44</t>
  </si>
  <si>
    <t>36.20.6P.00.30</t>
  </si>
  <si>
    <t xml:space="preserve">INNTA1/2020/25 Agente de innovación para potenciar la transferencia de la tecnología generada en la Universidad de Alicante en el campo de la Microbiología al entono empresarial de la Comunidad Valenciana. AÑO 2020 </t>
  </si>
  <si>
    <t>PID2019-106230RB-I00</t>
  </si>
  <si>
    <t>RES. CONCESIÓN SUBVENCIONES PARA GRUPOSINVESTIGACIÓN CONSOLIDABLES AICO 2020 EN2021</t>
  </si>
  <si>
    <t>36.20.6P.00.35</t>
  </si>
  <si>
    <t>PID2020-118816GB-I00</t>
  </si>
  <si>
    <t>36.20.6P.00.36</t>
  </si>
  <si>
    <t xml:space="preserve">PROMETEO/2021/024 2021 en 2021 </t>
  </si>
  <si>
    <t>36.20.6P.00.37</t>
  </si>
  <si>
    <t xml:space="preserve">PROMETEO/2021/057 2021 en 2021 </t>
  </si>
  <si>
    <t>6º INGRESO DEL PROYECTO I-ROS MODULATOR</t>
  </si>
  <si>
    <t>QUINTO PAGO DEL PROYECTO I-ROS-MODULATOR, SEGÚN INFORMA LA OGPI.</t>
  </si>
  <si>
    <t>PROYECTO I ROS MODULATOR, PAGO 3 Y 4, COORDINA EL PROFESOR NICOLÁS CUENCA, SEGÚN INFORMAN OGPI</t>
  </si>
  <si>
    <t>Re. Sub award Agreement number: S451675 (CELL TO ECOSYSTEM) Total third quaterly costs  corresponding to the period covered: from 01 September to 31st. December 2021 Detailed expenditures reported under the  attached "annex 6"of the refered Sub-award Agreement TOTAL DUE:  30.579,79 EUROS   (Counter Value in US$:  34.637,98 US DOLLARS) Link conversor: https://www1.oanda.com/lang/es/currency converter/ Date: 02/12/2021</t>
  </si>
  <si>
    <t>Re. Sub award Agreement number: S451675 (CELL TO ECOSYSTEM) Total second quaterly costs  corresponding to the period covered: from 01st. May to 31st. August 2021 Detailed expenditures reported under the  attached "annex 6"of the refered Sub-award Agreement TOTAL DUE:  37.527,47 EUROS   (Counter Value in US$:  42.507,67 US DOLLARS) Link conversor: https://www1.oanda.com/lang/es/currency converter/ Date: 02/12/2021</t>
  </si>
  <si>
    <t>Re. Sub award Agreement number: S451675 (CELL TO ECOSYSTEM) Total  quaterly costs  corresponding to the period covered: from 01 January to 30th. April 2021 Detailed expenditures reported under the  attached "annex 6"of the refered Sub-award Agreement TOTAL DUE  : 45.654,60 EUROS (Counter Value in US$: 54.812,6 $ ) Link conversor: https://www1.oanda. com/lang/es/currency converter/ Date: 06/05/2021.</t>
  </si>
  <si>
    <t>Re. Sub award Agreement number: S451675 (CELL TO ECOSYSTEM) Total second and third quaterly costs  corresponding to the period covered: from 01 June to 31st. December 2020 Detailed expenditures reported under the  attached "annex 6"of the refered Sub-award Agreement TOTAL DUE 65.692,21 EUROS (Counter Value in US$: 78.869,6 $ ) Link conversor: https://www1.oanda.com/lang/es/currency/converter/ Date: 06/05/2021.</t>
  </si>
  <si>
    <t>Aldeguer Riquelme, Borja </t>
  </si>
  <si>
    <t>Caracterización de las comunidades microbianas de los sedimentos del Mar Menor </t>
  </si>
  <si>
    <t>22/07/2022 </t>
  </si>
  <si>
    <t>Maestre Carballa, Lucía </t>
  </si>
  <si>
    <t>Historia de un viaje: dinámica de los genes de resistencia a antibióticos, del cuerpo humano al ecosistema. </t>
  </si>
  <si>
    <t>27/07/2022 </t>
  </si>
  <si>
    <t>Quereda Galvañ, Cristina </t>
  </si>
  <si>
    <t>Expresión en la retina y células tumorales de genes y proteínas asociados a distrofias neuromusculares congénitas </t>
  </si>
  <si>
    <t>Molina Martín, Luis Alberto </t>
  </si>
  <si>
    <t>Tomografía de coherencia óptica y ecografía orbitaria en el diagnóstico del deterioro cognitivo leve. </t>
  </si>
  <si>
    <t>09/09/2022 </t>
  </si>
  <si>
    <t>11956693M</t>
  </si>
  <si>
    <t>PEREZ RODRIGUEZ, ROCIO</t>
  </si>
  <si>
    <t>28997605X</t>
  </si>
  <si>
    <t>SOTO MARTINEZ, JOSE LUIS</t>
  </si>
  <si>
    <t>45836370S</t>
  </si>
  <si>
    <t>NOAILLES GIL, MARIA AGUSTINA</t>
  </si>
  <si>
    <t>45837767D</t>
  </si>
  <si>
    <t>MARTINEZ GIL, NATALIA</t>
  </si>
  <si>
    <t>48321647G</t>
  </si>
  <si>
    <t>PEÑA PARDO, ARANZAZU</t>
  </si>
  <si>
    <t>51449130Q</t>
  </si>
  <si>
    <t>RUBIO PORTILLO, ESTHER</t>
  </si>
  <si>
    <t>Total ingresos investigación 2019-2020-2021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</si>
</sst>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22"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11"/>
      <color theme="1"/>
      <name val="Calibri"/>
      <family val="2"/>
      <scheme val="minor"/>
    </font>
    <font>
      <b/>
      <sz val="8"/>
      <color rgb="FF000000"/>
      <name val="Arial"/>
      <family val="2"/>
    </font>
    <font>
      <sz val="8"/>
      <color rgb="FF000000"/>
      <name val="Arial"/>
      <family val="2"/>
    </font>
    <font>
      <b/>
      <sz val="8"/>
      <color rgb="FFFFFFFF"/>
      <name val="Arial"/>
      <family val="2"/>
    </font>
    <font>
      <sz val="8"/>
      <color rgb="FF000000"/>
      <name val="Calibri"/>
      <family val="2"/>
      <scheme val="minor"/>
    </font>
    <font>
      <b/>
      <sz val="10"/>
      <color rgb="FF000000"/>
      <name val="Calibri"/>
      <family val="2"/>
      <scheme val="minor"/>
    </font>
    <font>
      <sz val="10"/>
      <color rgb="FF000000"/>
      <name val="Calibri"/>
      <family val="2"/>
      <scheme val="minor"/>
    </font>
    <font>
      <b/>
      <sz val="8"/>
      <color rgb="FF000000"/>
      <name val="Calibri"/>
      <family val="2"/>
      <scheme val="minor"/>
    </font>
    <font>
      <b/>
      <sz val="11"/>
      <color theme="0"/>
      <name val="Calibri"/>
      <family val="2"/>
      <scheme val="minor"/>
    </font>
    <font>
      <sz val="11"/>
      <color rgb="FF000000"/>
      <name val="Calibri"/>
      <family val="2"/>
      <scheme val="minor"/>
    </font>
    <font>
      <b/>
      <sz val="10"/>
      <color theme="1"/>
      <name val="Arial"/>
      <family val="2"/>
    </font>
  </fonts>
  <fills count="1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E5E5E5"/>
        <bgColor indexed="64"/>
      </patternFill>
    </fill>
    <fill>
      <patternFill patternType="solid">
        <fgColor rgb="FFFFFFFF"/>
        <bgColor indexed="64"/>
      </patternFill>
    </fill>
    <fill>
      <patternFill patternType="solid">
        <fgColor rgb="FFB2B2B2"/>
        <bgColor indexed="64"/>
      </patternFill>
    </fill>
    <fill>
      <patternFill patternType="solid">
        <fgColor rgb="FFCCCCCC"/>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FFF2CC"/>
        <bgColor rgb="FF000000"/>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rgb="FF878787"/>
      </left>
      <right style="medium">
        <color rgb="FF878787"/>
      </right>
      <top style="medium">
        <color rgb="FF878787"/>
      </top>
      <bottom style="medium">
        <color rgb="FF878787"/>
      </bottom>
      <diagonal/>
    </border>
    <border>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style="medium">
        <color rgb="FF878787"/>
      </left>
      <right style="medium">
        <color rgb="FF878787"/>
      </right>
      <top/>
      <bottom style="medium">
        <color rgb="FF878787"/>
      </bottom>
      <diagonal/>
    </border>
    <border>
      <left/>
      <right/>
      <top style="medium">
        <color rgb="FF878787"/>
      </top>
      <bottom style="medium">
        <color rgb="FF878787"/>
      </bottom>
      <diagonal/>
    </border>
    <border>
      <left style="medium">
        <color rgb="FF878787"/>
      </left>
      <right style="medium">
        <color rgb="FF878787"/>
      </right>
      <top style="medium">
        <color rgb="FF878787"/>
      </top>
      <bottom/>
      <diagonal/>
    </border>
    <border>
      <left style="medium">
        <color rgb="FF878787"/>
      </left>
      <right style="medium">
        <color rgb="FF878787"/>
      </right>
      <top/>
      <bottom/>
      <diagonal/>
    </border>
    <border>
      <left style="thin">
        <color rgb="FF878787"/>
      </left>
      <right style="medium">
        <color rgb="FF878787"/>
      </right>
      <top style="medium">
        <color rgb="FF878787"/>
      </top>
      <bottom style="thin">
        <color rgb="FF878787"/>
      </bottom>
      <diagonal/>
    </border>
    <border>
      <left/>
      <right style="medium">
        <color rgb="FF878787"/>
      </right>
      <top/>
      <bottom style="medium">
        <color rgb="FF878787"/>
      </bottom>
      <diagonal/>
    </border>
    <border>
      <left style="medium">
        <color rgb="FF878787"/>
      </left>
      <right/>
      <top/>
      <bottom style="medium">
        <color rgb="FF878787"/>
      </bottom>
      <diagonal/>
    </border>
    <border>
      <left/>
      <right style="medium">
        <color rgb="FF878787"/>
      </right>
      <top style="medium">
        <color rgb="FF878787"/>
      </top>
      <bottom/>
      <diagonal/>
    </border>
    <border>
      <left style="medium">
        <color rgb="FF878787"/>
      </left>
      <right/>
      <top style="medium">
        <color rgb="FF878787"/>
      </top>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ck">
        <color theme="0"/>
      </top>
      <bottom/>
      <diagonal/>
    </border>
    <border>
      <left style="thin">
        <color theme="0"/>
      </left>
      <right/>
      <top style="thick">
        <color theme="0"/>
      </top>
      <bottom/>
      <diagonal/>
    </border>
    <border>
      <left style="thin">
        <color theme="1"/>
      </left>
      <right style="thin">
        <color theme="1"/>
      </right>
      <top style="thin">
        <color theme="1"/>
      </top>
      <bottom style="thin">
        <color theme="1"/>
      </bottom>
      <diagonal/>
    </border>
    <border>
      <left/>
      <right/>
      <top style="thin">
        <color indexed="64"/>
      </top>
      <bottom style="thin">
        <color indexed="64"/>
      </bottom>
      <diagonal/>
    </border>
    <border>
      <left style="medium">
        <color rgb="FF878787"/>
      </left>
      <right/>
      <top/>
      <bottom/>
      <diagonal/>
    </border>
    <border>
      <left/>
      <right style="medium">
        <color rgb="FF878787"/>
      </right>
      <top/>
      <bottom/>
      <diagonal/>
    </border>
    <border>
      <left/>
      <right/>
      <top/>
      <bottom style="medium">
        <color rgb="FF878787"/>
      </bottom>
      <diagonal/>
    </border>
  </borders>
  <cellStyleXfs count="9">
    <xf numFmtId="0" fontId="0" fillId="0" borderId="0"/>
    <xf numFmtId="0" fontId="3" fillId="0" borderId="0"/>
    <xf numFmtId="0" fontId="6" fillId="0" borderId="0"/>
    <xf numFmtId="0" fontId="6" fillId="0" borderId="0"/>
    <xf numFmtId="0" fontId="7" fillId="0" borderId="0"/>
    <xf numFmtId="0" fontId="1" fillId="0" borderId="0"/>
    <xf numFmtId="0" fontId="11" fillId="0" borderId="0"/>
    <xf numFmtId="0" fontId="11" fillId="0" borderId="0"/>
    <xf numFmtId="43" fontId="11" fillId="0" borderId="0" applyFont="0" applyFill="0" applyBorder="0" applyAlignment="0" applyProtection="0"/>
  </cellStyleXfs>
  <cellXfs count="116">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11" fillId="0" borderId="0" xfId="6" applyAlignment="1"/>
    <xf numFmtId="4" fontId="12" fillId="6" borderId="2" xfId="6" applyNumberFormat="1" applyFont="1" applyFill="1" applyBorder="1" applyAlignment="1">
      <alignment horizontal="right" vertical="center"/>
    </xf>
    <xf numFmtId="4" fontId="13" fillId="7" borderId="2" xfId="6" applyNumberFormat="1" applyFont="1" applyFill="1" applyBorder="1" applyAlignment="1">
      <alignment horizontal="right"/>
    </xf>
    <xf numFmtId="0" fontId="13" fillId="7" borderId="2" xfId="6" applyFont="1" applyFill="1" applyBorder="1" applyAlignment="1">
      <alignment horizontal="right"/>
    </xf>
    <xf numFmtId="0" fontId="13" fillId="7" borderId="3" xfId="6" applyFont="1" applyFill="1" applyBorder="1" applyAlignment="1">
      <alignment horizontal="left" vertical="center"/>
    </xf>
    <xf numFmtId="0" fontId="13" fillId="7" borderId="4" xfId="6" applyFont="1" applyFill="1" applyBorder="1" applyAlignment="1">
      <alignment horizontal="left" vertical="center"/>
    </xf>
    <xf numFmtId="0" fontId="13" fillId="7" borderId="2" xfId="6" applyFont="1" applyFill="1" applyBorder="1" applyAlignment="1">
      <alignment horizontal="left" vertical="center"/>
    </xf>
    <xf numFmtId="0" fontId="13" fillId="7" borderId="5" xfId="6" applyFont="1" applyFill="1" applyBorder="1" applyAlignment="1">
      <alignment horizontal="left" vertical="center"/>
    </xf>
    <xf numFmtId="0" fontId="12" fillId="6" borderId="2" xfId="6" applyFont="1" applyFill="1" applyBorder="1" applyAlignment="1">
      <alignment horizontal="right" vertical="center"/>
    </xf>
    <xf numFmtId="0" fontId="14" fillId="8" borderId="3" xfId="6" applyFont="1" applyFill="1" applyBorder="1" applyAlignment="1">
      <alignment horizontal="left" vertical="center"/>
    </xf>
    <xf numFmtId="0" fontId="14" fillId="8" borderId="6" xfId="6" applyFont="1" applyFill="1" applyBorder="1" applyAlignment="1">
      <alignment horizontal="left" vertical="center"/>
    </xf>
    <xf numFmtId="0" fontId="14" fillId="8" borderId="4" xfId="6" applyFont="1" applyFill="1" applyBorder="1" applyAlignment="1">
      <alignment horizontal="left" vertical="center"/>
    </xf>
    <xf numFmtId="0" fontId="13" fillId="7" borderId="7" xfId="6" applyFont="1" applyFill="1" applyBorder="1" applyAlignment="1">
      <alignment horizontal="left" vertical="center"/>
    </xf>
    <xf numFmtId="0" fontId="13" fillId="7" borderId="8" xfId="6" applyFont="1" applyFill="1" applyBorder="1" applyAlignment="1">
      <alignment horizontal="left" vertical="center"/>
    </xf>
    <xf numFmtId="0" fontId="12" fillId="9" borderId="2" xfId="6" applyFont="1" applyFill="1" applyBorder="1" applyAlignment="1">
      <alignment horizontal="center"/>
    </xf>
    <xf numFmtId="0" fontId="13" fillId="9" borderId="9" xfId="6" applyFont="1" applyFill="1" applyBorder="1" applyAlignment="1">
      <alignment horizontal="right" vertical="top"/>
    </xf>
    <xf numFmtId="0" fontId="12" fillId="9" borderId="10" xfId="6" applyFont="1" applyFill="1" applyBorder="1" applyAlignment="1"/>
    <xf numFmtId="0" fontId="12" fillId="9" borderId="11" xfId="6" applyFont="1" applyFill="1" applyBorder="1" applyAlignment="1"/>
    <xf numFmtId="0" fontId="12" fillId="9" borderId="3" xfId="6" applyFont="1" applyFill="1" applyBorder="1" applyAlignment="1">
      <alignment horizontal="center"/>
    </xf>
    <xf numFmtId="0" fontId="12" fillId="9" borderId="6" xfId="6" applyFont="1" applyFill="1" applyBorder="1" applyAlignment="1">
      <alignment horizontal="center"/>
    </xf>
    <xf numFmtId="0" fontId="12" fillId="9" borderId="4" xfId="6" applyFont="1" applyFill="1" applyBorder="1" applyAlignment="1">
      <alignment horizontal="center"/>
    </xf>
    <xf numFmtId="0" fontId="12" fillId="9" borderId="12" xfId="6" applyFont="1" applyFill="1" applyBorder="1" applyAlignment="1"/>
    <xf numFmtId="0" fontId="12" fillId="9" borderId="13" xfId="6" applyFont="1" applyFill="1" applyBorder="1" applyAlignment="1"/>
    <xf numFmtId="0" fontId="16" fillId="0" borderId="0" xfId="6" applyFont="1" applyAlignment="1"/>
    <xf numFmtId="0" fontId="12" fillId="9" borderId="9" xfId="6" applyFont="1" applyFill="1" applyBorder="1" applyAlignment="1">
      <alignment horizontal="right" vertical="top"/>
    </xf>
    <xf numFmtId="0" fontId="16" fillId="0" borderId="0" xfId="7" applyFont="1" applyAlignment="1"/>
    <xf numFmtId="0" fontId="11" fillId="0" borderId="0" xfId="7" applyAlignment="1"/>
    <xf numFmtId="0" fontId="18" fillId="0" borderId="0" xfId="7" applyFont="1" applyAlignment="1">
      <alignment horizontal="left"/>
    </xf>
    <xf numFmtId="0" fontId="12" fillId="9" borderId="13" xfId="7" applyFont="1" applyFill="1" applyBorder="1" applyAlignment="1"/>
    <xf numFmtId="0" fontId="12" fillId="9" borderId="12" xfId="7" applyFont="1" applyFill="1" applyBorder="1" applyAlignment="1"/>
    <xf numFmtId="0" fontId="13" fillId="9" borderId="9" xfId="7" applyFont="1" applyFill="1" applyBorder="1" applyAlignment="1">
      <alignment horizontal="right" vertical="top"/>
    </xf>
    <xf numFmtId="0" fontId="12" fillId="9" borderId="4" xfId="7" applyFont="1" applyFill="1" applyBorder="1" applyAlignment="1">
      <alignment horizontal="center"/>
    </xf>
    <xf numFmtId="0" fontId="12" fillId="9" borderId="6" xfId="7" applyFont="1" applyFill="1" applyBorder="1" applyAlignment="1">
      <alignment horizontal="center"/>
    </xf>
    <xf numFmtId="0" fontId="12" fillId="9" borderId="3" xfId="7" applyFont="1" applyFill="1" applyBorder="1" applyAlignment="1">
      <alignment horizontal="center"/>
    </xf>
    <xf numFmtId="0" fontId="12" fillId="9" borderId="11" xfId="7" applyFont="1" applyFill="1" applyBorder="1" applyAlignment="1"/>
    <xf numFmtId="0" fontId="12" fillId="9" borderId="10" xfId="7" applyFont="1" applyFill="1" applyBorder="1" applyAlignment="1"/>
    <xf numFmtId="0" fontId="12" fillId="9" borderId="2" xfId="7" applyFont="1" applyFill="1" applyBorder="1" applyAlignment="1">
      <alignment horizontal="center"/>
    </xf>
    <xf numFmtId="0" fontId="14" fillId="8" borderId="4" xfId="7" applyFont="1" applyFill="1" applyBorder="1" applyAlignment="1">
      <alignment horizontal="left" vertical="center"/>
    </xf>
    <xf numFmtId="0" fontId="14" fillId="8" borderId="3" xfId="7" applyFont="1" applyFill="1" applyBorder="1" applyAlignment="1">
      <alignment horizontal="left" vertical="center"/>
    </xf>
    <xf numFmtId="0" fontId="14" fillId="8" borderId="6" xfId="7" applyFont="1" applyFill="1" applyBorder="1" applyAlignment="1">
      <alignment horizontal="left" vertical="center"/>
    </xf>
    <xf numFmtId="4" fontId="12" fillId="6" borderId="2" xfId="7" applyNumberFormat="1" applyFont="1" applyFill="1" applyBorder="1" applyAlignment="1">
      <alignment horizontal="right" vertical="center"/>
    </xf>
    <xf numFmtId="0" fontId="13" fillId="7" borderId="7" xfId="7" applyFont="1" applyFill="1" applyBorder="1" applyAlignment="1">
      <alignment horizontal="left" vertical="center"/>
    </xf>
    <xf numFmtId="0" fontId="12" fillId="6" borderId="2" xfId="7" applyFont="1" applyFill="1" applyBorder="1" applyAlignment="1">
      <alignment horizontal="right" vertical="center"/>
    </xf>
    <xf numFmtId="0" fontId="13" fillId="7" borderId="8" xfId="7" applyFont="1" applyFill="1" applyBorder="1" applyAlignment="1">
      <alignment horizontal="left" vertical="center"/>
    </xf>
    <xf numFmtId="0" fontId="13" fillId="7" borderId="2" xfId="7" applyFont="1" applyFill="1" applyBorder="1" applyAlignment="1">
      <alignment horizontal="left" vertical="center"/>
    </xf>
    <xf numFmtId="0" fontId="13" fillId="7" borderId="4" xfId="7" applyFont="1" applyFill="1" applyBorder="1" applyAlignment="1">
      <alignment horizontal="left" vertical="center"/>
    </xf>
    <xf numFmtId="0" fontId="13" fillId="7" borderId="3" xfId="7" applyFont="1" applyFill="1" applyBorder="1" applyAlignment="1">
      <alignment horizontal="left" vertical="center"/>
    </xf>
    <xf numFmtId="4" fontId="13" fillId="7" borderId="2" xfId="7" applyNumberFormat="1" applyFont="1" applyFill="1" applyBorder="1" applyAlignment="1">
      <alignment horizontal="right"/>
    </xf>
    <xf numFmtId="0" fontId="13" fillId="7" borderId="2" xfId="7" applyFont="1" applyFill="1" applyBorder="1" applyAlignment="1">
      <alignment horizontal="right"/>
    </xf>
    <xf numFmtId="0" fontId="13" fillId="7" borderId="5" xfId="7" applyFont="1" applyFill="1" applyBorder="1" applyAlignment="1">
      <alignment horizontal="left" vertical="center"/>
    </xf>
    <xf numFmtId="4" fontId="11" fillId="0" borderId="0" xfId="7" applyNumberFormat="1" applyAlignment="1"/>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19" fillId="10" borderId="14" xfId="0" applyFont="1" applyFill="1" applyBorder="1"/>
    <xf numFmtId="0" fontId="19" fillId="10" borderId="15" xfId="0" applyFont="1" applyFill="1" applyBorder="1" applyAlignment="1">
      <alignment horizontal="right"/>
    </xf>
    <xf numFmtId="0" fontId="19" fillId="10" borderId="18" xfId="0" applyFont="1" applyFill="1" applyBorder="1"/>
    <xf numFmtId="4" fontId="19" fillId="10" borderId="19" xfId="0" applyNumberFormat="1" applyFont="1" applyFill="1" applyBorder="1"/>
    <xf numFmtId="0" fontId="0" fillId="11" borderId="16" xfId="0" applyFill="1" applyBorder="1" applyAlignment="1">
      <alignment vertical="center"/>
    </xf>
    <xf numFmtId="0" fontId="0" fillId="11" borderId="16" xfId="0" applyFill="1" applyBorder="1" applyAlignment="1">
      <alignment vertical="center" wrapText="1"/>
    </xf>
    <xf numFmtId="4" fontId="0" fillId="11" borderId="17" xfId="0" applyNumberFormat="1" applyFill="1" applyBorder="1" applyAlignment="1">
      <alignment vertical="center"/>
    </xf>
    <xf numFmtId="0" fontId="0" fillId="12" borderId="16" xfId="0" applyFill="1" applyBorder="1" applyAlignment="1">
      <alignment vertical="center"/>
    </xf>
    <xf numFmtId="0" fontId="0" fillId="12" borderId="16" xfId="0" applyFill="1" applyBorder="1" applyAlignment="1">
      <alignment vertical="center" wrapText="1"/>
    </xf>
    <xf numFmtId="4" fontId="0" fillId="12" borderId="17" xfId="0" applyNumberFormat="1" applyFill="1" applyBorder="1" applyAlignment="1">
      <alignment vertical="center"/>
    </xf>
    <xf numFmtId="0" fontId="3" fillId="4" borderId="1" xfId="1" applyFill="1" applyBorder="1"/>
    <xf numFmtId="164" fontId="3" fillId="4" borderId="1" xfId="1" applyNumberFormat="1" applyFill="1" applyBorder="1"/>
    <xf numFmtId="0" fontId="3" fillId="4" borderId="1" xfId="1" applyFill="1" applyBorder="1" applyAlignment="1">
      <alignment horizontal="right"/>
    </xf>
    <xf numFmtId="1" fontId="3" fillId="4" borderId="1" xfId="1" applyNumberFormat="1" applyFill="1" applyBorder="1"/>
    <xf numFmtId="165" fontId="3" fillId="4" borderId="1" xfId="1" applyNumberFormat="1" applyFill="1" applyBorder="1"/>
    <xf numFmtId="0" fontId="3" fillId="4" borderId="20" xfId="1" applyFill="1" applyBorder="1"/>
    <xf numFmtId="165" fontId="3" fillId="4" borderId="20" xfId="1" applyNumberFormat="1" applyFill="1" applyBorder="1"/>
    <xf numFmtId="0" fontId="3" fillId="4" borderId="20" xfId="1" applyFill="1" applyBorder="1" applyAlignment="1">
      <alignment horizontal="right"/>
    </xf>
    <xf numFmtId="1" fontId="3" fillId="4" borderId="20" xfId="1" applyNumberFormat="1" applyFill="1" applyBorder="1"/>
    <xf numFmtId="164" fontId="3" fillId="4" borderId="20" xfId="1" applyNumberFormat="1" applyFill="1" applyBorder="1"/>
    <xf numFmtId="0" fontId="13" fillId="7" borderId="1" xfId="0" applyFont="1" applyFill="1" applyBorder="1" applyAlignment="1">
      <alignment horizontal="left" vertical="center"/>
    </xf>
    <xf numFmtId="0" fontId="13" fillId="7" borderId="3" xfId="0" applyFont="1" applyFill="1" applyBorder="1" applyAlignment="1">
      <alignment horizontal="left" vertical="center"/>
    </xf>
    <xf numFmtId="0" fontId="13" fillId="7" borderId="2" xfId="0" applyFont="1" applyFill="1" applyBorder="1" applyAlignment="1">
      <alignment horizontal="left" vertical="center"/>
    </xf>
    <xf numFmtId="0" fontId="13" fillId="7" borderId="4" xfId="0" applyFont="1" applyFill="1" applyBorder="1" applyAlignment="1">
      <alignment horizontal="left" vertical="center"/>
    </xf>
    <xf numFmtId="0" fontId="3" fillId="0" borderId="1" xfId="1" applyBorder="1"/>
    <xf numFmtId="0" fontId="3" fillId="13" borderId="21" xfId="1" applyFont="1" applyFill="1" applyBorder="1" applyAlignment="1"/>
    <xf numFmtId="0" fontId="3" fillId="13" borderId="21" xfId="1" applyFont="1" applyFill="1" applyBorder="1" applyAlignment="1">
      <alignment horizontal="right"/>
    </xf>
    <xf numFmtId="0" fontId="7" fillId="0" borderId="1" xfId="0" applyFont="1" applyBorder="1"/>
    <xf numFmtId="0" fontId="10" fillId="13" borderId="21" xfId="5" applyFont="1" applyFill="1" applyBorder="1"/>
    <xf numFmtId="0" fontId="10" fillId="13" borderId="21" xfId="5" applyFont="1" applyFill="1" applyBorder="1" applyAlignment="1">
      <alignment horizontal="right"/>
    </xf>
    <xf numFmtId="0" fontId="20" fillId="14" borderId="1" xfId="0" applyFont="1" applyFill="1" applyBorder="1" applyAlignment="1">
      <alignment horizontal="right"/>
    </xf>
    <xf numFmtId="4" fontId="0" fillId="13" borderId="1" xfId="0" applyNumberFormat="1" applyFill="1" applyBorder="1"/>
    <xf numFmtId="164" fontId="4" fillId="13" borderId="21" xfId="1" applyNumberFormat="1" applyFont="1" applyFill="1" applyBorder="1" applyAlignment="1"/>
    <xf numFmtId="164" fontId="21" fillId="13" borderId="21" xfId="5" applyNumberFormat="1" applyFont="1" applyFill="1" applyBorder="1"/>
    <xf numFmtId="0" fontId="12" fillId="9" borderId="22" xfId="6" applyFont="1" applyFill="1" applyBorder="1" applyAlignment="1"/>
    <xf numFmtId="0" fontId="12" fillId="9" borderId="23" xfId="6" applyFont="1" applyFill="1" applyBorder="1" applyAlignment="1"/>
    <xf numFmtId="0" fontId="12" fillId="9" borderId="24" xfId="6" applyFont="1" applyFill="1" applyBorder="1" applyAlignment="1"/>
    <xf numFmtId="0" fontId="12" fillId="9" borderId="12" xfId="6" applyFont="1" applyFill="1" applyBorder="1" applyAlignment="1">
      <alignment horizontal="right" vertical="top"/>
    </xf>
    <xf numFmtId="43" fontId="12" fillId="9" borderId="2" xfId="8" applyFont="1" applyFill="1" applyBorder="1" applyAlignment="1">
      <alignment horizontal="right"/>
    </xf>
  </cellXfs>
  <cellStyles count="9">
    <cellStyle name="Millares" xfId="8" builtinId="3"/>
    <cellStyle name="Normal" xfId="0" builtinId="0"/>
    <cellStyle name="Normal 17" xfId="6" xr:uid="{00000000-0005-0000-0000-000001000000}"/>
    <cellStyle name="Normal 19" xfId="7" xr:uid="{00000000-0005-0000-0000-000002000000}"/>
    <cellStyle name="Normal 2" xfId="4" xr:uid="{00000000-0005-0000-0000-000003000000}"/>
    <cellStyle name="Normal 3" xfId="5" xr:uid="{00000000-0005-0000-0000-000004000000}"/>
    <cellStyle name="Normal_Becas 14_9_2005" xfId="2" xr:uid="{00000000-0005-0000-0000-000005000000}"/>
    <cellStyle name="Normal_Ind.2010" xfId="1" xr:uid="{00000000-0005-0000-0000-000006000000}"/>
    <cellStyle name="Normal_PDI por Centro" xfId="3"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showGridLines="0" workbookViewId="0">
      <selection activeCell="A9" sqref="A9:XFD100"/>
    </sheetView>
  </sheetViews>
  <sheetFormatPr baseColWidth="10" defaultColWidth="11.44140625" defaultRowHeight="14.4" x14ac:dyDescent="0.3"/>
  <cols>
    <col min="1" max="1" width="5.6640625" style="46" customWidth="1"/>
    <col min="2" max="2" width="52.5546875" style="46" customWidth="1"/>
    <col min="3" max="3" width="5.6640625" style="46" customWidth="1"/>
    <col min="4" max="4" width="26.44140625" style="46" customWidth="1"/>
    <col min="5" max="5" width="34.109375" style="46" customWidth="1"/>
    <col min="6" max="6" width="11.44140625" style="46" customWidth="1"/>
    <col min="7" max="7" width="26.33203125" style="46" customWidth="1"/>
    <col min="8" max="8" width="11.88671875" style="46" customWidth="1"/>
    <col min="9" max="16384" width="11.44140625" style="46"/>
  </cols>
  <sheetData>
    <row r="1" spans="1:8" ht="15" customHeight="1" thickBot="1" x14ac:dyDescent="0.35">
      <c r="A1" s="45" t="s">
        <v>146</v>
      </c>
      <c r="B1" s="45"/>
      <c r="C1" s="45"/>
      <c r="D1" s="45"/>
      <c r="E1" s="45"/>
      <c r="F1" s="45"/>
      <c r="G1" s="45"/>
      <c r="H1" s="45"/>
    </row>
    <row r="2" spans="1:8" ht="15" thickBot="1" x14ac:dyDescent="0.35">
      <c r="A2" s="48" t="s">
        <v>145</v>
      </c>
      <c r="B2" s="49"/>
      <c r="C2" s="48" t="s">
        <v>144</v>
      </c>
      <c r="D2" s="49"/>
      <c r="E2" s="50"/>
      <c r="F2" s="51" t="s">
        <v>143</v>
      </c>
      <c r="G2" s="52"/>
      <c r="H2" s="53"/>
    </row>
    <row r="3" spans="1:8" ht="15" thickBot="1" x14ac:dyDescent="0.35">
      <c r="A3" s="54"/>
      <c r="B3" s="55"/>
      <c r="C3" s="54"/>
      <c r="D3" s="55"/>
      <c r="E3" s="50" t="s">
        <v>142</v>
      </c>
      <c r="F3" s="56" t="s">
        <v>141</v>
      </c>
      <c r="G3" s="56" t="s">
        <v>140</v>
      </c>
      <c r="H3" s="56" t="s">
        <v>131</v>
      </c>
    </row>
    <row r="4" spans="1:8" ht="15" thickBot="1" x14ac:dyDescent="0.35">
      <c r="A4" s="61" t="s">
        <v>54</v>
      </c>
      <c r="B4" s="61" t="s">
        <v>38</v>
      </c>
      <c r="C4" s="57" t="s">
        <v>131</v>
      </c>
      <c r="D4" s="59"/>
      <c r="E4" s="58"/>
      <c r="F4" s="60">
        <v>15812.43</v>
      </c>
      <c r="G4" s="62">
        <v>592.95000000000005</v>
      </c>
      <c r="H4" s="60">
        <v>16405.38</v>
      </c>
    </row>
    <row r="5" spans="1:8" ht="15" thickBot="1" x14ac:dyDescent="0.35">
      <c r="A5" s="63" t="s">
        <v>33</v>
      </c>
      <c r="B5" s="63"/>
      <c r="C5" s="64" t="s">
        <v>139</v>
      </c>
      <c r="D5" s="65" t="s">
        <v>138</v>
      </c>
      <c r="E5" s="66"/>
      <c r="F5" s="68">
        <v>332.8</v>
      </c>
      <c r="G5" s="68">
        <v>117.7</v>
      </c>
      <c r="H5" s="62">
        <v>450.5</v>
      </c>
    </row>
    <row r="6" spans="1:8" ht="15" thickBot="1" x14ac:dyDescent="0.35">
      <c r="A6" s="63" t="s">
        <v>33</v>
      </c>
      <c r="B6" s="63"/>
      <c r="C6" s="64" t="s">
        <v>137</v>
      </c>
      <c r="D6" s="65" t="s">
        <v>136</v>
      </c>
      <c r="E6" s="66"/>
      <c r="F6" s="67">
        <v>5787.1</v>
      </c>
      <c r="G6" s="68">
        <v>121.45</v>
      </c>
      <c r="H6" s="60">
        <v>5908.55</v>
      </c>
    </row>
    <row r="7" spans="1:8" ht="15" thickBot="1" x14ac:dyDescent="0.35">
      <c r="A7" s="63" t="s">
        <v>33</v>
      </c>
      <c r="B7" s="63"/>
      <c r="C7" s="64" t="s">
        <v>135</v>
      </c>
      <c r="D7" s="65" t="s">
        <v>134</v>
      </c>
      <c r="E7" s="66"/>
      <c r="F7" s="67">
        <v>4046.65</v>
      </c>
      <c r="G7" s="68">
        <v>185.68</v>
      </c>
      <c r="H7" s="60">
        <v>4232.33</v>
      </c>
    </row>
    <row r="8" spans="1:8" ht="15" thickBot="1" x14ac:dyDescent="0.35">
      <c r="A8" s="69" t="s">
        <v>33</v>
      </c>
      <c r="B8" s="69"/>
      <c r="C8" s="64" t="s">
        <v>133</v>
      </c>
      <c r="D8" s="65" t="s">
        <v>132</v>
      </c>
      <c r="E8" s="66"/>
      <c r="F8" s="67">
        <v>5645.88</v>
      </c>
      <c r="G8" s="68">
        <v>168.13</v>
      </c>
      <c r="H8" s="60">
        <v>5814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DBAE6-D78C-4EA8-8F1D-F86CE2F5CBB9}">
  <dimension ref="A1:H8"/>
  <sheetViews>
    <sheetView showGridLines="0" workbookViewId="0">
      <selection activeCell="F4" sqref="F4:H8"/>
    </sheetView>
  </sheetViews>
  <sheetFormatPr baseColWidth="10" defaultColWidth="11.44140625" defaultRowHeight="14.4" x14ac:dyDescent="0.3"/>
  <cols>
    <col min="1" max="1" width="8.6640625" style="20" customWidth="1"/>
    <col min="2" max="2" width="45.6640625" style="20" customWidth="1"/>
    <col min="3" max="3" width="8.6640625" style="20" customWidth="1"/>
    <col min="4" max="4" width="40.33203125" style="20" customWidth="1"/>
    <col min="5" max="5" width="27.33203125" style="20" customWidth="1"/>
    <col min="6" max="6" width="17.44140625" style="20" customWidth="1"/>
    <col min="7" max="7" width="25" style="20" customWidth="1"/>
    <col min="8" max="8" width="18.109375" style="20" customWidth="1"/>
    <col min="9" max="16384" width="11.44140625" style="20"/>
  </cols>
  <sheetData>
    <row r="1" spans="1:8" ht="15" customHeight="1" thickBot="1" x14ac:dyDescent="0.35">
      <c r="A1" s="43" t="s">
        <v>146</v>
      </c>
      <c r="B1" s="43"/>
      <c r="C1" s="43"/>
      <c r="D1" s="43"/>
      <c r="E1" s="43"/>
      <c r="F1" s="43"/>
      <c r="G1" s="43"/>
      <c r="H1" s="43"/>
    </row>
    <row r="2" spans="1:8" ht="15" thickBot="1" x14ac:dyDescent="0.35">
      <c r="A2" s="42" t="s">
        <v>145</v>
      </c>
      <c r="B2" s="41"/>
      <c r="C2" s="42" t="s">
        <v>144</v>
      </c>
      <c r="D2" s="41"/>
      <c r="E2" s="35"/>
      <c r="F2" s="40" t="s">
        <v>143</v>
      </c>
      <c r="G2" s="39"/>
      <c r="H2" s="38"/>
    </row>
    <row r="3" spans="1:8" ht="15" thickBot="1" x14ac:dyDescent="0.35">
      <c r="A3" s="37"/>
      <c r="B3" s="36"/>
      <c r="C3" s="37"/>
      <c r="D3" s="36"/>
      <c r="E3" s="35" t="s">
        <v>142</v>
      </c>
      <c r="F3" s="34" t="s">
        <v>141</v>
      </c>
      <c r="G3" s="34" t="s">
        <v>140</v>
      </c>
      <c r="H3" s="34" t="s">
        <v>131</v>
      </c>
    </row>
    <row r="4" spans="1:8" ht="15" thickBot="1" x14ac:dyDescent="0.35">
      <c r="A4" s="32" t="s">
        <v>54</v>
      </c>
      <c r="B4" s="32" t="s">
        <v>38</v>
      </c>
      <c r="C4" s="31" t="s">
        <v>131</v>
      </c>
      <c r="D4" s="30"/>
      <c r="E4" s="29"/>
      <c r="F4" s="21">
        <v>16787.38</v>
      </c>
      <c r="G4" s="28">
        <v>709.28</v>
      </c>
      <c r="H4" s="21">
        <v>17496.650000000001</v>
      </c>
    </row>
    <row r="5" spans="1:8" ht="15" thickBot="1" x14ac:dyDescent="0.35">
      <c r="A5" s="33" t="s">
        <v>33</v>
      </c>
      <c r="B5" s="33"/>
      <c r="C5" s="26" t="s">
        <v>139</v>
      </c>
      <c r="D5" s="25" t="s">
        <v>138</v>
      </c>
      <c r="E5" s="24"/>
      <c r="F5" s="23">
        <v>358.8</v>
      </c>
      <c r="G5" s="23">
        <v>126.85</v>
      </c>
      <c r="H5" s="28">
        <v>485.65</v>
      </c>
    </row>
    <row r="6" spans="1:8" ht="15" thickBot="1" x14ac:dyDescent="0.35">
      <c r="A6" s="33" t="s">
        <v>33</v>
      </c>
      <c r="B6" s="33"/>
      <c r="C6" s="26" t="s">
        <v>137</v>
      </c>
      <c r="D6" s="25" t="s">
        <v>136</v>
      </c>
      <c r="E6" s="24"/>
      <c r="F6" s="22">
        <v>6996.13</v>
      </c>
      <c r="G6" s="23">
        <v>160.33000000000001</v>
      </c>
      <c r="H6" s="21">
        <v>7156.45</v>
      </c>
    </row>
    <row r="7" spans="1:8" ht="15" thickBot="1" x14ac:dyDescent="0.35">
      <c r="A7" s="33" t="s">
        <v>33</v>
      </c>
      <c r="B7" s="33"/>
      <c r="C7" s="26" t="s">
        <v>135</v>
      </c>
      <c r="D7" s="25" t="s">
        <v>134</v>
      </c>
      <c r="E7" s="24"/>
      <c r="F7" s="22">
        <v>3815.33</v>
      </c>
      <c r="G7" s="23">
        <v>230.33</v>
      </c>
      <c r="H7" s="21">
        <v>4045.65</v>
      </c>
    </row>
    <row r="8" spans="1:8" ht="15" thickBot="1" x14ac:dyDescent="0.35">
      <c r="A8" s="27" t="s">
        <v>33</v>
      </c>
      <c r="B8" s="27"/>
      <c r="C8" s="26" t="s">
        <v>133</v>
      </c>
      <c r="D8" s="25" t="s">
        <v>132</v>
      </c>
      <c r="E8" s="24"/>
      <c r="F8" s="22">
        <v>5617.13</v>
      </c>
      <c r="G8" s="23">
        <v>191.78</v>
      </c>
      <c r="H8" s="21">
        <v>5808.9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showGridLines="0" workbookViewId="0">
      <selection activeCell="F4" sqref="F4:H8"/>
    </sheetView>
  </sheetViews>
  <sheetFormatPr baseColWidth="10" defaultColWidth="11.44140625" defaultRowHeight="14.4" x14ac:dyDescent="0.3"/>
  <cols>
    <col min="1" max="1" width="8.6640625" style="20" customWidth="1"/>
    <col min="2" max="2" width="45.6640625" style="20" customWidth="1"/>
    <col min="3" max="3" width="8.6640625" style="20" customWidth="1"/>
    <col min="4" max="4" width="40.33203125" style="20" customWidth="1"/>
    <col min="5" max="5" width="27.33203125" style="20" customWidth="1"/>
    <col min="6" max="6" width="17.44140625" style="20" customWidth="1"/>
    <col min="7" max="7" width="25" style="20" customWidth="1"/>
    <col min="8" max="8" width="18.109375" style="20" customWidth="1"/>
    <col min="9" max="16384" width="11.44140625" style="20"/>
  </cols>
  <sheetData>
    <row r="1" spans="1:8" ht="15" customHeight="1" thickBot="1" x14ac:dyDescent="0.35">
      <c r="A1" s="43" t="s">
        <v>146</v>
      </c>
      <c r="B1" s="43"/>
      <c r="C1" s="43"/>
      <c r="D1" s="43"/>
      <c r="E1" s="43"/>
      <c r="F1" s="43"/>
      <c r="G1" s="43"/>
      <c r="H1" s="43"/>
    </row>
    <row r="2" spans="1:8" ht="15" thickBot="1" x14ac:dyDescent="0.35">
      <c r="A2" s="42" t="s">
        <v>145</v>
      </c>
      <c r="B2" s="41"/>
      <c r="C2" s="42" t="s">
        <v>144</v>
      </c>
      <c r="D2" s="41"/>
      <c r="E2" s="35"/>
      <c r="F2" s="40" t="s">
        <v>143</v>
      </c>
      <c r="G2" s="39"/>
      <c r="H2" s="38"/>
    </row>
    <row r="3" spans="1:8" ht="15" thickBot="1" x14ac:dyDescent="0.35">
      <c r="A3" s="37"/>
      <c r="B3" s="36"/>
      <c r="C3" s="37"/>
      <c r="D3" s="36"/>
      <c r="E3" s="35" t="s">
        <v>142</v>
      </c>
      <c r="F3" s="34" t="s">
        <v>141</v>
      </c>
      <c r="G3" s="34" t="s">
        <v>140</v>
      </c>
      <c r="H3" s="34" t="s">
        <v>131</v>
      </c>
    </row>
    <row r="4" spans="1:8" ht="15" thickBot="1" x14ac:dyDescent="0.35">
      <c r="A4" s="32" t="s">
        <v>54</v>
      </c>
      <c r="B4" s="32" t="s">
        <v>38</v>
      </c>
      <c r="C4" s="31" t="s">
        <v>131</v>
      </c>
      <c r="D4" s="30"/>
      <c r="E4" s="29"/>
      <c r="F4" s="21">
        <v>17038.98</v>
      </c>
      <c r="G4" s="28">
        <v>595.45000000000005</v>
      </c>
      <c r="H4" s="21">
        <v>17634.43</v>
      </c>
    </row>
    <row r="5" spans="1:8" ht="15" thickBot="1" x14ac:dyDescent="0.35">
      <c r="A5" s="33" t="s">
        <v>33</v>
      </c>
      <c r="B5" s="33"/>
      <c r="C5" s="26" t="s">
        <v>139</v>
      </c>
      <c r="D5" s="25" t="s">
        <v>138</v>
      </c>
      <c r="E5" s="24"/>
      <c r="F5" s="23">
        <v>388.7</v>
      </c>
      <c r="G5" s="23">
        <v>123.15</v>
      </c>
      <c r="H5" s="28">
        <v>511.85</v>
      </c>
    </row>
    <row r="6" spans="1:8" ht="15" thickBot="1" x14ac:dyDescent="0.35">
      <c r="A6" s="33" t="s">
        <v>33</v>
      </c>
      <c r="B6" s="33"/>
      <c r="C6" s="26" t="s">
        <v>137</v>
      </c>
      <c r="D6" s="25" t="s">
        <v>136</v>
      </c>
      <c r="E6" s="24"/>
      <c r="F6" s="22">
        <v>7150.68</v>
      </c>
      <c r="G6" s="23">
        <v>135.58000000000001</v>
      </c>
      <c r="H6" s="21">
        <v>7286.25</v>
      </c>
    </row>
    <row r="7" spans="1:8" ht="15" thickBot="1" x14ac:dyDescent="0.35">
      <c r="A7" s="33" t="s">
        <v>33</v>
      </c>
      <c r="B7" s="33"/>
      <c r="C7" s="26" t="s">
        <v>135</v>
      </c>
      <c r="D7" s="25" t="s">
        <v>134</v>
      </c>
      <c r="E7" s="24"/>
      <c r="F7" s="22">
        <v>3644.75</v>
      </c>
      <c r="G7" s="23">
        <v>144.13</v>
      </c>
      <c r="H7" s="21">
        <v>3788.88</v>
      </c>
    </row>
    <row r="8" spans="1:8" ht="15" thickBot="1" x14ac:dyDescent="0.35">
      <c r="A8" s="27" t="s">
        <v>33</v>
      </c>
      <c r="B8" s="27"/>
      <c r="C8" s="26" t="s">
        <v>133</v>
      </c>
      <c r="D8" s="25" t="s">
        <v>132</v>
      </c>
      <c r="E8" s="24"/>
      <c r="F8" s="22">
        <v>5854.85</v>
      </c>
      <c r="G8" s="23">
        <v>192.6</v>
      </c>
      <c r="H8" s="21">
        <v>6047.45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
  <sheetViews>
    <sheetView showGridLines="0" tabSelected="1" workbookViewId="0">
      <selection activeCell="J5" sqref="J5:J8"/>
    </sheetView>
  </sheetViews>
  <sheetFormatPr baseColWidth="10" defaultColWidth="11.44140625" defaultRowHeight="14.4" x14ac:dyDescent="0.3"/>
  <cols>
    <col min="1" max="1" width="45.6640625" style="46" bestFit="1" customWidth="1"/>
    <col min="2" max="2" width="5" style="46" bestFit="1" customWidth="1"/>
    <col min="3" max="3" width="4" style="46" bestFit="1" customWidth="1"/>
    <col min="4" max="4" width="23.5546875" style="46" customWidth="1"/>
    <col min="5" max="5" width="30.33203125" style="46" customWidth="1"/>
    <col min="6" max="6" width="18.109375" style="46" bestFit="1" customWidth="1"/>
    <col min="7" max="7" width="22.109375" style="46" bestFit="1" customWidth="1"/>
    <col min="8" max="8" width="11.6640625" style="46" bestFit="1" customWidth="1"/>
    <col min="9" max="9" width="22.88671875" style="46" bestFit="1" customWidth="1"/>
    <col min="10" max="10" width="10" style="46" bestFit="1" customWidth="1"/>
    <col min="11" max="16384" width="11.44140625" style="46"/>
  </cols>
  <sheetData>
    <row r="1" spans="1:10" ht="15" customHeight="1" x14ac:dyDescent="0.3">
      <c r="A1" s="45" t="s">
        <v>153</v>
      </c>
      <c r="B1" s="45"/>
      <c r="C1" s="45"/>
      <c r="D1" s="45"/>
      <c r="E1" s="45"/>
      <c r="F1" s="45"/>
      <c r="G1" s="45"/>
      <c r="H1" s="45"/>
      <c r="I1" s="45"/>
      <c r="J1" s="45"/>
    </row>
    <row r="2" spans="1:10" ht="15" thickBot="1" x14ac:dyDescent="0.35">
      <c r="A2" s="47" t="s">
        <v>199</v>
      </c>
      <c r="B2" s="47"/>
      <c r="C2" s="47"/>
      <c r="D2" s="47"/>
      <c r="E2" s="47"/>
      <c r="F2" s="47"/>
      <c r="G2" s="47"/>
      <c r="H2" s="47"/>
      <c r="I2" s="47"/>
      <c r="J2" s="47"/>
    </row>
    <row r="3" spans="1:10" ht="15" thickBot="1" x14ac:dyDescent="0.35">
      <c r="A3" s="48" t="s">
        <v>145</v>
      </c>
      <c r="B3" s="49"/>
      <c r="C3" s="48" t="s">
        <v>144</v>
      </c>
      <c r="D3" s="49"/>
      <c r="E3" s="50"/>
      <c r="F3" s="51" t="s">
        <v>152</v>
      </c>
      <c r="G3" s="52"/>
      <c r="H3" s="52"/>
      <c r="I3" s="52"/>
      <c r="J3" s="53"/>
    </row>
    <row r="4" spans="1:10" ht="15" thickBot="1" x14ac:dyDescent="0.35">
      <c r="A4" s="54" t="s">
        <v>151</v>
      </c>
      <c r="B4" s="55" t="s">
        <v>150</v>
      </c>
      <c r="C4" s="54" t="s">
        <v>149</v>
      </c>
      <c r="D4" s="55" t="s">
        <v>144</v>
      </c>
      <c r="E4" s="50" t="s">
        <v>148</v>
      </c>
      <c r="F4" s="56" t="s">
        <v>148</v>
      </c>
      <c r="G4" s="56" t="s">
        <v>147</v>
      </c>
      <c r="H4" s="56" t="s">
        <v>141</v>
      </c>
      <c r="I4" s="56" t="s">
        <v>140</v>
      </c>
      <c r="J4" s="56" t="s">
        <v>131</v>
      </c>
    </row>
    <row r="5" spans="1:10" ht="15" thickBot="1" x14ac:dyDescent="0.35">
      <c r="A5" s="61" t="s">
        <v>38</v>
      </c>
      <c r="B5" s="61" t="s">
        <v>54</v>
      </c>
      <c r="C5" s="64" t="s">
        <v>139</v>
      </c>
      <c r="D5" s="65" t="s">
        <v>138</v>
      </c>
      <c r="E5" s="66"/>
      <c r="F5" s="68"/>
      <c r="G5" s="68"/>
      <c r="H5" s="68">
        <v>438</v>
      </c>
      <c r="I5" s="68">
        <v>114</v>
      </c>
      <c r="J5" s="62">
        <v>552</v>
      </c>
    </row>
    <row r="6" spans="1:10" ht="15" thickBot="1" x14ac:dyDescent="0.35">
      <c r="A6" s="63"/>
      <c r="B6" s="63" t="s">
        <v>54</v>
      </c>
      <c r="C6" s="64" t="s">
        <v>137</v>
      </c>
      <c r="D6" s="65" t="s">
        <v>136</v>
      </c>
      <c r="E6" s="66"/>
      <c r="F6" s="68"/>
      <c r="G6" s="68"/>
      <c r="H6" s="67">
        <v>5256</v>
      </c>
      <c r="I6" s="68">
        <v>169</v>
      </c>
      <c r="J6" s="60">
        <v>5425</v>
      </c>
    </row>
    <row r="7" spans="1:10" ht="15" thickBot="1" x14ac:dyDescent="0.35">
      <c r="A7" s="63"/>
      <c r="B7" s="63" t="s">
        <v>54</v>
      </c>
      <c r="C7" s="64" t="s">
        <v>135</v>
      </c>
      <c r="D7" s="65" t="s">
        <v>134</v>
      </c>
      <c r="E7" s="66"/>
      <c r="F7" s="68"/>
      <c r="G7" s="68"/>
      <c r="H7" s="67">
        <v>2646</v>
      </c>
      <c r="I7" s="68">
        <v>70</v>
      </c>
      <c r="J7" s="60">
        <v>2716</v>
      </c>
    </row>
    <row r="8" spans="1:10" ht="15" thickBot="1" x14ac:dyDescent="0.35">
      <c r="A8" s="69"/>
      <c r="B8" s="69" t="s">
        <v>54</v>
      </c>
      <c r="C8" s="64" t="s">
        <v>133</v>
      </c>
      <c r="D8" s="65" t="s">
        <v>132</v>
      </c>
      <c r="E8" s="66"/>
      <c r="F8" s="68"/>
      <c r="G8" s="68"/>
      <c r="H8" s="67">
        <v>5112</v>
      </c>
      <c r="I8" s="68">
        <v>67</v>
      </c>
      <c r="J8" s="60">
        <v>5179</v>
      </c>
    </row>
    <row r="9" spans="1:10" x14ac:dyDescent="0.3">
      <c r="H9" s="70"/>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64120-18D7-42C6-BF06-6997ABE3E2B9}">
  <dimension ref="A1:J8"/>
  <sheetViews>
    <sheetView showGridLines="0" topLeftCell="B1" workbookViewId="0">
      <selection activeCell="H6" sqref="H6"/>
    </sheetView>
  </sheetViews>
  <sheetFormatPr baseColWidth="10" defaultColWidth="11.44140625" defaultRowHeight="14.4" x14ac:dyDescent="0.3"/>
  <cols>
    <col min="1" max="1" width="62" style="20" customWidth="1"/>
    <col min="2" max="2" width="6.6640625" style="20" customWidth="1"/>
    <col min="3" max="3" width="5.44140625" style="20" customWidth="1"/>
    <col min="4" max="4" width="32" style="20" customWidth="1"/>
    <col min="5" max="5" width="41" style="20" customWidth="1"/>
    <col min="6" max="6" width="24.5546875" style="20" customWidth="1"/>
    <col min="7" max="7" width="30" style="20" customWidth="1"/>
    <col min="8" max="8" width="13.5546875" style="20" customWidth="1"/>
    <col min="9" max="9" width="31" style="20" customWidth="1"/>
    <col min="10" max="10" width="14" style="20" customWidth="1"/>
    <col min="11" max="16384" width="11.44140625" style="20"/>
  </cols>
  <sheetData>
    <row r="1" spans="1:10" ht="15" customHeight="1" thickBot="1" x14ac:dyDescent="0.35">
      <c r="A1" s="43" t="s">
        <v>153</v>
      </c>
      <c r="B1" s="43"/>
      <c r="C1" s="43"/>
      <c r="D1" s="43"/>
      <c r="E1" s="43"/>
      <c r="F1" s="43"/>
      <c r="G1" s="43"/>
      <c r="H1" s="43"/>
      <c r="I1" s="43"/>
      <c r="J1" s="43"/>
    </row>
    <row r="2" spans="1:10" ht="15" thickBot="1" x14ac:dyDescent="0.35">
      <c r="A2" s="42" t="s">
        <v>145</v>
      </c>
      <c r="B2" s="41"/>
      <c r="C2" s="42" t="s">
        <v>144</v>
      </c>
      <c r="D2" s="41"/>
      <c r="E2" s="35"/>
      <c r="F2" s="40" t="s">
        <v>152</v>
      </c>
      <c r="G2" s="39"/>
      <c r="H2" s="39"/>
      <c r="I2" s="39"/>
      <c r="J2" s="38"/>
    </row>
    <row r="3" spans="1:10" ht="15" thickBot="1" x14ac:dyDescent="0.35">
      <c r="A3" s="37" t="s">
        <v>151</v>
      </c>
      <c r="B3" s="36" t="s">
        <v>150</v>
      </c>
      <c r="C3" s="37" t="s">
        <v>149</v>
      </c>
      <c r="D3" s="36" t="s">
        <v>144</v>
      </c>
      <c r="E3" s="44" t="s">
        <v>148</v>
      </c>
      <c r="F3" s="34" t="s">
        <v>148</v>
      </c>
      <c r="G3" s="34" t="s">
        <v>147</v>
      </c>
      <c r="H3" s="34" t="s">
        <v>141</v>
      </c>
      <c r="I3" s="34" t="s">
        <v>140</v>
      </c>
      <c r="J3" s="34" t="s">
        <v>131</v>
      </c>
    </row>
    <row r="4" spans="1:10" ht="15" thickBot="1" x14ac:dyDescent="0.35">
      <c r="A4" s="111"/>
      <c r="B4" s="112"/>
      <c r="C4" s="37" t="s">
        <v>2</v>
      </c>
      <c r="D4" s="113"/>
      <c r="E4" s="114"/>
      <c r="F4" s="34"/>
      <c r="G4" s="34"/>
      <c r="H4" s="115">
        <v>14510</v>
      </c>
      <c r="I4" s="115">
        <v>705</v>
      </c>
      <c r="J4" s="115">
        <v>15216</v>
      </c>
    </row>
    <row r="5" spans="1:10" ht="15" thickBot="1" x14ac:dyDescent="0.35">
      <c r="A5" s="32" t="s">
        <v>38</v>
      </c>
      <c r="B5" s="32" t="s">
        <v>54</v>
      </c>
      <c r="C5" s="26" t="s">
        <v>139</v>
      </c>
      <c r="D5" s="25" t="s">
        <v>138</v>
      </c>
      <c r="E5" s="24"/>
      <c r="F5" s="23"/>
      <c r="G5" s="23"/>
      <c r="H5" s="23">
        <v>315</v>
      </c>
      <c r="I5" s="23">
        <v>127</v>
      </c>
      <c r="J5" s="28">
        <v>442</v>
      </c>
    </row>
    <row r="6" spans="1:10" ht="15" thickBot="1" x14ac:dyDescent="0.35">
      <c r="A6" s="33"/>
      <c r="B6" s="33" t="s">
        <v>54</v>
      </c>
      <c r="C6" s="26" t="s">
        <v>137</v>
      </c>
      <c r="D6" s="25" t="s">
        <v>136</v>
      </c>
      <c r="E6" s="24"/>
      <c r="F6" s="23"/>
      <c r="G6" s="23"/>
      <c r="H6" s="22">
        <v>6135</v>
      </c>
      <c r="I6" s="23">
        <v>160</v>
      </c>
      <c r="J6" s="21">
        <v>6295</v>
      </c>
    </row>
    <row r="7" spans="1:10" ht="15" thickBot="1" x14ac:dyDescent="0.35">
      <c r="A7" s="33"/>
      <c r="B7" s="33" t="s">
        <v>54</v>
      </c>
      <c r="C7" s="26" t="s">
        <v>135</v>
      </c>
      <c r="D7" s="25" t="s">
        <v>134</v>
      </c>
      <c r="E7" s="24"/>
      <c r="F7" s="23"/>
      <c r="G7" s="23"/>
      <c r="H7" s="22">
        <v>2995</v>
      </c>
      <c r="I7" s="23">
        <v>230</v>
      </c>
      <c r="J7" s="21">
        <v>3225</v>
      </c>
    </row>
    <row r="8" spans="1:10" ht="15" thickBot="1" x14ac:dyDescent="0.35">
      <c r="A8" s="27"/>
      <c r="B8" s="27" t="s">
        <v>54</v>
      </c>
      <c r="C8" s="26" t="s">
        <v>133</v>
      </c>
      <c r="D8" s="25" t="s">
        <v>132</v>
      </c>
      <c r="E8" s="24"/>
      <c r="F8" s="23"/>
      <c r="G8" s="23"/>
      <c r="H8" s="22">
        <v>5065</v>
      </c>
      <c r="I8" s="23">
        <v>189</v>
      </c>
      <c r="J8" s="21">
        <v>5253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
  <sheetViews>
    <sheetView showGridLines="0" topLeftCell="B1" workbookViewId="0">
      <selection activeCell="G8" sqref="G8"/>
    </sheetView>
  </sheetViews>
  <sheetFormatPr baseColWidth="10" defaultColWidth="11.44140625" defaultRowHeight="14.4" x14ac:dyDescent="0.3"/>
  <cols>
    <col min="1" max="1" width="62" style="20" customWidth="1"/>
    <col min="2" max="2" width="6.6640625" style="20" customWidth="1"/>
    <col min="3" max="3" width="5.44140625" style="20" customWidth="1"/>
    <col min="4" max="4" width="32" style="20" customWidth="1"/>
    <col min="5" max="5" width="41" style="20" customWidth="1"/>
    <col min="6" max="6" width="24.5546875" style="20" customWidth="1"/>
    <col min="7" max="7" width="30" style="20" customWidth="1"/>
    <col min="8" max="8" width="13.5546875" style="20" customWidth="1"/>
    <col min="9" max="9" width="31" style="20" customWidth="1"/>
    <col min="10" max="10" width="14" style="20" customWidth="1"/>
    <col min="11" max="16384" width="11.44140625" style="20"/>
  </cols>
  <sheetData>
    <row r="1" spans="1:10" ht="15" customHeight="1" thickBot="1" x14ac:dyDescent="0.35">
      <c r="A1" s="43" t="s">
        <v>153</v>
      </c>
      <c r="B1" s="43"/>
      <c r="C1" s="43"/>
      <c r="D1" s="43"/>
      <c r="E1" s="43"/>
      <c r="F1" s="43"/>
      <c r="G1" s="43"/>
      <c r="H1" s="43"/>
      <c r="I1" s="43"/>
      <c r="J1" s="43"/>
    </row>
    <row r="2" spans="1:10" ht="15" thickBot="1" x14ac:dyDescent="0.35">
      <c r="A2" s="42" t="s">
        <v>145</v>
      </c>
      <c r="B2" s="41"/>
      <c r="C2" s="42" t="s">
        <v>144</v>
      </c>
      <c r="D2" s="41"/>
      <c r="E2" s="35"/>
      <c r="F2" s="40" t="s">
        <v>152</v>
      </c>
      <c r="G2" s="39"/>
      <c r="H2" s="39"/>
      <c r="I2" s="39"/>
      <c r="J2" s="38"/>
    </row>
    <row r="3" spans="1:10" ht="15" thickBot="1" x14ac:dyDescent="0.35">
      <c r="A3" s="37" t="s">
        <v>151</v>
      </c>
      <c r="B3" s="36" t="s">
        <v>150</v>
      </c>
      <c r="C3" s="37" t="s">
        <v>149</v>
      </c>
      <c r="D3" s="36" t="s">
        <v>144</v>
      </c>
      <c r="E3" s="44" t="s">
        <v>148</v>
      </c>
      <c r="F3" s="34" t="s">
        <v>148</v>
      </c>
      <c r="G3" s="34" t="s">
        <v>147</v>
      </c>
      <c r="H3" s="34" t="s">
        <v>141</v>
      </c>
      <c r="I3" s="34" t="s">
        <v>140</v>
      </c>
      <c r="J3" s="34" t="s">
        <v>131</v>
      </c>
    </row>
    <row r="4" spans="1:10" ht="15" thickBot="1" x14ac:dyDescent="0.35">
      <c r="A4" s="111"/>
      <c r="B4" s="112"/>
      <c r="C4" s="37" t="s">
        <v>2</v>
      </c>
      <c r="D4" s="113"/>
      <c r="E4" s="114"/>
      <c r="F4" s="34"/>
      <c r="G4" s="34"/>
      <c r="H4" s="34">
        <v>14166</v>
      </c>
      <c r="I4" s="34">
        <v>583</v>
      </c>
      <c r="J4" s="34">
        <v>14749</v>
      </c>
    </row>
    <row r="5" spans="1:10" ht="15" thickBot="1" x14ac:dyDescent="0.35">
      <c r="A5" s="32" t="s">
        <v>38</v>
      </c>
      <c r="B5" s="32" t="s">
        <v>54</v>
      </c>
      <c r="C5" s="26" t="s">
        <v>139</v>
      </c>
      <c r="D5" s="25" t="s">
        <v>138</v>
      </c>
      <c r="E5" s="24"/>
      <c r="F5" s="23"/>
      <c r="G5" s="23"/>
      <c r="H5" s="23">
        <v>306</v>
      </c>
      <c r="I5" s="23">
        <v>122</v>
      </c>
      <c r="J5" s="28">
        <v>427</v>
      </c>
    </row>
    <row r="6" spans="1:10" ht="15" thickBot="1" x14ac:dyDescent="0.35">
      <c r="A6" s="33"/>
      <c r="B6" s="33" t="s">
        <v>54</v>
      </c>
      <c r="C6" s="26" t="s">
        <v>137</v>
      </c>
      <c r="D6" s="25" t="s">
        <v>136</v>
      </c>
      <c r="E6" s="24"/>
      <c r="F6" s="23"/>
      <c r="G6" s="23"/>
      <c r="H6" s="22">
        <v>5953</v>
      </c>
      <c r="I6" s="23">
        <v>135</v>
      </c>
      <c r="J6" s="21">
        <v>6088</v>
      </c>
    </row>
    <row r="7" spans="1:10" ht="15" thickBot="1" x14ac:dyDescent="0.35">
      <c r="A7" s="33"/>
      <c r="B7" s="33" t="s">
        <v>54</v>
      </c>
      <c r="C7" s="26" t="s">
        <v>135</v>
      </c>
      <c r="D7" s="25" t="s">
        <v>134</v>
      </c>
      <c r="E7" s="24"/>
      <c r="F7" s="23"/>
      <c r="G7" s="23"/>
      <c r="H7" s="22">
        <v>2939</v>
      </c>
      <c r="I7" s="23">
        <v>140</v>
      </c>
      <c r="J7" s="21">
        <v>3079</v>
      </c>
    </row>
    <row r="8" spans="1:10" ht="15" thickBot="1" x14ac:dyDescent="0.35">
      <c r="A8" s="27"/>
      <c r="B8" s="27" t="s">
        <v>54</v>
      </c>
      <c r="C8" s="26" t="s">
        <v>133</v>
      </c>
      <c r="D8" s="25" t="s">
        <v>132</v>
      </c>
      <c r="E8" s="24"/>
      <c r="F8" s="23"/>
      <c r="G8" s="23"/>
      <c r="H8" s="22">
        <v>4968</v>
      </c>
      <c r="I8" s="23">
        <v>186</v>
      </c>
      <c r="J8" s="21">
        <v>5155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35"/>
  <sheetViews>
    <sheetView showGridLines="0" zoomScale="120" zoomScaleNormal="120" workbookViewId="0">
      <pane xSplit="1" ySplit="1" topLeftCell="F20" activePane="bottomRight" state="frozen"/>
      <selection pane="topRight" activeCell="B1" sqref="B1"/>
      <selection pane="bottomLeft" activeCell="A2" sqref="A2"/>
      <selection pane="bottomRight" activeCell="S35" sqref="S35"/>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4.44140625" style="13" customWidth="1"/>
    <col min="14" max="14" width="4.88671875" style="13" customWidth="1"/>
    <col min="15" max="15" width="4.88671875" style="14" customWidth="1"/>
    <col min="16" max="16" width="4.88671875" style="13" customWidth="1"/>
    <col min="17" max="17" width="3.5546875" style="14" customWidth="1"/>
    <col min="18" max="18" width="3.5546875" style="13" customWidth="1"/>
    <col min="19" max="21" width="5.109375" style="13" customWidth="1"/>
    <col min="22" max="16384" width="10.33203125" style="13"/>
  </cols>
  <sheetData>
    <row r="1" spans="1:21" ht="40.799999999999997" x14ac:dyDescent="0.2">
      <c r="A1" s="8" t="s">
        <v>8</v>
      </c>
      <c r="B1" s="9" t="s">
        <v>9</v>
      </c>
      <c r="C1" s="9" t="s">
        <v>10</v>
      </c>
      <c r="D1" s="9" t="s">
        <v>11</v>
      </c>
      <c r="E1" s="9" t="s">
        <v>12</v>
      </c>
      <c r="F1" s="9" t="s">
        <v>13</v>
      </c>
      <c r="G1" s="9" t="s">
        <v>14</v>
      </c>
      <c r="H1" s="9" t="s">
        <v>15</v>
      </c>
      <c r="I1" s="8" t="s">
        <v>16</v>
      </c>
      <c r="J1" s="9" t="s">
        <v>17</v>
      </c>
      <c r="K1" s="8" t="s">
        <v>18</v>
      </c>
      <c r="L1" s="9" t="s">
        <v>19</v>
      </c>
      <c r="M1" s="10" t="s">
        <v>20</v>
      </c>
      <c r="N1" s="11" t="s">
        <v>21</v>
      </c>
      <c r="O1" s="12" t="s">
        <v>22</v>
      </c>
      <c r="P1" s="11" t="s">
        <v>23</v>
      </c>
      <c r="Q1" s="12" t="s">
        <v>24</v>
      </c>
      <c r="R1" s="11" t="s">
        <v>25</v>
      </c>
      <c r="S1" s="11" t="s">
        <v>26</v>
      </c>
      <c r="T1" s="11" t="s">
        <v>27</v>
      </c>
      <c r="U1" s="11" t="s">
        <v>28</v>
      </c>
    </row>
    <row r="2" spans="1:21" x14ac:dyDescent="0.2">
      <c r="A2" s="87" t="s">
        <v>30</v>
      </c>
      <c r="B2" s="87" t="s">
        <v>31</v>
      </c>
      <c r="C2" s="87" t="s">
        <v>36</v>
      </c>
      <c r="D2" s="87" t="s">
        <v>66</v>
      </c>
      <c r="E2" s="87" t="s">
        <v>67</v>
      </c>
      <c r="F2" s="87" t="s">
        <v>45</v>
      </c>
      <c r="G2" s="87" t="s">
        <v>68</v>
      </c>
      <c r="H2" s="87" t="s">
        <v>29</v>
      </c>
      <c r="I2" s="87" t="s">
        <v>37</v>
      </c>
      <c r="J2" s="87" t="s">
        <v>38</v>
      </c>
      <c r="K2" s="88">
        <v>0.5</v>
      </c>
      <c r="L2" s="87" t="s">
        <v>54</v>
      </c>
      <c r="M2" s="87">
        <v>2016</v>
      </c>
      <c r="N2" s="87" t="s">
        <v>33</v>
      </c>
      <c r="O2" s="89" t="s">
        <v>33</v>
      </c>
      <c r="P2" s="87" t="s">
        <v>33</v>
      </c>
      <c r="Q2" s="89" t="s">
        <v>33</v>
      </c>
      <c r="R2" s="90">
        <v>100</v>
      </c>
      <c r="S2" s="88">
        <v>0.5</v>
      </c>
      <c r="T2" s="88">
        <v>0</v>
      </c>
      <c r="U2" s="88">
        <v>0</v>
      </c>
    </row>
    <row r="3" spans="1:21" x14ac:dyDescent="0.2">
      <c r="A3" s="87" t="s">
        <v>30</v>
      </c>
      <c r="B3" s="87" t="s">
        <v>31</v>
      </c>
      <c r="C3" s="87" t="s">
        <v>36</v>
      </c>
      <c r="D3" s="87" t="s">
        <v>66</v>
      </c>
      <c r="E3" s="87" t="s">
        <v>67</v>
      </c>
      <c r="F3" s="87" t="s">
        <v>45</v>
      </c>
      <c r="G3" s="87" t="s">
        <v>69</v>
      </c>
      <c r="H3" s="87" t="s">
        <v>29</v>
      </c>
      <c r="I3" s="87" t="s">
        <v>37</v>
      </c>
      <c r="J3" s="87" t="s">
        <v>38</v>
      </c>
      <c r="K3" s="88">
        <v>0.5</v>
      </c>
      <c r="L3" s="87" t="s">
        <v>54</v>
      </c>
      <c r="M3" s="87">
        <v>2016</v>
      </c>
      <c r="N3" s="87" t="s">
        <v>34</v>
      </c>
      <c r="O3" s="89" t="s">
        <v>32</v>
      </c>
      <c r="P3" s="87" t="s">
        <v>33</v>
      </c>
      <c r="Q3" s="89" t="s">
        <v>33</v>
      </c>
      <c r="R3" s="90">
        <v>50</v>
      </c>
      <c r="S3" s="88">
        <v>0.25</v>
      </c>
      <c r="T3" s="88">
        <v>0.25</v>
      </c>
      <c r="U3" s="88">
        <v>0</v>
      </c>
    </row>
    <row r="4" spans="1:21" x14ac:dyDescent="0.2">
      <c r="A4" s="87" t="s">
        <v>37</v>
      </c>
      <c r="B4" s="87" t="s">
        <v>38</v>
      </c>
      <c r="C4" s="87" t="s">
        <v>36</v>
      </c>
      <c r="D4" s="87" t="s">
        <v>51</v>
      </c>
      <c r="E4" s="87" t="s">
        <v>52</v>
      </c>
      <c r="F4" s="87" t="s">
        <v>53</v>
      </c>
      <c r="G4" s="87" t="s">
        <v>60</v>
      </c>
      <c r="H4" s="87" t="s">
        <v>29</v>
      </c>
      <c r="I4" s="87" t="s">
        <v>37</v>
      </c>
      <c r="J4" s="87" t="s">
        <v>38</v>
      </c>
      <c r="K4" s="88">
        <v>0.5</v>
      </c>
      <c r="L4" s="87" t="s">
        <v>54</v>
      </c>
      <c r="M4" s="87">
        <v>2016</v>
      </c>
      <c r="N4" s="87" t="s">
        <v>33</v>
      </c>
      <c r="O4" s="89" t="s">
        <v>33</v>
      </c>
      <c r="P4" s="87" t="s">
        <v>33</v>
      </c>
      <c r="Q4" s="89" t="s">
        <v>33</v>
      </c>
      <c r="R4" s="90">
        <v>100</v>
      </c>
      <c r="S4" s="88">
        <v>0.5</v>
      </c>
      <c r="T4" s="88">
        <v>0</v>
      </c>
      <c r="U4" s="88">
        <v>0</v>
      </c>
    </row>
    <row r="5" spans="1:21" x14ac:dyDescent="0.2">
      <c r="A5" s="87" t="s">
        <v>37</v>
      </c>
      <c r="B5" s="87" t="s">
        <v>38</v>
      </c>
      <c r="C5" s="87" t="s">
        <v>36</v>
      </c>
      <c r="D5" s="87" t="s">
        <v>63</v>
      </c>
      <c r="E5" s="87" t="s">
        <v>64</v>
      </c>
      <c r="F5" s="87" t="s">
        <v>65</v>
      </c>
      <c r="G5" s="87" t="s">
        <v>39</v>
      </c>
      <c r="H5" s="87" t="s">
        <v>35</v>
      </c>
      <c r="I5" s="87" t="s">
        <v>37</v>
      </c>
      <c r="J5" s="87" t="s">
        <v>38</v>
      </c>
      <c r="K5" s="88">
        <v>1</v>
      </c>
      <c r="L5" s="87" t="s">
        <v>54</v>
      </c>
      <c r="M5" s="87">
        <v>2016</v>
      </c>
      <c r="N5" s="87" t="s">
        <v>33</v>
      </c>
      <c r="O5" s="89" t="s">
        <v>33</v>
      </c>
      <c r="P5" s="87" t="s">
        <v>33</v>
      </c>
      <c r="Q5" s="89" t="s">
        <v>33</v>
      </c>
      <c r="R5" s="90">
        <v>100</v>
      </c>
      <c r="S5" s="88">
        <v>1</v>
      </c>
      <c r="T5" s="88">
        <v>0</v>
      </c>
      <c r="U5" s="88">
        <v>0</v>
      </c>
    </row>
    <row r="6" spans="1:21" x14ac:dyDescent="0.2">
      <c r="A6" s="87" t="s">
        <v>37</v>
      </c>
      <c r="B6" s="87" t="s">
        <v>38</v>
      </c>
      <c r="C6" s="87" t="s">
        <v>36</v>
      </c>
      <c r="D6" s="87" t="s">
        <v>49</v>
      </c>
      <c r="E6" s="87" t="s">
        <v>50</v>
      </c>
      <c r="F6" s="87" t="s">
        <v>40</v>
      </c>
      <c r="G6" s="87" t="s">
        <v>39</v>
      </c>
      <c r="H6" s="87" t="s">
        <v>29</v>
      </c>
      <c r="I6" s="87" t="s">
        <v>37</v>
      </c>
      <c r="J6" s="87" t="s">
        <v>38</v>
      </c>
      <c r="K6" s="88">
        <v>0.5</v>
      </c>
      <c r="L6" s="87" t="s">
        <v>54</v>
      </c>
      <c r="M6" s="87">
        <v>2016</v>
      </c>
      <c r="N6" s="87" t="s">
        <v>33</v>
      </c>
      <c r="O6" s="89" t="s">
        <v>33</v>
      </c>
      <c r="P6" s="87" t="s">
        <v>33</v>
      </c>
      <c r="Q6" s="89" t="s">
        <v>33</v>
      </c>
      <c r="R6" s="90">
        <v>100</v>
      </c>
      <c r="S6" s="88">
        <v>0.5</v>
      </c>
      <c r="T6" s="88">
        <v>0</v>
      </c>
      <c r="U6" s="88">
        <v>0</v>
      </c>
    </row>
    <row r="7" spans="1:21" x14ac:dyDescent="0.2">
      <c r="A7" s="87" t="s">
        <v>37</v>
      </c>
      <c r="B7" s="87" t="s">
        <v>38</v>
      </c>
      <c r="C7" s="87" t="s">
        <v>36</v>
      </c>
      <c r="D7" s="87" t="s">
        <v>61</v>
      </c>
      <c r="E7" s="87" t="s">
        <v>62</v>
      </c>
      <c r="F7" s="87" t="s">
        <v>43</v>
      </c>
      <c r="G7" s="87" t="s">
        <v>55</v>
      </c>
      <c r="H7" s="87" t="s">
        <v>35</v>
      </c>
      <c r="I7" s="87" t="s">
        <v>37</v>
      </c>
      <c r="J7" s="87" t="s">
        <v>38</v>
      </c>
      <c r="K7" s="88">
        <v>1</v>
      </c>
      <c r="L7" s="87" t="s">
        <v>54</v>
      </c>
      <c r="M7" s="87">
        <v>2016</v>
      </c>
      <c r="N7" s="87" t="s">
        <v>34</v>
      </c>
      <c r="O7" s="89" t="s">
        <v>56</v>
      </c>
      <c r="P7" s="87" t="s">
        <v>33</v>
      </c>
      <c r="Q7" s="89" t="s">
        <v>33</v>
      </c>
      <c r="R7" s="90">
        <v>15</v>
      </c>
      <c r="S7" s="88">
        <v>0.15</v>
      </c>
      <c r="T7" s="88">
        <v>0.85</v>
      </c>
      <c r="U7" s="88">
        <v>0</v>
      </c>
    </row>
    <row r="8" spans="1:21" x14ac:dyDescent="0.2">
      <c r="A8" s="87" t="s">
        <v>37</v>
      </c>
      <c r="B8" s="87" t="s">
        <v>38</v>
      </c>
      <c r="C8" s="87" t="s">
        <v>36</v>
      </c>
      <c r="D8" s="87" t="s">
        <v>70</v>
      </c>
      <c r="E8" s="87" t="s">
        <v>71</v>
      </c>
      <c r="F8" s="87" t="s">
        <v>47</v>
      </c>
      <c r="G8" s="87" t="s">
        <v>39</v>
      </c>
      <c r="H8" s="87" t="s">
        <v>35</v>
      </c>
      <c r="I8" s="87" t="s">
        <v>37</v>
      </c>
      <c r="J8" s="87" t="s">
        <v>38</v>
      </c>
      <c r="K8" s="88">
        <v>1</v>
      </c>
      <c r="L8" s="87" t="s">
        <v>54</v>
      </c>
      <c r="M8" s="87">
        <v>2017</v>
      </c>
      <c r="N8" s="87" t="s">
        <v>33</v>
      </c>
      <c r="O8" s="89" t="s">
        <v>33</v>
      </c>
      <c r="P8" s="87" t="s">
        <v>33</v>
      </c>
      <c r="Q8" s="89" t="s">
        <v>33</v>
      </c>
      <c r="R8" s="90">
        <v>100</v>
      </c>
      <c r="S8" s="88">
        <v>1</v>
      </c>
      <c r="T8" s="88">
        <v>0</v>
      </c>
      <c r="U8" s="88">
        <v>0</v>
      </c>
    </row>
    <row r="9" spans="1:21" x14ac:dyDescent="0.2">
      <c r="A9" s="87" t="s">
        <v>37</v>
      </c>
      <c r="B9" s="87" t="s">
        <v>38</v>
      </c>
      <c r="C9" s="87" t="s">
        <v>36</v>
      </c>
      <c r="D9" s="87" t="s">
        <v>72</v>
      </c>
      <c r="E9" s="87" t="s">
        <v>73</v>
      </c>
      <c r="F9" s="87" t="s">
        <v>48</v>
      </c>
      <c r="G9" s="87" t="s">
        <v>57</v>
      </c>
      <c r="H9" s="87" t="s">
        <v>29</v>
      </c>
      <c r="I9" s="87" t="s">
        <v>37</v>
      </c>
      <c r="J9" s="87" t="s">
        <v>38</v>
      </c>
      <c r="K9" s="88">
        <v>0.5</v>
      </c>
      <c r="L9" s="87" t="s">
        <v>54</v>
      </c>
      <c r="M9" s="87">
        <v>2017</v>
      </c>
      <c r="N9" s="87" t="s">
        <v>34</v>
      </c>
      <c r="O9" s="89" t="s">
        <v>56</v>
      </c>
      <c r="P9" s="87" t="s">
        <v>33</v>
      </c>
      <c r="Q9" s="89" t="s">
        <v>33</v>
      </c>
      <c r="R9" s="90">
        <v>15</v>
      </c>
      <c r="S9" s="88">
        <v>7.4999999999999997E-2</v>
      </c>
      <c r="T9" s="88">
        <v>0.42499999999999999</v>
      </c>
      <c r="U9" s="88">
        <v>0</v>
      </c>
    </row>
    <row r="10" spans="1:21" x14ac:dyDescent="0.2">
      <c r="A10" s="87" t="s">
        <v>37</v>
      </c>
      <c r="B10" s="87" t="s">
        <v>38</v>
      </c>
      <c r="C10" s="87" t="s">
        <v>36</v>
      </c>
      <c r="D10" s="87" t="s">
        <v>74</v>
      </c>
      <c r="E10" s="87" t="s">
        <v>75</v>
      </c>
      <c r="F10" s="87" t="s">
        <v>42</v>
      </c>
      <c r="G10" s="87" t="s">
        <v>76</v>
      </c>
      <c r="H10" s="87" t="s">
        <v>29</v>
      </c>
      <c r="I10" s="87" t="s">
        <v>37</v>
      </c>
      <c r="J10" s="87" t="s">
        <v>38</v>
      </c>
      <c r="K10" s="91">
        <v>0.5</v>
      </c>
      <c r="L10" s="87" t="s">
        <v>54</v>
      </c>
      <c r="M10" s="87">
        <v>2018</v>
      </c>
      <c r="N10" s="87" t="s">
        <v>33</v>
      </c>
      <c r="O10" s="89" t="s">
        <v>33</v>
      </c>
      <c r="P10" s="87" t="s">
        <v>33</v>
      </c>
      <c r="Q10" s="89" t="s">
        <v>33</v>
      </c>
      <c r="R10" s="90">
        <v>100</v>
      </c>
      <c r="S10" s="88">
        <v>0.5</v>
      </c>
      <c r="T10" s="88">
        <v>0</v>
      </c>
      <c r="U10" s="88">
        <v>0</v>
      </c>
    </row>
    <row r="11" spans="1:21" x14ac:dyDescent="0.2">
      <c r="A11" s="87" t="s">
        <v>37</v>
      </c>
      <c r="B11" s="87" t="s">
        <v>38</v>
      </c>
      <c r="C11" s="87" t="s">
        <v>36</v>
      </c>
      <c r="D11" s="87" t="s">
        <v>74</v>
      </c>
      <c r="E11" s="87" t="s">
        <v>75</v>
      </c>
      <c r="F11" s="87" t="s">
        <v>42</v>
      </c>
      <c r="G11" s="87" t="s">
        <v>77</v>
      </c>
      <c r="H11" s="87" t="s">
        <v>29</v>
      </c>
      <c r="I11" s="87" t="s">
        <v>37</v>
      </c>
      <c r="J11" s="87" t="s">
        <v>38</v>
      </c>
      <c r="K11" s="91">
        <v>0.5</v>
      </c>
      <c r="L11" s="87" t="s">
        <v>54</v>
      </c>
      <c r="M11" s="87">
        <v>2018</v>
      </c>
      <c r="N11" s="87" t="s">
        <v>33</v>
      </c>
      <c r="O11" s="89" t="s">
        <v>33</v>
      </c>
      <c r="P11" s="87" t="s">
        <v>33</v>
      </c>
      <c r="Q11" s="89" t="s">
        <v>33</v>
      </c>
      <c r="R11" s="90">
        <v>100</v>
      </c>
      <c r="S11" s="88">
        <v>0.5</v>
      </c>
      <c r="T11" s="88">
        <v>0</v>
      </c>
      <c r="U11" s="88">
        <v>0</v>
      </c>
    </row>
    <row r="12" spans="1:21" x14ac:dyDescent="0.2">
      <c r="A12" s="87" t="s">
        <v>37</v>
      </c>
      <c r="B12" s="87" t="s">
        <v>38</v>
      </c>
      <c r="C12" s="87" t="s">
        <v>36</v>
      </c>
      <c r="D12" s="87" t="s">
        <v>83</v>
      </c>
      <c r="E12" s="87" t="s">
        <v>84</v>
      </c>
      <c r="F12" s="87" t="s">
        <v>41</v>
      </c>
      <c r="G12" s="87" t="s">
        <v>57</v>
      </c>
      <c r="H12" s="87" t="s">
        <v>29</v>
      </c>
      <c r="I12" s="87" t="s">
        <v>37</v>
      </c>
      <c r="J12" s="87" t="s">
        <v>38</v>
      </c>
      <c r="K12" s="91">
        <v>0.5</v>
      </c>
      <c r="L12" s="87" t="s">
        <v>54</v>
      </c>
      <c r="M12" s="87">
        <v>2018</v>
      </c>
      <c r="N12" s="87" t="s">
        <v>34</v>
      </c>
      <c r="O12" s="89" t="s">
        <v>56</v>
      </c>
      <c r="P12" s="87" t="s">
        <v>33</v>
      </c>
      <c r="Q12" s="89" t="s">
        <v>33</v>
      </c>
      <c r="R12" s="90">
        <v>15</v>
      </c>
      <c r="S12" s="88">
        <v>7.4999999999999997E-2</v>
      </c>
      <c r="T12" s="88">
        <v>0.42499999999999999</v>
      </c>
      <c r="U12" s="88">
        <v>0</v>
      </c>
    </row>
    <row r="13" spans="1:21" x14ac:dyDescent="0.2">
      <c r="A13" s="87" t="s">
        <v>37</v>
      </c>
      <c r="B13" s="87" t="s">
        <v>38</v>
      </c>
      <c r="C13" s="87" t="s">
        <v>36</v>
      </c>
      <c r="D13" s="87" t="s">
        <v>83</v>
      </c>
      <c r="E13" s="87" t="s">
        <v>84</v>
      </c>
      <c r="F13" s="87" t="s">
        <v>41</v>
      </c>
      <c r="G13" s="87" t="s">
        <v>58</v>
      </c>
      <c r="H13" s="87" t="s">
        <v>29</v>
      </c>
      <c r="I13" s="87" t="s">
        <v>37</v>
      </c>
      <c r="J13" s="87" t="s">
        <v>38</v>
      </c>
      <c r="K13" s="91">
        <v>0.5</v>
      </c>
      <c r="L13" s="87" t="s">
        <v>54</v>
      </c>
      <c r="M13" s="87">
        <v>2018</v>
      </c>
      <c r="N13" s="87" t="s">
        <v>33</v>
      </c>
      <c r="O13" s="89" t="s">
        <v>33</v>
      </c>
      <c r="P13" s="87" t="s">
        <v>33</v>
      </c>
      <c r="Q13" s="89" t="s">
        <v>33</v>
      </c>
      <c r="R13" s="90">
        <v>100</v>
      </c>
      <c r="S13" s="88">
        <v>0.5</v>
      </c>
      <c r="T13" s="88">
        <v>0</v>
      </c>
      <c r="U13" s="88">
        <v>0</v>
      </c>
    </row>
    <row r="14" spans="1:21" x14ac:dyDescent="0.2">
      <c r="A14" s="87" t="s">
        <v>37</v>
      </c>
      <c r="B14" s="87" t="s">
        <v>38</v>
      </c>
      <c r="C14" s="87" t="s">
        <v>36</v>
      </c>
      <c r="D14" s="87" t="s">
        <v>81</v>
      </c>
      <c r="E14" s="87" t="s">
        <v>82</v>
      </c>
      <c r="F14" s="87" t="s">
        <v>44</v>
      </c>
      <c r="G14" s="87" t="s">
        <v>39</v>
      </c>
      <c r="H14" s="87" t="s">
        <v>35</v>
      </c>
      <c r="I14" s="87" t="s">
        <v>37</v>
      </c>
      <c r="J14" s="87" t="s">
        <v>38</v>
      </c>
      <c r="K14" s="91">
        <v>1</v>
      </c>
      <c r="L14" s="87" t="s">
        <v>54</v>
      </c>
      <c r="M14" s="87">
        <v>2018</v>
      </c>
      <c r="N14" s="87" t="s">
        <v>33</v>
      </c>
      <c r="O14" s="89" t="s">
        <v>33</v>
      </c>
      <c r="P14" s="87" t="s">
        <v>33</v>
      </c>
      <c r="Q14" s="89" t="s">
        <v>33</v>
      </c>
      <c r="R14" s="90">
        <v>100</v>
      </c>
      <c r="S14" s="88">
        <v>1</v>
      </c>
      <c r="T14" s="88">
        <v>0</v>
      </c>
      <c r="U14" s="88">
        <v>0</v>
      </c>
    </row>
    <row r="15" spans="1:21" x14ac:dyDescent="0.2">
      <c r="A15" s="87" t="s">
        <v>37</v>
      </c>
      <c r="B15" s="87" t="s">
        <v>38</v>
      </c>
      <c r="C15" s="87" t="s">
        <v>36</v>
      </c>
      <c r="D15" s="87" t="s">
        <v>78</v>
      </c>
      <c r="E15" s="87" t="s">
        <v>79</v>
      </c>
      <c r="F15" s="87" t="s">
        <v>46</v>
      </c>
      <c r="G15" s="87" t="s">
        <v>80</v>
      </c>
      <c r="H15" s="87" t="s">
        <v>35</v>
      </c>
      <c r="I15" s="87" t="s">
        <v>37</v>
      </c>
      <c r="J15" s="87" t="s">
        <v>38</v>
      </c>
      <c r="K15" s="91">
        <v>1</v>
      </c>
      <c r="L15" s="87" t="s">
        <v>54</v>
      </c>
      <c r="M15" s="87">
        <v>2018</v>
      </c>
      <c r="N15" s="87" t="s">
        <v>33</v>
      </c>
      <c r="O15" s="89" t="s">
        <v>33</v>
      </c>
      <c r="P15" s="87" t="s">
        <v>33</v>
      </c>
      <c r="Q15" s="89" t="s">
        <v>33</v>
      </c>
      <c r="R15" s="90">
        <v>100</v>
      </c>
      <c r="S15" s="88">
        <v>1</v>
      </c>
      <c r="T15" s="88">
        <v>0</v>
      </c>
      <c r="U15" s="88">
        <v>0</v>
      </c>
    </row>
    <row r="16" spans="1:21" x14ac:dyDescent="0.2">
      <c r="A16" s="87" t="s">
        <v>37</v>
      </c>
      <c r="B16" s="87" t="s">
        <v>38</v>
      </c>
      <c r="C16" s="87" t="s">
        <v>36</v>
      </c>
      <c r="D16" s="87" t="s">
        <v>185</v>
      </c>
      <c r="E16" s="87" t="s">
        <v>186</v>
      </c>
      <c r="F16" s="87" t="s">
        <v>187</v>
      </c>
      <c r="G16" s="87" t="s">
        <v>80</v>
      </c>
      <c r="H16" s="87" t="s">
        <v>29</v>
      </c>
      <c r="I16" s="87" t="s">
        <v>37</v>
      </c>
      <c r="J16" s="87" t="s">
        <v>38</v>
      </c>
      <c r="K16" s="91">
        <v>0.5</v>
      </c>
      <c r="L16" s="87" t="s">
        <v>54</v>
      </c>
      <c r="M16" s="87">
        <v>2018</v>
      </c>
      <c r="N16" s="87" t="s">
        <v>33</v>
      </c>
      <c r="O16" s="89" t="s">
        <v>33</v>
      </c>
      <c r="P16" s="87" t="s">
        <v>33</v>
      </c>
      <c r="Q16" s="89" t="s">
        <v>33</v>
      </c>
      <c r="R16" s="90">
        <v>100</v>
      </c>
      <c r="S16" s="88">
        <v>0.5</v>
      </c>
      <c r="T16" s="88">
        <v>0</v>
      </c>
      <c r="U16" s="88">
        <v>0</v>
      </c>
    </row>
    <row r="17" spans="1:21" x14ac:dyDescent="0.2">
      <c r="A17" s="87" t="s">
        <v>37</v>
      </c>
      <c r="B17" s="87" t="s">
        <v>38</v>
      </c>
      <c r="C17" s="87" t="s">
        <v>36</v>
      </c>
      <c r="D17" s="87" t="s">
        <v>185</v>
      </c>
      <c r="E17" s="87" t="s">
        <v>186</v>
      </c>
      <c r="F17" s="87" t="s">
        <v>187</v>
      </c>
      <c r="G17" s="87" t="s">
        <v>59</v>
      </c>
      <c r="H17" s="87" t="s">
        <v>29</v>
      </c>
      <c r="I17" s="87" t="s">
        <v>37</v>
      </c>
      <c r="J17" s="87" t="s">
        <v>38</v>
      </c>
      <c r="K17" s="91">
        <v>0.5</v>
      </c>
      <c r="L17" s="87" t="s">
        <v>54</v>
      </c>
      <c r="M17" s="87">
        <v>2018</v>
      </c>
      <c r="N17" s="87" t="s">
        <v>34</v>
      </c>
      <c r="O17" s="89" t="s">
        <v>32</v>
      </c>
      <c r="P17" s="87" t="s">
        <v>33</v>
      </c>
      <c r="Q17" s="89" t="s">
        <v>33</v>
      </c>
      <c r="R17" s="90">
        <v>50</v>
      </c>
      <c r="S17" s="88">
        <v>0.25</v>
      </c>
      <c r="T17" s="88">
        <v>0.25</v>
      </c>
      <c r="U17" s="88">
        <v>0</v>
      </c>
    </row>
    <row r="18" spans="1:21" x14ac:dyDescent="0.2">
      <c r="A18" s="92" t="s">
        <v>37</v>
      </c>
      <c r="B18" s="92" t="s">
        <v>38</v>
      </c>
      <c r="C18" s="92" t="s">
        <v>36</v>
      </c>
      <c r="D18" s="92" t="s">
        <v>194</v>
      </c>
      <c r="E18" s="92" t="s">
        <v>195</v>
      </c>
      <c r="F18" s="92" t="s">
        <v>196</v>
      </c>
      <c r="G18" s="92" t="s">
        <v>39</v>
      </c>
      <c r="H18" s="92" t="s">
        <v>35</v>
      </c>
      <c r="I18" s="92" t="s">
        <v>37</v>
      </c>
      <c r="J18" s="92" t="s">
        <v>38</v>
      </c>
      <c r="K18" s="93">
        <v>1</v>
      </c>
      <c r="L18" s="92" t="s">
        <v>54</v>
      </c>
      <c r="M18" s="92">
        <v>2019</v>
      </c>
      <c r="N18" s="92" t="s">
        <v>33</v>
      </c>
      <c r="O18" s="94" t="s">
        <v>33</v>
      </c>
      <c r="P18" s="92" t="s">
        <v>33</v>
      </c>
      <c r="Q18" s="94" t="s">
        <v>33</v>
      </c>
      <c r="R18" s="95">
        <v>100</v>
      </c>
      <c r="S18" s="96">
        <v>1</v>
      </c>
      <c r="T18" s="96">
        <v>0</v>
      </c>
      <c r="U18" s="96">
        <v>0</v>
      </c>
    </row>
    <row r="19" spans="1:21" x14ac:dyDescent="0.2">
      <c r="A19" s="92" t="s">
        <v>37</v>
      </c>
      <c r="B19" s="92" t="s">
        <v>38</v>
      </c>
      <c r="C19" s="92" t="s">
        <v>36</v>
      </c>
      <c r="D19" s="92" t="s">
        <v>188</v>
      </c>
      <c r="E19" s="92" t="s">
        <v>189</v>
      </c>
      <c r="F19" s="92" t="s">
        <v>190</v>
      </c>
      <c r="G19" s="92" t="s">
        <v>39</v>
      </c>
      <c r="H19" s="92" t="s">
        <v>29</v>
      </c>
      <c r="I19" s="92" t="s">
        <v>37</v>
      </c>
      <c r="J19" s="92" t="s">
        <v>38</v>
      </c>
      <c r="K19" s="93">
        <v>0.5</v>
      </c>
      <c r="L19" s="92" t="s">
        <v>54</v>
      </c>
      <c r="M19" s="92">
        <v>2019</v>
      </c>
      <c r="N19" s="92" t="s">
        <v>33</v>
      </c>
      <c r="O19" s="94" t="s">
        <v>33</v>
      </c>
      <c r="P19" s="92" t="s">
        <v>33</v>
      </c>
      <c r="Q19" s="94" t="s">
        <v>33</v>
      </c>
      <c r="R19" s="95">
        <v>100</v>
      </c>
      <c r="S19" s="96">
        <v>0.5</v>
      </c>
      <c r="T19" s="96">
        <v>0</v>
      </c>
      <c r="U19" s="96">
        <v>0</v>
      </c>
    </row>
    <row r="20" spans="1:21" ht="10.8" thickBot="1" x14ac:dyDescent="0.25">
      <c r="A20" s="92" t="s">
        <v>37</v>
      </c>
      <c r="B20" s="92" t="s">
        <v>38</v>
      </c>
      <c r="C20" s="92" t="s">
        <v>36</v>
      </c>
      <c r="D20" s="92" t="s">
        <v>191</v>
      </c>
      <c r="E20" s="92" t="s">
        <v>192</v>
      </c>
      <c r="F20" s="92" t="s">
        <v>193</v>
      </c>
      <c r="G20" s="92" t="s">
        <v>57</v>
      </c>
      <c r="H20" s="92" t="s">
        <v>29</v>
      </c>
      <c r="I20" s="92" t="s">
        <v>37</v>
      </c>
      <c r="J20" s="92" t="s">
        <v>38</v>
      </c>
      <c r="K20" s="93">
        <v>0.5</v>
      </c>
      <c r="L20" s="92" t="s">
        <v>54</v>
      </c>
      <c r="M20" s="92">
        <v>2019</v>
      </c>
      <c r="N20" s="92" t="s">
        <v>34</v>
      </c>
      <c r="O20" s="94" t="s">
        <v>56</v>
      </c>
      <c r="P20" s="92" t="s">
        <v>33</v>
      </c>
      <c r="Q20" s="94" t="s">
        <v>33</v>
      </c>
      <c r="R20" s="95">
        <v>15</v>
      </c>
      <c r="S20" s="96">
        <v>7.4999999999999997E-2</v>
      </c>
      <c r="T20" s="96">
        <v>0.42499999999999999</v>
      </c>
      <c r="U20" s="96">
        <v>0</v>
      </c>
    </row>
    <row r="21" spans="1:21" ht="10.8" thickBot="1" x14ac:dyDescent="0.25">
      <c r="A21" s="97" t="s">
        <v>37</v>
      </c>
      <c r="B21" s="97" t="s">
        <v>38</v>
      </c>
      <c r="C21" s="97" t="s">
        <v>36</v>
      </c>
      <c r="D21" s="97" t="s">
        <v>206</v>
      </c>
      <c r="E21" s="97" t="s">
        <v>207</v>
      </c>
      <c r="F21" s="97" t="s">
        <v>208</v>
      </c>
      <c r="G21" s="98" t="s">
        <v>209</v>
      </c>
      <c r="H21" s="99" t="s">
        <v>29</v>
      </c>
      <c r="I21" s="99" t="s">
        <v>37</v>
      </c>
      <c r="J21" s="100" t="s">
        <v>38</v>
      </c>
      <c r="K21" s="101">
        <v>0.5</v>
      </c>
      <c r="L21" s="101" t="s">
        <v>54</v>
      </c>
      <c r="M21" s="87">
        <v>2020</v>
      </c>
      <c r="N21" s="87" t="s">
        <v>33</v>
      </c>
      <c r="O21" s="89" t="s">
        <v>33</v>
      </c>
      <c r="P21" s="87" t="s">
        <v>33</v>
      </c>
      <c r="Q21" s="89" t="s">
        <v>33</v>
      </c>
      <c r="R21" s="87">
        <v>100</v>
      </c>
      <c r="S21" s="87">
        <v>0.5</v>
      </c>
      <c r="T21" s="87">
        <v>0</v>
      </c>
      <c r="U21" s="87">
        <v>0</v>
      </c>
    </row>
    <row r="22" spans="1:21" ht="10.8" thickBot="1" x14ac:dyDescent="0.25">
      <c r="A22" s="97" t="s">
        <v>37</v>
      </c>
      <c r="B22" s="97" t="s">
        <v>38</v>
      </c>
      <c r="C22" s="97" t="s">
        <v>36</v>
      </c>
      <c r="D22" s="97" t="s">
        <v>206</v>
      </c>
      <c r="E22" s="97" t="s">
        <v>207</v>
      </c>
      <c r="F22" s="97" t="s">
        <v>208</v>
      </c>
      <c r="G22" s="98" t="s">
        <v>210</v>
      </c>
      <c r="H22" s="99" t="s">
        <v>29</v>
      </c>
      <c r="I22" s="99" t="s">
        <v>37</v>
      </c>
      <c r="J22" s="100" t="s">
        <v>38</v>
      </c>
      <c r="K22" s="101">
        <v>0.5</v>
      </c>
      <c r="L22" s="101" t="s">
        <v>54</v>
      </c>
      <c r="M22" s="87">
        <v>2020</v>
      </c>
      <c r="N22" s="87" t="s">
        <v>33</v>
      </c>
      <c r="O22" s="89" t="s">
        <v>33</v>
      </c>
      <c r="P22" s="87" t="s">
        <v>33</v>
      </c>
      <c r="Q22" s="89" t="s">
        <v>33</v>
      </c>
      <c r="R22" s="87">
        <v>100</v>
      </c>
      <c r="S22" s="87">
        <v>0.5</v>
      </c>
      <c r="T22" s="87">
        <v>0</v>
      </c>
      <c r="U22" s="87">
        <v>0</v>
      </c>
    </row>
    <row r="23" spans="1:21" ht="10.8" thickBot="1" x14ac:dyDescent="0.25">
      <c r="A23" s="97" t="s">
        <v>37</v>
      </c>
      <c r="B23" s="97" t="s">
        <v>38</v>
      </c>
      <c r="C23" s="97" t="s">
        <v>36</v>
      </c>
      <c r="D23" s="97" t="s">
        <v>211</v>
      </c>
      <c r="E23" s="97" t="s">
        <v>212</v>
      </c>
      <c r="F23" s="97" t="s">
        <v>213</v>
      </c>
      <c r="G23" s="98" t="s">
        <v>69</v>
      </c>
      <c r="H23" s="99" t="s">
        <v>35</v>
      </c>
      <c r="I23" s="99" t="s">
        <v>37</v>
      </c>
      <c r="J23" s="100" t="s">
        <v>38</v>
      </c>
      <c r="K23" s="101">
        <v>1</v>
      </c>
      <c r="L23" s="101" t="s">
        <v>54</v>
      </c>
      <c r="M23" s="87">
        <v>2020</v>
      </c>
      <c r="N23" s="87" t="s">
        <v>34</v>
      </c>
      <c r="O23" s="89" t="s">
        <v>32</v>
      </c>
      <c r="P23" s="87" t="s">
        <v>33</v>
      </c>
      <c r="Q23" s="89" t="s">
        <v>33</v>
      </c>
      <c r="R23" s="87">
        <v>50</v>
      </c>
      <c r="S23" s="87">
        <v>0.5</v>
      </c>
      <c r="T23" s="87">
        <v>0.5</v>
      </c>
      <c r="U23" s="87">
        <v>0</v>
      </c>
    </row>
    <row r="24" spans="1:21" ht="10.8" thickBot="1" x14ac:dyDescent="0.25">
      <c r="A24" s="97" t="s">
        <v>37</v>
      </c>
      <c r="B24" s="97" t="s">
        <v>38</v>
      </c>
      <c r="C24" s="97" t="s">
        <v>36</v>
      </c>
      <c r="D24" s="97" t="s">
        <v>214</v>
      </c>
      <c r="E24" s="97" t="s">
        <v>215</v>
      </c>
      <c r="F24" s="97" t="s">
        <v>216</v>
      </c>
      <c r="G24" s="98" t="s">
        <v>217</v>
      </c>
      <c r="H24" s="99" t="s">
        <v>29</v>
      </c>
      <c r="I24" s="99" t="s">
        <v>37</v>
      </c>
      <c r="J24" s="100" t="s">
        <v>38</v>
      </c>
      <c r="K24" s="101">
        <v>0.5</v>
      </c>
      <c r="L24" s="101" t="s">
        <v>54</v>
      </c>
      <c r="M24" s="87">
        <v>2020</v>
      </c>
      <c r="N24" s="87" t="s">
        <v>33</v>
      </c>
      <c r="O24" s="89" t="s">
        <v>33</v>
      </c>
      <c r="P24" s="87" t="s">
        <v>33</v>
      </c>
      <c r="Q24" s="89" t="s">
        <v>33</v>
      </c>
      <c r="R24" s="87">
        <v>100</v>
      </c>
      <c r="S24" s="87">
        <v>0.5</v>
      </c>
      <c r="T24" s="87">
        <v>0</v>
      </c>
      <c r="U24" s="87">
        <v>0</v>
      </c>
    </row>
    <row r="25" spans="1:21" ht="10.8" thickBot="1" x14ac:dyDescent="0.25">
      <c r="A25" s="97" t="s">
        <v>37</v>
      </c>
      <c r="B25" s="97" t="s">
        <v>38</v>
      </c>
      <c r="C25" s="97" t="s">
        <v>36</v>
      </c>
      <c r="D25" s="97" t="s">
        <v>218</v>
      </c>
      <c r="E25" s="97" t="s">
        <v>219</v>
      </c>
      <c r="F25" s="97" t="s">
        <v>220</v>
      </c>
      <c r="G25" s="98" t="s">
        <v>221</v>
      </c>
      <c r="H25" s="99" t="s">
        <v>29</v>
      </c>
      <c r="I25" s="99" t="s">
        <v>37</v>
      </c>
      <c r="J25" s="100" t="s">
        <v>38</v>
      </c>
      <c r="K25" s="101">
        <v>0.5</v>
      </c>
      <c r="L25" s="101" t="s">
        <v>54</v>
      </c>
      <c r="M25" s="87">
        <v>2020</v>
      </c>
      <c r="N25" s="87" t="s">
        <v>33</v>
      </c>
      <c r="O25" s="89" t="s">
        <v>33</v>
      </c>
      <c r="P25" s="87" t="s">
        <v>33</v>
      </c>
      <c r="Q25" s="89" t="s">
        <v>33</v>
      </c>
      <c r="R25" s="87">
        <v>100</v>
      </c>
      <c r="S25" s="87">
        <v>0.5</v>
      </c>
      <c r="T25" s="87">
        <v>0</v>
      </c>
      <c r="U25" s="87">
        <v>0</v>
      </c>
    </row>
    <row r="26" spans="1:21" ht="10.8" thickBot="1" x14ac:dyDescent="0.25">
      <c r="A26" s="97" t="s">
        <v>37</v>
      </c>
      <c r="B26" s="97" t="s">
        <v>38</v>
      </c>
      <c r="C26" s="97" t="s">
        <v>36</v>
      </c>
      <c r="D26" s="97" t="s">
        <v>218</v>
      </c>
      <c r="E26" s="97" t="s">
        <v>219</v>
      </c>
      <c r="F26" s="97" t="s">
        <v>220</v>
      </c>
      <c r="G26" s="98" t="s">
        <v>39</v>
      </c>
      <c r="H26" s="99" t="s">
        <v>29</v>
      </c>
      <c r="I26" s="99" t="s">
        <v>37</v>
      </c>
      <c r="J26" s="100" t="s">
        <v>38</v>
      </c>
      <c r="K26" s="101">
        <v>0.5</v>
      </c>
      <c r="L26" s="101" t="s">
        <v>54</v>
      </c>
      <c r="M26" s="87">
        <v>2020</v>
      </c>
      <c r="N26" s="87" t="s">
        <v>33</v>
      </c>
      <c r="O26" s="89" t="s">
        <v>33</v>
      </c>
      <c r="P26" s="87" t="s">
        <v>33</v>
      </c>
      <c r="Q26" s="89" t="s">
        <v>33</v>
      </c>
      <c r="R26" s="87">
        <v>100</v>
      </c>
      <c r="S26" s="87">
        <v>0.5</v>
      </c>
      <c r="T26" s="87">
        <v>0</v>
      </c>
      <c r="U26" s="87">
        <v>0</v>
      </c>
    </row>
    <row r="27" spans="1:21" ht="10.8" thickBot="1" x14ac:dyDescent="0.25">
      <c r="A27" s="97" t="s">
        <v>37</v>
      </c>
      <c r="B27" s="97" t="s">
        <v>38</v>
      </c>
      <c r="C27" s="97" t="s">
        <v>36</v>
      </c>
      <c r="D27" s="97" t="s">
        <v>222</v>
      </c>
      <c r="E27" s="97" t="s">
        <v>223</v>
      </c>
      <c r="F27" s="97" t="s">
        <v>224</v>
      </c>
      <c r="G27" s="98" t="s">
        <v>225</v>
      </c>
      <c r="H27" s="99" t="s">
        <v>29</v>
      </c>
      <c r="I27" s="99" t="s">
        <v>37</v>
      </c>
      <c r="J27" s="100" t="s">
        <v>38</v>
      </c>
      <c r="K27" s="101">
        <v>0.5</v>
      </c>
      <c r="L27" s="101" t="s">
        <v>54</v>
      </c>
      <c r="M27" s="87">
        <v>2020</v>
      </c>
      <c r="N27" s="87" t="s">
        <v>33</v>
      </c>
      <c r="O27" s="89" t="s">
        <v>33</v>
      </c>
      <c r="P27" s="87" t="s">
        <v>33</v>
      </c>
      <c r="Q27" s="89" t="s">
        <v>33</v>
      </c>
      <c r="R27" s="87">
        <v>100</v>
      </c>
      <c r="S27" s="87">
        <v>0.5</v>
      </c>
      <c r="T27" s="87">
        <v>0</v>
      </c>
      <c r="U27" s="87">
        <v>0</v>
      </c>
    </row>
    <row r="28" spans="1:21" ht="10.8" thickBot="1" x14ac:dyDescent="0.25">
      <c r="A28" s="97" t="s">
        <v>37</v>
      </c>
      <c r="B28" s="97" t="s">
        <v>38</v>
      </c>
      <c r="C28" s="97" t="s">
        <v>36</v>
      </c>
      <c r="D28" s="97" t="s">
        <v>222</v>
      </c>
      <c r="E28" s="97" t="s">
        <v>223</v>
      </c>
      <c r="F28" s="97" t="s">
        <v>224</v>
      </c>
      <c r="G28" s="98" t="s">
        <v>59</v>
      </c>
      <c r="H28" s="99" t="s">
        <v>29</v>
      </c>
      <c r="I28" s="99" t="s">
        <v>37</v>
      </c>
      <c r="J28" s="100" t="s">
        <v>38</v>
      </c>
      <c r="K28" s="101">
        <v>0.5</v>
      </c>
      <c r="L28" s="101" t="s">
        <v>54</v>
      </c>
      <c r="M28" s="87">
        <v>2020</v>
      </c>
      <c r="N28" s="87" t="s">
        <v>34</v>
      </c>
      <c r="O28" s="89" t="s">
        <v>32</v>
      </c>
      <c r="P28" s="87" t="s">
        <v>33</v>
      </c>
      <c r="Q28" s="89" t="s">
        <v>33</v>
      </c>
      <c r="R28" s="87">
        <v>50</v>
      </c>
      <c r="S28" s="87">
        <v>0.25</v>
      </c>
      <c r="T28" s="87">
        <v>0.25</v>
      </c>
      <c r="U28" s="87">
        <v>0</v>
      </c>
    </row>
    <row r="29" spans="1:21" x14ac:dyDescent="0.2">
      <c r="A29" s="87" t="s">
        <v>37</v>
      </c>
      <c r="B29" s="87" t="s">
        <v>38</v>
      </c>
      <c r="C29" s="87" t="s">
        <v>36</v>
      </c>
      <c r="D29" s="87" t="s">
        <v>321</v>
      </c>
      <c r="E29" s="87" t="s">
        <v>322</v>
      </c>
      <c r="F29" s="87" t="s">
        <v>323</v>
      </c>
      <c r="G29" s="87" t="s">
        <v>225</v>
      </c>
      <c r="H29" s="87" t="s">
        <v>29</v>
      </c>
      <c r="I29" s="87" t="s">
        <v>37</v>
      </c>
      <c r="J29" s="87" t="s">
        <v>38</v>
      </c>
      <c r="K29" s="101">
        <v>0.5</v>
      </c>
      <c r="L29" s="101" t="s">
        <v>54</v>
      </c>
      <c r="M29" s="87">
        <v>2021</v>
      </c>
      <c r="N29" s="87" t="s">
        <v>33</v>
      </c>
      <c r="O29" s="89" t="s">
        <v>33</v>
      </c>
      <c r="P29" s="87" t="s">
        <v>33</v>
      </c>
      <c r="Q29" s="89" t="s">
        <v>33</v>
      </c>
      <c r="R29" s="87">
        <v>100</v>
      </c>
      <c r="S29" s="87">
        <v>0.5</v>
      </c>
      <c r="T29" s="87">
        <v>0</v>
      </c>
      <c r="U29" s="87">
        <v>0</v>
      </c>
    </row>
    <row r="30" spans="1:21" x14ac:dyDescent="0.2">
      <c r="A30" s="87" t="s">
        <v>37</v>
      </c>
      <c r="B30" s="87" t="s">
        <v>38</v>
      </c>
      <c r="C30" s="87" t="s">
        <v>36</v>
      </c>
      <c r="D30" s="87" t="s">
        <v>321</v>
      </c>
      <c r="E30" s="87" t="s">
        <v>322</v>
      </c>
      <c r="F30" s="87" t="s">
        <v>323</v>
      </c>
      <c r="G30" s="87" t="s">
        <v>59</v>
      </c>
      <c r="H30" s="87" t="s">
        <v>29</v>
      </c>
      <c r="I30" s="87" t="s">
        <v>37</v>
      </c>
      <c r="J30" s="87" t="s">
        <v>38</v>
      </c>
      <c r="K30" s="101">
        <v>0.5</v>
      </c>
      <c r="L30" s="101" t="s">
        <v>54</v>
      </c>
      <c r="M30" s="87">
        <v>2021</v>
      </c>
      <c r="N30" s="87" t="s">
        <v>34</v>
      </c>
      <c r="O30" s="89" t="s">
        <v>32</v>
      </c>
      <c r="P30" s="87" t="s">
        <v>33</v>
      </c>
      <c r="Q30" s="89" t="s">
        <v>33</v>
      </c>
      <c r="R30" s="87">
        <v>50</v>
      </c>
      <c r="S30" s="87">
        <v>0.25</v>
      </c>
      <c r="T30" s="87">
        <v>0.25</v>
      </c>
      <c r="U30" s="87">
        <v>0</v>
      </c>
    </row>
    <row r="31" spans="1:21" x14ac:dyDescent="0.2">
      <c r="A31" s="87" t="s">
        <v>37</v>
      </c>
      <c r="B31" s="87" t="s">
        <v>38</v>
      </c>
      <c r="C31" s="87" t="s">
        <v>36</v>
      </c>
      <c r="D31" s="87" t="s">
        <v>324</v>
      </c>
      <c r="E31" s="87" t="s">
        <v>325</v>
      </c>
      <c r="F31" s="87" t="s">
        <v>326</v>
      </c>
      <c r="G31" s="87" t="s">
        <v>80</v>
      </c>
      <c r="H31" s="87" t="s">
        <v>35</v>
      </c>
      <c r="I31" s="87" t="s">
        <v>37</v>
      </c>
      <c r="J31" s="87" t="s">
        <v>38</v>
      </c>
      <c r="K31" s="101">
        <v>1</v>
      </c>
      <c r="L31" s="101" t="s">
        <v>54</v>
      </c>
      <c r="M31" s="87">
        <v>2021</v>
      </c>
      <c r="N31" s="87" t="s">
        <v>33</v>
      </c>
      <c r="O31" s="89" t="s">
        <v>33</v>
      </c>
      <c r="P31" s="87" t="s">
        <v>33</v>
      </c>
      <c r="Q31" s="89" t="s">
        <v>33</v>
      </c>
      <c r="R31" s="87">
        <v>100</v>
      </c>
      <c r="S31" s="87">
        <v>1</v>
      </c>
      <c r="T31" s="87">
        <v>0</v>
      </c>
      <c r="U31" s="87">
        <v>0</v>
      </c>
    </row>
    <row r="32" spans="1:21" x14ac:dyDescent="0.2">
      <c r="A32" s="87" t="s">
        <v>37</v>
      </c>
      <c r="B32" s="87" t="s">
        <v>38</v>
      </c>
      <c r="C32" s="87" t="s">
        <v>36</v>
      </c>
      <c r="D32" s="87" t="s">
        <v>327</v>
      </c>
      <c r="E32" s="87" t="s">
        <v>328</v>
      </c>
      <c r="F32" s="87" t="s">
        <v>323</v>
      </c>
      <c r="G32" s="87" t="s">
        <v>55</v>
      </c>
      <c r="H32" s="87" t="s">
        <v>35</v>
      </c>
      <c r="I32" s="87" t="s">
        <v>37</v>
      </c>
      <c r="J32" s="87" t="s">
        <v>38</v>
      </c>
      <c r="K32" s="101">
        <v>1</v>
      </c>
      <c r="L32" s="101" t="s">
        <v>54</v>
      </c>
      <c r="M32" s="87">
        <v>2021</v>
      </c>
      <c r="N32" s="87" t="s">
        <v>34</v>
      </c>
      <c r="O32" s="89" t="s">
        <v>56</v>
      </c>
      <c r="P32" s="87" t="s">
        <v>33</v>
      </c>
      <c r="Q32" s="89" t="s">
        <v>33</v>
      </c>
      <c r="R32" s="87">
        <v>15</v>
      </c>
      <c r="S32" s="87">
        <v>0.15</v>
      </c>
      <c r="T32" s="87">
        <v>0.85</v>
      </c>
      <c r="U32" s="87">
        <v>0</v>
      </c>
    </row>
    <row r="33" spans="1:21" x14ac:dyDescent="0.2">
      <c r="A33" s="87" t="s">
        <v>37</v>
      </c>
      <c r="B33" s="87" t="s">
        <v>38</v>
      </c>
      <c r="C33" s="87" t="s">
        <v>36</v>
      </c>
      <c r="D33" s="87" t="s">
        <v>329</v>
      </c>
      <c r="E33" s="87" t="s">
        <v>330</v>
      </c>
      <c r="F33" s="87" t="s">
        <v>331</v>
      </c>
      <c r="G33" s="87" t="s">
        <v>57</v>
      </c>
      <c r="H33" s="87" t="s">
        <v>29</v>
      </c>
      <c r="I33" s="87" t="s">
        <v>37</v>
      </c>
      <c r="J33" s="87" t="s">
        <v>38</v>
      </c>
      <c r="K33" s="101">
        <v>0.5</v>
      </c>
      <c r="L33" s="101" t="s">
        <v>54</v>
      </c>
      <c r="M33" s="87">
        <v>2021</v>
      </c>
      <c r="N33" s="87" t="s">
        <v>34</v>
      </c>
      <c r="O33" s="89" t="s">
        <v>56</v>
      </c>
      <c r="P33" s="87" t="s">
        <v>33</v>
      </c>
      <c r="Q33" s="89" t="s">
        <v>33</v>
      </c>
      <c r="R33" s="87">
        <v>15</v>
      </c>
      <c r="S33" s="87">
        <v>7.4999999999999997E-2</v>
      </c>
      <c r="T33" s="87">
        <v>0.42499999999999999</v>
      </c>
      <c r="U33" s="87">
        <v>0</v>
      </c>
    </row>
    <row r="34" spans="1:21" x14ac:dyDescent="0.2">
      <c r="A34" s="87" t="s">
        <v>37</v>
      </c>
      <c r="B34" s="87" t="s">
        <v>38</v>
      </c>
      <c r="C34" s="87" t="s">
        <v>36</v>
      </c>
      <c r="D34" s="87" t="s">
        <v>329</v>
      </c>
      <c r="E34" s="87" t="s">
        <v>330</v>
      </c>
      <c r="F34" s="87" t="s">
        <v>331</v>
      </c>
      <c r="G34" s="87" t="s">
        <v>39</v>
      </c>
      <c r="H34" s="87" t="s">
        <v>29</v>
      </c>
      <c r="I34" s="87" t="s">
        <v>37</v>
      </c>
      <c r="J34" s="87" t="s">
        <v>38</v>
      </c>
      <c r="K34" s="101">
        <v>0.5</v>
      </c>
      <c r="L34" s="101" t="s">
        <v>54</v>
      </c>
      <c r="M34" s="87">
        <v>2021</v>
      </c>
      <c r="N34" s="87" t="s">
        <v>33</v>
      </c>
      <c r="O34" s="89" t="s">
        <v>33</v>
      </c>
      <c r="P34" s="87" t="s">
        <v>33</v>
      </c>
      <c r="Q34" s="89" t="s">
        <v>33</v>
      </c>
      <c r="R34" s="87">
        <v>100</v>
      </c>
      <c r="S34" s="87">
        <v>0.5</v>
      </c>
      <c r="T34" s="87">
        <v>0</v>
      </c>
      <c r="U34" s="87">
        <v>0</v>
      </c>
    </row>
    <row r="35" spans="1:21" x14ac:dyDescent="0.2">
      <c r="A35" s="102"/>
      <c r="B35" s="102"/>
      <c r="C35" s="102"/>
      <c r="D35" s="102"/>
      <c r="E35" s="102"/>
      <c r="F35" s="102"/>
      <c r="G35" s="102"/>
      <c r="H35" s="102"/>
      <c r="I35" s="102"/>
      <c r="J35" s="102"/>
      <c r="K35" s="102"/>
      <c r="L35" s="102"/>
      <c r="M35" s="102"/>
      <c r="N35" s="102"/>
      <c r="O35" s="103"/>
      <c r="P35" s="102"/>
      <c r="Q35" s="103"/>
      <c r="R35" s="102"/>
      <c r="S35" s="109">
        <f>SUM(S2:S34)</f>
        <v>16.100000000000001</v>
      </c>
      <c r="T35" s="102"/>
      <c r="U35" s="102"/>
    </row>
  </sheetData>
  <autoFilter ref="A1:U1" xr:uid="{00000000-0009-0000-0000-000004000000}">
    <sortState xmlns:xlrd2="http://schemas.microsoft.com/office/spreadsheetml/2017/richdata2" ref="A2:T1872">
      <sortCondition ref="K2:K1872"/>
      <sortCondition ref="L2:L1872"/>
      <sortCondition ref="D2:D1872"/>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27"/>
  <sheetViews>
    <sheetView topLeftCell="A7" zoomScaleNormal="100" workbookViewId="0">
      <selection activeCell="S27" sqref="S27"/>
    </sheetView>
  </sheetViews>
  <sheetFormatPr baseColWidth="10" defaultColWidth="11.44140625" defaultRowHeight="13.2" x14ac:dyDescent="0.25"/>
  <cols>
    <col min="1" max="1" width="10.88671875" style="18" bestFit="1" customWidth="1"/>
    <col min="2" max="2" width="38.33203125" style="18" bestFit="1" customWidth="1"/>
    <col min="3" max="3" width="17" style="18" bestFit="1" customWidth="1"/>
    <col min="4" max="9" width="3.33203125" style="18" bestFit="1" customWidth="1"/>
    <col min="10" max="10" width="13.109375" style="18" bestFit="1" customWidth="1"/>
    <col min="11" max="11" width="5.33203125" style="18" bestFit="1" customWidth="1"/>
    <col min="12" max="13" width="5.6640625" style="18" bestFit="1" customWidth="1"/>
    <col min="14" max="14" width="5.6640625" style="19" bestFit="1" customWidth="1"/>
    <col min="15" max="15" width="5.6640625" style="18" bestFit="1" customWidth="1"/>
    <col min="16" max="16" width="5.6640625" style="19" bestFit="1" customWidth="1"/>
    <col min="17" max="18" width="5.6640625" style="18" bestFit="1" customWidth="1"/>
    <col min="19" max="19" width="6.5546875" style="18" bestFit="1" customWidth="1"/>
    <col min="20" max="16384" width="11.44140625" style="18"/>
  </cols>
  <sheetData>
    <row r="1" spans="1:19" s="17" customFormat="1" ht="60" customHeight="1" x14ac:dyDescent="0.25">
      <c r="A1" s="71" t="s">
        <v>85</v>
      </c>
      <c r="B1" s="71" t="s">
        <v>86</v>
      </c>
      <c r="C1" s="71" t="s">
        <v>87</v>
      </c>
      <c r="D1" s="72">
        <v>2017</v>
      </c>
      <c r="E1" s="72">
        <v>2018</v>
      </c>
      <c r="F1" s="72">
        <v>2019</v>
      </c>
      <c r="G1" s="72">
        <v>2020</v>
      </c>
      <c r="H1" s="72">
        <v>2021</v>
      </c>
      <c r="I1" s="72">
        <v>2022</v>
      </c>
      <c r="J1" s="71" t="s">
        <v>88</v>
      </c>
      <c r="K1" s="73" t="s">
        <v>200</v>
      </c>
      <c r="L1" s="15" t="s">
        <v>89</v>
      </c>
      <c r="M1" s="15" t="s">
        <v>90</v>
      </c>
      <c r="N1" s="15" t="s">
        <v>91</v>
      </c>
      <c r="O1" s="15" t="s">
        <v>92</v>
      </c>
      <c r="P1" s="16" t="s">
        <v>93</v>
      </c>
      <c r="Q1" s="16" t="s">
        <v>94</v>
      </c>
      <c r="R1" s="16" t="s">
        <v>95</v>
      </c>
      <c r="S1" s="16" t="s">
        <v>96</v>
      </c>
    </row>
    <row r="2" spans="1:19" ht="14.4" x14ac:dyDescent="0.3">
      <c r="A2" s="74" t="s">
        <v>113</v>
      </c>
      <c r="B2" s="74" t="s">
        <v>114</v>
      </c>
      <c r="C2" s="74" t="s">
        <v>97</v>
      </c>
      <c r="D2" s="74"/>
      <c r="E2" s="74"/>
      <c r="F2" s="74"/>
      <c r="G2" s="74"/>
      <c r="H2" s="74"/>
      <c r="I2" s="74">
        <v>3</v>
      </c>
      <c r="J2" s="74">
        <v>3</v>
      </c>
      <c r="K2" s="74" t="s">
        <v>54</v>
      </c>
      <c r="L2" s="75">
        <v>0</v>
      </c>
      <c r="M2" s="75">
        <v>0</v>
      </c>
      <c r="N2" s="75" t="s">
        <v>33</v>
      </c>
      <c r="O2" s="75" t="s">
        <v>33</v>
      </c>
      <c r="P2" s="75">
        <v>100</v>
      </c>
      <c r="Q2" s="75">
        <v>0</v>
      </c>
      <c r="R2" s="75">
        <v>0</v>
      </c>
      <c r="S2" s="75">
        <v>3</v>
      </c>
    </row>
    <row r="3" spans="1:19" ht="14.4" x14ac:dyDescent="0.3">
      <c r="A3" s="74" t="s">
        <v>103</v>
      </c>
      <c r="B3" s="74" t="s">
        <v>104</v>
      </c>
      <c r="C3" s="74">
        <v>6</v>
      </c>
      <c r="D3" s="74"/>
      <c r="E3" s="74"/>
      <c r="F3" s="74"/>
      <c r="G3" s="74"/>
      <c r="H3" s="74">
        <v>1</v>
      </c>
      <c r="I3" s="74"/>
      <c r="J3" s="74">
        <v>1</v>
      </c>
      <c r="K3" s="74" t="s">
        <v>54</v>
      </c>
      <c r="L3" s="75" t="s">
        <v>34</v>
      </c>
      <c r="M3" s="75" t="s">
        <v>32</v>
      </c>
      <c r="N3" s="75" t="s">
        <v>33</v>
      </c>
      <c r="O3" s="75" t="s">
        <v>33</v>
      </c>
      <c r="P3" s="75">
        <v>50</v>
      </c>
      <c r="Q3" s="75">
        <v>0.5</v>
      </c>
      <c r="R3" s="75">
        <v>0</v>
      </c>
      <c r="S3" s="75">
        <v>0.5</v>
      </c>
    </row>
    <row r="4" spans="1:19" ht="14.4" x14ac:dyDescent="0.3">
      <c r="A4" s="74" t="s">
        <v>332</v>
      </c>
      <c r="B4" s="74" t="s">
        <v>333</v>
      </c>
      <c r="C4" s="74" t="s">
        <v>98</v>
      </c>
      <c r="D4" s="74"/>
      <c r="E4" s="74"/>
      <c r="F4" s="74"/>
      <c r="G4" s="74"/>
      <c r="H4" s="74"/>
      <c r="I4" s="74">
        <v>1</v>
      </c>
      <c r="J4" s="74">
        <v>1</v>
      </c>
      <c r="K4" s="74" t="s">
        <v>54</v>
      </c>
      <c r="L4" s="75">
        <v>0</v>
      </c>
      <c r="M4" s="75">
        <v>0</v>
      </c>
      <c r="N4" s="75" t="s">
        <v>33</v>
      </c>
      <c r="O4" s="75" t="s">
        <v>33</v>
      </c>
      <c r="P4" s="75">
        <v>100</v>
      </c>
      <c r="Q4" s="75">
        <v>0</v>
      </c>
      <c r="R4" s="75">
        <v>0</v>
      </c>
      <c r="S4" s="75">
        <v>1</v>
      </c>
    </row>
    <row r="5" spans="1:19" ht="14.4" x14ac:dyDescent="0.3">
      <c r="A5" s="74" t="s">
        <v>123</v>
      </c>
      <c r="B5" s="74" t="s">
        <v>124</v>
      </c>
      <c r="C5" s="74" t="s">
        <v>97</v>
      </c>
      <c r="D5" s="74">
        <v>1</v>
      </c>
      <c r="E5" s="74"/>
      <c r="F5" s="74"/>
      <c r="G5" s="74"/>
      <c r="H5" s="74"/>
      <c r="I5" s="74"/>
      <c r="J5" s="74">
        <v>1</v>
      </c>
      <c r="K5" s="74" t="s">
        <v>54</v>
      </c>
      <c r="L5" s="75">
        <v>0</v>
      </c>
      <c r="M5" s="75">
        <v>0</v>
      </c>
      <c r="N5" s="75" t="s">
        <v>33</v>
      </c>
      <c r="O5" s="75" t="s">
        <v>33</v>
      </c>
      <c r="P5" s="75">
        <v>100</v>
      </c>
      <c r="Q5" s="75">
        <v>0</v>
      </c>
      <c r="R5" s="75">
        <v>0</v>
      </c>
      <c r="S5" s="75">
        <v>1</v>
      </c>
    </row>
    <row r="6" spans="1:19" ht="14.4" x14ac:dyDescent="0.3">
      <c r="A6" s="74" t="s">
        <v>197</v>
      </c>
      <c r="B6" s="74" t="s">
        <v>198</v>
      </c>
      <c r="C6" s="76" t="s">
        <v>97</v>
      </c>
      <c r="D6" s="74"/>
      <c r="E6" s="74"/>
      <c r="F6" s="74"/>
      <c r="G6" s="74">
        <v>1</v>
      </c>
      <c r="H6" s="74"/>
      <c r="I6" s="74"/>
      <c r="J6" s="74">
        <v>1</v>
      </c>
      <c r="K6" s="74" t="s">
        <v>54</v>
      </c>
      <c r="L6" s="75">
        <v>0</v>
      </c>
      <c r="M6" s="75">
        <v>0</v>
      </c>
      <c r="N6" s="75" t="s">
        <v>33</v>
      </c>
      <c r="O6" s="75" t="s">
        <v>33</v>
      </c>
      <c r="P6" s="75">
        <v>100</v>
      </c>
      <c r="Q6" s="75">
        <v>0</v>
      </c>
      <c r="R6" s="75">
        <v>0</v>
      </c>
      <c r="S6" s="75">
        <v>1</v>
      </c>
    </row>
    <row r="7" spans="1:19" ht="14.4" x14ac:dyDescent="0.3">
      <c r="A7" s="74" t="s">
        <v>101</v>
      </c>
      <c r="B7" s="74" t="s">
        <v>102</v>
      </c>
      <c r="C7" s="74" t="s">
        <v>97</v>
      </c>
      <c r="D7" s="74"/>
      <c r="E7" s="74"/>
      <c r="F7" s="74"/>
      <c r="G7" s="74">
        <v>1</v>
      </c>
      <c r="H7" s="74"/>
      <c r="I7" s="74"/>
      <c r="J7" s="74">
        <v>1</v>
      </c>
      <c r="K7" s="74" t="s">
        <v>54</v>
      </c>
      <c r="L7" s="75" t="s">
        <v>34</v>
      </c>
      <c r="M7" s="75" t="s">
        <v>32</v>
      </c>
      <c r="N7" s="75" t="s">
        <v>33</v>
      </c>
      <c r="O7" s="75" t="s">
        <v>33</v>
      </c>
      <c r="P7" s="75">
        <v>50</v>
      </c>
      <c r="Q7" s="75">
        <v>0.5</v>
      </c>
      <c r="R7" s="75">
        <v>0</v>
      </c>
      <c r="S7" s="75">
        <v>0.5</v>
      </c>
    </row>
    <row r="8" spans="1:19" ht="14.4" x14ac:dyDescent="0.3">
      <c r="A8" s="74" t="s">
        <v>121</v>
      </c>
      <c r="B8" s="74" t="s">
        <v>122</v>
      </c>
      <c r="C8" s="74" t="s">
        <v>97</v>
      </c>
      <c r="D8" s="74"/>
      <c r="E8" s="74">
        <v>1</v>
      </c>
      <c r="F8" s="74"/>
      <c r="G8" s="74"/>
      <c r="H8" s="74"/>
      <c r="I8" s="74"/>
      <c r="J8" s="74">
        <v>1</v>
      </c>
      <c r="K8" s="74" t="s">
        <v>54</v>
      </c>
      <c r="L8" s="75">
        <v>0</v>
      </c>
      <c r="M8" s="75">
        <v>0</v>
      </c>
      <c r="N8" s="75" t="s">
        <v>33</v>
      </c>
      <c r="O8" s="75" t="s">
        <v>33</v>
      </c>
      <c r="P8" s="75">
        <v>100</v>
      </c>
      <c r="Q8" s="75">
        <v>0</v>
      </c>
      <c r="R8" s="75">
        <v>0</v>
      </c>
      <c r="S8" s="75">
        <v>1</v>
      </c>
    </row>
    <row r="9" spans="1:19" ht="14.4" x14ac:dyDescent="0.3">
      <c r="A9" s="74" t="s">
        <v>202</v>
      </c>
      <c r="B9" s="74" t="s">
        <v>203</v>
      </c>
      <c r="C9" s="74" t="s">
        <v>98</v>
      </c>
      <c r="D9" s="74"/>
      <c r="E9" s="74"/>
      <c r="F9" s="74"/>
      <c r="G9" s="74"/>
      <c r="H9" s="74">
        <v>1</v>
      </c>
      <c r="I9" s="74"/>
      <c r="J9" s="74">
        <v>1</v>
      </c>
      <c r="K9" s="74" t="s">
        <v>54</v>
      </c>
      <c r="L9" s="75">
        <v>0</v>
      </c>
      <c r="M9" s="75">
        <v>0</v>
      </c>
      <c r="N9" s="75" t="s">
        <v>33</v>
      </c>
      <c r="O9" s="75" t="s">
        <v>33</v>
      </c>
      <c r="P9" s="75">
        <v>100</v>
      </c>
      <c r="Q9" s="75">
        <v>0</v>
      </c>
      <c r="R9" s="75">
        <v>0</v>
      </c>
      <c r="S9" s="75">
        <v>1</v>
      </c>
    </row>
    <row r="10" spans="1:19" ht="14.4" x14ac:dyDescent="0.3">
      <c r="A10" s="74" t="s">
        <v>119</v>
      </c>
      <c r="B10" s="74" t="s">
        <v>120</v>
      </c>
      <c r="C10" s="104" t="s">
        <v>97</v>
      </c>
      <c r="D10" s="74">
        <v>1</v>
      </c>
      <c r="E10" s="74"/>
      <c r="F10" s="74">
        <v>1</v>
      </c>
      <c r="G10" s="74"/>
      <c r="H10" s="74"/>
      <c r="I10" s="74"/>
      <c r="J10" s="74">
        <v>2</v>
      </c>
      <c r="K10" s="74" t="s">
        <v>54</v>
      </c>
      <c r="L10" s="75" t="s">
        <v>34</v>
      </c>
      <c r="M10" s="75" t="s">
        <v>32</v>
      </c>
      <c r="N10" s="75" t="s">
        <v>33</v>
      </c>
      <c r="O10" s="75" t="s">
        <v>33</v>
      </c>
      <c r="P10" s="75">
        <v>50</v>
      </c>
      <c r="Q10" s="75">
        <v>1</v>
      </c>
      <c r="R10" s="75">
        <v>0</v>
      </c>
      <c r="S10" s="75">
        <v>1</v>
      </c>
    </row>
    <row r="11" spans="1:19" ht="14.4" x14ac:dyDescent="0.3">
      <c r="A11" s="74" t="s">
        <v>105</v>
      </c>
      <c r="B11" s="74" t="s">
        <v>106</v>
      </c>
      <c r="C11" s="74">
        <v>6</v>
      </c>
      <c r="D11" s="74"/>
      <c r="E11" s="74"/>
      <c r="F11" s="74">
        <v>1</v>
      </c>
      <c r="G11" s="74"/>
      <c r="H11" s="74">
        <v>1</v>
      </c>
      <c r="I11" s="74"/>
      <c r="J11" s="74">
        <v>2</v>
      </c>
      <c r="K11" s="74" t="s">
        <v>54</v>
      </c>
      <c r="L11" s="75" t="s">
        <v>34</v>
      </c>
      <c r="M11" s="75" t="s">
        <v>56</v>
      </c>
      <c r="N11" s="75" t="s">
        <v>33</v>
      </c>
      <c r="O11" s="75" t="s">
        <v>33</v>
      </c>
      <c r="P11" s="75">
        <v>15</v>
      </c>
      <c r="Q11" s="75">
        <v>1.7</v>
      </c>
      <c r="R11" s="75">
        <v>0</v>
      </c>
      <c r="S11" s="75">
        <v>0.3</v>
      </c>
    </row>
    <row r="12" spans="1:19" ht="14.4" x14ac:dyDescent="0.3">
      <c r="A12" s="74" t="s">
        <v>204</v>
      </c>
      <c r="B12" s="74" t="s">
        <v>205</v>
      </c>
      <c r="C12" s="74" t="s">
        <v>98</v>
      </c>
      <c r="D12" s="74"/>
      <c r="E12" s="74"/>
      <c r="F12" s="74"/>
      <c r="G12" s="74"/>
      <c r="H12" s="74">
        <v>1</v>
      </c>
      <c r="I12" s="74"/>
      <c r="J12" s="74">
        <v>1</v>
      </c>
      <c r="K12" s="74" t="s">
        <v>54</v>
      </c>
      <c r="L12" s="75">
        <v>0</v>
      </c>
      <c r="M12" s="75">
        <v>0</v>
      </c>
      <c r="N12" s="75" t="s">
        <v>33</v>
      </c>
      <c r="O12" s="75" t="s">
        <v>33</v>
      </c>
      <c r="P12" s="75">
        <v>100</v>
      </c>
      <c r="Q12" s="75">
        <v>0</v>
      </c>
      <c r="R12" s="75">
        <v>0</v>
      </c>
      <c r="S12" s="75">
        <v>1</v>
      </c>
    </row>
    <row r="13" spans="1:19" ht="14.4" x14ac:dyDescent="0.3">
      <c r="A13" s="74" t="s">
        <v>115</v>
      </c>
      <c r="B13" s="74" t="s">
        <v>116</v>
      </c>
      <c r="C13" s="74" t="s">
        <v>97</v>
      </c>
      <c r="D13" s="74"/>
      <c r="E13" s="74">
        <v>1</v>
      </c>
      <c r="F13" s="74"/>
      <c r="G13" s="74"/>
      <c r="H13" s="74"/>
      <c r="I13" s="74"/>
      <c r="J13" s="74">
        <v>1</v>
      </c>
      <c r="K13" s="74" t="s">
        <v>54</v>
      </c>
      <c r="L13" s="75" t="s">
        <v>34</v>
      </c>
      <c r="M13" s="75" t="s">
        <v>56</v>
      </c>
      <c r="N13" s="75" t="s">
        <v>33</v>
      </c>
      <c r="O13" s="75" t="s">
        <v>33</v>
      </c>
      <c r="P13" s="75">
        <v>15</v>
      </c>
      <c r="Q13" s="75">
        <v>0.85</v>
      </c>
      <c r="R13" s="75">
        <v>0</v>
      </c>
      <c r="S13" s="75">
        <v>0.15</v>
      </c>
    </row>
    <row r="14" spans="1:19" ht="14.4" x14ac:dyDescent="0.3">
      <c r="A14" s="74" t="s">
        <v>334</v>
      </c>
      <c r="B14" s="74" t="s">
        <v>335</v>
      </c>
      <c r="C14" s="74" t="s">
        <v>98</v>
      </c>
      <c r="D14" s="74"/>
      <c r="E14" s="74"/>
      <c r="F14" s="74"/>
      <c r="G14" s="74"/>
      <c r="H14" s="74">
        <v>1</v>
      </c>
      <c r="I14" s="74"/>
      <c r="J14" s="74">
        <v>1</v>
      </c>
      <c r="K14" s="74" t="s">
        <v>54</v>
      </c>
      <c r="L14" s="75">
        <v>0</v>
      </c>
      <c r="M14" s="75">
        <v>0</v>
      </c>
      <c r="N14" s="75" t="s">
        <v>33</v>
      </c>
      <c r="O14" s="75" t="s">
        <v>33</v>
      </c>
      <c r="P14" s="75">
        <v>100</v>
      </c>
      <c r="Q14" s="75">
        <v>0</v>
      </c>
      <c r="R14" s="75">
        <v>0</v>
      </c>
      <c r="S14" s="75">
        <v>1</v>
      </c>
    </row>
    <row r="15" spans="1:19" ht="14.4" x14ac:dyDescent="0.3">
      <c r="A15" s="74" t="s">
        <v>111</v>
      </c>
      <c r="B15" s="74" t="s">
        <v>112</v>
      </c>
      <c r="C15" s="74" t="s">
        <v>97</v>
      </c>
      <c r="D15" s="74"/>
      <c r="E15" s="74">
        <v>1</v>
      </c>
      <c r="F15" s="74"/>
      <c r="G15" s="74"/>
      <c r="H15" s="74"/>
      <c r="I15" s="74"/>
      <c r="J15" s="74">
        <v>1</v>
      </c>
      <c r="K15" s="74" t="s">
        <v>54</v>
      </c>
      <c r="L15" s="75">
        <v>0</v>
      </c>
      <c r="M15" s="75">
        <v>0</v>
      </c>
      <c r="N15" s="75" t="s">
        <v>33</v>
      </c>
      <c r="O15" s="75" t="s">
        <v>33</v>
      </c>
      <c r="P15" s="75">
        <v>100</v>
      </c>
      <c r="Q15" s="75">
        <v>0</v>
      </c>
      <c r="R15" s="75">
        <v>0</v>
      </c>
      <c r="S15" s="75">
        <v>1</v>
      </c>
    </row>
    <row r="16" spans="1:19" ht="14.4" x14ac:dyDescent="0.3">
      <c r="A16" s="74" t="s">
        <v>127</v>
      </c>
      <c r="B16" s="74" t="s">
        <v>128</v>
      </c>
      <c r="C16" s="74" t="s">
        <v>97</v>
      </c>
      <c r="D16" s="74"/>
      <c r="E16" s="74"/>
      <c r="F16" s="74"/>
      <c r="G16" s="74"/>
      <c r="H16" s="74">
        <v>3</v>
      </c>
      <c r="I16" s="74"/>
      <c r="J16" s="74">
        <v>3</v>
      </c>
      <c r="K16" s="74" t="s">
        <v>54</v>
      </c>
      <c r="L16" s="75">
        <v>0</v>
      </c>
      <c r="M16" s="75">
        <v>0</v>
      </c>
      <c r="N16" s="75" t="s">
        <v>33</v>
      </c>
      <c r="O16" s="75" t="s">
        <v>33</v>
      </c>
      <c r="P16" s="75">
        <v>100</v>
      </c>
      <c r="Q16" s="75">
        <v>0</v>
      </c>
      <c r="R16" s="75">
        <v>0</v>
      </c>
      <c r="S16" s="75">
        <v>3</v>
      </c>
    </row>
    <row r="17" spans="1:19" ht="14.4" x14ac:dyDescent="0.3">
      <c r="A17" s="74" t="s">
        <v>336</v>
      </c>
      <c r="B17" s="74" t="s">
        <v>337</v>
      </c>
      <c r="C17" s="74" t="s">
        <v>98</v>
      </c>
      <c r="D17" s="74"/>
      <c r="E17" s="74"/>
      <c r="F17" s="74"/>
      <c r="G17" s="74"/>
      <c r="H17" s="74">
        <v>1</v>
      </c>
      <c r="I17" s="74"/>
      <c r="J17" s="74">
        <v>1</v>
      </c>
      <c r="K17" s="74" t="s">
        <v>54</v>
      </c>
      <c r="L17" s="75">
        <v>0</v>
      </c>
      <c r="M17" s="75">
        <v>0</v>
      </c>
      <c r="N17" s="75" t="s">
        <v>33</v>
      </c>
      <c r="O17" s="75" t="s">
        <v>33</v>
      </c>
      <c r="P17" s="75">
        <v>100</v>
      </c>
      <c r="Q17" s="75">
        <v>0</v>
      </c>
      <c r="R17" s="75">
        <v>0</v>
      </c>
      <c r="S17" s="75">
        <v>1</v>
      </c>
    </row>
    <row r="18" spans="1:19" ht="14.4" x14ac:dyDescent="0.3">
      <c r="A18" s="74" t="s">
        <v>338</v>
      </c>
      <c r="B18" s="74" t="s">
        <v>339</v>
      </c>
      <c r="C18" s="74" t="s">
        <v>98</v>
      </c>
      <c r="D18" s="74"/>
      <c r="E18" s="74"/>
      <c r="F18" s="74"/>
      <c r="G18" s="74"/>
      <c r="H18" s="74"/>
      <c r="I18" s="74">
        <v>1</v>
      </c>
      <c r="J18" s="74">
        <v>1</v>
      </c>
      <c r="K18" s="74" t="s">
        <v>54</v>
      </c>
      <c r="L18" s="75">
        <v>0</v>
      </c>
      <c r="M18" s="75">
        <v>0</v>
      </c>
      <c r="N18" s="75" t="s">
        <v>33</v>
      </c>
      <c r="O18" s="75" t="s">
        <v>33</v>
      </c>
      <c r="P18" s="75">
        <v>100</v>
      </c>
      <c r="Q18" s="75">
        <v>0</v>
      </c>
      <c r="R18" s="75">
        <v>0</v>
      </c>
      <c r="S18" s="75">
        <v>1</v>
      </c>
    </row>
    <row r="19" spans="1:19" ht="14.4" x14ac:dyDescent="0.3">
      <c r="A19" s="74" t="s">
        <v>129</v>
      </c>
      <c r="B19" s="74" t="s">
        <v>130</v>
      </c>
      <c r="C19" s="76" t="s">
        <v>97</v>
      </c>
      <c r="D19" s="74"/>
      <c r="E19" s="74"/>
      <c r="F19" s="74"/>
      <c r="G19" s="74"/>
      <c r="H19" s="74">
        <v>2</v>
      </c>
      <c r="I19" s="74">
        <v>1</v>
      </c>
      <c r="J19" s="74">
        <v>3</v>
      </c>
      <c r="K19" s="74" t="s">
        <v>54</v>
      </c>
      <c r="L19" s="75">
        <v>0</v>
      </c>
      <c r="M19" s="75">
        <v>0</v>
      </c>
      <c r="N19" s="75" t="s">
        <v>33</v>
      </c>
      <c r="O19" s="75" t="s">
        <v>33</v>
      </c>
      <c r="P19" s="75">
        <v>100</v>
      </c>
      <c r="Q19" s="75">
        <v>0</v>
      </c>
      <c r="R19" s="75">
        <v>0</v>
      </c>
      <c r="S19" s="75">
        <v>3</v>
      </c>
    </row>
    <row r="20" spans="1:19" ht="14.4" x14ac:dyDescent="0.3">
      <c r="A20" s="74" t="s">
        <v>340</v>
      </c>
      <c r="B20" s="74" t="s">
        <v>341</v>
      </c>
      <c r="C20" s="74" t="s">
        <v>98</v>
      </c>
      <c r="D20" s="74"/>
      <c r="E20" s="74"/>
      <c r="F20" s="74"/>
      <c r="G20" s="74"/>
      <c r="H20" s="74"/>
      <c r="I20" s="74">
        <v>2</v>
      </c>
      <c r="J20" s="74">
        <v>2</v>
      </c>
      <c r="K20" s="74" t="s">
        <v>54</v>
      </c>
      <c r="L20" s="75">
        <v>0</v>
      </c>
      <c r="M20" s="75">
        <v>0</v>
      </c>
      <c r="N20" s="75" t="s">
        <v>33</v>
      </c>
      <c r="O20" s="75" t="s">
        <v>33</v>
      </c>
      <c r="P20" s="75">
        <v>100</v>
      </c>
      <c r="Q20" s="75">
        <v>0</v>
      </c>
      <c r="R20" s="75">
        <v>0</v>
      </c>
      <c r="S20" s="75">
        <v>2</v>
      </c>
    </row>
    <row r="21" spans="1:19" ht="14.4" x14ac:dyDescent="0.3">
      <c r="A21" s="74" t="s">
        <v>107</v>
      </c>
      <c r="B21" s="74" t="s">
        <v>108</v>
      </c>
      <c r="C21" s="74" t="s">
        <v>97</v>
      </c>
      <c r="D21" s="74"/>
      <c r="E21" s="74"/>
      <c r="F21" s="74">
        <v>2</v>
      </c>
      <c r="G21" s="74"/>
      <c r="H21" s="74"/>
      <c r="I21" s="74">
        <v>1</v>
      </c>
      <c r="J21" s="74">
        <v>3</v>
      </c>
      <c r="K21" s="74" t="s">
        <v>54</v>
      </c>
      <c r="L21" s="75">
        <v>0</v>
      </c>
      <c r="M21" s="75">
        <v>0</v>
      </c>
      <c r="N21" s="75" t="s">
        <v>33</v>
      </c>
      <c r="O21" s="75" t="s">
        <v>33</v>
      </c>
      <c r="P21" s="75">
        <v>100</v>
      </c>
      <c r="Q21" s="75">
        <v>0</v>
      </c>
      <c r="R21" s="75">
        <v>0</v>
      </c>
      <c r="S21" s="75">
        <v>3</v>
      </c>
    </row>
    <row r="22" spans="1:19" ht="14.4" x14ac:dyDescent="0.3">
      <c r="A22" s="74" t="s">
        <v>117</v>
      </c>
      <c r="B22" s="74" t="s">
        <v>118</v>
      </c>
      <c r="C22" s="74" t="s">
        <v>97</v>
      </c>
      <c r="D22" s="74"/>
      <c r="E22" s="74">
        <v>2</v>
      </c>
      <c r="F22" s="74"/>
      <c r="G22" s="74"/>
      <c r="H22" s="74">
        <v>1</v>
      </c>
      <c r="I22" s="74"/>
      <c r="J22" s="74">
        <v>3</v>
      </c>
      <c r="K22" s="74" t="s">
        <v>54</v>
      </c>
      <c r="L22" s="75">
        <v>0</v>
      </c>
      <c r="M22" s="75">
        <v>0</v>
      </c>
      <c r="N22" s="75" t="s">
        <v>33</v>
      </c>
      <c r="O22" s="75" t="s">
        <v>33</v>
      </c>
      <c r="P22" s="75">
        <v>100</v>
      </c>
      <c r="Q22" s="75">
        <v>0</v>
      </c>
      <c r="R22" s="75">
        <v>0</v>
      </c>
      <c r="S22" s="75">
        <v>3</v>
      </c>
    </row>
    <row r="23" spans="1:19" ht="14.4" x14ac:dyDescent="0.3">
      <c r="A23" s="74" t="s">
        <v>99</v>
      </c>
      <c r="B23" s="74" t="s">
        <v>100</v>
      </c>
      <c r="C23" s="74" t="s">
        <v>98</v>
      </c>
      <c r="D23" s="74"/>
      <c r="E23" s="74"/>
      <c r="F23" s="74">
        <v>1</v>
      </c>
      <c r="G23" s="74"/>
      <c r="H23" s="74"/>
      <c r="I23" s="74"/>
      <c r="J23" s="74">
        <v>1</v>
      </c>
      <c r="K23" s="74" t="s">
        <v>54</v>
      </c>
      <c r="L23" s="75">
        <v>0</v>
      </c>
      <c r="M23" s="75">
        <v>0</v>
      </c>
      <c r="N23" s="75" t="s">
        <v>33</v>
      </c>
      <c r="O23" s="75" t="s">
        <v>33</v>
      </c>
      <c r="P23" s="75">
        <v>100</v>
      </c>
      <c r="Q23" s="75">
        <v>0</v>
      </c>
      <c r="R23" s="75">
        <v>0</v>
      </c>
      <c r="S23" s="75">
        <v>1</v>
      </c>
    </row>
    <row r="24" spans="1:19" ht="14.4" x14ac:dyDescent="0.3">
      <c r="A24" s="74" t="s">
        <v>342</v>
      </c>
      <c r="B24" s="74" t="s">
        <v>343</v>
      </c>
      <c r="C24" s="74" t="s">
        <v>98</v>
      </c>
      <c r="D24" s="74"/>
      <c r="E24" s="74"/>
      <c r="F24" s="74"/>
      <c r="G24" s="74"/>
      <c r="H24" s="74">
        <v>1</v>
      </c>
      <c r="I24" s="74"/>
      <c r="J24" s="74">
        <v>1</v>
      </c>
      <c r="K24" s="74" t="s">
        <v>54</v>
      </c>
      <c r="L24" s="75">
        <v>0</v>
      </c>
      <c r="M24" s="75">
        <v>0</v>
      </c>
      <c r="N24" s="75" t="s">
        <v>33</v>
      </c>
      <c r="O24" s="75" t="s">
        <v>33</v>
      </c>
      <c r="P24" s="75">
        <v>100</v>
      </c>
      <c r="Q24" s="75">
        <v>0</v>
      </c>
      <c r="R24" s="75">
        <v>0</v>
      </c>
      <c r="S24" s="75">
        <v>1</v>
      </c>
    </row>
    <row r="25" spans="1:19" ht="14.4" x14ac:dyDescent="0.3">
      <c r="A25" s="74" t="s">
        <v>109</v>
      </c>
      <c r="B25" s="74" t="s">
        <v>110</v>
      </c>
      <c r="C25" s="76" t="s">
        <v>201</v>
      </c>
      <c r="D25" s="74"/>
      <c r="E25" s="74"/>
      <c r="F25" s="74"/>
      <c r="G25" s="74"/>
      <c r="H25" s="74"/>
      <c r="I25" s="74">
        <v>1</v>
      </c>
      <c r="J25" s="74">
        <v>1</v>
      </c>
      <c r="K25" s="74" t="s">
        <v>54</v>
      </c>
      <c r="L25" s="75" t="s">
        <v>34</v>
      </c>
      <c r="M25" s="75" t="s">
        <v>32</v>
      </c>
      <c r="N25" s="75" t="s">
        <v>33</v>
      </c>
      <c r="O25" s="75" t="s">
        <v>33</v>
      </c>
      <c r="P25" s="75">
        <v>50</v>
      </c>
      <c r="Q25" s="75">
        <v>0.5</v>
      </c>
      <c r="R25" s="75">
        <v>0</v>
      </c>
      <c r="S25" s="75">
        <v>0.5</v>
      </c>
    </row>
    <row r="26" spans="1:19" ht="14.4" x14ac:dyDescent="0.3">
      <c r="A26" s="74" t="s">
        <v>125</v>
      </c>
      <c r="B26" s="74" t="s">
        <v>126</v>
      </c>
      <c r="C26" s="76" t="s">
        <v>201</v>
      </c>
      <c r="D26" s="74"/>
      <c r="E26" s="74"/>
      <c r="F26" s="74"/>
      <c r="G26" s="74"/>
      <c r="H26" s="74"/>
      <c r="I26" s="74">
        <v>1</v>
      </c>
      <c r="J26" s="74">
        <v>1</v>
      </c>
      <c r="K26" s="74" t="s">
        <v>54</v>
      </c>
      <c r="L26" s="75">
        <v>0</v>
      </c>
      <c r="M26" s="75">
        <v>0</v>
      </c>
      <c r="N26" s="75" t="s">
        <v>33</v>
      </c>
      <c r="O26" s="75" t="s">
        <v>33</v>
      </c>
      <c r="P26" s="75">
        <v>100</v>
      </c>
      <c r="Q26" s="75">
        <v>0</v>
      </c>
      <c r="R26" s="75">
        <v>0</v>
      </c>
      <c r="S26" s="75">
        <v>1</v>
      </c>
    </row>
    <row r="27" spans="1:19" x14ac:dyDescent="0.25">
      <c r="A27" s="105"/>
      <c r="B27" s="105"/>
      <c r="C27" s="105"/>
      <c r="D27" s="105"/>
      <c r="E27" s="105"/>
      <c r="F27" s="105"/>
      <c r="G27" s="105"/>
      <c r="H27" s="105"/>
      <c r="I27" s="105"/>
      <c r="J27" s="105"/>
      <c r="K27" s="105"/>
      <c r="L27" s="105"/>
      <c r="M27" s="105"/>
      <c r="N27" s="106"/>
      <c r="O27" s="105"/>
      <c r="P27" s="106"/>
      <c r="Q27" s="105"/>
      <c r="R27" s="105"/>
      <c r="S27" s="110">
        <f>SUM(S2:S26)</f>
        <v>32.950000000000003</v>
      </c>
    </row>
  </sheetData>
  <pageMargins left="0.39370078740157483" right="0.39370078740157483" top="0.39370078740157483" bottom="0.39370078740157483" header="0.31496062992125984" footer="0.31496062992125984"/>
  <pageSetup paperSize="9"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0"/>
  <sheetViews>
    <sheetView topLeftCell="A10" zoomScaleNormal="100" workbookViewId="0">
      <selection activeCell="A33" sqref="A33:B40"/>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154</v>
      </c>
      <c r="B2" s="5"/>
    </row>
    <row r="3" spans="1:2" x14ac:dyDescent="0.2">
      <c r="A3" s="4" t="s">
        <v>155</v>
      </c>
      <c r="B3" s="5">
        <v>12500</v>
      </c>
    </row>
    <row r="4" spans="1:2" x14ac:dyDescent="0.2">
      <c r="A4" s="4" t="s">
        <v>156</v>
      </c>
      <c r="B4" s="5">
        <v>7500</v>
      </c>
    </row>
    <row r="5" spans="1:2" x14ac:dyDescent="0.2">
      <c r="A5" s="4" t="s">
        <v>157</v>
      </c>
      <c r="B5" s="5">
        <v>5000</v>
      </c>
    </row>
    <row r="6" spans="1:2" x14ac:dyDescent="0.2">
      <c r="A6" s="4" t="s">
        <v>3</v>
      </c>
      <c r="B6" s="5"/>
    </row>
    <row r="7" spans="1:2" x14ac:dyDescent="0.2">
      <c r="A7" s="4" t="s">
        <v>158</v>
      </c>
      <c r="B7" s="5">
        <v>30.55</v>
      </c>
    </row>
    <row r="8" spans="1:2" x14ac:dyDescent="0.2">
      <c r="A8" s="4" t="s">
        <v>159</v>
      </c>
      <c r="B8" s="5">
        <v>26.91</v>
      </c>
    </row>
    <row r="9" spans="1:2" x14ac:dyDescent="0.2">
      <c r="A9" s="4" t="s">
        <v>160</v>
      </c>
      <c r="B9" s="5"/>
    </row>
    <row r="10" spans="1:2" x14ac:dyDescent="0.2">
      <c r="A10" s="4" t="s">
        <v>161</v>
      </c>
      <c r="B10" s="5">
        <v>9017.26</v>
      </c>
    </row>
    <row r="11" spans="1:2" x14ac:dyDescent="0.2">
      <c r="A11" s="4" t="s">
        <v>162</v>
      </c>
      <c r="B11" s="5"/>
    </row>
    <row r="12" spans="1:2" x14ac:dyDescent="0.2">
      <c r="A12" s="4" t="s">
        <v>163</v>
      </c>
      <c r="B12" s="5">
        <v>1000</v>
      </c>
    </row>
    <row r="13" spans="1:2" x14ac:dyDescent="0.2">
      <c r="A13" s="4" t="s">
        <v>164</v>
      </c>
      <c r="B13" s="5"/>
    </row>
    <row r="14" spans="1:2" x14ac:dyDescent="0.2">
      <c r="A14" s="4" t="s">
        <v>165</v>
      </c>
      <c r="B14" s="5">
        <v>5000</v>
      </c>
    </row>
    <row r="15" spans="1:2" x14ac:dyDescent="0.2">
      <c r="A15" s="4" t="s">
        <v>166</v>
      </c>
      <c r="B15" s="5"/>
    </row>
    <row r="16" spans="1:2" x14ac:dyDescent="0.2">
      <c r="A16" s="4" t="s">
        <v>167</v>
      </c>
      <c r="B16" s="5">
        <v>450</v>
      </c>
    </row>
    <row r="17" spans="1:2" x14ac:dyDescent="0.2">
      <c r="A17" s="4" t="s">
        <v>4</v>
      </c>
      <c r="B17" s="5"/>
    </row>
    <row r="18" spans="1:2" x14ac:dyDescent="0.2">
      <c r="A18" s="4" t="s">
        <v>168</v>
      </c>
      <c r="B18" s="5">
        <v>38500</v>
      </c>
    </row>
    <row r="19" spans="1:2" x14ac:dyDescent="0.2">
      <c r="A19" s="4" t="s">
        <v>5</v>
      </c>
      <c r="B19" s="5"/>
    </row>
    <row r="20" spans="1:2" x14ac:dyDescent="0.2">
      <c r="A20" s="4" t="s">
        <v>169</v>
      </c>
      <c r="B20" s="5">
        <v>24820</v>
      </c>
    </row>
    <row r="21" spans="1:2" x14ac:dyDescent="0.2">
      <c r="A21" s="4" t="s">
        <v>170</v>
      </c>
      <c r="B21" s="5">
        <v>108.12</v>
      </c>
    </row>
    <row r="22" spans="1:2" x14ac:dyDescent="0.2">
      <c r="A22" s="4" t="s">
        <v>171</v>
      </c>
      <c r="B22" s="5"/>
    </row>
    <row r="23" spans="1:2" x14ac:dyDescent="0.2">
      <c r="A23" s="4" t="s">
        <v>170</v>
      </c>
      <c r="B23" s="5">
        <v>634.66999999999996</v>
      </c>
    </row>
    <row r="24" spans="1:2" x14ac:dyDescent="0.2">
      <c r="A24" s="4" t="s">
        <v>158</v>
      </c>
      <c r="B24" s="5">
        <v>671.33</v>
      </c>
    </row>
    <row r="25" spans="1:2" x14ac:dyDescent="0.2">
      <c r="A25" s="4" t="s">
        <v>172</v>
      </c>
      <c r="B25" s="5">
        <v>671.33</v>
      </c>
    </row>
    <row r="26" spans="1:2" x14ac:dyDescent="0.2">
      <c r="A26" s="4" t="s">
        <v>173</v>
      </c>
      <c r="B26" s="5">
        <v>21481.9</v>
      </c>
    </row>
    <row r="27" spans="1:2" x14ac:dyDescent="0.2">
      <c r="A27" s="4" t="s">
        <v>6</v>
      </c>
      <c r="B27" s="5"/>
    </row>
    <row r="28" spans="1:2" x14ac:dyDescent="0.2">
      <c r="A28" s="4" t="s">
        <v>174</v>
      </c>
      <c r="B28" s="5">
        <v>93670</v>
      </c>
    </row>
    <row r="29" spans="1:2" x14ac:dyDescent="0.2">
      <c r="A29" s="4" t="s">
        <v>175</v>
      </c>
      <c r="B29" s="5"/>
    </row>
    <row r="30" spans="1:2" x14ac:dyDescent="0.2">
      <c r="A30" s="4" t="s">
        <v>176</v>
      </c>
      <c r="B30" s="5">
        <v>72500</v>
      </c>
    </row>
    <row r="31" spans="1:2" x14ac:dyDescent="0.2">
      <c r="A31" s="4" t="s">
        <v>177</v>
      </c>
      <c r="B31" s="5">
        <v>34800</v>
      </c>
    </row>
    <row r="32" spans="1:2" x14ac:dyDescent="0.2">
      <c r="A32" s="4" t="s">
        <v>178</v>
      </c>
      <c r="B32" s="5"/>
    </row>
    <row r="33" spans="1:2" x14ac:dyDescent="0.2">
      <c r="A33" s="4" t="s">
        <v>179</v>
      </c>
      <c r="B33" s="5">
        <v>78000</v>
      </c>
    </row>
    <row r="34" spans="1:2" x14ac:dyDescent="0.2">
      <c r="A34" s="4" t="s">
        <v>180</v>
      </c>
      <c r="B34" s="5">
        <v>37440</v>
      </c>
    </row>
    <row r="35" spans="1:2" x14ac:dyDescent="0.2">
      <c r="A35" s="4" t="s">
        <v>172</v>
      </c>
      <c r="B35" s="5">
        <v>669.3</v>
      </c>
    </row>
    <row r="36" spans="1:2" x14ac:dyDescent="0.2">
      <c r="A36" s="4" t="s">
        <v>181</v>
      </c>
      <c r="B36" s="5"/>
    </row>
    <row r="37" spans="1:2" x14ac:dyDescent="0.2">
      <c r="A37" s="4" t="s">
        <v>182</v>
      </c>
      <c r="B37" s="5">
        <v>24000</v>
      </c>
    </row>
    <row r="38" spans="1:2" x14ac:dyDescent="0.2">
      <c r="A38" s="4" t="s">
        <v>183</v>
      </c>
      <c r="B38" s="5"/>
    </row>
    <row r="39" spans="1:2" x14ac:dyDescent="0.2">
      <c r="A39" s="4" t="s">
        <v>184</v>
      </c>
      <c r="B39" s="5">
        <v>20355</v>
      </c>
    </row>
    <row r="40" spans="1:2" x14ac:dyDescent="0.2">
      <c r="A40" s="6" t="s">
        <v>2</v>
      </c>
      <c r="B40" s="7">
        <f>SUM(B3:B39)</f>
        <v>488846.37</v>
      </c>
    </row>
  </sheetData>
  <pageMargins left="0.39370078740157483" right="0.39370078740157483" top="0.74803149606299213" bottom="0.74803149606299213"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3459-1C67-4AFD-BE91-9D6202A42BBC}">
  <dimension ref="A1:B51"/>
  <sheetViews>
    <sheetView topLeftCell="A34" zoomScaleNormal="100" workbookViewId="0">
      <selection activeCell="A57" sqref="A57"/>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226</v>
      </c>
      <c r="B2" s="5"/>
    </row>
    <row r="3" spans="1:2" x14ac:dyDescent="0.2">
      <c r="A3" s="4" t="s">
        <v>227</v>
      </c>
      <c r="B3" s="5">
        <v>5100</v>
      </c>
    </row>
    <row r="4" spans="1:2" x14ac:dyDescent="0.2">
      <c r="A4" s="4" t="s">
        <v>228</v>
      </c>
      <c r="B4" s="5">
        <v>5100</v>
      </c>
    </row>
    <row r="5" spans="1:2" x14ac:dyDescent="0.2">
      <c r="A5" s="4" t="s">
        <v>229</v>
      </c>
      <c r="B5" s="5">
        <v>5100</v>
      </c>
    </row>
    <row r="6" spans="1:2" x14ac:dyDescent="0.2">
      <c r="A6" s="4" t="s">
        <v>230</v>
      </c>
      <c r="B6" s="5">
        <v>5100</v>
      </c>
    </row>
    <row r="7" spans="1:2" x14ac:dyDescent="0.2">
      <c r="A7" s="4" t="s">
        <v>231</v>
      </c>
      <c r="B7" s="5"/>
    </row>
    <row r="8" spans="1:2" x14ac:dyDescent="0.2">
      <c r="A8" s="4" t="s">
        <v>232</v>
      </c>
      <c r="B8" s="5">
        <v>57376</v>
      </c>
    </row>
    <row r="9" spans="1:2" x14ac:dyDescent="0.2">
      <c r="A9" s="4" t="s">
        <v>233</v>
      </c>
      <c r="B9" s="5">
        <v>86.98</v>
      </c>
    </row>
    <row r="10" spans="1:2" x14ac:dyDescent="0.2">
      <c r="A10" s="4" t="s">
        <v>234</v>
      </c>
      <c r="B10" s="5">
        <v>28688</v>
      </c>
    </row>
    <row r="11" spans="1:2" x14ac:dyDescent="0.2">
      <c r="A11" s="4" t="s">
        <v>235</v>
      </c>
      <c r="B11" s="5">
        <v>28688</v>
      </c>
    </row>
    <row r="12" spans="1:2" x14ac:dyDescent="0.2">
      <c r="A12" s="4" t="s">
        <v>236</v>
      </c>
      <c r="B12" s="5"/>
    </row>
    <row r="13" spans="1:2" x14ac:dyDescent="0.2">
      <c r="A13" s="4" t="s">
        <v>237</v>
      </c>
      <c r="B13" s="5">
        <v>5280</v>
      </c>
    </row>
    <row r="14" spans="1:2" x14ac:dyDescent="0.2">
      <c r="A14" s="4" t="s">
        <v>238</v>
      </c>
      <c r="B14" s="5">
        <v>5280</v>
      </c>
    </row>
    <row r="15" spans="1:2" x14ac:dyDescent="0.2">
      <c r="A15" s="4" t="s">
        <v>239</v>
      </c>
      <c r="B15" s="5"/>
    </row>
    <row r="16" spans="1:2" x14ac:dyDescent="0.2">
      <c r="A16" s="4" t="s">
        <v>240</v>
      </c>
      <c r="B16" s="5">
        <v>1069.6199999999999</v>
      </c>
    </row>
    <row r="17" spans="1:2" x14ac:dyDescent="0.2">
      <c r="A17" s="4" t="s">
        <v>241</v>
      </c>
      <c r="B17" s="5">
        <v>2200</v>
      </c>
    </row>
    <row r="18" spans="1:2" x14ac:dyDescent="0.2">
      <c r="A18" s="4" t="s">
        <v>242</v>
      </c>
      <c r="B18" s="5"/>
    </row>
    <row r="19" spans="1:2" x14ac:dyDescent="0.2">
      <c r="A19" s="4" t="s">
        <v>243</v>
      </c>
      <c r="B19" s="5">
        <v>381.04</v>
      </c>
    </row>
    <row r="20" spans="1:2" x14ac:dyDescent="0.2">
      <c r="A20" s="4" t="s">
        <v>244</v>
      </c>
      <c r="B20" s="5"/>
    </row>
    <row r="21" spans="1:2" x14ac:dyDescent="0.2">
      <c r="A21" s="4" t="s">
        <v>245</v>
      </c>
      <c r="B21" s="5">
        <v>387.2</v>
      </c>
    </row>
    <row r="22" spans="1:2" x14ac:dyDescent="0.2">
      <c r="A22" s="4" t="s">
        <v>246</v>
      </c>
      <c r="B22" s="5"/>
    </row>
    <row r="23" spans="1:2" x14ac:dyDescent="0.2">
      <c r="A23" s="4" t="s">
        <v>247</v>
      </c>
      <c r="B23" s="5">
        <v>17600</v>
      </c>
    </row>
    <row r="24" spans="1:2" x14ac:dyDescent="0.2">
      <c r="A24" s="4" t="s">
        <v>171</v>
      </c>
      <c r="B24" s="5"/>
    </row>
    <row r="25" spans="1:2" x14ac:dyDescent="0.2">
      <c r="A25" s="4" t="s">
        <v>248</v>
      </c>
      <c r="B25" s="5">
        <v>19529</v>
      </c>
    </row>
    <row r="26" spans="1:2" x14ac:dyDescent="0.2">
      <c r="A26" s="4" t="s">
        <v>249</v>
      </c>
      <c r="B26" s="5">
        <v>634.66999999999996</v>
      </c>
    </row>
    <row r="27" spans="1:2" x14ac:dyDescent="0.2">
      <c r="A27" s="4" t="s">
        <v>250</v>
      </c>
      <c r="B27" s="5">
        <v>671.33</v>
      </c>
    </row>
    <row r="28" spans="1:2" x14ac:dyDescent="0.2">
      <c r="A28" s="4" t="s">
        <v>251</v>
      </c>
      <c r="B28" s="5">
        <v>634.66999999999996</v>
      </c>
    </row>
    <row r="29" spans="1:2" x14ac:dyDescent="0.2">
      <c r="A29" s="4" t="s">
        <v>252</v>
      </c>
      <c r="B29" s="5">
        <v>671.33</v>
      </c>
    </row>
    <row r="30" spans="1:2" x14ac:dyDescent="0.2">
      <c r="A30" s="4" t="s">
        <v>253</v>
      </c>
      <c r="B30" s="5">
        <v>671.33</v>
      </c>
    </row>
    <row r="31" spans="1:2" x14ac:dyDescent="0.2">
      <c r="A31" s="4" t="s">
        <v>254</v>
      </c>
      <c r="B31" s="5">
        <v>671.33</v>
      </c>
    </row>
    <row r="32" spans="1:2" x14ac:dyDescent="0.2">
      <c r="A32" s="4" t="s">
        <v>255</v>
      </c>
      <c r="B32" s="5">
        <v>598.01</v>
      </c>
    </row>
    <row r="33" spans="1:2" x14ac:dyDescent="0.2">
      <c r="A33" s="4" t="s">
        <v>256</v>
      </c>
      <c r="B33" s="5">
        <v>465.13</v>
      </c>
    </row>
    <row r="34" spans="1:2" x14ac:dyDescent="0.2">
      <c r="A34" s="4" t="s">
        <v>6</v>
      </c>
      <c r="B34" s="5"/>
    </row>
    <row r="35" spans="1:2" x14ac:dyDescent="0.2">
      <c r="A35" s="4" t="s">
        <v>257</v>
      </c>
      <c r="B35" s="5">
        <v>93600</v>
      </c>
    </row>
    <row r="36" spans="1:2" x14ac:dyDescent="0.2">
      <c r="A36" s="4" t="s">
        <v>7</v>
      </c>
      <c r="B36" s="5"/>
    </row>
    <row r="37" spans="1:2" x14ac:dyDescent="0.2">
      <c r="A37" s="4" t="s">
        <v>258</v>
      </c>
      <c r="B37" s="5">
        <v>17500</v>
      </c>
    </row>
    <row r="38" spans="1:2" x14ac:dyDescent="0.2">
      <c r="A38" s="4" t="s">
        <v>175</v>
      </c>
      <c r="B38" s="5"/>
    </row>
    <row r="39" spans="1:2" x14ac:dyDescent="0.2">
      <c r="A39" s="4" t="s">
        <v>259</v>
      </c>
      <c r="B39" s="5">
        <v>7250</v>
      </c>
    </row>
    <row r="40" spans="1:2" x14ac:dyDescent="0.2">
      <c r="A40" s="4" t="s">
        <v>178</v>
      </c>
      <c r="B40" s="5"/>
    </row>
    <row r="41" spans="1:2" x14ac:dyDescent="0.2">
      <c r="A41" s="4" t="s">
        <v>260</v>
      </c>
      <c r="B41" s="5">
        <v>7800</v>
      </c>
    </row>
    <row r="42" spans="1:2" x14ac:dyDescent="0.2">
      <c r="A42" s="4" t="s">
        <v>252</v>
      </c>
      <c r="B42" s="5">
        <v>198.5</v>
      </c>
    </row>
    <row r="43" spans="1:2" x14ac:dyDescent="0.2">
      <c r="A43" s="4" t="s">
        <v>261</v>
      </c>
      <c r="B43" s="5"/>
    </row>
    <row r="44" spans="1:2" x14ac:dyDescent="0.2">
      <c r="A44" s="4" t="s">
        <v>262</v>
      </c>
      <c r="B44" s="5">
        <v>17940</v>
      </c>
    </row>
    <row r="45" spans="1:2" x14ac:dyDescent="0.2">
      <c r="A45" s="4" t="s">
        <v>263</v>
      </c>
      <c r="B45" s="5"/>
    </row>
    <row r="46" spans="1:2" x14ac:dyDescent="0.2">
      <c r="A46" s="4" t="s">
        <v>264</v>
      </c>
      <c r="B46" s="5">
        <v>20000</v>
      </c>
    </row>
    <row r="47" spans="1:2" x14ac:dyDescent="0.2">
      <c r="A47" s="4" t="s">
        <v>183</v>
      </c>
      <c r="B47" s="5"/>
    </row>
    <row r="48" spans="1:2" x14ac:dyDescent="0.2">
      <c r="A48" s="4" t="s">
        <v>265</v>
      </c>
      <c r="B48" s="5">
        <v>17912.400000000001</v>
      </c>
    </row>
    <row r="49" spans="1:2" x14ac:dyDescent="0.2">
      <c r="A49" s="4" t="s">
        <v>266</v>
      </c>
      <c r="B49" s="5"/>
    </row>
    <row r="50" spans="1:2" x14ac:dyDescent="0.2">
      <c r="A50" s="4" t="s">
        <v>267</v>
      </c>
      <c r="B50" s="5">
        <v>31457.7</v>
      </c>
    </row>
    <row r="51" spans="1:2" x14ac:dyDescent="0.2">
      <c r="A51" s="6" t="s">
        <v>2</v>
      </c>
      <c r="B51" s="7">
        <f>SUM(B3:B50)</f>
        <v>405642.24000000005</v>
      </c>
    </row>
  </sheetData>
  <pageMargins left="0.39370078740157483" right="0.39370078740157483" top="0.74803149606299213" bottom="0.74803149606299213" header="0.31496062992125984" footer="0.31496062992125984"/>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E43B-01BA-4FD5-AD27-9910ECB1D62F}">
  <dimension ref="A1:C49"/>
  <sheetViews>
    <sheetView topLeftCell="A45" zoomScaleNormal="100" workbookViewId="0">
      <selection activeCell="B49" sqref="B49"/>
    </sheetView>
  </sheetViews>
  <sheetFormatPr baseColWidth="10" defaultColWidth="11.44140625" defaultRowHeight="14.4" x14ac:dyDescent="0.3"/>
  <cols>
    <col min="1" max="1" width="13.88671875" bestFit="1" customWidth="1"/>
    <col min="2" max="2" width="84" customWidth="1"/>
  </cols>
  <sheetData>
    <row r="1" spans="1:3" ht="15" thickBot="1" x14ac:dyDescent="0.35">
      <c r="A1" s="77" t="s">
        <v>268</v>
      </c>
      <c r="B1" s="77" t="s">
        <v>269</v>
      </c>
      <c r="C1" s="78" t="s">
        <v>1</v>
      </c>
    </row>
    <row r="2" spans="1:3" ht="43.8" thickTop="1" x14ac:dyDescent="0.3">
      <c r="A2" s="81" t="s">
        <v>226</v>
      </c>
      <c r="B2" s="82" t="s">
        <v>270</v>
      </c>
      <c r="C2" s="83">
        <v>5100</v>
      </c>
    </row>
    <row r="3" spans="1:3" ht="43.2" x14ac:dyDescent="0.3">
      <c r="A3" s="84" t="s">
        <v>226</v>
      </c>
      <c r="B3" s="85" t="s">
        <v>271</v>
      </c>
      <c r="C3" s="86">
        <v>5100</v>
      </c>
    </row>
    <row r="4" spans="1:3" x14ac:dyDescent="0.3">
      <c r="A4" s="81" t="s">
        <v>231</v>
      </c>
      <c r="B4" s="82" t="s">
        <v>272</v>
      </c>
      <c r="C4" s="83">
        <v>15.46</v>
      </c>
    </row>
    <row r="5" spans="1:3" x14ac:dyDescent="0.3">
      <c r="A5" s="84" t="s">
        <v>231</v>
      </c>
      <c r="B5" s="85" t="s">
        <v>273</v>
      </c>
      <c r="C5" s="86">
        <v>96.58</v>
      </c>
    </row>
    <row r="6" spans="1:3" x14ac:dyDescent="0.3">
      <c r="A6" s="81" t="s">
        <v>231</v>
      </c>
      <c r="B6" s="82" t="s">
        <v>274</v>
      </c>
      <c r="C6" s="83">
        <v>130.44</v>
      </c>
    </row>
    <row r="7" spans="1:3" ht="43.2" x14ac:dyDescent="0.3">
      <c r="A7" s="84" t="s">
        <v>236</v>
      </c>
      <c r="B7" s="85" t="s">
        <v>275</v>
      </c>
      <c r="C7" s="86">
        <v>6000</v>
      </c>
    </row>
    <row r="8" spans="1:3" ht="43.2" x14ac:dyDescent="0.3">
      <c r="A8" s="81" t="s">
        <v>236</v>
      </c>
      <c r="B8" s="82" t="s">
        <v>276</v>
      </c>
      <c r="C8" s="83">
        <v>6000</v>
      </c>
    </row>
    <row r="9" spans="1:3" ht="86.4" x14ac:dyDescent="0.3">
      <c r="A9" s="84" t="s">
        <v>239</v>
      </c>
      <c r="B9" s="85" t="s">
        <v>277</v>
      </c>
      <c r="C9" s="86">
        <v>3520</v>
      </c>
    </row>
    <row r="10" spans="1:3" ht="86.4" x14ac:dyDescent="0.3">
      <c r="A10" s="81" t="s">
        <v>239</v>
      </c>
      <c r="B10" s="82" t="s">
        <v>278</v>
      </c>
      <c r="C10" s="83">
        <v>4495.41</v>
      </c>
    </row>
    <row r="11" spans="1:3" ht="86.4" x14ac:dyDescent="0.3">
      <c r="A11" s="84" t="s">
        <v>239</v>
      </c>
      <c r="B11" s="85" t="s">
        <v>279</v>
      </c>
      <c r="C11" s="86">
        <v>4840</v>
      </c>
    </row>
    <row r="12" spans="1:3" ht="86.4" x14ac:dyDescent="0.3">
      <c r="A12" s="81" t="s">
        <v>239</v>
      </c>
      <c r="B12" s="82" t="s">
        <v>280</v>
      </c>
      <c r="C12" s="83">
        <v>4840</v>
      </c>
    </row>
    <row r="13" spans="1:3" ht="86.4" x14ac:dyDescent="0.3">
      <c r="A13" s="84" t="s">
        <v>239</v>
      </c>
      <c r="B13" s="85" t="s">
        <v>281</v>
      </c>
      <c r="C13" s="86">
        <v>5672.23</v>
      </c>
    </row>
    <row r="14" spans="1:3" ht="86.4" x14ac:dyDescent="0.3">
      <c r="A14" s="81" t="s">
        <v>239</v>
      </c>
      <c r="B14" s="82" t="s">
        <v>282</v>
      </c>
      <c r="C14" s="83">
        <v>5672.23</v>
      </c>
    </row>
    <row r="15" spans="1:3" ht="86.4" x14ac:dyDescent="0.3">
      <c r="A15" s="84" t="s">
        <v>239</v>
      </c>
      <c r="B15" s="85" t="s">
        <v>283</v>
      </c>
      <c r="C15" s="86">
        <v>6864</v>
      </c>
    </row>
    <row r="16" spans="1:3" x14ac:dyDescent="0.3">
      <c r="A16" s="81" t="s">
        <v>242</v>
      </c>
      <c r="B16" s="82" t="s">
        <v>272</v>
      </c>
      <c r="C16" s="83">
        <v>30.72</v>
      </c>
    </row>
    <row r="17" spans="1:3" x14ac:dyDescent="0.3">
      <c r="A17" s="84" t="s">
        <v>244</v>
      </c>
      <c r="B17" s="85" t="s">
        <v>272</v>
      </c>
      <c r="C17" s="86">
        <v>31.26</v>
      </c>
    </row>
    <row r="18" spans="1:3" ht="28.8" x14ac:dyDescent="0.3">
      <c r="A18" s="81" t="s">
        <v>284</v>
      </c>
      <c r="B18" s="82" t="s">
        <v>285</v>
      </c>
      <c r="C18" s="83">
        <v>8800</v>
      </c>
    </row>
    <row r="19" spans="1:3" x14ac:dyDescent="0.3">
      <c r="A19" s="84" t="s">
        <v>286</v>
      </c>
      <c r="B19" s="85" t="s">
        <v>272</v>
      </c>
      <c r="C19" s="86">
        <v>62.4</v>
      </c>
    </row>
    <row r="20" spans="1:3" ht="28.8" x14ac:dyDescent="0.3">
      <c r="A20" s="81" t="s">
        <v>286</v>
      </c>
      <c r="B20" s="82" t="s">
        <v>287</v>
      </c>
      <c r="C20" s="83">
        <v>774.4</v>
      </c>
    </row>
    <row r="21" spans="1:3" x14ac:dyDescent="0.3">
      <c r="A21" s="84" t="s">
        <v>288</v>
      </c>
      <c r="B21" s="85" t="s">
        <v>272</v>
      </c>
      <c r="C21" s="86">
        <v>62.4</v>
      </c>
    </row>
    <row r="22" spans="1:3" ht="28.8" x14ac:dyDescent="0.3">
      <c r="A22" s="81" t="s">
        <v>288</v>
      </c>
      <c r="B22" s="82" t="s">
        <v>289</v>
      </c>
      <c r="C22" s="83">
        <v>774.4</v>
      </c>
    </row>
    <row r="23" spans="1:3" x14ac:dyDescent="0.3">
      <c r="A23" s="84" t="s">
        <v>290</v>
      </c>
      <c r="B23" s="85" t="s">
        <v>272</v>
      </c>
      <c r="C23" s="86">
        <v>62.4</v>
      </c>
    </row>
    <row r="24" spans="1:3" ht="28.8" x14ac:dyDescent="0.3">
      <c r="A24" s="81" t="s">
        <v>290</v>
      </c>
      <c r="B24" s="82" t="s">
        <v>291</v>
      </c>
      <c r="C24" s="83">
        <v>774.4</v>
      </c>
    </row>
    <row r="25" spans="1:3" x14ac:dyDescent="0.3">
      <c r="A25" s="84" t="s">
        <v>292</v>
      </c>
      <c r="B25" s="85" t="s">
        <v>272</v>
      </c>
      <c r="C25" s="86">
        <v>62.4</v>
      </c>
    </row>
    <row r="26" spans="1:3" ht="28.8" x14ac:dyDescent="0.3">
      <c r="A26" s="81" t="s">
        <v>292</v>
      </c>
      <c r="B26" s="82" t="s">
        <v>293</v>
      </c>
      <c r="C26" s="83">
        <v>774.4</v>
      </c>
    </row>
    <row r="27" spans="1:3" ht="43.2" x14ac:dyDescent="0.3">
      <c r="A27" s="84" t="s">
        <v>294</v>
      </c>
      <c r="B27" s="85" t="s">
        <v>295</v>
      </c>
      <c r="C27" s="86">
        <v>605.44000000000005</v>
      </c>
    </row>
    <row r="28" spans="1:3" ht="28.8" x14ac:dyDescent="0.3">
      <c r="A28" s="81" t="s">
        <v>296</v>
      </c>
      <c r="B28" s="82" t="s">
        <v>297</v>
      </c>
      <c r="C28" s="83">
        <v>1936</v>
      </c>
    </row>
    <row r="29" spans="1:3" ht="28.8" x14ac:dyDescent="0.3">
      <c r="A29" s="84" t="s">
        <v>298</v>
      </c>
      <c r="B29" s="85" t="s">
        <v>299</v>
      </c>
      <c r="C29" s="86">
        <v>23760</v>
      </c>
    </row>
    <row r="30" spans="1:3" x14ac:dyDescent="0.3">
      <c r="A30" s="81" t="s">
        <v>171</v>
      </c>
      <c r="B30" s="82" t="s">
        <v>300</v>
      </c>
      <c r="C30" s="83">
        <v>598.01</v>
      </c>
    </row>
    <row r="31" spans="1:3" x14ac:dyDescent="0.3">
      <c r="A31" s="84" t="s">
        <v>6</v>
      </c>
      <c r="B31" s="85" t="s">
        <v>301</v>
      </c>
      <c r="C31" s="86">
        <v>65295</v>
      </c>
    </row>
    <row r="32" spans="1:3" x14ac:dyDescent="0.3">
      <c r="A32" s="81" t="s">
        <v>175</v>
      </c>
      <c r="B32" s="82" t="s">
        <v>302</v>
      </c>
      <c r="C32" s="83">
        <v>30450</v>
      </c>
    </row>
    <row r="33" spans="1:3" x14ac:dyDescent="0.3">
      <c r="A33" s="84" t="s">
        <v>178</v>
      </c>
      <c r="B33" s="85" t="s">
        <v>303</v>
      </c>
      <c r="C33" s="86">
        <v>32760</v>
      </c>
    </row>
    <row r="34" spans="1:3" ht="43.2" x14ac:dyDescent="0.3">
      <c r="A34" s="81" t="s">
        <v>304</v>
      </c>
      <c r="B34" s="82" t="s">
        <v>305</v>
      </c>
      <c r="C34" s="83">
        <v>18477.8</v>
      </c>
    </row>
    <row r="35" spans="1:3" x14ac:dyDescent="0.3">
      <c r="A35" s="84" t="s">
        <v>261</v>
      </c>
      <c r="B35" s="85" t="s">
        <v>306</v>
      </c>
      <c r="C35" s="86">
        <v>44160</v>
      </c>
    </row>
    <row r="36" spans="1:3" ht="28.8" x14ac:dyDescent="0.3">
      <c r="A36" s="81" t="s">
        <v>263</v>
      </c>
      <c r="B36" s="82" t="s">
        <v>307</v>
      </c>
      <c r="C36" s="83">
        <v>20000</v>
      </c>
    </row>
    <row r="37" spans="1:3" x14ac:dyDescent="0.3">
      <c r="A37" s="84" t="s">
        <v>308</v>
      </c>
      <c r="B37" s="85" t="s">
        <v>309</v>
      </c>
      <c r="C37" s="86">
        <v>10400</v>
      </c>
    </row>
    <row r="38" spans="1:3" x14ac:dyDescent="0.3">
      <c r="A38" s="81" t="s">
        <v>310</v>
      </c>
      <c r="B38" s="82" t="s">
        <v>311</v>
      </c>
      <c r="C38" s="83">
        <v>134338.29999999999</v>
      </c>
    </row>
    <row r="39" spans="1:3" x14ac:dyDescent="0.3">
      <c r="A39" s="84" t="s">
        <v>312</v>
      </c>
      <c r="B39" s="85" t="s">
        <v>313</v>
      </c>
      <c r="C39" s="86">
        <v>23810</v>
      </c>
    </row>
    <row r="40" spans="1:3" x14ac:dyDescent="0.3">
      <c r="A40" s="81" t="s">
        <v>183</v>
      </c>
      <c r="B40" s="82" t="s">
        <v>314</v>
      </c>
      <c r="C40" s="83">
        <v>17912.400000000001</v>
      </c>
    </row>
    <row r="41" spans="1:3" x14ac:dyDescent="0.3">
      <c r="A41" s="84" t="s">
        <v>183</v>
      </c>
      <c r="B41" s="85" t="s">
        <v>315</v>
      </c>
      <c r="C41" s="86">
        <v>26738.799999999999</v>
      </c>
    </row>
    <row r="42" spans="1:3" ht="28.8" x14ac:dyDescent="0.3">
      <c r="A42" s="81" t="s">
        <v>183</v>
      </c>
      <c r="B42" s="82" t="s">
        <v>316</v>
      </c>
      <c r="C42" s="83">
        <v>62563.6</v>
      </c>
    </row>
    <row r="43" spans="1:3" ht="72" x14ac:dyDescent="0.3">
      <c r="A43" s="84" t="s">
        <v>266</v>
      </c>
      <c r="B43" s="85" t="s">
        <v>317</v>
      </c>
      <c r="C43" s="86">
        <v>30579.79</v>
      </c>
    </row>
    <row r="44" spans="1:3" ht="72" x14ac:dyDescent="0.3">
      <c r="A44" s="81" t="s">
        <v>266</v>
      </c>
      <c r="B44" s="82" t="s">
        <v>318</v>
      </c>
      <c r="C44" s="83">
        <v>37527.47</v>
      </c>
    </row>
    <row r="45" spans="1:3" ht="72" x14ac:dyDescent="0.3">
      <c r="A45" s="84" t="s">
        <v>266</v>
      </c>
      <c r="B45" s="85" t="s">
        <v>319</v>
      </c>
      <c r="C45" s="86">
        <v>45654.6</v>
      </c>
    </row>
    <row r="46" spans="1:3" ht="72.599999999999994" thickBot="1" x14ac:dyDescent="0.35">
      <c r="A46" s="81" t="s">
        <v>266</v>
      </c>
      <c r="B46" s="82" t="s">
        <v>320</v>
      </c>
      <c r="C46" s="83">
        <v>65692.210000000006</v>
      </c>
    </row>
    <row r="47" spans="1:3" ht="15" thickTop="1" x14ac:dyDescent="0.3">
      <c r="A47" s="79"/>
      <c r="B47" s="79"/>
      <c r="C47" s="80">
        <v>763814.94999999984</v>
      </c>
    </row>
    <row r="49" spans="2:3" x14ac:dyDescent="0.3">
      <c r="B49" s="107" t="s">
        <v>344</v>
      </c>
      <c r="C49" s="108">
        <f>C47+'Ingresos investigación 2020'!B51+'Ingresos investigación 2019'!B40</f>
        <v>1658303.56</v>
      </c>
    </row>
  </sheetData>
  <pageMargins left="0.39370078740157483" right="0.39370078740157483"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vt:i4>
      </vt:variant>
    </vt:vector>
  </HeadingPairs>
  <TitlesOfParts>
    <vt:vector size="13" baseType="lpstr">
      <vt:lpstr>Cr.20</vt:lpstr>
      <vt:lpstr>Cr.21</vt:lpstr>
      <vt:lpstr>Cr.22</vt:lpstr>
      <vt:lpstr>Cr. 1ª 20</vt:lpstr>
      <vt:lpstr>Cr. 1ª 21</vt:lpstr>
      <vt:lpstr>Cr. 1ª 22</vt:lpstr>
      <vt:lpstr>Tesis</vt:lpstr>
      <vt:lpstr>Sexenios</vt:lpstr>
      <vt:lpstr>Ingresos investigación 2019</vt:lpstr>
      <vt:lpstr>Ingresos investigación 2020</vt:lpstr>
      <vt:lpstr>Ingresos investigación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dcterms:created xsi:type="dcterms:W3CDTF">2019-07-03T07:15:54Z</dcterms:created>
  <dcterms:modified xsi:type="dcterms:W3CDTF">2022-10-19T11:22:36Z</dcterms:modified>
</cp:coreProperties>
</file>