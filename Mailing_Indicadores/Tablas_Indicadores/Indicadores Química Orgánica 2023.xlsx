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958544A8-F46F-45EC-9A35-7A550534FB3C}" xr6:coauthVersionLast="47" xr6:coauthVersionMax="47" xr10:uidLastSave="{00000000-0000-0000-0000-000000000000}"/>
  <bookViews>
    <workbookView xWindow="22932" yWindow="-108" windowWidth="23256" windowHeight="12456" tabRatio="730" xr2:uid="{00000000-000D-0000-FFFF-FFFF00000000}"/>
  </bookViews>
  <sheets>
    <sheet name="Tesis" sheetId="2" r:id="rId1"/>
    <sheet name="Sexenios" sheetId="3" r:id="rId2"/>
    <sheet name="Ingresos investigación 2019" sheetId="5" r:id="rId3"/>
    <sheet name="Ingresos investigación 2020" sheetId="7" r:id="rId4"/>
    <sheet name="Ingresos investigación 2021" sheetId="9" r:id="rId5"/>
    <sheet name="Ingresos formación 2019" sheetId="6" r:id="rId6"/>
    <sheet name="Ingresos formación 2020" sheetId="8" r:id="rId7"/>
    <sheet name="Ingresos formación 2021" sheetId="10" r:id="rId8"/>
  </sheets>
  <definedNames>
    <definedName name="_xlnm._FilterDatabase" localSheetId="1" hidden="1">Sexenios!$A$1:$S$13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7" i="3" l="1"/>
  <c r="S35" i="2" l="1"/>
  <c r="B4" i="10" l="1"/>
  <c r="B55" i="7" l="1"/>
  <c r="B4" i="8"/>
  <c r="B4" i="6" l="1"/>
  <c r="B7" i="10" s="1"/>
  <c r="B43" i="5"/>
  <c r="D38" i="9" s="1"/>
</calcChain>
</file>

<file path=xl/sharedStrings.xml><?xml version="1.0" encoding="utf-8"?>
<sst xmlns="http://schemas.openxmlformats.org/spreadsheetml/2006/main" count="866" uniqueCount="327">
  <si>
    <t>Orgánica
Descripción justificante</t>
  </si>
  <si>
    <t>Importe</t>
  </si>
  <si>
    <t>Total</t>
  </si>
  <si>
    <t>34.00.6C.00.03</t>
  </si>
  <si>
    <t>34.00.6C.00.06</t>
  </si>
  <si>
    <t>34.00.6C.00.12</t>
  </si>
  <si>
    <t>34.00.6P.00.06</t>
  </si>
  <si>
    <t>34.00.6P.00.07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</si>
  <si>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</si>
  <si>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</si>
  <si>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</si>
  <si>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</si>
  <si>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</si>
  <si>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</si>
  <si>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</si>
  <si>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</si>
  <si>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</si>
  <si>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</si>
  <si>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</si>
  <si>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</si>
  <si>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</si>
  <si>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</si>
  <si>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</si>
  <si>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</si>
  <si>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</si>
  <si>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</si>
  <si>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</si>
  <si>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</si>
  <si>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</si>
  <si>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</si>
  <si>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</si>
  <si>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</si>
  <si>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</si>
  <si>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27/09/2019 </t>
  </si>
  <si>
    <t>90</t>
  </si>
  <si>
    <t>29/09/2017 </t>
  </si>
  <si>
    <t>27/07/2018 </t>
  </si>
  <si>
    <t>19/07/2019 </t>
  </si>
  <si>
    <t>12/07/2019 </t>
  </si>
  <si>
    <t>15/12/2016 </t>
  </si>
  <si>
    <t>80</t>
  </si>
  <si>
    <t>60</t>
  </si>
  <si>
    <t>28/02/2019 </t>
  </si>
  <si>
    <t>27/09/2018 </t>
  </si>
  <si>
    <t>U042 </t>
  </si>
  <si>
    <t>ADM. I.U. DE SÍNTESIS ORGÁNICA </t>
  </si>
  <si>
    <t>DOCTORADO EN SÍNTESIS ORGÁNICA </t>
  </si>
  <si>
    <t>74215613H </t>
  </si>
  <si>
    <t>B141 </t>
  </si>
  <si>
    <t>QUÍMICA ORGÁNICA </t>
  </si>
  <si>
    <t>B141</t>
  </si>
  <si>
    <t>10.11</t>
  </si>
  <si>
    <t>16492794T </t>
  </si>
  <si>
    <t>21418250Y </t>
  </si>
  <si>
    <t>45905770R </t>
  </si>
  <si>
    <t>71697007G </t>
  </si>
  <si>
    <t>21484328M </t>
  </si>
  <si>
    <t>21457195N </t>
  </si>
  <si>
    <t>76793623G </t>
  </si>
  <si>
    <t>21462906L </t>
  </si>
  <si>
    <t>52774740K </t>
  </si>
  <si>
    <t>21488564D </t>
  </si>
  <si>
    <t>21482875R </t>
  </si>
  <si>
    <t>Antón Torrecillas, Cintia </t>
  </si>
  <si>
    <t>SÍNTESIS DE FENANTROIZIDINAS QUIRALES BIOACTIVAS Y FENANTRIDINAS CON POTENCIAL FARMACOLÓGICO </t>
  </si>
  <si>
    <t>Flores Ferrándiz, Jesús </t>
  </si>
  <si>
    <t>CHIRAL AMINOCARBAMATES DERIVED FROM TRANS-CYCLOHEXANE-1,2-DIAMINES AS ORGANOCATALYSTS IN CONJUGATE ADDITION REACTIONS </t>
  </si>
  <si>
    <t>Carrera Fernández, Manuel </t>
  </si>
  <si>
    <t>MATERIALES DERIVADOS DE HIDROCARBUROS AROMÁTICOS POLICÍCLICOS INTERCALADOS CON METALES ALCALINOS </t>
  </si>
  <si>
    <t>Gómez Martínez, Melania </t>
  </si>
  <si>
    <t>GRAPHENE-BASED MATERIALS IN METAL-, CARBO-&amp; ORGANOCATALYSIS </t>
  </si>
  <si>
    <t>06/10/2017 </t>
  </si>
  <si>
    <t>65</t>
  </si>
  <si>
    <t>52776404Y </t>
  </si>
  <si>
    <t>González Soria, María José </t>
  </si>
  <si>
    <t>SELECTIVE SYNTHESIS AND REACTIVITY OF INDOLIZINES </t>
  </si>
  <si>
    <t>26/07/2018 </t>
  </si>
  <si>
    <t>Maciá Gil, Edgar </t>
  </si>
  <si>
    <t>SÍNTESIS DIASTEROSELECTIVA DE AMINAS A-FUNCIONALIZADAS A PARTIR DE N-TERC-BUTANOSULFINIL IMINAS </t>
  </si>
  <si>
    <t>Ortega Martínez, Aitor </t>
  </si>
  <si>
    <t>SYNTHESIS OF 3,3-DISUBSTITUTED 2-OXINDOLES BY DEACYLATIVE ALKYLATION AND PHOTOCATALYTIC ALKYLATION OF OLEFINS BY ZINC-SULFINATES </t>
  </si>
  <si>
    <t>12/03/2018 </t>
  </si>
  <si>
    <t>Selva Martínez, Verónica </t>
  </si>
  <si>
    <t>"DIASTEREOSELECTIVE MULTICOMPONENT [3+2] AND [4+2] CYCLOADDITIONS" </t>
  </si>
  <si>
    <t>18/04/2018 </t>
  </si>
  <si>
    <t>Gisbert De Ves, Patricia Paula </t>
  </si>
  <si>
    <t>Lahosa Tortajada, Alejandro </t>
  </si>
  <si>
    <t>DESARROLLO DE NUEVAS METODOLOGÍAS SINTÉTICAS DE SISTEMAS PIPERIDÍNICOS Y QUINOLIZIDÍNICOS A PARTIR DE N-TERC-BUTANOSULFINIL IMINAS </t>
  </si>
  <si>
    <t>Marset Gimeno, Xavier </t>
  </si>
  <si>
    <t>DEEP EUTECTIC SOLVENTS: À LA CARTE SOLVENTS FOR CROSS-COUPLING REACTIONS </t>
  </si>
  <si>
    <t>18/06/2019 </t>
  </si>
  <si>
    <t>Ramírez Hernández, Nieves Pilar </t>
  </si>
  <si>
    <t>VISIBLE LIGHT-PROMOTED TRANSFORMATIONS OF CARBOXYLIC ACIDS USING ORGANIC PHOTOCATALYSTS </t>
  </si>
  <si>
    <t>Ros Ñiguez, Diego </t>
  </si>
  <si>
    <t>DEEP EUTECTIC SOLVENTS: PLATFORM FOR ASYMMETRIC CATALYSIS </t>
  </si>
  <si>
    <t>24/09/2019 </t>
  </si>
  <si>
    <t>Selva Martínez, Elisabet </t>
  </si>
  <si>
    <t>SYNTHESIS OF FATTY ACID DERIVATIVES AND BIOACTIVE HETEROCYCLES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</si>
  <si>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</si>
  <si>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</si>
  <si>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</si>
  <si>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</si>
  <si>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</si>
  <si>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</si>
  <si>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</si>
  <si>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</si>
  <si>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</si>
  <si>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</si>
  <si>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</si>
  <si>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</si>
  <si>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</si>
  <si>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74215613H</t>
  </si>
  <si>
    <t>ALONSO VALDES, FRANCISCO</t>
  </si>
  <si>
    <t>21484328M</t>
  </si>
  <si>
    <t>ALONSO VELASCO, DIEGO ANTONIO</t>
  </si>
  <si>
    <t>21418250Y</t>
  </si>
  <si>
    <t>CHINCHILLA CRUZ, RAFAEL JOSE</t>
  </si>
  <si>
    <t>71697007G</t>
  </si>
  <si>
    <t>FOUBELO GARCIA, FRANCISCO</t>
  </si>
  <si>
    <t>21425525J</t>
  </si>
  <si>
    <t>GOMEZ LUCAS, MARIA CECILIA</t>
  </si>
  <si>
    <t>45905770R</t>
  </si>
  <si>
    <t>GONZALEZ GOMEZ, JOSE CARLOS</t>
  </si>
  <si>
    <t>21471279C</t>
  </si>
  <si>
    <t>GUIJARRO ESPI, DAVID</t>
  </si>
  <si>
    <t>21482875R</t>
  </si>
  <si>
    <t>GUIJARRO PASTOR, ALBERT</t>
  </si>
  <si>
    <t>21488564D</t>
  </si>
  <si>
    <t>GUILLENA TOWNLEY, GABRIELA</t>
  </si>
  <si>
    <t>52774740K</t>
  </si>
  <si>
    <t>PASTOR BEVIA, ISIDRO MANUEL</t>
  </si>
  <si>
    <t>21457195N</t>
  </si>
  <si>
    <t>RAMON DANGLA, DIEGO JOSE</t>
  </si>
  <si>
    <t>21462906L</t>
  </si>
  <si>
    <t>SANSANO GIL, JOSE MIGUEL</t>
  </si>
  <si>
    <t>Regalías por transferencia de tecnología</t>
  </si>
  <si>
    <t>PROYECTO I+D "FLOW CHEMISTRY AROMA-CHEMICAL PRODUCTION" MES DE ABRIL DE 2019</t>
  </si>
  <si>
    <t>PROYECTO I+D "FLOW CHEMISTRY AROMA-CHEMICAL PRODUCTION" MES DE AGOSTO DE 2019</t>
  </si>
  <si>
    <t>PROYECTO I+D "FLOW CHEMISTRY AROMA-CHEMICAL PRODUCTION" MES DE JULIO DE 2019</t>
  </si>
  <si>
    <t>PROYECTO I+D "FLOW CHEMISTRY AROMA-CHEMICAL PRODUCTION" MES DE JUNIO DE 2019</t>
  </si>
  <si>
    <t>PROYECTO I+D "FLOW CHEMISTRY AROMA-CHEMICAL PRODUCTION" MES DE MAYO DE 2019</t>
  </si>
  <si>
    <t xml:space="preserve">PROYECTO I+D "FLOW CHEMISTRY AROMA-CHEMICAL PRODUCTION" MES DE NOVIEMBRE DE 2019 </t>
  </si>
  <si>
    <t>PROYECTO I+D "FLOW CHEMISTRY AROMA-CHEMICAL PRODUCTION" MES DE OCTUBRE DE 2019</t>
  </si>
  <si>
    <t>PROYECTO I+D "FLOW CHEMISTRY AROMA-CHEMICAL PRODUCTION" MES DE SEPTIEMBRE DE 2019Ref. de contrato TAKASAGO1- 18D</t>
  </si>
  <si>
    <t>PROYECTO I+D "FLOW-CHEMISTRY AROMA-CHEMICAL PRODUCTION" Ref. de contrato TAKASAGO1-17D</t>
  </si>
  <si>
    <t>PROYECTO I+D "FLOW-CHEMISTRY AROMA-CHEMICAL PRODUCTION" TAKASAGO1-18ID</t>
  </si>
  <si>
    <t>PROYECTO I+D "FLOW-CHEMISTRY AROMA-CHEMICAL PRODUCTION". MES DE FEBRERO DE 2019</t>
  </si>
  <si>
    <t>PROYECTO I+D "FLOW-CHEMISTRY AROMA-CHEMICAL PRODUCTION". MES DE MARZO DE 2019</t>
  </si>
  <si>
    <t>PROYECTO I+D: "FLOW CHEMISTRY AROMA-CHEMICAL PRODUCTION" MES DE DICIEMBRE 2019</t>
  </si>
  <si>
    <t>Descripción y características del encargo solicitado a la Universidad de Alicante: "I+D: Cualificación de equipos de análisis para validación de métodos"</t>
  </si>
  <si>
    <t>34.00.6C.00.14</t>
  </si>
  <si>
    <t>REALIZACIÓN DEL SERVICIO DE EVALUACIÓN DEL PROYECTO DE INVESTIGACIÓN Y DESARROLLO EN NUEVO FÁRMACO PARA REGENERACIÓN DE MUCOSAS BUCALES. ACIE19-18TPA</t>
  </si>
  <si>
    <t>34.00.6C.00.15</t>
  </si>
  <si>
    <t>REALIZACIÓN DEL SERVICIO DE EVALUACIÓN DEL PROYECTO "NUEVO ADHESIVO HIDROFOBICO PARA HERIDAS DE ALTO RIESGO". Acrónimo: AOPERCAT11 Expediente: 939.005.18 Tipo colaboración: Experto técnico Nombre experto: Diego Alonso Velasco</t>
  </si>
  <si>
    <t>34.00.6C.00.16</t>
  </si>
  <si>
    <t>REALIZACIÓN DEL SERVICIO DE TOMA DE DECISIÓN SOBRE LA CERTIFICACIÓN DEL PROYECTO "INVESTIGACIÓN Y DESARROLLO EN NUEVO FÁRMACO PARA REGENERACIÓN DE MUCOSAS BUCALES". Acrónimo: REGENMUC17 Expediente: 2614.002.18 Tipo colaboración: Especialista del Comité de Certificación Nombre especialista: Diego Alonso Velasco</t>
  </si>
  <si>
    <t>34.00.6C.00.17</t>
  </si>
  <si>
    <t>Realización del servicio de "Desarrollo de un nuevo material compuesto con núcleo de foil de aluminio recubierto de laca BPA-NIA termosellable a baja temperatura destinado a productos para el contacto alimentario". Acrónimo: ALUTERMO18 Expediente: 1126.003.19 Tipo Colaboración: Experto técnico de contenido y 1ª Ejecución sin ex-ante Nombre experto: Diego Alonso Velasco</t>
  </si>
  <si>
    <t>34.00.6C.00.18</t>
  </si>
  <si>
    <t>Preparación de 5 gramos del pigmento Y-138 del contrato de Asesoramiento y asistencia técnica en desarrollo, síntesis y caracterización de pigmentos orgánicos</t>
  </si>
  <si>
    <t>34.00.6C.00.19</t>
  </si>
  <si>
    <t>Realización del servicio de evaluación del proyecto "Adhesivos de cianoacrilato de altas prestaciones". Nº de Exp.: 2358.001.19 Tipo colaboración: Experto técnico en el proceso de evaluación Nombre del Experto: Diego Alonso Velasco</t>
  </si>
  <si>
    <t>34.00.6C.00.20</t>
  </si>
  <si>
    <t>Realización del servicio de toma de decisión sobre la certificación del proyecto "Diseño y desarrollo de un nuevo insecticida veterinario de alta eficiencia contra resistencias crecientes" Nº Exp.: 2725.001.19 Tipo de colaboración: Servicio técnico de certificación del proyecto</t>
  </si>
  <si>
    <t>34.00.6C.00.21</t>
  </si>
  <si>
    <t>Realización del servicio de "Toma de decisión sobre la certificación de la actividad de I+D+I del personal investigador según lo establecido en el Real Decreto 475/2014, de 13 de junio, sobre bonificaciones en la cotización a la Seguridad Social del personal investigador". Expediente: 2509.003.19 Tipo colaboración: Experto técnico en el proceso de evaluación. Nombre experto: Diego Alonso Velasco</t>
  </si>
  <si>
    <t>34.00.6C.00.22</t>
  </si>
  <si>
    <t>REALIZACIÓN POR PARTE DEL EXPERTO DEL SERVICIO DE EVALUACIÓN DEL "PROYECTO DE UN NUEVO ESTROPAJO CON CAPACIDAD ABRASIVA VARIABLE DEPENDIENDO DE LA PRESIÓN APLICADA" Nº Exp.: 804.006.19 Tipo de colaboración: Servicio Técnico de evaluación del proyecto Nomre del experto: Diego Alonso Velasco</t>
  </si>
  <si>
    <t>LIBERADOS EL 16/05/2019, ANUALIDAD 2019 PROYECTOS I+D (PIA 1) N EXPEDIENTE: PIA12016-1-4 ANUALIDAD REFERENCIA: CTQ2016-76782-P. REF. DEL ORDENANTE PARA EL BENEFICIARIO: 27402219310018720.</t>
  </si>
  <si>
    <t>REINTEGRO CUOTA PATRONAL CORRESPONDIENTE AL MES DE DICIEMBRE DE 2019</t>
  </si>
  <si>
    <t>FLIB 7/1019. PROYECTOS PGC 2017. ANUAL 2019 PROYECTOS I+D RETOS (PIA1) N EXPEDIENTE: PIA 12017-1 - 2 ANUALIDAD REFERENCIA: CTQ2017-85093-P REFERENCIA DEL ORDENANTE PARA EL BENEFICIARIO: 27402219310029415</t>
  </si>
  <si>
    <t>34.00.2E.00.02</t>
  </si>
  <si>
    <t>Reintegro Cuota Patronal por IT del mes de febrero 2019</t>
  </si>
  <si>
    <t>30/07/2020 </t>
  </si>
  <si>
    <t>Síntesis de 2-oxindoles 3,3-disustituidos por alquilación desacilativa </t>
  </si>
  <si>
    <t>Molina Molina, Cynthia </t>
  </si>
  <si>
    <t>15/06/2020 </t>
  </si>
  <si>
    <t>Azomethine Ylides for the Synthesis of Antibiotics, Enantioselective Prolinates and a Graphene-supported Catalyst </t>
  </si>
  <si>
    <t>Ferrandiz Saperas, Marcos </t>
  </si>
  <si>
    <t>22/07/2020 </t>
  </si>
  <si>
    <t>Salicylic Acid-Catalyzed Radical Arylations from In-situ Formed Arenediazonium Salts </t>
  </si>
  <si>
    <t>Felipe Blanco, Diego </t>
  </si>
  <si>
    <t>28/09/2020 </t>
  </si>
  <si>
    <t>TOWARDS SUSTAINABILITY IN ORGANIC TRANSFORMATIONS CATALYSED BY 1,3-BIS(CARBOXYMETHYL)IMIDAZOLE-BASED SYSTEMS </t>
  </si>
  <si>
    <t>Albert Soriano, María </t>
  </si>
  <si>
    <t>Functionalized imidazolium salts as components in catalytic systems </t>
  </si>
  <si>
    <t>COD DEP</t>
  </si>
  <si>
    <t>vivos</t>
  </si>
  <si>
    <t>Martín García, María Iris </t>
  </si>
  <si>
    <t>NEW ADVENTURES IN SUPPORTED COPPER NANOPARTICLES </t>
  </si>
  <si>
    <t>30/11/2020 </t>
  </si>
  <si>
    <t>U022 </t>
  </si>
  <si>
    <t>ADM. FACULTAD DE CIENCIAS </t>
  </si>
  <si>
    <t>DOCTORADO EN CIENCIAS EXPERIMENTALES Y BIOSANITARIAS </t>
  </si>
  <si>
    <t>Lledó García, David </t>
  </si>
  <si>
    <t>APPLICATIONS OF IONIC LIQUIDS IN CATALYSIS AND METAL EXTRACTION </t>
  </si>
  <si>
    <t>19/02/2021 </t>
  </si>
  <si>
    <t>Chabour , Ihssene </t>
  </si>
  <si>
    <t>1,3-Dipolar cycloadditions using catalysts with double chirality and novel multicomponent [4+2] processes. </t>
  </si>
  <si>
    <t>08/02/2021 </t>
  </si>
  <si>
    <t>Saavedra Guillem, Beatriz </t>
  </si>
  <si>
    <t>New strategies for C-C, C-O and C-S bond formation in Deep Eutectic Solvents </t>
  </si>
  <si>
    <t>18/06/2021 </t>
  </si>
  <si>
    <t>Moreno Cabrerizo, Cristina </t>
  </si>
  <si>
    <t>Useful strategies for the synthesis of 3,3' - disubstitued 2-oxindoles and homoallyl alcohols </t>
  </si>
  <si>
    <t>18/03/2021 </t>
  </si>
  <si>
    <t>Sirvent Verdú, Ana </t>
  </si>
  <si>
    <t>Synthesis of nitrogen containing heterocycles and polyfunctionalized compounds from N-tert-butanesulfinyl alkyl, alkenyl and homopropargyl amine derivatives </t>
  </si>
  <si>
    <t>24/09/2021 </t>
  </si>
  <si>
    <t>MEDALCHEMY(EBT)1-12O. REGALÍAS POR TRANSFERENCIA DE TECNOLOGÍA 2019.</t>
  </si>
  <si>
    <t>PROYECTO I+D "FLOW CHEMISTRY FOR AROMA-CHEMICAL PRODUCTION" MES DE AGOSTO 2020</t>
  </si>
  <si>
    <t>PROYECTO I+D "FLOW CHEMISTRY FOR AROMA-CHEMICAL PRODUCTION" MES DE JULIO 2020</t>
  </si>
  <si>
    <t>PROYECTO I+D "FLOW CHEMISTRY FOR AROMA-CHEMICAL PRODUCTION" MES DE JUNIO 2020</t>
  </si>
  <si>
    <t>PROYECTO I+D "FLOW CHEMISTRY FOR AROMA-CHEMICAL PRODUCTION" MES DE NOVIEMBRE 2020.</t>
  </si>
  <si>
    <t>PROYECTO I+D "FLOW CHEMISTRY FOR AROMA-CHEMICAL PRODUCTION" MES DE OCTUBRE 2020.</t>
  </si>
  <si>
    <t>PROYECTO I+D "FLOW CHEMISTRY FOR AROMA-CHEMICAL PRODUCTION" MES DE SEPTIEMBRE 2020</t>
  </si>
  <si>
    <t>PROYECTO I+D: "FLOW CHEMISTRY AROMA-CHEMICAL PRODUCTION" MES DE ENERO 2020</t>
  </si>
  <si>
    <t>PROYECTO I+D: "FLOW CHEMISTRY AROMA-CHEMICAL PRODUCTION" MES DE FEBRERO 2020</t>
  </si>
  <si>
    <t>PROYECTO I+D: "FLOW CHEMISTRY FOR AROMA-CHEMICAL PRODUCTION" MES 3  Takasago1-19D</t>
  </si>
  <si>
    <t>PROYECTO I+D: "FLOW CHEMISTRY FOR AROMA-CHEMICAL PRODUCTION". MES DE ABRIL DE 2020</t>
  </si>
  <si>
    <t>PROYECTO I+D: Flow-chemistry for aroma-chemical production. MES DE DICIEMBRE 2020</t>
  </si>
  <si>
    <t>Referencia de contrato Takasago1-19D</t>
  </si>
  <si>
    <t>REINTEGRO CUOTA PATRONAL CORRESPONDIENTE A DICIEMBRE DE 2020.</t>
  </si>
  <si>
    <t>34.00.6C.00.23</t>
  </si>
  <si>
    <t>Ref.: ACIE23-19TPA Acrónimo: EDOXABAN18 Tipo de colaboración: Servicio Técnico de evaluación del Proyecto Nombre del Experto: Diego Alonso Velasco</t>
  </si>
  <si>
    <t>34.00.6C.00.24</t>
  </si>
  <si>
    <t xml:space="preserve">REALIZACIÓN POR PARTE DEL EXPERTO DEL SERVICIO DE EVALUACIÓN DEL PROYECTO "NUEVO ADHESIVO HIDROFÓBICO PARA HERIDAS DE ALTO RIESGO". Nº Exp.: 939.005.19 Ref.: ACIE24-19TPA Acrónimo: AOPERCATII Tipo de colaboración: Servicio Técnico de evaluación del Proyecto Nombre del Experto: Diego Alonso Velasco </t>
  </si>
  <si>
    <t>34.00.6C.00.25</t>
  </si>
  <si>
    <t>REF: GREENE1-20TPA. TITULO: TRATAMIENTO, ENSAYOS Y ASESORAMIENTO SOBRE EL MATERIAL (GW1912-01)SUMINISTRADO POR LA EMPRESA.</t>
  </si>
  <si>
    <t>34.00.6C.00.26</t>
  </si>
  <si>
    <t>Realización por parte del Exp. T. del servicio de Evaluación del Proyecto DESARROLLO DE UN NUEVO ESTROPAJO CON CAPACIDAD ABRASIVA VARIABLE DE LA PRESIÓN APLICADA. Nº Exp.: 804.006.20 Tipo de colaboración: Servicio Técnico de certificación del proyecto. Nombre del Experto: Diego Alonso Velasco</t>
  </si>
  <si>
    <t>34.00.6C.00.27</t>
  </si>
  <si>
    <t xml:space="preserve">Realización por parte del Exp. T. del servicio de Evaluación del Proyecto DESARROLLO DE UN ADHESIVO PARA SISTEMAS DE CANALIZACIÓN TERMOPLÁSTICO CON TECNOLOGÍAS MÁS SOSTENIBLES. Nº Exp.: 2256.003.20 Tipo de colaboración: Servicio Técnico de certificación del proyecto. Nombre del Experto: Diego Alonso Velasco </t>
  </si>
  <si>
    <t>34.00.6C.00.28</t>
  </si>
  <si>
    <t xml:space="preserve">Realización por parte del Exp. T. del servicio de Evaluación del Proyecto DESARROLLO DE UNA NUEVA TECNOLOGÍA PARA LA PRODUCCIÓN SOSTENIBLE DE PEROXIDO DE HIDRÓGENO. Nº Exp.: 135.023.20 Tipo de colaboración: Servicio Técnico de certificación del proyecto. Nombre del Experto: Diego Alonso Velasco </t>
  </si>
  <si>
    <t>34.00.6C.00.29</t>
  </si>
  <si>
    <t xml:space="preserve">CONTRATO INDIVIDUAL CON ESPECIALISTA DEL COMITÉ DE CERTIFICACIÓN DEL PERSONAL INVESTIGADOR. Nº Exp.: 1929.002.20 Tipo de colaboración: Servicio Técnico de certificación del proyecto. Nombre del Experto: Diego Alonso Velasco </t>
  </si>
  <si>
    <t>34.00.6C.00.30</t>
  </si>
  <si>
    <t xml:space="preserve">CONTRATO INDIVIDUAL CON ESPECIALISTA DEL COMITÉ DE CERTIFICACIÓN DEL PERSONAL INVESTIGADOR. Nº Exp.: 941.019.20 Tipo de colaboración: Servicio Técnico de certificación del proyecto. Nombre del Experto: Diego Alonso Velasco </t>
  </si>
  <si>
    <t>34.00.6C.00.31</t>
  </si>
  <si>
    <t>NUEVO ADHESIVO HIDROFÓBICO PARA HERIDAS DE ALTO RIESGO. EXPTE.: 939.005.20. PROFESOR ASIGNADO: DIEGO A. ALONSO VELASCO. REF.INTERNA UNIV.ALICANTE: ACIE38-20TPA.</t>
  </si>
  <si>
    <t>34.00.6C.00.32</t>
  </si>
  <si>
    <t>INVESTIGACIÓN PARA OBTENCIÓN DE ALQUILBENCENO LINEAL CON SISTEMA CATALÍTICO ULTRAESTABLE. EXPTE:1292.019.20 (REF.INTERNA UA:ACIE39-20TPA)</t>
  </si>
  <si>
    <t>34.00.6C.00.33</t>
  </si>
  <si>
    <t xml:space="preserve">INVESTIGACIÓN Y DESARROLLO EN NUEVO FARMACO PARA REGENERACIÓN DE MUCOSAS BUCALES. EXPTE. 2614.002.19 </t>
  </si>
  <si>
    <t>34.00.6C.00.34</t>
  </si>
  <si>
    <t>DESARROLLO DE NUEVOS PRODUCTOS PARA EL TRATAMIENTO DE LA MADERA RECIÉN ASERRADA. EXPTE: 2725.002.20d</t>
  </si>
  <si>
    <t>34.00.6C.00.35</t>
  </si>
  <si>
    <t>REALIZACIÓN DEL SERVICIO DE TOMA DE DECISIÓN SOBRE LA CERTIFICACIÓN DE LA ACTIVIDAD DE I+D+i DEL PERSONAL INVESTIGADOR SEGÚN RD 475/2014, DE 13 DE JUNIO, SOBRE BONIFICACIONES A LA SEGURIDAD SOCIAL DEL PERSONAL INVESTIGADOR. EXPTE.: 2954.001.20</t>
  </si>
  <si>
    <t>34.00.6C.00.36</t>
  </si>
  <si>
    <t>DESARROLLO DE NUEVOS PRODUCTOS PARA EL TRATAMIENTO DE LA MADERA RECIÉN ASERRADA. EXPTE.: 2725.002.20</t>
  </si>
  <si>
    <t>34.00.6C.00.37</t>
  </si>
  <si>
    <t>ADHESIVOS DE CIANOACRILATO DE ALTAS PRESTACIONES. EXPTE.: 2358.001.20. REFERENCIA INTERNA UNIV. ALICANTE :ACIE44-20TPA. PROFESOR  ASIGNADO: DIEGO A. ALONSO VELASCO.</t>
  </si>
  <si>
    <t>34.00.6C.00.38</t>
  </si>
  <si>
    <t>DESARROLLO DE NOVEDOSA FORMULACION APLICABLE EN MASCARILLAS. EXPTE. 3114.004.20. PROFESOR ASIGNADO: DIEGO A. ALONSO VELASCO</t>
  </si>
  <si>
    <t>34.00.6C.00.39</t>
  </si>
  <si>
    <t>INVESTIGACIÓN Y DESARROLLO FORMULATIVO PARA LA OBTENCIÓN DE MONO-ÉSTER DE PROPILENGLICOL DE ALTA PUREZA. EXPTE.: 2818.006.20. PROFESOR ASIGNADO: DIEGO A. ALONSO VELASCO. REF. INTERNA DE LA UNIV. DE ALICANTE: ACIE46-20TPA.</t>
  </si>
  <si>
    <t>34.00.6H.00.03</t>
  </si>
  <si>
    <t>APOTI 2020 (RESOL 30/05/2020)PROYECTO DE TRANSFERENCIA TECNOLÓGICA (INNOVACIÓN,UNIVERSIDADES,CIENCIA SOC.DIG)</t>
  </si>
  <si>
    <t>No existen ingresos de formación en 2020</t>
  </si>
  <si>
    <t>Unidad</t>
  </si>
  <si>
    <t>Cód. org. aplic.</t>
  </si>
  <si>
    <t>Descripción justificante</t>
  </si>
  <si>
    <t>34.00</t>
  </si>
  <si>
    <t>REGALÍAS POR TRANSF. DE TECNOLOGÍA 2020. (REGALÍAS 2020:15.670,63-3.000 REDUCCIÓN POR CONTRATACIÓN EGRESADOS UA 2020).REF.CONTRATO:MEDALCHEMY(EBT)1-12O.</t>
  </si>
  <si>
    <t>PROYECTO I+D "FLOW-CHEMISTRY FOR AROMA-CHEMICAL PRODUCTION". MES DE JULIO DE 2021</t>
  </si>
  <si>
    <t>PROYECTO I+D: "Flow-chemistry for aroma-chemical production"</t>
  </si>
  <si>
    <t>PROYECTO I+D "FLOW-CHEMISTRY FOR AROMA-CHEMICAL PRODUCTION". MES DE AGOSTO DE 2021</t>
  </si>
  <si>
    <t>PROYECTO I+D "FLOW-CHEMISTRY FOR AROMA-CHEMICAL PRODUCTION" MES DE MAYO DE 2021</t>
  </si>
  <si>
    <t>PROYECTO I+D: "Flow-chemistry for aroma-chemical production".</t>
  </si>
  <si>
    <t>PROYECTO I+D "FLOW-CHEMISTRY FOR AROMA-CHEMICAL PRODUCTION".</t>
  </si>
  <si>
    <t>PROYECTO I+D "FLOW-CHEMISTRY FOR AROMA-CHEMICAL PRODUCTION" MES DE MARZO DE 2021</t>
  </si>
  <si>
    <t>PROYECTO I+D "FLOW-CHEMISTRY FOR AROMA-CHEMICAL PRODUCTION" MES DE FEBRERO DE 2021</t>
  </si>
  <si>
    <t>PROYECTO I+D "FLOW-CHEMISTRY FOR AROMA-CHEMICAL PRODUCTION" MES DE ENERO DE 2021</t>
  </si>
  <si>
    <t>"FLOW-CHEMISTRY FOR AROMA-CHEMICAL PRODUCTION". MES DE JUNIO 2021.</t>
  </si>
  <si>
    <t>PROYECTO I+D "FLOW-CHEMISTRY FOR AROMA-CHEMICAL PRODUCTION" MES DE ABRIL DE 2021</t>
  </si>
  <si>
    <t>PROYECTO I+D "FLOW-CHEMISTRY FOR AROMA-CHEMICAL PRODUCTION". Noviembre Ref. de contrato TAKASAGO1-21ID</t>
  </si>
  <si>
    <t>REFERENCIA INTERNA: MEDALCHEMY1-18T. HOJA DE ENCARGO AUTORIZADA: 15/10/2021. "ASESORAMIENTO EN EXTRACCIÓN DE PRODUCTOS MEDICINALES". Prof. Dr. José Miguel Sansano Gil.</t>
  </si>
  <si>
    <t>HOJA ENCARGO "ASESORAMIENTO EXTRACCIÓN DE PRODUCTOS MEDICINALES". AUTORIZACIÓN POR UA 29/06/2021. REFERENCIA CONTRATO: MEDALCHEMY1-18T. IP: JM SANSANO.</t>
  </si>
  <si>
    <t>REFERENCIA UA: ITACA 1-20TD. SEGÚN HOJA ENCARGO (11/12/2019) PARA LA PREPARACIÓN DE 10 G Y CARACTERIZACIÓN DEL PIGMENTO AZUL 15:3 (B-PTHCCU)</t>
  </si>
  <si>
    <t>34.00.6C.00.40</t>
  </si>
  <si>
    <t>REF.: ACIE47-20TPA. EXPEDIENTE: 3114.004.20. DESARROLLO DE NOVEDOSA FORMULACIÓN APLICABLE EN MASCARILLAS. IP: DIEGO A. ALONSO VELASCO. 34006C0040. EDICIÓN 12.</t>
  </si>
  <si>
    <t>34.00.6C.00.41</t>
  </si>
  <si>
    <t>REF.: ACIE48-20TPA. EXPEDIENTE: 2614.002.20. INVESTIGACIÓN Y DESARROLLO EN NUEVO FÁRMACO PARA REGENERACIÓN DE MUCOSAS BUCALES. IP: DIEGO A. ALONSO VELASCO. ORGÁNICA 34006C0041.</t>
  </si>
  <si>
    <t>34.00.6C.00.42</t>
  </si>
  <si>
    <t>REFERENCIA: MEDALCHEMY1-19Y. PRIMERA APORTACIÓN SEGÚN CONVENIO COLABORACIÓN. AYUDAS PARA CONTRATOS PREDOCTORALES COFINANCIADO ENTRE MEDALCHEMY,S.L. Y LA UNIVERSIDAD DE ALICANTE.</t>
  </si>
  <si>
    <t xml:space="preserve">REF: MEDALCHEMY1-19Y. SEGUNDA APORTACIÓN CONVENIO DE COLABORACIÓN ENTRE MEDALCHEMY, S.L. Y LA UA. "SÍNTESIS DE ÁCIDOS GRASOS FUNCIONALIZADOS Y LÍPIDOS FENÓLICOS". COFINANCIACIÓN CONTRATO LABORAL PREDOCTORAL A TIEMPO COMPLETO. </t>
  </si>
  <si>
    <t>34.00.6C.00.43</t>
  </si>
  <si>
    <t>REF.: ACIE1-21TPA. EXPEDIENTE: 1898.005.20. DESARROLLO DE UN NUEVO PROCESO DE PRODUCCIÓN  DE MEDIOS DE CONTRASTE MACROCÍCLICOS. IP: DIEGO A. ALONSO VELASCO.</t>
  </si>
  <si>
    <t>34.00.6C.00.44</t>
  </si>
  <si>
    <t>GREENE1-21TPA. TRATAMIENTO, ENSAYOS Y ASESORAMIENTO SOBRE EL MATERIAL (GW2102-01) SUMINISTRADO POR LA EMPRESA. IP:ISIDRO PASTOR BEVIÁ.</t>
  </si>
  <si>
    <t>34.00.6C.00.45</t>
  </si>
  <si>
    <t>ACIE11-21TPA. EXPEDIENTE: 941.021.21. NÚMERO PEDIDO: P000050018. REALIZACIÓN SERVICIO TOMA DE DECISIÓN S/LA CERTIF. DE LA ACTIVIDAD I+D+i DEL PERSONAL INVESTIGADOR SEGÚN LO ESTABLECIDO EN EL RD 475/2014, DE 13 JUNIO, S/BONIFIC. EN LA COTIZACION A LA SEGURIDAD SOCIAL. REALIZADO POR DIEGO A. ALONSO VELASCO.</t>
  </si>
  <si>
    <t>34.00.6C.00.46</t>
  </si>
  <si>
    <t>ACIE12-21TPA. EXPEDIENTE: 1292.019.21. Nº PEDIDO: P000050018. REALIZACIÓN DEL SERVICIO DE EVALUACIÓN DEL PROYECTO "INVESTIGACIÓN PARA OBTENCIÓN DE ALQUIBENCENO LINEAL CON SISTEMA CATALÍTICO ULTRAESTABLE". REALIZADO POR DIEGO A. ALONSO VELASCO</t>
  </si>
  <si>
    <t>34.00.6C.00.47</t>
  </si>
  <si>
    <t>ACIE13-21TPA. EXPEDIENTE:2256.003.21. NºPEDIDO: P000050018. REALIZACIÓN DEL SERVICIO DE EVALUACIÓN DEL PROYECTO "DESARROLLO DE ADHESIVOS PARA SISTEMAS DE CANALIZACIÓN TERMOPLÁSTICO CON TECNOLOGÍAS MÁS SOSTENIBLES". REALIZADO POR: DIEGO A. ALONSO VELASCO.</t>
  </si>
  <si>
    <t>34.00.6C.00.48</t>
  </si>
  <si>
    <t xml:space="preserve">REFERENCIA INTERNA:ACIE14-21TPA. EXPTE.:804.006.21. Nº pedido: P000050018. SERVICIO DE EVALUACIÓN DEL PROYECTO "DESARROLLO DE UN NUEVO ESTROPAJO CON CAPACIDAD ABRASIVA VARIABLE DEPENDIENDO DE LA PRESIÓN APLICADA. Prof. Dr. Diego A. Alonso Velasco. </t>
  </si>
  <si>
    <t>34.00.6C.00.50</t>
  </si>
  <si>
    <t xml:space="preserve">NÚMERO DE PEDIDO: P000050018. REF.:ACIE15-21TPA. EXPEDIENTE Nº:939.005.21. NUEVO ADHESIVO HIDROFOBICO PARA HERIDAS DE ALTO RIESGO. PROF.DR. DIEGO A.ALONSO VELASCO. </t>
  </si>
  <si>
    <t>34.00.6C.00.51</t>
  </si>
  <si>
    <t>NÚMERO DE PEDIDO: P000050018. REF.: ACIE16-21TPA. EXPEDIENTE Nº:1424.018.21. ESTUDIO DE DIFERENTES MODIFICANTES EN ARCILLAS PARA NUEVOS USOS. (Prof. Dr. Diego A.A.V.).</t>
  </si>
  <si>
    <t>34.00.6H.00.02</t>
  </si>
  <si>
    <t>REINTEGRO CUOTA PATRONAL CORRESPONDIENTE A JUNIO DE 2021.</t>
  </si>
  <si>
    <t>REINTEGRO CUOTA PATRONAL CORRESPONDIENTE A JULIO DE 2021.</t>
  </si>
  <si>
    <t>REINTEGRO CUOTA PATRONAL CORRESPONDIENTE A AGOSTO DE 2021.</t>
  </si>
  <si>
    <t xml:space="preserve">APOTIP/2020/001 APOTIP/2020/002 ANUALIDAD 2021   </t>
  </si>
  <si>
    <t>No existen ingresos de formación en 2021</t>
  </si>
  <si>
    <t>Llopis Costa, Natalia </t>
  </si>
  <si>
    <t>HFIP as a metal-free alternative for cyclization and oxidation reactions </t>
  </si>
  <si>
    <t>12/04/2022 </t>
  </si>
  <si>
    <t>García Mingüens, Eduardo </t>
  </si>
  <si>
    <t>SYNTHESIS AND APPLICATIONS OF POLYFUNCTIONALIZED PROLINATES </t>
  </si>
  <si>
    <t>18/03/2022 </t>
  </si>
  <si>
    <t>Baciu , Bianca Catalina </t>
  </si>
  <si>
    <t>Design and synthesis of biterminated dithiahelicenes of increasing size for molecular electronics and chiroptical applications </t>
  </si>
  <si>
    <t>15/07/2022 </t>
  </si>
  <si>
    <t>05921559W</t>
  </si>
  <si>
    <t>RETAMOSA HERNANDEZ, MARIA DE GRACIA</t>
  </si>
  <si>
    <t>NO FUNCIONARIO</t>
  </si>
  <si>
    <t>48620517N</t>
  </si>
  <si>
    <t>BOSQUE MARTINEZ, IRENE</t>
  </si>
  <si>
    <t>52776404Y</t>
  </si>
  <si>
    <t>BAEZA CARRATALA, ALEJANDRO</t>
  </si>
  <si>
    <t>Total ingresos investigación 2019-2020-2021</t>
  </si>
  <si>
    <t>Total ingresos formación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</si>
</sst>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6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3" fillId="0" borderId="1" xfId="1" applyBorder="1"/>
    <xf numFmtId="0" fontId="3" fillId="4" borderId="3" xfId="1" applyFill="1" applyBorder="1"/>
    <xf numFmtId="0" fontId="11" fillId="6" borderId="1" xfId="0" applyFont="1" applyFill="1" applyBorder="1" applyAlignment="1">
      <alignment horizontal="left" vertical="center"/>
    </xf>
    <xf numFmtId="0" fontId="11" fillId="6" borderId="4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left" vertical="center"/>
    </xf>
    <xf numFmtId="0" fontId="12" fillId="7" borderId="7" xfId="0" applyNumberFormat="1" applyFont="1" applyFill="1" applyBorder="1"/>
    <xf numFmtId="0" fontId="12" fillId="7" borderId="8" xfId="0" applyNumberFormat="1" applyFont="1" applyFill="1" applyBorder="1"/>
    <xf numFmtId="0" fontId="12" fillId="7" borderId="9" xfId="0" applyFont="1" applyFill="1" applyBorder="1" applyAlignment="1">
      <alignment horizontal="right"/>
    </xf>
    <xf numFmtId="0" fontId="0" fillId="8" borderId="10" xfId="0" applyNumberFormat="1" applyFont="1" applyFill="1" applyBorder="1"/>
    <xf numFmtId="0" fontId="0" fillId="8" borderId="11" xfId="0" applyFont="1" applyFill="1" applyBorder="1"/>
    <xf numFmtId="4" fontId="0" fillId="8" borderId="12" xfId="0" applyNumberFormat="1" applyFont="1" applyFill="1" applyBorder="1"/>
    <xf numFmtId="0" fontId="0" fillId="9" borderId="10" xfId="0" applyNumberFormat="1" applyFont="1" applyFill="1" applyBorder="1"/>
    <xf numFmtId="0" fontId="0" fillId="9" borderId="11" xfId="0" applyFont="1" applyFill="1" applyBorder="1"/>
    <xf numFmtId="4" fontId="0" fillId="9" borderId="12" xfId="0" applyNumberFormat="1" applyFont="1" applyFill="1" applyBorder="1"/>
    <xf numFmtId="0" fontId="12" fillId="7" borderId="13" xfId="0" applyFont="1" applyFill="1" applyBorder="1"/>
    <xf numFmtId="0" fontId="12" fillId="7" borderId="14" xfId="0" applyFont="1" applyFill="1" applyBorder="1"/>
    <xf numFmtId="4" fontId="12" fillId="7" borderId="15" xfId="0" applyNumberFormat="1" applyFont="1" applyFill="1" applyBorder="1"/>
    <xf numFmtId="165" fontId="3" fillId="4" borderId="1" xfId="1" applyNumberFormat="1" applyFill="1" applyBorder="1"/>
    <xf numFmtId="165" fontId="3" fillId="4" borderId="2" xfId="1" applyNumberFormat="1" applyFill="1" applyBorder="1"/>
    <xf numFmtId="0" fontId="3" fillId="10" borderId="16" xfId="1" applyFont="1" applyFill="1" applyBorder="1" applyAlignment="1"/>
    <xf numFmtId="0" fontId="3" fillId="10" borderId="16" xfId="1" applyFont="1" applyFill="1" applyBorder="1" applyAlignment="1">
      <alignment horizontal="right"/>
    </xf>
    <xf numFmtId="0" fontId="10" fillId="10" borderId="0" xfId="5" applyFont="1" applyFill="1"/>
    <xf numFmtId="0" fontId="10" fillId="10" borderId="0" xfId="5" applyFont="1" applyFill="1" applyAlignment="1">
      <alignment horizontal="right"/>
    </xf>
    <xf numFmtId="0" fontId="0" fillId="10" borderId="1" xfId="0" applyFill="1" applyBorder="1" applyAlignment="1">
      <alignment horizontal="right"/>
    </xf>
    <xf numFmtId="4" fontId="0" fillId="10" borderId="1" xfId="0" applyNumberFormat="1" applyFill="1" applyBorder="1" applyAlignment="1">
      <alignment horizontal="right"/>
    </xf>
    <xf numFmtId="0" fontId="0" fillId="10" borderId="1" xfId="0" applyFill="1" applyBorder="1"/>
    <xf numFmtId="4" fontId="0" fillId="10" borderId="1" xfId="0" applyNumberFormat="1" applyFill="1" applyBorder="1"/>
    <xf numFmtId="164" fontId="4" fillId="10" borderId="16" xfId="1" applyNumberFormat="1" applyFont="1" applyFill="1" applyBorder="1" applyAlignment="1"/>
    <xf numFmtId="0" fontId="13" fillId="10" borderId="16" xfId="5" applyFont="1" applyFill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5"/>
  <sheetViews>
    <sheetView showGridLines="0" tabSelected="1" zoomScale="120" zoomScaleNormal="120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S35" sqref="S35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13</v>
      </c>
      <c r="G1" s="9" t="s">
        <v>14</v>
      </c>
      <c r="H1" s="9" t="s">
        <v>15</v>
      </c>
      <c r="I1" s="8" t="s">
        <v>16</v>
      </c>
      <c r="J1" s="9" t="s">
        <v>17</v>
      </c>
      <c r="K1" s="8" t="s">
        <v>18</v>
      </c>
      <c r="L1" s="9" t="s">
        <v>19</v>
      </c>
      <c r="M1" s="10" t="s">
        <v>20</v>
      </c>
      <c r="N1" s="11" t="s">
        <v>21</v>
      </c>
      <c r="O1" s="12" t="s">
        <v>22</v>
      </c>
      <c r="P1" s="11" t="s">
        <v>23</v>
      </c>
      <c r="Q1" s="12" t="s">
        <v>24</v>
      </c>
      <c r="R1" s="11" t="s">
        <v>25</v>
      </c>
      <c r="S1" s="11" t="s">
        <v>26</v>
      </c>
      <c r="T1" s="11" t="s">
        <v>27</v>
      </c>
      <c r="U1" s="11" t="s">
        <v>28</v>
      </c>
    </row>
    <row r="2" spans="1:21" x14ac:dyDescent="0.2">
      <c r="A2" s="26" t="s">
        <v>44</v>
      </c>
      <c r="B2" s="26" t="s">
        <v>45</v>
      </c>
      <c r="C2" s="26" t="s">
        <v>46</v>
      </c>
      <c r="D2" s="26" t="s">
        <v>65</v>
      </c>
      <c r="E2" s="26" t="s">
        <v>66</v>
      </c>
      <c r="F2" s="26" t="s">
        <v>35</v>
      </c>
      <c r="G2" s="26" t="s">
        <v>53</v>
      </c>
      <c r="H2" s="26" t="s">
        <v>32</v>
      </c>
      <c r="I2" s="26" t="s">
        <v>48</v>
      </c>
      <c r="J2" s="26" t="s">
        <v>49</v>
      </c>
      <c r="K2" s="29">
        <v>1</v>
      </c>
      <c r="L2" s="26" t="s">
        <v>50</v>
      </c>
      <c r="M2" s="26">
        <v>2016</v>
      </c>
      <c r="N2" s="26" t="s">
        <v>51</v>
      </c>
      <c r="O2" s="27" t="s">
        <v>41</v>
      </c>
      <c r="P2" s="26" t="s">
        <v>31</v>
      </c>
      <c r="Q2" s="27" t="s">
        <v>31</v>
      </c>
      <c r="R2" s="28">
        <v>40</v>
      </c>
      <c r="S2" s="29">
        <v>0.4</v>
      </c>
      <c r="T2" s="29">
        <v>0.6</v>
      </c>
      <c r="U2" s="29">
        <v>0</v>
      </c>
    </row>
    <row r="3" spans="1:21" x14ac:dyDescent="0.2">
      <c r="A3" s="26" t="s">
        <v>44</v>
      </c>
      <c r="B3" s="26" t="s">
        <v>45</v>
      </c>
      <c r="C3" s="26" t="s">
        <v>46</v>
      </c>
      <c r="D3" s="26" t="s">
        <v>63</v>
      </c>
      <c r="E3" s="26" t="s">
        <v>64</v>
      </c>
      <c r="F3" s="26" t="s">
        <v>39</v>
      </c>
      <c r="G3" s="26" t="s">
        <v>54</v>
      </c>
      <c r="H3" s="26" t="s">
        <v>32</v>
      </c>
      <c r="I3" s="26" t="s">
        <v>48</v>
      </c>
      <c r="J3" s="26" t="s">
        <v>49</v>
      </c>
      <c r="K3" s="29">
        <v>1</v>
      </c>
      <c r="L3" s="26" t="s">
        <v>50</v>
      </c>
      <c r="M3" s="26">
        <v>2016</v>
      </c>
      <c r="N3" s="26" t="s">
        <v>51</v>
      </c>
      <c r="O3" s="27" t="s">
        <v>41</v>
      </c>
      <c r="P3" s="26" t="s">
        <v>31</v>
      </c>
      <c r="Q3" s="27" t="s">
        <v>31</v>
      </c>
      <c r="R3" s="28">
        <v>40</v>
      </c>
      <c r="S3" s="29">
        <v>0.4</v>
      </c>
      <c r="T3" s="29">
        <v>0.6</v>
      </c>
      <c r="U3" s="29">
        <v>0</v>
      </c>
    </row>
    <row r="4" spans="1:21" x14ac:dyDescent="0.2">
      <c r="A4" s="26" t="s">
        <v>44</v>
      </c>
      <c r="B4" s="26" t="s">
        <v>45</v>
      </c>
      <c r="C4" s="26" t="s">
        <v>46</v>
      </c>
      <c r="D4" s="26" t="s">
        <v>67</v>
      </c>
      <c r="E4" s="26" t="s">
        <v>68</v>
      </c>
      <c r="F4" s="26" t="s">
        <v>43</v>
      </c>
      <c r="G4" s="26" t="s">
        <v>62</v>
      </c>
      <c r="H4" s="26" t="s">
        <v>32</v>
      </c>
      <c r="I4" s="26" t="s">
        <v>48</v>
      </c>
      <c r="J4" s="26" t="s">
        <v>49</v>
      </c>
      <c r="K4" s="29">
        <v>1</v>
      </c>
      <c r="L4" s="26" t="s">
        <v>50</v>
      </c>
      <c r="M4" s="26">
        <v>2017</v>
      </c>
      <c r="N4" s="26" t="s">
        <v>51</v>
      </c>
      <c r="O4" s="27" t="s">
        <v>34</v>
      </c>
      <c r="P4" s="26" t="s">
        <v>31</v>
      </c>
      <c r="Q4" s="27" t="s">
        <v>31</v>
      </c>
      <c r="R4" s="28">
        <v>10</v>
      </c>
      <c r="S4" s="29">
        <v>0.1</v>
      </c>
      <c r="T4" s="29">
        <v>0.9</v>
      </c>
      <c r="U4" s="29">
        <v>0</v>
      </c>
    </row>
    <row r="5" spans="1:21" x14ac:dyDescent="0.2">
      <c r="A5" s="26" t="s">
        <v>44</v>
      </c>
      <c r="B5" s="26" t="s">
        <v>45</v>
      </c>
      <c r="C5" s="26" t="s">
        <v>46</v>
      </c>
      <c r="D5" s="26" t="s">
        <v>74</v>
      </c>
      <c r="E5" s="26" t="s">
        <v>75</v>
      </c>
      <c r="F5" s="26" t="s">
        <v>76</v>
      </c>
      <c r="G5" s="26" t="s">
        <v>47</v>
      </c>
      <c r="H5" s="26" t="s">
        <v>32</v>
      </c>
      <c r="I5" s="26" t="s">
        <v>48</v>
      </c>
      <c r="J5" s="26" t="s">
        <v>49</v>
      </c>
      <c r="K5" s="29">
        <v>1</v>
      </c>
      <c r="L5" s="26" t="s">
        <v>50</v>
      </c>
      <c r="M5" s="26">
        <v>2017</v>
      </c>
      <c r="N5" s="26" t="s">
        <v>51</v>
      </c>
      <c r="O5" s="27" t="s">
        <v>34</v>
      </c>
      <c r="P5" s="26" t="s">
        <v>31</v>
      </c>
      <c r="Q5" s="27" t="s">
        <v>31</v>
      </c>
      <c r="R5" s="28">
        <v>10</v>
      </c>
      <c r="S5" s="29">
        <v>0.1</v>
      </c>
      <c r="T5" s="29">
        <v>0.9</v>
      </c>
      <c r="U5" s="29">
        <v>0</v>
      </c>
    </row>
    <row r="6" spans="1:21" x14ac:dyDescent="0.2">
      <c r="A6" s="26" t="s">
        <v>44</v>
      </c>
      <c r="B6" s="26" t="s">
        <v>45</v>
      </c>
      <c r="C6" s="26" t="s">
        <v>46</v>
      </c>
      <c r="D6" s="26" t="s">
        <v>79</v>
      </c>
      <c r="E6" s="26" t="s">
        <v>80</v>
      </c>
      <c r="F6" s="26" t="s">
        <v>81</v>
      </c>
      <c r="G6" s="26" t="s">
        <v>52</v>
      </c>
      <c r="H6" s="26" t="s">
        <v>32</v>
      </c>
      <c r="I6" s="26" t="s">
        <v>48</v>
      </c>
      <c r="J6" s="26" t="s">
        <v>49</v>
      </c>
      <c r="K6" s="29">
        <v>1</v>
      </c>
      <c r="L6" s="26" t="s">
        <v>50</v>
      </c>
      <c r="M6" s="26">
        <v>2017</v>
      </c>
      <c r="N6" s="26" t="s">
        <v>31</v>
      </c>
      <c r="O6" s="27" t="s">
        <v>31</v>
      </c>
      <c r="P6" s="26" t="s">
        <v>31</v>
      </c>
      <c r="Q6" s="27" t="s">
        <v>31</v>
      </c>
      <c r="R6" s="28">
        <v>100</v>
      </c>
      <c r="S6" s="29">
        <v>1</v>
      </c>
      <c r="T6" s="29">
        <v>0</v>
      </c>
      <c r="U6" s="29">
        <v>0</v>
      </c>
    </row>
    <row r="7" spans="1:21" x14ac:dyDescent="0.2">
      <c r="A7" s="26" t="s">
        <v>44</v>
      </c>
      <c r="B7" s="26" t="s">
        <v>45</v>
      </c>
      <c r="C7" s="26" t="s">
        <v>46</v>
      </c>
      <c r="D7" s="26" t="s">
        <v>69</v>
      </c>
      <c r="E7" s="26" t="s">
        <v>70</v>
      </c>
      <c r="F7" s="26" t="s">
        <v>71</v>
      </c>
      <c r="G7" s="26" t="s">
        <v>56</v>
      </c>
      <c r="H7" s="26" t="s">
        <v>29</v>
      </c>
      <c r="I7" s="26" t="s">
        <v>48</v>
      </c>
      <c r="J7" s="26" t="s">
        <v>49</v>
      </c>
      <c r="K7" s="29">
        <v>0.5</v>
      </c>
      <c r="L7" s="26" t="s">
        <v>50</v>
      </c>
      <c r="M7" s="26">
        <v>2017</v>
      </c>
      <c r="N7" s="26" t="s">
        <v>51</v>
      </c>
      <c r="O7" s="27" t="s">
        <v>72</v>
      </c>
      <c r="P7" s="26" t="s">
        <v>31</v>
      </c>
      <c r="Q7" s="27" t="s">
        <v>31</v>
      </c>
      <c r="R7" s="28">
        <v>35</v>
      </c>
      <c r="S7" s="29">
        <v>0.17499999999999999</v>
      </c>
      <c r="T7" s="29">
        <v>0.32500000000000001</v>
      </c>
      <c r="U7" s="29">
        <v>0</v>
      </c>
    </row>
    <row r="8" spans="1:21" x14ac:dyDescent="0.2">
      <c r="A8" s="26" t="s">
        <v>44</v>
      </c>
      <c r="B8" s="26" t="s">
        <v>45</v>
      </c>
      <c r="C8" s="26" t="s">
        <v>46</v>
      </c>
      <c r="D8" s="26" t="s">
        <v>69</v>
      </c>
      <c r="E8" s="26" t="s">
        <v>70</v>
      </c>
      <c r="F8" s="26" t="s">
        <v>71</v>
      </c>
      <c r="G8" s="26" t="s">
        <v>73</v>
      </c>
      <c r="H8" s="26" t="s">
        <v>29</v>
      </c>
      <c r="I8" s="26" t="s">
        <v>48</v>
      </c>
      <c r="J8" s="26" t="s">
        <v>49</v>
      </c>
      <c r="K8" s="29">
        <v>0.5</v>
      </c>
      <c r="L8" s="26" t="s">
        <v>50</v>
      </c>
      <c r="M8" s="26">
        <v>2017</v>
      </c>
      <c r="N8" s="26" t="s">
        <v>51</v>
      </c>
      <c r="O8" s="27" t="s">
        <v>41</v>
      </c>
      <c r="P8" s="26" t="s">
        <v>31</v>
      </c>
      <c r="Q8" s="27" t="s">
        <v>31</v>
      </c>
      <c r="R8" s="28">
        <v>40</v>
      </c>
      <c r="S8" s="29">
        <v>0.2</v>
      </c>
      <c r="T8" s="29">
        <v>0.3</v>
      </c>
      <c r="U8" s="29">
        <v>0</v>
      </c>
    </row>
    <row r="9" spans="1:21" x14ac:dyDescent="0.2">
      <c r="A9" s="26" t="s">
        <v>44</v>
      </c>
      <c r="B9" s="26" t="s">
        <v>45</v>
      </c>
      <c r="C9" s="26" t="s">
        <v>46</v>
      </c>
      <c r="D9" s="26" t="s">
        <v>82</v>
      </c>
      <c r="E9" s="26" t="s">
        <v>83</v>
      </c>
      <c r="F9" s="26" t="s">
        <v>84</v>
      </c>
      <c r="G9" s="26" t="s">
        <v>52</v>
      </c>
      <c r="H9" s="26" t="s">
        <v>29</v>
      </c>
      <c r="I9" s="26" t="s">
        <v>48</v>
      </c>
      <c r="J9" s="26" t="s">
        <v>49</v>
      </c>
      <c r="K9" s="29">
        <v>0.5</v>
      </c>
      <c r="L9" s="26" t="s">
        <v>50</v>
      </c>
      <c r="M9" s="26">
        <v>2017</v>
      </c>
      <c r="N9" s="26" t="s">
        <v>31</v>
      </c>
      <c r="O9" s="27" t="s">
        <v>31</v>
      </c>
      <c r="P9" s="26" t="s">
        <v>31</v>
      </c>
      <c r="Q9" s="27" t="s">
        <v>31</v>
      </c>
      <c r="R9" s="28">
        <v>100</v>
      </c>
      <c r="S9" s="29">
        <v>0.5</v>
      </c>
      <c r="T9" s="29">
        <v>0</v>
      </c>
      <c r="U9" s="29">
        <v>0</v>
      </c>
    </row>
    <row r="10" spans="1:21" x14ac:dyDescent="0.2">
      <c r="A10" s="26" t="s">
        <v>44</v>
      </c>
      <c r="B10" s="26" t="s">
        <v>45</v>
      </c>
      <c r="C10" s="26" t="s">
        <v>46</v>
      </c>
      <c r="D10" s="26" t="s">
        <v>82</v>
      </c>
      <c r="E10" s="26" t="s">
        <v>83</v>
      </c>
      <c r="F10" s="26" t="s">
        <v>84</v>
      </c>
      <c r="G10" s="26" t="s">
        <v>59</v>
      </c>
      <c r="H10" s="26" t="s">
        <v>29</v>
      </c>
      <c r="I10" s="26" t="s">
        <v>48</v>
      </c>
      <c r="J10" s="26" t="s">
        <v>49</v>
      </c>
      <c r="K10" s="29">
        <v>0.5</v>
      </c>
      <c r="L10" s="26" t="s">
        <v>50</v>
      </c>
      <c r="M10" s="26">
        <v>2017</v>
      </c>
      <c r="N10" s="26" t="s">
        <v>51</v>
      </c>
      <c r="O10" s="27" t="s">
        <v>30</v>
      </c>
      <c r="P10" s="26" t="s">
        <v>31</v>
      </c>
      <c r="Q10" s="27" t="s">
        <v>31</v>
      </c>
      <c r="R10" s="28">
        <v>50</v>
      </c>
      <c r="S10" s="29">
        <v>0.25</v>
      </c>
      <c r="T10" s="29">
        <v>0.25</v>
      </c>
      <c r="U10" s="29">
        <v>0</v>
      </c>
    </row>
    <row r="11" spans="1:21" x14ac:dyDescent="0.2">
      <c r="A11" s="26" t="s">
        <v>44</v>
      </c>
      <c r="B11" s="26" t="s">
        <v>45</v>
      </c>
      <c r="C11" s="26" t="s">
        <v>46</v>
      </c>
      <c r="D11" s="26" t="s">
        <v>77</v>
      </c>
      <c r="E11" s="26" t="s">
        <v>78</v>
      </c>
      <c r="F11" s="26" t="s">
        <v>36</v>
      </c>
      <c r="G11" s="26" t="s">
        <v>55</v>
      </c>
      <c r="H11" s="26" t="s">
        <v>29</v>
      </c>
      <c r="I11" s="26" t="s">
        <v>48</v>
      </c>
      <c r="J11" s="26" t="s">
        <v>49</v>
      </c>
      <c r="K11" s="29">
        <v>0.5</v>
      </c>
      <c r="L11" s="26" t="s">
        <v>50</v>
      </c>
      <c r="M11" s="26">
        <v>2017</v>
      </c>
      <c r="N11" s="26" t="s">
        <v>51</v>
      </c>
      <c r="O11" s="27" t="s">
        <v>30</v>
      </c>
      <c r="P11" s="26" t="s">
        <v>31</v>
      </c>
      <c r="Q11" s="27" t="s">
        <v>31</v>
      </c>
      <c r="R11" s="28">
        <v>50</v>
      </c>
      <c r="S11" s="29">
        <v>0.25</v>
      </c>
      <c r="T11" s="29">
        <v>0.25</v>
      </c>
      <c r="U11" s="29">
        <v>0</v>
      </c>
    </row>
    <row r="12" spans="1:21" x14ac:dyDescent="0.2">
      <c r="A12" s="26" t="s">
        <v>44</v>
      </c>
      <c r="B12" s="26" t="s">
        <v>45</v>
      </c>
      <c r="C12" s="26" t="s">
        <v>46</v>
      </c>
      <c r="D12" s="26" t="s">
        <v>77</v>
      </c>
      <c r="E12" s="26" t="s">
        <v>78</v>
      </c>
      <c r="F12" s="26" t="s">
        <v>36</v>
      </c>
      <c r="G12" s="26" t="s">
        <v>58</v>
      </c>
      <c r="H12" s="26" t="s">
        <v>29</v>
      </c>
      <c r="I12" s="26" t="s">
        <v>48</v>
      </c>
      <c r="J12" s="26" t="s">
        <v>49</v>
      </c>
      <c r="K12" s="29">
        <v>0.5</v>
      </c>
      <c r="L12" s="26" t="s">
        <v>50</v>
      </c>
      <c r="M12" s="26">
        <v>2017</v>
      </c>
      <c r="N12" s="26" t="s">
        <v>31</v>
      </c>
      <c r="O12" s="27" t="s">
        <v>31</v>
      </c>
      <c r="P12" s="26" t="s">
        <v>31</v>
      </c>
      <c r="Q12" s="27" t="s">
        <v>31</v>
      </c>
      <c r="R12" s="28">
        <v>100</v>
      </c>
      <c r="S12" s="29">
        <v>0.5</v>
      </c>
      <c r="T12" s="29">
        <v>0</v>
      </c>
      <c r="U12" s="29">
        <v>0</v>
      </c>
    </row>
    <row r="13" spans="1:21" x14ac:dyDescent="0.2">
      <c r="A13" s="26" t="s">
        <v>44</v>
      </c>
      <c r="B13" s="26" t="s">
        <v>45</v>
      </c>
      <c r="C13" s="26" t="s">
        <v>46</v>
      </c>
      <c r="D13" s="26" t="s">
        <v>85</v>
      </c>
      <c r="E13" s="26" t="s">
        <v>185</v>
      </c>
      <c r="F13" s="26" t="s">
        <v>33</v>
      </c>
      <c r="G13" s="26" t="s">
        <v>60</v>
      </c>
      <c r="H13" s="26" t="s">
        <v>32</v>
      </c>
      <c r="I13" s="26" t="s">
        <v>48</v>
      </c>
      <c r="J13" s="26" t="s">
        <v>49</v>
      </c>
      <c r="K13" s="52">
        <v>1</v>
      </c>
      <c r="L13" s="26" t="s">
        <v>50</v>
      </c>
      <c r="M13" s="26">
        <v>2018</v>
      </c>
      <c r="N13" s="26" t="s">
        <v>51</v>
      </c>
      <c r="O13" s="27" t="s">
        <v>30</v>
      </c>
      <c r="P13" s="26" t="s">
        <v>31</v>
      </c>
      <c r="Q13" s="27" t="s">
        <v>31</v>
      </c>
      <c r="R13" s="28">
        <v>50</v>
      </c>
      <c r="S13" s="29">
        <v>0.5</v>
      </c>
      <c r="T13" s="29">
        <v>0.5</v>
      </c>
      <c r="U13" s="29">
        <v>0</v>
      </c>
    </row>
    <row r="14" spans="1:21" x14ac:dyDescent="0.2">
      <c r="A14" s="26" t="s">
        <v>44</v>
      </c>
      <c r="B14" s="26" t="s">
        <v>45</v>
      </c>
      <c r="C14" s="26" t="s">
        <v>46</v>
      </c>
      <c r="D14" s="26" t="s">
        <v>88</v>
      </c>
      <c r="E14" s="26" t="s">
        <v>89</v>
      </c>
      <c r="F14" s="26" t="s">
        <v>90</v>
      </c>
      <c r="G14" s="26" t="s">
        <v>57</v>
      </c>
      <c r="H14" s="26" t="s">
        <v>29</v>
      </c>
      <c r="I14" s="26" t="s">
        <v>48</v>
      </c>
      <c r="J14" s="26" t="s">
        <v>49</v>
      </c>
      <c r="K14" s="52">
        <v>0.5</v>
      </c>
      <c r="L14" s="26" t="s">
        <v>50</v>
      </c>
      <c r="M14" s="26">
        <v>2018</v>
      </c>
      <c r="N14" s="26" t="s">
        <v>51</v>
      </c>
      <c r="O14" s="27" t="s">
        <v>41</v>
      </c>
      <c r="P14" s="26" t="s">
        <v>31</v>
      </c>
      <c r="Q14" s="27" t="s">
        <v>31</v>
      </c>
      <c r="R14" s="28">
        <v>40</v>
      </c>
      <c r="S14" s="29">
        <v>0.2</v>
      </c>
      <c r="T14" s="29">
        <v>0.3</v>
      </c>
      <c r="U14" s="29">
        <v>0</v>
      </c>
    </row>
    <row r="15" spans="1:21" x14ac:dyDescent="0.2">
      <c r="A15" s="26" t="s">
        <v>44</v>
      </c>
      <c r="B15" s="26" t="s">
        <v>45</v>
      </c>
      <c r="C15" s="26" t="s">
        <v>46</v>
      </c>
      <c r="D15" s="26" t="s">
        <v>88</v>
      </c>
      <c r="E15" s="26" t="s">
        <v>89</v>
      </c>
      <c r="F15" s="26" t="s">
        <v>90</v>
      </c>
      <c r="G15" s="26" t="s">
        <v>61</v>
      </c>
      <c r="H15" s="26" t="s">
        <v>29</v>
      </c>
      <c r="I15" s="26" t="s">
        <v>48</v>
      </c>
      <c r="J15" s="26" t="s">
        <v>49</v>
      </c>
      <c r="K15" s="52">
        <v>0.5</v>
      </c>
      <c r="L15" s="26" t="s">
        <v>50</v>
      </c>
      <c r="M15" s="26">
        <v>2018</v>
      </c>
      <c r="N15" s="26" t="s">
        <v>51</v>
      </c>
      <c r="O15" s="27" t="s">
        <v>30</v>
      </c>
      <c r="P15" s="26" t="s">
        <v>31</v>
      </c>
      <c r="Q15" s="27" t="s">
        <v>31</v>
      </c>
      <c r="R15" s="28">
        <v>50</v>
      </c>
      <c r="S15" s="29">
        <v>0.25</v>
      </c>
      <c r="T15" s="29">
        <v>0.25</v>
      </c>
      <c r="U15" s="29">
        <v>0</v>
      </c>
    </row>
    <row r="16" spans="1:21" x14ac:dyDescent="0.2">
      <c r="A16" s="26" t="s">
        <v>44</v>
      </c>
      <c r="B16" s="26" t="s">
        <v>45</v>
      </c>
      <c r="C16" s="26" t="s">
        <v>46</v>
      </c>
      <c r="D16" s="26" t="s">
        <v>93</v>
      </c>
      <c r="E16" s="26" t="s">
        <v>94</v>
      </c>
      <c r="F16" s="26" t="s">
        <v>95</v>
      </c>
      <c r="G16" s="26" t="s">
        <v>56</v>
      </c>
      <c r="H16" s="26" t="s">
        <v>29</v>
      </c>
      <c r="I16" s="26" t="s">
        <v>48</v>
      </c>
      <c r="J16" s="26" t="s">
        <v>49</v>
      </c>
      <c r="K16" s="52">
        <v>0.5</v>
      </c>
      <c r="L16" s="26" t="s">
        <v>50</v>
      </c>
      <c r="M16" s="26">
        <v>2018</v>
      </c>
      <c r="N16" s="26" t="s">
        <v>51</v>
      </c>
      <c r="O16" s="27" t="s">
        <v>72</v>
      </c>
      <c r="P16" s="26" t="s">
        <v>31</v>
      </c>
      <c r="Q16" s="27" t="s">
        <v>31</v>
      </c>
      <c r="R16" s="28">
        <v>35</v>
      </c>
      <c r="S16" s="29">
        <v>0.17499999999999999</v>
      </c>
      <c r="T16" s="29">
        <v>0.32500000000000001</v>
      </c>
      <c r="U16" s="29">
        <v>0</v>
      </c>
    </row>
    <row r="17" spans="1:21" x14ac:dyDescent="0.2">
      <c r="A17" s="26" t="s">
        <v>44</v>
      </c>
      <c r="B17" s="26" t="s">
        <v>45</v>
      </c>
      <c r="C17" s="26" t="s">
        <v>46</v>
      </c>
      <c r="D17" s="26" t="s">
        <v>93</v>
      </c>
      <c r="E17" s="26" t="s">
        <v>94</v>
      </c>
      <c r="F17" s="26" t="s">
        <v>95</v>
      </c>
      <c r="G17" s="26" t="s">
        <v>61</v>
      </c>
      <c r="H17" s="26" t="s">
        <v>29</v>
      </c>
      <c r="I17" s="26" t="s">
        <v>48</v>
      </c>
      <c r="J17" s="26" t="s">
        <v>49</v>
      </c>
      <c r="K17" s="52">
        <v>0.5</v>
      </c>
      <c r="L17" s="26" t="s">
        <v>50</v>
      </c>
      <c r="M17" s="26">
        <v>2018</v>
      </c>
      <c r="N17" s="26" t="s">
        <v>51</v>
      </c>
      <c r="O17" s="27" t="s">
        <v>30</v>
      </c>
      <c r="P17" s="26" t="s">
        <v>31</v>
      </c>
      <c r="Q17" s="27" t="s">
        <v>31</v>
      </c>
      <c r="R17" s="28">
        <v>50</v>
      </c>
      <c r="S17" s="29">
        <v>0.25</v>
      </c>
      <c r="T17" s="29">
        <v>0.25</v>
      </c>
      <c r="U17" s="29">
        <v>0</v>
      </c>
    </row>
    <row r="18" spans="1:21" x14ac:dyDescent="0.2">
      <c r="A18" s="26" t="s">
        <v>44</v>
      </c>
      <c r="B18" s="26" t="s">
        <v>45</v>
      </c>
      <c r="C18" s="26" t="s">
        <v>46</v>
      </c>
      <c r="D18" s="26" t="s">
        <v>86</v>
      </c>
      <c r="E18" s="26" t="s">
        <v>87</v>
      </c>
      <c r="F18" s="26" t="s">
        <v>38</v>
      </c>
      <c r="G18" s="26" t="s">
        <v>55</v>
      </c>
      <c r="H18" s="26" t="s">
        <v>29</v>
      </c>
      <c r="I18" s="26" t="s">
        <v>48</v>
      </c>
      <c r="J18" s="26" t="s">
        <v>49</v>
      </c>
      <c r="K18" s="52">
        <v>0.5</v>
      </c>
      <c r="L18" s="26" t="s">
        <v>50</v>
      </c>
      <c r="M18" s="26">
        <v>2018</v>
      </c>
      <c r="N18" s="26" t="s">
        <v>51</v>
      </c>
      <c r="O18" s="27" t="s">
        <v>40</v>
      </c>
      <c r="P18" s="26" t="s">
        <v>31</v>
      </c>
      <c r="Q18" s="27" t="s">
        <v>31</v>
      </c>
      <c r="R18" s="28">
        <v>20</v>
      </c>
      <c r="S18" s="29">
        <v>0.1</v>
      </c>
      <c r="T18" s="29">
        <v>0.4</v>
      </c>
      <c r="U18" s="29">
        <v>0</v>
      </c>
    </row>
    <row r="19" spans="1:21" x14ac:dyDescent="0.2">
      <c r="A19" s="26" t="s">
        <v>44</v>
      </c>
      <c r="B19" s="26" t="s">
        <v>45</v>
      </c>
      <c r="C19" s="26" t="s">
        <v>46</v>
      </c>
      <c r="D19" s="26" t="s">
        <v>91</v>
      </c>
      <c r="E19" s="26" t="s">
        <v>92</v>
      </c>
      <c r="F19" s="26" t="s">
        <v>37</v>
      </c>
      <c r="G19" s="26" t="s">
        <v>54</v>
      </c>
      <c r="H19" s="26" t="s">
        <v>32</v>
      </c>
      <c r="I19" s="26" t="s">
        <v>48</v>
      </c>
      <c r="J19" s="26" t="s">
        <v>49</v>
      </c>
      <c r="K19" s="52">
        <v>1</v>
      </c>
      <c r="L19" s="26" t="s">
        <v>50</v>
      </c>
      <c r="M19" s="26">
        <v>2018</v>
      </c>
      <c r="N19" s="26" t="s">
        <v>51</v>
      </c>
      <c r="O19" s="27" t="s">
        <v>40</v>
      </c>
      <c r="P19" s="26" t="s">
        <v>31</v>
      </c>
      <c r="Q19" s="27" t="s">
        <v>31</v>
      </c>
      <c r="R19" s="28">
        <v>20</v>
      </c>
      <c r="S19" s="29">
        <v>0.2</v>
      </c>
      <c r="T19" s="29">
        <v>0.8</v>
      </c>
      <c r="U19" s="29">
        <v>0</v>
      </c>
    </row>
    <row r="20" spans="1:21" x14ac:dyDescent="0.2">
      <c r="A20" s="26" t="s">
        <v>44</v>
      </c>
      <c r="B20" s="26" t="s">
        <v>45</v>
      </c>
      <c r="C20" s="26" t="s">
        <v>46</v>
      </c>
      <c r="D20" s="26" t="s">
        <v>96</v>
      </c>
      <c r="E20" s="26" t="s">
        <v>97</v>
      </c>
      <c r="F20" s="26" t="s">
        <v>42</v>
      </c>
      <c r="G20" s="26" t="s">
        <v>59</v>
      </c>
      <c r="H20" s="26" t="s">
        <v>29</v>
      </c>
      <c r="I20" s="26" t="s">
        <v>48</v>
      </c>
      <c r="J20" s="26" t="s">
        <v>49</v>
      </c>
      <c r="K20" s="52">
        <v>0.5</v>
      </c>
      <c r="L20" s="26" t="s">
        <v>50</v>
      </c>
      <c r="M20" s="26">
        <v>2018</v>
      </c>
      <c r="N20" s="26" t="s">
        <v>51</v>
      </c>
      <c r="O20" s="27" t="s">
        <v>40</v>
      </c>
      <c r="P20" s="26" t="s">
        <v>31</v>
      </c>
      <c r="Q20" s="27" t="s">
        <v>31</v>
      </c>
      <c r="R20" s="28">
        <v>20</v>
      </c>
      <c r="S20" s="29">
        <v>0.1</v>
      </c>
      <c r="T20" s="29">
        <v>0.4</v>
      </c>
      <c r="U20" s="29">
        <v>0</v>
      </c>
    </row>
    <row r="21" spans="1:21" x14ac:dyDescent="0.2">
      <c r="A21" s="26" t="s">
        <v>44</v>
      </c>
      <c r="B21" s="26" t="s">
        <v>45</v>
      </c>
      <c r="C21" s="26" t="s">
        <v>46</v>
      </c>
      <c r="D21" s="26" t="s">
        <v>96</v>
      </c>
      <c r="E21" s="26" t="s">
        <v>97</v>
      </c>
      <c r="F21" s="26" t="s">
        <v>42</v>
      </c>
      <c r="G21" s="26" t="s">
        <v>55</v>
      </c>
      <c r="H21" s="26" t="s">
        <v>29</v>
      </c>
      <c r="I21" s="26" t="s">
        <v>48</v>
      </c>
      <c r="J21" s="26" t="s">
        <v>49</v>
      </c>
      <c r="K21" s="52">
        <v>0.5</v>
      </c>
      <c r="L21" s="26" t="s">
        <v>50</v>
      </c>
      <c r="M21" s="26">
        <v>2018</v>
      </c>
      <c r="N21" s="26" t="s">
        <v>51</v>
      </c>
      <c r="O21" s="27" t="s">
        <v>40</v>
      </c>
      <c r="P21" s="26" t="s">
        <v>31</v>
      </c>
      <c r="Q21" s="27" t="s">
        <v>31</v>
      </c>
      <c r="R21" s="28">
        <v>20</v>
      </c>
      <c r="S21" s="29">
        <v>0.1</v>
      </c>
      <c r="T21" s="29">
        <v>0.4</v>
      </c>
      <c r="U21" s="29">
        <v>0</v>
      </c>
    </row>
    <row r="22" spans="1:21" x14ac:dyDescent="0.2">
      <c r="A22" s="30" t="s">
        <v>44</v>
      </c>
      <c r="B22" s="30" t="s">
        <v>45</v>
      </c>
      <c r="C22" s="30" t="s">
        <v>46</v>
      </c>
      <c r="D22" s="30" t="s">
        <v>175</v>
      </c>
      <c r="E22" s="30" t="s">
        <v>174</v>
      </c>
      <c r="F22" s="30" t="s">
        <v>173</v>
      </c>
      <c r="G22" s="30" t="s">
        <v>59</v>
      </c>
      <c r="H22" s="30" t="s">
        <v>29</v>
      </c>
      <c r="I22" s="30" t="s">
        <v>48</v>
      </c>
      <c r="J22" s="30" t="s">
        <v>49</v>
      </c>
      <c r="K22" s="53">
        <v>0.5</v>
      </c>
      <c r="L22" s="30" t="s">
        <v>50</v>
      </c>
      <c r="M22" s="30">
        <v>2019</v>
      </c>
      <c r="N22" s="30" t="s">
        <v>51</v>
      </c>
      <c r="O22" s="31" t="s">
        <v>40</v>
      </c>
      <c r="P22" s="30" t="s">
        <v>31</v>
      </c>
      <c r="Q22" s="31" t="s">
        <v>31</v>
      </c>
      <c r="R22" s="32">
        <v>20</v>
      </c>
      <c r="S22" s="33">
        <v>0.1</v>
      </c>
      <c r="T22" s="33">
        <v>0.4</v>
      </c>
      <c r="U22" s="33">
        <v>0</v>
      </c>
    </row>
    <row r="23" spans="1:21" x14ac:dyDescent="0.2">
      <c r="A23" s="30" t="s">
        <v>44</v>
      </c>
      <c r="B23" s="30" t="s">
        <v>45</v>
      </c>
      <c r="C23" s="30" t="s">
        <v>46</v>
      </c>
      <c r="D23" s="30" t="s">
        <v>184</v>
      </c>
      <c r="E23" s="30" t="s">
        <v>183</v>
      </c>
      <c r="F23" s="30" t="s">
        <v>182</v>
      </c>
      <c r="G23" s="30" t="s">
        <v>60</v>
      </c>
      <c r="H23" s="30" t="s">
        <v>32</v>
      </c>
      <c r="I23" s="30" t="s">
        <v>48</v>
      </c>
      <c r="J23" s="30" t="s">
        <v>49</v>
      </c>
      <c r="K23" s="53">
        <v>1</v>
      </c>
      <c r="L23" s="30" t="s">
        <v>50</v>
      </c>
      <c r="M23" s="30">
        <v>2019</v>
      </c>
      <c r="N23" s="30" t="s">
        <v>51</v>
      </c>
      <c r="O23" s="31" t="s">
        <v>30</v>
      </c>
      <c r="P23" s="30" t="s">
        <v>31</v>
      </c>
      <c r="Q23" s="31" t="s">
        <v>31</v>
      </c>
      <c r="R23" s="32">
        <v>50</v>
      </c>
      <c r="S23" s="33">
        <v>0.5</v>
      </c>
      <c r="T23" s="33">
        <v>0.5</v>
      </c>
      <c r="U23" s="33">
        <v>0</v>
      </c>
    </row>
    <row r="24" spans="1:21" x14ac:dyDescent="0.2">
      <c r="A24" s="30" t="s">
        <v>44</v>
      </c>
      <c r="B24" s="30" t="s">
        <v>45</v>
      </c>
      <c r="C24" s="30" t="s">
        <v>46</v>
      </c>
      <c r="D24" s="30" t="s">
        <v>178</v>
      </c>
      <c r="E24" s="30" t="s">
        <v>177</v>
      </c>
      <c r="F24" s="30" t="s">
        <v>176</v>
      </c>
      <c r="G24" s="30" t="s">
        <v>59</v>
      </c>
      <c r="H24" s="30" t="s">
        <v>32</v>
      </c>
      <c r="I24" s="30" t="s">
        <v>48</v>
      </c>
      <c r="J24" s="30" t="s">
        <v>49</v>
      </c>
      <c r="K24" s="53">
        <v>1</v>
      </c>
      <c r="L24" s="30" t="s">
        <v>50</v>
      </c>
      <c r="M24" s="30">
        <v>2019</v>
      </c>
      <c r="N24" s="30" t="s">
        <v>51</v>
      </c>
      <c r="O24" s="31" t="s">
        <v>40</v>
      </c>
      <c r="P24" s="30" t="s">
        <v>31</v>
      </c>
      <c r="Q24" s="31" t="s">
        <v>31</v>
      </c>
      <c r="R24" s="32">
        <v>20</v>
      </c>
      <c r="S24" s="33">
        <v>0.2</v>
      </c>
      <c r="T24" s="33">
        <v>0.8</v>
      </c>
      <c r="U24" s="33">
        <v>0</v>
      </c>
    </row>
    <row r="25" spans="1:21" x14ac:dyDescent="0.2">
      <c r="A25" s="30" t="s">
        <v>44</v>
      </c>
      <c r="B25" s="30" t="s">
        <v>45</v>
      </c>
      <c r="C25" s="30" t="s">
        <v>46</v>
      </c>
      <c r="D25" s="30" t="s">
        <v>181</v>
      </c>
      <c r="E25" s="30" t="s">
        <v>180</v>
      </c>
      <c r="F25" s="30" t="s">
        <v>179</v>
      </c>
      <c r="G25" s="30" t="s">
        <v>54</v>
      </c>
      <c r="H25" s="30" t="s">
        <v>32</v>
      </c>
      <c r="I25" s="30" t="s">
        <v>48</v>
      </c>
      <c r="J25" s="30" t="s">
        <v>49</v>
      </c>
      <c r="K25" s="53">
        <v>1</v>
      </c>
      <c r="L25" s="30" t="s">
        <v>50</v>
      </c>
      <c r="M25" s="30">
        <v>2019</v>
      </c>
      <c r="N25" s="30" t="s">
        <v>51</v>
      </c>
      <c r="O25" s="31" t="s">
        <v>40</v>
      </c>
      <c r="P25" s="30" t="s">
        <v>31</v>
      </c>
      <c r="Q25" s="31" t="s">
        <v>31</v>
      </c>
      <c r="R25" s="32">
        <v>20</v>
      </c>
      <c r="S25" s="33">
        <v>0.2</v>
      </c>
      <c r="T25" s="33">
        <v>0.8</v>
      </c>
      <c r="U25" s="33">
        <v>0</v>
      </c>
    </row>
    <row r="26" spans="1:21" ht="10.8" thickBot="1" x14ac:dyDescent="0.25">
      <c r="A26" s="26" t="s">
        <v>44</v>
      </c>
      <c r="B26" s="26" t="s">
        <v>45</v>
      </c>
      <c r="C26" s="26" t="s">
        <v>46</v>
      </c>
      <c r="D26" s="26" t="s">
        <v>188</v>
      </c>
      <c r="E26" s="26" t="s">
        <v>189</v>
      </c>
      <c r="F26" s="26" t="s">
        <v>190</v>
      </c>
      <c r="G26" s="26" t="s">
        <v>47</v>
      </c>
      <c r="H26" s="26" t="s">
        <v>32</v>
      </c>
      <c r="I26" s="26" t="s">
        <v>48</v>
      </c>
      <c r="J26" s="26" t="s">
        <v>49</v>
      </c>
      <c r="K26" s="34">
        <v>1</v>
      </c>
      <c r="L26" s="34" t="s">
        <v>50</v>
      </c>
      <c r="M26" s="35">
        <v>2019</v>
      </c>
      <c r="N26" s="26" t="s">
        <v>51</v>
      </c>
      <c r="O26" s="27" t="s">
        <v>34</v>
      </c>
      <c r="P26" s="26" t="s">
        <v>31</v>
      </c>
      <c r="Q26" s="27" t="s">
        <v>31</v>
      </c>
      <c r="R26" s="26">
        <v>10</v>
      </c>
      <c r="S26" s="26">
        <v>0.1</v>
      </c>
      <c r="T26" s="26">
        <v>0.9</v>
      </c>
      <c r="U26" s="26">
        <v>0</v>
      </c>
    </row>
    <row r="27" spans="1:21" ht="10.8" thickBot="1" x14ac:dyDescent="0.25">
      <c r="A27" s="36" t="s">
        <v>191</v>
      </c>
      <c r="B27" s="36" t="s">
        <v>192</v>
      </c>
      <c r="C27" s="36" t="s">
        <v>193</v>
      </c>
      <c r="D27" s="36" t="s">
        <v>194</v>
      </c>
      <c r="E27" s="36" t="s">
        <v>195</v>
      </c>
      <c r="F27" s="36" t="s">
        <v>196</v>
      </c>
      <c r="G27" s="37" t="s">
        <v>59</v>
      </c>
      <c r="H27" s="38" t="s">
        <v>29</v>
      </c>
      <c r="I27" s="38" t="s">
        <v>48</v>
      </c>
      <c r="J27" s="39" t="s">
        <v>49</v>
      </c>
      <c r="K27" s="34">
        <v>0.5</v>
      </c>
      <c r="L27" s="34" t="s">
        <v>50</v>
      </c>
      <c r="M27" s="26">
        <v>2020</v>
      </c>
      <c r="N27" s="26" t="s">
        <v>51</v>
      </c>
      <c r="O27" s="27" t="s">
        <v>40</v>
      </c>
      <c r="P27" s="26" t="s">
        <v>31</v>
      </c>
      <c r="Q27" s="27" t="s">
        <v>31</v>
      </c>
      <c r="R27" s="26">
        <v>20</v>
      </c>
      <c r="S27" s="26">
        <v>0.1</v>
      </c>
      <c r="T27" s="26">
        <v>0.4</v>
      </c>
      <c r="U27" s="26">
        <v>0</v>
      </c>
    </row>
    <row r="28" spans="1:21" ht="10.8" thickBot="1" x14ac:dyDescent="0.25">
      <c r="A28" s="36" t="s">
        <v>44</v>
      </c>
      <c r="B28" s="36" t="s">
        <v>45</v>
      </c>
      <c r="C28" s="36" t="s">
        <v>46</v>
      </c>
      <c r="D28" s="36" t="s">
        <v>197</v>
      </c>
      <c r="E28" s="36" t="s">
        <v>198</v>
      </c>
      <c r="F28" s="36" t="s">
        <v>199</v>
      </c>
      <c r="G28" s="37" t="s">
        <v>59</v>
      </c>
      <c r="H28" s="38" t="s">
        <v>29</v>
      </c>
      <c r="I28" s="38" t="s">
        <v>48</v>
      </c>
      <c r="J28" s="39" t="s">
        <v>49</v>
      </c>
      <c r="K28" s="34">
        <v>0.5</v>
      </c>
      <c r="L28" s="34" t="s">
        <v>50</v>
      </c>
      <c r="M28" s="26">
        <v>2020</v>
      </c>
      <c r="N28" s="26" t="s">
        <v>51</v>
      </c>
      <c r="O28" s="27" t="s">
        <v>40</v>
      </c>
      <c r="P28" s="26" t="s">
        <v>31</v>
      </c>
      <c r="Q28" s="27" t="s">
        <v>31</v>
      </c>
      <c r="R28" s="26">
        <v>20</v>
      </c>
      <c r="S28" s="26">
        <v>0.1</v>
      </c>
      <c r="T28" s="26">
        <v>0.4</v>
      </c>
      <c r="U28" s="26">
        <v>0</v>
      </c>
    </row>
    <row r="29" spans="1:21" ht="10.8" thickBot="1" x14ac:dyDescent="0.25">
      <c r="A29" s="36" t="s">
        <v>44</v>
      </c>
      <c r="B29" s="36" t="s">
        <v>45</v>
      </c>
      <c r="C29" s="36" t="s">
        <v>46</v>
      </c>
      <c r="D29" s="36" t="s">
        <v>200</v>
      </c>
      <c r="E29" s="36" t="s">
        <v>201</v>
      </c>
      <c r="F29" s="36" t="s">
        <v>202</v>
      </c>
      <c r="G29" s="37" t="s">
        <v>57</v>
      </c>
      <c r="H29" s="38" t="s">
        <v>32</v>
      </c>
      <c r="I29" s="38" t="s">
        <v>48</v>
      </c>
      <c r="J29" s="39" t="s">
        <v>49</v>
      </c>
      <c r="K29" s="34">
        <v>1</v>
      </c>
      <c r="L29" s="34" t="s">
        <v>50</v>
      </c>
      <c r="M29" s="26">
        <v>2020</v>
      </c>
      <c r="N29" s="26" t="s">
        <v>51</v>
      </c>
      <c r="O29" s="27" t="s">
        <v>41</v>
      </c>
      <c r="P29" s="26" t="s">
        <v>31</v>
      </c>
      <c r="Q29" s="27" t="s">
        <v>31</v>
      </c>
      <c r="R29" s="26">
        <v>40</v>
      </c>
      <c r="S29" s="26">
        <v>0.4</v>
      </c>
      <c r="T29" s="26">
        <v>0.6</v>
      </c>
      <c r="U29" s="26">
        <v>0</v>
      </c>
    </row>
    <row r="30" spans="1:21" ht="10.8" thickBot="1" x14ac:dyDescent="0.25">
      <c r="A30" s="36" t="s">
        <v>44</v>
      </c>
      <c r="B30" s="36" t="s">
        <v>45</v>
      </c>
      <c r="C30" s="36" t="s">
        <v>46</v>
      </c>
      <c r="D30" s="36" t="s">
        <v>203</v>
      </c>
      <c r="E30" s="36" t="s">
        <v>204</v>
      </c>
      <c r="F30" s="36" t="s">
        <v>205</v>
      </c>
      <c r="G30" s="37" t="s">
        <v>59</v>
      </c>
      <c r="H30" s="38" t="s">
        <v>29</v>
      </c>
      <c r="I30" s="38" t="s">
        <v>48</v>
      </c>
      <c r="J30" s="39" t="s">
        <v>49</v>
      </c>
      <c r="K30" s="34">
        <v>0.5</v>
      </c>
      <c r="L30" s="34" t="s">
        <v>50</v>
      </c>
      <c r="M30" s="26">
        <v>2020</v>
      </c>
      <c r="N30" s="26" t="s">
        <v>51</v>
      </c>
      <c r="O30" s="27" t="s">
        <v>40</v>
      </c>
      <c r="P30" s="26" t="s">
        <v>31</v>
      </c>
      <c r="Q30" s="27" t="s">
        <v>31</v>
      </c>
      <c r="R30" s="26">
        <v>20</v>
      </c>
      <c r="S30" s="26">
        <v>0.1</v>
      </c>
      <c r="T30" s="26">
        <v>0.4</v>
      </c>
      <c r="U30" s="26">
        <v>0</v>
      </c>
    </row>
    <row r="31" spans="1:21" ht="10.8" thickBot="1" x14ac:dyDescent="0.25">
      <c r="A31" s="36" t="s">
        <v>44</v>
      </c>
      <c r="B31" s="36" t="s">
        <v>45</v>
      </c>
      <c r="C31" s="36" t="s">
        <v>46</v>
      </c>
      <c r="D31" s="36" t="s">
        <v>206</v>
      </c>
      <c r="E31" s="36" t="s">
        <v>207</v>
      </c>
      <c r="F31" s="36" t="s">
        <v>208</v>
      </c>
      <c r="G31" s="37" t="s">
        <v>55</v>
      </c>
      <c r="H31" s="38" t="s">
        <v>29</v>
      </c>
      <c r="I31" s="38" t="s">
        <v>48</v>
      </c>
      <c r="J31" s="39" t="s">
        <v>49</v>
      </c>
      <c r="K31" s="34">
        <v>0.5</v>
      </c>
      <c r="L31" s="34" t="s">
        <v>50</v>
      </c>
      <c r="M31" s="26">
        <v>2020</v>
      </c>
      <c r="N31" s="26" t="s">
        <v>51</v>
      </c>
      <c r="O31" s="27" t="s">
        <v>40</v>
      </c>
      <c r="P31" s="26" t="s">
        <v>31</v>
      </c>
      <c r="Q31" s="27" t="s">
        <v>31</v>
      </c>
      <c r="R31" s="26">
        <v>20</v>
      </c>
      <c r="S31" s="26">
        <v>0.1</v>
      </c>
      <c r="T31" s="26">
        <v>0.4</v>
      </c>
      <c r="U31" s="26">
        <v>0</v>
      </c>
    </row>
    <row r="32" spans="1:21" x14ac:dyDescent="0.2">
      <c r="A32" s="26" t="s">
        <v>44</v>
      </c>
      <c r="B32" s="26" t="s">
        <v>45</v>
      </c>
      <c r="C32" s="26" t="s">
        <v>46</v>
      </c>
      <c r="D32" s="26" t="s">
        <v>309</v>
      </c>
      <c r="E32" s="26" t="s">
        <v>310</v>
      </c>
      <c r="F32" s="26" t="s">
        <v>311</v>
      </c>
      <c r="G32" s="26" t="s">
        <v>73</v>
      </c>
      <c r="H32" s="26" t="s">
        <v>32</v>
      </c>
      <c r="I32" s="26" t="s">
        <v>48</v>
      </c>
      <c r="J32" s="26" t="s">
        <v>49</v>
      </c>
      <c r="K32" s="34">
        <v>1</v>
      </c>
      <c r="L32" s="34" t="s">
        <v>50</v>
      </c>
      <c r="M32" s="26">
        <v>2021</v>
      </c>
      <c r="N32" s="26" t="s">
        <v>51</v>
      </c>
      <c r="O32" s="27" t="s">
        <v>30</v>
      </c>
      <c r="P32" s="26" t="s">
        <v>31</v>
      </c>
      <c r="Q32" s="27" t="s">
        <v>31</v>
      </c>
      <c r="R32" s="26">
        <v>50</v>
      </c>
      <c r="S32" s="26">
        <v>0.5</v>
      </c>
      <c r="T32" s="26">
        <v>0.5</v>
      </c>
      <c r="U32" s="26">
        <v>0</v>
      </c>
    </row>
    <row r="33" spans="1:21" x14ac:dyDescent="0.2">
      <c r="A33" s="26" t="s">
        <v>44</v>
      </c>
      <c r="B33" s="26" t="s">
        <v>45</v>
      </c>
      <c r="C33" s="26" t="s">
        <v>46</v>
      </c>
      <c r="D33" s="26" t="s">
        <v>312</v>
      </c>
      <c r="E33" s="26" t="s">
        <v>313</v>
      </c>
      <c r="F33" s="26" t="s">
        <v>314</v>
      </c>
      <c r="G33" s="26" t="s">
        <v>59</v>
      </c>
      <c r="H33" s="26" t="s">
        <v>32</v>
      </c>
      <c r="I33" s="26" t="s">
        <v>48</v>
      </c>
      <c r="J33" s="26" t="s">
        <v>49</v>
      </c>
      <c r="K33" s="34">
        <v>1</v>
      </c>
      <c r="L33" s="34" t="s">
        <v>50</v>
      </c>
      <c r="M33" s="26">
        <v>2021</v>
      </c>
      <c r="N33" s="26" t="s">
        <v>51</v>
      </c>
      <c r="O33" s="27" t="s">
        <v>40</v>
      </c>
      <c r="P33" s="26" t="s">
        <v>31</v>
      </c>
      <c r="Q33" s="27" t="s">
        <v>31</v>
      </c>
      <c r="R33" s="26">
        <v>20</v>
      </c>
      <c r="S33" s="26">
        <v>0.2</v>
      </c>
      <c r="T33" s="26">
        <v>0.8</v>
      </c>
      <c r="U33" s="26">
        <v>0</v>
      </c>
    </row>
    <row r="34" spans="1:21" x14ac:dyDescent="0.2">
      <c r="A34" s="26" t="s">
        <v>44</v>
      </c>
      <c r="B34" s="26" t="s">
        <v>45</v>
      </c>
      <c r="C34" s="26" t="s">
        <v>46</v>
      </c>
      <c r="D34" s="26" t="s">
        <v>315</v>
      </c>
      <c r="E34" s="26" t="s">
        <v>316</v>
      </c>
      <c r="F34" s="26" t="s">
        <v>317</v>
      </c>
      <c r="G34" s="26" t="s">
        <v>62</v>
      </c>
      <c r="H34" s="26" t="s">
        <v>32</v>
      </c>
      <c r="I34" s="26" t="s">
        <v>48</v>
      </c>
      <c r="J34" s="26" t="s">
        <v>49</v>
      </c>
      <c r="K34" s="34">
        <v>1</v>
      </c>
      <c r="L34" s="34" t="s">
        <v>50</v>
      </c>
      <c r="M34" s="26">
        <v>2021</v>
      </c>
      <c r="N34" s="26" t="s">
        <v>51</v>
      </c>
      <c r="O34" s="27" t="s">
        <v>34</v>
      </c>
      <c r="P34" s="26" t="s">
        <v>31</v>
      </c>
      <c r="Q34" s="27" t="s">
        <v>31</v>
      </c>
      <c r="R34" s="26">
        <v>10</v>
      </c>
      <c r="S34" s="26">
        <v>0.1</v>
      </c>
      <c r="T34" s="26">
        <v>0.9</v>
      </c>
      <c r="U34" s="26">
        <v>0</v>
      </c>
    </row>
    <row r="35" spans="1:21" x14ac:dyDescent="0.2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5"/>
      <c r="P35" s="54"/>
      <c r="Q35" s="55"/>
      <c r="R35" s="54"/>
      <c r="S35" s="62">
        <f>SUM(S2:S34)</f>
        <v>8.4499999999999975</v>
      </c>
      <c r="T35" s="54"/>
      <c r="U35" s="54"/>
    </row>
  </sheetData>
  <autoFilter ref="A1:U1" xr:uid="{00000000-0009-0000-0000-000000000000}">
    <sortState xmlns:xlrd2="http://schemas.microsoft.com/office/spreadsheetml/2017/richdata2" ref="A2:T1871">
      <sortCondition ref="K4:K1871"/>
      <sortCondition ref="L4:L1871"/>
      <sortCondition ref="D4:D1871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7"/>
  <sheetViews>
    <sheetView zoomScaleNormal="100" workbookViewId="0">
      <selection activeCell="J13" sqref="J13"/>
    </sheetView>
  </sheetViews>
  <sheetFormatPr baseColWidth="10" defaultColWidth="11.44140625" defaultRowHeight="13.2" x14ac:dyDescent="0.25"/>
  <cols>
    <col min="1" max="1" width="10.5546875" style="18" bestFit="1" customWidth="1"/>
    <col min="2" max="2" width="34.44140625" style="18" bestFit="1" customWidth="1"/>
    <col min="3" max="3" width="14.5546875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20" t="s">
        <v>98</v>
      </c>
      <c r="B1" s="20" t="s">
        <v>99</v>
      </c>
      <c r="C1" s="20" t="s">
        <v>100</v>
      </c>
      <c r="D1" s="21">
        <v>2017</v>
      </c>
      <c r="E1" s="21">
        <v>2018</v>
      </c>
      <c r="F1" s="21">
        <v>2019</v>
      </c>
      <c r="G1" s="21">
        <v>2020</v>
      </c>
      <c r="H1" s="21">
        <v>2021</v>
      </c>
      <c r="I1" s="21">
        <v>2022</v>
      </c>
      <c r="J1" s="20" t="s">
        <v>101</v>
      </c>
      <c r="K1" s="22" t="s">
        <v>186</v>
      </c>
      <c r="L1" s="15" t="s">
        <v>102</v>
      </c>
      <c r="M1" s="15" t="s">
        <v>103</v>
      </c>
      <c r="N1" s="15" t="s">
        <v>104</v>
      </c>
      <c r="O1" s="15" t="s">
        <v>105</v>
      </c>
      <c r="P1" s="16" t="s">
        <v>106</v>
      </c>
      <c r="Q1" s="16" t="s">
        <v>107</v>
      </c>
      <c r="R1" s="16" t="s">
        <v>108</v>
      </c>
      <c r="S1" s="16" t="s">
        <v>109</v>
      </c>
    </row>
    <row r="2" spans="1:19" ht="14.4" x14ac:dyDescent="0.3">
      <c r="A2" s="23" t="s">
        <v>318</v>
      </c>
      <c r="B2" s="23" t="s">
        <v>319</v>
      </c>
      <c r="C2" s="23" t="s">
        <v>320</v>
      </c>
      <c r="D2" s="23"/>
      <c r="E2" s="23"/>
      <c r="F2" s="23"/>
      <c r="G2" s="23"/>
      <c r="H2" s="23"/>
      <c r="I2" s="23">
        <v>1</v>
      </c>
      <c r="J2" s="23">
        <v>1</v>
      </c>
      <c r="K2" s="23" t="s">
        <v>50</v>
      </c>
      <c r="L2" s="24" t="s">
        <v>51</v>
      </c>
      <c r="M2" s="24" t="s">
        <v>34</v>
      </c>
      <c r="N2" s="24" t="s">
        <v>31</v>
      </c>
      <c r="O2" s="24" t="s">
        <v>31</v>
      </c>
      <c r="P2" s="24">
        <v>10</v>
      </c>
      <c r="Q2" s="24">
        <v>0.9</v>
      </c>
      <c r="R2" s="24">
        <v>0</v>
      </c>
      <c r="S2" s="24">
        <v>0.1</v>
      </c>
    </row>
    <row r="3" spans="1:19" ht="14.4" x14ac:dyDescent="0.3">
      <c r="A3" s="23" t="s">
        <v>115</v>
      </c>
      <c r="B3" s="23" t="s">
        <v>116</v>
      </c>
      <c r="C3" s="23" t="s">
        <v>110</v>
      </c>
      <c r="D3" s="23">
        <v>1</v>
      </c>
      <c r="E3" s="23"/>
      <c r="F3" s="23"/>
      <c r="G3" s="23"/>
      <c r="H3" s="23"/>
      <c r="I3" s="23"/>
      <c r="J3" s="23">
        <v>1</v>
      </c>
      <c r="K3" s="23" t="s">
        <v>50</v>
      </c>
      <c r="L3" s="24" t="s">
        <v>51</v>
      </c>
      <c r="M3" s="24" t="s">
        <v>30</v>
      </c>
      <c r="N3" s="24" t="s">
        <v>31</v>
      </c>
      <c r="O3" s="24" t="s">
        <v>31</v>
      </c>
      <c r="P3" s="24">
        <v>50</v>
      </c>
      <c r="Q3" s="24">
        <v>0.5</v>
      </c>
      <c r="R3" s="24">
        <v>0</v>
      </c>
      <c r="S3" s="24">
        <v>0.5</v>
      </c>
    </row>
    <row r="4" spans="1:19" ht="14.4" x14ac:dyDescent="0.3">
      <c r="A4" s="23" t="s">
        <v>131</v>
      </c>
      <c r="B4" s="23" t="s">
        <v>132</v>
      </c>
      <c r="C4" s="23" t="s">
        <v>110</v>
      </c>
      <c r="D4" s="23"/>
      <c r="E4" s="23"/>
      <c r="F4" s="23"/>
      <c r="G4" s="23">
        <v>1</v>
      </c>
      <c r="H4" s="23"/>
      <c r="I4" s="23"/>
      <c r="J4" s="23">
        <v>1</v>
      </c>
      <c r="K4" s="23" t="s">
        <v>50</v>
      </c>
      <c r="L4" s="24" t="s">
        <v>51</v>
      </c>
      <c r="M4" s="24" t="s">
        <v>41</v>
      </c>
      <c r="N4" s="24" t="s">
        <v>31</v>
      </c>
      <c r="O4" s="24" t="s">
        <v>31</v>
      </c>
      <c r="P4" s="24">
        <v>40</v>
      </c>
      <c r="Q4" s="24">
        <v>0.6</v>
      </c>
      <c r="R4" s="24">
        <v>0</v>
      </c>
      <c r="S4" s="24">
        <v>0.4</v>
      </c>
    </row>
    <row r="5" spans="1:19" ht="14.4" x14ac:dyDescent="0.3">
      <c r="A5" s="23" t="s">
        <v>133</v>
      </c>
      <c r="B5" s="23" t="s">
        <v>134</v>
      </c>
      <c r="C5" s="23">
        <v>6</v>
      </c>
      <c r="D5" s="23"/>
      <c r="E5" s="23"/>
      <c r="F5" s="23">
        <v>1</v>
      </c>
      <c r="G5" s="23"/>
      <c r="H5" s="23">
        <v>1</v>
      </c>
      <c r="I5" s="23"/>
      <c r="J5" s="23">
        <v>2</v>
      </c>
      <c r="K5" s="23" t="s">
        <v>50</v>
      </c>
      <c r="L5" s="24" t="s">
        <v>51</v>
      </c>
      <c r="M5" s="24" t="s">
        <v>40</v>
      </c>
      <c r="N5" s="24" t="s">
        <v>31</v>
      </c>
      <c r="O5" s="24" t="s">
        <v>31</v>
      </c>
      <c r="P5" s="24">
        <v>20</v>
      </c>
      <c r="Q5" s="24">
        <v>1.6</v>
      </c>
      <c r="R5" s="24">
        <v>0</v>
      </c>
      <c r="S5" s="24">
        <v>0.4</v>
      </c>
    </row>
    <row r="6" spans="1:19" ht="14.4" x14ac:dyDescent="0.3">
      <c r="A6" s="23" t="s">
        <v>125</v>
      </c>
      <c r="B6" s="23" t="s">
        <v>126</v>
      </c>
      <c r="C6" s="23" t="s">
        <v>110</v>
      </c>
      <c r="D6" s="23"/>
      <c r="E6" s="23"/>
      <c r="F6" s="23"/>
      <c r="G6" s="23"/>
      <c r="H6" s="23"/>
      <c r="I6" s="23">
        <v>1</v>
      </c>
      <c r="J6" s="23">
        <v>1</v>
      </c>
      <c r="K6" s="23" t="s">
        <v>50</v>
      </c>
      <c r="L6" s="24" t="s">
        <v>51</v>
      </c>
      <c r="M6" s="24" t="s">
        <v>34</v>
      </c>
      <c r="N6" s="24" t="s">
        <v>31</v>
      </c>
      <c r="O6" s="24" t="s">
        <v>31</v>
      </c>
      <c r="P6" s="24">
        <v>10</v>
      </c>
      <c r="Q6" s="24">
        <v>0.9</v>
      </c>
      <c r="R6" s="24">
        <v>0</v>
      </c>
      <c r="S6" s="24">
        <v>0.1</v>
      </c>
    </row>
    <row r="7" spans="1:19" ht="14.4" x14ac:dyDescent="0.3">
      <c r="A7" s="23" t="s">
        <v>113</v>
      </c>
      <c r="B7" s="23" t="s">
        <v>114</v>
      </c>
      <c r="C7" s="23" t="s">
        <v>110</v>
      </c>
      <c r="D7" s="23"/>
      <c r="E7" s="23">
        <v>1</v>
      </c>
      <c r="F7" s="23">
        <v>1</v>
      </c>
      <c r="G7" s="23"/>
      <c r="H7" s="23"/>
      <c r="I7" s="23"/>
      <c r="J7" s="23">
        <v>2</v>
      </c>
      <c r="K7" s="23" t="s">
        <v>50</v>
      </c>
      <c r="L7" s="24" t="s">
        <v>51</v>
      </c>
      <c r="M7" s="24" t="s">
        <v>72</v>
      </c>
      <c r="N7" s="24" t="s">
        <v>31</v>
      </c>
      <c r="O7" s="24" t="s">
        <v>31</v>
      </c>
      <c r="P7" s="24">
        <v>35</v>
      </c>
      <c r="Q7" s="24">
        <v>1.3</v>
      </c>
      <c r="R7" s="24">
        <v>0</v>
      </c>
      <c r="S7" s="24">
        <v>0.7</v>
      </c>
    </row>
    <row r="8" spans="1:19" ht="14.4" x14ac:dyDescent="0.3">
      <c r="A8" s="23" t="s">
        <v>127</v>
      </c>
      <c r="B8" s="23" t="s">
        <v>128</v>
      </c>
      <c r="C8" s="23" t="s">
        <v>110</v>
      </c>
      <c r="D8" s="23"/>
      <c r="E8" s="23"/>
      <c r="F8" s="23"/>
      <c r="G8" s="23">
        <v>1</v>
      </c>
      <c r="H8" s="23"/>
      <c r="I8" s="23"/>
      <c r="J8" s="23">
        <v>1</v>
      </c>
      <c r="K8" s="23" t="s">
        <v>50</v>
      </c>
      <c r="L8" s="24" t="s">
        <v>51</v>
      </c>
      <c r="M8" s="24" t="s">
        <v>40</v>
      </c>
      <c r="N8" s="24" t="s">
        <v>31</v>
      </c>
      <c r="O8" s="24" t="s">
        <v>31</v>
      </c>
      <c r="P8" s="24">
        <v>20</v>
      </c>
      <c r="Q8" s="24">
        <v>0.8</v>
      </c>
      <c r="R8" s="24">
        <v>0</v>
      </c>
      <c r="S8" s="24">
        <v>0.2</v>
      </c>
    </row>
    <row r="9" spans="1:19" ht="14.4" x14ac:dyDescent="0.3">
      <c r="A9" s="23" t="s">
        <v>121</v>
      </c>
      <c r="B9" s="23" t="s">
        <v>122</v>
      </c>
      <c r="C9" s="23" t="s">
        <v>110</v>
      </c>
      <c r="D9" s="23"/>
      <c r="E9" s="23">
        <v>1</v>
      </c>
      <c r="F9" s="23"/>
      <c r="G9" s="23"/>
      <c r="H9" s="23"/>
      <c r="I9" s="23"/>
      <c r="J9" s="23">
        <v>1</v>
      </c>
      <c r="K9" s="23" t="s">
        <v>50</v>
      </c>
      <c r="L9" s="24" t="s">
        <v>51</v>
      </c>
      <c r="M9" s="24" t="s">
        <v>40</v>
      </c>
      <c r="N9" s="24" t="s">
        <v>31</v>
      </c>
      <c r="O9" s="24" t="s">
        <v>31</v>
      </c>
      <c r="P9" s="24">
        <v>20</v>
      </c>
      <c r="Q9" s="24">
        <v>0.8</v>
      </c>
      <c r="R9" s="24">
        <v>0</v>
      </c>
      <c r="S9" s="24">
        <v>0.2</v>
      </c>
    </row>
    <row r="10" spans="1:19" ht="14.4" x14ac:dyDescent="0.3">
      <c r="A10" s="23" t="s">
        <v>321</v>
      </c>
      <c r="B10" s="23" t="s">
        <v>322</v>
      </c>
      <c r="C10" s="23" t="s">
        <v>320</v>
      </c>
      <c r="D10" s="23"/>
      <c r="E10" s="23"/>
      <c r="F10" s="23"/>
      <c r="G10" s="23">
        <v>1</v>
      </c>
      <c r="H10" s="23"/>
      <c r="I10" s="23"/>
      <c r="J10" s="23">
        <v>1</v>
      </c>
      <c r="K10" s="23" t="s">
        <v>50</v>
      </c>
      <c r="L10" s="24" t="s">
        <v>51</v>
      </c>
      <c r="M10" s="24" t="s">
        <v>34</v>
      </c>
      <c r="N10" s="24" t="s">
        <v>31</v>
      </c>
      <c r="O10" s="24" t="s">
        <v>31</v>
      </c>
      <c r="P10" s="24">
        <v>10</v>
      </c>
      <c r="Q10" s="24">
        <v>0.9</v>
      </c>
      <c r="R10" s="24">
        <v>0</v>
      </c>
      <c r="S10" s="24">
        <v>0.1</v>
      </c>
    </row>
    <row r="11" spans="1:19" ht="14.4" x14ac:dyDescent="0.3">
      <c r="A11" s="23" t="s">
        <v>129</v>
      </c>
      <c r="B11" s="23" t="s">
        <v>130</v>
      </c>
      <c r="C11" s="23" t="s">
        <v>110</v>
      </c>
      <c r="D11" s="23"/>
      <c r="E11" s="23"/>
      <c r="F11" s="23"/>
      <c r="G11" s="23"/>
      <c r="H11" s="23">
        <v>1</v>
      </c>
      <c r="I11" s="23"/>
      <c r="J11" s="23">
        <v>1</v>
      </c>
      <c r="K11" s="23" t="s">
        <v>50</v>
      </c>
      <c r="L11" s="24" t="s">
        <v>51</v>
      </c>
      <c r="M11" s="24" t="s">
        <v>40</v>
      </c>
      <c r="N11" s="24" t="s">
        <v>31</v>
      </c>
      <c r="O11" s="24" t="s">
        <v>31</v>
      </c>
      <c r="P11" s="24">
        <v>20</v>
      </c>
      <c r="Q11" s="24">
        <v>0.8</v>
      </c>
      <c r="R11" s="24">
        <v>0</v>
      </c>
      <c r="S11" s="24">
        <v>0.2</v>
      </c>
    </row>
    <row r="12" spans="1:19" ht="14.4" x14ac:dyDescent="0.3">
      <c r="A12" s="23" t="s">
        <v>323</v>
      </c>
      <c r="B12" s="23" t="s">
        <v>324</v>
      </c>
      <c r="C12" s="23" t="s">
        <v>110</v>
      </c>
      <c r="D12" s="23"/>
      <c r="E12" s="23"/>
      <c r="F12" s="23"/>
      <c r="G12" s="23"/>
      <c r="H12" s="23"/>
      <c r="I12" s="23">
        <v>3</v>
      </c>
      <c r="J12" s="23">
        <v>3</v>
      </c>
      <c r="K12" s="23" t="s">
        <v>50</v>
      </c>
      <c r="L12" s="24" t="s">
        <v>51</v>
      </c>
      <c r="M12" s="24" t="s">
        <v>30</v>
      </c>
      <c r="N12" s="24" t="s">
        <v>31</v>
      </c>
      <c r="O12" s="24" t="s">
        <v>31</v>
      </c>
      <c r="P12" s="24">
        <v>50</v>
      </c>
      <c r="Q12" s="24">
        <v>1.5</v>
      </c>
      <c r="R12" s="24">
        <v>0</v>
      </c>
      <c r="S12" s="24">
        <v>1.5</v>
      </c>
    </row>
    <row r="13" spans="1:19" ht="14.4" x14ac:dyDescent="0.3">
      <c r="A13" s="23" t="s">
        <v>117</v>
      </c>
      <c r="B13" s="23" t="s">
        <v>118</v>
      </c>
      <c r="C13" s="23">
        <v>6</v>
      </c>
      <c r="D13" s="23"/>
      <c r="E13" s="23"/>
      <c r="F13" s="23"/>
      <c r="G13" s="23"/>
      <c r="H13" s="23"/>
      <c r="I13" s="23"/>
      <c r="J13" s="23">
        <v>1</v>
      </c>
      <c r="K13" s="23" t="s">
        <v>50</v>
      </c>
      <c r="L13" s="24" t="s">
        <v>51</v>
      </c>
      <c r="M13" s="24" t="s">
        <v>40</v>
      </c>
      <c r="N13" s="24" t="s">
        <v>31</v>
      </c>
      <c r="O13" s="24" t="s">
        <v>31</v>
      </c>
      <c r="P13" s="24">
        <v>20</v>
      </c>
      <c r="Q13" s="24">
        <v>0.8</v>
      </c>
      <c r="R13" s="24">
        <v>0</v>
      </c>
      <c r="S13" s="24">
        <v>0.2</v>
      </c>
    </row>
    <row r="14" spans="1:19" ht="14.4" x14ac:dyDescent="0.3">
      <c r="A14" s="23" t="s">
        <v>111</v>
      </c>
      <c r="B14" s="23" t="s">
        <v>112</v>
      </c>
      <c r="C14" s="23" t="s">
        <v>110</v>
      </c>
      <c r="D14" s="23">
        <v>1</v>
      </c>
      <c r="E14" s="23"/>
      <c r="F14" s="23">
        <v>1</v>
      </c>
      <c r="G14" s="23"/>
      <c r="H14" s="23"/>
      <c r="I14" s="23"/>
      <c r="J14" s="23">
        <v>2</v>
      </c>
      <c r="K14" s="23" t="s">
        <v>50</v>
      </c>
      <c r="L14" s="24" t="s">
        <v>51</v>
      </c>
      <c r="M14" s="24" t="s">
        <v>34</v>
      </c>
      <c r="N14" s="24" t="s">
        <v>31</v>
      </c>
      <c r="O14" s="24" t="s">
        <v>31</v>
      </c>
      <c r="P14" s="24">
        <v>10</v>
      </c>
      <c r="Q14" s="24">
        <v>1.8</v>
      </c>
      <c r="R14" s="24">
        <v>0</v>
      </c>
      <c r="S14" s="24">
        <v>0.2</v>
      </c>
    </row>
    <row r="15" spans="1:19" ht="14.4" x14ac:dyDescent="0.3">
      <c r="A15" s="23" t="s">
        <v>119</v>
      </c>
      <c r="B15" s="23" t="s">
        <v>120</v>
      </c>
      <c r="C15" s="25" t="s">
        <v>187</v>
      </c>
      <c r="D15" s="23"/>
      <c r="E15" s="23"/>
      <c r="F15" s="23"/>
      <c r="G15" s="23"/>
      <c r="H15" s="23"/>
      <c r="I15" s="23">
        <v>1</v>
      </c>
      <c r="J15" s="23">
        <v>1</v>
      </c>
      <c r="K15" s="23" t="s">
        <v>50</v>
      </c>
      <c r="L15" s="24" t="s">
        <v>51</v>
      </c>
      <c r="M15" s="24" t="s">
        <v>41</v>
      </c>
      <c r="N15" s="24" t="s">
        <v>31</v>
      </c>
      <c r="O15" s="24" t="s">
        <v>31</v>
      </c>
      <c r="P15" s="24">
        <v>40</v>
      </c>
      <c r="Q15" s="24">
        <v>0.6</v>
      </c>
      <c r="R15" s="24">
        <v>0</v>
      </c>
      <c r="S15" s="24">
        <v>0.4</v>
      </c>
    </row>
    <row r="16" spans="1:19" ht="14.4" x14ac:dyDescent="0.3">
      <c r="A16" s="23" t="s">
        <v>123</v>
      </c>
      <c r="B16" s="23" t="s">
        <v>124</v>
      </c>
      <c r="C16" s="25" t="s">
        <v>187</v>
      </c>
      <c r="D16" s="23"/>
      <c r="E16" s="23"/>
      <c r="F16" s="23"/>
      <c r="G16" s="23"/>
      <c r="H16" s="23"/>
      <c r="I16" s="23">
        <v>1</v>
      </c>
      <c r="J16" s="23">
        <v>1</v>
      </c>
      <c r="K16" s="23" t="s">
        <v>50</v>
      </c>
      <c r="L16" s="24" t="s">
        <v>51</v>
      </c>
      <c r="M16" s="24" t="s">
        <v>40</v>
      </c>
      <c r="N16" s="24" t="s">
        <v>31</v>
      </c>
      <c r="O16" s="24" t="s">
        <v>31</v>
      </c>
      <c r="P16" s="24">
        <v>20</v>
      </c>
      <c r="Q16" s="24">
        <v>0.8</v>
      </c>
      <c r="R16" s="24">
        <v>0</v>
      </c>
      <c r="S16" s="24">
        <v>0.2</v>
      </c>
    </row>
    <row r="17" spans="1:19" x14ac:dyDescent="0.25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7"/>
      <c r="O17" s="56"/>
      <c r="P17" s="57"/>
      <c r="Q17" s="56"/>
      <c r="R17" s="56"/>
      <c r="S17" s="63">
        <f>SUM(S2:S16)</f>
        <v>5.4000000000000012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3"/>
  <sheetViews>
    <sheetView topLeftCell="A22" zoomScaleNormal="100" workbookViewId="0">
      <selection activeCell="A39" sqref="A39:B43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135</v>
      </c>
      <c r="B3" s="5">
        <v>22757.95</v>
      </c>
    </row>
    <row r="4" spans="1:2" x14ac:dyDescent="0.2">
      <c r="A4" s="4" t="s">
        <v>4</v>
      </c>
      <c r="B4" s="5"/>
    </row>
    <row r="5" spans="1:2" x14ac:dyDescent="0.2">
      <c r="A5" s="4" t="s">
        <v>136</v>
      </c>
      <c r="B5" s="5">
        <v>2900</v>
      </c>
    </row>
    <row r="6" spans="1:2" x14ac:dyDescent="0.2">
      <c r="A6" s="4" t="s">
        <v>137</v>
      </c>
      <c r="B6" s="5">
        <v>2900</v>
      </c>
    </row>
    <row r="7" spans="1:2" x14ac:dyDescent="0.2">
      <c r="A7" s="4" t="s">
        <v>138</v>
      </c>
      <c r="B7" s="5">
        <v>2900</v>
      </c>
    </row>
    <row r="8" spans="1:2" x14ac:dyDescent="0.2">
      <c r="A8" s="4" t="s">
        <v>139</v>
      </c>
      <c r="B8" s="5">
        <v>2900</v>
      </c>
    </row>
    <row r="9" spans="1:2" x14ac:dyDescent="0.2">
      <c r="A9" s="4" t="s">
        <v>140</v>
      </c>
      <c r="B9" s="5">
        <v>2900</v>
      </c>
    </row>
    <row r="10" spans="1:2" x14ac:dyDescent="0.2">
      <c r="A10" s="4" t="s">
        <v>141</v>
      </c>
      <c r="B10" s="5">
        <v>2900</v>
      </c>
    </row>
    <row r="11" spans="1:2" x14ac:dyDescent="0.2">
      <c r="A11" s="4" t="s">
        <v>142</v>
      </c>
      <c r="B11" s="5">
        <v>2900</v>
      </c>
    </row>
    <row r="12" spans="1:2" x14ac:dyDescent="0.2">
      <c r="A12" s="4" t="s">
        <v>143</v>
      </c>
      <c r="B12" s="5">
        <v>2900</v>
      </c>
    </row>
    <row r="13" spans="1:2" x14ac:dyDescent="0.2">
      <c r="A13" s="4" t="s">
        <v>144</v>
      </c>
      <c r="B13" s="5">
        <v>2750</v>
      </c>
    </row>
    <row r="14" spans="1:2" x14ac:dyDescent="0.2">
      <c r="A14" s="4" t="s">
        <v>145</v>
      </c>
      <c r="B14" s="5">
        <v>2900</v>
      </c>
    </row>
    <row r="15" spans="1:2" x14ac:dyDescent="0.2">
      <c r="A15" s="4" t="s">
        <v>146</v>
      </c>
      <c r="B15" s="5">
        <v>2900</v>
      </c>
    </row>
    <row r="16" spans="1:2" x14ac:dyDescent="0.2">
      <c r="A16" s="4" t="s">
        <v>147</v>
      </c>
      <c r="B16" s="5">
        <v>2900</v>
      </c>
    </row>
    <row r="17" spans="1:2" x14ac:dyDescent="0.2">
      <c r="A17" s="4" t="s">
        <v>148</v>
      </c>
      <c r="B17" s="5">
        <v>2900</v>
      </c>
    </row>
    <row r="18" spans="1:2" x14ac:dyDescent="0.2">
      <c r="A18" s="4" t="s">
        <v>5</v>
      </c>
      <c r="B18" s="5"/>
    </row>
    <row r="19" spans="1:2" x14ac:dyDescent="0.2">
      <c r="A19" s="4" t="s">
        <v>149</v>
      </c>
      <c r="B19" s="5">
        <v>4214.88</v>
      </c>
    </row>
    <row r="20" spans="1:2" x14ac:dyDescent="0.2">
      <c r="A20" s="4" t="s">
        <v>150</v>
      </c>
      <c r="B20" s="5"/>
    </row>
    <row r="21" spans="1:2" x14ac:dyDescent="0.2">
      <c r="A21" s="4" t="s">
        <v>151</v>
      </c>
      <c r="B21" s="5">
        <v>200</v>
      </c>
    </row>
    <row r="22" spans="1:2" x14ac:dyDescent="0.2">
      <c r="A22" s="4" t="s">
        <v>152</v>
      </c>
      <c r="B22" s="5"/>
    </row>
    <row r="23" spans="1:2" x14ac:dyDescent="0.2">
      <c r="A23" s="4" t="s">
        <v>153</v>
      </c>
      <c r="B23" s="5">
        <v>650</v>
      </c>
    </row>
    <row r="24" spans="1:2" x14ac:dyDescent="0.2">
      <c r="A24" s="4" t="s">
        <v>154</v>
      </c>
      <c r="B24" s="5"/>
    </row>
    <row r="25" spans="1:2" x14ac:dyDescent="0.2">
      <c r="A25" s="4" t="s">
        <v>155</v>
      </c>
      <c r="B25" s="5">
        <v>150</v>
      </c>
    </row>
    <row r="26" spans="1:2" x14ac:dyDescent="0.2">
      <c r="A26" s="4" t="s">
        <v>156</v>
      </c>
      <c r="B26" s="5"/>
    </row>
    <row r="27" spans="1:2" x14ac:dyDescent="0.2">
      <c r="A27" s="4" t="s">
        <v>157</v>
      </c>
      <c r="B27" s="5">
        <v>650</v>
      </c>
    </row>
    <row r="28" spans="1:2" x14ac:dyDescent="0.2">
      <c r="A28" s="4" t="s">
        <v>158</v>
      </c>
      <c r="B28" s="5"/>
    </row>
    <row r="29" spans="1:2" x14ac:dyDescent="0.2">
      <c r="A29" s="4" t="s">
        <v>159</v>
      </c>
      <c r="B29" s="5">
        <v>550</v>
      </c>
    </row>
    <row r="30" spans="1:2" x14ac:dyDescent="0.2">
      <c r="A30" s="4" t="s">
        <v>160</v>
      </c>
      <c r="B30" s="5"/>
    </row>
    <row r="31" spans="1:2" x14ac:dyDescent="0.2">
      <c r="A31" s="4" t="s">
        <v>161</v>
      </c>
      <c r="B31" s="5">
        <v>500</v>
      </c>
    </row>
    <row r="32" spans="1:2" x14ac:dyDescent="0.2">
      <c r="A32" s="4" t="s">
        <v>162</v>
      </c>
      <c r="B32" s="5"/>
    </row>
    <row r="33" spans="1:2" x14ac:dyDescent="0.2">
      <c r="A33" s="4" t="s">
        <v>163</v>
      </c>
      <c r="B33" s="5">
        <v>150</v>
      </c>
    </row>
    <row r="34" spans="1:2" x14ac:dyDescent="0.2">
      <c r="A34" s="4" t="s">
        <v>164</v>
      </c>
      <c r="B34" s="5"/>
    </row>
    <row r="35" spans="1:2" x14ac:dyDescent="0.2">
      <c r="A35" s="4" t="s">
        <v>165</v>
      </c>
      <c r="B35" s="5">
        <v>150</v>
      </c>
    </row>
    <row r="36" spans="1:2" x14ac:dyDescent="0.2">
      <c r="A36" s="4" t="s">
        <v>166</v>
      </c>
      <c r="B36" s="5"/>
    </row>
    <row r="37" spans="1:2" x14ac:dyDescent="0.2">
      <c r="A37" s="4" t="s">
        <v>167</v>
      </c>
      <c r="B37" s="5">
        <v>800</v>
      </c>
    </row>
    <row r="38" spans="1:2" x14ac:dyDescent="0.2">
      <c r="A38" s="4" t="s">
        <v>6</v>
      </c>
      <c r="B38" s="5"/>
    </row>
    <row r="39" spans="1:2" x14ac:dyDescent="0.2">
      <c r="A39" s="4" t="s">
        <v>168</v>
      </c>
      <c r="B39" s="5">
        <v>27000</v>
      </c>
    </row>
    <row r="40" spans="1:2" x14ac:dyDescent="0.2">
      <c r="A40" s="4" t="s">
        <v>169</v>
      </c>
      <c r="B40" s="5">
        <v>307.88</v>
      </c>
    </row>
    <row r="41" spans="1:2" x14ac:dyDescent="0.2">
      <c r="A41" s="4" t="s">
        <v>7</v>
      </c>
      <c r="B41" s="5"/>
    </row>
    <row r="42" spans="1:2" x14ac:dyDescent="0.2">
      <c r="A42" s="4" t="s">
        <v>170</v>
      </c>
      <c r="B42" s="5">
        <v>19602</v>
      </c>
    </row>
    <row r="43" spans="1:2" x14ac:dyDescent="0.2">
      <c r="A43" s="6" t="s">
        <v>2</v>
      </c>
      <c r="B43" s="7">
        <f>SUM(B3:B42)</f>
        <v>115232.70999999999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225BC-D734-460C-8F40-EB7654DBAE8C}">
  <dimension ref="A1:B55"/>
  <sheetViews>
    <sheetView topLeftCell="A31" zoomScaleNormal="100" workbookViewId="0">
      <selection activeCell="A56" sqref="A56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209</v>
      </c>
      <c r="B3" s="5">
        <v>13374.36</v>
      </c>
    </row>
    <row r="4" spans="1:2" x14ac:dyDescent="0.2">
      <c r="A4" s="4" t="s">
        <v>4</v>
      </c>
      <c r="B4" s="5"/>
    </row>
    <row r="5" spans="1:2" x14ac:dyDescent="0.2">
      <c r="A5" s="4" t="s">
        <v>210</v>
      </c>
      <c r="B5" s="5">
        <v>2552</v>
      </c>
    </row>
    <row r="6" spans="1:2" x14ac:dyDescent="0.2">
      <c r="A6" s="4" t="s">
        <v>211</v>
      </c>
      <c r="B6" s="5">
        <v>2552</v>
      </c>
    </row>
    <row r="7" spans="1:2" x14ac:dyDescent="0.2">
      <c r="A7" s="4" t="s">
        <v>212</v>
      </c>
      <c r="B7" s="5">
        <v>2552</v>
      </c>
    </row>
    <row r="8" spans="1:2" x14ac:dyDescent="0.2">
      <c r="A8" s="4" t="s">
        <v>213</v>
      </c>
      <c r="B8" s="5">
        <v>2552</v>
      </c>
    </row>
    <row r="9" spans="1:2" x14ac:dyDescent="0.2">
      <c r="A9" s="4" t="s">
        <v>214</v>
      </c>
      <c r="B9" s="5">
        <v>2552</v>
      </c>
    </row>
    <row r="10" spans="1:2" x14ac:dyDescent="0.2">
      <c r="A10" s="4" t="s">
        <v>215</v>
      </c>
      <c r="B10" s="5">
        <v>2552</v>
      </c>
    </row>
    <row r="11" spans="1:2" x14ac:dyDescent="0.2">
      <c r="A11" s="4" t="s">
        <v>216</v>
      </c>
      <c r="B11" s="5">
        <v>2552</v>
      </c>
    </row>
    <row r="12" spans="1:2" x14ac:dyDescent="0.2">
      <c r="A12" s="4" t="s">
        <v>217</v>
      </c>
      <c r="B12" s="5">
        <v>2552</v>
      </c>
    </row>
    <row r="13" spans="1:2" x14ac:dyDescent="0.2">
      <c r="A13" s="4" t="s">
        <v>218</v>
      </c>
      <c r="B13" s="5">
        <v>2552</v>
      </c>
    </row>
    <row r="14" spans="1:2" x14ac:dyDescent="0.2">
      <c r="A14" s="4" t="s">
        <v>219</v>
      </c>
      <c r="B14" s="5">
        <v>2552</v>
      </c>
    </row>
    <row r="15" spans="1:2" x14ac:dyDescent="0.2">
      <c r="A15" s="4" t="s">
        <v>220</v>
      </c>
      <c r="B15" s="5">
        <v>2552</v>
      </c>
    </row>
    <row r="16" spans="1:2" x14ac:dyDescent="0.2">
      <c r="A16" s="4" t="s">
        <v>221</v>
      </c>
      <c r="B16" s="5">
        <v>2552</v>
      </c>
    </row>
    <row r="17" spans="1:2" x14ac:dyDescent="0.2">
      <c r="A17" s="4" t="s">
        <v>158</v>
      </c>
      <c r="B17" s="5"/>
    </row>
    <row r="18" spans="1:2" x14ac:dyDescent="0.2">
      <c r="A18" s="4" t="s">
        <v>222</v>
      </c>
      <c r="B18" s="5">
        <v>11.81</v>
      </c>
    </row>
    <row r="19" spans="1:2" x14ac:dyDescent="0.2">
      <c r="A19" s="4" t="s">
        <v>223</v>
      </c>
      <c r="B19" s="5"/>
    </row>
    <row r="20" spans="1:2" x14ac:dyDescent="0.2">
      <c r="A20" s="4" t="s">
        <v>224</v>
      </c>
      <c r="B20" s="5">
        <v>572</v>
      </c>
    </row>
    <row r="21" spans="1:2" x14ac:dyDescent="0.2">
      <c r="A21" s="4" t="s">
        <v>225</v>
      </c>
      <c r="B21" s="5"/>
    </row>
    <row r="22" spans="1:2" x14ac:dyDescent="0.2">
      <c r="A22" s="4" t="s">
        <v>226</v>
      </c>
      <c r="B22" s="5">
        <v>528</v>
      </c>
    </row>
    <row r="23" spans="1:2" x14ac:dyDescent="0.2">
      <c r="A23" s="4" t="s">
        <v>227</v>
      </c>
      <c r="B23" s="5"/>
    </row>
    <row r="24" spans="1:2" x14ac:dyDescent="0.2">
      <c r="A24" s="4" t="s">
        <v>228</v>
      </c>
      <c r="B24" s="5">
        <v>132</v>
      </c>
    </row>
    <row r="25" spans="1:2" x14ac:dyDescent="0.2">
      <c r="A25" s="4" t="s">
        <v>229</v>
      </c>
      <c r="B25" s="5"/>
    </row>
    <row r="26" spans="1:2" x14ac:dyDescent="0.2">
      <c r="A26" s="4" t="s">
        <v>230</v>
      </c>
      <c r="B26" s="5">
        <v>704</v>
      </c>
    </row>
    <row r="27" spans="1:2" x14ac:dyDescent="0.2">
      <c r="A27" s="4" t="s">
        <v>231</v>
      </c>
      <c r="B27" s="5"/>
    </row>
    <row r="28" spans="1:2" x14ac:dyDescent="0.2">
      <c r="A28" s="4" t="s">
        <v>232</v>
      </c>
      <c r="B28" s="5">
        <v>572</v>
      </c>
    </row>
    <row r="29" spans="1:2" x14ac:dyDescent="0.2">
      <c r="A29" s="4" t="s">
        <v>233</v>
      </c>
      <c r="B29" s="5"/>
    </row>
    <row r="30" spans="1:2" x14ac:dyDescent="0.2">
      <c r="A30" s="4" t="s">
        <v>234</v>
      </c>
      <c r="B30" s="5">
        <v>440</v>
      </c>
    </row>
    <row r="31" spans="1:2" x14ac:dyDescent="0.2">
      <c r="A31" s="4" t="s">
        <v>235</v>
      </c>
      <c r="B31" s="5"/>
    </row>
    <row r="32" spans="1:2" x14ac:dyDescent="0.2">
      <c r="A32" s="4" t="s">
        <v>236</v>
      </c>
      <c r="B32" s="5">
        <v>132</v>
      </c>
    </row>
    <row r="33" spans="1:2" x14ac:dyDescent="0.2">
      <c r="A33" s="4" t="s">
        <v>237</v>
      </c>
      <c r="B33" s="5"/>
    </row>
    <row r="34" spans="1:2" x14ac:dyDescent="0.2">
      <c r="A34" s="4" t="s">
        <v>238</v>
      </c>
      <c r="B34" s="5">
        <v>132</v>
      </c>
    </row>
    <row r="35" spans="1:2" x14ac:dyDescent="0.2">
      <c r="A35" s="4" t="s">
        <v>239</v>
      </c>
      <c r="B35" s="5"/>
    </row>
    <row r="36" spans="1:2" x14ac:dyDescent="0.2">
      <c r="A36" s="4" t="s">
        <v>240</v>
      </c>
      <c r="B36" s="5">
        <v>528</v>
      </c>
    </row>
    <row r="37" spans="1:2" x14ac:dyDescent="0.2">
      <c r="A37" s="4" t="s">
        <v>241</v>
      </c>
      <c r="B37" s="5"/>
    </row>
    <row r="38" spans="1:2" x14ac:dyDescent="0.2">
      <c r="A38" s="4" t="s">
        <v>242</v>
      </c>
      <c r="B38" s="5">
        <v>1056</v>
      </c>
    </row>
    <row r="39" spans="1:2" x14ac:dyDescent="0.2">
      <c r="A39" s="4" t="s">
        <v>243</v>
      </c>
      <c r="B39" s="5"/>
    </row>
    <row r="40" spans="1:2" x14ac:dyDescent="0.2">
      <c r="A40" s="4" t="s">
        <v>244</v>
      </c>
      <c r="B40" s="5">
        <v>132</v>
      </c>
    </row>
    <row r="41" spans="1:2" x14ac:dyDescent="0.2">
      <c r="A41" s="4" t="s">
        <v>245</v>
      </c>
      <c r="B41" s="5"/>
    </row>
    <row r="42" spans="1:2" x14ac:dyDescent="0.2">
      <c r="A42" s="4" t="s">
        <v>246</v>
      </c>
      <c r="B42" s="5">
        <v>132</v>
      </c>
    </row>
    <row r="43" spans="1:2" x14ac:dyDescent="0.2">
      <c r="A43" s="4" t="s">
        <v>247</v>
      </c>
      <c r="B43" s="5"/>
    </row>
    <row r="44" spans="1:2" x14ac:dyDescent="0.2">
      <c r="A44" s="4" t="s">
        <v>248</v>
      </c>
      <c r="B44" s="5">
        <v>132</v>
      </c>
    </row>
    <row r="45" spans="1:2" x14ac:dyDescent="0.2">
      <c r="A45" s="4" t="s">
        <v>249</v>
      </c>
      <c r="B45" s="5"/>
    </row>
    <row r="46" spans="1:2" x14ac:dyDescent="0.2">
      <c r="A46" s="4" t="s">
        <v>250</v>
      </c>
      <c r="B46" s="5">
        <v>132</v>
      </c>
    </row>
    <row r="47" spans="1:2" x14ac:dyDescent="0.2">
      <c r="A47" s="4" t="s">
        <v>251</v>
      </c>
      <c r="B47" s="5"/>
    </row>
    <row r="48" spans="1:2" x14ac:dyDescent="0.2">
      <c r="A48" s="4" t="s">
        <v>252</v>
      </c>
      <c r="B48" s="5">
        <v>528</v>
      </c>
    </row>
    <row r="49" spans="1:2" x14ac:dyDescent="0.2">
      <c r="A49" s="4" t="s">
        <v>253</v>
      </c>
      <c r="B49" s="5"/>
    </row>
    <row r="50" spans="1:2" x14ac:dyDescent="0.2">
      <c r="A50" s="4" t="s">
        <v>254</v>
      </c>
      <c r="B50" s="5">
        <v>176</v>
      </c>
    </row>
    <row r="51" spans="1:2" x14ac:dyDescent="0.2">
      <c r="A51" s="4" t="s">
        <v>255</v>
      </c>
      <c r="B51" s="5"/>
    </row>
    <row r="52" spans="1:2" x14ac:dyDescent="0.2">
      <c r="A52" s="4" t="s">
        <v>256</v>
      </c>
      <c r="B52" s="5">
        <v>572</v>
      </c>
    </row>
    <row r="53" spans="1:2" x14ac:dyDescent="0.2">
      <c r="A53" s="4" t="s">
        <v>257</v>
      </c>
      <c r="B53" s="5"/>
    </row>
    <row r="54" spans="1:2" x14ac:dyDescent="0.2">
      <c r="A54" s="4" t="s">
        <v>258</v>
      </c>
      <c r="B54" s="5">
        <v>6000</v>
      </c>
    </row>
    <row r="55" spans="1:2" x14ac:dyDescent="0.2">
      <c r="A55" s="6" t="s">
        <v>2</v>
      </c>
      <c r="B55" s="7">
        <f>SUM(B3:B54)</f>
        <v>56610.17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079A-C085-4E3E-8641-569BA24E0CE5}">
  <dimension ref="A1:D38"/>
  <sheetViews>
    <sheetView topLeftCell="A16" workbookViewId="0">
      <selection activeCell="D42" sqref="D42"/>
    </sheetView>
  </sheetViews>
  <sheetFormatPr baseColWidth="10" defaultRowHeight="14.4" x14ac:dyDescent="0.3"/>
  <cols>
    <col min="2" max="2" width="14" bestFit="1" customWidth="1"/>
    <col min="3" max="3" width="86.44140625" customWidth="1"/>
  </cols>
  <sheetData>
    <row r="1" spans="1:4" ht="15" thickBot="1" x14ac:dyDescent="0.35">
      <c r="A1" s="40" t="s">
        <v>260</v>
      </c>
      <c r="B1" s="41" t="s">
        <v>261</v>
      </c>
      <c r="C1" s="41" t="s">
        <v>262</v>
      </c>
      <c r="D1" s="42" t="s">
        <v>1</v>
      </c>
    </row>
    <row r="2" spans="1:4" ht="15" thickTop="1" x14ac:dyDescent="0.3">
      <c r="A2" s="43" t="s">
        <v>263</v>
      </c>
      <c r="B2" s="44" t="s">
        <v>3</v>
      </c>
      <c r="C2" s="44" t="s">
        <v>264</v>
      </c>
      <c r="D2" s="45">
        <v>7602.38</v>
      </c>
    </row>
    <row r="3" spans="1:4" x14ac:dyDescent="0.3">
      <c r="A3" s="46" t="s">
        <v>263</v>
      </c>
      <c r="B3" s="47" t="s">
        <v>4</v>
      </c>
      <c r="C3" s="47" t="s">
        <v>265</v>
      </c>
      <c r="D3" s="48">
        <v>2552</v>
      </c>
    </row>
    <row r="4" spans="1:4" x14ac:dyDescent="0.3">
      <c r="A4" s="43" t="s">
        <v>263</v>
      </c>
      <c r="B4" s="44" t="s">
        <v>4</v>
      </c>
      <c r="C4" s="44" t="s">
        <v>266</v>
      </c>
      <c r="D4" s="45">
        <v>2552</v>
      </c>
    </row>
    <row r="5" spans="1:4" x14ac:dyDescent="0.3">
      <c r="A5" s="46" t="s">
        <v>263</v>
      </c>
      <c r="B5" s="47" t="s">
        <v>4</v>
      </c>
      <c r="C5" s="47" t="s">
        <v>267</v>
      </c>
      <c r="D5" s="48">
        <v>2552</v>
      </c>
    </row>
    <row r="6" spans="1:4" x14ac:dyDescent="0.3">
      <c r="A6" s="43" t="s">
        <v>263</v>
      </c>
      <c r="B6" s="44" t="s">
        <v>4</v>
      </c>
      <c r="C6" s="44" t="s">
        <v>268</v>
      </c>
      <c r="D6" s="45">
        <v>2552</v>
      </c>
    </row>
    <row r="7" spans="1:4" x14ac:dyDescent="0.3">
      <c r="A7" s="46" t="s">
        <v>263</v>
      </c>
      <c r="B7" s="47" t="s">
        <v>4</v>
      </c>
      <c r="C7" s="47" t="s">
        <v>269</v>
      </c>
      <c r="D7" s="48">
        <v>2552</v>
      </c>
    </row>
    <row r="8" spans="1:4" x14ac:dyDescent="0.3">
      <c r="A8" s="43" t="s">
        <v>263</v>
      </c>
      <c r="B8" s="44" t="s">
        <v>4</v>
      </c>
      <c r="C8" s="44" t="s">
        <v>270</v>
      </c>
      <c r="D8" s="45">
        <v>2552</v>
      </c>
    </row>
    <row r="9" spans="1:4" x14ac:dyDescent="0.3">
      <c r="A9" s="46" t="s">
        <v>263</v>
      </c>
      <c r="B9" s="47" t="s">
        <v>4</v>
      </c>
      <c r="C9" s="47" t="s">
        <v>271</v>
      </c>
      <c r="D9" s="48">
        <v>2552</v>
      </c>
    </row>
    <row r="10" spans="1:4" x14ac:dyDescent="0.3">
      <c r="A10" s="43" t="s">
        <v>263</v>
      </c>
      <c r="B10" s="44" t="s">
        <v>4</v>
      </c>
      <c r="C10" s="44" t="s">
        <v>272</v>
      </c>
      <c r="D10" s="45">
        <v>2552</v>
      </c>
    </row>
    <row r="11" spans="1:4" x14ac:dyDescent="0.3">
      <c r="A11" s="46" t="s">
        <v>263</v>
      </c>
      <c r="B11" s="47" t="s">
        <v>4</v>
      </c>
      <c r="C11" s="47" t="s">
        <v>273</v>
      </c>
      <c r="D11" s="48">
        <v>2552</v>
      </c>
    </row>
    <row r="12" spans="1:4" x14ac:dyDescent="0.3">
      <c r="A12" s="43" t="s">
        <v>263</v>
      </c>
      <c r="B12" s="44" t="s">
        <v>4</v>
      </c>
      <c r="C12" s="44" t="s">
        <v>274</v>
      </c>
      <c r="D12" s="45">
        <v>2552</v>
      </c>
    </row>
    <row r="13" spans="1:4" x14ac:dyDescent="0.3">
      <c r="A13" s="46" t="s">
        <v>263</v>
      </c>
      <c r="B13" s="47" t="s">
        <v>4</v>
      </c>
      <c r="C13" s="47" t="s">
        <v>275</v>
      </c>
      <c r="D13" s="48">
        <v>2552</v>
      </c>
    </row>
    <row r="14" spans="1:4" x14ac:dyDescent="0.3">
      <c r="A14" s="43" t="s">
        <v>263</v>
      </c>
      <c r="B14" s="44" t="s">
        <v>4</v>
      </c>
      <c r="C14" s="44" t="s">
        <v>276</v>
      </c>
      <c r="D14" s="45">
        <v>2552</v>
      </c>
    </row>
    <row r="15" spans="1:4" x14ac:dyDescent="0.3">
      <c r="A15" s="46" t="s">
        <v>263</v>
      </c>
      <c r="B15" s="47" t="s">
        <v>5</v>
      </c>
      <c r="C15" s="47" t="s">
        <v>277</v>
      </c>
      <c r="D15" s="48">
        <v>3.05</v>
      </c>
    </row>
    <row r="16" spans="1:4" x14ac:dyDescent="0.3">
      <c r="A16" s="43" t="s">
        <v>263</v>
      </c>
      <c r="B16" s="44" t="s">
        <v>5</v>
      </c>
      <c r="C16" s="44" t="s">
        <v>277</v>
      </c>
      <c r="D16" s="45">
        <v>3706.04</v>
      </c>
    </row>
    <row r="17" spans="1:4" x14ac:dyDescent="0.3">
      <c r="A17" s="46" t="s">
        <v>263</v>
      </c>
      <c r="B17" s="47" t="s">
        <v>5</v>
      </c>
      <c r="C17" s="47" t="s">
        <v>278</v>
      </c>
      <c r="D17" s="48">
        <v>5454.55</v>
      </c>
    </row>
    <row r="18" spans="1:4" x14ac:dyDescent="0.3">
      <c r="A18" s="43" t="s">
        <v>263</v>
      </c>
      <c r="B18" s="44" t="s">
        <v>158</v>
      </c>
      <c r="C18" s="44" t="s">
        <v>279</v>
      </c>
      <c r="D18" s="45">
        <v>730.4</v>
      </c>
    </row>
    <row r="19" spans="1:4" x14ac:dyDescent="0.3">
      <c r="A19" s="46" t="s">
        <v>263</v>
      </c>
      <c r="B19" s="47" t="s">
        <v>280</v>
      </c>
      <c r="C19" s="47" t="s">
        <v>281</v>
      </c>
      <c r="D19" s="48">
        <v>132</v>
      </c>
    </row>
    <row r="20" spans="1:4" x14ac:dyDescent="0.3">
      <c r="A20" s="43" t="s">
        <v>263</v>
      </c>
      <c r="B20" s="44" t="s">
        <v>282</v>
      </c>
      <c r="C20" s="44" t="s">
        <v>283</v>
      </c>
      <c r="D20" s="45">
        <v>132</v>
      </c>
    </row>
    <row r="21" spans="1:4" x14ac:dyDescent="0.3">
      <c r="A21" s="46" t="s">
        <v>263</v>
      </c>
      <c r="B21" s="47" t="s">
        <v>284</v>
      </c>
      <c r="C21" s="47" t="s">
        <v>285</v>
      </c>
      <c r="D21" s="48">
        <v>6000</v>
      </c>
    </row>
    <row r="22" spans="1:4" x14ac:dyDescent="0.3">
      <c r="A22" s="43" t="s">
        <v>263</v>
      </c>
      <c r="B22" s="44" t="s">
        <v>284</v>
      </c>
      <c r="C22" s="44" t="s">
        <v>286</v>
      </c>
      <c r="D22" s="45">
        <v>6000</v>
      </c>
    </row>
    <row r="23" spans="1:4" x14ac:dyDescent="0.3">
      <c r="A23" s="46" t="s">
        <v>263</v>
      </c>
      <c r="B23" s="47" t="s">
        <v>287</v>
      </c>
      <c r="C23" s="47" t="s">
        <v>288</v>
      </c>
      <c r="D23" s="48">
        <v>572</v>
      </c>
    </row>
    <row r="24" spans="1:4" x14ac:dyDescent="0.3">
      <c r="A24" s="43" t="s">
        <v>263</v>
      </c>
      <c r="B24" s="44" t="s">
        <v>289</v>
      </c>
      <c r="C24" s="44" t="s">
        <v>290</v>
      </c>
      <c r="D24" s="45">
        <v>413.6</v>
      </c>
    </row>
    <row r="25" spans="1:4" x14ac:dyDescent="0.3">
      <c r="A25" s="46" t="s">
        <v>263</v>
      </c>
      <c r="B25" s="47" t="s">
        <v>291</v>
      </c>
      <c r="C25" s="47" t="s">
        <v>292</v>
      </c>
      <c r="D25" s="48">
        <v>132</v>
      </c>
    </row>
    <row r="26" spans="1:4" x14ac:dyDescent="0.3">
      <c r="A26" s="43" t="s">
        <v>263</v>
      </c>
      <c r="B26" s="44" t="s">
        <v>293</v>
      </c>
      <c r="C26" s="44" t="s">
        <v>294</v>
      </c>
      <c r="D26" s="45">
        <v>968</v>
      </c>
    </row>
    <row r="27" spans="1:4" x14ac:dyDescent="0.3">
      <c r="A27" s="46" t="s">
        <v>263</v>
      </c>
      <c r="B27" s="47" t="s">
        <v>295</v>
      </c>
      <c r="C27" s="47" t="s">
        <v>296</v>
      </c>
      <c r="D27" s="48">
        <v>440</v>
      </c>
    </row>
    <row r="28" spans="1:4" x14ac:dyDescent="0.3">
      <c r="A28" s="43" t="s">
        <v>263</v>
      </c>
      <c r="B28" s="44" t="s">
        <v>297</v>
      </c>
      <c r="C28" s="44" t="s">
        <v>298</v>
      </c>
      <c r="D28" s="45">
        <v>528</v>
      </c>
    </row>
    <row r="29" spans="1:4" x14ac:dyDescent="0.3">
      <c r="A29" s="46" t="s">
        <v>263</v>
      </c>
      <c r="B29" s="47" t="s">
        <v>299</v>
      </c>
      <c r="C29" s="47" t="s">
        <v>300</v>
      </c>
      <c r="D29" s="48">
        <v>440</v>
      </c>
    </row>
    <row r="30" spans="1:4" x14ac:dyDescent="0.3">
      <c r="A30" s="43" t="s">
        <v>263</v>
      </c>
      <c r="B30" s="44" t="s">
        <v>301</v>
      </c>
      <c r="C30" s="44" t="s">
        <v>302</v>
      </c>
      <c r="D30" s="45">
        <v>176</v>
      </c>
    </row>
    <row r="31" spans="1:4" x14ac:dyDescent="0.3">
      <c r="A31" s="46" t="s">
        <v>263</v>
      </c>
      <c r="B31" s="47" t="s">
        <v>303</v>
      </c>
      <c r="C31" s="47" t="s">
        <v>304</v>
      </c>
      <c r="D31" s="48">
        <v>285.51</v>
      </c>
    </row>
    <row r="32" spans="1:4" x14ac:dyDescent="0.3">
      <c r="A32" s="43" t="s">
        <v>263</v>
      </c>
      <c r="B32" s="44" t="s">
        <v>303</v>
      </c>
      <c r="C32" s="44" t="s">
        <v>305</v>
      </c>
      <c r="D32" s="45">
        <v>696.77</v>
      </c>
    </row>
    <row r="33" spans="1:4" x14ac:dyDescent="0.3">
      <c r="A33" s="46" t="s">
        <v>263</v>
      </c>
      <c r="B33" s="47" t="s">
        <v>303</v>
      </c>
      <c r="C33" s="47" t="s">
        <v>306</v>
      </c>
      <c r="D33" s="48">
        <v>696.77</v>
      </c>
    </row>
    <row r="34" spans="1:4" ht="15" thickBot="1" x14ac:dyDescent="0.35">
      <c r="A34" s="43" t="s">
        <v>263</v>
      </c>
      <c r="B34" s="44" t="s">
        <v>257</v>
      </c>
      <c r="C34" s="44" t="s">
        <v>307</v>
      </c>
      <c r="D34" s="45">
        <v>18000</v>
      </c>
    </row>
    <row r="35" spans="1:4" ht="15" thickTop="1" x14ac:dyDescent="0.3">
      <c r="A35" s="49" t="s">
        <v>2</v>
      </c>
      <c r="B35" s="50"/>
      <c r="C35" s="50"/>
      <c r="D35" s="51">
        <v>83733.070000000007</v>
      </c>
    </row>
    <row r="38" spans="1:4" x14ac:dyDescent="0.3">
      <c r="C38" s="58" t="s">
        <v>325</v>
      </c>
      <c r="D38" s="59">
        <f>D35+'Ingresos investigación 2020'!B55+'Ingresos investigación 2019'!B43</f>
        <v>255575.94999999998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zoomScaleNormal="100" workbookViewId="0">
      <selection activeCell="F48" sqref="F4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171</v>
      </c>
      <c r="B2" s="5"/>
    </row>
    <row r="3" spans="1:2" x14ac:dyDescent="0.2">
      <c r="A3" s="4" t="s">
        <v>172</v>
      </c>
      <c r="B3" s="5">
        <v>5.68</v>
      </c>
    </row>
    <row r="4" spans="1:2" x14ac:dyDescent="0.2">
      <c r="A4" s="6" t="s">
        <v>2</v>
      </c>
      <c r="B4" s="7">
        <f>SUM(B3:B3)</f>
        <v>5.68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ED72-9C1F-4EF3-962B-068CAAD9D5E2}">
  <dimension ref="A1:B4"/>
  <sheetViews>
    <sheetView zoomScaleNormal="100" workbookViewId="0">
      <selection sqref="A1:B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259</v>
      </c>
      <c r="B2" s="5"/>
    </row>
    <row r="3" spans="1:2" x14ac:dyDescent="0.2">
      <c r="A3" s="4"/>
      <c r="B3" s="5"/>
    </row>
    <row r="4" spans="1:2" x14ac:dyDescent="0.2">
      <c r="A4" s="6" t="s">
        <v>2</v>
      </c>
      <c r="B4" s="7">
        <f>SUM(B3:B3)</f>
        <v>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E45D-9587-495B-95F3-E1D14E18CD78}">
  <dimension ref="A1:B7"/>
  <sheetViews>
    <sheetView workbookViewId="0">
      <selection activeCell="D23" sqref="D23"/>
    </sheetView>
  </sheetViews>
  <sheetFormatPr baseColWidth="10" defaultRowHeight="14.4" x14ac:dyDescent="0.3"/>
  <cols>
    <col min="1" max="1" width="36.21875" bestFit="1" customWidth="1"/>
    <col min="2" max="2" width="7.33203125" bestFit="1" customWidth="1"/>
  </cols>
  <sheetData>
    <row r="1" spans="1:2" ht="21.6" x14ac:dyDescent="0.3">
      <c r="A1" s="2" t="s">
        <v>0</v>
      </c>
      <c r="B1" s="3" t="s">
        <v>1</v>
      </c>
    </row>
    <row r="2" spans="1:2" x14ac:dyDescent="0.3">
      <c r="A2" s="4" t="s">
        <v>308</v>
      </c>
      <c r="B2" s="5"/>
    </row>
    <row r="3" spans="1:2" x14ac:dyDescent="0.3">
      <c r="A3" s="4"/>
      <c r="B3" s="5"/>
    </row>
    <row r="4" spans="1:2" x14ac:dyDescent="0.3">
      <c r="A4" s="6" t="s">
        <v>2</v>
      </c>
      <c r="B4" s="7">
        <f>SUM(B3:B3)</f>
        <v>0</v>
      </c>
    </row>
    <row r="7" spans="1:2" x14ac:dyDescent="0.3">
      <c r="A7" s="60" t="s">
        <v>326</v>
      </c>
      <c r="B7" s="61">
        <f>B4+'Ingresos formación 2020'!B4+'Ingresos formación 2019'!B4</f>
        <v>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2022-10-18T15:03:11Z</dcterms:modified>
</cp:coreProperties>
</file>