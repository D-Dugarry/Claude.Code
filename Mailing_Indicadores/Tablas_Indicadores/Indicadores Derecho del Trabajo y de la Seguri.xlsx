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6A6DEBD4-A27B-43C9-B715-C49A8649181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</sheets>
  <definedNames>
    <definedName name="_xlnm._FilterDatabase" localSheetId="1" hidden="1">Sexenios!$A$1:$S$1</definedName>
    <definedName name="_xlnm._FilterDatabase" localSheetId="0" hidden="1">Tesis!$A$1:$U$2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7" l="1"/>
  <c r="B4" i="6" l="1"/>
  <c r="S10" i="3"/>
  <c r="S3" i="2" l="1"/>
  <c r="B4" i="5" l="1"/>
  <c r="B6" i="7" s="1"/>
</calcChain>
</file>

<file path=xl/sharedStrings.xml><?xml version="1.0" encoding="utf-8"?>
<sst xmlns="http://schemas.openxmlformats.org/spreadsheetml/2006/main" count="102" uniqueCount="68">
  <si>
    <t>Orgánica
Descripción justificante</t>
  </si>
  <si>
    <t>Importe</t>
  </si>
  <si>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</si>
  <si>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</si>
  <si>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</si>
  <si>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</si>
  <si>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</si>
  <si>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</si>
  <si>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</si>
  <si>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</si>
  <si>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</si>
  <si>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</si>
  <si>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</si>
  <si>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</si>
  <si>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</si>
  <si>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</si>
  <si>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</si>
  <si>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</si>
  <si>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</si>
  <si>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</si>
  <si>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</si>
  <si>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</si>
  <si>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</si>
  <si>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</si>
  <si>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/>
  </si>
  <si>
    <t>10.23</t>
  </si>
  <si>
    <t>B140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</si>
  <si>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</si>
  <si>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</si>
  <si>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</si>
  <si>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</si>
  <si>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</si>
  <si>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</si>
  <si>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</si>
  <si>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</si>
  <si>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</si>
  <si>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</si>
  <si>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</si>
  <si>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</si>
  <si>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</si>
  <si>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29019785H</t>
  </si>
  <si>
    <t>BAJO GARCIA, IRENE</t>
  </si>
  <si>
    <t>29008313T</t>
  </si>
  <si>
    <t>BALLESTER LAGUNA, FERNANDO</t>
  </si>
  <si>
    <t>74219509G</t>
  </si>
  <si>
    <t>BLASCO JOVER, CAROLINA</t>
  </si>
  <si>
    <t>21495623F</t>
  </si>
  <si>
    <t>MONTOYA MEDINA, DAVID</t>
  </si>
  <si>
    <t>74086488S</t>
  </si>
  <si>
    <t>SIRVENT HERNANDEZ, NANCY</t>
  </si>
  <si>
    <t>34.10.6C.00.04</t>
  </si>
  <si>
    <t>DICTAMEN JURÍDICO SOBRE LOS EFECTOS TEMPORALES DE LOS ARTÍCULOS 4 (TIEMPO DE COLABORACIÓN EN TAREAS DOCENTES) Y 7 (SALARIO MÍNIMO GARANTIZADO) DEL NUEVO ESTATUTO DEL PERSONAL INVESTIGADOR PREDOCTORAL EN FORMACIÓN</t>
  </si>
  <si>
    <t>21416360W</t>
  </si>
  <si>
    <t>VIQUEIRA PEREZ, MARIA DEL CARMEN</t>
  </si>
  <si>
    <t>COD DEP</t>
  </si>
  <si>
    <t>21455665T</t>
  </si>
  <si>
    <t>RIVERA SANCHEZ, JUAN RAMON</t>
  </si>
  <si>
    <t>10.25</t>
  </si>
  <si>
    <t>50</t>
  </si>
  <si>
    <t>48622474Z</t>
  </si>
  <si>
    <t>BASTERRA HERNANDEZ, MIGUEL</t>
  </si>
  <si>
    <t>NO FUNCIONARIO</t>
  </si>
  <si>
    <t>34.10.6C.00.05</t>
  </si>
  <si>
    <t>CONSULTORÍA Y ASISTENCIA PARA LA REALIZACIÓN DE PROPUESTAS DE RESOLUCIÓN DE ALEGACIONES A LA PROPUESTA DE "RELACIÓN DE PUESTOS DE TRABAJO" DEL AYUNTAMIENTO DE PETRER ELABORADA POR LA UNIVERSIDAD DE ALICANTE.</t>
  </si>
  <si>
    <t>34.10.6C.00.07</t>
  </si>
  <si>
    <t>BORRADOR DEL ANTEPROYECTO DE LEY DE CIENCIA E INVESTIGACIÓN DE LA COMUNITAT VALENCIANA</t>
  </si>
  <si>
    <t>20</t>
  </si>
  <si>
    <t>Total ingresos investigación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</si>
</sst>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4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1" xfId="1" applyFont="1" applyFill="1" applyBorder="1" applyAlignment="1"/>
    <xf numFmtId="164" fontId="3" fillId="4" borderId="1" xfId="1" applyNumberFormat="1" applyFont="1" applyFill="1" applyBorder="1" applyAlignment="1"/>
    <xf numFmtId="0" fontId="3" fillId="4" borderId="1" xfId="1" applyFont="1" applyFill="1" applyBorder="1" applyAlignment="1">
      <alignment horizontal="right"/>
    </xf>
    <xf numFmtId="1" fontId="3" fillId="4" borderId="1" xfId="1" applyNumberFormat="1" applyFont="1" applyFill="1" applyBorder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164" fontId="4" fillId="2" borderId="1" xfId="1" applyNumberFormat="1" applyFont="1" applyFill="1" applyBorder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applyNumberFormat="1" applyFill="1" applyBorder="1"/>
    <xf numFmtId="0" fontId="0" fillId="2" borderId="0" xfId="0" applyFill="1"/>
    <xf numFmtId="0" fontId="10" fillId="0" borderId="1" xfId="5" applyFont="1" applyBorder="1"/>
    <xf numFmtId="0" fontId="10" fillId="0" borderId="1" xfId="5" applyFont="1" applyBorder="1" applyAlignment="1">
      <alignment horizontal="left"/>
    </xf>
    <xf numFmtId="0" fontId="11" fillId="2" borderId="0" xfId="0" applyFont="1" applyFill="1"/>
    <xf numFmtId="0" fontId="9" fillId="3" borderId="1" xfId="3" applyFont="1" applyFill="1" applyBorder="1" applyAlignment="1">
      <alignment horizontal="center" wrapText="1"/>
    </xf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"/>
  <sheetViews>
    <sheetView showGridLines="0" tabSelected="1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21" customWidth="1"/>
    <col min="16" max="16" width="4.88671875" style="13" customWidth="1"/>
    <col min="17" max="17" width="3.5546875" style="21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8" t="s">
        <v>11</v>
      </c>
      <c r="J1" s="9" t="s">
        <v>12</v>
      </c>
      <c r="K1" s="8" t="s">
        <v>13</v>
      </c>
      <c r="L1" s="9" t="s">
        <v>14</v>
      </c>
      <c r="M1" s="10" t="s">
        <v>15</v>
      </c>
      <c r="N1" s="11" t="s">
        <v>16</v>
      </c>
      <c r="O1" s="12" t="s">
        <v>17</v>
      </c>
      <c r="P1" s="11" t="s">
        <v>18</v>
      </c>
      <c r="Q1" s="12" t="s">
        <v>19</v>
      </c>
      <c r="R1" s="11" t="s">
        <v>20</v>
      </c>
      <c r="S1" s="11" t="s">
        <v>21</v>
      </c>
      <c r="T1" s="11" t="s">
        <v>22</v>
      </c>
      <c r="U1" s="11" t="s">
        <v>23</v>
      </c>
    </row>
    <row r="2" spans="1:2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  <c r="L2" s="14"/>
      <c r="M2" s="14"/>
      <c r="N2" s="14"/>
      <c r="O2" s="16"/>
      <c r="P2" s="14"/>
      <c r="Q2" s="16"/>
      <c r="R2" s="17"/>
      <c r="S2" s="15"/>
      <c r="T2" s="15"/>
      <c r="U2" s="15"/>
    </row>
    <row r="3" spans="1:21" x14ac:dyDescent="0.2">
      <c r="A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  <c r="P3" s="18"/>
      <c r="Q3" s="19"/>
      <c r="R3" s="18"/>
      <c r="S3" s="20">
        <f>SUM(S2)</f>
        <v>0</v>
      </c>
      <c r="T3" s="18"/>
      <c r="U3" s="18"/>
    </row>
  </sheetData>
  <autoFilter ref="A1:U2" xr:uid="{00000000-0009-0000-0000-000000000000}">
    <sortState xmlns:xlrd2="http://schemas.microsoft.com/office/spreadsheetml/2017/richdata2" ref="A2:U1910">
      <sortCondition ref="L2:L1910"/>
      <sortCondition ref="M2:M1910"/>
      <sortCondition ref="D2:D191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"/>
  <sheetViews>
    <sheetView zoomScaleNormal="100" workbookViewId="0">
      <selection activeCell="K1" sqref="K1"/>
    </sheetView>
  </sheetViews>
  <sheetFormatPr baseColWidth="10" defaultColWidth="11.44140625" defaultRowHeight="13.2" x14ac:dyDescent="0.25"/>
  <cols>
    <col min="1" max="1" width="10.88671875" style="25" bestFit="1" customWidth="1"/>
    <col min="2" max="2" width="36.88671875" style="25" bestFit="1" customWidth="1"/>
    <col min="3" max="3" width="14.5546875" style="25" bestFit="1" customWidth="1"/>
    <col min="4" max="9" width="3.33203125" style="25" bestFit="1" customWidth="1"/>
    <col min="10" max="10" width="13.109375" style="25" bestFit="1" customWidth="1"/>
    <col min="11" max="11" width="5.33203125" style="25" bestFit="1" customWidth="1"/>
    <col min="12" max="13" width="5.6640625" style="25" bestFit="1" customWidth="1"/>
    <col min="14" max="14" width="5.6640625" style="26" bestFit="1" customWidth="1"/>
    <col min="15" max="15" width="5.6640625" style="25" bestFit="1" customWidth="1"/>
    <col min="16" max="16" width="5.6640625" style="26" bestFit="1" customWidth="1"/>
    <col min="17" max="19" width="5.6640625" style="25" bestFit="1" customWidth="1"/>
    <col min="20" max="16384" width="11.44140625" style="25"/>
  </cols>
  <sheetData>
    <row r="1" spans="1:19" s="24" customFormat="1" ht="60" customHeight="1" x14ac:dyDescent="0.25">
      <c r="A1" s="27" t="s">
        <v>27</v>
      </c>
      <c r="B1" s="27" t="s">
        <v>28</v>
      </c>
      <c r="C1" s="27" t="s">
        <v>29</v>
      </c>
      <c r="D1" s="28">
        <v>2017</v>
      </c>
      <c r="E1" s="28">
        <v>2018</v>
      </c>
      <c r="F1" s="28">
        <v>2019</v>
      </c>
      <c r="G1" s="28">
        <v>2020</v>
      </c>
      <c r="H1" s="28">
        <v>2021</v>
      </c>
      <c r="I1" s="28">
        <v>2022</v>
      </c>
      <c r="J1" s="27" t="s">
        <v>30</v>
      </c>
      <c r="K1" s="38" t="s">
        <v>54</v>
      </c>
      <c r="L1" s="22" t="s">
        <v>31</v>
      </c>
      <c r="M1" s="22" t="s">
        <v>32</v>
      </c>
      <c r="N1" s="22" t="s">
        <v>33</v>
      </c>
      <c r="O1" s="22" t="s">
        <v>34</v>
      </c>
      <c r="P1" s="23" t="s">
        <v>35</v>
      </c>
      <c r="Q1" s="23" t="s">
        <v>36</v>
      </c>
      <c r="R1" s="23" t="s">
        <v>37</v>
      </c>
      <c r="S1" s="23" t="s">
        <v>38</v>
      </c>
    </row>
    <row r="2" spans="1:19" ht="14.4" x14ac:dyDescent="0.3">
      <c r="A2" s="29" t="s">
        <v>52</v>
      </c>
      <c r="B2" s="29" t="s">
        <v>53</v>
      </c>
      <c r="C2" s="29" t="s">
        <v>39</v>
      </c>
      <c r="D2" s="29"/>
      <c r="E2" s="29"/>
      <c r="F2" s="29"/>
      <c r="G2" s="29">
        <v>1</v>
      </c>
      <c r="H2" s="29"/>
      <c r="I2" s="29"/>
      <c r="J2" s="29">
        <v>1</v>
      </c>
      <c r="K2" s="29" t="s">
        <v>26</v>
      </c>
      <c r="L2" s="30">
        <v>0</v>
      </c>
      <c r="M2" s="30">
        <v>0</v>
      </c>
      <c r="N2" s="30" t="s">
        <v>24</v>
      </c>
      <c r="O2" s="30" t="s">
        <v>24</v>
      </c>
      <c r="P2" s="30">
        <v>100</v>
      </c>
      <c r="Q2" s="30">
        <v>0</v>
      </c>
      <c r="R2" s="30">
        <v>0</v>
      </c>
      <c r="S2" s="30">
        <v>1</v>
      </c>
    </row>
    <row r="3" spans="1:19" ht="14.4" x14ac:dyDescent="0.3">
      <c r="A3" s="29" t="s">
        <v>55</v>
      </c>
      <c r="B3" s="29" t="s">
        <v>56</v>
      </c>
      <c r="C3" s="29" t="s">
        <v>39</v>
      </c>
      <c r="D3" s="29"/>
      <c r="E3" s="29"/>
      <c r="F3" s="29">
        <v>1</v>
      </c>
      <c r="G3" s="29"/>
      <c r="H3" s="29">
        <v>1</v>
      </c>
      <c r="I3" s="29"/>
      <c r="J3" s="29">
        <v>2</v>
      </c>
      <c r="K3" s="29" t="s">
        <v>26</v>
      </c>
      <c r="L3" s="30" t="s">
        <v>57</v>
      </c>
      <c r="M3" s="30" t="s">
        <v>58</v>
      </c>
      <c r="N3" s="30" t="s">
        <v>24</v>
      </c>
      <c r="O3" s="30" t="s">
        <v>24</v>
      </c>
      <c r="P3" s="30">
        <v>50</v>
      </c>
      <c r="Q3" s="30">
        <v>1</v>
      </c>
      <c r="R3" s="30">
        <v>0</v>
      </c>
      <c r="S3" s="30">
        <v>1</v>
      </c>
    </row>
    <row r="4" spans="1:19" ht="14.4" x14ac:dyDescent="0.3">
      <c r="A4" s="29" t="s">
        <v>46</v>
      </c>
      <c r="B4" s="29" t="s">
        <v>47</v>
      </c>
      <c r="C4" s="29" t="s">
        <v>39</v>
      </c>
      <c r="D4" s="29">
        <v>1</v>
      </c>
      <c r="E4" s="29"/>
      <c r="F4" s="29"/>
      <c r="G4" s="29"/>
      <c r="H4" s="29"/>
      <c r="I4" s="29"/>
      <c r="J4" s="29">
        <v>1</v>
      </c>
      <c r="K4" s="29" t="s">
        <v>26</v>
      </c>
      <c r="L4" s="30">
        <v>0</v>
      </c>
      <c r="M4" s="30">
        <v>0</v>
      </c>
      <c r="N4" s="30" t="s">
        <v>24</v>
      </c>
      <c r="O4" s="30" t="s">
        <v>24</v>
      </c>
      <c r="P4" s="30">
        <v>100</v>
      </c>
      <c r="Q4" s="30">
        <v>0</v>
      </c>
      <c r="R4" s="30">
        <v>0</v>
      </c>
      <c r="S4" s="30">
        <v>1</v>
      </c>
    </row>
    <row r="5" spans="1:19" ht="14.4" x14ac:dyDescent="0.3">
      <c r="A5" s="29" t="s">
        <v>42</v>
      </c>
      <c r="B5" s="29" t="s">
        <v>43</v>
      </c>
      <c r="C5" s="29" t="s">
        <v>39</v>
      </c>
      <c r="D5" s="29"/>
      <c r="E5" s="29"/>
      <c r="F5" s="29">
        <v>1</v>
      </c>
      <c r="G5" s="29"/>
      <c r="H5" s="29">
        <v>1</v>
      </c>
      <c r="I5" s="29"/>
      <c r="J5" s="29">
        <v>2</v>
      </c>
      <c r="K5" s="29" t="s">
        <v>26</v>
      </c>
      <c r="L5" s="30">
        <v>0</v>
      </c>
      <c r="M5" s="30">
        <v>0</v>
      </c>
      <c r="N5" s="30" t="s">
        <v>24</v>
      </c>
      <c r="O5" s="30" t="s">
        <v>24</v>
      </c>
      <c r="P5" s="30">
        <v>100</v>
      </c>
      <c r="Q5" s="30">
        <v>0</v>
      </c>
      <c r="R5" s="30">
        <v>0</v>
      </c>
      <c r="S5" s="30">
        <v>2</v>
      </c>
    </row>
    <row r="6" spans="1:19" ht="14.4" x14ac:dyDescent="0.3">
      <c r="A6" s="29" t="s">
        <v>40</v>
      </c>
      <c r="B6" s="29" t="s">
        <v>41</v>
      </c>
      <c r="C6" s="29" t="s">
        <v>39</v>
      </c>
      <c r="D6" s="29"/>
      <c r="E6" s="29"/>
      <c r="F6" s="29">
        <v>1</v>
      </c>
      <c r="G6" s="29"/>
      <c r="H6" s="29"/>
      <c r="I6" s="29"/>
      <c r="J6" s="29">
        <v>1</v>
      </c>
      <c r="K6" s="29" t="s">
        <v>26</v>
      </c>
      <c r="L6" s="30" t="s">
        <v>25</v>
      </c>
      <c r="M6" s="30" t="s">
        <v>66</v>
      </c>
      <c r="N6" s="30" t="s">
        <v>24</v>
      </c>
      <c r="O6" s="30" t="s">
        <v>24</v>
      </c>
      <c r="P6" s="30">
        <v>80</v>
      </c>
      <c r="Q6" s="30">
        <v>0.2</v>
      </c>
      <c r="R6" s="30">
        <v>0</v>
      </c>
      <c r="S6" s="30">
        <v>0.8</v>
      </c>
    </row>
    <row r="7" spans="1:19" ht="14.4" x14ac:dyDescent="0.3">
      <c r="A7" s="29" t="s">
        <v>59</v>
      </c>
      <c r="B7" s="29" t="s">
        <v>60</v>
      </c>
      <c r="C7" s="29" t="s">
        <v>61</v>
      </c>
      <c r="D7" s="29"/>
      <c r="E7" s="29"/>
      <c r="F7" s="29"/>
      <c r="G7" s="29"/>
      <c r="H7" s="29">
        <v>1</v>
      </c>
      <c r="I7" s="29"/>
      <c r="J7" s="29">
        <v>1</v>
      </c>
      <c r="K7" s="29" t="s">
        <v>26</v>
      </c>
      <c r="L7" s="30">
        <v>0</v>
      </c>
      <c r="M7" s="30">
        <v>0</v>
      </c>
      <c r="N7" s="30" t="s">
        <v>24</v>
      </c>
      <c r="O7" s="30" t="s">
        <v>24</v>
      </c>
      <c r="P7" s="30">
        <v>100</v>
      </c>
      <c r="Q7" s="30">
        <v>0</v>
      </c>
      <c r="R7" s="30">
        <v>0</v>
      </c>
      <c r="S7" s="30">
        <v>1</v>
      </c>
    </row>
    <row r="8" spans="1:19" ht="14.4" x14ac:dyDescent="0.3">
      <c r="A8" s="29" t="s">
        <v>48</v>
      </c>
      <c r="B8" s="29" t="s">
        <v>49</v>
      </c>
      <c r="C8" s="29" t="s">
        <v>39</v>
      </c>
      <c r="D8" s="29">
        <v>1</v>
      </c>
      <c r="E8" s="29"/>
      <c r="F8" s="29">
        <v>1</v>
      </c>
      <c r="G8" s="29">
        <v>1</v>
      </c>
      <c r="H8" s="29"/>
      <c r="I8" s="29"/>
      <c r="J8" s="29">
        <v>3</v>
      </c>
      <c r="K8" s="29" t="s">
        <v>26</v>
      </c>
      <c r="L8" s="30">
        <v>0</v>
      </c>
      <c r="M8" s="30">
        <v>0</v>
      </c>
      <c r="N8" s="30" t="s">
        <v>24</v>
      </c>
      <c r="O8" s="30" t="s">
        <v>24</v>
      </c>
      <c r="P8" s="30">
        <v>100</v>
      </c>
      <c r="Q8" s="30">
        <v>0</v>
      </c>
      <c r="R8" s="30">
        <v>0</v>
      </c>
      <c r="S8" s="30">
        <v>3</v>
      </c>
    </row>
    <row r="9" spans="1:19" ht="14.4" x14ac:dyDescent="0.3">
      <c r="A9" s="35" t="s">
        <v>44</v>
      </c>
      <c r="B9" s="35" t="s">
        <v>45</v>
      </c>
      <c r="C9" s="36" t="s">
        <v>39</v>
      </c>
      <c r="D9" s="35"/>
      <c r="E9" s="35"/>
      <c r="F9" s="35">
        <v>1</v>
      </c>
      <c r="G9" s="35"/>
      <c r="H9" s="35"/>
      <c r="I9" s="35"/>
      <c r="J9" s="29">
        <v>1</v>
      </c>
      <c r="K9" s="29" t="s">
        <v>26</v>
      </c>
      <c r="L9" s="30">
        <v>0</v>
      </c>
      <c r="M9" s="30">
        <v>0</v>
      </c>
      <c r="N9" s="30" t="s">
        <v>24</v>
      </c>
      <c r="O9" s="30" t="s">
        <v>24</v>
      </c>
      <c r="P9" s="30">
        <v>100</v>
      </c>
      <c r="Q9" s="30">
        <v>0</v>
      </c>
      <c r="R9" s="30">
        <v>0</v>
      </c>
      <c r="S9" s="30">
        <v>1</v>
      </c>
    </row>
    <row r="10" spans="1:19" ht="14.4" x14ac:dyDescent="0.3">
      <c r="A10" s="31"/>
      <c r="B10" s="31"/>
      <c r="C10" s="32"/>
      <c r="D10" s="31"/>
      <c r="E10" s="31"/>
      <c r="F10" s="31"/>
      <c r="G10" s="31"/>
      <c r="H10" s="31"/>
      <c r="I10" s="31"/>
      <c r="J10" s="33"/>
      <c r="K10" s="34"/>
      <c r="L10" s="34"/>
      <c r="M10" s="34"/>
      <c r="N10" s="34"/>
      <c r="O10" s="34"/>
      <c r="P10" s="34"/>
      <c r="Q10" s="34"/>
      <c r="R10" s="34"/>
      <c r="S10" s="37">
        <f>SUM(S2:S9)</f>
        <v>10.8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Normal="100" workbookViewId="0">
      <selection activeCell="A14" sqref="A1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50</v>
      </c>
      <c r="B2" s="5"/>
    </row>
    <row r="3" spans="1:2" x14ac:dyDescent="0.2">
      <c r="A3" s="4" t="s">
        <v>51</v>
      </c>
      <c r="B3" s="5">
        <v>1250</v>
      </c>
    </row>
    <row r="4" spans="1:2" x14ac:dyDescent="0.2">
      <c r="A4" s="6" t="s">
        <v>2</v>
      </c>
      <c r="B4" s="7">
        <f>SUM(B3:B3)</f>
        <v>1250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2E92-18E1-4232-9715-245321D4F2E7}">
  <dimension ref="A1:B4"/>
  <sheetViews>
    <sheetView zoomScaleNormal="100" workbookViewId="0">
      <selection activeCell="C45" sqref="C4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62</v>
      </c>
      <c r="B2" s="5"/>
    </row>
    <row r="3" spans="1:2" x14ac:dyDescent="0.2">
      <c r="A3" s="4" t="s">
        <v>63</v>
      </c>
      <c r="B3" s="5">
        <v>3115.2</v>
      </c>
    </row>
    <row r="4" spans="1:2" x14ac:dyDescent="0.2">
      <c r="A4" s="6" t="s">
        <v>2</v>
      </c>
      <c r="B4" s="7">
        <f>SUM(B3:B3)</f>
        <v>3115.2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59A0-DB61-4BBB-BEDF-150A3F9D7E53}">
  <dimension ref="A1:B6"/>
  <sheetViews>
    <sheetView zoomScaleNormal="100" workbookViewId="0">
      <selection activeCell="A14" sqref="A1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64</v>
      </c>
      <c r="B2" s="5"/>
    </row>
    <row r="3" spans="1:2" x14ac:dyDescent="0.2">
      <c r="A3" s="4" t="s">
        <v>65</v>
      </c>
      <c r="B3" s="5">
        <v>4397.07</v>
      </c>
    </row>
    <row r="4" spans="1:2" x14ac:dyDescent="0.2">
      <c r="A4" s="6" t="s">
        <v>2</v>
      </c>
      <c r="B4" s="7">
        <f>SUM(B3)</f>
        <v>4397.07</v>
      </c>
    </row>
    <row r="6" spans="1:2" x14ac:dyDescent="0.2">
      <c r="A6" s="39" t="s">
        <v>67</v>
      </c>
      <c r="B6" s="7">
        <f>+B4+'Ingresos investigación 2020'!B4+'Ingresos investigación 2019'!B4</f>
        <v>8762.27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2022-10-18T10:10:45Z</dcterms:modified>
</cp:coreProperties>
</file>