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8BE34DA5-8C68-4B06-845F-811AEB9E8AE6}" xr6:coauthVersionLast="47" xr6:coauthVersionMax="47" xr10:uidLastSave="{00000000-0000-0000-0000-000000000000}"/>
  <bookViews>
    <workbookView xWindow="22932" yWindow="-108" windowWidth="23256" windowHeight="12456" tabRatio="729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1" r:id="rId4"/>
    <sheet name="Ingresos investigación 2021" sheetId="12" r:id="rId5"/>
  </sheets>
  <definedNames>
    <definedName name="_xlnm._FilterDatabase" localSheetId="1" hidden="1">Sexenios!$A$1:$S$14</definedName>
    <definedName name="_xlnm._FilterDatabase" localSheetId="0" hidden="1">Tesis!$A$1:$U$10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6" l="1"/>
  <c r="B72" i="12" l="1"/>
  <c r="B50" i="11" l="1"/>
  <c r="B52" i="9" l="1"/>
  <c r="B74" i="12" s="1"/>
  <c r="S11" i="5" l="1"/>
</calcChain>
</file>

<file path=xl/sharedStrings.xml><?xml version="1.0" encoding="utf-8"?>
<sst xmlns="http://schemas.openxmlformats.org/spreadsheetml/2006/main" count="461" uniqueCount="281">
  <si>
    <t>Orgánica
Descripción justificante</t>
  </si>
  <si>
    <t>Importe</t>
  </si>
  <si>
    <t>Total</t>
  </si>
  <si>
    <t>31.00.6C.00.34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</si>
  <si>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</si>
  <si>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</si>
  <si>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</si>
  <si>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</si>
  <si>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</si>
  <si>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</si>
  <si>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</si>
  <si>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</si>
  <si>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</si>
  <si>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</si>
  <si>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</si>
  <si>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</si>
  <si>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</si>
  <si>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</si>
  <si>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</si>
  <si>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</si>
  <si>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</si>
  <si>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</si>
  <si>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</si>
  <si>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</si>
  <si>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</si>
  <si>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</si>
  <si>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</si>
  <si>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</si>
  <si>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10.16</t>
  </si>
  <si>
    <t>U022 </t>
  </si>
  <si>
    <t>ADM. FACULTAD DE CIENCIAS </t>
  </si>
  <si>
    <t>DOCTORADO EN CIENCIAS EXPERIMENTALES Y BIOSANITARIAS </t>
  </si>
  <si>
    <t>Director de tesis </t>
  </si>
  <si>
    <t>15/09/2017 </t>
  </si>
  <si>
    <t>10</t>
  </si>
  <si>
    <t>ESTUDIO MULTIDISCIPLINAR DEL AGADIR Y OASIS DE AMTOUDI, PROVINCIA DE GUELMIN (SUR DE MARRUECOS): ASPECTOS GEOTÉCNICOS E HIDROGEOLÓGICOS, TÉCNICAS CONSTRUCTIVAS Y SEGURIDAD ESTRUCTURAL DEL EMPLAZAMIENTO </t>
  </si>
  <si>
    <t>10.05</t>
  </si>
  <si>
    <t>30</t>
  </si>
  <si>
    <t>10.20</t>
  </si>
  <si>
    <t>20</t>
  </si>
  <si>
    <t>U061 </t>
  </si>
  <si>
    <t>ADM. I. MULTIDISCIPLINAR PARA EL ESTUDIO DEL MEDIO RAMÓN MARGALEF </t>
  </si>
  <si>
    <t>DOCTORADO EN ANÁLISIS Y GESTIÓN DE ECOSISTEMAS </t>
  </si>
  <si>
    <t>B156 </t>
  </si>
  <si>
    <t>CIENCIAS DE LA TIERRA Y DEL MEDIO AMBIENTE </t>
  </si>
  <si>
    <t>B156</t>
  </si>
  <si>
    <t>02608919Y </t>
  </si>
  <si>
    <t>Pla Bru, María de la Concepción </t>
  </si>
  <si>
    <t>MODELIZACIÓN DEL TRANSPORTE DIFUSIVO DE GASES EN EL CONJUNTO SUELO-ROCA. APLICACIÓN AL ANÁLISIS E INTERPRETACIÓN DE DATOS MICROCLIMÁTICOS EN SISTEMAS KÁRSTICOS SOMEROS </t>
  </si>
  <si>
    <t>30/01/2017 </t>
  </si>
  <si>
    <t>52775828M </t>
  </si>
  <si>
    <t>Robles Marín, Pedro </t>
  </si>
  <si>
    <t>78031647F </t>
  </si>
  <si>
    <t>24223730S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</si>
  <si>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</si>
  <si>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</si>
  <si>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</si>
  <si>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</si>
  <si>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</si>
  <si>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</si>
  <si>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</si>
  <si>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</si>
  <si>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</si>
  <si>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</si>
  <si>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</si>
  <si>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</si>
  <si>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</si>
  <si>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</si>
  <si>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21998655Y</t>
  </si>
  <si>
    <t>ALFARO GARCIA, PEDRO</t>
  </si>
  <si>
    <t>21996111S</t>
  </si>
  <si>
    <t>ANDREU RODES, JOSE MIGUEL</t>
  </si>
  <si>
    <t>21497202E</t>
  </si>
  <si>
    <t>BAEZA CARRATALA, JOSE FRANCISCO</t>
  </si>
  <si>
    <t>52775828M</t>
  </si>
  <si>
    <t>BENAVENTE GARCIA, DAVID</t>
  </si>
  <si>
    <t>02608919Y</t>
  </si>
  <si>
    <t>CAÑAVERAS JIMENEZ, JUAN CARLOS</t>
  </si>
  <si>
    <t>48350091C</t>
  </si>
  <si>
    <t>CORBI SEVILA, HUGO ANTONIO</t>
  </si>
  <si>
    <t>52552730F</t>
  </si>
  <si>
    <t>DELGADO MARCHAL, JOSE</t>
  </si>
  <si>
    <t>44554016A</t>
  </si>
  <si>
    <t>GARMENDIA LOPEZ, IDOIA</t>
  </si>
  <si>
    <t>Y0357521T</t>
  </si>
  <si>
    <t>24223730S</t>
  </si>
  <si>
    <t>MARTIN MARTIN, MANUEL</t>
  </si>
  <si>
    <t>75879493D</t>
  </si>
  <si>
    <t>MARTIN ROJAS, IVAN</t>
  </si>
  <si>
    <t>24161924X</t>
  </si>
  <si>
    <t>SORIA MINGORANCE, JESUS MIGUEL</t>
  </si>
  <si>
    <t>52736134D</t>
  </si>
  <si>
    <t>TENT MANCLUS, JOSE ENRIQUE</t>
  </si>
  <si>
    <t>31.00.6C.00.32</t>
  </si>
  <si>
    <t xml:space="preserve">Descripción petrográfica de 50 muestras representativas de posibles meteoritos. </t>
  </si>
  <si>
    <t>Contrato de Asistencia Técnica entre Laboratorio de Ingeniería y Medio Ambiente, S.A. ImasaLab y la Universidad de Alicante "Interpretación de análisis de muestras de materiales geológicos, agua y otros materiales relacionados con la construcción"</t>
  </si>
  <si>
    <t>31.00.6C.00.42</t>
  </si>
  <si>
    <t xml:space="preserve">Simulación de luz solar sobre muestras con recubrimientos impermeables. </t>
  </si>
  <si>
    <t>31.00.6C.00.43</t>
  </si>
  <si>
    <t>Realización de 13 láminas delgadas con acabado pulido, sin cubre y sin tinción.</t>
  </si>
  <si>
    <t>31.00.6C.00.44</t>
  </si>
  <si>
    <t>Verificar la sismicidad ocurrida en fechas inmediatamente anteriores al desencadenamiento de la inestabilidad mencionada, que por su magnitud y proximidad a la corta minera pudiera haber contribuido a la inestabilidad de los taludes de la corta minera Las Cruces (Gerena, Sevilla)</t>
  </si>
  <si>
    <t>31.00.6C.00.45</t>
  </si>
  <si>
    <t>Evaluación de la actividad citoquinina y auxina de productos bioestimuladores III</t>
  </si>
  <si>
    <t>31.00.6C.00.46</t>
  </si>
  <si>
    <t xml:space="preserve">Realizar medidas de ruido ambiente en diferentes puntos de la mina Las Cruces (Gerena, Sevilla) para determinar posibles fenómenos de amplificación sísmica. </t>
  </si>
  <si>
    <t>31.00.6C.00.47</t>
  </si>
  <si>
    <t>1.- Perfiles GPR con antenas de 500 y 100 Mh. en parte de la urbanización Laguna3, La Zenia 2.- Decodificación, filtrado de registros y confección de imágenes GPR. 3.- Interpretación de los datos y elaboración de informe de resultados</t>
  </si>
  <si>
    <t>31.00.6C.00.48</t>
  </si>
  <si>
    <t>Caracterización de la composición química, mineralógica y textural de diatomitas.</t>
  </si>
  <si>
    <t>31.00.6C.00.49</t>
  </si>
  <si>
    <t xml:space="preserve">Organización y realización por parte de la Universidad de Alicante de la edición 2019 de la actividad de GEOLODIA </t>
  </si>
  <si>
    <t>31.00.6C.00.50</t>
  </si>
  <si>
    <t>Descripción de tres rocas procedentes de canteras históricas y de edificio histórico que incluye la realización de las láminas delgadas, interpretación y elaboración de la memoria</t>
  </si>
  <si>
    <t>31.00.6C.00.51</t>
  </si>
  <si>
    <t>ENAP1-19TPA CARACTERIZACIÓN DE LA CONDUCTIVIDAD TÉRMICA EN ROCAS SEDIMENTARIAS </t>
  </si>
  <si>
    <t>31.00.6C.00.52</t>
  </si>
  <si>
    <t>TOMASPEREZMARTINEZ1-19TPA Análisis multielemental de muestras de suelo mediante ICP-OES e ICP masas con el fin de detectar elementos fitotóxicos</t>
  </si>
  <si>
    <t>31.00.6C.00.53</t>
  </si>
  <si>
    <t>Caracterización con porosimetría de mercurio y picnometría de helio de 12 muestras</t>
  </si>
  <si>
    <t>31.00.6C.00.54</t>
  </si>
  <si>
    <t>Realización de 4 láminas delagadas con acabado pulico, sin cubre y sin tinción.</t>
  </si>
  <si>
    <t>31.00.6C.00.55</t>
  </si>
  <si>
    <t>TRAGSATEC1-19TPA Datación biostratigráfica de muestras de sedimentos</t>
  </si>
  <si>
    <t>31.00.6C.00.56</t>
  </si>
  <si>
    <t>Descripción petrográfica de las Piedras Crema Marfil y Marrón Emperador, que incluye la elaboración de la lámina delgada, descripción, y la elaboración de un breve informe en castellano e inglés.</t>
  </si>
  <si>
    <t>31.00.6M.00.03</t>
  </si>
  <si>
    <t xml:space="preserve">Preparació i col·laboració, per part del prof. Juan Luís Soler, en els jornades de formació en sismologia </t>
  </si>
  <si>
    <t>31.00.6P.00.10</t>
  </si>
  <si>
    <t xml:space="preserve">SUBVENCIONES REALIZACIÓN PROYECTOS I+D+I GRUPOS EMERGENTES GV/2018.2ªANUALIDAD </t>
  </si>
  <si>
    <t>31.00.6P.00.11</t>
  </si>
  <si>
    <t>31.00.6P.00.13</t>
  </si>
  <si>
    <t>Ayuda Investigación por Trabajo presentado Las Cuencas del prebético de Albacete</t>
  </si>
  <si>
    <t>31.00.6P.00.14</t>
  </si>
  <si>
    <t>PAGO 1 ANUALIDAD PROYECTOS RETOS I+D+I 2018. ANUAL 2019 PROYECTOS I+D RETOS (PIA 13) N EXPEDIENTE: PIA 132018 - 1- 1 ANUALIDAD REFERENCIA: R. REFERENCIA DEL ORDENANTE PARA EL BENEFICIARIO: 00173219310010850 - 2019/009670</t>
  </si>
  <si>
    <t>PARA EL PAGO DE LA ANUALIDAD 2019 DE LA CONVOCATORIA RTI 2018 PROYECTOS I+D RETOS (PIA13) N EXPEDIENTE: PIA 132018-1 -1 ANUALIDAD REFERENC REFERENCIA DEL ORDENANTE PARA EL BENENFICIARIO: 27402219310026069</t>
  </si>
  <si>
    <t>31.00.6P.00.15</t>
  </si>
  <si>
    <t>PAGO 1 ANUALIDAD PROYECTOS RETOS I+D+I 2018. ANUAL 2019 PROYECTOS I+D RETOS (PIA 13) N EXPEDIENTE: PIA 132018 - 1- 1 ANUALIDAD REFERENCIA: R. REFERENCIA DEL ORDENANTE PARA EL BENEFICIARIO: 00173219310010865 - 2019/009683</t>
  </si>
  <si>
    <t>PARA EL PAGO DE LA ANUALIDAD 2019 DE LA CONVOCATORIA RTI 2018 PROYECTOS I+D (PIA 13) N EXPEDIENTE: PIA 132018-1 -1 ANUALIDAD REFERENC REFERENCIA DEL ORDENANTE PARA EL BENEFICIARIO: 27402219310027020</t>
  </si>
  <si>
    <t>31.00.6P.00.16</t>
  </si>
  <si>
    <t xml:space="preserve">SUBVENCIONES GRUPOS INVESTIGACION CONSOLIDABLES AICO/2019 (EDUCACIÓN,INVESTIGACIÓN,CULTURA Y DEPORT)  </t>
  </si>
  <si>
    <t>U066 </t>
  </si>
  <si>
    <t>ADM. I.U. FÍSICA APLICADA A LA CIENCIAS Y A LAS TECNOLOGIAS </t>
  </si>
  <si>
    <t>DOCTORADO EN FÍSICA APLICADA A LAS CIENCIAS Y LAS TECNOLOGÍAS </t>
  </si>
  <si>
    <t>Soler Llorens, Juan Luis </t>
  </si>
  <si>
    <t>DISEÑO, IMPLEMENTACIÓN Y VALIDACIÓN DE SISTEMAS DE ADQUISICIÓN DE DATOS SÍSMICOS BASADOS EN ARDUINO </t>
  </si>
  <si>
    <t>16/12/2019 </t>
  </si>
  <si>
    <t>21372721V </t>
  </si>
  <si>
    <t>GIANNETTI, ALICE</t>
  </si>
  <si>
    <t>COD DEP</t>
  </si>
  <si>
    <t>Cueto Mendoza, Nora Elida </t>
  </si>
  <si>
    <t>PRINCIPALES FACTORES DE CONTROL DE LAS PROPIEDADES DE TRANSPORTE DE FLUIDOS EN ROCAS CARBONÁTICAS MARINAS Y CONTINENTALES: ESTUDIO EXPERIMENTAL Y TEÓRICO INTEGRADO SOBRE LA RELACIÓN ENTRE LA PERMEABILIDAD Y LA CAPILARIDAD </t>
  </si>
  <si>
    <t>26/11/2020 </t>
  </si>
  <si>
    <t>Medina Cascales, Iván </t>
  </si>
  <si>
    <t>Geometry, kinematics and palaeoseismology of the Baza and Galera fault zones (Guadix-Baza Basin, Betic Cordillera) </t>
  </si>
  <si>
    <t>15/06/2021 </t>
  </si>
  <si>
    <t>75879493D </t>
  </si>
  <si>
    <t>Sáez Andreu, Marina </t>
  </si>
  <si>
    <t>¿Nonlinear analysis and global modeling of Karstic microclimates: Altamira and El Rull.¿ </t>
  </si>
  <si>
    <t>29/09/2021 </t>
  </si>
  <si>
    <t>Contrato de Asistencia Técnica entre Laboratorio de Ingeniería y Medio Ambiente, S.A. ImasaLab y la Universidad de Alicante "Interpretación de análisis de muestras de materiales geológicos, agua y otros materiales relacionados con la construcción" Trabajo realizado desde el 26/10/2019 hasta el 30/10/2020</t>
  </si>
  <si>
    <t>31.00.6C.00.57</t>
  </si>
  <si>
    <t xml:space="preserve">ANÁLISIS DE SISTEMA POROSO CON POROSIMETRÍA DE MERCURIO Y PICNOMETRIA DE HELIO  </t>
  </si>
  <si>
    <t>31.00.6C.00.58</t>
  </si>
  <si>
    <t>SECOINGEO2-19TPA . AUSCULTACIÓN GPR CON ANTENAS DE 500 Y 100 MH EN LA FALDA DE LA SERRA GROSA.</t>
  </si>
  <si>
    <t>31.00.6C.00.59</t>
  </si>
  <si>
    <t>Realización de 6 láminas delgadas, sin tinción y con acabado pulido (sin cubre) Difracción de Rayos X (con interpretación de resultados) de 8 muestras Fluorescencia de Rayos X de 8 muestras</t>
  </si>
  <si>
    <t>31.00.6C.00.60</t>
  </si>
  <si>
    <t>DETERMINACIÓN DE POROSIMETRÍA DE CERÁMICAS.</t>
  </si>
  <si>
    <t>31.00.6C.00.62</t>
  </si>
  <si>
    <t>ENAGAS1-20T MONITORIZACION GEOFÍSICA DEL ALMACENAMIENTO SUBTERRÁNEO DE YELA</t>
  </si>
  <si>
    <t>Primera Factura: PROCESADO Y MONITORIZACIÓN DE RED, EN CONCEPTO DE ADELANTO, según: Contrato de Referencia: GAA.529193.20 Código de Adjudicación: 6000035790 Código SAP de Contrato: 9000029992 Número de certificación: 8000111612</t>
  </si>
  <si>
    <t>Quinta factura: Servicios de Monitorización Geofísica AS Yela: Contrato de Referencia: GAA.529193.20 Código de Adjudicación: 6000035790 Código SAP de Contrato: 9000029992 Número de certificación: 8000116088</t>
  </si>
  <si>
    <t>Segunda factura: Servicios de Monitorización Geofísica AS Yela: Contrato de Referencia: GAA.529193.20 Código de Adjudicación: 6000035790 Código SAP de Contrato: 9000029992 Número de certificación: 8000112991</t>
  </si>
  <si>
    <t>Séptima factura: Servicios de Monitorización Geofísica AS Yela: Contrato de Referencia: GAA.529193.20 Código de Adjudicación: 6000035790 Código SAP de Contrato: 9000029992 Número de certificación:  8000118841</t>
  </si>
  <si>
    <t>Sexta factura: Servicios de Monitorización Geofísica AS Yela: Contrato de Referencia: GAA.529193.20 Código de Adjudicación: 6000035790 Código SAP de Contrato: 9000029992 Número de certificación: 8000117200</t>
  </si>
  <si>
    <t>Tercera factura: Servicios de Monitorización Geofísica AS Yela: Contrato de Referencia: GAA.529193.20 Código de Adjudicación: 6000035790 Código SAP de Contrato: 9000029992 Número de certificación: 8000116062</t>
  </si>
  <si>
    <t>31.00.6C.00.63</t>
  </si>
  <si>
    <t>CARACTERIZACIÓN DE 4 MUESTRAS DE ADOBE Y MORTEROS POR POROSIMETRÍA DE MERCURIO Y PICNOMETRÍA DE HELIO</t>
  </si>
  <si>
    <t>31.00.6C.00.64</t>
  </si>
  <si>
    <t>Caracterización con porosimetría de mercurio y picnometría de helio de 17 muestras</t>
  </si>
  <si>
    <t>31.00.6C.00.65</t>
  </si>
  <si>
    <t>Caracterización mineralógica con difracción de rayos X de hormigones</t>
  </si>
  <si>
    <t>31.00.6C.00.66</t>
  </si>
  <si>
    <t>Procesado y análisis de muestras de sedimentos marinos. Objetivo: Levigado de 50 muestras de sedimentos, obteniendo las fracciones de 500, 125 y 63 micras de acuerdo con el protocolo propuesto por Caracuel et al. (2004).</t>
  </si>
  <si>
    <t>31.00.6C.00.68</t>
  </si>
  <si>
    <t>ANÁLISIS MINERALÓGICO Y GEOQUÍMICO DEL RELLENO (SEDIMENTOS, ENCOSTRAMIENTOS, NÓDULOS..) DE LOS YACIMIENTOS DE LA VIÑA Y LLONIN (ASTURIAS): DRX, FRX, ICP-MS, RAMÁN Y REALIZACIÓN DE INFORME Proyecto: PGC2018-100010-B-I00</t>
  </si>
  <si>
    <t>31.00.6C.00.69</t>
  </si>
  <si>
    <t>REALIZACIÓN DE 11 LÁMINAS DELGADAS CON ACABADO NORMAL, SIN CUBRE Y CON TINCIÓN DE CARBONATOS. Expediente número 14119</t>
  </si>
  <si>
    <t>31.00.6C.00.70</t>
  </si>
  <si>
    <t>Realización de 13 láminas delgadas. Expediente número 14195</t>
  </si>
  <si>
    <t>31.00.6C.00.71</t>
  </si>
  <si>
    <t xml:space="preserve">Caracterización con porosimetría de mercurio y picnometría de helio de 4 muestras </t>
  </si>
  <si>
    <t>31.00.6C.00.72</t>
  </si>
  <si>
    <t>Caracterización con porosimetría de mercurio y picnometría de helio de 28 muestras</t>
  </si>
  <si>
    <t>31.00.6C.00.73</t>
  </si>
  <si>
    <t>Caracterización con porosimetría de mercurio y picnometría de helio de 21 muestras</t>
  </si>
  <si>
    <t>31.00.6C.00.74</t>
  </si>
  <si>
    <t>Ruta geológica de Alicante 2020. Vídeo y cuaderno. Dentro de la Noche Mediterránea de las Investigadoras-Mednight 2020 de la Universidad de Alicante y en concreto con la actividad ` GeoAlicante: geología en la ciudad ¿, se pondrá en valor el patrimonio de la ciudad de Alicante y se conocerá, desde una perspectiva científica y divulgativa, los secretos geológicos que se esconden detrás de lugares tan emblemáticos como el Castillo de Santa Bárbara o la Cara del Moro en el Monte Benacantil, entre otros. Grabación y edición de material audiovisual con motivo de la Noche Europea de la Investigación. Documental</t>
  </si>
  <si>
    <t>FLIB 30/06/2020. PROYECTOS RETOS INVESTIGACION 201 / 8. ANUAL 2020 PROYECTOS I+D RETOS (PIA13) N E / XPEDIENTE: PIA132018-1 - 2 ANUALIDAD REFERE / GOVT / 27402220310030580</t>
  </si>
  <si>
    <t>INGRESO AGENCIA ESTATAL INVESTIGACIÓN: RTI2018-099052-B-I00</t>
  </si>
  <si>
    <t>SUBVENCIONES GRUPOS INVESTIGACION CONSOLIDABLES AICO/2019.2ª (INNOVACIÓN,UNIVERSIDADES,CIENCIA SOC.DIG)</t>
  </si>
  <si>
    <t>31.00.6P.00.17</t>
  </si>
  <si>
    <t>RESOLUCIÓN CONCESIÓN DE FECHA 8 DE OCTUBRE DE 2020 SUBVENCIÓN AICO 2020 (INNOVACIÓN,UNIVERSIDADES,CIENCIA SOC.DIG)</t>
  </si>
  <si>
    <t>Contrato de Asistencia Técnica entre Laboratorio de Ingeniería y Medio Ambiente, S.A. ImasaLab y la Universidad de Alicante "Interpretación de análisis de muestras de materiales geológicos, agua y otros materiales relacionados con la construcción" Trabajo realizado desde el 31/10/2020 hasta el 30/10/2021</t>
  </si>
  <si>
    <t>ENAGAS1-20T Octava factura: Servicios de Monitorización Geofísica AS Yela: Contrato de Referencia: GAA.529193.20 Código de Adjudicación: 6000035790 Código SAP de Contrato: 9000029992 Número de certificación: 8000120276</t>
  </si>
  <si>
    <t>Novena factura: Servicios de Monitorización Geofísica AS Yela: Contrato de Referencia: GAA.529193.20 Código de Adjudicación: 6000035790 Código SAP de Contrato: 9000029992 Número de certificación: 8000120810</t>
  </si>
  <si>
    <t>Décima factura: Servicios de Monitorización Geofísica AS Yela: Contrato de Referencia: GAA.529193.20 Código de Adjudicación: 6000035790 Código SAP de Contrato: 9000029992 Número de certificación: 8000121932</t>
  </si>
  <si>
    <t>Factura núm. 11 : Servicios de Monitorización Geofísica AS Yela: Contrato de Referencia: GAA.529193.20 Código de Adjudicación: 6000035790 Código SAP de Contrato: 9000029992 Número de certificación: 8000123160</t>
  </si>
  <si>
    <t>Factura núm. 12 : Servicios de Monitorización Geofísica AS Yela: Pedido: 9000029992 Número de certificación: 8000124222 Nº proveedor en su empresa: 351423 / Q0332001G</t>
  </si>
  <si>
    <t>Factura núm. 13 : Servicios de Monitorización Geofísica AS Yela: Pedido: 9000029992 Número de certificación: 8000125704 Nº proveedor en su empresa: 351423 /Q0332001G</t>
  </si>
  <si>
    <t>Factura final: 20% del importe de los servicios de PROCESADO Y MONITORIZACIÓN DE RED prestados durante los seis (6) primeros meses (según puntos 7.5 y 7.7 del contrato de Servicios de Monitorización Geofísica AS Yela): Pedido: 9000029992 Número de confirmación: 8000128880 Nº proveedor en su empresa: 351423 /Q0332001G</t>
  </si>
  <si>
    <t>31.00.6C.00.67</t>
  </si>
  <si>
    <t xml:space="preserve">EVALUACIÓN DE LA ACTIVIDAD CITOQUININA Y AUXINA DE TRES PRODUCTOS BIOESTIMULADORES IV: 1.- Bioensayo para citoquininas: Estudio de la degradación de clorofilas en comparación con concentraciones conocidas de Kinetina. 1.- Bioensanyo para auxinas: Determinación del desarrollo de raíces en comparación con concentraciones conocidas de AIA (ácido indolacético). PRODUCTOS: - RAIZANTE - SM50 - BIOFERRO </t>
  </si>
  <si>
    <t>31.00.6C.00.75</t>
  </si>
  <si>
    <t xml:space="preserve">EVALUACIÓN DE LA ACTIVIDAD CITOQUININA Y AUXINA DE UN PRODUCTO BIOESTIMULADOR V: 1.- Bioensayo para citoquininas: Estudio de la degradación de clorofilas en comparación con concentraciones conocidas de Kinetina. 2.- Bioensanyo para auxinas: Determinación del desarrollo de raíces en comparación con concentraciones conocidas de AIA (ácido indolacético). PRODUCTO: SM90 </t>
  </si>
  <si>
    <t>31.00.6C.00.76</t>
  </si>
  <si>
    <t>Análisis de sedimentos arenosos Objetivo: Estudio bajo lupa binocular de sedimentos arenosos con el propósito de identificar procedencia marina de las mismas. (9 muestras)</t>
  </si>
  <si>
    <t>31.00.6C.00.77</t>
  </si>
  <si>
    <t>Estudio Geológico del Triasico de los alrededores de la cantera de Aspe (EFFIAGE)</t>
  </si>
  <si>
    <t>31.00.6C.00.78</t>
  </si>
  <si>
    <t>Pago inicial, según contrato "ANÁLISIS DE LA ACTIVIDAD SÍSMICA EN LA PRESA DE ENCISO": Imputación nº: PR20STDSM004 Pedido nº: AA / 121159</t>
  </si>
  <si>
    <t>1.er pago mensual  (de 21 previstos) -agosto 2021. Según contrato "ANÁLISIS DE LA ACTIVIDAD SÍSMICA EN LA PRESA DE ENCISO": Imputación nº: PR20STDSM004 Pedido nº: AA / 121159</t>
  </si>
  <si>
    <t>2º pago mensual (de 21 previstos) - septiembre 2021. Según contrato "ANÁLISIS DE LA ACTIVIDAD SÍSMICA EN LA PRESA DE ENCISO": Imputación nº: PR20STDSM004 Pedido nº: AA / 121159</t>
  </si>
  <si>
    <t>3r pago mensual (de 21 previstos) -octubre 2021. Según contrato "ANÁLISIS DE LA ACTIVIDAD SÍSMICA EN LA PRESA DE ENCISO": Imputación nº: PR20STDSM004 Pedido nº: AA / 121159</t>
  </si>
  <si>
    <t>4º pago mensual (de 21 previstos) - noviembre 2021. Según contrato "ANÁLISIS DE LA ACTIVIDAD SÍSMICA EN LA PRESA DE ENCISO": Imputación nº: PR20STDSM004 Pedido nº: AA / 121159</t>
  </si>
  <si>
    <t>31.00.6C.00.79</t>
  </si>
  <si>
    <t>Análisis de porosidad y distribución del tamaño de los poros de muestras de sedimentos y rocas, utilizando la combinación de porosimetría de instrusión de mercurio y picnometría de helio Nº de pedido interno del MNCN-CSIC: 2765-21-4378</t>
  </si>
  <si>
    <t>31.00.6C.00.80</t>
  </si>
  <si>
    <t>Realización de láminas delgadas de materiales para estudio petrográfico</t>
  </si>
  <si>
    <t>31.00.6C.00.81</t>
  </si>
  <si>
    <t>Elaboració de capes temàtiques per a un mapa de sismicitat i un de perillositat</t>
  </si>
  <si>
    <t>31.00.6C.00.82</t>
  </si>
  <si>
    <t xml:space="preserve">Estudio petrográfico (microscopia óptica y electrónica) y mineralógico (DRX) de fases minerales ricas en hierro y manganeso del Abrigo de la Viña y de la Cueva de Llonín (Asturias) Proyecto SV-20-PALAQ-2  </t>
  </si>
  <si>
    <t>31.00.6C.00.83</t>
  </si>
  <si>
    <t>Caracterización textural y composicional de materiales geoarqueológicos (Abrigo de La Viña y Cueva de Llonin, Asturias) Proyecto: PGC100010-B-I00</t>
  </si>
  <si>
    <t>31.00.6C.00.84</t>
  </si>
  <si>
    <t>Asesoramiento científico en proyecto de prospección paleontológica en el Tossal de Alicante y participación en desarrollo de contenidos divulgativos en la zona.</t>
  </si>
  <si>
    <t>31.00.6C.00.85</t>
  </si>
  <si>
    <t>Difracción de Rayos X (SIN interpretación de resultados) de 15 muestras, que incluye preparación de muestras y supervisión de los resultados</t>
  </si>
  <si>
    <t>31.00.6C.00.86</t>
  </si>
  <si>
    <t>- Micronizado de 15 muestras - Fluorescencia de Rayos X (mayores y trazas) de 15 muestras PROYECTOS DE INVESTIGACIÓN (Fundación Palarq. IP. V. García-Entero. Proyecto: "materiales para construir una villa...")</t>
  </si>
  <si>
    <t>31.00.6C.00.87</t>
  </si>
  <si>
    <t>REALIZACIÓN DE 15 LÁMINAS DELGADAS, SIN TINCIÓN Y CON ACABADO PULIDO (SIN CUBRE)</t>
  </si>
  <si>
    <t>31.00.6C.00.88</t>
  </si>
  <si>
    <t xml:space="preserve">Estudio textural de 6 muestras cerámicas con porosimetría de mercurio y picnometría de helio </t>
  </si>
  <si>
    <t>31.00.6C.00.89</t>
  </si>
  <si>
    <t>Pruebas, estudio y calibración de instrumental sísmico.</t>
  </si>
  <si>
    <t>31.00.6C.00.90</t>
  </si>
  <si>
    <t>Análisis de la microestructura de 7 rocas con porosimetría de mercurio</t>
  </si>
  <si>
    <t>31.00.6C.00.91</t>
  </si>
  <si>
    <t>Realización de seis láminas delgadas y la descripción petrográfica de mármol calcítico. Número de expediente. 2021020298</t>
  </si>
  <si>
    <t>31.00.6C.00.92</t>
  </si>
  <si>
    <t>UCLM1-21TPA. Realización de 35 láminas delgadas con acabado DOBLE PULIDO, sin cubre.</t>
  </si>
  <si>
    <t>31.00.6C.00.93</t>
  </si>
  <si>
    <t xml:space="preserve">Realización de 39 láminas delgadas de materiales para su estudio petrográfico. Número de proyecto: 30284 </t>
  </si>
  <si>
    <t>31.00.6C.00.95</t>
  </si>
  <si>
    <t>ELABORACIÓN DE CUADERNO GEOLODÍA 2021 RELATIVO AL TÉRMINO MUNICIPAL DE CALPE</t>
  </si>
  <si>
    <t>31.00.6C.00.96</t>
  </si>
  <si>
    <t>CARACTERIZACIÓN TEXTURAL DE 17 ROCAS CON POROSIMETRÍA DE MERCURIO Y PICNOMETRÍA DE HELIO</t>
  </si>
  <si>
    <t>31.00.6C.00.97</t>
  </si>
  <si>
    <t>Caracterización sistema poroso y de radiación gamma de suelo exterior, roca encajante, espeleotemas y materiales arcillosos de la Cueva de Castañar de Ibor. Su número de pedido: 00868 - 21 - 4379</t>
  </si>
  <si>
    <t>31.00.6C.00.98</t>
  </si>
  <si>
    <t>Preparación de probetas y caracterización de la densidad aparente, porosidad conectada y permeabilidad de cuatro muestras</t>
  </si>
  <si>
    <t xml:space="preserve">RTI2018-100737-B-I00 </t>
  </si>
  <si>
    <t xml:space="preserve">RTI2018-099052-B-I00 </t>
  </si>
  <si>
    <t>RES. CONCESIÓN SUBVENCIONES PARA GRUPOSINVESTIGACIÓN CONSOLIDABLES AICO 2020 EN2021</t>
  </si>
  <si>
    <t>31.00.6P.00.18</t>
  </si>
  <si>
    <t>PID2020-114381GB-I00</t>
  </si>
  <si>
    <t>48555813F</t>
  </si>
  <si>
    <t>RODRIGUEZ HERNANDEZ, MARIA DEL CARMEN</t>
  </si>
  <si>
    <t>50735095Q</t>
  </si>
  <si>
    <t>CUEVAS GONZALEZ, JAIME</t>
  </si>
  <si>
    <t>77705974Z</t>
  </si>
  <si>
    <t>PEREZ VALERA, FERNANDO</t>
  </si>
  <si>
    <t>X7864247H</t>
  </si>
  <si>
    <t>BLANCO QUINTERO, IDAEL FRANCISCO</t>
  </si>
  <si>
    <t>Total ingresos investigación 2019, 2020 y 2021</t>
  </si>
  <si>
    <t>Moliner Aznar, Santiago </t>
  </si>
  <si>
    <t>Caracterización y valorización del patrimonio geológico del área de Sierra Espuña (Cordillera Bética: SE, España). </t>
  </si>
  <si>
    <t>27/04/2022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</si>
</sst>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3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9" fillId="3" borderId="1" xfId="3" applyFont="1" applyFill="1" applyBorder="1" applyAlignment="1">
      <alignment horizontal="center" wrapText="1"/>
    </xf>
    <xf numFmtId="0" fontId="10" fillId="6" borderId="0" xfId="5" applyFont="1" applyFill="1"/>
    <xf numFmtId="0" fontId="10" fillId="6" borderId="0" xfId="5" applyFont="1" applyFill="1" applyAlignment="1">
      <alignment horizontal="right"/>
    </xf>
    <xf numFmtId="0" fontId="11" fillId="6" borderId="0" xfId="5" applyFont="1" applyFill="1"/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1"/>
  <sheetViews>
    <sheetView showGridLines="0" tabSelected="1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7.44140625" style="13" bestFit="1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11" t="s">
        <v>17</v>
      </c>
      <c r="O1" s="12" t="s">
        <v>18</v>
      </c>
      <c r="P1" s="11" t="s">
        <v>19</v>
      </c>
      <c r="Q1" s="12" t="s">
        <v>20</v>
      </c>
      <c r="R1" s="11" t="s">
        <v>21</v>
      </c>
      <c r="S1" s="11" t="s">
        <v>22</v>
      </c>
      <c r="T1" s="11" t="s">
        <v>23</v>
      </c>
      <c r="U1" s="11" t="s">
        <v>24</v>
      </c>
    </row>
    <row r="2" spans="1:21" x14ac:dyDescent="0.2">
      <c r="A2" s="23" t="s">
        <v>29</v>
      </c>
      <c r="B2" s="23" t="s">
        <v>30</v>
      </c>
      <c r="C2" s="23" t="s">
        <v>31</v>
      </c>
      <c r="D2" s="23" t="s">
        <v>51</v>
      </c>
      <c r="E2" s="23" t="s">
        <v>35</v>
      </c>
      <c r="F2" s="23" t="s">
        <v>33</v>
      </c>
      <c r="G2" s="23" t="s">
        <v>52</v>
      </c>
      <c r="H2" s="23" t="s">
        <v>25</v>
      </c>
      <c r="I2" s="23" t="s">
        <v>43</v>
      </c>
      <c r="J2" s="23" t="s">
        <v>44</v>
      </c>
      <c r="K2" s="23">
        <v>0.5</v>
      </c>
      <c r="L2" s="23" t="s">
        <v>45</v>
      </c>
      <c r="M2" s="24">
        <v>2016</v>
      </c>
      <c r="N2" s="23" t="s">
        <v>27</v>
      </c>
      <c r="O2" s="24" t="s">
        <v>27</v>
      </c>
      <c r="P2" s="25" t="s">
        <v>27</v>
      </c>
      <c r="Q2" s="26" t="s">
        <v>27</v>
      </c>
      <c r="R2" s="26">
        <v>100</v>
      </c>
      <c r="S2" s="26">
        <v>0.5</v>
      </c>
      <c r="T2" s="26">
        <v>0</v>
      </c>
      <c r="U2" s="13">
        <v>0</v>
      </c>
    </row>
    <row r="3" spans="1:21" x14ac:dyDescent="0.2">
      <c r="A3" s="23" t="s">
        <v>29</v>
      </c>
      <c r="B3" s="23" t="s">
        <v>30</v>
      </c>
      <c r="C3" s="23" t="s">
        <v>31</v>
      </c>
      <c r="D3" s="23" t="s">
        <v>51</v>
      </c>
      <c r="E3" s="23" t="s">
        <v>35</v>
      </c>
      <c r="F3" s="23" t="s">
        <v>33</v>
      </c>
      <c r="G3" s="23" t="s">
        <v>53</v>
      </c>
      <c r="H3" s="23" t="s">
        <v>25</v>
      </c>
      <c r="I3" s="23" t="s">
        <v>43</v>
      </c>
      <c r="J3" s="23" t="s">
        <v>44</v>
      </c>
      <c r="K3" s="23">
        <v>0.5</v>
      </c>
      <c r="L3" s="23" t="s">
        <v>45</v>
      </c>
      <c r="M3" s="24">
        <v>2016</v>
      </c>
      <c r="N3" s="23" t="s">
        <v>27</v>
      </c>
      <c r="O3" s="24" t="s">
        <v>27</v>
      </c>
      <c r="P3" s="25" t="s">
        <v>27</v>
      </c>
      <c r="Q3" s="26" t="s">
        <v>27</v>
      </c>
      <c r="R3" s="26">
        <v>100</v>
      </c>
      <c r="S3" s="26">
        <v>0.5</v>
      </c>
      <c r="T3" s="26">
        <v>0</v>
      </c>
      <c r="U3" s="13">
        <v>0</v>
      </c>
    </row>
    <row r="4" spans="1:21" x14ac:dyDescent="0.2">
      <c r="A4" s="23" t="s">
        <v>40</v>
      </c>
      <c r="B4" s="23" t="s">
        <v>41</v>
      </c>
      <c r="C4" s="23" t="s">
        <v>42</v>
      </c>
      <c r="D4" s="23" t="s">
        <v>47</v>
      </c>
      <c r="E4" s="23" t="s">
        <v>48</v>
      </c>
      <c r="F4" s="23" t="s">
        <v>49</v>
      </c>
      <c r="G4" s="23" t="s">
        <v>46</v>
      </c>
      <c r="H4" s="23" t="s">
        <v>25</v>
      </c>
      <c r="I4" s="23" t="s">
        <v>43</v>
      </c>
      <c r="J4" s="23" t="s">
        <v>44</v>
      </c>
      <c r="K4" s="26">
        <v>0.33333333333333331</v>
      </c>
      <c r="L4" s="23" t="s">
        <v>45</v>
      </c>
      <c r="M4" s="24">
        <v>2016</v>
      </c>
      <c r="N4" s="23" t="s">
        <v>28</v>
      </c>
      <c r="O4" s="24" t="s">
        <v>34</v>
      </c>
      <c r="P4" s="25" t="s">
        <v>27</v>
      </c>
      <c r="Q4" s="26" t="s">
        <v>27</v>
      </c>
      <c r="R4" s="26">
        <v>90</v>
      </c>
      <c r="S4" s="26">
        <v>0.3</v>
      </c>
      <c r="T4" s="26">
        <v>3.3333333333333333E-2</v>
      </c>
      <c r="U4" s="13">
        <v>0</v>
      </c>
    </row>
    <row r="5" spans="1:21" x14ac:dyDescent="0.2">
      <c r="A5" s="23" t="s">
        <v>40</v>
      </c>
      <c r="B5" s="23" t="s">
        <v>41</v>
      </c>
      <c r="C5" s="23" t="s">
        <v>42</v>
      </c>
      <c r="D5" s="23" t="s">
        <v>47</v>
      </c>
      <c r="E5" s="23" t="s">
        <v>48</v>
      </c>
      <c r="F5" s="23" t="s">
        <v>49</v>
      </c>
      <c r="G5" s="23" t="s">
        <v>50</v>
      </c>
      <c r="H5" s="23" t="s">
        <v>25</v>
      </c>
      <c r="I5" s="23" t="s">
        <v>43</v>
      </c>
      <c r="J5" s="23" t="s">
        <v>44</v>
      </c>
      <c r="K5" s="26">
        <v>0.33333333333333331</v>
      </c>
      <c r="L5" s="23" t="s">
        <v>45</v>
      </c>
      <c r="M5" s="24">
        <v>2016</v>
      </c>
      <c r="N5" s="23" t="s">
        <v>27</v>
      </c>
      <c r="O5" s="24" t="s">
        <v>27</v>
      </c>
      <c r="P5" s="25" t="s">
        <v>27</v>
      </c>
      <c r="Q5" s="26" t="s">
        <v>27</v>
      </c>
      <c r="R5" s="26">
        <v>100</v>
      </c>
      <c r="S5" s="26">
        <v>0.33333333333333326</v>
      </c>
      <c r="T5" s="26">
        <v>0</v>
      </c>
      <c r="U5" s="13">
        <v>0</v>
      </c>
    </row>
    <row r="6" spans="1:21" x14ac:dyDescent="0.2">
      <c r="A6" s="23" t="s">
        <v>141</v>
      </c>
      <c r="B6" s="23" t="s">
        <v>142</v>
      </c>
      <c r="C6" s="23" t="s">
        <v>143</v>
      </c>
      <c r="D6" s="23" t="s">
        <v>144</v>
      </c>
      <c r="E6" s="23" t="s">
        <v>145</v>
      </c>
      <c r="F6" s="23" t="s">
        <v>146</v>
      </c>
      <c r="G6" s="23" t="s">
        <v>147</v>
      </c>
      <c r="H6" s="23" t="s">
        <v>25</v>
      </c>
      <c r="I6" s="23" t="s">
        <v>43</v>
      </c>
      <c r="J6" s="23" t="s">
        <v>44</v>
      </c>
      <c r="K6" s="23">
        <v>0.5</v>
      </c>
      <c r="L6" s="23" t="s">
        <v>45</v>
      </c>
      <c r="M6" s="24">
        <v>2019</v>
      </c>
      <c r="N6" s="23" t="s">
        <v>38</v>
      </c>
      <c r="O6" s="24" t="s">
        <v>39</v>
      </c>
      <c r="P6" s="25" t="s">
        <v>27</v>
      </c>
      <c r="Q6" s="26" t="s">
        <v>27</v>
      </c>
      <c r="R6" s="26">
        <v>80</v>
      </c>
      <c r="S6" s="26">
        <v>0.4</v>
      </c>
      <c r="T6" s="26">
        <v>0.1</v>
      </c>
      <c r="U6" s="13">
        <v>0</v>
      </c>
    </row>
    <row r="7" spans="1:21" x14ac:dyDescent="0.2">
      <c r="A7" s="23" t="s">
        <v>29</v>
      </c>
      <c r="B7" s="23" t="s">
        <v>30</v>
      </c>
      <c r="C7" s="23" t="s">
        <v>31</v>
      </c>
      <c r="D7" s="23" t="s">
        <v>150</v>
      </c>
      <c r="E7" s="23" t="s">
        <v>151</v>
      </c>
      <c r="F7" s="23" t="s">
        <v>152</v>
      </c>
      <c r="G7" s="23" t="s">
        <v>50</v>
      </c>
      <c r="H7" s="23" t="s">
        <v>25</v>
      </c>
      <c r="I7" s="23" t="s">
        <v>43</v>
      </c>
      <c r="J7" s="23" t="s">
        <v>44</v>
      </c>
      <c r="K7" s="23">
        <v>0.5</v>
      </c>
      <c r="L7" s="23" t="s">
        <v>45</v>
      </c>
      <c r="M7" s="24">
        <v>2019</v>
      </c>
      <c r="N7" s="23" t="s">
        <v>27</v>
      </c>
      <c r="O7" s="24" t="s">
        <v>27</v>
      </c>
      <c r="P7" s="25" t="s">
        <v>27</v>
      </c>
      <c r="Q7" s="26" t="s">
        <v>27</v>
      </c>
      <c r="R7" s="26">
        <v>100</v>
      </c>
      <c r="S7" s="26">
        <v>0.5</v>
      </c>
      <c r="T7" s="26">
        <v>0</v>
      </c>
      <c r="U7" s="13">
        <v>0</v>
      </c>
    </row>
    <row r="8" spans="1:21" x14ac:dyDescent="0.2">
      <c r="A8" s="23" t="s">
        <v>29</v>
      </c>
      <c r="B8" s="23" t="s">
        <v>30</v>
      </c>
      <c r="C8" s="23" t="s">
        <v>31</v>
      </c>
      <c r="D8" s="23" t="s">
        <v>153</v>
      </c>
      <c r="E8" s="23" t="s">
        <v>154</v>
      </c>
      <c r="F8" s="23" t="s">
        <v>155</v>
      </c>
      <c r="G8" s="23" t="s">
        <v>156</v>
      </c>
      <c r="H8" s="23" t="s">
        <v>25</v>
      </c>
      <c r="I8" s="23" t="s">
        <v>43</v>
      </c>
      <c r="J8" s="23" t="s">
        <v>44</v>
      </c>
      <c r="K8" s="23">
        <v>0.5</v>
      </c>
      <c r="L8" s="23" t="s">
        <v>45</v>
      </c>
      <c r="M8" s="24">
        <v>2020</v>
      </c>
      <c r="N8" s="23" t="s">
        <v>27</v>
      </c>
      <c r="O8" s="24" t="s">
        <v>27</v>
      </c>
      <c r="P8" s="25" t="s">
        <v>27</v>
      </c>
      <c r="Q8" s="26" t="s">
        <v>27</v>
      </c>
      <c r="R8" s="26">
        <v>100</v>
      </c>
      <c r="S8" s="26">
        <v>0.5</v>
      </c>
      <c r="T8" s="26">
        <v>0</v>
      </c>
      <c r="U8" s="13">
        <v>0</v>
      </c>
    </row>
    <row r="9" spans="1:21" x14ac:dyDescent="0.2">
      <c r="A9" s="23" t="s">
        <v>29</v>
      </c>
      <c r="B9" s="23" t="s">
        <v>30</v>
      </c>
      <c r="C9" s="23" t="s">
        <v>31</v>
      </c>
      <c r="D9" s="23" t="s">
        <v>157</v>
      </c>
      <c r="E9" s="23" t="s">
        <v>158</v>
      </c>
      <c r="F9" s="23" t="s">
        <v>159</v>
      </c>
      <c r="G9" s="23" t="s">
        <v>50</v>
      </c>
      <c r="H9" s="23" t="s">
        <v>25</v>
      </c>
      <c r="I9" s="23" t="s">
        <v>43</v>
      </c>
      <c r="J9" s="23" t="s">
        <v>44</v>
      </c>
      <c r="K9" s="23">
        <v>0.5</v>
      </c>
      <c r="L9" s="23" t="s">
        <v>45</v>
      </c>
      <c r="M9" s="24">
        <v>2020</v>
      </c>
      <c r="N9" s="23" t="s">
        <v>27</v>
      </c>
      <c r="O9" s="24" t="s">
        <v>27</v>
      </c>
      <c r="P9" s="23" t="s">
        <v>27</v>
      </c>
      <c r="Q9" s="23" t="s">
        <v>27</v>
      </c>
      <c r="R9" s="23">
        <v>100</v>
      </c>
      <c r="S9" s="23">
        <v>0.5</v>
      </c>
      <c r="T9" s="26">
        <v>0</v>
      </c>
      <c r="U9" s="13">
        <v>0</v>
      </c>
    </row>
    <row r="10" spans="1:21" x14ac:dyDescent="0.2">
      <c r="A10" s="23" t="s">
        <v>29</v>
      </c>
      <c r="B10" s="23" t="s">
        <v>30</v>
      </c>
      <c r="C10" s="23" t="s">
        <v>31</v>
      </c>
      <c r="D10" s="23" t="s">
        <v>278</v>
      </c>
      <c r="E10" s="23" t="s">
        <v>279</v>
      </c>
      <c r="F10" s="23" t="s">
        <v>280</v>
      </c>
      <c r="G10" s="23" t="s">
        <v>53</v>
      </c>
      <c r="H10" s="23" t="s">
        <v>32</v>
      </c>
      <c r="I10" s="23" t="s">
        <v>43</v>
      </c>
      <c r="J10" s="23" t="s">
        <v>44</v>
      </c>
      <c r="K10" s="23">
        <v>1</v>
      </c>
      <c r="L10" s="23" t="s">
        <v>45</v>
      </c>
      <c r="M10" s="24">
        <v>2021</v>
      </c>
      <c r="N10" s="23" t="s">
        <v>27</v>
      </c>
      <c r="O10" s="24" t="s">
        <v>27</v>
      </c>
      <c r="P10" s="23" t="s">
        <v>27</v>
      </c>
      <c r="Q10" s="23" t="s">
        <v>27</v>
      </c>
      <c r="R10" s="23">
        <v>100</v>
      </c>
      <c r="S10" s="23">
        <v>1</v>
      </c>
      <c r="T10" s="26">
        <v>0</v>
      </c>
      <c r="U10" s="13">
        <v>0</v>
      </c>
    </row>
    <row r="11" spans="1:2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4"/>
      <c r="Q11" s="15"/>
      <c r="R11" s="14"/>
      <c r="S11" s="16">
        <f>SUM(S2:S10)</f>
        <v>4.5333333333333332</v>
      </c>
      <c r="T11" s="14"/>
      <c r="U11" s="14"/>
    </row>
  </sheetData>
  <autoFilter ref="A1:U10" xr:uid="{00000000-0009-0000-0000-000000000000}">
    <sortState xmlns:xlrd2="http://schemas.microsoft.com/office/spreadsheetml/2017/richdata2" ref="A2:U1911">
      <sortCondition ref="L2:L1911"/>
      <sortCondition ref="M2:M1911"/>
      <sortCondition ref="D2:D191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zoomScaleNormal="100" workbookViewId="0">
      <selection activeCell="S19" sqref="S19"/>
    </sheetView>
  </sheetViews>
  <sheetFormatPr baseColWidth="10" defaultColWidth="11.44140625" defaultRowHeight="13.2" x14ac:dyDescent="0.25"/>
  <cols>
    <col min="1" max="1" width="10.5546875" style="21" bestFit="1" customWidth="1"/>
    <col min="2" max="2" width="36.6640625" style="21" bestFit="1" customWidth="1"/>
    <col min="3" max="3" width="17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30" x14ac:dyDescent="0.25">
      <c r="A1" s="27" t="s">
        <v>54</v>
      </c>
      <c r="B1" s="27" t="s">
        <v>55</v>
      </c>
      <c r="C1" s="27" t="s">
        <v>56</v>
      </c>
      <c r="D1" s="28">
        <v>2017</v>
      </c>
      <c r="E1" s="28">
        <v>2018</v>
      </c>
      <c r="F1" s="28">
        <v>2019</v>
      </c>
      <c r="G1" s="28">
        <v>2020</v>
      </c>
      <c r="H1" s="28">
        <v>2021</v>
      </c>
      <c r="I1" s="28">
        <v>2022</v>
      </c>
      <c r="J1" s="27" t="s">
        <v>57</v>
      </c>
      <c r="K1" s="32" t="s">
        <v>149</v>
      </c>
      <c r="L1" s="18" t="s">
        <v>58</v>
      </c>
      <c r="M1" s="18" t="s">
        <v>59</v>
      </c>
      <c r="N1" s="18" t="s">
        <v>60</v>
      </c>
      <c r="O1" s="18" t="s">
        <v>61</v>
      </c>
      <c r="P1" s="19" t="s">
        <v>62</v>
      </c>
      <c r="Q1" s="19" t="s">
        <v>63</v>
      </c>
      <c r="R1" s="19" t="s">
        <v>64</v>
      </c>
      <c r="S1" s="19" t="s">
        <v>65</v>
      </c>
    </row>
    <row r="2" spans="1:19" ht="14.4" x14ac:dyDescent="0.3">
      <c r="A2" s="29" t="s">
        <v>76</v>
      </c>
      <c r="B2" s="29" t="s">
        <v>77</v>
      </c>
      <c r="C2" s="29" t="s">
        <v>66</v>
      </c>
      <c r="D2" s="29">
        <v>1</v>
      </c>
      <c r="E2" s="29"/>
      <c r="F2" s="29"/>
      <c r="G2" s="29"/>
      <c r="H2" s="29"/>
      <c r="I2" s="29"/>
      <c r="J2" s="29">
        <v>1</v>
      </c>
      <c r="K2" s="29" t="s">
        <v>45</v>
      </c>
      <c r="L2" s="30" t="s">
        <v>28</v>
      </c>
      <c r="M2" s="30" t="s">
        <v>34</v>
      </c>
      <c r="N2" s="30" t="s">
        <v>27</v>
      </c>
      <c r="O2" s="30" t="s">
        <v>27</v>
      </c>
      <c r="P2" s="30">
        <v>90</v>
      </c>
      <c r="Q2" s="30">
        <v>0.1</v>
      </c>
      <c r="R2" s="30">
        <v>0</v>
      </c>
      <c r="S2" s="30">
        <v>0.9</v>
      </c>
    </row>
    <row r="3" spans="1:19" ht="14.4" x14ac:dyDescent="0.3">
      <c r="A3" s="29" t="s">
        <v>72</v>
      </c>
      <c r="B3" s="29" t="s">
        <v>73</v>
      </c>
      <c r="C3" s="29" t="s">
        <v>66</v>
      </c>
      <c r="D3" s="29"/>
      <c r="E3" s="29"/>
      <c r="F3" s="29"/>
      <c r="G3" s="29"/>
      <c r="H3" s="29">
        <v>1</v>
      </c>
      <c r="I3" s="29">
        <v>1</v>
      </c>
      <c r="J3" s="29">
        <v>2</v>
      </c>
      <c r="K3" s="29" t="s">
        <v>45</v>
      </c>
      <c r="L3" s="30">
        <v>0</v>
      </c>
      <c r="M3" s="30">
        <v>0</v>
      </c>
      <c r="N3" s="30" t="s">
        <v>27</v>
      </c>
      <c r="O3" s="30" t="s">
        <v>27</v>
      </c>
      <c r="P3" s="30">
        <v>100</v>
      </c>
      <c r="Q3" s="30">
        <v>0</v>
      </c>
      <c r="R3" s="30">
        <v>0</v>
      </c>
      <c r="S3" s="30">
        <v>2</v>
      </c>
    </row>
    <row r="4" spans="1:19" ht="14.4" x14ac:dyDescent="0.3">
      <c r="A4" s="29" t="s">
        <v>70</v>
      </c>
      <c r="B4" s="29" t="s">
        <v>71</v>
      </c>
      <c r="C4" s="29" t="s">
        <v>66</v>
      </c>
      <c r="D4" s="29">
        <v>1</v>
      </c>
      <c r="E4" s="29"/>
      <c r="F4" s="29"/>
      <c r="G4" s="29"/>
      <c r="H4" s="29"/>
      <c r="I4" s="29"/>
      <c r="J4" s="29">
        <v>1</v>
      </c>
      <c r="K4" s="29" t="s">
        <v>45</v>
      </c>
      <c r="L4" s="30" t="s">
        <v>36</v>
      </c>
      <c r="M4" s="30" t="s">
        <v>34</v>
      </c>
      <c r="N4" s="30" t="s">
        <v>27</v>
      </c>
      <c r="O4" s="30" t="s">
        <v>27</v>
      </c>
      <c r="P4" s="30">
        <v>90</v>
      </c>
      <c r="Q4" s="30">
        <v>0.1</v>
      </c>
      <c r="R4" s="30">
        <v>0</v>
      </c>
      <c r="S4" s="30">
        <v>0.9</v>
      </c>
    </row>
    <row r="5" spans="1:19" ht="14.4" x14ac:dyDescent="0.3">
      <c r="A5" s="29" t="s">
        <v>68</v>
      </c>
      <c r="B5" s="29" t="s">
        <v>69</v>
      </c>
      <c r="C5" s="29" t="s">
        <v>66</v>
      </c>
      <c r="D5" s="29">
        <v>1</v>
      </c>
      <c r="E5" s="29"/>
      <c r="F5" s="29">
        <v>1</v>
      </c>
      <c r="G5" s="29"/>
      <c r="H5" s="29"/>
      <c r="I5" s="29"/>
      <c r="J5" s="29">
        <v>2</v>
      </c>
      <c r="K5" s="29" t="s">
        <v>45</v>
      </c>
      <c r="L5" s="30">
        <v>0</v>
      </c>
      <c r="M5" s="30">
        <v>0</v>
      </c>
      <c r="N5" s="30" t="s">
        <v>27</v>
      </c>
      <c r="O5" s="30" t="s">
        <v>27</v>
      </c>
      <c r="P5" s="30">
        <v>100</v>
      </c>
      <c r="Q5" s="30">
        <v>0</v>
      </c>
      <c r="R5" s="30">
        <v>0</v>
      </c>
      <c r="S5" s="30">
        <v>2</v>
      </c>
    </row>
    <row r="6" spans="1:19" ht="14.4" x14ac:dyDescent="0.3">
      <c r="A6" s="29" t="s">
        <v>89</v>
      </c>
      <c r="B6" s="29" t="s">
        <v>90</v>
      </c>
      <c r="C6" s="29" t="s">
        <v>66</v>
      </c>
      <c r="D6" s="29"/>
      <c r="E6" s="29"/>
      <c r="F6" s="29"/>
      <c r="G6" s="29"/>
      <c r="H6" s="29"/>
      <c r="I6" s="29">
        <v>1</v>
      </c>
      <c r="J6" s="29">
        <v>1</v>
      </c>
      <c r="K6" s="29" t="s">
        <v>45</v>
      </c>
      <c r="L6" s="30" t="s">
        <v>28</v>
      </c>
      <c r="M6" s="30" t="s">
        <v>26</v>
      </c>
      <c r="N6" s="30" t="s">
        <v>27</v>
      </c>
      <c r="O6" s="30" t="s">
        <v>27</v>
      </c>
      <c r="P6" s="30">
        <v>50</v>
      </c>
      <c r="Q6" s="30">
        <v>0.5</v>
      </c>
      <c r="R6" s="30">
        <v>0</v>
      </c>
      <c r="S6" s="30">
        <v>0.5</v>
      </c>
    </row>
    <row r="7" spans="1:19" ht="14.4" x14ac:dyDescent="0.3">
      <c r="A7" s="29" t="s">
        <v>85</v>
      </c>
      <c r="B7" s="29" t="s">
        <v>86</v>
      </c>
      <c r="C7" s="29" t="s">
        <v>66</v>
      </c>
      <c r="D7" s="29">
        <v>1</v>
      </c>
      <c r="E7" s="29"/>
      <c r="F7" s="29"/>
      <c r="G7" s="29"/>
      <c r="H7" s="29"/>
      <c r="I7" s="29"/>
      <c r="J7" s="29">
        <v>1</v>
      </c>
      <c r="K7" s="29" t="s">
        <v>45</v>
      </c>
      <c r="L7" s="30">
        <v>0</v>
      </c>
      <c r="M7" s="30">
        <v>0</v>
      </c>
      <c r="N7" s="30" t="s">
        <v>27</v>
      </c>
      <c r="O7" s="30" t="s">
        <v>27</v>
      </c>
      <c r="P7" s="30">
        <v>100</v>
      </c>
      <c r="Q7" s="30">
        <v>0</v>
      </c>
      <c r="R7" s="30">
        <v>0</v>
      </c>
      <c r="S7" s="30">
        <v>1</v>
      </c>
    </row>
    <row r="8" spans="1:19" ht="14.4" x14ac:dyDescent="0.3">
      <c r="A8" s="29" t="s">
        <v>82</v>
      </c>
      <c r="B8" s="29" t="s">
        <v>83</v>
      </c>
      <c r="C8" s="29" t="s">
        <v>67</v>
      </c>
      <c r="D8" s="29"/>
      <c r="E8" s="29"/>
      <c r="F8" s="29"/>
      <c r="G8" s="29">
        <v>1</v>
      </c>
      <c r="H8" s="29"/>
      <c r="I8" s="29"/>
      <c r="J8" s="29">
        <v>1</v>
      </c>
      <c r="K8" s="29" t="s">
        <v>45</v>
      </c>
      <c r="L8" s="30" t="s">
        <v>36</v>
      </c>
      <c r="M8" s="30" t="s">
        <v>34</v>
      </c>
      <c r="N8" s="30" t="s">
        <v>28</v>
      </c>
      <c r="O8" s="30" t="s">
        <v>39</v>
      </c>
      <c r="P8" s="30">
        <v>70</v>
      </c>
      <c r="Q8" s="30">
        <v>0.1</v>
      </c>
      <c r="R8" s="30">
        <v>0.2</v>
      </c>
      <c r="S8" s="30">
        <v>0.7</v>
      </c>
    </row>
    <row r="9" spans="1:19" ht="14.4" x14ac:dyDescent="0.3">
      <c r="A9" s="29" t="s">
        <v>78</v>
      </c>
      <c r="B9" s="29" t="s">
        <v>79</v>
      </c>
      <c r="C9" s="29" t="s">
        <v>66</v>
      </c>
      <c r="D9" s="29"/>
      <c r="E9" s="29"/>
      <c r="F9" s="29"/>
      <c r="G9" s="29"/>
      <c r="H9" s="29">
        <v>2</v>
      </c>
      <c r="I9" s="29"/>
      <c r="J9" s="29">
        <v>2</v>
      </c>
      <c r="K9" s="29" t="s">
        <v>45</v>
      </c>
      <c r="L9" s="30">
        <v>0</v>
      </c>
      <c r="M9" s="30">
        <v>0</v>
      </c>
      <c r="N9" s="30" t="s">
        <v>27</v>
      </c>
      <c r="O9" s="30" t="s">
        <v>27</v>
      </c>
      <c r="P9" s="30">
        <v>100</v>
      </c>
      <c r="Q9" s="30">
        <v>0</v>
      </c>
      <c r="R9" s="30">
        <v>0</v>
      </c>
      <c r="S9" s="30">
        <v>2</v>
      </c>
    </row>
    <row r="10" spans="1:19" ht="14.4" x14ac:dyDescent="0.3">
      <c r="A10" s="29" t="s">
        <v>269</v>
      </c>
      <c r="B10" s="29" t="s">
        <v>270</v>
      </c>
      <c r="C10" s="29" t="s">
        <v>67</v>
      </c>
      <c r="D10" s="29"/>
      <c r="E10" s="29"/>
      <c r="F10" s="29"/>
      <c r="G10" s="29"/>
      <c r="H10" s="29"/>
      <c r="I10" s="29">
        <v>1</v>
      </c>
      <c r="J10" s="29">
        <v>1</v>
      </c>
      <c r="K10" s="29" t="s">
        <v>45</v>
      </c>
      <c r="L10" s="30" t="s">
        <v>36</v>
      </c>
      <c r="M10" s="30" t="s">
        <v>26</v>
      </c>
      <c r="N10" s="30" t="s">
        <v>27</v>
      </c>
      <c r="O10" s="30" t="s">
        <v>27</v>
      </c>
      <c r="P10" s="30">
        <v>50</v>
      </c>
      <c r="Q10" s="30">
        <v>0.5</v>
      </c>
      <c r="R10" s="30">
        <v>0</v>
      </c>
      <c r="S10" s="30">
        <v>0.5</v>
      </c>
    </row>
    <row r="11" spans="1:19" ht="14.4" x14ac:dyDescent="0.3">
      <c r="A11" s="29" t="s">
        <v>271</v>
      </c>
      <c r="B11" s="29" t="s">
        <v>272</v>
      </c>
      <c r="C11" s="29" t="s">
        <v>67</v>
      </c>
      <c r="D11" s="29"/>
      <c r="E11" s="29"/>
      <c r="F11" s="29"/>
      <c r="G11" s="29"/>
      <c r="H11" s="29"/>
      <c r="I11" s="29">
        <v>1</v>
      </c>
      <c r="J11" s="29">
        <v>1</v>
      </c>
      <c r="K11" s="29" t="s">
        <v>45</v>
      </c>
      <c r="L11" s="30">
        <v>0</v>
      </c>
      <c r="M11" s="30">
        <v>0</v>
      </c>
      <c r="N11" s="30" t="s">
        <v>27</v>
      </c>
      <c r="O11" s="30" t="s">
        <v>27</v>
      </c>
      <c r="P11" s="30">
        <v>100</v>
      </c>
      <c r="Q11" s="30">
        <v>0</v>
      </c>
      <c r="R11" s="30">
        <v>0</v>
      </c>
      <c r="S11" s="30">
        <v>1</v>
      </c>
    </row>
    <row r="12" spans="1:19" ht="14.4" x14ac:dyDescent="0.3">
      <c r="A12" s="29" t="s">
        <v>80</v>
      </c>
      <c r="B12" s="29" t="s">
        <v>81</v>
      </c>
      <c r="C12" s="29" t="s">
        <v>66</v>
      </c>
      <c r="D12" s="29"/>
      <c r="E12" s="29"/>
      <c r="F12" s="29">
        <v>1</v>
      </c>
      <c r="G12" s="29"/>
      <c r="H12" s="29"/>
      <c r="I12" s="29"/>
      <c r="J12" s="29">
        <v>1</v>
      </c>
      <c r="K12" s="29" t="s">
        <v>45</v>
      </c>
      <c r="L12" s="30">
        <v>0</v>
      </c>
      <c r="M12" s="30">
        <v>0</v>
      </c>
      <c r="N12" s="30" t="s">
        <v>27</v>
      </c>
      <c r="O12" s="30" t="s">
        <v>27</v>
      </c>
      <c r="P12" s="30">
        <v>100</v>
      </c>
      <c r="Q12" s="30">
        <v>0</v>
      </c>
      <c r="R12" s="30">
        <v>0</v>
      </c>
      <c r="S12" s="30">
        <v>1</v>
      </c>
    </row>
    <row r="13" spans="1:19" ht="14.4" x14ac:dyDescent="0.3">
      <c r="A13" s="29" t="s">
        <v>91</v>
      </c>
      <c r="B13" s="29" t="s">
        <v>92</v>
      </c>
      <c r="C13" s="29" t="s">
        <v>66</v>
      </c>
      <c r="D13" s="29">
        <v>2</v>
      </c>
      <c r="E13" s="29"/>
      <c r="F13" s="29">
        <v>1</v>
      </c>
      <c r="G13" s="29"/>
      <c r="H13" s="29"/>
      <c r="I13" s="29"/>
      <c r="J13" s="29">
        <v>3</v>
      </c>
      <c r="K13" s="29" t="s">
        <v>45</v>
      </c>
      <c r="L13" s="30" t="s">
        <v>28</v>
      </c>
      <c r="M13" s="30" t="s">
        <v>37</v>
      </c>
      <c r="N13" s="30" t="s">
        <v>27</v>
      </c>
      <c r="O13" s="30" t="s">
        <v>27</v>
      </c>
      <c r="P13" s="30">
        <v>70</v>
      </c>
      <c r="Q13" s="30">
        <v>0.9</v>
      </c>
      <c r="R13" s="30">
        <v>0</v>
      </c>
      <c r="S13" s="30">
        <v>2.1</v>
      </c>
    </row>
    <row r="14" spans="1:19" ht="14.4" x14ac:dyDescent="0.3">
      <c r="A14" s="29" t="s">
        <v>74</v>
      </c>
      <c r="B14" s="29" t="s">
        <v>75</v>
      </c>
      <c r="C14" s="29" t="s">
        <v>66</v>
      </c>
      <c r="D14" s="29"/>
      <c r="E14" s="29"/>
      <c r="F14" s="29">
        <v>1</v>
      </c>
      <c r="G14" s="29"/>
      <c r="H14" s="29"/>
      <c r="I14" s="29">
        <v>1</v>
      </c>
      <c r="J14" s="29">
        <v>2</v>
      </c>
      <c r="K14" s="29" t="s">
        <v>45</v>
      </c>
      <c r="L14" s="30">
        <v>0</v>
      </c>
      <c r="M14" s="30">
        <v>0</v>
      </c>
      <c r="N14" s="30" t="s">
        <v>27</v>
      </c>
      <c r="O14" s="30" t="s">
        <v>27</v>
      </c>
      <c r="P14" s="30">
        <v>100</v>
      </c>
      <c r="Q14" s="30">
        <v>0</v>
      </c>
      <c r="R14" s="30">
        <v>0</v>
      </c>
      <c r="S14" s="30">
        <v>2</v>
      </c>
    </row>
    <row r="15" spans="1:19" ht="14.4" x14ac:dyDescent="0.3">
      <c r="A15" s="29" t="s">
        <v>87</v>
      </c>
      <c r="B15" s="29" t="s">
        <v>88</v>
      </c>
      <c r="C15" s="31" t="s">
        <v>66</v>
      </c>
      <c r="D15" s="29"/>
      <c r="E15" s="29"/>
      <c r="F15" s="29">
        <v>4</v>
      </c>
      <c r="G15" s="29"/>
      <c r="H15" s="29"/>
      <c r="I15" s="29"/>
      <c r="J15" s="29">
        <v>4</v>
      </c>
      <c r="K15" s="29" t="s">
        <v>45</v>
      </c>
      <c r="L15" s="30">
        <v>0</v>
      </c>
      <c r="M15" s="30">
        <v>0</v>
      </c>
      <c r="N15" s="30" t="s">
        <v>27</v>
      </c>
      <c r="O15" s="30" t="s">
        <v>27</v>
      </c>
      <c r="P15" s="30">
        <v>100</v>
      </c>
      <c r="Q15" s="30">
        <v>0</v>
      </c>
      <c r="R15" s="30">
        <v>0</v>
      </c>
      <c r="S15" s="30">
        <v>4</v>
      </c>
    </row>
    <row r="16" spans="1:19" ht="14.4" x14ac:dyDescent="0.3">
      <c r="A16" s="29" t="s">
        <v>273</v>
      </c>
      <c r="B16" s="29" t="s">
        <v>274</v>
      </c>
      <c r="C16" s="31" t="s">
        <v>67</v>
      </c>
      <c r="D16" s="29"/>
      <c r="E16" s="29"/>
      <c r="F16" s="29"/>
      <c r="G16" s="29"/>
      <c r="H16" s="29"/>
      <c r="I16" s="29">
        <v>2</v>
      </c>
      <c r="J16" s="29">
        <v>2</v>
      </c>
      <c r="K16" s="29" t="s">
        <v>45</v>
      </c>
      <c r="L16" s="30">
        <v>0</v>
      </c>
      <c r="M16" s="30">
        <v>0</v>
      </c>
      <c r="N16" s="30" t="s">
        <v>27</v>
      </c>
      <c r="O16" s="30" t="s">
        <v>27</v>
      </c>
      <c r="P16" s="30">
        <v>100</v>
      </c>
      <c r="Q16" s="30">
        <v>0</v>
      </c>
      <c r="R16" s="30">
        <v>0</v>
      </c>
      <c r="S16" s="30">
        <v>2</v>
      </c>
    </row>
    <row r="17" spans="1:19" ht="14.4" x14ac:dyDescent="0.3">
      <c r="A17" s="29" t="s">
        <v>275</v>
      </c>
      <c r="B17" s="29" t="s">
        <v>276</v>
      </c>
      <c r="C17" s="31" t="s">
        <v>67</v>
      </c>
      <c r="D17" s="29"/>
      <c r="E17" s="29"/>
      <c r="F17" s="29"/>
      <c r="G17" s="29"/>
      <c r="H17" s="29"/>
      <c r="I17" s="29">
        <v>2</v>
      </c>
      <c r="J17" s="29">
        <v>2</v>
      </c>
      <c r="K17" s="29" t="s">
        <v>45</v>
      </c>
      <c r="L17" s="30">
        <v>0</v>
      </c>
      <c r="M17" s="30">
        <v>0</v>
      </c>
      <c r="N17" s="30" t="s">
        <v>27</v>
      </c>
      <c r="O17" s="30" t="s">
        <v>27</v>
      </c>
      <c r="P17" s="30">
        <v>100</v>
      </c>
      <c r="Q17" s="30">
        <v>0</v>
      </c>
      <c r="R17" s="30">
        <v>0</v>
      </c>
      <c r="S17" s="30">
        <v>2</v>
      </c>
    </row>
    <row r="18" spans="1:19" ht="14.4" x14ac:dyDescent="0.3">
      <c r="A18" s="29" t="s">
        <v>84</v>
      </c>
      <c r="B18" s="29" t="s">
        <v>148</v>
      </c>
      <c r="C18" s="31" t="s">
        <v>66</v>
      </c>
      <c r="D18" s="29"/>
      <c r="E18" s="29"/>
      <c r="F18" s="29"/>
      <c r="G18" s="29"/>
      <c r="H18" s="29">
        <v>2</v>
      </c>
      <c r="I18" s="29"/>
      <c r="J18" s="29">
        <v>2</v>
      </c>
      <c r="K18" s="29" t="s">
        <v>45</v>
      </c>
      <c r="L18" s="30">
        <v>0</v>
      </c>
      <c r="M18" s="30">
        <v>0</v>
      </c>
      <c r="N18" s="30" t="s">
        <v>27</v>
      </c>
      <c r="O18" s="30" t="s">
        <v>27</v>
      </c>
      <c r="P18" s="30">
        <v>100</v>
      </c>
      <c r="Q18" s="30">
        <v>0</v>
      </c>
      <c r="R18" s="30">
        <v>0</v>
      </c>
      <c r="S18" s="30">
        <v>2</v>
      </c>
    </row>
    <row r="19" spans="1:19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  <c r="O19" s="33"/>
      <c r="P19" s="34"/>
      <c r="Q19" s="33"/>
      <c r="R19" s="33"/>
      <c r="S19" s="35">
        <f>SUM(S2:S18)</f>
        <v>26.6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2"/>
  <sheetViews>
    <sheetView topLeftCell="A23" zoomScaleNormal="100" workbookViewId="0">
      <selection activeCell="A45" sqref="A45:B5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93</v>
      </c>
      <c r="B2" s="5"/>
    </row>
    <row r="3" spans="1:2" x14ac:dyDescent="0.2">
      <c r="A3" s="4" t="s">
        <v>94</v>
      </c>
      <c r="B3" s="5">
        <v>11200</v>
      </c>
    </row>
    <row r="4" spans="1:2" x14ac:dyDescent="0.2">
      <c r="A4" s="4" t="s">
        <v>3</v>
      </c>
      <c r="B4" s="7"/>
    </row>
    <row r="5" spans="1:2" x14ac:dyDescent="0.2">
      <c r="A5" s="4" t="s">
        <v>95</v>
      </c>
      <c r="B5" s="5">
        <v>1260</v>
      </c>
    </row>
    <row r="6" spans="1:2" x14ac:dyDescent="0.2">
      <c r="A6" s="4" t="s">
        <v>96</v>
      </c>
      <c r="B6" s="5"/>
    </row>
    <row r="7" spans="1:2" x14ac:dyDescent="0.2">
      <c r="A7" s="4" t="s">
        <v>97</v>
      </c>
      <c r="B7" s="5">
        <v>565</v>
      </c>
    </row>
    <row r="8" spans="1:2" x14ac:dyDescent="0.2">
      <c r="A8" s="4" t="s">
        <v>98</v>
      </c>
      <c r="B8" s="5"/>
    </row>
    <row r="9" spans="1:2" x14ac:dyDescent="0.2">
      <c r="A9" s="4" t="s">
        <v>99</v>
      </c>
      <c r="B9" s="5">
        <v>442</v>
      </c>
    </row>
    <row r="10" spans="1:2" x14ac:dyDescent="0.2">
      <c r="A10" s="4" t="s">
        <v>100</v>
      </c>
      <c r="B10" s="5"/>
    </row>
    <row r="11" spans="1:2" x14ac:dyDescent="0.2">
      <c r="A11" s="4" t="s">
        <v>101</v>
      </c>
      <c r="B11" s="5">
        <v>2300</v>
      </c>
    </row>
    <row r="12" spans="1:2" x14ac:dyDescent="0.2">
      <c r="A12" s="4" t="s">
        <v>102</v>
      </c>
      <c r="B12" s="5"/>
    </row>
    <row r="13" spans="1:2" x14ac:dyDescent="0.2">
      <c r="A13" s="4" t="s">
        <v>103</v>
      </c>
      <c r="B13" s="5">
        <v>1250</v>
      </c>
    </row>
    <row r="14" spans="1:2" x14ac:dyDescent="0.2">
      <c r="A14" s="4" t="s">
        <v>104</v>
      </c>
      <c r="B14" s="5"/>
    </row>
    <row r="15" spans="1:2" x14ac:dyDescent="0.2">
      <c r="A15" s="4" t="s">
        <v>105</v>
      </c>
      <c r="B15" s="5">
        <v>2504</v>
      </c>
    </row>
    <row r="16" spans="1:2" x14ac:dyDescent="0.2">
      <c r="A16" s="4" t="s">
        <v>106</v>
      </c>
      <c r="B16" s="5"/>
    </row>
    <row r="17" spans="1:2" x14ac:dyDescent="0.2">
      <c r="A17" s="4" t="s">
        <v>107</v>
      </c>
      <c r="B17" s="5">
        <v>600</v>
      </c>
    </row>
    <row r="18" spans="1:2" x14ac:dyDescent="0.2">
      <c r="A18" s="4" t="s">
        <v>108</v>
      </c>
      <c r="B18" s="5"/>
    </row>
    <row r="19" spans="1:2" x14ac:dyDescent="0.2">
      <c r="A19" s="4" t="s">
        <v>109</v>
      </c>
      <c r="B19" s="5">
        <v>300</v>
      </c>
    </row>
    <row r="20" spans="1:2" x14ac:dyDescent="0.2">
      <c r="A20" s="4" t="s">
        <v>110</v>
      </c>
      <c r="B20" s="5"/>
    </row>
    <row r="21" spans="1:2" x14ac:dyDescent="0.2">
      <c r="A21" s="4" t="s">
        <v>111</v>
      </c>
      <c r="B21" s="5">
        <v>2479.34</v>
      </c>
    </row>
    <row r="22" spans="1:2" x14ac:dyDescent="0.2">
      <c r="A22" s="4" t="s">
        <v>112</v>
      </c>
      <c r="B22" s="5"/>
    </row>
    <row r="23" spans="1:2" x14ac:dyDescent="0.2">
      <c r="A23" s="4" t="s">
        <v>113</v>
      </c>
      <c r="B23" s="5">
        <v>300</v>
      </c>
    </row>
    <row r="24" spans="1:2" x14ac:dyDescent="0.2">
      <c r="A24" s="4" t="s">
        <v>114</v>
      </c>
      <c r="B24" s="5"/>
    </row>
    <row r="25" spans="1:2" x14ac:dyDescent="0.2">
      <c r="A25" s="4" t="s">
        <v>115</v>
      </c>
      <c r="B25" s="5">
        <v>877.25</v>
      </c>
    </row>
    <row r="26" spans="1:2" x14ac:dyDescent="0.2">
      <c r="A26" s="4" t="s">
        <v>116</v>
      </c>
      <c r="B26" s="5"/>
    </row>
    <row r="27" spans="1:2" x14ac:dyDescent="0.2">
      <c r="A27" s="4" t="s">
        <v>117</v>
      </c>
      <c r="B27" s="5">
        <v>220</v>
      </c>
    </row>
    <row r="28" spans="1:2" x14ac:dyDescent="0.2">
      <c r="A28" s="4" t="s">
        <v>118</v>
      </c>
      <c r="B28" s="5"/>
    </row>
    <row r="29" spans="1:2" x14ac:dyDescent="0.2">
      <c r="A29" s="4" t="s">
        <v>119</v>
      </c>
      <c r="B29" s="5">
        <v>680</v>
      </c>
    </row>
    <row r="30" spans="1:2" x14ac:dyDescent="0.2">
      <c r="A30" s="4" t="s">
        <v>120</v>
      </c>
      <c r="B30" s="5"/>
    </row>
    <row r="31" spans="1:2" x14ac:dyDescent="0.2">
      <c r="A31" s="4" t="s">
        <v>121</v>
      </c>
      <c r="B31" s="5">
        <v>163</v>
      </c>
    </row>
    <row r="32" spans="1:2" x14ac:dyDescent="0.2">
      <c r="A32" s="4" t="s">
        <v>122</v>
      </c>
      <c r="B32" s="5"/>
    </row>
    <row r="33" spans="1:2" x14ac:dyDescent="0.2">
      <c r="A33" s="4" t="s">
        <v>123</v>
      </c>
      <c r="B33" s="5">
        <v>450</v>
      </c>
    </row>
    <row r="34" spans="1:2" x14ac:dyDescent="0.2">
      <c r="A34" s="4" t="s">
        <v>124</v>
      </c>
      <c r="B34" s="5"/>
    </row>
    <row r="35" spans="1:2" x14ac:dyDescent="0.2">
      <c r="A35" s="4" t="s">
        <v>125</v>
      </c>
      <c r="B35" s="5">
        <v>400</v>
      </c>
    </row>
    <row r="36" spans="1:2" x14ac:dyDescent="0.2">
      <c r="A36" s="4" t="s">
        <v>126</v>
      </c>
      <c r="B36" s="5"/>
    </row>
    <row r="37" spans="1:2" x14ac:dyDescent="0.2">
      <c r="A37" s="4" t="s">
        <v>127</v>
      </c>
      <c r="B37" s="5">
        <v>650</v>
      </c>
    </row>
    <row r="38" spans="1:2" x14ac:dyDescent="0.2">
      <c r="A38" s="4" t="s">
        <v>128</v>
      </c>
      <c r="B38" s="5"/>
    </row>
    <row r="39" spans="1:2" x14ac:dyDescent="0.2">
      <c r="A39" s="4" t="s">
        <v>129</v>
      </c>
      <c r="B39" s="5">
        <v>7900</v>
      </c>
    </row>
    <row r="40" spans="1:2" x14ac:dyDescent="0.2">
      <c r="A40" s="4" t="s">
        <v>130</v>
      </c>
      <c r="B40" s="5"/>
    </row>
    <row r="41" spans="1:2" x14ac:dyDescent="0.2">
      <c r="A41" s="4" t="s">
        <v>129</v>
      </c>
      <c r="B41" s="5">
        <v>7400</v>
      </c>
    </row>
    <row r="42" spans="1:2" x14ac:dyDescent="0.2">
      <c r="A42" s="4" t="s">
        <v>131</v>
      </c>
      <c r="B42" s="5"/>
    </row>
    <row r="43" spans="1:2" x14ac:dyDescent="0.2">
      <c r="A43" s="4" t="s">
        <v>132</v>
      </c>
      <c r="B43" s="5">
        <v>1364.83</v>
      </c>
    </row>
    <row r="44" spans="1:2" x14ac:dyDescent="0.2">
      <c r="A44" s="4" t="s">
        <v>133</v>
      </c>
      <c r="B44" s="5"/>
    </row>
    <row r="45" spans="1:2" x14ac:dyDescent="0.2">
      <c r="A45" s="4" t="s">
        <v>134</v>
      </c>
      <c r="B45" s="5">
        <v>33500</v>
      </c>
    </row>
    <row r="46" spans="1:2" x14ac:dyDescent="0.2">
      <c r="A46" s="4" t="s">
        <v>135</v>
      </c>
      <c r="B46" s="5">
        <v>16080</v>
      </c>
    </row>
    <row r="47" spans="1:2" x14ac:dyDescent="0.2">
      <c r="A47" s="4" t="s">
        <v>136</v>
      </c>
      <c r="B47" s="5"/>
    </row>
    <row r="48" spans="1:2" x14ac:dyDescent="0.2">
      <c r="A48" s="4" t="s">
        <v>137</v>
      </c>
      <c r="B48" s="5">
        <v>45000</v>
      </c>
    </row>
    <row r="49" spans="1:2" x14ac:dyDescent="0.2">
      <c r="A49" s="4" t="s">
        <v>138</v>
      </c>
      <c r="B49" s="5">
        <v>21600</v>
      </c>
    </row>
    <row r="50" spans="1:2" x14ac:dyDescent="0.2">
      <c r="A50" s="4" t="s">
        <v>139</v>
      </c>
      <c r="B50" s="5"/>
    </row>
    <row r="51" spans="1:2" x14ac:dyDescent="0.2">
      <c r="A51" s="4" t="s">
        <v>140</v>
      </c>
      <c r="B51" s="5">
        <v>6684.6</v>
      </c>
    </row>
    <row r="52" spans="1:2" x14ac:dyDescent="0.2">
      <c r="A52" s="6" t="s">
        <v>2</v>
      </c>
      <c r="B52" s="7">
        <f>SUM(B3:B51)</f>
        <v>166170.01999999999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6217-11B9-487E-BDB0-1C0B5F1BA637}">
  <dimension ref="A1:B50"/>
  <sheetViews>
    <sheetView topLeftCell="A25" zoomScaleNormal="100" workbookViewId="0">
      <selection activeCell="A2" sqref="A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160</v>
      </c>
      <c r="B3" s="5">
        <v>1381.6</v>
      </c>
    </row>
    <row r="4" spans="1:2" x14ac:dyDescent="0.2">
      <c r="A4" s="4" t="s">
        <v>161</v>
      </c>
      <c r="B4" s="7"/>
    </row>
    <row r="5" spans="1:2" x14ac:dyDescent="0.2">
      <c r="A5" s="4" t="s">
        <v>162</v>
      </c>
      <c r="B5" s="5">
        <v>99.44</v>
      </c>
    </row>
    <row r="6" spans="1:2" x14ac:dyDescent="0.2">
      <c r="A6" s="4" t="s">
        <v>163</v>
      </c>
      <c r="B6" s="5"/>
    </row>
    <row r="7" spans="1:2" x14ac:dyDescent="0.2">
      <c r="A7" s="4" t="s">
        <v>164</v>
      </c>
      <c r="B7" s="5">
        <v>528</v>
      </c>
    </row>
    <row r="8" spans="1:2" x14ac:dyDescent="0.2">
      <c r="A8" s="4" t="s">
        <v>165</v>
      </c>
      <c r="B8" s="5"/>
    </row>
    <row r="9" spans="1:2" x14ac:dyDescent="0.2">
      <c r="A9" s="4" t="s">
        <v>166</v>
      </c>
      <c r="B9" s="5">
        <v>972.84</v>
      </c>
    </row>
    <row r="10" spans="1:2" x14ac:dyDescent="0.2">
      <c r="A10" s="4" t="s">
        <v>167</v>
      </c>
      <c r="B10" s="5"/>
    </row>
    <row r="11" spans="1:2" x14ac:dyDescent="0.2">
      <c r="A11" s="4" t="s">
        <v>168</v>
      </c>
      <c r="B11" s="5">
        <v>750.02</v>
      </c>
    </row>
    <row r="12" spans="1:2" x14ac:dyDescent="0.2">
      <c r="A12" s="4" t="s">
        <v>169</v>
      </c>
      <c r="B12" s="5"/>
    </row>
    <row r="13" spans="1:2" x14ac:dyDescent="0.2">
      <c r="A13" s="4" t="s">
        <v>170</v>
      </c>
      <c r="B13" s="5">
        <v>6928.77</v>
      </c>
    </row>
    <row r="14" spans="1:2" x14ac:dyDescent="0.2">
      <c r="A14" s="4" t="s">
        <v>171</v>
      </c>
      <c r="B14" s="5">
        <v>9461.76</v>
      </c>
    </row>
    <row r="15" spans="1:2" x14ac:dyDescent="0.2">
      <c r="A15" s="4" t="s">
        <v>172</v>
      </c>
      <c r="B15" s="5">
        <v>5962.88</v>
      </c>
    </row>
    <row r="16" spans="1:2" x14ac:dyDescent="0.2">
      <c r="A16" s="4" t="s">
        <v>173</v>
      </c>
      <c r="B16" s="5">
        <v>4385.92</v>
      </c>
    </row>
    <row r="17" spans="1:2" x14ac:dyDescent="0.2">
      <c r="A17" s="4" t="s">
        <v>174</v>
      </c>
      <c r="B17" s="5">
        <v>7687.68</v>
      </c>
    </row>
    <row r="18" spans="1:2" x14ac:dyDescent="0.2">
      <c r="A18" s="4" t="s">
        <v>175</v>
      </c>
      <c r="B18" s="5">
        <v>7037.18</v>
      </c>
    </row>
    <row r="19" spans="1:2" x14ac:dyDescent="0.2">
      <c r="A19" s="4" t="s">
        <v>176</v>
      </c>
      <c r="B19" s="5">
        <v>5085.7</v>
      </c>
    </row>
    <row r="20" spans="1:2" x14ac:dyDescent="0.2">
      <c r="A20" s="4" t="s">
        <v>177</v>
      </c>
      <c r="B20" s="5"/>
    </row>
    <row r="21" spans="1:2" x14ac:dyDescent="0.2">
      <c r="A21" s="4" t="s">
        <v>178</v>
      </c>
      <c r="B21" s="5">
        <v>200</v>
      </c>
    </row>
    <row r="22" spans="1:2" x14ac:dyDescent="0.2">
      <c r="A22" s="4" t="s">
        <v>179</v>
      </c>
      <c r="B22" s="5"/>
    </row>
    <row r="23" spans="1:2" x14ac:dyDescent="0.2">
      <c r="A23" s="4" t="s">
        <v>180</v>
      </c>
      <c r="B23" s="5">
        <v>849.2</v>
      </c>
    </row>
    <row r="24" spans="1:2" x14ac:dyDescent="0.2">
      <c r="A24" s="4" t="s">
        <v>181</v>
      </c>
      <c r="B24" s="5"/>
    </row>
    <row r="25" spans="1:2" x14ac:dyDescent="0.2">
      <c r="A25" s="4" t="s">
        <v>182</v>
      </c>
      <c r="B25" s="5">
        <v>211.2</v>
      </c>
    </row>
    <row r="26" spans="1:2" x14ac:dyDescent="0.2">
      <c r="A26" s="4" t="s">
        <v>183</v>
      </c>
      <c r="B26" s="5"/>
    </row>
    <row r="27" spans="1:2" x14ac:dyDescent="0.2">
      <c r="A27" s="4" t="s">
        <v>184</v>
      </c>
      <c r="B27" s="5">
        <v>660</v>
      </c>
    </row>
    <row r="28" spans="1:2" x14ac:dyDescent="0.2">
      <c r="A28" s="4" t="s">
        <v>185</v>
      </c>
      <c r="B28" s="5"/>
    </row>
    <row r="29" spans="1:2" x14ac:dyDescent="0.2">
      <c r="A29" s="4" t="s">
        <v>186</v>
      </c>
      <c r="B29" s="5">
        <v>4320.8</v>
      </c>
    </row>
    <row r="30" spans="1:2" x14ac:dyDescent="0.2">
      <c r="A30" s="4" t="s">
        <v>187</v>
      </c>
      <c r="B30" s="5"/>
    </row>
    <row r="31" spans="1:2" x14ac:dyDescent="0.2">
      <c r="A31" s="4" t="s">
        <v>188</v>
      </c>
      <c r="B31" s="5">
        <v>272.98</v>
      </c>
    </row>
    <row r="32" spans="1:2" x14ac:dyDescent="0.2">
      <c r="A32" s="4" t="s">
        <v>189</v>
      </c>
      <c r="B32" s="5"/>
    </row>
    <row r="33" spans="1:2" x14ac:dyDescent="0.2">
      <c r="A33" s="4" t="s">
        <v>190</v>
      </c>
      <c r="B33" s="5">
        <v>260</v>
      </c>
    </row>
    <row r="34" spans="1:2" x14ac:dyDescent="0.2">
      <c r="A34" s="4" t="s">
        <v>191</v>
      </c>
      <c r="B34" s="5"/>
    </row>
    <row r="35" spans="1:2" x14ac:dyDescent="0.2">
      <c r="A35" s="4" t="s">
        <v>192</v>
      </c>
      <c r="B35" s="5">
        <v>200</v>
      </c>
    </row>
    <row r="36" spans="1:2" x14ac:dyDescent="0.2">
      <c r="A36" s="4" t="s">
        <v>193</v>
      </c>
      <c r="B36" s="5"/>
    </row>
    <row r="37" spans="1:2" x14ac:dyDescent="0.2">
      <c r="A37" s="4" t="s">
        <v>194</v>
      </c>
      <c r="B37" s="5">
        <v>1400</v>
      </c>
    </row>
    <row r="38" spans="1:2" x14ac:dyDescent="0.2">
      <c r="A38" s="4" t="s">
        <v>195</v>
      </c>
      <c r="B38" s="5"/>
    </row>
    <row r="39" spans="1:2" x14ac:dyDescent="0.2">
      <c r="A39" s="4" t="s">
        <v>196</v>
      </c>
      <c r="B39" s="5">
        <v>1050</v>
      </c>
    </row>
    <row r="40" spans="1:2" x14ac:dyDescent="0.2">
      <c r="A40" s="4" t="s">
        <v>197</v>
      </c>
      <c r="B40" s="5"/>
    </row>
    <row r="41" spans="1:2" x14ac:dyDescent="0.2">
      <c r="A41" s="4" t="s">
        <v>198</v>
      </c>
      <c r="B41" s="5">
        <v>1818.19</v>
      </c>
    </row>
    <row r="42" spans="1:2" x14ac:dyDescent="0.2">
      <c r="A42" s="4" t="s">
        <v>133</v>
      </c>
      <c r="B42" s="5"/>
    </row>
    <row r="43" spans="1:2" x14ac:dyDescent="0.2">
      <c r="A43" s="4" t="s">
        <v>199</v>
      </c>
      <c r="B43" s="5">
        <v>3350</v>
      </c>
    </row>
    <row r="44" spans="1:2" x14ac:dyDescent="0.2">
      <c r="A44" s="4" t="s">
        <v>136</v>
      </c>
      <c r="B44" s="5"/>
    </row>
    <row r="45" spans="1:2" x14ac:dyDescent="0.2">
      <c r="A45" s="4" t="s">
        <v>200</v>
      </c>
      <c r="B45" s="5">
        <v>4500</v>
      </c>
    </row>
    <row r="46" spans="1:2" x14ac:dyDescent="0.2">
      <c r="A46" s="4" t="s">
        <v>139</v>
      </c>
      <c r="B46" s="5"/>
    </row>
    <row r="47" spans="1:2" x14ac:dyDescent="0.2">
      <c r="A47" s="4" t="s">
        <v>201</v>
      </c>
      <c r="B47" s="5">
        <v>7608.13</v>
      </c>
    </row>
    <row r="48" spans="1:2" x14ac:dyDescent="0.2">
      <c r="A48" s="4" t="s">
        <v>202</v>
      </c>
      <c r="B48" s="5"/>
    </row>
    <row r="49" spans="1:2" x14ac:dyDescent="0.2">
      <c r="A49" s="4" t="s">
        <v>203</v>
      </c>
      <c r="B49" s="5">
        <v>17845</v>
      </c>
    </row>
    <row r="50" spans="1:2" x14ac:dyDescent="0.2">
      <c r="A50" s="6" t="s">
        <v>2</v>
      </c>
      <c r="B50" s="7">
        <f>SUM(B3:B49)</f>
        <v>94827.290000000008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DBC1-521E-4297-952F-66061C6E63DF}">
  <dimension ref="A1:B74"/>
  <sheetViews>
    <sheetView topLeftCell="A44" zoomScaleNormal="100" workbookViewId="0">
      <selection activeCell="A74" sqref="A7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204</v>
      </c>
      <c r="B3" s="5">
        <v>1142.24</v>
      </c>
    </row>
    <row r="4" spans="1:2" x14ac:dyDescent="0.2">
      <c r="A4" s="4" t="s">
        <v>169</v>
      </c>
      <c r="B4" s="7"/>
    </row>
    <row r="5" spans="1:2" x14ac:dyDescent="0.2">
      <c r="A5" s="4" t="s">
        <v>205</v>
      </c>
      <c r="B5" s="5">
        <v>9678.59</v>
      </c>
    </row>
    <row r="6" spans="1:2" x14ac:dyDescent="0.2">
      <c r="A6" s="4" t="s">
        <v>206</v>
      </c>
      <c r="B6" s="5">
        <v>7815.81</v>
      </c>
    </row>
    <row r="7" spans="1:2" x14ac:dyDescent="0.2">
      <c r="A7" s="4" t="s">
        <v>207</v>
      </c>
      <c r="B7" s="5">
        <v>6465.54</v>
      </c>
    </row>
    <row r="8" spans="1:2" x14ac:dyDescent="0.2">
      <c r="A8" s="4" t="s">
        <v>208</v>
      </c>
      <c r="B8" s="5">
        <v>7529.98</v>
      </c>
    </row>
    <row r="9" spans="1:2" x14ac:dyDescent="0.2">
      <c r="A9" s="4" t="s">
        <v>209</v>
      </c>
      <c r="B9" s="5">
        <v>6948.48</v>
      </c>
    </row>
    <row r="10" spans="1:2" x14ac:dyDescent="0.2">
      <c r="A10" s="4" t="s">
        <v>210</v>
      </c>
      <c r="B10" s="5">
        <v>7667.97</v>
      </c>
    </row>
    <row r="11" spans="1:2" x14ac:dyDescent="0.2">
      <c r="A11" s="4" t="s">
        <v>211</v>
      </c>
      <c r="B11" s="5">
        <v>2365.44</v>
      </c>
    </row>
    <row r="12" spans="1:2" x14ac:dyDescent="0.2">
      <c r="A12" s="4" t="s">
        <v>212</v>
      </c>
      <c r="B12" s="5"/>
    </row>
    <row r="13" spans="1:2" x14ac:dyDescent="0.2">
      <c r="A13" s="4" t="s">
        <v>213</v>
      </c>
      <c r="B13" s="5">
        <v>1650</v>
      </c>
    </row>
    <row r="14" spans="1:2" x14ac:dyDescent="0.2">
      <c r="A14" s="4" t="s">
        <v>214</v>
      </c>
      <c r="B14" s="5"/>
    </row>
    <row r="15" spans="1:2" x14ac:dyDescent="0.2">
      <c r="A15" s="4" t="s">
        <v>215</v>
      </c>
      <c r="B15" s="5">
        <v>550</v>
      </c>
    </row>
    <row r="16" spans="1:2" x14ac:dyDescent="0.2">
      <c r="A16" s="4" t="s">
        <v>216</v>
      </c>
      <c r="B16" s="5"/>
    </row>
    <row r="17" spans="1:2" x14ac:dyDescent="0.2">
      <c r="A17" s="4" t="s">
        <v>217</v>
      </c>
      <c r="B17" s="5">
        <v>316.8</v>
      </c>
    </row>
    <row r="18" spans="1:2" x14ac:dyDescent="0.2">
      <c r="A18" s="4" t="s">
        <v>218</v>
      </c>
      <c r="B18" s="5"/>
    </row>
    <row r="19" spans="1:2" x14ac:dyDescent="0.2">
      <c r="A19" s="4" t="s">
        <v>219</v>
      </c>
      <c r="B19" s="5">
        <v>2860</v>
      </c>
    </row>
    <row r="20" spans="1:2" x14ac:dyDescent="0.2">
      <c r="A20" s="4" t="s">
        <v>220</v>
      </c>
      <c r="B20" s="5"/>
    </row>
    <row r="21" spans="1:2" x14ac:dyDescent="0.2">
      <c r="A21" s="4" t="s">
        <v>221</v>
      </c>
      <c r="B21" s="5">
        <v>7260</v>
      </c>
    </row>
    <row r="22" spans="1:2" x14ac:dyDescent="0.2">
      <c r="A22" s="4" t="s">
        <v>222</v>
      </c>
      <c r="B22" s="5">
        <v>2420</v>
      </c>
    </row>
    <row r="23" spans="1:2" x14ac:dyDescent="0.2">
      <c r="A23" s="4" t="s">
        <v>223</v>
      </c>
      <c r="B23" s="5">
        <v>2420</v>
      </c>
    </row>
    <row r="24" spans="1:2" x14ac:dyDescent="0.2">
      <c r="A24" s="4" t="s">
        <v>224</v>
      </c>
      <c r="B24" s="5">
        <v>2420</v>
      </c>
    </row>
    <row r="25" spans="1:2" x14ac:dyDescent="0.2">
      <c r="A25" s="4" t="s">
        <v>225</v>
      </c>
      <c r="B25" s="5">
        <v>2420</v>
      </c>
    </row>
    <row r="26" spans="1:2" x14ac:dyDescent="0.2">
      <c r="A26" s="4" t="s">
        <v>226</v>
      </c>
      <c r="B26" s="5"/>
    </row>
    <row r="27" spans="1:2" x14ac:dyDescent="0.2">
      <c r="A27" s="4" t="s">
        <v>227</v>
      </c>
      <c r="B27" s="5">
        <v>1628</v>
      </c>
    </row>
    <row r="28" spans="1:2" x14ac:dyDescent="0.2">
      <c r="A28" s="4" t="s">
        <v>228</v>
      </c>
      <c r="B28" s="5"/>
    </row>
    <row r="29" spans="1:2" x14ac:dyDescent="0.2">
      <c r="A29" s="4" t="s">
        <v>229</v>
      </c>
      <c r="B29" s="5">
        <v>714.56</v>
      </c>
    </row>
    <row r="30" spans="1:2" x14ac:dyDescent="0.2">
      <c r="A30" s="4" t="s">
        <v>230</v>
      </c>
      <c r="B30" s="5"/>
    </row>
    <row r="31" spans="1:2" x14ac:dyDescent="0.2">
      <c r="A31" s="4" t="s">
        <v>231</v>
      </c>
      <c r="B31" s="5">
        <v>2499.1999999999998</v>
      </c>
    </row>
    <row r="32" spans="1:2" x14ac:dyDescent="0.2">
      <c r="A32" s="4" t="s">
        <v>232</v>
      </c>
      <c r="B32" s="5"/>
    </row>
    <row r="33" spans="1:2" x14ac:dyDescent="0.2">
      <c r="A33" s="4" t="s">
        <v>233</v>
      </c>
      <c r="B33" s="5">
        <v>1859.44</v>
      </c>
    </row>
    <row r="34" spans="1:2" x14ac:dyDescent="0.2">
      <c r="A34" s="4" t="s">
        <v>234</v>
      </c>
      <c r="B34" s="5"/>
    </row>
    <row r="35" spans="1:2" x14ac:dyDescent="0.2">
      <c r="A35" s="4" t="s">
        <v>235</v>
      </c>
      <c r="B35" s="5">
        <v>4215.2</v>
      </c>
    </row>
    <row r="36" spans="1:2" x14ac:dyDescent="0.2">
      <c r="A36" s="4" t="s">
        <v>236</v>
      </c>
      <c r="B36" s="5"/>
    </row>
    <row r="37" spans="1:2" x14ac:dyDescent="0.2">
      <c r="A37" s="4" t="s">
        <v>237</v>
      </c>
      <c r="B37" s="5">
        <v>327.36</v>
      </c>
    </row>
    <row r="38" spans="1:2" x14ac:dyDescent="0.2">
      <c r="A38" s="4" t="s">
        <v>238</v>
      </c>
      <c r="B38" s="5"/>
    </row>
    <row r="39" spans="1:2" x14ac:dyDescent="0.2">
      <c r="A39" s="4" t="s">
        <v>239</v>
      </c>
      <c r="B39" s="5">
        <v>180.4</v>
      </c>
    </row>
    <row r="40" spans="1:2" x14ac:dyDescent="0.2">
      <c r="A40" s="4" t="s">
        <v>240</v>
      </c>
      <c r="B40" s="5"/>
    </row>
    <row r="41" spans="1:2" x14ac:dyDescent="0.2">
      <c r="A41" s="4" t="s">
        <v>241</v>
      </c>
      <c r="B41" s="5">
        <v>615.12</v>
      </c>
    </row>
    <row r="42" spans="1:2" x14ac:dyDescent="0.2">
      <c r="A42" s="4" t="s">
        <v>242</v>
      </c>
      <c r="B42" s="5"/>
    </row>
    <row r="43" spans="1:2" x14ac:dyDescent="0.2">
      <c r="A43" s="4" t="s">
        <v>243</v>
      </c>
      <c r="B43" s="5">
        <v>449.68</v>
      </c>
    </row>
    <row r="44" spans="1:2" x14ac:dyDescent="0.2">
      <c r="A44" s="4" t="s">
        <v>244</v>
      </c>
      <c r="B44" s="5"/>
    </row>
    <row r="45" spans="1:2" x14ac:dyDescent="0.2">
      <c r="A45" s="4" t="s">
        <v>245</v>
      </c>
      <c r="B45" s="5">
        <v>300</v>
      </c>
    </row>
    <row r="46" spans="1:2" x14ac:dyDescent="0.2">
      <c r="A46" s="4" t="s">
        <v>246</v>
      </c>
      <c r="B46" s="5"/>
    </row>
    <row r="47" spans="1:2" x14ac:dyDescent="0.2">
      <c r="A47" s="4" t="s">
        <v>247</v>
      </c>
      <c r="B47" s="5">
        <v>1324.4</v>
      </c>
    </row>
    <row r="48" spans="1:2" x14ac:dyDescent="0.2">
      <c r="A48" s="4" t="s">
        <v>248</v>
      </c>
      <c r="B48" s="5"/>
    </row>
    <row r="49" spans="1:2" x14ac:dyDescent="0.2">
      <c r="A49" s="4" t="s">
        <v>249</v>
      </c>
      <c r="B49" s="5">
        <v>350</v>
      </c>
    </row>
    <row r="50" spans="1:2" x14ac:dyDescent="0.2">
      <c r="A50" s="4" t="s">
        <v>250</v>
      </c>
      <c r="B50" s="5"/>
    </row>
    <row r="51" spans="1:2" x14ac:dyDescent="0.2">
      <c r="A51" s="4" t="s">
        <v>251</v>
      </c>
      <c r="B51" s="4">
        <v>299.2</v>
      </c>
    </row>
    <row r="52" spans="1:2" x14ac:dyDescent="0.2">
      <c r="A52" s="4" t="s">
        <v>252</v>
      </c>
      <c r="B52" s="4"/>
    </row>
    <row r="53" spans="1:2" x14ac:dyDescent="0.2">
      <c r="A53" s="4" t="s">
        <v>253</v>
      </c>
      <c r="B53" s="4">
        <v>1694</v>
      </c>
    </row>
    <row r="54" spans="1:2" x14ac:dyDescent="0.2">
      <c r="A54" s="4" t="s">
        <v>254</v>
      </c>
      <c r="B54" s="4"/>
    </row>
    <row r="55" spans="1:2" x14ac:dyDescent="0.2">
      <c r="A55" s="4" t="s">
        <v>255</v>
      </c>
      <c r="B55" s="4">
        <v>1091.2</v>
      </c>
    </row>
    <row r="56" spans="1:2" x14ac:dyDescent="0.2">
      <c r="A56" s="4" t="s">
        <v>256</v>
      </c>
      <c r="B56" s="4"/>
    </row>
    <row r="57" spans="1:2" x14ac:dyDescent="0.2">
      <c r="A57" s="4" t="s">
        <v>257</v>
      </c>
      <c r="B57" s="4">
        <v>3080</v>
      </c>
    </row>
    <row r="58" spans="1:2" x14ac:dyDescent="0.2">
      <c r="A58" s="4" t="s">
        <v>258</v>
      </c>
      <c r="B58" s="4"/>
    </row>
    <row r="59" spans="1:2" x14ac:dyDescent="0.2">
      <c r="A59" s="4" t="s">
        <v>259</v>
      </c>
      <c r="B59" s="4">
        <v>849.2</v>
      </c>
    </row>
    <row r="60" spans="1:2" x14ac:dyDescent="0.2">
      <c r="A60" s="4" t="s">
        <v>260</v>
      </c>
      <c r="B60" s="4"/>
    </row>
    <row r="61" spans="1:2" x14ac:dyDescent="0.2">
      <c r="A61" s="4" t="s">
        <v>261</v>
      </c>
      <c r="B61" s="4">
        <v>3548.16</v>
      </c>
    </row>
    <row r="62" spans="1:2" x14ac:dyDescent="0.2">
      <c r="A62" s="4" t="s">
        <v>262</v>
      </c>
      <c r="B62" s="4"/>
    </row>
    <row r="63" spans="1:2" x14ac:dyDescent="0.2">
      <c r="A63" s="4" t="s">
        <v>263</v>
      </c>
      <c r="B63" s="4">
        <v>660</v>
      </c>
    </row>
    <row r="64" spans="1:2" x14ac:dyDescent="0.2">
      <c r="A64" s="4" t="s">
        <v>133</v>
      </c>
      <c r="B64" s="4"/>
    </row>
    <row r="65" spans="1:2" x14ac:dyDescent="0.2">
      <c r="A65" s="4" t="s">
        <v>264</v>
      </c>
      <c r="B65" s="4">
        <v>14070</v>
      </c>
    </row>
    <row r="66" spans="1:2" x14ac:dyDescent="0.2">
      <c r="A66" s="4" t="s">
        <v>136</v>
      </c>
      <c r="B66" s="4"/>
    </row>
    <row r="67" spans="1:2" x14ac:dyDescent="0.2">
      <c r="A67" s="4" t="s">
        <v>265</v>
      </c>
      <c r="B67" s="4">
        <v>18900</v>
      </c>
    </row>
    <row r="68" spans="1:2" x14ac:dyDescent="0.2">
      <c r="A68" s="4" t="s">
        <v>202</v>
      </c>
      <c r="B68" s="4"/>
    </row>
    <row r="69" spans="1:2" x14ac:dyDescent="0.2">
      <c r="A69" s="4" t="s">
        <v>266</v>
      </c>
      <c r="B69" s="4">
        <v>19545</v>
      </c>
    </row>
    <row r="70" spans="1:2" x14ac:dyDescent="0.2">
      <c r="A70" s="4" t="s">
        <v>267</v>
      </c>
      <c r="B70" s="4"/>
    </row>
    <row r="71" spans="1:2" x14ac:dyDescent="0.2">
      <c r="A71" s="4" t="s">
        <v>268</v>
      </c>
      <c r="B71" s="4">
        <v>12480</v>
      </c>
    </row>
    <row r="72" spans="1:2" x14ac:dyDescent="0.2">
      <c r="A72" s="4" t="s">
        <v>2</v>
      </c>
      <c r="B72" s="5">
        <f>SUM(B2:B71)</f>
        <v>162610.96999999997</v>
      </c>
    </row>
    <row r="74" spans="1:2" x14ac:dyDescent="0.2">
      <c r="A74" s="36" t="s">
        <v>277</v>
      </c>
      <c r="B74" s="7">
        <f>+B72+'Ingresos investigación 2020'!B50+'Ingresos investigación 2019'!B52</f>
        <v>423608.27999999997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2022-10-18T09:53:31Z</dcterms:modified>
</cp:coreProperties>
</file>