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AE899A3E-572F-43F3-AAD2-A1D05FBF8700}" xr6:coauthVersionLast="47" xr6:coauthVersionMax="47" xr10:uidLastSave="{00000000-0000-0000-0000-000000000000}"/>
  <bookViews>
    <workbookView xWindow="22932" yWindow="-108" windowWidth="23256" windowHeight="13176" tabRatio="695" firstSheet="4" activeTab="7" xr2:uid="{00000000-000D-0000-FFFF-FFFF00000000}"/>
  </bookViews>
  <sheets>
    <sheet name="Tesis" sheetId="3" r:id="rId1"/>
    <sheet name="Sexenios" sheetId="4" r:id="rId2"/>
    <sheet name="Ingresos investigación 2019" sheetId="7" r:id="rId3"/>
    <sheet name="Ingresos investigación 2020" sheetId="10" r:id="rId4"/>
    <sheet name="Ingresos investigación 2021" sheetId="11" r:id="rId5"/>
    <sheet name="Ingresos formación 2019" sheetId="8" r:id="rId6"/>
    <sheet name="Ingresos formación 2020" sheetId="9" r:id="rId7"/>
    <sheet name="Ingresos formación 2021" sheetId="12" r:id="rId8"/>
  </sheets>
  <definedNames>
    <definedName name="_xlnm._FilterDatabase" localSheetId="1" hidden="1">Sexenios!$A$1:$S$27</definedName>
    <definedName name="_xlnm._FilterDatabase" localSheetId="0" hidden="1">Tesis!$A$1:$U$27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3" l="1"/>
  <c r="B10" i="12"/>
  <c r="B5" i="11"/>
  <c r="B5" i="10" l="1"/>
  <c r="B7" i="9"/>
  <c r="S28" i="4" l="1"/>
  <c r="B8" i="8" l="1"/>
  <c r="B15" i="12" s="1"/>
  <c r="B4" i="7"/>
  <c r="B7" i="11" s="1"/>
</calcChain>
</file>

<file path=xl/sharedStrings.xml><?xml version="1.0" encoding="utf-8"?>
<sst xmlns="http://schemas.openxmlformats.org/spreadsheetml/2006/main" count="732" uniqueCount="236">
  <si>
    <t>33.70.6X.00.01</t>
  </si>
  <si>
    <t>Orgánica
Descripción justificante</t>
  </si>
  <si>
    <t>Importe</t>
  </si>
  <si>
    <t>Total</t>
  </si>
  <si>
    <t>33.70.2T.00.01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</si>
  <si>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</si>
  <si>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</si>
  <si>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</si>
  <si>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</si>
  <si>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</si>
  <si>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</si>
  <si>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</si>
  <si>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</si>
  <si>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</si>
  <si>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</si>
  <si>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</si>
  <si>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</si>
  <si>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</si>
  <si>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</si>
  <si>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</si>
  <si>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</si>
  <si>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</si>
  <si>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</si>
  <si>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</si>
  <si>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</si>
  <si>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</si>
  <si>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</si>
  <si>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</si>
  <si>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</si>
  <si>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</si>
  <si>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</si>
  <si>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90</t>
  </si>
  <si>
    <t>27/09/2017 </t>
  </si>
  <si>
    <t>U025 </t>
  </si>
  <si>
    <t>ADM. FACULTAD DE DERECHO </t>
  </si>
  <si>
    <t>DOCTORADO EN DERECHO </t>
  </si>
  <si>
    <t>10.05</t>
  </si>
  <si>
    <t>10.25</t>
  </si>
  <si>
    <t>B138 </t>
  </si>
  <si>
    <t>ANALISIS ECONOMICO APLICADO </t>
  </si>
  <si>
    <t>10.17</t>
  </si>
  <si>
    <t>U036 </t>
  </si>
  <si>
    <t>ADM. FACULTAD DE CIENCIAS ECONÓMICAS </t>
  </si>
  <si>
    <t>DOCTORADO EN EMPRESA, ECONOMÍA Y SOCIEDAD </t>
  </si>
  <si>
    <t>30</t>
  </si>
  <si>
    <t>20</t>
  </si>
  <si>
    <t>15</t>
  </si>
  <si>
    <t>80</t>
  </si>
  <si>
    <t>U020 </t>
  </si>
  <si>
    <t>ADM. I.U. DEL AGUA Y DE LAS CIENCIAS AMBIENTALES </t>
  </si>
  <si>
    <t>DOCTORADO EN AGUA Y DESARROLLO SOSTENIBLE </t>
  </si>
  <si>
    <t>10.22</t>
  </si>
  <si>
    <t>B119 </t>
  </si>
  <si>
    <t>FUNDAMENTOS DEL ANÁLISIS ECONÓMICO </t>
  </si>
  <si>
    <t>DOCTORADO EN ECONOMÍA </t>
  </si>
  <si>
    <t>10.21</t>
  </si>
  <si>
    <t>10.06</t>
  </si>
  <si>
    <t>B138</t>
  </si>
  <si>
    <t>25</t>
  </si>
  <si>
    <t>22529387J </t>
  </si>
  <si>
    <t>21414923Z </t>
  </si>
  <si>
    <t>21994525Q </t>
  </si>
  <si>
    <t>López Peralta, Raúl Ernesto </t>
  </si>
  <si>
    <t>REPERCUSIONES SOCIOECONÓMICAS DE LA GESTIÓN INTEGRAL DE AGUAS URBANAS: CASO DE LA CIUDAD DE TEGUCIGALPA, HONDURAS </t>
  </si>
  <si>
    <t>27439255W </t>
  </si>
  <si>
    <t>74342287P </t>
  </si>
  <si>
    <t>Peña Guzmán, Carlos Andrés </t>
  </si>
  <si>
    <t>29/06/2017 </t>
  </si>
  <si>
    <t>Rodríguez Carmona, Eduardo-Gabriel </t>
  </si>
  <si>
    <t>ECONOMIA Y SOCIEDAD EN EL BAJO SEGURA, 1975-2015. LA TRAYECTORIA CONTEMPORÁNEA DE UN ÁREA FUNCIONAL METROPOLITANA DE PULSIÓN INFORMAL </t>
  </si>
  <si>
    <t>Fernández Aracil, Patricia </t>
  </si>
  <si>
    <t>ANÁLISIS DE LA CIUDAD DISPERSA: REPERCUSIÓN ECONÓMICA, SOCIAL Y MEDIOAMBIENTAL </t>
  </si>
  <si>
    <t>13/09/2018 </t>
  </si>
  <si>
    <t>García Sempere, Ana </t>
  </si>
  <si>
    <t>LA TRANSICIÓN URBANA HACIA LA SOBERANÍA ALIMENTARIA: UN MARCO TEÓRICO-CONCEPTUAL Y METODOLÓGICO PARA SU ANÁLISIS. ESTUDIO DE CASO EN SAN CRISTÓBAL DE LAS CASAS, CHIAPAS (MÉXICO) </t>
  </si>
  <si>
    <t>25/06/2018 </t>
  </si>
  <si>
    <t>Sargsyan , Gevorg </t>
  </si>
  <si>
    <t>EFFECT OF STATUTORY AND REGULATORY PROTECTION IN INVESTMENT DECISION </t>
  </si>
  <si>
    <t>29/06/2018 </t>
  </si>
  <si>
    <t>21453643W </t>
  </si>
  <si>
    <t>Fernandes Augusto, Eryka Eugênia </t>
  </si>
  <si>
    <t>"EL IMPACTO DE LA COLABORACIÓN Y COOPERACIÓN EN LA IMPLEMENTACIÓN DE LOS MODELOS DE LI DE RAEE: LOS CASOS BRASILEÑO Y EUROPEOS / O IMPACTO DA COLABORAÇAO E COOPERAÇAO NA IMPLEMETAÇAO DOS MODELOS DE LOGÍSTICA REVERSA DE REEE: OS CASOS BRASILEIRO E EU </t>
  </si>
  <si>
    <t>23/11/2018 </t>
  </si>
  <si>
    <t>Núñez Romero, María </t>
  </si>
  <si>
    <t>LA PERCEPCIÓN EMPRESARIAL DEL PROCESO INNOVADOR: EL PAPEL DE LA COOPERACIÓN CON CENTROS TECNOLÓGICOS ESPAÑOLES </t>
  </si>
  <si>
    <t>26/03/2019 </t>
  </si>
  <si>
    <t>21418619F </t>
  </si>
  <si>
    <t>74420019T </t>
  </si>
  <si>
    <t>FUNCIONARIO</t>
  </si>
  <si>
    <t>NO FUNCIONARIO</t>
  </si>
  <si>
    <t>ZABALZA ARBIZU, JUAN ANGEL</t>
  </si>
  <si>
    <t>15852799A</t>
  </si>
  <si>
    <t>VIDAL OLIVARES, FRANCISCO JAVIER</t>
  </si>
  <si>
    <t>21417350A</t>
  </si>
  <si>
    <t>TORRO GIL, LLUIS</t>
  </si>
  <si>
    <t>21643754H</t>
  </si>
  <si>
    <t>TORREGROSA MARTI, MARIA TERESA</t>
  </si>
  <si>
    <t>45567523S</t>
  </si>
  <si>
    <t>TALTAVULL DE LA PAZ, PALOMA</t>
  </si>
  <si>
    <t>22529387J</t>
  </si>
  <si>
    <t>SIMON PEREZ, HIPOLITO JOSE</t>
  </si>
  <si>
    <t>21494190T</t>
  </si>
  <si>
    <t>SANCHEZ SANCHEZ, ANGEL</t>
  </si>
  <si>
    <t>21479315Y</t>
  </si>
  <si>
    <t>SAEZ GARCIA, MIGUEL</t>
  </si>
  <si>
    <t>16284755L</t>
  </si>
  <si>
    <t>RODENAS CALATAYUD, MARIA CARMEN</t>
  </si>
  <si>
    <t>21442319V</t>
  </si>
  <si>
    <t>21487688F</t>
  </si>
  <si>
    <t>MONTAÑO SANZ, FRANCISCO DE BORJA</t>
  </si>
  <si>
    <t>21683813B</t>
  </si>
  <si>
    <t>MIRANDA ENCARNACION, JOSE ANTONIO</t>
  </si>
  <si>
    <t>21994525Q</t>
  </si>
  <si>
    <t>MELGAREJO MORENO, JOAQUIN</t>
  </si>
  <si>
    <t>74342287P</t>
  </si>
  <si>
    <t>MARTI SEMPERE, MONICA</t>
  </si>
  <si>
    <t>21453643W</t>
  </si>
  <si>
    <t>LOPEZ ORTIZ, MARIA INMACULADA</t>
  </si>
  <si>
    <t>27439255W</t>
  </si>
  <si>
    <t>LOPEZ LLOPIS, ESTEFANIA</t>
  </si>
  <si>
    <t>53238057A</t>
  </si>
  <si>
    <t>LILLO BAÑULS, ADELAIDA</t>
  </si>
  <si>
    <t>21468028N</t>
  </si>
  <si>
    <t>GIL MACIA, LORENZO</t>
  </si>
  <si>
    <t>74219671M</t>
  </si>
  <si>
    <t>FUENTES PASCUAL, RAMON</t>
  </si>
  <si>
    <t>21478044T</t>
  </si>
  <si>
    <t>ESCUDERO GUTIERREZ, ANTONIO</t>
  </si>
  <si>
    <t>74149704G</t>
  </si>
  <si>
    <t>DIAZ MORLAN, PABLO</t>
  </si>
  <si>
    <t>16045393H</t>
  </si>
  <si>
    <t>CASADO DIAZ, JOSE MANUEL</t>
  </si>
  <si>
    <t>33475454N</t>
  </si>
  <si>
    <t>SEX
DEP</t>
  </si>
  <si>
    <t>SEX
INS 2</t>
  </si>
  <si>
    <t>SEX
INS 1</t>
  </si>
  <si>
    <t>DED
DEP</t>
  </si>
  <si>
    <t>DED
INS 2</t>
  </si>
  <si>
    <t>INS
2</t>
  </si>
  <si>
    <t>DED
INS 1</t>
  </si>
  <si>
    <t>INS
1</t>
  </si>
  <si>
    <t>Total general</t>
  </si>
  <si>
    <t>TIPO_SEXENIO</t>
  </si>
  <si>
    <t>NOMBRE_COMPLETO</t>
  </si>
  <si>
    <t>NIF</t>
  </si>
  <si>
    <t xml:space="preserve">GANDÍA GARCÍA, CRISTINA. MÁSTER EN TRIBUTACIÓN - AF 0218 Máster en tributación. Grupo 0218 Master en Tributación 2018 </t>
  </si>
  <si>
    <t>Liquidación 2 PLAN 9199 curso ''MÁSTER EN TRIBUTACIÓN'' ORDEN 5370</t>
  </si>
  <si>
    <t>Liquidación PLAN 9199 "Máster en tributación"</t>
  </si>
  <si>
    <t>REINTEGRO CUOTA PATRONAL CORRESPONDIENTE AL MES DE OCTUBRE DE 2019.</t>
  </si>
  <si>
    <t>Reintegro de cuota patronal correspondiente al mes de agosto 2019</t>
  </si>
  <si>
    <t>INV/ ARRETE PARTENAIR 17.04.2019 ARRETE REVERSEMENT PARTENAIRES. REF. ORDENANTE: 1D0750000 UNIVERSITE PARI 19120000173. REF. BENEFICIARIO: 19122-5351-PSR-SCT-01-00074022. LA OFICINA DE GESTIÓN DE PROYECTOS INTERNACIONALES INFORMA QUE SE CORRESPONDE CON EL PAGODE 2018 POR LAS ACTIVIDADES LLEVADAS A CABO EN EL MASTER TPTI. DEPARTAMENTO DE ANÁLISIS ECONÓMICO APLICADO.</t>
  </si>
  <si>
    <t>Quishpe Sinailin, Pablo David </t>
  </si>
  <si>
    <t>POBREZA Y VIVIENDA EN ECUADOR: TRES ANÁLISIS DESDE LA ECONOMÍA </t>
  </si>
  <si>
    <t>30/09/2019 </t>
  </si>
  <si>
    <t>21653610F </t>
  </si>
  <si>
    <t>RAMON RODRIGUEZ, ANA BELEN</t>
  </si>
  <si>
    <t>21418619F</t>
  </si>
  <si>
    <t>MARTINEZ MORA, CARMEN</t>
  </si>
  <si>
    <t>21475142L</t>
  </si>
  <si>
    <t>FUSTER GARCIA, BEGOÑA LUCIA</t>
  </si>
  <si>
    <t>47083217D</t>
  </si>
  <si>
    <t>MORENO IZQUIERDO, LUIS</t>
  </si>
  <si>
    <t>COD DEP</t>
  </si>
  <si>
    <t>Su , Zhenyu </t>
  </si>
  <si>
    <t>REAL ESTATE INVESTMENTS: PRINCIPLES AND EVIDENCE -- THE CASES OF SPAIN AND CHINA </t>
  </si>
  <si>
    <t>30/09/2020 </t>
  </si>
  <si>
    <t>Pérez de la Cruz, Francisco Javier </t>
  </si>
  <si>
    <t>DEFINICIÓN Y CARACTERIZACIÓN DE UNA METODOLOGÍA PARA EL ESTUDIO DE SISTEMAS HIDRÁULICOS ANTIGUOS. APLICACIÓN AL ABASTECIMIENTO DE AGUA A CARTAGENA POR "THE CARTHAGENA MINING &amp; WATER COMPANY" </t>
  </si>
  <si>
    <t>17/12/2020 </t>
  </si>
  <si>
    <t>Sarmiento Moscoso, Luis Santiago </t>
  </si>
  <si>
    <t>Tres estudios sobre la descomposición de las diferencias salariales regionales en Ecuador a lo largo de la distribución salarial </t>
  </si>
  <si>
    <t>06/09/2021 </t>
  </si>
  <si>
    <t>21494190T </t>
  </si>
  <si>
    <t>33475454N </t>
  </si>
  <si>
    <t>Aznar Crespo, Pablo </t>
  </si>
  <si>
    <t>Procesos generativos de vulnerabilidad social ante riesgos ambientales: retos y oportunidades para una nueva gobernanza </t>
  </si>
  <si>
    <t>10/09/2021 </t>
  </si>
  <si>
    <t>Cansi , Francine </t>
  </si>
  <si>
    <t>ÁGUA, ECONOMIA CIRCULAR E SUSTENTABILIDADE: ELEMENTOS TEÓRICOS PARA UM ORDENAMENTO JURÍDICO TRANSNACIONAL </t>
  </si>
  <si>
    <t>02/09/2021 </t>
  </si>
  <si>
    <t>Canales de Ramírez, Lissette Cristalina </t>
  </si>
  <si>
    <t>Evolución y situación actual de las empresas familiares en El Salvador </t>
  </si>
  <si>
    <t>02/06/2021 </t>
  </si>
  <si>
    <t>21417350A </t>
  </si>
  <si>
    <t>33.70.6Q.00.02</t>
  </si>
  <si>
    <t>ANTICIPO 50% CONVENIO PARA LA TRANSF. MODELO ECONOMICO (HACIENDA Y MODELO ECONÓMICO), SEGÚN INFORMAN DESDE EL SERVICIO GESTIÓN ECONÓMICA DE LA INVESTIGACIÓN</t>
  </si>
  <si>
    <t xml:space="preserve">PAGO FINAL CONVENIO DE COLABORACIÓNANUALIDAD 2020 (HACIENDA Y MODELO ECONÓMICO)           </t>
  </si>
  <si>
    <t>33.70.2M.00.02</t>
  </si>
  <si>
    <t>REINTEGRO CUOTA PATRONAL CORRESPONDIENTE A SEPTIEMBRE DE 2020.</t>
  </si>
  <si>
    <t>33.70.2T.00.03</t>
  </si>
  <si>
    <t>Liquidación PLAN 9199 "Master en tributación"</t>
  </si>
  <si>
    <t xml:space="preserve">Plan 9199 Curso 2020-21. MÁSTER EN TRIBUTACIÓN </t>
  </si>
  <si>
    <t>REINTEGRO CUOTA PATRONAL CORRESPONDIENTE A JUNIO DE 2021.</t>
  </si>
  <si>
    <t>REINTEGRO CUOTA PATRONAL CORRESPONDIENTE A AGOSTO DE 2021.</t>
  </si>
  <si>
    <t>REINTEGRO CUOTA PATRONAL CORRESPONDIENTE A OCTUBRE DE 2021.</t>
  </si>
  <si>
    <t xml:space="preserve">REINTEGRO CUOTA PATRONAL CORRESPONDIENTE A DICIEMBRE DE 2021. </t>
  </si>
  <si>
    <t>Plan 9199 - MÁSTER EN TRIBUTACIÓN. Curso 2020-21. COMPLEMENTARIO AL JI2020/3585</t>
  </si>
  <si>
    <t>Simón Albert, Raquel </t>
  </si>
  <si>
    <t>Three empirical essays on daily residence-work mobility and labor market areas </t>
  </si>
  <si>
    <t>24/05/2022 </t>
  </si>
  <si>
    <t>Torres García de las Bayonas, Sonia María </t>
  </si>
  <si>
    <t>El crédito en los procesos de crecimiento y desarrollo económico. La experiencia española en las situaciones de crisis financieras. El papel de las instituciones y de los reguladores del sistema financiero. ¿Ha tenido efectos la desaparición de las c </t>
  </si>
  <si>
    <t>14/07/2022 </t>
  </si>
  <si>
    <t>Pastor Pomares, Francisco </t>
  </si>
  <si>
    <t>Acuerdos comerciales regionales (Estudio de caso sobre sus impactos y efectos bajo un modelo gravitacional) </t>
  </si>
  <si>
    <t>18/07/2022 </t>
  </si>
  <si>
    <t>74149704G </t>
  </si>
  <si>
    <t>U023 </t>
  </si>
  <si>
    <t>ADM. FACULTAD DE FILOSOFIA Y LETRAS </t>
  </si>
  <si>
    <t>DOCTORADO EN FILOSOFÍA Y LETRAS </t>
  </si>
  <si>
    <t>Silva Castillo, Vicente Xavier </t>
  </si>
  <si>
    <t>Los programas de posgrado en especialidad médica de Ecuador en el contexto andino y su relación con la economía El caso de la Universidad Central del Ecuador, 2000-2016 </t>
  </si>
  <si>
    <t>27/06/2022 </t>
  </si>
  <si>
    <t>U058 </t>
  </si>
  <si>
    <t>ADM. I.U. DE INVESTIGACIONES TURÍSTICAS </t>
  </si>
  <si>
    <t>DOCTORADO EN TURISMO </t>
  </si>
  <si>
    <t>Ibragimov , Khusen </t>
  </si>
  <si>
    <t>THE DETERMINANTS OF TOURISM DEMAND IN CENTRAL ASIA </t>
  </si>
  <si>
    <t>14/06/2022 </t>
  </si>
  <si>
    <t>21487688F </t>
  </si>
  <si>
    <t>Rucci , Ana Clara </t>
  </si>
  <si>
    <t>ACCESSIBLE TOURISM AND COMPETITIVENESS: ASSESSING DIFFERENT DIMENSIONS OF ACCESSIBILITY IN DESTINATIONS </t>
  </si>
  <si>
    <t>09/12/2021 </t>
  </si>
  <si>
    <t>47083217D </t>
  </si>
  <si>
    <t>U075 </t>
  </si>
  <si>
    <t>ADM. I.U.INVESTIGACIÓN DE ESTUDIOS SOCIALES DE AMÉRICA LATINA </t>
  </si>
  <si>
    <t>DOCTORADO EN HUMANIDADES Y ESTUDIOS SOCIALES DE AMÉRICA LATINA </t>
  </si>
  <si>
    <t>Martínez Ortega, Juan Iván </t>
  </si>
  <si>
    <t>La construcción de las mujeres como sujetos políticos: militantes partidistas, integrantes de Asociaciones Civiles y activistas </t>
  </si>
  <si>
    <t>03/06/2022 </t>
  </si>
  <si>
    <t>21419805C </t>
  </si>
  <si>
    <t>X5461382D</t>
  </si>
  <si>
    <t>DRIHA, OANA MADALINA</t>
  </si>
  <si>
    <t>vivos</t>
  </si>
  <si>
    <t>Total ingresos investigación 2019, 2020 y 2021</t>
  </si>
  <si>
    <t>Total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</si>
</sst>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9" fillId="0" borderId="0"/>
  </cellStyleXfs>
  <cellXfs count="5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7" fillId="0" borderId="0" xfId="4" applyFont="1"/>
    <xf numFmtId="0" fontId="7" fillId="0" borderId="0" xfId="4" applyFont="1" applyAlignment="1">
      <alignment horizontal="right"/>
    </xf>
    <xf numFmtId="0" fontId="7" fillId="2" borderId="0" xfId="4" applyFont="1" applyFill="1"/>
    <xf numFmtId="0" fontId="7" fillId="2" borderId="0" xfId="4" applyFont="1" applyFill="1" applyAlignment="1">
      <alignment horizontal="right"/>
    </xf>
    <xf numFmtId="164" fontId="7" fillId="0" borderId="1" xfId="4" applyNumberFormat="1" applyFont="1" applyBorder="1"/>
    <xf numFmtId="1" fontId="7" fillId="0" borderId="3" xfId="4" applyNumberFormat="1" applyFont="1" applyBorder="1"/>
    <xf numFmtId="1" fontId="7" fillId="0" borderId="4" xfId="4" applyNumberFormat="1" applyFont="1" applyBorder="1" applyAlignment="1">
      <alignment horizontal="right"/>
    </xf>
    <xf numFmtId="0" fontId="7" fillId="0" borderId="5" xfId="4" applyFont="1" applyBorder="1"/>
    <xf numFmtId="1" fontId="7" fillId="0" borderId="6" xfId="4" applyNumberFormat="1" applyFont="1" applyBorder="1" applyAlignment="1">
      <alignment horizontal="right"/>
    </xf>
    <xf numFmtId="0" fontId="7" fillId="0" borderId="2" xfId="4" applyFont="1" applyBorder="1"/>
    <xf numFmtId="0" fontId="7" fillId="0" borderId="1" xfId="4" applyFont="1" applyBorder="1"/>
    <xf numFmtId="0" fontId="7" fillId="0" borderId="5" xfId="4" applyFont="1" applyBorder="1" applyAlignment="1">
      <alignment horizontal="right"/>
    </xf>
    <xf numFmtId="0" fontId="7" fillId="0" borderId="7" xfId="4" applyFont="1" applyBorder="1" applyAlignment="1">
      <alignment horizontal="right"/>
    </xf>
    <xf numFmtId="0" fontId="7" fillId="0" borderId="7" xfId="4" applyFont="1" applyBorder="1"/>
    <xf numFmtId="0" fontId="6" fillId="0" borderId="0" xfId="4" applyFont="1"/>
    <xf numFmtId="0" fontId="10" fillId="3" borderId="1" xfId="3" applyFont="1" applyFill="1" applyBorder="1" applyAlignment="1">
      <alignment horizontal="center" textRotation="90" wrapText="1"/>
    </xf>
    <xf numFmtId="0" fontId="10" fillId="5" borderId="1" xfId="3" applyFont="1" applyFill="1" applyBorder="1" applyAlignment="1">
      <alignment horizontal="center" textRotation="90" wrapText="1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6" fillId="0" borderId="1" xfId="0" applyFont="1" applyBorder="1"/>
    <xf numFmtId="164" fontId="8" fillId="2" borderId="1" xfId="4" applyNumberFormat="1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textRotation="90"/>
    </xf>
    <xf numFmtId="0" fontId="10" fillId="3" borderId="1" xfId="3" applyFont="1" applyFill="1" applyBorder="1" applyAlignment="1">
      <alignment horizontal="center" wrapText="1"/>
    </xf>
    <xf numFmtId="4" fontId="1" fillId="0" borderId="0" xfId="0" applyNumberFormat="1" applyFont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0" borderId="1" xfId="1" applyBorder="1"/>
    <xf numFmtId="0" fontId="3" fillId="4" borderId="9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left" vertical="center"/>
    </xf>
    <xf numFmtId="0" fontId="12" fillId="6" borderId="11" xfId="0" applyFont="1" applyFill="1" applyBorder="1" applyAlignment="1">
      <alignment horizontal="left" vertical="center"/>
    </xf>
    <xf numFmtId="0" fontId="12" fillId="6" borderId="12" xfId="0" applyFont="1" applyFill="1" applyBorder="1" applyAlignment="1">
      <alignment horizontal="left" vertical="center"/>
    </xf>
    <xf numFmtId="164" fontId="4" fillId="4" borderId="0" xfId="1" applyNumberFormat="1" applyFont="1" applyFill="1" applyAlignment="1"/>
    <xf numFmtId="0" fontId="3" fillId="0" borderId="8" xfId="1" applyBorder="1"/>
    <xf numFmtId="0" fontId="3" fillId="0" borderId="13" xfId="1" applyBorder="1"/>
    <xf numFmtId="0" fontId="3" fillId="0" borderId="8" xfId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5" xr:uid="{00000000-0005-0000-0000-000001000000}"/>
    <cellStyle name="Normal 3" xfId="4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showGridLines="0" zoomScale="120" zoomScaleNormal="120" workbookViewId="0">
      <pane xSplit="1" ySplit="1" topLeftCell="F17" activePane="bottomRight" state="frozen"/>
      <selection pane="topRight" activeCell="B1" sqref="B1"/>
      <selection pane="bottomLeft" activeCell="A2" sqref="A2"/>
      <selection pane="bottomRight" activeCell="L21" sqref="L21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40" t="s">
        <v>48</v>
      </c>
      <c r="B2" s="40" t="s">
        <v>49</v>
      </c>
      <c r="C2" s="40" t="s">
        <v>50</v>
      </c>
      <c r="D2" s="40" t="s">
        <v>62</v>
      </c>
      <c r="E2" s="40" t="s">
        <v>63</v>
      </c>
      <c r="F2" s="40" t="s">
        <v>32</v>
      </c>
      <c r="G2" s="40" t="s">
        <v>64</v>
      </c>
      <c r="H2" s="40" t="s">
        <v>26</v>
      </c>
      <c r="I2" s="40" t="s">
        <v>38</v>
      </c>
      <c r="J2" s="40" t="s">
        <v>39</v>
      </c>
      <c r="K2" s="41">
        <v>0.5</v>
      </c>
      <c r="L2" s="40" t="s">
        <v>57</v>
      </c>
      <c r="M2" s="40">
        <v>2016</v>
      </c>
      <c r="N2" s="40" t="s">
        <v>36</v>
      </c>
      <c r="O2" s="42" t="s">
        <v>45</v>
      </c>
      <c r="P2" s="40" t="s">
        <v>55</v>
      </c>
      <c r="Q2" s="42" t="s">
        <v>44</v>
      </c>
      <c r="R2" s="43">
        <v>50</v>
      </c>
      <c r="S2" s="41">
        <v>0.25</v>
      </c>
      <c r="T2" s="41">
        <v>0.1</v>
      </c>
      <c r="U2" s="41">
        <v>0.15</v>
      </c>
    </row>
    <row r="3" spans="1:21" x14ac:dyDescent="0.2">
      <c r="A3" s="40" t="s">
        <v>48</v>
      </c>
      <c r="B3" s="40" t="s">
        <v>49</v>
      </c>
      <c r="C3" s="40" t="s">
        <v>50</v>
      </c>
      <c r="D3" s="40" t="s">
        <v>62</v>
      </c>
      <c r="E3" s="40" t="s">
        <v>63</v>
      </c>
      <c r="F3" s="40" t="s">
        <v>32</v>
      </c>
      <c r="G3" s="40" t="s">
        <v>65</v>
      </c>
      <c r="H3" s="40" t="s">
        <v>26</v>
      </c>
      <c r="I3" s="40" t="s">
        <v>38</v>
      </c>
      <c r="J3" s="40" t="s">
        <v>39</v>
      </c>
      <c r="K3" s="41">
        <v>0.5</v>
      </c>
      <c r="L3" s="40" t="s">
        <v>57</v>
      </c>
      <c r="M3" s="40">
        <v>2016</v>
      </c>
      <c r="N3" s="40" t="s">
        <v>36</v>
      </c>
      <c r="O3" s="42" t="s">
        <v>31</v>
      </c>
      <c r="P3" s="40" t="s">
        <v>28</v>
      </c>
      <c r="Q3" s="42" t="s">
        <v>28</v>
      </c>
      <c r="R3" s="43">
        <v>10</v>
      </c>
      <c r="S3" s="41">
        <v>0.05</v>
      </c>
      <c r="T3" s="41">
        <v>0.45</v>
      </c>
      <c r="U3" s="41">
        <v>0</v>
      </c>
    </row>
    <row r="4" spans="1:21" x14ac:dyDescent="0.2">
      <c r="A4" s="40" t="s">
        <v>48</v>
      </c>
      <c r="B4" s="40" t="s">
        <v>49</v>
      </c>
      <c r="C4" s="40" t="s">
        <v>50</v>
      </c>
      <c r="D4" s="40" t="s">
        <v>66</v>
      </c>
      <c r="E4" s="40" t="s">
        <v>63</v>
      </c>
      <c r="F4" s="40" t="s">
        <v>67</v>
      </c>
      <c r="G4" s="40" t="s">
        <v>65</v>
      </c>
      <c r="H4" s="40" t="s">
        <v>26</v>
      </c>
      <c r="I4" s="40" t="s">
        <v>38</v>
      </c>
      <c r="J4" s="40" t="s">
        <v>39</v>
      </c>
      <c r="K4" s="41">
        <v>0.5</v>
      </c>
      <c r="L4" s="40" t="s">
        <v>57</v>
      </c>
      <c r="M4" s="40">
        <v>2016</v>
      </c>
      <c r="N4" s="40" t="s">
        <v>36</v>
      </c>
      <c r="O4" s="42" t="s">
        <v>31</v>
      </c>
      <c r="P4" s="40" t="s">
        <v>28</v>
      </c>
      <c r="Q4" s="42" t="s">
        <v>28</v>
      </c>
      <c r="R4" s="43">
        <v>10</v>
      </c>
      <c r="S4" s="41">
        <v>0.05</v>
      </c>
      <c r="T4" s="41">
        <v>0.45</v>
      </c>
      <c r="U4" s="41">
        <v>0</v>
      </c>
    </row>
    <row r="5" spans="1:21" x14ac:dyDescent="0.2">
      <c r="A5" s="40" t="s">
        <v>41</v>
      </c>
      <c r="B5" s="40" t="s">
        <v>42</v>
      </c>
      <c r="C5" s="40" t="s">
        <v>43</v>
      </c>
      <c r="D5" s="40" t="s">
        <v>68</v>
      </c>
      <c r="E5" s="40" t="s">
        <v>69</v>
      </c>
      <c r="F5" s="40" t="s">
        <v>32</v>
      </c>
      <c r="G5" s="40" t="s">
        <v>61</v>
      </c>
      <c r="H5" s="40" t="s">
        <v>29</v>
      </c>
      <c r="I5" s="40" t="s">
        <v>38</v>
      </c>
      <c r="J5" s="40" t="s">
        <v>39</v>
      </c>
      <c r="K5" s="41">
        <v>1</v>
      </c>
      <c r="L5" s="40" t="s">
        <v>57</v>
      </c>
      <c r="M5" s="40">
        <v>2016</v>
      </c>
      <c r="N5" s="40" t="s">
        <v>55</v>
      </c>
      <c r="O5" s="42" t="s">
        <v>44</v>
      </c>
      <c r="P5" s="40" t="s">
        <v>36</v>
      </c>
      <c r="Q5" s="42" t="s">
        <v>45</v>
      </c>
      <c r="R5" s="43">
        <v>50</v>
      </c>
      <c r="S5" s="41">
        <v>0.5</v>
      </c>
      <c r="T5" s="41">
        <v>0.3</v>
      </c>
      <c r="U5" s="41">
        <v>0.2</v>
      </c>
    </row>
    <row r="6" spans="1:21" x14ac:dyDescent="0.2">
      <c r="A6" s="40" t="s">
        <v>33</v>
      </c>
      <c r="B6" s="40" t="s">
        <v>34</v>
      </c>
      <c r="C6" s="40" t="s">
        <v>35</v>
      </c>
      <c r="D6" s="40" t="s">
        <v>76</v>
      </c>
      <c r="E6" s="40" t="s">
        <v>77</v>
      </c>
      <c r="F6" s="40" t="s">
        <v>78</v>
      </c>
      <c r="G6" s="40" t="s">
        <v>79</v>
      </c>
      <c r="H6" s="40" t="s">
        <v>26</v>
      </c>
      <c r="I6" s="40" t="s">
        <v>38</v>
      </c>
      <c r="J6" s="40" t="s">
        <v>39</v>
      </c>
      <c r="K6" s="41">
        <v>0.5</v>
      </c>
      <c r="L6" s="40" t="s">
        <v>57</v>
      </c>
      <c r="M6" s="40">
        <v>2017</v>
      </c>
      <c r="N6" s="40" t="s">
        <v>51</v>
      </c>
      <c r="O6" s="42" t="s">
        <v>27</v>
      </c>
      <c r="P6" s="40" t="s">
        <v>28</v>
      </c>
      <c r="Q6" s="42" t="s">
        <v>28</v>
      </c>
      <c r="R6" s="43">
        <v>50</v>
      </c>
      <c r="S6" s="41">
        <v>0.25</v>
      </c>
      <c r="T6" s="41">
        <v>0.25</v>
      </c>
      <c r="U6" s="41">
        <v>0</v>
      </c>
    </row>
    <row r="7" spans="1:21" x14ac:dyDescent="0.2">
      <c r="A7" s="40" t="s">
        <v>41</v>
      </c>
      <c r="B7" s="40" t="s">
        <v>42</v>
      </c>
      <c r="C7" s="40" t="s">
        <v>43</v>
      </c>
      <c r="D7" s="40" t="s">
        <v>73</v>
      </c>
      <c r="E7" s="40" t="s">
        <v>74</v>
      </c>
      <c r="F7" s="40" t="s">
        <v>75</v>
      </c>
      <c r="G7" s="40" t="s">
        <v>60</v>
      </c>
      <c r="H7" s="40" t="s">
        <v>26</v>
      </c>
      <c r="I7" s="40" t="s">
        <v>38</v>
      </c>
      <c r="J7" s="40" t="s">
        <v>39</v>
      </c>
      <c r="K7" s="41">
        <v>0.5</v>
      </c>
      <c r="L7" s="40" t="s">
        <v>57</v>
      </c>
      <c r="M7" s="40">
        <v>2017</v>
      </c>
      <c r="N7" s="40" t="s">
        <v>40</v>
      </c>
      <c r="O7" s="42" t="s">
        <v>44</v>
      </c>
      <c r="P7" s="40" t="s">
        <v>28</v>
      </c>
      <c r="Q7" s="42" t="s">
        <v>28</v>
      </c>
      <c r="R7" s="43">
        <v>70</v>
      </c>
      <c r="S7" s="41">
        <v>0.35</v>
      </c>
      <c r="T7" s="41">
        <v>0.15</v>
      </c>
      <c r="U7" s="41">
        <v>0</v>
      </c>
    </row>
    <row r="8" spans="1:21" x14ac:dyDescent="0.2">
      <c r="A8" s="40" t="s">
        <v>48</v>
      </c>
      <c r="B8" s="40" t="s">
        <v>49</v>
      </c>
      <c r="C8" s="40" t="s">
        <v>50</v>
      </c>
      <c r="D8" s="40" t="s">
        <v>70</v>
      </c>
      <c r="E8" s="40" t="s">
        <v>71</v>
      </c>
      <c r="F8" s="40" t="s">
        <v>72</v>
      </c>
      <c r="G8" s="40" t="s">
        <v>65</v>
      </c>
      <c r="H8" s="40" t="s">
        <v>26</v>
      </c>
      <c r="I8" s="40" t="s">
        <v>38</v>
      </c>
      <c r="J8" s="40" t="s">
        <v>39</v>
      </c>
      <c r="K8" s="44">
        <v>0.5</v>
      </c>
      <c r="L8" s="40" t="s">
        <v>57</v>
      </c>
      <c r="M8" s="40">
        <v>2017</v>
      </c>
      <c r="N8" s="40" t="s">
        <v>36</v>
      </c>
      <c r="O8" s="42" t="s">
        <v>31</v>
      </c>
      <c r="P8" s="40" t="s">
        <v>28</v>
      </c>
      <c r="Q8" s="42" t="s">
        <v>28</v>
      </c>
      <c r="R8" s="43">
        <v>10</v>
      </c>
      <c r="S8" s="41">
        <v>0.05</v>
      </c>
      <c r="T8" s="41">
        <v>0.45</v>
      </c>
      <c r="U8" s="41">
        <v>0</v>
      </c>
    </row>
    <row r="9" spans="1:21" x14ac:dyDescent="0.2">
      <c r="A9" s="40" t="s">
        <v>52</v>
      </c>
      <c r="B9" s="40" t="s">
        <v>53</v>
      </c>
      <c r="C9" s="40" t="s">
        <v>54</v>
      </c>
      <c r="D9" s="40" t="s">
        <v>83</v>
      </c>
      <c r="E9" s="40" t="s">
        <v>84</v>
      </c>
      <c r="F9" s="40" t="s">
        <v>85</v>
      </c>
      <c r="G9" s="40" t="s">
        <v>86</v>
      </c>
      <c r="H9" s="40" t="s">
        <v>26</v>
      </c>
      <c r="I9" s="40" t="s">
        <v>38</v>
      </c>
      <c r="J9" s="40" t="s">
        <v>39</v>
      </c>
      <c r="K9" s="44">
        <v>0.5</v>
      </c>
      <c r="L9" s="40" t="s">
        <v>57</v>
      </c>
      <c r="M9" s="40">
        <v>2018</v>
      </c>
      <c r="N9" s="40" t="s">
        <v>56</v>
      </c>
      <c r="O9" s="42" t="s">
        <v>27</v>
      </c>
      <c r="P9" s="40" t="s">
        <v>28</v>
      </c>
      <c r="Q9" s="42" t="s">
        <v>28</v>
      </c>
      <c r="R9" s="43">
        <v>50</v>
      </c>
      <c r="S9" s="41">
        <v>0.25</v>
      </c>
      <c r="T9" s="41">
        <v>0.25</v>
      </c>
      <c r="U9" s="41">
        <v>0</v>
      </c>
    </row>
    <row r="10" spans="1:21" x14ac:dyDescent="0.2">
      <c r="A10" s="40" t="s">
        <v>52</v>
      </c>
      <c r="B10" s="40" t="s">
        <v>53</v>
      </c>
      <c r="C10" s="40" t="s">
        <v>54</v>
      </c>
      <c r="D10" s="40" t="s">
        <v>83</v>
      </c>
      <c r="E10" s="40" t="s">
        <v>84</v>
      </c>
      <c r="F10" s="40" t="s">
        <v>85</v>
      </c>
      <c r="G10" s="40" t="s">
        <v>87</v>
      </c>
      <c r="H10" s="40" t="s">
        <v>26</v>
      </c>
      <c r="I10" s="40" t="s">
        <v>38</v>
      </c>
      <c r="J10" s="40" t="s">
        <v>39</v>
      </c>
      <c r="K10" s="44">
        <v>0.5</v>
      </c>
      <c r="L10" s="40" t="s">
        <v>57</v>
      </c>
      <c r="M10" s="40">
        <v>2018</v>
      </c>
      <c r="N10" s="40" t="s">
        <v>56</v>
      </c>
      <c r="O10" s="42" t="s">
        <v>46</v>
      </c>
      <c r="P10" s="40" t="s">
        <v>36</v>
      </c>
      <c r="Q10" s="42" t="s">
        <v>27</v>
      </c>
      <c r="R10" s="43">
        <v>35</v>
      </c>
      <c r="S10" s="41">
        <v>0.17499999999999999</v>
      </c>
      <c r="T10" s="41">
        <v>7.4999999999999997E-2</v>
      </c>
      <c r="U10" s="41">
        <v>0.25</v>
      </c>
    </row>
    <row r="11" spans="1:21" x14ac:dyDescent="0.2">
      <c r="A11" s="40" t="s">
        <v>48</v>
      </c>
      <c r="B11" s="40" t="s">
        <v>49</v>
      </c>
      <c r="C11" s="40" t="s">
        <v>50</v>
      </c>
      <c r="D11" s="40" t="s">
        <v>80</v>
      </c>
      <c r="E11" s="40" t="s">
        <v>81</v>
      </c>
      <c r="F11" s="40" t="s">
        <v>82</v>
      </c>
      <c r="G11" s="40" t="s">
        <v>65</v>
      </c>
      <c r="H11" s="40" t="s">
        <v>26</v>
      </c>
      <c r="I11" s="40" t="s">
        <v>38</v>
      </c>
      <c r="J11" s="40" t="s">
        <v>39</v>
      </c>
      <c r="K11" s="44">
        <v>0.33333333333333331</v>
      </c>
      <c r="L11" s="40" t="s">
        <v>57</v>
      </c>
      <c r="M11" s="40">
        <v>2018</v>
      </c>
      <c r="N11" s="40" t="s">
        <v>36</v>
      </c>
      <c r="O11" s="42" t="s">
        <v>31</v>
      </c>
      <c r="P11" s="40" t="s">
        <v>28</v>
      </c>
      <c r="Q11" s="42" t="s">
        <v>28</v>
      </c>
      <c r="R11" s="43">
        <v>10</v>
      </c>
      <c r="S11" s="41">
        <v>3.3333333333333333E-2</v>
      </c>
      <c r="T11" s="41">
        <v>0.3</v>
      </c>
      <c r="U11" s="41">
        <v>0</v>
      </c>
    </row>
    <row r="12" spans="1:21" x14ac:dyDescent="0.2">
      <c r="A12" s="40" t="s">
        <v>38</v>
      </c>
      <c r="B12" s="40" t="s">
        <v>39</v>
      </c>
      <c r="C12" s="40" t="s">
        <v>54</v>
      </c>
      <c r="D12" s="40" t="s">
        <v>151</v>
      </c>
      <c r="E12" s="40" t="s">
        <v>152</v>
      </c>
      <c r="F12" s="40" t="s">
        <v>153</v>
      </c>
      <c r="G12" s="40" t="s">
        <v>154</v>
      </c>
      <c r="H12" s="40" t="s">
        <v>26</v>
      </c>
      <c r="I12" s="40" t="s">
        <v>38</v>
      </c>
      <c r="J12" s="40" t="s">
        <v>39</v>
      </c>
      <c r="K12" s="44">
        <v>0.5</v>
      </c>
      <c r="L12" s="40" t="s">
        <v>57</v>
      </c>
      <c r="M12" s="40">
        <v>2018</v>
      </c>
      <c r="N12" s="40" t="s">
        <v>56</v>
      </c>
      <c r="O12" s="42" t="s">
        <v>30</v>
      </c>
      <c r="P12" s="40" t="s">
        <v>37</v>
      </c>
      <c r="Q12" s="42" t="s">
        <v>27</v>
      </c>
      <c r="R12" s="43">
        <v>40</v>
      </c>
      <c r="S12" s="41">
        <v>0.2</v>
      </c>
      <c r="T12" s="41">
        <v>0.05</v>
      </c>
      <c r="U12" s="41">
        <v>0.25</v>
      </c>
    </row>
    <row r="13" spans="1:21" x14ac:dyDescent="0.2">
      <c r="A13" s="40" t="s">
        <v>38</v>
      </c>
      <c r="B13" s="40" t="s">
        <v>39</v>
      </c>
      <c r="C13" s="40" t="s">
        <v>54</v>
      </c>
      <c r="D13" s="40" t="s">
        <v>151</v>
      </c>
      <c r="E13" s="40" t="s">
        <v>152</v>
      </c>
      <c r="F13" s="40" t="s">
        <v>153</v>
      </c>
      <c r="G13" s="40" t="s">
        <v>59</v>
      </c>
      <c r="H13" s="40" t="s">
        <v>26</v>
      </c>
      <c r="I13" s="40" t="s">
        <v>38</v>
      </c>
      <c r="J13" s="40" t="s">
        <v>39</v>
      </c>
      <c r="K13" s="44">
        <v>0.5</v>
      </c>
      <c r="L13" s="40" t="s">
        <v>57</v>
      </c>
      <c r="M13" s="40">
        <v>2018</v>
      </c>
      <c r="N13" s="40" t="s">
        <v>56</v>
      </c>
      <c r="O13" s="42" t="s">
        <v>30</v>
      </c>
      <c r="P13" s="40" t="s">
        <v>37</v>
      </c>
      <c r="Q13" s="42" t="s">
        <v>27</v>
      </c>
      <c r="R13" s="43">
        <v>40</v>
      </c>
      <c r="S13" s="41">
        <v>0.2</v>
      </c>
      <c r="T13" s="41">
        <v>0.05</v>
      </c>
      <c r="U13" s="41">
        <v>0.25</v>
      </c>
    </row>
    <row r="14" spans="1:21" x14ac:dyDescent="0.2">
      <c r="A14" s="52" t="s">
        <v>38</v>
      </c>
      <c r="B14" s="52" t="s">
        <v>39</v>
      </c>
      <c r="C14" s="52" t="s">
        <v>54</v>
      </c>
      <c r="D14" s="52" t="s">
        <v>163</v>
      </c>
      <c r="E14" s="52" t="s">
        <v>164</v>
      </c>
      <c r="F14" s="52" t="s">
        <v>165</v>
      </c>
      <c r="G14" s="52" t="s">
        <v>59</v>
      </c>
      <c r="H14" s="52" t="s">
        <v>29</v>
      </c>
      <c r="I14" s="52" t="s">
        <v>38</v>
      </c>
      <c r="J14" s="52" t="s">
        <v>39</v>
      </c>
      <c r="K14" s="52">
        <v>1</v>
      </c>
      <c r="L14" s="52" t="s">
        <v>57</v>
      </c>
      <c r="M14" s="53">
        <v>2019</v>
      </c>
      <c r="N14" s="52" t="s">
        <v>37</v>
      </c>
      <c r="O14" s="54" t="s">
        <v>27</v>
      </c>
      <c r="P14" s="52" t="s">
        <v>40</v>
      </c>
      <c r="Q14" s="54" t="s">
        <v>30</v>
      </c>
      <c r="R14" s="52">
        <v>40</v>
      </c>
      <c r="S14" s="52">
        <v>0.4</v>
      </c>
      <c r="T14" s="52">
        <v>0.5</v>
      </c>
      <c r="U14" s="52">
        <v>0.1</v>
      </c>
    </row>
    <row r="15" spans="1:21" ht="10.8" thickBot="1" x14ac:dyDescent="0.25">
      <c r="A15" s="40" t="s">
        <v>48</v>
      </c>
      <c r="B15" s="40" t="s">
        <v>49</v>
      </c>
      <c r="C15" s="40" t="s">
        <v>50</v>
      </c>
      <c r="D15" s="40" t="s">
        <v>166</v>
      </c>
      <c r="E15" s="40" t="s">
        <v>167</v>
      </c>
      <c r="F15" s="40" t="s">
        <v>168</v>
      </c>
      <c r="G15" s="40" t="s">
        <v>65</v>
      </c>
      <c r="H15" s="40" t="s">
        <v>26</v>
      </c>
      <c r="I15" s="40" t="s">
        <v>38</v>
      </c>
      <c r="J15" s="40" t="s">
        <v>39</v>
      </c>
      <c r="K15" s="45">
        <v>0.5</v>
      </c>
      <c r="L15" s="45" t="s">
        <v>57</v>
      </c>
      <c r="M15" s="46">
        <v>2019</v>
      </c>
      <c r="N15" s="40" t="s">
        <v>36</v>
      </c>
      <c r="O15" s="42" t="s">
        <v>31</v>
      </c>
      <c r="P15" s="40" t="s">
        <v>28</v>
      </c>
      <c r="Q15" s="42" t="s">
        <v>28</v>
      </c>
      <c r="R15" s="40">
        <v>10</v>
      </c>
      <c r="S15" s="40">
        <v>0.05</v>
      </c>
      <c r="T15" s="40">
        <v>0.45</v>
      </c>
      <c r="U15" s="40">
        <v>0</v>
      </c>
    </row>
    <row r="16" spans="1:21" ht="10.8" thickBot="1" x14ac:dyDescent="0.25">
      <c r="A16" s="47" t="s">
        <v>38</v>
      </c>
      <c r="B16" s="47" t="s">
        <v>39</v>
      </c>
      <c r="C16" s="47" t="s">
        <v>54</v>
      </c>
      <c r="D16" s="47" t="s">
        <v>169</v>
      </c>
      <c r="E16" s="47" t="s">
        <v>170</v>
      </c>
      <c r="F16" s="47" t="s">
        <v>171</v>
      </c>
      <c r="G16" s="48" t="s">
        <v>172</v>
      </c>
      <c r="H16" s="49" t="s">
        <v>26</v>
      </c>
      <c r="I16" s="49" t="s">
        <v>38</v>
      </c>
      <c r="J16" s="50" t="s">
        <v>39</v>
      </c>
      <c r="K16" s="45">
        <v>0.5</v>
      </c>
      <c r="L16" s="45" t="s">
        <v>57</v>
      </c>
      <c r="M16" s="40">
        <v>2020</v>
      </c>
      <c r="N16" s="40" t="s">
        <v>56</v>
      </c>
      <c r="O16" s="42" t="s">
        <v>27</v>
      </c>
      <c r="P16" s="40" t="s">
        <v>28</v>
      </c>
      <c r="Q16" s="42" t="s">
        <v>28</v>
      </c>
      <c r="R16" s="40">
        <v>50</v>
      </c>
      <c r="S16" s="40">
        <v>0.25</v>
      </c>
      <c r="T16" s="40">
        <v>0.25</v>
      </c>
      <c r="U16" s="40">
        <v>0</v>
      </c>
    </row>
    <row r="17" spans="1:21" ht="10.8" thickBot="1" x14ac:dyDescent="0.25">
      <c r="A17" s="47" t="s">
        <v>38</v>
      </c>
      <c r="B17" s="47" t="s">
        <v>39</v>
      </c>
      <c r="C17" s="47" t="s">
        <v>54</v>
      </c>
      <c r="D17" s="47" t="s">
        <v>169</v>
      </c>
      <c r="E17" s="47" t="s">
        <v>170</v>
      </c>
      <c r="F17" s="47" t="s">
        <v>171</v>
      </c>
      <c r="G17" s="48" t="s">
        <v>173</v>
      </c>
      <c r="H17" s="49" t="s">
        <v>26</v>
      </c>
      <c r="I17" s="49" t="s">
        <v>38</v>
      </c>
      <c r="J17" s="50" t="s">
        <v>39</v>
      </c>
      <c r="K17" s="45">
        <v>0.5</v>
      </c>
      <c r="L17" s="45" t="s">
        <v>57</v>
      </c>
      <c r="M17" s="40">
        <v>2020</v>
      </c>
      <c r="N17" s="40" t="s">
        <v>40</v>
      </c>
      <c r="O17" s="42" t="s">
        <v>30</v>
      </c>
      <c r="P17" s="40" t="s">
        <v>56</v>
      </c>
      <c r="Q17" s="42" t="s">
        <v>27</v>
      </c>
      <c r="R17" s="40">
        <v>40</v>
      </c>
      <c r="S17" s="40">
        <v>0.2</v>
      </c>
      <c r="T17" s="40">
        <v>0.05</v>
      </c>
      <c r="U17" s="40">
        <v>0.25</v>
      </c>
    </row>
    <row r="18" spans="1:21" ht="10.8" thickBot="1" x14ac:dyDescent="0.25">
      <c r="A18" s="47" t="s">
        <v>48</v>
      </c>
      <c r="B18" s="47" t="s">
        <v>49</v>
      </c>
      <c r="C18" s="47" t="s">
        <v>50</v>
      </c>
      <c r="D18" s="47" t="s">
        <v>174</v>
      </c>
      <c r="E18" s="47" t="s">
        <v>175</v>
      </c>
      <c r="F18" s="47" t="s">
        <v>176</v>
      </c>
      <c r="G18" s="48" t="s">
        <v>65</v>
      </c>
      <c r="H18" s="49" t="s">
        <v>26</v>
      </c>
      <c r="I18" s="49" t="s">
        <v>38</v>
      </c>
      <c r="J18" s="50" t="s">
        <v>39</v>
      </c>
      <c r="K18" s="45">
        <v>0.5</v>
      </c>
      <c r="L18" s="45" t="s">
        <v>57</v>
      </c>
      <c r="M18" s="40">
        <v>2020</v>
      </c>
      <c r="N18" s="40" t="s">
        <v>36</v>
      </c>
      <c r="O18" s="42" t="s">
        <v>31</v>
      </c>
      <c r="P18" s="40" t="s">
        <v>28</v>
      </c>
      <c r="Q18" s="42" t="s">
        <v>28</v>
      </c>
      <c r="R18" s="40">
        <v>10</v>
      </c>
      <c r="S18" s="40">
        <v>0.05</v>
      </c>
      <c r="T18" s="40">
        <v>0.45</v>
      </c>
      <c r="U18" s="40">
        <v>0</v>
      </c>
    </row>
    <row r="19" spans="1:21" ht="10.8" thickBot="1" x14ac:dyDescent="0.25">
      <c r="A19" s="47" t="s">
        <v>48</v>
      </c>
      <c r="B19" s="47" t="s">
        <v>49</v>
      </c>
      <c r="C19" s="47" t="s">
        <v>50</v>
      </c>
      <c r="D19" s="47" t="s">
        <v>177</v>
      </c>
      <c r="E19" s="47" t="s">
        <v>178</v>
      </c>
      <c r="F19" s="47" t="s">
        <v>179</v>
      </c>
      <c r="G19" s="48" t="s">
        <v>65</v>
      </c>
      <c r="H19" s="49" t="s">
        <v>26</v>
      </c>
      <c r="I19" s="49" t="s">
        <v>38</v>
      </c>
      <c r="J19" s="50" t="s">
        <v>39</v>
      </c>
      <c r="K19" s="45">
        <v>0.5</v>
      </c>
      <c r="L19" s="45" t="s">
        <v>57</v>
      </c>
      <c r="M19" s="40">
        <v>2020</v>
      </c>
      <c r="N19" s="40" t="s">
        <v>36</v>
      </c>
      <c r="O19" s="42" t="s">
        <v>31</v>
      </c>
      <c r="P19" s="40" t="s">
        <v>28</v>
      </c>
      <c r="Q19" s="42" t="s">
        <v>28</v>
      </c>
      <c r="R19" s="40">
        <v>10</v>
      </c>
      <c r="S19" s="40">
        <v>0.05</v>
      </c>
      <c r="T19" s="40">
        <v>0.45</v>
      </c>
      <c r="U19" s="40">
        <v>0</v>
      </c>
    </row>
    <row r="20" spans="1:21" ht="10.8" thickBot="1" x14ac:dyDescent="0.25">
      <c r="A20" s="47" t="s">
        <v>41</v>
      </c>
      <c r="B20" s="47" t="s">
        <v>42</v>
      </c>
      <c r="C20" s="47" t="s">
        <v>43</v>
      </c>
      <c r="D20" s="47" t="s">
        <v>180</v>
      </c>
      <c r="E20" s="47" t="s">
        <v>181</v>
      </c>
      <c r="F20" s="47" t="s">
        <v>182</v>
      </c>
      <c r="G20" s="48" t="s">
        <v>183</v>
      </c>
      <c r="H20" s="49" t="s">
        <v>29</v>
      </c>
      <c r="I20" s="49" t="s">
        <v>38</v>
      </c>
      <c r="J20" s="50" t="s">
        <v>39</v>
      </c>
      <c r="K20" s="45">
        <v>1</v>
      </c>
      <c r="L20" s="45" t="s">
        <v>57</v>
      </c>
      <c r="M20" s="40">
        <v>2020</v>
      </c>
      <c r="N20" s="40" t="s">
        <v>37</v>
      </c>
      <c r="O20" s="42" t="s">
        <v>47</v>
      </c>
      <c r="P20" s="40" t="s">
        <v>28</v>
      </c>
      <c r="Q20" s="42" t="s">
        <v>28</v>
      </c>
      <c r="R20" s="40">
        <v>20</v>
      </c>
      <c r="S20" s="40">
        <v>0.2</v>
      </c>
      <c r="T20" s="40">
        <v>0.8</v>
      </c>
      <c r="U20" s="40">
        <v>0</v>
      </c>
    </row>
    <row r="21" spans="1:21" x14ac:dyDescent="0.2">
      <c r="A21" s="40" t="s">
        <v>52</v>
      </c>
      <c r="B21" s="40" t="s">
        <v>53</v>
      </c>
      <c r="C21" s="40" t="s">
        <v>54</v>
      </c>
      <c r="D21" s="40" t="s">
        <v>197</v>
      </c>
      <c r="E21" s="40" t="s">
        <v>198</v>
      </c>
      <c r="F21" s="40" t="s">
        <v>199</v>
      </c>
      <c r="G21" s="40" t="s">
        <v>172</v>
      </c>
      <c r="H21" s="40" t="s">
        <v>26</v>
      </c>
      <c r="I21" s="40" t="s">
        <v>38</v>
      </c>
      <c r="J21" s="40" t="s">
        <v>39</v>
      </c>
      <c r="K21" s="45">
        <v>0.5</v>
      </c>
      <c r="L21" s="45" t="s">
        <v>57</v>
      </c>
      <c r="M21" s="40">
        <v>2021</v>
      </c>
      <c r="N21" s="40" t="s">
        <v>56</v>
      </c>
      <c r="O21" s="42" t="s">
        <v>27</v>
      </c>
      <c r="P21" s="40" t="s">
        <v>28</v>
      </c>
      <c r="Q21" s="42" t="s">
        <v>28</v>
      </c>
      <c r="R21" s="40">
        <v>50</v>
      </c>
      <c r="S21" s="40">
        <v>0.25</v>
      </c>
      <c r="T21" s="40">
        <v>0.25</v>
      </c>
      <c r="U21" s="40">
        <v>0</v>
      </c>
    </row>
    <row r="22" spans="1:21" x14ac:dyDescent="0.2">
      <c r="A22" s="40" t="s">
        <v>52</v>
      </c>
      <c r="B22" s="40" t="s">
        <v>53</v>
      </c>
      <c r="C22" s="40" t="s">
        <v>54</v>
      </c>
      <c r="D22" s="40" t="s">
        <v>197</v>
      </c>
      <c r="E22" s="40" t="s">
        <v>198</v>
      </c>
      <c r="F22" s="40" t="s">
        <v>199</v>
      </c>
      <c r="G22" s="40" t="s">
        <v>173</v>
      </c>
      <c r="H22" s="40" t="s">
        <v>26</v>
      </c>
      <c r="I22" s="40" t="s">
        <v>38</v>
      </c>
      <c r="J22" s="40" t="s">
        <v>39</v>
      </c>
      <c r="K22" s="45">
        <v>0.5</v>
      </c>
      <c r="L22" s="45" t="s">
        <v>57</v>
      </c>
      <c r="M22" s="40">
        <v>2021</v>
      </c>
      <c r="N22" s="40" t="s">
        <v>40</v>
      </c>
      <c r="O22" s="42" t="s">
        <v>30</v>
      </c>
      <c r="P22" s="40" t="s">
        <v>56</v>
      </c>
      <c r="Q22" s="42" t="s">
        <v>27</v>
      </c>
      <c r="R22" s="40">
        <v>40</v>
      </c>
      <c r="S22" s="40">
        <v>0.2</v>
      </c>
      <c r="T22" s="40">
        <v>0.05</v>
      </c>
      <c r="U22" s="40">
        <v>0.25</v>
      </c>
    </row>
    <row r="23" spans="1:21" x14ac:dyDescent="0.2">
      <c r="A23" s="40" t="s">
        <v>52</v>
      </c>
      <c r="B23" s="40" t="s">
        <v>53</v>
      </c>
      <c r="C23" s="40" t="s">
        <v>54</v>
      </c>
      <c r="D23" s="40" t="s">
        <v>200</v>
      </c>
      <c r="E23" s="40" t="s">
        <v>201</v>
      </c>
      <c r="F23" s="40" t="s">
        <v>202</v>
      </c>
      <c r="G23" s="40" t="s">
        <v>59</v>
      </c>
      <c r="H23" s="40" t="s">
        <v>26</v>
      </c>
      <c r="I23" s="40" t="s">
        <v>38</v>
      </c>
      <c r="J23" s="40" t="s">
        <v>39</v>
      </c>
      <c r="K23" s="45">
        <v>0.5</v>
      </c>
      <c r="L23" s="45" t="s">
        <v>57</v>
      </c>
      <c r="M23" s="40">
        <v>2021</v>
      </c>
      <c r="N23" s="40" t="s">
        <v>37</v>
      </c>
      <c r="O23" s="42" t="s">
        <v>27</v>
      </c>
      <c r="P23" s="40" t="s">
        <v>40</v>
      </c>
      <c r="Q23" s="42" t="s">
        <v>30</v>
      </c>
      <c r="R23" s="40">
        <v>40</v>
      </c>
      <c r="S23" s="40">
        <v>0.2</v>
      </c>
      <c r="T23" s="40">
        <v>0.25</v>
      </c>
      <c r="U23" s="40">
        <v>0.05</v>
      </c>
    </row>
    <row r="24" spans="1:21" x14ac:dyDescent="0.2">
      <c r="A24" s="40" t="s">
        <v>52</v>
      </c>
      <c r="B24" s="40" t="s">
        <v>53</v>
      </c>
      <c r="C24" s="40" t="s">
        <v>54</v>
      </c>
      <c r="D24" s="40" t="s">
        <v>200</v>
      </c>
      <c r="E24" s="40" t="s">
        <v>201</v>
      </c>
      <c r="F24" s="40" t="s">
        <v>202</v>
      </c>
      <c r="G24" s="40" t="s">
        <v>87</v>
      </c>
      <c r="H24" s="40" t="s">
        <v>26</v>
      </c>
      <c r="I24" s="40" t="s">
        <v>38</v>
      </c>
      <c r="J24" s="40" t="s">
        <v>39</v>
      </c>
      <c r="K24" s="45">
        <v>0.5</v>
      </c>
      <c r="L24" s="45" t="s">
        <v>57</v>
      </c>
      <c r="M24" s="40">
        <v>2021</v>
      </c>
      <c r="N24" s="40" t="s">
        <v>28</v>
      </c>
      <c r="O24" s="42" t="s">
        <v>28</v>
      </c>
      <c r="P24" s="40" t="s">
        <v>28</v>
      </c>
      <c r="Q24" s="42" t="s">
        <v>28</v>
      </c>
      <c r="R24" s="40">
        <v>100</v>
      </c>
      <c r="S24" s="40">
        <v>0.5</v>
      </c>
      <c r="T24" s="40">
        <v>0</v>
      </c>
      <c r="U24" s="40">
        <v>0</v>
      </c>
    </row>
    <row r="25" spans="1:21" x14ac:dyDescent="0.2">
      <c r="A25" s="40" t="s">
        <v>38</v>
      </c>
      <c r="B25" s="40" t="s">
        <v>39</v>
      </c>
      <c r="C25" s="40" t="s">
        <v>54</v>
      </c>
      <c r="D25" s="40" t="s">
        <v>203</v>
      </c>
      <c r="E25" s="40" t="s">
        <v>204</v>
      </c>
      <c r="F25" s="40" t="s">
        <v>205</v>
      </c>
      <c r="G25" s="40" t="s">
        <v>59</v>
      </c>
      <c r="H25" s="40" t="s">
        <v>26</v>
      </c>
      <c r="I25" s="40" t="s">
        <v>38</v>
      </c>
      <c r="J25" s="40" t="s">
        <v>39</v>
      </c>
      <c r="K25" s="45">
        <v>0.5</v>
      </c>
      <c r="L25" s="45" t="s">
        <v>57</v>
      </c>
      <c r="M25" s="40">
        <v>2021</v>
      </c>
      <c r="N25" s="40" t="s">
        <v>37</v>
      </c>
      <c r="O25" s="42" t="s">
        <v>27</v>
      </c>
      <c r="P25" s="40" t="s">
        <v>40</v>
      </c>
      <c r="Q25" s="42" t="s">
        <v>30</v>
      </c>
      <c r="R25" s="40">
        <v>40</v>
      </c>
      <c r="S25" s="40">
        <v>0.2</v>
      </c>
      <c r="T25" s="40">
        <v>0.25</v>
      </c>
      <c r="U25" s="40">
        <v>0.05</v>
      </c>
    </row>
    <row r="26" spans="1:21" x14ac:dyDescent="0.2">
      <c r="A26" s="40" t="s">
        <v>38</v>
      </c>
      <c r="B26" s="40" t="s">
        <v>39</v>
      </c>
      <c r="C26" s="40" t="s">
        <v>54</v>
      </c>
      <c r="D26" s="40" t="s">
        <v>203</v>
      </c>
      <c r="E26" s="40" t="s">
        <v>204</v>
      </c>
      <c r="F26" s="40" t="s">
        <v>205</v>
      </c>
      <c r="G26" s="40" t="s">
        <v>206</v>
      </c>
      <c r="H26" s="40" t="s">
        <v>26</v>
      </c>
      <c r="I26" s="40" t="s">
        <v>38</v>
      </c>
      <c r="J26" s="40" t="s">
        <v>39</v>
      </c>
      <c r="K26" s="45">
        <v>0.5</v>
      </c>
      <c r="L26" s="45" t="s">
        <v>57</v>
      </c>
      <c r="M26" s="40">
        <v>2021</v>
      </c>
      <c r="N26" s="40" t="s">
        <v>56</v>
      </c>
      <c r="O26" s="42" t="s">
        <v>31</v>
      </c>
      <c r="P26" s="40" t="s">
        <v>28</v>
      </c>
      <c r="Q26" s="42" t="s">
        <v>28</v>
      </c>
      <c r="R26" s="40">
        <v>10</v>
      </c>
      <c r="S26" s="40">
        <v>0.05</v>
      </c>
      <c r="T26" s="40">
        <v>0.45</v>
      </c>
      <c r="U26" s="40">
        <v>0</v>
      </c>
    </row>
    <row r="27" spans="1:21" x14ac:dyDescent="0.2">
      <c r="A27" s="40" t="s">
        <v>207</v>
      </c>
      <c r="B27" s="40" t="s">
        <v>208</v>
      </c>
      <c r="C27" s="40" t="s">
        <v>209</v>
      </c>
      <c r="D27" s="40" t="s">
        <v>210</v>
      </c>
      <c r="E27" s="40" t="s">
        <v>211</v>
      </c>
      <c r="F27" s="40" t="s">
        <v>212</v>
      </c>
      <c r="G27" s="40" t="s">
        <v>183</v>
      </c>
      <c r="H27" s="40" t="s">
        <v>29</v>
      </c>
      <c r="I27" s="40" t="s">
        <v>38</v>
      </c>
      <c r="J27" s="40" t="s">
        <v>39</v>
      </c>
      <c r="K27" s="45">
        <v>1</v>
      </c>
      <c r="L27" s="45" t="s">
        <v>57</v>
      </c>
      <c r="M27" s="40">
        <v>2021</v>
      </c>
      <c r="N27" s="40" t="s">
        <v>37</v>
      </c>
      <c r="O27" s="42" t="s">
        <v>47</v>
      </c>
      <c r="P27" s="40" t="s">
        <v>28</v>
      </c>
      <c r="Q27" s="42" t="s">
        <v>28</v>
      </c>
      <c r="R27" s="40">
        <v>20</v>
      </c>
      <c r="S27" s="40">
        <v>0.2</v>
      </c>
      <c r="T27" s="40">
        <v>0.8</v>
      </c>
      <c r="U27" s="40">
        <v>0</v>
      </c>
    </row>
    <row r="28" spans="1:21" x14ac:dyDescent="0.2">
      <c r="A28" s="40" t="s">
        <v>213</v>
      </c>
      <c r="B28" s="40" t="s">
        <v>214</v>
      </c>
      <c r="C28" s="40" t="s">
        <v>215</v>
      </c>
      <c r="D28" s="40" t="s">
        <v>216</v>
      </c>
      <c r="E28" s="40" t="s">
        <v>217</v>
      </c>
      <c r="F28" s="40" t="s">
        <v>218</v>
      </c>
      <c r="G28" s="40" t="s">
        <v>219</v>
      </c>
      <c r="H28" s="40" t="s">
        <v>26</v>
      </c>
      <c r="I28" s="40" t="s">
        <v>38</v>
      </c>
      <c r="J28" s="40" t="s">
        <v>39</v>
      </c>
      <c r="K28" s="45">
        <v>0.5</v>
      </c>
      <c r="L28" s="45" t="s">
        <v>57</v>
      </c>
      <c r="M28" s="40">
        <v>2021</v>
      </c>
      <c r="N28" s="40" t="s">
        <v>56</v>
      </c>
      <c r="O28" s="42" t="s">
        <v>27</v>
      </c>
      <c r="P28" s="40" t="s">
        <v>40</v>
      </c>
      <c r="Q28" s="42" t="s">
        <v>30</v>
      </c>
      <c r="R28" s="40">
        <v>40</v>
      </c>
      <c r="S28" s="40">
        <v>0.2</v>
      </c>
      <c r="T28" s="40">
        <v>0.25</v>
      </c>
      <c r="U28" s="40">
        <v>0.05</v>
      </c>
    </row>
    <row r="29" spans="1:21" x14ac:dyDescent="0.2">
      <c r="A29" s="40" t="s">
        <v>213</v>
      </c>
      <c r="B29" s="40" t="s">
        <v>214</v>
      </c>
      <c r="C29" s="40" t="s">
        <v>215</v>
      </c>
      <c r="D29" s="40" t="s">
        <v>220</v>
      </c>
      <c r="E29" s="40" t="s">
        <v>221</v>
      </c>
      <c r="F29" s="40" t="s">
        <v>222</v>
      </c>
      <c r="G29" s="40" t="s">
        <v>223</v>
      </c>
      <c r="H29" s="40" t="s">
        <v>26</v>
      </c>
      <c r="I29" s="40" t="s">
        <v>38</v>
      </c>
      <c r="J29" s="40" t="s">
        <v>39</v>
      </c>
      <c r="K29" s="45">
        <v>0.33333333333333331</v>
      </c>
      <c r="L29" s="45" t="s">
        <v>57</v>
      </c>
      <c r="M29" s="40">
        <v>2021</v>
      </c>
      <c r="N29" s="40" t="s">
        <v>40</v>
      </c>
      <c r="O29" s="42" t="s">
        <v>30</v>
      </c>
      <c r="P29" s="40" t="s">
        <v>56</v>
      </c>
      <c r="Q29" s="42" t="s">
        <v>27</v>
      </c>
      <c r="R29" s="40">
        <v>40</v>
      </c>
      <c r="S29" s="40">
        <v>0.13333333333333333</v>
      </c>
      <c r="T29" s="40">
        <v>3.3333333333333333E-2</v>
      </c>
      <c r="U29" s="40">
        <v>0.16666666666666663</v>
      </c>
    </row>
    <row r="30" spans="1:21" x14ac:dyDescent="0.2">
      <c r="A30" s="40" t="s">
        <v>213</v>
      </c>
      <c r="B30" s="40" t="s">
        <v>214</v>
      </c>
      <c r="C30" s="40" t="s">
        <v>215</v>
      </c>
      <c r="D30" s="40" t="s">
        <v>220</v>
      </c>
      <c r="E30" s="40" t="s">
        <v>221</v>
      </c>
      <c r="F30" s="40" t="s">
        <v>222</v>
      </c>
      <c r="G30" s="40" t="s">
        <v>219</v>
      </c>
      <c r="H30" s="40" t="s">
        <v>26</v>
      </c>
      <c r="I30" s="40" t="s">
        <v>38</v>
      </c>
      <c r="J30" s="40" t="s">
        <v>39</v>
      </c>
      <c r="K30" s="45">
        <v>0.33333333333333331</v>
      </c>
      <c r="L30" s="45" t="s">
        <v>57</v>
      </c>
      <c r="M30" s="40">
        <v>2021</v>
      </c>
      <c r="N30" s="40" t="s">
        <v>56</v>
      </c>
      <c r="O30" s="42" t="s">
        <v>27</v>
      </c>
      <c r="P30" s="40" t="s">
        <v>40</v>
      </c>
      <c r="Q30" s="42" t="s">
        <v>30</v>
      </c>
      <c r="R30" s="40">
        <v>40</v>
      </c>
      <c r="S30" s="40">
        <v>0.13333333333333333</v>
      </c>
      <c r="T30" s="40">
        <v>0.16666666666666663</v>
      </c>
      <c r="U30" s="40">
        <v>3.3333333333333333E-2</v>
      </c>
    </row>
    <row r="31" spans="1:21" x14ac:dyDescent="0.2">
      <c r="A31" s="40" t="s">
        <v>224</v>
      </c>
      <c r="B31" s="40" t="s">
        <v>225</v>
      </c>
      <c r="C31" s="40" t="s">
        <v>226</v>
      </c>
      <c r="D31" s="40" t="s">
        <v>227</v>
      </c>
      <c r="E31" s="40" t="s">
        <v>228</v>
      </c>
      <c r="F31" s="40" t="s">
        <v>229</v>
      </c>
      <c r="G31" s="40" t="s">
        <v>230</v>
      </c>
      <c r="H31" s="40" t="s">
        <v>26</v>
      </c>
      <c r="I31" s="40" t="s">
        <v>38</v>
      </c>
      <c r="J31" s="40" t="s">
        <v>39</v>
      </c>
      <c r="K31" s="45">
        <v>0.5</v>
      </c>
      <c r="L31" s="45" t="s">
        <v>57</v>
      </c>
      <c r="M31" s="40">
        <v>2021</v>
      </c>
      <c r="N31" s="40" t="s">
        <v>37</v>
      </c>
      <c r="O31" s="42" t="s">
        <v>47</v>
      </c>
      <c r="P31" s="40" t="s">
        <v>28</v>
      </c>
      <c r="Q31" s="42" t="s">
        <v>28</v>
      </c>
      <c r="R31" s="40">
        <v>20</v>
      </c>
      <c r="S31" s="40">
        <v>0.1</v>
      </c>
      <c r="T31" s="40">
        <v>0.4</v>
      </c>
      <c r="U31" s="40">
        <v>0</v>
      </c>
    </row>
    <row r="32" spans="1:21" x14ac:dyDescent="0.2">
      <c r="S32" s="51">
        <f>SUM(S2:S31)</f>
        <v>5.7250000000000014</v>
      </c>
    </row>
  </sheetData>
  <autoFilter ref="A1:U27" xr:uid="{00000000-0009-0000-0000-000000000000}">
    <sortState xmlns:xlrd2="http://schemas.microsoft.com/office/spreadsheetml/2017/richdata2" ref="A2:U1916">
      <sortCondition ref="L2:L1916"/>
      <sortCondition ref="M2:M1916"/>
      <sortCondition ref="D2:D1916"/>
    </sortState>
  </autoFilter>
  <printOptions horizontalCentered="1"/>
  <pageMargins left="0.39370078740157483" right="0.39370078740157483" top="0.39370078740157483" bottom="0.39370078740157483" header="0.78740157480314965" footer="0"/>
  <pageSetup paperSize="9" orientation="landscape" r:id="rId1"/>
  <headerFooter alignWithMargins="0">
    <oddHeader>&amp;C&amp;"Arial,Negrita"TESIS DOCTORALES POR DEPARTAMENTO / INSTITUTO
CURSOS 2006-2012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zoomScaleNormal="100" workbookViewId="0">
      <selection activeCell="U20" sqref="U20"/>
    </sheetView>
  </sheetViews>
  <sheetFormatPr baseColWidth="10" defaultColWidth="11.44140625" defaultRowHeight="13.2" x14ac:dyDescent="0.25"/>
  <cols>
    <col min="1" max="1" width="10.88671875" style="15" bestFit="1" customWidth="1"/>
    <col min="2" max="2" width="38.88671875" style="15" bestFit="1" customWidth="1"/>
    <col min="3" max="3" width="17" style="15" bestFit="1" customWidth="1"/>
    <col min="4" max="9" width="3.33203125" style="15" bestFit="1" customWidth="1"/>
    <col min="10" max="10" width="13.109375" style="15" bestFit="1" customWidth="1"/>
    <col min="11" max="11" width="5.33203125" style="15" bestFit="1" customWidth="1"/>
    <col min="12" max="13" width="5.6640625" style="15" bestFit="1" customWidth="1"/>
    <col min="14" max="14" width="5.6640625" style="16" bestFit="1" customWidth="1"/>
    <col min="15" max="15" width="5.6640625" style="15" bestFit="1" customWidth="1"/>
    <col min="16" max="16" width="5.6640625" style="16" bestFit="1" customWidth="1"/>
    <col min="17" max="19" width="5.6640625" style="15" bestFit="1" customWidth="1"/>
    <col min="20" max="16384" width="11.44140625" style="15"/>
  </cols>
  <sheetData>
    <row r="1" spans="1:19" s="29" customFormat="1" ht="30" x14ac:dyDescent="0.25">
      <c r="A1" s="36" t="s">
        <v>144</v>
      </c>
      <c r="B1" s="36" t="s">
        <v>143</v>
      </c>
      <c r="C1" s="36" t="s">
        <v>142</v>
      </c>
      <c r="D1" s="37">
        <v>2016</v>
      </c>
      <c r="E1" s="37">
        <v>2017</v>
      </c>
      <c r="F1" s="37">
        <v>2018</v>
      </c>
      <c r="G1" s="37">
        <v>2019</v>
      </c>
      <c r="H1" s="37">
        <v>2020</v>
      </c>
      <c r="I1" s="37">
        <v>2021</v>
      </c>
      <c r="J1" s="36" t="s">
        <v>141</v>
      </c>
      <c r="K1" s="38" t="s">
        <v>162</v>
      </c>
      <c r="L1" s="31" t="s">
        <v>140</v>
      </c>
      <c r="M1" s="31" t="s">
        <v>139</v>
      </c>
      <c r="N1" s="31" t="s">
        <v>138</v>
      </c>
      <c r="O1" s="31" t="s">
        <v>137</v>
      </c>
      <c r="P1" s="30" t="s">
        <v>136</v>
      </c>
      <c r="Q1" s="30" t="s">
        <v>135</v>
      </c>
      <c r="R1" s="30" t="s">
        <v>134</v>
      </c>
      <c r="S1" s="30" t="s">
        <v>133</v>
      </c>
    </row>
    <row r="2" spans="1:19" x14ac:dyDescent="0.25">
      <c r="A2" s="32" t="s">
        <v>91</v>
      </c>
      <c r="B2" s="32" t="s">
        <v>90</v>
      </c>
      <c r="C2" s="33" t="s">
        <v>88</v>
      </c>
      <c r="D2" s="32"/>
      <c r="E2" s="32">
        <v>1</v>
      </c>
      <c r="F2" s="32"/>
      <c r="G2" s="32"/>
      <c r="H2" s="32"/>
      <c r="I2" s="32"/>
      <c r="J2" s="34">
        <v>1</v>
      </c>
      <c r="K2" s="24" t="s">
        <v>57</v>
      </c>
      <c r="L2" s="28" t="s">
        <v>37</v>
      </c>
      <c r="M2" s="23" t="s">
        <v>27</v>
      </c>
      <c r="N2" s="22" t="s">
        <v>28</v>
      </c>
      <c r="O2" s="21" t="s">
        <v>28</v>
      </c>
      <c r="P2" s="20">
        <v>50</v>
      </c>
      <c r="Q2" s="19">
        <v>0.5</v>
      </c>
      <c r="R2" s="19">
        <v>0</v>
      </c>
      <c r="S2" s="19">
        <v>0.5</v>
      </c>
    </row>
    <row r="3" spans="1:19" x14ac:dyDescent="0.25">
      <c r="A3" s="32" t="s">
        <v>130</v>
      </c>
      <c r="B3" s="32" t="s">
        <v>129</v>
      </c>
      <c r="C3" s="33" t="s">
        <v>88</v>
      </c>
      <c r="D3" s="32"/>
      <c r="E3" s="32"/>
      <c r="F3" s="32">
        <v>1</v>
      </c>
      <c r="G3" s="32">
        <v>1</v>
      </c>
      <c r="H3" s="32"/>
      <c r="I3" s="32"/>
      <c r="J3" s="34">
        <v>2</v>
      </c>
      <c r="K3" s="24" t="s">
        <v>57</v>
      </c>
      <c r="L3" s="27">
        <v>0</v>
      </c>
      <c r="M3" s="23">
        <v>0</v>
      </c>
      <c r="N3" s="26" t="s">
        <v>28</v>
      </c>
      <c r="O3" s="21" t="s">
        <v>28</v>
      </c>
      <c r="P3" s="20">
        <v>100</v>
      </c>
      <c r="Q3" s="19">
        <v>0</v>
      </c>
      <c r="R3" s="19">
        <v>0</v>
      </c>
      <c r="S3" s="19">
        <v>2</v>
      </c>
    </row>
    <row r="4" spans="1:19" x14ac:dyDescent="0.25">
      <c r="A4" s="32" t="s">
        <v>105</v>
      </c>
      <c r="B4" s="32" t="s">
        <v>104</v>
      </c>
      <c r="C4" s="33" t="s">
        <v>88</v>
      </c>
      <c r="D4" s="32"/>
      <c r="E4" s="32">
        <v>1</v>
      </c>
      <c r="F4" s="32"/>
      <c r="G4" s="32"/>
      <c r="H4" s="32"/>
      <c r="I4" s="32"/>
      <c r="J4" s="34">
        <v>1</v>
      </c>
      <c r="K4" s="24" t="s">
        <v>57</v>
      </c>
      <c r="L4" s="27" t="s">
        <v>36</v>
      </c>
      <c r="M4" s="23" t="s">
        <v>30</v>
      </c>
      <c r="N4" s="26" t="s">
        <v>55</v>
      </c>
      <c r="O4" s="21" t="s">
        <v>45</v>
      </c>
      <c r="P4" s="20">
        <v>70</v>
      </c>
      <c r="Q4" s="19">
        <v>0.1</v>
      </c>
      <c r="R4" s="19">
        <v>0.2</v>
      </c>
      <c r="S4" s="19">
        <v>0.7</v>
      </c>
    </row>
    <row r="5" spans="1:19" x14ac:dyDescent="0.25">
      <c r="A5" s="32" t="s">
        <v>93</v>
      </c>
      <c r="B5" s="32" t="s">
        <v>92</v>
      </c>
      <c r="C5" s="33">
        <v>6</v>
      </c>
      <c r="D5" s="32"/>
      <c r="E5" s="32"/>
      <c r="F5" s="32"/>
      <c r="G5" s="32">
        <v>1</v>
      </c>
      <c r="H5" s="32"/>
      <c r="I5" s="32"/>
      <c r="J5" s="25">
        <v>1</v>
      </c>
      <c r="K5" s="24" t="s">
        <v>57</v>
      </c>
      <c r="L5" s="28" t="s">
        <v>37</v>
      </c>
      <c r="M5" s="23" t="s">
        <v>47</v>
      </c>
      <c r="N5" s="22" t="s">
        <v>28</v>
      </c>
      <c r="O5" s="21" t="s">
        <v>28</v>
      </c>
      <c r="P5" s="20">
        <v>20</v>
      </c>
      <c r="Q5" s="19">
        <v>0.8</v>
      </c>
      <c r="R5" s="19">
        <v>0</v>
      </c>
      <c r="S5" s="19">
        <v>0.2</v>
      </c>
    </row>
    <row r="6" spans="1:19" x14ac:dyDescent="0.25">
      <c r="A6" s="32" t="s">
        <v>156</v>
      </c>
      <c r="B6" s="32" t="s">
        <v>157</v>
      </c>
      <c r="C6" s="33" t="s">
        <v>88</v>
      </c>
      <c r="D6" s="32"/>
      <c r="E6" s="32"/>
      <c r="F6" s="32"/>
      <c r="G6" s="32"/>
      <c r="H6" s="32">
        <v>1</v>
      </c>
      <c r="I6" s="32"/>
      <c r="J6" s="34">
        <v>1</v>
      </c>
      <c r="K6" s="24" t="s">
        <v>57</v>
      </c>
      <c r="L6" s="27" t="s">
        <v>56</v>
      </c>
      <c r="M6" s="23" t="s">
        <v>27</v>
      </c>
      <c r="N6" s="26" t="s">
        <v>28</v>
      </c>
      <c r="O6" s="21" t="s">
        <v>28</v>
      </c>
      <c r="P6" s="20">
        <v>50</v>
      </c>
      <c r="Q6" s="19">
        <v>0.5</v>
      </c>
      <c r="R6" s="19">
        <v>0</v>
      </c>
      <c r="S6" s="19">
        <v>0.5</v>
      </c>
    </row>
    <row r="7" spans="1:19" x14ac:dyDescent="0.25">
      <c r="A7" s="25" t="s">
        <v>107</v>
      </c>
      <c r="B7" s="25" t="s">
        <v>106</v>
      </c>
      <c r="C7" s="25" t="s">
        <v>88</v>
      </c>
      <c r="D7" s="25"/>
      <c r="E7" s="25"/>
      <c r="F7" s="25"/>
      <c r="G7" s="25"/>
      <c r="H7" s="25">
        <v>1</v>
      </c>
      <c r="I7" s="25"/>
      <c r="J7" s="25">
        <v>1</v>
      </c>
      <c r="K7" s="24" t="s">
        <v>57</v>
      </c>
      <c r="L7" s="28" t="s">
        <v>51</v>
      </c>
      <c r="M7" s="23" t="s">
        <v>27</v>
      </c>
      <c r="N7" s="22" t="s">
        <v>28</v>
      </c>
      <c r="O7" s="21" t="s">
        <v>28</v>
      </c>
      <c r="P7" s="20">
        <v>50</v>
      </c>
      <c r="Q7" s="19">
        <v>0.5</v>
      </c>
      <c r="R7" s="19">
        <v>0</v>
      </c>
      <c r="S7" s="19">
        <v>0.5</v>
      </c>
    </row>
    <row r="8" spans="1:19" x14ac:dyDescent="0.25">
      <c r="A8" s="32" t="s">
        <v>116</v>
      </c>
      <c r="B8" s="32" t="s">
        <v>115</v>
      </c>
      <c r="C8" s="33" t="s">
        <v>88</v>
      </c>
      <c r="D8" s="32"/>
      <c r="E8" s="32">
        <v>1</v>
      </c>
      <c r="F8" s="32"/>
      <c r="G8" s="32"/>
      <c r="H8" s="32"/>
      <c r="I8" s="32"/>
      <c r="J8" s="34">
        <v>1</v>
      </c>
      <c r="K8" s="24" t="s">
        <v>57</v>
      </c>
      <c r="L8" s="27" t="s">
        <v>51</v>
      </c>
      <c r="M8" s="23" t="s">
        <v>31</v>
      </c>
      <c r="N8" s="26" t="s">
        <v>28</v>
      </c>
      <c r="O8" s="21" t="s">
        <v>28</v>
      </c>
      <c r="P8" s="20">
        <v>10</v>
      </c>
      <c r="Q8" s="19">
        <v>0.9</v>
      </c>
      <c r="R8" s="19">
        <v>0</v>
      </c>
      <c r="S8" s="19">
        <v>0.1</v>
      </c>
    </row>
    <row r="9" spans="1:19" x14ac:dyDescent="0.25">
      <c r="A9" s="32" t="s">
        <v>122</v>
      </c>
      <c r="B9" s="32" t="s">
        <v>121</v>
      </c>
      <c r="C9" s="33" t="s">
        <v>88</v>
      </c>
      <c r="D9" s="32"/>
      <c r="E9" s="32"/>
      <c r="F9" s="32">
        <v>1</v>
      </c>
      <c r="G9" s="32"/>
      <c r="H9" s="32"/>
      <c r="I9" s="32">
        <v>1</v>
      </c>
      <c r="J9" s="25">
        <v>2</v>
      </c>
      <c r="K9" s="24" t="s">
        <v>57</v>
      </c>
      <c r="L9" s="28" t="s">
        <v>56</v>
      </c>
      <c r="M9" s="23" t="s">
        <v>27</v>
      </c>
      <c r="N9" s="22" t="s">
        <v>40</v>
      </c>
      <c r="O9" s="21" t="s">
        <v>30</v>
      </c>
      <c r="P9" s="20">
        <v>40</v>
      </c>
      <c r="Q9" s="19">
        <v>1</v>
      </c>
      <c r="R9" s="19">
        <v>0.2</v>
      </c>
      <c r="S9" s="19">
        <v>0.8</v>
      </c>
    </row>
    <row r="10" spans="1:19" x14ac:dyDescent="0.25">
      <c r="A10" s="32" t="s">
        <v>158</v>
      </c>
      <c r="B10" s="32" t="s">
        <v>159</v>
      </c>
      <c r="C10" s="33" t="s">
        <v>88</v>
      </c>
      <c r="D10" s="32"/>
      <c r="E10" s="32"/>
      <c r="F10" s="32"/>
      <c r="G10" s="32"/>
      <c r="H10" s="32">
        <v>1</v>
      </c>
      <c r="I10" s="32"/>
      <c r="J10" s="34">
        <v>1</v>
      </c>
      <c r="K10" s="24" t="s">
        <v>57</v>
      </c>
      <c r="L10" s="27" t="s">
        <v>56</v>
      </c>
      <c r="M10" s="23" t="s">
        <v>27</v>
      </c>
      <c r="N10" s="26" t="s">
        <v>28</v>
      </c>
      <c r="O10" s="21" t="s">
        <v>28</v>
      </c>
      <c r="P10" s="20">
        <v>50</v>
      </c>
      <c r="Q10" s="19">
        <v>0.5</v>
      </c>
      <c r="R10" s="19">
        <v>0</v>
      </c>
      <c r="S10" s="19">
        <v>0.5</v>
      </c>
    </row>
    <row r="11" spans="1:19" x14ac:dyDescent="0.25">
      <c r="A11" s="32" t="s">
        <v>126</v>
      </c>
      <c r="B11" s="32" t="s">
        <v>125</v>
      </c>
      <c r="C11" s="33" t="s">
        <v>88</v>
      </c>
      <c r="D11" s="32"/>
      <c r="E11" s="32"/>
      <c r="F11" s="32"/>
      <c r="G11" s="32"/>
      <c r="H11" s="32"/>
      <c r="I11" s="32">
        <v>1</v>
      </c>
      <c r="J11" s="34">
        <v>1</v>
      </c>
      <c r="K11" s="24" t="s">
        <v>57</v>
      </c>
      <c r="L11" s="27" t="s">
        <v>40</v>
      </c>
      <c r="M11" s="23" t="s">
        <v>58</v>
      </c>
      <c r="N11" s="26" t="s">
        <v>56</v>
      </c>
      <c r="O11" s="21" t="s">
        <v>58</v>
      </c>
      <c r="P11" s="20">
        <v>50</v>
      </c>
      <c r="Q11" s="19">
        <v>0.25</v>
      </c>
      <c r="R11" s="19">
        <v>0.25</v>
      </c>
      <c r="S11" s="19">
        <v>0.5</v>
      </c>
    </row>
    <row r="12" spans="1:19" x14ac:dyDescent="0.25">
      <c r="A12" s="25" t="s">
        <v>103</v>
      </c>
      <c r="B12" s="25" t="s">
        <v>102</v>
      </c>
      <c r="C12" s="25" t="s">
        <v>88</v>
      </c>
      <c r="D12" s="25"/>
      <c r="E12" s="25"/>
      <c r="F12" s="25">
        <v>1</v>
      </c>
      <c r="G12" s="25"/>
      <c r="H12" s="25"/>
      <c r="I12" s="25"/>
      <c r="J12" s="25">
        <v>1</v>
      </c>
      <c r="K12" s="24" t="s">
        <v>57</v>
      </c>
      <c r="L12" s="28" t="s">
        <v>36</v>
      </c>
      <c r="M12" s="23" t="s">
        <v>58</v>
      </c>
      <c r="N12" s="22" t="s">
        <v>56</v>
      </c>
      <c r="O12" s="21" t="s">
        <v>58</v>
      </c>
      <c r="P12" s="20">
        <v>50</v>
      </c>
      <c r="Q12" s="19">
        <v>0.25</v>
      </c>
      <c r="R12" s="19">
        <v>0.25</v>
      </c>
      <c r="S12" s="19">
        <v>0.5</v>
      </c>
    </row>
    <row r="13" spans="1:19" x14ac:dyDescent="0.25">
      <c r="A13" s="32" t="s">
        <v>108</v>
      </c>
      <c r="B13" s="32" t="s">
        <v>155</v>
      </c>
      <c r="C13" s="33" t="s">
        <v>88</v>
      </c>
      <c r="D13" s="32"/>
      <c r="E13" s="32">
        <v>1</v>
      </c>
      <c r="F13" s="32"/>
      <c r="G13" s="32"/>
      <c r="H13" s="32"/>
      <c r="I13" s="32"/>
      <c r="J13" s="34">
        <v>1</v>
      </c>
      <c r="K13" s="24" t="s">
        <v>57</v>
      </c>
      <c r="L13" s="27" t="s">
        <v>56</v>
      </c>
      <c r="M13" s="23" t="s">
        <v>27</v>
      </c>
      <c r="N13" s="26" t="s">
        <v>40</v>
      </c>
      <c r="O13" s="21" t="s">
        <v>30</v>
      </c>
      <c r="P13" s="20">
        <v>40</v>
      </c>
      <c r="Q13" s="19">
        <v>0.5</v>
      </c>
      <c r="R13" s="19">
        <v>0.1</v>
      </c>
      <c r="S13" s="19">
        <v>0.4</v>
      </c>
    </row>
    <row r="14" spans="1:19" x14ac:dyDescent="0.25">
      <c r="A14" s="32" t="s">
        <v>101</v>
      </c>
      <c r="B14" s="32" t="s">
        <v>100</v>
      </c>
      <c r="C14" s="33" t="s">
        <v>88</v>
      </c>
      <c r="D14" s="32"/>
      <c r="E14" s="32"/>
      <c r="F14" s="32"/>
      <c r="G14" s="32">
        <v>1</v>
      </c>
      <c r="H14" s="32"/>
      <c r="I14" s="32"/>
      <c r="J14" s="34">
        <v>1</v>
      </c>
      <c r="K14" s="24" t="s">
        <v>57</v>
      </c>
      <c r="L14" s="27" t="s">
        <v>56</v>
      </c>
      <c r="M14" s="23" t="s">
        <v>27</v>
      </c>
      <c r="N14" s="26" t="s">
        <v>28</v>
      </c>
      <c r="O14" s="21" t="s">
        <v>28</v>
      </c>
      <c r="P14" s="20">
        <v>50</v>
      </c>
      <c r="Q14" s="19">
        <v>0.5</v>
      </c>
      <c r="R14" s="19">
        <v>0</v>
      </c>
      <c r="S14" s="19">
        <v>0.5</v>
      </c>
    </row>
    <row r="15" spans="1:19" x14ac:dyDescent="0.25">
      <c r="A15" s="32" t="s">
        <v>95</v>
      </c>
      <c r="B15" s="32" t="s">
        <v>94</v>
      </c>
      <c r="C15" s="33" t="s">
        <v>88</v>
      </c>
      <c r="D15" s="32"/>
      <c r="E15" s="32"/>
      <c r="F15" s="32"/>
      <c r="G15" s="32">
        <v>1</v>
      </c>
      <c r="H15" s="32"/>
      <c r="I15" s="32"/>
      <c r="J15" s="34">
        <v>1</v>
      </c>
      <c r="K15" s="24" t="s">
        <v>57</v>
      </c>
      <c r="L15" s="27" t="s">
        <v>37</v>
      </c>
      <c r="M15" s="23" t="s">
        <v>27</v>
      </c>
      <c r="N15" s="26" t="s">
        <v>56</v>
      </c>
      <c r="O15" s="21" t="s">
        <v>30</v>
      </c>
      <c r="P15" s="20">
        <v>40</v>
      </c>
      <c r="Q15" s="19">
        <v>0.5</v>
      </c>
      <c r="R15" s="19">
        <v>0.1</v>
      </c>
      <c r="S15" s="19">
        <v>0.4</v>
      </c>
    </row>
    <row r="16" spans="1:19" x14ac:dyDescent="0.25">
      <c r="A16" s="32" t="s">
        <v>110</v>
      </c>
      <c r="B16" s="32" t="s">
        <v>109</v>
      </c>
      <c r="C16" s="33" t="s">
        <v>88</v>
      </c>
      <c r="D16" s="32"/>
      <c r="E16" s="32"/>
      <c r="F16" s="32"/>
      <c r="G16" s="32"/>
      <c r="H16" s="32">
        <v>1</v>
      </c>
      <c r="I16" s="32"/>
      <c r="J16" s="34">
        <v>1</v>
      </c>
      <c r="K16" s="24" t="s">
        <v>57</v>
      </c>
      <c r="L16" s="27" t="s">
        <v>36</v>
      </c>
      <c r="M16" s="23" t="s">
        <v>45</v>
      </c>
      <c r="N16" s="26" t="s">
        <v>28</v>
      </c>
      <c r="O16" s="21" t="s">
        <v>28</v>
      </c>
      <c r="P16" s="20">
        <v>80</v>
      </c>
      <c r="Q16" s="19">
        <v>0.2</v>
      </c>
      <c r="R16" s="19">
        <v>0</v>
      </c>
      <c r="S16" s="19">
        <v>0.8</v>
      </c>
    </row>
    <row r="17" spans="1:19" x14ac:dyDescent="0.25">
      <c r="A17" s="32" t="s">
        <v>112</v>
      </c>
      <c r="B17" s="32" t="s">
        <v>111</v>
      </c>
      <c r="C17" s="33" t="s">
        <v>88</v>
      </c>
      <c r="D17" s="32"/>
      <c r="E17" s="32">
        <v>1</v>
      </c>
      <c r="F17" s="32">
        <v>1</v>
      </c>
      <c r="G17" s="32"/>
      <c r="H17" s="32"/>
      <c r="I17" s="32"/>
      <c r="J17" s="34">
        <v>2</v>
      </c>
      <c r="K17" s="24" t="s">
        <v>57</v>
      </c>
      <c r="L17" s="27" t="s">
        <v>36</v>
      </c>
      <c r="M17" s="23" t="s">
        <v>45</v>
      </c>
      <c r="N17" s="26" t="s">
        <v>55</v>
      </c>
      <c r="O17" s="21" t="s">
        <v>44</v>
      </c>
      <c r="P17" s="20">
        <v>50</v>
      </c>
      <c r="Q17" s="19">
        <v>0.4</v>
      </c>
      <c r="R17" s="19">
        <v>0.6</v>
      </c>
      <c r="S17" s="19">
        <v>1</v>
      </c>
    </row>
    <row r="18" spans="1:19" x14ac:dyDescent="0.25">
      <c r="A18" s="32" t="s">
        <v>99</v>
      </c>
      <c r="B18" s="32" t="s">
        <v>98</v>
      </c>
      <c r="C18" s="33" t="s">
        <v>88</v>
      </c>
      <c r="D18" s="32"/>
      <c r="E18" s="32"/>
      <c r="F18" s="32">
        <v>1</v>
      </c>
      <c r="G18" s="32"/>
      <c r="H18" s="32"/>
      <c r="I18" s="32">
        <v>1</v>
      </c>
      <c r="J18" s="34">
        <v>2</v>
      </c>
      <c r="K18" s="24" t="s">
        <v>57</v>
      </c>
      <c r="L18" s="27" t="s">
        <v>37</v>
      </c>
      <c r="M18" s="23" t="s">
        <v>27</v>
      </c>
      <c r="N18" s="26" t="s">
        <v>40</v>
      </c>
      <c r="O18" s="21" t="s">
        <v>30</v>
      </c>
      <c r="P18" s="20">
        <v>40</v>
      </c>
      <c r="Q18" s="19">
        <v>1</v>
      </c>
      <c r="R18" s="19">
        <v>0.2</v>
      </c>
      <c r="S18" s="19">
        <v>0.8</v>
      </c>
    </row>
    <row r="19" spans="1:19" x14ac:dyDescent="0.25">
      <c r="A19" s="25" t="s">
        <v>118</v>
      </c>
      <c r="B19" s="25" t="s">
        <v>117</v>
      </c>
      <c r="C19" s="25" t="s">
        <v>88</v>
      </c>
      <c r="D19" s="25"/>
      <c r="E19" s="25"/>
      <c r="F19" s="25">
        <v>1</v>
      </c>
      <c r="G19" s="25">
        <v>1</v>
      </c>
      <c r="H19" s="25"/>
      <c r="I19" s="25"/>
      <c r="J19" s="25">
        <v>2</v>
      </c>
      <c r="K19" s="24" t="s">
        <v>57</v>
      </c>
      <c r="L19" s="28" t="s">
        <v>55</v>
      </c>
      <c r="M19" s="23" t="s">
        <v>44</v>
      </c>
      <c r="N19" s="22" t="s">
        <v>36</v>
      </c>
      <c r="O19" s="21" t="s">
        <v>45</v>
      </c>
      <c r="P19" s="20">
        <v>50</v>
      </c>
      <c r="Q19" s="19">
        <v>0.6</v>
      </c>
      <c r="R19" s="19">
        <v>0.4</v>
      </c>
      <c r="S19" s="19">
        <v>1</v>
      </c>
    </row>
    <row r="20" spans="1:19" x14ac:dyDescent="0.25">
      <c r="A20" s="32" t="s">
        <v>132</v>
      </c>
      <c r="B20" s="32" t="s">
        <v>131</v>
      </c>
      <c r="C20" s="33" t="s">
        <v>88</v>
      </c>
      <c r="D20" s="32"/>
      <c r="E20" s="32"/>
      <c r="F20" s="32">
        <v>1</v>
      </c>
      <c r="G20" s="32"/>
      <c r="H20" s="32">
        <v>1</v>
      </c>
      <c r="I20" s="32"/>
      <c r="J20" s="34">
        <v>2</v>
      </c>
      <c r="K20" s="24" t="s">
        <v>57</v>
      </c>
      <c r="L20" s="27" t="s">
        <v>40</v>
      </c>
      <c r="M20" s="23" t="s">
        <v>30</v>
      </c>
      <c r="N20" s="26" t="s">
        <v>56</v>
      </c>
      <c r="O20" s="21" t="s">
        <v>27</v>
      </c>
      <c r="P20" s="20">
        <v>40</v>
      </c>
      <c r="Q20" s="19">
        <v>0.2</v>
      </c>
      <c r="R20" s="19">
        <v>1</v>
      </c>
      <c r="S20" s="19">
        <v>0.8</v>
      </c>
    </row>
    <row r="21" spans="1:19" x14ac:dyDescent="0.25">
      <c r="A21" s="32" t="s">
        <v>97</v>
      </c>
      <c r="B21" s="32" t="s">
        <v>96</v>
      </c>
      <c r="C21" s="33" t="s">
        <v>88</v>
      </c>
      <c r="D21" s="32"/>
      <c r="E21" s="32"/>
      <c r="F21" s="32">
        <v>1</v>
      </c>
      <c r="G21" s="32"/>
      <c r="H21" s="32"/>
      <c r="I21" s="32"/>
      <c r="J21" s="34">
        <v>1</v>
      </c>
      <c r="K21" s="24" t="s">
        <v>57</v>
      </c>
      <c r="L21" s="27" t="s">
        <v>56</v>
      </c>
      <c r="M21" s="23" t="s">
        <v>27</v>
      </c>
      <c r="N21" s="26" t="s">
        <v>40</v>
      </c>
      <c r="O21" s="21" t="s">
        <v>30</v>
      </c>
      <c r="P21" s="20">
        <v>40</v>
      </c>
      <c r="Q21" s="19">
        <v>0.5</v>
      </c>
      <c r="R21" s="19">
        <v>0.1</v>
      </c>
      <c r="S21" s="19">
        <v>0.4</v>
      </c>
    </row>
    <row r="22" spans="1:19" x14ac:dyDescent="0.25">
      <c r="A22" s="32" t="s">
        <v>160</v>
      </c>
      <c r="B22" s="32" t="s">
        <v>161</v>
      </c>
      <c r="C22" s="33" t="s">
        <v>88</v>
      </c>
      <c r="D22" s="32"/>
      <c r="E22" s="32"/>
      <c r="F22" s="32"/>
      <c r="G22" s="32"/>
      <c r="H22" s="32">
        <v>1</v>
      </c>
      <c r="I22" s="32"/>
      <c r="J22" s="34">
        <v>1</v>
      </c>
      <c r="K22" s="24" t="s">
        <v>57</v>
      </c>
      <c r="L22" s="28" t="s">
        <v>40</v>
      </c>
      <c r="M22" s="23" t="s">
        <v>30</v>
      </c>
      <c r="N22" s="22" t="s">
        <v>56</v>
      </c>
      <c r="O22" s="21" t="s">
        <v>27</v>
      </c>
      <c r="P22" s="20">
        <v>40</v>
      </c>
      <c r="Q22" s="19">
        <v>0.1</v>
      </c>
      <c r="R22" s="19">
        <v>0.5</v>
      </c>
      <c r="S22" s="19">
        <v>0.4</v>
      </c>
    </row>
    <row r="23" spans="1:19" x14ac:dyDescent="0.25">
      <c r="A23" s="32" t="s">
        <v>120</v>
      </c>
      <c r="B23" s="32" t="s">
        <v>119</v>
      </c>
      <c r="C23" s="33" t="s">
        <v>89</v>
      </c>
      <c r="D23" s="32"/>
      <c r="E23" s="32"/>
      <c r="F23" s="32"/>
      <c r="G23" s="32"/>
      <c r="H23" s="32">
        <v>1</v>
      </c>
      <c r="I23" s="32"/>
      <c r="J23" s="34">
        <v>1</v>
      </c>
      <c r="K23" s="24" t="s">
        <v>57</v>
      </c>
      <c r="L23" s="27" t="s">
        <v>56</v>
      </c>
      <c r="M23" s="23" t="s">
        <v>27</v>
      </c>
      <c r="N23" s="26" t="s">
        <v>36</v>
      </c>
      <c r="O23" s="21" t="s">
        <v>58</v>
      </c>
      <c r="P23" s="20">
        <v>25</v>
      </c>
      <c r="Q23" s="19">
        <v>0.5</v>
      </c>
      <c r="R23" s="19">
        <v>0.25</v>
      </c>
      <c r="S23" s="19">
        <v>0.25</v>
      </c>
    </row>
    <row r="24" spans="1:19" x14ac:dyDescent="0.25">
      <c r="A24" s="32" t="s">
        <v>128</v>
      </c>
      <c r="B24" s="32" t="s">
        <v>127</v>
      </c>
      <c r="C24" s="33" t="s">
        <v>88</v>
      </c>
      <c r="D24" s="32"/>
      <c r="E24" s="32"/>
      <c r="F24" s="32">
        <v>2</v>
      </c>
      <c r="G24" s="32">
        <v>1</v>
      </c>
      <c r="H24" s="32"/>
      <c r="I24" s="32"/>
      <c r="J24" s="34">
        <v>3</v>
      </c>
      <c r="K24" s="24" t="s">
        <v>57</v>
      </c>
      <c r="L24" s="27" t="s">
        <v>56</v>
      </c>
      <c r="M24" s="23" t="s">
        <v>31</v>
      </c>
      <c r="N24" s="26" t="s">
        <v>28</v>
      </c>
      <c r="O24" s="21" t="s">
        <v>28</v>
      </c>
      <c r="P24" s="20">
        <v>10</v>
      </c>
      <c r="Q24" s="19">
        <v>2.7</v>
      </c>
      <c r="R24" s="19">
        <v>0</v>
      </c>
      <c r="S24" s="19">
        <v>0.3</v>
      </c>
    </row>
    <row r="25" spans="1:19" x14ac:dyDescent="0.25">
      <c r="A25" s="32" t="s">
        <v>114</v>
      </c>
      <c r="B25" s="32" t="s">
        <v>113</v>
      </c>
      <c r="C25" s="33">
        <v>6</v>
      </c>
      <c r="D25" s="32"/>
      <c r="E25" s="32"/>
      <c r="F25" s="32">
        <v>1</v>
      </c>
      <c r="G25" s="32"/>
      <c r="H25" s="32">
        <v>1</v>
      </c>
      <c r="I25" s="32"/>
      <c r="J25" s="34">
        <v>2</v>
      </c>
      <c r="K25" s="24" t="s">
        <v>57</v>
      </c>
      <c r="L25" s="27" t="s">
        <v>36</v>
      </c>
      <c r="M25" s="23" t="s">
        <v>31</v>
      </c>
      <c r="N25" s="26" t="s">
        <v>28</v>
      </c>
      <c r="O25" s="21" t="s">
        <v>28</v>
      </c>
      <c r="P25" s="20">
        <v>10</v>
      </c>
      <c r="Q25" s="19">
        <v>1.8</v>
      </c>
      <c r="R25" s="19">
        <v>0</v>
      </c>
      <c r="S25" s="19">
        <v>0.2</v>
      </c>
    </row>
    <row r="26" spans="1:19" x14ac:dyDescent="0.25">
      <c r="A26" s="32" t="s">
        <v>231</v>
      </c>
      <c r="B26" s="32" t="s">
        <v>232</v>
      </c>
      <c r="C26" s="33" t="s">
        <v>89</v>
      </c>
      <c r="D26" s="32"/>
      <c r="E26" s="32"/>
      <c r="F26" s="32"/>
      <c r="G26" s="32"/>
      <c r="H26" s="32">
        <v>1</v>
      </c>
      <c r="I26" s="32"/>
      <c r="J26" s="34">
        <v>1</v>
      </c>
      <c r="K26" s="24" t="s">
        <v>57</v>
      </c>
      <c r="L26" s="27" t="s">
        <v>40</v>
      </c>
      <c r="M26" s="23" t="s">
        <v>30</v>
      </c>
      <c r="N26" s="26" t="s">
        <v>56</v>
      </c>
      <c r="O26" s="21" t="s">
        <v>27</v>
      </c>
      <c r="P26" s="20">
        <v>40</v>
      </c>
      <c r="Q26" s="19">
        <v>0.1</v>
      </c>
      <c r="R26" s="19">
        <v>0.5</v>
      </c>
      <c r="S26" s="19">
        <v>0.4</v>
      </c>
    </row>
    <row r="27" spans="1:19" x14ac:dyDescent="0.25">
      <c r="A27" s="32" t="s">
        <v>124</v>
      </c>
      <c r="B27" s="32" t="s">
        <v>123</v>
      </c>
      <c r="C27" s="33" t="s">
        <v>233</v>
      </c>
      <c r="D27" s="32"/>
      <c r="E27" s="32"/>
      <c r="F27" s="32"/>
      <c r="G27" s="32"/>
      <c r="H27" s="32"/>
      <c r="I27" s="32">
        <v>1</v>
      </c>
      <c r="J27" s="34">
        <v>1</v>
      </c>
      <c r="K27" s="24" t="s">
        <v>57</v>
      </c>
      <c r="L27" s="27" t="s">
        <v>36</v>
      </c>
      <c r="M27" s="23" t="s">
        <v>30</v>
      </c>
      <c r="N27" s="26" t="s">
        <v>56</v>
      </c>
      <c r="O27" s="21" t="s">
        <v>58</v>
      </c>
      <c r="P27" s="20">
        <v>65</v>
      </c>
      <c r="Q27" s="19">
        <v>0.1</v>
      </c>
      <c r="R27" s="19">
        <v>0.25</v>
      </c>
      <c r="S27" s="19">
        <v>0.65</v>
      </c>
    </row>
    <row r="28" spans="1:19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7"/>
      <c r="P28" s="18"/>
      <c r="Q28" s="17"/>
      <c r="R28" s="17"/>
      <c r="S28" s="35">
        <f>SUM(S2:S27)</f>
        <v>15.100000000000003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Normal="100" workbookViewId="0">
      <selection activeCell="B8" sqref="B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1</v>
      </c>
      <c r="B1" s="3" t="s">
        <v>2</v>
      </c>
    </row>
    <row r="2" spans="1:2" x14ac:dyDescent="0.2">
      <c r="A2" s="4" t="s">
        <v>0</v>
      </c>
      <c r="B2" s="5"/>
    </row>
    <row r="3" spans="1:2" x14ac:dyDescent="0.2">
      <c r="A3" s="4" t="s">
        <v>150</v>
      </c>
      <c r="B3" s="5">
        <v>2770</v>
      </c>
    </row>
    <row r="4" spans="1:2" x14ac:dyDescent="0.2">
      <c r="A4" s="6" t="s">
        <v>3</v>
      </c>
      <c r="B4" s="7">
        <f>SUM(B3:B3)</f>
        <v>2770</v>
      </c>
    </row>
    <row r="8" spans="1:2" x14ac:dyDescent="0.2">
      <c r="B8" s="39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38B9-51D1-4DB7-A5ED-7A25B2F7E6BE}">
  <dimension ref="A1:B5"/>
  <sheetViews>
    <sheetView zoomScaleNormal="100" workbookViewId="0">
      <selection activeCell="B6" sqref="B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1</v>
      </c>
      <c r="B1" s="3" t="s">
        <v>2</v>
      </c>
    </row>
    <row r="2" spans="1:2" x14ac:dyDescent="0.2">
      <c r="A2" s="4" t="s">
        <v>184</v>
      </c>
      <c r="B2" s="5"/>
    </row>
    <row r="3" spans="1:2" x14ac:dyDescent="0.2">
      <c r="A3" s="4" t="s">
        <v>185</v>
      </c>
      <c r="B3" s="5">
        <v>15000</v>
      </c>
    </row>
    <row r="4" spans="1:2" x14ac:dyDescent="0.2">
      <c r="A4" s="4" t="s">
        <v>186</v>
      </c>
      <c r="B4" s="5">
        <v>14634.26</v>
      </c>
    </row>
    <row r="5" spans="1:2" x14ac:dyDescent="0.2">
      <c r="A5" s="6" t="s">
        <v>3</v>
      </c>
      <c r="B5" s="7">
        <f>SUM(B3:B4)</f>
        <v>29634.260000000002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B641-0F65-44FB-BDC5-4085718C5820}">
  <dimension ref="A1:B7"/>
  <sheetViews>
    <sheetView zoomScaleNormal="100" workbookViewId="0">
      <selection activeCell="A17" sqref="A1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1</v>
      </c>
      <c r="B1" s="3" t="s">
        <v>2</v>
      </c>
    </row>
    <row r="2" spans="1:2" x14ac:dyDescent="0.2">
      <c r="A2" s="4"/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6" t="s">
        <v>3</v>
      </c>
      <c r="B5" s="7">
        <f>SUM(B3:B4)</f>
        <v>0</v>
      </c>
    </row>
    <row r="7" spans="1:2" x14ac:dyDescent="0.2">
      <c r="A7" s="55" t="s">
        <v>234</v>
      </c>
      <c r="B7" s="7">
        <f>+B5+'Ingresos investigación 2020'!B5+'Ingresos investigación 2019'!B4</f>
        <v>32404.260000000002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activeCell="B12" sqref="B1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1</v>
      </c>
      <c r="B1" s="3" t="s">
        <v>2</v>
      </c>
    </row>
    <row r="2" spans="1:2" x14ac:dyDescent="0.2">
      <c r="A2" s="4" t="s">
        <v>4</v>
      </c>
      <c r="B2" s="5"/>
    </row>
    <row r="3" spans="1:2" x14ac:dyDescent="0.2">
      <c r="A3" s="4" t="s">
        <v>145</v>
      </c>
      <c r="B3" s="5">
        <v>2100</v>
      </c>
    </row>
    <row r="4" spans="1:2" x14ac:dyDescent="0.2">
      <c r="A4" s="4" t="s">
        <v>146</v>
      </c>
      <c r="B4" s="5">
        <v>57403.61</v>
      </c>
    </row>
    <row r="5" spans="1:2" x14ac:dyDescent="0.2">
      <c r="A5" s="4" t="s">
        <v>147</v>
      </c>
      <c r="B5" s="5">
        <v>103166.75</v>
      </c>
    </row>
    <row r="6" spans="1:2" x14ac:dyDescent="0.2">
      <c r="A6" s="4" t="s">
        <v>148</v>
      </c>
      <c r="B6" s="5">
        <v>3.19</v>
      </c>
    </row>
    <row r="7" spans="1:2" x14ac:dyDescent="0.2">
      <c r="A7" s="4" t="s">
        <v>149</v>
      </c>
      <c r="B7" s="5">
        <v>2.12</v>
      </c>
    </row>
    <row r="8" spans="1:2" x14ac:dyDescent="0.2">
      <c r="A8" s="6" t="s">
        <v>3</v>
      </c>
      <c r="B8" s="7">
        <f>SUM(B3:B7)</f>
        <v>162675.66999999998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2B9D-0817-4CDD-B620-98FBB8BBC0D1}">
  <dimension ref="A1:B7"/>
  <sheetViews>
    <sheetView zoomScaleNormal="100" workbookViewId="0">
      <selection activeCell="A19" sqref="A1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1</v>
      </c>
      <c r="B1" s="3" t="s">
        <v>2</v>
      </c>
    </row>
    <row r="2" spans="1:2" x14ac:dyDescent="0.2">
      <c r="A2" s="4" t="s">
        <v>187</v>
      </c>
      <c r="B2" s="5"/>
    </row>
    <row r="3" spans="1:2" x14ac:dyDescent="0.2">
      <c r="A3" s="4" t="s">
        <v>188</v>
      </c>
      <c r="B3" s="5">
        <v>6.28</v>
      </c>
    </row>
    <row r="4" spans="1:2" x14ac:dyDescent="0.2">
      <c r="A4" s="4" t="s">
        <v>189</v>
      </c>
      <c r="B4" s="5"/>
    </row>
    <row r="5" spans="1:2" x14ac:dyDescent="0.2">
      <c r="A5" s="4" t="s">
        <v>190</v>
      </c>
      <c r="B5" s="5">
        <v>44650.5</v>
      </c>
    </row>
    <row r="6" spans="1:2" x14ac:dyDescent="0.2">
      <c r="A6" s="4" t="s">
        <v>191</v>
      </c>
      <c r="B6" s="5">
        <v>43435.42</v>
      </c>
    </row>
    <row r="7" spans="1:2" x14ac:dyDescent="0.2">
      <c r="A7" s="6" t="s">
        <v>3</v>
      </c>
      <c r="B7" s="7">
        <f>SUM(B3:B6)</f>
        <v>88092.2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0D09-EF28-475A-9FE5-5E29EA6204FF}">
  <dimension ref="A1:B15"/>
  <sheetViews>
    <sheetView tabSelected="1" zoomScaleNormal="100" workbookViewId="0">
      <selection activeCell="A28" sqref="A27:A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1</v>
      </c>
      <c r="B1" s="3" t="s">
        <v>2</v>
      </c>
    </row>
    <row r="2" spans="1:2" x14ac:dyDescent="0.2">
      <c r="A2" s="4" t="s">
        <v>4</v>
      </c>
      <c r="B2" s="5"/>
    </row>
    <row r="3" spans="1:2" x14ac:dyDescent="0.2">
      <c r="A3" s="4" t="s">
        <v>192</v>
      </c>
      <c r="B3" s="5">
        <v>154.46</v>
      </c>
    </row>
    <row r="4" spans="1:2" x14ac:dyDescent="0.2">
      <c r="A4" s="4" t="s">
        <v>193</v>
      </c>
      <c r="B4" s="5">
        <v>52.52</v>
      </c>
    </row>
    <row r="5" spans="1:2" x14ac:dyDescent="0.2">
      <c r="A5" s="4" t="s">
        <v>194</v>
      </c>
      <c r="B5" s="5">
        <v>21.8</v>
      </c>
    </row>
    <row r="6" spans="1:2" x14ac:dyDescent="0.2">
      <c r="A6" s="4" t="s">
        <v>195</v>
      </c>
      <c r="B6" s="5">
        <v>81.67</v>
      </c>
    </row>
    <row r="7" spans="1:2" x14ac:dyDescent="0.2">
      <c r="A7" s="6" t="s">
        <v>189</v>
      </c>
      <c r="B7" s="7"/>
    </row>
    <row r="8" spans="1:2" x14ac:dyDescent="0.2">
      <c r="A8" s="4" t="s">
        <v>196</v>
      </c>
      <c r="B8" s="4">
        <v>38996</v>
      </c>
    </row>
    <row r="9" spans="1:2" x14ac:dyDescent="0.2">
      <c r="A9" s="4" t="s">
        <v>195</v>
      </c>
      <c r="B9" s="4">
        <v>15.05</v>
      </c>
    </row>
    <row r="10" spans="1:2" x14ac:dyDescent="0.2">
      <c r="A10" s="6" t="s">
        <v>3</v>
      </c>
      <c r="B10" s="7">
        <f>SUM(B2:B9)</f>
        <v>39321.5</v>
      </c>
    </row>
    <row r="15" spans="1:2" x14ac:dyDescent="0.2">
      <c r="A15" s="55" t="s">
        <v>235</v>
      </c>
      <c r="B15" s="7">
        <f>+B10+'Ingresos formación 2020'!B7+'Ingresos formación 2019'!B8</f>
        <v>290089.37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2022-10-17T07:19:24Z</dcterms:modified>
</cp:coreProperties>
</file>