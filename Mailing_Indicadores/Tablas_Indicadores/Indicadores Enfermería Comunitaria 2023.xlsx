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03031AF7-D107-4C74-AC00-76BCE907C54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6" r:id="rId3"/>
    <sheet name="Ingresos investigación 2020" sheetId="7" r:id="rId4"/>
    <sheet name="Ingresos investigación 2021" sheetId="9" r:id="rId5"/>
    <sheet name="Ingresos formación 2020" sheetId="8" r:id="rId6"/>
  </sheets>
  <definedNames>
    <definedName name="_xlnm._FilterDatabase" localSheetId="1" hidden="1">Sexenios!$A$1:$S$1</definedName>
    <definedName name="_xlnm._FilterDatabase" localSheetId="0" hidden="1">Tesis!$A$1:$U$50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9" l="1"/>
  <c r="S22" i="3" l="1"/>
  <c r="B40" i="7" l="1"/>
  <c r="B62" i="6"/>
  <c r="B4" i="8" l="1"/>
  <c r="S51" i="2" l="1"/>
</calcChain>
</file>

<file path=xl/sharedStrings.xml><?xml version="1.0" encoding="utf-8"?>
<sst xmlns="http://schemas.openxmlformats.org/spreadsheetml/2006/main" count="1073" uniqueCount="377">
  <si>
    <t>Orgánica
Descripción justificante</t>
  </si>
  <si>
    <t>Importe</t>
  </si>
  <si>
    <t>Total</t>
  </si>
  <si>
    <t>32.60.6C.00.02</t>
  </si>
  <si>
    <t>32.60.6C.00.03</t>
  </si>
  <si>
    <t>32.60.6C.00.07</t>
  </si>
  <si>
    <t>32.60.6P.00.20</t>
  </si>
  <si>
    <t>32.60.6Q.00.01</t>
  </si>
  <si>
    <t>32.60.6Q.00.02</t>
  </si>
  <si>
    <t>32.60.6Q.00.03</t>
  </si>
  <si>
    <t>32.60.6Q.00.04</t>
  </si>
  <si>
    <t>32.60.6N.00.02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</si>
  <si>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</si>
  <si>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</si>
  <si>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</si>
  <si>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</si>
  <si>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</si>
  <si>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</si>
  <si>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</si>
  <si>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</si>
  <si>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</si>
  <si>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</si>
  <si>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</si>
  <si>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</si>
  <si>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</si>
  <si>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</si>
  <si>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</si>
  <si>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</si>
  <si>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</si>
  <si>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</si>
  <si>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</si>
  <si>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</si>
  <si>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</si>
  <si>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</si>
  <si>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</si>
  <si>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</si>
  <si>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</si>
  <si>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</si>
  <si>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12/07/2017 </t>
  </si>
  <si>
    <t>23/09/2019 </t>
  </si>
  <si>
    <t>30</t>
  </si>
  <si>
    <t>20</t>
  </si>
  <si>
    <t>20/09/2019 </t>
  </si>
  <si>
    <t>14/07/2017 </t>
  </si>
  <si>
    <t>11/06/2019 </t>
  </si>
  <si>
    <t>10.23</t>
  </si>
  <si>
    <t>24/02/2017 </t>
  </si>
  <si>
    <t>07/07/2017 </t>
  </si>
  <si>
    <t>10.06</t>
  </si>
  <si>
    <t>25/09/2017 </t>
  </si>
  <si>
    <t>26/09/2018 </t>
  </si>
  <si>
    <t>U044 </t>
  </si>
  <si>
    <t>ADM. FACULTAD DE CIENCIAS DE LA SALUD </t>
  </si>
  <si>
    <t>DOCTORADO EN CIENCIAS DE LA SALUD </t>
  </si>
  <si>
    <t>Fernández García, Pedro Luis </t>
  </si>
  <si>
    <t>GESTIÓN DE LA SANGRE DEL PACIENTE EN CIRUGÍA CARDÍACA ELECTIVA DE SUSTITUCIÓN VALVULAR: EFECTO DEL TRATAMIENTO DE LA DEFICIENCIA DE HIERRO </t>
  </si>
  <si>
    <t>31/05/2019 </t>
  </si>
  <si>
    <t>16/09/2019 </t>
  </si>
  <si>
    <t>19/12/2018 </t>
  </si>
  <si>
    <t>48296836X </t>
  </si>
  <si>
    <t>B170 </t>
  </si>
  <si>
    <t>ENFERMERÍA COMUNITARIA, MEDICINA PREVENTIVA Y SALUD PÚBLICA </t>
  </si>
  <si>
    <t>B170</t>
  </si>
  <si>
    <t>22656192L </t>
  </si>
  <si>
    <t>20003043N </t>
  </si>
  <si>
    <t>21629812Z </t>
  </si>
  <si>
    <t>21390068E </t>
  </si>
  <si>
    <t>21408380A </t>
  </si>
  <si>
    <t>21394824V </t>
  </si>
  <si>
    <t>22630445D </t>
  </si>
  <si>
    <t>28555357Y </t>
  </si>
  <si>
    <t>21464171L </t>
  </si>
  <si>
    <t>21446950W </t>
  </si>
  <si>
    <t>26186611F </t>
  </si>
  <si>
    <t>21487726E </t>
  </si>
  <si>
    <t>33492987L </t>
  </si>
  <si>
    <t>48776351K </t>
  </si>
  <si>
    <t>Arizo Luque, Vanessa </t>
  </si>
  <si>
    <t>EXPOSICIÓN MATERNA A CARGA LABORAL Y DOMÉSTICA Y SU RELACIÓN CON EL DESARROLLO FETAL Y DURACIÓN DE LA GESTACIÓN EN 4 COHORTES DE MUJERES EMBARAZADAS DEL PROYECTO INMA. </t>
  </si>
  <si>
    <t>DOCTORADO EN ESTUDIOS HISTÓRICOS Y SOCIALES SOBRE CIENCIA, MEDICINA Y COMUN </t>
  </si>
  <si>
    <t>Bernabeu Peiró, Àngela </t>
  </si>
  <si>
    <t>COMUNICAR Y EDUCAR EN SALUD A TRAVÉS DEL MEDIO RADIOFÓNICO Y AUDIOVISUAL: EJEMPLOS DEL CASO ESPAÑOL (1933-2013) </t>
  </si>
  <si>
    <t>U044</t>
  </si>
  <si>
    <t>ADM. FACULTAD DE CIENCIAS DE LA SALUD</t>
  </si>
  <si>
    <t>DOCTORADO EN CIENCIAS DE LA SALUD</t>
  </si>
  <si>
    <t>Folguera Álvarez, María Del Carmen</t>
  </si>
  <si>
    <t>EFICACIA DEL VENDAJE COMPRESIVO MULTICAPA EN LA CICATRIZACIÓN DE LAS ÚLCERAS VENOSAS</t>
  </si>
  <si>
    <t>21464171L</t>
  </si>
  <si>
    <t>Director de tesis</t>
  </si>
  <si>
    <t>ENFERMERÍA COMUNITARIA, MEDICINA PREVENTIVA Y SALUD PÚBLICA</t>
  </si>
  <si>
    <t>B179 </t>
  </si>
  <si>
    <t>SOCIOLOGÍA I </t>
  </si>
  <si>
    <t>DOCTORADO EN SOCIOLOGÍA: SOCIEDAD Y CULTURA CONTEMPORÁNEAS </t>
  </si>
  <si>
    <t>Gómez Martínez, María Rosa </t>
  </si>
  <si>
    <t>POBREZA Y SALUD PÚBLICA A TRAVÉS DE LOS DISCURSOS PERIODÍSTICOS LOCALES. ELCHE (1923-1930) </t>
  </si>
  <si>
    <t>28/06/2017 </t>
  </si>
  <si>
    <t>González de la Torre, Héctor </t>
  </si>
  <si>
    <t>UNIDADES DE HERIDAS EN ESPAÑA </t>
  </si>
  <si>
    <t>19/05/2017 </t>
  </si>
  <si>
    <t>Iruzubieta Barragán, Francisco </t>
  </si>
  <si>
    <t>ENFERMERÍA Y GÉNERO EN LA ATENCIÓN SOCIO-SANITARIA MUNICIPAL DE LOGROÑO: CASA DE SOCORRO Y GOTA DE LECHE </t>
  </si>
  <si>
    <t>Laidouni , Nouhad </t>
  </si>
  <si>
    <t>APROXIMACIÓN AL PAPEL DEL SISTEMA SANITARIO Y LOS FACTORES SOCIOCULTURALES EN EL FUNCIONAMIENTO DE LA DONACIÓN Y TRASPLANTE DE ÓRGANOS EN ARGELIA. </t>
  </si>
  <si>
    <t>López Briones Reverte, María Carmen </t>
  </si>
  <si>
    <t>CONSTRUCCIÓN DEL CONCEPTO DE ALIMENTACIÓN SALUDABLE A TRAVÉS DE LA PUBLICICDAD, ESPAÑA 1960-2013 </t>
  </si>
  <si>
    <t>09/01/2017 </t>
  </si>
  <si>
    <t>Martínez Sanz, Jose Miguel </t>
  </si>
  <si>
    <t>VALORACIÓN DIETÉTICO-NUTRICIONAL EN DEPORTES DE RESISTENCIA Y CARACTERIZACIÓN DE LOS SUPLEMENTOS ERGONUTRICIONALES </t>
  </si>
  <si>
    <t>15/03/2017 </t>
  </si>
  <si>
    <t>Molina Torres, María José </t>
  </si>
  <si>
    <t>VALIDACIÓN DE LOS ANALIZADORES VISUALES Y DETERMINACIÓN DEL SÍNDROME VISUAL INFORMÁTICO EN TRABAJADORES DE LA FUNCIÓN PÚBLICA VALENCIANA </t>
  </si>
  <si>
    <t>Norte Navarro, Aurora Isabel </t>
  </si>
  <si>
    <t>CALIDAD DE LA DIETA EN ESPAÑA E IMPACTO EN SALUD </t>
  </si>
  <si>
    <t>23/01/2017 </t>
  </si>
  <si>
    <t>Soares , Panmela </t>
  </si>
  <si>
    <t>COMPRA PÚBLICA DE ALIMENTOS DE PROXIMIDAD PARA LA ALIMENTACIÓN ESCOLAR EN BRASIL Y ESPAÑA </t>
  </si>
  <si>
    <t>02/06/2017 </t>
  </si>
  <si>
    <t>21466700H </t>
  </si>
  <si>
    <t>SOARES ., PANMELA </t>
  </si>
  <si>
    <t>Tobarra López, Ana </t>
  </si>
  <si>
    <t>MAPA DE ACTIVOS: CIUDADANÍA, PROFESIONALES Y RESPONSABLES DE POLÍTICA LOCAL, IDENTIFICANDO ESPACIOS DE OPORTUNIDAD PARA MEJORAR LA SALUD DE LA POBLACIÓN </t>
  </si>
  <si>
    <t>Cayuela Mateo, Ana Maria </t>
  </si>
  <si>
    <t>TRABAJO Y SALUD EN INMIGRANTES Y AUTÓCTONOS. UNA APROXIMACIÓN CON DIFERENTES FUENTES DE DATOS </t>
  </si>
  <si>
    <t>30/05/2018 </t>
  </si>
  <si>
    <t>Tormo Santamaria, Maria </t>
  </si>
  <si>
    <t>EDUCACIÓN, POLÍTICAS DE ALIMENTACIÓN, NUTRICIÓN Y SALUD PÚBLICA EN ESPAÑA: LA ACCIÓN SOCIAL Y EDUCATIVA DEL PROGRAMA EDALNU (1961-1996) </t>
  </si>
  <si>
    <t>21677876P </t>
  </si>
  <si>
    <t>Blasco Blasco, María Del Mar </t>
  </si>
  <si>
    <t>INNOVACIONES DE GÉNERO EN LA ESPONDILOARTRITIS. APORTACIÓN A LA CONTEXTUALIZACIÓN Y RE-CONCEPTUALIZACIÓN DE LA ENFERMEDAD A PARTIR DE LA INTERACCIÓN SEXO-GÉNERO </t>
  </si>
  <si>
    <t>Jovaní Casano, Vega </t>
  </si>
  <si>
    <t>SESGOS DE GÉNERO EN EL DIAGNÓSTICO DE LAS ESPONDILOARTRITIS </t>
  </si>
  <si>
    <t>03/04/2019 </t>
  </si>
  <si>
    <t>Mateos García, José Tomás </t>
  </si>
  <si>
    <t>MODELO DE SUSTENTADOR MASCULINO: APROXIMACIÓN CONCEPTUAL Y EMPÍRICA PARA LA SALUD </t>
  </si>
  <si>
    <t>PEIRÓ PÉREZ, ROSA ANA </t>
  </si>
  <si>
    <t>FACTORES REPRODUCTIVOS Y NIVEL EDUCATIVO EN LAS MUJERES PARTICIPANTES EN EL PROGRAMA DE CRIBADO DE CÁNCER DE MAMA DE LA COMUNICAD VALENCIANA </t>
  </si>
  <si>
    <t>RASO RASO, RAFAEL </t>
  </si>
  <si>
    <t>IMPACTO SOBRE LA CALIDAD EN UNA UNIDAD DE CARDIOLOGÍA CON APLICACIÓN DE METODOLOGÍA DE GESTIÓN DE RIESGO Y SEGURIDAD DEL PACIENTE </t>
  </si>
  <si>
    <t>Rodríguez Blanco, Noelia </t>
  </si>
  <si>
    <t>MATERNIDAD Y VACUNAS: ANÁLISIS DE LA ACEPTABILIDAD Y COBERTURA VACUNAL PARA GRIPE Y TOS FERINA EN GESTANTES DE DOS DEPARTAMENTOS DE LA SALUD DE LA COMUNIDAD VALENCIANA DURANTE LA TEMPORADA 2015-2016 </t>
  </si>
  <si>
    <t>02/10/2018 </t>
  </si>
  <si>
    <t>Segura Trepichio, Manuel </t>
  </si>
  <si>
    <t>RESULTADOS FUNCIONALES Y DOLOR EN PACIENTES INTERVENIDOS CON SISTEMAS DE ESTABILIZACIÓN DINÁMICA INTERESPINOSA FRENTE A ARTRODESIS INTERVERTEBRAL </t>
  </si>
  <si>
    <t>25/07/2019 </t>
  </si>
  <si>
    <t>Vanaclocha Espí, Mercedes </t>
  </si>
  <si>
    <t>BENEFICIS I EFECTES ADVERSOS DELS PROGRAMES DE CRIBRATGE DE CÀNCER COLORECTAL A ESPANYA: PARTICIPACIÓ I COMPLICACIONS DE LA COLONOSCÒPIA DIAGNÒSTICA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</si>
  <si>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</si>
  <si>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</si>
  <si>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</si>
  <si>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</si>
  <si>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</si>
  <si>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</si>
  <si>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</si>
  <si>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</si>
  <si>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</si>
  <si>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</si>
  <si>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</si>
  <si>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</si>
  <si>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</si>
  <si>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</si>
  <si>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28555357Y</t>
  </si>
  <si>
    <t>ALVAREZ-DARDET DIAZ, CARLOS</t>
  </si>
  <si>
    <t>21629812Z</t>
  </si>
  <si>
    <t>BERNABEU MESTRE, JOSEP</t>
  </si>
  <si>
    <t>48346931B</t>
  </si>
  <si>
    <t>CABALLERO PEREZ, PABLO</t>
  </si>
  <si>
    <t>21466700H</t>
  </si>
  <si>
    <t>DAVO BLANES, MARIA DEL CARMEN</t>
  </si>
  <si>
    <t>21487726E</t>
  </si>
  <si>
    <t>GALIANA SANCHEZ, MARIA EUGENIA</t>
  </si>
  <si>
    <t>33492987L</t>
  </si>
  <si>
    <t>GIL GONZALEZ, DIANA MARIA</t>
  </si>
  <si>
    <t>20003043N</t>
  </si>
  <si>
    <t>MONCHO VASALLO, JOAQUIN</t>
  </si>
  <si>
    <t>21408380A</t>
  </si>
  <si>
    <t>NOLASCO BONMATI, JUAN ANDRES</t>
  </si>
  <si>
    <t>48776351K</t>
  </si>
  <si>
    <t>ORTIZ MONCADA, MARIA DEL ROCIO</t>
  </si>
  <si>
    <t>21446950W</t>
  </si>
  <si>
    <t>RONDA PEREZ, ELENA MARIA</t>
  </si>
  <si>
    <t>26186611F</t>
  </si>
  <si>
    <t>RUIZ CANTERO, MARIA TERESA</t>
  </si>
  <si>
    <t>21677876P</t>
  </si>
  <si>
    <t>TRESCASTRO LOPEZ, EVA MARIA</t>
  </si>
  <si>
    <t>21394824V</t>
  </si>
  <si>
    <t>TUELLS HERNANDEZ, JOSE VICENTE</t>
  </si>
  <si>
    <t>VERDU SORIANO, JOSE</t>
  </si>
  <si>
    <t>48296836X</t>
  </si>
  <si>
    <t>VIVES CASES, MARIA DEL CARMEN</t>
  </si>
  <si>
    <t>Actividades de asesoramiento científico-técnica entre el Hospital de Vinalopó y la Universidad de Alicante, durante el mes de diciembre de 2019.</t>
  </si>
  <si>
    <t>Actividades de asesoramiento y asistencia científico-técnica contempladas en la IV Addenda del contrato entre el Hospital del Vinalopó (Elx-Crevillent) y la Universidad de Alicante, durante el mes de febrero de 2019.</t>
  </si>
  <si>
    <t>Actividades de asesoramiento y asistencia científico-técnica contempladas en la IV Addenda del contrato entre el Hospital del Vinalopó (Elx-Crevillent) y la Universidad de Alicante, durante el mes de mayo de 2019</t>
  </si>
  <si>
    <t xml:space="preserve">Actividades de asesoramiento y asistencia científico-técnica contempladas en la IV Addenda del contrato entre el Hospital del Vinalopó y la Universidad de Alicante, </t>
  </si>
  <si>
    <t>Actividades de asesoramiento y asistencia científico-técnica en el Hospital del Vinalopó durante el mes de abril 2019.</t>
  </si>
  <si>
    <t>Actividades de asesoramiento y asistencia científico-técnica entre el Hospital del Vinalopó (Elx-Crevillent) y la Universidad de Alicante durante el mes de octubre de 2019.</t>
  </si>
  <si>
    <t>Actividades de asesoramiento y asistencia científico-técnica entre el Hospital del Vinalopó (Elx-Crevillent) y la Universidad de Alicante durante el mes de septiembre 2019.</t>
  </si>
  <si>
    <t>Actividades de asesoramiento y asistencia científico-técnica entre el Hospital del Vinalopó (Elx-Crevillent) y la Universidad de Alicante, para el mes de julio de 2019.</t>
  </si>
  <si>
    <t>Actividades de asesoramiento y asistencia científico-técnica entre el Hospital del Vinalopó y la Universidad de Alicante durante el mes de noviembre 2019.</t>
  </si>
  <si>
    <t>Asesoramiento y asistencia científico-técnica en trabajos de investigación en el Hospital del Vinalopó (Elx-Crevillent) durante el mes de marzo de 2019.</t>
  </si>
  <si>
    <t>Asesoramiento y asistencia científico-técnica según el contrato con Referencia HOSPITALVINALOPO1-18AD, para el mes de enero 2019.</t>
  </si>
  <si>
    <t>Actividades de asesoramiento científico-técnica entre el Hospital de Torrevieja y la Universidad de Alicante, durante el mes de diciembre de 2019.</t>
  </si>
  <si>
    <t>Actividades de asesoramiento y asistencia científico-técnica contempladas en la IV Addenda del contrato entre el Hospital de Torrevieja Salud y la Universidad de Alicante, durante el mes de mayo de 2019</t>
  </si>
  <si>
    <t>Actividades de asesoramiento y asistencia científico-técnica contempladas en la IV Addenda del contrato entre el Hospital de Torrevieja Salud y la Universidad de Alicante.</t>
  </si>
  <si>
    <t>Actividades de asesoramiento y asistencia científico-técnica contempladas en la IV Addenda del contrato entre el Hospital de Torrevieja y la Universidad de Alicante, durante el mes de febrero de 2019.</t>
  </si>
  <si>
    <t>Actividades de asesoramiento y asistencia científico-técnica en el Hospital de Torrevieja durante el mes de abril 2019.</t>
  </si>
  <si>
    <t>Actividades de asesoramiento y asistencia científico-técnica entre el Hospital de Torrevieja y la Universidad de Alicante durante el mes de noviembre 2019.</t>
  </si>
  <si>
    <t>Actividades de asesoramiento y asistencia científico-técnica entre el Hospital de Torrevieja y la Universidad de Alicante durante el mes de octubre de 2019.</t>
  </si>
  <si>
    <t>Actividades de asesoramiento y asistencia científico-técnica entre el Hospital de Torrevieja y la Universidad de Alicante durante el mes de septiembre 2019.</t>
  </si>
  <si>
    <t>Actividades de asesoramiento y asistencia científico-técnica entre el Hospital de Torrevieja y la Universidad de Alicante, para el mes de julio de 2019.</t>
  </si>
  <si>
    <t>Asesoramiento y asistencia científico-técnica en trabajos de investigación en el Hospital del Torrevieja durante el mes de marzo de 2019.</t>
  </si>
  <si>
    <t>Asesoramiento y asistencia científico-técnica según el contrato con Referencia HOSPITALTORREVIEJA1-18AD, para el mes de enero 2019.</t>
  </si>
  <si>
    <t>Labores realizadas de junio a agosto de 2019 por la colaboradora junior contratada para el desarrollo del proyecto de investigación relacionado con el legado de Antonio González Pomata.</t>
  </si>
  <si>
    <t>Labores realizadas de septiembre a noviembre de 2019 por la colaboradora junior contratada para el desarrollo del proyecto de investigación relacionado con el legado de Antonio González Pomata.</t>
  </si>
  <si>
    <t>Labores realizadas por el colaborador junior contratado para el desarrollo del proyecto de investigación relacionado con el legado de Antonio González Pomata.</t>
  </si>
  <si>
    <t>Labores realizadas por el colaborador junior contratado para el desarrollo del proyecto de investigación relacionado con el legado de Antonio González Pomata. FUNDACIONCAJAMED1-18I</t>
  </si>
  <si>
    <t>LLabores realizadas de marzo a mayo de 2019 por la colaboradora junior contratada para el desarrollo del proyecto de investigación relacionado con el legado de Antonio González Pomata.</t>
  </si>
  <si>
    <t>32.60.6M.00.01</t>
  </si>
  <si>
    <t>GSK D184UNIALI 14406372. REF.ORDENANTE: 0070024487. EL DEPARTAMENTO DE ENFERMERÍA COMUNITARIA, MEDICINA PREVENTIVA, SALUD PÚBLICA E HISTORIA DE LA CIENCIA INFORMA QUE CORRESPONDE A LA CÁTEDRA BALMIS DE VACUNOLOGÍA-ESTUDIOS DE INVESTIGACIÓN EN VACUNOLOGÍA.</t>
  </si>
  <si>
    <t>REINTEGRO CUOTA PATRONAL CORRESPONDIENTE AL MES DE DICIEMBRE DE 2019</t>
  </si>
  <si>
    <t>Segundo pago convenio de colaboración en actividades de investigación "Conservación y puesta en valor del Archivo histórico de Fontilles e Historias de vida de personas afectadas por la lepra en España", 2019</t>
  </si>
  <si>
    <t>LIBERADOS EL 18/03/2019, ANUALIDAD 2019 PROYECTOS I+D (PIA1) N EXPEDIENTE: PIA12017-1 -2 ANUALIDAD  REFERENCIA: HAR2017-82366-C2-2-P. REF. ORDENANTE: 27402219310015484.</t>
  </si>
  <si>
    <t>32.60.6P.00.22</t>
  </si>
  <si>
    <t>REFERENCIA:PCI2019-103580. PARA EL PAGO DE LA ANUALIDAD 2019, CONVOCATORIA APCIN2019 AC.PROG. CONJUNTA INTERNACIONAL(PIA10) N EXPEDIENTE:PIA 102019-1-1ANUALIDAD. REFERENCIA DEL  ORDENANTE PARA EL BENEFICIARIO:27402219310030695.</t>
  </si>
  <si>
    <t>GSK D155-TO52UNIALI 14319837. REF.ORDENANTE: 0070001093. EL DEPARTAMENTO DE ENFERMERÍA COMUNITARIA, MEDICINA PREVENTIVA Y SALUD PÚBLICA E HISTORIA DE LA CIENCIA INFORMA QUE EL INGRESO CORRESPONDE A LOS DOS CONVENIOS DE FECHA 27.09.2018 PARA RECIBIR LA UNIVERSIDAD DE ALICANTE UNA APORTACIÓN ECONÓMICA PARA LLEVAR A CABO LA CELEBRACIÓN DEL CURSO DE VERANO "PERSPECTIVAS EN VACUNOLOGÍA", Y PARA FACILITAR, A TRAVÉS DE DICHA APORTACIÓN, LA ASISTENCIA AL CURSO A PROFESIONALES SANITARIOS Y ESTUDIANTES DE CIENCIAS DE LA SALUD.</t>
  </si>
  <si>
    <t>GSK D345-T087UNIALI 14789352. REF.ORDENANTE: 0070283134. EL DEPARTAMENTO DE ENFERMERÍA COMUNITARIA, MEDICINA PREVENTIVA, SALUD PÚBLICA E HISTORIA DE LA CIENCIA INFORMA QUE CORRESPONDE A DOS CONVENIOS DE FECHA 10.07.2019, CONSISTENTE EN LA APORTACIÓN ECONÓMICA  DESTINADA A FINANCIAR LA ASISTENCIA DE PROFESIONALES SANITARIOS Y ESTUDIANTES DE CIENCIAS DE LA SALUD Y AL SOPORTE DEL EVENTO/ACTIVIDAD "PERSPECTIVAS EN VACUNOLOGÍA 2019".</t>
  </si>
  <si>
    <t>Mecenazgo de la Cátedra Institucional Balmis de Vacunología de la Universidad de Alicante por el Hospital Universitario de Torrevieja, 2019.</t>
  </si>
  <si>
    <t>Mecenazgo de la Cátedra Institucional Balmis de Vacunología de la Universidad de Alicante por el Hospital Universitario del Vinalopó, 2019.</t>
  </si>
  <si>
    <t xml:space="preserve">R.19436/1 S5171 PRIMERO PAGO 30% CONVENIO UNIVERSITAT D'ALACANT MANTENIMIENTO CÁTEDRA CULTURA GITANA. IGUALDAD Y POLÍTICAS INCLUSIVAS  </t>
  </si>
  <si>
    <t xml:space="preserve">R.19436/2 S5171 2º PAGO 70% UNIVERSITATD'ALACANT MANTENIM. CÁTEDRA CULTURA GITANA. IGUALDAD Y POLÍTICAS INCLUSIVAS      </t>
  </si>
  <si>
    <t>REINTEGRO CUOTA PATRONAL CORRESPONDIENTE AL MES DE OCTUBRE 2019.</t>
  </si>
  <si>
    <t>APORTACIÓN ANUAL DE JESÚS NAVARRO S.A. EN CONCEPTO DE MECENAZGO A LA CÁTEDRA CARMENCITA DE ESTUDIOS DEL SABOR GASTRONÓMICO, 2019.</t>
  </si>
  <si>
    <t>Mecenazgo 2019 a la Cátedra de Enfermería Familiar y Comunitaria por parte de Elche Crevillente Salud, S.A., según acuerdo de colaboración entre UA y Ribera Salud.</t>
  </si>
  <si>
    <t>Mecenazgo 2019 a la Cátedra de Enfermería Familiar y Comunitaria por parte de Torrevieja Salud UTE 18/82, según acuerdo de colaboración entre UA y Ribera Salud.</t>
  </si>
  <si>
    <t>32.60.6X.00.01</t>
  </si>
  <si>
    <t>CARGO 2019/24 DE 01/03/2019 REPARTO PRE-FINANCING 40 EU-JAV CONTRAT 801495. LA OFICINA DE GESTIÓN DE PROYECTOS INTERNACIONALES INFORMA QUE SE TRATA DEL PRIMER INGRESO DEL PROYECTO EU-JAV. DEPARTAMENTO DE ENFERMERÍA COMUNITARIA.</t>
  </si>
  <si>
    <t>32.60.6X.00.02</t>
  </si>
  <si>
    <t>PROYECTO EUROPEO "FONTILLES HERITAGE PROJECT II" FHPII, DIRIGIDO POR EL PROFESOR ANTONIO GARCÍA BELMAR .</t>
  </si>
  <si>
    <t>Benazizi , Ikram </t>
  </si>
  <si>
    <t>Aculturación, factores socioeconómicos y hábitos dietéticos en inmigrantes residentes en España </t>
  </si>
  <si>
    <t>19/12/2019 </t>
  </si>
  <si>
    <t>Zhao , Guanlan </t>
  </si>
  <si>
    <t>Mortalidad en agricultores en una cohorte de población trabajadora en España </t>
  </si>
  <si>
    <t>51239649L</t>
  </si>
  <si>
    <t>PEREYRA ZAMORA, PAMELA ELIANA</t>
  </si>
  <si>
    <t>COD DEP</t>
  </si>
  <si>
    <t>22630445D</t>
  </si>
  <si>
    <t>MARTINEZ RIERA, JOSE RAMON</t>
  </si>
  <si>
    <t>24330281F</t>
  </si>
  <si>
    <t>GARCIA BELMAR, ANTONIO</t>
  </si>
  <si>
    <t>U022 </t>
  </si>
  <si>
    <t>ADM. FACULTAD DE CIENCIAS </t>
  </si>
  <si>
    <t>DOCTORADO EN CIENCIAS EXPERIMENTALES Y BIOSANITARIAS </t>
  </si>
  <si>
    <t>Vicente Alcalde, Nancy </t>
  </si>
  <si>
    <t>EVALUACIÓN DE LA COBERTURA VACUNAL EN LOS CENTROS PENITENCIARIOS ESPAÑOLES </t>
  </si>
  <si>
    <t>12/11/2020 </t>
  </si>
  <si>
    <t>Orviz Suárez, María Teresa </t>
  </si>
  <si>
    <t>DETERMINACIÓN DEL MAPA EPIDEMIOLÓGICO DE LA INFECCIÓN POR VIRUS DEL PAPILOMA HUMANO EN MUJERES USUARIAS DEL DEPARTAMENTO DE SALUD DE TORREVIEJA </t>
  </si>
  <si>
    <t>30/10/2020 </t>
  </si>
  <si>
    <t>Usera Clavero, María Luisa </t>
  </si>
  <si>
    <t>DESIGUALDADES EN SALUD Y DE GÉNERO EN LA POBLACIÓN GITANA. UN ABORDAJE DESDE LA SALUD PÚBLICA. </t>
  </si>
  <si>
    <t>24/11/2020 </t>
  </si>
  <si>
    <t>Baró Salvador, Maria Eva </t>
  </si>
  <si>
    <t>"Análisis osbservacional retrospectivo y de evolución de indicadores de calidad, coste y actividad asistencial en pacientes dializados. Estudio comparado en los Departamentos Sanitarios de Torrevieja y Elx-Crevillent Vinalopó en el periodo 2013-2019" </t>
  </si>
  <si>
    <t>16/10/2020 </t>
  </si>
  <si>
    <t>Martínez García, Alba </t>
  </si>
  <si>
    <t>Ambiente obesogénico: Barreras para mantener un peso saludable </t>
  </si>
  <si>
    <t>14/12/2020 </t>
  </si>
  <si>
    <t>51239649L </t>
  </si>
  <si>
    <t>Sáinz Ruiz, Pablo Alberto </t>
  </si>
  <si>
    <t>IDENTIFICACIÓN Y VALORACIÓN DE LOS ACTIVOS PARA LA SALUD. ANÁLISIS EPISTEMOLÓGICO Y MODELO DE MEDICIÓN </t>
  </si>
  <si>
    <t>14/01/2021 </t>
  </si>
  <si>
    <t>Homs Romero, Èrica </t>
  </si>
  <si>
    <t>Prevalencia e incidencia de la enfermedad venosa crónica en Cataluña. Desarrollo y validación de un conjunto mínimo básico de datos para su prevención, diagnóstico y tratamiento. </t>
  </si>
  <si>
    <t>07/06/2021 </t>
  </si>
  <si>
    <t>Rico Sapena, Nuria </t>
  </si>
  <si>
    <t>Nuevas estrategias de promoción y educación en alimentación y nutrición a escolares </t>
  </si>
  <si>
    <t>26/02/2021 </t>
  </si>
  <si>
    <t>San Onofre Bernat, Nadia </t>
  </si>
  <si>
    <t>CALIDAD DE LA DIETA DE LA POBLACIÓN ADULTA DE LA COMUNITAT VALENCIANA EN </t>
  </si>
  <si>
    <t>04/06/2021 </t>
  </si>
  <si>
    <t>Mancebo Salas, Noelia </t>
  </si>
  <si>
    <t>GRADO DE ALFABETIZACIÓN EN SALUD DE LOS ALUMNOS DE GRADO DE ENFERMERÍA EN ESPAÑA. </t>
  </si>
  <si>
    <t>20/09/2021 </t>
  </si>
  <si>
    <t>Damos , Petros </t>
  </si>
  <si>
    <t>PREVENTING THE WEST NILE VIRUS, FILARIASIS AND ENCEPHALITIS. METHODS FOR. </t>
  </si>
  <si>
    <t>24/09/2021 </t>
  </si>
  <si>
    <t>48346931B </t>
  </si>
  <si>
    <t>U073 </t>
  </si>
  <si>
    <t>ADM. I.U. INVESTIGACIÓN DE ESTUDIOS DE GÉNERO </t>
  </si>
  <si>
    <t>DOCTORADO EN ESTUDIOS INTERDISCIPLINARES DE GÉNERO </t>
  </si>
  <si>
    <t>Aragonés González, María </t>
  </si>
  <si>
    <t>La coeducación como metodología transformadora hacia la igualdad de género </t>
  </si>
  <si>
    <t>22/09/2021 </t>
  </si>
  <si>
    <t>Actividades de asesoramiento y asistencia científico-técnico entre el Hospital del Vinalopó y la Universidad de Alicante, durante el mes de enero de 2020.</t>
  </si>
  <si>
    <t>Actividades de asesoramiento y asistencia científico-técnico entre el Hospital de Torrevieja y la Universidad de Alicante, durante el mes de enero de 2020.</t>
  </si>
  <si>
    <t>Labores realizadas de marzo a mayo de 2020 por la colaboradora junior contratada para el desarrollo del proyecto de investigación relacionado con el legado de Antonio González Pomata</t>
  </si>
  <si>
    <t>Labores realizadas durante los meses de diciembre de 2019 a febrero de 2020 por la colaboradora junior contratada Inés Antón para el desarrollo del proyecto de investigación relacionado con el legado de Antonio González Pomata.</t>
  </si>
  <si>
    <t>REINTEGRO CUOTA PATRONAL CORRESPONDIENTE A DICIEMBRE DE 2020.</t>
  </si>
  <si>
    <t>32.60.6C.00.09</t>
  </si>
  <si>
    <t>Elaboración de un documento ejecutivo del estudio "Ocupación, actividad económica y mortilidad por cáncer en España"</t>
  </si>
  <si>
    <t>32.60.6C.00.10</t>
  </si>
  <si>
    <t>Actividad 1: Tareas de asesoramiento y supervisión de trabajos de investigación realizados por el personal sanitario del departamento de salud del Hospital de Torrevieja, durante el mes de noviembre de 2020.</t>
  </si>
  <si>
    <t>Asesoramiento y supervisión de trabajos de investigación realizados por el personal sanitario del departamento de salud del Hospital de Torrevieja durante diciembre de 2020.</t>
  </si>
  <si>
    <t>32.60.6C.00.11</t>
  </si>
  <si>
    <t>Actividad 1: Tareas de asesoramiento y supervisión de trabajos de investigación realizados por el personal sanitario del departamento de salud del Hospital Elche Crevillente Salud SA, durante el mes de noviembre de 2020.</t>
  </si>
  <si>
    <t>Asesoramiento y supervisión de trabajos de investigación realizados por el personal sanitario del departamento de salud del Hospital del Vinalopó (Elx-Crevillent) durante diciembre de 2020.</t>
  </si>
  <si>
    <t xml:space="preserve">LIBERADOS EL 18/02/2020, ANUALIDAD 2020 PROYECTOS I+D (PIA 1) N EXPEDIENTE: PIA 12017-1-3 ANUALIDAD REFERENCIA: HAR2017-82366-C2-2-P </t>
  </si>
  <si>
    <t>LIBERADOS 22/06/2020 ANUALIDAD 2020 AC. PROG. CONJUNTA INTERNACIONAL (PI A10) N EXPEDIENTE: PIA102019-1 - 2 ANUALIDAD REFERENCIA: PCI2019-</t>
  </si>
  <si>
    <t>32.60.6P.00.25</t>
  </si>
  <si>
    <t xml:space="preserve">Proyecto para analizar la violencia de género y respuestas sociosanitarias durante la crisis del Covid-19. </t>
  </si>
  <si>
    <t>32.60.6P.00.27</t>
  </si>
  <si>
    <t>1-PI20/01629 - ANUALIDAD 2020 / 1-PI20/01629 26203220310006533-2020/002936, INGRESO DEL INSTITUTO DE SALUD CARLOS III MINISTERIO CIENCIA E INNOVACIÓN</t>
  </si>
  <si>
    <t>Reintegro cuota patronal Abril 2020</t>
  </si>
  <si>
    <t>REINTEGRO CUOTA PATRONAL CORRESPONDIENTE AL MES DE MARZO DE 2020</t>
  </si>
  <si>
    <t>REINTEGRO CUOTA PATRONAL FEBRERO DE 2020.</t>
  </si>
  <si>
    <t>R.20107/1 S5171 PAGO 30% CONVENIO CÁTEDRA CULTURA GITANA UNIVERSITAT D'ALACANT (IGUALDAD Y POLÍTICAS INCLUSIVAS)</t>
  </si>
  <si>
    <t>R.20107/2 S5171 2º PAGO CONVENIO UNIVERSITAT D'ALACANT CÁTEDRA CULTURA GITANA 2020 (IGUALDAD Y POLÍTICAS INCLUSIVAS )</t>
  </si>
  <si>
    <t>APORTACIÓN ANUAL DE JESÚS NAVARRO S.A. EN CONCEPTO DE MECENAZGO A LA CÁTEDRA CARMENCITA DE ESTUDIOS DEL SABOR GASTRONÓMICO, 2020.</t>
  </si>
  <si>
    <t>SEGUNDO PAGO PROYECTO FHPII. INVESTIGADOR PRINCIPAL: A. GARCÍA BELMAR.</t>
  </si>
  <si>
    <t>TERCER PAGO DEL PROYECTO FHPII, INVESTIGADOR PRINCIPAL ANTONIO GARCÍA BELMAR.</t>
  </si>
  <si>
    <t>32.60.2E.00.04</t>
  </si>
  <si>
    <t>41.90.6P.00.07</t>
  </si>
  <si>
    <t>2-PI18/00590 - Anualidad 2019 / 1-PI18/00590 26203219310007930-2019/003281</t>
  </si>
  <si>
    <t>33% a enfermería comunitaria, 33% a psicología de la salud y 33% a estudios de género según email 05/11/2021 Carmen Vives Cases</t>
  </si>
  <si>
    <t>4-PI18/00590 - ANUALIDAD 2020 / 1-PI18/00590, INGRESO INSTITUTO SALUD CARLOS III</t>
  </si>
  <si>
    <t>Chico Sánchez, Pablo </t>
  </si>
  <si>
    <t>Análisis de tres estrategias para la prevención y control de infecciones en un hospital universitario de tercer nivel. </t>
  </si>
  <si>
    <t>18/07/2022 </t>
  </si>
  <si>
    <t>Boonekamp , Gwendolijn Margaretha Maria </t>
  </si>
  <si>
    <t>¿What moves us? Fostering the capability for lifelong physical activity by developing agency in students in secondary pre-vocational education schools in the Netherlands. </t>
  </si>
  <si>
    <t>01/04/2022 </t>
  </si>
  <si>
    <t>Pérez Wilson, Patricia Andrea </t>
  </si>
  <si>
    <t>Salutogénesis y activos en salud: ventanas de oportunidad para el fortalecimiento de la estrategia de universidades promotoras de salud. </t>
  </si>
  <si>
    <t>11/03/2022 </t>
  </si>
  <si>
    <t>ZZ </t>
  </si>
  <si>
    <t>SIN ASIGNAR </t>
  </si>
  <si>
    <t>Algado Sellés, Natividad </t>
  </si>
  <si>
    <t>Evaluación de medidas de prevención de infecciones en pacientes y trabajadores </t>
  </si>
  <si>
    <t>21685515B</t>
  </si>
  <si>
    <t>TORMO SANTAMARIA, MARIA</t>
  </si>
  <si>
    <t>44012818H</t>
  </si>
  <si>
    <t>BERENGUER PEREZ, MIRIAM ANA</t>
  </si>
  <si>
    <t>Cód. org. aplic.</t>
  </si>
  <si>
    <t>Descripción justificante</t>
  </si>
  <si>
    <t>Tareas durante el mes de marzo de 2021 de asesoramiento y supervisión de trabajos de investigación realizados por el personal sanitario del departamento de salud del Hospital de Torrevieja.</t>
  </si>
  <si>
    <t>Tareas de asesoramiento y supervisión de trabajos de investigación realizados por el personal sanitario del departamento de salud del Hospital de Torrevieja durante el mes de julio 2021.</t>
  </si>
  <si>
    <t>Tareas de asesoramiento y supervisión de trabajos de investigación realizados por el personal sanitario del departamento de salud del Hospital de Torrevieja durante el mes de junio 2021.</t>
  </si>
  <si>
    <t>Tareas de asesoramiento y supervisión de trabajos de investigación realizados por el personal sanitario del departamento de salud del Hospital de Torrevieja durante el mes de abril 2021</t>
  </si>
  <si>
    <t>Asesoramiento y supervisión de trabajos de investigación realizados por el personal sanitario del departamento de salud del Hospital de Torrevieja durante el mes de enero de 2021.</t>
  </si>
  <si>
    <t>Tareas de asesoramiento y supervisión de trabajos de investigación realizados por el personal sanitario del departamento de salud del Hospital de Torrevieja durante el mes de febrero 2021.</t>
  </si>
  <si>
    <t>Tareas de asesoramiento y supervisión de trabajos de investigación realizados por el personal sanitario del departamento de salud del Hospital de Torrevieja durante el mes de mayo 2021.</t>
  </si>
  <si>
    <t>Tareas durante el mes de septiembre de 2021 de asesoramiento y supervisión de trabajos de investigación realizados por el personal sanitario del departamento de salud del Hospital del Vinalopó (Elx- Crevillent)</t>
  </si>
  <si>
    <t>Tareas durante el mes de noviembre de 2021 de asesoramiento y supervisión de trabajos de investigación realizados por el personal sanitario del departamento de salud del Hospital del Vinalopó (Elx- Crevillent)</t>
  </si>
  <si>
    <t>Asesoramiento y supervisión de trabajos de investigación realizados por el  personal sanitario del departamento de salud del Hospital del Vinalopó (Elx- Crevillent) durante el mes de abril de 2021.</t>
  </si>
  <si>
    <t>Asesoramiento y supervisión de trabajos de investigación realizados por el personal sanitario del departamento de salud del Hospital del Vinalopó (Elx-Crevillent) durante el mes de enero de 2021.</t>
  </si>
  <si>
    <t>Tareas durante el mes de marzo de 2021 de asesoramiento y supervisión de trabajos de investigación realizados por el personal sanitario del departamento de salud del Hospital del Vinalopó (Elx-Crevillent).</t>
  </si>
  <si>
    <t>Tareas durante el mes de julio de 2021 de asesoramiento y supervisión de trabajos de investigación realizados por el personal sanitario del departamento de salud del Hospital del Vinalopó (Elx-Crevillent)</t>
  </si>
  <si>
    <t>Tareas durante el mes de mayo de 2021 de asesoramiento y supervisión de trabajos de investigación realizados por el personal sanitario del departamento de salud del Hospital del Vinalopó (Elx-Crevillent).</t>
  </si>
  <si>
    <t>Tareas durante el mes de octubre de 2021 de asesoramiento y supervisión de trabajos de investigación realizados por el personal sanitario del departamento de salud del Hospital del Vinalopó (Elx- Crevillent).</t>
  </si>
  <si>
    <t>Tareas de asesoramiento y supervisión de trabajos de investigación realizados por el personal sanitario del departamento de salud del Hospital del Vinalopó (Elx-Crevillent) durante el mes de febrero 2021.</t>
  </si>
  <si>
    <t>Tareas durante el mes de junio de 2021 de asesoramiento y supervisión de trabajos de investigación realizados por el personal sanitario del departamento de salud del Hospital del Vinalopó (Elx- Crevillent).</t>
  </si>
  <si>
    <t>32.60.6C.00.12</t>
  </si>
  <si>
    <t>Asesoramiento y asistencia científico-técnica para dotar al equipo investigador del IVF-Spain de una metodología estadística y de análisis de datos con la finalidad de aplicar los resultados a proceso de la selección embrionaria.</t>
  </si>
  <si>
    <t>32.60.6M.00.02</t>
  </si>
  <si>
    <t>Realización programa formativo para la capacitación del equipo médico iberoamericano promovida por Rotary Internacional: "Balmis-Canseco y las enfermedades transmisibles", bajo la dirección del profesor José Vicente Tuells Hernández, director Cátedra Balmis de Vacunología de la UA, del 30 de septiembre al 5 de octubre de 2019.</t>
  </si>
  <si>
    <t>LIBERADOS EL 14/05/2021 ANUALIDAD 2021 PROYECTOS I+D (PIA1) N EXPEDIENTE: PIA12017-1-4 ANUALIDAD REFERENCIA: HAR2017-82366-C2-2-P</t>
  </si>
  <si>
    <t>LIBERADOS 08/04/2021 ANUALIDAD 2021 AC. PROG. CONJUNTA INTERNACIONAL (PI A10) EXPEDIENTE: PIA102019-1-3 ANUALIDAD REFERENCIA: PCI2019</t>
  </si>
  <si>
    <t>REF(S) CONCESION/(PAGO): / 1-PI20/01629 / 2-PI20/01629 - ANUALIDAD 2021 INGRESO INST SALUD CARLOS III</t>
  </si>
  <si>
    <t>32.60.6P.00.28</t>
  </si>
  <si>
    <t>2102012AE0.PKT-PAGO 190895 LIB.1 S/PPTA.D.G.10/11/2021.CONCESION CONV.2021.PLAN HBIRTA/2021.VICEPRE.2ºY C.VIVIENDA</t>
  </si>
  <si>
    <t>REINTEGRO CUOTA PATRONAL CORRESPONDIENTE A FEBRERO 2021</t>
  </si>
  <si>
    <t>Aportación anual de Jesús Navarro S.A. en concepto de mecenazgo a la Cátedra Carmencita de estudios del sabor gastronómico en 2021.</t>
  </si>
  <si>
    <t>INGRESO DE LA FUNDACION MIGUEL SERVET. SEGUNDO PAGO PROYECTO EU-JAV</t>
  </si>
  <si>
    <t xml:space="preserve">(EASME/H2020/2018/008) </t>
  </si>
  <si>
    <t>CUARTO PAGO PROYECTO FHPII, INVESTIGADOR PRINCIPAL ANTONIO GARCÍA BELMAR.</t>
  </si>
  <si>
    <t>QUINTO PAGO DEL PROYECTO  FHPII, INVESTIGADOR PRINCIPAL ANTONIO GARCÍA BELMAR.</t>
  </si>
  <si>
    <t>Total ingresos investigación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</si>
</sst>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164" fontId="4" fillId="2" borderId="1" xfId="1" applyNumberFormat="1" applyFont="1" applyFill="1" applyBorder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" fontId="1" fillId="0" borderId="0" xfId="0" applyNumberFormat="1" applyFont="1"/>
    <xf numFmtId="0" fontId="1" fillId="6" borderId="1" xfId="0" applyFont="1" applyFill="1" applyBorder="1"/>
    <xf numFmtId="4" fontId="1" fillId="6" borderId="1" xfId="0" applyNumberFormat="1" applyFont="1" applyFill="1" applyBorder="1"/>
    <xf numFmtId="0" fontId="3" fillId="4" borderId="1" xfId="1" applyFill="1" applyBorder="1"/>
    <xf numFmtId="14" fontId="3" fillId="4" borderId="1" xfId="1" applyNumberFormat="1" applyFill="1" applyBorder="1"/>
    <xf numFmtId="0" fontId="3" fillId="4" borderId="2" xfId="1" applyFill="1" applyBorder="1"/>
    <xf numFmtId="0" fontId="3" fillId="4" borderId="3" xfId="1" applyFill="1" applyBorder="1"/>
    <xf numFmtId="0" fontId="11" fillId="7" borderId="1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165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165" fontId="3" fillId="4" borderId="3" xfId="1" applyNumberFormat="1" applyFill="1" applyBorder="1"/>
    <xf numFmtId="0" fontId="3" fillId="4" borderId="3" xfId="1" applyFill="1" applyBorder="1" applyAlignment="1">
      <alignment horizontal="right"/>
    </xf>
    <xf numFmtId="1" fontId="3" fillId="4" borderId="3" xfId="1" applyNumberFormat="1" applyFill="1" applyBorder="1"/>
    <xf numFmtId="164" fontId="3" fillId="4" borderId="3" xfId="1" applyNumberFormat="1" applyFill="1" applyBorder="1"/>
    <xf numFmtId="0" fontId="3" fillId="0" borderId="1" xfId="1" applyBorder="1"/>
    <xf numFmtId="0" fontId="3" fillId="4" borderId="7" xfId="1" applyFill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10" fillId="8" borderId="0" xfId="5" applyFont="1" applyFill="1"/>
    <xf numFmtId="0" fontId="10" fillId="8" borderId="0" xfId="5" applyFont="1" applyFill="1" applyAlignment="1">
      <alignment horizontal="right"/>
    </xf>
    <xf numFmtId="0" fontId="12" fillId="8" borderId="0" xfId="5" applyFont="1" applyFill="1"/>
    <xf numFmtId="0" fontId="13" fillId="9" borderId="8" xfId="0" applyFont="1" applyFill="1" applyBorder="1"/>
    <xf numFmtId="0" fontId="13" fillId="9" borderId="9" xfId="0" applyFont="1" applyFill="1" applyBorder="1" applyAlignment="1">
      <alignment horizontal="right"/>
    </xf>
    <xf numFmtId="0" fontId="0" fillId="10" borderId="10" xfId="0" applyFill="1" applyBorder="1"/>
    <xf numFmtId="4" fontId="0" fillId="10" borderId="11" xfId="0" applyNumberFormat="1" applyFill="1" applyBorder="1"/>
    <xf numFmtId="0" fontId="0" fillId="11" borderId="10" xfId="0" applyFill="1" applyBorder="1"/>
    <xf numFmtId="4" fontId="0" fillId="11" borderId="11" xfId="0" applyNumberFormat="1" applyFill="1" applyBorder="1"/>
    <xf numFmtId="0" fontId="13" fillId="9" borderId="12" xfId="0" applyFont="1" applyFill="1" applyBorder="1"/>
    <xf numFmtId="4" fontId="13" fillId="9" borderId="13" xfId="0" applyNumberFormat="1" applyFont="1" applyFill="1" applyBorder="1"/>
    <xf numFmtId="4" fontId="0" fillId="0" borderId="0" xfId="0" applyNumberFormat="1"/>
    <xf numFmtId="0" fontId="14" fillId="0" borderId="1" xfId="0" applyFont="1" applyBorder="1" applyAlignment="1">
      <alignment horizontal="right"/>
    </xf>
    <xf numFmtId="4" fontId="14" fillId="0" borderId="1" xfId="0" applyNumberFormat="1" applyFont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zoomScale="120" zoomScaleNormal="120" workbookViewId="0">
      <pane xSplit="1" ySplit="1" topLeftCell="F29" activePane="bottomRight" state="frozen"/>
      <selection pane="topRight" activeCell="B1" sqref="B1"/>
      <selection pane="bottomLeft" activeCell="A2" sqref="A2"/>
      <selection pane="bottomRight" activeCell="H67" sqref="H67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54.554687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7" customWidth="1"/>
    <col min="16" max="16" width="4.88671875" style="13" customWidth="1"/>
    <col min="17" max="17" width="3.5546875" style="17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8" t="s">
        <v>20</v>
      </c>
      <c r="J1" s="9" t="s">
        <v>21</v>
      </c>
      <c r="K1" s="8" t="s">
        <v>22</v>
      </c>
      <c r="L1" s="9" t="s">
        <v>23</v>
      </c>
      <c r="M1" s="10" t="s">
        <v>24</v>
      </c>
      <c r="N1" s="11" t="s">
        <v>25</v>
      </c>
      <c r="O1" s="12" t="s">
        <v>26</v>
      </c>
      <c r="P1" s="11" t="s">
        <v>27</v>
      </c>
      <c r="Q1" s="12" t="s">
        <v>28</v>
      </c>
      <c r="R1" s="11" t="s">
        <v>29</v>
      </c>
      <c r="S1" s="11" t="s">
        <v>30</v>
      </c>
      <c r="T1" s="11" t="s">
        <v>31</v>
      </c>
      <c r="U1" s="11" t="s">
        <v>32</v>
      </c>
    </row>
    <row r="2" spans="1:21" x14ac:dyDescent="0.2">
      <c r="A2" s="31" t="s">
        <v>60</v>
      </c>
      <c r="B2" s="31" t="s">
        <v>61</v>
      </c>
      <c r="C2" s="31" t="s">
        <v>79</v>
      </c>
      <c r="D2" s="31" t="s">
        <v>80</v>
      </c>
      <c r="E2" s="31" t="s">
        <v>81</v>
      </c>
      <c r="F2" s="31" t="s">
        <v>43</v>
      </c>
      <c r="G2" s="31" t="s">
        <v>65</v>
      </c>
      <c r="H2" s="31" t="s">
        <v>36</v>
      </c>
      <c r="I2" s="31" t="s">
        <v>60</v>
      </c>
      <c r="J2" s="31" t="s">
        <v>61</v>
      </c>
      <c r="K2" s="42">
        <v>1</v>
      </c>
      <c r="L2" s="31" t="s">
        <v>62</v>
      </c>
      <c r="M2" s="31">
        <v>2016</v>
      </c>
      <c r="N2" s="31" t="s">
        <v>35</v>
      </c>
      <c r="O2" s="40" t="s">
        <v>35</v>
      </c>
      <c r="P2" s="31" t="s">
        <v>35</v>
      </c>
      <c r="Q2" s="40" t="s">
        <v>35</v>
      </c>
      <c r="R2" s="41">
        <v>100</v>
      </c>
      <c r="S2" s="42">
        <v>1</v>
      </c>
      <c r="T2" s="42">
        <v>0</v>
      </c>
      <c r="U2" s="42">
        <v>0</v>
      </c>
    </row>
    <row r="3" spans="1:21" x14ac:dyDescent="0.2">
      <c r="A3" s="31" t="s">
        <v>90</v>
      </c>
      <c r="B3" s="31" t="s">
        <v>91</v>
      </c>
      <c r="C3" s="31" t="s">
        <v>92</v>
      </c>
      <c r="D3" s="31" t="s">
        <v>93</v>
      </c>
      <c r="E3" s="31" t="s">
        <v>94</v>
      </c>
      <c r="F3" s="31" t="s">
        <v>95</v>
      </c>
      <c r="G3" s="31" t="s">
        <v>68</v>
      </c>
      <c r="H3" s="31" t="s">
        <v>36</v>
      </c>
      <c r="I3" s="31" t="s">
        <v>60</v>
      </c>
      <c r="J3" s="31" t="s">
        <v>61</v>
      </c>
      <c r="K3" s="42">
        <v>1</v>
      </c>
      <c r="L3" s="31" t="s">
        <v>62</v>
      </c>
      <c r="M3" s="31">
        <v>2016</v>
      </c>
      <c r="N3" s="31" t="s">
        <v>35</v>
      </c>
      <c r="O3" s="40" t="s">
        <v>35</v>
      </c>
      <c r="P3" s="31" t="s">
        <v>35</v>
      </c>
      <c r="Q3" s="40" t="s">
        <v>35</v>
      </c>
      <c r="R3" s="41">
        <v>100</v>
      </c>
      <c r="S3" s="42">
        <v>1</v>
      </c>
      <c r="T3" s="42">
        <v>0</v>
      </c>
      <c r="U3" s="42">
        <v>0</v>
      </c>
    </row>
    <row r="4" spans="1:21" x14ac:dyDescent="0.2">
      <c r="A4" s="31" t="s">
        <v>51</v>
      </c>
      <c r="B4" s="31" t="s">
        <v>52</v>
      </c>
      <c r="C4" s="31" t="s">
        <v>53</v>
      </c>
      <c r="D4" s="31" t="s">
        <v>119</v>
      </c>
      <c r="E4" s="31" t="s">
        <v>120</v>
      </c>
      <c r="F4" s="31" t="s">
        <v>43</v>
      </c>
      <c r="G4" s="31" t="s">
        <v>70</v>
      </c>
      <c r="H4" s="31" t="s">
        <v>36</v>
      </c>
      <c r="I4" s="31" t="s">
        <v>60</v>
      </c>
      <c r="J4" s="31" t="s">
        <v>61</v>
      </c>
      <c r="K4" s="42">
        <v>1</v>
      </c>
      <c r="L4" s="31" t="s">
        <v>62</v>
      </c>
      <c r="M4" s="31">
        <v>2016</v>
      </c>
      <c r="N4" s="31" t="s">
        <v>45</v>
      </c>
      <c r="O4" s="40" t="s">
        <v>37</v>
      </c>
      <c r="P4" s="31" t="s">
        <v>35</v>
      </c>
      <c r="Q4" s="40" t="s">
        <v>35</v>
      </c>
      <c r="R4" s="41">
        <v>90</v>
      </c>
      <c r="S4" s="42">
        <v>0.9</v>
      </c>
      <c r="T4" s="42">
        <v>0.1</v>
      </c>
      <c r="U4" s="42">
        <v>0</v>
      </c>
    </row>
    <row r="5" spans="1:21" x14ac:dyDescent="0.2">
      <c r="A5" s="31" t="s">
        <v>51</v>
      </c>
      <c r="B5" s="31" t="s">
        <v>52</v>
      </c>
      <c r="C5" s="31" t="s">
        <v>53</v>
      </c>
      <c r="D5" s="31" t="s">
        <v>99</v>
      </c>
      <c r="E5" s="31" t="s">
        <v>100</v>
      </c>
      <c r="F5" s="31" t="s">
        <v>38</v>
      </c>
      <c r="G5" s="31" t="s">
        <v>73</v>
      </c>
      <c r="H5" s="31" t="s">
        <v>36</v>
      </c>
      <c r="I5" s="31" t="s">
        <v>60</v>
      </c>
      <c r="J5" s="31" t="s">
        <v>61</v>
      </c>
      <c r="K5" s="42">
        <v>1</v>
      </c>
      <c r="L5" s="31" t="s">
        <v>62</v>
      </c>
      <c r="M5" s="31">
        <v>2016</v>
      </c>
      <c r="N5" s="31" t="s">
        <v>45</v>
      </c>
      <c r="O5" s="40" t="s">
        <v>34</v>
      </c>
      <c r="P5" s="31" t="s">
        <v>35</v>
      </c>
      <c r="Q5" s="40" t="s">
        <v>35</v>
      </c>
      <c r="R5" s="41">
        <v>50</v>
      </c>
      <c r="S5" s="42">
        <v>0.5</v>
      </c>
      <c r="T5" s="42">
        <v>0.5</v>
      </c>
      <c r="U5" s="42">
        <v>0</v>
      </c>
    </row>
    <row r="6" spans="1:21" x14ac:dyDescent="0.2">
      <c r="A6" s="31" t="s">
        <v>51</v>
      </c>
      <c r="B6" s="31" t="s">
        <v>52</v>
      </c>
      <c r="C6" s="31" t="s">
        <v>53</v>
      </c>
      <c r="D6" s="31" t="s">
        <v>103</v>
      </c>
      <c r="E6" s="31" t="s">
        <v>104</v>
      </c>
      <c r="F6" s="31" t="s">
        <v>105</v>
      </c>
      <c r="G6" s="31" t="s">
        <v>65</v>
      </c>
      <c r="H6" s="31" t="s">
        <v>33</v>
      </c>
      <c r="I6" s="31" t="s">
        <v>60</v>
      </c>
      <c r="J6" s="31" t="s">
        <v>61</v>
      </c>
      <c r="K6" s="42">
        <v>0.5</v>
      </c>
      <c r="L6" s="31" t="s">
        <v>62</v>
      </c>
      <c r="M6" s="31">
        <v>2016</v>
      </c>
      <c r="N6" s="31" t="s">
        <v>35</v>
      </c>
      <c r="O6" s="40" t="s">
        <v>35</v>
      </c>
      <c r="P6" s="31" t="s">
        <v>35</v>
      </c>
      <c r="Q6" s="40" t="s">
        <v>35</v>
      </c>
      <c r="R6" s="41">
        <v>100</v>
      </c>
      <c r="S6" s="42">
        <v>0.5</v>
      </c>
      <c r="T6" s="42">
        <v>0</v>
      </c>
      <c r="U6" s="42">
        <v>0</v>
      </c>
    </row>
    <row r="7" spans="1:21" x14ac:dyDescent="0.2">
      <c r="A7" s="31" t="s">
        <v>51</v>
      </c>
      <c r="B7" s="31" t="s">
        <v>52</v>
      </c>
      <c r="C7" s="31" t="s">
        <v>53</v>
      </c>
      <c r="D7" s="31" t="s">
        <v>96</v>
      </c>
      <c r="E7" s="31" t="s">
        <v>97</v>
      </c>
      <c r="F7" s="31" t="s">
        <v>98</v>
      </c>
      <c r="G7" s="31" t="s">
        <v>71</v>
      </c>
      <c r="H7" s="31" t="s">
        <v>33</v>
      </c>
      <c r="I7" s="31" t="s">
        <v>60</v>
      </c>
      <c r="J7" s="31" t="s">
        <v>61</v>
      </c>
      <c r="K7" s="42">
        <v>0.5</v>
      </c>
      <c r="L7" s="31" t="s">
        <v>62</v>
      </c>
      <c r="M7" s="31">
        <v>2016</v>
      </c>
      <c r="N7" s="31" t="s">
        <v>35</v>
      </c>
      <c r="O7" s="40" t="s">
        <v>35</v>
      </c>
      <c r="P7" s="31" t="s">
        <v>35</v>
      </c>
      <c r="Q7" s="40" t="s">
        <v>35</v>
      </c>
      <c r="R7" s="41">
        <v>100</v>
      </c>
      <c r="S7" s="42">
        <v>0.5</v>
      </c>
      <c r="T7" s="42">
        <v>0</v>
      </c>
      <c r="U7" s="42">
        <v>0</v>
      </c>
    </row>
    <row r="8" spans="1:21" x14ac:dyDescent="0.2">
      <c r="A8" s="31" t="s">
        <v>51</v>
      </c>
      <c r="B8" s="31" t="s">
        <v>52</v>
      </c>
      <c r="C8" s="31" t="s">
        <v>53</v>
      </c>
      <c r="D8" s="31" t="s">
        <v>77</v>
      </c>
      <c r="E8" s="31" t="s">
        <v>78</v>
      </c>
      <c r="F8" s="31" t="s">
        <v>49</v>
      </c>
      <c r="G8" s="31" t="s">
        <v>72</v>
      </c>
      <c r="H8" s="31" t="s">
        <v>33</v>
      </c>
      <c r="I8" s="31" t="s">
        <v>60</v>
      </c>
      <c r="J8" s="31" t="s">
        <v>61</v>
      </c>
      <c r="K8" s="42">
        <v>0.5</v>
      </c>
      <c r="L8" s="31" t="s">
        <v>62</v>
      </c>
      <c r="M8" s="31">
        <v>2016</v>
      </c>
      <c r="N8" s="31" t="s">
        <v>35</v>
      </c>
      <c r="O8" s="40" t="s">
        <v>35</v>
      </c>
      <c r="P8" s="31" t="s">
        <v>35</v>
      </c>
      <c r="Q8" s="40" t="s">
        <v>35</v>
      </c>
      <c r="R8" s="41">
        <v>100</v>
      </c>
      <c r="S8" s="42">
        <v>0.5</v>
      </c>
      <c r="T8" s="42">
        <v>0</v>
      </c>
      <c r="U8" s="42">
        <v>0</v>
      </c>
    </row>
    <row r="9" spans="1:21" x14ac:dyDescent="0.2">
      <c r="A9" s="31" t="s">
        <v>51</v>
      </c>
      <c r="B9" s="31" t="s">
        <v>52</v>
      </c>
      <c r="C9" s="31" t="s">
        <v>53</v>
      </c>
      <c r="D9" s="31" t="s">
        <v>111</v>
      </c>
      <c r="E9" s="31" t="s">
        <v>112</v>
      </c>
      <c r="F9" s="31" t="s">
        <v>113</v>
      </c>
      <c r="G9" s="31" t="s">
        <v>76</v>
      </c>
      <c r="H9" s="31" t="s">
        <v>36</v>
      </c>
      <c r="I9" s="31" t="s">
        <v>60</v>
      </c>
      <c r="J9" s="31" t="s">
        <v>61</v>
      </c>
      <c r="K9" s="42">
        <v>1</v>
      </c>
      <c r="L9" s="31" t="s">
        <v>62</v>
      </c>
      <c r="M9" s="31">
        <v>2016</v>
      </c>
      <c r="N9" s="31" t="s">
        <v>35</v>
      </c>
      <c r="O9" s="40" t="s">
        <v>35</v>
      </c>
      <c r="P9" s="31" t="s">
        <v>35</v>
      </c>
      <c r="Q9" s="40" t="s">
        <v>35</v>
      </c>
      <c r="R9" s="41">
        <v>100</v>
      </c>
      <c r="S9" s="42">
        <v>1</v>
      </c>
      <c r="T9" s="42">
        <v>0</v>
      </c>
      <c r="U9" s="42">
        <v>0</v>
      </c>
    </row>
    <row r="10" spans="1:21" x14ac:dyDescent="0.2">
      <c r="A10" s="31" t="s">
        <v>51</v>
      </c>
      <c r="B10" s="31" t="s">
        <v>52</v>
      </c>
      <c r="C10" s="31" t="s">
        <v>53</v>
      </c>
      <c r="D10" s="31" t="s">
        <v>106</v>
      </c>
      <c r="E10" s="31" t="s">
        <v>107</v>
      </c>
      <c r="F10" s="31" t="s">
        <v>108</v>
      </c>
      <c r="G10" s="31" t="s">
        <v>76</v>
      </c>
      <c r="H10" s="31" t="s">
        <v>33</v>
      </c>
      <c r="I10" s="31" t="s">
        <v>60</v>
      </c>
      <c r="J10" s="31" t="s">
        <v>61</v>
      </c>
      <c r="K10" s="42">
        <v>0.5</v>
      </c>
      <c r="L10" s="31" t="s">
        <v>62</v>
      </c>
      <c r="M10" s="31">
        <v>2016</v>
      </c>
      <c r="N10" s="31" t="s">
        <v>35</v>
      </c>
      <c r="O10" s="40" t="s">
        <v>35</v>
      </c>
      <c r="P10" s="31" t="s">
        <v>35</v>
      </c>
      <c r="Q10" s="40" t="s">
        <v>35</v>
      </c>
      <c r="R10" s="41">
        <v>100</v>
      </c>
      <c r="S10" s="42">
        <v>0.5</v>
      </c>
      <c r="T10" s="42">
        <v>0</v>
      </c>
      <c r="U10" s="42">
        <v>0</v>
      </c>
    </row>
    <row r="11" spans="1:21" x14ac:dyDescent="0.2">
      <c r="A11" s="31" t="s">
        <v>51</v>
      </c>
      <c r="B11" s="31" t="s">
        <v>52</v>
      </c>
      <c r="C11" s="31" t="s">
        <v>53</v>
      </c>
      <c r="D11" s="31" t="s">
        <v>109</v>
      </c>
      <c r="E11" s="31" t="s">
        <v>110</v>
      </c>
      <c r="F11" s="31" t="s">
        <v>47</v>
      </c>
      <c r="G11" s="31" t="s">
        <v>72</v>
      </c>
      <c r="H11" s="31" t="s">
        <v>33</v>
      </c>
      <c r="I11" s="31" t="s">
        <v>60</v>
      </c>
      <c r="J11" s="31" t="s">
        <v>61</v>
      </c>
      <c r="K11" s="42">
        <v>0.5</v>
      </c>
      <c r="L11" s="31" t="s">
        <v>62</v>
      </c>
      <c r="M11" s="31">
        <v>2016</v>
      </c>
      <c r="N11" s="31" t="s">
        <v>35</v>
      </c>
      <c r="O11" s="40" t="s">
        <v>35</v>
      </c>
      <c r="P11" s="31" t="s">
        <v>35</v>
      </c>
      <c r="Q11" s="40" t="s">
        <v>35</v>
      </c>
      <c r="R11" s="41">
        <v>100</v>
      </c>
      <c r="S11" s="42">
        <v>0.5</v>
      </c>
      <c r="T11" s="42">
        <v>0</v>
      </c>
      <c r="U11" s="42">
        <v>0</v>
      </c>
    </row>
    <row r="12" spans="1:21" x14ac:dyDescent="0.2">
      <c r="A12" s="31" t="s">
        <v>51</v>
      </c>
      <c r="B12" s="31" t="s">
        <v>52</v>
      </c>
      <c r="C12" s="31" t="s">
        <v>53</v>
      </c>
      <c r="D12" s="31" t="s">
        <v>101</v>
      </c>
      <c r="E12" s="31" t="s">
        <v>102</v>
      </c>
      <c r="F12" s="31" t="s">
        <v>46</v>
      </c>
      <c r="G12" s="31" t="s">
        <v>75</v>
      </c>
      <c r="H12" s="31" t="s">
        <v>36</v>
      </c>
      <c r="I12" s="31" t="s">
        <v>60</v>
      </c>
      <c r="J12" s="31" t="s">
        <v>61</v>
      </c>
      <c r="K12" s="42">
        <v>1</v>
      </c>
      <c r="L12" s="31" t="s">
        <v>62</v>
      </c>
      <c r="M12" s="31">
        <v>2016</v>
      </c>
      <c r="N12" s="31" t="s">
        <v>45</v>
      </c>
      <c r="O12" s="40" t="s">
        <v>37</v>
      </c>
      <c r="P12" s="31" t="s">
        <v>48</v>
      </c>
      <c r="Q12" s="40" t="s">
        <v>37</v>
      </c>
      <c r="R12" s="41">
        <v>80</v>
      </c>
      <c r="S12" s="42">
        <v>0.8</v>
      </c>
      <c r="T12" s="42">
        <v>0.1</v>
      </c>
      <c r="U12" s="42">
        <v>0.1</v>
      </c>
    </row>
    <row r="13" spans="1:21" x14ac:dyDescent="0.2">
      <c r="A13" s="31" t="s">
        <v>51</v>
      </c>
      <c r="B13" s="31" t="s">
        <v>52</v>
      </c>
      <c r="C13" s="31" t="s">
        <v>53</v>
      </c>
      <c r="D13" s="31" t="s">
        <v>114</v>
      </c>
      <c r="E13" s="31" t="s">
        <v>115</v>
      </c>
      <c r="F13" s="31" t="s">
        <v>116</v>
      </c>
      <c r="G13" s="31" t="s">
        <v>117</v>
      </c>
      <c r="H13" s="31" t="s">
        <v>33</v>
      </c>
      <c r="I13" s="31" t="s">
        <v>60</v>
      </c>
      <c r="J13" s="31" t="s">
        <v>61</v>
      </c>
      <c r="K13" s="42">
        <v>0.5</v>
      </c>
      <c r="L13" s="31" t="s">
        <v>62</v>
      </c>
      <c r="M13" s="31">
        <v>2016</v>
      </c>
      <c r="N13" s="31" t="s">
        <v>35</v>
      </c>
      <c r="O13" s="40" t="s">
        <v>35</v>
      </c>
      <c r="P13" s="31" t="s">
        <v>35</v>
      </c>
      <c r="Q13" s="40" t="s">
        <v>35</v>
      </c>
      <c r="R13" s="41">
        <v>100</v>
      </c>
      <c r="S13" s="42">
        <v>0.5</v>
      </c>
      <c r="T13" s="42">
        <v>0</v>
      </c>
      <c r="U13" s="42">
        <v>0</v>
      </c>
    </row>
    <row r="14" spans="1:21" x14ac:dyDescent="0.2">
      <c r="A14" s="31" t="s">
        <v>82</v>
      </c>
      <c r="B14" s="31" t="s">
        <v>83</v>
      </c>
      <c r="C14" s="31" t="s">
        <v>84</v>
      </c>
      <c r="D14" s="31" t="s">
        <v>85</v>
      </c>
      <c r="E14" s="31" t="s">
        <v>86</v>
      </c>
      <c r="F14" s="32">
        <v>42928</v>
      </c>
      <c r="G14" s="31" t="s">
        <v>87</v>
      </c>
      <c r="H14" s="31" t="s">
        <v>88</v>
      </c>
      <c r="I14" s="31" t="s">
        <v>62</v>
      </c>
      <c r="J14" s="33" t="s">
        <v>89</v>
      </c>
      <c r="K14" s="42">
        <v>1</v>
      </c>
      <c r="L14" s="31" t="s">
        <v>62</v>
      </c>
      <c r="M14" s="31">
        <v>2016</v>
      </c>
      <c r="N14" s="31" t="s">
        <v>35</v>
      </c>
      <c r="O14" s="40" t="s">
        <v>35</v>
      </c>
      <c r="P14" s="31" t="s">
        <v>35</v>
      </c>
      <c r="Q14" s="40" t="s">
        <v>35</v>
      </c>
      <c r="R14" s="41">
        <v>100</v>
      </c>
      <c r="S14" s="42">
        <v>1</v>
      </c>
      <c r="T14" s="42">
        <v>0</v>
      </c>
      <c r="U14" s="42">
        <v>0</v>
      </c>
    </row>
    <row r="15" spans="1:21" x14ac:dyDescent="0.2">
      <c r="A15" s="31" t="s">
        <v>51</v>
      </c>
      <c r="B15" s="31" t="s">
        <v>52</v>
      </c>
      <c r="C15" s="31" t="s">
        <v>53</v>
      </c>
      <c r="D15" s="31" t="s">
        <v>118</v>
      </c>
      <c r="E15" s="31" t="s">
        <v>115</v>
      </c>
      <c r="F15" s="31" t="s">
        <v>116</v>
      </c>
      <c r="G15" s="31" t="s">
        <v>117</v>
      </c>
      <c r="H15" s="31" t="s">
        <v>33</v>
      </c>
      <c r="I15" s="31" t="s">
        <v>60</v>
      </c>
      <c r="J15" s="31" t="s">
        <v>61</v>
      </c>
      <c r="K15" s="42">
        <v>0.5</v>
      </c>
      <c r="L15" s="31" t="s">
        <v>62</v>
      </c>
      <c r="M15" s="31">
        <v>2016</v>
      </c>
      <c r="N15" s="31" t="s">
        <v>35</v>
      </c>
      <c r="O15" s="40" t="s">
        <v>35</v>
      </c>
      <c r="P15" s="31" t="s">
        <v>35</v>
      </c>
      <c r="Q15" s="40" t="s">
        <v>35</v>
      </c>
      <c r="R15" s="41">
        <v>100</v>
      </c>
      <c r="S15" s="42">
        <v>0.5</v>
      </c>
      <c r="T15" s="42">
        <v>0</v>
      </c>
      <c r="U15" s="42">
        <v>0</v>
      </c>
    </row>
    <row r="16" spans="1:21" x14ac:dyDescent="0.2">
      <c r="A16" s="31" t="s">
        <v>51</v>
      </c>
      <c r="B16" s="31" t="s">
        <v>52</v>
      </c>
      <c r="C16" s="31" t="s">
        <v>53</v>
      </c>
      <c r="D16" s="31" t="s">
        <v>124</v>
      </c>
      <c r="E16" s="31" t="s">
        <v>125</v>
      </c>
      <c r="F16" s="31" t="s">
        <v>50</v>
      </c>
      <c r="G16" s="31" t="s">
        <v>126</v>
      </c>
      <c r="H16" s="31" t="s">
        <v>33</v>
      </c>
      <c r="I16" s="31" t="s">
        <v>60</v>
      </c>
      <c r="J16" s="31" t="s">
        <v>61</v>
      </c>
      <c r="K16" s="42">
        <v>0.5</v>
      </c>
      <c r="L16" s="31" t="s">
        <v>62</v>
      </c>
      <c r="M16" s="31">
        <v>2017</v>
      </c>
      <c r="N16" s="31" t="s">
        <v>48</v>
      </c>
      <c r="O16" s="40" t="s">
        <v>37</v>
      </c>
      <c r="P16" s="31" t="s">
        <v>35</v>
      </c>
      <c r="Q16" s="40" t="s">
        <v>35</v>
      </c>
      <c r="R16" s="41">
        <v>90</v>
      </c>
      <c r="S16" s="42">
        <v>0.45</v>
      </c>
      <c r="T16" s="42">
        <v>0.05</v>
      </c>
      <c r="U16" s="42">
        <v>0</v>
      </c>
    </row>
    <row r="17" spans="1:21" x14ac:dyDescent="0.2">
      <c r="A17" s="31" t="s">
        <v>51</v>
      </c>
      <c r="B17" s="31" t="s">
        <v>52</v>
      </c>
      <c r="C17" s="31" t="s">
        <v>53</v>
      </c>
      <c r="D17" s="31" t="s">
        <v>124</v>
      </c>
      <c r="E17" s="31" t="s">
        <v>125</v>
      </c>
      <c r="F17" s="31" t="s">
        <v>50</v>
      </c>
      <c r="G17" s="31" t="s">
        <v>65</v>
      </c>
      <c r="H17" s="31" t="s">
        <v>33</v>
      </c>
      <c r="I17" s="31" t="s">
        <v>60</v>
      </c>
      <c r="J17" s="31" t="s">
        <v>61</v>
      </c>
      <c r="K17" s="42">
        <v>0.5</v>
      </c>
      <c r="L17" s="31" t="s">
        <v>62</v>
      </c>
      <c r="M17" s="31">
        <v>2017</v>
      </c>
      <c r="N17" s="31" t="s">
        <v>35</v>
      </c>
      <c r="O17" s="40" t="s">
        <v>35</v>
      </c>
      <c r="P17" s="31" t="s">
        <v>35</v>
      </c>
      <c r="Q17" s="40" t="s">
        <v>35</v>
      </c>
      <c r="R17" s="41">
        <v>100</v>
      </c>
      <c r="S17" s="42">
        <v>0.5</v>
      </c>
      <c r="T17" s="42">
        <v>0</v>
      </c>
      <c r="U17" s="42">
        <v>0</v>
      </c>
    </row>
    <row r="18" spans="1:21" x14ac:dyDescent="0.2">
      <c r="A18" s="31" t="s">
        <v>51</v>
      </c>
      <c r="B18" s="31" t="s">
        <v>52</v>
      </c>
      <c r="C18" s="31" t="s">
        <v>53</v>
      </c>
      <c r="D18" s="31" t="s">
        <v>121</v>
      </c>
      <c r="E18" s="31" t="s">
        <v>122</v>
      </c>
      <c r="F18" s="31" t="s">
        <v>123</v>
      </c>
      <c r="G18" s="31" t="s">
        <v>72</v>
      </c>
      <c r="H18" s="31" t="s">
        <v>33</v>
      </c>
      <c r="I18" s="31" t="s">
        <v>60</v>
      </c>
      <c r="J18" s="31" t="s">
        <v>61</v>
      </c>
      <c r="K18" s="42">
        <v>0.5</v>
      </c>
      <c r="L18" s="31" t="s">
        <v>62</v>
      </c>
      <c r="M18" s="31">
        <v>2017</v>
      </c>
      <c r="N18" s="31" t="s">
        <v>35</v>
      </c>
      <c r="O18" s="40" t="s">
        <v>35</v>
      </c>
      <c r="P18" s="31" t="s">
        <v>35</v>
      </c>
      <c r="Q18" s="40" t="s">
        <v>35</v>
      </c>
      <c r="R18" s="41">
        <v>100</v>
      </c>
      <c r="S18" s="42">
        <v>0.5</v>
      </c>
      <c r="T18" s="42">
        <v>0</v>
      </c>
      <c r="U18" s="42">
        <v>0</v>
      </c>
    </row>
    <row r="19" spans="1:21" x14ac:dyDescent="0.2">
      <c r="A19" s="31" t="s">
        <v>51</v>
      </c>
      <c r="B19" s="31" t="s">
        <v>52</v>
      </c>
      <c r="C19" s="31" t="s">
        <v>53</v>
      </c>
      <c r="D19" s="31" t="s">
        <v>129</v>
      </c>
      <c r="E19" s="31" t="s">
        <v>130</v>
      </c>
      <c r="F19" s="31" t="s">
        <v>131</v>
      </c>
      <c r="G19" s="31" t="s">
        <v>73</v>
      </c>
      <c r="H19" s="31" t="s">
        <v>33</v>
      </c>
      <c r="I19" s="31" t="s">
        <v>60</v>
      </c>
      <c r="J19" s="31" t="s">
        <v>61</v>
      </c>
      <c r="K19" s="39">
        <v>0.5</v>
      </c>
      <c r="L19" s="31" t="s">
        <v>62</v>
      </c>
      <c r="M19" s="31">
        <v>2018</v>
      </c>
      <c r="N19" s="31" t="s">
        <v>45</v>
      </c>
      <c r="O19" s="40" t="s">
        <v>34</v>
      </c>
      <c r="P19" s="31" t="s">
        <v>35</v>
      </c>
      <c r="Q19" s="40" t="s">
        <v>35</v>
      </c>
      <c r="R19" s="41">
        <v>50</v>
      </c>
      <c r="S19" s="42">
        <v>0.25</v>
      </c>
      <c r="T19" s="42">
        <v>0.25</v>
      </c>
      <c r="U19" s="42">
        <v>0</v>
      </c>
    </row>
    <row r="20" spans="1:21" x14ac:dyDescent="0.2">
      <c r="A20" s="31" t="s">
        <v>51</v>
      </c>
      <c r="B20" s="31" t="s">
        <v>52</v>
      </c>
      <c r="C20" s="31" t="s">
        <v>53</v>
      </c>
      <c r="D20" s="31" t="s">
        <v>134</v>
      </c>
      <c r="E20" s="31" t="s">
        <v>135</v>
      </c>
      <c r="F20" s="31" t="s">
        <v>39</v>
      </c>
      <c r="G20" s="31" t="s">
        <v>70</v>
      </c>
      <c r="H20" s="31" t="s">
        <v>33</v>
      </c>
      <c r="I20" s="31" t="s">
        <v>60</v>
      </c>
      <c r="J20" s="31" t="s">
        <v>61</v>
      </c>
      <c r="K20" s="39">
        <v>0.5</v>
      </c>
      <c r="L20" s="31" t="s">
        <v>62</v>
      </c>
      <c r="M20" s="31">
        <v>2018</v>
      </c>
      <c r="N20" s="31" t="s">
        <v>45</v>
      </c>
      <c r="O20" s="40" t="s">
        <v>37</v>
      </c>
      <c r="P20" s="31" t="s">
        <v>35</v>
      </c>
      <c r="Q20" s="40" t="s">
        <v>35</v>
      </c>
      <c r="R20" s="41">
        <v>90</v>
      </c>
      <c r="S20" s="42">
        <v>0.45</v>
      </c>
      <c r="T20" s="42">
        <v>0.05</v>
      </c>
      <c r="U20" s="42">
        <v>0</v>
      </c>
    </row>
    <row r="21" spans="1:21" x14ac:dyDescent="0.2">
      <c r="A21" s="31" t="s">
        <v>51</v>
      </c>
      <c r="B21" s="31" t="s">
        <v>52</v>
      </c>
      <c r="C21" s="31" t="s">
        <v>53</v>
      </c>
      <c r="D21" s="31" t="s">
        <v>54</v>
      </c>
      <c r="E21" s="31" t="s">
        <v>55</v>
      </c>
      <c r="F21" s="31" t="s">
        <v>56</v>
      </c>
      <c r="G21" s="31" t="s">
        <v>64</v>
      </c>
      <c r="H21" s="31" t="s">
        <v>33</v>
      </c>
      <c r="I21" s="31" t="s">
        <v>60</v>
      </c>
      <c r="J21" s="31" t="s">
        <v>61</v>
      </c>
      <c r="K21" s="39">
        <v>0.5</v>
      </c>
      <c r="L21" s="31" t="s">
        <v>62</v>
      </c>
      <c r="M21" s="31">
        <v>2018</v>
      </c>
      <c r="N21" s="31" t="s">
        <v>35</v>
      </c>
      <c r="O21" s="40" t="s">
        <v>35</v>
      </c>
      <c r="P21" s="31" t="s">
        <v>35</v>
      </c>
      <c r="Q21" s="40" t="s">
        <v>35</v>
      </c>
      <c r="R21" s="41">
        <v>100</v>
      </c>
      <c r="S21" s="42">
        <v>0.5</v>
      </c>
      <c r="T21" s="42">
        <v>0</v>
      </c>
      <c r="U21" s="42">
        <v>0</v>
      </c>
    </row>
    <row r="22" spans="1:21" x14ac:dyDescent="0.2">
      <c r="A22" s="31" t="s">
        <v>51</v>
      </c>
      <c r="B22" s="31" t="s">
        <v>52</v>
      </c>
      <c r="C22" s="31" t="s">
        <v>53</v>
      </c>
      <c r="D22" s="31" t="s">
        <v>127</v>
      </c>
      <c r="E22" s="31" t="s">
        <v>128</v>
      </c>
      <c r="F22" s="31" t="s">
        <v>58</v>
      </c>
      <c r="G22" s="31" t="s">
        <v>73</v>
      </c>
      <c r="H22" s="31" t="s">
        <v>36</v>
      </c>
      <c r="I22" s="31" t="s">
        <v>60</v>
      </c>
      <c r="J22" s="31" t="s">
        <v>61</v>
      </c>
      <c r="K22" s="39">
        <v>1</v>
      </c>
      <c r="L22" s="31" t="s">
        <v>62</v>
      </c>
      <c r="M22" s="31">
        <v>2018</v>
      </c>
      <c r="N22" s="31" t="s">
        <v>45</v>
      </c>
      <c r="O22" s="40" t="s">
        <v>34</v>
      </c>
      <c r="P22" s="31" t="s">
        <v>35</v>
      </c>
      <c r="Q22" s="40" t="s">
        <v>35</v>
      </c>
      <c r="R22" s="41">
        <v>50</v>
      </c>
      <c r="S22" s="42">
        <v>0.5</v>
      </c>
      <c r="T22" s="42">
        <v>0.5</v>
      </c>
      <c r="U22" s="42">
        <v>0</v>
      </c>
    </row>
    <row r="23" spans="1:21" x14ac:dyDescent="0.2">
      <c r="A23" s="31" t="s">
        <v>51</v>
      </c>
      <c r="B23" s="31" t="s">
        <v>52</v>
      </c>
      <c r="C23" s="31" t="s">
        <v>53</v>
      </c>
      <c r="D23" s="31" t="s">
        <v>138</v>
      </c>
      <c r="E23" s="31" t="s">
        <v>139</v>
      </c>
      <c r="F23" s="31" t="s">
        <v>140</v>
      </c>
      <c r="G23" s="31" t="s">
        <v>68</v>
      </c>
      <c r="H23" s="31" t="s">
        <v>36</v>
      </c>
      <c r="I23" s="31" t="s">
        <v>60</v>
      </c>
      <c r="J23" s="31" t="s">
        <v>61</v>
      </c>
      <c r="K23" s="39">
        <v>1</v>
      </c>
      <c r="L23" s="31" t="s">
        <v>62</v>
      </c>
      <c r="M23" s="31">
        <v>2018</v>
      </c>
      <c r="N23" s="31" t="s">
        <v>35</v>
      </c>
      <c r="O23" s="40" t="s">
        <v>35</v>
      </c>
      <c r="P23" s="31" t="s">
        <v>35</v>
      </c>
      <c r="Q23" s="40" t="s">
        <v>35</v>
      </c>
      <c r="R23" s="41">
        <v>100</v>
      </c>
      <c r="S23" s="42">
        <v>1</v>
      </c>
      <c r="T23" s="42">
        <v>0</v>
      </c>
      <c r="U23" s="42">
        <v>0</v>
      </c>
    </row>
    <row r="24" spans="1:21" x14ac:dyDescent="0.2">
      <c r="A24" s="31" t="s">
        <v>51</v>
      </c>
      <c r="B24" s="31" t="s">
        <v>52</v>
      </c>
      <c r="C24" s="31" t="s">
        <v>53</v>
      </c>
      <c r="D24" s="31" t="s">
        <v>136</v>
      </c>
      <c r="E24" s="31" t="s">
        <v>137</v>
      </c>
      <c r="F24" s="31" t="s">
        <v>42</v>
      </c>
      <c r="G24" s="31" t="s">
        <v>66</v>
      </c>
      <c r="H24" s="31" t="s">
        <v>33</v>
      </c>
      <c r="I24" s="31" t="s">
        <v>60</v>
      </c>
      <c r="J24" s="31" t="s">
        <v>61</v>
      </c>
      <c r="K24" s="39">
        <v>0.5</v>
      </c>
      <c r="L24" s="31" t="s">
        <v>62</v>
      </c>
      <c r="M24" s="31">
        <v>2018</v>
      </c>
      <c r="N24" s="31" t="s">
        <v>35</v>
      </c>
      <c r="O24" s="40" t="s">
        <v>35</v>
      </c>
      <c r="P24" s="31" t="s">
        <v>35</v>
      </c>
      <c r="Q24" s="40" t="s">
        <v>35</v>
      </c>
      <c r="R24" s="41">
        <v>100</v>
      </c>
      <c r="S24" s="42">
        <v>0.5</v>
      </c>
      <c r="T24" s="42">
        <v>0</v>
      </c>
      <c r="U24" s="42">
        <v>0</v>
      </c>
    </row>
    <row r="25" spans="1:21" x14ac:dyDescent="0.2">
      <c r="A25" s="31" t="s">
        <v>51</v>
      </c>
      <c r="B25" s="31" t="s">
        <v>52</v>
      </c>
      <c r="C25" s="31" t="s">
        <v>53</v>
      </c>
      <c r="D25" s="31" t="s">
        <v>136</v>
      </c>
      <c r="E25" s="31" t="s">
        <v>137</v>
      </c>
      <c r="F25" s="31" t="s">
        <v>42</v>
      </c>
      <c r="G25" s="31" t="s">
        <v>67</v>
      </c>
      <c r="H25" s="31" t="s">
        <v>33</v>
      </c>
      <c r="I25" s="31" t="s">
        <v>60</v>
      </c>
      <c r="J25" s="31" t="s">
        <v>61</v>
      </c>
      <c r="K25" s="39">
        <v>0.5</v>
      </c>
      <c r="L25" s="31" t="s">
        <v>62</v>
      </c>
      <c r="M25" s="31">
        <v>2018</v>
      </c>
      <c r="N25" s="31" t="s">
        <v>35</v>
      </c>
      <c r="O25" s="40" t="s">
        <v>35</v>
      </c>
      <c r="P25" s="31" t="s">
        <v>35</v>
      </c>
      <c r="Q25" s="40" t="s">
        <v>35</v>
      </c>
      <c r="R25" s="41">
        <v>100</v>
      </c>
      <c r="S25" s="42">
        <v>0.5</v>
      </c>
      <c r="T25" s="42">
        <v>0</v>
      </c>
      <c r="U25" s="42">
        <v>0</v>
      </c>
    </row>
    <row r="26" spans="1:21" x14ac:dyDescent="0.2">
      <c r="A26" s="31" t="s">
        <v>51</v>
      </c>
      <c r="B26" s="31" t="s">
        <v>52</v>
      </c>
      <c r="C26" s="31" t="s">
        <v>53</v>
      </c>
      <c r="D26" s="31" t="s">
        <v>141</v>
      </c>
      <c r="E26" s="31" t="s">
        <v>142</v>
      </c>
      <c r="F26" s="31" t="s">
        <v>143</v>
      </c>
      <c r="G26" s="31" t="s">
        <v>67</v>
      </c>
      <c r="H26" s="31" t="s">
        <v>36</v>
      </c>
      <c r="I26" s="31" t="s">
        <v>60</v>
      </c>
      <c r="J26" s="31" t="s">
        <v>61</v>
      </c>
      <c r="K26" s="39">
        <v>1</v>
      </c>
      <c r="L26" s="31" t="s">
        <v>62</v>
      </c>
      <c r="M26" s="31">
        <v>2018</v>
      </c>
      <c r="N26" s="31" t="s">
        <v>35</v>
      </c>
      <c r="O26" s="40" t="s">
        <v>35</v>
      </c>
      <c r="P26" s="31" t="s">
        <v>35</v>
      </c>
      <c r="Q26" s="40" t="s">
        <v>35</v>
      </c>
      <c r="R26" s="41">
        <v>100</v>
      </c>
      <c r="S26" s="42">
        <v>1</v>
      </c>
      <c r="T26" s="42">
        <v>0</v>
      </c>
      <c r="U26" s="42">
        <v>0</v>
      </c>
    </row>
    <row r="27" spans="1:21" x14ac:dyDescent="0.2">
      <c r="A27" s="31" t="s">
        <v>51</v>
      </c>
      <c r="B27" s="31" t="s">
        <v>52</v>
      </c>
      <c r="C27" s="31" t="s">
        <v>53</v>
      </c>
      <c r="D27" s="31" t="s">
        <v>132</v>
      </c>
      <c r="E27" s="31" t="s">
        <v>133</v>
      </c>
      <c r="F27" s="31" t="s">
        <v>57</v>
      </c>
      <c r="G27" s="31" t="s">
        <v>70</v>
      </c>
      <c r="H27" s="31" t="s">
        <v>33</v>
      </c>
      <c r="I27" s="31" t="s">
        <v>60</v>
      </c>
      <c r="J27" s="31" t="s">
        <v>61</v>
      </c>
      <c r="K27" s="39">
        <v>0.5</v>
      </c>
      <c r="L27" s="31" t="s">
        <v>62</v>
      </c>
      <c r="M27" s="31">
        <v>2018</v>
      </c>
      <c r="N27" s="31" t="s">
        <v>45</v>
      </c>
      <c r="O27" s="40" t="s">
        <v>37</v>
      </c>
      <c r="P27" s="31" t="s">
        <v>35</v>
      </c>
      <c r="Q27" s="40" t="s">
        <v>35</v>
      </c>
      <c r="R27" s="41">
        <v>90</v>
      </c>
      <c r="S27" s="42">
        <v>0.45</v>
      </c>
      <c r="T27" s="42">
        <v>0.05</v>
      </c>
      <c r="U27" s="42">
        <v>0</v>
      </c>
    </row>
    <row r="28" spans="1:21" x14ac:dyDescent="0.2">
      <c r="A28" s="31" t="s">
        <v>51</v>
      </c>
      <c r="B28" s="31" t="s">
        <v>52</v>
      </c>
      <c r="C28" s="31" t="s">
        <v>53</v>
      </c>
      <c r="D28" s="31" t="s">
        <v>144</v>
      </c>
      <c r="E28" s="31" t="s">
        <v>145</v>
      </c>
      <c r="F28" s="31" t="s">
        <v>44</v>
      </c>
      <c r="G28" s="31" t="s">
        <v>67</v>
      </c>
      <c r="H28" s="31" t="s">
        <v>33</v>
      </c>
      <c r="I28" s="31" t="s">
        <v>60</v>
      </c>
      <c r="J28" s="31" t="s">
        <v>61</v>
      </c>
      <c r="K28" s="39">
        <v>0.5</v>
      </c>
      <c r="L28" s="31" t="s">
        <v>62</v>
      </c>
      <c r="M28" s="31">
        <v>2018</v>
      </c>
      <c r="N28" s="31" t="s">
        <v>35</v>
      </c>
      <c r="O28" s="40" t="s">
        <v>35</v>
      </c>
      <c r="P28" s="31" t="s">
        <v>35</v>
      </c>
      <c r="Q28" s="40" t="s">
        <v>35</v>
      </c>
      <c r="R28" s="41">
        <v>100</v>
      </c>
      <c r="S28" s="42">
        <v>0.5</v>
      </c>
      <c r="T28" s="42">
        <v>0</v>
      </c>
      <c r="U28" s="42">
        <v>0</v>
      </c>
    </row>
    <row r="29" spans="1:21" x14ac:dyDescent="0.2">
      <c r="A29" s="34" t="s">
        <v>51</v>
      </c>
      <c r="B29" s="34" t="s">
        <v>52</v>
      </c>
      <c r="C29" s="34" t="s">
        <v>53</v>
      </c>
      <c r="D29" s="34" t="s">
        <v>240</v>
      </c>
      <c r="E29" s="34" t="s">
        <v>241</v>
      </c>
      <c r="F29" s="34" t="s">
        <v>239</v>
      </c>
      <c r="G29" s="34" t="s">
        <v>72</v>
      </c>
      <c r="H29" s="34" t="s">
        <v>33</v>
      </c>
      <c r="I29" s="34" t="s">
        <v>60</v>
      </c>
      <c r="J29" s="34" t="s">
        <v>61</v>
      </c>
      <c r="K29" s="43">
        <v>0.5</v>
      </c>
      <c r="L29" s="34" t="s">
        <v>62</v>
      </c>
      <c r="M29" s="34">
        <v>2019</v>
      </c>
      <c r="N29" s="34" t="s">
        <v>35</v>
      </c>
      <c r="O29" s="44" t="s">
        <v>35</v>
      </c>
      <c r="P29" s="34" t="s">
        <v>35</v>
      </c>
      <c r="Q29" s="44" t="s">
        <v>35</v>
      </c>
      <c r="R29" s="45">
        <v>100</v>
      </c>
      <c r="S29" s="46">
        <v>0.5</v>
      </c>
      <c r="T29" s="46">
        <v>0</v>
      </c>
      <c r="U29" s="46">
        <v>0</v>
      </c>
    </row>
    <row r="30" spans="1:21" x14ac:dyDescent="0.2">
      <c r="A30" s="34" t="s">
        <v>51</v>
      </c>
      <c r="B30" s="34" t="s">
        <v>52</v>
      </c>
      <c r="C30" s="34" t="s">
        <v>53</v>
      </c>
      <c r="D30" s="34" t="s">
        <v>237</v>
      </c>
      <c r="E30" s="34" t="s">
        <v>238</v>
      </c>
      <c r="F30" s="34" t="s">
        <v>239</v>
      </c>
      <c r="G30" s="34" t="s">
        <v>72</v>
      </c>
      <c r="H30" s="34" t="s">
        <v>33</v>
      </c>
      <c r="I30" s="34" t="s">
        <v>60</v>
      </c>
      <c r="J30" s="34" t="s">
        <v>61</v>
      </c>
      <c r="K30" s="43">
        <v>0.5</v>
      </c>
      <c r="L30" s="34" t="s">
        <v>62</v>
      </c>
      <c r="M30" s="34">
        <v>2019</v>
      </c>
      <c r="N30" s="34" t="s">
        <v>35</v>
      </c>
      <c r="O30" s="44" t="s">
        <v>35</v>
      </c>
      <c r="P30" s="34" t="s">
        <v>35</v>
      </c>
      <c r="Q30" s="44" t="s">
        <v>35</v>
      </c>
      <c r="R30" s="45">
        <v>100</v>
      </c>
      <c r="S30" s="46">
        <v>0.5</v>
      </c>
      <c r="T30" s="46">
        <v>0</v>
      </c>
      <c r="U30" s="46">
        <v>0</v>
      </c>
    </row>
    <row r="31" spans="1:21" x14ac:dyDescent="0.2">
      <c r="A31" s="31" t="s">
        <v>249</v>
      </c>
      <c r="B31" s="31" t="s">
        <v>250</v>
      </c>
      <c r="C31" s="31" t="s">
        <v>251</v>
      </c>
      <c r="D31" s="31" t="s">
        <v>252</v>
      </c>
      <c r="E31" s="31" t="s">
        <v>253</v>
      </c>
      <c r="F31" s="31" t="s">
        <v>254</v>
      </c>
      <c r="G31" s="31" t="s">
        <v>68</v>
      </c>
      <c r="H31" s="31" t="s">
        <v>33</v>
      </c>
      <c r="I31" s="31" t="s">
        <v>60</v>
      </c>
      <c r="J31" s="31" t="s">
        <v>61</v>
      </c>
      <c r="K31" s="47">
        <v>0.5</v>
      </c>
      <c r="L31" s="47" t="s">
        <v>62</v>
      </c>
      <c r="M31" s="48">
        <v>2019</v>
      </c>
      <c r="N31" s="31" t="s">
        <v>35</v>
      </c>
      <c r="O31" s="40" t="s">
        <v>35</v>
      </c>
      <c r="P31" s="31" t="s">
        <v>35</v>
      </c>
      <c r="Q31" s="40" t="s">
        <v>35</v>
      </c>
      <c r="R31" s="31">
        <v>100</v>
      </c>
      <c r="S31" s="31">
        <v>0.5</v>
      </c>
      <c r="T31" s="31">
        <v>0</v>
      </c>
      <c r="U31" s="31">
        <v>0</v>
      </c>
    </row>
    <row r="32" spans="1:21" x14ac:dyDescent="0.2">
      <c r="A32" s="31" t="s">
        <v>249</v>
      </c>
      <c r="B32" s="31" t="s">
        <v>250</v>
      </c>
      <c r="C32" s="31" t="s">
        <v>251</v>
      </c>
      <c r="D32" s="31" t="s">
        <v>255</v>
      </c>
      <c r="E32" s="31" t="s">
        <v>256</v>
      </c>
      <c r="F32" s="31" t="s">
        <v>257</v>
      </c>
      <c r="G32" s="31" t="s">
        <v>68</v>
      </c>
      <c r="H32" s="31" t="s">
        <v>33</v>
      </c>
      <c r="I32" s="31" t="s">
        <v>60</v>
      </c>
      <c r="J32" s="31" t="s">
        <v>61</v>
      </c>
      <c r="K32" s="47">
        <v>0.5</v>
      </c>
      <c r="L32" s="47" t="s">
        <v>62</v>
      </c>
      <c r="M32" s="48">
        <v>2019</v>
      </c>
      <c r="N32" s="31" t="s">
        <v>35</v>
      </c>
      <c r="O32" s="40" t="s">
        <v>35</v>
      </c>
      <c r="P32" s="31" t="s">
        <v>35</v>
      </c>
      <c r="Q32" s="40" t="s">
        <v>35</v>
      </c>
      <c r="R32" s="31">
        <v>100</v>
      </c>
      <c r="S32" s="31">
        <v>0.5</v>
      </c>
      <c r="T32" s="31">
        <v>0</v>
      </c>
      <c r="U32" s="31">
        <v>0</v>
      </c>
    </row>
    <row r="33" spans="1:21" x14ac:dyDescent="0.2">
      <c r="A33" s="31" t="s">
        <v>51</v>
      </c>
      <c r="B33" s="31" t="s">
        <v>52</v>
      </c>
      <c r="C33" s="31" t="s">
        <v>53</v>
      </c>
      <c r="D33" s="31" t="s">
        <v>258</v>
      </c>
      <c r="E33" s="31" t="s">
        <v>259</v>
      </c>
      <c r="F33" s="31" t="s">
        <v>260</v>
      </c>
      <c r="G33" s="31" t="s">
        <v>59</v>
      </c>
      <c r="H33" s="31" t="s">
        <v>33</v>
      </c>
      <c r="I33" s="31" t="s">
        <v>60</v>
      </c>
      <c r="J33" s="31" t="s">
        <v>61</v>
      </c>
      <c r="K33" s="47">
        <v>0.5</v>
      </c>
      <c r="L33" s="47" t="s">
        <v>62</v>
      </c>
      <c r="M33" s="48">
        <v>2019</v>
      </c>
      <c r="N33" s="31" t="s">
        <v>45</v>
      </c>
      <c r="O33" s="40" t="s">
        <v>40</v>
      </c>
      <c r="P33" s="31" t="s">
        <v>35</v>
      </c>
      <c r="Q33" s="40" t="s">
        <v>35</v>
      </c>
      <c r="R33" s="31">
        <v>70</v>
      </c>
      <c r="S33" s="31">
        <v>0.35</v>
      </c>
      <c r="T33" s="31">
        <v>0.15</v>
      </c>
      <c r="U33" s="31">
        <v>0</v>
      </c>
    </row>
    <row r="34" spans="1:21" x14ac:dyDescent="0.2">
      <c r="A34" s="31" t="s">
        <v>51</v>
      </c>
      <c r="B34" s="31" t="s">
        <v>52</v>
      </c>
      <c r="C34" s="31" t="s">
        <v>53</v>
      </c>
      <c r="D34" s="31" t="s">
        <v>258</v>
      </c>
      <c r="E34" s="31" t="s">
        <v>259</v>
      </c>
      <c r="F34" s="31" t="s">
        <v>260</v>
      </c>
      <c r="G34" s="31" t="s">
        <v>75</v>
      </c>
      <c r="H34" s="31" t="s">
        <v>33</v>
      </c>
      <c r="I34" s="31" t="s">
        <v>60</v>
      </c>
      <c r="J34" s="31" t="s">
        <v>61</v>
      </c>
      <c r="K34" s="47">
        <v>0.5</v>
      </c>
      <c r="L34" s="47" t="s">
        <v>62</v>
      </c>
      <c r="M34" s="48">
        <v>2019</v>
      </c>
      <c r="N34" s="31" t="s">
        <v>45</v>
      </c>
      <c r="O34" s="40" t="s">
        <v>41</v>
      </c>
      <c r="P34" s="31" t="s">
        <v>35</v>
      </c>
      <c r="Q34" s="40" t="s">
        <v>35</v>
      </c>
      <c r="R34" s="31">
        <v>80</v>
      </c>
      <c r="S34" s="31">
        <v>0.4</v>
      </c>
      <c r="T34" s="31">
        <v>0.1</v>
      </c>
      <c r="U34" s="31">
        <v>0</v>
      </c>
    </row>
    <row r="35" spans="1:21" x14ac:dyDescent="0.2">
      <c r="A35" s="31" t="s">
        <v>51</v>
      </c>
      <c r="B35" s="31" t="s">
        <v>52</v>
      </c>
      <c r="C35" s="31" t="s">
        <v>53</v>
      </c>
      <c r="D35" s="31" t="s">
        <v>261</v>
      </c>
      <c r="E35" s="31" t="s">
        <v>262</v>
      </c>
      <c r="F35" s="31" t="s">
        <v>263</v>
      </c>
      <c r="G35" s="31" t="s">
        <v>68</v>
      </c>
      <c r="H35" s="31" t="s">
        <v>36</v>
      </c>
      <c r="I35" s="31" t="s">
        <v>60</v>
      </c>
      <c r="J35" s="31" t="s">
        <v>61</v>
      </c>
      <c r="K35" s="47">
        <v>1</v>
      </c>
      <c r="L35" s="47" t="s">
        <v>62</v>
      </c>
      <c r="M35" s="48">
        <v>2019</v>
      </c>
      <c r="N35" s="31" t="s">
        <v>35</v>
      </c>
      <c r="O35" s="40" t="s">
        <v>35</v>
      </c>
      <c r="P35" s="31" t="s">
        <v>35</v>
      </c>
      <c r="Q35" s="40" t="s">
        <v>35</v>
      </c>
      <c r="R35" s="31">
        <v>100</v>
      </c>
      <c r="S35" s="31">
        <v>1</v>
      </c>
      <c r="T35" s="31">
        <v>0</v>
      </c>
      <c r="U35" s="31">
        <v>0</v>
      </c>
    </row>
    <row r="36" spans="1:21" x14ac:dyDescent="0.2">
      <c r="A36" s="31" t="s">
        <v>51</v>
      </c>
      <c r="B36" s="31" t="s">
        <v>52</v>
      </c>
      <c r="C36" s="31" t="s">
        <v>53</v>
      </c>
      <c r="D36" s="31" t="s">
        <v>264</v>
      </c>
      <c r="E36" s="31" t="s">
        <v>265</v>
      </c>
      <c r="F36" s="31" t="s">
        <v>266</v>
      </c>
      <c r="G36" s="31" t="s">
        <v>267</v>
      </c>
      <c r="H36" s="31" t="s">
        <v>33</v>
      </c>
      <c r="I36" s="31" t="s">
        <v>60</v>
      </c>
      <c r="J36" s="31" t="s">
        <v>61</v>
      </c>
      <c r="K36" s="47">
        <v>0.5</v>
      </c>
      <c r="L36" s="47" t="s">
        <v>62</v>
      </c>
      <c r="M36" s="48">
        <v>2019</v>
      </c>
      <c r="N36" s="31" t="s">
        <v>35</v>
      </c>
      <c r="O36" s="40" t="s">
        <v>35</v>
      </c>
      <c r="P36" s="31" t="s">
        <v>35</v>
      </c>
      <c r="Q36" s="40" t="s">
        <v>35</v>
      </c>
      <c r="R36" s="31">
        <v>100</v>
      </c>
      <c r="S36" s="31">
        <v>0.5</v>
      </c>
      <c r="T36" s="31">
        <v>0</v>
      </c>
      <c r="U36" s="31">
        <v>0</v>
      </c>
    </row>
    <row r="37" spans="1:21" ht="10.8" thickBot="1" x14ac:dyDescent="0.25">
      <c r="A37" s="31" t="s">
        <v>51</v>
      </c>
      <c r="B37" s="31" t="s">
        <v>52</v>
      </c>
      <c r="C37" s="31" t="s">
        <v>53</v>
      </c>
      <c r="D37" s="31" t="s">
        <v>264</v>
      </c>
      <c r="E37" s="31" t="s">
        <v>265</v>
      </c>
      <c r="F37" s="31" t="s">
        <v>266</v>
      </c>
      <c r="G37" s="31" t="s">
        <v>126</v>
      </c>
      <c r="H37" s="31" t="s">
        <v>33</v>
      </c>
      <c r="I37" s="31" t="s">
        <v>60</v>
      </c>
      <c r="J37" s="31" t="s">
        <v>61</v>
      </c>
      <c r="K37" s="47">
        <v>0.5</v>
      </c>
      <c r="L37" s="47" t="s">
        <v>62</v>
      </c>
      <c r="M37" s="48">
        <v>2019</v>
      </c>
      <c r="N37" s="31" t="s">
        <v>48</v>
      </c>
      <c r="O37" s="40" t="s">
        <v>37</v>
      </c>
      <c r="P37" s="31" t="s">
        <v>35</v>
      </c>
      <c r="Q37" s="40" t="s">
        <v>35</v>
      </c>
      <c r="R37" s="31">
        <v>90</v>
      </c>
      <c r="S37" s="31">
        <v>0.45</v>
      </c>
      <c r="T37" s="31">
        <v>0.05</v>
      </c>
      <c r="U37" s="31">
        <v>0</v>
      </c>
    </row>
    <row r="38" spans="1:21" ht="10.8" thickBot="1" x14ac:dyDescent="0.25">
      <c r="A38" s="35" t="s">
        <v>51</v>
      </c>
      <c r="B38" s="35" t="s">
        <v>52</v>
      </c>
      <c r="C38" s="35" t="s">
        <v>53</v>
      </c>
      <c r="D38" s="35" t="s">
        <v>268</v>
      </c>
      <c r="E38" s="35" t="s">
        <v>269</v>
      </c>
      <c r="F38" s="35" t="s">
        <v>270</v>
      </c>
      <c r="G38" s="36" t="s">
        <v>69</v>
      </c>
      <c r="H38" s="37" t="s">
        <v>33</v>
      </c>
      <c r="I38" s="37" t="s">
        <v>60</v>
      </c>
      <c r="J38" s="38" t="s">
        <v>61</v>
      </c>
      <c r="K38" s="47">
        <v>0.5</v>
      </c>
      <c r="L38" s="47" t="s">
        <v>62</v>
      </c>
      <c r="M38" s="31">
        <v>2020</v>
      </c>
      <c r="N38" s="31" t="s">
        <v>48</v>
      </c>
      <c r="O38" s="40" t="s">
        <v>37</v>
      </c>
      <c r="P38" s="31" t="s">
        <v>35</v>
      </c>
      <c r="Q38" s="40" t="s">
        <v>35</v>
      </c>
      <c r="R38" s="31">
        <v>90</v>
      </c>
      <c r="S38" s="31">
        <v>0.45</v>
      </c>
      <c r="T38" s="31">
        <v>0.05</v>
      </c>
      <c r="U38" s="31">
        <v>0</v>
      </c>
    </row>
    <row r="39" spans="1:21" ht="10.8" thickBot="1" x14ac:dyDescent="0.25">
      <c r="A39" s="35" t="s">
        <v>51</v>
      </c>
      <c r="B39" s="35" t="s">
        <v>52</v>
      </c>
      <c r="C39" s="35" t="s">
        <v>53</v>
      </c>
      <c r="D39" s="35" t="s">
        <v>268</v>
      </c>
      <c r="E39" s="35" t="s">
        <v>269</v>
      </c>
      <c r="F39" s="35" t="s">
        <v>270</v>
      </c>
      <c r="G39" s="36" t="s">
        <v>63</v>
      </c>
      <c r="H39" s="37" t="s">
        <v>33</v>
      </c>
      <c r="I39" s="37" t="s">
        <v>60</v>
      </c>
      <c r="J39" s="38" t="s">
        <v>61</v>
      </c>
      <c r="K39" s="47">
        <v>0.5</v>
      </c>
      <c r="L39" s="47" t="s">
        <v>62</v>
      </c>
      <c r="M39" s="31">
        <v>2020</v>
      </c>
      <c r="N39" s="31" t="s">
        <v>35</v>
      </c>
      <c r="O39" s="40" t="s">
        <v>35</v>
      </c>
      <c r="P39" s="31" t="s">
        <v>35</v>
      </c>
      <c r="Q39" s="40" t="s">
        <v>35</v>
      </c>
      <c r="R39" s="31">
        <v>100</v>
      </c>
      <c r="S39" s="31">
        <v>0.5</v>
      </c>
      <c r="T39" s="31">
        <v>0</v>
      </c>
      <c r="U39" s="31">
        <v>0</v>
      </c>
    </row>
    <row r="40" spans="1:21" ht="10.8" thickBot="1" x14ac:dyDescent="0.25">
      <c r="A40" s="35" t="s">
        <v>51</v>
      </c>
      <c r="B40" s="35" t="s">
        <v>52</v>
      </c>
      <c r="C40" s="35" t="s">
        <v>53</v>
      </c>
      <c r="D40" s="35" t="s">
        <v>271</v>
      </c>
      <c r="E40" s="35" t="s">
        <v>272</v>
      </c>
      <c r="F40" s="35" t="s">
        <v>273</v>
      </c>
      <c r="G40" s="36" t="s">
        <v>71</v>
      </c>
      <c r="H40" s="37" t="s">
        <v>33</v>
      </c>
      <c r="I40" s="37" t="s">
        <v>60</v>
      </c>
      <c r="J40" s="38" t="s">
        <v>61</v>
      </c>
      <c r="K40" s="47">
        <v>0.5</v>
      </c>
      <c r="L40" s="47" t="s">
        <v>62</v>
      </c>
      <c r="M40" s="31">
        <v>2020</v>
      </c>
      <c r="N40" s="31" t="s">
        <v>35</v>
      </c>
      <c r="O40" s="40" t="s">
        <v>35</v>
      </c>
      <c r="P40" s="31" t="s">
        <v>35</v>
      </c>
      <c r="Q40" s="40" t="s">
        <v>35</v>
      </c>
      <c r="R40" s="31">
        <v>100</v>
      </c>
      <c r="S40" s="31">
        <v>0.5</v>
      </c>
      <c r="T40" s="31">
        <v>0</v>
      </c>
      <c r="U40" s="31">
        <v>0</v>
      </c>
    </row>
    <row r="41" spans="1:21" ht="10.8" thickBot="1" x14ac:dyDescent="0.25">
      <c r="A41" s="35" t="s">
        <v>51</v>
      </c>
      <c r="B41" s="35" t="s">
        <v>52</v>
      </c>
      <c r="C41" s="35" t="s">
        <v>53</v>
      </c>
      <c r="D41" s="35" t="s">
        <v>274</v>
      </c>
      <c r="E41" s="35" t="s">
        <v>275</v>
      </c>
      <c r="F41" s="35" t="s">
        <v>276</v>
      </c>
      <c r="G41" s="36" t="s">
        <v>64</v>
      </c>
      <c r="H41" s="37" t="s">
        <v>33</v>
      </c>
      <c r="I41" s="37" t="s">
        <v>60</v>
      </c>
      <c r="J41" s="38" t="s">
        <v>61</v>
      </c>
      <c r="K41" s="47">
        <v>0.5</v>
      </c>
      <c r="L41" s="47" t="s">
        <v>62</v>
      </c>
      <c r="M41" s="31">
        <v>2020</v>
      </c>
      <c r="N41" s="31" t="s">
        <v>35</v>
      </c>
      <c r="O41" s="40" t="s">
        <v>35</v>
      </c>
      <c r="P41" s="31" t="s">
        <v>35</v>
      </c>
      <c r="Q41" s="40" t="s">
        <v>35</v>
      </c>
      <c r="R41" s="31">
        <v>100</v>
      </c>
      <c r="S41" s="31">
        <v>0.5</v>
      </c>
      <c r="T41" s="31">
        <v>0</v>
      </c>
      <c r="U41" s="31">
        <v>0</v>
      </c>
    </row>
    <row r="42" spans="1:21" ht="10.8" thickBot="1" x14ac:dyDescent="0.25">
      <c r="A42" s="35" t="s">
        <v>51</v>
      </c>
      <c r="B42" s="35" t="s">
        <v>52</v>
      </c>
      <c r="C42" s="35" t="s">
        <v>53</v>
      </c>
      <c r="D42" s="35" t="s">
        <v>274</v>
      </c>
      <c r="E42" s="35" t="s">
        <v>275</v>
      </c>
      <c r="F42" s="35" t="s">
        <v>276</v>
      </c>
      <c r="G42" s="36" t="s">
        <v>74</v>
      </c>
      <c r="H42" s="37" t="s">
        <v>33</v>
      </c>
      <c r="I42" s="37" t="s">
        <v>60</v>
      </c>
      <c r="J42" s="38" t="s">
        <v>61</v>
      </c>
      <c r="K42" s="47">
        <v>0.5</v>
      </c>
      <c r="L42" s="47" t="s">
        <v>62</v>
      </c>
      <c r="M42" s="31">
        <v>2020</v>
      </c>
      <c r="N42" s="31" t="s">
        <v>45</v>
      </c>
      <c r="O42" s="40" t="s">
        <v>41</v>
      </c>
      <c r="P42" s="31" t="s">
        <v>35</v>
      </c>
      <c r="Q42" s="40" t="s">
        <v>35</v>
      </c>
      <c r="R42" s="31">
        <v>80</v>
      </c>
      <c r="S42" s="31">
        <v>0.4</v>
      </c>
      <c r="T42" s="31">
        <v>0.1</v>
      </c>
      <c r="U42" s="31">
        <v>0</v>
      </c>
    </row>
    <row r="43" spans="1:21" ht="10.8" thickBot="1" x14ac:dyDescent="0.25">
      <c r="A43" s="35" t="s">
        <v>51</v>
      </c>
      <c r="B43" s="35" t="s">
        <v>52</v>
      </c>
      <c r="C43" s="35" t="s">
        <v>53</v>
      </c>
      <c r="D43" s="35" t="s">
        <v>277</v>
      </c>
      <c r="E43" s="35" t="s">
        <v>278</v>
      </c>
      <c r="F43" s="35" t="s">
        <v>279</v>
      </c>
      <c r="G43" s="36" t="s">
        <v>126</v>
      </c>
      <c r="H43" s="37" t="s">
        <v>33</v>
      </c>
      <c r="I43" s="37" t="s">
        <v>60</v>
      </c>
      <c r="J43" s="38" t="s">
        <v>61</v>
      </c>
      <c r="K43" s="47">
        <v>0.5</v>
      </c>
      <c r="L43" s="47" t="s">
        <v>62</v>
      </c>
      <c r="M43" s="31">
        <v>2020</v>
      </c>
      <c r="N43" s="31" t="s">
        <v>48</v>
      </c>
      <c r="O43" s="40" t="s">
        <v>37</v>
      </c>
      <c r="P43" s="31" t="s">
        <v>35</v>
      </c>
      <c r="Q43" s="40" t="s">
        <v>35</v>
      </c>
      <c r="R43" s="31">
        <v>90</v>
      </c>
      <c r="S43" s="31">
        <v>0.45</v>
      </c>
      <c r="T43" s="31">
        <v>0.05</v>
      </c>
      <c r="U43" s="31">
        <v>0</v>
      </c>
    </row>
    <row r="44" spans="1:21" ht="10.8" thickBot="1" x14ac:dyDescent="0.25">
      <c r="A44" s="35" t="s">
        <v>51</v>
      </c>
      <c r="B44" s="35" t="s">
        <v>52</v>
      </c>
      <c r="C44" s="35" t="s">
        <v>53</v>
      </c>
      <c r="D44" s="35" t="s">
        <v>280</v>
      </c>
      <c r="E44" s="35" t="s">
        <v>281</v>
      </c>
      <c r="F44" s="35" t="s">
        <v>282</v>
      </c>
      <c r="G44" s="36" t="s">
        <v>68</v>
      </c>
      <c r="H44" s="37" t="s">
        <v>33</v>
      </c>
      <c r="I44" s="37" t="s">
        <v>60</v>
      </c>
      <c r="J44" s="38" t="s">
        <v>61</v>
      </c>
      <c r="K44" s="47">
        <v>0.5</v>
      </c>
      <c r="L44" s="47" t="s">
        <v>62</v>
      </c>
      <c r="M44" s="31">
        <v>2020</v>
      </c>
      <c r="N44" s="31" t="s">
        <v>35</v>
      </c>
      <c r="O44" s="40" t="s">
        <v>35</v>
      </c>
      <c r="P44" s="31" t="s">
        <v>35</v>
      </c>
      <c r="Q44" s="40" t="s">
        <v>35</v>
      </c>
      <c r="R44" s="31">
        <v>100</v>
      </c>
      <c r="S44" s="31">
        <v>0.5</v>
      </c>
      <c r="T44" s="31">
        <v>0</v>
      </c>
      <c r="U44" s="31">
        <v>0</v>
      </c>
    </row>
    <row r="45" spans="1:21" ht="10.8" thickBot="1" x14ac:dyDescent="0.25">
      <c r="A45" s="35" t="s">
        <v>51</v>
      </c>
      <c r="B45" s="35" t="s">
        <v>52</v>
      </c>
      <c r="C45" s="35" t="s">
        <v>53</v>
      </c>
      <c r="D45" s="35" t="s">
        <v>283</v>
      </c>
      <c r="E45" s="35" t="s">
        <v>284</v>
      </c>
      <c r="F45" s="35" t="s">
        <v>285</v>
      </c>
      <c r="G45" s="36" t="s">
        <v>286</v>
      </c>
      <c r="H45" s="37" t="s">
        <v>36</v>
      </c>
      <c r="I45" s="37" t="s">
        <v>60</v>
      </c>
      <c r="J45" s="38" t="s">
        <v>61</v>
      </c>
      <c r="K45" s="47">
        <v>1</v>
      </c>
      <c r="L45" s="47" t="s">
        <v>62</v>
      </c>
      <c r="M45" s="31">
        <v>2020</v>
      </c>
      <c r="N45" s="31" t="s">
        <v>35</v>
      </c>
      <c r="O45" s="40" t="s">
        <v>35</v>
      </c>
      <c r="P45" s="31" t="s">
        <v>35</v>
      </c>
      <c r="Q45" s="40" t="s">
        <v>35</v>
      </c>
      <c r="R45" s="31">
        <v>100</v>
      </c>
      <c r="S45" s="31">
        <v>1</v>
      </c>
      <c r="T45" s="31">
        <v>0</v>
      </c>
      <c r="U45" s="31">
        <v>0</v>
      </c>
    </row>
    <row r="46" spans="1:21" x14ac:dyDescent="0.2">
      <c r="A46" s="31" t="s">
        <v>287</v>
      </c>
      <c r="B46" s="31" t="s">
        <v>288</v>
      </c>
      <c r="C46" s="31" t="s">
        <v>289</v>
      </c>
      <c r="D46" s="31" t="s">
        <v>290</v>
      </c>
      <c r="E46" s="31" t="s">
        <v>291</v>
      </c>
      <c r="F46" s="31" t="s">
        <v>292</v>
      </c>
      <c r="G46" s="31" t="s">
        <v>75</v>
      </c>
      <c r="H46" s="31" t="s">
        <v>33</v>
      </c>
      <c r="I46" s="31" t="s">
        <v>60</v>
      </c>
      <c r="J46" s="31" t="s">
        <v>61</v>
      </c>
      <c r="K46" s="47">
        <v>0.5</v>
      </c>
      <c r="L46" s="47" t="s">
        <v>62</v>
      </c>
      <c r="M46" s="31">
        <v>2020</v>
      </c>
      <c r="N46" s="31" t="s">
        <v>45</v>
      </c>
      <c r="O46" s="40" t="s">
        <v>41</v>
      </c>
      <c r="P46" s="31" t="s">
        <v>35</v>
      </c>
      <c r="Q46" s="40" t="s">
        <v>35</v>
      </c>
      <c r="R46" s="31">
        <v>80</v>
      </c>
      <c r="S46" s="31">
        <v>0.4</v>
      </c>
      <c r="T46" s="31">
        <v>0.1</v>
      </c>
      <c r="U46" s="31">
        <v>0</v>
      </c>
    </row>
    <row r="47" spans="1:21" x14ac:dyDescent="0.2">
      <c r="A47" s="31" t="s">
        <v>51</v>
      </c>
      <c r="B47" s="31" t="s">
        <v>52</v>
      </c>
      <c r="C47" s="31" t="s">
        <v>53</v>
      </c>
      <c r="D47" s="31" t="s">
        <v>325</v>
      </c>
      <c r="E47" s="31" t="s">
        <v>326</v>
      </c>
      <c r="F47" s="31" t="s">
        <v>327</v>
      </c>
      <c r="G47" s="31" t="s">
        <v>72</v>
      </c>
      <c r="H47" s="31" t="s">
        <v>33</v>
      </c>
      <c r="I47" s="31" t="s">
        <v>60</v>
      </c>
      <c r="J47" s="31" t="s">
        <v>61</v>
      </c>
      <c r="K47" s="47">
        <v>0.5</v>
      </c>
      <c r="L47" s="47" t="s">
        <v>62</v>
      </c>
      <c r="M47" s="31">
        <v>2021</v>
      </c>
      <c r="N47" s="31" t="s">
        <v>35</v>
      </c>
      <c r="O47" s="40" t="s">
        <v>35</v>
      </c>
      <c r="P47" s="31" t="s">
        <v>35</v>
      </c>
      <c r="Q47" s="40" t="s">
        <v>35</v>
      </c>
      <c r="R47" s="31">
        <v>100</v>
      </c>
      <c r="S47" s="31">
        <v>0.5</v>
      </c>
      <c r="T47" s="31">
        <v>0</v>
      </c>
      <c r="U47" s="31">
        <v>0</v>
      </c>
    </row>
    <row r="48" spans="1:21" x14ac:dyDescent="0.2">
      <c r="A48" s="31" t="s">
        <v>51</v>
      </c>
      <c r="B48" s="31" t="s">
        <v>52</v>
      </c>
      <c r="C48" s="31" t="s">
        <v>53</v>
      </c>
      <c r="D48" s="31" t="s">
        <v>328</v>
      </c>
      <c r="E48" s="31" t="s">
        <v>329</v>
      </c>
      <c r="F48" s="31" t="s">
        <v>330</v>
      </c>
      <c r="G48" s="31" t="s">
        <v>70</v>
      </c>
      <c r="H48" s="31" t="s">
        <v>33</v>
      </c>
      <c r="I48" s="31" t="s">
        <v>60</v>
      </c>
      <c r="J48" s="31" t="s">
        <v>61</v>
      </c>
      <c r="K48" s="47">
        <v>0.5</v>
      </c>
      <c r="L48" s="47" t="s">
        <v>62</v>
      </c>
      <c r="M48" s="31">
        <v>2021</v>
      </c>
      <c r="N48" s="31" t="s">
        <v>45</v>
      </c>
      <c r="O48" s="40" t="s">
        <v>41</v>
      </c>
      <c r="P48" s="31" t="s">
        <v>35</v>
      </c>
      <c r="Q48" s="40" t="s">
        <v>35</v>
      </c>
      <c r="R48" s="31">
        <v>80</v>
      </c>
      <c r="S48" s="31">
        <v>0.4</v>
      </c>
      <c r="T48" s="31">
        <v>0.1</v>
      </c>
      <c r="U48" s="31">
        <v>0</v>
      </c>
    </row>
    <row r="49" spans="1:21" x14ac:dyDescent="0.2">
      <c r="A49" s="31" t="s">
        <v>51</v>
      </c>
      <c r="B49" s="31" t="s">
        <v>52</v>
      </c>
      <c r="C49" s="31" t="s">
        <v>53</v>
      </c>
      <c r="D49" s="31" t="s">
        <v>331</v>
      </c>
      <c r="E49" s="31" t="s">
        <v>332</v>
      </c>
      <c r="F49" s="31" t="s">
        <v>333</v>
      </c>
      <c r="G49" s="31" t="s">
        <v>70</v>
      </c>
      <c r="H49" s="31" t="s">
        <v>33</v>
      </c>
      <c r="I49" s="31" t="s">
        <v>60</v>
      </c>
      <c r="J49" s="31" t="s">
        <v>61</v>
      </c>
      <c r="K49" s="47">
        <v>0.5</v>
      </c>
      <c r="L49" s="47" t="s">
        <v>62</v>
      </c>
      <c r="M49" s="31">
        <v>2021</v>
      </c>
      <c r="N49" s="31" t="s">
        <v>45</v>
      </c>
      <c r="O49" s="40" t="s">
        <v>41</v>
      </c>
      <c r="P49" s="31" t="s">
        <v>35</v>
      </c>
      <c r="Q49" s="40" t="s">
        <v>35</v>
      </c>
      <c r="R49" s="31">
        <v>80</v>
      </c>
      <c r="S49" s="31">
        <v>0.4</v>
      </c>
      <c r="T49" s="31">
        <v>0.1</v>
      </c>
      <c r="U49" s="31">
        <v>0</v>
      </c>
    </row>
    <row r="50" spans="1:21" x14ac:dyDescent="0.2">
      <c r="A50" s="31" t="s">
        <v>334</v>
      </c>
      <c r="B50" s="31" t="s">
        <v>335</v>
      </c>
      <c r="C50" s="31" t="s">
        <v>53</v>
      </c>
      <c r="D50" s="31" t="s">
        <v>336</v>
      </c>
      <c r="E50" s="31" t="s">
        <v>337</v>
      </c>
      <c r="F50" s="31" t="s">
        <v>327</v>
      </c>
      <c r="G50" s="31" t="s">
        <v>72</v>
      </c>
      <c r="H50" s="31" t="s">
        <v>33</v>
      </c>
      <c r="I50" s="31" t="s">
        <v>60</v>
      </c>
      <c r="J50" s="31" t="s">
        <v>61</v>
      </c>
      <c r="K50" s="47">
        <v>0.5</v>
      </c>
      <c r="L50" s="47" t="s">
        <v>62</v>
      </c>
      <c r="M50" s="31">
        <v>2021</v>
      </c>
      <c r="N50" s="31" t="s">
        <v>35</v>
      </c>
      <c r="O50" s="40" t="s">
        <v>35</v>
      </c>
      <c r="P50" s="31" t="s">
        <v>35</v>
      </c>
      <c r="Q50" s="40" t="s">
        <v>35</v>
      </c>
      <c r="R50" s="31">
        <v>100</v>
      </c>
      <c r="S50" s="31">
        <v>0.5</v>
      </c>
      <c r="T50" s="31">
        <v>0</v>
      </c>
      <c r="U50" s="31">
        <v>0</v>
      </c>
    </row>
    <row r="51" spans="1:2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  <c r="P51" s="14"/>
      <c r="Q51" s="15"/>
      <c r="R51" s="14"/>
      <c r="S51" s="16">
        <f>SUM(S2:S50)</f>
        <v>27.999999999999989</v>
      </c>
      <c r="T51" s="14"/>
      <c r="U51" s="14"/>
    </row>
  </sheetData>
  <autoFilter ref="A1:U50" xr:uid="{00000000-0009-0000-0000-000000000000}">
    <sortState xmlns:xlrd2="http://schemas.microsoft.com/office/spreadsheetml/2017/richdata2" ref="A2:U1884">
      <sortCondition ref="L2:L1884"/>
      <sortCondition ref="M2:M1884"/>
      <sortCondition ref="D2:D188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"/>
  <sheetViews>
    <sheetView zoomScaleNormal="100" workbookViewId="0">
      <selection activeCell="A22" sqref="A22:S22"/>
    </sheetView>
  </sheetViews>
  <sheetFormatPr baseColWidth="10" defaultColWidth="11.44140625" defaultRowHeight="13.2" x14ac:dyDescent="0.25"/>
  <cols>
    <col min="1" max="1" width="10.88671875" style="21" bestFit="1" customWidth="1"/>
    <col min="2" max="2" width="35" style="21" bestFit="1" customWidth="1"/>
    <col min="3" max="3" width="17" style="21" bestFit="1" customWidth="1"/>
    <col min="4" max="9" width="3.33203125" style="21" bestFit="1" customWidth="1"/>
    <col min="10" max="10" width="13.109375" style="21" bestFit="1" customWidth="1"/>
    <col min="11" max="11" width="5.33203125" style="21" bestFit="1" customWidth="1"/>
    <col min="12" max="13" width="5.6640625" style="21" bestFit="1" customWidth="1"/>
    <col min="14" max="14" width="5.6640625" style="22" bestFit="1" customWidth="1"/>
    <col min="15" max="15" width="5.6640625" style="21" bestFit="1" customWidth="1"/>
    <col min="16" max="16" width="5.6640625" style="22" bestFit="1" customWidth="1"/>
    <col min="17" max="19" width="5.6640625" style="21" bestFit="1" customWidth="1"/>
    <col min="20" max="16384" width="11.44140625" style="21"/>
  </cols>
  <sheetData>
    <row r="1" spans="1:19" s="20" customFormat="1" ht="60" customHeight="1" x14ac:dyDescent="0.25">
      <c r="A1" s="23" t="s">
        <v>146</v>
      </c>
      <c r="B1" s="23" t="s">
        <v>147</v>
      </c>
      <c r="C1" s="23" t="s">
        <v>148</v>
      </c>
      <c r="D1" s="24">
        <v>2017</v>
      </c>
      <c r="E1" s="24">
        <v>2018</v>
      </c>
      <c r="F1" s="24">
        <v>2019</v>
      </c>
      <c r="G1" s="24">
        <v>2020</v>
      </c>
      <c r="H1" s="24">
        <v>2021</v>
      </c>
      <c r="I1" s="24">
        <v>2022</v>
      </c>
      <c r="J1" s="23" t="s">
        <v>149</v>
      </c>
      <c r="K1" s="25" t="s">
        <v>244</v>
      </c>
      <c r="L1" s="18" t="s">
        <v>150</v>
      </c>
      <c r="M1" s="18" t="s">
        <v>151</v>
      </c>
      <c r="N1" s="18" t="s">
        <v>152</v>
      </c>
      <c r="O1" s="18" t="s">
        <v>153</v>
      </c>
      <c r="P1" s="19" t="s">
        <v>154</v>
      </c>
      <c r="Q1" s="19" t="s">
        <v>155</v>
      </c>
      <c r="R1" s="19" t="s">
        <v>156</v>
      </c>
      <c r="S1" s="19" t="s">
        <v>157</v>
      </c>
    </row>
    <row r="2" spans="1:19" ht="14.4" x14ac:dyDescent="0.3">
      <c r="A2" s="26" t="s">
        <v>172</v>
      </c>
      <c r="B2" s="26" t="s">
        <v>173</v>
      </c>
      <c r="C2" s="26" t="s">
        <v>158</v>
      </c>
      <c r="D2" s="26"/>
      <c r="E2" s="26"/>
      <c r="F2" s="26"/>
      <c r="G2" s="26">
        <v>1</v>
      </c>
      <c r="H2" s="26"/>
      <c r="I2" s="26"/>
      <c r="J2" s="26">
        <v>1</v>
      </c>
      <c r="K2" s="26" t="s">
        <v>62</v>
      </c>
      <c r="L2" s="27">
        <v>0</v>
      </c>
      <c r="M2" s="27">
        <v>0</v>
      </c>
      <c r="N2" s="27" t="s">
        <v>35</v>
      </c>
      <c r="O2" s="27" t="s">
        <v>35</v>
      </c>
      <c r="P2" s="27">
        <v>100</v>
      </c>
      <c r="Q2" s="27">
        <v>0</v>
      </c>
      <c r="R2" s="27">
        <v>0</v>
      </c>
      <c r="S2" s="27">
        <v>1</v>
      </c>
    </row>
    <row r="3" spans="1:19" ht="14.4" x14ac:dyDescent="0.3">
      <c r="A3" s="26" t="s">
        <v>184</v>
      </c>
      <c r="B3" s="26" t="s">
        <v>185</v>
      </c>
      <c r="C3" s="26" t="s">
        <v>158</v>
      </c>
      <c r="D3" s="26"/>
      <c r="E3" s="26"/>
      <c r="F3" s="26">
        <v>1</v>
      </c>
      <c r="G3" s="26"/>
      <c r="H3" s="26"/>
      <c r="I3" s="26"/>
      <c r="J3" s="26">
        <v>1</v>
      </c>
      <c r="K3" s="26" t="s">
        <v>62</v>
      </c>
      <c r="L3" s="27">
        <v>0</v>
      </c>
      <c r="M3" s="27">
        <v>0</v>
      </c>
      <c r="N3" s="27" t="s">
        <v>35</v>
      </c>
      <c r="O3" s="27" t="s">
        <v>35</v>
      </c>
      <c r="P3" s="27">
        <v>100</v>
      </c>
      <c r="Q3" s="27">
        <v>0</v>
      </c>
      <c r="R3" s="27">
        <v>0</v>
      </c>
      <c r="S3" s="27">
        <v>1</v>
      </c>
    </row>
    <row r="4" spans="1:19" ht="14.4" x14ac:dyDescent="0.3">
      <c r="A4" s="26" t="s">
        <v>174</v>
      </c>
      <c r="B4" s="26" t="s">
        <v>175</v>
      </c>
      <c r="C4" s="26" t="s">
        <v>158</v>
      </c>
      <c r="D4" s="26"/>
      <c r="E4" s="26"/>
      <c r="F4" s="26">
        <v>1</v>
      </c>
      <c r="G4" s="26"/>
      <c r="H4" s="26"/>
      <c r="I4" s="26">
        <v>1</v>
      </c>
      <c r="J4" s="26">
        <v>2</v>
      </c>
      <c r="K4" s="26" t="s">
        <v>62</v>
      </c>
      <c r="L4" s="27">
        <v>0</v>
      </c>
      <c r="M4" s="27">
        <v>0</v>
      </c>
      <c r="N4" s="27" t="s">
        <v>35</v>
      </c>
      <c r="O4" s="27" t="s">
        <v>35</v>
      </c>
      <c r="P4" s="27">
        <v>100</v>
      </c>
      <c r="Q4" s="27">
        <v>0</v>
      </c>
      <c r="R4" s="27">
        <v>0</v>
      </c>
      <c r="S4" s="27">
        <v>2</v>
      </c>
    </row>
    <row r="5" spans="1:19" ht="14.4" x14ac:dyDescent="0.3">
      <c r="A5" s="26" t="s">
        <v>178</v>
      </c>
      <c r="B5" s="26" t="s">
        <v>179</v>
      </c>
      <c r="C5" s="26" t="s">
        <v>158</v>
      </c>
      <c r="D5" s="26"/>
      <c r="E5" s="26">
        <v>1</v>
      </c>
      <c r="F5" s="26">
        <v>1</v>
      </c>
      <c r="G5" s="26"/>
      <c r="H5" s="26"/>
      <c r="I5" s="26"/>
      <c r="J5" s="26">
        <v>2</v>
      </c>
      <c r="K5" s="26" t="s">
        <v>62</v>
      </c>
      <c r="L5" s="27">
        <v>0</v>
      </c>
      <c r="M5" s="27">
        <v>0</v>
      </c>
      <c r="N5" s="27" t="s">
        <v>35</v>
      </c>
      <c r="O5" s="27" t="s">
        <v>35</v>
      </c>
      <c r="P5" s="27">
        <v>100</v>
      </c>
      <c r="Q5" s="27">
        <v>0</v>
      </c>
      <c r="R5" s="27">
        <v>0</v>
      </c>
      <c r="S5" s="27">
        <v>2</v>
      </c>
    </row>
    <row r="6" spans="1:19" ht="14.4" x14ac:dyDescent="0.3">
      <c r="A6" s="26" t="s">
        <v>87</v>
      </c>
      <c r="B6" s="26" t="s">
        <v>186</v>
      </c>
      <c r="C6" s="26" t="s">
        <v>158</v>
      </c>
      <c r="D6" s="26"/>
      <c r="E6" s="26">
        <v>1</v>
      </c>
      <c r="F6" s="26">
        <v>1</v>
      </c>
      <c r="G6" s="26"/>
      <c r="H6" s="26"/>
      <c r="I6" s="26"/>
      <c r="J6" s="26">
        <v>2</v>
      </c>
      <c r="K6" s="26" t="s">
        <v>62</v>
      </c>
      <c r="L6" s="27">
        <v>0</v>
      </c>
      <c r="M6" s="27">
        <v>0</v>
      </c>
      <c r="N6" s="27" t="s">
        <v>35</v>
      </c>
      <c r="O6" s="27" t="s">
        <v>35</v>
      </c>
      <c r="P6" s="27">
        <v>100</v>
      </c>
      <c r="Q6" s="27">
        <v>0</v>
      </c>
      <c r="R6" s="27">
        <v>0</v>
      </c>
      <c r="S6" s="27">
        <v>2</v>
      </c>
    </row>
    <row r="7" spans="1:19" ht="14.4" x14ac:dyDescent="0.3">
      <c r="A7" s="26" t="s">
        <v>166</v>
      </c>
      <c r="B7" s="26" t="s">
        <v>167</v>
      </c>
      <c r="C7" s="26" t="s">
        <v>158</v>
      </c>
      <c r="D7" s="26"/>
      <c r="E7" s="26">
        <v>1</v>
      </c>
      <c r="F7" s="26"/>
      <c r="G7" s="26"/>
      <c r="H7" s="26"/>
      <c r="I7" s="26"/>
      <c r="J7" s="26">
        <v>1</v>
      </c>
      <c r="K7" s="26" t="s">
        <v>62</v>
      </c>
      <c r="L7" s="27">
        <v>0</v>
      </c>
      <c r="M7" s="27">
        <v>0</v>
      </c>
      <c r="N7" s="27" t="s">
        <v>35</v>
      </c>
      <c r="O7" s="27" t="s">
        <v>35</v>
      </c>
      <c r="P7" s="27">
        <v>100</v>
      </c>
      <c r="Q7" s="27">
        <v>0</v>
      </c>
      <c r="R7" s="27">
        <v>0</v>
      </c>
      <c r="S7" s="27">
        <v>1</v>
      </c>
    </row>
    <row r="8" spans="1:19" ht="14.4" x14ac:dyDescent="0.3">
      <c r="A8" s="26" t="s">
        <v>168</v>
      </c>
      <c r="B8" s="26" t="s">
        <v>169</v>
      </c>
      <c r="C8" s="26" t="s">
        <v>158</v>
      </c>
      <c r="D8" s="26">
        <v>1</v>
      </c>
      <c r="E8" s="26"/>
      <c r="F8" s="26">
        <v>1</v>
      </c>
      <c r="G8" s="26"/>
      <c r="H8" s="26"/>
      <c r="I8" s="26"/>
      <c r="J8" s="26">
        <v>2</v>
      </c>
      <c r="K8" s="26" t="s">
        <v>62</v>
      </c>
      <c r="L8" s="27" t="s">
        <v>45</v>
      </c>
      <c r="M8" s="27" t="s">
        <v>41</v>
      </c>
      <c r="N8" s="27" t="s">
        <v>35</v>
      </c>
      <c r="O8" s="27" t="s">
        <v>35</v>
      </c>
      <c r="P8" s="27">
        <v>80</v>
      </c>
      <c r="Q8" s="27">
        <v>0.4</v>
      </c>
      <c r="R8" s="27">
        <v>0</v>
      </c>
      <c r="S8" s="27">
        <v>1.6</v>
      </c>
    </row>
    <row r="9" spans="1:19" ht="14.4" x14ac:dyDescent="0.3">
      <c r="A9" s="49" t="s">
        <v>162</v>
      </c>
      <c r="B9" s="49" t="s">
        <v>163</v>
      </c>
      <c r="C9" s="50" t="s">
        <v>158</v>
      </c>
      <c r="D9" s="49">
        <v>1</v>
      </c>
      <c r="E9" s="49"/>
      <c r="F9" s="49"/>
      <c r="G9" s="49"/>
      <c r="H9" s="49"/>
      <c r="I9" s="49"/>
      <c r="J9" s="26">
        <v>1</v>
      </c>
      <c r="K9" s="26" t="s">
        <v>62</v>
      </c>
      <c r="L9" s="27">
        <v>0</v>
      </c>
      <c r="M9" s="27">
        <v>0</v>
      </c>
      <c r="N9" s="27" t="s">
        <v>35</v>
      </c>
      <c r="O9" s="27" t="s">
        <v>35</v>
      </c>
      <c r="P9" s="27">
        <v>100</v>
      </c>
      <c r="Q9" s="27">
        <v>0</v>
      </c>
      <c r="R9" s="27">
        <v>0</v>
      </c>
      <c r="S9" s="27">
        <v>1</v>
      </c>
    </row>
    <row r="10" spans="1:19" ht="14.4" x14ac:dyDescent="0.3">
      <c r="A10" s="26" t="s">
        <v>182</v>
      </c>
      <c r="B10" s="26" t="s">
        <v>183</v>
      </c>
      <c r="C10" s="26" t="s">
        <v>159</v>
      </c>
      <c r="D10" s="26"/>
      <c r="E10" s="26"/>
      <c r="F10" s="26"/>
      <c r="G10" s="26">
        <v>1</v>
      </c>
      <c r="H10" s="26"/>
      <c r="I10" s="26">
        <v>1</v>
      </c>
      <c r="J10" s="26">
        <v>2</v>
      </c>
      <c r="K10" s="26" t="s">
        <v>62</v>
      </c>
      <c r="L10" s="27" t="s">
        <v>48</v>
      </c>
      <c r="M10" s="27" t="s">
        <v>37</v>
      </c>
      <c r="N10" s="27" t="s">
        <v>35</v>
      </c>
      <c r="O10" s="27" t="s">
        <v>35</v>
      </c>
      <c r="P10" s="27">
        <v>90</v>
      </c>
      <c r="Q10" s="27">
        <v>0.2</v>
      </c>
      <c r="R10" s="27">
        <v>0</v>
      </c>
      <c r="S10" s="27">
        <v>1.8</v>
      </c>
    </row>
    <row r="11" spans="1:19" ht="14.4" x14ac:dyDescent="0.3">
      <c r="A11" s="26" t="s">
        <v>338</v>
      </c>
      <c r="B11" s="26" t="s">
        <v>339</v>
      </c>
      <c r="C11" s="26" t="s">
        <v>159</v>
      </c>
      <c r="D11" s="26"/>
      <c r="E11" s="26"/>
      <c r="F11" s="26"/>
      <c r="G11" s="26"/>
      <c r="H11" s="26"/>
      <c r="I11" s="26">
        <v>1</v>
      </c>
      <c r="J11" s="26">
        <v>1</v>
      </c>
      <c r="K11" s="26" t="s">
        <v>62</v>
      </c>
      <c r="L11" s="27">
        <v>0</v>
      </c>
      <c r="M11" s="27">
        <v>0</v>
      </c>
      <c r="N11" s="27" t="s">
        <v>35</v>
      </c>
      <c r="O11" s="27" t="s">
        <v>35</v>
      </c>
      <c r="P11" s="27">
        <v>100</v>
      </c>
      <c r="Q11" s="27">
        <v>0</v>
      </c>
      <c r="R11" s="27">
        <v>0</v>
      </c>
      <c r="S11" s="27">
        <v>1</v>
      </c>
    </row>
    <row r="12" spans="1:19" ht="14.4" x14ac:dyDescent="0.3">
      <c r="A12" s="49" t="s">
        <v>245</v>
      </c>
      <c r="B12" s="49" t="s">
        <v>246</v>
      </c>
      <c r="C12" s="50" t="s">
        <v>158</v>
      </c>
      <c r="D12" s="49"/>
      <c r="E12" s="49"/>
      <c r="F12" s="49"/>
      <c r="G12" s="49"/>
      <c r="H12" s="49">
        <v>1</v>
      </c>
      <c r="I12" s="49"/>
      <c r="J12" s="26">
        <v>1</v>
      </c>
      <c r="K12" s="26" t="s">
        <v>62</v>
      </c>
      <c r="L12" s="27" t="s">
        <v>48</v>
      </c>
      <c r="M12" s="27" t="s">
        <v>37</v>
      </c>
      <c r="N12" s="27" t="s">
        <v>35</v>
      </c>
      <c r="O12" s="27" t="s">
        <v>35</v>
      </c>
      <c r="P12" s="27">
        <v>90</v>
      </c>
      <c r="Q12" s="27">
        <v>0.1</v>
      </c>
      <c r="R12" s="27">
        <v>0</v>
      </c>
      <c r="S12" s="27">
        <v>0.9</v>
      </c>
    </row>
    <row r="13" spans="1:19" ht="14.4" x14ac:dyDescent="0.3">
      <c r="A13" s="49" t="s">
        <v>247</v>
      </c>
      <c r="B13" s="49" t="s">
        <v>248</v>
      </c>
      <c r="C13" s="50" t="s">
        <v>158</v>
      </c>
      <c r="D13" s="49"/>
      <c r="E13" s="49"/>
      <c r="F13" s="49">
        <v>1</v>
      </c>
      <c r="G13" s="49"/>
      <c r="H13" s="49"/>
      <c r="I13" s="49">
        <v>1</v>
      </c>
      <c r="J13" s="26">
        <v>2</v>
      </c>
      <c r="K13" s="26" t="s">
        <v>62</v>
      </c>
      <c r="L13" s="27">
        <v>0</v>
      </c>
      <c r="M13" s="27">
        <v>0</v>
      </c>
      <c r="N13" s="27" t="s">
        <v>35</v>
      </c>
      <c r="O13" s="27" t="s">
        <v>35</v>
      </c>
      <c r="P13" s="27">
        <v>100</v>
      </c>
      <c r="Q13" s="27">
        <v>0</v>
      </c>
      <c r="R13" s="27">
        <v>0</v>
      </c>
      <c r="S13" s="27">
        <v>2</v>
      </c>
    </row>
    <row r="14" spans="1:19" ht="14.4" x14ac:dyDescent="0.3">
      <c r="A14" s="26" t="s">
        <v>180</v>
      </c>
      <c r="B14" s="26" t="s">
        <v>181</v>
      </c>
      <c r="C14" s="26">
        <v>6</v>
      </c>
      <c r="D14" s="26"/>
      <c r="E14" s="26"/>
      <c r="F14" s="26">
        <v>1</v>
      </c>
      <c r="G14" s="26"/>
      <c r="H14" s="26">
        <v>1</v>
      </c>
      <c r="I14" s="26"/>
      <c r="J14" s="26">
        <v>2</v>
      </c>
      <c r="K14" s="26" t="s">
        <v>62</v>
      </c>
      <c r="L14" s="27" t="s">
        <v>45</v>
      </c>
      <c r="M14" s="27" t="s">
        <v>34</v>
      </c>
      <c r="N14" s="27" t="s">
        <v>35</v>
      </c>
      <c r="O14" s="27" t="s">
        <v>35</v>
      </c>
      <c r="P14" s="27">
        <v>50</v>
      </c>
      <c r="Q14" s="27">
        <v>1</v>
      </c>
      <c r="R14" s="27">
        <v>0</v>
      </c>
      <c r="S14" s="27">
        <v>1</v>
      </c>
    </row>
    <row r="15" spans="1:19" ht="14.4" x14ac:dyDescent="0.3">
      <c r="A15" s="26" t="s">
        <v>160</v>
      </c>
      <c r="B15" s="26" t="s">
        <v>161</v>
      </c>
      <c r="C15" s="26">
        <v>6</v>
      </c>
      <c r="D15" s="26"/>
      <c r="E15" s="26"/>
      <c r="F15" s="26"/>
      <c r="G15" s="26">
        <v>1</v>
      </c>
      <c r="H15" s="26"/>
      <c r="I15" s="26"/>
      <c r="J15" s="26">
        <v>1</v>
      </c>
      <c r="K15" s="26" t="s">
        <v>62</v>
      </c>
      <c r="L15" s="27" t="s">
        <v>45</v>
      </c>
      <c r="M15" s="27" t="s">
        <v>41</v>
      </c>
      <c r="N15" s="27" t="s">
        <v>35</v>
      </c>
      <c r="O15" s="27" t="s">
        <v>35</v>
      </c>
      <c r="P15" s="27">
        <v>80</v>
      </c>
      <c r="Q15" s="27">
        <v>0.2</v>
      </c>
      <c r="R15" s="27">
        <v>0</v>
      </c>
      <c r="S15" s="27">
        <v>0.8</v>
      </c>
    </row>
    <row r="16" spans="1:19" ht="14.4" x14ac:dyDescent="0.3">
      <c r="A16" s="26" t="s">
        <v>170</v>
      </c>
      <c r="B16" s="26" t="s">
        <v>171</v>
      </c>
      <c r="C16" s="26" t="s">
        <v>158</v>
      </c>
      <c r="D16" s="26"/>
      <c r="E16" s="26"/>
      <c r="F16" s="26">
        <v>1</v>
      </c>
      <c r="G16" s="26"/>
      <c r="H16" s="26">
        <v>1</v>
      </c>
      <c r="I16" s="26"/>
      <c r="J16" s="26">
        <v>2</v>
      </c>
      <c r="K16" s="26" t="s">
        <v>62</v>
      </c>
      <c r="L16" s="27" t="s">
        <v>45</v>
      </c>
      <c r="M16" s="27" t="s">
        <v>41</v>
      </c>
      <c r="N16" s="27" t="s">
        <v>35</v>
      </c>
      <c r="O16" s="27" t="s">
        <v>35</v>
      </c>
      <c r="P16" s="27">
        <v>80</v>
      </c>
      <c r="Q16" s="27">
        <v>0.4</v>
      </c>
      <c r="R16" s="27">
        <v>0</v>
      </c>
      <c r="S16" s="27">
        <v>1.6</v>
      </c>
    </row>
    <row r="17" spans="1:19" ht="14.4" x14ac:dyDescent="0.3">
      <c r="A17" s="26" t="s">
        <v>340</v>
      </c>
      <c r="B17" s="26" t="s">
        <v>341</v>
      </c>
      <c r="C17" s="26" t="s">
        <v>159</v>
      </c>
      <c r="D17" s="26"/>
      <c r="E17" s="26"/>
      <c r="F17" s="26"/>
      <c r="G17" s="26"/>
      <c r="H17" s="26"/>
      <c r="I17" s="26">
        <v>1</v>
      </c>
      <c r="J17" s="26">
        <v>1</v>
      </c>
      <c r="K17" s="26" t="s">
        <v>62</v>
      </c>
      <c r="L17" s="27">
        <v>0</v>
      </c>
      <c r="M17" s="27">
        <v>0</v>
      </c>
      <c r="N17" s="27" t="s">
        <v>35</v>
      </c>
      <c r="O17" s="27" t="s">
        <v>35</v>
      </c>
      <c r="P17" s="27">
        <v>100</v>
      </c>
      <c r="Q17" s="27">
        <v>0</v>
      </c>
      <c r="R17" s="27">
        <v>0</v>
      </c>
      <c r="S17" s="27">
        <v>1</v>
      </c>
    </row>
    <row r="18" spans="1:19" ht="14.4" x14ac:dyDescent="0.3">
      <c r="A18" s="26" t="s">
        <v>187</v>
      </c>
      <c r="B18" s="26" t="s">
        <v>188</v>
      </c>
      <c r="C18" s="26" t="s">
        <v>158</v>
      </c>
      <c r="D18" s="26"/>
      <c r="E18" s="26"/>
      <c r="F18" s="26">
        <v>1</v>
      </c>
      <c r="G18" s="26"/>
      <c r="H18" s="26">
        <v>1</v>
      </c>
      <c r="I18" s="26"/>
      <c r="J18" s="26">
        <v>2</v>
      </c>
      <c r="K18" s="26" t="s">
        <v>62</v>
      </c>
      <c r="L18" s="27" t="s">
        <v>45</v>
      </c>
      <c r="M18" s="27" t="s">
        <v>40</v>
      </c>
      <c r="N18" s="27" t="s">
        <v>35</v>
      </c>
      <c r="O18" s="27" t="s">
        <v>35</v>
      </c>
      <c r="P18" s="27">
        <v>70</v>
      </c>
      <c r="Q18" s="27">
        <v>0.6</v>
      </c>
      <c r="R18" s="27">
        <v>0</v>
      </c>
      <c r="S18" s="27">
        <v>1.4</v>
      </c>
    </row>
    <row r="19" spans="1:19" ht="14.4" x14ac:dyDescent="0.3">
      <c r="A19" s="26" t="s">
        <v>164</v>
      </c>
      <c r="B19" s="26" t="s">
        <v>165</v>
      </c>
      <c r="C19" s="26" t="s">
        <v>159</v>
      </c>
      <c r="D19" s="26"/>
      <c r="E19" s="26"/>
      <c r="F19" s="26"/>
      <c r="G19" s="26">
        <v>1</v>
      </c>
      <c r="H19" s="26"/>
      <c r="I19" s="26"/>
      <c r="J19" s="26">
        <v>1</v>
      </c>
      <c r="K19" s="26" t="s">
        <v>62</v>
      </c>
      <c r="L19" s="27">
        <v>0</v>
      </c>
      <c r="M19" s="27">
        <v>0</v>
      </c>
      <c r="N19" s="27" t="s">
        <v>35</v>
      </c>
      <c r="O19" s="27" t="s">
        <v>35</v>
      </c>
      <c r="P19" s="27">
        <v>100</v>
      </c>
      <c r="Q19" s="27">
        <v>0</v>
      </c>
      <c r="R19" s="27">
        <v>0</v>
      </c>
      <c r="S19" s="27">
        <v>1</v>
      </c>
    </row>
    <row r="20" spans="1:19" ht="14.4" x14ac:dyDescent="0.3">
      <c r="A20" s="26" t="s">
        <v>176</v>
      </c>
      <c r="B20" s="26" t="s">
        <v>177</v>
      </c>
      <c r="C20" s="26" t="s">
        <v>159</v>
      </c>
      <c r="D20" s="26">
        <v>1</v>
      </c>
      <c r="E20" s="26"/>
      <c r="F20" s="26"/>
      <c r="G20" s="26">
        <v>1</v>
      </c>
      <c r="H20" s="26"/>
      <c r="I20" s="26"/>
      <c r="J20" s="26">
        <v>2</v>
      </c>
      <c r="K20" s="26" t="s">
        <v>62</v>
      </c>
      <c r="L20" s="27">
        <v>0</v>
      </c>
      <c r="M20" s="27">
        <v>0</v>
      </c>
      <c r="N20" s="27" t="s">
        <v>35</v>
      </c>
      <c r="O20" s="27" t="s">
        <v>35</v>
      </c>
      <c r="P20" s="27">
        <v>100</v>
      </c>
      <c r="Q20" s="27">
        <v>0</v>
      </c>
      <c r="R20" s="27">
        <v>0</v>
      </c>
      <c r="S20" s="27">
        <v>2</v>
      </c>
    </row>
    <row r="21" spans="1:19" ht="14.4" x14ac:dyDescent="0.3">
      <c r="A21" s="26" t="s">
        <v>242</v>
      </c>
      <c r="B21" s="26" t="s">
        <v>243</v>
      </c>
      <c r="C21" s="26" t="s">
        <v>159</v>
      </c>
      <c r="D21" s="26"/>
      <c r="E21" s="26"/>
      <c r="F21" s="26">
        <v>1</v>
      </c>
      <c r="G21" s="26"/>
      <c r="H21" s="26"/>
      <c r="I21" s="26">
        <v>1</v>
      </c>
      <c r="J21" s="26">
        <v>2</v>
      </c>
      <c r="K21" s="26" t="s">
        <v>62</v>
      </c>
      <c r="L21" s="27">
        <v>0</v>
      </c>
      <c r="M21" s="27">
        <v>0</v>
      </c>
      <c r="N21" s="27" t="s">
        <v>35</v>
      </c>
      <c r="O21" s="27" t="s">
        <v>35</v>
      </c>
      <c r="P21" s="27">
        <v>100</v>
      </c>
      <c r="Q21" s="27">
        <v>0</v>
      </c>
      <c r="R21" s="27">
        <v>0</v>
      </c>
      <c r="S21" s="27">
        <v>2</v>
      </c>
    </row>
    <row r="22" spans="1:19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2"/>
      <c r="O22" s="51"/>
      <c r="P22" s="52"/>
      <c r="Q22" s="51"/>
      <c r="R22" s="51"/>
      <c r="S22" s="53">
        <f>SUM(S2:S21)</f>
        <v>28.1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topLeftCell="A34" zoomScaleNormal="100" workbookViewId="0">
      <selection activeCell="B64" sqref="B6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189</v>
      </c>
      <c r="B3" s="5">
        <v>405</v>
      </c>
    </row>
    <row r="4" spans="1:2" x14ac:dyDescent="0.2">
      <c r="A4" s="4" t="s">
        <v>190</v>
      </c>
      <c r="B4" s="5">
        <v>405</v>
      </c>
    </row>
    <row r="5" spans="1:2" x14ac:dyDescent="0.2">
      <c r="A5" s="4" t="s">
        <v>191</v>
      </c>
      <c r="B5" s="5">
        <v>405</v>
      </c>
    </row>
    <row r="6" spans="1:2" x14ac:dyDescent="0.2">
      <c r="A6" s="4" t="s">
        <v>192</v>
      </c>
      <c r="B6" s="5">
        <v>405</v>
      </c>
    </row>
    <row r="7" spans="1:2" x14ac:dyDescent="0.2">
      <c r="A7" s="4" t="s">
        <v>193</v>
      </c>
      <c r="B7" s="5">
        <v>405</v>
      </c>
    </row>
    <row r="8" spans="1:2" x14ac:dyDescent="0.2">
      <c r="A8" s="4" t="s">
        <v>194</v>
      </c>
      <c r="B8" s="5">
        <v>405</v>
      </c>
    </row>
    <row r="9" spans="1:2" x14ac:dyDescent="0.2">
      <c r="A9" s="4" t="s">
        <v>195</v>
      </c>
      <c r="B9" s="5">
        <v>405</v>
      </c>
    </row>
    <row r="10" spans="1:2" x14ac:dyDescent="0.2">
      <c r="A10" s="4" t="s">
        <v>196</v>
      </c>
      <c r="B10" s="5">
        <v>405</v>
      </c>
    </row>
    <row r="11" spans="1:2" x14ac:dyDescent="0.2">
      <c r="A11" s="4" t="s">
        <v>197</v>
      </c>
      <c r="B11" s="5">
        <v>405</v>
      </c>
    </row>
    <row r="12" spans="1:2" x14ac:dyDescent="0.2">
      <c r="A12" s="4" t="s">
        <v>198</v>
      </c>
      <c r="B12" s="5">
        <v>405</v>
      </c>
    </row>
    <row r="13" spans="1:2" x14ac:dyDescent="0.2">
      <c r="A13" s="4" t="s">
        <v>199</v>
      </c>
      <c r="B13" s="5">
        <v>405</v>
      </c>
    </row>
    <row r="14" spans="1:2" x14ac:dyDescent="0.2">
      <c r="A14" s="4" t="s">
        <v>4</v>
      </c>
      <c r="B14" s="5"/>
    </row>
    <row r="15" spans="1:2" x14ac:dyDescent="0.2">
      <c r="A15" s="4" t="s">
        <v>200</v>
      </c>
      <c r="B15" s="5">
        <v>405</v>
      </c>
    </row>
    <row r="16" spans="1:2" x14ac:dyDescent="0.2">
      <c r="A16" s="4" t="s">
        <v>201</v>
      </c>
      <c r="B16" s="5">
        <v>405</v>
      </c>
    </row>
    <row r="17" spans="1:2" x14ac:dyDescent="0.2">
      <c r="A17" s="4" t="s">
        <v>202</v>
      </c>
      <c r="B17" s="5">
        <v>405</v>
      </c>
    </row>
    <row r="18" spans="1:2" x14ac:dyDescent="0.2">
      <c r="A18" s="4" t="s">
        <v>203</v>
      </c>
      <c r="B18" s="5">
        <v>405</v>
      </c>
    </row>
    <row r="19" spans="1:2" x14ac:dyDescent="0.2">
      <c r="A19" s="4" t="s">
        <v>204</v>
      </c>
      <c r="B19" s="5">
        <v>405</v>
      </c>
    </row>
    <row r="20" spans="1:2" x14ac:dyDescent="0.2">
      <c r="A20" s="4" t="s">
        <v>205</v>
      </c>
      <c r="B20" s="5">
        <v>405</v>
      </c>
    </row>
    <row r="21" spans="1:2" x14ac:dyDescent="0.2">
      <c r="A21" s="4" t="s">
        <v>206</v>
      </c>
      <c r="B21" s="5">
        <v>405</v>
      </c>
    </row>
    <row r="22" spans="1:2" x14ac:dyDescent="0.2">
      <c r="A22" s="4" t="s">
        <v>207</v>
      </c>
      <c r="B22" s="5">
        <v>405</v>
      </c>
    </row>
    <row r="23" spans="1:2" x14ac:dyDescent="0.2">
      <c r="A23" s="4" t="s">
        <v>208</v>
      </c>
      <c r="B23" s="5">
        <v>405</v>
      </c>
    </row>
    <row r="24" spans="1:2" x14ac:dyDescent="0.2">
      <c r="A24" s="4" t="s">
        <v>209</v>
      </c>
      <c r="B24" s="5">
        <v>405</v>
      </c>
    </row>
    <row r="25" spans="1:2" x14ac:dyDescent="0.2">
      <c r="A25" s="4" t="s">
        <v>210</v>
      </c>
      <c r="B25" s="5">
        <v>405</v>
      </c>
    </row>
    <row r="26" spans="1:2" x14ac:dyDescent="0.2">
      <c r="A26" s="4" t="s">
        <v>5</v>
      </c>
      <c r="B26" s="5"/>
    </row>
    <row r="27" spans="1:2" x14ac:dyDescent="0.2">
      <c r="A27" s="4" t="s">
        <v>211</v>
      </c>
      <c r="B27" s="5">
        <v>2425.91</v>
      </c>
    </row>
    <row r="28" spans="1:2" x14ac:dyDescent="0.2">
      <c r="A28" s="4" t="s">
        <v>212</v>
      </c>
      <c r="B28" s="5">
        <v>2425.91</v>
      </c>
    </row>
    <row r="29" spans="1:2" x14ac:dyDescent="0.2">
      <c r="A29" s="4" t="s">
        <v>213</v>
      </c>
      <c r="B29" s="5">
        <v>2425.91</v>
      </c>
    </row>
    <row r="30" spans="1:2" x14ac:dyDescent="0.2">
      <c r="A30" s="4" t="s">
        <v>214</v>
      </c>
      <c r="B30" s="5">
        <v>4851.82</v>
      </c>
    </row>
    <row r="31" spans="1:2" x14ac:dyDescent="0.2">
      <c r="A31" s="4" t="s">
        <v>215</v>
      </c>
      <c r="B31" s="5">
        <v>2425.91</v>
      </c>
    </row>
    <row r="32" spans="1:2" x14ac:dyDescent="0.2">
      <c r="A32" s="4" t="s">
        <v>216</v>
      </c>
      <c r="B32" s="5"/>
    </row>
    <row r="33" spans="1:3" x14ac:dyDescent="0.2">
      <c r="A33" s="4" t="s">
        <v>217</v>
      </c>
      <c r="B33" s="5">
        <v>10300</v>
      </c>
    </row>
    <row r="34" spans="1:3" x14ac:dyDescent="0.2">
      <c r="A34" s="4" t="s">
        <v>218</v>
      </c>
      <c r="B34" s="5">
        <v>84.79</v>
      </c>
    </row>
    <row r="35" spans="1:3" x14ac:dyDescent="0.2">
      <c r="A35" s="4" t="s">
        <v>11</v>
      </c>
      <c r="B35" s="5"/>
    </row>
    <row r="36" spans="1:3" x14ac:dyDescent="0.2">
      <c r="A36" s="4" t="s">
        <v>219</v>
      </c>
      <c r="B36" s="5">
        <v>8545.6</v>
      </c>
    </row>
    <row r="37" spans="1:3" x14ac:dyDescent="0.2">
      <c r="A37" s="4" t="s">
        <v>6</v>
      </c>
      <c r="B37" s="5"/>
    </row>
    <row r="38" spans="1:3" x14ac:dyDescent="0.2">
      <c r="A38" s="4" t="s">
        <v>220</v>
      </c>
      <c r="B38" s="5">
        <v>2625</v>
      </c>
    </row>
    <row r="39" spans="1:3" x14ac:dyDescent="0.2">
      <c r="A39" s="4" t="s">
        <v>221</v>
      </c>
      <c r="B39" s="5"/>
    </row>
    <row r="40" spans="1:3" x14ac:dyDescent="0.2">
      <c r="A40" s="4" t="s">
        <v>222</v>
      </c>
      <c r="B40" s="5">
        <v>86565</v>
      </c>
    </row>
    <row r="41" spans="1:3" x14ac:dyDescent="0.2">
      <c r="A41" s="29" t="s">
        <v>321</v>
      </c>
      <c r="B41" s="30"/>
    </row>
    <row r="42" spans="1:3" x14ac:dyDescent="0.2">
      <c r="A42" s="29" t="s">
        <v>322</v>
      </c>
      <c r="B42" s="30">
        <v>2166.6666666666665</v>
      </c>
      <c r="C42" s="1" t="s">
        <v>323</v>
      </c>
    </row>
    <row r="43" spans="1:3" x14ac:dyDescent="0.2">
      <c r="A43" s="4" t="s">
        <v>7</v>
      </c>
      <c r="B43" s="5"/>
    </row>
    <row r="44" spans="1:3" x14ac:dyDescent="0.2">
      <c r="A44" s="4" t="s">
        <v>223</v>
      </c>
      <c r="B44" s="5">
        <v>12000</v>
      </c>
    </row>
    <row r="45" spans="1:3" x14ac:dyDescent="0.2">
      <c r="A45" s="4" t="s">
        <v>224</v>
      </c>
      <c r="B45" s="5">
        <v>12000</v>
      </c>
    </row>
    <row r="46" spans="1:3" x14ac:dyDescent="0.2">
      <c r="A46" s="4" t="s">
        <v>225</v>
      </c>
      <c r="B46" s="5">
        <v>15000</v>
      </c>
    </row>
    <row r="47" spans="1:3" x14ac:dyDescent="0.2">
      <c r="A47" s="4" t="s">
        <v>226</v>
      </c>
      <c r="B47" s="5">
        <v>15000</v>
      </c>
    </row>
    <row r="48" spans="1:3" x14ac:dyDescent="0.2">
      <c r="A48" s="4" t="s">
        <v>8</v>
      </c>
      <c r="B48" s="5"/>
    </row>
    <row r="49" spans="1:2" x14ac:dyDescent="0.2">
      <c r="A49" s="4" t="s">
        <v>227</v>
      </c>
      <c r="B49" s="5">
        <v>12000</v>
      </c>
    </row>
    <row r="50" spans="1:2" x14ac:dyDescent="0.2">
      <c r="A50" s="4" t="s">
        <v>228</v>
      </c>
      <c r="B50" s="5">
        <v>27932.63</v>
      </c>
    </row>
    <row r="51" spans="1:2" x14ac:dyDescent="0.2">
      <c r="A51" s="4" t="s">
        <v>218</v>
      </c>
      <c r="B51" s="5">
        <v>0.65</v>
      </c>
    </row>
    <row r="52" spans="1:2" x14ac:dyDescent="0.2">
      <c r="A52" s="4" t="s">
        <v>229</v>
      </c>
      <c r="B52" s="5">
        <v>0.89</v>
      </c>
    </row>
    <row r="53" spans="1:2" x14ac:dyDescent="0.2">
      <c r="A53" s="4" t="s">
        <v>9</v>
      </c>
      <c r="B53" s="5"/>
    </row>
    <row r="54" spans="1:2" x14ac:dyDescent="0.2">
      <c r="A54" s="4" t="s">
        <v>230</v>
      </c>
      <c r="B54" s="5">
        <v>33500</v>
      </c>
    </row>
    <row r="55" spans="1:2" x14ac:dyDescent="0.2">
      <c r="A55" s="4" t="s">
        <v>10</v>
      </c>
      <c r="B55" s="5"/>
    </row>
    <row r="56" spans="1:2" x14ac:dyDescent="0.2">
      <c r="A56" s="4" t="s">
        <v>231</v>
      </c>
      <c r="B56" s="5">
        <v>15000</v>
      </c>
    </row>
    <row r="57" spans="1:2" x14ac:dyDescent="0.2">
      <c r="A57" s="4" t="s">
        <v>232</v>
      </c>
      <c r="B57" s="5">
        <v>15000</v>
      </c>
    </row>
    <row r="58" spans="1:2" x14ac:dyDescent="0.2">
      <c r="A58" s="4" t="s">
        <v>233</v>
      </c>
      <c r="B58" s="5"/>
    </row>
    <row r="59" spans="1:2" x14ac:dyDescent="0.2">
      <c r="A59" s="4" t="s">
        <v>234</v>
      </c>
      <c r="B59" s="5">
        <v>9279.4699999999993</v>
      </c>
    </row>
    <row r="60" spans="1:2" x14ac:dyDescent="0.2">
      <c r="A60" s="4" t="s">
        <v>235</v>
      </c>
      <c r="B60" s="5"/>
    </row>
    <row r="61" spans="1:2" x14ac:dyDescent="0.2">
      <c r="A61" s="4" t="s">
        <v>236</v>
      </c>
      <c r="B61" s="5">
        <v>5020</v>
      </c>
    </row>
    <row r="62" spans="1:2" x14ac:dyDescent="0.2">
      <c r="A62" s="6" t="s">
        <v>2</v>
      </c>
      <c r="B62" s="7">
        <f>SUM(B2:B61)</f>
        <v>305486.15666666662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12C-A82D-4DAD-9D40-C7755B2D6567}">
  <dimension ref="A1:C44"/>
  <sheetViews>
    <sheetView topLeftCell="A14" zoomScaleNormal="100" workbookViewId="0">
      <selection activeCell="A44" sqref="A4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293</v>
      </c>
      <c r="B3" s="5">
        <v>356.4</v>
      </c>
    </row>
    <row r="4" spans="1:2" x14ac:dyDescent="0.2">
      <c r="A4" s="4" t="s">
        <v>4</v>
      </c>
      <c r="B4" s="5"/>
    </row>
    <row r="5" spans="1:2" x14ac:dyDescent="0.2">
      <c r="A5" s="4" t="s">
        <v>294</v>
      </c>
      <c r="B5" s="5">
        <v>356.4</v>
      </c>
    </row>
    <row r="6" spans="1:2" x14ac:dyDescent="0.2">
      <c r="A6" s="4" t="s">
        <v>5</v>
      </c>
      <c r="B6" s="5"/>
    </row>
    <row r="7" spans="1:2" x14ac:dyDescent="0.2">
      <c r="A7" s="4" t="s">
        <v>295</v>
      </c>
      <c r="B7" s="5">
        <v>2425.91</v>
      </c>
    </row>
    <row r="8" spans="1:2" x14ac:dyDescent="0.2">
      <c r="A8" s="4" t="s">
        <v>296</v>
      </c>
      <c r="B8" s="5">
        <v>2425.91</v>
      </c>
    </row>
    <row r="9" spans="1:2" x14ac:dyDescent="0.2">
      <c r="A9" s="4" t="s">
        <v>297</v>
      </c>
      <c r="B9" s="5">
        <v>3.73</v>
      </c>
    </row>
    <row r="10" spans="1:2" x14ac:dyDescent="0.2">
      <c r="A10" s="4" t="s">
        <v>298</v>
      </c>
      <c r="B10" s="5"/>
    </row>
    <row r="11" spans="1:2" x14ac:dyDescent="0.2">
      <c r="A11" s="4" t="s">
        <v>299</v>
      </c>
      <c r="B11" s="5">
        <v>11616</v>
      </c>
    </row>
    <row r="12" spans="1:2" x14ac:dyDescent="0.2">
      <c r="A12" s="4" t="s">
        <v>300</v>
      </c>
      <c r="B12" s="5"/>
    </row>
    <row r="13" spans="1:2" x14ac:dyDescent="0.2">
      <c r="A13" s="4" t="s">
        <v>301</v>
      </c>
      <c r="B13" s="5">
        <v>440</v>
      </c>
    </row>
    <row r="14" spans="1:2" x14ac:dyDescent="0.2">
      <c r="A14" s="4" t="s">
        <v>302</v>
      </c>
      <c r="B14" s="5">
        <v>440</v>
      </c>
    </row>
    <row r="15" spans="1:2" x14ac:dyDescent="0.2">
      <c r="A15" s="4" t="s">
        <v>303</v>
      </c>
      <c r="B15" s="5"/>
    </row>
    <row r="16" spans="1:2" x14ac:dyDescent="0.2">
      <c r="A16" s="4" t="s">
        <v>304</v>
      </c>
      <c r="B16" s="5">
        <v>440</v>
      </c>
    </row>
    <row r="17" spans="1:3" x14ac:dyDescent="0.2">
      <c r="A17" s="4" t="s">
        <v>305</v>
      </c>
      <c r="B17" s="5">
        <v>440</v>
      </c>
    </row>
    <row r="18" spans="1:3" x14ac:dyDescent="0.2">
      <c r="A18" s="29" t="s">
        <v>321</v>
      </c>
      <c r="B18" s="30"/>
    </row>
    <row r="19" spans="1:3" x14ac:dyDescent="0.2">
      <c r="A19" s="29" t="s">
        <v>324</v>
      </c>
      <c r="B19" s="30">
        <v>2166.6666666666665</v>
      </c>
      <c r="C19" s="1" t="s">
        <v>323</v>
      </c>
    </row>
    <row r="20" spans="1:3" x14ac:dyDescent="0.2">
      <c r="A20" s="4" t="s">
        <v>6</v>
      </c>
      <c r="B20" s="5"/>
    </row>
    <row r="21" spans="1:3" x14ac:dyDescent="0.2">
      <c r="A21" s="4" t="s">
        <v>306</v>
      </c>
      <c r="B21" s="5">
        <v>5250</v>
      </c>
    </row>
    <row r="22" spans="1:3" x14ac:dyDescent="0.2">
      <c r="A22" s="4" t="s">
        <v>221</v>
      </c>
      <c r="B22" s="5"/>
    </row>
    <row r="23" spans="1:3" x14ac:dyDescent="0.2">
      <c r="A23" s="4" t="s">
        <v>307</v>
      </c>
      <c r="B23" s="5">
        <v>8557</v>
      </c>
    </row>
    <row r="24" spans="1:3" x14ac:dyDescent="0.2">
      <c r="A24" s="4" t="s">
        <v>308</v>
      </c>
      <c r="B24" s="5"/>
    </row>
    <row r="25" spans="1:3" x14ac:dyDescent="0.2">
      <c r="A25" s="4" t="s">
        <v>309</v>
      </c>
      <c r="B25" s="5">
        <v>60000</v>
      </c>
    </row>
    <row r="26" spans="1:3" x14ac:dyDescent="0.2">
      <c r="A26" s="4" t="s">
        <v>310</v>
      </c>
      <c r="B26" s="5"/>
    </row>
    <row r="27" spans="1:3" x14ac:dyDescent="0.2">
      <c r="A27" s="4" t="s">
        <v>311</v>
      </c>
      <c r="B27" s="5">
        <v>12705</v>
      </c>
    </row>
    <row r="28" spans="1:3" x14ac:dyDescent="0.2">
      <c r="A28" s="4" t="s">
        <v>7</v>
      </c>
      <c r="B28" s="5"/>
    </row>
    <row r="29" spans="1:3" x14ac:dyDescent="0.2">
      <c r="A29" s="4" t="s">
        <v>312</v>
      </c>
      <c r="B29" s="5">
        <v>222.59</v>
      </c>
    </row>
    <row r="30" spans="1:3" x14ac:dyDescent="0.2">
      <c r="A30" s="4" t="s">
        <v>313</v>
      </c>
      <c r="B30" s="5">
        <v>471.45</v>
      </c>
    </row>
    <row r="31" spans="1:3" x14ac:dyDescent="0.2">
      <c r="A31" s="4" t="s">
        <v>314</v>
      </c>
      <c r="B31" s="5">
        <v>77.7</v>
      </c>
    </row>
    <row r="32" spans="1:3" x14ac:dyDescent="0.2">
      <c r="A32" s="4" t="s">
        <v>8</v>
      </c>
      <c r="B32" s="5"/>
    </row>
    <row r="33" spans="1:2" x14ac:dyDescent="0.2">
      <c r="A33" s="4" t="s">
        <v>315</v>
      </c>
      <c r="B33" s="5">
        <v>12000</v>
      </c>
    </row>
    <row r="34" spans="1:2" x14ac:dyDescent="0.2">
      <c r="A34" s="4" t="s">
        <v>316</v>
      </c>
      <c r="B34" s="5">
        <v>27942.23</v>
      </c>
    </row>
    <row r="35" spans="1:2" x14ac:dyDescent="0.2">
      <c r="A35" s="4" t="s">
        <v>9</v>
      </c>
      <c r="B35" s="5"/>
    </row>
    <row r="36" spans="1:2" x14ac:dyDescent="0.2">
      <c r="A36" s="4" t="s">
        <v>317</v>
      </c>
      <c r="B36" s="5">
        <v>33500</v>
      </c>
    </row>
    <row r="37" spans="1:2" x14ac:dyDescent="0.2">
      <c r="A37" s="4" t="s">
        <v>235</v>
      </c>
      <c r="B37" s="5"/>
    </row>
    <row r="38" spans="1:2" x14ac:dyDescent="0.2">
      <c r="A38" s="4" t="s">
        <v>318</v>
      </c>
      <c r="B38" s="5">
        <v>1255</v>
      </c>
    </row>
    <row r="39" spans="1:2" x14ac:dyDescent="0.2">
      <c r="A39" s="4" t="s">
        <v>319</v>
      </c>
      <c r="B39" s="5">
        <v>19840</v>
      </c>
    </row>
    <row r="40" spans="1:2" x14ac:dyDescent="0.2">
      <c r="A40" s="6" t="s">
        <v>2</v>
      </c>
      <c r="B40" s="7">
        <f>SUM(B2:B39)</f>
        <v>202931.98666666666</v>
      </c>
    </row>
    <row r="44" spans="1:2" x14ac:dyDescent="0.2">
      <c r="B44" s="28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9F57-39BD-4E20-B542-7FDC7F4335B4}">
  <dimension ref="A1:E33"/>
  <sheetViews>
    <sheetView topLeftCell="A10" zoomScaleNormal="100" workbookViewId="0">
      <selection activeCell="B33" sqref="B33"/>
    </sheetView>
  </sheetViews>
  <sheetFormatPr baseColWidth="10" defaultColWidth="11.44140625" defaultRowHeight="14.4" x14ac:dyDescent="0.3"/>
  <cols>
    <col min="1" max="1" width="13.88671875" bestFit="1" customWidth="1"/>
    <col min="2" max="2" width="79.21875" customWidth="1"/>
  </cols>
  <sheetData>
    <row r="1" spans="1:3" ht="15" thickBot="1" x14ac:dyDescent="0.35">
      <c r="A1" s="54" t="s">
        <v>342</v>
      </c>
      <c r="B1" s="54" t="s">
        <v>343</v>
      </c>
      <c r="C1" s="55" t="s">
        <v>1</v>
      </c>
    </row>
    <row r="2" spans="1:3" ht="15" thickTop="1" x14ac:dyDescent="0.3">
      <c r="A2" s="56" t="s">
        <v>300</v>
      </c>
      <c r="B2" s="56" t="s">
        <v>344</v>
      </c>
      <c r="C2" s="57">
        <v>440</v>
      </c>
    </row>
    <row r="3" spans="1:3" x14ac:dyDescent="0.3">
      <c r="A3" s="58" t="s">
        <v>300</v>
      </c>
      <c r="B3" s="58" t="s">
        <v>345</v>
      </c>
      <c r="C3" s="59">
        <v>440</v>
      </c>
    </row>
    <row r="4" spans="1:3" x14ac:dyDescent="0.3">
      <c r="A4" s="56" t="s">
        <v>300</v>
      </c>
      <c r="B4" s="56" t="s">
        <v>346</v>
      </c>
      <c r="C4" s="57">
        <v>440</v>
      </c>
    </row>
    <row r="5" spans="1:3" x14ac:dyDescent="0.3">
      <c r="A5" s="58" t="s">
        <v>300</v>
      </c>
      <c r="B5" s="58" t="s">
        <v>347</v>
      </c>
      <c r="C5" s="59">
        <v>440</v>
      </c>
    </row>
    <row r="6" spans="1:3" x14ac:dyDescent="0.3">
      <c r="A6" s="56" t="s">
        <v>300</v>
      </c>
      <c r="B6" s="56" t="s">
        <v>348</v>
      </c>
      <c r="C6" s="57">
        <v>440</v>
      </c>
    </row>
    <row r="7" spans="1:3" x14ac:dyDescent="0.3">
      <c r="A7" s="58" t="s">
        <v>300</v>
      </c>
      <c r="B7" s="58" t="s">
        <v>349</v>
      </c>
      <c r="C7" s="59">
        <v>440</v>
      </c>
    </row>
    <row r="8" spans="1:3" x14ac:dyDescent="0.3">
      <c r="A8" s="56" t="s">
        <v>300</v>
      </c>
      <c r="B8" s="56" t="s">
        <v>350</v>
      </c>
      <c r="C8" s="57">
        <v>440</v>
      </c>
    </row>
    <row r="9" spans="1:3" x14ac:dyDescent="0.3">
      <c r="A9" s="58" t="s">
        <v>303</v>
      </c>
      <c r="B9" s="58" t="s">
        <v>351</v>
      </c>
      <c r="C9" s="59">
        <v>440</v>
      </c>
    </row>
    <row r="10" spans="1:3" x14ac:dyDescent="0.3">
      <c r="A10" s="56" t="s">
        <v>303</v>
      </c>
      <c r="B10" s="56" t="s">
        <v>352</v>
      </c>
      <c r="C10" s="57">
        <v>440</v>
      </c>
    </row>
    <row r="11" spans="1:3" x14ac:dyDescent="0.3">
      <c r="A11" s="58" t="s">
        <v>303</v>
      </c>
      <c r="B11" s="58" t="s">
        <v>353</v>
      </c>
      <c r="C11" s="59">
        <v>440</v>
      </c>
    </row>
    <row r="12" spans="1:3" x14ac:dyDescent="0.3">
      <c r="A12" s="56" t="s">
        <v>303</v>
      </c>
      <c r="B12" s="56" t="s">
        <v>354</v>
      </c>
      <c r="C12" s="57">
        <v>440</v>
      </c>
    </row>
    <row r="13" spans="1:3" x14ac:dyDescent="0.3">
      <c r="A13" s="58" t="s">
        <v>303</v>
      </c>
      <c r="B13" s="58" t="s">
        <v>355</v>
      </c>
      <c r="C13" s="59">
        <v>440</v>
      </c>
    </row>
    <row r="14" spans="1:3" x14ac:dyDescent="0.3">
      <c r="A14" s="56" t="s">
        <v>303</v>
      </c>
      <c r="B14" s="56" t="s">
        <v>356</v>
      </c>
      <c r="C14" s="57">
        <v>440</v>
      </c>
    </row>
    <row r="15" spans="1:3" x14ac:dyDescent="0.3">
      <c r="A15" s="58" t="s">
        <v>303</v>
      </c>
      <c r="B15" s="58" t="s">
        <v>357</v>
      </c>
      <c r="C15" s="59">
        <v>440</v>
      </c>
    </row>
    <row r="16" spans="1:3" x14ac:dyDescent="0.3">
      <c r="A16" s="56" t="s">
        <v>303</v>
      </c>
      <c r="B16" s="56" t="s">
        <v>358</v>
      </c>
      <c r="C16" s="57">
        <v>440</v>
      </c>
    </row>
    <row r="17" spans="1:3" x14ac:dyDescent="0.3">
      <c r="A17" s="58" t="s">
        <v>303</v>
      </c>
      <c r="B17" s="58" t="s">
        <v>359</v>
      </c>
      <c r="C17" s="59">
        <v>440</v>
      </c>
    </row>
    <row r="18" spans="1:3" x14ac:dyDescent="0.3">
      <c r="A18" s="56" t="s">
        <v>303</v>
      </c>
      <c r="B18" s="56" t="s">
        <v>360</v>
      </c>
      <c r="C18" s="57">
        <v>440</v>
      </c>
    </row>
    <row r="19" spans="1:3" x14ac:dyDescent="0.3">
      <c r="A19" s="58" t="s">
        <v>361</v>
      </c>
      <c r="B19" s="58" t="s">
        <v>362</v>
      </c>
      <c r="C19" s="59">
        <v>1144</v>
      </c>
    </row>
    <row r="20" spans="1:3" x14ac:dyDescent="0.3">
      <c r="A20" s="56" t="s">
        <v>363</v>
      </c>
      <c r="B20" s="56" t="s">
        <v>364</v>
      </c>
      <c r="C20" s="57">
        <v>2772</v>
      </c>
    </row>
    <row r="21" spans="1:3" x14ac:dyDescent="0.3">
      <c r="A21" s="58" t="s">
        <v>6</v>
      </c>
      <c r="B21" s="58" t="s">
        <v>365</v>
      </c>
      <c r="C21" s="59">
        <v>7000</v>
      </c>
    </row>
    <row r="22" spans="1:3" x14ac:dyDescent="0.3">
      <c r="A22" s="56" t="s">
        <v>221</v>
      </c>
      <c r="B22" s="56" t="s">
        <v>366</v>
      </c>
      <c r="C22" s="57">
        <v>4378</v>
      </c>
    </row>
    <row r="23" spans="1:3" x14ac:dyDescent="0.3">
      <c r="A23" s="58" t="s">
        <v>310</v>
      </c>
      <c r="B23" s="58" t="s">
        <v>367</v>
      </c>
      <c r="C23" s="59">
        <v>4840</v>
      </c>
    </row>
    <row r="24" spans="1:3" x14ac:dyDescent="0.3">
      <c r="A24" s="56" t="s">
        <v>368</v>
      </c>
      <c r="B24" s="56" t="s">
        <v>369</v>
      </c>
      <c r="C24" s="57">
        <v>25000</v>
      </c>
    </row>
    <row r="25" spans="1:3" x14ac:dyDescent="0.3">
      <c r="A25" s="58" t="s">
        <v>7</v>
      </c>
      <c r="B25" s="58" t="s">
        <v>370</v>
      </c>
      <c r="C25" s="59">
        <v>77.7</v>
      </c>
    </row>
    <row r="26" spans="1:3" x14ac:dyDescent="0.3">
      <c r="A26" s="56" t="s">
        <v>9</v>
      </c>
      <c r="B26" s="56" t="s">
        <v>371</v>
      </c>
      <c r="C26" s="57">
        <v>36850</v>
      </c>
    </row>
    <row r="27" spans="1:3" x14ac:dyDescent="0.3">
      <c r="A27" s="58" t="s">
        <v>233</v>
      </c>
      <c r="B27" s="58" t="s">
        <v>372</v>
      </c>
      <c r="C27" s="59">
        <v>9708.64</v>
      </c>
    </row>
    <row r="28" spans="1:3" x14ac:dyDescent="0.3">
      <c r="A28" s="56" t="s">
        <v>235</v>
      </c>
      <c r="B28" s="56" t="s">
        <v>373</v>
      </c>
      <c r="C28" s="57">
        <v>170.49</v>
      </c>
    </row>
    <row r="29" spans="1:3" x14ac:dyDescent="0.3">
      <c r="A29" s="58" t="s">
        <v>235</v>
      </c>
      <c r="B29" s="58" t="s">
        <v>374</v>
      </c>
      <c r="C29" s="59">
        <v>4960</v>
      </c>
    </row>
    <row r="30" spans="1:3" ht="15" thickBot="1" x14ac:dyDescent="0.35">
      <c r="A30" s="56" t="s">
        <v>235</v>
      </c>
      <c r="B30" s="56" t="s">
        <v>375</v>
      </c>
      <c r="C30" s="57">
        <v>23986</v>
      </c>
    </row>
    <row r="31" spans="1:3" ht="15" thickTop="1" x14ac:dyDescent="0.3">
      <c r="A31" s="60"/>
      <c r="B31" s="60"/>
      <c r="C31" s="61">
        <v>128366.83</v>
      </c>
    </row>
    <row r="33" spans="2:5" x14ac:dyDescent="0.3">
      <c r="B33" s="63" t="s">
        <v>376</v>
      </c>
      <c r="C33" s="64">
        <f>+C31+'Ingresos investigación 2020'!B40+'Ingresos investigación 2019'!B62</f>
        <v>636784.97333333327</v>
      </c>
      <c r="E33" s="62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0697-B21B-41D5-B07C-222D6A0EDFAC}">
  <dimension ref="A1:B4"/>
  <sheetViews>
    <sheetView zoomScaleNormal="100" workbookViewId="0">
      <selection activeCell="A23" sqref="A2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320</v>
      </c>
      <c r="B2" s="5"/>
    </row>
    <row r="3" spans="1:2" x14ac:dyDescent="0.2">
      <c r="A3" s="4" t="s">
        <v>297</v>
      </c>
      <c r="B3" s="5">
        <v>4.0199999999999996</v>
      </c>
    </row>
    <row r="4" spans="1:2" x14ac:dyDescent="0.2">
      <c r="A4" s="6" t="s">
        <v>2</v>
      </c>
      <c r="B4" s="7">
        <f>SUM(B3:B3)</f>
        <v>4.0199999999999996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2020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2022-10-18T11:29:36Z</dcterms:modified>
</cp:coreProperties>
</file>