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AE2939A2-19E8-474C-964A-78314B40DE0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Sexenios!$A$1:$S$20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3" l="1"/>
  <c r="S49" i="2" l="1"/>
  <c r="B106" i="6" l="1"/>
  <c r="B95" i="5" l="1"/>
  <c r="D52" i="7" s="1"/>
</calcChain>
</file>

<file path=xl/sharedStrings.xml><?xml version="1.0" encoding="utf-8"?>
<sst xmlns="http://schemas.openxmlformats.org/spreadsheetml/2006/main" count="1245" uniqueCount="471">
  <si>
    <t>Orgánica
Descripción justificante</t>
  </si>
  <si>
    <t>Importe</t>
  </si>
  <si>
    <t>Total</t>
  </si>
  <si>
    <t>31.40.6C.00.04</t>
  </si>
  <si>
    <t>31.40.6C.00.09</t>
  </si>
  <si>
    <t>31.40.6C.00.28</t>
  </si>
  <si>
    <t>31.40.6C.00.29</t>
  </si>
  <si>
    <t>31.40.6C.00.42</t>
  </si>
  <si>
    <t>31.40.6C.00.48</t>
  </si>
  <si>
    <t>31.40.6P.00.10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</si>
  <si>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</si>
  <si>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</si>
  <si>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</si>
  <si>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</si>
  <si>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</si>
  <si>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</si>
  <si>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</si>
  <si>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</si>
  <si>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</si>
  <si>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</si>
  <si>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</si>
  <si>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</si>
  <si>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</si>
  <si>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</si>
  <si>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</si>
  <si>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</si>
  <si>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</si>
  <si>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</si>
  <si>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</si>
  <si>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</si>
  <si>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</si>
  <si>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</si>
  <si>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</si>
  <si>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</si>
  <si>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</si>
  <si>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29/09/2017 </t>
  </si>
  <si>
    <t>30</t>
  </si>
  <si>
    <t>20</t>
  </si>
  <si>
    <t>40</t>
  </si>
  <si>
    <t>10.14</t>
  </si>
  <si>
    <t>B129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</si>
  <si>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</si>
  <si>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</si>
  <si>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</si>
  <si>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</si>
  <si>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</si>
  <si>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</si>
  <si>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</si>
  <si>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</si>
  <si>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</si>
  <si>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</si>
  <si>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</si>
  <si>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</si>
  <si>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</si>
  <si>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25127766J</t>
  </si>
  <si>
    <t>ALCAÑIZ MONGE, JUAN ANTONIO</t>
  </si>
  <si>
    <t>52776283T</t>
  </si>
  <si>
    <t>BERENGUER MURCIA, ANGEL</t>
  </si>
  <si>
    <t>21507611N</t>
  </si>
  <si>
    <t>BUENO LOPEZ, AGUSTIN</t>
  </si>
  <si>
    <t>21994647T</t>
  </si>
  <si>
    <t>CAZORLA AMOROS, DIEGO</t>
  </si>
  <si>
    <t>22138935D</t>
  </si>
  <si>
    <t>GARCIA GARCIA, AVELINA ANTONIA</t>
  </si>
  <si>
    <t>21508739J</t>
  </si>
  <si>
    <t>GARCIA MARTINEZ, JAVIER</t>
  </si>
  <si>
    <t>21462916Y</t>
  </si>
  <si>
    <t>ILLAN GOMEZ, MARIA JOSE</t>
  </si>
  <si>
    <t>48318313M</t>
  </si>
  <si>
    <t>LILLO RODENAS, MARIA ANGELES</t>
  </si>
  <si>
    <t>52775130C</t>
  </si>
  <si>
    <t>LOZANO CASTELLO, DOLORES</t>
  </si>
  <si>
    <t>24125718Y</t>
  </si>
  <si>
    <t>MARTIN MARTINEZ, JOSE MIGUEL</t>
  </si>
  <si>
    <t>22131716N</t>
  </si>
  <si>
    <t>MARTINEZ ESCANDELL, MANUEL</t>
  </si>
  <si>
    <t>21669783B</t>
  </si>
  <si>
    <t>MOLINA JORDA, JOSE MIGUEL</t>
  </si>
  <si>
    <t>24115903N</t>
  </si>
  <si>
    <t>MOLINA SABIO, MIGUEL</t>
  </si>
  <si>
    <t>21445209D</t>
  </si>
  <si>
    <t>NARCISO ROMERO, FRANCISCO JAVIER</t>
  </si>
  <si>
    <t>21477076K</t>
  </si>
  <si>
    <t>PASTOR BLAS, MARIA DE LAS MERCEDES</t>
  </si>
  <si>
    <t>21996705B</t>
  </si>
  <si>
    <t>ROMAN MARTINEZ, MARIA DEL CARMEN</t>
  </si>
  <si>
    <t>21980176L</t>
  </si>
  <si>
    <t>SEPULVEDA ESCRIBANO, ANTONIO</t>
  </si>
  <si>
    <t>21516469S</t>
  </si>
  <si>
    <t>SILVESTRE ALBERO, JOAQUIN</t>
  </si>
  <si>
    <t>31.40.6C.00.41</t>
  </si>
  <si>
    <t xml:space="preserve">Investigate the activated carbon with different porous textures and surface chemistry for the purpose of increasing its capacity in ammonia adsorption and retention - Milestone 1. PURCHASE ORDER: 5700045731.  PMI requestor: Laurent Lavanant.  Vendor No. : 0000085729 </t>
  </si>
  <si>
    <t xml:space="preserve">Investigate the activated carbon with different porous textures and surface chemistry for the purpose of increasing its capacity in ammonia adsorption and retention - Milestone 2. PURCHASE ORDER: 5700045731.  PMI requestor: Laurent Lavanant.  Vendor No. : 0000085729  </t>
  </si>
  <si>
    <t>CHARACTERIZATION  OF ADHESIVES. FACTURA ACORDADA EN EL ANEJO CONTRATO. ORDEN DE COMPRA: 8003263374. PROVEEDOR: 225547</t>
  </si>
  <si>
    <t>31.40.6C.00.43</t>
  </si>
  <si>
    <t xml:space="preserve">NEW DEVELOPMENTS ON LA OR ND-CONTAINING NOX STORAGE MATERIALS </t>
  </si>
  <si>
    <t xml:space="preserve">HOURS OF CONSULTANCY . G4SEMI project. </t>
  </si>
  <si>
    <t>Second payment of the Agreement with Lab. Adhesion correponding to the days of consulting services within three months upon the end of the agreement. G4SEMI project</t>
  </si>
  <si>
    <t>31.40.6C.00.50</t>
  </si>
  <si>
    <t>EVALUACION PROYECTO FINANCIERA MADERERA, S.A. REF.2007/1851/PIDI/30 AENOR6-18TPA</t>
  </si>
  <si>
    <t>31.40.6C.00.51</t>
  </si>
  <si>
    <t>VARIACION DE LA VISCOSIDAD CON LA TEMPERATURA (ENTRE 15º Y 30º) DE UNA MUESTRA F&amp;D1-19TPA</t>
  </si>
  <si>
    <t>31.40.6C.00.52</t>
  </si>
  <si>
    <t>FACTURA ACORDADA A LA FIRMA DE LA PRESTACION DE SERVICIOS "ESTUDIO SUPERFICIAL DE TAPONES DE CORCHO Y SEGUIMIENTO DEL CURADO DE AGLOMERANTES Y MODIFICADORES SUPERFICIALES DE NATURALEZA POLIMERICA"</t>
  </si>
  <si>
    <t>ULTIMA FACTURA ACORDADA EN LA PRESTACION DE SERVICIOS "ESTUDIO SUPERFICIAL DE TAPONES DE CORCHO Y SEGUIMIENTO DEL CURADO DE AGLOMERANTES Y MODIFICADORES SUPERFICIALES DE NATURALEZA POLIMERICA"</t>
  </si>
  <si>
    <t>31.40.6C.00.53</t>
  </si>
  <si>
    <t xml:space="preserve">GASTOS DESPLAZAMIENTO PROF. J. M. MARTIN MARTINEZ EN SU VISITA A LAS INSTALACIONES DE MIARCO EN PATERNA </t>
  </si>
  <si>
    <t>PRIMERA FACTURA ACORDADA A LA FIRMA DEL CONTRATO QUE LLEVA POR TITULO "ASESORIA EN LA MEJORA DE PRESTACIONES DE UNA NUEVA CINTA ADHESVIA"</t>
  </si>
  <si>
    <t>ULTIMA FACTURA PRESTACION SERVICIOS "ASESORIA SOBRE LA MEJORA DE PRESTACIONES DE UNA NUEVA CINTA ADHESIVA"</t>
  </si>
  <si>
    <t>31.40.6C.00.54</t>
  </si>
  <si>
    <t>CARACTERITZACIÓ DE 8 MOSTRES DE CARBÓ ACTIVAT UTILIZANT TÈCNIQUES DE INDEX DE DIODE</t>
  </si>
  <si>
    <t>31.40.6C.00.55</t>
  </si>
  <si>
    <t>PRIMERA FACTURA ACORDADA A LA FIRMA DE LA PRESTACION  DE SERVICIOS PARA "ASESORAMIENTO CIENTIFICO"</t>
  </si>
  <si>
    <t>31.40.6C.00.56</t>
  </si>
  <si>
    <t>FACTURA ACORDADA EN LA PRESTACION DE SERVICIOS FIRMADA CON LA UNIVERSIDAD DE ALICANTE. PRIMER PAGO ACORDADO EN EL PEDIDO NUMERO 56079805</t>
  </si>
  <si>
    <t>31.40.6C.00.57</t>
  </si>
  <si>
    <t>MEDIDAS  REOLOGICAS Y VISCOELASTICAS DE UN ADHESIVO HOT MELT</t>
  </si>
  <si>
    <t>31.40.6C.00.58</t>
  </si>
  <si>
    <t>PRIMERA FACTURA ACORDADA A LA FIRMA DE LA PRESTACION DE SERVICIOS: "ESTUDIO DE MANGOS Y TAPONES DE CORCHO FABRICADOS CON DIFERENTES AGLOMERANTES"</t>
  </si>
  <si>
    <t>31.40.6C.00.59</t>
  </si>
  <si>
    <t>PRIMER PAGO ACORDADO EN AL PRESTACION DE SERVICIOS "CARACTERIZACION DE OCHO PREPOLIMEROS DE URETANO ANTES DE CURAR"</t>
  </si>
  <si>
    <t>ULTIMA FACTURA ACORDADA EN LA PRESTACION DE SERVICIOS PARA LA CARACTERIZACION DE  PREPOLIMEROS DE URETANO ANTES DE CURAR Y CURADOS.</t>
  </si>
  <si>
    <t>31.40.6C.00.60</t>
  </si>
  <si>
    <t>DEVELOPMENT OF A SET-UP FOR THE CHARACTERIZATION OF COMBUSTION RELATED SOLID PARTICLES IN CIGARETTE SMOKE AND THE SUSPENDED PARTICULATE MATTER IN THE IQOS AEROSOL.  PURCHASE ORDER # 5700061265 .  PMP RESPONSIBLE:  Pascal Pratte</t>
  </si>
  <si>
    <t>31.40.6C.00.61</t>
  </si>
  <si>
    <t>DESARROLLO DE NUEVOS ADHESIVOS PARA EL PEGADO DE ARCILLA A SEMILLAS. PRIMERA FACTURA CORRESPONDIENTE A LA FASE 1 DEL CONTRATO.</t>
  </si>
  <si>
    <t>DESARROLLO DE NUEVOS ADHESIVOS PARA EL PEGADO DE ARCILLA A SEMILLAS. ULTIMA FACTURA CORRESPONDIENTE A LA FASE 1 DEL CONTRATO.</t>
  </si>
  <si>
    <t>31.40.6C.00.62</t>
  </si>
  <si>
    <t>CARACTERIZACION DE DOS MUESTRAS DE ADHESIVOS HOT-MELTS MEDIANTE REOLOGIA PLATO-PLATO. DPTO. I+D Mª. CARMEN MORALES</t>
  </si>
  <si>
    <t>31.40.6C.00.63</t>
  </si>
  <si>
    <t>ASESORAMIENTO TECNICO</t>
  </si>
  <si>
    <t>31.40.6C.00.64</t>
  </si>
  <si>
    <t>ESTUDIO Y OPTIMIZACION DE LAS PRESTACIONES DE LOS TAPONES DE CORCHO</t>
  </si>
  <si>
    <t>FACTURA ACORDADA SEGUNDA FASE DEL PROYECTO  "ESTUDIO Y OPTIMIZACION DE LAS PRESTACIONES DE LOS TAPONES DE CORCHO"</t>
  </si>
  <si>
    <t>31.40.6C.00.65</t>
  </si>
  <si>
    <t>ANALISIS DE LA ROTURA Y EL PEGADO DE TAPONES DE CORCHO</t>
  </si>
  <si>
    <t xml:space="preserve">ANALISIS DE LA ROTURA Y EL PEGADO DE TAPONES DE CORCHO </t>
  </si>
  <si>
    <t>31.40.6C.00.66</t>
  </si>
  <si>
    <t>ASESORIA SOBRE AGLOMERANTES DE MATERIALES PLASTICOS RECICLADOS.</t>
  </si>
  <si>
    <t>31.40.6C.00.67</t>
  </si>
  <si>
    <t xml:space="preserve">IINFORME TECNICO-PERICIAL SOBRE ETIQUETAS DESPEGADAS. ULTIMO 50% DEL TOTAL DE LA CANTIDAD ACORDADA EN EL CONTRATO.  OBLIGACION POR EL CONTRATO A LA EMISION DE DOS FACTURAS. </t>
  </si>
  <si>
    <t>INFORME TECNICO-PERICIAL SOBRE ETIQUETAS DESPEGADAS.50% DEL TOTAL DE LA CANTIDAD TOTAL ACORDADA EN EL CONTRATO. OBLIGACION POR EL CONTRATO A LA EMISION DE DOS FACTURAS.</t>
  </si>
  <si>
    <t>31.40.6C.00.68</t>
  </si>
  <si>
    <t>INVESTIGACION DEL CURADO DE DIFERENTES POLIMEROS DE URETANO</t>
  </si>
  <si>
    <t>SEGUNDO PAGO DEL 50% TRAS LA FINALIZACION DE LA FASE 1. NUMERO DE PEDIDO: 190429</t>
  </si>
  <si>
    <t>31.40.6C.00.69</t>
  </si>
  <si>
    <t>STUDY OF ANTI-FOAMING ADDITIVES  BEHAVIOUR ON PYROLISIS CONDITIONS</t>
  </si>
  <si>
    <t>31.40.6C.00.70</t>
  </si>
  <si>
    <t>CARACTERIZACION MEDIANTE  DSC DE TRES MEZCLAS Y MEDIANTE TGA DE LOS PRODUCTOS DE PARTIDA</t>
  </si>
  <si>
    <t>31.40.6C.00.72</t>
  </si>
  <si>
    <t>PREPARACION DE MEZCLA DE COMPOSION ESPECIFICA  A SOLICITUD DE LA EMPRESA</t>
  </si>
  <si>
    <t>31.40.6F.00.07</t>
  </si>
  <si>
    <t>Reintegro de cuota patronal correspondiente al mes de agosto 2019</t>
  </si>
  <si>
    <t>31.40.6M.00.02</t>
  </si>
  <si>
    <t xml:space="preserve">CURSO SOBRE ADHESION Y ADHESIVOS MIARCO1-18FPA </t>
  </si>
  <si>
    <t>31.40.6M.00.03</t>
  </si>
  <si>
    <t>IMPARTICION DE UN CURSO AVANZADO DE ADHESIVOS Y REOLOGIA DE ADHESIVOS EN LAS INSTALACIONES DE LA EMPRESA EN CANTABRIA.  PEDIDO NUMERO:  4500056567</t>
  </si>
  <si>
    <t>31.40.6P.00.13</t>
  </si>
  <si>
    <t xml:space="preserve">PROMETEO 2018 EN 2019 </t>
  </si>
  <si>
    <t>31.40.6P.00.15</t>
  </si>
  <si>
    <t xml:space="preserve">CDEIGENT/2018  ANUALIDAD 2019RESOLUCION 28/12/2018 SUBVENCIONES DOCTOESY DOCTORAS CON EXPERIENCIA INTERN </t>
  </si>
  <si>
    <t>31.40.6P.00.16</t>
  </si>
  <si>
    <t>PAGO 1 ANUALIDAD PROYECTOS RETOS I+D+I 2018. ANUAL 2019 PROYECTOS I+D RETOS (PIA 13) N EXPEDIENTE: PIA 132018 - 1- 1 ANUALIDAD REFERENCIA: R. REFERENCIA DEL ORDENANTE PARA EL BENEFICIARIO: 00173219310010857 - 2019/009676</t>
  </si>
  <si>
    <t>PARA EL PAGO DE LA ANUALIDAD 2019 DE LA CONVOCATORIA RTI 2018 PROYECTOS I+D RETOS (PIA 13) N EXPEDIENTE: PIA 132018-1 -1 ANUALIDAD REFERENC REFERENCIA DEL ORDENANTE PARA EL BENENFICIARIO:27402219310026571</t>
  </si>
  <si>
    <t>31.40.6S.00.01</t>
  </si>
  <si>
    <t>REINTEGRO CUOTA PATRONAL CORRESPONDIENTE AL MES DE NOVIEMBRE 2019.</t>
  </si>
  <si>
    <t>Reintegro de ejercicios cerrados del ADO 201800057568. factura 19F1912S00000039</t>
  </si>
  <si>
    <t>ADDITIONAL COMPENSATION: INVENTION REWARD "REACTIVE HPPE TERPOLYMER FOR ADHESIVES". REF. # SE1824. INVENTORS: JOSE MIGUEL MARTIN-MARTINEZ AND MONICA FUENSANTA-SORIANO.</t>
  </si>
  <si>
    <t xml:space="preserve">FACTURA ACORDADA AL COMIENZO DEL HITO 3 </t>
  </si>
  <si>
    <t>SEGUNDO PAGO CORRESPONDIENTE AL HITO3 DEL CONTRATO "NUEVAS SOLUCIONES PARA LA FUNCIONALIZACION DE SUPERFICIES TECNICAS". CORRESPONDE AL 50% DEL TOTAL</t>
  </si>
  <si>
    <t>ULTIMA FACTURA HITO 3 PROYECTO "NUEVAS SOLUCIONES PARA LA FUNCIONALIZACION DE SUPERFICIES TECNICAS". CORRESPONDE AL ULTIMO 25% DEL PRESUPUESTO.</t>
  </si>
  <si>
    <t>PROLONGATION MONTH 1 VALID  HPPE  TERPOLY. P.O. Nr. 3200140661 SUPPLIER: 184395</t>
  </si>
  <si>
    <t>FIRST PAYMENT UPON THE SIGNATURE OF AMENDMENT IN 2019 TO THE CONTRACT "CHARACTERIZACION OF MESOSTRUCTURED ZEOLITE"</t>
  </si>
  <si>
    <t>FOURTH PAYMENT OF AGREEMENT FOR "CHARACTERIZATION OF MESOSTRUCTURATED ZEOLITE"</t>
  </si>
  <si>
    <t>SECOND PAYMENT: 2500 USD . 1ST APRIL. "CHARACTERIZATION OF MESOSTRUCTURED ZEOLITE"</t>
  </si>
  <si>
    <t>22/07/2020 </t>
  </si>
  <si>
    <t>(CTQ2015 74494 JIN) NUEVA FAMILIA DE TITANIAS ACTIVAS EN EL VISIBLE. UNA TRANSFERENCIAS DE CAPITAL FINALISTAS DE LA ADMON DEL ESTADO OTRAS AREAS</t>
  </si>
  <si>
    <t>COD DEP</t>
  </si>
  <si>
    <t>74663636R</t>
  </si>
  <si>
    <t>RAMOS FERNANDEZ, ENRIQUE VICENTE</t>
  </si>
  <si>
    <t>ADDITIONAL COMPENSATION</t>
  </si>
  <si>
    <t>ADDENDA AL CONTRATO INVESTIGACION "NUEVAS SOLUCIONES PARA LA FUNCIONALIZACION DE SUPERFICIES TECNICAS".</t>
  </si>
  <si>
    <t>REINTEGRO CUOTA PATRONAL CORRESPONDIENTE A DICIEMBRE DE 2020.</t>
  </si>
  <si>
    <t>CHARACTERIZATION OF ADHESIVES. ULTIMA FACTURA. PEDIDO NUMERO 8003810519</t>
  </si>
  <si>
    <t>ULTIMA FACTURA ACORDADA EN LA PRESTACION DE SERVICIOS "ASESORIA CIENTIFICA"</t>
  </si>
  <si>
    <t>FACTURA ACORDADA EN LA PRESTACION DE SERVICIOS FIRMADA CON LA UNIVERSIDAD DE ALICANTE. ULTIMO PAGO ACORDADO EN EL PEDIDO NUMERO 56079805</t>
  </si>
  <si>
    <t xml:space="preserve">ULTIMA FACTURA ACORDADA EN LA PRESTACION DE SERVICIOS "ESTUDIO DE MANGOS Y TAPONES DE CORCHO FABRICADOS CON DIFERENTES AGLOMERANTES". </t>
  </si>
  <si>
    <t>DESARROLLO DE NUEVOS ADHESIVOS PARA EL PEGADO DE ARCILLA A SEMILLAS. FACTURA CORRESPONDIENTE A LA FASE 2 DEL CONTRATO. ORDEN DE PEDIDO: 10120POH000141</t>
  </si>
  <si>
    <t>PRIMER PAGO TRAS EL INICIO DE LA SEGUNDA FASE.  DESARROLLO DE NUEVOS ADHESIVOS PARA EL PEGADO DE ARCILLA A SEMILLAS. N. PEDIDO: 10120POH000020</t>
  </si>
  <si>
    <t xml:space="preserve">ULTIMA FACTURA  FASE 2 ACORDADA EN EL CONTRATO "DESARROLLO DE NUEVOS ADHESIVOS PARA EL PEGADO DE ARCILLA A SEMILLAS". </t>
  </si>
  <si>
    <t>FINALIZACION CUARTA FASE ADICIONAL DEL PROYECTO "ESTUDIO Y OPTIMIZACION DE LAS PRESTACIONES DE TAPONES DE CORCHO"</t>
  </si>
  <si>
    <t>FINALIZACION TERCERA FASE DEL PROYECTO "ESTUDIO Y OPTIMIZACION DE LAS PRESTACIONES DE TAPONES DE CORCHO"</t>
  </si>
  <si>
    <t>FACTURA ACORDADA A LA FINALIZACION DE LA FASE 3 DEL PROYECTO "INVESTIGACION DEL CURADO DE DIFERENTES PREPOLIMEROS DE URETANO" CONTRA INFORME FINAL. NUMERO DE PEDIDO: 190429</t>
  </si>
  <si>
    <t>FACTURA ACORDADA A  LA FINALIZACION DE LA FASE 2 DEL PROYECTO "INVESTIGACION DEL CURADO DE DIFERENTES PREPOLIMEROS DE URETANO" .</t>
  </si>
  <si>
    <t xml:space="preserve">STUDY OF ANTI-FOAMING ADDITIVES BEHAVIOUR ON PYROLISIS CONDITIONS. FINAL INVOICE. </t>
  </si>
  <si>
    <t>31.40.6C.00.71</t>
  </si>
  <si>
    <t>EVALUACION DE LA CAPACIDAD DE PRODUCIR CARBONES ACTIVOS DE UN CARBON DE ANTRACITA.</t>
  </si>
  <si>
    <t>31.40.6C.00.73</t>
  </si>
  <si>
    <t xml:space="preserve">CONSULTING AND ASSISTENCE SERVICES BY DR. JAVIER GARCIA-MARTINEZ. </t>
  </si>
  <si>
    <t xml:space="preserve">CONSULTING AND ASSISTENCE SERVICES BY DR. JAVIER GARCIAMARTINEZ. FROM 05/01/2020 TO 06/30/2020. P.O. 4502874320 </t>
  </si>
  <si>
    <t>CONSULTING AND ASSISTENCE SERVICES BY DR. JAVIER GARCIAMARTINEZ. FROM 07/01/2020 TO 08/31/2020. P.O. 4502874320</t>
  </si>
  <si>
    <t>CONSULTING AND ASSISTENCE SERVICES BY DR. JAVIER GARCIAMARTINEZ. FROM 09/01/2020 TO  10/31/2020. P.O. 4502874320</t>
  </si>
  <si>
    <t>CONSULTING AND ASSISTENCE SERVICES BY DR. JAVIER  GARCIA-MARTINEZ  FROM 11/01/2020 TO 12/31/2020. P.O. 4502874320</t>
  </si>
  <si>
    <t>CONSULTING AND ASSISTENCE SERVICES BY PROF. JAVIER GARCIA-MARTINEZ</t>
  </si>
  <si>
    <t>TRAVEL EXPENSIVES. COMISION  SERVICIOS 2020/1661. REUNION EN LAUREL, MD (15/08/2019-17/08/2019). TRAVEL EXPENSIVES. COMISION SERVICIOS 2020/1674. REUNION EMPRESA Y PRESENTACION RESULTADOS CONGRESOS "AMERICAN CHEMICAL SOCIETY". SAN DIEGO (25/08/2019-30/08/2019) P.O. # 4502874320</t>
  </si>
  <si>
    <t>31.40.6C.00.74</t>
  </si>
  <si>
    <t xml:space="preserve">EVALUACION DEL PROYECTO I+D+I (ENVAGRESIV-ANUALIDAD 2018) PED. NUMERO  6033990 </t>
  </si>
  <si>
    <t>31.40.6C.00.75</t>
  </si>
  <si>
    <t>3rd payment of the contract "Testing and Other Technical Evaluation Services Relating to Mesoporous Zeolite Materials". P.O. 4502874318</t>
  </si>
  <si>
    <t>FIRST PAYMENT UPON SIGNATURE OF CONTRACT "TESTING AND OTHER THECNICHAL EVALUATION SERVICES RELATING TO MESOPOROUS ZEOLITE  MATERIALS"</t>
  </si>
  <si>
    <t>31.40.6C.00.77</t>
  </si>
  <si>
    <t xml:space="preserve">PAYMENT MILESTONES 1 AND 2. CHARACTERIZATION OF COMBUSTION- RELATED SOLID PARTICLES IN CIGARETTE SMOKE AND THE SUSPENDED PARTICULATED MATTER IN THE IQOS AEROSOL".  PO: 5700095324 .   PMP RESPONSIBLE: PASCAL PRATTE </t>
  </si>
  <si>
    <t>PAYMENT MILESTONES 3 AND 4. CHARACTERIZATION OF COMBUSTION- RELATED SOLID PARTICLES IN CIGARETTE SMOKE AND THE SUSPENDED PARTICULATED MATTER IN THE IQOS AEROSOL". PO: 5700095324 . PMP RESPONSIBLE: PASCAL PRATTE</t>
  </si>
  <si>
    <t>31.40.6C.00.78</t>
  </si>
  <si>
    <t>NOX STORAGE AND NO OXIDATION TESTS OF DIFFERENT FORMULATIONS BASED ON DOPED AL2O3. PO. DCB4501076394-BJB</t>
  </si>
  <si>
    <t>31.40.6C.00.79</t>
  </si>
  <si>
    <t>ASISTENCIA COMO EXPERTO EN UN PROCESO JUDICIAL CELEBRADO EN DENIA EL 14/09/2020,  PARA LA DEFENSA DE UN INFORME EMITIDO POR EL LABORATORIO DE ADHESION Y ADHESIVOS.  CORRESPONDE AL ULTIMO 50% DE LA CANTIDAD ACORDADA.</t>
  </si>
  <si>
    <t>ASISTENCIA EN UN PROCESO JUDICIAL COMO EXPERTO PARA LA DEFENSA DE UN INFORME EMITIDO POR EL LABORATORIO DE ADHESIÓN Y ADHESIVOS DE LA UA PREVIAMENTE A SOLICITUD DE UNA PARTE. CORRESPONDE AL 50% DEL TOTAL.</t>
  </si>
  <si>
    <t>31.40.6C.00.80</t>
  </si>
  <si>
    <t>CARACTERIZACION DE 3 ADHESIVOS TERMOFUSIBLES DE POLIOLEFINAS</t>
  </si>
  <si>
    <t>31.40.6C.00.81</t>
  </si>
  <si>
    <t>ACTIVATION OF ONE COAL SAMPLE  WITH STEAM AND CO2</t>
  </si>
  <si>
    <t>31.40.6C.00.82</t>
  </si>
  <si>
    <t>30% ACORDADO EN EL CONTRATO "DESARROLLO DE NUEVOS ADHESIVOS DE POLIURETANO PARA APLICACIONES INNOVADORAS". P.O# 6024004</t>
  </si>
  <si>
    <t>DESARROLLO DE ADHESIVOS DE POLIURETANO PARA APLICACIONES INNOVADORAS</t>
  </si>
  <si>
    <t>31.40.6C.00.83</t>
  </si>
  <si>
    <t>ESTUDIO Y CARACTERIZACION DE PARTICULAS EN EL SENO DE BOTELLAS DE ESPUMOSO</t>
  </si>
  <si>
    <t>31.40.6C.00.85</t>
  </si>
  <si>
    <t xml:space="preserve">ASESORIA SOBRE FABRICACION DE TAPONES DE CORCHO. ULTIMA FACTURA. </t>
  </si>
  <si>
    <t xml:space="preserve">ASESORIA SOBRE FABRICACION DE TAPONES DE CORCHO.  PRIMERA FACTURA. </t>
  </si>
  <si>
    <t xml:space="preserve">SEGUNDA FACTURA ASESORIA PARA FABRICACION DE TAPONES DE CORCHO. </t>
  </si>
  <si>
    <t>31.40.6C.00.86</t>
  </si>
  <si>
    <t>CARACTERIZACION DE DOS SILICONAS</t>
  </si>
  <si>
    <t>31.40.6C.00.87</t>
  </si>
  <si>
    <t xml:space="preserve">FACTURA ACORDADA A LA FIRMA DEL CONTRATO "OPTIMIZACION DE LAS PROPIEDADES DE LOS TAPONE DE CORCHO". CORRESPONDE AL 50% DEL TOTAL. </t>
  </si>
  <si>
    <t>ULTIMA FACTURA ACORDADA EN EL CONTRATO "OPTIMIZACION DE LAS  PROPIEDADES DE LOS TAPONES DE CORCHO".</t>
  </si>
  <si>
    <t>31.40.6C.00.88</t>
  </si>
  <si>
    <t xml:space="preserve">EVALUACION DEL INDICE OH DE DOS POLIOLES. Servicio realizado a: Basic R&amp;D Responsable: Marisa Rico Identificación: ID Job 11958 </t>
  </si>
  <si>
    <t>31.40.6C.00.90</t>
  </si>
  <si>
    <t xml:space="preserve">MEDIDAS DE REOLOGIA PLATO-PLATO EN MODO BARRIDO DE TEMPERATURA DE 4 MUESTRAS. Servicio realizado a: Basic R&amp;D Responsable: Marisa Rico/ Alejandra Moyano Identificación: ID Job 13161 e ID 13394 </t>
  </si>
  <si>
    <t>31.40.6C.00.92</t>
  </si>
  <si>
    <t>Measurements of adsorption isotherms nitrogen and CO2. Purchase order: PO-2020-E-161-1601</t>
  </si>
  <si>
    <t>31.40.6C.00.93</t>
  </si>
  <si>
    <t xml:space="preserve">Evaluación del índice OH de tres (3) muestras de resinol y de un poliol siguiendo la norma ASTM E222-10 método B. Servicio realizado a: Basic R&amp;D Responsable: Marisa Rico/ Alejandra Moyano Identificación: ID Job 13161 e ID 13394 </t>
  </si>
  <si>
    <t>31.40.6C.00.94</t>
  </si>
  <si>
    <t>ASESORÍA CIENTÍFICO-TÉCNICA Y REALIZACIÓN DE DIFERENTES ENSAYOS DE CARACTERIZACIÓN. P.O. #  4501815794</t>
  </si>
  <si>
    <t>31.40.6C.00.95</t>
  </si>
  <si>
    <t>Factura acordada a la firma de la Prestacion de Servicios "Diseño de colas de uretano para conseguir prestaciones optimizadas de tapones de corcho"</t>
  </si>
  <si>
    <t>SEGUNDA FACTURA ACORDADA EN LA PRESTACION DE SERVICIOS "DISEÑO DE COLAS DE URETANO PARA CONSEGUIR PRESTACIONES OPTIMIZADAS DE TAPONES DE CORCHO"</t>
  </si>
  <si>
    <t xml:space="preserve">Ultima Factura. "Diseño de colas de uretano para conseguir prestaciones optimizadas de tapones de corcho". </t>
  </si>
  <si>
    <t>31.40.6C.00.96</t>
  </si>
  <si>
    <t xml:space="preserve">IATA-CSIC "DESARROLLO DE COLAS ALTERNATIVAS A LAS DE POLIURETANO PARA LA FABRICACION DE TAPONES DE CORCHO". INVESTIGADOR : RAFAEL JOSE GAVARA CLEMENTE </t>
  </si>
  <si>
    <t>REINTEGRO CUOTA PATRONAL CORRESPONDIENTE AL MES DE ENERO DE 2020.</t>
  </si>
  <si>
    <t>31.40.6P.00.03</t>
  </si>
  <si>
    <t>Pago de regalías por transferencia de tecnología 2019</t>
  </si>
  <si>
    <t>PROMETEO 2018 EN 2020 (CONSELLERÍA INNOVACIÓN,UNIVERSIDADES,CIENCIA SOC.DIG)</t>
  </si>
  <si>
    <t>CDEIGENT 2018 SUBV.CONTRAT. DOCTORESEXPERIENCIA INTERNACIONAL   RESOL 28/12/2018 DGUIC ANUALIDAD 2020 (INNOVACIÓN,UNIVERSIDADES,CIENCIA SOC.DIG)</t>
  </si>
  <si>
    <t>FLIB 30/06/2020. PROYECTOS RETOS INVESTIGACION 201 / 8. ANUAL 2020 PROYECTOS I+D RETOS (PIA13) N E / XPEDIENTE: PIA132018-1 - 2 ANUALIDAD REFERE / GOVT / 27402220310030620</t>
  </si>
  <si>
    <t>31.40.6P.00.22</t>
  </si>
  <si>
    <t>COVID-19 CONCESION DIRECTA AYUDASURGENTES  SOLUCIONES CIENTIFICO-INNOVA  DORAS  DECRETO 51/2020 DE 17 ABRIL 2020 (INNOVACIÓN,UNIVERSIDADES,CIENCIA SOC.DIG)</t>
  </si>
  <si>
    <t>31.40.6P.00.23</t>
  </si>
  <si>
    <t xml:space="preserve">PAGO CONVOCATORIA PROYECTOS 2019 1ANUALIDAD 2020 PROYECTOS I+D (PIA 1)N EXPEDIENTE: PIA 1 2019-1-1. ANUALIDAD REFERENCIA: PID2019-105542RB-I00 </t>
  </si>
  <si>
    <t>31.40.6P.00.24</t>
  </si>
  <si>
    <t xml:space="preserve">PAGO CONVOCATORIA PROYECTOS 2019 1ANUALIDAD 2020 PROYECTOS I+D (PIA 1)N EXPEDIENTE: PIA 1 2019-1-1. ANUALIDAD REFERENCIA: PID2019-105960RB-C22 </t>
  </si>
  <si>
    <t>31.40.6P.00.25</t>
  </si>
  <si>
    <t>SUBVENCIONES PARA LA REALIZACIÓN DE PROYECTOS DE I+D+I DESARROLLADOS POR GRUPOS DE INVESTIGACIÓN EMERGENTES GV/2020 (NNOVACIÓN,UNIVERSIDADES,CIENCIA SOC.DIG)</t>
  </si>
  <si>
    <t>31.40.6S.00.03</t>
  </si>
  <si>
    <t>U052 </t>
  </si>
  <si>
    <t>QUÍMICA INORGÁNICA </t>
  </si>
  <si>
    <t>DOCTORADO EN CIENCIA DE MATERIALES </t>
  </si>
  <si>
    <t>B129 </t>
  </si>
  <si>
    <t>24125718Y </t>
  </si>
  <si>
    <t>ADM. I.U. DE MATERIALES </t>
  </si>
  <si>
    <t>21994647T </t>
  </si>
  <si>
    <t>21445209D </t>
  </si>
  <si>
    <t>Adsuar García, María Dolores </t>
  </si>
  <si>
    <t>CATALIZADORES BIFUNCIONALES PARA LA HIDROGENACIÓN HIDROLÍTICA DE LA CELULOSA </t>
  </si>
  <si>
    <t>28/07/2017 </t>
  </si>
  <si>
    <t>21996705B </t>
  </si>
  <si>
    <t>Leyva García, Sarai </t>
  </si>
  <si>
    <t>ADVANCED NANOSTRUCTURED CARBON MATERIALS FOR ELECTROCHEMICAL ENERGY STORAGE DEVICES: SUPERCAPACITORS AND MICRO-CAPACITORS </t>
  </si>
  <si>
    <t>23/11/2016 </t>
  </si>
  <si>
    <t>52775130C </t>
  </si>
  <si>
    <t>Giménez Mañogil, Javier Antonio </t>
  </si>
  <si>
    <t>DESARROLLO DE CATALIZADORES BASADOS EN CU/CERIA-ZIRCONIA PARA LA COMBUSTIÓN DE CARBONILLA Y ELIMINACIÓN DE NOX EN MOTORES DIESEL </t>
  </si>
  <si>
    <t>19/09/2017 </t>
  </si>
  <si>
    <t>22138935D </t>
  </si>
  <si>
    <t>García Aguilar, Jaime </t>
  </si>
  <si>
    <t>PROCESOS MÁS EFICIENTES EN CATÁLISIS MEDIANTE LA SÍNTESIS DE NUEVOS RECUBRIMIENTOS Y RELLENOS </t>
  </si>
  <si>
    <t>20/07/2017 </t>
  </si>
  <si>
    <t>Albaladejo Fuentes, Vicente </t>
  </si>
  <si>
    <t>CATALIZADORES CU-PEROVSKITA PARA LA ELIMINACIÓN DE NOX PROCEDENTE DE MOTERES DIÉSEL </t>
  </si>
  <si>
    <t>21462916Y </t>
  </si>
  <si>
    <t>22008854Q </t>
  </si>
  <si>
    <t>Rojas Mayorga, Cintia Karina </t>
  </si>
  <si>
    <t>OPTIMIZACIÓN DE LAS CONDICIONES DE SÍNTESIS Y PROPIEDADES DE ADSORCIÓN DEL CARBÓN DE HUESO PARA PROCESOS DE DEFLUORACIÓN DEL AGUA </t>
  </si>
  <si>
    <t>06/04/2017 </t>
  </si>
  <si>
    <t>21516469S </t>
  </si>
  <si>
    <t>Caccia , Mario Raul </t>
  </si>
  <si>
    <t>SYNTHESIS AND PROCESSING OF SIC-BASED COMPOSITE MATERIALS BY REACTIVE INFILTRATION </t>
  </si>
  <si>
    <t>20/10/2016 </t>
  </si>
  <si>
    <t>Cano Casanova, Laura </t>
  </si>
  <si>
    <t>SÍNTESIS Y CARACTERIZACIÓN DE FOTOCATALIZADORES NANOESTRUCTURADOS TIO2 Y TIO2-C PARA SU APLICACIÓN EN LA OXIDACIÓN DE COVS </t>
  </si>
  <si>
    <t>26/01/2018 </t>
  </si>
  <si>
    <t>48318313M </t>
  </si>
  <si>
    <t>De Lucas Freile, Alfonso </t>
  </si>
  <si>
    <t>SÍNTESIS Y FORMULACIÓN DE NUEVAS ESPUMAS DE POLIURETANO FLEXIBLES CON PROPIEDADES MEJORADAS </t>
  </si>
  <si>
    <t>24/09/2018 </t>
  </si>
  <si>
    <t>Sancho Querol, Sara </t>
  </si>
  <si>
    <t>NUEVOS ADHESIVOS TERMOFUSIBLES SENSIBLES A LA PRESIÓN DE COPOLÍMEROS DE ETILENO CON PROPIEDADES INTELIGENTES </t>
  </si>
  <si>
    <t>09/02/2018 </t>
  </si>
  <si>
    <t>Llorens Esteve, Juan </t>
  </si>
  <si>
    <t>DISEÑO DE LAS PROPIEDADES DE DISPERSIONES DE POLIURETANO COMO ADHESIVOS MEDIANTE EL CONTROL DEL PROCESO DE SÍNTESIS </t>
  </si>
  <si>
    <t>ZZ </t>
  </si>
  <si>
    <t>SIN ASIGNAR </t>
  </si>
  <si>
    <t>Camarano Cestona, Antonio Daniel </t>
  </si>
  <si>
    <t>SÍNTESIS Y CARACTERIZACIÓN DE MATERIALES COMPUESTOS BASADOS EN SIC E IR </t>
  </si>
  <si>
    <t>28/09/2018 </t>
  </si>
  <si>
    <t>Amorós Pérez, Ana </t>
  </si>
  <si>
    <t>TIO2 BASED PHOTOCATALYSTS FOR ENVIRONMENTAL REMEDIATION REACTIONS </t>
  </si>
  <si>
    <t>12/04/2019 </t>
  </si>
  <si>
    <t>Alcalde Santiago, Virginia </t>
  </si>
  <si>
    <t>MACROPOROUS INORGANIC OXIDES FOR NOX ABATEMENT AND CATALYTIC SOOT COMBUSTION IN DIESEL ENGINES </t>
  </si>
  <si>
    <t>10/05/2019 </t>
  </si>
  <si>
    <t>21507611N </t>
  </si>
  <si>
    <t>Davó Quiñonero, Arantxa María </t>
  </si>
  <si>
    <t>COPPER-BASED CATALYSTS FOR THE PREFERENTIAL CO OXIDATION IN H2-RICH STREAMS (CO-PROX REACTION) </t>
  </si>
  <si>
    <t>26/07/2019 </t>
  </si>
  <si>
    <t>Mostazo López, María José </t>
  </si>
  <si>
    <t>FUNCIONALIZACIÓN QUÍMICA DE MATERIALES CARBONOSOS PARA ALMACENAMIENTO Y GENERACIÓN DE ENERGÍA </t>
  </si>
  <si>
    <t>05/04/2019 </t>
  </si>
  <si>
    <t>Gabe , Atsushi </t>
  </si>
  <si>
    <t>UNDERSTANDING OF CARBON ACTIVE SITES FOR OXYGEN REDUCTION REACTION </t>
  </si>
  <si>
    <t>11/10/2018 </t>
  </si>
  <si>
    <t>Azar ., Fatima-Zahra </t>
  </si>
  <si>
    <t>CATALYTIC CONVERSION OF CELLULOSE AND BIOMASS INTO HIGH ADDED-VALUE CHEMICALS USING CARBON MATERIALS AND RU CATALYSTS </t>
  </si>
  <si>
    <t>01/03/2019 </t>
  </si>
  <si>
    <t>Quintero Jaime, Andrés Felipe </t>
  </si>
  <si>
    <t>Electrochemical functionalization of nanostructured carbon materials for bioelectrochemical applications </t>
  </si>
  <si>
    <t>Fuensanta Soriano, Monica </t>
  </si>
  <si>
    <t>Nuevos adhesivos sensibles a la presión basados en poliuretanos termoplásticos </t>
  </si>
  <si>
    <t>31/01/2020 </t>
  </si>
  <si>
    <t>Fernández Catalá, Javier </t>
  </si>
  <si>
    <t>Catalizadores micro- y nanoestructurados para la oxidación de hidrocarburos y producción de hidrógeno </t>
  </si>
  <si>
    <t>20/03/2020 </t>
  </si>
  <si>
    <t>52776283T </t>
  </si>
  <si>
    <t>Quílez Bermejo, Javier </t>
  </si>
  <si>
    <t>Design of N-doped carbon materials for ORR electrocatalysts through the combination of computational modelling and chemical synthesis </t>
  </si>
  <si>
    <t>04/09/2020 </t>
  </si>
  <si>
    <t>Murillo Acevedo, Yesid Sneider </t>
  </si>
  <si>
    <t>Estudio del efecto de las propiedades fisicoquímicas del carbón activado como soporte catálitico y fotocatalizador para la degradación de fenol desde solución acuosa </t>
  </si>
  <si>
    <t>13/08/2020 </t>
  </si>
  <si>
    <t>Campello Gómez, Ignacio </t>
  </si>
  <si>
    <t>Estudio de los mecanismos de activación y aplicabilidad de materiales carbonosos derivados de espumas de poliuretano en procesos de adsorción, separación de gases y biomedicina </t>
  </si>
  <si>
    <t>20/12/2019 </t>
  </si>
  <si>
    <t>22131716N </t>
  </si>
  <si>
    <t>Gandara Loe, Jesus </t>
  </si>
  <si>
    <t>LARGE VERSATILITY OF METAL-ORGANIC FRAMEWORKS (MOFS) IN GAS/LIQUID ADSORPTION PROCESSES </t>
  </si>
  <si>
    <t>08/10/2020 </t>
  </si>
  <si>
    <t>Cuadrado Collados, Carlos </t>
  </si>
  <si>
    <t>FORMATION AND GROWTH OF CH4 HYDRATES IN THE CONFINED SPACE OF POROUS MATERIALS </t>
  </si>
  <si>
    <t>20/10/2020 </t>
  </si>
  <si>
    <t>Merino González, Camilo </t>
  </si>
  <si>
    <t>Diseño y prototipo de supercondensador asimétrico en electrolito acuoso basado en materiales carbonosos </t>
  </si>
  <si>
    <t>18/01/2021 </t>
  </si>
  <si>
    <t>Ortega Murcia, Alejandro </t>
  </si>
  <si>
    <t>Preparación y caracterización de (electro)catalizadores basados en nanopartículas de paladio soportadas sobre materiales de carbón </t>
  </si>
  <si>
    <t>22/03/2021 </t>
  </si>
  <si>
    <t>Torregrosa Rivero, Verónica </t>
  </si>
  <si>
    <t>BaMnO3 perovskite-based catalysts for pollution control generated by higlhy efficient automotive engines </t>
  </si>
  <si>
    <t>17/09/2021 </t>
  </si>
  <si>
    <t>Ferrández Gómez, Borja </t>
  </si>
  <si>
    <t>Regeneración electroquímica de carbón activado usado en plantas potabilizadoras de agua: escalado, optimización y validación de prototipos </t>
  </si>
  <si>
    <t>Chaparro Garnica, Cristian Yesid </t>
  </si>
  <si>
    <t>Design of monolithic supports by 3D printing for its application in catalysis </t>
  </si>
  <si>
    <t>05/02/2021 </t>
  </si>
  <si>
    <t>Cárdenas Arenas, Liliana Andrea </t>
  </si>
  <si>
    <t>Ni-based catalysts supported on CeO2 for CO2 valorisation </t>
  </si>
  <si>
    <t>02/02/2021 </t>
  </si>
  <si>
    <t>Unidad</t>
  </si>
  <si>
    <t>Cód. org. aplic.</t>
  </si>
  <si>
    <t>Descripción justificante</t>
  </si>
  <si>
    <t>31.40</t>
  </si>
  <si>
    <t>1º FACTURA ADENDA AL CONTRATO "DESARROLLO DE NUEVOS ADHESIVOS PARA EL PEGADO DE ARCILLA A SEMILLAS" N. PEDIDO 10121POH000005</t>
  </si>
  <si>
    <t>CONSULTING AND ASSISTANCE SERVICES BY PROF. JAVIER GARCIA MARTINEZ FROM 2021/03/01 - 2021/04/30 P.O. # 4502908066</t>
  </si>
  <si>
    <t>CONSULTING AND ASSISTANCE SERVICES BY DR. JAVIER GARCIA MARTINEZ. FROM 05-01-2021 TO 06-30-2021 P.O.# 4502908066</t>
  </si>
  <si>
    <t>CONSULTING AND ASSISTANCE SERVICES BY PROF. JAVIER GARCIA MARTINEZ FROM 01/01/2021-28/02/2021 P.O. # 4502908066</t>
  </si>
  <si>
    <t>CONSULTING AND ASSISTENCE BY DR. JAVIER GARCIA-MARTINEZ FROM 09/01/2021 TO 10/31/2021 P.O.# 450290806</t>
  </si>
  <si>
    <t>CONSULTING AND ASSISTENCE BY DR. JAVIER GARCIA-MARTINEZ FROM 07/01/2021 TO 08/31/2021 P.O.# 4502908066</t>
  </si>
  <si>
    <t>TESTING AND OTHER TECHNICAL EVALUATION SERVICES RELATING TO MESOPOROUS ZEOLITE MATERIALS. P.O. #  4502908067</t>
  </si>
  <si>
    <t>FIRST PAYMENT ON 2021 OF RESEARCH AGREEMENT "TESTING AND OTHER TECHNICAL EVALUATION SERVICES"</t>
  </si>
  <si>
    <t>PAYMENT MILESTONE 5: "CHARACTERIZATION OF COMBUSTION RELATED SOLID PARTICLES IN CIGARRETE SMOKE AND THE SUSPENDED PARTICULATED MATTER IN QUE IQOS AEROSOL". P.O. # 5700142661.  PMP RESPONSIBLE: PASCAL PRATTE</t>
  </si>
  <si>
    <t>CARACTERIZACION DE ADHESIVOS UNIVERSIDAD DE ALICANTE.   P.O.: 4.501.512.865 SHOPPING CART: PR289259</t>
  </si>
  <si>
    <t xml:space="preserve">ÚLTIMA FACTURA CORRESPONDIENTE AL 30% ACORDADA EN EL CONTRATO QUE LLEVA POR TÍTULO "DESARROLLO DE NUEVOS ADHESIVOS DE POLIURETANO PARA APLICIONES INNOVADORAS". P.O. # 602400 </t>
  </si>
  <si>
    <t>31.40.6C.00.89</t>
  </si>
  <si>
    <t>PRIMERA FACTURA ACORDADA A LA FIRMA DE LA PRESTACIÓN DE SERVICIOS "ASESORÍA TÉCNICA EN EL DESARROLLO DE UN ADHESIVO RECICLABLE PARA LA UNIÓN DE MATERIAL EVA"</t>
  </si>
  <si>
    <t>ULTIMA FACTURA ACORDADA EN LA PRESTACION DE SERVICIOS "ASESORIA TECNICA EN EL DESARROLLO DE UN ADHESIVO RECICLABLE PARA LA UNION DE MATERIAL EVA"</t>
  </si>
  <si>
    <t>31.40.6C.00.91</t>
  </si>
  <si>
    <t>AGREEMENT BETWEEN JOURNAL OF ADHESION SCIENCE AND TECHNOLOGY AND THE UNIVERSITY OF ALICANTE. SECOND INVOICE</t>
  </si>
  <si>
    <t>AGREEMENT BETWEEN JOURNAL OF ADHESION SCIENCE AND TECHNOLOGY AND UNIVERSITY OF ALICANTE.</t>
  </si>
  <si>
    <t>IATA-CSIC SEGUNDA FACTURA. "DESARROLLO DE COLAS ALTERNATIVAS A LAS DE POLIURETANO PARA LA FABRICACION DE TAPONES DE CORCHO".  INVESTIGADOR: RAFAEL JOSE GAVARA CLEMENTE</t>
  </si>
  <si>
    <t xml:space="preserve">IATA-CSIC ULTIMA FACTURA "DESARROLLO DE COLAS ALTERNATIVAS A LAS DE POLIURETANO PARA LA FABRICACION DE TAPONES DE CORCHO".  INVESTIGADOR: RAFAEL JOSE GAVARA CLEMENTE </t>
  </si>
  <si>
    <t>31.40.6C.00.98</t>
  </si>
  <si>
    <t xml:space="preserve">Technical Consulting: Preparation for testing  Dr. José Miguel Martín Martínez </t>
  </si>
  <si>
    <t>NOTE FEE 1.  (PM-AC.FID3873419). PERIOD FROM JANUARY-APRIL 2021</t>
  </si>
  <si>
    <t>NOTE FEE 1. (PM-AC.FID3873419). PERIOD FROM MAY-AGOST 2021</t>
  </si>
  <si>
    <t>31.40.6C.00.99</t>
  </si>
  <si>
    <t>ANALISIS DE TENSION SUPERIFCIAL DE CUATRO FORMULACIONES EPOXI. ORDEN DE COMPRA : 420-010545</t>
  </si>
  <si>
    <t>31.40.6C.01.00</t>
  </si>
  <si>
    <t>URGENT PRODUCTION  OF A TECHNICAL EXPERT OPINION (PATENT ES 2 383 016 T3)</t>
  </si>
  <si>
    <t>31.40.6C.01.01</t>
  </si>
  <si>
    <t>CARACTERIZACION DE UN ADHESIVO APLICADO EN CAPSULA Y DE UN ADHESIVO LIQUIDO</t>
  </si>
  <si>
    <t>31.40.6C.01.02</t>
  </si>
  <si>
    <t>ULTIMA FACTURA.  REALIZACION DE UN INFORME TECNICO PERICIAL SOBRE LA IDONEIDAD DEL PREPOLIMERO DE URETANO. REFERENCIA: 23837506</t>
  </si>
  <si>
    <t xml:space="preserve">PRIMERA FACTURA ACORDADA A LA FIRMA DE LA PRESTACIÓN DE SERVICIOS "REALIZACION DE UN INFORME TÉCNICO-PERICIAL SOBRE LA IDONEIDAD DEL PREPOLIMERO DE URETANO". REFERENCIA:  23837506 </t>
  </si>
  <si>
    <t>31.40.6C.01.03</t>
  </si>
  <si>
    <t>50% ACORDADO A LA FIRMA DE LA PRESTACIÓN DE SERVICIOS "ASESORÍA TÉCNICA EN EL DESARROLLO DE UN BARNIZ ACUOSO CON MEJORADAS PRESTACIONES"</t>
  </si>
  <si>
    <t>ULTIMO PAGO DE LA PRESTACION DE SERVICIOS "ASESORIA TECNICA EN EL DESARROLLO DE UN BARNIZ ACUOSO EMULSIONADO CON CORCHO MEJORADO "</t>
  </si>
  <si>
    <t>31.40.6C.01.04</t>
  </si>
  <si>
    <t xml:space="preserve">ANALISIS DE LA TENSION  SUPERFICIAL DE Z0 ORDEN DE COMPRA: 420-010723 </t>
  </si>
  <si>
    <t>31.40.6C.01.05</t>
  </si>
  <si>
    <t>DIFFERENT MODIFICATIONS OF THE ADHESION TEST PROPOSED IN ES2383016T3 PATENT.</t>
  </si>
  <si>
    <t>31.40.6C.01.06</t>
  </si>
  <si>
    <t>MEDIDAS DE REOLOGIA PLATO-PLATO DE TRES MUESTRAS DE RESINOL.  NUMERO DE PEDIDO: TDK 4504346961</t>
  </si>
  <si>
    <t>31.40.6C.01.07</t>
  </si>
  <si>
    <t>MEASUREMENT OF THE SOFTENING POINT (RING AND BALL) OF THE ONE ADHESIVE. P.O. NUMBER  4090005271</t>
  </si>
  <si>
    <t>31.40.6C.01.09</t>
  </si>
  <si>
    <t>PRIMERA FACTURA ACORDADA A LA FIRMA DEL CONTRATO "ESTUDIO DE VIABILIDAD Y EVALUACION DE LA RECUPERACION DE FIBRA DE VIDRIO EN PALAS Y CARCASA DE AEROGENERADOR". CORRESPONDE AL 50% DEL TOTAL</t>
  </si>
  <si>
    <t>ULTIMA FACTURA ACORDADA EN EL CONTRATO "ESTUDIO DE VIABILIDAD Y EVALUACION DE LA RECUPERACION DE LA FIBRA DE VIDRIO EN PALAS Y CARCASA DE AEROGENERADOR"</t>
  </si>
  <si>
    <t>31.40.6C.01.10</t>
  </si>
  <si>
    <t>MEDIDAS DE REOLOGIA PLATO-PLATO DE 1 MUESTRA DE RESINOL. EVALUACION DEL INDICE OH EN 2 MUESTRAS DE ACEITE DE RICINO. NUMERO PEDIDO: TDK 4504388696</t>
  </si>
  <si>
    <t>31.40.6C.01.11</t>
  </si>
  <si>
    <t>EVALUACION DEL INDICE DE OH EN UNA MUESTRA DE RESINOL PEDIDO N. 4504401859</t>
  </si>
  <si>
    <t>31.40.6C.01.12</t>
  </si>
  <si>
    <t>ESTUDIO DE LA VIABILIDAD DE SEPARACION DE FIBRA DE VIDRIO -RESINA EN LAS MUESTRAS ENVIADAS A LA UA POR SEGURNAUTIC.</t>
  </si>
  <si>
    <t>31.40.6C.01.13</t>
  </si>
  <si>
    <t>FACTURA ACORDADA EN LA PRESTACION DE SERVICIOS "INFORME SOBRE LA TURBIDEZ EN BOTELLAS DE ESPUMOSO"</t>
  </si>
  <si>
    <t>31.40.6C.01.14</t>
  </si>
  <si>
    <t xml:space="preserve">REALIZACION DE ISOTERMAS DE ADSORCION DE NITROGENO Y DIOXIDO DE CARBONO. </t>
  </si>
  <si>
    <t>31.40.6C.01.15</t>
  </si>
  <si>
    <t>INFORME CORRESPONDIENTE A LA PRIMERA PRESTACIÓN DE SERVICIOS PARA EMPRESA MUNICIPAL DE TRANSPORTES DE VALENCIA S.A.  EMT-VALENCIA</t>
  </si>
  <si>
    <t>31.40.6C.01.16</t>
  </si>
  <si>
    <t>DELIVERABLE 1.1  SEGUN CONTRATO "  DESARROLLO DEL SISTEMA DE POST-TRATAMIENTO DE LOS GASES DE ESCAPE DE MOTORES DE COMBUSTIÓN INTERNA ALTERNATIVOS BASADOS EN OXICOMBUSTIÓN".</t>
  </si>
  <si>
    <t>PAGO DE REGALÍAS POR TRANSFERENCIA DE TECNOLOGÍA 2020. Ref. Contrato: G2MT1 (EBT)-11O</t>
  </si>
  <si>
    <t>PROMETEO 2018 EN 2021 (INNOVACIÓN,UNIVERSIDADES,CIENCIA SOC.DIG)</t>
  </si>
  <si>
    <t>CDEIGENT 2018 ANUALIDAD 2021RESOLUCIÓN 25/05/2020 SAUI MODIFICACION RESOLUC 28/12/18 DGUIC POR INCIDENCIAS</t>
  </si>
  <si>
    <t xml:space="preserve">RTI2018-099504-B-C21 </t>
  </si>
  <si>
    <t>PID2019-105542RB-I00</t>
  </si>
  <si>
    <t>PID2019-108632RB-I00</t>
  </si>
  <si>
    <t>Ramírez Arias, Aida Mireya </t>
  </si>
  <si>
    <t>Síntesis de materiales adsorbentes obtenidos a partir de desechos para la eliminación de surfactantes vertidos en aguas residuales </t>
  </si>
  <si>
    <t>02/08/2021 </t>
  </si>
  <si>
    <t>Tounici , Abir </t>
  </si>
  <si>
    <t>Structure-property relationship in waterborne poly(urethane urea)s containing small amounts of graphene derivatives of different nature and surface chemistry </t>
  </si>
  <si>
    <t>18/02/2022 </t>
  </si>
  <si>
    <t>Maiorano Lauria, Lucila Paola </t>
  </si>
  <si>
    <t>Materiales espumados metálicos con inclusiones térmicas de base carbono y nanoingeniería interfacial </t>
  </si>
  <si>
    <t>24/03/2022 </t>
  </si>
  <si>
    <t>21669783B </t>
  </si>
  <si>
    <t>Durmus ., Fatma Cagla </t>
  </si>
  <si>
    <t>DEVELOPMENT OF NEW APPROACHES FOR THE FABRICATION OF MULTIPOROUS METALLIC FOAMS </t>
  </si>
  <si>
    <t>23/12/2021 </t>
  </si>
  <si>
    <t>Chaparro Garnica, Jessica Alejandra </t>
  </si>
  <si>
    <t>Diseño de materiales carbonosos porosos de alta durabilidad y bajo coste para el almacenamiento y producción de energía </t>
  </si>
  <si>
    <t>17/12/2021 </t>
  </si>
  <si>
    <t>48341257H</t>
  </si>
  <si>
    <t>SERRANO TORREGROSA, ELENA</t>
  </si>
  <si>
    <t>74005750F</t>
  </si>
  <si>
    <t>NAVLANI GARCIA, MIRIAM</t>
  </si>
  <si>
    <t>NO FUNCIONARIO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</si>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</sst>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11" fillId="6" borderId="2" xfId="0" applyNumberFormat="1" applyFont="1" applyFill="1" applyBorder="1"/>
    <xf numFmtId="0" fontId="11" fillId="6" borderId="3" xfId="0" applyNumberFormat="1" applyFont="1" applyFill="1" applyBorder="1"/>
    <xf numFmtId="0" fontId="11" fillId="6" borderId="4" xfId="0" applyFont="1" applyFill="1" applyBorder="1" applyAlignment="1">
      <alignment horizontal="right"/>
    </xf>
    <xf numFmtId="0" fontId="0" fillId="7" borderId="5" xfId="0" applyNumberFormat="1" applyFont="1" applyFill="1" applyBorder="1"/>
    <xf numFmtId="0" fontId="0" fillId="7" borderId="6" xfId="0" applyFont="1" applyFill="1" applyBorder="1"/>
    <xf numFmtId="4" fontId="0" fillId="7" borderId="7" xfId="0" applyNumberFormat="1" applyFont="1" applyFill="1" applyBorder="1"/>
    <xf numFmtId="0" fontId="0" fillId="8" borderId="5" xfId="0" applyNumberFormat="1" applyFont="1" applyFill="1" applyBorder="1"/>
    <xf numFmtId="0" fontId="0" fillId="8" borderId="6" xfId="0" applyFont="1" applyFill="1" applyBorder="1"/>
    <xf numFmtId="4" fontId="0" fillId="8" borderId="7" xfId="0" applyNumberFormat="1" applyFont="1" applyFill="1" applyBorder="1"/>
    <xf numFmtId="0" fontId="11" fillId="6" borderId="8" xfId="0" applyFont="1" applyFill="1" applyBorder="1"/>
    <xf numFmtId="0" fontId="11" fillId="6" borderId="9" xfId="0" applyFont="1" applyFill="1" applyBorder="1"/>
    <xf numFmtId="4" fontId="11" fillId="6" borderId="10" xfId="0" applyNumberFormat="1" applyFont="1" applyFill="1" applyBorder="1"/>
    <xf numFmtId="165" fontId="3" fillId="4" borderId="1" xfId="1" applyNumberFormat="1" applyFill="1" applyBorder="1"/>
    <xf numFmtId="0" fontId="3" fillId="4" borderId="11" xfId="1" applyFill="1" applyBorder="1"/>
    <xf numFmtId="165" fontId="3" fillId="4" borderId="11" xfId="1" applyNumberFormat="1" applyFill="1" applyBorder="1"/>
    <xf numFmtId="0" fontId="3" fillId="4" borderId="11" xfId="1" applyFill="1" applyBorder="1" applyAlignment="1">
      <alignment horizontal="right"/>
    </xf>
    <xf numFmtId="1" fontId="3" fillId="4" borderId="11" xfId="1" applyNumberFormat="1" applyFill="1" applyBorder="1"/>
    <xf numFmtId="164" fontId="3" fillId="4" borderId="11" xfId="1" applyNumberFormat="1" applyFill="1" applyBorder="1"/>
    <xf numFmtId="0" fontId="3" fillId="4" borderId="12" xfId="1" applyFill="1" applyBorder="1"/>
    <xf numFmtId="165" fontId="3" fillId="4" borderId="12" xfId="1" applyNumberFormat="1" applyFill="1" applyBorder="1"/>
    <xf numFmtId="0" fontId="3" fillId="4" borderId="12" xfId="1" applyFill="1" applyBorder="1" applyAlignment="1">
      <alignment horizontal="right"/>
    </xf>
    <xf numFmtId="1" fontId="3" fillId="4" borderId="12" xfId="1" applyNumberFormat="1" applyFill="1" applyBorder="1"/>
    <xf numFmtId="164" fontId="3" fillId="4" borderId="12" xfId="1" applyNumberFormat="1" applyFill="1" applyBorder="1"/>
    <xf numFmtId="0" fontId="3" fillId="0" borderId="1" xfId="1" applyBorder="1"/>
    <xf numFmtId="0" fontId="12" fillId="9" borderId="1" xfId="0" applyFont="1" applyFill="1" applyBorder="1" applyAlignment="1">
      <alignment horizontal="left" vertical="center"/>
    </xf>
    <xf numFmtId="0" fontId="12" fillId="9" borderId="13" xfId="0" applyFont="1" applyFill="1" applyBorder="1" applyAlignment="1">
      <alignment horizontal="left" vertical="center"/>
    </xf>
    <xf numFmtId="0" fontId="12" fillId="9" borderId="14" xfId="0" applyFont="1" applyFill="1" applyBorder="1" applyAlignment="1">
      <alignment horizontal="left" vertical="center"/>
    </xf>
    <xf numFmtId="0" fontId="12" fillId="9" borderId="15" xfId="0" applyFont="1" applyFill="1" applyBorder="1" applyAlignment="1">
      <alignment horizontal="left" vertical="center"/>
    </xf>
    <xf numFmtId="2" fontId="3" fillId="4" borderId="1" xfId="1" applyNumberFormat="1" applyFill="1" applyBorder="1"/>
    <xf numFmtId="0" fontId="3" fillId="10" borderId="16" xfId="1" applyFont="1" applyFill="1" applyBorder="1" applyAlignment="1"/>
    <xf numFmtId="0" fontId="3" fillId="10" borderId="16" xfId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10" fillId="10" borderId="16" xfId="5" applyFont="1" applyFill="1" applyBorder="1"/>
    <xf numFmtId="0" fontId="10" fillId="10" borderId="16" xfId="5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4" fontId="0" fillId="10" borderId="1" xfId="0" applyNumberFormat="1" applyFill="1" applyBorder="1" applyAlignment="1">
      <alignment horizontal="right"/>
    </xf>
    <xf numFmtId="1" fontId="4" fillId="10" borderId="16" xfId="1" applyNumberFormat="1" applyFont="1" applyFill="1" applyBorder="1" applyAlignment="1"/>
    <xf numFmtId="0" fontId="13" fillId="10" borderId="16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9"/>
  <sheetViews>
    <sheetView showGridLines="0" tabSelected="1" zoomScale="120" zoomScaleNormal="120" workbookViewId="0">
      <pane xSplit="1" ySplit="1" topLeftCell="F32" activePane="bottomRight" state="frozen"/>
      <selection pane="topRight" activeCell="B1" sqref="B1"/>
      <selection pane="bottomLeft" activeCell="A2" sqref="A2"/>
      <selection pane="bottomRight" activeCell="S49" sqref="S4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8" t="s">
        <v>18</v>
      </c>
      <c r="J1" s="9" t="s">
        <v>19</v>
      </c>
      <c r="K1" s="8" t="s">
        <v>20</v>
      </c>
      <c r="L1" s="9" t="s">
        <v>21</v>
      </c>
      <c r="M1" s="10" t="s">
        <v>22</v>
      </c>
      <c r="N1" s="11" t="s">
        <v>23</v>
      </c>
      <c r="O1" s="12" t="s">
        <v>24</v>
      </c>
      <c r="P1" s="11" t="s">
        <v>25</v>
      </c>
      <c r="Q1" s="12" t="s">
        <v>26</v>
      </c>
      <c r="R1" s="11" t="s">
        <v>27</v>
      </c>
      <c r="S1" s="11" t="s">
        <v>28</v>
      </c>
      <c r="T1" s="11" t="s">
        <v>29</v>
      </c>
      <c r="U1" s="11" t="s">
        <v>30</v>
      </c>
    </row>
    <row r="2" spans="1:21" x14ac:dyDescent="0.2">
      <c r="A2" s="25" t="s">
        <v>267</v>
      </c>
      <c r="B2" s="25" t="s">
        <v>272</v>
      </c>
      <c r="C2" s="25" t="s">
        <v>269</v>
      </c>
      <c r="D2" s="25" t="s">
        <v>275</v>
      </c>
      <c r="E2" s="25" t="s">
        <v>276</v>
      </c>
      <c r="F2" s="25" t="s">
        <v>277</v>
      </c>
      <c r="G2" s="25" t="s">
        <v>278</v>
      </c>
      <c r="H2" s="25" t="s">
        <v>34</v>
      </c>
      <c r="I2" s="25" t="s">
        <v>270</v>
      </c>
      <c r="J2" s="25" t="s">
        <v>268</v>
      </c>
      <c r="K2" s="28">
        <v>1</v>
      </c>
      <c r="L2" s="25" t="s">
        <v>40</v>
      </c>
      <c r="M2" s="25">
        <v>2016</v>
      </c>
      <c r="N2" s="25" t="s">
        <v>39</v>
      </c>
      <c r="O2" s="26" t="s">
        <v>38</v>
      </c>
      <c r="P2" s="25" t="s">
        <v>33</v>
      </c>
      <c r="Q2" s="26" t="s">
        <v>33</v>
      </c>
      <c r="R2" s="27">
        <v>60</v>
      </c>
      <c r="S2" s="28">
        <v>0.6</v>
      </c>
      <c r="T2" s="28">
        <v>0.4</v>
      </c>
      <c r="U2" s="28">
        <v>0</v>
      </c>
    </row>
    <row r="3" spans="1:21" x14ac:dyDescent="0.2">
      <c r="A3" s="25" t="s">
        <v>267</v>
      </c>
      <c r="B3" s="25" t="s">
        <v>272</v>
      </c>
      <c r="C3" s="25" t="s">
        <v>269</v>
      </c>
      <c r="D3" s="25" t="s">
        <v>279</v>
      </c>
      <c r="E3" s="25" t="s">
        <v>280</v>
      </c>
      <c r="F3" s="25" t="s">
        <v>281</v>
      </c>
      <c r="G3" s="25" t="s">
        <v>273</v>
      </c>
      <c r="H3" s="25" t="s">
        <v>31</v>
      </c>
      <c r="I3" s="25" t="s">
        <v>270</v>
      </c>
      <c r="J3" s="25" t="s">
        <v>268</v>
      </c>
      <c r="K3" s="28">
        <v>0.5</v>
      </c>
      <c r="L3" s="25" t="s">
        <v>40</v>
      </c>
      <c r="M3" s="25">
        <v>2016</v>
      </c>
      <c r="N3" s="25" t="s">
        <v>39</v>
      </c>
      <c r="O3" s="26" t="s">
        <v>32</v>
      </c>
      <c r="P3" s="25" t="s">
        <v>33</v>
      </c>
      <c r="Q3" s="26" t="s">
        <v>33</v>
      </c>
      <c r="R3" s="27">
        <v>50</v>
      </c>
      <c r="S3" s="28">
        <v>0.25</v>
      </c>
      <c r="T3" s="28">
        <v>0.25</v>
      </c>
      <c r="U3" s="28">
        <v>0</v>
      </c>
    </row>
    <row r="4" spans="1:21" x14ac:dyDescent="0.2">
      <c r="A4" s="25" t="s">
        <v>267</v>
      </c>
      <c r="B4" s="25" t="s">
        <v>272</v>
      </c>
      <c r="C4" s="25" t="s">
        <v>269</v>
      </c>
      <c r="D4" s="25" t="s">
        <v>279</v>
      </c>
      <c r="E4" s="25" t="s">
        <v>280</v>
      </c>
      <c r="F4" s="25" t="s">
        <v>281</v>
      </c>
      <c r="G4" s="25" t="s">
        <v>282</v>
      </c>
      <c r="H4" s="25" t="s">
        <v>31</v>
      </c>
      <c r="I4" s="25" t="s">
        <v>270</v>
      </c>
      <c r="J4" s="25" t="s">
        <v>268</v>
      </c>
      <c r="K4" s="28">
        <v>0.5</v>
      </c>
      <c r="L4" s="25" t="s">
        <v>40</v>
      </c>
      <c r="M4" s="25">
        <v>2016</v>
      </c>
      <c r="N4" s="25" t="s">
        <v>39</v>
      </c>
      <c r="O4" s="26" t="s">
        <v>32</v>
      </c>
      <c r="P4" s="25" t="s">
        <v>33</v>
      </c>
      <c r="Q4" s="26" t="s">
        <v>33</v>
      </c>
      <c r="R4" s="27">
        <v>50</v>
      </c>
      <c r="S4" s="28">
        <v>0.25</v>
      </c>
      <c r="T4" s="28">
        <v>0.25</v>
      </c>
      <c r="U4" s="28">
        <v>0</v>
      </c>
    </row>
    <row r="5" spans="1:21" x14ac:dyDescent="0.2">
      <c r="A5" s="25" t="s">
        <v>267</v>
      </c>
      <c r="B5" s="25" t="s">
        <v>272</v>
      </c>
      <c r="C5" s="25" t="s">
        <v>269</v>
      </c>
      <c r="D5" s="25" t="s">
        <v>283</v>
      </c>
      <c r="E5" s="25" t="s">
        <v>284</v>
      </c>
      <c r="F5" s="25" t="s">
        <v>285</v>
      </c>
      <c r="G5" s="25" t="s">
        <v>286</v>
      </c>
      <c r="H5" s="25" t="s">
        <v>34</v>
      </c>
      <c r="I5" s="25" t="s">
        <v>270</v>
      </c>
      <c r="J5" s="25" t="s">
        <v>268</v>
      </c>
      <c r="K5" s="28">
        <v>1</v>
      </c>
      <c r="L5" s="25" t="s">
        <v>40</v>
      </c>
      <c r="M5" s="25">
        <v>2016</v>
      </c>
      <c r="N5" s="25" t="s">
        <v>39</v>
      </c>
      <c r="O5" s="26" t="s">
        <v>38</v>
      </c>
      <c r="P5" s="25" t="s">
        <v>33</v>
      </c>
      <c r="Q5" s="26" t="s">
        <v>33</v>
      </c>
      <c r="R5" s="27">
        <v>60</v>
      </c>
      <c r="S5" s="28">
        <v>0.6</v>
      </c>
      <c r="T5" s="28">
        <v>0.4</v>
      </c>
      <c r="U5" s="28">
        <v>0</v>
      </c>
    </row>
    <row r="6" spans="1:21" x14ac:dyDescent="0.2">
      <c r="A6" s="25" t="s">
        <v>267</v>
      </c>
      <c r="B6" s="25" t="s">
        <v>272</v>
      </c>
      <c r="C6" s="25" t="s">
        <v>269</v>
      </c>
      <c r="D6" s="25" t="s">
        <v>287</v>
      </c>
      <c r="E6" s="25" t="s">
        <v>288</v>
      </c>
      <c r="F6" s="25" t="s">
        <v>289</v>
      </c>
      <c r="G6" s="25" t="s">
        <v>273</v>
      </c>
      <c r="H6" s="25" t="s">
        <v>31</v>
      </c>
      <c r="I6" s="25" t="s">
        <v>270</v>
      </c>
      <c r="J6" s="25" t="s">
        <v>268</v>
      </c>
      <c r="K6" s="28">
        <v>0.5</v>
      </c>
      <c r="L6" s="25" t="s">
        <v>40</v>
      </c>
      <c r="M6" s="25">
        <v>2016</v>
      </c>
      <c r="N6" s="25" t="s">
        <v>39</v>
      </c>
      <c r="O6" s="26" t="s">
        <v>32</v>
      </c>
      <c r="P6" s="25" t="s">
        <v>33</v>
      </c>
      <c r="Q6" s="26" t="s">
        <v>33</v>
      </c>
      <c r="R6" s="27">
        <v>50</v>
      </c>
      <c r="S6" s="28">
        <v>0.25</v>
      </c>
      <c r="T6" s="28">
        <v>0.25</v>
      </c>
      <c r="U6" s="28">
        <v>0</v>
      </c>
    </row>
    <row r="7" spans="1:21" x14ac:dyDescent="0.2">
      <c r="A7" s="25" t="s">
        <v>267</v>
      </c>
      <c r="B7" s="25" t="s">
        <v>272</v>
      </c>
      <c r="C7" s="25" t="s">
        <v>269</v>
      </c>
      <c r="D7" s="25" t="s">
        <v>290</v>
      </c>
      <c r="E7" s="25" t="s">
        <v>291</v>
      </c>
      <c r="F7" s="25" t="s">
        <v>35</v>
      </c>
      <c r="G7" s="25" t="s">
        <v>292</v>
      </c>
      <c r="H7" s="25" t="s">
        <v>31</v>
      </c>
      <c r="I7" s="25" t="s">
        <v>270</v>
      </c>
      <c r="J7" s="25" t="s">
        <v>268</v>
      </c>
      <c r="K7" s="28">
        <v>0.5</v>
      </c>
      <c r="L7" s="25" t="s">
        <v>40</v>
      </c>
      <c r="M7" s="25">
        <v>2016</v>
      </c>
      <c r="N7" s="25" t="s">
        <v>39</v>
      </c>
      <c r="O7" s="26" t="s">
        <v>38</v>
      </c>
      <c r="P7" s="25" t="s">
        <v>33</v>
      </c>
      <c r="Q7" s="26" t="s">
        <v>33</v>
      </c>
      <c r="R7" s="27">
        <v>60</v>
      </c>
      <c r="S7" s="28">
        <v>0.3</v>
      </c>
      <c r="T7" s="28">
        <v>0.2</v>
      </c>
      <c r="U7" s="28">
        <v>0</v>
      </c>
    </row>
    <row r="8" spans="1:21" x14ac:dyDescent="0.2">
      <c r="A8" s="25" t="s">
        <v>267</v>
      </c>
      <c r="B8" s="25" t="s">
        <v>272</v>
      </c>
      <c r="C8" s="25" t="s">
        <v>269</v>
      </c>
      <c r="D8" s="25" t="s">
        <v>290</v>
      </c>
      <c r="E8" s="25" t="s">
        <v>291</v>
      </c>
      <c r="F8" s="25" t="s">
        <v>35</v>
      </c>
      <c r="G8" s="25" t="s">
        <v>293</v>
      </c>
      <c r="H8" s="25" t="s">
        <v>31</v>
      </c>
      <c r="I8" s="25" t="s">
        <v>270</v>
      </c>
      <c r="J8" s="25" t="s">
        <v>268</v>
      </c>
      <c r="K8" s="28">
        <v>0.5</v>
      </c>
      <c r="L8" s="25" t="s">
        <v>40</v>
      </c>
      <c r="M8" s="25">
        <v>2016</v>
      </c>
      <c r="N8" s="25" t="s">
        <v>39</v>
      </c>
      <c r="O8" s="26" t="s">
        <v>38</v>
      </c>
      <c r="P8" s="25" t="s">
        <v>33</v>
      </c>
      <c r="Q8" s="26" t="s">
        <v>33</v>
      </c>
      <c r="R8" s="27">
        <v>60</v>
      </c>
      <c r="S8" s="28">
        <v>0.3</v>
      </c>
      <c r="T8" s="28">
        <v>0.2</v>
      </c>
      <c r="U8" s="28">
        <v>0</v>
      </c>
    </row>
    <row r="9" spans="1:21" x14ac:dyDescent="0.2">
      <c r="A9" s="25" t="s">
        <v>267</v>
      </c>
      <c r="B9" s="25" t="s">
        <v>272</v>
      </c>
      <c r="C9" s="25" t="s">
        <v>269</v>
      </c>
      <c r="D9" s="25" t="s">
        <v>294</v>
      </c>
      <c r="E9" s="25" t="s">
        <v>295</v>
      </c>
      <c r="F9" s="25" t="s">
        <v>296</v>
      </c>
      <c r="G9" s="25" t="s">
        <v>297</v>
      </c>
      <c r="H9" s="25" t="s">
        <v>31</v>
      </c>
      <c r="I9" s="25" t="s">
        <v>270</v>
      </c>
      <c r="J9" s="25" t="s">
        <v>268</v>
      </c>
      <c r="K9" s="28">
        <v>0.5</v>
      </c>
      <c r="L9" s="25" t="s">
        <v>40</v>
      </c>
      <c r="M9" s="25">
        <v>2016</v>
      </c>
      <c r="N9" s="25" t="s">
        <v>39</v>
      </c>
      <c r="O9" s="26" t="s">
        <v>37</v>
      </c>
      <c r="P9" s="25" t="s">
        <v>33</v>
      </c>
      <c r="Q9" s="26" t="s">
        <v>33</v>
      </c>
      <c r="R9" s="27">
        <v>80</v>
      </c>
      <c r="S9" s="28">
        <v>0.4</v>
      </c>
      <c r="T9" s="28">
        <v>0.1</v>
      </c>
      <c r="U9" s="28">
        <v>0</v>
      </c>
    </row>
    <row r="10" spans="1:21" x14ac:dyDescent="0.2">
      <c r="A10" s="25" t="s">
        <v>267</v>
      </c>
      <c r="B10" s="25" t="s">
        <v>272</v>
      </c>
      <c r="C10" s="25" t="s">
        <v>269</v>
      </c>
      <c r="D10" s="25" t="s">
        <v>298</v>
      </c>
      <c r="E10" s="25" t="s">
        <v>299</v>
      </c>
      <c r="F10" s="25" t="s">
        <v>300</v>
      </c>
      <c r="G10" s="25" t="s">
        <v>274</v>
      </c>
      <c r="H10" s="25" t="s">
        <v>34</v>
      </c>
      <c r="I10" s="25" t="s">
        <v>270</v>
      </c>
      <c r="J10" s="25" t="s">
        <v>268</v>
      </c>
      <c r="K10" s="28">
        <v>1</v>
      </c>
      <c r="L10" s="25" t="s">
        <v>40</v>
      </c>
      <c r="M10" s="25">
        <v>2016</v>
      </c>
      <c r="N10" s="25" t="s">
        <v>39</v>
      </c>
      <c r="O10" s="26" t="s">
        <v>37</v>
      </c>
      <c r="P10" s="25" t="s">
        <v>33</v>
      </c>
      <c r="Q10" s="26" t="s">
        <v>33</v>
      </c>
      <c r="R10" s="27">
        <v>80</v>
      </c>
      <c r="S10" s="28">
        <v>0.8</v>
      </c>
      <c r="T10" s="28">
        <v>0.2</v>
      </c>
      <c r="U10" s="28">
        <v>0</v>
      </c>
    </row>
    <row r="11" spans="1:21" x14ac:dyDescent="0.2">
      <c r="A11" s="25" t="s">
        <v>267</v>
      </c>
      <c r="B11" s="25" t="s">
        <v>272</v>
      </c>
      <c r="C11" s="25" t="s">
        <v>269</v>
      </c>
      <c r="D11" s="25" t="s">
        <v>301</v>
      </c>
      <c r="E11" s="25" t="s">
        <v>302</v>
      </c>
      <c r="F11" s="25" t="s">
        <v>303</v>
      </c>
      <c r="G11" s="25" t="s">
        <v>304</v>
      </c>
      <c r="H11" s="25" t="s">
        <v>31</v>
      </c>
      <c r="I11" s="25" t="s">
        <v>270</v>
      </c>
      <c r="J11" s="25" t="s">
        <v>268</v>
      </c>
      <c r="K11" s="28">
        <v>0.5</v>
      </c>
      <c r="L11" s="25" t="s">
        <v>40</v>
      </c>
      <c r="M11" s="25">
        <v>2017</v>
      </c>
      <c r="N11" s="25" t="s">
        <v>39</v>
      </c>
      <c r="O11" s="26" t="s">
        <v>38</v>
      </c>
      <c r="P11" s="25" t="s">
        <v>33</v>
      </c>
      <c r="Q11" s="26" t="s">
        <v>33</v>
      </c>
      <c r="R11" s="27">
        <v>60</v>
      </c>
      <c r="S11" s="28">
        <v>0.3</v>
      </c>
      <c r="T11" s="28">
        <v>0.2</v>
      </c>
      <c r="U11" s="28">
        <v>0</v>
      </c>
    </row>
    <row r="12" spans="1:21" x14ac:dyDescent="0.2">
      <c r="A12" s="25" t="s">
        <v>267</v>
      </c>
      <c r="B12" s="25" t="s">
        <v>272</v>
      </c>
      <c r="C12" s="25" t="s">
        <v>269</v>
      </c>
      <c r="D12" s="25" t="s">
        <v>301</v>
      </c>
      <c r="E12" s="25" t="s">
        <v>302</v>
      </c>
      <c r="F12" s="25" t="s">
        <v>303</v>
      </c>
      <c r="G12" s="25" t="s">
        <v>278</v>
      </c>
      <c r="H12" s="25" t="s">
        <v>31</v>
      </c>
      <c r="I12" s="25" t="s">
        <v>270</v>
      </c>
      <c r="J12" s="25" t="s">
        <v>268</v>
      </c>
      <c r="K12" s="28">
        <v>0.5</v>
      </c>
      <c r="L12" s="25" t="s">
        <v>40</v>
      </c>
      <c r="M12" s="25">
        <v>2017</v>
      </c>
      <c r="N12" s="25" t="s">
        <v>39</v>
      </c>
      <c r="O12" s="26" t="s">
        <v>38</v>
      </c>
      <c r="P12" s="25" t="s">
        <v>33</v>
      </c>
      <c r="Q12" s="26" t="s">
        <v>33</v>
      </c>
      <c r="R12" s="27">
        <v>60</v>
      </c>
      <c r="S12" s="28">
        <v>0.3</v>
      </c>
      <c r="T12" s="28">
        <v>0.2</v>
      </c>
      <c r="U12" s="28">
        <v>0</v>
      </c>
    </row>
    <row r="13" spans="1:21" x14ac:dyDescent="0.2">
      <c r="A13" s="25" t="s">
        <v>267</v>
      </c>
      <c r="B13" s="25" t="s">
        <v>272</v>
      </c>
      <c r="C13" s="25" t="s">
        <v>269</v>
      </c>
      <c r="D13" s="25" t="s">
        <v>305</v>
      </c>
      <c r="E13" s="25" t="s">
        <v>306</v>
      </c>
      <c r="F13" s="25" t="s">
        <v>307</v>
      </c>
      <c r="G13" s="25" t="s">
        <v>271</v>
      </c>
      <c r="H13" s="25" t="s">
        <v>34</v>
      </c>
      <c r="I13" s="25" t="s">
        <v>270</v>
      </c>
      <c r="J13" s="25" t="s">
        <v>268</v>
      </c>
      <c r="K13" s="28">
        <v>1</v>
      </c>
      <c r="L13" s="25" t="s">
        <v>40</v>
      </c>
      <c r="M13" s="25">
        <v>2017</v>
      </c>
      <c r="N13" s="25" t="s">
        <v>33</v>
      </c>
      <c r="O13" s="26" t="s">
        <v>33</v>
      </c>
      <c r="P13" s="25" t="s">
        <v>33</v>
      </c>
      <c r="Q13" s="26" t="s">
        <v>33</v>
      </c>
      <c r="R13" s="27">
        <v>100</v>
      </c>
      <c r="S13" s="28">
        <v>1</v>
      </c>
      <c r="T13" s="28">
        <v>0</v>
      </c>
      <c r="U13" s="28">
        <v>0</v>
      </c>
    </row>
    <row r="14" spans="1:21" x14ac:dyDescent="0.2">
      <c r="A14" s="25" t="s">
        <v>267</v>
      </c>
      <c r="B14" s="25" t="s">
        <v>272</v>
      </c>
      <c r="C14" s="25" t="s">
        <v>269</v>
      </c>
      <c r="D14" s="25" t="s">
        <v>308</v>
      </c>
      <c r="E14" s="25" t="s">
        <v>309</v>
      </c>
      <c r="F14" s="25" t="s">
        <v>310</v>
      </c>
      <c r="G14" s="25" t="s">
        <v>271</v>
      </c>
      <c r="H14" s="25" t="s">
        <v>31</v>
      </c>
      <c r="I14" s="25" t="s">
        <v>270</v>
      </c>
      <c r="J14" s="25" t="s">
        <v>268</v>
      </c>
      <c r="K14" s="28">
        <v>0.5</v>
      </c>
      <c r="L14" s="25" t="s">
        <v>40</v>
      </c>
      <c r="M14" s="25">
        <v>2017</v>
      </c>
      <c r="N14" s="25" t="s">
        <v>33</v>
      </c>
      <c r="O14" s="26" t="s">
        <v>33</v>
      </c>
      <c r="P14" s="25" t="s">
        <v>33</v>
      </c>
      <c r="Q14" s="26" t="s">
        <v>33</v>
      </c>
      <c r="R14" s="27">
        <v>100</v>
      </c>
      <c r="S14" s="28">
        <v>0.5</v>
      </c>
      <c r="T14" s="28">
        <v>0</v>
      </c>
      <c r="U14" s="28">
        <v>0</v>
      </c>
    </row>
    <row r="15" spans="1:21" x14ac:dyDescent="0.2">
      <c r="A15" s="25" t="s">
        <v>267</v>
      </c>
      <c r="B15" s="25" t="s">
        <v>272</v>
      </c>
      <c r="C15" s="25" t="s">
        <v>269</v>
      </c>
      <c r="D15" s="25" t="s">
        <v>311</v>
      </c>
      <c r="E15" s="25" t="s">
        <v>312</v>
      </c>
      <c r="F15" s="25" t="s">
        <v>310</v>
      </c>
      <c r="G15" s="25" t="s">
        <v>271</v>
      </c>
      <c r="H15" s="25" t="s">
        <v>31</v>
      </c>
      <c r="I15" s="25" t="s">
        <v>270</v>
      </c>
      <c r="J15" s="25" t="s">
        <v>268</v>
      </c>
      <c r="K15" s="28">
        <v>0.5</v>
      </c>
      <c r="L15" s="25" t="s">
        <v>40</v>
      </c>
      <c r="M15" s="25">
        <v>2017</v>
      </c>
      <c r="N15" s="25" t="s">
        <v>33</v>
      </c>
      <c r="O15" s="26" t="s">
        <v>33</v>
      </c>
      <c r="P15" s="25" t="s">
        <v>33</v>
      </c>
      <c r="Q15" s="26" t="s">
        <v>33</v>
      </c>
      <c r="R15" s="27">
        <v>100</v>
      </c>
      <c r="S15" s="28">
        <v>0.5</v>
      </c>
      <c r="T15" s="28">
        <v>0</v>
      </c>
      <c r="U15" s="28">
        <v>0</v>
      </c>
    </row>
    <row r="16" spans="1:21" x14ac:dyDescent="0.2">
      <c r="A16" s="25" t="s">
        <v>313</v>
      </c>
      <c r="B16" s="25" t="s">
        <v>314</v>
      </c>
      <c r="C16" s="25" t="s">
        <v>269</v>
      </c>
      <c r="D16" s="25" t="s">
        <v>315</v>
      </c>
      <c r="E16" s="25" t="s">
        <v>316</v>
      </c>
      <c r="F16" s="25" t="s">
        <v>317</v>
      </c>
      <c r="G16" s="25" t="s">
        <v>274</v>
      </c>
      <c r="H16" s="25" t="s">
        <v>34</v>
      </c>
      <c r="I16" s="25" t="s">
        <v>270</v>
      </c>
      <c r="J16" s="25" t="s">
        <v>268</v>
      </c>
      <c r="K16" s="28">
        <v>1</v>
      </c>
      <c r="L16" s="25" t="s">
        <v>40</v>
      </c>
      <c r="M16" s="25">
        <v>2017</v>
      </c>
      <c r="N16" s="25" t="s">
        <v>39</v>
      </c>
      <c r="O16" s="26" t="s">
        <v>37</v>
      </c>
      <c r="P16" s="25" t="s">
        <v>33</v>
      </c>
      <c r="Q16" s="26" t="s">
        <v>33</v>
      </c>
      <c r="R16" s="27">
        <v>80</v>
      </c>
      <c r="S16" s="28">
        <v>0.8</v>
      </c>
      <c r="T16" s="28">
        <v>0.2</v>
      </c>
      <c r="U16" s="28">
        <v>0</v>
      </c>
    </row>
    <row r="17" spans="1:21" x14ac:dyDescent="0.2">
      <c r="A17" s="25" t="s">
        <v>267</v>
      </c>
      <c r="B17" s="25" t="s">
        <v>272</v>
      </c>
      <c r="C17" s="25" t="s">
        <v>269</v>
      </c>
      <c r="D17" s="25" t="s">
        <v>318</v>
      </c>
      <c r="E17" s="25" t="s">
        <v>319</v>
      </c>
      <c r="F17" s="25" t="s">
        <v>320</v>
      </c>
      <c r="G17" s="25" t="s">
        <v>304</v>
      </c>
      <c r="H17" s="25" t="s">
        <v>31</v>
      </c>
      <c r="I17" s="25" t="s">
        <v>270</v>
      </c>
      <c r="J17" s="25" t="s">
        <v>268</v>
      </c>
      <c r="K17" s="41">
        <v>0.5</v>
      </c>
      <c r="L17" s="25" t="s">
        <v>40</v>
      </c>
      <c r="M17" s="25">
        <v>2018</v>
      </c>
      <c r="N17" s="25" t="s">
        <v>39</v>
      </c>
      <c r="O17" s="26" t="s">
        <v>38</v>
      </c>
      <c r="P17" s="25" t="s">
        <v>33</v>
      </c>
      <c r="Q17" s="26" t="s">
        <v>33</v>
      </c>
      <c r="R17" s="27">
        <v>60</v>
      </c>
      <c r="S17" s="28">
        <v>0.3</v>
      </c>
      <c r="T17" s="28">
        <v>0.2</v>
      </c>
      <c r="U17" s="28">
        <v>0</v>
      </c>
    </row>
    <row r="18" spans="1:21" x14ac:dyDescent="0.2">
      <c r="A18" s="25" t="s">
        <v>267</v>
      </c>
      <c r="B18" s="25" t="s">
        <v>272</v>
      </c>
      <c r="C18" s="25" t="s">
        <v>269</v>
      </c>
      <c r="D18" s="25" t="s">
        <v>318</v>
      </c>
      <c r="E18" s="25" t="s">
        <v>319</v>
      </c>
      <c r="F18" s="25" t="s">
        <v>320</v>
      </c>
      <c r="G18" s="25" t="s">
        <v>278</v>
      </c>
      <c r="H18" s="25" t="s">
        <v>31</v>
      </c>
      <c r="I18" s="25" t="s">
        <v>270</v>
      </c>
      <c r="J18" s="25" t="s">
        <v>268</v>
      </c>
      <c r="K18" s="41">
        <v>0.5</v>
      </c>
      <c r="L18" s="25" t="s">
        <v>40</v>
      </c>
      <c r="M18" s="25">
        <v>2018</v>
      </c>
      <c r="N18" s="25" t="s">
        <v>39</v>
      </c>
      <c r="O18" s="26" t="s">
        <v>38</v>
      </c>
      <c r="P18" s="25" t="s">
        <v>33</v>
      </c>
      <c r="Q18" s="26" t="s">
        <v>33</v>
      </c>
      <c r="R18" s="27">
        <v>60</v>
      </c>
      <c r="S18" s="28">
        <v>0.3</v>
      </c>
      <c r="T18" s="28">
        <v>0.2</v>
      </c>
      <c r="U18" s="28">
        <v>0</v>
      </c>
    </row>
    <row r="19" spans="1:21" x14ac:dyDescent="0.2">
      <c r="A19" s="25" t="s">
        <v>267</v>
      </c>
      <c r="B19" s="25" t="s">
        <v>272</v>
      </c>
      <c r="C19" s="25" t="s">
        <v>269</v>
      </c>
      <c r="D19" s="25" t="s">
        <v>321</v>
      </c>
      <c r="E19" s="25" t="s">
        <v>322</v>
      </c>
      <c r="F19" s="25" t="s">
        <v>323</v>
      </c>
      <c r="G19" s="25" t="s">
        <v>324</v>
      </c>
      <c r="H19" s="25" t="s">
        <v>31</v>
      </c>
      <c r="I19" s="25" t="s">
        <v>270</v>
      </c>
      <c r="J19" s="25" t="s">
        <v>268</v>
      </c>
      <c r="K19" s="41">
        <v>0.5</v>
      </c>
      <c r="L19" s="25" t="s">
        <v>40</v>
      </c>
      <c r="M19" s="25">
        <v>2018</v>
      </c>
      <c r="N19" s="25" t="s">
        <v>39</v>
      </c>
      <c r="O19" s="26" t="s">
        <v>32</v>
      </c>
      <c r="P19" s="25" t="s">
        <v>33</v>
      </c>
      <c r="Q19" s="26" t="s">
        <v>33</v>
      </c>
      <c r="R19" s="27">
        <v>50</v>
      </c>
      <c r="S19" s="28">
        <v>0.25</v>
      </c>
      <c r="T19" s="28">
        <v>0.25</v>
      </c>
      <c r="U19" s="28">
        <v>0</v>
      </c>
    </row>
    <row r="20" spans="1:21" x14ac:dyDescent="0.2">
      <c r="A20" s="25" t="s">
        <v>267</v>
      </c>
      <c r="B20" s="25" t="s">
        <v>272</v>
      </c>
      <c r="C20" s="25" t="s">
        <v>269</v>
      </c>
      <c r="D20" s="25" t="s">
        <v>321</v>
      </c>
      <c r="E20" s="25" t="s">
        <v>322</v>
      </c>
      <c r="F20" s="25" t="s">
        <v>323</v>
      </c>
      <c r="G20" s="25" t="s">
        <v>282</v>
      </c>
      <c r="H20" s="25" t="s">
        <v>31</v>
      </c>
      <c r="I20" s="25" t="s">
        <v>270</v>
      </c>
      <c r="J20" s="25" t="s">
        <v>268</v>
      </c>
      <c r="K20" s="41">
        <v>0.5</v>
      </c>
      <c r="L20" s="25" t="s">
        <v>40</v>
      </c>
      <c r="M20" s="25">
        <v>2018</v>
      </c>
      <c r="N20" s="25" t="s">
        <v>39</v>
      </c>
      <c r="O20" s="26" t="s">
        <v>32</v>
      </c>
      <c r="P20" s="25" t="s">
        <v>33</v>
      </c>
      <c r="Q20" s="26" t="s">
        <v>33</v>
      </c>
      <c r="R20" s="27">
        <v>50</v>
      </c>
      <c r="S20" s="28">
        <v>0.25</v>
      </c>
      <c r="T20" s="28">
        <v>0.25</v>
      </c>
      <c r="U20" s="28">
        <v>0</v>
      </c>
    </row>
    <row r="21" spans="1:21" x14ac:dyDescent="0.2">
      <c r="A21" s="25" t="s">
        <v>267</v>
      </c>
      <c r="B21" s="25" t="s">
        <v>272</v>
      </c>
      <c r="C21" s="25" t="s">
        <v>269</v>
      </c>
      <c r="D21" s="25" t="s">
        <v>325</v>
      </c>
      <c r="E21" s="25" t="s">
        <v>326</v>
      </c>
      <c r="F21" s="25" t="s">
        <v>327</v>
      </c>
      <c r="G21" s="25" t="s">
        <v>324</v>
      </c>
      <c r="H21" s="25" t="s">
        <v>31</v>
      </c>
      <c r="I21" s="25" t="s">
        <v>270</v>
      </c>
      <c r="J21" s="25" t="s">
        <v>268</v>
      </c>
      <c r="K21" s="41">
        <v>0.5</v>
      </c>
      <c r="L21" s="25" t="s">
        <v>40</v>
      </c>
      <c r="M21" s="25">
        <v>2018</v>
      </c>
      <c r="N21" s="25" t="s">
        <v>39</v>
      </c>
      <c r="O21" s="26" t="s">
        <v>32</v>
      </c>
      <c r="P21" s="25" t="s">
        <v>33</v>
      </c>
      <c r="Q21" s="26" t="s">
        <v>33</v>
      </c>
      <c r="R21" s="27">
        <v>50</v>
      </c>
      <c r="S21" s="28">
        <v>0.25</v>
      </c>
      <c r="T21" s="28">
        <v>0.25</v>
      </c>
      <c r="U21" s="28">
        <v>0</v>
      </c>
    </row>
    <row r="22" spans="1:21" x14ac:dyDescent="0.2">
      <c r="A22" s="25" t="s">
        <v>267</v>
      </c>
      <c r="B22" s="25" t="s">
        <v>272</v>
      </c>
      <c r="C22" s="25" t="s">
        <v>269</v>
      </c>
      <c r="D22" s="25" t="s">
        <v>325</v>
      </c>
      <c r="E22" s="25" t="s">
        <v>326</v>
      </c>
      <c r="F22" s="25" t="s">
        <v>327</v>
      </c>
      <c r="G22" s="25" t="s">
        <v>282</v>
      </c>
      <c r="H22" s="25" t="s">
        <v>31</v>
      </c>
      <c r="I22" s="25" t="s">
        <v>270</v>
      </c>
      <c r="J22" s="25" t="s">
        <v>268</v>
      </c>
      <c r="K22" s="41">
        <v>0.5</v>
      </c>
      <c r="L22" s="25" t="s">
        <v>40</v>
      </c>
      <c r="M22" s="25">
        <v>2018</v>
      </c>
      <c r="N22" s="25" t="s">
        <v>39</v>
      </c>
      <c r="O22" s="26" t="s">
        <v>32</v>
      </c>
      <c r="P22" s="25" t="s">
        <v>33</v>
      </c>
      <c r="Q22" s="26" t="s">
        <v>33</v>
      </c>
      <c r="R22" s="27">
        <v>50</v>
      </c>
      <c r="S22" s="28">
        <v>0.25</v>
      </c>
      <c r="T22" s="28">
        <v>0.25</v>
      </c>
      <c r="U22" s="28">
        <v>0</v>
      </c>
    </row>
    <row r="23" spans="1:21" x14ac:dyDescent="0.2">
      <c r="A23" s="25" t="s">
        <v>267</v>
      </c>
      <c r="B23" s="25" t="s">
        <v>272</v>
      </c>
      <c r="C23" s="25" t="s">
        <v>269</v>
      </c>
      <c r="D23" s="25" t="s">
        <v>328</v>
      </c>
      <c r="E23" s="25" t="s">
        <v>329</v>
      </c>
      <c r="F23" s="25" t="s">
        <v>330</v>
      </c>
      <c r="G23" s="25" t="s">
        <v>273</v>
      </c>
      <c r="H23" s="25" t="s">
        <v>31</v>
      </c>
      <c r="I23" s="25" t="s">
        <v>270</v>
      </c>
      <c r="J23" s="25" t="s">
        <v>268</v>
      </c>
      <c r="K23" s="41">
        <v>0.5</v>
      </c>
      <c r="L23" s="25" t="s">
        <v>40</v>
      </c>
      <c r="M23" s="25">
        <v>2018</v>
      </c>
      <c r="N23" s="25" t="s">
        <v>39</v>
      </c>
      <c r="O23" s="26" t="s">
        <v>32</v>
      </c>
      <c r="P23" s="25" t="s">
        <v>33</v>
      </c>
      <c r="Q23" s="26" t="s">
        <v>33</v>
      </c>
      <c r="R23" s="27">
        <v>50</v>
      </c>
      <c r="S23" s="28">
        <v>0.25</v>
      </c>
      <c r="T23" s="28">
        <v>0.25</v>
      </c>
      <c r="U23" s="28">
        <v>0</v>
      </c>
    </row>
    <row r="24" spans="1:21" x14ac:dyDescent="0.2">
      <c r="A24" s="25" t="s">
        <v>267</v>
      </c>
      <c r="B24" s="25" t="s">
        <v>272</v>
      </c>
      <c r="C24" s="25" t="s">
        <v>269</v>
      </c>
      <c r="D24" s="25" t="s">
        <v>331</v>
      </c>
      <c r="E24" s="25" t="s">
        <v>332</v>
      </c>
      <c r="F24" s="25" t="s">
        <v>333</v>
      </c>
      <c r="G24" s="25" t="s">
        <v>273</v>
      </c>
      <c r="H24" s="25" t="s">
        <v>31</v>
      </c>
      <c r="I24" s="25" t="s">
        <v>270</v>
      </c>
      <c r="J24" s="25" t="s">
        <v>268</v>
      </c>
      <c r="K24" s="41">
        <v>0.5</v>
      </c>
      <c r="L24" s="25" t="s">
        <v>40</v>
      </c>
      <c r="M24" s="25">
        <v>2018</v>
      </c>
      <c r="N24" s="25" t="s">
        <v>39</v>
      </c>
      <c r="O24" s="26" t="s">
        <v>32</v>
      </c>
      <c r="P24" s="25" t="s">
        <v>33</v>
      </c>
      <c r="Q24" s="26" t="s">
        <v>33</v>
      </c>
      <c r="R24" s="27">
        <v>50</v>
      </c>
      <c r="S24" s="28">
        <v>0.25</v>
      </c>
      <c r="T24" s="28">
        <v>0.25</v>
      </c>
      <c r="U24" s="28">
        <v>0</v>
      </c>
    </row>
    <row r="25" spans="1:21" x14ac:dyDescent="0.2">
      <c r="A25" s="25" t="s">
        <v>267</v>
      </c>
      <c r="B25" s="25" t="s">
        <v>272</v>
      </c>
      <c r="C25" s="25" t="s">
        <v>269</v>
      </c>
      <c r="D25" s="25" t="s">
        <v>334</v>
      </c>
      <c r="E25" s="25" t="s">
        <v>335</v>
      </c>
      <c r="F25" s="25" t="s">
        <v>336</v>
      </c>
      <c r="G25" s="25" t="s">
        <v>304</v>
      </c>
      <c r="H25" s="25" t="s">
        <v>31</v>
      </c>
      <c r="I25" s="25" t="s">
        <v>270</v>
      </c>
      <c r="J25" s="25" t="s">
        <v>268</v>
      </c>
      <c r="K25" s="41">
        <v>0.5</v>
      </c>
      <c r="L25" s="25" t="s">
        <v>40</v>
      </c>
      <c r="M25" s="25">
        <v>2018</v>
      </c>
      <c r="N25" s="25" t="s">
        <v>39</v>
      </c>
      <c r="O25" s="26" t="s">
        <v>38</v>
      </c>
      <c r="P25" s="25" t="s">
        <v>33</v>
      </c>
      <c r="Q25" s="26" t="s">
        <v>33</v>
      </c>
      <c r="R25" s="27">
        <v>60</v>
      </c>
      <c r="S25" s="28">
        <v>0.3</v>
      </c>
      <c r="T25" s="28">
        <v>0.2</v>
      </c>
      <c r="U25" s="28">
        <v>0</v>
      </c>
    </row>
    <row r="26" spans="1:21" x14ac:dyDescent="0.2">
      <c r="A26" s="25" t="s">
        <v>267</v>
      </c>
      <c r="B26" s="25" t="s">
        <v>272</v>
      </c>
      <c r="C26" s="25" t="s">
        <v>269</v>
      </c>
      <c r="D26" s="25" t="s">
        <v>334</v>
      </c>
      <c r="E26" s="25" t="s">
        <v>335</v>
      </c>
      <c r="F26" s="25" t="s">
        <v>336</v>
      </c>
      <c r="G26" s="25" t="s">
        <v>278</v>
      </c>
      <c r="H26" s="25" t="s">
        <v>31</v>
      </c>
      <c r="I26" s="25" t="s">
        <v>270</v>
      </c>
      <c r="J26" s="25" t="s">
        <v>268</v>
      </c>
      <c r="K26" s="41">
        <v>0.5</v>
      </c>
      <c r="L26" s="25" t="s">
        <v>40</v>
      </c>
      <c r="M26" s="25">
        <v>2018</v>
      </c>
      <c r="N26" s="25" t="s">
        <v>39</v>
      </c>
      <c r="O26" s="26" t="s">
        <v>38</v>
      </c>
      <c r="P26" s="25" t="s">
        <v>33</v>
      </c>
      <c r="Q26" s="26" t="s">
        <v>33</v>
      </c>
      <c r="R26" s="27">
        <v>60</v>
      </c>
      <c r="S26" s="28">
        <v>0.3</v>
      </c>
      <c r="T26" s="28">
        <v>0.2</v>
      </c>
      <c r="U26" s="28">
        <v>0</v>
      </c>
    </row>
    <row r="27" spans="1:21" x14ac:dyDescent="0.2">
      <c r="A27" s="42" t="s">
        <v>267</v>
      </c>
      <c r="B27" s="42" t="s">
        <v>272</v>
      </c>
      <c r="C27" s="42" t="s">
        <v>269</v>
      </c>
      <c r="D27" s="42" t="s">
        <v>337</v>
      </c>
      <c r="E27" s="42" t="s">
        <v>338</v>
      </c>
      <c r="F27" s="42" t="s">
        <v>175</v>
      </c>
      <c r="G27" s="42" t="s">
        <v>273</v>
      </c>
      <c r="H27" s="42" t="s">
        <v>31</v>
      </c>
      <c r="I27" s="42" t="s">
        <v>270</v>
      </c>
      <c r="J27" s="42" t="s">
        <v>268</v>
      </c>
      <c r="K27" s="43">
        <v>0.5</v>
      </c>
      <c r="L27" s="42" t="s">
        <v>40</v>
      </c>
      <c r="M27" s="42">
        <v>2019</v>
      </c>
      <c r="N27" s="42" t="s">
        <v>39</v>
      </c>
      <c r="O27" s="44" t="s">
        <v>32</v>
      </c>
      <c r="P27" s="42" t="s">
        <v>33</v>
      </c>
      <c r="Q27" s="44" t="s">
        <v>33</v>
      </c>
      <c r="R27" s="45">
        <v>50</v>
      </c>
      <c r="S27" s="46">
        <v>0.25</v>
      </c>
      <c r="T27" s="46">
        <v>0.25</v>
      </c>
      <c r="U27" s="46">
        <v>0</v>
      </c>
    </row>
    <row r="28" spans="1:21" x14ac:dyDescent="0.2">
      <c r="A28" s="42" t="s">
        <v>267</v>
      </c>
      <c r="B28" s="42" t="s">
        <v>272</v>
      </c>
      <c r="C28" s="42" t="s">
        <v>269</v>
      </c>
      <c r="D28" s="42" t="s">
        <v>339</v>
      </c>
      <c r="E28" s="42" t="s">
        <v>340</v>
      </c>
      <c r="F28" s="42" t="s">
        <v>341</v>
      </c>
      <c r="G28" s="42" t="s">
        <v>271</v>
      </c>
      <c r="H28" s="42" t="s">
        <v>34</v>
      </c>
      <c r="I28" s="42" t="s">
        <v>270</v>
      </c>
      <c r="J28" s="42" t="s">
        <v>268</v>
      </c>
      <c r="K28" s="43">
        <v>1</v>
      </c>
      <c r="L28" s="42" t="s">
        <v>40</v>
      </c>
      <c r="M28" s="42">
        <v>2019</v>
      </c>
      <c r="N28" s="42" t="s">
        <v>33</v>
      </c>
      <c r="O28" s="44" t="s">
        <v>33</v>
      </c>
      <c r="P28" s="42" t="s">
        <v>33</v>
      </c>
      <c r="Q28" s="44" t="s">
        <v>33</v>
      </c>
      <c r="R28" s="45">
        <v>100</v>
      </c>
      <c r="S28" s="46">
        <v>1</v>
      </c>
      <c r="T28" s="46">
        <v>0</v>
      </c>
      <c r="U28" s="46">
        <v>0</v>
      </c>
    </row>
    <row r="29" spans="1:21" x14ac:dyDescent="0.2">
      <c r="A29" s="42" t="s">
        <v>267</v>
      </c>
      <c r="B29" s="42" t="s">
        <v>272</v>
      </c>
      <c r="C29" s="42" t="s">
        <v>269</v>
      </c>
      <c r="D29" s="42" t="s">
        <v>342</v>
      </c>
      <c r="E29" s="42" t="s">
        <v>343</v>
      </c>
      <c r="F29" s="42" t="s">
        <v>344</v>
      </c>
      <c r="G29" s="42" t="s">
        <v>345</v>
      </c>
      <c r="H29" s="42" t="s">
        <v>31</v>
      </c>
      <c r="I29" s="42" t="s">
        <v>270</v>
      </c>
      <c r="J29" s="42" t="s">
        <v>268</v>
      </c>
      <c r="K29" s="43">
        <v>0.5</v>
      </c>
      <c r="L29" s="42" t="s">
        <v>40</v>
      </c>
      <c r="M29" s="42">
        <v>2019</v>
      </c>
      <c r="N29" s="42" t="s">
        <v>39</v>
      </c>
      <c r="O29" s="44" t="s">
        <v>32</v>
      </c>
      <c r="P29" s="42" t="s">
        <v>33</v>
      </c>
      <c r="Q29" s="44" t="s">
        <v>33</v>
      </c>
      <c r="R29" s="45">
        <v>50</v>
      </c>
      <c r="S29" s="46">
        <v>0.25</v>
      </c>
      <c r="T29" s="46">
        <v>0.25</v>
      </c>
      <c r="U29" s="46">
        <v>0</v>
      </c>
    </row>
    <row r="30" spans="1:21" x14ac:dyDescent="0.2">
      <c r="A30" s="42" t="s">
        <v>267</v>
      </c>
      <c r="B30" s="42" t="s">
        <v>272</v>
      </c>
      <c r="C30" s="42" t="s">
        <v>269</v>
      </c>
      <c r="D30" s="42" t="s">
        <v>342</v>
      </c>
      <c r="E30" s="42" t="s">
        <v>343</v>
      </c>
      <c r="F30" s="42" t="s">
        <v>344</v>
      </c>
      <c r="G30" s="42" t="s">
        <v>273</v>
      </c>
      <c r="H30" s="42" t="s">
        <v>31</v>
      </c>
      <c r="I30" s="42" t="s">
        <v>270</v>
      </c>
      <c r="J30" s="42" t="s">
        <v>268</v>
      </c>
      <c r="K30" s="43">
        <v>0.5</v>
      </c>
      <c r="L30" s="42" t="s">
        <v>40</v>
      </c>
      <c r="M30" s="42">
        <v>2019</v>
      </c>
      <c r="N30" s="42" t="s">
        <v>39</v>
      </c>
      <c r="O30" s="44" t="s">
        <v>32</v>
      </c>
      <c r="P30" s="42" t="s">
        <v>33</v>
      </c>
      <c r="Q30" s="44" t="s">
        <v>33</v>
      </c>
      <c r="R30" s="45">
        <v>50</v>
      </c>
      <c r="S30" s="46">
        <v>0.25</v>
      </c>
      <c r="T30" s="46">
        <v>0.25</v>
      </c>
      <c r="U30" s="46">
        <v>0</v>
      </c>
    </row>
    <row r="31" spans="1:21" x14ac:dyDescent="0.2">
      <c r="A31" s="42" t="s">
        <v>267</v>
      </c>
      <c r="B31" s="42" t="s">
        <v>272</v>
      </c>
      <c r="C31" s="42" t="s">
        <v>269</v>
      </c>
      <c r="D31" s="42" t="s">
        <v>346</v>
      </c>
      <c r="E31" s="42" t="s">
        <v>347</v>
      </c>
      <c r="F31" s="42" t="s">
        <v>348</v>
      </c>
      <c r="G31" s="42" t="s">
        <v>273</v>
      </c>
      <c r="H31" s="42" t="s">
        <v>31</v>
      </c>
      <c r="I31" s="42" t="s">
        <v>270</v>
      </c>
      <c r="J31" s="42" t="s">
        <v>268</v>
      </c>
      <c r="K31" s="43">
        <v>0.5</v>
      </c>
      <c r="L31" s="42" t="s">
        <v>40</v>
      </c>
      <c r="M31" s="42">
        <v>2019</v>
      </c>
      <c r="N31" s="42" t="s">
        <v>39</v>
      </c>
      <c r="O31" s="44" t="s">
        <v>32</v>
      </c>
      <c r="P31" s="42" t="s">
        <v>33</v>
      </c>
      <c r="Q31" s="44" t="s">
        <v>33</v>
      </c>
      <c r="R31" s="45">
        <v>50</v>
      </c>
      <c r="S31" s="46">
        <v>0.25</v>
      </c>
      <c r="T31" s="46">
        <v>0.25</v>
      </c>
      <c r="U31" s="46">
        <v>0</v>
      </c>
    </row>
    <row r="32" spans="1:21" x14ac:dyDescent="0.2">
      <c r="A32" s="42" t="s">
        <v>267</v>
      </c>
      <c r="B32" s="42" t="s">
        <v>272</v>
      </c>
      <c r="C32" s="42" t="s">
        <v>269</v>
      </c>
      <c r="D32" s="42" t="s">
        <v>349</v>
      </c>
      <c r="E32" s="42" t="s">
        <v>350</v>
      </c>
      <c r="F32" s="42" t="s">
        <v>351</v>
      </c>
      <c r="G32" s="42" t="s">
        <v>297</v>
      </c>
      <c r="H32" s="42" t="s">
        <v>31</v>
      </c>
      <c r="I32" s="42" t="s">
        <v>270</v>
      </c>
      <c r="J32" s="42" t="s">
        <v>268</v>
      </c>
      <c r="K32" s="43">
        <v>0.5</v>
      </c>
      <c r="L32" s="42" t="s">
        <v>40</v>
      </c>
      <c r="M32" s="42">
        <v>2019</v>
      </c>
      <c r="N32" s="42" t="s">
        <v>39</v>
      </c>
      <c r="O32" s="44" t="s">
        <v>37</v>
      </c>
      <c r="P32" s="42" t="s">
        <v>33</v>
      </c>
      <c r="Q32" s="44" t="s">
        <v>33</v>
      </c>
      <c r="R32" s="45">
        <v>80</v>
      </c>
      <c r="S32" s="46">
        <v>0.4</v>
      </c>
      <c r="T32" s="46">
        <v>0.1</v>
      </c>
      <c r="U32" s="46">
        <v>0</v>
      </c>
    </row>
    <row r="33" spans="1:21" x14ac:dyDescent="0.2">
      <c r="A33" s="42" t="s">
        <v>313</v>
      </c>
      <c r="B33" s="42" t="s">
        <v>314</v>
      </c>
      <c r="C33" s="42" t="s">
        <v>269</v>
      </c>
      <c r="D33" s="42" t="s">
        <v>352</v>
      </c>
      <c r="E33" s="42" t="s">
        <v>353</v>
      </c>
      <c r="F33" s="42" t="s">
        <v>354</v>
      </c>
      <c r="G33" s="42" t="s">
        <v>297</v>
      </c>
      <c r="H33" s="42" t="s">
        <v>31</v>
      </c>
      <c r="I33" s="42" t="s">
        <v>270</v>
      </c>
      <c r="J33" s="42" t="s">
        <v>268</v>
      </c>
      <c r="K33" s="43">
        <v>0.5</v>
      </c>
      <c r="L33" s="42" t="s">
        <v>40</v>
      </c>
      <c r="M33" s="42">
        <v>2019</v>
      </c>
      <c r="N33" s="42" t="s">
        <v>39</v>
      </c>
      <c r="O33" s="44" t="s">
        <v>37</v>
      </c>
      <c r="P33" s="42" t="s">
        <v>33</v>
      </c>
      <c r="Q33" s="44" t="s">
        <v>33</v>
      </c>
      <c r="R33" s="45">
        <v>80</v>
      </c>
      <c r="S33" s="46">
        <v>0.4</v>
      </c>
      <c r="T33" s="46">
        <v>0.1</v>
      </c>
      <c r="U33" s="46">
        <v>0</v>
      </c>
    </row>
    <row r="34" spans="1:21" x14ac:dyDescent="0.2">
      <c r="A34" s="47" t="s">
        <v>313</v>
      </c>
      <c r="B34" s="47" t="s">
        <v>314</v>
      </c>
      <c r="C34" s="47" t="s">
        <v>269</v>
      </c>
      <c r="D34" s="47" t="s">
        <v>352</v>
      </c>
      <c r="E34" s="47" t="s">
        <v>353</v>
      </c>
      <c r="F34" s="47" t="s">
        <v>354</v>
      </c>
      <c r="G34" s="47" t="s">
        <v>355</v>
      </c>
      <c r="H34" s="47" t="s">
        <v>31</v>
      </c>
      <c r="I34" s="47" t="s">
        <v>270</v>
      </c>
      <c r="J34" s="47" t="s">
        <v>268</v>
      </c>
      <c r="K34" s="48">
        <v>0.5</v>
      </c>
      <c r="L34" s="47" t="s">
        <v>40</v>
      </c>
      <c r="M34" s="47">
        <v>2019</v>
      </c>
      <c r="N34" s="47" t="s">
        <v>39</v>
      </c>
      <c r="O34" s="49" t="s">
        <v>37</v>
      </c>
      <c r="P34" s="47" t="s">
        <v>33</v>
      </c>
      <c r="Q34" s="49" t="s">
        <v>33</v>
      </c>
      <c r="R34" s="50">
        <v>80</v>
      </c>
      <c r="S34" s="51">
        <v>0.4</v>
      </c>
      <c r="T34" s="51">
        <v>0.1</v>
      </c>
      <c r="U34" s="51">
        <v>0</v>
      </c>
    </row>
    <row r="35" spans="1:21" x14ac:dyDescent="0.2">
      <c r="A35" s="25" t="s">
        <v>267</v>
      </c>
      <c r="B35" s="25" t="s">
        <v>272</v>
      </c>
      <c r="C35" s="25" t="s">
        <v>269</v>
      </c>
      <c r="D35" s="25" t="s">
        <v>356</v>
      </c>
      <c r="E35" s="25" t="s">
        <v>357</v>
      </c>
      <c r="F35" s="25" t="s">
        <v>358</v>
      </c>
      <c r="G35" s="25" t="s">
        <v>297</v>
      </c>
      <c r="H35" s="25" t="s">
        <v>34</v>
      </c>
      <c r="I35" s="25" t="s">
        <v>270</v>
      </c>
      <c r="J35" s="25" t="s">
        <v>268</v>
      </c>
      <c r="K35" s="52">
        <v>1</v>
      </c>
      <c r="L35" s="52" t="s">
        <v>40</v>
      </c>
      <c r="M35" s="47">
        <v>2019</v>
      </c>
      <c r="N35" s="25" t="s">
        <v>39</v>
      </c>
      <c r="O35" s="26" t="s">
        <v>37</v>
      </c>
      <c r="P35" s="25" t="s">
        <v>33</v>
      </c>
      <c r="Q35" s="26" t="s">
        <v>33</v>
      </c>
      <c r="R35" s="25">
        <v>80</v>
      </c>
      <c r="S35" s="25">
        <v>0.8</v>
      </c>
      <c r="T35" s="25">
        <v>0.2</v>
      </c>
      <c r="U35" s="25">
        <v>0</v>
      </c>
    </row>
    <row r="36" spans="1:21" ht="10.8" thickBot="1" x14ac:dyDescent="0.25">
      <c r="A36" s="25" t="s">
        <v>267</v>
      </c>
      <c r="B36" s="25" t="s">
        <v>272</v>
      </c>
      <c r="C36" s="25" t="s">
        <v>269</v>
      </c>
      <c r="D36" s="25" t="s">
        <v>359</v>
      </c>
      <c r="E36" s="25" t="s">
        <v>360</v>
      </c>
      <c r="F36" s="25" t="s">
        <v>361</v>
      </c>
      <c r="G36" s="25" t="s">
        <v>297</v>
      </c>
      <c r="H36" s="25" t="s">
        <v>34</v>
      </c>
      <c r="I36" s="25" t="s">
        <v>270</v>
      </c>
      <c r="J36" s="25" t="s">
        <v>268</v>
      </c>
      <c r="K36" s="52">
        <v>1</v>
      </c>
      <c r="L36" s="52" t="s">
        <v>40</v>
      </c>
      <c r="M36" s="47">
        <v>2019</v>
      </c>
      <c r="N36" s="25" t="s">
        <v>39</v>
      </c>
      <c r="O36" s="26" t="s">
        <v>37</v>
      </c>
      <c r="P36" s="25" t="s">
        <v>33</v>
      </c>
      <c r="Q36" s="26" t="s">
        <v>33</v>
      </c>
      <c r="R36" s="25">
        <v>80</v>
      </c>
      <c r="S36" s="25">
        <v>0.8</v>
      </c>
      <c r="T36" s="25">
        <v>0.2</v>
      </c>
      <c r="U36" s="25">
        <v>0</v>
      </c>
    </row>
    <row r="37" spans="1:21" ht="10.8" thickBot="1" x14ac:dyDescent="0.25">
      <c r="A37" s="53" t="s">
        <v>267</v>
      </c>
      <c r="B37" s="53" t="s">
        <v>272</v>
      </c>
      <c r="C37" s="53" t="s">
        <v>269</v>
      </c>
      <c r="D37" s="53" t="s">
        <v>362</v>
      </c>
      <c r="E37" s="53" t="s">
        <v>363</v>
      </c>
      <c r="F37" s="53" t="s">
        <v>364</v>
      </c>
      <c r="G37" s="54" t="s">
        <v>273</v>
      </c>
      <c r="H37" s="55" t="s">
        <v>31</v>
      </c>
      <c r="I37" s="55" t="s">
        <v>270</v>
      </c>
      <c r="J37" s="56" t="s">
        <v>268</v>
      </c>
      <c r="K37" s="52">
        <v>0.5</v>
      </c>
      <c r="L37" s="52" t="s">
        <v>40</v>
      </c>
      <c r="M37" s="25">
        <v>2020</v>
      </c>
      <c r="N37" s="25" t="s">
        <v>39</v>
      </c>
      <c r="O37" s="26" t="s">
        <v>32</v>
      </c>
      <c r="P37" s="25" t="s">
        <v>33</v>
      </c>
      <c r="Q37" s="26" t="s">
        <v>33</v>
      </c>
      <c r="R37" s="25">
        <v>50</v>
      </c>
      <c r="S37" s="25">
        <v>0.25</v>
      </c>
      <c r="T37" s="25">
        <v>0.25</v>
      </c>
      <c r="U37" s="25">
        <v>0</v>
      </c>
    </row>
    <row r="38" spans="1:21" ht="10.8" thickBot="1" x14ac:dyDescent="0.25">
      <c r="A38" s="53" t="s">
        <v>267</v>
      </c>
      <c r="B38" s="53" t="s">
        <v>272</v>
      </c>
      <c r="C38" s="53" t="s">
        <v>269</v>
      </c>
      <c r="D38" s="53" t="s">
        <v>365</v>
      </c>
      <c r="E38" s="53" t="s">
        <v>366</v>
      </c>
      <c r="F38" s="53" t="s">
        <v>367</v>
      </c>
      <c r="G38" s="54" t="s">
        <v>273</v>
      </c>
      <c r="H38" s="55" t="s">
        <v>31</v>
      </c>
      <c r="I38" s="55" t="s">
        <v>270</v>
      </c>
      <c r="J38" s="56" t="s">
        <v>268</v>
      </c>
      <c r="K38" s="52">
        <v>0.5</v>
      </c>
      <c r="L38" s="52" t="s">
        <v>40</v>
      </c>
      <c r="M38" s="25">
        <v>2020</v>
      </c>
      <c r="N38" s="25" t="s">
        <v>39</v>
      </c>
      <c r="O38" s="26" t="s">
        <v>32</v>
      </c>
      <c r="P38" s="25" t="s">
        <v>33</v>
      </c>
      <c r="Q38" s="26" t="s">
        <v>33</v>
      </c>
      <c r="R38" s="25">
        <v>50</v>
      </c>
      <c r="S38" s="57">
        <v>0.25</v>
      </c>
      <c r="T38" s="25">
        <v>0.25</v>
      </c>
      <c r="U38" s="25">
        <v>0</v>
      </c>
    </row>
    <row r="39" spans="1:21" ht="10.8" thickBot="1" x14ac:dyDescent="0.25">
      <c r="A39" s="53" t="s">
        <v>267</v>
      </c>
      <c r="B39" s="53" t="s">
        <v>272</v>
      </c>
      <c r="C39" s="53" t="s">
        <v>269</v>
      </c>
      <c r="D39" s="53" t="s">
        <v>368</v>
      </c>
      <c r="E39" s="53" t="s">
        <v>369</v>
      </c>
      <c r="F39" s="53" t="s">
        <v>370</v>
      </c>
      <c r="G39" s="54" t="s">
        <v>292</v>
      </c>
      <c r="H39" s="55" t="s">
        <v>34</v>
      </c>
      <c r="I39" s="55" t="s">
        <v>270</v>
      </c>
      <c r="J39" s="56" t="s">
        <v>268</v>
      </c>
      <c r="K39" s="52">
        <v>1</v>
      </c>
      <c r="L39" s="52" t="s">
        <v>40</v>
      </c>
      <c r="M39" s="25">
        <v>2020</v>
      </c>
      <c r="N39" s="25" t="s">
        <v>39</v>
      </c>
      <c r="O39" s="26" t="s">
        <v>38</v>
      </c>
      <c r="P39" s="25" t="s">
        <v>33</v>
      </c>
      <c r="Q39" s="26" t="s">
        <v>33</v>
      </c>
      <c r="R39" s="25">
        <v>60</v>
      </c>
      <c r="S39" s="25">
        <v>0.6</v>
      </c>
      <c r="T39" s="25">
        <v>0.4</v>
      </c>
      <c r="U39" s="25">
        <v>0</v>
      </c>
    </row>
    <row r="40" spans="1:21" ht="10.8" thickBot="1" x14ac:dyDescent="0.25">
      <c r="A40" s="53" t="s">
        <v>267</v>
      </c>
      <c r="B40" s="53" t="s">
        <v>272</v>
      </c>
      <c r="C40" s="53" t="s">
        <v>269</v>
      </c>
      <c r="D40" s="53" t="s">
        <v>371</v>
      </c>
      <c r="E40" s="53" t="s">
        <v>372</v>
      </c>
      <c r="F40" s="53" t="s">
        <v>370</v>
      </c>
      <c r="G40" s="54" t="s">
        <v>273</v>
      </c>
      <c r="H40" s="55" t="s">
        <v>31</v>
      </c>
      <c r="I40" s="55" t="s">
        <v>270</v>
      </c>
      <c r="J40" s="56" t="s">
        <v>268</v>
      </c>
      <c r="K40" s="52">
        <v>0.5</v>
      </c>
      <c r="L40" s="52" t="s">
        <v>40</v>
      </c>
      <c r="M40" s="25">
        <v>2020</v>
      </c>
      <c r="N40" s="25" t="s">
        <v>39</v>
      </c>
      <c r="O40" s="26" t="s">
        <v>32</v>
      </c>
      <c r="P40" s="25" t="s">
        <v>33</v>
      </c>
      <c r="Q40" s="26" t="s">
        <v>33</v>
      </c>
      <c r="R40" s="25">
        <v>50</v>
      </c>
      <c r="S40" s="57">
        <v>0.25</v>
      </c>
      <c r="T40" s="25">
        <v>0.25</v>
      </c>
      <c r="U40" s="25">
        <v>0</v>
      </c>
    </row>
    <row r="41" spans="1:21" ht="10.8" thickBot="1" x14ac:dyDescent="0.25">
      <c r="A41" s="53" t="s">
        <v>267</v>
      </c>
      <c r="B41" s="53" t="s">
        <v>272</v>
      </c>
      <c r="C41" s="53" t="s">
        <v>269</v>
      </c>
      <c r="D41" s="53" t="s">
        <v>449</v>
      </c>
      <c r="E41" s="53" t="s">
        <v>450</v>
      </c>
      <c r="F41" s="53" t="s">
        <v>451</v>
      </c>
      <c r="G41" s="54" t="s">
        <v>297</v>
      </c>
      <c r="H41" s="55" t="s">
        <v>31</v>
      </c>
      <c r="I41" s="55" t="s">
        <v>270</v>
      </c>
      <c r="J41" s="56" t="s">
        <v>268</v>
      </c>
      <c r="K41" s="52">
        <v>0.5</v>
      </c>
      <c r="L41" s="52" t="s">
        <v>40</v>
      </c>
      <c r="M41" s="25">
        <v>2020</v>
      </c>
      <c r="N41" s="25" t="s">
        <v>39</v>
      </c>
      <c r="O41" s="26" t="s">
        <v>37</v>
      </c>
      <c r="P41" s="25" t="s">
        <v>33</v>
      </c>
      <c r="Q41" s="26" t="s">
        <v>33</v>
      </c>
      <c r="R41" s="25">
        <v>80</v>
      </c>
      <c r="S41" s="25">
        <v>0.4</v>
      </c>
      <c r="T41" s="25">
        <v>0.1</v>
      </c>
      <c r="U41" s="25">
        <v>0</v>
      </c>
    </row>
    <row r="42" spans="1:21" ht="10.8" thickBot="1" x14ac:dyDescent="0.25">
      <c r="A42" s="53" t="s">
        <v>267</v>
      </c>
      <c r="B42" s="53" t="s">
        <v>272</v>
      </c>
      <c r="C42" s="53" t="s">
        <v>269</v>
      </c>
      <c r="D42" s="53" t="s">
        <v>373</v>
      </c>
      <c r="E42" s="53" t="s">
        <v>374</v>
      </c>
      <c r="F42" s="53" t="s">
        <v>375</v>
      </c>
      <c r="G42" s="54" t="s">
        <v>324</v>
      </c>
      <c r="H42" s="55" t="s">
        <v>31</v>
      </c>
      <c r="I42" s="55" t="s">
        <v>270</v>
      </c>
      <c r="J42" s="56" t="s">
        <v>268</v>
      </c>
      <c r="K42" s="52">
        <v>0.5</v>
      </c>
      <c r="L42" s="52" t="s">
        <v>40</v>
      </c>
      <c r="M42" s="25">
        <v>2020</v>
      </c>
      <c r="N42" s="25" t="s">
        <v>39</v>
      </c>
      <c r="O42" s="26" t="s">
        <v>32</v>
      </c>
      <c r="P42" s="25" t="s">
        <v>33</v>
      </c>
      <c r="Q42" s="26" t="s">
        <v>33</v>
      </c>
      <c r="R42" s="25">
        <v>50</v>
      </c>
      <c r="S42" s="25">
        <v>0.25</v>
      </c>
      <c r="T42" s="25">
        <v>0.25</v>
      </c>
      <c r="U42" s="25">
        <v>0</v>
      </c>
    </row>
    <row r="43" spans="1:21" ht="10.8" thickBot="1" x14ac:dyDescent="0.25">
      <c r="A43" s="53" t="s">
        <v>267</v>
      </c>
      <c r="B43" s="53" t="s">
        <v>272</v>
      </c>
      <c r="C43" s="53" t="s">
        <v>269</v>
      </c>
      <c r="D43" s="53" t="s">
        <v>376</v>
      </c>
      <c r="E43" s="53" t="s">
        <v>377</v>
      </c>
      <c r="F43" s="53" t="s">
        <v>378</v>
      </c>
      <c r="G43" s="54" t="s">
        <v>324</v>
      </c>
      <c r="H43" s="55" t="s">
        <v>31</v>
      </c>
      <c r="I43" s="55" t="s">
        <v>270</v>
      </c>
      <c r="J43" s="56" t="s">
        <v>268</v>
      </c>
      <c r="K43" s="52">
        <v>0.5</v>
      </c>
      <c r="L43" s="52" t="s">
        <v>40</v>
      </c>
      <c r="M43" s="25">
        <v>2020</v>
      </c>
      <c r="N43" s="25" t="s">
        <v>39</v>
      </c>
      <c r="O43" s="26" t="s">
        <v>32</v>
      </c>
      <c r="P43" s="25" t="s">
        <v>33</v>
      </c>
      <c r="Q43" s="26" t="s">
        <v>33</v>
      </c>
      <c r="R43" s="25">
        <v>50</v>
      </c>
      <c r="S43" s="25">
        <v>0.25</v>
      </c>
      <c r="T43" s="25">
        <v>0.25</v>
      </c>
      <c r="U43" s="25">
        <v>0</v>
      </c>
    </row>
    <row r="44" spans="1:21" ht="10.8" thickBot="1" x14ac:dyDescent="0.25">
      <c r="A44" s="53" t="s">
        <v>267</v>
      </c>
      <c r="B44" s="53" t="s">
        <v>272</v>
      </c>
      <c r="C44" s="53" t="s">
        <v>269</v>
      </c>
      <c r="D44" s="53" t="s">
        <v>376</v>
      </c>
      <c r="E44" s="53" t="s">
        <v>377</v>
      </c>
      <c r="F44" s="53" t="s">
        <v>378</v>
      </c>
      <c r="G44" s="54" t="s">
        <v>282</v>
      </c>
      <c r="H44" s="55" t="s">
        <v>31</v>
      </c>
      <c r="I44" s="55" t="s">
        <v>270</v>
      </c>
      <c r="J44" s="56" t="s">
        <v>268</v>
      </c>
      <c r="K44" s="52">
        <v>0.5</v>
      </c>
      <c r="L44" s="52" t="s">
        <v>40</v>
      </c>
      <c r="M44" s="25">
        <v>2020</v>
      </c>
      <c r="N44" s="25" t="s">
        <v>39</v>
      </c>
      <c r="O44" s="26" t="s">
        <v>32</v>
      </c>
      <c r="P44" s="25" t="s">
        <v>33</v>
      </c>
      <c r="Q44" s="26" t="s">
        <v>33</v>
      </c>
      <c r="R44" s="25">
        <v>50</v>
      </c>
      <c r="S44" s="25">
        <v>0.25</v>
      </c>
      <c r="T44" s="25">
        <v>0.25</v>
      </c>
      <c r="U44" s="25">
        <v>0</v>
      </c>
    </row>
    <row r="45" spans="1:21" x14ac:dyDescent="0.2">
      <c r="A45" s="25" t="s">
        <v>267</v>
      </c>
      <c r="B45" s="25" t="s">
        <v>272</v>
      </c>
      <c r="C45" s="25" t="s">
        <v>269</v>
      </c>
      <c r="D45" s="25" t="s">
        <v>452</v>
      </c>
      <c r="E45" s="25" t="s">
        <v>453</v>
      </c>
      <c r="F45" s="25" t="s">
        <v>454</v>
      </c>
      <c r="G45" s="25" t="s">
        <v>271</v>
      </c>
      <c r="H45" s="25" t="s">
        <v>34</v>
      </c>
      <c r="I45" s="25" t="s">
        <v>270</v>
      </c>
      <c r="J45" s="25" t="s">
        <v>268</v>
      </c>
      <c r="K45" s="52">
        <v>1</v>
      </c>
      <c r="L45" s="52" t="s">
        <v>40</v>
      </c>
      <c r="M45" s="25">
        <v>2021</v>
      </c>
      <c r="N45" s="25" t="s">
        <v>33</v>
      </c>
      <c r="O45" s="26" t="s">
        <v>33</v>
      </c>
      <c r="P45" s="25" t="s">
        <v>33</v>
      </c>
      <c r="Q45" s="26" t="s">
        <v>33</v>
      </c>
      <c r="R45" s="25">
        <v>100</v>
      </c>
      <c r="S45" s="25">
        <v>1</v>
      </c>
      <c r="T45" s="25">
        <v>0</v>
      </c>
      <c r="U45" s="25">
        <v>0</v>
      </c>
    </row>
    <row r="46" spans="1:21" x14ac:dyDescent="0.2">
      <c r="A46" s="25" t="s">
        <v>267</v>
      </c>
      <c r="B46" s="25" t="s">
        <v>272</v>
      </c>
      <c r="C46" s="25" t="s">
        <v>269</v>
      </c>
      <c r="D46" s="25" t="s">
        <v>455</v>
      </c>
      <c r="E46" s="25" t="s">
        <v>456</v>
      </c>
      <c r="F46" s="25" t="s">
        <v>457</v>
      </c>
      <c r="G46" s="25" t="s">
        <v>458</v>
      </c>
      <c r="H46" s="25" t="s">
        <v>34</v>
      </c>
      <c r="I46" s="25" t="s">
        <v>270</v>
      </c>
      <c r="J46" s="25" t="s">
        <v>268</v>
      </c>
      <c r="K46" s="52">
        <v>1</v>
      </c>
      <c r="L46" s="52" t="s">
        <v>40</v>
      </c>
      <c r="M46" s="25">
        <v>2021</v>
      </c>
      <c r="N46" s="25" t="s">
        <v>39</v>
      </c>
      <c r="O46" s="26" t="s">
        <v>37</v>
      </c>
      <c r="P46" s="25" t="s">
        <v>33</v>
      </c>
      <c r="Q46" s="26" t="s">
        <v>33</v>
      </c>
      <c r="R46" s="25">
        <v>80</v>
      </c>
      <c r="S46" s="25">
        <v>0.8</v>
      </c>
      <c r="T46" s="25">
        <v>0.2</v>
      </c>
      <c r="U46" s="25">
        <v>0</v>
      </c>
    </row>
    <row r="47" spans="1:21" x14ac:dyDescent="0.2">
      <c r="A47" s="25" t="s">
        <v>267</v>
      </c>
      <c r="B47" s="25" t="s">
        <v>272</v>
      </c>
      <c r="C47" s="25" t="s">
        <v>269</v>
      </c>
      <c r="D47" s="25" t="s">
        <v>459</v>
      </c>
      <c r="E47" s="25" t="s">
        <v>460</v>
      </c>
      <c r="F47" s="25" t="s">
        <v>461</v>
      </c>
      <c r="G47" s="25" t="s">
        <v>458</v>
      </c>
      <c r="H47" s="25" t="s">
        <v>34</v>
      </c>
      <c r="I47" s="25" t="s">
        <v>270</v>
      </c>
      <c r="J47" s="25" t="s">
        <v>268</v>
      </c>
      <c r="K47" s="52">
        <v>1</v>
      </c>
      <c r="L47" s="52" t="s">
        <v>40</v>
      </c>
      <c r="M47" s="25">
        <v>2021</v>
      </c>
      <c r="N47" s="25" t="s">
        <v>39</v>
      </c>
      <c r="O47" s="26" t="s">
        <v>37</v>
      </c>
      <c r="P47" s="25" t="s">
        <v>33</v>
      </c>
      <c r="Q47" s="26" t="s">
        <v>33</v>
      </c>
      <c r="R47" s="25">
        <v>80</v>
      </c>
      <c r="S47" s="25">
        <v>0.8</v>
      </c>
      <c r="T47" s="25">
        <v>0.2</v>
      </c>
      <c r="U47" s="25">
        <v>0</v>
      </c>
    </row>
    <row r="48" spans="1:21" x14ac:dyDescent="0.2">
      <c r="A48" s="25" t="s">
        <v>267</v>
      </c>
      <c r="B48" s="25" t="s">
        <v>272</v>
      </c>
      <c r="C48" s="25" t="s">
        <v>269</v>
      </c>
      <c r="D48" s="25" t="s">
        <v>462</v>
      </c>
      <c r="E48" s="25" t="s">
        <v>463</v>
      </c>
      <c r="F48" s="25" t="s">
        <v>464</v>
      </c>
      <c r="G48" s="25" t="s">
        <v>273</v>
      </c>
      <c r="H48" s="25" t="s">
        <v>31</v>
      </c>
      <c r="I48" s="25" t="s">
        <v>270</v>
      </c>
      <c r="J48" s="25" t="s">
        <v>268</v>
      </c>
      <c r="K48" s="52">
        <v>0.5</v>
      </c>
      <c r="L48" s="52" t="s">
        <v>40</v>
      </c>
      <c r="M48" s="25">
        <v>2021</v>
      </c>
      <c r="N48" s="25" t="s">
        <v>39</v>
      </c>
      <c r="O48" s="26" t="s">
        <v>32</v>
      </c>
      <c r="P48" s="25" t="s">
        <v>33</v>
      </c>
      <c r="Q48" s="26" t="s">
        <v>33</v>
      </c>
      <c r="R48" s="25">
        <v>50</v>
      </c>
      <c r="S48" s="25">
        <v>0.25</v>
      </c>
      <c r="T48" s="25">
        <v>0.25</v>
      </c>
      <c r="U48" s="25">
        <v>0</v>
      </c>
    </row>
    <row r="49" spans="1:21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9"/>
      <c r="P49" s="58"/>
      <c r="Q49" s="59"/>
      <c r="R49" s="58"/>
      <c r="S49" s="65">
        <f>SUM(S2:S48)</f>
        <v>20.000000000000004</v>
      </c>
      <c r="T49" s="58"/>
      <c r="U49" s="58"/>
    </row>
  </sheetData>
  <autoFilter ref="A1:U1" xr:uid="{00000000-0009-0000-0000-000000000000}">
    <sortState xmlns:xlrd2="http://schemas.microsoft.com/office/spreadsheetml/2017/richdata2" ref="A2:S1850">
      <sortCondition ref="K2:K1850"/>
      <sortCondition ref="D2:D185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3"/>
  <sheetViews>
    <sheetView zoomScaleNormal="100" workbookViewId="0">
      <selection activeCell="S23" sqref="S23"/>
    </sheetView>
  </sheetViews>
  <sheetFormatPr baseColWidth="10" defaultColWidth="11.44140625" defaultRowHeight="13.2" x14ac:dyDescent="0.25"/>
  <cols>
    <col min="1" max="1" width="10.5546875" style="18" bestFit="1" customWidth="1"/>
    <col min="2" max="2" width="40.10937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41</v>
      </c>
      <c r="B1" s="20" t="s">
        <v>42</v>
      </c>
      <c r="C1" s="20" t="s">
        <v>43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44</v>
      </c>
      <c r="K1" s="22" t="s">
        <v>177</v>
      </c>
      <c r="L1" s="15" t="s">
        <v>45</v>
      </c>
      <c r="M1" s="15" t="s">
        <v>46</v>
      </c>
      <c r="N1" s="15" t="s">
        <v>47</v>
      </c>
      <c r="O1" s="15" t="s">
        <v>48</v>
      </c>
      <c r="P1" s="16" t="s">
        <v>49</v>
      </c>
      <c r="Q1" s="16" t="s">
        <v>50</v>
      </c>
      <c r="R1" s="16" t="s">
        <v>51</v>
      </c>
      <c r="S1" s="16" t="s">
        <v>52</v>
      </c>
    </row>
    <row r="2" spans="1:19" ht="14.4" x14ac:dyDescent="0.3">
      <c r="A2" s="23" t="s">
        <v>80</v>
      </c>
      <c r="B2" s="23" t="s">
        <v>81</v>
      </c>
      <c r="C2" s="23" t="s">
        <v>53</v>
      </c>
      <c r="D2" s="23"/>
      <c r="E2" s="23"/>
      <c r="F2" s="23">
        <v>1</v>
      </c>
      <c r="G2" s="23"/>
      <c r="H2" s="23"/>
      <c r="I2" s="23"/>
      <c r="J2" s="23">
        <v>1</v>
      </c>
      <c r="K2" s="23" t="s">
        <v>40</v>
      </c>
      <c r="L2" s="24" t="s">
        <v>39</v>
      </c>
      <c r="M2" s="24" t="s">
        <v>37</v>
      </c>
      <c r="N2" s="24" t="s">
        <v>33</v>
      </c>
      <c r="O2" s="24" t="s">
        <v>33</v>
      </c>
      <c r="P2" s="24">
        <v>80</v>
      </c>
      <c r="Q2" s="24">
        <v>0.2</v>
      </c>
      <c r="R2" s="24">
        <v>0</v>
      </c>
      <c r="S2" s="24">
        <v>0.8</v>
      </c>
    </row>
    <row r="3" spans="1:19" ht="14.4" x14ac:dyDescent="0.3">
      <c r="A3" s="23" t="s">
        <v>66</v>
      </c>
      <c r="B3" s="23" t="s">
        <v>67</v>
      </c>
      <c r="C3" s="23" t="s">
        <v>53</v>
      </c>
      <c r="D3" s="23"/>
      <c r="E3" s="23"/>
      <c r="F3" s="23"/>
      <c r="G3" s="23">
        <v>1</v>
      </c>
      <c r="H3" s="23"/>
      <c r="I3" s="23"/>
      <c r="J3" s="23">
        <v>1</v>
      </c>
      <c r="K3" s="23" t="s">
        <v>40</v>
      </c>
      <c r="L3" s="24" t="s">
        <v>39</v>
      </c>
      <c r="M3" s="24" t="s">
        <v>38</v>
      </c>
      <c r="N3" s="24" t="s">
        <v>33</v>
      </c>
      <c r="O3" s="24" t="s">
        <v>33</v>
      </c>
      <c r="P3" s="24">
        <v>60</v>
      </c>
      <c r="Q3" s="24">
        <v>0.4</v>
      </c>
      <c r="R3" s="24">
        <v>0</v>
      </c>
      <c r="S3" s="24">
        <v>0.6</v>
      </c>
    </row>
    <row r="4" spans="1:19" ht="14.4" x14ac:dyDescent="0.3">
      <c r="A4" s="23" t="s">
        <v>82</v>
      </c>
      <c r="B4" s="23" t="s">
        <v>83</v>
      </c>
      <c r="C4" s="23" t="s">
        <v>53</v>
      </c>
      <c r="D4" s="23"/>
      <c r="E4" s="23"/>
      <c r="F4" s="23">
        <v>2</v>
      </c>
      <c r="G4" s="23"/>
      <c r="H4" s="23"/>
      <c r="I4" s="23"/>
      <c r="J4" s="23">
        <v>2</v>
      </c>
      <c r="K4" s="23" t="s">
        <v>40</v>
      </c>
      <c r="L4" s="24" t="s">
        <v>39</v>
      </c>
      <c r="M4" s="24" t="s">
        <v>37</v>
      </c>
      <c r="N4" s="24" t="s">
        <v>33</v>
      </c>
      <c r="O4" s="24" t="s">
        <v>33</v>
      </c>
      <c r="P4" s="24">
        <v>80</v>
      </c>
      <c r="Q4" s="24">
        <v>0.4</v>
      </c>
      <c r="R4" s="24">
        <v>0</v>
      </c>
      <c r="S4" s="24">
        <v>1.6</v>
      </c>
    </row>
    <row r="5" spans="1:19" ht="14.4" x14ac:dyDescent="0.3">
      <c r="A5" s="23" t="s">
        <v>58</v>
      </c>
      <c r="B5" s="23" t="s">
        <v>59</v>
      </c>
      <c r="C5" s="23" t="s">
        <v>53</v>
      </c>
      <c r="D5" s="23"/>
      <c r="E5" s="23"/>
      <c r="F5" s="23"/>
      <c r="G5" s="23"/>
      <c r="H5" s="23"/>
      <c r="I5" s="23">
        <v>1</v>
      </c>
      <c r="J5" s="23">
        <v>1</v>
      </c>
      <c r="K5" s="23" t="s">
        <v>40</v>
      </c>
      <c r="L5" s="24" t="s">
        <v>39</v>
      </c>
      <c r="M5" s="24" t="s">
        <v>32</v>
      </c>
      <c r="N5" s="24" t="s">
        <v>33</v>
      </c>
      <c r="O5" s="24" t="s">
        <v>33</v>
      </c>
      <c r="P5" s="24">
        <v>50</v>
      </c>
      <c r="Q5" s="24">
        <v>0.5</v>
      </c>
      <c r="R5" s="24">
        <v>0</v>
      </c>
      <c r="S5" s="24">
        <v>0.5</v>
      </c>
    </row>
    <row r="6" spans="1:19" ht="14.4" x14ac:dyDescent="0.3">
      <c r="A6" s="23" t="s">
        <v>64</v>
      </c>
      <c r="B6" s="23" t="s">
        <v>65</v>
      </c>
      <c r="C6" s="23" t="s">
        <v>53</v>
      </c>
      <c r="D6" s="23"/>
      <c r="E6" s="23"/>
      <c r="F6" s="23">
        <v>1</v>
      </c>
      <c r="G6" s="23"/>
      <c r="H6" s="23"/>
      <c r="I6" s="23">
        <v>1</v>
      </c>
      <c r="J6" s="23">
        <v>2</v>
      </c>
      <c r="K6" s="23" t="s">
        <v>40</v>
      </c>
      <c r="L6" s="24">
        <v>0</v>
      </c>
      <c r="M6" s="24">
        <v>0</v>
      </c>
      <c r="N6" s="24" t="s">
        <v>33</v>
      </c>
      <c r="O6" s="24" t="s">
        <v>33</v>
      </c>
      <c r="P6" s="24">
        <v>100</v>
      </c>
      <c r="Q6" s="24">
        <v>0</v>
      </c>
      <c r="R6" s="24">
        <v>0</v>
      </c>
      <c r="S6" s="24">
        <v>2</v>
      </c>
    </row>
    <row r="7" spans="1:19" ht="14.4" x14ac:dyDescent="0.3">
      <c r="A7" s="23" t="s">
        <v>88</v>
      </c>
      <c r="B7" s="23" t="s">
        <v>89</v>
      </c>
      <c r="C7" s="23" t="s">
        <v>53</v>
      </c>
      <c r="D7" s="23">
        <v>1</v>
      </c>
      <c r="E7" s="23"/>
      <c r="F7" s="23"/>
      <c r="G7" s="23"/>
      <c r="H7" s="23"/>
      <c r="I7" s="23"/>
      <c r="J7" s="23">
        <v>1</v>
      </c>
      <c r="K7" s="23" t="s">
        <v>40</v>
      </c>
      <c r="L7" s="24" t="s">
        <v>39</v>
      </c>
      <c r="M7" s="24" t="s">
        <v>37</v>
      </c>
      <c r="N7" s="24" t="s">
        <v>33</v>
      </c>
      <c r="O7" s="24" t="s">
        <v>33</v>
      </c>
      <c r="P7" s="24">
        <v>80</v>
      </c>
      <c r="Q7" s="24">
        <v>0.2</v>
      </c>
      <c r="R7" s="24">
        <v>0</v>
      </c>
      <c r="S7" s="24">
        <v>0.8</v>
      </c>
    </row>
    <row r="8" spans="1:19" ht="14.4" x14ac:dyDescent="0.3">
      <c r="A8" s="23" t="s">
        <v>76</v>
      </c>
      <c r="B8" s="23" t="s">
        <v>77</v>
      </c>
      <c r="C8" s="23" t="s">
        <v>53</v>
      </c>
      <c r="D8" s="23"/>
      <c r="E8" s="23"/>
      <c r="F8" s="23"/>
      <c r="G8" s="23">
        <v>3</v>
      </c>
      <c r="H8" s="23"/>
      <c r="I8" s="23"/>
      <c r="J8" s="23">
        <v>3</v>
      </c>
      <c r="K8" s="23" t="s">
        <v>40</v>
      </c>
      <c r="L8" s="24" t="s">
        <v>39</v>
      </c>
      <c r="M8" s="24" t="s">
        <v>37</v>
      </c>
      <c r="N8" s="24" t="s">
        <v>33</v>
      </c>
      <c r="O8" s="24" t="s">
        <v>33</v>
      </c>
      <c r="P8" s="24">
        <v>80</v>
      </c>
      <c r="Q8" s="24">
        <v>0.6</v>
      </c>
      <c r="R8" s="24">
        <v>0</v>
      </c>
      <c r="S8" s="24">
        <v>2.4</v>
      </c>
    </row>
    <row r="9" spans="1:19" ht="14.4" x14ac:dyDescent="0.3">
      <c r="A9" s="23" t="s">
        <v>86</v>
      </c>
      <c r="B9" s="23" t="s">
        <v>87</v>
      </c>
      <c r="C9" s="23" t="s">
        <v>53</v>
      </c>
      <c r="D9" s="23">
        <v>1</v>
      </c>
      <c r="E9" s="23"/>
      <c r="F9" s="23"/>
      <c r="G9" s="23"/>
      <c r="H9" s="23"/>
      <c r="I9" s="23"/>
      <c r="J9" s="23">
        <v>1</v>
      </c>
      <c r="K9" s="23" t="s">
        <v>40</v>
      </c>
      <c r="L9" s="24" t="s">
        <v>39</v>
      </c>
      <c r="M9" s="24" t="s">
        <v>37</v>
      </c>
      <c r="N9" s="24" t="s">
        <v>33</v>
      </c>
      <c r="O9" s="24" t="s">
        <v>33</v>
      </c>
      <c r="P9" s="24">
        <v>80</v>
      </c>
      <c r="Q9" s="24">
        <v>0.2</v>
      </c>
      <c r="R9" s="24">
        <v>0</v>
      </c>
      <c r="S9" s="24">
        <v>0.8</v>
      </c>
    </row>
    <row r="10" spans="1:19" ht="14.4" x14ac:dyDescent="0.3">
      <c r="A10" s="23" t="s">
        <v>60</v>
      </c>
      <c r="B10" s="23" t="s">
        <v>61</v>
      </c>
      <c r="C10" s="23">
        <v>6</v>
      </c>
      <c r="D10" s="23"/>
      <c r="E10" s="23"/>
      <c r="F10" s="23">
        <v>2</v>
      </c>
      <c r="G10" s="23"/>
      <c r="H10" s="23"/>
      <c r="I10" s="23"/>
      <c r="J10" s="23">
        <v>2</v>
      </c>
      <c r="K10" s="23" t="s">
        <v>40</v>
      </c>
      <c r="L10" s="24" t="s">
        <v>39</v>
      </c>
      <c r="M10" s="24" t="s">
        <v>32</v>
      </c>
      <c r="N10" s="24" t="s">
        <v>33</v>
      </c>
      <c r="O10" s="24" t="s">
        <v>33</v>
      </c>
      <c r="P10" s="24">
        <v>50</v>
      </c>
      <c r="Q10" s="24">
        <v>1</v>
      </c>
      <c r="R10" s="24">
        <v>0</v>
      </c>
      <c r="S10" s="24">
        <v>1</v>
      </c>
    </row>
    <row r="11" spans="1:19" ht="14.4" x14ac:dyDescent="0.3">
      <c r="A11" s="23" t="s">
        <v>84</v>
      </c>
      <c r="B11" s="23" t="s">
        <v>85</v>
      </c>
      <c r="C11" s="23" t="s">
        <v>53</v>
      </c>
      <c r="D11" s="23"/>
      <c r="E11" s="23"/>
      <c r="F11" s="23"/>
      <c r="G11" s="23"/>
      <c r="H11" s="23">
        <v>1</v>
      </c>
      <c r="I11" s="23"/>
      <c r="J11" s="23">
        <v>1</v>
      </c>
      <c r="K11" s="23" t="s">
        <v>40</v>
      </c>
      <c r="L11" s="24" t="s">
        <v>39</v>
      </c>
      <c r="M11" s="24" t="s">
        <v>32</v>
      </c>
      <c r="N11" s="24" t="s">
        <v>33</v>
      </c>
      <c r="O11" s="24" t="s">
        <v>33</v>
      </c>
      <c r="P11" s="24">
        <v>50</v>
      </c>
      <c r="Q11" s="24">
        <v>0.5</v>
      </c>
      <c r="R11" s="24">
        <v>0</v>
      </c>
      <c r="S11" s="24">
        <v>0.5</v>
      </c>
    </row>
    <row r="12" spans="1:19" ht="14.4" x14ac:dyDescent="0.3">
      <c r="A12" s="23" t="s">
        <v>74</v>
      </c>
      <c r="B12" s="23" t="s">
        <v>75</v>
      </c>
      <c r="C12" s="23" t="s">
        <v>53</v>
      </c>
      <c r="D12" s="23"/>
      <c r="E12" s="23">
        <v>1</v>
      </c>
      <c r="F12" s="23"/>
      <c r="G12" s="23"/>
      <c r="H12" s="23"/>
      <c r="I12" s="23"/>
      <c r="J12" s="23">
        <v>1</v>
      </c>
      <c r="K12" s="23" t="s">
        <v>40</v>
      </c>
      <c r="L12" s="24" t="s">
        <v>39</v>
      </c>
      <c r="M12" s="24" t="s">
        <v>37</v>
      </c>
      <c r="N12" s="24" t="s">
        <v>33</v>
      </c>
      <c r="O12" s="24" t="s">
        <v>33</v>
      </c>
      <c r="P12" s="24">
        <v>80</v>
      </c>
      <c r="Q12" s="24">
        <v>0.2</v>
      </c>
      <c r="R12" s="24">
        <v>0</v>
      </c>
      <c r="S12" s="24">
        <v>0.8</v>
      </c>
    </row>
    <row r="13" spans="1:19" ht="14.4" x14ac:dyDescent="0.3">
      <c r="A13" s="23" t="s">
        <v>62</v>
      </c>
      <c r="B13" s="23" t="s">
        <v>63</v>
      </c>
      <c r="C13" s="23" t="s">
        <v>53</v>
      </c>
      <c r="D13" s="23"/>
      <c r="E13" s="23">
        <v>1</v>
      </c>
      <c r="F13" s="23">
        <v>1</v>
      </c>
      <c r="G13" s="23"/>
      <c r="H13" s="23"/>
      <c r="I13" s="23"/>
      <c r="J13" s="23">
        <v>2</v>
      </c>
      <c r="K13" s="23" t="s">
        <v>40</v>
      </c>
      <c r="L13" s="24" t="s">
        <v>39</v>
      </c>
      <c r="M13" s="24" t="s">
        <v>38</v>
      </c>
      <c r="N13" s="24" t="s">
        <v>33</v>
      </c>
      <c r="O13" s="24" t="s">
        <v>33</v>
      </c>
      <c r="P13" s="24">
        <v>60</v>
      </c>
      <c r="Q13" s="24">
        <v>0.8</v>
      </c>
      <c r="R13" s="24">
        <v>0</v>
      </c>
      <c r="S13" s="24">
        <v>1.2</v>
      </c>
    </row>
    <row r="14" spans="1:19" ht="14.4" x14ac:dyDescent="0.3">
      <c r="A14" s="23" t="s">
        <v>72</v>
      </c>
      <c r="B14" s="23" t="s">
        <v>73</v>
      </c>
      <c r="C14" s="23">
        <v>6</v>
      </c>
      <c r="D14" s="23"/>
      <c r="E14" s="23"/>
      <c r="F14" s="23">
        <v>1</v>
      </c>
      <c r="G14" s="23"/>
      <c r="H14" s="23"/>
      <c r="I14" s="23"/>
      <c r="J14" s="23">
        <v>1</v>
      </c>
      <c r="K14" s="23" t="s">
        <v>40</v>
      </c>
      <c r="L14" s="24">
        <v>0</v>
      </c>
      <c r="M14" s="24">
        <v>0</v>
      </c>
      <c r="N14" s="24" t="s">
        <v>33</v>
      </c>
      <c r="O14" s="24" t="s">
        <v>33</v>
      </c>
      <c r="P14" s="24">
        <v>100</v>
      </c>
      <c r="Q14" s="24">
        <v>0</v>
      </c>
      <c r="R14" s="24">
        <v>0</v>
      </c>
      <c r="S14" s="24">
        <v>1</v>
      </c>
    </row>
    <row r="15" spans="1:19" ht="14.4" x14ac:dyDescent="0.3">
      <c r="A15" s="23" t="s">
        <v>54</v>
      </c>
      <c r="B15" s="23" t="s">
        <v>55</v>
      </c>
      <c r="C15" s="23" t="s">
        <v>53</v>
      </c>
      <c r="D15" s="23">
        <v>1</v>
      </c>
      <c r="E15" s="23"/>
      <c r="F15" s="23"/>
      <c r="G15" s="23"/>
      <c r="H15" s="23"/>
      <c r="I15" s="23"/>
      <c r="J15" s="23">
        <v>1</v>
      </c>
      <c r="K15" s="23" t="s">
        <v>40</v>
      </c>
      <c r="L15" s="24" t="s">
        <v>39</v>
      </c>
      <c r="M15" s="24" t="s">
        <v>36</v>
      </c>
      <c r="N15" s="24" t="s">
        <v>33</v>
      </c>
      <c r="O15" s="24" t="s">
        <v>33</v>
      </c>
      <c r="P15" s="24">
        <v>70</v>
      </c>
      <c r="Q15" s="24">
        <v>0.3</v>
      </c>
      <c r="R15" s="24">
        <v>0</v>
      </c>
      <c r="S15" s="24">
        <v>0.7</v>
      </c>
    </row>
    <row r="16" spans="1:19" ht="14.4" x14ac:dyDescent="0.3">
      <c r="A16" s="23" t="s">
        <v>68</v>
      </c>
      <c r="B16" s="23" t="s">
        <v>69</v>
      </c>
      <c r="C16" s="23" t="s">
        <v>53</v>
      </c>
      <c r="D16" s="23">
        <v>1</v>
      </c>
      <c r="E16" s="23"/>
      <c r="F16" s="23">
        <v>1</v>
      </c>
      <c r="G16" s="23"/>
      <c r="H16" s="23"/>
      <c r="I16" s="23"/>
      <c r="J16" s="23">
        <v>2</v>
      </c>
      <c r="K16" s="23" t="s">
        <v>40</v>
      </c>
      <c r="L16" s="24" t="s">
        <v>39</v>
      </c>
      <c r="M16" s="24" t="s">
        <v>32</v>
      </c>
      <c r="N16" s="24" t="s">
        <v>33</v>
      </c>
      <c r="O16" s="24" t="s">
        <v>33</v>
      </c>
      <c r="P16" s="24">
        <v>50</v>
      </c>
      <c r="Q16" s="24">
        <v>1</v>
      </c>
      <c r="R16" s="24">
        <v>0</v>
      </c>
      <c r="S16" s="24">
        <v>1</v>
      </c>
    </row>
    <row r="17" spans="1:19" ht="14.4" x14ac:dyDescent="0.3">
      <c r="A17" s="23" t="s">
        <v>465</v>
      </c>
      <c r="B17" s="23" t="s">
        <v>466</v>
      </c>
      <c r="C17" s="23" t="s">
        <v>53</v>
      </c>
      <c r="D17" s="23"/>
      <c r="E17" s="23"/>
      <c r="F17" s="23"/>
      <c r="G17" s="23"/>
      <c r="H17" s="23"/>
      <c r="I17" s="23">
        <v>3</v>
      </c>
      <c r="J17" s="23">
        <v>3</v>
      </c>
      <c r="K17" s="23" t="s">
        <v>40</v>
      </c>
      <c r="L17" s="24">
        <v>0</v>
      </c>
      <c r="M17" s="24">
        <v>0</v>
      </c>
      <c r="N17" s="24" t="s">
        <v>33</v>
      </c>
      <c r="O17" s="24" t="s">
        <v>33</v>
      </c>
      <c r="P17" s="24">
        <v>100</v>
      </c>
      <c r="Q17" s="24">
        <v>0</v>
      </c>
      <c r="R17" s="24">
        <v>0</v>
      </c>
      <c r="S17" s="24">
        <v>3</v>
      </c>
    </row>
    <row r="18" spans="1:19" ht="14.4" x14ac:dyDescent="0.3">
      <c r="A18" s="23" t="s">
        <v>70</v>
      </c>
      <c r="B18" s="23" t="s">
        <v>71</v>
      </c>
      <c r="C18" s="23" t="s">
        <v>53</v>
      </c>
      <c r="D18" s="23"/>
      <c r="E18" s="23"/>
      <c r="F18" s="23">
        <v>1</v>
      </c>
      <c r="G18" s="23"/>
      <c r="H18" s="23"/>
      <c r="I18" s="23">
        <v>1</v>
      </c>
      <c r="J18" s="23">
        <v>2</v>
      </c>
      <c r="K18" s="23" t="s">
        <v>40</v>
      </c>
      <c r="L18" s="24" t="s">
        <v>39</v>
      </c>
      <c r="M18" s="24" t="s">
        <v>32</v>
      </c>
      <c r="N18" s="24" t="s">
        <v>33</v>
      </c>
      <c r="O18" s="24" t="s">
        <v>33</v>
      </c>
      <c r="P18" s="24">
        <v>50</v>
      </c>
      <c r="Q18" s="24">
        <v>1</v>
      </c>
      <c r="R18" s="24">
        <v>0</v>
      </c>
      <c r="S18" s="24">
        <v>1</v>
      </c>
    </row>
    <row r="19" spans="1:19" ht="14.4" x14ac:dyDescent="0.3">
      <c r="A19" s="23" t="s">
        <v>56</v>
      </c>
      <c r="B19" s="23" t="s">
        <v>57</v>
      </c>
      <c r="C19" s="23" t="s">
        <v>53</v>
      </c>
      <c r="D19" s="23"/>
      <c r="E19" s="23"/>
      <c r="F19" s="23">
        <v>3</v>
      </c>
      <c r="G19" s="23"/>
      <c r="H19" s="23"/>
      <c r="I19" s="23"/>
      <c r="J19" s="23">
        <v>3</v>
      </c>
      <c r="K19" s="23" t="s">
        <v>40</v>
      </c>
      <c r="L19" s="24" t="s">
        <v>39</v>
      </c>
      <c r="M19" s="24" t="s">
        <v>32</v>
      </c>
      <c r="N19" s="24" t="s">
        <v>33</v>
      </c>
      <c r="O19" s="24" t="s">
        <v>33</v>
      </c>
      <c r="P19" s="24">
        <v>50</v>
      </c>
      <c r="Q19" s="24">
        <v>1.5</v>
      </c>
      <c r="R19" s="24">
        <v>0</v>
      </c>
      <c r="S19" s="24">
        <v>1.5</v>
      </c>
    </row>
    <row r="20" spans="1:19" ht="14.4" x14ac:dyDescent="0.3">
      <c r="A20" s="23" t="s">
        <v>467</v>
      </c>
      <c r="B20" s="23" t="s">
        <v>468</v>
      </c>
      <c r="C20" s="23" t="s">
        <v>469</v>
      </c>
      <c r="D20" s="23"/>
      <c r="E20" s="23"/>
      <c r="F20" s="23"/>
      <c r="G20" s="23">
        <v>1</v>
      </c>
      <c r="H20" s="23">
        <v>1</v>
      </c>
      <c r="I20" s="23"/>
      <c r="J20" s="23">
        <v>2</v>
      </c>
      <c r="K20" s="23" t="s">
        <v>40</v>
      </c>
      <c r="L20" s="24" t="s">
        <v>39</v>
      </c>
      <c r="M20" s="24" t="s">
        <v>32</v>
      </c>
      <c r="N20" s="24" t="s">
        <v>33</v>
      </c>
      <c r="O20" s="24" t="s">
        <v>33</v>
      </c>
      <c r="P20" s="24">
        <v>50</v>
      </c>
      <c r="Q20" s="24">
        <v>1</v>
      </c>
      <c r="R20" s="24">
        <v>0</v>
      </c>
      <c r="S20" s="24">
        <v>1</v>
      </c>
    </row>
    <row r="21" spans="1:19" ht="14.4" x14ac:dyDescent="0.3">
      <c r="A21" s="23" t="s">
        <v>178</v>
      </c>
      <c r="B21" s="23" t="s">
        <v>179</v>
      </c>
      <c r="C21" s="60" t="s">
        <v>53</v>
      </c>
      <c r="D21" s="23"/>
      <c r="E21" s="23"/>
      <c r="F21" s="23"/>
      <c r="G21" s="23">
        <v>2</v>
      </c>
      <c r="H21" s="23"/>
      <c r="I21" s="23"/>
      <c r="J21" s="23">
        <v>2</v>
      </c>
      <c r="K21" s="23" t="s">
        <v>40</v>
      </c>
      <c r="L21" s="24" t="s">
        <v>39</v>
      </c>
      <c r="M21" s="24" t="s">
        <v>37</v>
      </c>
      <c r="N21" s="24" t="s">
        <v>33</v>
      </c>
      <c r="O21" s="24" t="s">
        <v>33</v>
      </c>
      <c r="P21" s="24">
        <v>80</v>
      </c>
      <c r="Q21" s="24">
        <v>0.4</v>
      </c>
      <c r="R21" s="24">
        <v>0</v>
      </c>
      <c r="S21" s="24">
        <v>1.6</v>
      </c>
    </row>
    <row r="22" spans="1:19" ht="14.4" x14ac:dyDescent="0.3">
      <c r="A22" s="23" t="s">
        <v>78</v>
      </c>
      <c r="B22" s="23" t="s">
        <v>79</v>
      </c>
      <c r="C22" s="60">
        <v>6</v>
      </c>
      <c r="D22" s="23"/>
      <c r="E22" s="23"/>
      <c r="F22" s="23"/>
      <c r="G22" s="23"/>
      <c r="H22" s="23"/>
      <c r="I22" s="23"/>
      <c r="J22" s="23">
        <v>1</v>
      </c>
      <c r="K22" s="23" t="s">
        <v>40</v>
      </c>
      <c r="L22" s="24" t="s">
        <v>39</v>
      </c>
      <c r="M22" s="24" t="s">
        <v>37</v>
      </c>
      <c r="N22" s="24" t="s">
        <v>33</v>
      </c>
      <c r="O22" s="24" t="s">
        <v>33</v>
      </c>
      <c r="P22" s="24">
        <v>80</v>
      </c>
      <c r="Q22" s="24">
        <v>0.2</v>
      </c>
      <c r="R22" s="24">
        <v>0</v>
      </c>
      <c r="S22" s="24">
        <v>0.8</v>
      </c>
    </row>
    <row r="23" spans="1:19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2"/>
      <c r="O23" s="61"/>
      <c r="P23" s="62"/>
      <c r="Q23" s="61"/>
      <c r="R23" s="61"/>
      <c r="S23" s="66">
        <f>SUM(S2:S22)</f>
        <v>24.6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5"/>
  <sheetViews>
    <sheetView topLeftCell="A67" zoomScaleNormal="100" workbookViewId="0">
      <selection activeCell="A83" sqref="A83:B8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167</v>
      </c>
      <c r="B3" s="5">
        <v>900</v>
      </c>
    </row>
    <row r="4" spans="1:2" x14ac:dyDescent="0.2">
      <c r="A4" s="4" t="s">
        <v>4</v>
      </c>
      <c r="B4" s="5"/>
    </row>
    <row r="5" spans="1:2" x14ac:dyDescent="0.2">
      <c r="A5" s="4" t="s">
        <v>168</v>
      </c>
      <c r="B5" s="5">
        <v>6750</v>
      </c>
    </row>
    <row r="6" spans="1:2" x14ac:dyDescent="0.2">
      <c r="A6" s="4" t="s">
        <v>169</v>
      </c>
      <c r="B6" s="5">
        <v>13500</v>
      </c>
    </row>
    <row r="7" spans="1:2" x14ac:dyDescent="0.2">
      <c r="A7" s="4" t="s">
        <v>170</v>
      </c>
      <c r="B7" s="5">
        <v>6750</v>
      </c>
    </row>
    <row r="8" spans="1:2" x14ac:dyDescent="0.2">
      <c r="A8" s="4" t="s">
        <v>5</v>
      </c>
      <c r="B8" s="5"/>
    </row>
    <row r="9" spans="1:2" x14ac:dyDescent="0.2">
      <c r="A9" s="4" t="s">
        <v>171</v>
      </c>
      <c r="B9" s="5">
        <v>3350</v>
      </c>
    </row>
    <row r="10" spans="1:2" x14ac:dyDescent="0.2">
      <c r="A10" s="4" t="s">
        <v>6</v>
      </c>
      <c r="B10" s="5"/>
    </row>
    <row r="11" spans="1:2" x14ac:dyDescent="0.2">
      <c r="A11" s="4" t="s">
        <v>172</v>
      </c>
      <c r="B11" s="5">
        <v>2173.5500000000002</v>
      </c>
    </row>
    <row r="12" spans="1:2" x14ac:dyDescent="0.2">
      <c r="A12" s="4" t="s">
        <v>173</v>
      </c>
      <c r="B12" s="5">
        <v>2159.42</v>
      </c>
    </row>
    <row r="13" spans="1:2" x14ac:dyDescent="0.2">
      <c r="A13" s="4" t="s">
        <v>174</v>
      </c>
      <c r="B13" s="5">
        <v>2181.65</v>
      </c>
    </row>
    <row r="14" spans="1:2" x14ac:dyDescent="0.2">
      <c r="A14" s="4" t="s">
        <v>90</v>
      </c>
      <c r="B14" s="5"/>
    </row>
    <row r="15" spans="1:2" x14ac:dyDescent="0.2">
      <c r="A15" s="4" t="s">
        <v>91</v>
      </c>
      <c r="B15" s="5">
        <v>21080</v>
      </c>
    </row>
    <row r="16" spans="1:2" x14ac:dyDescent="0.2">
      <c r="A16" s="4" t="s">
        <v>92</v>
      </c>
      <c r="B16" s="5">
        <v>10642.89</v>
      </c>
    </row>
    <row r="17" spans="1:2" x14ac:dyDescent="0.2">
      <c r="A17" s="4" t="s">
        <v>7</v>
      </c>
      <c r="B17" s="5"/>
    </row>
    <row r="18" spans="1:2" x14ac:dyDescent="0.2">
      <c r="A18" s="4" t="s">
        <v>93</v>
      </c>
      <c r="B18" s="5">
        <v>10000</v>
      </c>
    </row>
    <row r="19" spans="1:2" x14ac:dyDescent="0.2">
      <c r="A19" s="4" t="s">
        <v>94</v>
      </c>
      <c r="B19" s="5"/>
    </row>
    <row r="20" spans="1:2" x14ac:dyDescent="0.2">
      <c r="A20" s="4" t="s">
        <v>95</v>
      </c>
      <c r="B20" s="5">
        <v>5300</v>
      </c>
    </row>
    <row r="21" spans="1:2" x14ac:dyDescent="0.2">
      <c r="A21" s="4" t="s">
        <v>8</v>
      </c>
      <c r="B21" s="5"/>
    </row>
    <row r="22" spans="1:2" x14ac:dyDescent="0.2">
      <c r="A22" s="4" t="s">
        <v>96</v>
      </c>
      <c r="B22" s="5">
        <v>3234.38</v>
      </c>
    </row>
    <row r="23" spans="1:2" x14ac:dyDescent="0.2">
      <c r="A23" s="4" t="s">
        <v>97</v>
      </c>
      <c r="B23" s="5">
        <v>3450</v>
      </c>
    </row>
    <row r="24" spans="1:2" x14ac:dyDescent="0.2">
      <c r="A24" s="4" t="s">
        <v>98</v>
      </c>
      <c r="B24" s="5"/>
    </row>
    <row r="25" spans="1:2" x14ac:dyDescent="0.2">
      <c r="A25" s="4" t="s">
        <v>99</v>
      </c>
      <c r="B25" s="5">
        <v>150</v>
      </c>
    </row>
    <row r="26" spans="1:2" x14ac:dyDescent="0.2">
      <c r="A26" s="4" t="s">
        <v>100</v>
      </c>
      <c r="B26" s="5"/>
    </row>
    <row r="27" spans="1:2" x14ac:dyDescent="0.2">
      <c r="A27" s="4" t="s">
        <v>101</v>
      </c>
      <c r="B27" s="5">
        <v>100</v>
      </c>
    </row>
    <row r="28" spans="1:2" x14ac:dyDescent="0.2">
      <c r="A28" s="4" t="s">
        <v>102</v>
      </c>
      <c r="B28" s="5"/>
    </row>
    <row r="29" spans="1:2" x14ac:dyDescent="0.2">
      <c r="A29" s="4" t="s">
        <v>103</v>
      </c>
      <c r="B29" s="5">
        <v>1500</v>
      </c>
    </row>
    <row r="30" spans="1:2" x14ac:dyDescent="0.2">
      <c r="A30" s="4" t="s">
        <v>104</v>
      </c>
      <c r="B30" s="5">
        <v>1500</v>
      </c>
    </row>
    <row r="31" spans="1:2" x14ac:dyDescent="0.2">
      <c r="A31" s="4" t="s">
        <v>105</v>
      </c>
      <c r="B31" s="5"/>
    </row>
    <row r="32" spans="1:2" x14ac:dyDescent="0.2">
      <c r="A32" s="4" t="s">
        <v>106</v>
      </c>
      <c r="B32" s="5">
        <v>141.57</v>
      </c>
    </row>
    <row r="33" spans="1:2" x14ac:dyDescent="0.2">
      <c r="A33" s="4" t="s">
        <v>107</v>
      </c>
      <c r="B33" s="5">
        <v>700</v>
      </c>
    </row>
    <row r="34" spans="1:2" x14ac:dyDescent="0.2">
      <c r="A34" s="4" t="s">
        <v>108</v>
      </c>
      <c r="B34" s="5">
        <v>1400</v>
      </c>
    </row>
    <row r="35" spans="1:2" x14ac:dyDescent="0.2">
      <c r="A35" s="4" t="s">
        <v>109</v>
      </c>
      <c r="B35" s="5"/>
    </row>
    <row r="36" spans="1:2" x14ac:dyDescent="0.2">
      <c r="A36" s="4" t="s">
        <v>110</v>
      </c>
      <c r="B36" s="5">
        <v>360</v>
      </c>
    </row>
    <row r="37" spans="1:2" x14ac:dyDescent="0.2">
      <c r="A37" s="4" t="s">
        <v>111</v>
      </c>
      <c r="B37" s="5"/>
    </row>
    <row r="38" spans="1:2" x14ac:dyDescent="0.2">
      <c r="A38" s="4" t="s">
        <v>112</v>
      </c>
      <c r="B38" s="5">
        <v>1400</v>
      </c>
    </row>
    <row r="39" spans="1:2" x14ac:dyDescent="0.2">
      <c r="A39" s="4" t="s">
        <v>113</v>
      </c>
      <c r="B39" s="5"/>
    </row>
    <row r="40" spans="1:2" x14ac:dyDescent="0.2">
      <c r="A40" s="4" t="s">
        <v>114</v>
      </c>
      <c r="B40" s="5">
        <v>4500</v>
      </c>
    </row>
    <row r="41" spans="1:2" x14ac:dyDescent="0.2">
      <c r="A41" s="4" t="s">
        <v>115</v>
      </c>
      <c r="B41" s="5"/>
    </row>
    <row r="42" spans="1:2" x14ac:dyDescent="0.2">
      <c r="A42" s="4" t="s">
        <v>116</v>
      </c>
      <c r="B42" s="5">
        <v>100</v>
      </c>
    </row>
    <row r="43" spans="1:2" x14ac:dyDescent="0.2">
      <c r="A43" s="4" t="s">
        <v>117</v>
      </c>
      <c r="B43" s="5"/>
    </row>
    <row r="44" spans="1:2" x14ac:dyDescent="0.2">
      <c r="A44" s="4" t="s">
        <v>118</v>
      </c>
      <c r="B44" s="5">
        <v>1500</v>
      </c>
    </row>
    <row r="45" spans="1:2" x14ac:dyDescent="0.2">
      <c r="A45" s="4" t="s">
        <v>119</v>
      </c>
      <c r="B45" s="5"/>
    </row>
    <row r="46" spans="1:2" x14ac:dyDescent="0.2">
      <c r="A46" s="4" t="s">
        <v>120</v>
      </c>
      <c r="B46" s="5">
        <v>1200</v>
      </c>
    </row>
    <row r="47" spans="1:2" x14ac:dyDescent="0.2">
      <c r="A47" s="4" t="s">
        <v>121</v>
      </c>
      <c r="B47" s="5">
        <v>1200</v>
      </c>
    </row>
    <row r="48" spans="1:2" x14ac:dyDescent="0.2">
      <c r="A48" s="4" t="s">
        <v>122</v>
      </c>
      <c r="B48" s="5"/>
    </row>
    <row r="49" spans="1:2" x14ac:dyDescent="0.2">
      <c r="A49" s="4" t="s">
        <v>123</v>
      </c>
      <c r="B49" s="5">
        <v>15559.09</v>
      </c>
    </row>
    <row r="50" spans="1:2" x14ac:dyDescent="0.2">
      <c r="A50" s="4" t="s">
        <v>124</v>
      </c>
      <c r="B50" s="5"/>
    </row>
    <row r="51" spans="1:2" x14ac:dyDescent="0.2">
      <c r="A51" s="4" t="s">
        <v>125</v>
      </c>
      <c r="B51" s="5">
        <v>10000</v>
      </c>
    </row>
    <row r="52" spans="1:2" x14ac:dyDescent="0.2">
      <c r="A52" s="4" t="s">
        <v>126</v>
      </c>
      <c r="B52" s="5">
        <v>10000</v>
      </c>
    </row>
    <row r="53" spans="1:2" x14ac:dyDescent="0.2">
      <c r="A53" s="4" t="s">
        <v>127</v>
      </c>
      <c r="B53" s="5"/>
    </row>
    <row r="54" spans="1:2" x14ac:dyDescent="0.2">
      <c r="A54" s="4" t="s">
        <v>128</v>
      </c>
      <c r="B54" s="5">
        <v>180</v>
      </c>
    </row>
    <row r="55" spans="1:2" x14ac:dyDescent="0.2">
      <c r="A55" s="4" t="s">
        <v>129</v>
      </c>
      <c r="B55" s="5"/>
    </row>
    <row r="56" spans="1:2" x14ac:dyDescent="0.2">
      <c r="A56" s="4" t="s">
        <v>130</v>
      </c>
      <c r="B56" s="5">
        <v>800</v>
      </c>
    </row>
    <row r="57" spans="1:2" x14ac:dyDescent="0.2">
      <c r="A57" s="4" t="s">
        <v>131</v>
      </c>
      <c r="B57" s="5"/>
    </row>
    <row r="58" spans="1:2" x14ac:dyDescent="0.2">
      <c r="A58" s="4" t="s">
        <v>132</v>
      </c>
      <c r="B58" s="5">
        <v>6000</v>
      </c>
    </row>
    <row r="59" spans="1:2" x14ac:dyDescent="0.2">
      <c r="A59" s="4" t="s">
        <v>133</v>
      </c>
      <c r="B59" s="5">
        <v>6000</v>
      </c>
    </row>
    <row r="60" spans="1:2" x14ac:dyDescent="0.2">
      <c r="A60" s="4" t="s">
        <v>134</v>
      </c>
      <c r="B60" s="5"/>
    </row>
    <row r="61" spans="1:2" x14ac:dyDescent="0.2">
      <c r="A61" s="4" t="s">
        <v>135</v>
      </c>
      <c r="B61" s="5">
        <v>1500</v>
      </c>
    </row>
    <row r="62" spans="1:2" x14ac:dyDescent="0.2">
      <c r="A62" s="4" t="s">
        <v>136</v>
      </c>
      <c r="B62" s="5">
        <v>1500</v>
      </c>
    </row>
    <row r="63" spans="1:2" x14ac:dyDescent="0.2">
      <c r="A63" s="4" t="s">
        <v>137</v>
      </c>
      <c r="B63" s="5"/>
    </row>
    <row r="64" spans="1:2" x14ac:dyDescent="0.2">
      <c r="A64" s="4" t="s">
        <v>138</v>
      </c>
      <c r="B64" s="5">
        <v>600</v>
      </c>
    </row>
    <row r="65" spans="1:2" x14ac:dyDescent="0.2">
      <c r="A65" s="4" t="s">
        <v>139</v>
      </c>
      <c r="B65" s="5"/>
    </row>
    <row r="66" spans="1:2" x14ac:dyDescent="0.2">
      <c r="A66" s="4" t="s">
        <v>140</v>
      </c>
      <c r="B66" s="5">
        <v>1500</v>
      </c>
    </row>
    <row r="67" spans="1:2" x14ac:dyDescent="0.2">
      <c r="A67" s="4" t="s">
        <v>141</v>
      </c>
      <c r="B67" s="5">
        <v>1500</v>
      </c>
    </row>
    <row r="68" spans="1:2" x14ac:dyDescent="0.2">
      <c r="A68" s="4" t="s">
        <v>142</v>
      </c>
      <c r="B68" s="5"/>
    </row>
    <row r="69" spans="1:2" x14ac:dyDescent="0.2">
      <c r="A69" s="4" t="s">
        <v>143</v>
      </c>
      <c r="B69" s="5">
        <v>2600</v>
      </c>
    </row>
    <row r="70" spans="1:2" x14ac:dyDescent="0.2">
      <c r="A70" s="4" t="s">
        <v>144</v>
      </c>
      <c r="B70" s="5">
        <v>2600</v>
      </c>
    </row>
    <row r="71" spans="1:2" x14ac:dyDescent="0.2">
      <c r="A71" s="4" t="s">
        <v>145</v>
      </c>
      <c r="B71" s="5"/>
    </row>
    <row r="72" spans="1:2" x14ac:dyDescent="0.2">
      <c r="A72" s="4" t="s">
        <v>146</v>
      </c>
      <c r="B72" s="5">
        <v>14000</v>
      </c>
    </row>
    <row r="73" spans="1:2" x14ac:dyDescent="0.2">
      <c r="A73" s="4" t="s">
        <v>147</v>
      </c>
      <c r="B73" s="5"/>
    </row>
    <row r="74" spans="1:2" x14ac:dyDescent="0.2">
      <c r="A74" s="4" t="s">
        <v>148</v>
      </c>
      <c r="B74" s="5">
        <v>800</v>
      </c>
    </row>
    <row r="75" spans="1:2" x14ac:dyDescent="0.2">
      <c r="A75" s="4" t="s">
        <v>149</v>
      </c>
      <c r="B75" s="5"/>
    </row>
    <row r="76" spans="1:2" x14ac:dyDescent="0.2">
      <c r="A76" s="4" t="s">
        <v>150</v>
      </c>
      <c r="B76" s="5">
        <v>50</v>
      </c>
    </row>
    <row r="77" spans="1:2" x14ac:dyDescent="0.2">
      <c r="A77" s="4" t="s">
        <v>151</v>
      </c>
      <c r="B77" s="5"/>
    </row>
    <row r="78" spans="1:2" x14ac:dyDescent="0.2">
      <c r="A78" s="4" t="s">
        <v>152</v>
      </c>
      <c r="B78" s="5">
        <v>204.38</v>
      </c>
    </row>
    <row r="79" spans="1:2" x14ac:dyDescent="0.2">
      <c r="A79" s="4" t="s">
        <v>153</v>
      </c>
      <c r="B79" s="5"/>
    </row>
    <row r="80" spans="1:2" x14ac:dyDescent="0.2">
      <c r="A80" s="4" t="s">
        <v>154</v>
      </c>
      <c r="B80" s="5">
        <v>2386.3000000000002</v>
      </c>
    </row>
    <row r="81" spans="1:2" x14ac:dyDescent="0.2">
      <c r="A81" s="4" t="s">
        <v>155</v>
      </c>
      <c r="B81" s="5"/>
    </row>
    <row r="82" spans="1:2" x14ac:dyDescent="0.2">
      <c r="A82" s="4" t="s">
        <v>156</v>
      </c>
      <c r="B82" s="5">
        <v>3175</v>
      </c>
    </row>
    <row r="83" spans="1:2" x14ac:dyDescent="0.2">
      <c r="A83" s="4" t="s">
        <v>9</v>
      </c>
      <c r="B83" s="5"/>
    </row>
    <row r="84" spans="1:2" x14ac:dyDescent="0.2">
      <c r="A84" s="4" t="s">
        <v>176</v>
      </c>
      <c r="B84" s="5">
        <v>55611</v>
      </c>
    </row>
    <row r="85" spans="1:2" x14ac:dyDescent="0.2">
      <c r="A85" s="4" t="s">
        <v>157</v>
      </c>
      <c r="B85" s="5"/>
    </row>
    <row r="86" spans="1:2" x14ac:dyDescent="0.2">
      <c r="A86" s="4" t="s">
        <v>158</v>
      </c>
      <c r="B86" s="5">
        <v>69528.5</v>
      </c>
    </row>
    <row r="87" spans="1:2" x14ac:dyDescent="0.2">
      <c r="A87" s="4" t="s">
        <v>159</v>
      </c>
      <c r="B87" s="5"/>
    </row>
    <row r="88" spans="1:2" x14ac:dyDescent="0.2">
      <c r="A88" s="4" t="s">
        <v>160</v>
      </c>
      <c r="B88" s="5">
        <v>17500</v>
      </c>
    </row>
    <row r="89" spans="1:2" x14ac:dyDescent="0.2">
      <c r="A89" s="4" t="s">
        <v>161</v>
      </c>
      <c r="B89" s="5"/>
    </row>
    <row r="90" spans="1:2" x14ac:dyDescent="0.2">
      <c r="A90" s="4" t="s">
        <v>162</v>
      </c>
      <c r="B90" s="5">
        <v>40000</v>
      </c>
    </row>
    <row r="91" spans="1:2" x14ac:dyDescent="0.2">
      <c r="A91" s="4" t="s">
        <v>163</v>
      </c>
      <c r="B91" s="5">
        <v>19200</v>
      </c>
    </row>
    <row r="92" spans="1:2" x14ac:dyDescent="0.2">
      <c r="A92" s="4" t="s">
        <v>164</v>
      </c>
      <c r="B92" s="5"/>
    </row>
    <row r="93" spans="1:2" x14ac:dyDescent="0.2">
      <c r="A93" s="4" t="s">
        <v>165</v>
      </c>
      <c r="B93" s="5">
        <v>183.67</v>
      </c>
    </row>
    <row r="94" spans="1:2" x14ac:dyDescent="0.2">
      <c r="A94" s="4" t="s">
        <v>166</v>
      </c>
      <c r="B94" s="5">
        <v>76.569999999999993</v>
      </c>
    </row>
    <row r="95" spans="1:2" x14ac:dyDescent="0.2">
      <c r="A95" s="6" t="s">
        <v>2</v>
      </c>
      <c r="B95" s="7">
        <f>SUM(B3:B94)</f>
        <v>390277.97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5662-7028-4A2B-975B-FCC6A8F76521}">
  <dimension ref="A1:B106"/>
  <sheetViews>
    <sheetView topLeftCell="A85" zoomScaleNormal="100" workbookViewId="0">
      <selection activeCell="B106" sqref="B10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180</v>
      </c>
      <c r="B3" s="5">
        <v>1232</v>
      </c>
    </row>
    <row r="4" spans="1:2" x14ac:dyDescent="0.2">
      <c r="A4" s="4" t="s">
        <v>4</v>
      </c>
      <c r="B4" s="5"/>
    </row>
    <row r="5" spans="1:2" x14ac:dyDescent="0.2">
      <c r="A5" s="4" t="s">
        <v>181</v>
      </c>
      <c r="B5" s="5">
        <v>8800</v>
      </c>
    </row>
    <row r="6" spans="1:2" x14ac:dyDescent="0.2">
      <c r="A6" s="4" t="s">
        <v>182</v>
      </c>
      <c r="B6" s="5">
        <v>10.039999999999999</v>
      </c>
    </row>
    <row r="7" spans="1:2" x14ac:dyDescent="0.2">
      <c r="A7" s="4" t="s">
        <v>7</v>
      </c>
      <c r="B7" s="5"/>
    </row>
    <row r="8" spans="1:2" x14ac:dyDescent="0.2">
      <c r="A8" s="4" t="s">
        <v>183</v>
      </c>
      <c r="B8" s="5">
        <v>1760</v>
      </c>
    </row>
    <row r="9" spans="1:2" x14ac:dyDescent="0.2">
      <c r="A9" s="4" t="s">
        <v>111</v>
      </c>
      <c r="B9" s="5"/>
    </row>
    <row r="10" spans="1:2" x14ac:dyDescent="0.2">
      <c r="A10" s="4" t="s">
        <v>184</v>
      </c>
      <c r="B10" s="5">
        <v>1232</v>
      </c>
    </row>
    <row r="11" spans="1:2" x14ac:dyDescent="0.2">
      <c r="A11" s="4" t="s">
        <v>113</v>
      </c>
      <c r="B11" s="5"/>
    </row>
    <row r="12" spans="1:2" x14ac:dyDescent="0.2">
      <c r="A12" s="4" t="s">
        <v>185</v>
      </c>
      <c r="B12" s="5">
        <v>3960</v>
      </c>
    </row>
    <row r="13" spans="1:2" x14ac:dyDescent="0.2">
      <c r="A13" s="4" t="s">
        <v>117</v>
      </c>
      <c r="B13" s="5"/>
    </row>
    <row r="14" spans="1:2" x14ac:dyDescent="0.2">
      <c r="A14" s="4" t="s">
        <v>186</v>
      </c>
      <c r="B14" s="5">
        <v>1320</v>
      </c>
    </row>
    <row r="15" spans="1:2" x14ac:dyDescent="0.2">
      <c r="A15" s="4" t="s">
        <v>124</v>
      </c>
      <c r="B15" s="5"/>
    </row>
    <row r="16" spans="1:2" x14ac:dyDescent="0.2">
      <c r="A16" s="4" t="s">
        <v>187</v>
      </c>
      <c r="B16" s="5">
        <v>7128</v>
      </c>
    </row>
    <row r="17" spans="1:2" x14ac:dyDescent="0.2">
      <c r="A17" s="4" t="s">
        <v>188</v>
      </c>
      <c r="B17" s="5">
        <v>11880</v>
      </c>
    </row>
    <row r="18" spans="1:2" x14ac:dyDescent="0.2">
      <c r="A18" s="4" t="s">
        <v>189</v>
      </c>
      <c r="B18" s="5">
        <v>4752</v>
      </c>
    </row>
    <row r="19" spans="1:2" x14ac:dyDescent="0.2">
      <c r="A19" s="4" t="s">
        <v>131</v>
      </c>
      <c r="B19" s="5"/>
    </row>
    <row r="20" spans="1:2" x14ac:dyDescent="0.2">
      <c r="A20" s="4" t="s">
        <v>190</v>
      </c>
      <c r="B20" s="5">
        <v>2640</v>
      </c>
    </row>
    <row r="21" spans="1:2" x14ac:dyDescent="0.2">
      <c r="A21" s="4" t="s">
        <v>191</v>
      </c>
      <c r="B21" s="5">
        <v>5280</v>
      </c>
    </row>
    <row r="22" spans="1:2" x14ac:dyDescent="0.2">
      <c r="A22" s="4" t="s">
        <v>142</v>
      </c>
      <c r="B22" s="5"/>
    </row>
    <row r="23" spans="1:2" x14ac:dyDescent="0.2">
      <c r="A23" s="4" t="s">
        <v>192</v>
      </c>
      <c r="B23" s="5">
        <v>4400</v>
      </c>
    </row>
    <row r="24" spans="1:2" x14ac:dyDescent="0.2">
      <c r="A24" s="4" t="s">
        <v>193</v>
      </c>
      <c r="B24" s="5">
        <v>4400</v>
      </c>
    </row>
    <row r="25" spans="1:2" x14ac:dyDescent="0.2">
      <c r="A25" s="4" t="s">
        <v>145</v>
      </c>
      <c r="B25" s="5"/>
    </row>
    <row r="26" spans="1:2" x14ac:dyDescent="0.2">
      <c r="A26" s="4" t="s">
        <v>194</v>
      </c>
      <c r="B26" s="5">
        <v>12320</v>
      </c>
    </row>
    <row r="27" spans="1:2" x14ac:dyDescent="0.2">
      <c r="A27" s="4" t="s">
        <v>195</v>
      </c>
      <c r="B27" s="5"/>
    </row>
    <row r="28" spans="1:2" x14ac:dyDescent="0.2">
      <c r="A28" s="4" t="s">
        <v>196</v>
      </c>
      <c r="B28" s="5">
        <v>1760</v>
      </c>
    </row>
    <row r="29" spans="1:2" x14ac:dyDescent="0.2">
      <c r="A29" s="4" t="s">
        <v>197</v>
      </c>
      <c r="B29" s="5"/>
    </row>
    <row r="30" spans="1:2" x14ac:dyDescent="0.2">
      <c r="A30" s="4" t="s">
        <v>198</v>
      </c>
      <c r="B30" s="5">
        <v>11000</v>
      </c>
    </row>
    <row r="31" spans="1:2" x14ac:dyDescent="0.2">
      <c r="A31" s="4" t="s">
        <v>199</v>
      </c>
      <c r="B31" s="5">
        <v>11000</v>
      </c>
    </row>
    <row r="32" spans="1:2" x14ac:dyDescent="0.2">
      <c r="A32" s="4" t="s">
        <v>200</v>
      </c>
      <c r="B32" s="5">
        <v>11000</v>
      </c>
    </row>
    <row r="33" spans="1:2" x14ac:dyDescent="0.2">
      <c r="A33" s="4" t="s">
        <v>201</v>
      </c>
      <c r="B33" s="5">
        <v>11000</v>
      </c>
    </row>
    <row r="34" spans="1:2" x14ac:dyDescent="0.2">
      <c r="A34" s="4" t="s">
        <v>202</v>
      </c>
      <c r="B34" s="5">
        <v>11000</v>
      </c>
    </row>
    <row r="35" spans="1:2" x14ac:dyDescent="0.2">
      <c r="A35" s="4" t="s">
        <v>203</v>
      </c>
      <c r="B35" s="5">
        <v>44000</v>
      </c>
    </row>
    <row r="36" spans="1:2" x14ac:dyDescent="0.2">
      <c r="A36" s="4" t="s">
        <v>204</v>
      </c>
      <c r="B36" s="5">
        <v>3113.09</v>
      </c>
    </row>
    <row r="37" spans="1:2" x14ac:dyDescent="0.2">
      <c r="A37" s="4" t="s">
        <v>205</v>
      </c>
      <c r="B37" s="5"/>
    </row>
    <row r="38" spans="1:2" x14ac:dyDescent="0.2">
      <c r="A38" s="4" t="s">
        <v>206</v>
      </c>
      <c r="B38" s="5">
        <v>378.4</v>
      </c>
    </row>
    <row r="39" spans="1:2" x14ac:dyDescent="0.2">
      <c r="A39" s="4" t="s">
        <v>207</v>
      </c>
      <c r="B39" s="5"/>
    </row>
    <row r="40" spans="1:2" x14ac:dyDescent="0.2">
      <c r="A40" s="4" t="s">
        <v>208</v>
      </c>
      <c r="B40" s="5">
        <v>13200</v>
      </c>
    </row>
    <row r="41" spans="1:2" x14ac:dyDescent="0.2">
      <c r="A41" s="4" t="s">
        <v>209</v>
      </c>
      <c r="B41" s="5">
        <v>17600</v>
      </c>
    </row>
    <row r="42" spans="1:2" x14ac:dyDescent="0.2">
      <c r="A42" s="4" t="s">
        <v>210</v>
      </c>
      <c r="B42" s="5"/>
    </row>
    <row r="43" spans="1:2" x14ac:dyDescent="0.2">
      <c r="A43" s="4" t="s">
        <v>211</v>
      </c>
      <c r="B43" s="5">
        <v>46138.13</v>
      </c>
    </row>
    <row r="44" spans="1:2" x14ac:dyDescent="0.2">
      <c r="A44" s="4" t="s">
        <v>212</v>
      </c>
      <c r="B44" s="5">
        <v>27682.87</v>
      </c>
    </row>
    <row r="45" spans="1:2" x14ac:dyDescent="0.2">
      <c r="A45" s="4" t="s">
        <v>213</v>
      </c>
      <c r="B45" s="5"/>
    </row>
    <row r="46" spans="1:2" x14ac:dyDescent="0.2">
      <c r="A46" s="4" t="s">
        <v>214</v>
      </c>
      <c r="B46" s="5">
        <v>10560</v>
      </c>
    </row>
    <row r="47" spans="1:2" x14ac:dyDescent="0.2">
      <c r="A47" s="4" t="s">
        <v>215</v>
      </c>
      <c r="B47" s="5"/>
    </row>
    <row r="48" spans="1:2" x14ac:dyDescent="0.2">
      <c r="A48" s="4" t="s">
        <v>216</v>
      </c>
      <c r="B48" s="5">
        <v>300.95999999999998</v>
      </c>
    </row>
    <row r="49" spans="1:2" x14ac:dyDescent="0.2">
      <c r="A49" s="4" t="s">
        <v>217</v>
      </c>
      <c r="B49" s="5">
        <v>300.95999999999998</v>
      </c>
    </row>
    <row r="50" spans="1:2" x14ac:dyDescent="0.2">
      <c r="A50" s="4" t="s">
        <v>218</v>
      </c>
      <c r="B50" s="5"/>
    </row>
    <row r="51" spans="1:2" x14ac:dyDescent="0.2">
      <c r="A51" s="4" t="s">
        <v>219</v>
      </c>
      <c r="B51" s="5">
        <v>2200</v>
      </c>
    </row>
    <row r="52" spans="1:2" x14ac:dyDescent="0.2">
      <c r="A52" s="4" t="s">
        <v>220</v>
      </c>
      <c r="B52" s="5"/>
    </row>
    <row r="53" spans="1:2" x14ac:dyDescent="0.2">
      <c r="A53" s="4" t="s">
        <v>221</v>
      </c>
      <c r="B53" s="5">
        <v>2640</v>
      </c>
    </row>
    <row r="54" spans="1:2" x14ac:dyDescent="0.2">
      <c r="A54" s="4" t="s">
        <v>222</v>
      </c>
      <c r="B54" s="5"/>
    </row>
    <row r="55" spans="1:2" x14ac:dyDescent="0.2">
      <c r="A55" s="4" t="s">
        <v>223</v>
      </c>
      <c r="B55" s="5">
        <v>10032</v>
      </c>
    </row>
    <row r="56" spans="1:2" x14ac:dyDescent="0.2">
      <c r="A56" s="4" t="s">
        <v>224</v>
      </c>
      <c r="B56" s="5">
        <v>13376</v>
      </c>
    </row>
    <row r="57" spans="1:2" x14ac:dyDescent="0.2">
      <c r="A57" s="4" t="s">
        <v>225</v>
      </c>
      <c r="B57" s="5"/>
    </row>
    <row r="58" spans="1:2" x14ac:dyDescent="0.2">
      <c r="A58" s="4" t="s">
        <v>226</v>
      </c>
      <c r="B58" s="5">
        <v>1320</v>
      </c>
    </row>
    <row r="59" spans="1:2" x14ac:dyDescent="0.2">
      <c r="A59" s="4" t="s">
        <v>227</v>
      </c>
      <c r="B59" s="5"/>
    </row>
    <row r="60" spans="1:2" x14ac:dyDescent="0.2">
      <c r="A60" s="4" t="s">
        <v>228</v>
      </c>
      <c r="B60" s="5">
        <v>880</v>
      </c>
    </row>
    <row r="61" spans="1:2" x14ac:dyDescent="0.2">
      <c r="A61" s="4" t="s">
        <v>229</v>
      </c>
      <c r="B61" s="5">
        <v>880</v>
      </c>
    </row>
    <row r="62" spans="1:2" x14ac:dyDescent="0.2">
      <c r="A62" s="4" t="s">
        <v>230</v>
      </c>
      <c r="B62" s="5">
        <v>880</v>
      </c>
    </row>
    <row r="63" spans="1:2" x14ac:dyDescent="0.2">
      <c r="A63" s="4" t="s">
        <v>231</v>
      </c>
      <c r="B63" s="5"/>
    </row>
    <row r="64" spans="1:2" x14ac:dyDescent="0.2">
      <c r="A64" s="4" t="s">
        <v>232</v>
      </c>
      <c r="B64" s="5">
        <v>528</v>
      </c>
    </row>
    <row r="65" spans="1:2" x14ac:dyDescent="0.2">
      <c r="A65" s="4" t="s">
        <v>233</v>
      </c>
      <c r="B65" s="5"/>
    </row>
    <row r="66" spans="1:2" x14ac:dyDescent="0.2">
      <c r="A66" s="4" t="s">
        <v>234</v>
      </c>
      <c r="B66" s="5">
        <v>2640</v>
      </c>
    </row>
    <row r="67" spans="1:2" x14ac:dyDescent="0.2">
      <c r="A67" s="4" t="s">
        <v>235</v>
      </c>
      <c r="B67" s="5">
        <v>2640</v>
      </c>
    </row>
    <row r="68" spans="1:2" x14ac:dyDescent="0.2">
      <c r="A68" s="4" t="s">
        <v>236</v>
      </c>
      <c r="B68" s="5"/>
    </row>
    <row r="69" spans="1:2" x14ac:dyDescent="0.2">
      <c r="A69" s="4" t="s">
        <v>237</v>
      </c>
      <c r="B69" s="5">
        <v>264</v>
      </c>
    </row>
    <row r="70" spans="1:2" x14ac:dyDescent="0.2">
      <c r="A70" s="4" t="s">
        <v>238</v>
      </c>
      <c r="B70" s="5"/>
    </row>
    <row r="71" spans="1:2" x14ac:dyDescent="0.2">
      <c r="A71" s="4" t="s">
        <v>239</v>
      </c>
      <c r="B71" s="5">
        <v>528</v>
      </c>
    </row>
    <row r="72" spans="1:2" x14ac:dyDescent="0.2">
      <c r="A72" s="4" t="s">
        <v>240</v>
      </c>
      <c r="B72" s="5"/>
    </row>
    <row r="73" spans="1:2" x14ac:dyDescent="0.2">
      <c r="A73" s="4" t="s">
        <v>241</v>
      </c>
      <c r="B73" s="5">
        <v>440</v>
      </c>
    </row>
    <row r="74" spans="1:2" x14ac:dyDescent="0.2">
      <c r="A74" s="4" t="s">
        <v>242</v>
      </c>
      <c r="B74" s="5"/>
    </row>
    <row r="75" spans="1:2" x14ac:dyDescent="0.2">
      <c r="A75" s="4" t="s">
        <v>243</v>
      </c>
      <c r="B75" s="5">
        <v>484</v>
      </c>
    </row>
    <row r="76" spans="1:2" x14ac:dyDescent="0.2">
      <c r="A76" s="4" t="s">
        <v>244</v>
      </c>
      <c r="B76" s="5"/>
    </row>
    <row r="77" spans="1:2" x14ac:dyDescent="0.2">
      <c r="A77" s="4" t="s">
        <v>245</v>
      </c>
      <c r="B77" s="5">
        <v>7040</v>
      </c>
    </row>
    <row r="78" spans="1:2" x14ac:dyDescent="0.2">
      <c r="A78" s="4" t="s">
        <v>246</v>
      </c>
      <c r="B78" s="5"/>
    </row>
    <row r="79" spans="1:2" x14ac:dyDescent="0.2">
      <c r="A79" s="4" t="s">
        <v>247</v>
      </c>
      <c r="B79" s="5">
        <v>3520</v>
      </c>
    </row>
    <row r="80" spans="1:2" x14ac:dyDescent="0.2">
      <c r="A80" s="4" t="s">
        <v>248</v>
      </c>
      <c r="B80" s="5">
        <v>2640</v>
      </c>
    </row>
    <row r="81" spans="1:2" x14ac:dyDescent="0.2">
      <c r="A81" s="4" t="s">
        <v>249</v>
      </c>
      <c r="B81" s="5">
        <v>2640</v>
      </c>
    </row>
    <row r="82" spans="1:2" x14ac:dyDescent="0.2">
      <c r="A82" s="4" t="s">
        <v>250</v>
      </c>
      <c r="B82" s="5"/>
    </row>
    <row r="83" spans="1:2" x14ac:dyDescent="0.2">
      <c r="A83" s="4" t="s">
        <v>251</v>
      </c>
      <c r="B83" s="5">
        <v>15400</v>
      </c>
    </row>
    <row r="84" spans="1:2" x14ac:dyDescent="0.2">
      <c r="A84" s="4" t="s">
        <v>151</v>
      </c>
      <c r="B84" s="5"/>
    </row>
    <row r="85" spans="1:2" x14ac:dyDescent="0.2">
      <c r="A85" s="4" t="s">
        <v>252</v>
      </c>
      <c r="B85" s="5">
        <v>488.2</v>
      </c>
    </row>
    <row r="86" spans="1:2" x14ac:dyDescent="0.2">
      <c r="A86" s="4" t="s">
        <v>253</v>
      </c>
      <c r="B86" s="5"/>
    </row>
    <row r="87" spans="1:2" x14ac:dyDescent="0.2">
      <c r="A87" s="4" t="s">
        <v>254</v>
      </c>
      <c r="B87" s="5">
        <v>4425.03</v>
      </c>
    </row>
    <row r="88" spans="1:2" x14ac:dyDescent="0.2">
      <c r="A88" s="4" t="s">
        <v>9</v>
      </c>
      <c r="B88" s="5"/>
    </row>
    <row r="89" spans="1:2" x14ac:dyDescent="0.2">
      <c r="A89" s="4" t="s">
        <v>252</v>
      </c>
      <c r="B89" s="5">
        <v>415.28</v>
      </c>
    </row>
    <row r="90" spans="1:2" x14ac:dyDescent="0.2">
      <c r="A90" s="4" t="s">
        <v>157</v>
      </c>
      <c r="B90" s="5"/>
    </row>
    <row r="91" spans="1:2" x14ac:dyDescent="0.2">
      <c r="A91" s="4" t="s">
        <v>255</v>
      </c>
      <c r="B91" s="5">
        <v>84834.94</v>
      </c>
    </row>
    <row r="92" spans="1:2" x14ac:dyDescent="0.2">
      <c r="A92" s="4" t="s">
        <v>159</v>
      </c>
      <c r="B92" s="5"/>
    </row>
    <row r="93" spans="1:2" x14ac:dyDescent="0.2">
      <c r="A93" s="4" t="s">
        <v>256</v>
      </c>
      <c r="B93" s="5">
        <v>17500</v>
      </c>
    </row>
    <row r="94" spans="1:2" x14ac:dyDescent="0.2">
      <c r="A94" s="4" t="s">
        <v>161</v>
      </c>
      <c r="B94" s="5"/>
    </row>
    <row r="95" spans="1:2" x14ac:dyDescent="0.2">
      <c r="A95" s="4" t="s">
        <v>257</v>
      </c>
      <c r="B95" s="5">
        <v>4000</v>
      </c>
    </row>
    <row r="96" spans="1:2" x14ac:dyDescent="0.2">
      <c r="A96" s="4" t="s">
        <v>258</v>
      </c>
      <c r="B96" s="5"/>
    </row>
    <row r="97" spans="1:2" x14ac:dyDescent="0.2">
      <c r="A97" s="4" t="s">
        <v>259</v>
      </c>
      <c r="B97" s="5">
        <v>83500</v>
      </c>
    </row>
    <row r="98" spans="1:2" x14ac:dyDescent="0.2">
      <c r="A98" s="4" t="s">
        <v>260</v>
      </c>
      <c r="B98" s="5"/>
    </row>
    <row r="99" spans="1:2" x14ac:dyDescent="0.2">
      <c r="A99" s="4" t="s">
        <v>261</v>
      </c>
      <c r="B99" s="5">
        <v>9100</v>
      </c>
    </row>
    <row r="100" spans="1:2" x14ac:dyDescent="0.2">
      <c r="A100" s="4" t="s">
        <v>262</v>
      </c>
      <c r="B100" s="5"/>
    </row>
    <row r="101" spans="1:2" x14ac:dyDescent="0.2">
      <c r="A101" s="4" t="s">
        <v>263</v>
      </c>
      <c r="B101" s="5">
        <v>12000</v>
      </c>
    </row>
    <row r="102" spans="1:2" x14ac:dyDescent="0.2">
      <c r="A102" s="4" t="s">
        <v>264</v>
      </c>
      <c r="B102" s="5"/>
    </row>
    <row r="103" spans="1:2" x14ac:dyDescent="0.2">
      <c r="A103" s="4" t="s">
        <v>265</v>
      </c>
      <c r="B103" s="5">
        <v>8000</v>
      </c>
    </row>
    <row r="104" spans="1:2" x14ac:dyDescent="0.2">
      <c r="A104" s="4" t="s">
        <v>266</v>
      </c>
      <c r="B104" s="5"/>
    </row>
    <row r="105" spans="1:2" x14ac:dyDescent="0.2">
      <c r="A105" s="4" t="s">
        <v>252</v>
      </c>
      <c r="B105" s="5">
        <v>42.48</v>
      </c>
    </row>
    <row r="106" spans="1:2" x14ac:dyDescent="0.2">
      <c r="A106" s="6" t="s">
        <v>2</v>
      </c>
      <c r="B106" s="7">
        <f>SUM(B3:B105)</f>
        <v>586426.38000000012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68DF-C686-46D0-944A-5C95403E9CA4}">
  <dimension ref="A1:D52"/>
  <sheetViews>
    <sheetView topLeftCell="A9" zoomScale="85" zoomScaleNormal="85" workbookViewId="0">
      <selection activeCell="E52" sqref="E52"/>
    </sheetView>
  </sheetViews>
  <sheetFormatPr baseColWidth="10" defaultColWidth="106.88671875" defaultRowHeight="14.4" x14ac:dyDescent="0.3"/>
  <cols>
    <col min="1" max="1" width="10.88671875" bestFit="1" customWidth="1"/>
    <col min="2" max="2" width="22.33203125" bestFit="1" customWidth="1"/>
    <col min="3" max="3" width="132.109375" customWidth="1"/>
    <col min="4" max="4" width="15.88671875" bestFit="1" customWidth="1"/>
  </cols>
  <sheetData>
    <row r="1" spans="1:4" ht="15" thickBot="1" x14ac:dyDescent="0.35">
      <c r="A1" s="29" t="s">
        <v>379</v>
      </c>
      <c r="B1" s="30" t="s">
        <v>380</v>
      </c>
      <c r="C1" s="30" t="s">
        <v>381</v>
      </c>
      <c r="D1" s="31" t="s">
        <v>1</v>
      </c>
    </row>
    <row r="2" spans="1:4" ht="15" thickTop="1" x14ac:dyDescent="0.3">
      <c r="A2" s="32" t="s">
        <v>382</v>
      </c>
      <c r="B2" s="33" t="s">
        <v>124</v>
      </c>
      <c r="C2" s="33" t="s">
        <v>383</v>
      </c>
      <c r="D2" s="34">
        <v>17600</v>
      </c>
    </row>
    <row r="3" spans="1:4" x14ac:dyDescent="0.3">
      <c r="A3" s="35" t="s">
        <v>382</v>
      </c>
      <c r="B3" s="36" t="s">
        <v>197</v>
      </c>
      <c r="C3" s="36" t="s">
        <v>384</v>
      </c>
      <c r="D3" s="37">
        <v>11000</v>
      </c>
    </row>
    <row r="4" spans="1:4" x14ac:dyDescent="0.3">
      <c r="A4" s="32" t="s">
        <v>382</v>
      </c>
      <c r="B4" s="33" t="s">
        <v>197</v>
      </c>
      <c r="C4" s="33" t="s">
        <v>385</v>
      </c>
      <c r="D4" s="34">
        <v>11000</v>
      </c>
    </row>
    <row r="5" spans="1:4" x14ac:dyDescent="0.3">
      <c r="A5" s="35" t="s">
        <v>382</v>
      </c>
      <c r="B5" s="36" t="s">
        <v>197</v>
      </c>
      <c r="C5" s="36" t="s">
        <v>386</v>
      </c>
      <c r="D5" s="37">
        <v>11000</v>
      </c>
    </row>
    <row r="6" spans="1:4" x14ac:dyDescent="0.3">
      <c r="A6" s="32" t="s">
        <v>382</v>
      </c>
      <c r="B6" s="33" t="s">
        <v>197</v>
      </c>
      <c r="C6" s="33" t="s">
        <v>387</v>
      </c>
      <c r="D6" s="34">
        <v>11000</v>
      </c>
    </row>
    <row r="7" spans="1:4" x14ac:dyDescent="0.3">
      <c r="A7" s="35" t="s">
        <v>382</v>
      </c>
      <c r="B7" s="36" t="s">
        <v>197</v>
      </c>
      <c r="C7" s="36" t="s">
        <v>388</v>
      </c>
      <c r="D7" s="37">
        <v>11000</v>
      </c>
    </row>
    <row r="8" spans="1:4" x14ac:dyDescent="0.3">
      <c r="A8" s="32" t="s">
        <v>382</v>
      </c>
      <c r="B8" s="33" t="s">
        <v>207</v>
      </c>
      <c r="C8" s="33" t="s">
        <v>389</v>
      </c>
      <c r="D8" s="34">
        <v>13200</v>
      </c>
    </row>
    <row r="9" spans="1:4" x14ac:dyDescent="0.3">
      <c r="A9" s="35" t="s">
        <v>382</v>
      </c>
      <c r="B9" s="36" t="s">
        <v>207</v>
      </c>
      <c r="C9" s="36" t="s">
        <v>390</v>
      </c>
      <c r="D9" s="37">
        <v>13200</v>
      </c>
    </row>
    <row r="10" spans="1:4" x14ac:dyDescent="0.3">
      <c r="A10" s="32" t="s">
        <v>382</v>
      </c>
      <c r="B10" s="33" t="s">
        <v>210</v>
      </c>
      <c r="C10" s="33" t="s">
        <v>391</v>
      </c>
      <c r="D10" s="34">
        <v>20300</v>
      </c>
    </row>
    <row r="11" spans="1:4" x14ac:dyDescent="0.3">
      <c r="A11" s="35" t="s">
        <v>382</v>
      </c>
      <c r="B11" s="36" t="s">
        <v>218</v>
      </c>
      <c r="C11" s="36" t="s">
        <v>392</v>
      </c>
      <c r="D11" s="37">
        <v>2200</v>
      </c>
    </row>
    <row r="12" spans="1:4" x14ac:dyDescent="0.3">
      <c r="A12" s="32" t="s">
        <v>382</v>
      </c>
      <c r="B12" s="33" t="s">
        <v>222</v>
      </c>
      <c r="C12" s="33" t="s">
        <v>393</v>
      </c>
      <c r="D12" s="34">
        <v>10032</v>
      </c>
    </row>
    <row r="13" spans="1:4" x14ac:dyDescent="0.3">
      <c r="A13" s="35" t="s">
        <v>382</v>
      </c>
      <c r="B13" s="36" t="s">
        <v>394</v>
      </c>
      <c r="C13" s="36" t="s">
        <v>395</v>
      </c>
      <c r="D13" s="37">
        <v>264</v>
      </c>
    </row>
    <row r="14" spans="1:4" x14ac:dyDescent="0.3">
      <c r="A14" s="32" t="s">
        <v>382</v>
      </c>
      <c r="B14" s="33" t="s">
        <v>394</v>
      </c>
      <c r="C14" s="33" t="s">
        <v>396</v>
      </c>
      <c r="D14" s="34">
        <v>264</v>
      </c>
    </row>
    <row r="15" spans="1:4" x14ac:dyDescent="0.3">
      <c r="A15" s="35" t="s">
        <v>382</v>
      </c>
      <c r="B15" s="36" t="s">
        <v>397</v>
      </c>
      <c r="C15" s="36" t="s">
        <v>398</v>
      </c>
      <c r="D15" s="37">
        <v>14696</v>
      </c>
    </row>
    <row r="16" spans="1:4" x14ac:dyDescent="0.3">
      <c r="A16" s="32" t="s">
        <v>382</v>
      </c>
      <c r="B16" s="33" t="s">
        <v>397</v>
      </c>
      <c r="C16" s="33" t="s">
        <v>399</v>
      </c>
      <c r="D16" s="34">
        <v>14696</v>
      </c>
    </row>
    <row r="17" spans="1:4" x14ac:dyDescent="0.3">
      <c r="A17" s="35" t="s">
        <v>382</v>
      </c>
      <c r="B17" s="36" t="s">
        <v>250</v>
      </c>
      <c r="C17" s="36" t="s">
        <v>400</v>
      </c>
      <c r="D17" s="37">
        <v>7700</v>
      </c>
    </row>
    <row r="18" spans="1:4" x14ac:dyDescent="0.3">
      <c r="A18" s="32" t="s">
        <v>382</v>
      </c>
      <c r="B18" s="33" t="s">
        <v>250</v>
      </c>
      <c r="C18" s="33" t="s">
        <v>401</v>
      </c>
      <c r="D18" s="34">
        <v>7700</v>
      </c>
    </row>
    <row r="19" spans="1:4" x14ac:dyDescent="0.3">
      <c r="A19" s="35" t="s">
        <v>382</v>
      </c>
      <c r="B19" s="36" t="s">
        <v>402</v>
      </c>
      <c r="C19" s="36" t="s">
        <v>403</v>
      </c>
      <c r="D19" s="37">
        <v>1606.53</v>
      </c>
    </row>
    <row r="20" spans="1:4" x14ac:dyDescent="0.3">
      <c r="A20" s="32" t="s">
        <v>382</v>
      </c>
      <c r="B20" s="33" t="s">
        <v>402</v>
      </c>
      <c r="C20" s="33" t="s">
        <v>404</v>
      </c>
      <c r="D20" s="34">
        <v>5953.2</v>
      </c>
    </row>
    <row r="21" spans="1:4" x14ac:dyDescent="0.3">
      <c r="A21" s="35" t="s">
        <v>382</v>
      </c>
      <c r="B21" s="36" t="s">
        <v>402</v>
      </c>
      <c r="C21" s="36" t="s">
        <v>405</v>
      </c>
      <c r="D21" s="37">
        <v>15294.4</v>
      </c>
    </row>
    <row r="22" spans="1:4" x14ac:dyDescent="0.3">
      <c r="A22" s="32" t="s">
        <v>382</v>
      </c>
      <c r="B22" s="33" t="s">
        <v>406</v>
      </c>
      <c r="C22" s="33" t="s">
        <v>407</v>
      </c>
      <c r="D22" s="34">
        <v>176</v>
      </c>
    </row>
    <row r="23" spans="1:4" x14ac:dyDescent="0.3">
      <c r="A23" s="35" t="s">
        <v>382</v>
      </c>
      <c r="B23" s="36" t="s">
        <v>408</v>
      </c>
      <c r="C23" s="36" t="s">
        <v>409</v>
      </c>
      <c r="D23" s="37">
        <v>4400</v>
      </c>
    </row>
    <row r="24" spans="1:4" x14ac:dyDescent="0.3">
      <c r="A24" s="32" t="s">
        <v>382</v>
      </c>
      <c r="B24" s="33" t="s">
        <v>410</v>
      </c>
      <c r="C24" s="33" t="s">
        <v>411</v>
      </c>
      <c r="D24" s="34">
        <v>440</v>
      </c>
    </row>
    <row r="25" spans="1:4" x14ac:dyDescent="0.3">
      <c r="A25" s="35" t="s">
        <v>382</v>
      </c>
      <c r="B25" s="36" t="s">
        <v>412</v>
      </c>
      <c r="C25" s="36" t="s">
        <v>413</v>
      </c>
      <c r="D25" s="37">
        <v>704</v>
      </c>
    </row>
    <row r="26" spans="1:4" x14ac:dyDescent="0.3">
      <c r="A26" s="32" t="s">
        <v>382</v>
      </c>
      <c r="B26" s="33" t="s">
        <v>412</v>
      </c>
      <c r="C26" s="33" t="s">
        <v>414</v>
      </c>
      <c r="D26" s="34">
        <v>880</v>
      </c>
    </row>
    <row r="27" spans="1:4" x14ac:dyDescent="0.3">
      <c r="A27" s="35" t="s">
        <v>382</v>
      </c>
      <c r="B27" s="36" t="s">
        <v>415</v>
      </c>
      <c r="C27" s="36" t="s">
        <v>416</v>
      </c>
      <c r="D27" s="37">
        <v>264</v>
      </c>
    </row>
    <row r="28" spans="1:4" x14ac:dyDescent="0.3">
      <c r="A28" s="32" t="s">
        <v>382</v>
      </c>
      <c r="B28" s="33" t="s">
        <v>415</v>
      </c>
      <c r="C28" s="33" t="s">
        <v>417</v>
      </c>
      <c r="D28" s="34">
        <v>264</v>
      </c>
    </row>
    <row r="29" spans="1:4" x14ac:dyDescent="0.3">
      <c r="A29" s="35" t="s">
        <v>382</v>
      </c>
      <c r="B29" s="36" t="s">
        <v>418</v>
      </c>
      <c r="C29" s="36" t="s">
        <v>419</v>
      </c>
      <c r="D29" s="37">
        <v>44</v>
      </c>
    </row>
    <row r="30" spans="1:4" x14ac:dyDescent="0.3">
      <c r="A30" s="32" t="s">
        <v>382</v>
      </c>
      <c r="B30" s="33" t="s">
        <v>420</v>
      </c>
      <c r="C30" s="33" t="s">
        <v>421</v>
      </c>
      <c r="D30" s="34">
        <v>2640</v>
      </c>
    </row>
    <row r="31" spans="1:4" x14ac:dyDescent="0.3">
      <c r="A31" s="35" t="s">
        <v>382</v>
      </c>
      <c r="B31" s="36" t="s">
        <v>422</v>
      </c>
      <c r="C31" s="36" t="s">
        <v>423</v>
      </c>
      <c r="D31" s="37">
        <v>396</v>
      </c>
    </row>
    <row r="32" spans="1:4" x14ac:dyDescent="0.3">
      <c r="A32" s="32" t="s">
        <v>382</v>
      </c>
      <c r="B32" s="33" t="s">
        <v>424</v>
      </c>
      <c r="C32" s="33" t="s">
        <v>425</v>
      </c>
      <c r="D32" s="34">
        <v>176</v>
      </c>
    </row>
    <row r="33" spans="1:4" x14ac:dyDescent="0.3">
      <c r="A33" s="35" t="s">
        <v>382</v>
      </c>
      <c r="B33" s="36" t="s">
        <v>426</v>
      </c>
      <c r="C33" s="36" t="s">
        <v>427</v>
      </c>
      <c r="D33" s="37">
        <v>3740</v>
      </c>
    </row>
    <row r="34" spans="1:4" x14ac:dyDescent="0.3">
      <c r="A34" s="32" t="s">
        <v>382</v>
      </c>
      <c r="B34" s="33" t="s">
        <v>426</v>
      </c>
      <c r="C34" s="33" t="s">
        <v>428</v>
      </c>
      <c r="D34" s="34">
        <v>3740</v>
      </c>
    </row>
    <row r="35" spans="1:4" x14ac:dyDescent="0.3">
      <c r="A35" s="35" t="s">
        <v>382</v>
      </c>
      <c r="B35" s="36" t="s">
        <v>429</v>
      </c>
      <c r="C35" s="36" t="s">
        <v>430</v>
      </c>
      <c r="D35" s="37">
        <v>396</v>
      </c>
    </row>
    <row r="36" spans="1:4" x14ac:dyDescent="0.3">
      <c r="A36" s="32" t="s">
        <v>382</v>
      </c>
      <c r="B36" s="33" t="s">
        <v>431</v>
      </c>
      <c r="C36" s="33" t="s">
        <v>432</v>
      </c>
      <c r="D36" s="34">
        <v>132</v>
      </c>
    </row>
    <row r="37" spans="1:4" x14ac:dyDescent="0.3">
      <c r="A37" s="35" t="s">
        <v>382</v>
      </c>
      <c r="B37" s="36" t="s">
        <v>433</v>
      </c>
      <c r="C37" s="36" t="s">
        <v>434</v>
      </c>
      <c r="D37" s="37">
        <v>440</v>
      </c>
    </row>
    <row r="38" spans="1:4" x14ac:dyDescent="0.3">
      <c r="A38" s="32" t="s">
        <v>382</v>
      </c>
      <c r="B38" s="33" t="s">
        <v>435</v>
      </c>
      <c r="C38" s="33" t="s">
        <v>436</v>
      </c>
      <c r="D38" s="34">
        <v>2640</v>
      </c>
    </row>
    <row r="39" spans="1:4" x14ac:dyDescent="0.3">
      <c r="A39" s="35" t="s">
        <v>382</v>
      </c>
      <c r="B39" s="36" t="s">
        <v>437</v>
      </c>
      <c r="C39" s="36" t="s">
        <v>438</v>
      </c>
      <c r="D39" s="37">
        <v>580.79999999999995</v>
      </c>
    </row>
    <row r="40" spans="1:4" x14ac:dyDescent="0.3">
      <c r="A40" s="32" t="s">
        <v>382</v>
      </c>
      <c r="B40" s="33" t="s">
        <v>439</v>
      </c>
      <c r="C40" s="33" t="s">
        <v>440</v>
      </c>
      <c r="D40" s="34">
        <v>480.48</v>
      </c>
    </row>
    <row r="41" spans="1:4" x14ac:dyDescent="0.3">
      <c r="A41" s="35" t="s">
        <v>382</v>
      </c>
      <c r="B41" s="36" t="s">
        <v>441</v>
      </c>
      <c r="C41" s="36" t="s">
        <v>442</v>
      </c>
      <c r="D41" s="37">
        <v>6142.4</v>
      </c>
    </row>
    <row r="42" spans="1:4" x14ac:dyDescent="0.3">
      <c r="A42" s="32" t="s">
        <v>382</v>
      </c>
      <c r="B42" s="33" t="s">
        <v>253</v>
      </c>
      <c r="C42" s="33" t="s">
        <v>443</v>
      </c>
      <c r="D42" s="34">
        <v>3835.56</v>
      </c>
    </row>
    <row r="43" spans="1:4" x14ac:dyDescent="0.3">
      <c r="A43" s="35" t="s">
        <v>382</v>
      </c>
      <c r="B43" s="36" t="s">
        <v>157</v>
      </c>
      <c r="C43" s="36" t="s">
        <v>444</v>
      </c>
      <c r="D43" s="37">
        <v>80167.94</v>
      </c>
    </row>
    <row r="44" spans="1:4" x14ac:dyDescent="0.3">
      <c r="A44" s="32" t="s">
        <v>382</v>
      </c>
      <c r="B44" s="33" t="s">
        <v>159</v>
      </c>
      <c r="C44" s="33" t="s">
        <v>445</v>
      </c>
      <c r="D44" s="34">
        <v>17500</v>
      </c>
    </row>
    <row r="45" spans="1:4" x14ac:dyDescent="0.3">
      <c r="A45" s="35" t="s">
        <v>382</v>
      </c>
      <c r="B45" s="36" t="s">
        <v>161</v>
      </c>
      <c r="C45" s="36" t="s">
        <v>446</v>
      </c>
      <c r="D45" s="37">
        <v>16800</v>
      </c>
    </row>
    <row r="46" spans="1:4" x14ac:dyDescent="0.3">
      <c r="A46" s="32" t="s">
        <v>382</v>
      </c>
      <c r="B46" s="33" t="s">
        <v>260</v>
      </c>
      <c r="C46" s="33" t="s">
        <v>447</v>
      </c>
      <c r="D46" s="34">
        <v>22400</v>
      </c>
    </row>
    <row r="47" spans="1:4" ht="15" thickBot="1" x14ac:dyDescent="0.35">
      <c r="A47" s="35" t="s">
        <v>382</v>
      </c>
      <c r="B47" s="36" t="s">
        <v>262</v>
      </c>
      <c r="C47" s="36" t="s">
        <v>448</v>
      </c>
      <c r="D47" s="37">
        <v>60000</v>
      </c>
    </row>
    <row r="48" spans="1:4" ht="15" thickTop="1" x14ac:dyDescent="0.3">
      <c r="A48" s="38" t="s">
        <v>2</v>
      </c>
      <c r="B48" s="39"/>
      <c r="C48" s="39"/>
      <c r="D48" s="40">
        <v>429085.31</v>
      </c>
    </row>
    <row r="52" spans="3:4" x14ac:dyDescent="0.3">
      <c r="C52" s="63" t="s">
        <v>470</v>
      </c>
      <c r="D52" s="64">
        <f>D48+'Ingresos investigación 2020'!B106+'Ingresos investigación 2019'!B95</f>
        <v>1405789.6600000001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2022-10-18T15:01:27Z</dcterms:modified>
</cp:coreProperties>
</file>