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A85640F3-9236-49F8-B2C8-364777DF4029}" xr6:coauthVersionLast="47" xr6:coauthVersionMax="47" xr10:uidLastSave="{00000000-0000-0000-0000-000000000000}"/>
  <bookViews>
    <workbookView xWindow="22932" yWindow="-108" windowWidth="23256" windowHeight="12456" tabRatio="761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8" r:id="rId4"/>
    <sheet name="Ingresos investigación 2021" sheetId="9" r:id="rId5"/>
    <sheet name="Ingresos formación 2019" sheetId="6" r:id="rId6"/>
    <sheet name="Ingresos formación 2020" sheetId="7" r:id="rId7"/>
  </sheets>
  <definedNames>
    <definedName name="_xlnm._FilterDatabase" localSheetId="1" hidden="1">Sexenios!$A$1:$S$1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4" i="2" l="1"/>
  <c r="B22" i="8" l="1"/>
  <c r="S24" i="3"/>
  <c r="B5" i="6" l="1"/>
  <c r="C8" i="7" s="1"/>
  <c r="B23" i="5"/>
  <c r="C1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21387280V</author>
  </authors>
  <commentList>
    <comment ref="B2" authorId="0" shapeId="0" xr:uid="{455819BE-7BF3-4378-8C25-984FB7D88068}">
      <text>
        <r>
          <rPr>
            <sz val="8"/>
            <color indexed="81"/>
            <rFont val="Tahoma"/>
            <family val="2"/>
          </rPr>
          <t xml:space="preserve">Último sexenio 2013
</t>
        </r>
      </text>
    </comment>
  </commentList>
</comments>
</file>

<file path=xl/sharedStrings.xml><?xml version="1.0" encoding="utf-8"?>
<sst xmlns="http://schemas.openxmlformats.org/spreadsheetml/2006/main" count="733" uniqueCount="233">
  <si>
    <t>Orgánica
Descripción justificante</t>
  </si>
  <si>
    <t>Importe</t>
  </si>
  <si>
    <t>Total</t>
  </si>
  <si>
    <t>33.00.6P.00.08</t>
  </si>
  <si>
    <t>33.00.6P.00.09</t>
  </si>
  <si>
    <t>33.00.6P.00.14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</si>
  <si>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</si>
  <si>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</si>
  <si>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</si>
  <si>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</si>
  <si>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</si>
  <si>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</si>
  <si>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</si>
  <si>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</si>
  <si>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</si>
  <si>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</si>
  <si>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</si>
  <si>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</si>
  <si>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</si>
  <si>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</si>
  <si>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</si>
  <si>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</si>
  <si>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</si>
  <si>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</si>
  <si>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</si>
  <si>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</si>
  <si>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</si>
  <si>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</si>
  <si>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</si>
  <si>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</si>
  <si>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</si>
  <si>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100</t>
  </si>
  <si>
    <t>- </t>
  </si>
  <si>
    <t>03/07/2017 </t>
  </si>
  <si>
    <t>B138 </t>
  </si>
  <si>
    <t>ANALISIS ECONOMICO APLICADO </t>
  </si>
  <si>
    <t>21/07/2017 </t>
  </si>
  <si>
    <t>24/07/2017 </t>
  </si>
  <si>
    <t>10/07/2018 </t>
  </si>
  <si>
    <t>18/07/2019 </t>
  </si>
  <si>
    <t>10.22</t>
  </si>
  <si>
    <t>B119 </t>
  </si>
  <si>
    <t>FUNDAMENTOS DEL ANÁLISIS ECONÓMICO </t>
  </si>
  <si>
    <t>DOCTORADO EN ECONOMÍA CUANTITATIVA </t>
  </si>
  <si>
    <t>29091879F </t>
  </si>
  <si>
    <t>B119</t>
  </si>
  <si>
    <t>DOCTORADO EN ECONOMÍA </t>
  </si>
  <si>
    <t>X2815985A </t>
  </si>
  <si>
    <t>48763934R </t>
  </si>
  <si>
    <t>48763935W </t>
  </si>
  <si>
    <t>27434153Y </t>
  </si>
  <si>
    <t>Czinkan , Norbert </t>
  </si>
  <si>
    <t>THREE ESSAYS ON APPLIED MICROECONOMICS </t>
  </si>
  <si>
    <t>25/07/2017 </t>
  </si>
  <si>
    <t>X6099967E </t>
  </si>
  <si>
    <t>García León, David Manuel </t>
  </si>
  <si>
    <t>THREE ESSAYS IN CLIMATE CHANGE ECONOMICS </t>
  </si>
  <si>
    <t>Pacce , Matías José </t>
  </si>
  <si>
    <t>ESSAYS ON BUSINESS CYCLES FLUCTUATIONS AND FORECASTING METHODS </t>
  </si>
  <si>
    <t>Valero Fernández, Rafael </t>
  </si>
  <si>
    <t>NUEVAS TÉCNICAS MATEMÁTICAS PARA RESOLUCIÓN DE MODELOS DE IMPOSICIÓN </t>
  </si>
  <si>
    <t>Telek , Ádám </t>
  </si>
  <si>
    <t>THREE ESSAYS ON POLITICAL ECONOMY </t>
  </si>
  <si>
    <t>20813681S </t>
  </si>
  <si>
    <t>Zhukova , Vita </t>
  </si>
  <si>
    <t>"ESSAYS ON ENTREPRENEURSHIP. EVIDENCE FROM THE LAB" </t>
  </si>
  <si>
    <t>18/12/2017 </t>
  </si>
  <si>
    <t>Cottica , Alberto </t>
  </si>
  <si>
    <t>THE MANAGEMENT OF ONLINE COMMUNITIES: A SOCIAL NETWORK PERSPECTIVE </t>
  </si>
  <si>
    <t>29/10/2018 </t>
  </si>
  <si>
    <t>Rivera Garrido, Noelia </t>
  </si>
  <si>
    <t>THREE ESSAYS IN THE ECONOMICS OF EDUCATION AND LABOR ECONOMICS </t>
  </si>
  <si>
    <t>52975861F </t>
  </si>
  <si>
    <t>72390115F </t>
  </si>
  <si>
    <t>Yu ., Haihan </t>
  </si>
  <si>
    <t>THREE ESSAYS ON INFORMATION TRANSMISSION IN SEQUENTIAL GAMES </t>
  </si>
  <si>
    <t>27/02/2019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</si>
  <si>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</si>
  <si>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</si>
  <si>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</si>
  <si>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</si>
  <si>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</si>
  <si>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</si>
  <si>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</si>
  <si>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</si>
  <si>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</si>
  <si>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</si>
  <si>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</si>
  <si>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</si>
  <si>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</si>
  <si>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</si>
  <si>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21982469N</t>
  </si>
  <si>
    <t>AGULLO CANDELA, JOSE</t>
  </si>
  <si>
    <t>52975861F</t>
  </si>
  <si>
    <t>ALBARRAN PEREZ, PEDRO</t>
  </si>
  <si>
    <t>21463437K</t>
  </si>
  <si>
    <t>ALCALDE PEREZ, JOSE</t>
  </si>
  <si>
    <t>34979778K</t>
  </si>
  <si>
    <t>CARNERO FERNANDEZ, MARIA ANGELES</t>
  </si>
  <si>
    <t>27434153Y</t>
  </si>
  <si>
    <t>COLLADO VINDEL, MARIA DOLORES</t>
  </si>
  <si>
    <t>37744110Y</t>
  </si>
  <si>
    <t>FAULI OLLER, RAMON</t>
  </si>
  <si>
    <t>74182605S</t>
  </si>
  <si>
    <t>GUILLO FUENTES, MARIA DOLORES</t>
  </si>
  <si>
    <t>72390115F</t>
  </si>
  <si>
    <t>ITURBE-ORMAECHE CORTAJARENA, IÑIGO</t>
  </si>
  <si>
    <t>21654944F</t>
  </si>
  <si>
    <t>LEON VALLE, ANGEL MANUEL</t>
  </si>
  <si>
    <t>05165620G</t>
  </si>
  <si>
    <t>MORA LOPEZ, JUAN</t>
  </si>
  <si>
    <t>29091879F</t>
  </si>
  <si>
    <t>PEREZ SEBASTIAN, FIDEL</t>
  </si>
  <si>
    <t>73908310H</t>
  </si>
  <si>
    <t>PERIS FERRANDO, JOSEP ENRIC</t>
  </si>
  <si>
    <t>X2815985A</t>
  </si>
  <si>
    <t>30586414W</t>
  </si>
  <si>
    <t>SANDONIS DIEZ, JOEL</t>
  </si>
  <si>
    <t>24368913E</t>
  </si>
  <si>
    <t>21985548D</t>
  </si>
  <si>
    <t>SUBIZA MARTINEZ, MARIA BEGOÑA</t>
  </si>
  <si>
    <t>33.00.6M.00.01</t>
  </si>
  <si>
    <t>Proyecto de investigación "¿Puede la educación financiera reducir el comportamiento irracional en los mercados financieros?" Primer cobro equivalente al 60% del importe total del proyecto Exento de IVA de acuerdo al art. 25.1 de la Ley 49/2002</t>
  </si>
  <si>
    <t>33.00.6M.00.02</t>
  </si>
  <si>
    <t>Proyecto de Investigación "El impacto del tiempo de clase dedicado a distintas materias en la escuela sobre las competencias financieras de los jóvenes" Primer cobro equivalente al 60% del importe total del proyecto Exento de IVA de acuerdo al art. 25.1 de la Ley 49/2002</t>
  </si>
  <si>
    <t>33.00.6P.00.03</t>
  </si>
  <si>
    <t>REINTEGRO CUOTA PATRONAL CORRESPONDIENTE AL MES DE DICIEMBRE DE 2019</t>
  </si>
  <si>
    <t>REINTEGRO CUOTA PATRONAL CORRESPONDIENTE AL MES DE OCTUBRE DE 2019.</t>
  </si>
  <si>
    <t>33.00.6P.00.04</t>
  </si>
  <si>
    <t>LIBERADOS EL 23/04/2019, ANUALIDAD 2019 PROYECTOS I+D (PIA1) N EXPEDIENTE: PIA12015-1 -4 ANUALIDAD REFERENCIA: ECO2015-65820-P. REF. DEL ORDENANTE PARA EL BENEFICIARIO: 27402219310017410.</t>
  </si>
  <si>
    <t>LIBERADOS EL 23/04/2019, ANUALIDAD 2019 PROYECTOS I+D (PIA1) N EXPEDIENTE: PIA12015-1 -4 ANUALIDAD REFERENCIA: ECO2015-70540-P. REF. DEL ORDENANTE PARA EL BENEFICIARIO: 27402219310017415.</t>
  </si>
  <si>
    <t>LIBERADOS EL 18/03/19, ANUALIDAD 2019 PROYECTOS I+D (PIA1) N EXPEDIENTE: PIA12017-1 -2 ANUALIDAD  REFERENCIA: ECO2017-87069-P. REF. ORDENANTE: 27402219310015482.</t>
  </si>
  <si>
    <t>33.00.6P.00.20</t>
  </si>
  <si>
    <t xml:space="preserve">RESOLUCIÓN CONCESIÓN SEJI 2019 </t>
  </si>
  <si>
    <t>33.00.6P.00.21</t>
  </si>
  <si>
    <t>RESOLUCIÓN CONCESIÓN PROMETEO 2019</t>
  </si>
  <si>
    <t>33.00.6P.00.22</t>
  </si>
  <si>
    <t xml:space="preserve">SUBVENCIONES GRUPOS INVESTIGACION CONSOLIDABLES AICO/2019 (EDUCACIÓN,INVESTIGACIÓN,CULTURA Y DEPORT)  </t>
  </si>
  <si>
    <t>33.00.2M.00.01</t>
  </si>
  <si>
    <t>Reintegro de cuota patronal correspondiente al mes de agosto 2019</t>
  </si>
  <si>
    <t>Terskaya ., Anastasia </t>
  </si>
  <si>
    <t>ESSAYS IN APPLIED MICROECONOMICS AND GENOMICS </t>
  </si>
  <si>
    <t>08/07/2020 </t>
  </si>
  <si>
    <t>24368913E </t>
  </si>
  <si>
    <t>PONTI, GIOVANNI</t>
  </si>
  <si>
    <t>X6099967E</t>
  </si>
  <si>
    <t>TURINO, FRANCESCO</t>
  </si>
  <si>
    <t>COD DEP</t>
  </si>
  <si>
    <t>01889872P</t>
  </si>
  <si>
    <t>SANJURJO MCNAMARA, ADAM</t>
  </si>
  <si>
    <t>05304402G</t>
  </si>
  <si>
    <t>CUEVA HERRERO, CARLOS</t>
  </si>
  <si>
    <t>vivos</t>
  </si>
  <si>
    <t>Fernández Bastidas, Rocío </t>
  </si>
  <si>
    <t>Essays on macroeconomics and inequality </t>
  </si>
  <si>
    <t>30/09/2021 </t>
  </si>
  <si>
    <t>X6044853Q </t>
  </si>
  <si>
    <t>Pallarés Cerdà, Nina Victoria </t>
  </si>
  <si>
    <t>Three Essays in Applied Econometrics </t>
  </si>
  <si>
    <t>23/03/2021 </t>
  </si>
  <si>
    <t>Serrano Quintero, Rafael </t>
  </si>
  <si>
    <t>Essays in macroeconomics and productivity </t>
  </si>
  <si>
    <t>28/07/2021 </t>
  </si>
  <si>
    <t>Burbano Valencia, Enrique Javier </t>
  </si>
  <si>
    <t>Ensayos de crimen, conflicto y asuntos electorales: análisis económico para Colombia </t>
  </si>
  <si>
    <t>18/02/2021 </t>
  </si>
  <si>
    <t>Y2052656N </t>
  </si>
  <si>
    <t>73908310H </t>
  </si>
  <si>
    <t>Mieres Brevis, Michelle Stephanie </t>
  </si>
  <si>
    <t>LA DESIGUALDAD DEL INGRESO Y EL CRECIMIENTO ECONÓMICO EN CHILE: UNA MIRADA DESDE SUS REGIONES </t>
  </si>
  <si>
    <t>17/09/2021 </t>
  </si>
  <si>
    <t>74182605S </t>
  </si>
  <si>
    <t>Cacicedo dos Santos, Thiago </t>
  </si>
  <si>
    <t>Essays on Industrial Organization </t>
  </si>
  <si>
    <t>07/07/2021 </t>
  </si>
  <si>
    <t>30586414W </t>
  </si>
  <si>
    <t>Di Paolo , Roberto </t>
  </si>
  <si>
    <t>Essays on Experimental Methods Applied to Different Environments </t>
  </si>
  <si>
    <t>16/07/2021 </t>
  </si>
  <si>
    <t>Upegui Pachon, Angie Gisseth </t>
  </si>
  <si>
    <t>Essays in Applied Microeconomics, Health Economics and Genomics </t>
  </si>
  <si>
    <t>16/06/2021 </t>
  </si>
  <si>
    <t>33.00.6C.00.01</t>
  </si>
  <si>
    <t>Asesoramiento Científico-Técnico en la organización del 44 Simposio de la Asociación Española de Economía del 12 al 14 de diciembre de 2019 Ref. VIAJESCORTEINGLES1-20APA</t>
  </si>
  <si>
    <t>Proyecto de investigación "Puede la educación financiera reducir el comportamiento irracional en los mercados financieros?" Segundo cobro equivalente al 40% del importe total del proyecto Exento de IVA de acuerdo al art. 25.1 de la Ley 49/2002Proyecto de investigación "Puede la educación financiera reducir el comportamiento irracional en los mercados financieros?" Segundo cobro equivalente al 40% del importe total del proyecto Exento de IVA de acuerdo al art. 25.1 de la Ley 49/2002</t>
  </si>
  <si>
    <t>Proyecto de Investigación "El impacto del tiempo de clase dedicado a distintas materias en la escuela sobre las competencias financieras de los jóvenes"  Segundo cobro equivalente al 40% del importe total del proyecto Exento de IVA de acuerdo al art. 25.1 de la Ley 49/2002</t>
  </si>
  <si>
    <t xml:space="preserve">LIBERADOS EL 18/02/2020, ANUALIDAD 2020 PROYECTOS I+D (PIA 1) N EXPEDIENTE: PIA 12017-1-3 ANUALIDAD REFERENCIA:ECO2017-87069-P. </t>
  </si>
  <si>
    <t xml:space="preserve">SUBVENCIONES SEJI 2019 EN 2020 (INNOVACIÓN,UNIVERSIDADES,CIENCIA SOC.DIG) </t>
  </si>
  <si>
    <t>PROMETEO 2019 EN 2020 (INNOVACIÓN,UNIVERSIDADES,CIENCIA SOC.DIG)</t>
  </si>
  <si>
    <t>SUBVENCIONES GRUPOS INVESTIGACION CONSOLIDABLES AICO/2019.2ª (INNOVACIÓN,UNIVERSIDADES,CIENCIA SOC.DIG)</t>
  </si>
  <si>
    <t>33.00.6P.00.27</t>
  </si>
  <si>
    <t>PAGO CONVOVATORIA PROYECTOS 2019 ANUALIDAD 2020 PROYECTOS I+D (PIA1) EXPEDIENTE PIA12019-1-1 ANUALIDAD REFERENCIA: PID2019-107081G</t>
  </si>
  <si>
    <t>33.00.6P.00.28</t>
  </si>
  <si>
    <t>PAGO CONVOVATORIA PROYECTOS 2019 ANUALIDAD 2020 PROYECTOS I+D (PIA1) EXPEDIENTE PIA12019-1-1 ANUALIDAD REFERENCIA: PID2019-108193G</t>
  </si>
  <si>
    <t>33.00.6P.00.29</t>
  </si>
  <si>
    <t>PAGO CONVOVATORIA PROYECTOS 2019 ANUALIDAD 2020 PROYECTOS I+D (PIA1) EXPEDIENTE PIA12019-1-1 ANUALIDAD REFERENCIA: PID2019-111208G</t>
  </si>
  <si>
    <t>52773083C</t>
  </si>
  <si>
    <t>PAYA SASTRE, IVAN</t>
  </si>
  <si>
    <t>Cód. org. aplic.</t>
  </si>
  <si>
    <t>Descripción justificante</t>
  </si>
  <si>
    <t>33.00.6C.00.02</t>
  </si>
  <si>
    <t>Estudio y análisis del rendimiento de las universidades públicas valencianas como consecuencia del COVID19</t>
  </si>
  <si>
    <t>LIBERADOS EL 14/05/2021 ANUALIDAD 2021 PROYECTOS I+D (PIA1) N EXPEDIENTE: PIA12017-1-4 ANUALIDAD REFERENCIA: ECO2017-87069-P</t>
  </si>
  <si>
    <t xml:space="preserve">RESOLUCIÓN CONCESIÓN SUB. A LA EXCELENCIA CIENTÍFICA DE JUNIORS INVESTIGADORES -SEJI 2019 EN 2021. SEJI/2019/005 </t>
  </si>
  <si>
    <t xml:space="preserve">PID2019-107081GB-I00 </t>
  </si>
  <si>
    <t>PID2019-108193GB-I00</t>
  </si>
  <si>
    <t xml:space="preserve">PID2019-111208GB-I00 </t>
  </si>
  <si>
    <t>33.00.6P.00.33</t>
  </si>
  <si>
    <t xml:space="preserve">PROMETEO/2021/073 2021 en 2021 </t>
  </si>
  <si>
    <t>33.00.6S.00.03</t>
  </si>
  <si>
    <t>Asistencia y asesoramiento científico en la organización del IV Workshop of the Spanish Macroeconomics Network</t>
  </si>
  <si>
    <t xml:space="preserve">REINTEGRO CUOTA PATRONAL CORRESPONDIENTE A DICIEMBRE DE 2021. </t>
  </si>
  <si>
    <t>Lartey , Abraham </t>
  </si>
  <si>
    <t>Windfalls and economic development: The effect of natural resource booms and chinese development finance </t>
  </si>
  <si>
    <t>19/07/2022 </t>
  </si>
  <si>
    <t>Landi , Sara </t>
  </si>
  <si>
    <t>Public policy in Italy: An empirical analysis on local governments and occupation </t>
  </si>
  <si>
    <t>29/11/2021 </t>
  </si>
  <si>
    <t>González García, Concepción </t>
  </si>
  <si>
    <t>Essays on macroeconomics and fiscal policy </t>
  </si>
  <si>
    <t>28/01/2022 </t>
  </si>
  <si>
    <t>Castillo Brais, Brenda </t>
  </si>
  <si>
    <t>Four essays on risk assessment with financial econometrics models </t>
  </si>
  <si>
    <t>25/07/2022 </t>
  </si>
  <si>
    <t>05165620G </t>
  </si>
  <si>
    <t>21654944F </t>
  </si>
  <si>
    <t>SANZ DE GALDEANO ALEIXANDRE, ANA MARIA</t>
  </si>
  <si>
    <t>51061335R</t>
  </si>
  <si>
    <t>MESSINA GRANOVSKY, JULIAN SANTIAGO</t>
  </si>
  <si>
    <t>Y3122120E</t>
  </si>
  <si>
    <t>BATTAGLIA, MARIANNA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</si>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</sst>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" fontId="1" fillId="0" borderId="0" xfId="0" applyNumberFormat="1" applyFont="1"/>
    <xf numFmtId="0" fontId="12" fillId="6" borderId="2" xfId="0" applyFont="1" applyFill="1" applyBorder="1"/>
    <xf numFmtId="0" fontId="12" fillId="6" borderId="3" xfId="0" applyFont="1" applyFill="1" applyBorder="1" applyAlignment="1">
      <alignment horizontal="right"/>
    </xf>
    <xf numFmtId="0" fontId="12" fillId="6" borderId="6" xfId="0" applyFont="1" applyFill="1" applyBorder="1"/>
    <xf numFmtId="4" fontId="12" fillId="6" borderId="7" xfId="0" applyNumberFormat="1" applyFont="1" applyFill="1" applyBorder="1"/>
    <xf numFmtId="0" fontId="0" fillId="7" borderId="4" xfId="0" applyFill="1" applyBorder="1" applyAlignment="1">
      <alignment vertical="center"/>
    </xf>
    <xf numFmtId="0" fontId="0" fillId="7" borderId="4" xfId="0" applyFill="1" applyBorder="1" applyAlignment="1">
      <alignment vertical="center" wrapText="1"/>
    </xf>
    <xf numFmtId="4" fontId="0" fillId="7" borderId="5" xfId="0" applyNumberFormat="1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4" xfId="0" applyFill="1" applyBorder="1" applyAlignment="1">
      <alignment vertical="center" wrapText="1"/>
    </xf>
    <xf numFmtId="4" fontId="0" fillId="8" borderId="5" xfId="0" applyNumberFormat="1" applyFill="1" applyBorder="1" applyAlignment="1">
      <alignment vertical="center"/>
    </xf>
    <xf numFmtId="4" fontId="0" fillId="0" borderId="0" xfId="0" applyNumberFormat="1"/>
    <xf numFmtId="0" fontId="12" fillId="6" borderId="8" xfId="0" applyFont="1" applyFill="1" applyBorder="1"/>
    <xf numFmtId="0" fontId="12" fillId="6" borderId="9" xfId="0" applyFont="1" applyFill="1" applyBorder="1"/>
    <xf numFmtId="0" fontId="0" fillId="8" borderId="8" xfId="0" applyFill="1" applyBorder="1"/>
    <xf numFmtId="4" fontId="0" fillId="8" borderId="9" xfId="0" applyNumberFormat="1" applyFill="1" applyBorder="1"/>
    <xf numFmtId="0" fontId="13" fillId="0" borderId="10" xfId="0" applyFont="1" applyBorder="1"/>
    <xf numFmtId="4" fontId="13" fillId="0" borderId="11" xfId="0" applyNumberFormat="1" applyFont="1" applyBorder="1"/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0" borderId="12" xfId="1" applyBorder="1"/>
    <xf numFmtId="165" fontId="3" fillId="0" borderId="12" xfId="1" applyNumberFormat="1" applyBorder="1"/>
    <xf numFmtId="0" fontId="3" fillId="0" borderId="12" xfId="1" applyBorder="1" applyAlignment="1">
      <alignment horizontal="right"/>
    </xf>
    <xf numFmtId="1" fontId="3" fillId="0" borderId="12" xfId="1" applyNumberFormat="1" applyBorder="1"/>
    <xf numFmtId="164" fontId="3" fillId="0" borderId="12" xfId="1" applyNumberFormat="1" applyBorder="1"/>
    <xf numFmtId="0" fontId="14" fillId="9" borderId="1" xfId="0" applyFont="1" applyFill="1" applyBorder="1" applyAlignment="1">
      <alignment horizontal="left" vertical="center"/>
    </xf>
    <xf numFmtId="0" fontId="14" fillId="9" borderId="13" xfId="0" applyFont="1" applyFill="1" applyBorder="1" applyAlignment="1">
      <alignment horizontal="left" vertical="center"/>
    </xf>
    <xf numFmtId="0" fontId="14" fillId="9" borderId="14" xfId="0" applyFont="1" applyFill="1" applyBorder="1" applyAlignment="1">
      <alignment horizontal="left" vertical="center"/>
    </xf>
    <xf numFmtId="0" fontId="14" fillId="9" borderId="15" xfId="0" applyFont="1" applyFill="1" applyBorder="1" applyAlignment="1">
      <alignment horizontal="left" vertical="center"/>
    </xf>
    <xf numFmtId="0" fontId="3" fillId="0" borderId="1" xfId="1" applyBorder="1"/>
    <xf numFmtId="0" fontId="3" fillId="10" borderId="16" xfId="1" applyFont="1" applyFill="1" applyBorder="1" applyAlignment="1"/>
    <xf numFmtId="0" fontId="3" fillId="10" borderId="16" xfId="1" applyFont="1" applyFill="1" applyBorder="1" applyAlignment="1">
      <alignment horizontal="right"/>
    </xf>
    <xf numFmtId="0" fontId="0" fillId="10" borderId="16" xfId="0" applyFill="1" applyBorder="1"/>
    <xf numFmtId="0" fontId="0" fillId="10" borderId="16" xfId="0" applyFill="1" applyBorder="1" applyAlignment="1">
      <alignment horizontal="left"/>
    </xf>
    <xf numFmtId="0" fontId="0" fillId="10" borderId="16" xfId="0" applyNumberFormat="1" applyFill="1" applyBorder="1"/>
    <xf numFmtId="0" fontId="15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1" fontId="4" fillId="10" borderId="16" xfId="1" applyNumberFormat="1" applyFont="1" applyFill="1" applyBorder="1" applyAlignment="1"/>
    <xf numFmtId="0" fontId="13" fillId="10" borderId="16" xfId="0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4"/>
  <sheetViews>
    <sheetView showGridLines="0" tabSelected="1" zoomScale="120" zoomScaleNormal="120" workbookViewId="0">
      <pane xSplit="1" ySplit="1" topLeftCell="F14" activePane="bottomRight" state="frozen"/>
      <selection pane="topRight" activeCell="B1" sqref="B1"/>
      <selection pane="bottomLeft" activeCell="A2" sqref="A2"/>
      <selection pane="bottomRight" activeCell="S34" sqref="S34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8" t="s">
        <v>14</v>
      </c>
      <c r="J1" s="9" t="s">
        <v>15</v>
      </c>
      <c r="K1" s="8" t="s">
        <v>16</v>
      </c>
      <c r="L1" s="9" t="s">
        <v>17</v>
      </c>
      <c r="M1" s="10" t="s">
        <v>18</v>
      </c>
      <c r="N1" s="11" t="s">
        <v>19</v>
      </c>
      <c r="O1" s="12" t="s">
        <v>20</v>
      </c>
      <c r="P1" s="11" t="s">
        <v>21</v>
      </c>
      <c r="Q1" s="12" t="s">
        <v>22</v>
      </c>
      <c r="R1" s="11" t="s">
        <v>23</v>
      </c>
      <c r="S1" s="11" t="s">
        <v>24</v>
      </c>
      <c r="T1" s="11" t="s">
        <v>25</v>
      </c>
      <c r="U1" s="11" t="s">
        <v>26</v>
      </c>
    </row>
    <row r="2" spans="1:21" x14ac:dyDescent="0.2">
      <c r="A2" s="46" t="s">
        <v>41</v>
      </c>
      <c r="B2" s="46" t="s">
        <v>42</v>
      </c>
      <c r="C2" s="46" t="s">
        <v>46</v>
      </c>
      <c r="D2" s="46" t="s">
        <v>51</v>
      </c>
      <c r="E2" s="46" t="s">
        <v>52</v>
      </c>
      <c r="F2" s="46" t="s">
        <v>53</v>
      </c>
      <c r="G2" s="46" t="s">
        <v>54</v>
      </c>
      <c r="H2" s="46" t="s">
        <v>27</v>
      </c>
      <c r="I2" s="46" t="s">
        <v>41</v>
      </c>
      <c r="J2" s="46" t="s">
        <v>42</v>
      </c>
      <c r="K2" s="47">
        <v>0.5</v>
      </c>
      <c r="L2" s="46" t="s">
        <v>45</v>
      </c>
      <c r="M2" s="46">
        <v>2016</v>
      </c>
      <c r="N2" s="46" t="s">
        <v>29</v>
      </c>
      <c r="O2" s="48" t="s">
        <v>29</v>
      </c>
      <c r="P2" s="46" t="s">
        <v>29</v>
      </c>
      <c r="Q2" s="48" t="s">
        <v>29</v>
      </c>
      <c r="R2" s="49">
        <v>100</v>
      </c>
      <c r="S2" s="47">
        <v>0.5</v>
      </c>
      <c r="T2" s="47">
        <v>0</v>
      </c>
      <c r="U2" s="47">
        <v>0</v>
      </c>
    </row>
    <row r="3" spans="1:21" x14ac:dyDescent="0.2">
      <c r="A3" s="46" t="s">
        <v>41</v>
      </c>
      <c r="B3" s="46" t="s">
        <v>42</v>
      </c>
      <c r="C3" s="46" t="s">
        <v>46</v>
      </c>
      <c r="D3" s="46" t="s">
        <v>51</v>
      </c>
      <c r="E3" s="46" t="s">
        <v>52</v>
      </c>
      <c r="F3" s="46" t="s">
        <v>53</v>
      </c>
      <c r="G3" s="46" t="s">
        <v>50</v>
      </c>
      <c r="H3" s="46" t="s">
        <v>27</v>
      </c>
      <c r="I3" s="46" t="s">
        <v>41</v>
      </c>
      <c r="J3" s="46" t="s">
        <v>42</v>
      </c>
      <c r="K3" s="47">
        <v>0.5</v>
      </c>
      <c r="L3" s="46" t="s">
        <v>45</v>
      </c>
      <c r="M3" s="46">
        <v>2016</v>
      </c>
      <c r="N3" s="46" t="s">
        <v>29</v>
      </c>
      <c r="O3" s="48" t="s">
        <v>29</v>
      </c>
      <c r="P3" s="46" t="s">
        <v>29</v>
      </c>
      <c r="Q3" s="48" t="s">
        <v>29</v>
      </c>
      <c r="R3" s="49">
        <v>100</v>
      </c>
      <c r="S3" s="47">
        <v>0.5</v>
      </c>
      <c r="T3" s="47">
        <v>0</v>
      </c>
      <c r="U3" s="47">
        <v>0</v>
      </c>
    </row>
    <row r="4" spans="1:21" x14ac:dyDescent="0.2">
      <c r="A4" s="46" t="s">
        <v>41</v>
      </c>
      <c r="B4" s="46" t="s">
        <v>42</v>
      </c>
      <c r="C4" s="46" t="s">
        <v>43</v>
      </c>
      <c r="D4" s="46" t="s">
        <v>55</v>
      </c>
      <c r="E4" s="46" t="s">
        <v>56</v>
      </c>
      <c r="F4" s="46" t="s">
        <v>36</v>
      </c>
      <c r="G4" s="46" t="s">
        <v>32</v>
      </c>
      <c r="H4" s="46" t="s">
        <v>30</v>
      </c>
      <c r="I4" s="46" t="s">
        <v>41</v>
      </c>
      <c r="J4" s="46" t="s">
        <v>42</v>
      </c>
      <c r="K4" s="47">
        <v>1</v>
      </c>
      <c r="L4" s="46" t="s">
        <v>45</v>
      </c>
      <c r="M4" s="46">
        <v>2016</v>
      </c>
      <c r="N4" s="46" t="s">
        <v>29</v>
      </c>
      <c r="O4" s="48" t="s">
        <v>29</v>
      </c>
      <c r="P4" s="46" t="s">
        <v>29</v>
      </c>
      <c r="Q4" s="48" t="s">
        <v>29</v>
      </c>
      <c r="R4" s="49">
        <v>100</v>
      </c>
      <c r="S4" s="47">
        <v>1</v>
      </c>
      <c r="T4" s="47">
        <v>0</v>
      </c>
      <c r="U4" s="47">
        <v>0</v>
      </c>
    </row>
    <row r="5" spans="1:21" x14ac:dyDescent="0.2">
      <c r="A5" s="46" t="s">
        <v>41</v>
      </c>
      <c r="B5" s="46" t="s">
        <v>42</v>
      </c>
      <c r="C5" s="46" t="s">
        <v>43</v>
      </c>
      <c r="D5" s="46" t="s">
        <v>59</v>
      </c>
      <c r="E5" s="46" t="s">
        <v>60</v>
      </c>
      <c r="F5" s="46" t="s">
        <v>37</v>
      </c>
      <c r="G5" s="46" t="s">
        <v>48</v>
      </c>
      <c r="H5" s="46" t="s">
        <v>27</v>
      </c>
      <c r="I5" s="46" t="s">
        <v>41</v>
      </c>
      <c r="J5" s="46" t="s">
        <v>42</v>
      </c>
      <c r="K5" s="47">
        <v>0.5</v>
      </c>
      <c r="L5" s="46" t="s">
        <v>45</v>
      </c>
      <c r="M5" s="46">
        <v>2016</v>
      </c>
      <c r="N5" s="46" t="s">
        <v>29</v>
      </c>
      <c r="O5" s="48" t="s">
        <v>29</v>
      </c>
      <c r="P5" s="46" t="s">
        <v>29</v>
      </c>
      <c r="Q5" s="48" t="s">
        <v>29</v>
      </c>
      <c r="R5" s="49">
        <v>100</v>
      </c>
      <c r="S5" s="47">
        <v>0.5</v>
      </c>
      <c r="T5" s="47">
        <v>0</v>
      </c>
      <c r="U5" s="47">
        <v>0</v>
      </c>
    </row>
    <row r="6" spans="1:21" x14ac:dyDescent="0.2">
      <c r="A6" s="46" t="s">
        <v>41</v>
      </c>
      <c r="B6" s="46" t="s">
        <v>42</v>
      </c>
      <c r="C6" s="46" t="s">
        <v>43</v>
      </c>
      <c r="D6" s="46" t="s">
        <v>59</v>
      </c>
      <c r="E6" s="46" t="s">
        <v>60</v>
      </c>
      <c r="F6" s="46" t="s">
        <v>37</v>
      </c>
      <c r="G6" s="46" t="s">
        <v>49</v>
      </c>
      <c r="H6" s="46" t="s">
        <v>27</v>
      </c>
      <c r="I6" s="46" t="s">
        <v>41</v>
      </c>
      <c r="J6" s="46" t="s">
        <v>42</v>
      </c>
      <c r="K6" s="47">
        <v>0.5</v>
      </c>
      <c r="L6" s="46" t="s">
        <v>45</v>
      </c>
      <c r="M6" s="46">
        <v>2016</v>
      </c>
      <c r="N6" s="46" t="s">
        <v>29</v>
      </c>
      <c r="O6" s="48" t="s">
        <v>29</v>
      </c>
      <c r="P6" s="46" t="s">
        <v>29</v>
      </c>
      <c r="Q6" s="48" t="s">
        <v>29</v>
      </c>
      <c r="R6" s="49">
        <v>100</v>
      </c>
      <c r="S6" s="47">
        <v>0.5</v>
      </c>
      <c r="T6" s="47">
        <v>0</v>
      </c>
      <c r="U6" s="47">
        <v>0</v>
      </c>
    </row>
    <row r="7" spans="1:21" x14ac:dyDescent="0.2">
      <c r="A7" s="46" t="s">
        <v>41</v>
      </c>
      <c r="B7" s="46" t="s">
        <v>42</v>
      </c>
      <c r="C7" s="46" t="s">
        <v>43</v>
      </c>
      <c r="D7" s="46" t="s">
        <v>57</v>
      </c>
      <c r="E7" s="46" t="s">
        <v>58</v>
      </c>
      <c r="F7" s="46" t="s">
        <v>33</v>
      </c>
      <c r="G7" s="46" t="s">
        <v>32</v>
      </c>
      <c r="H7" s="46" t="s">
        <v>27</v>
      </c>
      <c r="I7" s="46" t="s">
        <v>41</v>
      </c>
      <c r="J7" s="46" t="s">
        <v>42</v>
      </c>
      <c r="K7" s="47">
        <v>1</v>
      </c>
      <c r="L7" s="46" t="s">
        <v>45</v>
      </c>
      <c r="M7" s="46">
        <v>2016</v>
      </c>
      <c r="N7" s="46" t="s">
        <v>29</v>
      </c>
      <c r="O7" s="48" t="s">
        <v>29</v>
      </c>
      <c r="P7" s="46" t="s">
        <v>29</v>
      </c>
      <c r="Q7" s="48" t="s">
        <v>29</v>
      </c>
      <c r="R7" s="49">
        <v>100</v>
      </c>
      <c r="S7" s="47">
        <v>1</v>
      </c>
      <c r="T7" s="47">
        <v>0</v>
      </c>
      <c r="U7" s="47">
        <v>0</v>
      </c>
    </row>
    <row r="8" spans="1:21" x14ac:dyDescent="0.2">
      <c r="A8" s="46" t="s">
        <v>41</v>
      </c>
      <c r="B8" s="46" t="s">
        <v>42</v>
      </c>
      <c r="C8" s="46" t="s">
        <v>46</v>
      </c>
      <c r="D8" s="46" t="s">
        <v>64</v>
      </c>
      <c r="E8" s="46" t="s">
        <v>65</v>
      </c>
      <c r="F8" s="46" t="s">
        <v>66</v>
      </c>
      <c r="G8" s="46" t="s">
        <v>47</v>
      </c>
      <c r="H8" s="46" t="s">
        <v>30</v>
      </c>
      <c r="I8" s="46" t="s">
        <v>41</v>
      </c>
      <c r="J8" s="46" t="s">
        <v>42</v>
      </c>
      <c r="K8" s="47">
        <v>1</v>
      </c>
      <c r="L8" s="46" t="s">
        <v>45</v>
      </c>
      <c r="M8" s="46">
        <v>2017</v>
      </c>
      <c r="N8" s="46" t="s">
        <v>29</v>
      </c>
      <c r="O8" s="48" t="s">
        <v>29</v>
      </c>
      <c r="P8" s="46" t="s">
        <v>29</v>
      </c>
      <c r="Q8" s="48" t="s">
        <v>29</v>
      </c>
      <c r="R8" s="49">
        <v>100</v>
      </c>
      <c r="S8" s="47">
        <v>1</v>
      </c>
      <c r="T8" s="47">
        <v>0</v>
      </c>
      <c r="U8" s="47">
        <v>0</v>
      </c>
    </row>
    <row r="9" spans="1:21" x14ac:dyDescent="0.2">
      <c r="A9" s="46" t="s">
        <v>41</v>
      </c>
      <c r="B9" s="46" t="s">
        <v>42</v>
      </c>
      <c r="C9" s="46" t="s">
        <v>46</v>
      </c>
      <c r="D9" s="46" t="s">
        <v>61</v>
      </c>
      <c r="E9" s="46" t="s">
        <v>62</v>
      </c>
      <c r="F9" s="46" t="s">
        <v>38</v>
      </c>
      <c r="G9" s="46" t="s">
        <v>63</v>
      </c>
      <c r="H9" s="46" t="s">
        <v>27</v>
      </c>
      <c r="I9" s="46" t="s">
        <v>41</v>
      </c>
      <c r="J9" s="46" t="s">
        <v>42</v>
      </c>
      <c r="K9" s="47">
        <v>0.5</v>
      </c>
      <c r="L9" s="46" t="s">
        <v>45</v>
      </c>
      <c r="M9" s="46">
        <v>2017</v>
      </c>
      <c r="N9" s="46" t="s">
        <v>29</v>
      </c>
      <c r="O9" s="48" t="s">
        <v>29</v>
      </c>
      <c r="P9" s="46" t="s">
        <v>29</v>
      </c>
      <c r="Q9" s="48" t="s">
        <v>29</v>
      </c>
      <c r="R9" s="49">
        <v>100</v>
      </c>
      <c r="S9" s="47">
        <v>0.5</v>
      </c>
      <c r="T9" s="47">
        <v>0</v>
      </c>
      <c r="U9" s="47">
        <v>0</v>
      </c>
    </row>
    <row r="10" spans="1:21" x14ac:dyDescent="0.2">
      <c r="A10" s="46" t="s">
        <v>41</v>
      </c>
      <c r="B10" s="46" t="s">
        <v>42</v>
      </c>
      <c r="C10" s="46" t="s">
        <v>46</v>
      </c>
      <c r="D10" s="46" t="s">
        <v>61</v>
      </c>
      <c r="E10" s="46" t="s">
        <v>62</v>
      </c>
      <c r="F10" s="46" t="s">
        <v>38</v>
      </c>
      <c r="G10" s="46" t="s">
        <v>50</v>
      </c>
      <c r="H10" s="46" t="s">
        <v>27</v>
      </c>
      <c r="I10" s="46" t="s">
        <v>41</v>
      </c>
      <c r="J10" s="46" t="s">
        <v>42</v>
      </c>
      <c r="K10" s="47">
        <v>0.5</v>
      </c>
      <c r="L10" s="46" t="s">
        <v>45</v>
      </c>
      <c r="M10" s="46">
        <v>2017</v>
      </c>
      <c r="N10" s="46" t="s">
        <v>29</v>
      </c>
      <c r="O10" s="48" t="s">
        <v>29</v>
      </c>
      <c r="P10" s="46" t="s">
        <v>29</v>
      </c>
      <c r="Q10" s="48" t="s">
        <v>29</v>
      </c>
      <c r="R10" s="49">
        <v>100</v>
      </c>
      <c r="S10" s="47">
        <v>0.5</v>
      </c>
      <c r="T10" s="47">
        <v>0</v>
      </c>
      <c r="U10" s="47">
        <v>0</v>
      </c>
    </row>
    <row r="11" spans="1:21" x14ac:dyDescent="0.2">
      <c r="A11" s="46" t="s">
        <v>41</v>
      </c>
      <c r="B11" s="46" t="s">
        <v>42</v>
      </c>
      <c r="C11" s="46" t="s">
        <v>46</v>
      </c>
      <c r="D11" s="46" t="s">
        <v>74</v>
      </c>
      <c r="E11" s="46" t="s">
        <v>75</v>
      </c>
      <c r="F11" s="46" t="s">
        <v>76</v>
      </c>
      <c r="G11" s="46" t="s">
        <v>47</v>
      </c>
      <c r="H11" s="46" t="s">
        <v>30</v>
      </c>
      <c r="I11" s="46" t="s">
        <v>41</v>
      </c>
      <c r="J11" s="46" t="s">
        <v>42</v>
      </c>
      <c r="K11" s="50">
        <v>1</v>
      </c>
      <c r="L11" s="46" t="s">
        <v>45</v>
      </c>
      <c r="M11" s="46">
        <v>2018</v>
      </c>
      <c r="N11" s="46" t="s">
        <v>29</v>
      </c>
      <c r="O11" s="48" t="s">
        <v>29</v>
      </c>
      <c r="P11" s="46" t="s">
        <v>29</v>
      </c>
      <c r="Q11" s="48" t="s">
        <v>29</v>
      </c>
      <c r="R11" s="49">
        <v>100</v>
      </c>
      <c r="S11" s="47">
        <v>1</v>
      </c>
      <c r="T11" s="47">
        <v>0</v>
      </c>
      <c r="U11" s="47">
        <v>0</v>
      </c>
    </row>
    <row r="12" spans="1:21" x14ac:dyDescent="0.2">
      <c r="A12" s="46" t="s">
        <v>34</v>
      </c>
      <c r="B12" s="46" t="s">
        <v>35</v>
      </c>
      <c r="C12" s="46" t="s">
        <v>46</v>
      </c>
      <c r="D12" s="46" t="s">
        <v>70</v>
      </c>
      <c r="E12" s="46" t="s">
        <v>71</v>
      </c>
      <c r="F12" s="46" t="s">
        <v>39</v>
      </c>
      <c r="G12" s="46" t="s">
        <v>72</v>
      </c>
      <c r="H12" s="46" t="s">
        <v>27</v>
      </c>
      <c r="I12" s="46" t="s">
        <v>41</v>
      </c>
      <c r="J12" s="46" t="s">
        <v>42</v>
      </c>
      <c r="K12" s="50">
        <v>0.5</v>
      </c>
      <c r="L12" s="46" t="s">
        <v>45</v>
      </c>
      <c r="M12" s="46">
        <v>2018</v>
      </c>
      <c r="N12" s="46" t="s">
        <v>29</v>
      </c>
      <c r="O12" s="48" t="s">
        <v>29</v>
      </c>
      <c r="P12" s="46" t="s">
        <v>29</v>
      </c>
      <c r="Q12" s="48" t="s">
        <v>29</v>
      </c>
      <c r="R12" s="49">
        <v>100</v>
      </c>
      <c r="S12" s="47">
        <v>0.5</v>
      </c>
      <c r="T12" s="47">
        <v>0</v>
      </c>
      <c r="U12" s="47">
        <v>0</v>
      </c>
    </row>
    <row r="13" spans="1:21" x14ac:dyDescent="0.2">
      <c r="A13" s="46" t="s">
        <v>34</v>
      </c>
      <c r="B13" s="46" t="s">
        <v>35</v>
      </c>
      <c r="C13" s="46" t="s">
        <v>46</v>
      </c>
      <c r="D13" s="46" t="s">
        <v>70</v>
      </c>
      <c r="E13" s="46" t="s">
        <v>71</v>
      </c>
      <c r="F13" s="46" t="s">
        <v>39</v>
      </c>
      <c r="G13" s="46" t="s">
        <v>73</v>
      </c>
      <c r="H13" s="46" t="s">
        <v>27</v>
      </c>
      <c r="I13" s="46" t="s">
        <v>41</v>
      </c>
      <c r="J13" s="46" t="s">
        <v>42</v>
      </c>
      <c r="K13" s="50">
        <v>0.5</v>
      </c>
      <c r="L13" s="46" t="s">
        <v>45</v>
      </c>
      <c r="M13" s="46">
        <v>2018</v>
      </c>
      <c r="N13" s="46" t="s">
        <v>29</v>
      </c>
      <c r="O13" s="48" t="s">
        <v>29</v>
      </c>
      <c r="P13" s="46" t="s">
        <v>29</v>
      </c>
      <c r="Q13" s="48" t="s">
        <v>29</v>
      </c>
      <c r="R13" s="49">
        <v>100</v>
      </c>
      <c r="S13" s="47">
        <v>0.5</v>
      </c>
      <c r="T13" s="47">
        <v>0</v>
      </c>
      <c r="U13" s="47">
        <v>0</v>
      </c>
    </row>
    <row r="14" spans="1:21" x14ac:dyDescent="0.2">
      <c r="A14" s="46" t="s">
        <v>34</v>
      </c>
      <c r="B14" s="46" t="s">
        <v>35</v>
      </c>
      <c r="C14" s="46" t="s">
        <v>46</v>
      </c>
      <c r="D14" s="46" t="s">
        <v>67</v>
      </c>
      <c r="E14" s="46" t="s">
        <v>68</v>
      </c>
      <c r="F14" s="46" t="s">
        <v>69</v>
      </c>
      <c r="G14" s="46" t="s">
        <v>47</v>
      </c>
      <c r="H14" s="46" t="s">
        <v>30</v>
      </c>
      <c r="I14" s="46" t="s">
        <v>41</v>
      </c>
      <c r="J14" s="46" t="s">
        <v>42</v>
      </c>
      <c r="K14" s="50">
        <v>1</v>
      </c>
      <c r="L14" s="46" t="s">
        <v>45</v>
      </c>
      <c r="M14" s="46">
        <v>2018</v>
      </c>
      <c r="N14" s="46" t="s">
        <v>29</v>
      </c>
      <c r="O14" s="48" t="s">
        <v>29</v>
      </c>
      <c r="P14" s="46" t="s">
        <v>29</v>
      </c>
      <c r="Q14" s="48" t="s">
        <v>29</v>
      </c>
      <c r="R14" s="49">
        <v>100</v>
      </c>
      <c r="S14" s="47">
        <v>1</v>
      </c>
      <c r="T14" s="47">
        <v>0</v>
      </c>
      <c r="U14" s="47">
        <v>0</v>
      </c>
    </row>
    <row r="15" spans="1:21" ht="10.8" thickBot="1" x14ac:dyDescent="0.25">
      <c r="A15" s="51" t="s">
        <v>34</v>
      </c>
      <c r="B15" s="51" t="s">
        <v>35</v>
      </c>
      <c r="C15" s="51" t="s">
        <v>46</v>
      </c>
      <c r="D15" s="51" t="s">
        <v>140</v>
      </c>
      <c r="E15" s="51" t="s">
        <v>141</v>
      </c>
      <c r="F15" s="51" t="s">
        <v>142</v>
      </c>
      <c r="G15" s="51" t="s">
        <v>143</v>
      </c>
      <c r="H15" s="51" t="s">
        <v>30</v>
      </c>
      <c r="I15" s="51" t="s">
        <v>41</v>
      </c>
      <c r="J15" s="51" t="s">
        <v>42</v>
      </c>
      <c r="K15" s="52">
        <v>1</v>
      </c>
      <c r="L15" s="51" t="s">
        <v>45</v>
      </c>
      <c r="M15" s="51">
        <v>2019</v>
      </c>
      <c r="N15" s="51" t="s">
        <v>29</v>
      </c>
      <c r="O15" s="53" t="s">
        <v>29</v>
      </c>
      <c r="P15" s="51" t="s">
        <v>29</v>
      </c>
      <c r="Q15" s="53" t="s">
        <v>29</v>
      </c>
      <c r="R15" s="54">
        <v>100</v>
      </c>
      <c r="S15" s="55">
        <v>1</v>
      </c>
      <c r="T15" s="55">
        <v>0</v>
      </c>
      <c r="U15" s="55">
        <v>0</v>
      </c>
    </row>
    <row r="16" spans="1:21" ht="10.8" thickBot="1" x14ac:dyDescent="0.25">
      <c r="A16" s="56" t="s">
        <v>41</v>
      </c>
      <c r="B16" s="56" t="s">
        <v>42</v>
      </c>
      <c r="C16" s="56" t="s">
        <v>46</v>
      </c>
      <c r="D16" s="56" t="s">
        <v>153</v>
      </c>
      <c r="E16" s="56" t="s">
        <v>154</v>
      </c>
      <c r="F16" s="56" t="s">
        <v>155</v>
      </c>
      <c r="G16" s="57" t="s">
        <v>156</v>
      </c>
      <c r="H16" s="58" t="s">
        <v>30</v>
      </c>
      <c r="I16" s="58" t="s">
        <v>41</v>
      </c>
      <c r="J16" s="59" t="s">
        <v>42</v>
      </c>
      <c r="K16" s="60">
        <v>1</v>
      </c>
      <c r="L16" s="60" t="s">
        <v>45</v>
      </c>
      <c r="M16" s="46">
        <v>2020</v>
      </c>
      <c r="N16" s="46" t="s">
        <v>29</v>
      </c>
      <c r="O16" s="48" t="s">
        <v>29</v>
      </c>
      <c r="P16" s="46" t="s">
        <v>29</v>
      </c>
      <c r="Q16" s="48" t="s">
        <v>29</v>
      </c>
      <c r="R16" s="46">
        <v>100</v>
      </c>
      <c r="S16" s="46">
        <v>1</v>
      </c>
      <c r="T16" s="46">
        <v>0</v>
      </c>
      <c r="U16" s="46">
        <v>0</v>
      </c>
    </row>
    <row r="17" spans="1:21" ht="10.8" thickBot="1" x14ac:dyDescent="0.25">
      <c r="A17" s="56" t="s">
        <v>41</v>
      </c>
      <c r="B17" s="56" t="s">
        <v>42</v>
      </c>
      <c r="C17" s="56" t="s">
        <v>46</v>
      </c>
      <c r="D17" s="56" t="s">
        <v>157</v>
      </c>
      <c r="E17" s="56" t="s">
        <v>158</v>
      </c>
      <c r="F17" s="56" t="s">
        <v>159</v>
      </c>
      <c r="G17" s="57" t="s">
        <v>50</v>
      </c>
      <c r="H17" s="58" t="s">
        <v>30</v>
      </c>
      <c r="I17" s="58" t="s">
        <v>41</v>
      </c>
      <c r="J17" s="59" t="s">
        <v>42</v>
      </c>
      <c r="K17" s="60">
        <v>1</v>
      </c>
      <c r="L17" s="60" t="s">
        <v>45</v>
      </c>
      <c r="M17" s="46">
        <v>2020</v>
      </c>
      <c r="N17" s="46" t="s">
        <v>29</v>
      </c>
      <c r="O17" s="48" t="s">
        <v>29</v>
      </c>
      <c r="P17" s="46" t="s">
        <v>29</v>
      </c>
      <c r="Q17" s="48" t="s">
        <v>29</v>
      </c>
      <c r="R17" s="46">
        <v>100</v>
      </c>
      <c r="S17" s="46">
        <v>1</v>
      </c>
      <c r="T17" s="46">
        <v>0</v>
      </c>
      <c r="U17" s="46">
        <v>0</v>
      </c>
    </row>
    <row r="18" spans="1:21" ht="10.8" thickBot="1" x14ac:dyDescent="0.25">
      <c r="A18" s="56" t="s">
        <v>41</v>
      </c>
      <c r="B18" s="56" t="s">
        <v>42</v>
      </c>
      <c r="C18" s="56" t="s">
        <v>46</v>
      </c>
      <c r="D18" s="56" t="s">
        <v>160</v>
      </c>
      <c r="E18" s="56" t="s">
        <v>161</v>
      </c>
      <c r="F18" s="56" t="s">
        <v>162</v>
      </c>
      <c r="G18" s="57" t="s">
        <v>44</v>
      </c>
      <c r="H18" s="58" t="s">
        <v>30</v>
      </c>
      <c r="I18" s="58" t="s">
        <v>41</v>
      </c>
      <c r="J18" s="59" t="s">
        <v>42</v>
      </c>
      <c r="K18" s="60">
        <v>1</v>
      </c>
      <c r="L18" s="60" t="s">
        <v>45</v>
      </c>
      <c r="M18" s="46">
        <v>2020</v>
      </c>
      <c r="N18" s="46" t="s">
        <v>29</v>
      </c>
      <c r="O18" s="48" t="s">
        <v>29</v>
      </c>
      <c r="P18" s="46" t="s">
        <v>29</v>
      </c>
      <c r="Q18" s="48" t="s">
        <v>29</v>
      </c>
      <c r="R18" s="46">
        <v>100</v>
      </c>
      <c r="S18" s="46">
        <v>1</v>
      </c>
      <c r="T18" s="46">
        <v>0</v>
      </c>
      <c r="U18" s="46">
        <v>0</v>
      </c>
    </row>
    <row r="19" spans="1:21" ht="10.8" thickBot="1" x14ac:dyDescent="0.25">
      <c r="A19" s="56" t="s">
        <v>41</v>
      </c>
      <c r="B19" s="56" t="s">
        <v>42</v>
      </c>
      <c r="C19" s="56" t="s">
        <v>46</v>
      </c>
      <c r="D19" s="56" t="s">
        <v>163</v>
      </c>
      <c r="E19" s="56" t="s">
        <v>164</v>
      </c>
      <c r="F19" s="56" t="s">
        <v>165</v>
      </c>
      <c r="G19" s="57" t="s">
        <v>166</v>
      </c>
      <c r="H19" s="58" t="s">
        <v>27</v>
      </c>
      <c r="I19" s="58" t="s">
        <v>41</v>
      </c>
      <c r="J19" s="59" t="s">
        <v>42</v>
      </c>
      <c r="K19" s="60">
        <v>0.5</v>
      </c>
      <c r="L19" s="60" t="s">
        <v>45</v>
      </c>
      <c r="M19" s="46">
        <v>2020</v>
      </c>
      <c r="N19" s="46" t="s">
        <v>29</v>
      </c>
      <c r="O19" s="48" t="s">
        <v>29</v>
      </c>
      <c r="P19" s="46" t="s">
        <v>29</v>
      </c>
      <c r="Q19" s="48" t="s">
        <v>29</v>
      </c>
      <c r="R19" s="46">
        <v>100</v>
      </c>
      <c r="S19" s="46">
        <v>0.5</v>
      </c>
      <c r="T19" s="46">
        <v>0</v>
      </c>
      <c r="U19" s="46">
        <v>0</v>
      </c>
    </row>
    <row r="20" spans="1:21" ht="10.8" thickBot="1" x14ac:dyDescent="0.25">
      <c r="A20" s="56" t="s">
        <v>41</v>
      </c>
      <c r="B20" s="56" t="s">
        <v>42</v>
      </c>
      <c r="C20" s="56" t="s">
        <v>46</v>
      </c>
      <c r="D20" s="56" t="s">
        <v>163</v>
      </c>
      <c r="E20" s="56" t="s">
        <v>164</v>
      </c>
      <c r="F20" s="56" t="s">
        <v>165</v>
      </c>
      <c r="G20" s="57" t="s">
        <v>167</v>
      </c>
      <c r="H20" s="58" t="s">
        <v>27</v>
      </c>
      <c r="I20" s="58" t="s">
        <v>41</v>
      </c>
      <c r="J20" s="59" t="s">
        <v>42</v>
      </c>
      <c r="K20" s="60">
        <v>0.5</v>
      </c>
      <c r="L20" s="60" t="s">
        <v>45</v>
      </c>
      <c r="M20" s="46">
        <v>2020</v>
      </c>
      <c r="N20" s="46" t="s">
        <v>40</v>
      </c>
      <c r="O20" s="48" t="s">
        <v>31</v>
      </c>
      <c r="P20" s="46" t="s">
        <v>29</v>
      </c>
      <c r="Q20" s="48" t="s">
        <v>29</v>
      </c>
      <c r="R20" s="46">
        <v>0</v>
      </c>
      <c r="S20" s="46">
        <v>0</v>
      </c>
      <c r="T20" s="46">
        <v>0.5</v>
      </c>
      <c r="U20" s="46">
        <v>0</v>
      </c>
    </row>
    <row r="21" spans="1:21" ht="10.8" thickBot="1" x14ac:dyDescent="0.25">
      <c r="A21" s="56" t="s">
        <v>41</v>
      </c>
      <c r="B21" s="56" t="s">
        <v>42</v>
      </c>
      <c r="C21" s="56" t="s">
        <v>46</v>
      </c>
      <c r="D21" s="56" t="s">
        <v>168</v>
      </c>
      <c r="E21" s="56" t="s">
        <v>169</v>
      </c>
      <c r="F21" s="56" t="s">
        <v>170</v>
      </c>
      <c r="G21" s="57" t="s">
        <v>171</v>
      </c>
      <c r="H21" s="58" t="s">
        <v>30</v>
      </c>
      <c r="I21" s="58" t="s">
        <v>41</v>
      </c>
      <c r="J21" s="59" t="s">
        <v>42</v>
      </c>
      <c r="K21" s="60">
        <v>1</v>
      </c>
      <c r="L21" s="60" t="s">
        <v>45</v>
      </c>
      <c r="M21" s="46">
        <v>2020</v>
      </c>
      <c r="N21" s="46" t="s">
        <v>40</v>
      </c>
      <c r="O21" s="48" t="s">
        <v>28</v>
      </c>
      <c r="P21" s="46" t="s">
        <v>29</v>
      </c>
      <c r="Q21" s="48" t="s">
        <v>29</v>
      </c>
      <c r="R21" s="46">
        <v>50</v>
      </c>
      <c r="S21" s="46">
        <v>0.5</v>
      </c>
      <c r="T21" s="46">
        <v>0.5</v>
      </c>
      <c r="U21" s="46">
        <v>0</v>
      </c>
    </row>
    <row r="22" spans="1:21" ht="10.8" thickBot="1" x14ac:dyDescent="0.25">
      <c r="A22" s="56" t="s">
        <v>34</v>
      </c>
      <c r="B22" s="56" t="s">
        <v>35</v>
      </c>
      <c r="C22" s="56" t="s">
        <v>46</v>
      </c>
      <c r="D22" s="56" t="s">
        <v>172</v>
      </c>
      <c r="E22" s="56" t="s">
        <v>173</v>
      </c>
      <c r="F22" s="56" t="s">
        <v>174</v>
      </c>
      <c r="G22" s="57" t="s">
        <v>175</v>
      </c>
      <c r="H22" s="58" t="s">
        <v>30</v>
      </c>
      <c r="I22" s="58" t="s">
        <v>41</v>
      </c>
      <c r="J22" s="59" t="s">
        <v>42</v>
      </c>
      <c r="K22" s="60">
        <v>1</v>
      </c>
      <c r="L22" s="60" t="s">
        <v>45</v>
      </c>
      <c r="M22" s="46">
        <v>2020</v>
      </c>
      <c r="N22" s="46" t="s">
        <v>29</v>
      </c>
      <c r="O22" s="48" t="s">
        <v>29</v>
      </c>
      <c r="P22" s="46" t="s">
        <v>29</v>
      </c>
      <c r="Q22" s="48" t="s">
        <v>29</v>
      </c>
      <c r="R22" s="46">
        <v>100</v>
      </c>
      <c r="S22" s="46">
        <v>1</v>
      </c>
      <c r="T22" s="46">
        <v>0</v>
      </c>
      <c r="U22" s="46">
        <v>0</v>
      </c>
    </row>
    <row r="23" spans="1:21" ht="10.8" thickBot="1" x14ac:dyDescent="0.25">
      <c r="A23" s="56" t="s">
        <v>34</v>
      </c>
      <c r="B23" s="56" t="s">
        <v>35</v>
      </c>
      <c r="C23" s="56" t="s">
        <v>46</v>
      </c>
      <c r="D23" s="56" t="s">
        <v>176</v>
      </c>
      <c r="E23" s="56" t="s">
        <v>177</v>
      </c>
      <c r="F23" s="56" t="s">
        <v>178</v>
      </c>
      <c r="G23" s="57" t="s">
        <v>47</v>
      </c>
      <c r="H23" s="58" t="s">
        <v>27</v>
      </c>
      <c r="I23" s="58" t="s">
        <v>41</v>
      </c>
      <c r="J23" s="59" t="s">
        <v>42</v>
      </c>
      <c r="K23" s="60">
        <v>0.5</v>
      </c>
      <c r="L23" s="60" t="s">
        <v>45</v>
      </c>
      <c r="M23" s="46">
        <v>2020</v>
      </c>
      <c r="N23" s="46" t="s">
        <v>29</v>
      </c>
      <c r="O23" s="48" t="s">
        <v>29</v>
      </c>
      <c r="P23" s="46" t="s">
        <v>29</v>
      </c>
      <c r="Q23" s="48" t="s">
        <v>29</v>
      </c>
      <c r="R23" s="46">
        <v>100</v>
      </c>
      <c r="S23" s="46">
        <v>0.5</v>
      </c>
      <c r="T23" s="46">
        <v>0</v>
      </c>
      <c r="U23" s="46">
        <v>0</v>
      </c>
    </row>
    <row r="24" spans="1:21" ht="10.8" thickBot="1" x14ac:dyDescent="0.25">
      <c r="A24" s="56" t="s">
        <v>34</v>
      </c>
      <c r="B24" s="56" t="s">
        <v>35</v>
      </c>
      <c r="C24" s="56" t="s">
        <v>46</v>
      </c>
      <c r="D24" s="56" t="s">
        <v>176</v>
      </c>
      <c r="E24" s="56" t="s">
        <v>177</v>
      </c>
      <c r="F24" s="56" t="s">
        <v>178</v>
      </c>
      <c r="G24" s="57" t="s">
        <v>32</v>
      </c>
      <c r="H24" s="58" t="s">
        <v>27</v>
      </c>
      <c r="I24" s="58" t="s">
        <v>41</v>
      </c>
      <c r="J24" s="59" t="s">
        <v>42</v>
      </c>
      <c r="K24" s="60">
        <v>0.5</v>
      </c>
      <c r="L24" s="60" t="s">
        <v>45</v>
      </c>
      <c r="M24" s="46">
        <v>2020</v>
      </c>
      <c r="N24" s="46" t="s">
        <v>29</v>
      </c>
      <c r="O24" s="48" t="s">
        <v>29</v>
      </c>
      <c r="P24" s="46" t="s">
        <v>29</v>
      </c>
      <c r="Q24" s="48" t="s">
        <v>29</v>
      </c>
      <c r="R24" s="46">
        <v>100</v>
      </c>
      <c r="S24" s="46">
        <v>0.5</v>
      </c>
      <c r="T24" s="46">
        <v>0</v>
      </c>
      <c r="U24" s="46">
        <v>0</v>
      </c>
    </row>
    <row r="25" spans="1:21" ht="10.8" thickBot="1" x14ac:dyDescent="0.25">
      <c r="A25" s="56" t="s">
        <v>34</v>
      </c>
      <c r="B25" s="56" t="s">
        <v>35</v>
      </c>
      <c r="C25" s="56" t="s">
        <v>46</v>
      </c>
      <c r="D25" s="56" t="s">
        <v>179</v>
      </c>
      <c r="E25" s="56" t="s">
        <v>180</v>
      </c>
      <c r="F25" s="56" t="s">
        <v>181</v>
      </c>
      <c r="G25" s="57" t="s">
        <v>143</v>
      </c>
      <c r="H25" s="58" t="s">
        <v>27</v>
      </c>
      <c r="I25" s="58" t="s">
        <v>41</v>
      </c>
      <c r="J25" s="59" t="s">
        <v>42</v>
      </c>
      <c r="K25" s="60">
        <v>0.5</v>
      </c>
      <c r="L25" s="60" t="s">
        <v>45</v>
      </c>
      <c r="M25" s="46">
        <v>2020</v>
      </c>
      <c r="N25" s="46" t="s">
        <v>29</v>
      </c>
      <c r="O25" s="48" t="s">
        <v>29</v>
      </c>
      <c r="P25" s="46" t="s">
        <v>29</v>
      </c>
      <c r="Q25" s="48" t="s">
        <v>29</v>
      </c>
      <c r="R25" s="46">
        <v>100</v>
      </c>
      <c r="S25" s="46">
        <v>0.5</v>
      </c>
      <c r="T25" s="46">
        <v>0</v>
      </c>
      <c r="U25" s="46">
        <v>0</v>
      </c>
    </row>
    <row r="26" spans="1:21" ht="10.8" thickBot="1" x14ac:dyDescent="0.25">
      <c r="A26" s="56" t="s">
        <v>34</v>
      </c>
      <c r="B26" s="56" t="s">
        <v>35</v>
      </c>
      <c r="C26" s="56" t="s">
        <v>46</v>
      </c>
      <c r="D26" s="56" t="s">
        <v>179</v>
      </c>
      <c r="E26" s="56" t="s">
        <v>180</v>
      </c>
      <c r="F26" s="56" t="s">
        <v>181</v>
      </c>
      <c r="G26" s="57" t="s">
        <v>32</v>
      </c>
      <c r="H26" s="58" t="s">
        <v>27</v>
      </c>
      <c r="I26" s="58" t="s">
        <v>41</v>
      </c>
      <c r="J26" s="59" t="s">
        <v>42</v>
      </c>
      <c r="K26" s="60">
        <v>0.5</v>
      </c>
      <c r="L26" s="60" t="s">
        <v>45</v>
      </c>
      <c r="M26" s="46">
        <v>2020</v>
      </c>
      <c r="N26" s="46" t="s">
        <v>29</v>
      </c>
      <c r="O26" s="48" t="s">
        <v>29</v>
      </c>
      <c r="P26" s="46" t="s">
        <v>29</v>
      </c>
      <c r="Q26" s="48" t="s">
        <v>29</v>
      </c>
      <c r="R26" s="46">
        <v>100</v>
      </c>
      <c r="S26" s="46">
        <v>0.5</v>
      </c>
      <c r="T26" s="46">
        <v>0</v>
      </c>
      <c r="U26" s="46">
        <v>0</v>
      </c>
    </row>
    <row r="27" spans="1:21" x14ac:dyDescent="0.2">
      <c r="A27" s="46" t="s">
        <v>41</v>
      </c>
      <c r="B27" s="46" t="s">
        <v>42</v>
      </c>
      <c r="C27" s="46" t="s">
        <v>46</v>
      </c>
      <c r="D27" s="46" t="s">
        <v>212</v>
      </c>
      <c r="E27" s="46" t="s">
        <v>213</v>
      </c>
      <c r="F27" s="46" t="s">
        <v>214</v>
      </c>
      <c r="G27" s="46" t="s">
        <v>44</v>
      </c>
      <c r="H27" s="46" t="s">
        <v>27</v>
      </c>
      <c r="I27" s="46" t="s">
        <v>41</v>
      </c>
      <c r="J27" s="46" t="s">
        <v>42</v>
      </c>
      <c r="K27" s="60">
        <v>0.5</v>
      </c>
      <c r="L27" s="60" t="s">
        <v>45</v>
      </c>
      <c r="M27" s="46">
        <v>2021</v>
      </c>
      <c r="N27" s="46" t="s">
        <v>29</v>
      </c>
      <c r="O27" s="48" t="s">
        <v>29</v>
      </c>
      <c r="P27" s="46" t="s">
        <v>29</v>
      </c>
      <c r="Q27" s="48" t="s">
        <v>29</v>
      </c>
      <c r="R27" s="46">
        <v>100</v>
      </c>
      <c r="S27" s="46">
        <v>0.5</v>
      </c>
      <c r="T27" s="46">
        <v>0</v>
      </c>
      <c r="U27" s="46">
        <v>0</v>
      </c>
    </row>
    <row r="28" spans="1:21" x14ac:dyDescent="0.2">
      <c r="A28" s="46" t="s">
        <v>41</v>
      </c>
      <c r="B28" s="46" t="s">
        <v>42</v>
      </c>
      <c r="C28" s="46" t="s">
        <v>46</v>
      </c>
      <c r="D28" s="46" t="s">
        <v>212</v>
      </c>
      <c r="E28" s="46" t="s">
        <v>213</v>
      </c>
      <c r="F28" s="46" t="s">
        <v>214</v>
      </c>
      <c r="G28" s="46" t="s">
        <v>72</v>
      </c>
      <c r="H28" s="46" t="s">
        <v>27</v>
      </c>
      <c r="I28" s="46" t="s">
        <v>41</v>
      </c>
      <c r="J28" s="46" t="s">
        <v>42</v>
      </c>
      <c r="K28" s="60">
        <v>0.5</v>
      </c>
      <c r="L28" s="60" t="s">
        <v>45</v>
      </c>
      <c r="M28" s="46">
        <v>2021</v>
      </c>
      <c r="N28" s="46" t="s">
        <v>29</v>
      </c>
      <c r="O28" s="48" t="s">
        <v>29</v>
      </c>
      <c r="P28" s="46" t="s">
        <v>29</v>
      </c>
      <c r="Q28" s="48" t="s">
        <v>29</v>
      </c>
      <c r="R28" s="46">
        <v>100</v>
      </c>
      <c r="S28" s="46">
        <v>0.5</v>
      </c>
      <c r="T28" s="46">
        <v>0</v>
      </c>
      <c r="U28" s="46">
        <v>0</v>
      </c>
    </row>
    <row r="29" spans="1:21" x14ac:dyDescent="0.2">
      <c r="A29" s="46" t="s">
        <v>41</v>
      </c>
      <c r="B29" s="46" t="s">
        <v>42</v>
      </c>
      <c r="C29" s="46" t="s">
        <v>46</v>
      </c>
      <c r="D29" s="46" t="s">
        <v>215</v>
      </c>
      <c r="E29" s="46" t="s">
        <v>216</v>
      </c>
      <c r="F29" s="46" t="s">
        <v>217</v>
      </c>
      <c r="G29" s="46" t="s">
        <v>73</v>
      </c>
      <c r="H29" s="46" t="s">
        <v>27</v>
      </c>
      <c r="I29" s="46" t="s">
        <v>41</v>
      </c>
      <c r="J29" s="46" t="s">
        <v>42</v>
      </c>
      <c r="K29" s="60">
        <v>0.5</v>
      </c>
      <c r="L29" s="60" t="s">
        <v>45</v>
      </c>
      <c r="M29" s="46">
        <v>2021</v>
      </c>
      <c r="N29" s="46" t="s">
        <v>29</v>
      </c>
      <c r="O29" s="48" t="s">
        <v>29</v>
      </c>
      <c r="P29" s="46" t="s">
        <v>29</v>
      </c>
      <c r="Q29" s="48" t="s">
        <v>29</v>
      </c>
      <c r="R29" s="46">
        <v>100</v>
      </c>
      <c r="S29" s="46">
        <v>0.5</v>
      </c>
      <c r="T29" s="46">
        <v>0</v>
      </c>
      <c r="U29" s="46">
        <v>0</v>
      </c>
    </row>
    <row r="30" spans="1:21" x14ac:dyDescent="0.2">
      <c r="A30" s="46" t="s">
        <v>41</v>
      </c>
      <c r="B30" s="46" t="s">
        <v>42</v>
      </c>
      <c r="C30" s="46" t="s">
        <v>46</v>
      </c>
      <c r="D30" s="46" t="s">
        <v>215</v>
      </c>
      <c r="E30" s="46" t="s">
        <v>216</v>
      </c>
      <c r="F30" s="46" t="s">
        <v>217</v>
      </c>
      <c r="G30" s="46" t="s">
        <v>32</v>
      </c>
      <c r="H30" s="46" t="s">
        <v>27</v>
      </c>
      <c r="I30" s="46" t="s">
        <v>41</v>
      </c>
      <c r="J30" s="46" t="s">
        <v>42</v>
      </c>
      <c r="K30" s="60">
        <v>0.5</v>
      </c>
      <c r="L30" s="60" t="s">
        <v>45</v>
      </c>
      <c r="M30" s="46">
        <v>2021</v>
      </c>
      <c r="N30" s="46" t="s">
        <v>29</v>
      </c>
      <c r="O30" s="48" t="s">
        <v>29</v>
      </c>
      <c r="P30" s="46" t="s">
        <v>29</v>
      </c>
      <c r="Q30" s="48" t="s">
        <v>29</v>
      </c>
      <c r="R30" s="46">
        <v>100</v>
      </c>
      <c r="S30" s="46">
        <v>0.5</v>
      </c>
      <c r="T30" s="46">
        <v>0</v>
      </c>
      <c r="U30" s="46">
        <v>0</v>
      </c>
    </row>
    <row r="31" spans="1:21" x14ac:dyDescent="0.2">
      <c r="A31" s="46" t="s">
        <v>34</v>
      </c>
      <c r="B31" s="46" t="s">
        <v>35</v>
      </c>
      <c r="C31" s="46" t="s">
        <v>46</v>
      </c>
      <c r="D31" s="46" t="s">
        <v>218</v>
      </c>
      <c r="E31" s="46" t="s">
        <v>219</v>
      </c>
      <c r="F31" s="46" t="s">
        <v>220</v>
      </c>
      <c r="G31" s="46" t="s">
        <v>54</v>
      </c>
      <c r="H31" s="46" t="s">
        <v>30</v>
      </c>
      <c r="I31" s="46" t="s">
        <v>41</v>
      </c>
      <c r="J31" s="46" t="s">
        <v>42</v>
      </c>
      <c r="K31" s="60">
        <v>1</v>
      </c>
      <c r="L31" s="60" t="s">
        <v>45</v>
      </c>
      <c r="M31" s="46">
        <v>2021</v>
      </c>
      <c r="N31" s="46" t="s">
        <v>29</v>
      </c>
      <c r="O31" s="48" t="s">
        <v>29</v>
      </c>
      <c r="P31" s="46" t="s">
        <v>29</v>
      </c>
      <c r="Q31" s="48" t="s">
        <v>29</v>
      </c>
      <c r="R31" s="46">
        <v>100</v>
      </c>
      <c r="S31" s="46">
        <v>1</v>
      </c>
      <c r="T31" s="46">
        <v>0</v>
      </c>
      <c r="U31" s="46">
        <v>0</v>
      </c>
    </row>
    <row r="32" spans="1:21" x14ac:dyDescent="0.2">
      <c r="A32" s="46" t="s">
        <v>34</v>
      </c>
      <c r="B32" s="46" t="s">
        <v>35</v>
      </c>
      <c r="C32" s="46" t="s">
        <v>46</v>
      </c>
      <c r="D32" s="46" t="s">
        <v>221</v>
      </c>
      <c r="E32" s="46" t="s">
        <v>222</v>
      </c>
      <c r="F32" s="46" t="s">
        <v>223</v>
      </c>
      <c r="G32" s="46" t="s">
        <v>224</v>
      </c>
      <c r="H32" s="46" t="s">
        <v>27</v>
      </c>
      <c r="I32" s="46" t="s">
        <v>41</v>
      </c>
      <c r="J32" s="46" t="s">
        <v>42</v>
      </c>
      <c r="K32" s="60">
        <v>0.5</v>
      </c>
      <c r="L32" s="60" t="s">
        <v>45</v>
      </c>
      <c r="M32" s="46">
        <v>2021</v>
      </c>
      <c r="N32" s="46" t="s">
        <v>29</v>
      </c>
      <c r="O32" s="48" t="s">
        <v>29</v>
      </c>
      <c r="P32" s="46" t="s">
        <v>29</v>
      </c>
      <c r="Q32" s="48" t="s">
        <v>29</v>
      </c>
      <c r="R32" s="46">
        <v>100</v>
      </c>
      <c r="S32" s="46">
        <v>0.5</v>
      </c>
      <c r="T32" s="46">
        <v>0</v>
      </c>
      <c r="U32" s="46">
        <v>0</v>
      </c>
    </row>
    <row r="33" spans="1:21" x14ac:dyDescent="0.2">
      <c r="A33" s="46" t="s">
        <v>34</v>
      </c>
      <c r="B33" s="46" t="s">
        <v>35</v>
      </c>
      <c r="C33" s="46" t="s">
        <v>46</v>
      </c>
      <c r="D33" s="46" t="s">
        <v>221</v>
      </c>
      <c r="E33" s="46" t="s">
        <v>222</v>
      </c>
      <c r="F33" s="46" t="s">
        <v>223</v>
      </c>
      <c r="G33" s="46" t="s">
        <v>225</v>
      </c>
      <c r="H33" s="46" t="s">
        <v>27</v>
      </c>
      <c r="I33" s="46" t="s">
        <v>41</v>
      </c>
      <c r="J33" s="46" t="s">
        <v>42</v>
      </c>
      <c r="K33" s="60">
        <v>0.5</v>
      </c>
      <c r="L33" s="60" t="s">
        <v>45</v>
      </c>
      <c r="M33" s="46">
        <v>2021</v>
      </c>
      <c r="N33" s="46" t="s">
        <v>29</v>
      </c>
      <c r="O33" s="48" t="s">
        <v>29</v>
      </c>
      <c r="P33" s="46" t="s">
        <v>29</v>
      </c>
      <c r="Q33" s="48" t="s">
        <v>29</v>
      </c>
      <c r="R33" s="46">
        <v>100</v>
      </c>
      <c r="S33" s="46">
        <v>0.5</v>
      </c>
      <c r="T33" s="46">
        <v>0</v>
      </c>
      <c r="U33" s="46">
        <v>0</v>
      </c>
    </row>
    <row r="34" spans="1:21" x14ac:dyDescent="0.2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/>
      <c r="P34" s="61"/>
      <c r="Q34" s="62"/>
      <c r="R34" s="61"/>
      <c r="S34" s="68">
        <f>SUM(S2:S33)</f>
        <v>21</v>
      </c>
      <c r="T34" s="61"/>
      <c r="U34" s="61"/>
    </row>
  </sheetData>
  <autoFilter ref="A1:U1" xr:uid="{00000000-0009-0000-0000-000000000000}">
    <sortState xmlns:xlrd2="http://schemas.microsoft.com/office/spreadsheetml/2017/richdata2" ref="A2:S1890">
      <sortCondition ref="K2:K1890"/>
      <sortCondition ref="D2:D189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4"/>
  <sheetViews>
    <sheetView topLeftCell="A4" zoomScaleNormal="100" workbookViewId="0">
      <selection activeCell="S24" sqref="S24"/>
    </sheetView>
  </sheetViews>
  <sheetFormatPr baseColWidth="10" defaultColWidth="11.44140625" defaultRowHeight="13.2" x14ac:dyDescent="0.25"/>
  <cols>
    <col min="1" max="1" width="10.88671875" style="18" bestFit="1" customWidth="1"/>
    <col min="2" max="2" width="39.886718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2" t="s">
        <v>77</v>
      </c>
      <c r="B1" s="22" t="s">
        <v>78</v>
      </c>
      <c r="C1" s="22" t="s">
        <v>79</v>
      </c>
      <c r="D1" s="23">
        <v>2017</v>
      </c>
      <c r="E1" s="23">
        <v>2018</v>
      </c>
      <c r="F1" s="23">
        <v>2019</v>
      </c>
      <c r="G1" s="23">
        <v>2020</v>
      </c>
      <c r="H1" s="23">
        <v>2021</v>
      </c>
      <c r="I1" s="23">
        <v>2022</v>
      </c>
      <c r="J1" s="22" t="s">
        <v>80</v>
      </c>
      <c r="K1" s="24" t="s">
        <v>147</v>
      </c>
      <c r="L1" s="15" t="s">
        <v>81</v>
      </c>
      <c r="M1" s="15" t="s">
        <v>82</v>
      </c>
      <c r="N1" s="15" t="s">
        <v>83</v>
      </c>
      <c r="O1" s="15" t="s">
        <v>84</v>
      </c>
      <c r="P1" s="16" t="s">
        <v>85</v>
      </c>
      <c r="Q1" s="16" t="s">
        <v>86</v>
      </c>
      <c r="R1" s="16" t="s">
        <v>87</v>
      </c>
      <c r="S1" s="16" t="s">
        <v>88</v>
      </c>
    </row>
    <row r="2" spans="1:19" ht="14.4" x14ac:dyDescent="0.3">
      <c r="A2" s="20" t="s">
        <v>148</v>
      </c>
      <c r="B2" s="20" t="s">
        <v>149</v>
      </c>
      <c r="C2" s="21" t="s">
        <v>89</v>
      </c>
      <c r="D2" s="20"/>
      <c r="E2" s="20"/>
      <c r="F2" s="20"/>
      <c r="G2" s="20"/>
      <c r="H2" s="20">
        <v>1</v>
      </c>
      <c r="I2" s="20"/>
      <c r="J2" s="25">
        <v>1</v>
      </c>
      <c r="K2" s="25" t="s">
        <v>45</v>
      </c>
      <c r="L2" s="26">
        <v>0</v>
      </c>
      <c r="M2" s="26">
        <v>0</v>
      </c>
      <c r="N2" s="26" t="s">
        <v>29</v>
      </c>
      <c r="O2" s="26" t="s">
        <v>29</v>
      </c>
      <c r="P2" s="26">
        <v>100</v>
      </c>
      <c r="Q2" s="26">
        <v>0</v>
      </c>
      <c r="R2" s="26">
        <v>0</v>
      </c>
      <c r="S2" s="26">
        <v>1</v>
      </c>
    </row>
    <row r="3" spans="1:19" ht="14.4" x14ac:dyDescent="0.3">
      <c r="A3" s="25" t="s">
        <v>109</v>
      </c>
      <c r="B3" s="25" t="s">
        <v>110</v>
      </c>
      <c r="C3" s="25" t="s">
        <v>89</v>
      </c>
      <c r="D3" s="25"/>
      <c r="E3" s="25"/>
      <c r="F3" s="25">
        <v>1</v>
      </c>
      <c r="G3" s="25"/>
      <c r="H3" s="25"/>
      <c r="I3" s="25"/>
      <c r="J3" s="25">
        <v>1</v>
      </c>
      <c r="K3" s="25" t="s">
        <v>45</v>
      </c>
      <c r="L3" s="26">
        <v>0</v>
      </c>
      <c r="M3" s="26">
        <v>0</v>
      </c>
      <c r="N3" s="26" t="s">
        <v>29</v>
      </c>
      <c r="O3" s="26" t="s">
        <v>29</v>
      </c>
      <c r="P3" s="26">
        <v>100</v>
      </c>
      <c r="Q3" s="26">
        <v>0</v>
      </c>
      <c r="R3" s="26">
        <v>0</v>
      </c>
      <c r="S3" s="26">
        <v>1</v>
      </c>
    </row>
    <row r="4" spans="1:19" ht="14.4" x14ac:dyDescent="0.3">
      <c r="A4" s="25" t="s">
        <v>150</v>
      </c>
      <c r="B4" s="25" t="s">
        <v>151</v>
      </c>
      <c r="C4" s="25" t="s">
        <v>90</v>
      </c>
      <c r="D4" s="25"/>
      <c r="E4" s="25"/>
      <c r="F4" s="25"/>
      <c r="G4" s="25">
        <v>1</v>
      </c>
      <c r="H4" s="25"/>
      <c r="I4" s="25"/>
      <c r="J4" s="25">
        <v>1</v>
      </c>
      <c r="K4" s="25" t="s">
        <v>45</v>
      </c>
      <c r="L4" s="26">
        <v>0</v>
      </c>
      <c r="M4" s="26">
        <v>0</v>
      </c>
      <c r="N4" s="26" t="s">
        <v>29</v>
      </c>
      <c r="O4" s="26" t="s">
        <v>29</v>
      </c>
      <c r="P4" s="26">
        <v>100</v>
      </c>
      <c r="Q4" s="26">
        <v>0</v>
      </c>
      <c r="R4" s="26">
        <v>0</v>
      </c>
      <c r="S4" s="26">
        <v>1</v>
      </c>
    </row>
    <row r="5" spans="1:19" ht="14.4" x14ac:dyDescent="0.3">
      <c r="A5" s="25" t="s">
        <v>95</v>
      </c>
      <c r="B5" s="25" t="s">
        <v>96</v>
      </c>
      <c r="C5" s="25" t="s">
        <v>89</v>
      </c>
      <c r="D5" s="25"/>
      <c r="E5" s="25"/>
      <c r="F5" s="25">
        <v>1</v>
      </c>
      <c r="G5" s="25"/>
      <c r="H5" s="25"/>
      <c r="I5" s="25"/>
      <c r="J5" s="25">
        <v>1</v>
      </c>
      <c r="K5" s="25" t="s">
        <v>45</v>
      </c>
      <c r="L5" s="26" t="s">
        <v>40</v>
      </c>
      <c r="M5" s="26" t="s">
        <v>31</v>
      </c>
      <c r="N5" s="26" t="s">
        <v>29</v>
      </c>
      <c r="O5" s="26" t="s">
        <v>29</v>
      </c>
      <c r="P5" s="26">
        <v>0</v>
      </c>
      <c r="Q5" s="26">
        <v>1</v>
      </c>
      <c r="R5" s="26">
        <v>0</v>
      </c>
      <c r="S5" s="26">
        <v>0</v>
      </c>
    </row>
    <row r="6" spans="1:19" ht="14.4" x14ac:dyDescent="0.3">
      <c r="A6" s="25" t="s">
        <v>107</v>
      </c>
      <c r="B6" s="25" t="s">
        <v>108</v>
      </c>
      <c r="C6" s="25" t="s">
        <v>89</v>
      </c>
      <c r="D6" s="25"/>
      <c r="E6" s="25"/>
      <c r="F6" s="25"/>
      <c r="G6" s="25"/>
      <c r="H6" s="25">
        <v>1</v>
      </c>
      <c r="I6" s="25"/>
      <c r="J6" s="25">
        <v>1</v>
      </c>
      <c r="K6" s="25" t="s">
        <v>45</v>
      </c>
      <c r="L6" s="26">
        <v>0</v>
      </c>
      <c r="M6" s="26">
        <v>0</v>
      </c>
      <c r="N6" s="26" t="s">
        <v>29</v>
      </c>
      <c r="O6" s="26" t="s">
        <v>29</v>
      </c>
      <c r="P6" s="26">
        <v>100</v>
      </c>
      <c r="Q6" s="26">
        <v>0</v>
      </c>
      <c r="R6" s="26">
        <v>0</v>
      </c>
      <c r="S6" s="26">
        <v>1</v>
      </c>
    </row>
    <row r="7" spans="1:19" ht="14.4" x14ac:dyDescent="0.3">
      <c r="A7" s="25" t="s">
        <v>119</v>
      </c>
      <c r="B7" s="25" t="s">
        <v>120</v>
      </c>
      <c r="C7" s="25" t="s">
        <v>89</v>
      </c>
      <c r="D7" s="25">
        <v>1</v>
      </c>
      <c r="E7" s="25"/>
      <c r="F7" s="25"/>
      <c r="G7" s="25"/>
      <c r="H7" s="25"/>
      <c r="I7" s="25"/>
      <c r="J7" s="25">
        <v>1</v>
      </c>
      <c r="K7" s="25" t="s">
        <v>45</v>
      </c>
      <c r="L7" s="26" t="s">
        <v>40</v>
      </c>
      <c r="M7" s="26" t="s">
        <v>31</v>
      </c>
      <c r="N7" s="26" t="s">
        <v>29</v>
      </c>
      <c r="O7" s="26" t="s">
        <v>29</v>
      </c>
      <c r="P7" s="26">
        <v>0</v>
      </c>
      <c r="Q7" s="26">
        <v>1</v>
      </c>
      <c r="R7" s="26">
        <v>0</v>
      </c>
      <c r="S7" s="26">
        <v>0</v>
      </c>
    </row>
    <row r="8" spans="1:19" ht="14.4" x14ac:dyDescent="0.3">
      <c r="A8" s="25" t="s">
        <v>118</v>
      </c>
      <c r="B8" s="25" t="s">
        <v>226</v>
      </c>
      <c r="C8" s="25" t="s">
        <v>89</v>
      </c>
      <c r="D8" s="25"/>
      <c r="E8" s="25"/>
      <c r="F8" s="25"/>
      <c r="G8" s="25"/>
      <c r="H8" s="25">
        <v>1</v>
      </c>
      <c r="I8" s="25"/>
      <c r="J8" s="25">
        <v>1</v>
      </c>
      <c r="K8" s="25" t="s">
        <v>45</v>
      </c>
      <c r="L8" s="26">
        <v>0</v>
      </c>
      <c r="M8" s="26">
        <v>0</v>
      </c>
      <c r="N8" s="26" t="s">
        <v>29</v>
      </c>
      <c r="O8" s="26" t="s">
        <v>29</v>
      </c>
      <c r="P8" s="26">
        <v>100</v>
      </c>
      <c r="Q8" s="26">
        <v>0</v>
      </c>
      <c r="R8" s="26">
        <v>0</v>
      </c>
      <c r="S8" s="26">
        <v>1</v>
      </c>
    </row>
    <row r="9" spans="1:19" ht="14.4" x14ac:dyDescent="0.3">
      <c r="A9" s="25" t="s">
        <v>111</v>
      </c>
      <c r="B9" s="25" t="s">
        <v>112</v>
      </c>
      <c r="C9" s="25" t="s">
        <v>89</v>
      </c>
      <c r="D9" s="25">
        <v>1</v>
      </c>
      <c r="E9" s="25"/>
      <c r="F9" s="25"/>
      <c r="G9" s="25"/>
      <c r="H9" s="25"/>
      <c r="I9" s="25"/>
      <c r="J9" s="25">
        <v>1</v>
      </c>
      <c r="K9" s="25" t="s">
        <v>45</v>
      </c>
      <c r="L9" s="26">
        <v>0</v>
      </c>
      <c r="M9" s="26">
        <v>0</v>
      </c>
      <c r="N9" s="26" t="s">
        <v>29</v>
      </c>
      <c r="O9" s="26" t="s">
        <v>29</v>
      </c>
      <c r="P9" s="26">
        <v>100</v>
      </c>
      <c r="Q9" s="26">
        <v>0</v>
      </c>
      <c r="R9" s="26">
        <v>0</v>
      </c>
      <c r="S9" s="26">
        <v>1</v>
      </c>
    </row>
    <row r="10" spans="1:19" ht="14.4" x14ac:dyDescent="0.3">
      <c r="A10" s="25" t="s">
        <v>116</v>
      </c>
      <c r="B10" s="25" t="s">
        <v>117</v>
      </c>
      <c r="C10" s="25" t="s">
        <v>89</v>
      </c>
      <c r="D10" s="25">
        <v>1</v>
      </c>
      <c r="E10" s="25"/>
      <c r="F10" s="25"/>
      <c r="G10" s="25"/>
      <c r="H10" s="25"/>
      <c r="I10" s="25"/>
      <c r="J10" s="25">
        <v>1</v>
      </c>
      <c r="K10" s="25" t="s">
        <v>45</v>
      </c>
      <c r="L10" s="26">
        <v>0</v>
      </c>
      <c r="M10" s="26">
        <v>0</v>
      </c>
      <c r="N10" s="26" t="s">
        <v>29</v>
      </c>
      <c r="O10" s="26" t="s">
        <v>29</v>
      </c>
      <c r="P10" s="26">
        <v>100</v>
      </c>
      <c r="Q10" s="26">
        <v>0</v>
      </c>
      <c r="R10" s="26">
        <v>0</v>
      </c>
      <c r="S10" s="26">
        <v>1</v>
      </c>
    </row>
    <row r="11" spans="1:19" ht="14.4" x14ac:dyDescent="0.3">
      <c r="A11" s="25" t="s">
        <v>97</v>
      </c>
      <c r="B11" s="25" t="s">
        <v>98</v>
      </c>
      <c r="C11" s="25" t="s">
        <v>89</v>
      </c>
      <c r="D11" s="25">
        <v>1</v>
      </c>
      <c r="E11" s="25"/>
      <c r="F11" s="25"/>
      <c r="G11" s="25"/>
      <c r="H11" s="25"/>
      <c r="I11" s="25"/>
      <c r="J11" s="25">
        <v>1</v>
      </c>
      <c r="K11" s="25" t="s">
        <v>45</v>
      </c>
      <c r="L11" s="26">
        <v>0</v>
      </c>
      <c r="M11" s="26">
        <v>0</v>
      </c>
      <c r="N11" s="26" t="s">
        <v>29</v>
      </c>
      <c r="O11" s="26" t="s">
        <v>29</v>
      </c>
      <c r="P11" s="26">
        <v>100</v>
      </c>
      <c r="Q11" s="26">
        <v>0</v>
      </c>
      <c r="R11" s="26">
        <v>0</v>
      </c>
      <c r="S11" s="26">
        <v>1</v>
      </c>
    </row>
    <row r="12" spans="1:19" ht="14.4" x14ac:dyDescent="0.3">
      <c r="A12" s="25" t="s">
        <v>101</v>
      </c>
      <c r="B12" s="25" t="s">
        <v>102</v>
      </c>
      <c r="C12" s="25" t="s">
        <v>89</v>
      </c>
      <c r="D12" s="25"/>
      <c r="E12" s="25"/>
      <c r="F12" s="25">
        <v>1</v>
      </c>
      <c r="G12" s="25"/>
      <c r="H12" s="25"/>
      <c r="I12" s="25"/>
      <c r="J12" s="25">
        <v>1</v>
      </c>
      <c r="K12" s="25" t="s">
        <v>45</v>
      </c>
      <c r="L12" s="26">
        <v>0</v>
      </c>
      <c r="M12" s="26">
        <v>0</v>
      </c>
      <c r="N12" s="26" t="s">
        <v>29</v>
      </c>
      <c r="O12" s="26" t="s">
        <v>29</v>
      </c>
      <c r="P12" s="26">
        <v>100</v>
      </c>
      <c r="Q12" s="26">
        <v>0</v>
      </c>
      <c r="R12" s="26">
        <v>0</v>
      </c>
      <c r="S12" s="26">
        <v>1</v>
      </c>
    </row>
    <row r="13" spans="1:19" ht="14.4" x14ac:dyDescent="0.3">
      <c r="A13" s="25" t="s">
        <v>227</v>
      </c>
      <c r="B13" s="25" t="s">
        <v>228</v>
      </c>
      <c r="C13" s="25" t="s">
        <v>90</v>
      </c>
      <c r="D13" s="25"/>
      <c r="E13" s="25"/>
      <c r="F13" s="25"/>
      <c r="G13" s="25"/>
      <c r="H13" s="25"/>
      <c r="I13" s="25">
        <v>3</v>
      </c>
      <c r="J13" s="25">
        <v>3</v>
      </c>
      <c r="K13" s="25" t="s">
        <v>45</v>
      </c>
      <c r="L13" s="26">
        <v>0</v>
      </c>
      <c r="M13" s="26">
        <v>0</v>
      </c>
      <c r="N13" s="26" t="s">
        <v>29</v>
      </c>
      <c r="O13" s="26" t="s">
        <v>29</v>
      </c>
      <c r="P13" s="26">
        <v>100</v>
      </c>
      <c r="Q13" s="26">
        <v>0</v>
      </c>
      <c r="R13" s="26">
        <v>0</v>
      </c>
      <c r="S13" s="26">
        <v>3</v>
      </c>
    </row>
    <row r="14" spans="1:19" ht="14.4" x14ac:dyDescent="0.3">
      <c r="A14" s="25" t="s">
        <v>196</v>
      </c>
      <c r="B14" s="25" t="s">
        <v>197</v>
      </c>
      <c r="C14" s="25" t="s">
        <v>90</v>
      </c>
      <c r="D14" s="25"/>
      <c r="E14" s="25"/>
      <c r="F14" s="25"/>
      <c r="G14" s="25"/>
      <c r="H14" s="25">
        <v>3</v>
      </c>
      <c r="I14" s="25"/>
      <c r="J14" s="25">
        <v>3</v>
      </c>
      <c r="K14" s="25" t="s">
        <v>45</v>
      </c>
      <c r="L14" s="26">
        <v>0</v>
      </c>
      <c r="M14" s="26">
        <v>0</v>
      </c>
      <c r="N14" s="26" t="s">
        <v>29</v>
      </c>
      <c r="O14" s="26" t="s">
        <v>29</v>
      </c>
      <c r="P14" s="26">
        <v>100</v>
      </c>
      <c r="Q14" s="26">
        <v>0</v>
      </c>
      <c r="R14" s="26">
        <v>0</v>
      </c>
      <c r="S14" s="26">
        <v>3</v>
      </c>
    </row>
    <row r="15" spans="1:19" ht="14.4" x14ac:dyDescent="0.3">
      <c r="A15" s="25" t="s">
        <v>93</v>
      </c>
      <c r="B15" s="25" t="s">
        <v>94</v>
      </c>
      <c r="C15" s="25" t="s">
        <v>90</v>
      </c>
      <c r="D15" s="25"/>
      <c r="E15" s="25"/>
      <c r="F15" s="25"/>
      <c r="G15" s="25"/>
      <c r="H15" s="25"/>
      <c r="I15" s="25">
        <v>2</v>
      </c>
      <c r="J15" s="25">
        <v>2</v>
      </c>
      <c r="K15" s="25" t="s">
        <v>45</v>
      </c>
      <c r="L15" s="26">
        <v>0</v>
      </c>
      <c r="M15" s="26">
        <v>0</v>
      </c>
      <c r="N15" s="26" t="s">
        <v>29</v>
      </c>
      <c r="O15" s="26" t="s">
        <v>29</v>
      </c>
      <c r="P15" s="26">
        <v>100</v>
      </c>
      <c r="Q15" s="26">
        <v>0</v>
      </c>
      <c r="R15" s="26">
        <v>0</v>
      </c>
      <c r="S15" s="26">
        <v>2</v>
      </c>
    </row>
    <row r="16" spans="1:19" ht="14.4" x14ac:dyDescent="0.3">
      <c r="A16" s="25" t="s">
        <v>105</v>
      </c>
      <c r="B16" s="25" t="s">
        <v>106</v>
      </c>
      <c r="C16" s="25" t="s">
        <v>89</v>
      </c>
      <c r="D16" s="25">
        <v>1</v>
      </c>
      <c r="E16" s="25"/>
      <c r="F16" s="25"/>
      <c r="G16" s="25"/>
      <c r="H16" s="25"/>
      <c r="I16" s="25"/>
      <c r="J16" s="25">
        <v>1</v>
      </c>
      <c r="K16" s="25" t="s">
        <v>45</v>
      </c>
      <c r="L16" s="26">
        <v>0</v>
      </c>
      <c r="M16" s="26">
        <v>0</v>
      </c>
      <c r="N16" s="26" t="s">
        <v>29</v>
      </c>
      <c r="O16" s="26" t="s">
        <v>29</v>
      </c>
      <c r="P16" s="26">
        <v>100</v>
      </c>
      <c r="Q16" s="26">
        <v>0</v>
      </c>
      <c r="R16" s="26">
        <v>0</v>
      </c>
      <c r="S16" s="26">
        <v>1</v>
      </c>
    </row>
    <row r="17" spans="1:19" ht="14.4" x14ac:dyDescent="0.3">
      <c r="A17" s="25" t="s">
        <v>113</v>
      </c>
      <c r="B17" s="25" t="s">
        <v>114</v>
      </c>
      <c r="C17" s="25" t="s">
        <v>89</v>
      </c>
      <c r="D17" s="25"/>
      <c r="E17" s="25"/>
      <c r="F17" s="25"/>
      <c r="G17" s="25"/>
      <c r="H17" s="25"/>
      <c r="I17" s="25">
        <v>1</v>
      </c>
      <c r="J17" s="25">
        <v>1</v>
      </c>
      <c r="K17" s="25" t="s">
        <v>45</v>
      </c>
      <c r="L17" s="26" t="s">
        <v>40</v>
      </c>
      <c r="M17" s="26" t="s">
        <v>31</v>
      </c>
      <c r="N17" s="26" t="s">
        <v>29</v>
      </c>
      <c r="O17" s="26" t="s">
        <v>29</v>
      </c>
      <c r="P17" s="26">
        <v>0</v>
      </c>
      <c r="Q17" s="26">
        <v>1</v>
      </c>
      <c r="R17" s="26">
        <v>0</v>
      </c>
      <c r="S17" s="26">
        <v>0</v>
      </c>
    </row>
    <row r="18" spans="1:19" ht="14.4" x14ac:dyDescent="0.3">
      <c r="A18" s="25" t="s">
        <v>103</v>
      </c>
      <c r="B18" s="25" t="s">
        <v>104</v>
      </c>
      <c r="C18" s="25" t="s">
        <v>89</v>
      </c>
      <c r="D18" s="25"/>
      <c r="E18" s="25"/>
      <c r="F18" s="25">
        <v>1</v>
      </c>
      <c r="G18" s="25"/>
      <c r="H18" s="25"/>
      <c r="I18" s="25"/>
      <c r="J18" s="25">
        <v>1</v>
      </c>
      <c r="K18" s="25" t="s">
        <v>45</v>
      </c>
      <c r="L18" s="26" t="s">
        <v>40</v>
      </c>
      <c r="M18" s="26" t="s">
        <v>28</v>
      </c>
      <c r="N18" s="26" t="s">
        <v>29</v>
      </c>
      <c r="O18" s="26" t="s">
        <v>29</v>
      </c>
      <c r="P18" s="26">
        <v>50</v>
      </c>
      <c r="Q18" s="26">
        <v>0.5</v>
      </c>
      <c r="R18" s="26">
        <v>0</v>
      </c>
      <c r="S18" s="26">
        <v>0.5</v>
      </c>
    </row>
    <row r="19" spans="1:19" ht="14.4" x14ac:dyDescent="0.3">
      <c r="A19" s="25" t="s">
        <v>115</v>
      </c>
      <c r="B19" s="25" t="s">
        <v>144</v>
      </c>
      <c r="C19" s="27" t="s">
        <v>89</v>
      </c>
      <c r="D19" s="25">
        <v>1</v>
      </c>
      <c r="E19" s="25"/>
      <c r="F19" s="25"/>
      <c r="G19" s="25"/>
      <c r="H19" s="25"/>
      <c r="I19" s="25">
        <v>1</v>
      </c>
      <c r="J19" s="25">
        <v>2</v>
      </c>
      <c r="K19" s="25" t="s">
        <v>45</v>
      </c>
      <c r="L19" s="26">
        <v>0</v>
      </c>
      <c r="M19" s="26">
        <v>0</v>
      </c>
      <c r="N19" s="26" t="s">
        <v>29</v>
      </c>
      <c r="O19" s="26" t="s">
        <v>29</v>
      </c>
      <c r="P19" s="26">
        <v>100</v>
      </c>
      <c r="Q19" s="26">
        <v>0</v>
      </c>
      <c r="R19" s="26">
        <v>0</v>
      </c>
      <c r="S19" s="26">
        <v>2</v>
      </c>
    </row>
    <row r="20" spans="1:19" ht="14.4" x14ac:dyDescent="0.3">
      <c r="A20" s="25" t="s">
        <v>145</v>
      </c>
      <c r="B20" s="25" t="s">
        <v>146</v>
      </c>
      <c r="C20" s="27" t="s">
        <v>89</v>
      </c>
      <c r="D20" s="25"/>
      <c r="E20" s="25"/>
      <c r="F20" s="25"/>
      <c r="G20" s="25">
        <v>1</v>
      </c>
      <c r="H20" s="25"/>
      <c r="I20" s="25"/>
      <c r="J20" s="25">
        <v>1</v>
      </c>
      <c r="K20" s="25" t="s">
        <v>45</v>
      </c>
      <c r="L20" s="26">
        <v>0</v>
      </c>
      <c r="M20" s="26">
        <v>0</v>
      </c>
      <c r="N20" s="26" t="s">
        <v>29</v>
      </c>
      <c r="O20" s="26" t="s">
        <v>29</v>
      </c>
      <c r="P20" s="26">
        <v>100</v>
      </c>
      <c r="Q20" s="26">
        <v>0</v>
      </c>
      <c r="R20" s="26">
        <v>0</v>
      </c>
      <c r="S20" s="26">
        <v>1</v>
      </c>
    </row>
    <row r="21" spans="1:19" ht="14.4" x14ac:dyDescent="0.3">
      <c r="A21" s="25" t="s">
        <v>229</v>
      </c>
      <c r="B21" s="25" t="s">
        <v>230</v>
      </c>
      <c r="C21" s="27" t="s">
        <v>90</v>
      </c>
      <c r="D21" s="25"/>
      <c r="E21" s="25"/>
      <c r="F21" s="25"/>
      <c r="G21" s="25"/>
      <c r="H21" s="25"/>
      <c r="I21" s="25">
        <v>1</v>
      </c>
      <c r="J21" s="25">
        <v>1</v>
      </c>
      <c r="K21" s="25" t="s">
        <v>45</v>
      </c>
      <c r="L21" s="26">
        <v>0</v>
      </c>
      <c r="M21" s="26">
        <v>0</v>
      </c>
      <c r="N21" s="26" t="s">
        <v>29</v>
      </c>
      <c r="O21" s="26" t="s">
        <v>29</v>
      </c>
      <c r="P21" s="26">
        <v>100</v>
      </c>
      <c r="Q21" s="26">
        <v>0</v>
      </c>
      <c r="R21" s="26">
        <v>0</v>
      </c>
      <c r="S21" s="26">
        <v>1</v>
      </c>
    </row>
    <row r="22" spans="1:19" ht="14.4" x14ac:dyDescent="0.3">
      <c r="A22" s="25" t="s">
        <v>91</v>
      </c>
      <c r="B22" s="25" t="s">
        <v>92</v>
      </c>
      <c r="C22" s="27" t="s">
        <v>152</v>
      </c>
      <c r="D22" s="25"/>
      <c r="E22" s="25"/>
      <c r="F22" s="25"/>
      <c r="G22" s="25"/>
      <c r="H22" s="25"/>
      <c r="I22" s="25">
        <v>1</v>
      </c>
      <c r="J22" s="25">
        <v>1</v>
      </c>
      <c r="K22" s="25" t="s">
        <v>45</v>
      </c>
      <c r="L22" s="26">
        <v>0</v>
      </c>
      <c r="M22" s="26">
        <v>0</v>
      </c>
      <c r="N22" s="26" t="s">
        <v>29</v>
      </c>
      <c r="O22" s="26" t="s">
        <v>29</v>
      </c>
      <c r="P22" s="26">
        <v>100</v>
      </c>
      <c r="Q22" s="26">
        <v>0</v>
      </c>
      <c r="R22" s="26">
        <v>0</v>
      </c>
      <c r="S22" s="26">
        <v>1</v>
      </c>
    </row>
    <row r="23" spans="1:19" ht="14.4" x14ac:dyDescent="0.3">
      <c r="A23" s="25" t="s">
        <v>99</v>
      </c>
      <c r="B23" s="25" t="s">
        <v>100</v>
      </c>
      <c r="C23" s="27" t="s">
        <v>152</v>
      </c>
      <c r="D23" s="25"/>
      <c r="E23" s="25"/>
      <c r="F23" s="25"/>
      <c r="G23" s="25"/>
      <c r="H23" s="25"/>
      <c r="I23" s="25">
        <v>1</v>
      </c>
      <c r="J23" s="25">
        <v>1</v>
      </c>
      <c r="K23" s="25" t="s">
        <v>45</v>
      </c>
      <c r="L23" s="26">
        <v>0</v>
      </c>
      <c r="M23" s="26">
        <v>0</v>
      </c>
      <c r="N23" s="26" t="s">
        <v>29</v>
      </c>
      <c r="O23" s="26" t="s">
        <v>29</v>
      </c>
      <c r="P23" s="26">
        <v>100</v>
      </c>
      <c r="Q23" s="26">
        <v>0</v>
      </c>
      <c r="R23" s="26">
        <v>0</v>
      </c>
      <c r="S23" s="26">
        <v>1</v>
      </c>
    </row>
    <row r="24" spans="1:19" ht="14.4" x14ac:dyDescent="0.3">
      <c r="A24" s="63"/>
      <c r="B24" s="63"/>
      <c r="C24" s="64"/>
      <c r="D24" s="63"/>
      <c r="E24" s="63"/>
      <c r="F24" s="63"/>
      <c r="G24" s="63"/>
      <c r="H24" s="63"/>
      <c r="I24" s="63"/>
      <c r="J24" s="65"/>
      <c r="K24" s="63"/>
      <c r="L24" s="63"/>
      <c r="M24" s="63"/>
      <c r="N24" s="63"/>
      <c r="O24" s="63"/>
      <c r="P24" s="63"/>
      <c r="Q24" s="63"/>
      <c r="R24" s="63"/>
      <c r="S24" s="69">
        <f>SUM(S2:S23)</f>
        <v>24.5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zoomScaleNormal="100" workbookViewId="0">
      <selection activeCell="A10" sqref="A10:B2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121</v>
      </c>
      <c r="B2" s="5"/>
    </row>
    <row r="3" spans="1:2" x14ac:dyDescent="0.2">
      <c r="A3" s="4" t="s">
        <v>122</v>
      </c>
      <c r="B3" s="5">
        <v>3324</v>
      </c>
    </row>
    <row r="4" spans="1:2" x14ac:dyDescent="0.2">
      <c r="A4" s="4" t="s">
        <v>123</v>
      </c>
      <c r="B4" s="5"/>
    </row>
    <row r="5" spans="1:2" x14ac:dyDescent="0.2">
      <c r="A5" s="4" t="s">
        <v>124</v>
      </c>
      <c r="B5" s="5">
        <v>3000</v>
      </c>
    </row>
    <row r="6" spans="1:2" x14ac:dyDescent="0.2">
      <c r="A6" s="4" t="s">
        <v>125</v>
      </c>
      <c r="B6" s="5"/>
    </row>
    <row r="7" spans="1:2" x14ac:dyDescent="0.2">
      <c r="A7" s="4" t="s">
        <v>126</v>
      </c>
      <c r="B7" s="5">
        <v>0.2</v>
      </c>
    </row>
    <row r="8" spans="1:2" x14ac:dyDescent="0.2">
      <c r="A8" s="4" t="s">
        <v>127</v>
      </c>
      <c r="B8" s="5">
        <v>4.97</v>
      </c>
    </row>
    <row r="9" spans="1:2" x14ac:dyDescent="0.2">
      <c r="A9" s="4" t="s">
        <v>128</v>
      </c>
      <c r="B9" s="5"/>
    </row>
    <row r="10" spans="1:2" x14ac:dyDescent="0.2">
      <c r="A10" s="4" t="s">
        <v>127</v>
      </c>
      <c r="B10" s="5">
        <v>7.21</v>
      </c>
    </row>
    <row r="11" spans="1:2" x14ac:dyDescent="0.2">
      <c r="A11" s="4" t="s">
        <v>3</v>
      </c>
      <c r="B11" s="5"/>
    </row>
    <row r="12" spans="1:2" x14ac:dyDescent="0.2">
      <c r="A12" s="4" t="s">
        <v>129</v>
      </c>
      <c r="B12" s="5">
        <v>10080</v>
      </c>
    </row>
    <row r="13" spans="1:2" x14ac:dyDescent="0.2">
      <c r="A13" s="4" t="s">
        <v>4</v>
      </c>
      <c r="B13" s="5"/>
    </row>
    <row r="14" spans="1:2" x14ac:dyDescent="0.2">
      <c r="A14" s="4" t="s">
        <v>130</v>
      </c>
      <c r="B14" s="5">
        <v>8174.99</v>
      </c>
    </row>
    <row r="15" spans="1:2" x14ac:dyDescent="0.2">
      <c r="A15" s="4" t="s">
        <v>5</v>
      </c>
      <c r="B15" s="5"/>
    </row>
    <row r="16" spans="1:2" x14ac:dyDescent="0.2">
      <c r="A16" s="4" t="s">
        <v>131</v>
      </c>
      <c r="B16" s="5">
        <v>3375</v>
      </c>
    </row>
    <row r="17" spans="1:2" x14ac:dyDescent="0.2">
      <c r="A17" s="4" t="s">
        <v>132</v>
      </c>
      <c r="B17" s="5"/>
    </row>
    <row r="18" spans="1:2" x14ac:dyDescent="0.2">
      <c r="A18" s="4" t="s">
        <v>133</v>
      </c>
      <c r="B18" s="5">
        <v>32839.81</v>
      </c>
    </row>
    <row r="19" spans="1:2" x14ac:dyDescent="0.2">
      <c r="A19" s="4" t="s">
        <v>134</v>
      </c>
      <c r="B19" s="5"/>
    </row>
    <row r="20" spans="1:2" x14ac:dyDescent="0.2">
      <c r="A20" s="4" t="s">
        <v>135</v>
      </c>
      <c r="B20" s="5">
        <v>36342.5</v>
      </c>
    </row>
    <row r="21" spans="1:2" x14ac:dyDescent="0.2">
      <c r="A21" s="4" t="s">
        <v>136</v>
      </c>
      <c r="B21" s="5"/>
    </row>
    <row r="22" spans="1:2" x14ac:dyDescent="0.2">
      <c r="A22" s="4" t="s">
        <v>137</v>
      </c>
      <c r="B22" s="5">
        <v>20000</v>
      </c>
    </row>
    <row r="23" spans="1:2" x14ac:dyDescent="0.2">
      <c r="A23" s="6" t="s">
        <v>2</v>
      </c>
      <c r="B23" s="7">
        <f>SUM(B3:B22)</f>
        <v>117148.68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22D5-EF6A-4A2C-94B0-9BEDA201921A}">
  <dimension ref="A1:B22"/>
  <sheetViews>
    <sheetView zoomScaleNormal="100" workbookViewId="0">
      <selection activeCell="A34" sqref="A3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182</v>
      </c>
      <c r="B2" s="5"/>
    </row>
    <row r="3" spans="1:2" x14ac:dyDescent="0.2">
      <c r="A3" s="4" t="s">
        <v>183</v>
      </c>
      <c r="B3" s="5">
        <v>1071.7</v>
      </c>
    </row>
    <row r="4" spans="1:2" x14ac:dyDescent="0.2">
      <c r="A4" s="4" t="s">
        <v>121</v>
      </c>
      <c r="B4" s="5"/>
    </row>
    <row r="5" spans="1:2" x14ac:dyDescent="0.2">
      <c r="A5" s="4" t="s">
        <v>184</v>
      </c>
      <c r="B5" s="5">
        <v>1950.08</v>
      </c>
    </row>
    <row r="6" spans="1:2" x14ac:dyDescent="0.2">
      <c r="A6" s="4" t="s">
        <v>123</v>
      </c>
      <c r="B6" s="5"/>
    </row>
    <row r="7" spans="1:2" x14ac:dyDescent="0.2">
      <c r="A7" s="4" t="s">
        <v>185</v>
      </c>
      <c r="B7" s="5">
        <v>1760</v>
      </c>
    </row>
    <row r="8" spans="1:2" x14ac:dyDescent="0.2">
      <c r="A8" s="4" t="s">
        <v>5</v>
      </c>
      <c r="B8" s="5"/>
    </row>
    <row r="9" spans="1:2" x14ac:dyDescent="0.2">
      <c r="A9" s="4" t="s">
        <v>186</v>
      </c>
      <c r="B9" s="5">
        <v>6750</v>
      </c>
    </row>
    <row r="10" spans="1:2" x14ac:dyDescent="0.2">
      <c r="A10" s="4" t="s">
        <v>132</v>
      </c>
      <c r="B10" s="5"/>
    </row>
    <row r="11" spans="1:2" x14ac:dyDescent="0.2">
      <c r="A11" s="4" t="s">
        <v>187</v>
      </c>
      <c r="B11" s="5">
        <v>68911.64</v>
      </c>
    </row>
    <row r="12" spans="1:2" x14ac:dyDescent="0.2">
      <c r="A12" s="4" t="s">
        <v>134</v>
      </c>
      <c r="B12" s="5"/>
    </row>
    <row r="13" spans="1:2" x14ac:dyDescent="0.2">
      <c r="A13" s="4" t="s">
        <v>188</v>
      </c>
      <c r="B13" s="5">
        <v>62000</v>
      </c>
    </row>
    <row r="14" spans="1:2" x14ac:dyDescent="0.2">
      <c r="A14" s="4" t="s">
        <v>136</v>
      </c>
      <c r="B14" s="5"/>
    </row>
    <row r="15" spans="1:2" x14ac:dyDescent="0.2">
      <c r="A15" s="4" t="s">
        <v>189</v>
      </c>
      <c r="B15" s="5">
        <v>20000</v>
      </c>
    </row>
    <row r="16" spans="1:2" x14ac:dyDescent="0.2">
      <c r="A16" s="4" t="s">
        <v>190</v>
      </c>
      <c r="B16" s="5"/>
    </row>
    <row r="17" spans="1:2" x14ac:dyDescent="0.2">
      <c r="A17" s="4" t="s">
        <v>191</v>
      </c>
      <c r="B17" s="5">
        <v>4130</v>
      </c>
    </row>
    <row r="18" spans="1:2" x14ac:dyDescent="0.2">
      <c r="A18" s="4" t="s">
        <v>192</v>
      </c>
      <c r="B18" s="5"/>
    </row>
    <row r="19" spans="1:2" x14ac:dyDescent="0.2">
      <c r="A19" s="4" t="s">
        <v>193</v>
      </c>
      <c r="B19" s="5">
        <v>3310</v>
      </c>
    </row>
    <row r="20" spans="1:2" x14ac:dyDescent="0.2">
      <c r="A20" s="4" t="s">
        <v>194</v>
      </c>
      <c r="B20" s="5"/>
    </row>
    <row r="21" spans="1:2" x14ac:dyDescent="0.2">
      <c r="A21" s="4" t="s">
        <v>195</v>
      </c>
      <c r="B21" s="5">
        <v>5733</v>
      </c>
    </row>
    <row r="22" spans="1:2" x14ac:dyDescent="0.2">
      <c r="A22" s="6" t="s">
        <v>2</v>
      </c>
      <c r="B22" s="7">
        <f>SUM(B3:B21)</f>
        <v>175616.41999999998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27A9-DCE8-48DA-91C5-8843192DF499}">
  <dimension ref="A1:C12"/>
  <sheetViews>
    <sheetView zoomScaleNormal="100" workbookViewId="0">
      <selection activeCell="C12" sqref="C12"/>
    </sheetView>
  </sheetViews>
  <sheetFormatPr baseColWidth="10" defaultColWidth="11.44140625" defaultRowHeight="14.4" x14ac:dyDescent="0.3"/>
  <cols>
    <col min="1" max="1" width="13.5546875" bestFit="1" customWidth="1"/>
    <col min="2" max="2" width="87" customWidth="1"/>
  </cols>
  <sheetData>
    <row r="1" spans="1:3" ht="15" thickBot="1" x14ac:dyDescent="0.35">
      <c r="A1" s="29" t="s">
        <v>198</v>
      </c>
      <c r="B1" s="29" t="s">
        <v>199</v>
      </c>
      <c r="C1" s="30" t="s">
        <v>1</v>
      </c>
    </row>
    <row r="2" spans="1:3" ht="29.4" thickTop="1" x14ac:dyDescent="0.3">
      <c r="A2" s="33" t="s">
        <v>200</v>
      </c>
      <c r="B2" s="34" t="s">
        <v>201</v>
      </c>
      <c r="C2" s="35">
        <v>12760</v>
      </c>
    </row>
    <row r="3" spans="1:3" ht="28.8" x14ac:dyDescent="0.3">
      <c r="A3" s="36" t="s">
        <v>5</v>
      </c>
      <c r="B3" s="37" t="s">
        <v>202</v>
      </c>
      <c r="C3" s="38">
        <v>9000</v>
      </c>
    </row>
    <row r="4" spans="1:3" ht="28.8" x14ac:dyDescent="0.3">
      <c r="A4" s="33" t="s">
        <v>132</v>
      </c>
      <c r="B4" s="34" t="s">
        <v>203</v>
      </c>
      <c r="C4" s="35">
        <v>64000</v>
      </c>
    </row>
    <row r="5" spans="1:3" x14ac:dyDescent="0.3">
      <c r="A5" s="36" t="s">
        <v>190</v>
      </c>
      <c r="B5" s="37" t="s">
        <v>204</v>
      </c>
      <c r="C5" s="38">
        <v>20650</v>
      </c>
    </row>
    <row r="6" spans="1:3" x14ac:dyDescent="0.3">
      <c r="A6" s="33" t="s">
        <v>192</v>
      </c>
      <c r="B6" s="34" t="s">
        <v>205</v>
      </c>
      <c r="C6" s="35">
        <v>16550</v>
      </c>
    </row>
    <row r="7" spans="1:3" x14ac:dyDescent="0.3">
      <c r="A7" s="36" t="s">
        <v>194</v>
      </c>
      <c r="B7" s="37" t="s">
        <v>206</v>
      </c>
      <c r="C7" s="38">
        <v>14112</v>
      </c>
    </row>
    <row r="8" spans="1:3" x14ac:dyDescent="0.3">
      <c r="A8" s="33" t="s">
        <v>207</v>
      </c>
      <c r="B8" s="34" t="s">
        <v>208</v>
      </c>
      <c r="C8" s="35">
        <v>137620.6</v>
      </c>
    </row>
    <row r="9" spans="1:3" ht="29.4" thickBot="1" x14ac:dyDescent="0.35">
      <c r="A9" s="36" t="s">
        <v>209</v>
      </c>
      <c r="B9" s="37" t="s">
        <v>210</v>
      </c>
      <c r="C9" s="38">
        <v>1071.27</v>
      </c>
    </row>
    <row r="10" spans="1:3" ht="15" thickTop="1" x14ac:dyDescent="0.3">
      <c r="A10" s="31"/>
      <c r="B10" s="31"/>
      <c r="C10" s="32">
        <v>275763.87</v>
      </c>
    </row>
    <row r="12" spans="1:3" x14ac:dyDescent="0.3">
      <c r="B12" s="66" t="s">
        <v>231</v>
      </c>
      <c r="C12" s="67">
        <f>C10+'Ingresos investigación 2020'!B22+'Ingresos investigación 2019'!B23</f>
        <v>568528.97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zoomScaleNormal="100" workbookViewId="0">
      <selection activeCell="B7" sqref="B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138</v>
      </c>
      <c r="B2" s="5"/>
    </row>
    <row r="3" spans="1:2" x14ac:dyDescent="0.2">
      <c r="A3" s="4" t="s">
        <v>127</v>
      </c>
      <c r="B3" s="5">
        <v>101.7</v>
      </c>
    </row>
    <row r="4" spans="1:2" x14ac:dyDescent="0.2">
      <c r="A4" s="4" t="s">
        <v>139</v>
      </c>
      <c r="B4" s="5">
        <v>0.9</v>
      </c>
    </row>
    <row r="5" spans="1:2" x14ac:dyDescent="0.2">
      <c r="A5" s="6" t="s">
        <v>2</v>
      </c>
      <c r="B5" s="7">
        <f>SUM(B3:B4)</f>
        <v>102.60000000000001</v>
      </c>
    </row>
    <row r="7" spans="1:2" x14ac:dyDescent="0.2">
      <c r="B7" s="28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9805-56DD-443D-9E90-9FAF87311BA5}">
  <dimension ref="A1:C8"/>
  <sheetViews>
    <sheetView zoomScaleNormal="100" workbookViewId="0">
      <selection activeCell="B14" sqref="B14"/>
    </sheetView>
  </sheetViews>
  <sheetFormatPr baseColWidth="10" defaultColWidth="11.44140625" defaultRowHeight="14.4" x14ac:dyDescent="0.3"/>
  <cols>
    <col min="1" max="1" width="13.88671875" bestFit="1" customWidth="1"/>
    <col min="2" max="2" width="63.6640625" bestFit="1" customWidth="1"/>
  </cols>
  <sheetData>
    <row r="1" spans="1:3" x14ac:dyDescent="0.3">
      <c r="A1" s="40" t="s">
        <v>198</v>
      </c>
      <c r="B1" s="40" t="s">
        <v>199</v>
      </c>
      <c r="C1" s="41" t="s">
        <v>1</v>
      </c>
    </row>
    <row r="2" spans="1:3" ht="15" thickBot="1" x14ac:dyDescent="0.35">
      <c r="A2" s="42" t="s">
        <v>138</v>
      </c>
      <c r="B2" s="42" t="s">
        <v>211</v>
      </c>
      <c r="C2" s="43">
        <v>2.52</v>
      </c>
    </row>
    <row r="3" spans="1:3" ht="15" thickTop="1" x14ac:dyDescent="0.3">
      <c r="A3" s="44"/>
      <c r="B3" s="44"/>
      <c r="C3" s="45">
        <v>2.52</v>
      </c>
    </row>
    <row r="5" spans="1:3" x14ac:dyDescent="0.3">
      <c r="C5" s="39"/>
    </row>
    <row r="8" spans="1:3" x14ac:dyDescent="0.3">
      <c r="B8" s="66" t="s">
        <v>232</v>
      </c>
      <c r="C8" s="67">
        <f>C3+'Ingresos formación 2019'!B5</f>
        <v>105.12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2022-10-18T14:29:41Z</dcterms:modified>
</cp:coreProperties>
</file>