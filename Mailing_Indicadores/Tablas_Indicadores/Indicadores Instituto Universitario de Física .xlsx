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Institutos\"/>
    </mc:Choice>
  </mc:AlternateContent>
  <xr:revisionPtr revIDLastSave="0" documentId="13_ncr:1_{B0B36EF3-480B-43CC-8463-360F0BA01989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5" r:id="rId3"/>
    <sheet name="ingresos investigación 2020" sheetId="6" r:id="rId4"/>
    <sheet name="Ingresos investigación 2021" sheetId="7" r:id="rId5"/>
  </sheets>
  <definedNames>
    <definedName name="_xlnm._FilterDatabase" localSheetId="1" hidden="1">Sexenios!$A$1:$S$42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8" i="3" l="1"/>
  <c r="T28" i="2" l="1"/>
  <c r="B50" i="5" l="1"/>
  <c r="D22" i="7" s="1"/>
</calcChain>
</file>

<file path=xl/sharedStrings.xml><?xml version="1.0" encoding="utf-8"?>
<sst xmlns="http://schemas.openxmlformats.org/spreadsheetml/2006/main" count="963" uniqueCount="373">
  <si>
    <t>Orgánica
Descripción justificante</t>
  </si>
  <si>
    <t>Importe</t>
  </si>
  <si>
    <t>Total</t>
  </si>
  <si>
    <t>41.70.6C.00.22</t>
  </si>
  <si>
    <t>41.70.6P.00.06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</si>
  <si>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</si>
  <si>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</si>
  <si>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</si>
  <si>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</si>
  <si>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</si>
  <si>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</si>
  <si>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</si>
  <si>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</si>
  <si>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</si>
  <si>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</si>
  <si>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</si>
  <si>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</si>
  <si>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</si>
  <si>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</si>
  <si>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</si>
  <si>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</si>
  <si>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</si>
  <si>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</si>
  <si>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</si>
  <si>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</si>
  <si>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</si>
  <si>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</si>
  <si>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</si>
  <si>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</si>
  <si>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10.16</t>
  </si>
  <si>
    <t>14/07/2017 </t>
  </si>
  <si>
    <t>U066 </t>
  </si>
  <si>
    <t>ADM. I.U. FÍSICA APLICADA A LA CIENCIAS Y A LAS TECNOLOGIAS </t>
  </si>
  <si>
    <t>DOCTORADO EN FÍSICA APLICADA A LAS CIENCIAS Y LAS TECNOLOGÍAS </t>
  </si>
  <si>
    <t>10.20</t>
  </si>
  <si>
    <t>Jiménez Padilla, Juan Luis </t>
  </si>
  <si>
    <t>ESTUDIO COLORIMÉTRICO DE LAS TINCIONES OCASIONADAS POR LAS TÉCNICAS DE REVASCULARIZACIÓN PULPAR Y SU TRATAMIENTO </t>
  </si>
  <si>
    <t>15/02/2019 </t>
  </si>
  <si>
    <t>B112 </t>
  </si>
  <si>
    <t>DIDACTICA GENERAL Y DIDÁCTICAS ESPECÍFICAS </t>
  </si>
  <si>
    <t>50</t>
  </si>
  <si>
    <t>20</t>
  </si>
  <si>
    <t>B156</t>
  </si>
  <si>
    <t>B185 </t>
  </si>
  <si>
    <t>INGENIERÍA CIVIL </t>
  </si>
  <si>
    <t>DOCTORADO EN INGENIERÍA DE MATERIALES, ESTRUCTURAS Y TERRENO: CONSTR. SOST. </t>
  </si>
  <si>
    <t>B185</t>
  </si>
  <si>
    <t>40</t>
  </si>
  <si>
    <t>11/07/2017 </t>
  </si>
  <si>
    <t>19/07/2018 </t>
  </si>
  <si>
    <t>03/07/2017 </t>
  </si>
  <si>
    <t>B112</t>
  </si>
  <si>
    <t>DOCTORADO EN INVESTIGACIÓN EDUCATIVA: ENSEÑANZA Y APRENDIZAJE </t>
  </si>
  <si>
    <t>B149 </t>
  </si>
  <si>
    <t>FISICA, INGENIERIA DE SISTEMAS Y TEORIA DE LA SEÑAL </t>
  </si>
  <si>
    <t>B149</t>
  </si>
  <si>
    <t>21386831M </t>
  </si>
  <si>
    <t>Colomer Barberá, Rafael </t>
  </si>
  <si>
    <t>EFECTO DE LA ENSEÑANZA PROBLEMATIZADA DE LA ASTRONOMÍA DIURNA (CICLOS Y SIMETRÍAS DEL MOVIMIENTO DEL SOL Y EL MODELO SOL/TIERRA) EN LOS CONOMICIEMTOS Y LAS ACTITUDES DE LOS FUTUROS MAESTROS DE PRIMARIA </t>
  </si>
  <si>
    <t>48345196R </t>
  </si>
  <si>
    <t>DOCTORADO EN CIENCIAS Y TECNOLOGÍAS FÍSICAS </t>
  </si>
  <si>
    <t>73989362H </t>
  </si>
  <si>
    <t>48350620C </t>
  </si>
  <si>
    <t>19099684R </t>
  </si>
  <si>
    <t>Fernández Fernández, Roberto </t>
  </si>
  <si>
    <t>CHARACTERIZATION OF PHOTOPOLYMER-BASED DIFFRACTIVE OPTICAL ELEMENTS </t>
  </si>
  <si>
    <t>03/03/2017 </t>
  </si>
  <si>
    <t>05162571Z </t>
  </si>
  <si>
    <t>Carbajo San Martín, Jesús </t>
  </si>
  <si>
    <t>CONTRIBUTIONS TO THE STUDY OF THE ACOUSTIC PROPERTIES OF POROUS MATERIALS </t>
  </si>
  <si>
    <t>Poveda Martínez, Pedro </t>
  </si>
  <si>
    <t>MÉTRICAS DE CALIDAD SONORA APLICADAS A PRODUCTOS INDUSTRIALES Y DE CONSUMO </t>
  </si>
  <si>
    <t>24/09/2018 </t>
  </si>
  <si>
    <t>Esteve Rico, Juan Carlos </t>
  </si>
  <si>
    <t>ANÁLISIS DE LAS PROPIEDADES ACÚSTICAS DEL TROMBÓN Y SU APLICACIÓN EN EL AULA DE VIENTO-METAL MEDIANTE LAS TIC </t>
  </si>
  <si>
    <t>05/09/2018 </t>
  </si>
  <si>
    <t>48328421Q </t>
  </si>
  <si>
    <t>B178 </t>
  </si>
  <si>
    <t>ÓPTICA, FARMACOLOGÍA Y ANATOMÍA </t>
  </si>
  <si>
    <t>B178</t>
  </si>
  <si>
    <t>DOCTORADO EN TECNOLOGÍAS PARA LA SALUD Y EL BIENESTAR (VISIÓN Y OPTOMETRÍA) </t>
  </si>
  <si>
    <t>29168744Y </t>
  </si>
  <si>
    <t>21516909H </t>
  </si>
  <si>
    <t>Molina Martin, Ainhoa </t>
  </si>
  <si>
    <t>CARACTERIZACIÓN DEL PATRÓN DE FIJACIÓN Y SU RELACIÓN CON LA SENSIBILIDAD RETINIANA EN DISTINTOS GRUPOS POBLACIONALES MEDIANTE MICROPERIMETRÍA DE NUEVA GENERACIÓN </t>
  </si>
  <si>
    <t>21/06/2017 </t>
  </si>
  <si>
    <t>Pérez Prados, Roque </t>
  </si>
  <si>
    <t>CARACTERIZACIÓN DE LOS FACTORES CLAVE PARA LA ADAPTACIÓN DE LENTES DE CONTACTO HIDROFÍLICAS MULTIFOCALES </t>
  </si>
  <si>
    <t>Caravaca Arens, Esteban </t>
  </si>
  <si>
    <t>OPTIMIZACIÓN DEL CÁLCULO DE LA POTENCIA CORNEAL Y DE LENTES INTRAOCULARES EN CASOS DE PATOLOGÍA CORNEAL ECTÁSICA. </t>
  </si>
  <si>
    <t>Gómez Lozano, Omar </t>
  </si>
  <si>
    <t>VALIDACIÓN Y DETECCIÓN DEL EFECTO DE TEXTURA SPARKLE MEDIANTE EVALUACIONES VISUALES </t>
  </si>
  <si>
    <t>22135613E </t>
  </si>
  <si>
    <t>Fernández Pérez, Joaquín Francisco </t>
  </si>
  <si>
    <t>CIRUGÍA REFRACTIVA LÁSER CORNEAL SMILE: RESULTADOS VISUALES Y BIOMECÁNICA EN MIOPÍAS BAJAS, MEDIAS Y ALTAS </t>
  </si>
  <si>
    <t>27/07/2017 </t>
  </si>
  <si>
    <t>21443507D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</si>
  <si>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</si>
  <si>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</si>
  <si>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</si>
  <si>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</si>
  <si>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</si>
  <si>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</si>
  <si>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</si>
  <si>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</si>
  <si>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</si>
  <si>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</si>
  <si>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</si>
  <si>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</si>
  <si>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</si>
  <si>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</si>
  <si>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48674922E</t>
  </si>
  <si>
    <t>ALVAREZ LOPEZ, MARIELA LAZARA</t>
  </si>
  <si>
    <t>05162571Z</t>
  </si>
  <si>
    <t>BELENDEZ VAZQUEZ, AUGUSTO</t>
  </si>
  <si>
    <t>50591680Y</t>
  </si>
  <si>
    <t>BENAVIDEZ LOZANO, PAULA GABRIELA</t>
  </si>
  <si>
    <t>33492959Z</t>
  </si>
  <si>
    <t>BLEDA PEREZ, SERGIO</t>
  </si>
  <si>
    <t>X0325201G</t>
  </si>
  <si>
    <t>CAMPO BAGATIN, ADRIANO</t>
  </si>
  <si>
    <t>73995818B</t>
  </si>
  <si>
    <t>ESPINOSA TOMAS, JULIAN</t>
  </si>
  <si>
    <t>48325137K</t>
  </si>
  <si>
    <t>FERNANDEZ VARO, MARIA HELENA</t>
  </si>
  <si>
    <t>25414751G</t>
  </si>
  <si>
    <t>FERRER CRESPO, MARIA BELEN</t>
  </si>
  <si>
    <t>48328421Q</t>
  </si>
  <si>
    <t>FRANCES MONLLOR, JORGE</t>
  </si>
  <si>
    <t>74626785L</t>
  </si>
  <si>
    <t>FUENTES ROSILLO, ROSA MARIA</t>
  </si>
  <si>
    <t>21499481R</t>
  </si>
  <si>
    <t>GALIANA MERINO, JUAN JOSE</t>
  </si>
  <si>
    <t>48350620C</t>
  </si>
  <si>
    <t>GALLEGO RICO, SERGI</t>
  </si>
  <si>
    <t>21508379K</t>
  </si>
  <si>
    <t>GARCIA LLOPIS, CELIA</t>
  </si>
  <si>
    <t>24229915J</t>
  </si>
  <si>
    <t>GIL CHICA, FRANCISCO JAVIER</t>
  </si>
  <si>
    <t>74221742Y</t>
  </si>
  <si>
    <t>LIMIÑANA MORCILLO, RUBEN</t>
  </si>
  <si>
    <t>X3722234Y</t>
  </si>
  <si>
    <t>52437293F</t>
  </si>
  <si>
    <t>MARQUEZ RUIZ, ANDRES</t>
  </si>
  <si>
    <t>22142307T</t>
  </si>
  <si>
    <t>MARTINEZ GUARDIOLA, FRANCISCO JAVIER</t>
  </si>
  <si>
    <t>21386831M</t>
  </si>
  <si>
    <t>MARTINEZ TORREGROSA, JOAQUIN</t>
  </si>
  <si>
    <t>33491671Z</t>
  </si>
  <si>
    <t>MAS CANDELA, DAVID SALVADOR</t>
  </si>
  <si>
    <t>48345196R</t>
  </si>
  <si>
    <t>MENARGUES MARCILLA, MARIA ASUNCION</t>
  </si>
  <si>
    <t>21502688B</t>
  </si>
  <si>
    <t>MENDEZ ALCARAZ, DAVID ISRAEL</t>
  </si>
  <si>
    <t>20015950Q</t>
  </si>
  <si>
    <t>MIRET MARI, JUAN JOSE</t>
  </si>
  <si>
    <t>33477513R</t>
  </si>
  <si>
    <t>NEIPP LOPEZ, CRISTIAN</t>
  </si>
  <si>
    <t>29013624K</t>
  </si>
  <si>
    <t>ORTUÑO SANCHEZ, MANUEL FRANCISCO</t>
  </si>
  <si>
    <t>21983769R</t>
  </si>
  <si>
    <t>48539812Z</t>
  </si>
  <si>
    <t>PEREZ MOLINA, MANUEL</t>
  </si>
  <si>
    <t>21456187Q</t>
  </si>
  <si>
    <t>PEREZ RODRIGUEZ, JORGE</t>
  </si>
  <si>
    <t>73989362H</t>
  </si>
  <si>
    <t>RAMIS SORIANO, JAIME</t>
  </si>
  <si>
    <t>21451275A</t>
  </si>
  <si>
    <t>RODES ROCA, JOSE JOAQUIN</t>
  </si>
  <si>
    <t>74002223E</t>
  </si>
  <si>
    <t>SANCHEZ SORIANO, MIGUEL ANGEL</t>
  </si>
  <si>
    <t>19099684R</t>
  </si>
  <si>
    <t>TORREJON VAZQUEZ, JOSE MIGUEL</t>
  </si>
  <si>
    <t>21456823P</t>
  </si>
  <si>
    <t>VAZQUEZ FERRI, CARMEN</t>
  </si>
  <si>
    <t>33493609C</t>
  </si>
  <si>
    <t>CALZADO ESTEPA, EVA MARIA</t>
  </si>
  <si>
    <t>52583754G</t>
  </si>
  <si>
    <t>MOLINA PALACIOS, SERGIO</t>
  </si>
  <si>
    <t>REF. 2120. FACTURA FINAL. "DESARROLLO DE ALTAS PRESTACIONES TÉCNICAS Y APLICACIONES ESPECIALES DEKTON"</t>
  </si>
  <si>
    <t>41.70.6C.00.37</t>
  </si>
  <si>
    <t>DESARROLLO DE UN NOVEDOSO SISTEMA RACK PARA TRANSPORTE MARÍTIMO</t>
  </si>
  <si>
    <t>41.70.6C.00.38</t>
  </si>
  <si>
    <t>FACTURA PROYECTO "DESARROLLO DE UN NUEVO SISTEMA ROTOR EN MAQUINARIA SEPARADORA DE HUESO Y PULPA DE ORUJO"</t>
  </si>
  <si>
    <t>41.70.6C.00.39</t>
  </si>
  <si>
    <t>PROYECTO "DESARROLLO DE UN NUEVO PROCESO DE FABRICACIÓN DE ENVASES PARA BEBIDAS CON SISTEMA DE AUTOCALENTAMIENTO"</t>
  </si>
  <si>
    <t>41.70.6C.00.40</t>
  </si>
  <si>
    <t>FACTURA PROYECTO "AUMENTO DEL RENDIMIENTO DE EXTRACCIÓN DEL ACEITE MEDIANTE EL CONTROL DE HUMEDAD EN ORUJERAS"</t>
  </si>
  <si>
    <t>41.70.6C.00.42</t>
  </si>
  <si>
    <t xml:space="preserve">DESARROLLO DE UN NOVEDOSO ASIENTO DESTINADO A PERSONAS SENIOR - MOBISENIOR. </t>
  </si>
  <si>
    <t>41.70.6C.00.43</t>
  </si>
  <si>
    <t>DESARROLLO DE UNA NOVEDOSA MESA DE REUNIONES CON CONECTIVIDAD ELÉCTRICA Y MULTIMEDIA INTEGRADA - MESREUNION</t>
  </si>
  <si>
    <t>41.70.6C.00.44</t>
  </si>
  <si>
    <t>DESARROLLO DE UN ANUEVA MESA DE ELEVADA ADAPTABILIDAD Y LIGEREZA - MESALIGERA</t>
  </si>
  <si>
    <t>41.70.6C.00.45</t>
  </si>
  <si>
    <t>DESARROLLO DE UN SOFÁ DE MÁXIMO CONFORT Y ESTRUCTURA ARMÓNICA - SOFACONFOR.</t>
  </si>
  <si>
    <t>41.70.6C.00.46</t>
  </si>
  <si>
    <t>DESARROLLO DE UN SOFÁ DE ELEVADA LIGEREZA FORMAL Y ALTAS PRESTACIONES FUNCIONALES- SOFALIGERO</t>
  </si>
  <si>
    <t>41.70.6C.00.47</t>
  </si>
  <si>
    <t>DESARROLLO DE UNA SILLA MONOCARCASA CON BRAZOS INTEGRADOS - SINTEGRADA</t>
  </si>
  <si>
    <t>41.70.6C.00.48</t>
  </si>
  <si>
    <t xml:space="preserve">PROYECTO ARTAGO 2018 DESARROLLO DE UN NOVEDOSO SISTEMA ANTIRROBO CON PLETINA ROTATIVA PARA MOTOCICLETAS -ANTIRROTAT </t>
  </si>
  <si>
    <t>41.70.6C.00.49</t>
  </si>
  <si>
    <t>DESARROLLO DE UN NOVEDOSO SOFÁ DE ELEVADA COMPLEJIDAD ESTRUCTURAL-SOFACOMPLE</t>
  </si>
  <si>
    <t>41.70.6C.00.50</t>
  </si>
  <si>
    <t>FIMO2017_ESTUDIO Y DESARROLLO DE NUEVAS SOLUCIONES PARA AISLAMIENTO ACÚSTICO AL RUIDO AÉREO EN INTERIORES</t>
  </si>
  <si>
    <t>41.70.6C.00.51</t>
  </si>
  <si>
    <t>FIMO2018_ESTUDIO Y DESARROLLO DE NUEVAS SOLUCIONES PARA AISLAMIENTO ACÚSTICO AL RUIDO AÉREO EN INTERIORES</t>
  </si>
  <si>
    <t>41.70.6C.00.52</t>
  </si>
  <si>
    <t>FUNTAM_DESARROLLO DE UNA NOVEDOSA ESTRUCTURA TUBULAR DE ALTA RESISTENCIA ANTE CONDICIONES CLIMATOLÓGICAS ADVERSAS</t>
  </si>
  <si>
    <t>41.70.6C.00.53</t>
  </si>
  <si>
    <t>DESARROLLO DE UNA NOVEDOSA BANQUETA MONOBLOCK DE ALTAS PRESTACIONES-STOOLBLOCK</t>
  </si>
  <si>
    <t>41.70.6C.00.54</t>
  </si>
  <si>
    <t>REPRINFLEX2017_NUEVA ESTRATEGIA SOSTENIBLE DE IMPRESIÓN DE ENVASES FLEXIBLES</t>
  </si>
  <si>
    <t>41.70.6C.00.55</t>
  </si>
  <si>
    <t>Proyecto "Desarrollo de nuevas barbacoas multifunción con propiedades anticorrosivas mejoradas- PLANCHACOA"</t>
  </si>
  <si>
    <t>41.70.6C.00.56</t>
  </si>
  <si>
    <t>Proyecto I+D+i: REPRINFLEX (2018)</t>
  </si>
  <si>
    <t>LIBERADOS EL 18/03/19, ANUALIDAD 2019 PROYECTOS I+D (PIA1) N EXPEDIENTE: PIA12017-1 -2 ANUALIDAD REFERENCIA: ESP2017-85691-P. REF. ORDENANTE: 27402219310015477.</t>
  </si>
  <si>
    <t>41.70.6P.00.10</t>
  </si>
  <si>
    <t xml:space="preserve">CDEIGENT/2018  ANUALIDAD 2019RESOLUCION 28/12/2018 SUBVENCIONES DOCTOESY DOCTORAS CON EXPERIENCIA INTERN </t>
  </si>
  <si>
    <t>41.70.6P.00.11</t>
  </si>
  <si>
    <t xml:space="preserve">SUBVENCIONES REALIZACION PROYECTOS I+D+IGRUPOS INVESTIGACION EMERGENTES GV/2019 </t>
  </si>
  <si>
    <t>41.70.6X.00.01</t>
  </si>
  <si>
    <t>(CUP: C82I15000160006 - (UNIV. ALICANTE) TRASFERIMENTO PER PROGETTI DI R. REF. ORDENANTE: 00036622019MAN200087600000010013725. LA OFICINA DE GESTIÓN DE PROYECTOS INTERNACIONALES INFORMA QUE SE TRATA DEL TERCER PAGO DEL PROYECTO AHEAD.</t>
  </si>
  <si>
    <t>Soler Llorens, Juan Luis </t>
  </si>
  <si>
    <t>DISEÑO, IMPLEMENTACIÓN Y VALIDACIÓN DE SISTEMAS DE ADQUISICIÓN DE DATOS SÍSMICOS BASADOS EN ARDUINO </t>
  </si>
  <si>
    <t>16/12/2019 </t>
  </si>
  <si>
    <t>21499481R </t>
  </si>
  <si>
    <t>21372721V </t>
  </si>
  <si>
    <t>B156 </t>
  </si>
  <si>
    <t>CIENCIAS DE LA TIERRA Y DEL MEDIO AMBIENTE </t>
  </si>
  <si>
    <t>52765823M</t>
  </si>
  <si>
    <t>GARCIA GOMEZ, GABRIEL JESUS</t>
  </si>
  <si>
    <t>B117</t>
  </si>
  <si>
    <t>73996233N</t>
  </si>
  <si>
    <t>JARA BRAVO, CARLOS ALBERTO</t>
  </si>
  <si>
    <t>MARINI, STEPHAN</t>
  </si>
  <si>
    <t>48315036V</t>
  </si>
  <si>
    <t>ORTIZ ZAMORA, JAVIER</t>
  </si>
  <si>
    <t>52764629F</t>
  </si>
  <si>
    <t>POMARES BAEZA, JORGE</t>
  </si>
  <si>
    <t>48561192G</t>
  </si>
  <si>
    <t>ROSA CINTAS, SERGIO</t>
  </si>
  <si>
    <t>74362842R</t>
  </si>
  <si>
    <t>UBEDA CASTELLANOS, ANDRES</t>
  </si>
  <si>
    <t>COD DEP</t>
  </si>
  <si>
    <t>vivos</t>
  </si>
  <si>
    <t>DOCTORADO EN INVESTIGACIÓN EDUCATIVA </t>
  </si>
  <si>
    <t>Nicolás Castellano, Carolina </t>
  </si>
  <si>
    <t>Hacia el cambio didáctico en la enseñanza de las ciencias en la educación primaria: de la enseñanza transmisiva a la enseñanza problematizada </t>
  </si>
  <si>
    <t>20/04/2021 </t>
  </si>
  <si>
    <t>Martínez Chicharro, María </t>
  </si>
  <si>
    <t>Stellar wind diagnostic and accretion in the massive X-ray binary 4U1700-37 through high resolution X-ray spectroscopy </t>
  </si>
  <si>
    <t>28/05/2021 </t>
  </si>
  <si>
    <t> Numero
de tesis</t>
  </si>
  <si>
    <t>Tebar Martínez, Enrique Miguel </t>
  </si>
  <si>
    <t>ANÁLISIS ENERGÉTICO DE UN SISTEMA DE ALMACENAMIENTO DE ELECTRICIDAD EN BATERÍA MEDIANTE ENERGÍAS RENOVABLES CON CARACTERÍSTICA DE MODULARIDAD E INTERCAMBIABILIDAD EN VEHÍCULOS ELÉCTRICOS. </t>
  </si>
  <si>
    <t>15/09/2017 </t>
  </si>
  <si>
    <t>- </t>
  </si>
  <si>
    <t>41.70.6C.00.57</t>
  </si>
  <si>
    <t>NUEVOS APOYOS METÁLICOS PARA TORRES DE TELECOMUNICACIONES QUE INCORPOREN LA NUEVA TECNOLOGÍA 5G - FATELECO5G</t>
  </si>
  <si>
    <t>41.70.6C.00.58</t>
  </si>
  <si>
    <t>DESARROLLO DE NOVEDOSOS APOYOS METÁLICOS DE CELOSÍA PARA LÍNEAS ELÉCTRICAS AÉREAS DE EXCELENTES PRESTACIONES - FAMETALICO</t>
  </si>
  <si>
    <t>41.70.6C.00.59</t>
  </si>
  <si>
    <t>DESARROLLO DE UN NUEVO EQUIPO PARA EL VOLCADO VERTICAL Y CALIBRADO DE PRODUCTOS HORTOFRUTÍCOLAS</t>
  </si>
  <si>
    <t>41.70.6C.00.60</t>
  </si>
  <si>
    <t>DESARROLLO DE NUEVAS PRÓTESIS DE MAYORES PRESTACIONES EN LA IMPLANTOLOGÍA DENTAL</t>
  </si>
  <si>
    <t>41.70.6C.00.61</t>
  </si>
  <si>
    <t xml:space="preserve">DESARROLLO DE NUEVAS SOLUCIONES QUÍMICAS PARA EL TRATAMIENTO DE AGUAS EN PISCINAS. </t>
  </si>
  <si>
    <t>41.70.6C.00.62</t>
  </si>
  <si>
    <t>NUEVOS TRATAMIENTOS SUPERFICIALES PARA LA OBTENCIÓN DE MUEBLES DE ELEVADA RESISTENCIA</t>
  </si>
  <si>
    <t>41.70.6C.00.63</t>
  </si>
  <si>
    <t>(Ejercicio 2018) DISEÑO Y DESARROLLO DE UN NOVEDOSO SISTEMA DE TRITURADO QUE PERMITA REDUCIR EL TAMAÑO DE LA MATERIA PRIMA PARA LA PRODUCCIÓN DE CLINKER-CLINKER018</t>
  </si>
  <si>
    <t>41.70.6C.00.64</t>
  </si>
  <si>
    <t>(Ejercicio 2016) SISTEMA DE DETECCIÓN SELECCIÓN Y ADECUACIÓN DE MATERIAL MOLIDO PARA SU UTILIZACIÓN EN CLINKER</t>
  </si>
  <si>
    <t>41.70.6C.00.65</t>
  </si>
  <si>
    <t>(Ejercicio 2017) DISEÑO Y DESARROLLO DE UN NOVEDOSO SISTEMA DE TRITURADO QUE PERMITA REDUCIR EL TAMAÑO DE LA MATERIA PRIMA PARA LA PRODUCCIÓN DE CLINKER-CLINKER017</t>
  </si>
  <si>
    <t>41.70.6C.00.75</t>
  </si>
  <si>
    <t>DESARROLLO DE UNA NUEVA PUERTA CORTAFUEGOS CON PROPIEDADES SUSTANCIALMENTE MEJORADAS DE ALTAS PRESTACIONES PARA SU USO EN LA ANTARTIDA</t>
  </si>
  <si>
    <t>41.70.6C.00.76</t>
  </si>
  <si>
    <t>NUEVAS PUERTAS CORTAFUEGOS DE ALTAS PRESTACIONES, PARA USO EN AMBIENTES DE CARACTERÍSTICAS ESPECIALES.</t>
  </si>
  <si>
    <t>41.70.6C.00.78</t>
  </si>
  <si>
    <t>EVALUACIÓN TÉCNICA DE CONTENIDO Y EJECUCIÓN DEL PROYECTO DE I+D+i DE LA EMPRESA PUERTAS PADILLA, S.L. "NUEVAS PUERTAS CORTAFUEGOS DE ALTAS PRESTACIONES QUE REDUZCAN LAS EMISIONES DE CO2 EN CASO DE INCENDIO".</t>
  </si>
  <si>
    <t>41.70.6C.00.80</t>
  </si>
  <si>
    <t>EVALUACIÓN TÉCNICA DE CONTENIDO Y EJECUCIÓN DE PROYECTO I+D+i DE LA EMPRESA VALENCIANA DE MAMPARAS S.L. "DESARROLLO DE UN NUEVO MOBILIARIO MODULAR MULTIFUNCIÓN CON PROPIEDADES ANTIBACTERIANAS (ANUALIDAD 2018).</t>
  </si>
  <si>
    <t>41.70.6C.00.81</t>
  </si>
  <si>
    <t>EVALUACIÓN TÉCNICA DE CONTENIDO DE EJECUCIÓN DE PROYECTO I+D+i DE LA EMPRESA VALENCIANA DE MAMPARAS S.L. "DESARROLLO DE UN NUEVO MOBILIARIO MODULAR MULTIFUNCIÓN CON PROPIEDADES ANTIBACTERIANAS (ANUALIDAD 2019).</t>
  </si>
  <si>
    <t>41.70.6C.00.82</t>
  </si>
  <si>
    <t xml:space="preserve">EVALUACIÓN TÉCNICA DE CONTENIDO Y EJECUCIÓN DEL PROYECTO DE I+D+i DE LA EMPRESA GABLING SYSTEM VALLADOLID, S.L. "DISEÑO Y DESARROLLO TECNOLÓGICO DE UN SISTEMA DE CARGA INTELIGENTE DE VEHÍCULOS ELÉCTRICOS". </t>
  </si>
  <si>
    <t>41.70.6C.00.83</t>
  </si>
  <si>
    <t>EVALUACIÓN TÉCNICA DE CONTENIDO Y EJECUCIÓN DE PROYECTO DE I+D+i DE LA EMPRESA FABRICACIÓN E INSTALACIÓN DE MAMPARAS DE OFICINAS S. L. CON TÍTULO "NUEVOS DESARROLLOS TECNOLÓGICOS PARA EL INCREMENTO DE LA CAPACIDAD AISLANTE EN MAMPARAS DE CRISTAL".</t>
  </si>
  <si>
    <t>41.70.6C.00.84</t>
  </si>
  <si>
    <t>EVALUACIÓN TÉCNICA Y DE CONTENIDO Y EJECUCIÓN DE PROYECTO I+D+i DE LA EMPRESA FRUTAS Y HORTALIZAS J.E.B. S.L. CON TÍTULO "DESARROLLO DE NUEVAS CAJAS DE MAYOR VIDA ÚTIL PARA FRUTAS Y HORTALIZAS".</t>
  </si>
  <si>
    <t>41.70.6C.00.85</t>
  </si>
  <si>
    <t>EVALUACIÓN TÉCNICA DE CONTENIDO Y EJECUCIÓN DE PROYECTO I+D+i DE LA EMPRESA INSAE INFRAESTRUCTURAS, S.A. CON TÍTULO "NUEVO SISTEMA DE CONTROL DE SEGURIDAD AERONÁUTICA PARA EL ACCESO DE AERONAVES A PISTA".</t>
  </si>
  <si>
    <t>41.70.6H.00.01</t>
  </si>
  <si>
    <t>PAGO SEGUNDA ANUALIDAD PROMOCION EMPLEO JOVEN (PEJ-) N EXPEDIENTE: PEJ-2018-1 - 2 ANUALIDAD REFERENCIA: PEJ2018-002648-P - ACTUACION: PEJ2</t>
  </si>
  <si>
    <t xml:space="preserve">PROMOCIÓN EMPLEO JOVEN (PEJ-)N EXPEDIENTE:PEJ-20 18-1 -1 ANUALIDAD REFERENCIAS: PEJ2018-005099-A/PEJ2018-004471-A/PEJ2018-002736-A/PEJ2018-002571-A/PEJ2018-001733-A/ PEJ2018-003063-A/PEJ2018-002648-A       </t>
  </si>
  <si>
    <t>LIBERADOS EL 23/06/2020, ANUALIDAD 2020 PROYECTOS / I+D (PIA1) N EXPEDIENTE: PIA12017-1 - 3 ANUAL / IDAD REFERENCIA: ESP2017-85691-P / GOVT / 27402220310030138</t>
  </si>
  <si>
    <t>CDEIGENT 2018 SUBV.CONTRAT. DOCTORESEXPERIENCIA INTERNACIONAL   RESOL 28/12/2018 DGUIC ANUALIDAD 2020 (INNOVACIÓN,UNIVERSIDADES,CIENCIA SOC.DIG)</t>
  </si>
  <si>
    <t>SUBVENCIONES PARA LA REALIZACION DE PROYCTOS DE I+D+I GRUPOS INVESTIGACIÓN EMERGENTE GV/2019/2ªANUALIDAD (INNOVACIÓN,UNIVERSIDADES,CIENCIA SOC.DIG)</t>
  </si>
  <si>
    <t>PAGO FINAL DEL PROYECTO AHEAD, INVESTIGADOR PRINCIPAL JOSÉ MIGUEL TORREJÓN</t>
  </si>
  <si>
    <t>41.70.6X.00.02</t>
  </si>
  <si>
    <t>PRIMER PAGO DEL PROYECTO NEO-MAPP (INVESTIGADOR PRINCIPAL ADRIANO CAMPO BAGATÍN).</t>
  </si>
  <si>
    <t>41.70.6X.00.03</t>
  </si>
  <si>
    <t>Primer pago del proyecto AHEAD 2020 , investigador ppal. José Miguel Torrejón.</t>
  </si>
  <si>
    <t>Unidad</t>
  </si>
  <si>
    <t>Cód. org. aplic.</t>
  </si>
  <si>
    <t>Descripción justificante</t>
  </si>
  <si>
    <t>41.70</t>
  </si>
  <si>
    <t>41.70.6C.00.79</t>
  </si>
  <si>
    <t xml:space="preserve">2020_DESARROLLO DE NOVEDOSOS APOYOS METÁLICOS DE CELOSÍA PARA LÍNEAS ELÉCTRICAS AÉREAS DE EXCELENTES PRESTACIONES. </t>
  </si>
  <si>
    <t>41.70.6C.00.86</t>
  </si>
  <si>
    <t>DESARROLLO DE NUEVO MOBILIARIO ANTIBACTERIANO PARA EL SECTOR HOSTELERO - ANTIBACTER</t>
  </si>
  <si>
    <t>41.70.6C.00.87</t>
  </si>
  <si>
    <t>DESARROLLO DE NOVEDOSAS SOLUCIONES TECNOLÓGICAS PARA NUEVOS CERRAMIENTOS ACRISTALADOS DE ALTAS PRESTACIONES - CRISTALFLEX</t>
  </si>
  <si>
    <t>41.70.6C.00.88</t>
  </si>
  <si>
    <t>DESARROLLO DE NUEVAS SOLUCIONES QUÍMICAS PARA EL TRATAMIENTO DE AGUAS EN PISCINAS- SULFUMENSA</t>
  </si>
  <si>
    <t>41.70.6C.00.89</t>
  </si>
  <si>
    <t xml:space="preserve">Desarrollo de una novedosa estructura tubular de alta resistencia ante condiciones climatológicas adversas. </t>
  </si>
  <si>
    <t>41.70.6C.00.90</t>
  </si>
  <si>
    <t xml:space="preserve">Desarrollo de nuevos productos para el lavado automático de vajillas. </t>
  </si>
  <si>
    <t>41.70.6C.00.91</t>
  </si>
  <si>
    <t>Desarrollo de un sistema de lavado y girado de palots. LAVADPALOT</t>
  </si>
  <si>
    <t>41.70.6C.00.92</t>
  </si>
  <si>
    <t>Desarrollo de nuevas técnicas de implantología dental para la minimización de errores producidos en la producción de prótesis. IMPROTESIS.</t>
  </si>
  <si>
    <t>41.70.6C.00.93</t>
  </si>
  <si>
    <t>Desarrollo de un novedoso desengrasante espumante para la industria agroalimentaria.</t>
  </si>
  <si>
    <t>41.70.6C.00.94</t>
  </si>
  <si>
    <t>Nuevas soluciones técnicas para el transporte eléctrico en zonas geográficas singulares con condiciones climatológicas extremas - CLIMAEXTRM</t>
  </si>
  <si>
    <t>41.70.6C.00.95</t>
  </si>
  <si>
    <t>Desarrollo de un novedoso sistema antirrobo con alarma para scooter - ALARMSCOOT</t>
  </si>
  <si>
    <t>41.70.6C.01.12</t>
  </si>
  <si>
    <t>Novedoso conducto de altas prestaciones para el transporte de fluidos en la industria del automóvil - NEWSERPENT. Anualidad 2010.</t>
  </si>
  <si>
    <t>41.70.6C.01.13</t>
  </si>
  <si>
    <t>Nuevas puertas para ambientes especiales con capacidad de extinguir incendios.</t>
  </si>
  <si>
    <t>41.70.6C.01.14</t>
  </si>
  <si>
    <t xml:space="preserve">Nuevas puertas cortafuegos de altas prestaciones que reduzcan las emisiones de CO2 en caso de incendio. </t>
  </si>
  <si>
    <t>41.70.6C.01.15</t>
  </si>
  <si>
    <t>Novedoso conjunto de altas prestaciones para el transporte de fluidos en la industria del automóvil - NEWSERPENT anualidad 2009.</t>
  </si>
  <si>
    <t>REINTEGRO CUOTA PATRONAL CORRESPONDIENTE A OCTUBRE DE 2021.</t>
  </si>
  <si>
    <t>CDEIGENT 2018 ANUALIDAD 2021RESOLUCIÓN 25/05/2020 SAUI MODIFICACION RESOLUC 28/12/18 DGUIC POR INCIDENCIAS</t>
  </si>
  <si>
    <t>S</t>
  </si>
  <si>
    <t>Miró Oca, Marina </t>
  </si>
  <si>
    <t>APLICACIÓN DE TÉCNICAS ULTRASÓNICAS NO LINEALES A LA DETECCIÓN DE LA FISURACIÓN POR CORROSIÓN DEL ACERO EN HORMIGÓN </t>
  </si>
  <si>
    <t>20/12/2021 </t>
  </si>
  <si>
    <t>Tomás López, María Baralida </t>
  </si>
  <si>
    <t>Estudio e implementación de técnicas subpíxel para medidas no invasivas </t>
  </si>
  <si>
    <t>10/06/2022 </t>
  </si>
  <si>
    <t>25414751G </t>
  </si>
  <si>
    <t>33491671Z </t>
  </si>
  <si>
    <t>Morales Hernández, Aitor </t>
  </si>
  <si>
    <t>Study and Proposal of High-Power Handling Capability Microwave Filtering Solutions </t>
  </si>
  <si>
    <t>30/06/2022 </t>
  </si>
  <si>
    <t>X3722234Y </t>
  </si>
  <si>
    <t>74002223E </t>
  </si>
  <si>
    <t>I Y Huraibat , Khalil </t>
  </si>
  <si>
    <t>Advanced digital reproduction of goniochromatic objects </t>
  </si>
  <si>
    <t>16/05/2022 </t>
  </si>
  <si>
    <t>Total ingresos investigación 2019, 2020 y 2021</t>
  </si>
  <si>
    <t>15421218V</t>
  </si>
  <si>
    <t>MORALES VIDAL, MARTA</t>
  </si>
  <si>
    <t>100</t>
  </si>
  <si>
    <t>21393105T</t>
  </si>
  <si>
    <t>HERNANDEZ PRADOS, ANTONIO</t>
  </si>
  <si>
    <t>PASCUAL VILLALOBOS, MARIA INMACULADA</t>
  </si>
  <si>
    <t>22139399J</t>
  </si>
  <si>
    <t>BROCAL FERNANDEZ, FRANCISCO</t>
  </si>
  <si>
    <t>33495154R</t>
  </si>
  <si>
    <t>PASCUAL VILLALOBOS, CAROLINA</t>
  </si>
  <si>
    <t>48316782S</t>
  </si>
  <si>
    <t>HEREDIA AVALOS, 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</si>
</sst>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7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12" fillId="6" borderId="1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5" fillId="3" borderId="1" xfId="2" applyFont="1" applyFill="1" applyBorder="1" applyAlignment="1">
      <alignment horizontal="center"/>
    </xf>
    <xf numFmtId="165" fontId="3" fillId="4" borderId="1" xfId="1" applyNumberFormat="1" applyFill="1" applyBorder="1"/>
    <xf numFmtId="165" fontId="3" fillId="4" borderId="2" xfId="1" applyNumberFormat="1" applyFill="1" applyBorder="1"/>
    <xf numFmtId="0" fontId="11" fillId="0" borderId="7" xfId="0" applyFont="1" applyBorder="1" applyAlignment="1">
      <alignment horizontal="left"/>
    </xf>
    <xf numFmtId="0" fontId="11" fillId="0" borderId="7" xfId="0" applyFont="1" applyBorder="1"/>
    <xf numFmtId="0" fontId="0" fillId="0" borderId="0" xfId="0" applyAlignment="1">
      <alignment horizontal="left" indent="1"/>
    </xf>
    <xf numFmtId="0" fontId="11" fillId="7" borderId="8" xfId="0" applyFont="1" applyFill="1" applyBorder="1" applyAlignment="1">
      <alignment horizontal="left"/>
    </xf>
    <xf numFmtId="0" fontId="11" fillId="7" borderId="8" xfId="0" applyFont="1" applyFill="1" applyBorder="1"/>
    <xf numFmtId="0" fontId="13" fillId="8" borderId="9" xfId="0" applyNumberFormat="1" applyFont="1" applyFill="1" applyBorder="1"/>
    <xf numFmtId="0" fontId="13" fillId="8" borderId="10" xfId="0" applyNumberFormat="1" applyFont="1" applyFill="1" applyBorder="1"/>
    <xf numFmtId="0" fontId="13" fillId="8" borderId="11" xfId="0" applyFont="1" applyFill="1" applyBorder="1" applyAlignment="1">
      <alignment horizontal="right"/>
    </xf>
    <xf numFmtId="0" fontId="0" fillId="9" borderId="12" xfId="0" applyNumberFormat="1" applyFont="1" applyFill="1" applyBorder="1"/>
    <xf numFmtId="0" fontId="0" fillId="9" borderId="13" xfId="0" applyFont="1" applyFill="1" applyBorder="1"/>
    <xf numFmtId="4" fontId="0" fillId="9" borderId="14" xfId="0" applyNumberFormat="1" applyFont="1" applyFill="1" applyBorder="1"/>
    <xf numFmtId="0" fontId="0" fillId="7" borderId="12" xfId="0" applyNumberFormat="1" applyFont="1" applyFill="1" applyBorder="1"/>
    <xf numFmtId="0" fontId="0" fillId="7" borderId="13" xfId="0" applyFont="1" applyFill="1" applyBorder="1"/>
    <xf numFmtId="4" fontId="0" fillId="7" borderId="14" xfId="0" applyNumberFormat="1" applyFont="1" applyFill="1" applyBorder="1"/>
    <xf numFmtId="0" fontId="13" fillId="8" borderId="15" xfId="0" applyFont="1" applyFill="1" applyBorder="1"/>
    <xf numFmtId="0" fontId="13" fillId="8" borderId="16" xfId="0" applyFont="1" applyFill="1" applyBorder="1"/>
    <xf numFmtId="4" fontId="13" fillId="8" borderId="17" xfId="0" applyNumberFormat="1" applyFont="1" applyFill="1" applyBorder="1"/>
    <xf numFmtId="0" fontId="3" fillId="4" borderId="0" xfId="1" applyFill="1"/>
    <xf numFmtId="0" fontId="3" fillId="10" borderId="1" xfId="1" applyFill="1" applyBorder="1"/>
    <xf numFmtId="0" fontId="3" fillId="4" borderId="18" xfId="1" applyFill="1" applyBorder="1"/>
    <xf numFmtId="165" fontId="3" fillId="4" borderId="18" xfId="1" applyNumberFormat="1" applyFill="1" applyBorder="1"/>
    <xf numFmtId="0" fontId="3" fillId="4" borderId="18" xfId="1" applyFill="1" applyBorder="1" applyAlignment="1">
      <alignment horizontal="right"/>
    </xf>
    <xf numFmtId="1" fontId="3" fillId="4" borderId="18" xfId="1" applyNumberFormat="1" applyFill="1" applyBorder="1"/>
    <xf numFmtId="164" fontId="3" fillId="4" borderId="18" xfId="1" applyNumberFormat="1" applyFill="1" applyBorder="1"/>
    <xf numFmtId="164" fontId="3" fillId="11" borderId="1" xfId="1" applyNumberFormat="1" applyFill="1" applyBorder="1"/>
    <xf numFmtId="164" fontId="3" fillId="11" borderId="18" xfId="1" applyNumberFormat="1" applyFill="1" applyBorder="1"/>
    <xf numFmtId="0" fontId="3" fillId="11" borderId="1" xfId="1" applyFill="1" applyBorder="1"/>
    <xf numFmtId="164" fontId="3" fillId="11" borderId="2" xfId="1" applyNumberFormat="1" applyFill="1" applyBorder="1"/>
    <xf numFmtId="164" fontId="4" fillId="11" borderId="6" xfId="1" applyNumberFormat="1" applyFont="1" applyFill="1" applyBorder="1" applyAlignment="1">
      <alignment horizontal="center"/>
    </xf>
    <xf numFmtId="0" fontId="10" fillId="10" borderId="0" xfId="5" applyFont="1" applyFill="1"/>
    <xf numFmtId="0" fontId="10" fillId="10" borderId="0" xfId="5" applyFont="1" applyFill="1" applyAlignment="1">
      <alignment horizontal="right"/>
    </xf>
    <xf numFmtId="0" fontId="11" fillId="10" borderId="0" xfId="5" applyFont="1" applyFill="1"/>
    <xf numFmtId="0" fontId="7" fillId="0" borderId="1" xfId="0" applyFont="1" applyBorder="1"/>
    <xf numFmtId="0" fontId="14" fillId="0" borderId="1" xfId="0" applyFont="1" applyBorder="1" applyAlignment="1">
      <alignment horizontal="right"/>
    </xf>
    <xf numFmtId="4" fontId="14" fillId="0" borderId="1" xfId="0" applyNumberFormat="1" applyFont="1" applyBorder="1"/>
    <xf numFmtId="0" fontId="3" fillId="0" borderId="1" xfId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8"/>
  <sheetViews>
    <sheetView showGridLines="0" tabSelected="1" topLeftCell="G1" zoomScale="120" zoomScaleNormal="120" workbookViewId="0">
      <selection activeCell="J21" sqref="J21"/>
    </sheetView>
  </sheetViews>
  <sheetFormatPr baseColWidth="10" defaultColWidth="10.33203125" defaultRowHeight="10.199999999999999" x14ac:dyDescent="0.2"/>
  <cols>
    <col min="1" max="1" width="5" style="12" customWidth="1"/>
    <col min="2" max="4" width="29.6640625" style="12" customWidth="1"/>
    <col min="5" max="5" width="40.6640625" style="12" customWidth="1"/>
    <col min="6" max="6" width="9.109375" style="12" customWidth="1"/>
    <col min="7" max="7" width="9.6640625" style="12" customWidth="1"/>
    <col min="8" max="8" width="14.44140625" style="12" customWidth="1"/>
    <col min="9" max="9" width="5.88671875" style="12" customWidth="1"/>
    <col min="10" max="10" width="25.6640625" style="12" customWidth="1"/>
    <col min="11" max="11" width="15.109375" style="12" bestFit="1" customWidth="1"/>
    <col min="12" max="12" width="5.109375" style="12" customWidth="1"/>
    <col min="13" max="13" width="5.33203125" style="13" customWidth="1"/>
    <col min="14" max="14" width="4.88671875" style="12" customWidth="1"/>
    <col min="15" max="15" width="5.33203125" style="13" customWidth="1"/>
    <col min="16" max="16" width="4.88671875" style="12" customWidth="1"/>
    <col min="17" max="17" width="3.5546875" style="13" customWidth="1"/>
    <col min="18" max="18" width="3.5546875" style="12" customWidth="1"/>
    <col min="19" max="21" width="5.109375" style="12" customWidth="1"/>
    <col min="22" max="16384" width="10.33203125" style="12"/>
  </cols>
  <sheetData>
    <row r="1" spans="1:23" ht="40.799999999999997" x14ac:dyDescent="0.2">
      <c r="A1" s="8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8" t="s">
        <v>13</v>
      </c>
      <c r="J1" s="9" t="s">
        <v>14</v>
      </c>
      <c r="K1" s="8" t="s">
        <v>255</v>
      </c>
      <c r="L1" s="9" t="s">
        <v>15</v>
      </c>
      <c r="M1" s="38" t="s">
        <v>16</v>
      </c>
      <c r="N1" s="10" t="s">
        <v>17</v>
      </c>
      <c r="O1" s="11" t="s">
        <v>18</v>
      </c>
      <c r="P1" s="10" t="s">
        <v>19</v>
      </c>
      <c r="Q1" s="11" t="s">
        <v>20</v>
      </c>
      <c r="R1" s="10" t="s">
        <v>21</v>
      </c>
      <c r="S1" s="10" t="s">
        <v>22</v>
      </c>
      <c r="T1" s="10" t="s">
        <v>23</v>
      </c>
      <c r="U1" s="10" t="s">
        <v>24</v>
      </c>
      <c r="V1" s="10" t="s">
        <v>25</v>
      </c>
    </row>
    <row r="2" spans="1:23" s="58" customFormat="1" x14ac:dyDescent="0.2">
      <c r="A2" s="25" t="s">
        <v>38</v>
      </c>
      <c r="B2" s="25" t="s">
        <v>39</v>
      </c>
      <c r="C2" s="25" t="s">
        <v>52</v>
      </c>
      <c r="D2" s="25" t="s">
        <v>57</v>
      </c>
      <c r="E2" s="25" t="s">
        <v>58</v>
      </c>
      <c r="F2" s="25" t="s">
        <v>48</v>
      </c>
      <c r="G2" s="25" t="s">
        <v>139</v>
      </c>
      <c r="H2" s="25" t="s">
        <v>26</v>
      </c>
      <c r="I2" s="25" t="s">
        <v>38</v>
      </c>
      <c r="J2" s="25" t="s">
        <v>39</v>
      </c>
      <c r="K2" s="25">
        <v>1</v>
      </c>
      <c r="L2" s="28">
        <v>0.5</v>
      </c>
      <c r="M2" s="25" t="s">
        <v>51</v>
      </c>
      <c r="N2" s="25">
        <v>2016</v>
      </c>
      <c r="O2" s="25" t="s">
        <v>34</v>
      </c>
      <c r="P2" s="26" t="s">
        <v>40</v>
      </c>
      <c r="Q2" s="25" t="s">
        <v>27</v>
      </c>
      <c r="R2" s="26" t="s">
        <v>27</v>
      </c>
      <c r="S2" s="27">
        <v>50</v>
      </c>
      <c r="T2" s="28">
        <v>0.25</v>
      </c>
      <c r="U2" s="65">
        <v>0.25</v>
      </c>
      <c r="V2" s="28">
        <v>0</v>
      </c>
    </row>
    <row r="3" spans="1:23" s="58" customFormat="1" x14ac:dyDescent="0.2">
      <c r="A3" s="25" t="s">
        <v>38</v>
      </c>
      <c r="B3" s="25" t="s">
        <v>39</v>
      </c>
      <c r="C3" s="25" t="s">
        <v>52</v>
      </c>
      <c r="D3" s="25" t="s">
        <v>57</v>
      </c>
      <c r="E3" s="25" t="s">
        <v>58</v>
      </c>
      <c r="F3" s="25" t="s">
        <v>48</v>
      </c>
      <c r="G3" s="25" t="s">
        <v>59</v>
      </c>
      <c r="H3" s="25" t="s">
        <v>26</v>
      </c>
      <c r="I3" s="25" t="s">
        <v>38</v>
      </c>
      <c r="J3" s="25" t="s">
        <v>39</v>
      </c>
      <c r="K3" s="25">
        <v>1</v>
      </c>
      <c r="L3" s="28">
        <v>0.5</v>
      </c>
      <c r="M3" s="25" t="s">
        <v>51</v>
      </c>
      <c r="N3" s="25">
        <v>2016</v>
      </c>
      <c r="O3" s="25" t="s">
        <v>34</v>
      </c>
      <c r="P3" s="26" t="s">
        <v>40</v>
      </c>
      <c r="Q3" s="25" t="s">
        <v>27</v>
      </c>
      <c r="R3" s="26" t="s">
        <v>27</v>
      </c>
      <c r="S3" s="27">
        <v>50</v>
      </c>
      <c r="T3" s="28">
        <v>0.25</v>
      </c>
      <c r="U3" s="65">
        <v>0.25</v>
      </c>
      <c r="V3" s="28">
        <v>0</v>
      </c>
    </row>
    <row r="4" spans="1:23" s="58" customFormat="1" x14ac:dyDescent="0.2">
      <c r="A4" s="25" t="s">
        <v>77</v>
      </c>
      <c r="B4" s="25" t="s">
        <v>78</v>
      </c>
      <c r="C4" s="25" t="s">
        <v>80</v>
      </c>
      <c r="D4" s="25" t="s">
        <v>83</v>
      </c>
      <c r="E4" s="25" t="s">
        <v>84</v>
      </c>
      <c r="F4" s="25" t="s">
        <v>85</v>
      </c>
      <c r="G4" s="25" t="s">
        <v>82</v>
      </c>
      <c r="H4" s="25" t="s">
        <v>26</v>
      </c>
      <c r="I4" s="25" t="s">
        <v>77</v>
      </c>
      <c r="J4" s="25" t="s">
        <v>78</v>
      </c>
      <c r="K4" s="25">
        <v>1</v>
      </c>
      <c r="L4" s="28">
        <v>0.5</v>
      </c>
      <c r="M4" s="25" t="s">
        <v>79</v>
      </c>
      <c r="N4" s="25">
        <v>2016</v>
      </c>
      <c r="O4" s="25" t="s">
        <v>34</v>
      </c>
      <c r="P4" s="26" t="s">
        <v>41</v>
      </c>
      <c r="Q4" s="25" t="s">
        <v>27</v>
      </c>
      <c r="R4" s="26" t="s">
        <v>27</v>
      </c>
      <c r="S4" s="27">
        <v>80</v>
      </c>
      <c r="T4" s="28">
        <v>0.4</v>
      </c>
      <c r="U4" s="65">
        <v>0.1</v>
      </c>
      <c r="V4" s="28">
        <v>0</v>
      </c>
    </row>
    <row r="5" spans="1:23" s="58" customFormat="1" x14ac:dyDescent="0.2">
      <c r="A5" s="25" t="s">
        <v>77</v>
      </c>
      <c r="B5" s="25" t="s">
        <v>78</v>
      </c>
      <c r="C5" s="25" t="s">
        <v>80</v>
      </c>
      <c r="D5" s="25" t="s">
        <v>86</v>
      </c>
      <c r="E5" s="25" t="s">
        <v>87</v>
      </c>
      <c r="F5" s="25" t="s">
        <v>50</v>
      </c>
      <c r="G5" s="25" t="s">
        <v>82</v>
      </c>
      <c r="H5" s="25" t="s">
        <v>26</v>
      </c>
      <c r="I5" s="25" t="s">
        <v>77</v>
      </c>
      <c r="J5" s="25" t="s">
        <v>78</v>
      </c>
      <c r="K5" s="25">
        <v>1</v>
      </c>
      <c r="L5" s="28">
        <v>0.5</v>
      </c>
      <c r="M5" s="25" t="s">
        <v>79</v>
      </c>
      <c r="N5" s="25">
        <v>2016</v>
      </c>
      <c r="O5" s="25" t="s">
        <v>34</v>
      </c>
      <c r="P5" s="26" t="s">
        <v>41</v>
      </c>
      <c r="Q5" s="25" t="s">
        <v>27</v>
      </c>
      <c r="R5" s="26" t="s">
        <v>27</v>
      </c>
      <c r="S5" s="27">
        <v>80</v>
      </c>
      <c r="T5" s="28">
        <v>0.4</v>
      </c>
      <c r="U5" s="65">
        <v>0.1</v>
      </c>
      <c r="V5" s="28">
        <v>0</v>
      </c>
    </row>
    <row r="6" spans="1:23" s="58" customFormat="1" x14ac:dyDescent="0.2">
      <c r="A6" s="25" t="s">
        <v>77</v>
      </c>
      <c r="B6" s="25" t="s">
        <v>78</v>
      </c>
      <c r="C6" s="25" t="s">
        <v>80</v>
      </c>
      <c r="D6" s="25" t="s">
        <v>88</v>
      </c>
      <c r="E6" s="25" t="s">
        <v>89</v>
      </c>
      <c r="F6" s="25" t="s">
        <v>48</v>
      </c>
      <c r="G6" s="25" t="s">
        <v>81</v>
      </c>
      <c r="H6" s="25" t="s">
        <v>26</v>
      </c>
      <c r="I6" s="25" t="s">
        <v>77</v>
      </c>
      <c r="J6" s="25" t="s">
        <v>78</v>
      </c>
      <c r="K6" s="25">
        <v>1</v>
      </c>
      <c r="L6" s="28">
        <v>0.5</v>
      </c>
      <c r="M6" s="25" t="s">
        <v>79</v>
      </c>
      <c r="N6" s="25">
        <v>2016</v>
      </c>
      <c r="O6" s="25" t="s">
        <v>34</v>
      </c>
      <c r="P6" s="26" t="s">
        <v>41</v>
      </c>
      <c r="Q6" s="25" t="s">
        <v>27</v>
      </c>
      <c r="R6" s="26" t="s">
        <v>27</v>
      </c>
      <c r="S6" s="27">
        <v>80</v>
      </c>
      <c r="T6" s="28">
        <v>0.4</v>
      </c>
      <c r="U6" s="65">
        <v>0.1</v>
      </c>
      <c r="V6" s="28">
        <v>0</v>
      </c>
    </row>
    <row r="7" spans="1:23" s="58" customFormat="1" x14ac:dyDescent="0.2">
      <c r="A7" s="25" t="s">
        <v>77</v>
      </c>
      <c r="B7" s="25" t="s">
        <v>78</v>
      </c>
      <c r="C7" s="25" t="s">
        <v>80</v>
      </c>
      <c r="D7" s="25" t="s">
        <v>88</v>
      </c>
      <c r="E7" s="25" t="s">
        <v>89</v>
      </c>
      <c r="F7" s="25" t="s">
        <v>48</v>
      </c>
      <c r="G7" s="25" t="s">
        <v>82</v>
      </c>
      <c r="H7" s="25" t="s">
        <v>26</v>
      </c>
      <c r="I7" s="25" t="s">
        <v>77</v>
      </c>
      <c r="J7" s="25" t="s">
        <v>78</v>
      </c>
      <c r="K7" s="25">
        <v>1</v>
      </c>
      <c r="L7" s="28">
        <v>0.5</v>
      </c>
      <c r="M7" s="25" t="s">
        <v>79</v>
      </c>
      <c r="N7" s="25">
        <v>2016</v>
      </c>
      <c r="O7" s="25" t="s">
        <v>34</v>
      </c>
      <c r="P7" s="26" t="s">
        <v>41</v>
      </c>
      <c r="Q7" s="25" t="s">
        <v>27</v>
      </c>
      <c r="R7" s="26" t="s">
        <v>27</v>
      </c>
      <c r="S7" s="27">
        <v>80</v>
      </c>
      <c r="T7" s="28">
        <v>0.4</v>
      </c>
      <c r="U7" s="65">
        <v>0.1</v>
      </c>
      <c r="V7" s="28">
        <v>0</v>
      </c>
    </row>
    <row r="8" spans="1:23" s="58" customFormat="1" x14ac:dyDescent="0.2">
      <c r="A8" s="25" t="s">
        <v>31</v>
      </c>
      <c r="B8" s="25" t="s">
        <v>32</v>
      </c>
      <c r="C8" s="25" t="s">
        <v>60</v>
      </c>
      <c r="D8" s="25" t="s">
        <v>90</v>
      </c>
      <c r="E8" s="25" t="s">
        <v>91</v>
      </c>
      <c r="F8" s="25" t="s">
        <v>30</v>
      </c>
      <c r="G8" s="25" t="s">
        <v>92</v>
      </c>
      <c r="H8" s="25" t="s">
        <v>26</v>
      </c>
      <c r="I8" s="25" t="s">
        <v>77</v>
      </c>
      <c r="J8" s="25" t="s">
        <v>78</v>
      </c>
      <c r="K8" s="25">
        <v>1</v>
      </c>
      <c r="L8" s="28">
        <v>0.5</v>
      </c>
      <c r="M8" s="25" t="s">
        <v>79</v>
      </c>
      <c r="N8" s="25">
        <v>2016</v>
      </c>
      <c r="O8" s="25" t="s">
        <v>34</v>
      </c>
      <c r="P8" s="26" t="s">
        <v>41</v>
      </c>
      <c r="Q8" s="25" t="s">
        <v>27</v>
      </c>
      <c r="R8" s="26" t="s">
        <v>27</v>
      </c>
      <c r="S8" s="27">
        <v>80</v>
      </c>
      <c r="T8" s="28">
        <v>0.4</v>
      </c>
      <c r="U8" s="65">
        <v>0.1</v>
      </c>
      <c r="V8" s="28">
        <v>0</v>
      </c>
    </row>
    <row r="9" spans="1:23" s="58" customFormat="1" x14ac:dyDescent="0.2">
      <c r="A9" s="25" t="s">
        <v>31</v>
      </c>
      <c r="B9" s="25" t="s">
        <v>32</v>
      </c>
      <c r="C9" s="25" t="s">
        <v>33</v>
      </c>
      <c r="D9" s="25" t="s">
        <v>64</v>
      </c>
      <c r="E9" s="25" t="s">
        <v>65</v>
      </c>
      <c r="F9" s="25" t="s">
        <v>66</v>
      </c>
      <c r="G9" s="25" t="s">
        <v>62</v>
      </c>
      <c r="H9" s="25" t="s">
        <v>26</v>
      </c>
      <c r="I9" s="25" t="s">
        <v>53</v>
      </c>
      <c r="J9" s="25" t="s">
        <v>54</v>
      </c>
      <c r="K9" s="25">
        <v>1</v>
      </c>
      <c r="L9" s="28">
        <v>0.5</v>
      </c>
      <c r="M9" s="25" t="s">
        <v>55</v>
      </c>
      <c r="N9" s="25">
        <v>2016</v>
      </c>
      <c r="O9" s="25" t="s">
        <v>34</v>
      </c>
      <c r="P9" s="26" t="s">
        <v>41</v>
      </c>
      <c r="Q9" s="25" t="s">
        <v>27</v>
      </c>
      <c r="R9" s="26" t="s">
        <v>27</v>
      </c>
      <c r="S9" s="27">
        <v>80</v>
      </c>
      <c r="T9" s="28">
        <v>0.4</v>
      </c>
      <c r="U9" s="65">
        <v>0.1</v>
      </c>
      <c r="V9" s="28">
        <v>0</v>
      </c>
    </row>
    <row r="10" spans="1:23" s="58" customFormat="1" x14ac:dyDescent="0.2">
      <c r="A10" s="25" t="s">
        <v>31</v>
      </c>
      <c r="B10" s="25" t="s">
        <v>32</v>
      </c>
      <c r="C10" s="25" t="s">
        <v>33</v>
      </c>
      <c r="D10" s="25" t="s">
        <v>64</v>
      </c>
      <c r="E10" s="25" t="s">
        <v>65</v>
      </c>
      <c r="F10" s="25" t="s">
        <v>66</v>
      </c>
      <c r="G10" s="25" t="s">
        <v>67</v>
      </c>
      <c r="H10" s="25" t="s">
        <v>26</v>
      </c>
      <c r="I10" s="25" t="s">
        <v>53</v>
      </c>
      <c r="J10" s="25" t="s">
        <v>54</v>
      </c>
      <c r="K10" s="25">
        <v>1</v>
      </c>
      <c r="L10" s="28">
        <v>0.5</v>
      </c>
      <c r="M10" s="25" t="s">
        <v>55</v>
      </c>
      <c r="N10" s="25">
        <v>2016</v>
      </c>
      <c r="O10" s="25" t="s">
        <v>34</v>
      </c>
      <c r="P10" s="26" t="s">
        <v>40</v>
      </c>
      <c r="Q10" s="25" t="s">
        <v>27</v>
      </c>
      <c r="R10" s="26" t="s">
        <v>27</v>
      </c>
      <c r="S10" s="27">
        <v>50</v>
      </c>
      <c r="T10" s="28">
        <v>0.25</v>
      </c>
      <c r="U10" s="65">
        <v>0.25</v>
      </c>
      <c r="V10" s="28">
        <v>0</v>
      </c>
    </row>
    <row r="11" spans="1:23" s="58" customFormat="1" x14ac:dyDescent="0.2">
      <c r="A11" s="25" t="s">
        <v>31</v>
      </c>
      <c r="B11" s="25" t="s">
        <v>32</v>
      </c>
      <c r="C11" s="25" t="s">
        <v>33</v>
      </c>
      <c r="D11" s="25" t="s">
        <v>93</v>
      </c>
      <c r="E11" s="25" t="s">
        <v>94</v>
      </c>
      <c r="F11" s="25" t="s">
        <v>95</v>
      </c>
      <c r="G11" s="25" t="s">
        <v>82</v>
      </c>
      <c r="H11" s="25" t="s">
        <v>28</v>
      </c>
      <c r="I11" s="25" t="s">
        <v>77</v>
      </c>
      <c r="J11" s="25" t="s">
        <v>78</v>
      </c>
      <c r="K11" s="25">
        <v>1</v>
      </c>
      <c r="L11" s="28">
        <v>1</v>
      </c>
      <c r="M11" s="25" t="s">
        <v>79</v>
      </c>
      <c r="N11" s="25">
        <v>2016</v>
      </c>
      <c r="O11" s="25" t="s">
        <v>34</v>
      </c>
      <c r="P11" s="26" t="s">
        <v>41</v>
      </c>
      <c r="Q11" s="25" t="s">
        <v>27</v>
      </c>
      <c r="R11" s="26" t="s">
        <v>27</v>
      </c>
      <c r="S11" s="27">
        <v>80</v>
      </c>
      <c r="T11" s="28">
        <v>0.8</v>
      </c>
      <c r="U11" s="65">
        <v>0.2</v>
      </c>
      <c r="V11" s="28">
        <v>0</v>
      </c>
    </row>
    <row r="12" spans="1:23" s="58" customFormat="1" x14ac:dyDescent="0.2">
      <c r="A12" s="25" t="s">
        <v>43</v>
      </c>
      <c r="B12" s="25" t="s">
        <v>44</v>
      </c>
      <c r="C12" s="25" t="s">
        <v>45</v>
      </c>
      <c r="D12" s="25" t="s">
        <v>68</v>
      </c>
      <c r="E12" s="25" t="s">
        <v>69</v>
      </c>
      <c r="F12" s="25" t="s">
        <v>49</v>
      </c>
      <c r="G12" s="25" t="s">
        <v>61</v>
      </c>
      <c r="H12" s="25" t="s">
        <v>26</v>
      </c>
      <c r="I12" s="25" t="s">
        <v>53</v>
      </c>
      <c r="J12" s="25" t="s">
        <v>54</v>
      </c>
      <c r="K12" s="25">
        <v>1</v>
      </c>
      <c r="L12" s="28">
        <v>0.5</v>
      </c>
      <c r="M12" s="25" t="s">
        <v>55</v>
      </c>
      <c r="N12" s="25">
        <v>2017</v>
      </c>
      <c r="O12" s="25" t="s">
        <v>34</v>
      </c>
      <c r="P12" s="26" t="s">
        <v>40</v>
      </c>
      <c r="Q12" s="25" t="s">
        <v>27</v>
      </c>
      <c r="R12" s="26" t="s">
        <v>27</v>
      </c>
      <c r="S12" s="27">
        <v>50</v>
      </c>
      <c r="T12" s="28">
        <v>0.25</v>
      </c>
      <c r="U12" s="65">
        <v>0.25</v>
      </c>
      <c r="V12" s="28">
        <v>0</v>
      </c>
    </row>
    <row r="13" spans="1:23" s="58" customFormat="1" x14ac:dyDescent="0.2">
      <c r="A13" s="25" t="s">
        <v>31</v>
      </c>
      <c r="B13" s="25" t="s">
        <v>32</v>
      </c>
      <c r="C13" s="25" t="s">
        <v>33</v>
      </c>
      <c r="D13" s="25" t="s">
        <v>70</v>
      </c>
      <c r="E13" s="25" t="s">
        <v>71</v>
      </c>
      <c r="F13" s="25" t="s">
        <v>72</v>
      </c>
      <c r="G13" s="25" t="s">
        <v>61</v>
      </c>
      <c r="H13" s="25" t="s">
        <v>28</v>
      </c>
      <c r="I13" s="25" t="s">
        <v>53</v>
      </c>
      <c r="J13" s="25" t="s">
        <v>54</v>
      </c>
      <c r="K13" s="25">
        <v>1</v>
      </c>
      <c r="L13" s="28">
        <v>1</v>
      </c>
      <c r="M13" s="25" t="s">
        <v>55</v>
      </c>
      <c r="N13" s="25">
        <v>2017</v>
      </c>
      <c r="O13" s="25" t="s">
        <v>34</v>
      </c>
      <c r="P13" s="26" t="s">
        <v>40</v>
      </c>
      <c r="Q13" s="25" t="s">
        <v>27</v>
      </c>
      <c r="R13" s="26" t="s">
        <v>27</v>
      </c>
      <c r="S13" s="27">
        <v>50</v>
      </c>
      <c r="T13" s="28">
        <v>0.5</v>
      </c>
      <c r="U13" s="65">
        <v>0.5</v>
      </c>
      <c r="V13" s="28">
        <v>0</v>
      </c>
    </row>
    <row r="14" spans="1:23" s="58" customFormat="1" x14ac:dyDescent="0.2">
      <c r="A14" s="25" t="s">
        <v>31</v>
      </c>
      <c r="B14" s="25" t="s">
        <v>32</v>
      </c>
      <c r="C14" s="25" t="s">
        <v>33</v>
      </c>
      <c r="D14" s="25" t="s">
        <v>73</v>
      </c>
      <c r="E14" s="25" t="s">
        <v>74</v>
      </c>
      <c r="F14" s="25" t="s">
        <v>75</v>
      </c>
      <c r="G14" s="25" t="s">
        <v>76</v>
      </c>
      <c r="H14" s="25" t="s">
        <v>28</v>
      </c>
      <c r="I14" s="25" t="s">
        <v>53</v>
      </c>
      <c r="J14" s="25" t="s">
        <v>54</v>
      </c>
      <c r="K14" s="25">
        <v>1</v>
      </c>
      <c r="L14" s="28">
        <v>1</v>
      </c>
      <c r="M14" s="25" t="s">
        <v>55</v>
      </c>
      <c r="N14" s="25">
        <v>2017</v>
      </c>
      <c r="O14" s="25" t="s">
        <v>34</v>
      </c>
      <c r="P14" s="26" t="s">
        <v>41</v>
      </c>
      <c r="Q14" s="25" t="s">
        <v>27</v>
      </c>
      <c r="R14" s="26" t="s">
        <v>27</v>
      </c>
      <c r="S14" s="27">
        <v>80</v>
      </c>
      <c r="T14" s="28">
        <v>0.8</v>
      </c>
      <c r="U14" s="65">
        <v>0.2</v>
      </c>
      <c r="V14" s="28">
        <v>0</v>
      </c>
    </row>
    <row r="15" spans="1:23" s="58" customFormat="1" x14ac:dyDescent="0.2">
      <c r="A15" s="25" t="s">
        <v>31</v>
      </c>
      <c r="B15" s="25" t="s">
        <v>32</v>
      </c>
      <c r="C15" s="25" t="s">
        <v>33</v>
      </c>
      <c r="D15" s="25" t="s">
        <v>35</v>
      </c>
      <c r="E15" s="25" t="s">
        <v>36</v>
      </c>
      <c r="F15" s="25" t="s">
        <v>37</v>
      </c>
      <c r="G15" s="25" t="s">
        <v>96</v>
      </c>
      <c r="H15" s="25" t="s">
        <v>26</v>
      </c>
      <c r="I15" s="25" t="s">
        <v>77</v>
      </c>
      <c r="J15" s="25" t="s">
        <v>78</v>
      </c>
      <c r="K15" s="25">
        <v>1</v>
      </c>
      <c r="L15" s="39">
        <v>0.5</v>
      </c>
      <c r="M15" s="25" t="s">
        <v>79</v>
      </c>
      <c r="N15" s="25">
        <v>2018</v>
      </c>
      <c r="O15" s="25" t="s">
        <v>34</v>
      </c>
      <c r="P15" s="26" t="s">
        <v>40</v>
      </c>
      <c r="Q15" s="25" t="s">
        <v>27</v>
      </c>
      <c r="R15" s="26" t="s">
        <v>27</v>
      </c>
      <c r="S15" s="27">
        <v>50</v>
      </c>
      <c r="T15" s="28">
        <v>0.25</v>
      </c>
      <c r="U15" s="65">
        <v>0.25</v>
      </c>
      <c r="V15" s="28">
        <v>0</v>
      </c>
    </row>
    <row r="16" spans="1:23" s="58" customFormat="1" x14ac:dyDescent="0.2">
      <c r="A16" s="29" t="s">
        <v>31</v>
      </c>
      <c r="B16" s="29" t="s">
        <v>32</v>
      </c>
      <c r="C16" s="29" t="s">
        <v>33</v>
      </c>
      <c r="D16" s="29" t="s">
        <v>225</v>
      </c>
      <c r="E16" s="29" t="s">
        <v>226</v>
      </c>
      <c r="F16" s="29" t="s">
        <v>227</v>
      </c>
      <c r="G16" s="29" t="s">
        <v>228</v>
      </c>
      <c r="H16" s="29" t="s">
        <v>26</v>
      </c>
      <c r="I16" s="29" t="s">
        <v>53</v>
      </c>
      <c r="J16" s="29" t="s">
        <v>54</v>
      </c>
      <c r="K16" s="29">
        <v>1</v>
      </c>
      <c r="L16" s="40">
        <v>0.5</v>
      </c>
      <c r="M16" s="29" t="s">
        <v>55</v>
      </c>
      <c r="N16" s="29">
        <v>2019</v>
      </c>
      <c r="O16" s="29" t="s">
        <v>34</v>
      </c>
      <c r="P16" s="30" t="s">
        <v>41</v>
      </c>
      <c r="Q16" s="29" t="s">
        <v>27</v>
      </c>
      <c r="R16" s="30" t="s">
        <v>27</v>
      </c>
      <c r="S16" s="31">
        <v>80</v>
      </c>
      <c r="T16" s="32">
        <v>0.4</v>
      </c>
      <c r="U16" s="68">
        <v>0.1</v>
      </c>
      <c r="V16" s="32">
        <v>0</v>
      </c>
      <c r="W16" s="58" t="s">
        <v>343</v>
      </c>
    </row>
    <row r="17" spans="1:23" s="58" customFormat="1" ht="10.8" thickBot="1" x14ac:dyDescent="0.25">
      <c r="A17" s="29" t="s">
        <v>31</v>
      </c>
      <c r="B17" s="29" t="s">
        <v>32</v>
      </c>
      <c r="C17" s="29" t="s">
        <v>33</v>
      </c>
      <c r="D17" s="29" t="s">
        <v>225</v>
      </c>
      <c r="E17" s="29" t="s">
        <v>226</v>
      </c>
      <c r="F17" s="29" t="s">
        <v>227</v>
      </c>
      <c r="G17" s="29" t="s">
        <v>229</v>
      </c>
      <c r="H17" s="29" t="s">
        <v>26</v>
      </c>
      <c r="I17" s="29" t="s">
        <v>230</v>
      </c>
      <c r="J17" s="29" t="s">
        <v>231</v>
      </c>
      <c r="K17" s="29">
        <v>1</v>
      </c>
      <c r="L17" s="40">
        <v>0.5</v>
      </c>
      <c r="M17" s="29" t="s">
        <v>42</v>
      </c>
      <c r="N17" s="29">
        <v>2019</v>
      </c>
      <c r="O17" s="29" t="s">
        <v>34</v>
      </c>
      <c r="P17" s="30" t="s">
        <v>41</v>
      </c>
      <c r="Q17" s="29" t="s">
        <v>27</v>
      </c>
      <c r="R17" s="30" t="s">
        <v>27</v>
      </c>
      <c r="S17" s="31">
        <v>80</v>
      </c>
      <c r="T17" s="32">
        <v>0.4</v>
      </c>
      <c r="U17" s="68">
        <v>0.1</v>
      </c>
      <c r="V17" s="32">
        <v>0</v>
      </c>
      <c r="W17" s="58" t="s">
        <v>343</v>
      </c>
    </row>
    <row r="18" spans="1:23" s="58" customFormat="1" ht="10.8" thickBot="1" x14ac:dyDescent="0.25">
      <c r="A18" s="34" t="s">
        <v>38</v>
      </c>
      <c r="B18" s="34" t="s">
        <v>39</v>
      </c>
      <c r="C18" s="34" t="s">
        <v>248</v>
      </c>
      <c r="D18" s="34" t="s">
        <v>249</v>
      </c>
      <c r="E18" s="34" t="s">
        <v>250</v>
      </c>
      <c r="F18" s="34" t="s">
        <v>251</v>
      </c>
      <c r="G18" s="35" t="s">
        <v>56</v>
      </c>
      <c r="H18" s="36" t="s">
        <v>28</v>
      </c>
      <c r="I18" s="36" t="s">
        <v>38</v>
      </c>
      <c r="J18" s="37" t="s">
        <v>39</v>
      </c>
      <c r="K18" s="25">
        <v>1</v>
      </c>
      <c r="L18" s="33">
        <v>1</v>
      </c>
      <c r="M18" s="33" t="s">
        <v>51</v>
      </c>
      <c r="N18" s="25">
        <v>2020</v>
      </c>
      <c r="O18" s="25" t="s">
        <v>34</v>
      </c>
      <c r="P18" s="26" t="s">
        <v>40</v>
      </c>
      <c r="Q18" s="25" t="s">
        <v>27</v>
      </c>
      <c r="R18" s="26" t="s">
        <v>27</v>
      </c>
      <c r="S18" s="25">
        <v>50</v>
      </c>
      <c r="T18" s="25">
        <v>0.5</v>
      </c>
      <c r="U18" s="67">
        <v>0.5</v>
      </c>
      <c r="V18" s="25">
        <v>0</v>
      </c>
      <c r="W18" s="58" t="s">
        <v>343</v>
      </c>
    </row>
    <row r="19" spans="1:23" s="58" customFormat="1" x14ac:dyDescent="0.2">
      <c r="A19" s="59" t="s">
        <v>31</v>
      </c>
      <c r="B19" s="59" t="s">
        <v>32</v>
      </c>
      <c r="C19" s="59" t="s">
        <v>33</v>
      </c>
      <c r="D19" s="59" t="s">
        <v>252</v>
      </c>
      <c r="E19" s="59" t="s">
        <v>253</v>
      </c>
      <c r="F19" s="59" t="s">
        <v>254</v>
      </c>
      <c r="G19" s="76" t="s">
        <v>63</v>
      </c>
      <c r="H19" s="76" t="s">
        <v>28</v>
      </c>
      <c r="I19" s="76" t="s">
        <v>53</v>
      </c>
      <c r="J19" s="76" t="s">
        <v>54</v>
      </c>
      <c r="K19" s="25">
        <v>1</v>
      </c>
      <c r="L19" s="33">
        <v>1</v>
      </c>
      <c r="M19" s="33" t="s">
        <v>55</v>
      </c>
      <c r="N19" s="25">
        <v>2020</v>
      </c>
      <c r="O19" s="25" t="s">
        <v>34</v>
      </c>
      <c r="P19" s="26" t="s">
        <v>41</v>
      </c>
      <c r="Q19" s="25" t="s">
        <v>27</v>
      </c>
      <c r="R19" s="26" t="s">
        <v>27</v>
      </c>
      <c r="S19" s="25">
        <v>80</v>
      </c>
      <c r="T19" s="25">
        <v>0.8</v>
      </c>
      <c r="U19" s="67">
        <v>0.2</v>
      </c>
      <c r="V19" s="25">
        <v>0</v>
      </c>
      <c r="W19" s="58" t="s">
        <v>343</v>
      </c>
    </row>
    <row r="20" spans="1:23" s="58" customFormat="1" x14ac:dyDescent="0.2">
      <c r="A20" s="25" t="s">
        <v>43</v>
      </c>
      <c r="B20" s="25" t="s">
        <v>44</v>
      </c>
      <c r="C20" s="25" t="s">
        <v>45</v>
      </c>
      <c r="D20" s="25" t="s">
        <v>344</v>
      </c>
      <c r="E20" s="25" t="s">
        <v>345</v>
      </c>
      <c r="F20" s="25" t="s">
        <v>346</v>
      </c>
      <c r="G20" s="25" t="s">
        <v>61</v>
      </c>
      <c r="H20" s="25" t="s">
        <v>26</v>
      </c>
      <c r="I20" s="25" t="s">
        <v>53</v>
      </c>
      <c r="J20" s="25" t="s">
        <v>54</v>
      </c>
      <c r="K20" s="25">
        <v>79</v>
      </c>
      <c r="L20" s="33">
        <v>0.5</v>
      </c>
      <c r="M20" s="33" t="s">
        <v>55</v>
      </c>
      <c r="N20" s="25">
        <v>2021</v>
      </c>
      <c r="O20" s="25" t="s">
        <v>34</v>
      </c>
      <c r="P20" s="26" t="s">
        <v>40</v>
      </c>
      <c r="Q20" s="25" t="s">
        <v>27</v>
      </c>
      <c r="R20" s="26" t="s">
        <v>27</v>
      </c>
      <c r="S20" s="25">
        <v>50</v>
      </c>
      <c r="T20" s="25">
        <v>0.25</v>
      </c>
      <c r="U20" s="67">
        <v>0.25</v>
      </c>
      <c r="V20" s="25">
        <v>0</v>
      </c>
      <c r="W20" s="58" t="s">
        <v>343</v>
      </c>
    </row>
    <row r="21" spans="1:23" s="58" customFormat="1" x14ac:dyDescent="0.2">
      <c r="A21" s="25" t="s">
        <v>31</v>
      </c>
      <c r="B21" s="25" t="s">
        <v>32</v>
      </c>
      <c r="C21" s="25" t="s">
        <v>33</v>
      </c>
      <c r="D21" s="25" t="s">
        <v>347</v>
      </c>
      <c r="E21" s="25" t="s">
        <v>348</v>
      </c>
      <c r="F21" s="25" t="s">
        <v>349</v>
      </c>
      <c r="G21" s="25" t="s">
        <v>350</v>
      </c>
      <c r="H21" s="25" t="s">
        <v>26</v>
      </c>
      <c r="I21" s="25" t="s">
        <v>43</v>
      </c>
      <c r="J21" s="25" t="s">
        <v>44</v>
      </c>
      <c r="K21" s="25">
        <v>251</v>
      </c>
      <c r="L21" s="33">
        <v>0.5</v>
      </c>
      <c r="M21" s="33" t="s">
        <v>46</v>
      </c>
      <c r="N21" s="25">
        <v>2021</v>
      </c>
      <c r="O21" s="25" t="s">
        <v>34</v>
      </c>
      <c r="P21" s="26" t="s">
        <v>40</v>
      </c>
      <c r="Q21" s="25" t="s">
        <v>27</v>
      </c>
      <c r="R21" s="26" t="s">
        <v>27</v>
      </c>
      <c r="S21" s="25">
        <v>50</v>
      </c>
      <c r="T21" s="25">
        <v>0.25</v>
      </c>
      <c r="U21" s="67">
        <v>0.25</v>
      </c>
      <c r="V21" s="25">
        <v>0</v>
      </c>
      <c r="W21" s="58" t="s">
        <v>343</v>
      </c>
    </row>
    <row r="22" spans="1:23" s="58" customFormat="1" x14ac:dyDescent="0.2">
      <c r="A22" s="25" t="s">
        <v>31</v>
      </c>
      <c r="B22" s="25" t="s">
        <v>32</v>
      </c>
      <c r="C22" s="25" t="s">
        <v>33</v>
      </c>
      <c r="D22" s="25" t="s">
        <v>347</v>
      </c>
      <c r="E22" s="25" t="s">
        <v>348</v>
      </c>
      <c r="F22" s="25" t="s">
        <v>349</v>
      </c>
      <c r="G22" s="25" t="s">
        <v>351</v>
      </c>
      <c r="H22" s="25" t="s">
        <v>26</v>
      </c>
      <c r="I22" s="25" t="s">
        <v>77</v>
      </c>
      <c r="J22" s="25" t="s">
        <v>78</v>
      </c>
      <c r="K22" s="25">
        <v>252</v>
      </c>
      <c r="L22" s="33">
        <v>0.5</v>
      </c>
      <c r="M22" s="33" t="s">
        <v>79</v>
      </c>
      <c r="N22" s="25">
        <v>2021</v>
      </c>
      <c r="O22" s="25" t="s">
        <v>34</v>
      </c>
      <c r="P22" s="26" t="s">
        <v>40</v>
      </c>
      <c r="Q22" s="25" t="s">
        <v>27</v>
      </c>
      <c r="R22" s="26" t="s">
        <v>27</v>
      </c>
      <c r="S22" s="25">
        <v>50</v>
      </c>
      <c r="T22" s="25">
        <v>0.25</v>
      </c>
      <c r="U22" s="67">
        <v>0.25</v>
      </c>
      <c r="V22" s="25">
        <v>0</v>
      </c>
      <c r="W22" s="58" t="s">
        <v>343</v>
      </c>
    </row>
    <row r="23" spans="1:23" s="58" customFormat="1" x14ac:dyDescent="0.2">
      <c r="A23" s="25" t="s">
        <v>31</v>
      </c>
      <c r="B23" s="25" t="s">
        <v>32</v>
      </c>
      <c r="C23" s="25" t="s">
        <v>33</v>
      </c>
      <c r="D23" s="25" t="s">
        <v>352</v>
      </c>
      <c r="E23" s="25" t="s">
        <v>353</v>
      </c>
      <c r="F23" s="25" t="s">
        <v>354</v>
      </c>
      <c r="G23" s="25" t="s">
        <v>355</v>
      </c>
      <c r="H23" s="25" t="s">
        <v>26</v>
      </c>
      <c r="I23" s="25" t="s">
        <v>53</v>
      </c>
      <c r="J23" s="25" t="s">
        <v>54</v>
      </c>
      <c r="K23" s="25">
        <v>253</v>
      </c>
      <c r="L23" s="33">
        <v>0.5</v>
      </c>
      <c r="M23" s="33" t="s">
        <v>55</v>
      </c>
      <c r="N23" s="25">
        <v>2021</v>
      </c>
      <c r="O23" s="25" t="s">
        <v>34</v>
      </c>
      <c r="P23" s="26" t="s">
        <v>41</v>
      </c>
      <c r="Q23" s="25" t="s">
        <v>27</v>
      </c>
      <c r="R23" s="26" t="s">
        <v>27</v>
      </c>
      <c r="S23" s="25">
        <v>80</v>
      </c>
      <c r="T23" s="25">
        <v>0.4</v>
      </c>
      <c r="U23" s="67">
        <v>0.1</v>
      </c>
      <c r="V23" s="25">
        <v>0</v>
      </c>
      <c r="W23" s="58" t="s">
        <v>343</v>
      </c>
    </row>
    <row r="24" spans="1:23" s="58" customFormat="1" x14ac:dyDescent="0.2">
      <c r="A24" s="25" t="s">
        <v>31</v>
      </c>
      <c r="B24" s="25" t="s">
        <v>32</v>
      </c>
      <c r="C24" s="25" t="s">
        <v>33</v>
      </c>
      <c r="D24" s="25" t="s">
        <v>352</v>
      </c>
      <c r="E24" s="25" t="s">
        <v>353</v>
      </c>
      <c r="F24" s="25" t="s">
        <v>354</v>
      </c>
      <c r="G24" s="25" t="s">
        <v>356</v>
      </c>
      <c r="H24" s="25" t="s">
        <v>26</v>
      </c>
      <c r="I24" s="25" t="s">
        <v>53</v>
      </c>
      <c r="J24" s="25" t="s">
        <v>54</v>
      </c>
      <c r="K24" s="25">
        <v>254</v>
      </c>
      <c r="L24" s="33">
        <v>0.5</v>
      </c>
      <c r="M24" s="33" t="s">
        <v>55</v>
      </c>
      <c r="N24" s="25">
        <v>2021</v>
      </c>
      <c r="O24" s="25" t="s">
        <v>34</v>
      </c>
      <c r="P24" s="26" t="s">
        <v>41</v>
      </c>
      <c r="Q24" s="25" t="s">
        <v>27</v>
      </c>
      <c r="R24" s="26" t="s">
        <v>27</v>
      </c>
      <c r="S24" s="25">
        <v>80</v>
      </c>
      <c r="T24" s="25">
        <v>0.4</v>
      </c>
      <c r="U24" s="67">
        <v>0.1</v>
      </c>
      <c r="V24" s="25">
        <v>0</v>
      </c>
      <c r="W24" s="58" t="s">
        <v>343</v>
      </c>
    </row>
    <row r="25" spans="1:23" s="58" customFormat="1" x14ac:dyDescent="0.2">
      <c r="A25" s="25" t="s">
        <v>31</v>
      </c>
      <c r="B25" s="25" t="s">
        <v>32</v>
      </c>
      <c r="C25" s="25" t="s">
        <v>33</v>
      </c>
      <c r="D25" s="25" t="s">
        <v>256</v>
      </c>
      <c r="E25" s="25" t="s">
        <v>257</v>
      </c>
      <c r="F25" s="25" t="s">
        <v>258</v>
      </c>
      <c r="G25" s="25" t="s">
        <v>259</v>
      </c>
      <c r="H25" s="25" t="s">
        <v>26</v>
      </c>
      <c r="I25" s="25" t="s">
        <v>31</v>
      </c>
      <c r="J25" s="25" t="s">
        <v>32</v>
      </c>
      <c r="K25" s="25">
        <v>1</v>
      </c>
      <c r="L25" s="28">
        <v>0.5</v>
      </c>
      <c r="M25" s="25" t="s">
        <v>34</v>
      </c>
      <c r="N25" s="25">
        <v>2016</v>
      </c>
      <c r="O25" s="25" t="s">
        <v>27</v>
      </c>
      <c r="P25" s="26" t="s">
        <v>27</v>
      </c>
      <c r="Q25" s="25" t="s">
        <v>27</v>
      </c>
      <c r="R25" s="26" t="s">
        <v>27</v>
      </c>
      <c r="S25" s="27">
        <v>100</v>
      </c>
      <c r="T25" s="65">
        <v>0.5</v>
      </c>
      <c r="U25" s="28">
        <v>0</v>
      </c>
      <c r="V25" s="28">
        <v>0</v>
      </c>
    </row>
    <row r="26" spans="1:23" s="58" customFormat="1" x14ac:dyDescent="0.2">
      <c r="A26" s="60" t="s">
        <v>31</v>
      </c>
      <c r="B26" s="60" t="s">
        <v>32</v>
      </c>
      <c r="C26" s="60" t="s">
        <v>33</v>
      </c>
      <c r="D26" s="60" t="s">
        <v>35</v>
      </c>
      <c r="E26" s="60" t="s">
        <v>36</v>
      </c>
      <c r="F26" s="60" t="s">
        <v>37</v>
      </c>
      <c r="G26" s="60" t="s">
        <v>259</v>
      </c>
      <c r="H26" s="60" t="s">
        <v>26</v>
      </c>
      <c r="I26" s="60" t="s">
        <v>31</v>
      </c>
      <c r="J26" s="60" t="s">
        <v>32</v>
      </c>
      <c r="K26" s="60">
        <v>1</v>
      </c>
      <c r="L26" s="61">
        <v>0.5</v>
      </c>
      <c r="M26" s="60" t="s">
        <v>34</v>
      </c>
      <c r="N26" s="60">
        <v>2018</v>
      </c>
      <c r="O26" s="60" t="s">
        <v>27</v>
      </c>
      <c r="P26" s="62" t="s">
        <v>27</v>
      </c>
      <c r="Q26" s="60" t="s">
        <v>27</v>
      </c>
      <c r="R26" s="62" t="s">
        <v>27</v>
      </c>
      <c r="S26" s="63">
        <v>100</v>
      </c>
      <c r="T26" s="66">
        <v>0.5</v>
      </c>
      <c r="U26" s="64">
        <v>0</v>
      </c>
      <c r="V26" s="64">
        <v>0</v>
      </c>
    </row>
    <row r="27" spans="1:23" s="58" customFormat="1" x14ac:dyDescent="0.2">
      <c r="A27" s="25" t="s">
        <v>31</v>
      </c>
      <c r="B27" s="25" t="s">
        <v>32</v>
      </c>
      <c r="C27" s="25" t="s">
        <v>33</v>
      </c>
      <c r="D27" s="25" t="s">
        <v>357</v>
      </c>
      <c r="E27" s="25" t="s">
        <v>358</v>
      </c>
      <c r="F27" s="25" t="s">
        <v>359</v>
      </c>
      <c r="G27" s="25" t="s">
        <v>259</v>
      </c>
      <c r="H27" s="25" t="s">
        <v>26</v>
      </c>
      <c r="I27" s="25" t="s">
        <v>31</v>
      </c>
      <c r="J27" s="25" t="s">
        <v>32</v>
      </c>
      <c r="K27" s="25">
        <v>257</v>
      </c>
      <c r="L27" s="33">
        <v>0.5</v>
      </c>
      <c r="M27" s="33" t="s">
        <v>34</v>
      </c>
      <c r="N27" s="25">
        <v>2021</v>
      </c>
      <c r="O27" s="25" t="s">
        <v>27</v>
      </c>
      <c r="P27" s="26" t="s">
        <v>27</v>
      </c>
      <c r="Q27" s="25" t="s">
        <v>27</v>
      </c>
      <c r="R27" s="26" t="s">
        <v>27</v>
      </c>
      <c r="S27" s="25">
        <v>100</v>
      </c>
      <c r="T27" s="67">
        <v>0.5</v>
      </c>
      <c r="U27" s="25">
        <v>0</v>
      </c>
      <c r="V27" s="25">
        <v>0</v>
      </c>
      <c r="W27" s="58" t="s">
        <v>343</v>
      </c>
    </row>
    <row r="28" spans="1:23" ht="14.4" customHeight="1" x14ac:dyDescent="0.2">
      <c r="T28" s="69">
        <f>SUM(U2:U24,T25:T27)</f>
        <v>6.1</v>
      </c>
      <c r="U28" s="69"/>
    </row>
  </sheetData>
  <autoFilter ref="A1:U1" xr:uid="{00000000-0009-0000-0000-000000000000}">
    <sortState xmlns:xlrd2="http://schemas.microsoft.com/office/spreadsheetml/2017/richdata2" ref="A2:U914">
      <sortCondition ref="N2:N914"/>
      <sortCondition ref="P2:P914"/>
    </sortState>
  </autoFilter>
  <mergeCells count="1">
    <mergeCell ref="T28:U28"/>
  </mergeCells>
  <printOptions horizontalCentered="1"/>
  <pageMargins left="0.19685039370078741" right="0.19685039370078741" top="0.39370078740157483" bottom="0.39370078740157483" header="0.78740157480314965" footer="0"/>
  <pageSetup paperSize="9" scale="92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48"/>
  <sheetViews>
    <sheetView zoomScaleNormal="100" workbookViewId="0">
      <selection activeCell="H33" sqref="H33"/>
    </sheetView>
  </sheetViews>
  <sheetFormatPr baseColWidth="10" defaultColWidth="11.44140625" defaultRowHeight="13.2" x14ac:dyDescent="0.25"/>
  <cols>
    <col min="1" max="1" width="10.88671875" style="17" bestFit="1" customWidth="1"/>
    <col min="2" max="2" width="41" style="17" bestFit="1" customWidth="1"/>
    <col min="3" max="3" width="17" style="17" bestFit="1" customWidth="1"/>
    <col min="4" max="9" width="3.33203125" style="17" bestFit="1" customWidth="1"/>
    <col min="10" max="10" width="13.109375" style="17" bestFit="1" customWidth="1"/>
    <col min="11" max="11" width="5.33203125" style="17" bestFit="1" customWidth="1"/>
    <col min="12" max="12" width="5.6640625" style="17" bestFit="1" customWidth="1"/>
    <col min="13" max="14" width="5.6640625" style="18" bestFit="1" customWidth="1"/>
    <col min="15" max="15" width="5.6640625" style="17" bestFit="1" customWidth="1"/>
    <col min="16" max="16" width="5.6640625" style="18" bestFit="1" customWidth="1"/>
    <col min="17" max="19" width="5.6640625" style="17" bestFit="1" customWidth="1"/>
    <col min="20" max="16384" width="11.44140625" style="17"/>
  </cols>
  <sheetData>
    <row r="1" spans="1:19" s="16" customFormat="1" ht="65.099999999999994" customHeight="1" x14ac:dyDescent="0.25">
      <c r="A1" s="19" t="s">
        <v>97</v>
      </c>
      <c r="B1" s="19" t="s">
        <v>98</v>
      </c>
      <c r="C1" s="19" t="s">
        <v>99</v>
      </c>
      <c r="D1" s="20">
        <v>2017</v>
      </c>
      <c r="E1" s="20">
        <v>2018</v>
      </c>
      <c r="F1" s="20">
        <v>2019</v>
      </c>
      <c r="G1" s="20">
        <v>2020</v>
      </c>
      <c r="H1" s="20">
        <v>2021</v>
      </c>
      <c r="I1" s="20">
        <v>2022</v>
      </c>
      <c r="J1" s="19" t="s">
        <v>100</v>
      </c>
      <c r="K1" s="21" t="s">
        <v>246</v>
      </c>
      <c r="L1" s="14" t="s">
        <v>101</v>
      </c>
      <c r="M1" s="14" t="s">
        <v>102</v>
      </c>
      <c r="N1" s="14" t="s">
        <v>103</v>
      </c>
      <c r="O1" s="14" t="s">
        <v>104</v>
      </c>
      <c r="P1" s="15" t="s">
        <v>105</v>
      </c>
      <c r="Q1" s="15" t="s">
        <v>106</v>
      </c>
      <c r="R1" s="15" t="s">
        <v>107</v>
      </c>
      <c r="S1" s="15" t="s">
        <v>108</v>
      </c>
    </row>
    <row r="2" spans="1:19" ht="14.4" x14ac:dyDescent="0.3">
      <c r="A2" s="22" t="s">
        <v>113</v>
      </c>
      <c r="B2" s="22" t="s">
        <v>114</v>
      </c>
      <c r="C2" s="22">
        <v>6</v>
      </c>
      <c r="D2" s="22">
        <v>1</v>
      </c>
      <c r="E2" s="22"/>
      <c r="F2" s="22">
        <v>1</v>
      </c>
      <c r="G2" s="22"/>
      <c r="H2" s="22"/>
      <c r="I2" s="22"/>
      <c r="J2" s="22">
        <v>2</v>
      </c>
      <c r="K2" s="22" t="s">
        <v>55</v>
      </c>
      <c r="L2" s="23" t="s">
        <v>34</v>
      </c>
      <c r="M2" s="23" t="s">
        <v>40</v>
      </c>
      <c r="N2" s="23" t="s">
        <v>27</v>
      </c>
      <c r="O2" s="23" t="s">
        <v>27</v>
      </c>
      <c r="P2" s="23">
        <v>50</v>
      </c>
      <c r="Q2" s="23">
        <v>1</v>
      </c>
      <c r="R2" s="23">
        <v>0</v>
      </c>
      <c r="S2" s="23">
        <v>1</v>
      </c>
    </row>
    <row r="3" spans="1:19" ht="14.4" x14ac:dyDescent="0.3">
      <c r="A3" s="22" t="s">
        <v>361</v>
      </c>
      <c r="B3" s="22" t="s">
        <v>362</v>
      </c>
      <c r="C3" s="22" t="s">
        <v>110</v>
      </c>
      <c r="D3" s="22"/>
      <c r="E3" s="22"/>
      <c r="F3" s="22"/>
      <c r="G3" s="22"/>
      <c r="H3" s="22"/>
      <c r="I3" s="22">
        <v>1</v>
      </c>
      <c r="J3" s="22">
        <v>1</v>
      </c>
      <c r="K3" s="22" t="s">
        <v>34</v>
      </c>
      <c r="L3" s="23" t="s">
        <v>34</v>
      </c>
      <c r="M3" s="23" t="s">
        <v>363</v>
      </c>
      <c r="N3" s="23" t="s">
        <v>27</v>
      </c>
      <c r="O3" s="23" t="s">
        <v>27</v>
      </c>
      <c r="P3" s="23">
        <v>0</v>
      </c>
      <c r="Q3" s="23">
        <v>1</v>
      </c>
      <c r="R3" s="23">
        <v>0</v>
      </c>
      <c r="S3" s="23">
        <v>0</v>
      </c>
    </row>
    <row r="4" spans="1:19" ht="14.4" x14ac:dyDescent="0.3">
      <c r="A4" s="22" t="s">
        <v>171</v>
      </c>
      <c r="B4" s="22" t="s">
        <v>172</v>
      </c>
      <c r="C4" s="22" t="s">
        <v>109</v>
      </c>
      <c r="D4" s="22"/>
      <c r="E4" s="22"/>
      <c r="F4" s="22">
        <v>1</v>
      </c>
      <c r="G4" s="22"/>
      <c r="H4" s="22"/>
      <c r="I4" s="22"/>
      <c r="J4" s="22">
        <v>1</v>
      </c>
      <c r="K4" s="22" t="s">
        <v>55</v>
      </c>
      <c r="L4" s="23" t="s">
        <v>34</v>
      </c>
      <c r="M4" s="23" t="s">
        <v>41</v>
      </c>
      <c r="N4" s="23" t="s">
        <v>27</v>
      </c>
      <c r="O4" s="23" t="s">
        <v>27</v>
      </c>
      <c r="P4" s="23">
        <v>80</v>
      </c>
      <c r="Q4" s="23">
        <v>0.2</v>
      </c>
      <c r="R4" s="23">
        <v>0</v>
      </c>
      <c r="S4" s="23">
        <v>0.8</v>
      </c>
    </row>
    <row r="5" spans="1:19" ht="14.4" x14ac:dyDescent="0.3">
      <c r="A5" s="22" t="s">
        <v>154</v>
      </c>
      <c r="B5" s="22" t="s">
        <v>155</v>
      </c>
      <c r="C5" s="22" t="s">
        <v>109</v>
      </c>
      <c r="D5" s="22"/>
      <c r="E5" s="22"/>
      <c r="F5" s="22"/>
      <c r="G5" s="22"/>
      <c r="H5" s="22"/>
      <c r="I5" s="22">
        <v>1</v>
      </c>
      <c r="J5" s="22">
        <v>1</v>
      </c>
      <c r="K5" s="22" t="s">
        <v>79</v>
      </c>
      <c r="L5" s="23" t="s">
        <v>34</v>
      </c>
      <c r="M5" s="23" t="s">
        <v>41</v>
      </c>
      <c r="N5" s="23" t="s">
        <v>27</v>
      </c>
      <c r="O5" s="23" t="s">
        <v>27</v>
      </c>
      <c r="P5" s="23">
        <v>80</v>
      </c>
      <c r="Q5" s="23">
        <v>0.2</v>
      </c>
      <c r="R5" s="23">
        <v>0</v>
      </c>
      <c r="S5" s="23">
        <v>0.8</v>
      </c>
    </row>
    <row r="6" spans="1:19" ht="14.4" x14ac:dyDescent="0.3">
      <c r="A6" s="22" t="s">
        <v>146</v>
      </c>
      <c r="B6" s="22" t="s">
        <v>147</v>
      </c>
      <c r="C6" s="22" t="s">
        <v>109</v>
      </c>
      <c r="D6" s="22"/>
      <c r="E6" s="22"/>
      <c r="F6" s="22"/>
      <c r="G6" s="22"/>
      <c r="H6" s="22">
        <v>1</v>
      </c>
      <c r="I6" s="22"/>
      <c r="J6" s="22">
        <v>1</v>
      </c>
      <c r="K6" s="22" t="s">
        <v>51</v>
      </c>
      <c r="L6" s="23" t="s">
        <v>34</v>
      </c>
      <c r="M6" s="23" t="s">
        <v>40</v>
      </c>
      <c r="N6" s="23" t="s">
        <v>27</v>
      </c>
      <c r="O6" s="23" t="s">
        <v>27</v>
      </c>
      <c r="P6" s="23">
        <v>50</v>
      </c>
      <c r="Q6" s="23">
        <v>0.5</v>
      </c>
      <c r="R6" s="23">
        <v>0</v>
      </c>
      <c r="S6" s="23">
        <v>0.5</v>
      </c>
    </row>
    <row r="7" spans="1:19" ht="14.4" x14ac:dyDescent="0.3">
      <c r="A7" s="22" t="s">
        <v>364</v>
      </c>
      <c r="B7" s="22" t="s">
        <v>365</v>
      </c>
      <c r="C7" s="22" t="s">
        <v>109</v>
      </c>
      <c r="D7" s="22"/>
      <c r="E7" s="22"/>
      <c r="F7" s="22"/>
      <c r="G7" s="22"/>
      <c r="H7" s="22"/>
      <c r="I7" s="22">
        <v>1</v>
      </c>
      <c r="J7" s="22">
        <v>1</v>
      </c>
      <c r="K7" s="22" t="s">
        <v>55</v>
      </c>
      <c r="L7" s="23" t="s">
        <v>34</v>
      </c>
      <c r="M7" s="23" t="s">
        <v>40</v>
      </c>
      <c r="N7" s="23" t="s">
        <v>27</v>
      </c>
      <c r="O7" s="23" t="s">
        <v>27</v>
      </c>
      <c r="P7" s="23">
        <v>50</v>
      </c>
      <c r="Q7" s="23">
        <v>0.5</v>
      </c>
      <c r="R7" s="23">
        <v>0</v>
      </c>
      <c r="S7" s="23">
        <v>0.5</v>
      </c>
    </row>
    <row r="8" spans="1:19" ht="14.4" x14ac:dyDescent="0.3">
      <c r="A8" s="22" t="s">
        <v>167</v>
      </c>
      <c r="B8" s="22" t="s">
        <v>168</v>
      </c>
      <c r="C8" s="22" t="s">
        <v>109</v>
      </c>
      <c r="D8" s="22"/>
      <c r="E8" s="22"/>
      <c r="F8" s="22"/>
      <c r="G8" s="22"/>
      <c r="H8" s="22"/>
      <c r="I8" s="22">
        <v>1</v>
      </c>
      <c r="J8" s="22">
        <v>1</v>
      </c>
      <c r="K8" s="22" t="s">
        <v>55</v>
      </c>
      <c r="L8" s="23" t="s">
        <v>34</v>
      </c>
      <c r="M8" s="23" t="s">
        <v>40</v>
      </c>
      <c r="N8" s="23" t="s">
        <v>27</v>
      </c>
      <c r="O8" s="23" t="s">
        <v>27</v>
      </c>
      <c r="P8" s="23">
        <v>50</v>
      </c>
      <c r="Q8" s="23">
        <v>0.5</v>
      </c>
      <c r="R8" s="23">
        <v>0</v>
      </c>
      <c r="S8" s="23">
        <v>0.5</v>
      </c>
    </row>
    <row r="9" spans="1:19" ht="14.4" x14ac:dyDescent="0.3">
      <c r="A9" s="22" t="s">
        <v>163</v>
      </c>
      <c r="B9" s="22" t="s">
        <v>164</v>
      </c>
      <c r="C9" s="22" t="s">
        <v>109</v>
      </c>
      <c r="D9" s="22"/>
      <c r="E9" s="22">
        <v>1</v>
      </c>
      <c r="F9" s="22"/>
      <c r="G9" s="22"/>
      <c r="H9" s="22"/>
      <c r="I9" s="22"/>
      <c r="J9" s="22">
        <v>1</v>
      </c>
      <c r="K9" s="22" t="s">
        <v>79</v>
      </c>
      <c r="L9" s="23" t="s">
        <v>34</v>
      </c>
      <c r="M9" s="23" t="s">
        <v>40</v>
      </c>
      <c r="N9" s="23" t="s">
        <v>27</v>
      </c>
      <c r="O9" s="23" t="s">
        <v>27</v>
      </c>
      <c r="P9" s="23">
        <v>50</v>
      </c>
      <c r="Q9" s="23">
        <v>0.5</v>
      </c>
      <c r="R9" s="23">
        <v>0</v>
      </c>
      <c r="S9" s="23">
        <v>0.5</v>
      </c>
    </row>
    <row r="10" spans="1:19" ht="14.4" x14ac:dyDescent="0.3">
      <c r="A10" s="22" t="s">
        <v>173</v>
      </c>
      <c r="B10" s="22" t="s">
        <v>174</v>
      </c>
      <c r="C10" s="22" t="s">
        <v>109</v>
      </c>
      <c r="D10" s="22"/>
      <c r="E10" s="22"/>
      <c r="F10" s="22">
        <v>1</v>
      </c>
      <c r="G10" s="22"/>
      <c r="H10" s="22"/>
      <c r="I10" s="22"/>
      <c r="J10" s="22">
        <v>1</v>
      </c>
      <c r="K10" s="22" t="s">
        <v>79</v>
      </c>
      <c r="L10" s="23" t="s">
        <v>34</v>
      </c>
      <c r="M10" s="23" t="s">
        <v>41</v>
      </c>
      <c r="N10" s="23" t="s">
        <v>27</v>
      </c>
      <c r="O10" s="23" t="s">
        <v>27</v>
      </c>
      <c r="P10" s="23">
        <v>80</v>
      </c>
      <c r="Q10" s="23">
        <v>0.2</v>
      </c>
      <c r="R10" s="23">
        <v>0</v>
      </c>
      <c r="S10" s="23">
        <v>0.8</v>
      </c>
    </row>
    <row r="11" spans="1:19" ht="14.4" x14ac:dyDescent="0.3">
      <c r="A11" s="22" t="s">
        <v>131</v>
      </c>
      <c r="B11" s="22" t="s">
        <v>132</v>
      </c>
      <c r="C11" s="22" t="s">
        <v>109</v>
      </c>
      <c r="D11" s="22"/>
      <c r="E11" s="22">
        <v>1</v>
      </c>
      <c r="F11" s="22"/>
      <c r="G11" s="22"/>
      <c r="H11" s="22"/>
      <c r="I11" s="22"/>
      <c r="J11" s="22">
        <v>1</v>
      </c>
      <c r="K11" s="22" t="s">
        <v>55</v>
      </c>
      <c r="L11" s="23" t="s">
        <v>34</v>
      </c>
      <c r="M11" s="23" t="s">
        <v>41</v>
      </c>
      <c r="N11" s="23" t="s">
        <v>27</v>
      </c>
      <c r="O11" s="23" t="s">
        <v>27</v>
      </c>
      <c r="P11" s="23">
        <v>80</v>
      </c>
      <c r="Q11" s="23">
        <v>0.2</v>
      </c>
      <c r="R11" s="23">
        <v>0</v>
      </c>
      <c r="S11" s="23">
        <v>0.8</v>
      </c>
    </row>
    <row r="12" spans="1:19" ht="14.4" x14ac:dyDescent="0.3">
      <c r="A12" s="22" t="s">
        <v>152</v>
      </c>
      <c r="B12" s="22" t="s">
        <v>153</v>
      </c>
      <c r="C12" s="22" t="s">
        <v>109</v>
      </c>
      <c r="D12" s="22"/>
      <c r="E12" s="22"/>
      <c r="F12" s="22"/>
      <c r="G12" s="22"/>
      <c r="H12" s="22"/>
      <c r="I12" s="22">
        <v>1</v>
      </c>
      <c r="J12" s="22">
        <v>1</v>
      </c>
      <c r="K12" s="22" t="s">
        <v>55</v>
      </c>
      <c r="L12" s="23" t="s">
        <v>34</v>
      </c>
      <c r="M12" s="23" t="s">
        <v>41</v>
      </c>
      <c r="N12" s="23" t="s">
        <v>27</v>
      </c>
      <c r="O12" s="23" t="s">
        <v>27</v>
      </c>
      <c r="P12" s="23">
        <v>80</v>
      </c>
      <c r="Q12" s="23">
        <v>0.2</v>
      </c>
      <c r="R12" s="23">
        <v>0</v>
      </c>
      <c r="S12" s="23">
        <v>0.8</v>
      </c>
    </row>
    <row r="13" spans="1:19" ht="14.4" x14ac:dyDescent="0.3">
      <c r="A13" s="22" t="s">
        <v>160</v>
      </c>
      <c r="B13" s="22" t="s">
        <v>366</v>
      </c>
      <c r="C13" s="22">
        <v>6</v>
      </c>
      <c r="D13" s="22">
        <v>1</v>
      </c>
      <c r="E13" s="22"/>
      <c r="F13" s="22">
        <v>1</v>
      </c>
      <c r="G13" s="22"/>
      <c r="H13" s="22"/>
      <c r="I13" s="22"/>
      <c r="J13" s="22">
        <v>2</v>
      </c>
      <c r="K13" s="22" t="s">
        <v>79</v>
      </c>
      <c r="L13" s="23" t="s">
        <v>34</v>
      </c>
      <c r="M13" s="23" t="s">
        <v>40</v>
      </c>
      <c r="N13" s="23" t="s">
        <v>27</v>
      </c>
      <c r="O13" s="23" t="s">
        <v>27</v>
      </c>
      <c r="P13" s="23">
        <v>50</v>
      </c>
      <c r="Q13" s="23">
        <v>1</v>
      </c>
      <c r="R13" s="23">
        <v>0</v>
      </c>
      <c r="S13" s="23">
        <v>1</v>
      </c>
    </row>
    <row r="14" spans="1:19" ht="14.4" x14ac:dyDescent="0.3">
      <c r="A14" s="22" t="s">
        <v>367</v>
      </c>
      <c r="B14" s="22" t="s">
        <v>368</v>
      </c>
      <c r="C14" s="22" t="s">
        <v>110</v>
      </c>
      <c r="D14" s="22"/>
      <c r="E14" s="22"/>
      <c r="F14" s="22"/>
      <c r="G14" s="22"/>
      <c r="H14" s="22"/>
      <c r="I14" s="22">
        <v>1</v>
      </c>
      <c r="J14" s="22">
        <v>1</v>
      </c>
      <c r="K14" s="22" t="s">
        <v>55</v>
      </c>
      <c r="L14" s="23" t="s">
        <v>34</v>
      </c>
      <c r="M14" s="23" t="s">
        <v>41</v>
      </c>
      <c r="N14" s="23" t="s">
        <v>27</v>
      </c>
      <c r="O14" s="23" t="s">
        <v>27</v>
      </c>
      <c r="P14" s="23">
        <v>80</v>
      </c>
      <c r="Q14" s="23">
        <v>0.2</v>
      </c>
      <c r="R14" s="23">
        <v>0</v>
      </c>
      <c r="S14" s="23">
        <v>0.8</v>
      </c>
    </row>
    <row r="15" spans="1:19" ht="14.4" x14ac:dyDescent="0.3">
      <c r="A15" s="22" t="s">
        <v>144</v>
      </c>
      <c r="B15" s="22" t="s">
        <v>145</v>
      </c>
      <c r="C15" s="22" t="s">
        <v>109</v>
      </c>
      <c r="D15" s="22"/>
      <c r="E15" s="22"/>
      <c r="F15" s="22"/>
      <c r="G15" s="22">
        <v>1</v>
      </c>
      <c r="H15" s="22">
        <v>1</v>
      </c>
      <c r="I15" s="22"/>
      <c r="J15" s="22">
        <v>2</v>
      </c>
      <c r="K15" s="22" t="s">
        <v>55</v>
      </c>
      <c r="L15" s="23" t="s">
        <v>34</v>
      </c>
      <c r="M15" s="23" t="s">
        <v>41</v>
      </c>
      <c r="N15" s="23" t="s">
        <v>27</v>
      </c>
      <c r="O15" s="23" t="s">
        <v>27</v>
      </c>
      <c r="P15" s="23">
        <v>80</v>
      </c>
      <c r="Q15" s="23">
        <v>0.4</v>
      </c>
      <c r="R15" s="23">
        <v>0</v>
      </c>
      <c r="S15" s="23">
        <v>1.6</v>
      </c>
    </row>
    <row r="16" spans="1:19" ht="14.4" x14ac:dyDescent="0.3">
      <c r="A16" s="22" t="s">
        <v>125</v>
      </c>
      <c r="B16" s="22" t="s">
        <v>126</v>
      </c>
      <c r="C16" s="22" t="s">
        <v>109</v>
      </c>
      <c r="D16" s="22"/>
      <c r="E16" s="22"/>
      <c r="F16" s="22">
        <v>1</v>
      </c>
      <c r="G16" s="22"/>
      <c r="H16" s="22">
        <v>1</v>
      </c>
      <c r="I16" s="22"/>
      <c r="J16" s="22">
        <v>2</v>
      </c>
      <c r="K16" s="22" t="s">
        <v>46</v>
      </c>
      <c r="L16" s="23" t="s">
        <v>34</v>
      </c>
      <c r="M16" s="23" t="s">
        <v>40</v>
      </c>
      <c r="N16" s="23" t="s">
        <v>27</v>
      </c>
      <c r="O16" s="23" t="s">
        <v>27</v>
      </c>
      <c r="P16" s="23">
        <v>50</v>
      </c>
      <c r="Q16" s="23">
        <v>1</v>
      </c>
      <c r="R16" s="23">
        <v>0</v>
      </c>
      <c r="S16" s="23">
        <v>1</v>
      </c>
    </row>
    <row r="17" spans="1:19" ht="14.4" x14ac:dyDescent="0.3">
      <c r="A17" s="22" t="s">
        <v>158</v>
      </c>
      <c r="B17" s="22" t="s">
        <v>159</v>
      </c>
      <c r="C17" s="22" t="s">
        <v>109</v>
      </c>
      <c r="D17" s="22"/>
      <c r="E17" s="22">
        <v>1</v>
      </c>
      <c r="F17" s="22"/>
      <c r="G17" s="22"/>
      <c r="H17" s="22"/>
      <c r="I17" s="22"/>
      <c r="J17" s="22">
        <v>1</v>
      </c>
      <c r="K17" s="22" t="s">
        <v>55</v>
      </c>
      <c r="L17" s="23" t="s">
        <v>34</v>
      </c>
      <c r="M17" s="23" t="s">
        <v>40</v>
      </c>
      <c r="N17" s="23" t="s">
        <v>27</v>
      </c>
      <c r="O17" s="23" t="s">
        <v>27</v>
      </c>
      <c r="P17" s="23">
        <v>50</v>
      </c>
      <c r="Q17" s="23">
        <v>0.5</v>
      </c>
      <c r="R17" s="23">
        <v>0</v>
      </c>
      <c r="S17" s="23">
        <v>0.5</v>
      </c>
    </row>
    <row r="18" spans="1:19" ht="14.4" x14ac:dyDescent="0.3">
      <c r="A18" s="22" t="s">
        <v>156</v>
      </c>
      <c r="B18" s="22" t="s">
        <v>157</v>
      </c>
      <c r="C18" s="22" t="s">
        <v>109</v>
      </c>
      <c r="D18" s="22">
        <v>1</v>
      </c>
      <c r="E18" s="22"/>
      <c r="F18" s="22"/>
      <c r="G18" s="22"/>
      <c r="H18" s="22"/>
      <c r="I18" s="22"/>
      <c r="J18" s="22">
        <v>1</v>
      </c>
      <c r="K18" s="22" t="s">
        <v>55</v>
      </c>
      <c r="L18" s="23" t="s">
        <v>34</v>
      </c>
      <c r="M18" s="23" t="s">
        <v>41</v>
      </c>
      <c r="N18" s="23" t="s">
        <v>27</v>
      </c>
      <c r="O18" s="23" t="s">
        <v>27</v>
      </c>
      <c r="P18" s="23">
        <v>80</v>
      </c>
      <c r="Q18" s="23">
        <v>0.2</v>
      </c>
      <c r="R18" s="23">
        <v>0</v>
      </c>
      <c r="S18" s="23">
        <v>0.8</v>
      </c>
    </row>
    <row r="19" spans="1:19" ht="14.4" x14ac:dyDescent="0.3">
      <c r="A19" s="22" t="s">
        <v>148</v>
      </c>
      <c r="B19" s="22" t="s">
        <v>149</v>
      </c>
      <c r="C19" s="22" t="s">
        <v>109</v>
      </c>
      <c r="D19" s="22"/>
      <c r="E19" s="22"/>
      <c r="F19" s="22"/>
      <c r="G19" s="22">
        <v>1</v>
      </c>
      <c r="H19" s="22"/>
      <c r="I19" s="22"/>
      <c r="J19" s="22">
        <v>1</v>
      </c>
      <c r="K19" s="22" t="s">
        <v>79</v>
      </c>
      <c r="L19" s="23" t="s">
        <v>34</v>
      </c>
      <c r="M19" s="23" t="s">
        <v>40</v>
      </c>
      <c r="N19" s="23" t="s">
        <v>27</v>
      </c>
      <c r="O19" s="23" t="s">
        <v>27</v>
      </c>
      <c r="P19" s="23">
        <v>50</v>
      </c>
      <c r="Q19" s="23">
        <v>0.5</v>
      </c>
      <c r="R19" s="23">
        <v>0</v>
      </c>
      <c r="S19" s="23">
        <v>0.5</v>
      </c>
    </row>
    <row r="20" spans="1:19" ht="14.4" x14ac:dyDescent="0.3">
      <c r="A20" s="22" t="s">
        <v>117</v>
      </c>
      <c r="B20" s="22" t="s">
        <v>118</v>
      </c>
      <c r="C20" s="22" t="s">
        <v>109</v>
      </c>
      <c r="D20" s="22"/>
      <c r="E20" s="22"/>
      <c r="F20" s="22"/>
      <c r="G20" s="22"/>
      <c r="H20" s="22">
        <v>2</v>
      </c>
      <c r="I20" s="22"/>
      <c r="J20" s="22">
        <v>2</v>
      </c>
      <c r="K20" s="22" t="s">
        <v>55</v>
      </c>
      <c r="L20" s="23" t="s">
        <v>34</v>
      </c>
      <c r="M20" s="23" t="s">
        <v>41</v>
      </c>
      <c r="N20" s="23" t="s">
        <v>27</v>
      </c>
      <c r="O20" s="23" t="s">
        <v>27</v>
      </c>
      <c r="P20" s="23">
        <v>80</v>
      </c>
      <c r="Q20" s="23">
        <v>0.4</v>
      </c>
      <c r="R20" s="23">
        <v>0</v>
      </c>
      <c r="S20" s="23">
        <v>1.6</v>
      </c>
    </row>
    <row r="21" spans="1:19" ht="14.4" x14ac:dyDescent="0.3">
      <c r="A21" s="22" t="s">
        <v>175</v>
      </c>
      <c r="B21" s="22" t="s">
        <v>176</v>
      </c>
      <c r="C21" s="22" t="s">
        <v>109</v>
      </c>
      <c r="D21" s="22"/>
      <c r="E21" s="22">
        <v>2</v>
      </c>
      <c r="F21" s="22"/>
      <c r="G21" s="22"/>
      <c r="H21" s="22"/>
      <c r="I21" s="22">
        <v>1</v>
      </c>
      <c r="J21" s="22">
        <v>3</v>
      </c>
      <c r="K21" s="22" t="s">
        <v>55</v>
      </c>
      <c r="L21" s="23" t="s">
        <v>34</v>
      </c>
      <c r="M21" s="23" t="s">
        <v>41</v>
      </c>
      <c r="N21" s="23" t="s">
        <v>27</v>
      </c>
      <c r="O21" s="23" t="s">
        <v>27</v>
      </c>
      <c r="P21" s="23">
        <v>80</v>
      </c>
      <c r="Q21" s="23">
        <v>0.6</v>
      </c>
      <c r="R21" s="23">
        <v>0</v>
      </c>
      <c r="S21" s="23">
        <v>2.4</v>
      </c>
    </row>
    <row r="22" spans="1:19" ht="14.4" x14ac:dyDescent="0.3">
      <c r="A22" s="22" t="s">
        <v>369</v>
      </c>
      <c r="B22" s="22" t="s">
        <v>370</v>
      </c>
      <c r="C22" s="22" t="s">
        <v>109</v>
      </c>
      <c r="D22" s="22"/>
      <c r="E22" s="22">
        <v>1</v>
      </c>
      <c r="F22" s="22"/>
      <c r="G22" s="22"/>
      <c r="H22" s="22"/>
      <c r="I22" s="22"/>
      <c r="J22" s="22">
        <v>1</v>
      </c>
      <c r="K22" s="22" t="s">
        <v>55</v>
      </c>
      <c r="L22" s="23" t="s">
        <v>34</v>
      </c>
      <c r="M22" s="23" t="s">
        <v>41</v>
      </c>
      <c r="N22" s="23" t="s">
        <v>27</v>
      </c>
      <c r="O22" s="23" t="s">
        <v>27</v>
      </c>
      <c r="P22" s="23">
        <v>80</v>
      </c>
      <c r="Q22" s="23">
        <v>0.2</v>
      </c>
      <c r="R22" s="23">
        <v>0</v>
      </c>
      <c r="S22" s="23">
        <v>0.8</v>
      </c>
    </row>
    <row r="23" spans="1:19" ht="14.4" x14ac:dyDescent="0.3">
      <c r="A23" s="22" t="s">
        <v>371</v>
      </c>
      <c r="B23" s="22" t="s">
        <v>372</v>
      </c>
      <c r="C23" s="22" t="s">
        <v>109</v>
      </c>
      <c r="D23" s="22"/>
      <c r="E23" s="22"/>
      <c r="F23" s="22"/>
      <c r="G23" s="22"/>
      <c r="H23" s="22"/>
      <c r="I23" s="22">
        <v>1</v>
      </c>
      <c r="J23" s="22">
        <v>1</v>
      </c>
      <c r="K23" s="22" t="s">
        <v>55</v>
      </c>
      <c r="L23" s="23" t="s">
        <v>34</v>
      </c>
      <c r="M23" s="23" t="s">
        <v>41</v>
      </c>
      <c r="N23" s="23" t="s">
        <v>27</v>
      </c>
      <c r="O23" s="23" t="s">
        <v>27</v>
      </c>
      <c r="P23" s="23">
        <v>80</v>
      </c>
      <c r="Q23" s="23">
        <v>0.2</v>
      </c>
      <c r="R23" s="23">
        <v>0</v>
      </c>
      <c r="S23" s="23">
        <v>0.8</v>
      </c>
    </row>
    <row r="24" spans="1:19" ht="14.4" x14ac:dyDescent="0.3">
      <c r="A24" s="22" t="s">
        <v>123</v>
      </c>
      <c r="B24" s="22" t="s">
        <v>124</v>
      </c>
      <c r="C24" s="22" t="s">
        <v>109</v>
      </c>
      <c r="D24" s="22"/>
      <c r="E24" s="22">
        <v>2</v>
      </c>
      <c r="F24" s="22"/>
      <c r="G24" s="22"/>
      <c r="H24" s="22"/>
      <c r="I24" s="22"/>
      <c r="J24" s="22">
        <v>2</v>
      </c>
      <c r="K24" s="22" t="s">
        <v>79</v>
      </c>
      <c r="L24" s="23" t="s">
        <v>34</v>
      </c>
      <c r="M24" s="23" t="s">
        <v>41</v>
      </c>
      <c r="N24" s="23" t="s">
        <v>27</v>
      </c>
      <c r="O24" s="23" t="s">
        <v>27</v>
      </c>
      <c r="P24" s="23">
        <v>80</v>
      </c>
      <c r="Q24" s="23">
        <v>0.4</v>
      </c>
      <c r="R24" s="23">
        <v>0</v>
      </c>
      <c r="S24" s="23">
        <v>1.6</v>
      </c>
    </row>
    <row r="25" spans="1:19" ht="14.4" x14ac:dyDescent="0.3">
      <c r="A25" s="22" t="s">
        <v>127</v>
      </c>
      <c r="B25" s="22" t="s">
        <v>128</v>
      </c>
      <c r="C25" s="22" t="s">
        <v>109</v>
      </c>
      <c r="D25" s="22"/>
      <c r="E25" s="22">
        <v>1</v>
      </c>
      <c r="F25" s="22">
        <v>1</v>
      </c>
      <c r="G25" s="22"/>
      <c r="H25" s="22"/>
      <c r="I25" s="22"/>
      <c r="J25" s="22">
        <v>2</v>
      </c>
      <c r="K25" s="22" t="s">
        <v>55</v>
      </c>
      <c r="L25" s="23" t="s">
        <v>34</v>
      </c>
      <c r="M25" s="23" t="s">
        <v>40</v>
      </c>
      <c r="N25" s="23" t="s">
        <v>27</v>
      </c>
      <c r="O25" s="23" t="s">
        <v>27</v>
      </c>
      <c r="P25" s="23">
        <v>50</v>
      </c>
      <c r="Q25" s="23">
        <v>1</v>
      </c>
      <c r="R25" s="23">
        <v>0</v>
      </c>
      <c r="S25" s="23">
        <v>1</v>
      </c>
    </row>
    <row r="26" spans="1:19" ht="14.4" x14ac:dyDescent="0.3">
      <c r="A26" s="22" t="s">
        <v>150</v>
      </c>
      <c r="B26" s="22" t="s">
        <v>151</v>
      </c>
      <c r="C26" s="22" t="s">
        <v>109</v>
      </c>
      <c r="D26" s="22"/>
      <c r="E26" s="22"/>
      <c r="F26" s="22"/>
      <c r="G26" s="22">
        <v>1</v>
      </c>
      <c r="H26" s="22"/>
      <c r="I26" s="22"/>
      <c r="J26" s="22">
        <v>1</v>
      </c>
      <c r="K26" s="22" t="s">
        <v>51</v>
      </c>
      <c r="L26" s="23" t="s">
        <v>34</v>
      </c>
      <c r="M26" s="23" t="s">
        <v>40</v>
      </c>
      <c r="N26" s="23" t="s">
        <v>27</v>
      </c>
      <c r="O26" s="23" t="s">
        <v>27</v>
      </c>
      <c r="P26" s="23">
        <v>50</v>
      </c>
      <c r="Q26" s="23">
        <v>0.5</v>
      </c>
      <c r="R26" s="23">
        <v>0</v>
      </c>
      <c r="S26" s="23">
        <v>0.5</v>
      </c>
    </row>
    <row r="27" spans="1:19" ht="14.4" x14ac:dyDescent="0.3">
      <c r="A27" s="22" t="s">
        <v>133</v>
      </c>
      <c r="B27" s="22" t="s">
        <v>134</v>
      </c>
      <c r="C27" s="22" t="s">
        <v>109</v>
      </c>
      <c r="D27" s="22"/>
      <c r="E27" s="22"/>
      <c r="F27" s="22"/>
      <c r="G27" s="22">
        <v>1</v>
      </c>
      <c r="H27" s="22"/>
      <c r="I27" s="22"/>
      <c r="J27" s="22">
        <v>1</v>
      </c>
      <c r="K27" s="22" t="s">
        <v>55</v>
      </c>
      <c r="L27" s="23" t="s">
        <v>34</v>
      </c>
      <c r="M27" s="23" t="s">
        <v>41</v>
      </c>
      <c r="N27" s="23" t="s">
        <v>27</v>
      </c>
      <c r="O27" s="23" t="s">
        <v>27</v>
      </c>
      <c r="P27" s="23">
        <v>80</v>
      </c>
      <c r="Q27" s="23">
        <v>0.2</v>
      </c>
      <c r="R27" s="23">
        <v>0</v>
      </c>
      <c r="S27" s="23">
        <v>0.8</v>
      </c>
    </row>
    <row r="28" spans="1:19" ht="14.4" x14ac:dyDescent="0.3">
      <c r="A28" s="73" t="s">
        <v>161</v>
      </c>
      <c r="B28" s="73" t="s">
        <v>162</v>
      </c>
      <c r="C28" s="73" t="s">
        <v>109</v>
      </c>
      <c r="D28" s="73"/>
      <c r="E28" s="73">
        <v>2</v>
      </c>
      <c r="F28" s="73"/>
      <c r="G28" s="73"/>
      <c r="H28" s="73"/>
      <c r="I28" s="73"/>
      <c r="J28" s="73">
        <v>2</v>
      </c>
      <c r="K28" s="22" t="s">
        <v>55</v>
      </c>
      <c r="L28" s="23" t="s">
        <v>34</v>
      </c>
      <c r="M28" s="23" t="s">
        <v>41</v>
      </c>
      <c r="N28" s="23" t="s">
        <v>27</v>
      </c>
      <c r="O28" s="23" t="s">
        <v>27</v>
      </c>
      <c r="P28" s="23">
        <v>80</v>
      </c>
      <c r="Q28" s="23">
        <v>0.4</v>
      </c>
      <c r="R28" s="23">
        <v>0</v>
      </c>
      <c r="S28" s="23">
        <v>1.6</v>
      </c>
    </row>
    <row r="29" spans="1:19" ht="14.4" x14ac:dyDescent="0.3">
      <c r="A29" s="22" t="s">
        <v>242</v>
      </c>
      <c r="B29" s="22" t="s">
        <v>243</v>
      </c>
      <c r="C29" s="22" t="s">
        <v>110</v>
      </c>
      <c r="D29" s="22"/>
      <c r="E29" s="22"/>
      <c r="F29" s="22"/>
      <c r="G29" s="22"/>
      <c r="H29" s="22"/>
      <c r="I29" s="22">
        <v>1</v>
      </c>
      <c r="J29" s="22">
        <v>1</v>
      </c>
      <c r="K29" s="22" t="s">
        <v>51</v>
      </c>
      <c r="L29" s="23" t="s">
        <v>34</v>
      </c>
      <c r="M29" s="23" t="s">
        <v>40</v>
      </c>
      <c r="N29" s="23" t="s">
        <v>27</v>
      </c>
      <c r="O29" s="23" t="s">
        <v>27</v>
      </c>
      <c r="P29" s="23">
        <v>50</v>
      </c>
      <c r="Q29" s="23">
        <v>0.5</v>
      </c>
      <c r="R29" s="23">
        <v>0</v>
      </c>
      <c r="S29" s="23">
        <v>0.5</v>
      </c>
    </row>
    <row r="30" spans="1:19" ht="14.4" x14ac:dyDescent="0.3">
      <c r="A30" s="22" t="s">
        <v>111</v>
      </c>
      <c r="B30" s="22" t="s">
        <v>112</v>
      </c>
      <c r="C30" s="22" t="s">
        <v>109</v>
      </c>
      <c r="D30" s="22"/>
      <c r="E30" s="22"/>
      <c r="F30" s="22"/>
      <c r="G30" s="22">
        <v>1</v>
      </c>
      <c r="H30" s="22"/>
      <c r="I30" s="22"/>
      <c r="J30" s="22">
        <v>1</v>
      </c>
      <c r="K30" s="22" t="s">
        <v>55</v>
      </c>
      <c r="L30" s="23" t="s">
        <v>34</v>
      </c>
      <c r="M30" s="23" t="s">
        <v>40</v>
      </c>
      <c r="N30" s="23" t="s">
        <v>27</v>
      </c>
      <c r="O30" s="23" t="s">
        <v>27</v>
      </c>
      <c r="P30" s="23">
        <v>50</v>
      </c>
      <c r="Q30" s="23">
        <v>0.5</v>
      </c>
      <c r="R30" s="23">
        <v>0</v>
      </c>
      <c r="S30" s="23">
        <v>0.5</v>
      </c>
    </row>
    <row r="31" spans="1:19" ht="14.4" x14ac:dyDescent="0.3">
      <c r="A31" s="22" t="s">
        <v>115</v>
      </c>
      <c r="B31" s="22" t="s">
        <v>116</v>
      </c>
      <c r="C31" s="22" t="s">
        <v>109</v>
      </c>
      <c r="D31" s="22"/>
      <c r="E31" s="22"/>
      <c r="F31" s="22"/>
      <c r="G31" s="22"/>
      <c r="H31" s="22">
        <v>2</v>
      </c>
      <c r="I31" s="22">
        <v>1</v>
      </c>
      <c r="J31" s="22">
        <v>3</v>
      </c>
      <c r="K31" s="22" t="s">
        <v>55</v>
      </c>
      <c r="L31" s="23" t="s">
        <v>34</v>
      </c>
      <c r="M31" s="23" t="s">
        <v>41</v>
      </c>
      <c r="N31" s="23" t="s">
        <v>27</v>
      </c>
      <c r="O31" s="23" t="s">
        <v>27</v>
      </c>
      <c r="P31" s="23">
        <v>80</v>
      </c>
      <c r="Q31" s="23">
        <v>0.6</v>
      </c>
      <c r="R31" s="23">
        <v>0</v>
      </c>
      <c r="S31" s="23">
        <v>2.4</v>
      </c>
    </row>
    <row r="32" spans="1:19" ht="14.4" x14ac:dyDescent="0.3">
      <c r="A32" s="22" t="s">
        <v>142</v>
      </c>
      <c r="B32" s="22" t="s">
        <v>143</v>
      </c>
      <c r="C32" s="22" t="s">
        <v>109</v>
      </c>
      <c r="D32" s="22"/>
      <c r="E32" s="22"/>
      <c r="F32" s="22"/>
      <c r="G32" s="22"/>
      <c r="H32" s="22">
        <v>1</v>
      </c>
      <c r="I32" s="22"/>
      <c r="J32" s="22">
        <v>1</v>
      </c>
      <c r="K32" s="22" t="s">
        <v>55</v>
      </c>
      <c r="L32" s="23" t="s">
        <v>34</v>
      </c>
      <c r="M32" s="23" t="s">
        <v>41</v>
      </c>
      <c r="N32" s="23" t="s">
        <v>27</v>
      </c>
      <c r="O32" s="23" t="s">
        <v>27</v>
      </c>
      <c r="P32" s="23">
        <v>80</v>
      </c>
      <c r="Q32" s="23">
        <v>0.2</v>
      </c>
      <c r="R32" s="23">
        <v>0</v>
      </c>
      <c r="S32" s="23">
        <v>0.8</v>
      </c>
    </row>
    <row r="33" spans="1:19" ht="14.4" x14ac:dyDescent="0.3">
      <c r="A33" s="22" t="s">
        <v>177</v>
      </c>
      <c r="B33" s="22" t="s">
        <v>178</v>
      </c>
      <c r="C33" s="22" t="s">
        <v>109</v>
      </c>
      <c r="D33" s="22">
        <v>1</v>
      </c>
      <c r="E33" s="22"/>
      <c r="F33" s="22"/>
      <c r="G33" s="22"/>
      <c r="H33" s="22"/>
      <c r="I33" s="22"/>
      <c r="J33" s="22">
        <v>1</v>
      </c>
      <c r="K33" s="22" t="s">
        <v>234</v>
      </c>
      <c r="L33" s="23" t="s">
        <v>34</v>
      </c>
      <c r="M33" s="23" t="s">
        <v>41</v>
      </c>
      <c r="N33" s="23" t="s">
        <v>29</v>
      </c>
      <c r="O33" s="23" t="s">
        <v>47</v>
      </c>
      <c r="P33" s="23">
        <v>40</v>
      </c>
      <c r="Q33" s="23">
        <v>0.2</v>
      </c>
      <c r="R33" s="23">
        <v>0.4</v>
      </c>
      <c r="S33" s="23">
        <v>0.4</v>
      </c>
    </row>
    <row r="34" spans="1:19" ht="14.4" x14ac:dyDescent="0.3">
      <c r="A34" s="22" t="s">
        <v>240</v>
      </c>
      <c r="B34" s="22" t="s">
        <v>241</v>
      </c>
      <c r="C34" s="22" t="s">
        <v>109</v>
      </c>
      <c r="D34" s="22"/>
      <c r="E34" s="22"/>
      <c r="F34" s="22"/>
      <c r="G34" s="22">
        <v>1</v>
      </c>
      <c r="H34" s="22"/>
      <c r="I34" s="22"/>
      <c r="J34" s="22">
        <v>1</v>
      </c>
      <c r="K34" s="22" t="s">
        <v>55</v>
      </c>
      <c r="L34" s="23" t="s">
        <v>34</v>
      </c>
      <c r="M34" s="23" t="s">
        <v>40</v>
      </c>
      <c r="N34" s="23" t="s">
        <v>27</v>
      </c>
      <c r="O34" s="23" t="s">
        <v>27</v>
      </c>
      <c r="P34" s="23">
        <v>50</v>
      </c>
      <c r="Q34" s="23">
        <v>0.5</v>
      </c>
      <c r="R34" s="23">
        <v>0</v>
      </c>
      <c r="S34" s="23">
        <v>0.5</v>
      </c>
    </row>
    <row r="35" spans="1:19" ht="14.4" x14ac:dyDescent="0.3">
      <c r="A35" s="22" t="s">
        <v>232</v>
      </c>
      <c r="B35" s="22" t="s">
        <v>233</v>
      </c>
      <c r="C35" s="22" t="s">
        <v>109</v>
      </c>
      <c r="D35" s="22"/>
      <c r="E35" s="22">
        <v>2</v>
      </c>
      <c r="F35" s="22"/>
      <c r="G35" s="22"/>
      <c r="H35" s="22"/>
      <c r="I35" s="22"/>
      <c r="J35" s="22">
        <v>2</v>
      </c>
      <c r="K35" s="22" t="s">
        <v>55</v>
      </c>
      <c r="L35" s="23" t="s">
        <v>34</v>
      </c>
      <c r="M35" s="23" t="s">
        <v>41</v>
      </c>
      <c r="N35" s="23" t="s">
        <v>27</v>
      </c>
      <c r="O35" s="23" t="s">
        <v>27</v>
      </c>
      <c r="P35" s="23">
        <v>80</v>
      </c>
      <c r="Q35" s="23">
        <v>0.4</v>
      </c>
      <c r="R35" s="23">
        <v>0</v>
      </c>
      <c r="S35" s="23">
        <v>1.6</v>
      </c>
    </row>
    <row r="36" spans="1:19" ht="14.4" x14ac:dyDescent="0.3">
      <c r="A36" s="22" t="s">
        <v>165</v>
      </c>
      <c r="B36" s="22" t="s">
        <v>166</v>
      </c>
      <c r="C36" s="22" t="s">
        <v>109</v>
      </c>
      <c r="D36" s="22"/>
      <c r="E36" s="22"/>
      <c r="F36" s="22"/>
      <c r="G36" s="22"/>
      <c r="H36" s="22"/>
      <c r="I36" s="22">
        <v>1</v>
      </c>
      <c r="J36" s="22">
        <v>1</v>
      </c>
      <c r="K36" s="22" t="s">
        <v>55</v>
      </c>
      <c r="L36" s="23" t="s">
        <v>34</v>
      </c>
      <c r="M36" s="23" t="s">
        <v>40</v>
      </c>
      <c r="N36" s="23" t="s">
        <v>27</v>
      </c>
      <c r="O36" s="23" t="s">
        <v>27</v>
      </c>
      <c r="P36" s="23">
        <v>50</v>
      </c>
      <c r="Q36" s="23">
        <v>0.5</v>
      </c>
      <c r="R36" s="23">
        <v>0</v>
      </c>
      <c r="S36" s="23">
        <v>0.5</v>
      </c>
    </row>
    <row r="37" spans="1:19" ht="14.4" x14ac:dyDescent="0.3">
      <c r="A37" s="22" t="s">
        <v>121</v>
      </c>
      <c r="B37" s="22" t="s">
        <v>122</v>
      </c>
      <c r="C37" s="22" t="s">
        <v>109</v>
      </c>
      <c r="D37" s="22"/>
      <c r="E37" s="22">
        <v>2</v>
      </c>
      <c r="F37" s="22"/>
      <c r="G37" s="22"/>
      <c r="H37" s="22"/>
      <c r="I37" s="22"/>
      <c r="J37" s="22">
        <v>2</v>
      </c>
      <c r="K37" s="22" t="s">
        <v>79</v>
      </c>
      <c r="L37" s="23" t="s">
        <v>34</v>
      </c>
      <c r="M37" s="23" t="s">
        <v>41</v>
      </c>
      <c r="N37" s="23" t="s">
        <v>27</v>
      </c>
      <c r="O37" s="23" t="s">
        <v>27</v>
      </c>
      <c r="P37" s="23">
        <v>80</v>
      </c>
      <c r="Q37" s="23">
        <v>0.4</v>
      </c>
      <c r="R37" s="23">
        <v>0</v>
      </c>
      <c r="S37" s="23">
        <v>1.6</v>
      </c>
    </row>
    <row r="38" spans="1:19" ht="14.4" x14ac:dyDescent="0.3">
      <c r="A38" s="22" t="s">
        <v>235</v>
      </c>
      <c r="B38" s="22" t="s">
        <v>236</v>
      </c>
      <c r="C38" s="22" t="s">
        <v>109</v>
      </c>
      <c r="D38" s="22"/>
      <c r="E38" s="22"/>
      <c r="F38" s="22">
        <v>2</v>
      </c>
      <c r="G38" s="22"/>
      <c r="H38" s="22"/>
      <c r="I38" s="22"/>
      <c r="J38" s="22">
        <v>2</v>
      </c>
      <c r="K38" s="22" t="s">
        <v>55</v>
      </c>
      <c r="L38" s="23" t="s">
        <v>34</v>
      </c>
      <c r="M38" s="23" t="s">
        <v>41</v>
      </c>
      <c r="N38" s="23" t="s">
        <v>27</v>
      </c>
      <c r="O38" s="23" t="s">
        <v>27</v>
      </c>
      <c r="P38" s="23">
        <v>80</v>
      </c>
      <c r="Q38" s="23">
        <v>0.4</v>
      </c>
      <c r="R38" s="23">
        <v>0</v>
      </c>
      <c r="S38" s="23">
        <v>1.6</v>
      </c>
    </row>
    <row r="39" spans="1:19" ht="14.4" x14ac:dyDescent="0.3">
      <c r="A39" s="22" t="s">
        <v>169</v>
      </c>
      <c r="B39" s="22" t="s">
        <v>170</v>
      </c>
      <c r="C39" s="22" t="s">
        <v>109</v>
      </c>
      <c r="D39" s="22"/>
      <c r="E39" s="22"/>
      <c r="F39" s="22"/>
      <c r="G39" s="22">
        <v>2</v>
      </c>
      <c r="H39" s="22"/>
      <c r="I39" s="22"/>
      <c r="J39" s="22">
        <v>2</v>
      </c>
      <c r="K39" s="22" t="s">
        <v>55</v>
      </c>
      <c r="L39" s="23" t="s">
        <v>34</v>
      </c>
      <c r="M39" s="23" t="s">
        <v>41</v>
      </c>
      <c r="N39" s="23" t="s">
        <v>27</v>
      </c>
      <c r="O39" s="23" t="s">
        <v>27</v>
      </c>
      <c r="P39" s="23">
        <v>80</v>
      </c>
      <c r="Q39" s="23">
        <v>0.4</v>
      </c>
      <c r="R39" s="23">
        <v>0</v>
      </c>
      <c r="S39" s="23">
        <v>1.6</v>
      </c>
    </row>
    <row r="40" spans="1:19" ht="14.4" x14ac:dyDescent="0.3">
      <c r="A40" s="22" t="s">
        <v>139</v>
      </c>
      <c r="B40" s="22" t="s">
        <v>140</v>
      </c>
      <c r="C40" s="22" t="s">
        <v>109</v>
      </c>
      <c r="D40" s="22"/>
      <c r="E40" s="22"/>
      <c r="F40" s="22"/>
      <c r="G40" s="22"/>
      <c r="H40" s="22">
        <v>1</v>
      </c>
      <c r="I40" s="22">
        <v>1</v>
      </c>
      <c r="J40" s="22">
        <v>2</v>
      </c>
      <c r="K40" s="22" t="s">
        <v>51</v>
      </c>
      <c r="L40" s="23" t="s">
        <v>34</v>
      </c>
      <c r="M40" s="23" t="s">
        <v>40</v>
      </c>
      <c r="N40" s="23" t="s">
        <v>27</v>
      </c>
      <c r="O40" s="23" t="s">
        <v>27</v>
      </c>
      <c r="P40" s="23">
        <v>50</v>
      </c>
      <c r="Q40" s="23">
        <v>1</v>
      </c>
      <c r="R40" s="23">
        <v>0</v>
      </c>
      <c r="S40" s="23">
        <v>1</v>
      </c>
    </row>
    <row r="41" spans="1:19" ht="14.4" x14ac:dyDescent="0.3">
      <c r="A41" s="22" t="s">
        <v>244</v>
      </c>
      <c r="B41" s="22" t="s">
        <v>245</v>
      </c>
      <c r="C41" s="22" t="s">
        <v>109</v>
      </c>
      <c r="D41" s="22"/>
      <c r="E41" s="22"/>
      <c r="F41" s="22"/>
      <c r="G41" s="22"/>
      <c r="H41" s="22">
        <v>1</v>
      </c>
      <c r="I41" s="22"/>
      <c r="J41" s="22">
        <v>1</v>
      </c>
      <c r="K41" s="22" t="s">
        <v>55</v>
      </c>
      <c r="L41" s="23" t="s">
        <v>34</v>
      </c>
      <c r="M41" s="23" t="s">
        <v>41</v>
      </c>
      <c r="N41" s="23" t="s">
        <v>27</v>
      </c>
      <c r="O41" s="23" t="s">
        <v>27</v>
      </c>
      <c r="P41" s="23">
        <v>80</v>
      </c>
      <c r="Q41" s="23">
        <v>0.2</v>
      </c>
      <c r="R41" s="23">
        <v>0</v>
      </c>
      <c r="S41" s="23">
        <v>0.8</v>
      </c>
    </row>
    <row r="42" spans="1:19" ht="14.4" x14ac:dyDescent="0.3">
      <c r="A42" s="22" t="s">
        <v>129</v>
      </c>
      <c r="B42" s="22" t="s">
        <v>130</v>
      </c>
      <c r="C42" s="24" t="s">
        <v>109</v>
      </c>
      <c r="D42" s="22">
        <v>1</v>
      </c>
      <c r="E42" s="22"/>
      <c r="F42" s="22"/>
      <c r="G42" s="22"/>
      <c r="H42" s="22"/>
      <c r="I42" s="22"/>
      <c r="J42" s="22">
        <v>1</v>
      </c>
      <c r="K42" s="22" t="s">
        <v>79</v>
      </c>
      <c r="L42" s="23" t="s">
        <v>34</v>
      </c>
      <c r="M42" s="23" t="s">
        <v>41</v>
      </c>
      <c r="N42" s="23" t="s">
        <v>27</v>
      </c>
      <c r="O42" s="23" t="s">
        <v>27</v>
      </c>
      <c r="P42" s="23">
        <v>80</v>
      </c>
      <c r="Q42" s="23">
        <v>0.2</v>
      </c>
      <c r="R42" s="23">
        <v>0</v>
      </c>
      <c r="S42" s="23">
        <v>0.8</v>
      </c>
    </row>
    <row r="43" spans="1:19" ht="14.4" x14ac:dyDescent="0.3">
      <c r="A43" s="22" t="s">
        <v>119</v>
      </c>
      <c r="B43" s="22" t="s">
        <v>120</v>
      </c>
      <c r="C43" s="24" t="s">
        <v>109</v>
      </c>
      <c r="D43" s="22"/>
      <c r="E43" s="22">
        <v>1</v>
      </c>
      <c r="F43" s="22"/>
      <c r="G43" s="22"/>
      <c r="H43" s="22"/>
      <c r="I43" s="22"/>
      <c r="J43" s="22">
        <v>1</v>
      </c>
      <c r="K43" s="22" t="s">
        <v>55</v>
      </c>
      <c r="L43" s="23" t="s">
        <v>34</v>
      </c>
      <c r="M43" s="23" t="s">
        <v>40</v>
      </c>
      <c r="N43" s="23" t="s">
        <v>27</v>
      </c>
      <c r="O43" s="23" t="s">
        <v>27</v>
      </c>
      <c r="P43" s="23">
        <v>50</v>
      </c>
      <c r="Q43" s="23">
        <v>0.5</v>
      </c>
      <c r="R43" s="23">
        <v>0</v>
      </c>
      <c r="S43" s="23">
        <v>0.5</v>
      </c>
    </row>
    <row r="44" spans="1:19" ht="14.4" x14ac:dyDescent="0.3">
      <c r="A44" s="22" t="s">
        <v>141</v>
      </c>
      <c r="B44" s="22" t="s">
        <v>237</v>
      </c>
      <c r="C44" s="24" t="s">
        <v>109</v>
      </c>
      <c r="D44" s="22"/>
      <c r="E44" s="22"/>
      <c r="F44" s="22"/>
      <c r="G44" s="22"/>
      <c r="H44" s="22"/>
      <c r="I44" s="22">
        <v>1</v>
      </c>
      <c r="J44" s="22">
        <v>1</v>
      </c>
      <c r="K44" s="22" t="s">
        <v>55</v>
      </c>
      <c r="L44" s="23" t="s">
        <v>34</v>
      </c>
      <c r="M44" s="23" t="s">
        <v>41</v>
      </c>
      <c r="N44" s="23" t="s">
        <v>27</v>
      </c>
      <c r="O44" s="23" t="s">
        <v>27</v>
      </c>
      <c r="P44" s="23">
        <v>80</v>
      </c>
      <c r="Q44" s="23">
        <v>0.2</v>
      </c>
      <c r="R44" s="23">
        <v>0</v>
      </c>
      <c r="S44" s="23">
        <v>0.8</v>
      </c>
    </row>
    <row r="45" spans="1:19" ht="14.4" x14ac:dyDescent="0.3">
      <c r="A45" s="22" t="s">
        <v>135</v>
      </c>
      <c r="B45" s="22" t="s">
        <v>136</v>
      </c>
      <c r="C45" s="24" t="s">
        <v>247</v>
      </c>
      <c r="D45" s="22"/>
      <c r="E45" s="22"/>
      <c r="F45" s="22"/>
      <c r="G45" s="22"/>
      <c r="H45" s="22"/>
      <c r="I45" s="22">
        <v>1</v>
      </c>
      <c r="J45" s="22">
        <v>1</v>
      </c>
      <c r="K45" s="22" t="s">
        <v>79</v>
      </c>
      <c r="L45" s="23" t="s">
        <v>34</v>
      </c>
      <c r="M45" s="23" t="s">
        <v>41</v>
      </c>
      <c r="N45" s="23" t="s">
        <v>27</v>
      </c>
      <c r="O45" s="23" t="s">
        <v>27</v>
      </c>
      <c r="P45" s="23">
        <v>80</v>
      </c>
      <c r="Q45" s="23">
        <v>0.2</v>
      </c>
      <c r="R45" s="23">
        <v>0</v>
      </c>
      <c r="S45" s="23">
        <v>0.8</v>
      </c>
    </row>
    <row r="46" spans="1:19" ht="14.4" x14ac:dyDescent="0.3">
      <c r="A46" s="22" t="s">
        <v>137</v>
      </c>
      <c r="B46" s="22" t="s">
        <v>138</v>
      </c>
      <c r="C46" s="24" t="s">
        <v>247</v>
      </c>
      <c r="D46" s="22"/>
      <c r="E46" s="22"/>
      <c r="F46" s="22"/>
      <c r="G46" s="22"/>
      <c r="H46" s="22"/>
      <c r="I46" s="22">
        <v>1</v>
      </c>
      <c r="J46" s="22">
        <v>1</v>
      </c>
      <c r="K46" s="22" t="s">
        <v>55</v>
      </c>
      <c r="L46" s="23" t="s">
        <v>34</v>
      </c>
      <c r="M46" s="23" t="s">
        <v>41</v>
      </c>
      <c r="N46" s="23" t="s">
        <v>27</v>
      </c>
      <c r="O46" s="23" t="s">
        <v>27</v>
      </c>
      <c r="P46" s="23">
        <v>80</v>
      </c>
      <c r="Q46" s="23">
        <v>0.2</v>
      </c>
      <c r="R46" s="23">
        <v>0</v>
      </c>
      <c r="S46" s="23">
        <v>0.8</v>
      </c>
    </row>
    <row r="47" spans="1:19" ht="14.4" x14ac:dyDescent="0.3">
      <c r="A47" s="22" t="s">
        <v>238</v>
      </c>
      <c r="B47" s="22" t="s">
        <v>239</v>
      </c>
      <c r="C47" s="24" t="s">
        <v>247</v>
      </c>
      <c r="D47" s="22"/>
      <c r="E47" s="22"/>
      <c r="F47" s="22"/>
      <c r="G47" s="22"/>
      <c r="H47" s="22"/>
      <c r="I47" s="22">
        <v>1</v>
      </c>
      <c r="J47" s="22">
        <v>1</v>
      </c>
      <c r="K47" s="22" t="s">
        <v>55</v>
      </c>
      <c r="L47" s="23" t="s">
        <v>34</v>
      </c>
      <c r="M47" s="23" t="s">
        <v>41</v>
      </c>
      <c r="N47" s="23" t="s">
        <v>27</v>
      </c>
      <c r="O47" s="23" t="s">
        <v>27</v>
      </c>
      <c r="P47" s="23">
        <v>80</v>
      </c>
      <c r="Q47" s="23">
        <v>0.2</v>
      </c>
      <c r="R47" s="23">
        <v>0</v>
      </c>
      <c r="S47" s="23">
        <v>0.8</v>
      </c>
    </row>
    <row r="48" spans="1:19" x14ac:dyDescent="0.25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1"/>
      <c r="N48" s="71"/>
      <c r="O48" s="70"/>
      <c r="P48" s="71"/>
      <c r="Q48" s="72">
        <f>SUM(Q2:Q47)</f>
        <v>19.999999999999989</v>
      </c>
      <c r="R48" s="70"/>
      <c r="S48" s="70"/>
    </row>
  </sheetData>
  <pageMargins left="0.39370078740157483" right="0.39370078740157483" top="0.39370078740157483" bottom="0.39370078740157483" header="0.31496062992125984" footer="0.31496062992125984"/>
  <pageSetup paperSize="9" scale="92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"/>
  <sheetViews>
    <sheetView topLeftCell="A13" zoomScaleNormal="100" workbookViewId="0">
      <selection sqref="A1:B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179</v>
      </c>
      <c r="B3" s="5">
        <v>2894</v>
      </c>
    </row>
    <row r="4" spans="1:2" x14ac:dyDescent="0.2">
      <c r="A4" s="4" t="s">
        <v>180</v>
      </c>
      <c r="B4" s="5"/>
    </row>
    <row r="5" spans="1:2" x14ac:dyDescent="0.2">
      <c r="A5" s="4" t="s">
        <v>181</v>
      </c>
      <c r="B5" s="5">
        <v>500</v>
      </c>
    </row>
    <row r="6" spans="1:2" x14ac:dyDescent="0.2">
      <c r="A6" s="4" t="s">
        <v>182</v>
      </c>
      <c r="B6" s="5"/>
    </row>
    <row r="7" spans="1:2" x14ac:dyDescent="0.2">
      <c r="A7" s="4" t="s">
        <v>183</v>
      </c>
      <c r="B7" s="5">
        <v>500</v>
      </c>
    </row>
    <row r="8" spans="1:2" x14ac:dyDescent="0.2">
      <c r="A8" s="4" t="s">
        <v>184</v>
      </c>
      <c r="B8" s="5"/>
    </row>
    <row r="9" spans="1:2" x14ac:dyDescent="0.2">
      <c r="A9" s="4" t="s">
        <v>185</v>
      </c>
      <c r="B9" s="5">
        <v>500</v>
      </c>
    </row>
    <row r="10" spans="1:2" x14ac:dyDescent="0.2">
      <c r="A10" s="4" t="s">
        <v>186</v>
      </c>
      <c r="B10" s="5"/>
    </row>
    <row r="11" spans="1:2" x14ac:dyDescent="0.2">
      <c r="A11" s="4" t="s">
        <v>187</v>
      </c>
      <c r="B11" s="5">
        <v>500</v>
      </c>
    </row>
    <row r="12" spans="1:2" x14ac:dyDescent="0.2">
      <c r="A12" s="4" t="s">
        <v>188</v>
      </c>
      <c r="B12" s="5"/>
    </row>
    <row r="13" spans="1:2" x14ac:dyDescent="0.2">
      <c r="A13" s="4" t="s">
        <v>189</v>
      </c>
      <c r="B13" s="5">
        <v>500</v>
      </c>
    </row>
    <row r="14" spans="1:2" x14ac:dyDescent="0.2">
      <c r="A14" s="4" t="s">
        <v>190</v>
      </c>
      <c r="B14" s="5"/>
    </row>
    <row r="15" spans="1:2" x14ac:dyDescent="0.2">
      <c r="A15" s="4" t="s">
        <v>191</v>
      </c>
      <c r="B15" s="5">
        <v>500</v>
      </c>
    </row>
    <row r="16" spans="1:2" x14ac:dyDescent="0.2">
      <c r="A16" s="4" t="s">
        <v>192</v>
      </c>
      <c r="B16" s="5"/>
    </row>
    <row r="17" spans="1:2" x14ac:dyDescent="0.2">
      <c r="A17" s="4" t="s">
        <v>193</v>
      </c>
      <c r="B17" s="5">
        <v>500</v>
      </c>
    </row>
    <row r="18" spans="1:2" x14ac:dyDescent="0.2">
      <c r="A18" s="4" t="s">
        <v>194</v>
      </c>
      <c r="B18" s="5"/>
    </row>
    <row r="19" spans="1:2" x14ac:dyDescent="0.2">
      <c r="A19" s="4" t="s">
        <v>195</v>
      </c>
      <c r="B19" s="5">
        <v>500</v>
      </c>
    </row>
    <row r="20" spans="1:2" x14ac:dyDescent="0.2">
      <c r="A20" s="4" t="s">
        <v>196</v>
      </c>
      <c r="B20" s="5"/>
    </row>
    <row r="21" spans="1:2" x14ac:dyDescent="0.2">
      <c r="A21" s="4" t="s">
        <v>197</v>
      </c>
      <c r="B21" s="5">
        <v>500</v>
      </c>
    </row>
    <row r="22" spans="1:2" x14ac:dyDescent="0.2">
      <c r="A22" s="4" t="s">
        <v>198</v>
      </c>
      <c r="B22" s="5"/>
    </row>
    <row r="23" spans="1:2" x14ac:dyDescent="0.2">
      <c r="A23" s="4" t="s">
        <v>199</v>
      </c>
      <c r="B23" s="5">
        <v>500</v>
      </c>
    </row>
    <row r="24" spans="1:2" x14ac:dyDescent="0.2">
      <c r="A24" s="4" t="s">
        <v>200</v>
      </c>
      <c r="B24" s="5"/>
    </row>
    <row r="25" spans="1:2" x14ac:dyDescent="0.2">
      <c r="A25" s="4" t="s">
        <v>201</v>
      </c>
      <c r="B25" s="5">
        <v>500</v>
      </c>
    </row>
    <row r="26" spans="1:2" x14ac:dyDescent="0.2">
      <c r="A26" s="4" t="s">
        <v>202</v>
      </c>
      <c r="B26" s="5"/>
    </row>
    <row r="27" spans="1:2" x14ac:dyDescent="0.2">
      <c r="A27" s="4" t="s">
        <v>203</v>
      </c>
      <c r="B27" s="5">
        <v>500</v>
      </c>
    </row>
    <row r="28" spans="1:2" x14ac:dyDescent="0.2">
      <c r="A28" s="4" t="s">
        <v>204</v>
      </c>
      <c r="B28" s="5"/>
    </row>
    <row r="29" spans="1:2" x14ac:dyDescent="0.2">
      <c r="A29" s="4" t="s">
        <v>205</v>
      </c>
      <c r="B29" s="5">
        <v>500</v>
      </c>
    </row>
    <row r="30" spans="1:2" x14ac:dyDescent="0.2">
      <c r="A30" s="4" t="s">
        <v>206</v>
      </c>
      <c r="B30" s="5"/>
    </row>
    <row r="31" spans="1:2" x14ac:dyDescent="0.2">
      <c r="A31" s="4" t="s">
        <v>207</v>
      </c>
      <c r="B31" s="5">
        <v>500</v>
      </c>
    </row>
    <row r="32" spans="1:2" x14ac:dyDescent="0.2">
      <c r="A32" s="4" t="s">
        <v>208</v>
      </c>
      <c r="B32" s="5"/>
    </row>
    <row r="33" spans="1:2" x14ac:dyDescent="0.2">
      <c r="A33" s="4" t="s">
        <v>209</v>
      </c>
      <c r="B33" s="5">
        <v>500</v>
      </c>
    </row>
    <row r="34" spans="1:2" x14ac:dyDescent="0.2">
      <c r="A34" s="4" t="s">
        <v>210</v>
      </c>
      <c r="B34" s="5"/>
    </row>
    <row r="35" spans="1:2" x14ac:dyDescent="0.2">
      <c r="A35" s="4" t="s">
        <v>211</v>
      </c>
      <c r="B35" s="5">
        <v>500</v>
      </c>
    </row>
    <row r="36" spans="1:2" x14ac:dyDescent="0.2">
      <c r="A36" s="4" t="s">
        <v>212</v>
      </c>
      <c r="B36" s="5"/>
    </row>
    <row r="37" spans="1:2" x14ac:dyDescent="0.2">
      <c r="A37" s="4" t="s">
        <v>213</v>
      </c>
      <c r="B37" s="5">
        <v>500</v>
      </c>
    </row>
    <row r="38" spans="1:2" x14ac:dyDescent="0.2">
      <c r="A38" s="4" t="s">
        <v>214</v>
      </c>
      <c r="B38" s="5"/>
    </row>
    <row r="39" spans="1:2" x14ac:dyDescent="0.2">
      <c r="A39" s="4" t="s">
        <v>215</v>
      </c>
      <c r="B39" s="5">
        <v>500</v>
      </c>
    </row>
    <row r="40" spans="1:2" x14ac:dyDescent="0.2">
      <c r="A40" s="4" t="s">
        <v>216</v>
      </c>
      <c r="B40" s="5"/>
    </row>
    <row r="41" spans="1:2" x14ac:dyDescent="0.2">
      <c r="A41" s="4" t="s">
        <v>217</v>
      </c>
      <c r="B41" s="5">
        <v>500</v>
      </c>
    </row>
    <row r="42" spans="1:2" x14ac:dyDescent="0.2">
      <c r="A42" s="4" t="s">
        <v>4</v>
      </c>
      <c r="B42" s="5"/>
    </row>
    <row r="43" spans="1:2" x14ac:dyDescent="0.2">
      <c r="A43" s="4" t="s">
        <v>218</v>
      </c>
      <c r="B43" s="5">
        <v>2375</v>
      </c>
    </row>
    <row r="44" spans="1:2" x14ac:dyDescent="0.2">
      <c r="A44" s="4" t="s">
        <v>219</v>
      </c>
      <c r="B44" s="5"/>
    </row>
    <row r="45" spans="1:2" x14ac:dyDescent="0.2">
      <c r="A45" s="4" t="s">
        <v>220</v>
      </c>
      <c r="B45" s="5">
        <v>17500</v>
      </c>
    </row>
    <row r="46" spans="1:2" x14ac:dyDescent="0.2">
      <c r="A46" s="4" t="s">
        <v>221</v>
      </c>
      <c r="B46" s="5"/>
    </row>
    <row r="47" spans="1:2" x14ac:dyDescent="0.2">
      <c r="A47" s="4" t="s">
        <v>222</v>
      </c>
      <c r="B47" s="5">
        <v>7000</v>
      </c>
    </row>
    <row r="48" spans="1:2" x14ac:dyDescent="0.2">
      <c r="A48" s="4" t="s">
        <v>223</v>
      </c>
      <c r="B48" s="5"/>
    </row>
    <row r="49" spans="1:2" x14ac:dyDescent="0.2">
      <c r="A49" s="4" t="s">
        <v>224</v>
      </c>
      <c r="B49" s="5">
        <v>4960.5200000000004</v>
      </c>
    </row>
    <row r="50" spans="1:2" x14ac:dyDescent="0.2">
      <c r="A50" s="6" t="s">
        <v>2</v>
      </c>
      <c r="B50" s="7">
        <f>SUM(B3:B49)</f>
        <v>44229.520000000004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DCB2-227D-46B1-9FC5-87637EBA7D21}">
  <dimension ref="A1:B53"/>
  <sheetViews>
    <sheetView topLeftCell="B31" workbookViewId="0">
      <selection activeCell="A5" sqref="A5"/>
    </sheetView>
  </sheetViews>
  <sheetFormatPr baseColWidth="10" defaultRowHeight="14.4" x14ac:dyDescent="0.3"/>
  <cols>
    <col min="1" max="1" width="253.88671875" bestFit="1" customWidth="1"/>
  </cols>
  <sheetData>
    <row r="1" spans="1:2" ht="21.6" x14ac:dyDescent="0.3">
      <c r="A1" s="2" t="s">
        <v>0</v>
      </c>
      <c r="B1" s="3" t="s">
        <v>1</v>
      </c>
    </row>
    <row r="2" spans="1:2" x14ac:dyDescent="0.3">
      <c r="A2" s="41" t="s">
        <v>260</v>
      </c>
      <c r="B2" s="42"/>
    </row>
    <row r="3" spans="1:2" x14ac:dyDescent="0.3">
      <c r="A3" s="43" t="s">
        <v>261</v>
      </c>
      <c r="B3">
        <v>440</v>
      </c>
    </row>
    <row r="4" spans="1:2" x14ac:dyDescent="0.3">
      <c r="A4" s="41" t="s">
        <v>262</v>
      </c>
      <c r="B4" s="42"/>
    </row>
    <row r="5" spans="1:2" x14ac:dyDescent="0.3">
      <c r="A5" s="43" t="s">
        <v>263</v>
      </c>
      <c r="B5">
        <v>440</v>
      </c>
    </row>
    <row r="6" spans="1:2" x14ac:dyDescent="0.3">
      <c r="A6" s="41" t="s">
        <v>264</v>
      </c>
      <c r="B6" s="42"/>
    </row>
    <row r="7" spans="1:2" x14ac:dyDescent="0.3">
      <c r="A7" s="43" t="s">
        <v>265</v>
      </c>
      <c r="B7">
        <v>440</v>
      </c>
    </row>
    <row r="8" spans="1:2" x14ac:dyDescent="0.3">
      <c r="A8" s="41" t="s">
        <v>266</v>
      </c>
      <c r="B8" s="42"/>
    </row>
    <row r="9" spans="1:2" x14ac:dyDescent="0.3">
      <c r="A9" s="43" t="s">
        <v>267</v>
      </c>
      <c r="B9">
        <v>440</v>
      </c>
    </row>
    <row r="10" spans="1:2" x14ac:dyDescent="0.3">
      <c r="A10" s="41" t="s">
        <v>268</v>
      </c>
      <c r="B10" s="42"/>
    </row>
    <row r="11" spans="1:2" x14ac:dyDescent="0.3">
      <c r="A11" s="43" t="s">
        <v>269</v>
      </c>
      <c r="B11">
        <v>440</v>
      </c>
    </row>
    <row r="12" spans="1:2" x14ac:dyDescent="0.3">
      <c r="A12" s="41" t="s">
        <v>270</v>
      </c>
      <c r="B12" s="42"/>
    </row>
    <row r="13" spans="1:2" x14ac:dyDescent="0.3">
      <c r="A13" s="43" t="s">
        <v>271</v>
      </c>
      <c r="B13">
        <v>440</v>
      </c>
    </row>
    <row r="14" spans="1:2" x14ac:dyDescent="0.3">
      <c r="A14" s="41" t="s">
        <v>272</v>
      </c>
      <c r="B14" s="42"/>
    </row>
    <row r="15" spans="1:2" x14ac:dyDescent="0.3">
      <c r="A15" s="43" t="s">
        <v>273</v>
      </c>
      <c r="B15">
        <v>440</v>
      </c>
    </row>
    <row r="16" spans="1:2" x14ac:dyDescent="0.3">
      <c r="A16" s="41" t="s">
        <v>274</v>
      </c>
      <c r="B16" s="42"/>
    </row>
    <row r="17" spans="1:2" x14ac:dyDescent="0.3">
      <c r="A17" s="43" t="s">
        <v>275</v>
      </c>
      <c r="B17">
        <v>440</v>
      </c>
    </row>
    <row r="18" spans="1:2" x14ac:dyDescent="0.3">
      <c r="A18" s="41" t="s">
        <v>276</v>
      </c>
      <c r="B18" s="42"/>
    </row>
    <row r="19" spans="1:2" x14ac:dyDescent="0.3">
      <c r="A19" s="43" t="s">
        <v>277</v>
      </c>
      <c r="B19">
        <v>440</v>
      </c>
    </row>
    <row r="20" spans="1:2" x14ac:dyDescent="0.3">
      <c r="A20" s="41" t="s">
        <v>278</v>
      </c>
      <c r="B20" s="42"/>
    </row>
    <row r="21" spans="1:2" x14ac:dyDescent="0.3">
      <c r="A21" s="43" t="s">
        <v>279</v>
      </c>
      <c r="B21">
        <v>440</v>
      </c>
    </row>
    <row r="22" spans="1:2" x14ac:dyDescent="0.3">
      <c r="A22" s="41" t="s">
        <v>280</v>
      </c>
      <c r="B22" s="42"/>
    </row>
    <row r="23" spans="1:2" x14ac:dyDescent="0.3">
      <c r="A23" s="43" t="s">
        <v>281</v>
      </c>
      <c r="B23">
        <v>440</v>
      </c>
    </row>
    <row r="24" spans="1:2" x14ac:dyDescent="0.3">
      <c r="A24" s="41" t="s">
        <v>282</v>
      </c>
      <c r="B24" s="42"/>
    </row>
    <row r="25" spans="1:2" x14ac:dyDescent="0.3">
      <c r="A25" s="43" t="s">
        <v>283</v>
      </c>
      <c r="B25">
        <v>440</v>
      </c>
    </row>
    <row r="26" spans="1:2" x14ac:dyDescent="0.3">
      <c r="A26" s="41" t="s">
        <v>284</v>
      </c>
      <c r="B26" s="42"/>
    </row>
    <row r="27" spans="1:2" x14ac:dyDescent="0.3">
      <c r="A27" s="43" t="s">
        <v>285</v>
      </c>
      <c r="B27">
        <v>440</v>
      </c>
    </row>
    <row r="28" spans="1:2" x14ac:dyDescent="0.3">
      <c r="A28" s="41" t="s">
        <v>286</v>
      </c>
      <c r="B28" s="42"/>
    </row>
    <row r="29" spans="1:2" x14ac:dyDescent="0.3">
      <c r="A29" s="43" t="s">
        <v>287</v>
      </c>
      <c r="B29">
        <v>440</v>
      </c>
    </row>
    <row r="30" spans="1:2" x14ac:dyDescent="0.3">
      <c r="A30" s="41" t="s">
        <v>288</v>
      </c>
      <c r="B30" s="42"/>
    </row>
    <row r="31" spans="1:2" x14ac:dyDescent="0.3">
      <c r="A31" s="43" t="s">
        <v>289</v>
      </c>
      <c r="B31">
        <v>440</v>
      </c>
    </row>
    <row r="32" spans="1:2" x14ac:dyDescent="0.3">
      <c r="A32" s="41" t="s">
        <v>290</v>
      </c>
      <c r="B32" s="42"/>
    </row>
    <row r="33" spans="1:2" x14ac:dyDescent="0.3">
      <c r="A33" s="43" t="s">
        <v>291</v>
      </c>
      <c r="B33">
        <v>440</v>
      </c>
    </row>
    <row r="34" spans="1:2" x14ac:dyDescent="0.3">
      <c r="A34" s="41" t="s">
        <v>292</v>
      </c>
      <c r="B34" s="42"/>
    </row>
    <row r="35" spans="1:2" x14ac:dyDescent="0.3">
      <c r="A35" s="43" t="s">
        <v>293</v>
      </c>
      <c r="B35">
        <v>440</v>
      </c>
    </row>
    <row r="36" spans="1:2" x14ac:dyDescent="0.3">
      <c r="A36" s="41" t="s">
        <v>294</v>
      </c>
      <c r="B36" s="42"/>
    </row>
    <row r="37" spans="1:2" x14ac:dyDescent="0.3">
      <c r="A37" s="43" t="s">
        <v>295</v>
      </c>
      <c r="B37">
        <v>440</v>
      </c>
    </row>
    <row r="38" spans="1:2" x14ac:dyDescent="0.3">
      <c r="A38" s="41" t="s">
        <v>296</v>
      </c>
      <c r="B38" s="42"/>
    </row>
    <row r="39" spans="1:2" x14ac:dyDescent="0.3">
      <c r="A39" s="43" t="s">
        <v>297</v>
      </c>
      <c r="B39">
        <v>19600</v>
      </c>
    </row>
    <row r="40" spans="1:2" x14ac:dyDescent="0.3">
      <c r="A40" s="43" t="s">
        <v>298</v>
      </c>
      <c r="B40">
        <v>19600</v>
      </c>
    </row>
    <row r="41" spans="1:2" x14ac:dyDescent="0.3">
      <c r="A41" s="41" t="s">
        <v>4</v>
      </c>
      <c r="B41" s="42"/>
    </row>
    <row r="42" spans="1:2" x14ac:dyDescent="0.3">
      <c r="A42" s="43" t="s">
        <v>299</v>
      </c>
      <c r="B42">
        <v>4750</v>
      </c>
    </row>
    <row r="43" spans="1:2" x14ac:dyDescent="0.3">
      <c r="A43" s="41" t="s">
        <v>219</v>
      </c>
      <c r="B43" s="42"/>
    </row>
    <row r="44" spans="1:2" x14ac:dyDescent="0.3">
      <c r="A44" s="43" t="s">
        <v>300</v>
      </c>
      <c r="B44">
        <v>16375</v>
      </c>
    </row>
    <row r="45" spans="1:2" x14ac:dyDescent="0.3">
      <c r="A45" s="41" t="s">
        <v>221</v>
      </c>
      <c r="B45" s="42"/>
    </row>
    <row r="46" spans="1:2" x14ac:dyDescent="0.3">
      <c r="A46" s="43" t="s">
        <v>301</v>
      </c>
      <c r="B46">
        <v>7000</v>
      </c>
    </row>
    <row r="47" spans="1:2" x14ac:dyDescent="0.3">
      <c r="A47" s="41" t="s">
        <v>223</v>
      </c>
      <c r="B47" s="42"/>
    </row>
    <row r="48" spans="1:2" x14ac:dyDescent="0.3">
      <c r="A48" s="43" t="s">
        <v>302</v>
      </c>
      <c r="B48">
        <v>94757.11</v>
      </c>
    </row>
    <row r="49" spans="1:2" x14ac:dyDescent="0.3">
      <c r="A49" s="41" t="s">
        <v>303</v>
      </c>
      <c r="B49" s="42"/>
    </row>
    <row r="50" spans="1:2" x14ac:dyDescent="0.3">
      <c r="A50" s="43" t="s">
        <v>304</v>
      </c>
      <c r="B50">
        <v>191400.18</v>
      </c>
    </row>
    <row r="51" spans="1:2" x14ac:dyDescent="0.3">
      <c r="A51" s="41" t="s">
        <v>305</v>
      </c>
      <c r="B51" s="42"/>
    </row>
    <row r="52" spans="1:2" x14ac:dyDescent="0.3">
      <c r="A52" s="43" t="s">
        <v>306</v>
      </c>
      <c r="B52">
        <v>155754.17000000001</v>
      </c>
    </row>
    <row r="53" spans="1:2" x14ac:dyDescent="0.3">
      <c r="A53" s="44" t="s">
        <v>100</v>
      </c>
      <c r="B53" s="45">
        <v>517156.45999999996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C236-B305-4B89-A1FC-D07614352F4A}">
  <dimension ref="A1:D22"/>
  <sheetViews>
    <sheetView workbookViewId="0">
      <selection activeCell="C24" sqref="C24"/>
    </sheetView>
  </sheetViews>
  <sheetFormatPr baseColWidth="10" defaultRowHeight="14.4" x14ac:dyDescent="0.3"/>
  <cols>
    <col min="2" max="2" width="16" customWidth="1"/>
    <col min="3" max="3" width="75.33203125" customWidth="1"/>
  </cols>
  <sheetData>
    <row r="1" spans="1:4" ht="15" thickBot="1" x14ac:dyDescent="0.35">
      <c r="A1" s="46" t="s">
        <v>307</v>
      </c>
      <c r="B1" s="47" t="s">
        <v>308</v>
      </c>
      <c r="C1" s="47" t="s">
        <v>309</v>
      </c>
      <c r="D1" s="48" t="s">
        <v>1</v>
      </c>
    </row>
    <row r="2" spans="1:4" ht="15" thickTop="1" x14ac:dyDescent="0.3">
      <c r="A2" s="49" t="s">
        <v>310</v>
      </c>
      <c r="B2" s="50" t="s">
        <v>311</v>
      </c>
      <c r="C2" s="50" t="s">
        <v>312</v>
      </c>
      <c r="D2" s="51">
        <v>440</v>
      </c>
    </row>
    <row r="3" spans="1:4" x14ac:dyDescent="0.3">
      <c r="A3" s="52" t="s">
        <v>310</v>
      </c>
      <c r="B3" s="53" t="s">
        <v>313</v>
      </c>
      <c r="C3" s="53" t="s">
        <v>314</v>
      </c>
      <c r="D3" s="54">
        <v>440</v>
      </c>
    </row>
    <row r="4" spans="1:4" x14ac:dyDescent="0.3">
      <c r="A4" s="49" t="s">
        <v>310</v>
      </c>
      <c r="B4" s="50" t="s">
        <v>315</v>
      </c>
      <c r="C4" s="50" t="s">
        <v>316</v>
      </c>
      <c r="D4" s="51">
        <v>440</v>
      </c>
    </row>
    <row r="5" spans="1:4" x14ac:dyDescent="0.3">
      <c r="A5" s="52" t="s">
        <v>310</v>
      </c>
      <c r="B5" s="53" t="s">
        <v>317</v>
      </c>
      <c r="C5" s="53" t="s">
        <v>318</v>
      </c>
      <c r="D5" s="54">
        <v>440</v>
      </c>
    </row>
    <row r="6" spans="1:4" x14ac:dyDescent="0.3">
      <c r="A6" s="49" t="s">
        <v>310</v>
      </c>
      <c r="B6" s="50" t="s">
        <v>319</v>
      </c>
      <c r="C6" s="50" t="s">
        <v>320</v>
      </c>
      <c r="D6" s="51">
        <v>440</v>
      </c>
    </row>
    <row r="7" spans="1:4" x14ac:dyDescent="0.3">
      <c r="A7" s="52" t="s">
        <v>310</v>
      </c>
      <c r="B7" s="53" t="s">
        <v>321</v>
      </c>
      <c r="C7" s="53" t="s">
        <v>322</v>
      </c>
      <c r="D7" s="54">
        <v>440</v>
      </c>
    </row>
    <row r="8" spans="1:4" x14ac:dyDescent="0.3">
      <c r="A8" s="49" t="s">
        <v>310</v>
      </c>
      <c r="B8" s="50" t="s">
        <v>323</v>
      </c>
      <c r="C8" s="50" t="s">
        <v>324</v>
      </c>
      <c r="D8" s="51">
        <v>440</v>
      </c>
    </row>
    <row r="9" spans="1:4" x14ac:dyDescent="0.3">
      <c r="A9" s="52" t="s">
        <v>310</v>
      </c>
      <c r="B9" s="53" t="s">
        <v>325</v>
      </c>
      <c r="C9" s="53" t="s">
        <v>326</v>
      </c>
      <c r="D9" s="54">
        <v>440</v>
      </c>
    </row>
    <row r="10" spans="1:4" x14ac:dyDescent="0.3">
      <c r="A10" s="49" t="s">
        <v>310</v>
      </c>
      <c r="B10" s="50" t="s">
        <v>327</v>
      </c>
      <c r="C10" s="50" t="s">
        <v>328</v>
      </c>
      <c r="D10" s="51">
        <v>440</v>
      </c>
    </row>
    <row r="11" spans="1:4" x14ac:dyDescent="0.3">
      <c r="A11" s="52" t="s">
        <v>310</v>
      </c>
      <c r="B11" s="53" t="s">
        <v>329</v>
      </c>
      <c r="C11" s="53" t="s">
        <v>330</v>
      </c>
      <c r="D11" s="54">
        <v>440</v>
      </c>
    </row>
    <row r="12" spans="1:4" x14ac:dyDescent="0.3">
      <c r="A12" s="49" t="s">
        <v>310</v>
      </c>
      <c r="B12" s="50" t="s">
        <v>331</v>
      </c>
      <c r="C12" s="50" t="s">
        <v>332</v>
      </c>
      <c r="D12" s="51">
        <v>440</v>
      </c>
    </row>
    <row r="13" spans="1:4" x14ac:dyDescent="0.3">
      <c r="A13" s="52" t="s">
        <v>310</v>
      </c>
      <c r="B13" s="53" t="s">
        <v>333</v>
      </c>
      <c r="C13" s="53" t="s">
        <v>334</v>
      </c>
      <c r="D13" s="54">
        <v>440</v>
      </c>
    </row>
    <row r="14" spans="1:4" x14ac:dyDescent="0.3">
      <c r="A14" s="49" t="s">
        <v>310</v>
      </c>
      <c r="B14" s="50" t="s">
        <v>335</v>
      </c>
      <c r="C14" s="50" t="s">
        <v>336</v>
      </c>
      <c r="D14" s="51">
        <v>440</v>
      </c>
    </row>
    <row r="15" spans="1:4" x14ac:dyDescent="0.3">
      <c r="A15" s="52" t="s">
        <v>310</v>
      </c>
      <c r="B15" s="53" t="s">
        <v>337</v>
      </c>
      <c r="C15" s="53" t="s">
        <v>338</v>
      </c>
      <c r="D15" s="54">
        <v>440</v>
      </c>
    </row>
    <row r="16" spans="1:4" x14ac:dyDescent="0.3">
      <c r="A16" s="49" t="s">
        <v>310</v>
      </c>
      <c r="B16" s="50" t="s">
        <v>339</v>
      </c>
      <c r="C16" s="50" t="s">
        <v>340</v>
      </c>
      <c r="D16" s="51">
        <v>440</v>
      </c>
    </row>
    <row r="17" spans="1:4" x14ac:dyDescent="0.3">
      <c r="A17" s="52" t="s">
        <v>310</v>
      </c>
      <c r="B17" s="53" t="s">
        <v>219</v>
      </c>
      <c r="C17" s="53" t="s">
        <v>341</v>
      </c>
      <c r="D17" s="54">
        <v>0.51</v>
      </c>
    </row>
    <row r="18" spans="1:4" ht="15" thickBot="1" x14ac:dyDescent="0.35">
      <c r="A18" s="49" t="s">
        <v>310</v>
      </c>
      <c r="B18" s="50" t="s">
        <v>219</v>
      </c>
      <c r="C18" s="50" t="s">
        <v>342</v>
      </c>
      <c r="D18" s="51">
        <v>17500</v>
      </c>
    </row>
    <row r="19" spans="1:4" ht="15" thickTop="1" x14ac:dyDescent="0.3">
      <c r="A19" s="55" t="s">
        <v>2</v>
      </c>
      <c r="B19" s="56"/>
      <c r="C19" s="56"/>
      <c r="D19" s="57">
        <v>24100.510000000002</v>
      </c>
    </row>
    <row r="22" spans="1:4" x14ac:dyDescent="0.3">
      <c r="C22" s="74" t="s">
        <v>360</v>
      </c>
      <c r="D22" s="75">
        <f>D19+'ingresos investigación 2020'!B53+'Ingresos investigación 2019'!B50</f>
        <v>585486.49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cp:lastPrinted>2019-07-03T07:26:29Z</cp:lastPrinted>
  <dcterms:created xsi:type="dcterms:W3CDTF">2019-07-03T07:15:54Z</dcterms:created>
  <dcterms:modified xsi:type="dcterms:W3CDTF">2022-10-18T15:46:28Z</dcterms:modified>
</cp:coreProperties>
</file>