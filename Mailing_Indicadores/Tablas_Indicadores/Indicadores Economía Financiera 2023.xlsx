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H:\Mi unidad\Presupuestación\Presupuesto 2023\Departamentos\Departamentos\"/>
    </mc:Choice>
  </mc:AlternateContent>
  <xr:revisionPtr revIDLastSave="0" documentId="13_ncr:1_{34F4B475-1947-408D-9E0A-DC58B051672B}" xr6:coauthVersionLast="47" xr6:coauthVersionMax="47" xr10:uidLastSave="{00000000-0000-0000-0000-000000000000}"/>
  <bookViews>
    <workbookView xWindow="22932" yWindow="-108" windowWidth="23256" windowHeight="12456" tabRatio="758" firstSheet="2" activeTab="6" xr2:uid="{00000000-000D-0000-FFFF-FFFF00000000}"/>
  </bookViews>
  <sheets>
    <sheet name="Sexenios" sheetId="8" r:id="rId1"/>
    <sheet name="Ingresos investigación 2019" sheetId="11" r:id="rId2"/>
    <sheet name="Ingresos investigación 2020" sheetId="14" r:id="rId3"/>
    <sheet name="Ingresos investigación 2021" sheetId="15" r:id="rId4"/>
    <sheet name="Ingresos formación 2019" sheetId="12" r:id="rId5"/>
    <sheet name="Ingresos formación 2020" sheetId="13" r:id="rId6"/>
    <sheet name="Ingresos formación 2021" sheetId="16" r:id="rId7"/>
  </sheets>
  <definedNames>
    <definedName name="_xlnm._FilterDatabase" localSheetId="0" hidden="1">Sexenios!$A$1:$S$13</definedName>
    <definedName name="_xlnm.Print_Titles" localSheetId="0">Sexenios!$1:$1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22" i="16" l="1"/>
  <c r="B6" i="15"/>
  <c r="B8" i="14" l="1"/>
  <c r="B26" i="13"/>
  <c r="S15" i="8"/>
  <c r="B42" i="12" l="1"/>
  <c r="B25" i="16" s="1"/>
  <c r="B13" i="11"/>
  <c r="B9" i="15" s="1"/>
</calcChain>
</file>

<file path=xl/sharedStrings.xml><?xml version="1.0" encoding="utf-8"?>
<sst xmlns="http://schemas.openxmlformats.org/spreadsheetml/2006/main" count="218" uniqueCount="131">
  <si>
    <t>Orgánica
Descripción justificante</t>
  </si>
  <si>
    <t>Importe</t>
  </si>
  <si>
    <t>Total</t>
  </si>
  <si>
    <t>32.90.2T.00.01</t>
  </si>
  <si>
    <t>32.90.2T.00.02</t>
  </si>
  <si>
    <t xml:space="preserve">CARBONELL BROTONS, MARIA 20051214 EXPERTO EN CONTABILIDAD SUPERIOR Y GESTIÓN ADMINISTRATIVA </t>
  </si>
  <si>
    <t xml:space="preserve">FUQUENE MARQUEZ, DIANA ALEXANDRE 48797083 EXPERTO EN CONTABILIDAD SUPERIOR Y GESTIÓN ADMINISTRATIVA </t>
  </si>
  <si>
    <t xml:space="preserve">OSAULENKO, DMYTRO X3260984K EXPERTO EN CONTABILIDAD SUPERIOR Y GESTIÓN ADMINISTRATIVA </t>
  </si>
  <si>
    <t>32.90.2T.00.03</t>
  </si>
  <si>
    <t>32.90.2T.00.04</t>
  </si>
  <si>
    <t xml:space="preserve">MARTINEZ BENEITO, PABLO 29073238 EXPERTO EN BOLSA Y MERCADOS ONLINE </t>
  </si>
  <si>
    <t/>
  </si>
  <si>
    <t>NIF</t>
  </si>
  <si>
    <t>NOMBRE_COMPLETO</t>
  </si>
  <si>
    <t>TIPO_SEXENIO</t>
  </si>
  <si>
    <t>Total general</t>
  </si>
  <si>
    <t>INS
1</t>
  </si>
  <si>
    <t>DED
INS 1</t>
  </si>
  <si>
    <t>INS
2</t>
  </si>
  <si>
    <t>DED
INS 2</t>
  </si>
  <si>
    <t>DED
DEP</t>
  </si>
  <si>
    <t>SEX
INS 1</t>
  </si>
  <si>
    <t>SEX
INS 2</t>
  </si>
  <si>
    <t>SEX
DEP</t>
  </si>
  <si>
    <t>FUNCIONARIO</t>
  </si>
  <si>
    <t>NO FUNCIONARIO</t>
  </si>
  <si>
    <t>22140278H</t>
  </si>
  <si>
    <t>ABAD DIAZ, DAVID</t>
  </si>
  <si>
    <t>B182</t>
  </si>
  <si>
    <t>52779440Y</t>
  </si>
  <si>
    <t>BALBOA RAMON, MARINA</t>
  </si>
  <si>
    <t>48352104D</t>
  </si>
  <si>
    <t>ESPINOSA BLASCO, MONICA</t>
  </si>
  <si>
    <t>30414796X</t>
  </si>
  <si>
    <t>GOMEZ SALA, JUAN CARLOS</t>
  </si>
  <si>
    <t>21509908D</t>
  </si>
  <si>
    <t>IÑIGUEZ SANCHEZ, RAUL</t>
  </si>
  <si>
    <t>21986632N</t>
  </si>
  <si>
    <t>MARHUENDA FRUCTUOSO, JOAQUIN JUAN</t>
  </si>
  <si>
    <t>53146780J</t>
  </si>
  <si>
    <t>MARTINEZ SOLA, MARIA CRISTINA</t>
  </si>
  <si>
    <t>21501280Y</t>
  </si>
  <si>
    <t>NIETO DOMENECH, BELEN ADORACION</t>
  </si>
  <si>
    <t>21513664Q</t>
  </si>
  <si>
    <t>POVEDA FUENTES, FRANCISCO</t>
  </si>
  <si>
    <t>16576888Y</t>
  </si>
  <si>
    <t>RUBIA SERRANO, ANTONIO</t>
  </si>
  <si>
    <t>52768616S</t>
  </si>
  <si>
    <t>SANABRIA GARCIA, SONIA</t>
  </si>
  <si>
    <t>32.90.6C.00.02</t>
  </si>
  <si>
    <t>GALSAN1-16A REALIZACIÓN REUNIONES PREPARATORIAS Y ASISTENCIA A JUICIO EN CALIDAD DE PERITO EN LA EJECUCIÓN DICTADA CONTRA LEINEWEBER (VILLARREAL-LEINEWEBER) (E.T.J. nº 879/17 Mercantil nº1 Alicante)</t>
  </si>
  <si>
    <t>32.90.6C.00.09</t>
  </si>
  <si>
    <t>INFORME PERICIAL SOBRE EL PERJUICIO ECONÓMICO CAUSADO AL FGDEC POR LA REALIZACIÓN DE DETERMINADAS OPERACIONES DE FINANCIACIÓN REALIZADAS POR LA CAJA DE AHORROS DEL MEDITERRÁNEO</t>
  </si>
  <si>
    <t>32.90.6C.00.10</t>
  </si>
  <si>
    <t>INFORME SOBRE LA INDEMNIZACIÓN POR CLIENTELA DERIVADA DEL CONTRATO DE AGENCIA SUSCRITO POR D. SERGIO PORTALES SALOM</t>
  </si>
  <si>
    <t>32.90.6P.00.03</t>
  </si>
  <si>
    <t>PARA EL PAGO DE LA ANUALIDAD 2019. PROYECTOS I+D (PIA 1) N EXPEDIENTE: PIA12018 - 1 - 1 ANUALIDAD REFERENCIA: PGC2018 - 095072 - B I00. REFERENCIA DEL ORDENANTE PARA EL BENEFICIARIO: 00173219310010723 - 2019/009178</t>
  </si>
  <si>
    <t>PARA PAGO ANUALIDAD 2019 CONVOCATORIA PGC 2018 PROYECTOS I+D (PIA 1) N EXPEDIENTE: PIA12018-1-1 ANUALIDAD REFERENCIA: PGC2018-095072-B-10. REFERENCIA DEL ORDENANTE PARA EL BENEFICIARIO: 27402219310024731.</t>
  </si>
  <si>
    <t>32.90.6P.00.04</t>
  </si>
  <si>
    <t xml:space="preserve">SUBVENCIONES GRUPOS INVESTIGACION CONSOLIDABLES AICO/2019 (EDUCACIÓN,INVESTIGACIÓN,CULTURA Y DEPORT)  </t>
  </si>
  <si>
    <t>Liquidación  PLAN G025 curso ''GESTIÓN CONTABLE E INFORMATIZADA'' ORDEN 5360</t>
  </si>
  <si>
    <t>REINTEGRO CUOTA PATRONAL CORRESPONDIENTE AL MES DE DICIEMBRE DE 2019</t>
  </si>
  <si>
    <t>REINTEGRO CUOTA PATRONAL CORRESPONDIENTE AL MES DE OCTUBRE 2019.</t>
  </si>
  <si>
    <t xml:space="preserve">Elena Gracià Requena.  EXPERTO/A EN CONTABILIDAD SUPERIOR Y GESTIÓN ADMINISTRATIVA. </t>
  </si>
  <si>
    <t>Gacía Sala, Catalina. EXPERTO/A EN CONTABILIDAD SUPERIOR Y GESTIÓN ADMINISTRATIVA</t>
  </si>
  <si>
    <t>García Sala, Catalina. EXPERTO/A EN CONTABILIDAD SUPERIOR Y GESTIÓN ADMINISTRATIVA</t>
  </si>
  <si>
    <t>Gracia Requena, Elena. EXPERTO/A EN CONTABILIDAD SUPERIOR Y GESTIÓN ADMINISTRATIVA</t>
  </si>
  <si>
    <t>José Carlos Zafón Castello. EXPERTO/A EN CONTABILIDAD SUPERIOR Y GESTIÓN ADMINISTRATIVA</t>
  </si>
  <si>
    <t>Liquidación 2 PLAN 9261 curso ''EXPERTO EN CONTABILIDAD SUPERIOR Y GESTIÓN ADMINISTRATIVA'' ORDEN 5343</t>
  </si>
  <si>
    <t>Luz Adriana Pizarro Galvis. EXPERTO/A EN CONTABILIDAD SUPERIOR Y GESTIÓN ADMINISTRATIVA</t>
  </si>
  <si>
    <t>Martínez López, María Ángeles. EXPERTO/A EN CONTABILIDAD SUPERIOR Y GESTIÓN ADMINISTRATIVA</t>
  </si>
  <si>
    <t>Mayor Celdrán, Abraham. EXPERTO/A EN CONTABILIDAD SUPERIOR Y GESTIÓN ADMINISTRATIVA</t>
  </si>
  <si>
    <t>Pizarro Galvis, Luz Adriana. EXPERTO/A EN CONTABILIDAD SUPERIOR Y GESTIÓN ADMINISTRATIVA</t>
  </si>
  <si>
    <t>Zafón Castelló, José Carlos. EXPERTO/A EN CONTABILIDAD SUPERIOR Y GESTIÓN ADMINISTRATIVA</t>
  </si>
  <si>
    <t>Zapata Medina, Amada de Jesús. EXPERTO/A EN CONTABILIDAD SUPERIOR Y GESTIÓN ADMINISTRATIVA</t>
  </si>
  <si>
    <t>Liquidación  PLAN 9173 curso ''EXPERTO EN ASESOR FINANCIERO EUROPEO'' ORDEN 5354</t>
  </si>
  <si>
    <t>REINTEGRO CUOTA PATRONAL CORRESPONDIENTE AL MES DE OCTUBRE DE 2019.</t>
  </si>
  <si>
    <t>Liquidación  PLAN 9174 curso ''EXPERTO EN BOLSA Y MERCADOS ON LINE'' ORDEN 5357</t>
  </si>
  <si>
    <t>MARTINEZ BENEITO, PABLO - EXPERTO EN BOLSA Y MERCADOS ONLINE.</t>
  </si>
  <si>
    <t>MARTINEZ BENEITO, PABLO.  EXPERTO EN BOLSA Y MERCADOS ONLINE.</t>
  </si>
  <si>
    <t xml:space="preserve">Martínez Fernández de Valderrama, Javier 71509920 EXPERTO EN BOLSA Y MERCADOS ONLINE </t>
  </si>
  <si>
    <t>Santiago Machordom Bautista.  EXPERTO/A EN BOLSA Y MERCADOS ONLINE</t>
  </si>
  <si>
    <t>32.90.2T.00.05</t>
  </si>
  <si>
    <t>Liquidación PLAN 9173 "Experto en asesor financiero europeo"</t>
  </si>
  <si>
    <t>32.90.2T.00.06</t>
  </si>
  <si>
    <t>Liquidación PLAN 9174 "Experto en bolsa y mercados online"</t>
  </si>
  <si>
    <t>32.90.2T.00.07</t>
  </si>
  <si>
    <t>Liquidación PLAN 9261 "Experto en contabilidad superior y gestión administrativa"</t>
  </si>
  <si>
    <t>21512997Q</t>
  </si>
  <si>
    <t>PASTOR LLORCA, MARIA JESUS</t>
  </si>
  <si>
    <t>10.05</t>
  </si>
  <si>
    <t>20</t>
  </si>
  <si>
    <t>COD DEP</t>
  </si>
  <si>
    <t>21378486D</t>
  </si>
  <si>
    <t>GARRIDO MIRALLES, PASCUAL</t>
  </si>
  <si>
    <t>vivos</t>
  </si>
  <si>
    <t>32.90.6C.00.11</t>
  </si>
  <si>
    <t>INFORME VALORACIÓN EMPRESA ORIZON</t>
  </si>
  <si>
    <t>LIBERADOS EL 30/06/2020, ANUALIDAD 2020 PROYECTOS / I+D (PIA1) N EXPEDIENTE: PIA12018-1 - 2 ANUAL / IDAD REFERENCIA: PGC2018-095072-B-I00 / GOVT / 27402220310030699</t>
  </si>
  <si>
    <t>SUBVENCIONES GRUPOS INVESTIGACION CONSOLIDABLES AICO/2019.2ª (INNOVACIÓN,UNIVERSIDADES,CIENCIA SOC.DIG)</t>
  </si>
  <si>
    <t>Liquidación PLAN G025 "Gestión contable informatizada"</t>
  </si>
  <si>
    <t>PLAN G025 Curso 2020/21 Gestión contable informatizada</t>
  </si>
  <si>
    <t>JAEN GARCÍA-NAVAS, LORENA. EXPERTO EN CONTABILIDAD SUPERIOR Y GESTIÓN ADMINISTRATIVA.</t>
  </si>
  <si>
    <t>REINTEGRO CUOTA PATRONAL CORRESPONDIENTE A OCTUBRE DE 2020.</t>
  </si>
  <si>
    <t>Plan 9173 2019/2020 Experto en asesor financiero europeo</t>
  </si>
  <si>
    <t xml:space="preserve">Plan 9173 Curso 2020-21- EXPERTO/A EN ASESOR FINANCIERO EUROPEO </t>
  </si>
  <si>
    <t>Daniel Mira Lillo. EXPERTO/A EN BOLSA Y MERCADOS ONLINE</t>
  </si>
  <si>
    <t xml:space="preserve">Plan 9174 Curso 2020-21EXPERTO/A EN BOLSA Y MERCADOS ONLINE </t>
  </si>
  <si>
    <t>Sexto Naveira, Cristina. EXPERTO/A EN BOLSA Y MERCADOS ONLINE</t>
  </si>
  <si>
    <t xml:space="preserve">García Sala, Catalina. EXPERTO/A EN CONTABILIDAD SUPERIOR Y GESTIÓN ADMINISTRATIVA   Número de Serie Proforma: M Número de Factura Proforma: 20200000000016  DATOS DEL DESTINATARIO B54340195 ECONOMISTAS DE LEVANTE SLPU    CL PIZARRO Nº:31 Esc:  Piso: BJ  Pta:   03680    ALICANTE   Fecha de Emisión: 11/02/2020 Fecha de Operación: 11/02/2020    CONCEPTO Línea Descripción Unid. Precio Unidad Bruto Descuento Recargo Total imp. € 1 García Sala, Catalina. EXPERTO/A EN CONTABILIDAD SUPERIOR Y GESTIÓN ADMINISTRATIVA 1,00 440,00 440,00 0,00 0,00 440,00   BASE IMPONIBLE: 440,00 €  IMPORTE TOTAL: 440,00 €  Líneas exentas de IVA Línea Causa de exención Código exención SII 1  Art. 20.UNO.9 de la ley 37/92E1Exenta por el artículo 20  E1 Exenta por el artículo 20     REALIZAR EL INGRESO EN LA CUENTA:  SWIFT: BSCHESMM659     </t>
  </si>
  <si>
    <t>Garriga Ripoll, Daniel. EXPERTO/A EN CONTABILIDAD SUPERIOR Y GESTIÓN ADMINISTRATIVA</t>
  </si>
  <si>
    <t>32.90.2T.00.08</t>
  </si>
  <si>
    <t>Plan GF35- 2020-GESTION CONTABLE INFORMATIZADA ONLINE</t>
  </si>
  <si>
    <t>Plan G025 - GESTIÓN CONTABLE INFORMATIZADA. RECIBOS EMITIDOS EN 2021 Y COMPLEMENTARIOS AL JI2020/5385</t>
  </si>
  <si>
    <t>REINTEGRO CUOTA PATRONAL CORRESPONDIENTE A MARZO DE 2021.</t>
  </si>
  <si>
    <t>REINTEGRO CUOTA PATRONAL CORRESPONDIENTE A ABRIL DE 2021.</t>
  </si>
  <si>
    <t>Plan 9173 Curso 2020-21 - EXPERTOA EN ASESOR FINANCIERO EUROPEO. COMPLEMENTARIO AL JI2020/4745</t>
  </si>
  <si>
    <t>UA BECAS EXCELENCIA ACADEMICAUNIVERSIDADES C. 2018/2019. OPAS 2020</t>
  </si>
  <si>
    <t>Aurelio Blanco Cárdenas. EXPERTO/A EN BOLSA Y MERCADOS ONLINE</t>
  </si>
  <si>
    <t xml:space="preserve">Plan 9174 Curso 2021-22 EXPERTO/A EN BOLSA Y MERCADOS ONLINE. </t>
  </si>
  <si>
    <t>Claudia María Rodríguez Pastor. EXPERTO/A EN CONTABILIDAD SUPERIOR Y GESTIÓN ADMINISTRATIVA</t>
  </si>
  <si>
    <t>Estefanía Rioja Rozas. EXPERTO/A EN CONTABILIDAD SUPERIOR Y GESTIÓN ADMINISTRATIVA</t>
  </si>
  <si>
    <t>Andrea Alexandra Micó Micó. EXPERTO/A EN CONTABILIDAD SUPERIOR Y GESTIÓN ADMINISTRATIVA</t>
  </si>
  <si>
    <t>Plan 9261_Curso 2021-22 _EXPERTO EN CONTABILIDAD SUPERIOR Y GESTIÓN ADMINISTRATIVA.</t>
  </si>
  <si>
    <t>Plan GF35 - GESTIÓN CONTABLE INFORMATIZADA ON LINE. COMPLEMENTARIO AL JI2020/4165.</t>
  </si>
  <si>
    <t>MATRÍCULA DE GEMA MACHUCA BARRAGÁN, DNI 28642515, DEL CURSO GESTIÓN CONTABLE INFORMATIZADA ONLINE</t>
  </si>
  <si>
    <t>32.90.6C.00.12</t>
  </si>
  <si>
    <t>REALIZACIÓN DE INFORME SOBRE LA VALORACIÓN ECONÓMICA DE UNA PENSIÓN COMPENSATORIA VITALICIA</t>
  </si>
  <si>
    <t xml:space="preserve">PGC2018-095072-B-I00 </t>
  </si>
  <si>
    <t>Total ingresos investigación 2019, 2020 y 2021</t>
  </si>
  <si>
    <t>Total ingresos formación 2019, 2020 y 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</si>
</sst>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sz val="8"/>
      <color theme="1"/>
      <name val="Arial"/>
      <family val="2"/>
    </font>
    <font>
      <b/>
      <sz val="8"/>
      <color theme="1"/>
      <name val="Arial"/>
      <family val="2"/>
    </font>
    <font>
      <sz val="10"/>
      <color indexed="8"/>
      <name val="Arial"/>
      <family val="2"/>
    </font>
    <font>
      <sz val="10"/>
      <name val="Arial"/>
      <family val="2"/>
    </font>
    <font>
      <b/>
      <sz val="10"/>
      <color indexed="8"/>
      <name val="Arial"/>
      <family val="2"/>
    </font>
    <font>
      <b/>
      <sz val="10"/>
      <name val="Arial"/>
      <family val="2"/>
    </font>
    <font>
      <sz val="10"/>
      <color theme="1"/>
      <name val="Arial"/>
      <family val="2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9" tint="0.39997558519241921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4">
    <xf numFmtId="0" fontId="0" fillId="0" borderId="0"/>
    <xf numFmtId="0" fontId="3" fillId="0" borderId="0"/>
    <xf numFmtId="0" fontId="4" fillId="0" borderId="0"/>
    <xf numFmtId="0" fontId="1" fillId="0" borderId="0"/>
  </cellStyleXfs>
  <cellXfs count="26">
    <xf numFmtId="0" fontId="0" fillId="0" borderId="0" xfId="0"/>
    <xf numFmtId="0" fontId="1" fillId="0" borderId="0" xfId="0" applyFont="1"/>
    <xf numFmtId="0" fontId="2" fillId="2" borderId="1" xfId="0" applyFont="1" applyFill="1" applyBorder="1" applyAlignment="1">
      <alignment horizontal="left" wrapText="1"/>
    </xf>
    <xf numFmtId="0" fontId="2" fillId="2" borderId="1" xfId="0" applyFont="1" applyFill="1" applyBorder="1" applyAlignment="1">
      <alignment horizontal="center"/>
    </xf>
    <xf numFmtId="0" fontId="1" fillId="0" borderId="1" xfId="0" applyFont="1" applyBorder="1"/>
    <xf numFmtId="4" fontId="1" fillId="0" borderId="1" xfId="0" applyNumberFormat="1" applyFont="1" applyBorder="1"/>
    <xf numFmtId="0" fontId="2" fillId="0" borderId="1" xfId="0" applyFont="1" applyBorder="1"/>
    <xf numFmtId="4" fontId="2" fillId="0" borderId="1" xfId="0" applyNumberFormat="1" applyFont="1" applyBorder="1"/>
    <xf numFmtId="0" fontId="6" fillId="4" borderId="1" xfId="1" applyFont="1" applyFill="1" applyBorder="1" applyAlignment="1">
      <alignment horizontal="center" textRotation="90" wrapText="1"/>
    </xf>
    <xf numFmtId="0" fontId="6" fillId="3" borderId="1" xfId="1" applyFont="1" applyFill="1" applyBorder="1" applyAlignment="1">
      <alignment horizontal="center" textRotation="90" wrapText="1"/>
    </xf>
    <xf numFmtId="0" fontId="3" fillId="0" borderId="0" xfId="3" applyFont="1"/>
    <xf numFmtId="0" fontId="7" fillId="0" borderId="0" xfId="3" applyFont="1"/>
    <xf numFmtId="0" fontId="7" fillId="0" borderId="0" xfId="3" applyFont="1" applyAlignment="1">
      <alignment horizontal="right"/>
    </xf>
    <xf numFmtId="0" fontId="5" fillId="2" borderId="1" xfId="0" applyFont="1" applyFill="1" applyBorder="1"/>
    <xf numFmtId="0" fontId="5" fillId="2" borderId="1" xfId="0" applyFont="1" applyFill="1" applyBorder="1" applyAlignment="1">
      <alignment textRotation="90"/>
    </xf>
    <xf numFmtId="0" fontId="6" fillId="3" borderId="1" xfId="1" applyFont="1" applyFill="1" applyBorder="1" applyAlignment="1">
      <alignment horizontal="center" wrapText="1"/>
    </xf>
    <xf numFmtId="0" fontId="0" fillId="0" borderId="1" xfId="0" applyBorder="1"/>
    <xf numFmtId="0" fontId="0" fillId="0" borderId="1" xfId="0" applyNumberFormat="1" applyBorder="1"/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left"/>
    </xf>
    <xf numFmtId="0" fontId="0" fillId="2" borderId="2" xfId="0" applyFill="1" applyBorder="1"/>
    <xf numFmtId="0" fontId="0" fillId="2" borderId="2" xfId="0" applyFill="1" applyBorder="1" applyAlignment="1">
      <alignment horizontal="left"/>
    </xf>
    <xf numFmtId="0" fontId="0" fillId="2" borderId="2" xfId="0" applyNumberFormat="1" applyFill="1" applyBorder="1"/>
    <xf numFmtId="0" fontId="0" fillId="2" borderId="0" xfId="0" applyFill="1"/>
    <xf numFmtId="0" fontId="8" fillId="2" borderId="0" xfId="0" applyFont="1" applyFill="1"/>
    <xf numFmtId="0" fontId="2" fillId="0" borderId="1" xfId="0" applyFont="1" applyBorder="1" applyAlignment="1">
      <alignment horizontal="right"/>
    </xf>
  </cellXfs>
  <cellStyles count="4">
    <cellStyle name="Normal" xfId="0" builtinId="0"/>
    <cellStyle name="Normal 2" xfId="2" xr:uid="{00000000-0005-0000-0000-000001000000}"/>
    <cellStyle name="Normal 3" xfId="3" xr:uid="{00000000-0005-0000-0000-000002000000}"/>
    <cellStyle name="Normal_PDI por Centro" xfId="1" xr:uid="{00000000-0005-0000-0000-000005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S15"/>
  <sheetViews>
    <sheetView zoomScaleNormal="100" workbookViewId="0">
      <selection activeCell="F21" sqref="F20:F21"/>
    </sheetView>
  </sheetViews>
  <sheetFormatPr baseColWidth="10" defaultColWidth="11.44140625" defaultRowHeight="13.2" x14ac:dyDescent="0.25"/>
  <cols>
    <col min="1" max="1" width="10.44140625" style="11" bestFit="1" customWidth="1"/>
    <col min="2" max="2" width="40" style="11" bestFit="1" customWidth="1"/>
    <col min="3" max="3" width="17" style="11" bestFit="1" customWidth="1"/>
    <col min="4" max="9" width="3.33203125" style="11" bestFit="1" customWidth="1"/>
    <col min="10" max="10" width="13.109375" style="11" bestFit="1" customWidth="1"/>
    <col min="11" max="11" width="5.33203125" style="11" bestFit="1" customWidth="1"/>
    <col min="12" max="13" width="5.6640625" style="11" bestFit="1" customWidth="1"/>
    <col min="14" max="14" width="5.6640625" style="12" bestFit="1" customWidth="1"/>
    <col min="15" max="15" width="5.6640625" style="11" bestFit="1" customWidth="1"/>
    <col min="16" max="16" width="5.6640625" style="12" bestFit="1" customWidth="1"/>
    <col min="17" max="19" width="5.6640625" style="11" bestFit="1" customWidth="1"/>
    <col min="20" max="16384" width="11.44140625" style="11"/>
  </cols>
  <sheetData>
    <row r="1" spans="1:19" s="10" customFormat="1" ht="60" customHeight="1" x14ac:dyDescent="0.25">
      <c r="A1" s="13" t="s">
        <v>12</v>
      </c>
      <c r="B1" s="13" t="s">
        <v>13</v>
      </c>
      <c r="C1" s="13" t="s">
        <v>14</v>
      </c>
      <c r="D1" s="14">
        <v>2017</v>
      </c>
      <c r="E1" s="14">
        <v>2018</v>
      </c>
      <c r="F1" s="14">
        <v>2019</v>
      </c>
      <c r="G1" s="14">
        <v>2020</v>
      </c>
      <c r="H1" s="14">
        <v>2021</v>
      </c>
      <c r="I1" s="14">
        <v>2022</v>
      </c>
      <c r="J1" s="13" t="s">
        <v>15</v>
      </c>
      <c r="K1" s="15" t="s">
        <v>92</v>
      </c>
      <c r="L1" s="8" t="s">
        <v>16</v>
      </c>
      <c r="M1" s="8" t="s">
        <v>17</v>
      </c>
      <c r="N1" s="8" t="s">
        <v>18</v>
      </c>
      <c r="O1" s="8" t="s">
        <v>19</v>
      </c>
      <c r="P1" s="9" t="s">
        <v>20</v>
      </c>
      <c r="Q1" s="9" t="s">
        <v>21</v>
      </c>
      <c r="R1" s="9" t="s">
        <v>22</v>
      </c>
      <c r="S1" s="9" t="s">
        <v>23</v>
      </c>
    </row>
    <row r="2" spans="1:19" ht="14.4" x14ac:dyDescent="0.3">
      <c r="A2" s="16" t="s">
        <v>45</v>
      </c>
      <c r="B2" s="16" t="s">
        <v>46</v>
      </c>
      <c r="C2" s="16" t="s">
        <v>24</v>
      </c>
      <c r="D2" s="17"/>
      <c r="E2" s="17"/>
      <c r="F2" s="17">
        <v>1</v>
      </c>
      <c r="G2" s="17"/>
      <c r="H2" s="17"/>
      <c r="I2" s="17"/>
      <c r="J2" s="17">
        <v>1</v>
      </c>
      <c r="K2" s="17" t="s">
        <v>28</v>
      </c>
      <c r="L2" s="18">
        <v>0</v>
      </c>
      <c r="M2" s="18">
        <v>0</v>
      </c>
      <c r="N2" s="18" t="s">
        <v>11</v>
      </c>
      <c r="O2" s="18" t="s">
        <v>11</v>
      </c>
      <c r="P2" s="18">
        <v>100</v>
      </c>
      <c r="Q2" s="18">
        <v>0</v>
      </c>
      <c r="R2" s="18">
        <v>0</v>
      </c>
      <c r="S2" s="18">
        <v>1</v>
      </c>
    </row>
    <row r="3" spans="1:19" ht="14.4" x14ac:dyDescent="0.3">
      <c r="A3" s="16" t="s">
        <v>93</v>
      </c>
      <c r="B3" s="16" t="s">
        <v>94</v>
      </c>
      <c r="C3" s="16" t="s">
        <v>24</v>
      </c>
      <c r="D3" s="17"/>
      <c r="E3" s="17"/>
      <c r="F3" s="17">
        <v>1</v>
      </c>
      <c r="G3" s="17"/>
      <c r="H3" s="17"/>
      <c r="I3" s="17"/>
      <c r="J3" s="17">
        <v>1</v>
      </c>
      <c r="K3" s="17" t="s">
        <v>28</v>
      </c>
      <c r="L3" s="18">
        <v>0</v>
      </c>
      <c r="M3" s="18">
        <v>0</v>
      </c>
      <c r="N3" s="18" t="s">
        <v>11</v>
      </c>
      <c r="O3" s="18" t="s">
        <v>11</v>
      </c>
      <c r="P3" s="18">
        <v>100</v>
      </c>
      <c r="Q3" s="18">
        <v>0</v>
      </c>
      <c r="R3" s="18">
        <v>0</v>
      </c>
      <c r="S3" s="18">
        <v>1</v>
      </c>
    </row>
    <row r="4" spans="1:19" ht="14.4" x14ac:dyDescent="0.3">
      <c r="A4" s="16" t="s">
        <v>41</v>
      </c>
      <c r="B4" s="16" t="s">
        <v>42</v>
      </c>
      <c r="C4" s="16" t="s">
        <v>24</v>
      </c>
      <c r="D4" s="17"/>
      <c r="E4" s="17">
        <v>1</v>
      </c>
      <c r="F4" s="17"/>
      <c r="G4" s="17"/>
      <c r="H4" s="17"/>
      <c r="I4" s="17"/>
      <c r="J4" s="17">
        <v>1</v>
      </c>
      <c r="K4" s="17" t="s">
        <v>28</v>
      </c>
      <c r="L4" s="18">
        <v>0</v>
      </c>
      <c r="M4" s="18">
        <v>0</v>
      </c>
      <c r="N4" s="18" t="s">
        <v>11</v>
      </c>
      <c r="O4" s="18" t="s">
        <v>11</v>
      </c>
      <c r="P4" s="18">
        <v>100</v>
      </c>
      <c r="Q4" s="18">
        <v>0</v>
      </c>
      <c r="R4" s="18">
        <v>0</v>
      </c>
      <c r="S4" s="18">
        <v>1</v>
      </c>
    </row>
    <row r="5" spans="1:19" ht="14.4" x14ac:dyDescent="0.3">
      <c r="A5" s="16" t="s">
        <v>35</v>
      </c>
      <c r="B5" s="16" t="s">
        <v>36</v>
      </c>
      <c r="C5" s="16" t="s">
        <v>24</v>
      </c>
      <c r="D5" s="17"/>
      <c r="E5" s="17"/>
      <c r="F5" s="17">
        <v>1</v>
      </c>
      <c r="G5" s="17"/>
      <c r="H5" s="17"/>
      <c r="I5" s="17"/>
      <c r="J5" s="17">
        <v>1</v>
      </c>
      <c r="K5" s="17" t="s">
        <v>28</v>
      </c>
      <c r="L5" s="18">
        <v>0</v>
      </c>
      <c r="M5" s="18">
        <v>0</v>
      </c>
      <c r="N5" s="18" t="s">
        <v>11</v>
      </c>
      <c r="O5" s="18" t="s">
        <v>11</v>
      </c>
      <c r="P5" s="18">
        <v>100</v>
      </c>
      <c r="Q5" s="18">
        <v>0</v>
      </c>
      <c r="R5" s="18">
        <v>0</v>
      </c>
      <c r="S5" s="18">
        <v>1</v>
      </c>
    </row>
    <row r="6" spans="1:19" ht="14.4" x14ac:dyDescent="0.3">
      <c r="A6" s="16" t="s">
        <v>88</v>
      </c>
      <c r="B6" s="16" t="s">
        <v>89</v>
      </c>
      <c r="C6" s="16" t="s">
        <v>24</v>
      </c>
      <c r="D6" s="17"/>
      <c r="E6" s="17"/>
      <c r="F6" s="17">
        <v>1</v>
      </c>
      <c r="G6" s="17"/>
      <c r="H6" s="17"/>
      <c r="I6" s="17"/>
      <c r="J6" s="17">
        <v>1</v>
      </c>
      <c r="K6" s="17" t="s">
        <v>28</v>
      </c>
      <c r="L6" s="18">
        <v>0</v>
      </c>
      <c r="M6" s="18">
        <v>0</v>
      </c>
      <c r="N6" s="18" t="s">
        <v>11</v>
      </c>
      <c r="O6" s="18" t="s">
        <v>11</v>
      </c>
      <c r="P6" s="18">
        <v>100</v>
      </c>
      <c r="Q6" s="18">
        <v>0</v>
      </c>
      <c r="R6" s="18">
        <v>0</v>
      </c>
      <c r="S6" s="18">
        <v>1</v>
      </c>
    </row>
    <row r="7" spans="1:19" ht="14.4" x14ac:dyDescent="0.3">
      <c r="A7" s="16" t="s">
        <v>43</v>
      </c>
      <c r="B7" s="16" t="s">
        <v>44</v>
      </c>
      <c r="C7" s="16" t="s">
        <v>24</v>
      </c>
      <c r="D7" s="17"/>
      <c r="E7" s="17"/>
      <c r="F7" s="17">
        <v>1</v>
      </c>
      <c r="G7" s="17"/>
      <c r="H7" s="17"/>
      <c r="I7" s="17"/>
      <c r="J7" s="17">
        <v>1</v>
      </c>
      <c r="K7" s="17" t="s">
        <v>28</v>
      </c>
      <c r="L7" s="18">
        <v>0</v>
      </c>
      <c r="M7" s="18">
        <v>0</v>
      </c>
      <c r="N7" s="18" t="s">
        <v>11</v>
      </c>
      <c r="O7" s="18" t="s">
        <v>11</v>
      </c>
      <c r="P7" s="18">
        <v>100</v>
      </c>
      <c r="Q7" s="18">
        <v>0</v>
      </c>
      <c r="R7" s="18">
        <v>0</v>
      </c>
      <c r="S7" s="18">
        <v>1</v>
      </c>
    </row>
    <row r="8" spans="1:19" ht="14.4" x14ac:dyDescent="0.3">
      <c r="A8" s="16" t="s">
        <v>37</v>
      </c>
      <c r="B8" s="16" t="s">
        <v>38</v>
      </c>
      <c r="C8" s="16" t="s">
        <v>24</v>
      </c>
      <c r="D8" s="17"/>
      <c r="E8" s="17"/>
      <c r="F8" s="17">
        <v>1</v>
      </c>
      <c r="G8" s="17"/>
      <c r="H8" s="17"/>
      <c r="I8" s="17"/>
      <c r="J8" s="17">
        <v>1</v>
      </c>
      <c r="K8" s="17" t="s">
        <v>28</v>
      </c>
      <c r="L8" s="18">
        <v>0</v>
      </c>
      <c r="M8" s="18">
        <v>0</v>
      </c>
      <c r="N8" s="18" t="s">
        <v>11</v>
      </c>
      <c r="O8" s="18" t="s">
        <v>11</v>
      </c>
      <c r="P8" s="18">
        <v>100</v>
      </c>
      <c r="Q8" s="18">
        <v>0</v>
      </c>
      <c r="R8" s="18">
        <v>0</v>
      </c>
      <c r="S8" s="18">
        <v>1</v>
      </c>
    </row>
    <row r="9" spans="1:19" ht="14.4" x14ac:dyDescent="0.3">
      <c r="A9" s="16" t="s">
        <v>26</v>
      </c>
      <c r="B9" s="16" t="s">
        <v>27</v>
      </c>
      <c r="C9" s="16" t="s">
        <v>24</v>
      </c>
      <c r="D9" s="17"/>
      <c r="E9" s="17"/>
      <c r="F9" s="17"/>
      <c r="G9" s="17"/>
      <c r="H9" s="17"/>
      <c r="I9" s="17">
        <v>1</v>
      </c>
      <c r="J9" s="17">
        <v>1</v>
      </c>
      <c r="K9" s="17" t="s">
        <v>28</v>
      </c>
      <c r="L9" s="18">
        <v>0</v>
      </c>
      <c r="M9" s="18">
        <v>0</v>
      </c>
      <c r="N9" s="18" t="s">
        <v>11</v>
      </c>
      <c r="O9" s="18" t="s">
        <v>11</v>
      </c>
      <c r="P9" s="18">
        <v>100</v>
      </c>
      <c r="Q9" s="18">
        <v>0</v>
      </c>
      <c r="R9" s="18">
        <v>0</v>
      </c>
      <c r="S9" s="18">
        <v>1</v>
      </c>
    </row>
    <row r="10" spans="1:19" ht="14.4" x14ac:dyDescent="0.3">
      <c r="A10" s="16" t="s">
        <v>33</v>
      </c>
      <c r="B10" s="16" t="s">
        <v>34</v>
      </c>
      <c r="C10" s="16" t="s">
        <v>24</v>
      </c>
      <c r="D10" s="17"/>
      <c r="E10" s="17"/>
      <c r="F10" s="17">
        <v>1</v>
      </c>
      <c r="G10" s="17"/>
      <c r="H10" s="17"/>
      <c r="I10" s="17"/>
      <c r="J10" s="17">
        <v>1</v>
      </c>
      <c r="K10" s="17" t="s">
        <v>28</v>
      </c>
      <c r="L10" s="18">
        <v>0</v>
      </c>
      <c r="M10" s="18">
        <v>0</v>
      </c>
      <c r="N10" s="18" t="s">
        <v>11</v>
      </c>
      <c r="O10" s="18" t="s">
        <v>11</v>
      </c>
      <c r="P10" s="18">
        <v>100</v>
      </c>
      <c r="Q10" s="18">
        <v>0</v>
      </c>
      <c r="R10" s="18">
        <v>0</v>
      </c>
      <c r="S10" s="18">
        <v>1</v>
      </c>
    </row>
    <row r="11" spans="1:19" ht="14.4" x14ac:dyDescent="0.3">
      <c r="A11" s="16" t="s">
        <v>31</v>
      </c>
      <c r="B11" s="16" t="s">
        <v>32</v>
      </c>
      <c r="C11" s="16" t="s">
        <v>25</v>
      </c>
      <c r="D11" s="17">
        <v>1</v>
      </c>
      <c r="E11" s="17"/>
      <c r="F11" s="17"/>
      <c r="G11" s="17"/>
      <c r="H11" s="17"/>
      <c r="I11" s="17"/>
      <c r="J11" s="17">
        <v>1</v>
      </c>
      <c r="K11" s="17" t="s">
        <v>28</v>
      </c>
      <c r="L11" s="18">
        <v>0</v>
      </c>
      <c r="M11" s="18">
        <v>0</v>
      </c>
      <c r="N11" s="18" t="s">
        <v>11</v>
      </c>
      <c r="O11" s="18" t="s">
        <v>11</v>
      </c>
      <c r="P11" s="18">
        <v>100</v>
      </c>
      <c r="Q11" s="18">
        <v>0</v>
      </c>
      <c r="R11" s="18">
        <v>0</v>
      </c>
      <c r="S11" s="18">
        <v>1</v>
      </c>
    </row>
    <row r="12" spans="1:19" ht="14.4" x14ac:dyDescent="0.3">
      <c r="A12" s="16" t="s">
        <v>47</v>
      </c>
      <c r="B12" s="16" t="s">
        <v>48</v>
      </c>
      <c r="C12" s="16" t="s">
        <v>24</v>
      </c>
      <c r="D12" s="17"/>
      <c r="E12" s="17">
        <v>1</v>
      </c>
      <c r="F12" s="17">
        <v>1</v>
      </c>
      <c r="G12" s="17"/>
      <c r="H12" s="17"/>
      <c r="I12" s="17"/>
      <c r="J12" s="17">
        <v>2</v>
      </c>
      <c r="K12" s="17" t="s">
        <v>28</v>
      </c>
      <c r="L12" s="18" t="s">
        <v>90</v>
      </c>
      <c r="M12" s="18" t="s">
        <v>91</v>
      </c>
      <c r="N12" s="18" t="s">
        <v>11</v>
      </c>
      <c r="O12" s="18" t="s">
        <v>11</v>
      </c>
      <c r="P12" s="18">
        <v>80</v>
      </c>
      <c r="Q12" s="18">
        <v>0.4</v>
      </c>
      <c r="R12" s="18">
        <v>0</v>
      </c>
      <c r="S12" s="18">
        <v>1.6</v>
      </c>
    </row>
    <row r="13" spans="1:19" ht="14.4" x14ac:dyDescent="0.3">
      <c r="A13" s="16" t="s">
        <v>39</v>
      </c>
      <c r="B13" s="16" t="s">
        <v>40</v>
      </c>
      <c r="C13" s="19" t="s">
        <v>25</v>
      </c>
      <c r="D13" s="16"/>
      <c r="E13" s="16"/>
      <c r="F13" s="16">
        <v>1</v>
      </c>
      <c r="G13" s="16"/>
      <c r="H13" s="16"/>
      <c r="I13" s="16"/>
      <c r="J13" s="17">
        <v>1</v>
      </c>
      <c r="K13" s="17" t="s">
        <v>28</v>
      </c>
      <c r="L13" s="18">
        <v>0</v>
      </c>
      <c r="M13" s="18">
        <v>0</v>
      </c>
      <c r="N13" s="18" t="s">
        <v>11</v>
      </c>
      <c r="O13" s="18" t="s">
        <v>11</v>
      </c>
      <c r="P13" s="18">
        <v>100</v>
      </c>
      <c r="Q13" s="18">
        <v>0</v>
      </c>
      <c r="R13" s="18">
        <v>0</v>
      </c>
      <c r="S13" s="18">
        <v>1</v>
      </c>
    </row>
    <row r="14" spans="1:19" ht="14.4" x14ac:dyDescent="0.3">
      <c r="A14" s="16" t="s">
        <v>29</v>
      </c>
      <c r="B14" s="16" t="s">
        <v>30</v>
      </c>
      <c r="C14" s="16" t="s">
        <v>95</v>
      </c>
      <c r="D14" s="17"/>
      <c r="E14" s="17"/>
      <c r="F14" s="17"/>
      <c r="G14" s="17"/>
      <c r="H14" s="17"/>
      <c r="I14" s="17">
        <v>1</v>
      </c>
      <c r="J14" s="17">
        <v>1</v>
      </c>
      <c r="K14" s="17" t="s">
        <v>28</v>
      </c>
      <c r="L14" s="18">
        <v>0</v>
      </c>
      <c r="M14" s="18">
        <v>0</v>
      </c>
      <c r="N14" s="18" t="s">
        <v>11</v>
      </c>
      <c r="O14" s="18" t="s">
        <v>11</v>
      </c>
      <c r="P14" s="18">
        <v>100</v>
      </c>
      <c r="Q14" s="18">
        <v>0</v>
      </c>
      <c r="R14" s="18">
        <v>0</v>
      </c>
      <c r="S14" s="18">
        <v>1</v>
      </c>
    </row>
    <row r="15" spans="1:19" ht="14.4" x14ac:dyDescent="0.3">
      <c r="A15" s="20"/>
      <c r="B15" s="20"/>
      <c r="C15" s="21"/>
      <c r="D15" s="20"/>
      <c r="E15" s="20"/>
      <c r="F15" s="20"/>
      <c r="G15" s="20"/>
      <c r="H15" s="20"/>
      <c r="I15" s="20"/>
      <c r="J15" s="22"/>
      <c r="K15" s="23"/>
      <c r="L15" s="23"/>
      <c r="M15" s="23"/>
      <c r="N15" s="23"/>
      <c r="O15" s="23"/>
      <c r="P15" s="23"/>
      <c r="Q15" s="23"/>
      <c r="R15" s="23"/>
      <c r="S15" s="24">
        <f>SUM(S2:S14)</f>
        <v>13.6</v>
      </c>
    </row>
  </sheetData>
  <pageMargins left="0.39370078740157483" right="0.39370078740157483" top="0.39370078740157483" bottom="0.39370078740157483" header="0.31496062992125984" footer="0.31496062992125984"/>
  <pageSetup paperSize="9" scale="10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13"/>
  <sheetViews>
    <sheetView zoomScaleNormal="100" workbookViewId="0">
      <selection activeCell="A27" sqref="A27"/>
    </sheetView>
  </sheetViews>
  <sheetFormatPr baseColWidth="10" defaultColWidth="11.44140625" defaultRowHeight="10.199999999999999" x14ac:dyDescent="0.2"/>
  <cols>
    <col min="1" max="1" width="100.6640625" style="1" customWidth="1"/>
    <col min="2" max="16384" width="11.44140625" style="1"/>
  </cols>
  <sheetData>
    <row r="1" spans="1:2" ht="20.399999999999999" x14ac:dyDescent="0.2">
      <c r="A1" s="2" t="s">
        <v>0</v>
      </c>
      <c r="B1" s="3" t="s">
        <v>1</v>
      </c>
    </row>
    <row r="2" spans="1:2" x14ac:dyDescent="0.2">
      <c r="A2" s="4" t="s">
        <v>49</v>
      </c>
      <c r="B2" s="5"/>
    </row>
    <row r="3" spans="1:2" x14ac:dyDescent="0.2">
      <c r="A3" s="4" t="s">
        <v>50</v>
      </c>
      <c r="B3" s="5">
        <v>1500</v>
      </c>
    </row>
    <row r="4" spans="1:2" x14ac:dyDescent="0.2">
      <c r="A4" s="4" t="s">
        <v>51</v>
      </c>
      <c r="B4" s="5"/>
    </row>
    <row r="5" spans="1:2" x14ac:dyDescent="0.2">
      <c r="A5" s="4" t="s">
        <v>52</v>
      </c>
      <c r="B5" s="5">
        <v>3000</v>
      </c>
    </row>
    <row r="6" spans="1:2" x14ac:dyDescent="0.2">
      <c r="A6" s="4" t="s">
        <v>53</v>
      </c>
      <c r="B6" s="5"/>
    </row>
    <row r="7" spans="1:2" x14ac:dyDescent="0.2">
      <c r="A7" s="4" t="s">
        <v>54</v>
      </c>
      <c r="B7" s="5">
        <v>3000</v>
      </c>
    </row>
    <row r="8" spans="1:2" x14ac:dyDescent="0.2">
      <c r="A8" s="4" t="s">
        <v>55</v>
      </c>
      <c r="B8" s="5"/>
    </row>
    <row r="9" spans="1:2" x14ac:dyDescent="0.2">
      <c r="A9" s="4" t="s">
        <v>56</v>
      </c>
      <c r="B9" s="5">
        <v>25150</v>
      </c>
    </row>
    <row r="10" spans="1:2" x14ac:dyDescent="0.2">
      <c r="A10" s="4" t="s">
        <v>57</v>
      </c>
      <c r="B10" s="5">
        <v>12072</v>
      </c>
    </row>
    <row r="11" spans="1:2" x14ac:dyDescent="0.2">
      <c r="A11" s="4" t="s">
        <v>58</v>
      </c>
      <c r="B11" s="5"/>
    </row>
    <row r="12" spans="1:2" x14ac:dyDescent="0.2">
      <c r="A12" s="4" t="s">
        <v>59</v>
      </c>
      <c r="B12" s="5">
        <v>20000</v>
      </c>
    </row>
    <row r="13" spans="1:2" x14ac:dyDescent="0.2">
      <c r="A13" s="6" t="s">
        <v>2</v>
      </c>
      <c r="B13" s="7">
        <f>SUM(B3:B12)</f>
        <v>64722</v>
      </c>
    </row>
  </sheetData>
  <pageMargins left="0.39370078740157483" right="0.39370078740157483" top="0.74803149606299213" bottom="0.74803149606299213" header="0.31496062992125984" footer="0.31496062992125984"/>
  <pageSetup paperSize="9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740D24-3BC7-4D4B-AE6D-BDC1503E1753}">
  <dimension ref="A1:B8"/>
  <sheetViews>
    <sheetView zoomScaleNormal="100" workbookViewId="0">
      <selection activeCell="B18" sqref="B18"/>
    </sheetView>
  </sheetViews>
  <sheetFormatPr baseColWidth="10" defaultColWidth="11.44140625" defaultRowHeight="10.199999999999999" x14ac:dyDescent="0.2"/>
  <cols>
    <col min="1" max="1" width="100.6640625" style="1" customWidth="1"/>
    <col min="2" max="16384" width="11.44140625" style="1"/>
  </cols>
  <sheetData>
    <row r="1" spans="1:2" ht="20.399999999999999" x14ac:dyDescent="0.2">
      <c r="A1" s="2" t="s">
        <v>0</v>
      </c>
      <c r="B1" s="3" t="s">
        <v>1</v>
      </c>
    </row>
    <row r="2" spans="1:2" x14ac:dyDescent="0.2">
      <c r="A2" s="4" t="s">
        <v>96</v>
      </c>
      <c r="B2" s="5"/>
    </row>
    <row r="3" spans="1:2" x14ac:dyDescent="0.2">
      <c r="A3" s="4" t="s">
        <v>97</v>
      </c>
      <c r="B3" s="5">
        <v>3960</v>
      </c>
    </row>
    <row r="4" spans="1:2" x14ac:dyDescent="0.2">
      <c r="A4" s="4" t="s">
        <v>55</v>
      </c>
      <c r="B4" s="5"/>
    </row>
    <row r="5" spans="1:2" x14ac:dyDescent="0.2">
      <c r="A5" s="4" t="s">
        <v>98</v>
      </c>
      <c r="B5" s="5">
        <v>2515</v>
      </c>
    </row>
    <row r="6" spans="1:2" x14ac:dyDescent="0.2">
      <c r="A6" s="4" t="s">
        <v>58</v>
      </c>
      <c r="B6" s="5"/>
    </row>
    <row r="7" spans="1:2" x14ac:dyDescent="0.2">
      <c r="A7" s="4" t="s">
        <v>99</v>
      </c>
      <c r="B7" s="5">
        <v>20000</v>
      </c>
    </row>
    <row r="8" spans="1:2" x14ac:dyDescent="0.2">
      <c r="A8" s="6" t="s">
        <v>2</v>
      </c>
      <c r="B8" s="7">
        <f>SUM(B3:B7)</f>
        <v>26475</v>
      </c>
    </row>
  </sheetData>
  <pageMargins left="0.39370078740157483" right="0.39370078740157483" top="0.74803149606299213" bottom="0.74803149606299213" header="0.31496062992125984" footer="0.31496062992125984"/>
  <pageSetup paperSize="9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7D1D6C-096B-4CF7-90BD-2028837AA17F}">
  <dimension ref="A1:B9"/>
  <sheetViews>
    <sheetView zoomScaleNormal="100" workbookViewId="0">
      <selection activeCell="A15" sqref="A15"/>
    </sheetView>
  </sheetViews>
  <sheetFormatPr baseColWidth="10" defaultColWidth="11.44140625" defaultRowHeight="10.199999999999999" x14ac:dyDescent="0.2"/>
  <cols>
    <col min="1" max="1" width="100.6640625" style="1" customWidth="1"/>
    <col min="2" max="16384" width="11.44140625" style="1"/>
  </cols>
  <sheetData>
    <row r="1" spans="1:2" ht="20.399999999999999" x14ac:dyDescent="0.2">
      <c r="A1" s="2" t="s">
        <v>0</v>
      </c>
      <c r="B1" s="3" t="s">
        <v>1</v>
      </c>
    </row>
    <row r="2" spans="1:2" x14ac:dyDescent="0.2">
      <c r="A2" s="4" t="s">
        <v>126</v>
      </c>
      <c r="B2" s="5"/>
    </row>
    <row r="3" spans="1:2" x14ac:dyDescent="0.2">
      <c r="A3" s="4" t="s">
        <v>127</v>
      </c>
      <c r="B3" s="5">
        <v>1496</v>
      </c>
    </row>
    <row r="4" spans="1:2" x14ac:dyDescent="0.2">
      <c r="A4" s="4" t="s">
        <v>55</v>
      </c>
      <c r="B4" s="5"/>
    </row>
    <row r="5" spans="1:2" x14ac:dyDescent="0.2">
      <c r="A5" s="4" t="s">
        <v>128</v>
      </c>
      <c r="B5" s="5">
        <v>10563</v>
      </c>
    </row>
    <row r="6" spans="1:2" x14ac:dyDescent="0.2">
      <c r="A6" s="6" t="s">
        <v>2</v>
      </c>
      <c r="B6" s="7">
        <f>SUM(B2:B5)</f>
        <v>12059</v>
      </c>
    </row>
    <row r="9" spans="1:2" x14ac:dyDescent="0.2">
      <c r="A9" s="25" t="s">
        <v>129</v>
      </c>
      <c r="B9" s="7">
        <f>B6+'Ingresos investigación 2020'!B8+'Ingresos investigación 2019'!B13</f>
        <v>103256</v>
      </c>
    </row>
  </sheetData>
  <pageMargins left="0.39370078740157483" right="0.39370078740157483" top="0.74803149606299213" bottom="0.74803149606299213" header="0.31496062992125984" footer="0.31496062992125984"/>
  <pageSetup paperSize="9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B42"/>
  <sheetViews>
    <sheetView zoomScaleNormal="100" workbookViewId="0">
      <selection activeCell="A47" sqref="A47"/>
    </sheetView>
  </sheetViews>
  <sheetFormatPr baseColWidth="10" defaultColWidth="11.44140625" defaultRowHeight="10.199999999999999" x14ac:dyDescent="0.2"/>
  <cols>
    <col min="1" max="1" width="100.6640625" style="1" customWidth="1"/>
    <col min="2" max="16384" width="11.44140625" style="1"/>
  </cols>
  <sheetData>
    <row r="1" spans="1:2" ht="20.399999999999999" x14ac:dyDescent="0.2">
      <c r="A1" s="2" t="s">
        <v>0</v>
      </c>
      <c r="B1" s="3" t="s">
        <v>1</v>
      </c>
    </row>
    <row r="2" spans="1:2" x14ac:dyDescent="0.2">
      <c r="A2" s="4" t="s">
        <v>3</v>
      </c>
      <c r="B2" s="5"/>
    </row>
    <row r="3" spans="1:2" x14ac:dyDescent="0.2">
      <c r="A3" s="4" t="s">
        <v>60</v>
      </c>
      <c r="B3" s="5">
        <v>7521.42</v>
      </c>
    </row>
    <row r="4" spans="1:2" x14ac:dyDescent="0.2">
      <c r="A4" s="4" t="s">
        <v>61</v>
      </c>
      <c r="B4" s="5">
        <v>5.15</v>
      </c>
    </row>
    <row r="5" spans="1:2" x14ac:dyDescent="0.2">
      <c r="A5" s="4" t="s">
        <v>62</v>
      </c>
      <c r="B5" s="5">
        <v>6.06</v>
      </c>
    </row>
    <row r="6" spans="1:2" x14ac:dyDescent="0.2">
      <c r="A6" s="4" t="s">
        <v>4</v>
      </c>
      <c r="B6" s="5"/>
    </row>
    <row r="7" spans="1:2" x14ac:dyDescent="0.2">
      <c r="A7" s="4" t="s">
        <v>5</v>
      </c>
      <c r="B7" s="5">
        <v>875</v>
      </c>
    </row>
    <row r="8" spans="1:2" x14ac:dyDescent="0.2">
      <c r="A8" s="4" t="s">
        <v>63</v>
      </c>
      <c r="B8" s="5">
        <v>470.71</v>
      </c>
    </row>
    <row r="9" spans="1:2" x14ac:dyDescent="0.2">
      <c r="A9" s="4" t="s">
        <v>6</v>
      </c>
      <c r="B9" s="5">
        <v>875</v>
      </c>
    </row>
    <row r="10" spans="1:2" x14ac:dyDescent="0.2">
      <c r="A10" s="4" t="s">
        <v>64</v>
      </c>
      <c r="B10" s="5">
        <v>470.71</v>
      </c>
    </row>
    <row r="11" spans="1:2" x14ac:dyDescent="0.2">
      <c r="A11" s="4" t="s">
        <v>65</v>
      </c>
      <c r="B11" s="5">
        <v>437.5</v>
      </c>
    </row>
    <row r="12" spans="1:2" x14ac:dyDescent="0.2">
      <c r="A12" s="4" t="s">
        <v>66</v>
      </c>
      <c r="B12" s="5">
        <v>437.5</v>
      </c>
    </row>
    <row r="13" spans="1:2" x14ac:dyDescent="0.2">
      <c r="A13" s="4" t="s">
        <v>67</v>
      </c>
      <c r="B13" s="5">
        <v>475.71</v>
      </c>
    </row>
    <row r="14" spans="1:2" x14ac:dyDescent="0.2">
      <c r="A14" s="4" t="s">
        <v>68</v>
      </c>
      <c r="B14" s="5">
        <v>31943.74</v>
      </c>
    </row>
    <row r="15" spans="1:2" x14ac:dyDescent="0.2">
      <c r="A15" s="4" t="s">
        <v>69</v>
      </c>
      <c r="B15" s="5">
        <v>470.71</v>
      </c>
    </row>
    <row r="16" spans="1:2" x14ac:dyDescent="0.2">
      <c r="A16" s="4" t="s">
        <v>70</v>
      </c>
      <c r="B16" s="5">
        <v>908.21</v>
      </c>
    </row>
    <row r="17" spans="1:2" x14ac:dyDescent="0.2">
      <c r="A17" s="4" t="s">
        <v>71</v>
      </c>
      <c r="B17" s="5">
        <v>1783.21</v>
      </c>
    </row>
    <row r="18" spans="1:2" x14ac:dyDescent="0.2">
      <c r="A18" s="4" t="s">
        <v>7</v>
      </c>
      <c r="B18" s="5">
        <v>875</v>
      </c>
    </row>
    <row r="19" spans="1:2" x14ac:dyDescent="0.2">
      <c r="A19" s="4" t="s">
        <v>72</v>
      </c>
      <c r="B19" s="5">
        <v>437.5</v>
      </c>
    </row>
    <row r="20" spans="1:2" x14ac:dyDescent="0.2">
      <c r="A20" s="4" t="s">
        <v>73</v>
      </c>
      <c r="B20" s="5">
        <v>437.5</v>
      </c>
    </row>
    <row r="21" spans="1:2" x14ac:dyDescent="0.2">
      <c r="A21" s="4" t="s">
        <v>74</v>
      </c>
      <c r="B21" s="5">
        <v>908.21</v>
      </c>
    </row>
    <row r="22" spans="1:2" x14ac:dyDescent="0.2">
      <c r="A22" s="4" t="s">
        <v>8</v>
      </c>
      <c r="B22" s="5"/>
    </row>
    <row r="23" spans="1:2" x14ac:dyDescent="0.2">
      <c r="A23" s="4" t="s">
        <v>75</v>
      </c>
      <c r="B23" s="5">
        <v>11159.79</v>
      </c>
    </row>
    <row r="24" spans="1:2" x14ac:dyDescent="0.2">
      <c r="A24" s="4" t="s">
        <v>61</v>
      </c>
      <c r="B24" s="5">
        <v>59.49</v>
      </c>
    </row>
    <row r="25" spans="1:2" x14ac:dyDescent="0.2">
      <c r="A25" s="4" t="s">
        <v>76</v>
      </c>
      <c r="B25" s="5">
        <v>64.42</v>
      </c>
    </row>
    <row r="26" spans="1:2" x14ac:dyDescent="0.2">
      <c r="A26" s="4" t="s">
        <v>9</v>
      </c>
      <c r="B26" s="5"/>
    </row>
    <row r="27" spans="1:2" x14ac:dyDescent="0.2">
      <c r="A27" s="4" t="s">
        <v>77</v>
      </c>
      <c r="B27" s="5">
        <v>41287.29</v>
      </c>
    </row>
    <row r="28" spans="1:2" x14ac:dyDescent="0.2">
      <c r="A28" s="4" t="s">
        <v>78</v>
      </c>
      <c r="B28" s="5">
        <v>399</v>
      </c>
    </row>
    <row r="29" spans="1:2" x14ac:dyDescent="0.2">
      <c r="A29" s="4" t="s">
        <v>10</v>
      </c>
      <c r="B29" s="5">
        <v>598.5</v>
      </c>
    </row>
    <row r="30" spans="1:2" x14ac:dyDescent="0.2">
      <c r="A30" s="4" t="s">
        <v>79</v>
      </c>
      <c r="B30" s="5">
        <v>399</v>
      </c>
    </row>
    <row r="31" spans="1:2" x14ac:dyDescent="0.2">
      <c r="A31" s="4" t="s">
        <v>80</v>
      </c>
      <c r="B31" s="5">
        <v>2028.21</v>
      </c>
    </row>
    <row r="32" spans="1:2" x14ac:dyDescent="0.2">
      <c r="A32" s="4" t="s">
        <v>81</v>
      </c>
      <c r="B32" s="5">
        <v>2028.21</v>
      </c>
    </row>
    <row r="33" spans="1:2" x14ac:dyDescent="0.2">
      <c r="A33" s="4" t="s">
        <v>82</v>
      </c>
      <c r="B33" s="5"/>
    </row>
    <row r="34" spans="1:2" x14ac:dyDescent="0.2">
      <c r="A34" s="4" t="s">
        <v>83</v>
      </c>
      <c r="B34" s="5">
        <v>21963.08</v>
      </c>
    </row>
    <row r="35" spans="1:2" x14ac:dyDescent="0.2">
      <c r="A35" s="4" t="s">
        <v>84</v>
      </c>
      <c r="B35" s="5"/>
    </row>
    <row r="36" spans="1:2" x14ac:dyDescent="0.2">
      <c r="A36" s="4" t="s">
        <v>85</v>
      </c>
      <c r="B36" s="5">
        <v>92299.93</v>
      </c>
    </row>
    <row r="37" spans="1:2" x14ac:dyDescent="0.2">
      <c r="A37" s="4" t="s">
        <v>86</v>
      </c>
      <c r="B37" s="5"/>
    </row>
    <row r="38" spans="1:2" x14ac:dyDescent="0.2">
      <c r="A38" s="4" t="s">
        <v>66</v>
      </c>
      <c r="B38" s="5">
        <v>440</v>
      </c>
    </row>
    <row r="39" spans="1:2" x14ac:dyDescent="0.2">
      <c r="A39" s="4" t="s">
        <v>87</v>
      </c>
      <c r="B39" s="5">
        <v>34569.999999999993</v>
      </c>
    </row>
    <row r="40" spans="1:2" x14ac:dyDescent="0.2">
      <c r="A40" s="4" t="s">
        <v>73</v>
      </c>
      <c r="B40" s="5">
        <v>437.5</v>
      </c>
    </row>
    <row r="41" spans="1:2" x14ac:dyDescent="0.2">
      <c r="A41" s="4" t="s">
        <v>74</v>
      </c>
      <c r="B41" s="5">
        <v>440</v>
      </c>
    </row>
    <row r="42" spans="1:2" x14ac:dyDescent="0.2">
      <c r="A42" s="6" t="s">
        <v>2</v>
      </c>
      <c r="B42" s="7">
        <f>SUM(B3:B41)</f>
        <v>257513.26</v>
      </c>
    </row>
  </sheetData>
  <pageMargins left="0.39370078740157483" right="0.39370078740157483" top="0.74803149606299213" bottom="0.74803149606299213" header="0.31496062992125984" footer="0.31496062992125984"/>
  <pageSetup paperSize="9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4D88E8-C187-42D1-896F-AEA41D5757A8}">
  <dimension ref="A1:B26"/>
  <sheetViews>
    <sheetView zoomScaleNormal="100" workbookViewId="0">
      <selection activeCell="B26" sqref="B26"/>
    </sheetView>
  </sheetViews>
  <sheetFormatPr baseColWidth="10" defaultColWidth="11.44140625" defaultRowHeight="10.199999999999999" x14ac:dyDescent="0.2"/>
  <cols>
    <col min="1" max="1" width="100.6640625" style="1" customWidth="1"/>
    <col min="2" max="16384" width="11.44140625" style="1"/>
  </cols>
  <sheetData>
    <row r="1" spans="1:2" ht="20.399999999999999" x14ac:dyDescent="0.2">
      <c r="A1" s="2" t="s">
        <v>0</v>
      </c>
      <c r="B1" s="3" t="s">
        <v>1</v>
      </c>
    </row>
    <row r="2" spans="1:2" x14ac:dyDescent="0.2">
      <c r="A2" s="4" t="s">
        <v>3</v>
      </c>
      <c r="B2" s="5"/>
    </row>
    <row r="3" spans="1:2" x14ac:dyDescent="0.2">
      <c r="A3" s="4" t="s">
        <v>100</v>
      </c>
      <c r="B3" s="5">
        <v>4406.3999999999996</v>
      </c>
    </row>
    <row r="4" spans="1:2" x14ac:dyDescent="0.2">
      <c r="A4" s="4" t="s">
        <v>101</v>
      </c>
      <c r="B4" s="5">
        <v>2430</v>
      </c>
    </row>
    <row r="5" spans="1:2" x14ac:dyDescent="0.2">
      <c r="A5" s="4" t="s">
        <v>4</v>
      </c>
      <c r="B5" s="5"/>
    </row>
    <row r="6" spans="1:2" x14ac:dyDescent="0.2">
      <c r="A6" s="4" t="s">
        <v>102</v>
      </c>
      <c r="B6" s="5">
        <v>437.5</v>
      </c>
    </row>
    <row r="7" spans="1:2" x14ac:dyDescent="0.2">
      <c r="A7" s="4" t="s">
        <v>103</v>
      </c>
      <c r="B7" s="5">
        <v>171.59</v>
      </c>
    </row>
    <row r="8" spans="1:2" x14ac:dyDescent="0.2">
      <c r="A8" s="4" t="s">
        <v>82</v>
      </c>
      <c r="B8" s="5"/>
    </row>
    <row r="9" spans="1:2" x14ac:dyDescent="0.2">
      <c r="A9" s="4" t="s">
        <v>104</v>
      </c>
      <c r="B9" s="5">
        <v>918.68</v>
      </c>
    </row>
    <row r="10" spans="1:2" x14ac:dyDescent="0.2">
      <c r="A10" s="4" t="s">
        <v>105</v>
      </c>
      <c r="B10" s="5">
        <v>21870.300000000003</v>
      </c>
    </row>
    <row r="11" spans="1:2" x14ac:dyDescent="0.2">
      <c r="A11" s="4" t="s">
        <v>84</v>
      </c>
      <c r="B11" s="5"/>
    </row>
    <row r="12" spans="1:2" x14ac:dyDescent="0.2">
      <c r="A12" s="4" t="s">
        <v>106</v>
      </c>
      <c r="B12" s="5">
        <v>1191.99</v>
      </c>
    </row>
    <row r="13" spans="1:2" x14ac:dyDescent="0.2">
      <c r="A13" s="4" t="s">
        <v>107</v>
      </c>
      <c r="B13" s="5">
        <v>50644.859999999993</v>
      </c>
    </row>
    <row r="14" spans="1:2" x14ac:dyDescent="0.2">
      <c r="A14" s="4" t="s">
        <v>108</v>
      </c>
      <c r="B14" s="5">
        <v>2033.21</v>
      </c>
    </row>
    <row r="15" spans="1:2" x14ac:dyDescent="0.2">
      <c r="A15" s="4" t="s">
        <v>86</v>
      </c>
      <c r="B15" s="5"/>
    </row>
    <row r="16" spans="1:2" x14ac:dyDescent="0.2">
      <c r="A16" s="4" t="s">
        <v>65</v>
      </c>
      <c r="B16" s="5">
        <v>440</v>
      </c>
    </row>
    <row r="17" spans="1:2" x14ac:dyDescent="0.2">
      <c r="A17" s="4" t="s">
        <v>109</v>
      </c>
      <c r="B17" s="5">
        <v>440</v>
      </c>
    </row>
    <row r="18" spans="1:2" x14ac:dyDescent="0.2">
      <c r="A18" s="4" t="s">
        <v>110</v>
      </c>
      <c r="B18" s="5">
        <v>1788.21</v>
      </c>
    </row>
    <row r="19" spans="1:2" x14ac:dyDescent="0.2">
      <c r="A19" s="4" t="s">
        <v>66</v>
      </c>
      <c r="B19" s="5">
        <v>440</v>
      </c>
    </row>
    <row r="20" spans="1:2" x14ac:dyDescent="0.2">
      <c r="A20" s="4" t="s">
        <v>70</v>
      </c>
      <c r="B20" s="5">
        <v>440</v>
      </c>
    </row>
    <row r="21" spans="1:2" x14ac:dyDescent="0.2">
      <c r="A21" s="4" t="s">
        <v>72</v>
      </c>
      <c r="B21" s="5">
        <v>880</v>
      </c>
    </row>
    <row r="22" spans="1:2" x14ac:dyDescent="0.2">
      <c r="A22" s="4" t="s">
        <v>73</v>
      </c>
      <c r="B22" s="5">
        <v>437.5</v>
      </c>
    </row>
    <row r="23" spans="1:2" x14ac:dyDescent="0.2">
      <c r="A23" s="4" t="s">
        <v>74</v>
      </c>
      <c r="B23" s="5">
        <v>440</v>
      </c>
    </row>
    <row r="24" spans="1:2" x14ac:dyDescent="0.2">
      <c r="A24" s="4" t="s">
        <v>111</v>
      </c>
      <c r="B24" s="5"/>
    </row>
    <row r="25" spans="1:2" x14ac:dyDescent="0.2">
      <c r="A25" s="4" t="s">
        <v>112</v>
      </c>
      <c r="B25" s="5">
        <v>7254</v>
      </c>
    </row>
    <row r="26" spans="1:2" x14ac:dyDescent="0.2">
      <c r="A26" s="6" t="s">
        <v>2</v>
      </c>
      <c r="B26" s="7">
        <f>SUM(B3:B25)</f>
        <v>96664.24</v>
      </c>
    </row>
  </sheetData>
  <pageMargins left="0.39370078740157483" right="0.39370078740157483" top="0.74803149606299213" bottom="0.74803149606299213" header="0.31496062992125984" footer="0.31496062992125984"/>
  <pageSetup paperSize="9"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0722EB-DAF2-452A-927D-04B9EC8EAD41}">
  <dimension ref="A1:B25"/>
  <sheetViews>
    <sheetView tabSelected="1" zoomScaleNormal="100" workbookViewId="0">
      <selection activeCell="A27" sqref="A27"/>
    </sheetView>
  </sheetViews>
  <sheetFormatPr baseColWidth="10" defaultColWidth="11.44140625" defaultRowHeight="10.199999999999999" x14ac:dyDescent="0.2"/>
  <cols>
    <col min="1" max="1" width="100.6640625" style="1" customWidth="1"/>
    <col min="2" max="16384" width="11.44140625" style="1"/>
  </cols>
  <sheetData>
    <row r="1" spans="1:2" ht="20.399999999999999" x14ac:dyDescent="0.2">
      <c r="A1" s="2" t="s">
        <v>0</v>
      </c>
      <c r="B1" s="3" t="s">
        <v>1</v>
      </c>
    </row>
    <row r="2" spans="1:2" x14ac:dyDescent="0.2">
      <c r="A2" s="4" t="s">
        <v>3</v>
      </c>
      <c r="B2" s="5"/>
    </row>
    <row r="3" spans="1:2" x14ac:dyDescent="0.2">
      <c r="A3" s="4" t="s">
        <v>113</v>
      </c>
      <c r="B3" s="5">
        <v>945</v>
      </c>
    </row>
    <row r="4" spans="1:2" x14ac:dyDescent="0.2">
      <c r="A4" s="4" t="s">
        <v>9</v>
      </c>
      <c r="B4" s="5"/>
    </row>
    <row r="5" spans="1:2" x14ac:dyDescent="0.2">
      <c r="A5" s="4" t="s">
        <v>114</v>
      </c>
      <c r="B5" s="5">
        <v>77.45</v>
      </c>
    </row>
    <row r="6" spans="1:2" x14ac:dyDescent="0.2">
      <c r="A6" s="4" t="s">
        <v>115</v>
      </c>
      <c r="B6" s="5">
        <v>573.9</v>
      </c>
    </row>
    <row r="7" spans="1:2" x14ac:dyDescent="0.2">
      <c r="A7" s="4" t="s">
        <v>82</v>
      </c>
      <c r="B7" s="5"/>
    </row>
    <row r="8" spans="1:2" x14ac:dyDescent="0.2">
      <c r="A8" s="4" t="s">
        <v>116</v>
      </c>
      <c r="B8" s="5">
        <v>708.65</v>
      </c>
    </row>
    <row r="9" spans="1:2" x14ac:dyDescent="0.2">
      <c r="A9" s="4" t="s">
        <v>84</v>
      </c>
      <c r="B9" s="5"/>
    </row>
    <row r="10" spans="1:2" x14ac:dyDescent="0.2">
      <c r="A10" s="4" t="s">
        <v>106</v>
      </c>
      <c r="B10" s="5">
        <v>840.42</v>
      </c>
    </row>
    <row r="11" spans="1:2" x14ac:dyDescent="0.2">
      <c r="A11" s="4" t="s">
        <v>117</v>
      </c>
      <c r="B11" s="5">
        <v>2022.34</v>
      </c>
    </row>
    <row r="12" spans="1:2" x14ac:dyDescent="0.2">
      <c r="A12" s="4" t="s">
        <v>118</v>
      </c>
      <c r="B12" s="5">
        <v>2032.16</v>
      </c>
    </row>
    <row r="13" spans="1:2" x14ac:dyDescent="0.2">
      <c r="A13" s="4" t="s">
        <v>119</v>
      </c>
      <c r="B13" s="5">
        <v>40617.019999999997</v>
      </c>
    </row>
    <row r="14" spans="1:2" x14ac:dyDescent="0.2">
      <c r="A14" s="4" t="s">
        <v>86</v>
      </c>
      <c r="B14" s="5"/>
    </row>
    <row r="15" spans="1:2" x14ac:dyDescent="0.2">
      <c r="A15" s="4" t="s">
        <v>120</v>
      </c>
      <c r="B15" s="5">
        <v>1349.66</v>
      </c>
    </row>
    <row r="16" spans="1:2" x14ac:dyDescent="0.2">
      <c r="A16" s="4" t="s">
        <v>121</v>
      </c>
      <c r="B16" s="5">
        <v>1791.11</v>
      </c>
    </row>
    <row r="17" spans="1:2" x14ac:dyDescent="0.2">
      <c r="A17" s="4" t="s">
        <v>122</v>
      </c>
      <c r="B17" s="5">
        <v>1787.15</v>
      </c>
    </row>
    <row r="18" spans="1:2" x14ac:dyDescent="0.2">
      <c r="A18" s="4" t="s">
        <v>123</v>
      </c>
      <c r="B18" s="5">
        <v>19348.45</v>
      </c>
    </row>
    <row r="19" spans="1:2" x14ac:dyDescent="0.2">
      <c r="A19" s="4" t="s">
        <v>111</v>
      </c>
      <c r="B19" s="5"/>
    </row>
    <row r="20" spans="1:2" x14ac:dyDescent="0.2">
      <c r="A20" s="4" t="s">
        <v>124</v>
      </c>
      <c r="B20" s="5">
        <v>5499</v>
      </c>
    </row>
    <row r="21" spans="1:2" x14ac:dyDescent="0.2">
      <c r="A21" s="4" t="s">
        <v>125</v>
      </c>
      <c r="B21" s="5">
        <v>130</v>
      </c>
    </row>
    <row r="22" spans="1:2" x14ac:dyDescent="0.2">
      <c r="A22" s="6" t="s">
        <v>2</v>
      </c>
      <c r="B22" s="7">
        <f>SUM(B3:B21)</f>
        <v>77722.31</v>
      </c>
    </row>
    <row r="25" spans="1:2" x14ac:dyDescent="0.2">
      <c r="A25" s="25" t="s">
        <v>130</v>
      </c>
      <c r="B25" s="7">
        <f>B22+'Ingresos formación 2020'!B26+'Ingresos formación 2019'!B42</f>
        <v>431899.81</v>
      </c>
    </row>
  </sheetData>
  <pageMargins left="0.39370078740157483" right="0.39370078740157483" top="0.74803149606299213" bottom="0.74803149606299213" header="0.31496062992125984" footer="0.31496062992125984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7</vt:i4>
      </vt:variant>
      <vt:variant>
        <vt:lpstr>Rangos con nombre</vt:lpstr>
      </vt:variant>
      <vt:variant>
        <vt:i4>1</vt:i4>
      </vt:variant>
    </vt:vector>
  </HeadingPairs>
  <TitlesOfParts>
    <vt:vector size="8" baseType="lpstr">
      <vt:lpstr>Sexenios</vt:lpstr>
      <vt:lpstr>Ingresos investigación 2019</vt:lpstr>
      <vt:lpstr>Ingresos investigación 2020</vt:lpstr>
      <vt:lpstr>Ingresos investigación 2021</vt:lpstr>
      <vt:lpstr>Ingresos formación 2019</vt:lpstr>
      <vt:lpstr>Ingresos formación 2020</vt:lpstr>
      <vt:lpstr>Ingresos formación 2021</vt:lpstr>
      <vt:lpstr>Sexenios!Títulos_a_imprimir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21387280V</dc:creator>
  <cp:lastModifiedBy>21511974M</cp:lastModifiedBy>
  <dcterms:created xsi:type="dcterms:W3CDTF">2019-07-03T07:15:54Z</dcterms:created>
  <dcterms:modified xsi:type="dcterms:W3CDTF">2022-10-18T11:05:08Z</dcterms:modified>
</cp:coreProperties>
</file>