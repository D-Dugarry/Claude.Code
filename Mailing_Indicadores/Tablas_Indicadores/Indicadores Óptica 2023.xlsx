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Mi unidad\Presupuestación\Presupuesto 2023\Departamentos\Departamentos\"/>
    </mc:Choice>
  </mc:AlternateContent>
  <xr:revisionPtr revIDLastSave="0" documentId="13_ncr:1_{2B2DD48A-6C73-4F8A-9A62-9C7B61C86276}" xr6:coauthVersionLast="47" xr6:coauthVersionMax="47" xr10:uidLastSave="{00000000-0000-0000-0000-000000000000}"/>
  <bookViews>
    <workbookView xWindow="22932" yWindow="-108" windowWidth="23256" windowHeight="12456" tabRatio="796" xr2:uid="{00000000-000D-0000-FFFF-FFFF00000000}"/>
  </bookViews>
  <sheets>
    <sheet name="Tesis" sheetId="9" r:id="rId1"/>
    <sheet name="Sexenios" sheetId="10" r:id="rId2"/>
    <sheet name="Ingresos investigación 2019" sheetId="13" r:id="rId3"/>
    <sheet name="Ingresos investigación 2020" sheetId="16" r:id="rId4"/>
    <sheet name="ingresos investigación 2021" sheetId="17" r:id="rId5"/>
    <sheet name="Ingresos formación 2019" sheetId="14" r:id="rId6"/>
    <sheet name="Ingresos formación 2020" sheetId="15" r:id="rId7"/>
    <sheet name="ingresos formación 2021" sheetId="18" r:id="rId8"/>
  </sheets>
  <definedNames>
    <definedName name="_xlnm._FilterDatabase" localSheetId="1" hidden="1">Sexenios!$A$1:$S$1</definedName>
    <definedName name="_xlnm._FilterDatabase" localSheetId="0" hidden="1">Tesis!$A$1:$U$1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7" i="9" l="1"/>
  <c r="B59" i="16" l="1"/>
  <c r="B6" i="15"/>
  <c r="S23" i="10" l="1"/>
  <c r="B8" i="14" l="1"/>
  <c r="D7" i="18" s="1"/>
  <c r="B102" i="13"/>
  <c r="D48" i="17" s="1"/>
</calcChain>
</file>

<file path=xl/sharedStrings.xml><?xml version="1.0" encoding="utf-8"?>
<sst xmlns="http://schemas.openxmlformats.org/spreadsheetml/2006/main" count="877" uniqueCount="395">
  <si>
    <t>Orgánica
Descripción justificante</t>
  </si>
  <si>
    <t>Importe</t>
  </si>
  <si>
    <t>Total</t>
  </si>
  <si>
    <t>33.30.6C.00.03</t>
  </si>
  <si>
    <t>33.30.6C.00.16</t>
  </si>
  <si>
    <t>33.30.6C.00.18</t>
  </si>
  <si>
    <t>33.30.6P.00.06</t>
  </si>
  <si>
    <t>33.30.6P.00.09</t>
  </si>
  <si>
    <t>33.30.6P.00.11</t>
  </si>
  <si>
    <t>33.30.2T.00.01</t>
  </si>
  <si>
    <t>33.30.2T.00.02</t>
  </si>
  <si>
    <t>33.30.2T.00.03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</si>
  <si>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</si>
  <si>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</si>
  <si>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</si>
  <si>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</si>
  <si>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</si>
  <si>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</si>
  <si>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</si>
  <si>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</si>
  <si>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</si>
  <si>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</si>
  <si>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</si>
  <si>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</si>
  <si>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</si>
  <si>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</si>
  <si>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</si>
  <si>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</si>
  <si>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</si>
  <si>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</si>
  <si>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</si>
  <si>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</si>
  <si>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</si>
  <si>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</si>
  <si>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>50</t>
  </si>
  <si>
    <t/>
  </si>
  <si>
    <t>Director de tesis </t>
  </si>
  <si>
    <t>DOCTORADO EN BIOLOGÍA EXPERIMENTAL Y APLICADA </t>
  </si>
  <si>
    <t>B164 </t>
  </si>
  <si>
    <t>FISIOLOGÍA, GENÉTICA Y MICROBIOLOGÍA </t>
  </si>
  <si>
    <t>10</t>
  </si>
  <si>
    <t>- </t>
  </si>
  <si>
    <t>03/07/2017 </t>
  </si>
  <si>
    <t>10.20</t>
  </si>
  <si>
    <t>20</t>
  </si>
  <si>
    <t>11/07/2017 </t>
  </si>
  <si>
    <t>14/07/2017 </t>
  </si>
  <si>
    <t>12/09/2019 </t>
  </si>
  <si>
    <t>10.14</t>
  </si>
  <si>
    <t>07/07/2017 </t>
  </si>
  <si>
    <t>24/07/2018 </t>
  </si>
  <si>
    <t>U044 </t>
  </si>
  <si>
    <t>ADM. FACULTAD DE CIENCIAS DE LA SALUD </t>
  </si>
  <si>
    <t>DOCTORADO EN CIENCIAS DE LA SALUD </t>
  </si>
  <si>
    <t>B185 </t>
  </si>
  <si>
    <t>INGENIERÍA CIVIL </t>
  </si>
  <si>
    <t>U066 </t>
  </si>
  <si>
    <t>ADM. I.U. FÍSICA APLICADA A LA CIENCIAS Y A LAS TECNOLOGIAS </t>
  </si>
  <si>
    <t>DOCTORADO EN FÍSICA APLICADA A LAS CIENCIAS Y LAS TECNOLOGÍAS </t>
  </si>
  <si>
    <t>DOCTORADO EN CIENCIAS Y TECNOLOGÍAS FÍSICAS </t>
  </si>
  <si>
    <t>DOCTORADO EN INGENIERÍA DE MATERIALES, ESTRUCTURAS Y TERRENO: CONSTR. SOST. </t>
  </si>
  <si>
    <t>Molina Martín, Julio César </t>
  </si>
  <si>
    <t>EVALUACIÓN ANATÓMICA, FUNCIONAL E INMUNOHISTOQUÍMICA DE PACIENTES CON MEMBRANAS EPIRRETINALES IDIOPÁTICAS </t>
  </si>
  <si>
    <t>Molina Torres, María José </t>
  </si>
  <si>
    <t>VALIDACIÓN DE LOS ANALIZADORES VISUALES Y DETERMINACIÓN DEL SÍNDROME VISUAL INFORMÁTICO EN TRABAJADORES DE LA FUNCIÓN PÚBLICA VALENCIANA </t>
  </si>
  <si>
    <t>27/07/2017 </t>
  </si>
  <si>
    <t>B178 </t>
  </si>
  <si>
    <t>ÓPTICA, FARMACOLOGÍA Y ANATOMÍA </t>
  </si>
  <si>
    <t>B178</t>
  </si>
  <si>
    <t>25416455Y </t>
  </si>
  <si>
    <t>DOCTORADO EN TECNOLOGÍAS PARA LA SALUD Y EL BIENESTAR (VISIÓN Y OPTOMETRÍA) </t>
  </si>
  <si>
    <t>29168744Y </t>
  </si>
  <si>
    <t>21516909H </t>
  </si>
  <si>
    <t>21472440P </t>
  </si>
  <si>
    <t>Caravaca Arens, Esteban </t>
  </si>
  <si>
    <t>OPTIMIZACIÓN DEL CÁLCULO DE LA POTENCIA CORNEAL Y DE LENTES INTRAOCULARES EN CASOS DE PATOLOGÍA CORNEAL ECTÁSICA. </t>
  </si>
  <si>
    <t>Fernández Pérez, Joaquín Francisco </t>
  </si>
  <si>
    <t>CIRUGÍA REFRACTIVA LÁSER CORNEAL SMILE: RESULTADOS VISUALES Y BIOMECÁNICA EN MIOPÍAS BAJAS, MEDIAS Y ALTAS </t>
  </si>
  <si>
    <t>Gómez Lozano, Omar </t>
  </si>
  <si>
    <t>VALIDACIÓN Y DETECCIÓN DEL EFECTO DE TEXTURA SPARKLE MEDIANTE EVALUACIONES VISUALES </t>
  </si>
  <si>
    <t>73996071B </t>
  </si>
  <si>
    <t>22135613E </t>
  </si>
  <si>
    <t>Molina Martin, Ainhoa </t>
  </si>
  <si>
    <t>CARACTERIZACIÓN DEL PATRÓN DE FIJACIÓN Y SU RELACIÓN CON LA SENSIBILIDAD RETINIANA EN DISTINTOS GRUPOS POBLACIONALES MEDIANTE MICROPERIMETRÍA DE NUEVA GENERACIÓN </t>
  </si>
  <si>
    <t>21/06/2017 </t>
  </si>
  <si>
    <t>Pérez Prados, Roque </t>
  </si>
  <si>
    <t>CARACTERIZACIÓN DE LOS FACTORES CLAVE PARA LA ADAPTACIÓN DE LENTES DE CONTACTO HIDROFÍLICAS MULTIFOCALES </t>
  </si>
  <si>
    <t>21676502Z </t>
  </si>
  <si>
    <t>COVES CAMPOS, ANDRES </t>
  </si>
  <si>
    <t>ANÁLISIS DE LA DURABILIDAD DE LA SEÑALIZACIÓN VIAL HORIZONTAL ATENDIENDO A SU COMPOSICIÓN Y POSICIONAMIENTO EN LA CALZADA DE CARRETERAS SECUNDARIAS EN CLIMAS SEMIÁRIDOS CÁLIDOS </t>
  </si>
  <si>
    <t>Jiménez Padilla, Juan Luis </t>
  </si>
  <si>
    <t>ESTUDIO COLORIMÉTRICO DE LAS TINCIONES OCASIONADAS POR LAS TÉCNICAS DE REVASCULARIZACIÓN PULPAR Y SU TRATAMIENTO </t>
  </si>
  <si>
    <t>15/02/2019 </t>
  </si>
  <si>
    <t>21443507D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</si>
  <si>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</si>
  <si>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</si>
  <si>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</si>
  <si>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</si>
  <si>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</si>
  <si>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</si>
  <si>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</si>
  <si>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</si>
  <si>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</si>
  <si>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</si>
  <si>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</si>
  <si>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</si>
  <si>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</si>
  <si>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NO FUNCIONARIO</t>
  </si>
  <si>
    <t>52771150L</t>
  </si>
  <si>
    <t>AUSO MONREAL, EVA</t>
  </si>
  <si>
    <t>21396421G</t>
  </si>
  <si>
    <t>BOJ GIMENEZ, PEDRO JOSE</t>
  </si>
  <si>
    <t>77562996G</t>
  </si>
  <si>
    <t>CABALLERO CABALLERO, MARIA TERESA</t>
  </si>
  <si>
    <t>29168744Y</t>
  </si>
  <si>
    <t>CAMPS SANCHIS, VICENTE JESUS</t>
  </si>
  <si>
    <t>52723265C</t>
  </si>
  <si>
    <t>DE FEZ SAIZ, MARIA DOLORES</t>
  </si>
  <si>
    <t>73995818B</t>
  </si>
  <si>
    <t>ESPINOSA TOMAS, JULIAN</t>
  </si>
  <si>
    <t>48536273V</t>
  </si>
  <si>
    <t>ESQUIVA SOBRINO, GEMA</t>
  </si>
  <si>
    <t>21676502Z</t>
  </si>
  <si>
    <t>FERNANDEZ SANCHEZ, LAURA</t>
  </si>
  <si>
    <t>48325137K</t>
  </si>
  <si>
    <t>FERNANDEZ VARO, MARIA HELENA</t>
  </si>
  <si>
    <t>74626785L</t>
  </si>
  <si>
    <t>FUENTES ROSILLO, ROSA MARIA</t>
  </si>
  <si>
    <t>21508379K</t>
  </si>
  <si>
    <t>GARCIA LLOPIS, CELIA</t>
  </si>
  <si>
    <t>25416455Y</t>
  </si>
  <si>
    <t>MANEU FLORES, VICTORIA EUGENIA</t>
  </si>
  <si>
    <t>33491671Z</t>
  </si>
  <si>
    <t>MAS CANDELA, DAVID SALVADOR</t>
  </si>
  <si>
    <t>20015950Q</t>
  </si>
  <si>
    <t>MIRET MARI, JUAN JOSE</t>
  </si>
  <si>
    <t>21983769R</t>
  </si>
  <si>
    <t>21456187Q</t>
  </si>
  <si>
    <t>PEREZ RODRIGUEZ, JORGE</t>
  </si>
  <si>
    <t>21456823P</t>
  </si>
  <si>
    <t>VAZQUEZ FERRI, CARMEN</t>
  </si>
  <si>
    <t xml:space="preserve">MEASUREMENT AND INTERPRETATION OF IMAGE BASED GONIOMETRIC TEXTURE DATA </t>
  </si>
  <si>
    <t>HITO 2. PAGO FINAL.  DESARROLLO Y VALIDACIÓN DE UN PROTOTIPO DE SOFTWARE Y HARDWARE QUE PERMITA EL ENTRENAMIENTO VISUAL TRAS LA CIRUGÍA DE CATARATA CON IMPLANTE DE LENTE MULTIFOCAL.  PROCONSI1-18Y</t>
  </si>
  <si>
    <t>HITO 2. PAGO INICIAL. DESARROLLO Y VALIDACIÓN DE UN PROTOTIPO DE SOFTWARE Y HARDWARE QUE PERMITA EL ENTRENAMIENTO VISUAL TRAS LA CIRUGÍA DE CATARATA CON IMPLANTE DE LENTE MULTIFOCAL</t>
  </si>
  <si>
    <t xml:space="preserve">HITO 2. PAGO INTERMEDIO.  DESARROLLO Y VALIDACIÓN DE UN PROTOTIPO DE SOFTWARE Y HARDWARE QUE PERMITA EL ENTRENAMIENTO VISUAL TRAS LA CIRUGÍA DE  </t>
  </si>
  <si>
    <t xml:space="preserve">CLINICAL INVESTIGATION "ASSESSMENT OF A NEW GENERATION OF LENSES WITH ACCOMMODATIVE SUPPORT:SYNC III"  FINAL PAYMENT HOYA1-18I </t>
  </si>
  <si>
    <t>33.30.6C.00.19</t>
  </si>
  <si>
    <t>Consultoría y asesoría científica y regulatoria</t>
  </si>
  <si>
    <t>Consultoría y asesoría científica y regulatoria. AJLOPHTHALMIC1-18A</t>
  </si>
  <si>
    <t>33.30.6C.00.22</t>
  </si>
  <si>
    <t>CARACTERIZACIÓN DE LOS PATRONES DE DISTANCIA VISUAL DE TRABAJO EN DIFERENTE TIPO DE PERFIL PROFESIONAL Y PARA EL USO DEL MÓVIL FUNDACIONSOLER1-18I</t>
  </si>
  <si>
    <t>33.30.6C.00.23</t>
  </si>
  <si>
    <t>PANOPTIX TORIC (Article impact factor 2-3)</t>
  </si>
  <si>
    <t>TK/IOLMaster (Article impact factor 2-3) y Precisight IOL (Trade article)</t>
  </si>
  <si>
    <t>ZCALC &amp; CSC PROJECTS TARGOMED1-18A</t>
  </si>
  <si>
    <t>33.30.6C.00.24</t>
  </si>
  <si>
    <t>ASESORAMIENTO CIENTÍFICO, ASISTENCIA CLÍNiCA Y ELABORACIÓN DE ARTÍCULOS CIENTÍFICOS.</t>
  </si>
  <si>
    <t xml:space="preserve">Asistencia clínica en consulta de Contactología Avanzada y Rehabilitación Visual  </t>
  </si>
  <si>
    <t>Asistencia clínica en la consulta de Contactología Avanzada y Rehabilitación visual</t>
  </si>
  <si>
    <t xml:space="preserve">Asistencia clínica en la consulta de Contactología Avanzada y Rehabilitación Visual </t>
  </si>
  <si>
    <t>Asistencia clínica en la consulta de Contactología Avanzada y Rehabilitación Visual durante mayo 2019</t>
  </si>
  <si>
    <t>Asistencia clínica en la consulta de Contactología Avanzada y Rehabilitación Visual. Mes de junio.</t>
  </si>
  <si>
    <t xml:space="preserve">ASISTENCIA CLÍNICA EN LA CONSULTA DE CONTACTOLOGÍA AVANZADA.  </t>
  </si>
  <si>
    <t>33.30.6C.00.25</t>
  </si>
  <si>
    <t xml:space="preserve">Asistencia científica para la elaboración de artículo científico peer-reviewed sobre lentes intraoculares tóricas. </t>
  </si>
  <si>
    <t>33.30.6C.00.26</t>
  </si>
  <si>
    <t>Elaboración artículo científico sobre cambios en hallazgos de OTC tras implante de lente ICL</t>
  </si>
  <si>
    <t>33.30.6C.00.27</t>
  </si>
  <si>
    <t>Ensayo de determinación de la presencia de Torio en tejido. Nº de pedido PC.19-1712</t>
  </si>
  <si>
    <t>33.30.6C.00.29</t>
  </si>
  <si>
    <t>Patrocinio de la Jornada Optoinnova 2019 organizada por la Universidad de Alicante</t>
  </si>
  <si>
    <t>33.30.6C.00.30</t>
  </si>
  <si>
    <t>Evaluación del proyecto NOVALENS14 nº expediente 0319/10 como experto técnico (número experto ACERTA 525)</t>
  </si>
  <si>
    <t>33.30.6C.00.31</t>
  </si>
  <si>
    <t>Evaluación 4D de Contenido y 1ª ejecución sin ex-ante según el Real Decreto 1432/2003, de 21 de noviembre y/o la norma UNE 166001:2006 - Expediente 2703.003.19</t>
  </si>
  <si>
    <t>33.30.6C.00.32</t>
  </si>
  <si>
    <t xml:space="preserve">Elaboración de tres artículos científicos relacionados con la tecnología CASSINI. </t>
  </si>
  <si>
    <t>33.30.6C.00.33</t>
  </si>
  <si>
    <t>PROYECTO "NEIVATECH, NEUROPLASTICITY THROUGH VIRTUAL REALITY FOR AMBLYOPIA" HITO 1. SEGUNDO PAGO</t>
  </si>
  <si>
    <t>PROYECTO "NEIVATECH, NEUROPLASTICITY THROUGH VIRTUAL REALITY FOR AMBLYOPIA"  HITO 1. PRIMER PAGO</t>
  </si>
  <si>
    <t>33.30.6C.00.35</t>
  </si>
  <si>
    <t>Wavefront measurement of a monofocal IOL. Purchase order Nr. 4500014672</t>
  </si>
  <si>
    <t>33.30.6C.00.36</t>
  </si>
  <si>
    <t xml:space="preserve">Evaluación de la visión del color mediante test psicofísico de diagnóstico. </t>
  </si>
  <si>
    <t>33.30.6F.00.04</t>
  </si>
  <si>
    <t>REINTEGRO CUOTA PATRONAL CORRESPONDIENTE AL MES DE OCTUBRE DE 2019.</t>
  </si>
  <si>
    <t>33.30.6M.00.13</t>
  </si>
  <si>
    <t>CURSO DE PROTOCOLOS CLÍNICOS EN TERAPIA VISUAL. LUGAR DE CELEBRACIÓN: MADRID.</t>
  </si>
  <si>
    <t>33.30.6M.00.14</t>
  </si>
  <si>
    <t>Mecenazgo de las actividades de organización y realización de la jornada OPTOINNOVA2019 organizada por la Universidad de Alicante</t>
  </si>
  <si>
    <t>33.30.6M.00.15</t>
  </si>
  <si>
    <t>33.30.6M.00.16</t>
  </si>
  <si>
    <t>Mecenazgo de las actividades de organización y realización de la jonada OPTOINNOVA 2019 organizada por la Universidad de Alicante</t>
  </si>
  <si>
    <t>33.30.6M.00.17</t>
  </si>
  <si>
    <t>Curso de Contactología Infantil Basada en la Evidencia Científica. Lugar: Málaga</t>
  </si>
  <si>
    <t>33.30.6M.00.18</t>
  </si>
  <si>
    <t>FORMACIÓN EN LÁMPARA HENDIDURA PARA EL GRUPO ALAIN AFFLELOU EN ALICANTE Y VALENCIA</t>
  </si>
  <si>
    <t>33.30.6M.00.19</t>
  </si>
  <si>
    <t>Mecenazgo de las actividades de organización y realización de la jornada OPTOINNOVA 2019.</t>
  </si>
  <si>
    <t>33.30.6M.00.20</t>
  </si>
  <si>
    <t>Mecenazgo de las actividades de organización y realización de la jornada OPTOINNOVA 2019</t>
  </si>
  <si>
    <t>33.30.6M.00.21</t>
  </si>
  <si>
    <t>33.30.6M.00.22</t>
  </si>
  <si>
    <t>33.30.6M.00.23</t>
  </si>
  <si>
    <t>33.30.6M.00.24</t>
  </si>
  <si>
    <t>Mecenazgo de las actividades de organización  y realización de la jornada OPTOINNOVA 2019</t>
  </si>
  <si>
    <t>33.30.6M.00.25</t>
  </si>
  <si>
    <t>Mecenazgo de las actividades de organización y realización de la jornada Optoinnova 2019 organizada por la Universidad de Alicante</t>
  </si>
  <si>
    <t>33.30.6M.00.26</t>
  </si>
  <si>
    <t xml:space="preserve">Formación en Lentes de Contacto Personalizadas en el Primer Encuentro de las Américas celebrado en Medellín (Colombia). </t>
  </si>
  <si>
    <t>33.30.6M.00.27</t>
  </si>
  <si>
    <t xml:space="preserve">Mecenazgo de las actividades de organización y realización de la jornada OPTOINNOVA 2019. Nº solicitud de compra BPMVME02790 </t>
  </si>
  <si>
    <t>33.30.6M.00.28</t>
  </si>
  <si>
    <t>Curso contactología infantil basada en evidencia científica realizado en Valencia</t>
  </si>
  <si>
    <t>33.30.6M.00.29</t>
  </si>
  <si>
    <t>Mecenazgo de las actividades de organización y realización de la jornada OPTOINNOVA 2019 33.30.6M.00.29</t>
  </si>
  <si>
    <t>33.30.6M.00.30</t>
  </si>
  <si>
    <t>33.30.6M.00.31</t>
  </si>
  <si>
    <t xml:space="preserve">Curso de contactología infantil basada en evidencia científica 2ª edición.  </t>
  </si>
  <si>
    <t>33.30.6M.00.32</t>
  </si>
  <si>
    <t>Participación en las XXI Jornadas Científicas sobre la Visión celebradas en Almería</t>
  </si>
  <si>
    <t>LIBERADOS EL 23/04/2019, ANUALIDAD 2019 PROYECTOS I+D (PIA1) N EXPEDIENTE: PIA12015-1 -4 ANUALIDAD REFERENCIA: FIS2015-66570-P. REF. DEL ORDENANTE PARA EL BENEFICIARIO: 27402219310017411.</t>
  </si>
  <si>
    <t>REINTEGRO CUOTA PATRONAL CORRESPONDIENTE AL MES DE DICIEMBRE DE 2019</t>
  </si>
  <si>
    <t xml:space="preserve">SUBVENCIONES PARA LA REALIZACIÓN DE PROYECTOS DE I+D+I DESARROLLADOS POR GRUPOS DE INVESTIGACIÓN EMERGENTES GV/2017-3ªA. </t>
  </si>
  <si>
    <t>RAMÓN Y CAJAL EXPEDIENTE: RYC-2016-1 SOLICITUDES: RYC-2016-20604, RYC-2016-20471 -2 ANUALIDAD. REF. DEL ORDENANTE PARA EL BENEFICIARIO: 27402219310013490.</t>
  </si>
  <si>
    <t>33.30.6P.00.14</t>
  </si>
  <si>
    <t>PAGO 1 ANUALIDAD PROYECTOS RETOS I+D+I 2018. ANUAL 2019 PROYECTOS I+D RETOS (PIA 13) N EXPEDIENTE: PIA 132018 - 1- 1 ANUALIDAD REFERENCIA: R. REFERENCIA DEL ORDENANTE PARA EL BENEFICIARIO: 00173219310010851 - 2019/009671</t>
  </si>
  <si>
    <t>PARA EL PAGO DE LA ANUALIDAD 2019 DE LA CONVOCATORIA RTI 2018 PROYECTOS I+D RETOS (PIA 13) N EXPEDIENTE: PIA 132018-1 - 1 ANUALIDAD REFERENC REFERENCIA DEL ORDENANTE PARA EL BENEFICIARIO: 27402219310026144</t>
  </si>
  <si>
    <t>33.30.6X.00.01</t>
  </si>
  <si>
    <t>16NRM08.2 UA, PROJECT BIRD. LA OFICINA DE GESTIÓN DE PROYECTOS INTERNACIONALES INFORMA QUE SE TRATA DEL SEGUNDO PAGO DEL PROYECTO BIRD. DEPARTAMENTO DE ÓPTICA.</t>
  </si>
  <si>
    <t>Inscripción Jornada Optoinnova 2019. Patricia Pérez Martínez</t>
  </si>
  <si>
    <t>Liquidación  PLAN GD57 curso ''JORNADA OPTOINNOVA 2019-- PLAN GD57'' ORDEN 5542</t>
  </si>
  <si>
    <t>Liquidación  PLAN 9164 curso ''MÁSTER EN TECNOLOGÍA DEL COLOR PARA EL SECTOR AUTOMOCIÓN'' ORDEN 5381</t>
  </si>
  <si>
    <t xml:space="preserve">RAMOS GUTIÉRREZ DE GANDA, PATRICO 31671445. Master en Teconología del color en sector automoción </t>
  </si>
  <si>
    <t>Kutsyr , Oksana </t>
  </si>
  <si>
    <t>EFFECTS OF ENVIRONMENTAL FACTORS AND NEUROPROTECTIVE COMPOUNDS ON OXIDATIVE STRESS AND INFLAMMATION IN RETINAL NEURODEGENERATIVE DISEASES </t>
  </si>
  <si>
    <t>11/09/2020 </t>
  </si>
  <si>
    <t>Martínez Abad, Antonio </t>
  </si>
  <si>
    <t>DESARROLLO Y VALIDACIÓN DE NUEVOS ALGORITMOS DE DETECCIÓN Y PREDICCIÓN DE LA PROGESIÓN DE LA PATOLOGÍA ECTÁSICA DE LA CÓRNEA </t>
  </si>
  <si>
    <t>22/11/2019 </t>
  </si>
  <si>
    <t>48344600A</t>
  </si>
  <si>
    <t>GOMEZ VICENTE, MARIA VIOLETA</t>
  </si>
  <si>
    <t>73996071B</t>
  </si>
  <si>
    <t>PERALES ROMERO, ESTHER</t>
  </si>
  <si>
    <t>21472440P</t>
  </si>
  <si>
    <t>SEGUI CRESPO, MARIA DEL MAR</t>
  </si>
  <si>
    <t>Bataille , Laurent Guy François </t>
  </si>
  <si>
    <t>21/06/2021 </t>
  </si>
  <si>
    <t>Bilbao Porta, Carmen </t>
  </si>
  <si>
    <t>EVALUACIÓN Y CARACTERIZACIÓN DE DISFUNCIONES OCULOMOTORAS Y ANOMALÍAS BINOCULARES EN DIFERENTES GRUPOS DE POBLACIÓN INFANTIL. </t>
  </si>
  <si>
    <t>12/07/2021 </t>
  </si>
  <si>
    <t xml:space="preserve">Consultoría y asesoría científica y regulatoria </t>
  </si>
  <si>
    <t>CARACTERIZACIÓN DE LOS PATRONES DE DISTANCIA VISUAL DE TRABAJO EN DIFERENTE TIPO DE PERFIL PROFESIONAL Y PARA EL USO DEL MÓVIL PLAZO Nº2</t>
  </si>
  <si>
    <t>Second Ferreira IOL project &amp; Red Evo Tears project</t>
  </si>
  <si>
    <t>Statisctics report update (statistical analysis level 2) First Ferreira IOL project (Article impact factor 2-3) Symfony mix-and-match (Article impact factor 2-3)</t>
  </si>
  <si>
    <t xml:space="preserve">Asesoramiento científico, asistencia clínica y elaboración de artículos científicos . </t>
  </si>
  <si>
    <t>Asesoramiento científico, asistencia clínica y elaboración de artículos científicos. Abril 2020</t>
  </si>
  <si>
    <t>Asesoramiento científico, asistencia clínica y elaboración de artículos científicos. Enero 2020.</t>
  </si>
  <si>
    <t xml:space="preserve">Asesoramiento científico, asistencia clínica y elaboración de artículos científicos. Marzo 2020 </t>
  </si>
  <si>
    <t>Asesoramiento científico, asistencia clínica y elaboración de artículos científicos. Mayo 2020.</t>
  </si>
  <si>
    <t>Asesoramiento científico, asistencia clínica y elaboración de artículos. Agosto 2020.</t>
  </si>
  <si>
    <t>Asesoramiento científico, asistencia clínica y elaboración de artículos. Julio 2020</t>
  </si>
  <si>
    <t xml:space="preserve">Asesoramiento científico, asistencia clínica y elaboración de artículos. Junio 2020 </t>
  </si>
  <si>
    <t>Asesoramiento científico, asistencia clínica y elaboración de artículos. Octubre 2020.</t>
  </si>
  <si>
    <t>Asesoramiento científico, asistencia clínica y elaboración de artículos. Septiembre 2020</t>
  </si>
  <si>
    <t>Asesoramiento científico, asistencia clínica  y elaboración de artículos. Noviembre 2020</t>
  </si>
  <si>
    <t>Asistencia clínica en la consulta de Contactología Avanzada y Rehabilitación Visual. Mes Dicembre 2019.</t>
  </si>
  <si>
    <t>PROYECTO "NEIVATECH, NEUROPLASTICITY THROUGH VIRTUAL REALITY FOR AMBLYOPIA" HITO 2. PRIMER PAGO</t>
  </si>
  <si>
    <t>33.30.6C.00.34</t>
  </si>
  <si>
    <t>"Medición del frente de ondas de la lente intraocular ICL y simulación de tres pacientes operados de LASIK miópico".</t>
  </si>
  <si>
    <t>INFORME DE RESULTADOS OBTENIDOS EN LA EVALUACIÓN DE LA VISIÓN DEL COLOR MEDIANTE TESTS PSICOFÍSICOS DE DIAGNÓSTICO</t>
  </si>
  <si>
    <t>33.30.6C.00.37</t>
  </si>
  <si>
    <t xml:space="preserve">Dr. David Piñero LLorens consultancy services. Initial payment.  </t>
  </si>
  <si>
    <t>33.30.6C.00.39</t>
  </si>
  <si>
    <t>Síntesis de 20g. de nanopigmento compuesto por Hidrotalcita (HT) y un colorante natural (Clrorofila) y otros 20 g. de nanopigmentos compuesto por Laponita (XLG)  y el mismo colorante natural. Nº pedido 4510506715</t>
  </si>
  <si>
    <t>33.30.6C.00.41</t>
  </si>
  <si>
    <t>Protocolo de validación del proceso de fabricación del STÓNIKA®</t>
  </si>
  <si>
    <t>33.30.6C.00.42</t>
  </si>
  <si>
    <t>Other goods and services item WP2 Software optimisation consultancy Acuerdo de consultoría (referencia nº VALCASADO1-20I) Firmado en el ámbito del proyecto titulado "Virtual eye model system for personalised refractive surgery treatment" - 'VEMoS' ('action') Grant Agreement number: 878748 - VEMoS-h2020-EIC-FTI-2018-2020 Inicio de la consultoría en las siguientes tareas: Tarea 2.3. Actualización e integración del programa VEMOS Tarea 2.4. Optimización de la simulación de ojos no tratados</t>
  </si>
  <si>
    <t>33.30.6C.00.43</t>
  </si>
  <si>
    <t>Evaluación Comité de Certificación Expediente nº 2703.002.20</t>
  </si>
  <si>
    <t>33.30.6C.00.45</t>
  </si>
  <si>
    <t>REPORT ABOUT THE CHARACTERISTICS OF THE TECNIS EYELANCE IOL PURCHASE ORDER  4500018761</t>
  </si>
  <si>
    <t>33.30.6M.00.33</t>
  </si>
  <si>
    <t>Formación en Lentes de Contacto Personalizadas en Uruguay  el día 13/11/2019 y Buenos Aires en el congreso CLASS el día 16/11/2019</t>
  </si>
  <si>
    <t>33.30.6M.00.34</t>
  </si>
  <si>
    <t xml:space="preserve">Curso "Terapia visual basada en la evidencia científica" en Lleida.  </t>
  </si>
  <si>
    <t>33.30.6M.00.35</t>
  </si>
  <si>
    <t>Mecenazgo de las actividades de organización y realización de la jornada OPTOINNOVA 2019 organizada por la Universidad de Alicante.</t>
  </si>
  <si>
    <t>33.30.6M.00.36</t>
  </si>
  <si>
    <t>Mecenazgo de las actividades de organización y realización de la jornada OPTOINNOVA 2020</t>
  </si>
  <si>
    <t>Reintegro cuota patronal duplicada octubre 2019</t>
  </si>
  <si>
    <t>FLIB 30/06/2020. PROYECTOS RETOS INVESTIGACION 201 / 8. ANUAL 2020 PROYECTOS I+D RETOS (PIA13) N E / XPEDIENTE: PIA132018-1 - 2 ANUALIDAD REFERE / GOVT / 27402220310030584</t>
  </si>
  <si>
    <t>33.30.6P.00.16</t>
  </si>
  <si>
    <t xml:space="preserve">PAGO CONVOCATORIA PROYECTOS 2019 1ANUALIDAD 2020 PROYECTOS I+D (PIA 1)N EXPEDIENTE: PIA 1 2019-1-1. ANUALIDAD REFERENCIA: PID2019-106601RB-I00 </t>
  </si>
  <si>
    <t>33.30.6P.00.18</t>
  </si>
  <si>
    <t>SUBVENCIONES PARA LA REALIZACIÓN DE PROYECTOS DE I+D+I DESARROLLADOS POR GRUPOS DE INVESTIGACIÓN EMERGENTES GV/2020 (NNOVACIÓN,UNIVERSIDADES,CIENCIA SOC.DIG)</t>
  </si>
  <si>
    <t>33.30.6P.00.19</t>
  </si>
  <si>
    <t>Plan 9163 Curso 2020-21 EXPERTO/A EN CIENCIA DEL COLOR</t>
  </si>
  <si>
    <t>Plan 9164 Curso 2020-21 MÁSTER EN TECNOLOGÍA DEL COLOR PARA EL SECTOR AUTOMOCIÓN</t>
  </si>
  <si>
    <t>Unidad</t>
  </si>
  <si>
    <t>Cód. org. aplic.</t>
  </si>
  <si>
    <t>Descripción justificante</t>
  </si>
  <si>
    <t>RESOLUCIÓN CONCESIÓN SUBVENCIONESEMERGENTES GV 2020 EN 2021</t>
  </si>
  <si>
    <t>33.30</t>
  </si>
  <si>
    <t xml:space="preserve">Plan 9162 Curso 2020-21 Especialista en Ingeniería del Color para el Sector Automoción </t>
  </si>
  <si>
    <t>33.30.6C.00.14</t>
  </si>
  <si>
    <t>Regalías por transferencia de tecnología segunda anualidad. Contrato de licencia de explotación de la patente P201631236 Lente de contacto multifocal escleral. (LABLENTICON1-18O)</t>
  </si>
  <si>
    <t>Regalías por transferencia de tecnología tercera anualidad. Contrato de licencia de explotación de la patente P201631236 Lente de contacto multifocal escleral</t>
  </si>
  <si>
    <t>33.30.6C.00.15</t>
  </si>
  <si>
    <t xml:space="preserve">RESEARCH AND DEVELOPMENT CONTRACT "OPTIC QUALITY OF TORIC AND MULTIFOCAL INTRAOCULAR LENSES" SIMULATIONS IN REAL PATIENTS.  ISSUANCE OF REPORT 1, CORRESPONDING TO ANALYSIS 1. </t>
  </si>
  <si>
    <t>HITO 3. PAGO INTERMEDIO. DESARROLLO Y VALIDACIÓN DE UN PROTOTIPO DE SOFTWARE Y HARDWARE QUE PERMITA EL ENTRENAMIENTO VISUAL TRAS LA CIRUGÍA DE CATARATA CON IMPLANTE DE LENTE MULTIFOCAL</t>
  </si>
  <si>
    <t>HITO 3. PAGO INICIAL. DESARROLLO Y VALIDACIÓN DE UN PROTOTIPO DE SOFTWARE Y HARDWARE QUE PERMITA EL ENTRENAMIENTO VISUAL TRAS LA CIRUGÍA DE CATARATA CON IMPLANTE DE LENTE MULTIFOCAL</t>
  </si>
  <si>
    <t>HITO 3. PAGO FINAL Desarrollo y validación de un prototipo de software y hardware que permita el entrenamiento visual tras la cirugía de catarata con implante de lente multifocal.</t>
  </si>
  <si>
    <t xml:space="preserve">Comparison of anatomical measurements provided by two different optical biometers.  Impact factor 2-3 </t>
  </si>
  <si>
    <t>OVD Review (impact factor 2-3) Zeiss translation projects (4 translations)</t>
  </si>
  <si>
    <t>ASESORAMIENTO CIENTÍFICO, ASISTENCIA CLÍNICA Y ELABORACIÓN DE ARTÍCULOS, MAYO 2021</t>
  </si>
  <si>
    <t>ASESORAMIENTO CIENTÍFICO, ASISTENCIA CLÍNICA Y ELABORACIÓN DE ARTÍCULOS. SEPTIEMBRE 2021</t>
  </si>
  <si>
    <t>ASESORAMIENTO CIENTÍFICO, ASISTENCIA CLÍNICA Y ELABORACIÓN DE ARTÍCULOS, JUNIO 2021</t>
  </si>
  <si>
    <t>AAsesoramiento científico, asistencia clínica y elaboración de artículos. Febrero 2021</t>
  </si>
  <si>
    <t>ASESORAMIENTO CIENTÍFICO, ASISTENCIA CLÍNICA Y ELABORACIÓN DE ARTÍCULOS.  AGOSTO 2021.</t>
  </si>
  <si>
    <t>ASESORAMIENTO CIENTÍFICIO, ASITENCIA CLÍNICA Y ELABORACIÓN DE ARTÍCULOS.  JULIO 2021</t>
  </si>
  <si>
    <t>Asesoramiento científico, asistencia clínica y elaboración de artículos. Enero 2021</t>
  </si>
  <si>
    <t>Asesoramiento científico, asistencia clínica y elaboración de artículos. Diciembre 2020</t>
  </si>
  <si>
    <t>ASESORAMIENTO CIENTÍFICO, ASISTENCIA CLÍNICA Y ELABORACIÓN DE ARTÍCULOS. NOVIEMBRE 2021</t>
  </si>
  <si>
    <t>Asesoramiento científico, asistencia clínica y elaboración de artículos. Abril 2021</t>
  </si>
  <si>
    <t>ASESORAMIENTO CIENTÍFICO, ASISTENCIA CLÍNICA Y ELABORACIÓN DE ARTÍCULOS. OCTUBRE 2021</t>
  </si>
  <si>
    <t>Asesoramiento científico, asistencia clínica y elaboración de artículos. Marzo 2021</t>
  </si>
  <si>
    <t>PROYECTO "NEIVATECH, NEUROPLASTICITY THROUGH VIRTUAL REALITY FOR AMBLYOPIA" HITO 2. SEGUNDO PAGO</t>
  </si>
  <si>
    <t>PROYECTO "NEIVATECH, NEUROPLASTICITY THROUGH VIRTUAL REALITY FOR AMBLYOPIA"  HITO 3. PRIMER PAGO</t>
  </si>
  <si>
    <t xml:space="preserve">Dr. David Piñero Llorens consultancy services. Final payment. </t>
  </si>
  <si>
    <t>33.30.6C.00.40</t>
  </si>
  <si>
    <t>Protocolo de control de calidad para SILESTONE® Núm. pedido: 2159287</t>
  </si>
  <si>
    <t>33.30.6C.00.46</t>
  </si>
  <si>
    <t>ESTUDIO MEDIANTE MATLAB DE CLASIFICACIÓN Y ASIGNACIÓN DE TONOS A LOS COLORES DEKTON Nº pedido:2555373 Pago inicial 50%</t>
  </si>
  <si>
    <t>33.30.6C.00.47</t>
  </si>
  <si>
    <t>Colaboración y desarrollo de las publicaciones científicias en tres trabajos de investigación.</t>
  </si>
  <si>
    <t>33.30.6C.00.48</t>
  </si>
  <si>
    <t>Colaboración y desarrollo de la publicacion del trabajo de investigación: "Succesful visual rehabilitation after unilateral vivity intraocular lens implantation in a patient with previous LASIK"</t>
  </si>
  <si>
    <t>33.30.6C.00.49</t>
  </si>
  <si>
    <t>EVALUACIÓN DE LA VISIÓN DEL COLOR MEDIANTE TESTS PSICOFÍSICOS DE DIAGNÓSTICO</t>
  </si>
  <si>
    <t>33.30.6C.00.50</t>
  </si>
  <si>
    <t>Asesoramiento científico y preparación de envío del protocolo de ensayo clínico DAM al Comité ético ISABIAL</t>
  </si>
  <si>
    <t>ASESORAMIENTO CIENTÍFICO Y GESTIÓN DEL ENSAYO CLÍNICO DAM DURANTE LOS MESES DE JULIO, SEPTIEMBRE Y OCTUBRE DE 2021</t>
  </si>
  <si>
    <t>33.30.6C.00.52</t>
  </si>
  <si>
    <t xml:space="preserve">Análisis de la base de datos de ojos implantados con la lentre intraocular Bi-Flex en los Hospitales de Torrevieja y Vinalopó  y elaboración de artículo científico.  </t>
  </si>
  <si>
    <t>33.30.6C.00.54</t>
  </si>
  <si>
    <t>CONTRATO DE INVESTIGACIÓN Y ASESORAMIENTO CIENTÍFICO-TÉCNICO ESPECIALIZADO Gestión competititva y adaptativa de pinturas industriales y repintado de vehículos.  Primer pago a la firma del acuerdo.</t>
  </si>
  <si>
    <t>33.30.6C.00.55</t>
  </si>
  <si>
    <t>SIMULATION OF LIGHT-PATHWAYS VISUALIZATION_MINI WELL PROXA AND EVOLUX PURCHASE ORDER: 4500022233</t>
  </si>
  <si>
    <t>33.30.6C.00.56</t>
  </si>
  <si>
    <t xml:space="preserve">Asesoría científica en recogida de datos de registro de cirugía de cataratas y de calidad visual y valor en salud en pacientes operados de catarata con distinta tipología de lente intraocular para la elaboración de 3 artículos científicos. </t>
  </si>
  <si>
    <t>33.30.6C.00.57</t>
  </si>
  <si>
    <t>LABORES DE MEDICAL WRITING. DAVID PIÑERO</t>
  </si>
  <si>
    <t>33.30.6C.00.60</t>
  </si>
  <si>
    <t>INCIACIÓN ENSAYO CLÍNICO PARA EVALUAR LA SEGURIDAD Y EFICACIA DE LAS LENTES DE CONTACTO DE ORTOQUERATOLOGÍA KATT</t>
  </si>
  <si>
    <t xml:space="preserve">RTI2018-096000-B-I00 </t>
  </si>
  <si>
    <t>PID2019-106601RB-I00</t>
  </si>
  <si>
    <t>33.30.6P.00.20</t>
  </si>
  <si>
    <t>INGRESO FUNDACIÓN PRIVADA PREVENT RECIBIDO EN 2020 Y APLICADO EN 2021 POR DESCONOCIMIENTO DE DESTINO. INGRESO PARA PAGO BECAS FP 2020.</t>
  </si>
  <si>
    <t>PGO. BECA I D FP 2021</t>
  </si>
  <si>
    <t>16NRM08.3 BiRD, UA, DEPARTAMENTO DE OPTICA, SEGUN INFORMA LA OGPI</t>
  </si>
  <si>
    <t>Caracterización geométrica del tejido conjuntivo escleral y su relación con el estudio de miopía </t>
  </si>
  <si>
    <t>U022 </t>
  </si>
  <si>
    <t>ADM. FACULTAD DE CIENCIAS </t>
  </si>
  <si>
    <t>DOCTORADO EN CIENCIAS EXPERIMENTALES Y BIOSANITARIAS </t>
  </si>
  <si>
    <t>Comíns Palacios, Patricia María </t>
  </si>
  <si>
    <t>Influencia de la percepción visual en las habilidades motrices, lectoras y el rendimiento matemático de los niños de educación Infantil, Primaria y ESO </t>
  </si>
  <si>
    <t>01/07/2022 </t>
  </si>
  <si>
    <t>Canto Cerdan, Mario </t>
  </si>
  <si>
    <t>Elaboración y validación de un cuestionario sobre sintomatología asociada a las disfunciones visuales. </t>
  </si>
  <si>
    <t>11/03/2022 </t>
  </si>
  <si>
    <t>22003995X </t>
  </si>
  <si>
    <t>52754474H </t>
  </si>
  <si>
    <t>Tomás López, María Baralida </t>
  </si>
  <si>
    <t>Estudio e implementación de técnicas subpíxel para medidas no invasivas </t>
  </si>
  <si>
    <t>10/06/2022 </t>
  </si>
  <si>
    <t>33491671Z </t>
  </si>
  <si>
    <t>Hamida Abdelkader, Sidi Mohamed </t>
  </si>
  <si>
    <t>OPTIMIZACIÓN Y PREDICCIÓN DEL RESULTADO DE DISTINTAS OPCIONES DETRATAMIENTO EN QUERATOCONO </t>
  </si>
  <si>
    <t>27/06/2022 </t>
  </si>
  <si>
    <t>I Y Huraibat , Khalil </t>
  </si>
  <si>
    <t>Advanced digital reproduction of goniochromatic objects </t>
  </si>
  <si>
    <t>16/05/2022 </t>
  </si>
  <si>
    <t>Gil Casas, Maria Amparo </t>
  </si>
  <si>
    <t>CARACTERIZACIÓN DE LA FUNCIÓN BINOCULAR Y OCULOMOTORA EN SUJETOS CON ESCLEROSIS MÚLTIPLE </t>
  </si>
  <si>
    <t>21/12/2021 </t>
  </si>
  <si>
    <t>20047589F </t>
  </si>
  <si>
    <t>COD DEP</t>
  </si>
  <si>
    <t>21516909H</t>
  </si>
  <si>
    <t>PIÑERO LLORENS, DAVID PABLO</t>
  </si>
  <si>
    <t>PASCUAL VILLALOBOS, MARIA INMACULADA</t>
  </si>
  <si>
    <t>vivos</t>
  </si>
  <si>
    <t>Total ingresos investigación 2019-2020-2021</t>
  </si>
  <si>
    <t>Total ingresos formación 2019-2020-2021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</si>
</sst>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6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ck">
        <color theme="0"/>
      </top>
      <bottom/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double">
        <color theme="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rgb="FF878787"/>
      </right>
      <top style="medium">
        <color rgb="FF878787"/>
      </top>
      <bottom/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/>
      <diagonal/>
    </border>
    <border>
      <left style="medium">
        <color rgb="FF878787"/>
      </left>
      <right/>
      <top style="medium">
        <color rgb="FF878787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6" fillId="0" borderId="0"/>
    <xf numFmtId="0" fontId="6" fillId="0" borderId="0"/>
    <xf numFmtId="0" fontId="7" fillId="0" borderId="0"/>
    <xf numFmtId="0" fontId="1" fillId="0" borderId="0"/>
  </cellStyleXfs>
  <cellXfs count="7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4" fontId="1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0" fontId="4" fillId="3" borderId="1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0" fontId="5" fillId="3" borderId="1" xfId="2" applyFont="1" applyFill="1" applyBorder="1" applyAlignment="1">
      <alignment horizontal="center"/>
    </xf>
    <xf numFmtId="0" fontId="5" fillId="3" borderId="1" xfId="3" applyFont="1" applyFill="1" applyBorder="1" applyAlignment="1">
      <alignment horizontal="center" wrapText="1"/>
    </xf>
    <xf numFmtId="0" fontId="5" fillId="3" borderId="1" xfId="3" applyFont="1" applyFill="1" applyBorder="1" applyAlignment="1">
      <alignment horizontal="right" wrapText="1"/>
    </xf>
    <xf numFmtId="0" fontId="3" fillId="4" borderId="0" xfId="1" applyFont="1" applyFill="1" applyAlignment="1"/>
    <xf numFmtId="0" fontId="3" fillId="4" borderId="0" xfId="1" applyFont="1" applyFill="1" applyAlignment="1">
      <alignment horizontal="right"/>
    </xf>
    <xf numFmtId="0" fontId="9" fillId="5" borderId="1" xfId="3" applyFont="1" applyFill="1" applyBorder="1" applyAlignment="1">
      <alignment horizontal="center" textRotation="90" wrapText="1"/>
    </xf>
    <xf numFmtId="0" fontId="9" fillId="3" borderId="1" xfId="3" applyFont="1" applyFill="1" applyBorder="1" applyAlignment="1">
      <alignment horizontal="center" textRotation="90" wrapText="1"/>
    </xf>
    <xf numFmtId="0" fontId="6" fillId="0" borderId="0" xfId="5" applyFont="1"/>
    <xf numFmtId="0" fontId="10" fillId="0" borderId="0" xfId="5" applyFont="1"/>
    <xf numFmtId="0" fontId="10" fillId="0" borderId="0" xfId="5" applyFont="1" applyAlignment="1">
      <alignment horizontal="right"/>
    </xf>
    <xf numFmtId="0" fontId="3" fillId="4" borderId="1" xfId="1" applyFill="1" applyBorder="1"/>
    <xf numFmtId="0" fontId="3" fillId="4" borderId="1" xfId="1" applyFill="1" applyBorder="1" applyAlignment="1">
      <alignment horizontal="right"/>
    </xf>
    <xf numFmtId="1" fontId="3" fillId="4" borderId="1" xfId="1" applyNumberFormat="1" applyFill="1" applyBorder="1"/>
    <xf numFmtId="164" fontId="3" fillId="4" borderId="1" xfId="1" applyNumberFormat="1" applyFill="1" applyBorder="1"/>
    <xf numFmtId="0" fontId="3" fillId="4" borderId="2" xfId="1" applyFill="1" applyBorder="1"/>
    <xf numFmtId="0" fontId="3" fillId="4" borderId="2" xfId="1" applyFill="1" applyBorder="1" applyAlignment="1">
      <alignment horizontal="right"/>
    </xf>
    <xf numFmtId="1" fontId="3" fillId="4" borderId="2" xfId="1" applyNumberFormat="1" applyFill="1" applyBorder="1"/>
    <xf numFmtId="164" fontId="3" fillId="4" borderId="2" xfId="1" applyNumberFormat="1" applyFill="1" applyBorder="1"/>
    <xf numFmtId="0" fontId="3" fillId="0" borderId="1" xfId="1" applyBorder="1"/>
    <xf numFmtId="0" fontId="12" fillId="6" borderId="3" xfId="0" applyNumberFormat="1" applyFont="1" applyFill="1" applyBorder="1"/>
    <xf numFmtId="0" fontId="12" fillId="6" borderId="4" xfId="0" applyNumberFormat="1" applyFont="1" applyFill="1" applyBorder="1"/>
    <xf numFmtId="0" fontId="12" fillId="6" borderId="5" xfId="0" applyFont="1" applyFill="1" applyBorder="1" applyAlignment="1">
      <alignment horizontal="right"/>
    </xf>
    <xf numFmtId="0" fontId="0" fillId="7" borderId="6" xfId="0" applyNumberFormat="1" applyFont="1" applyFill="1" applyBorder="1"/>
    <xf numFmtId="0" fontId="0" fillId="7" borderId="7" xfId="0" applyFont="1" applyFill="1" applyBorder="1"/>
    <xf numFmtId="4" fontId="0" fillId="7" borderId="8" xfId="0" applyNumberFormat="1" applyFont="1" applyFill="1" applyBorder="1"/>
    <xf numFmtId="0" fontId="0" fillId="8" borderId="6" xfId="0" applyNumberFormat="1" applyFont="1" applyFill="1" applyBorder="1"/>
    <xf numFmtId="0" fontId="0" fillId="8" borderId="7" xfId="0" applyFont="1" applyFill="1" applyBorder="1"/>
    <xf numFmtId="4" fontId="0" fillId="8" borderId="8" xfId="0" applyNumberFormat="1" applyFont="1" applyFill="1" applyBorder="1"/>
    <xf numFmtId="0" fontId="12" fillId="6" borderId="9" xfId="0" applyFont="1" applyFill="1" applyBorder="1"/>
    <xf numFmtId="0" fontId="12" fillId="6" borderId="10" xfId="0" applyFont="1" applyFill="1" applyBorder="1"/>
    <xf numFmtId="4" fontId="12" fillId="6" borderId="11" xfId="0" applyNumberFormat="1" applyFont="1" applyFill="1" applyBorder="1"/>
    <xf numFmtId="0" fontId="12" fillId="6" borderId="12" xfId="0" applyNumberFormat="1" applyFont="1" applyFill="1" applyBorder="1"/>
    <xf numFmtId="0" fontId="12" fillId="6" borderId="13" xfId="0" applyNumberFormat="1" applyFont="1" applyFill="1" applyBorder="1"/>
    <xf numFmtId="0" fontId="12" fillId="6" borderId="14" xfId="0" applyNumberFormat="1" applyFont="1" applyFill="1" applyBorder="1"/>
    <xf numFmtId="0" fontId="0" fillId="8" borderId="12" xfId="0" applyNumberFormat="1" applyFont="1" applyFill="1" applyBorder="1"/>
    <xf numFmtId="0" fontId="0" fillId="8" borderId="13" xfId="0" applyFont="1" applyFill="1" applyBorder="1"/>
    <xf numFmtId="4" fontId="0" fillId="8" borderId="14" xfId="0" applyNumberFormat="1" applyFont="1" applyFill="1" applyBorder="1"/>
    <xf numFmtId="0" fontId="13" fillId="0" borderId="15" xfId="0" applyFont="1" applyBorder="1"/>
    <xf numFmtId="0" fontId="13" fillId="0" borderId="16" xfId="0" applyFont="1" applyBorder="1"/>
    <xf numFmtId="4" fontId="13" fillId="0" borderId="17" xfId="0" applyNumberFormat="1" applyFont="1" applyBorder="1"/>
    <xf numFmtId="165" fontId="3" fillId="4" borderId="1" xfId="1" applyNumberFormat="1" applyFill="1" applyBorder="1"/>
    <xf numFmtId="165" fontId="3" fillId="4" borderId="2" xfId="1" applyNumberFormat="1" applyFill="1" applyBorder="1"/>
    <xf numFmtId="0" fontId="14" fillId="9" borderId="18" xfId="0" applyFont="1" applyFill="1" applyBorder="1" applyAlignment="1">
      <alignment horizontal="left" vertical="center"/>
    </xf>
    <xf numFmtId="0" fontId="14" fillId="9" borderId="19" xfId="0" applyFont="1" applyFill="1" applyBorder="1" applyAlignment="1">
      <alignment horizontal="left" vertical="center"/>
    </xf>
    <xf numFmtId="0" fontId="14" fillId="9" borderId="20" xfId="0" applyFont="1" applyFill="1" applyBorder="1" applyAlignment="1">
      <alignment horizontal="left" vertical="center"/>
    </xf>
    <xf numFmtId="0" fontId="14" fillId="9" borderId="21" xfId="0" applyFont="1" applyFill="1" applyBorder="1" applyAlignment="1">
      <alignment horizontal="left" vertical="center"/>
    </xf>
    <xf numFmtId="0" fontId="3" fillId="4" borderId="18" xfId="1" applyFill="1" applyBorder="1"/>
    <xf numFmtId="0" fontId="3" fillId="0" borderId="18" xfId="1" applyBorder="1"/>
    <xf numFmtId="0" fontId="3" fillId="4" borderId="18" xfId="1" applyFill="1" applyBorder="1" applyAlignment="1">
      <alignment horizontal="right"/>
    </xf>
    <xf numFmtId="0" fontId="3" fillId="10" borderId="22" xfId="1" applyFont="1" applyFill="1" applyBorder="1" applyAlignment="1"/>
    <xf numFmtId="0" fontId="3" fillId="10" borderId="22" xfId="1" applyFont="1" applyFill="1" applyBorder="1" applyAlignment="1">
      <alignment horizontal="right"/>
    </xf>
    <xf numFmtId="0" fontId="8" fillId="2" borderId="1" xfId="0" applyFont="1" applyFill="1" applyBorder="1"/>
    <xf numFmtId="0" fontId="8" fillId="2" borderId="1" xfId="0" applyFont="1" applyFill="1" applyBorder="1" applyAlignment="1">
      <alignment textRotation="90"/>
    </xf>
    <xf numFmtId="0" fontId="9" fillId="3" borderId="1" xfId="3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64" fontId="11" fillId="10" borderId="1" xfId="5" applyNumberFormat="1" applyFont="1" applyFill="1" applyBorder="1"/>
    <xf numFmtId="0" fontId="10" fillId="10" borderId="22" xfId="5" applyFont="1" applyFill="1" applyBorder="1"/>
    <xf numFmtId="0" fontId="10" fillId="10" borderId="22" xfId="5" applyFont="1" applyFill="1" applyBorder="1" applyAlignment="1">
      <alignment horizontal="right"/>
    </xf>
    <xf numFmtId="0" fontId="15" fillId="11" borderId="1" xfId="0" applyFont="1" applyFill="1" applyBorder="1" applyAlignment="1">
      <alignment horizontal="right"/>
    </xf>
    <xf numFmtId="4" fontId="0" fillId="10" borderId="1" xfId="0" applyNumberFormat="1" applyFill="1" applyBorder="1"/>
    <xf numFmtId="164" fontId="4" fillId="10" borderId="22" xfId="1" applyNumberFormat="1" applyFont="1" applyFill="1" applyBorder="1" applyAlignment="1"/>
  </cellXfs>
  <cellStyles count="6"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27"/>
  <sheetViews>
    <sheetView showGridLines="0" tabSelected="1" zoomScale="120" zoomScaleNormal="120" workbookViewId="0">
      <pane xSplit="1" ySplit="1" topLeftCell="H2" activePane="bottomRight" state="frozen"/>
      <selection pane="topRight" activeCell="B1" sqref="B1"/>
      <selection pane="bottomLeft" activeCell="A2" sqref="A2"/>
      <selection pane="bottomRight" activeCell="S27" sqref="S27"/>
    </sheetView>
  </sheetViews>
  <sheetFormatPr baseColWidth="10" defaultColWidth="10.33203125" defaultRowHeight="10.199999999999999" x14ac:dyDescent="0.2"/>
  <cols>
    <col min="1" max="1" width="5" style="13" customWidth="1"/>
    <col min="2" max="4" width="29.6640625" style="13" customWidth="1"/>
    <col min="5" max="5" width="40.6640625" style="13" customWidth="1"/>
    <col min="6" max="6" width="9.109375" style="13" customWidth="1"/>
    <col min="7" max="7" width="9.6640625" style="13" customWidth="1"/>
    <col min="8" max="8" width="14.44140625" style="13" customWidth="1"/>
    <col min="9" max="9" width="5.88671875" style="13" customWidth="1"/>
    <col min="10" max="10" width="25.6640625" style="13" customWidth="1"/>
    <col min="11" max="12" width="5.109375" style="13" customWidth="1"/>
    <col min="13" max="13" width="4.44140625" style="13" customWidth="1"/>
    <col min="14" max="14" width="4.88671875" style="13" customWidth="1"/>
    <col min="15" max="15" width="4.88671875" style="14" customWidth="1"/>
    <col min="16" max="16" width="4.88671875" style="13" customWidth="1"/>
    <col min="17" max="17" width="3.5546875" style="14" customWidth="1"/>
    <col min="18" max="18" width="3.5546875" style="13" customWidth="1"/>
    <col min="19" max="21" width="5.109375" style="13" customWidth="1"/>
    <col min="22" max="16384" width="10.33203125" style="13"/>
  </cols>
  <sheetData>
    <row r="1" spans="1:21" ht="40.799999999999997" x14ac:dyDescent="0.2">
      <c r="A1" s="8" t="s">
        <v>12</v>
      </c>
      <c r="B1" s="9" t="s">
        <v>13</v>
      </c>
      <c r="C1" s="9" t="s">
        <v>14</v>
      </c>
      <c r="D1" s="9" t="s">
        <v>15</v>
      </c>
      <c r="E1" s="9" t="s">
        <v>16</v>
      </c>
      <c r="F1" s="9" t="s">
        <v>17</v>
      </c>
      <c r="G1" s="9" t="s">
        <v>18</v>
      </c>
      <c r="H1" s="9" t="s">
        <v>19</v>
      </c>
      <c r="I1" s="8" t="s">
        <v>20</v>
      </c>
      <c r="J1" s="9" t="s">
        <v>21</v>
      </c>
      <c r="K1" s="8" t="s">
        <v>22</v>
      </c>
      <c r="L1" s="9" t="s">
        <v>23</v>
      </c>
      <c r="M1" s="10" t="s">
        <v>24</v>
      </c>
      <c r="N1" s="11" t="s">
        <v>25</v>
      </c>
      <c r="O1" s="12" t="s">
        <v>26</v>
      </c>
      <c r="P1" s="11" t="s">
        <v>27</v>
      </c>
      <c r="Q1" s="12" t="s">
        <v>28</v>
      </c>
      <c r="R1" s="11" t="s">
        <v>29</v>
      </c>
      <c r="S1" s="11" t="s">
        <v>30</v>
      </c>
      <c r="T1" s="11" t="s">
        <v>31</v>
      </c>
      <c r="U1" s="11" t="s">
        <v>32</v>
      </c>
    </row>
    <row r="2" spans="1:21" x14ac:dyDescent="0.2">
      <c r="A2" s="20" t="s">
        <v>66</v>
      </c>
      <c r="B2" s="20" t="s">
        <v>67</v>
      </c>
      <c r="C2" s="20" t="s">
        <v>70</v>
      </c>
      <c r="D2" s="20" t="s">
        <v>82</v>
      </c>
      <c r="E2" s="20" t="s">
        <v>83</v>
      </c>
      <c r="F2" s="20" t="s">
        <v>84</v>
      </c>
      <c r="G2" s="20" t="s">
        <v>72</v>
      </c>
      <c r="H2" s="20" t="s">
        <v>33</v>
      </c>
      <c r="I2" s="20" t="s">
        <v>66</v>
      </c>
      <c r="J2" s="20" t="s">
        <v>67</v>
      </c>
      <c r="K2" s="23">
        <v>0.5</v>
      </c>
      <c r="L2" s="20" t="s">
        <v>68</v>
      </c>
      <c r="M2" s="20">
        <v>2016</v>
      </c>
      <c r="N2" s="20" t="s">
        <v>43</v>
      </c>
      <c r="O2" s="21" t="s">
        <v>44</v>
      </c>
      <c r="P2" s="20" t="s">
        <v>35</v>
      </c>
      <c r="Q2" s="21" t="s">
        <v>35</v>
      </c>
      <c r="R2" s="22">
        <v>80</v>
      </c>
      <c r="S2" s="23">
        <v>0.4</v>
      </c>
      <c r="T2" s="23">
        <v>0.1</v>
      </c>
      <c r="U2" s="23">
        <v>0</v>
      </c>
    </row>
    <row r="3" spans="1:21" x14ac:dyDescent="0.2">
      <c r="A3" s="20" t="s">
        <v>66</v>
      </c>
      <c r="B3" s="20" t="s">
        <v>67</v>
      </c>
      <c r="C3" s="20" t="s">
        <v>70</v>
      </c>
      <c r="D3" s="20" t="s">
        <v>82</v>
      </c>
      <c r="E3" s="20" t="s">
        <v>83</v>
      </c>
      <c r="F3" s="20" t="s">
        <v>84</v>
      </c>
      <c r="G3" s="20" t="s">
        <v>41</v>
      </c>
      <c r="H3" s="20" t="s">
        <v>33</v>
      </c>
      <c r="I3" s="20" t="s">
        <v>66</v>
      </c>
      <c r="J3" s="20" t="s">
        <v>67</v>
      </c>
      <c r="K3" s="23">
        <v>0.5</v>
      </c>
      <c r="L3" s="20" t="s">
        <v>68</v>
      </c>
      <c r="M3" s="20">
        <v>2016</v>
      </c>
      <c r="N3" s="20" t="s">
        <v>35</v>
      </c>
      <c r="O3" s="21" t="s">
        <v>35</v>
      </c>
      <c r="P3" s="20" t="s">
        <v>35</v>
      </c>
      <c r="Q3" s="21" t="s">
        <v>35</v>
      </c>
      <c r="R3" s="22">
        <v>100</v>
      </c>
      <c r="S3" s="23">
        <v>0.5</v>
      </c>
      <c r="T3" s="23">
        <v>0</v>
      </c>
      <c r="U3" s="23">
        <v>0</v>
      </c>
    </row>
    <row r="4" spans="1:21" x14ac:dyDescent="0.2">
      <c r="A4" s="20" t="s">
        <v>66</v>
      </c>
      <c r="B4" s="20" t="s">
        <v>67</v>
      </c>
      <c r="C4" s="20" t="s">
        <v>70</v>
      </c>
      <c r="D4" s="20" t="s">
        <v>85</v>
      </c>
      <c r="E4" s="20" t="s">
        <v>86</v>
      </c>
      <c r="F4" s="20" t="s">
        <v>42</v>
      </c>
      <c r="G4" s="20" t="s">
        <v>72</v>
      </c>
      <c r="H4" s="20" t="s">
        <v>33</v>
      </c>
      <c r="I4" s="20" t="s">
        <v>66</v>
      </c>
      <c r="J4" s="20" t="s">
        <v>67</v>
      </c>
      <c r="K4" s="23">
        <v>0.5</v>
      </c>
      <c r="L4" s="20" t="s">
        <v>68</v>
      </c>
      <c r="M4" s="20">
        <v>2016</v>
      </c>
      <c r="N4" s="20" t="s">
        <v>43</v>
      </c>
      <c r="O4" s="21" t="s">
        <v>44</v>
      </c>
      <c r="P4" s="20" t="s">
        <v>35</v>
      </c>
      <c r="Q4" s="21" t="s">
        <v>35</v>
      </c>
      <c r="R4" s="22">
        <v>80</v>
      </c>
      <c r="S4" s="23">
        <v>0.4</v>
      </c>
      <c r="T4" s="23">
        <v>0.1</v>
      </c>
      <c r="U4" s="23">
        <v>0</v>
      </c>
    </row>
    <row r="5" spans="1:21" x14ac:dyDescent="0.2">
      <c r="A5" s="20" t="s">
        <v>66</v>
      </c>
      <c r="B5" s="20" t="s">
        <v>67</v>
      </c>
      <c r="C5" s="20" t="s">
        <v>70</v>
      </c>
      <c r="D5" s="20" t="s">
        <v>85</v>
      </c>
      <c r="E5" s="20" t="s">
        <v>86</v>
      </c>
      <c r="F5" s="20" t="s">
        <v>42</v>
      </c>
      <c r="G5" s="20" t="s">
        <v>41</v>
      </c>
      <c r="H5" s="20" t="s">
        <v>33</v>
      </c>
      <c r="I5" s="20" t="s">
        <v>66</v>
      </c>
      <c r="J5" s="20" t="s">
        <v>67</v>
      </c>
      <c r="K5" s="23">
        <v>0.5</v>
      </c>
      <c r="L5" s="20" t="s">
        <v>68</v>
      </c>
      <c r="M5" s="20">
        <v>2016</v>
      </c>
      <c r="N5" s="20" t="s">
        <v>35</v>
      </c>
      <c r="O5" s="21" t="s">
        <v>35</v>
      </c>
      <c r="P5" s="20" t="s">
        <v>35</v>
      </c>
      <c r="Q5" s="21" t="s">
        <v>35</v>
      </c>
      <c r="R5" s="22">
        <v>100</v>
      </c>
      <c r="S5" s="23">
        <v>0.5</v>
      </c>
      <c r="T5" s="23">
        <v>0</v>
      </c>
      <c r="U5" s="23">
        <v>0</v>
      </c>
    </row>
    <row r="6" spans="1:21" x14ac:dyDescent="0.2">
      <c r="A6" s="20" t="s">
        <v>66</v>
      </c>
      <c r="B6" s="20" t="s">
        <v>67</v>
      </c>
      <c r="C6" s="20" t="s">
        <v>70</v>
      </c>
      <c r="D6" s="20" t="s">
        <v>74</v>
      </c>
      <c r="E6" s="20" t="s">
        <v>75</v>
      </c>
      <c r="F6" s="20" t="s">
        <v>45</v>
      </c>
      <c r="G6" s="20" t="s">
        <v>71</v>
      </c>
      <c r="H6" s="20" t="s">
        <v>33</v>
      </c>
      <c r="I6" s="20" t="s">
        <v>66</v>
      </c>
      <c r="J6" s="20" t="s">
        <v>67</v>
      </c>
      <c r="K6" s="23">
        <v>0.5</v>
      </c>
      <c r="L6" s="20" t="s">
        <v>68</v>
      </c>
      <c r="M6" s="20">
        <v>2016</v>
      </c>
      <c r="N6" s="20" t="s">
        <v>43</v>
      </c>
      <c r="O6" s="21" t="s">
        <v>44</v>
      </c>
      <c r="P6" s="20" t="s">
        <v>35</v>
      </c>
      <c r="Q6" s="21" t="s">
        <v>35</v>
      </c>
      <c r="R6" s="22">
        <v>80</v>
      </c>
      <c r="S6" s="23">
        <v>0.4</v>
      </c>
      <c r="T6" s="23">
        <v>0.1</v>
      </c>
      <c r="U6" s="23">
        <v>0</v>
      </c>
    </row>
    <row r="7" spans="1:21" x14ac:dyDescent="0.2">
      <c r="A7" s="20" t="s">
        <v>66</v>
      </c>
      <c r="B7" s="20" t="s">
        <v>67</v>
      </c>
      <c r="C7" s="20" t="s">
        <v>70</v>
      </c>
      <c r="D7" s="20" t="s">
        <v>74</v>
      </c>
      <c r="E7" s="20" t="s">
        <v>75</v>
      </c>
      <c r="F7" s="20" t="s">
        <v>45</v>
      </c>
      <c r="G7" s="20" t="s">
        <v>72</v>
      </c>
      <c r="H7" s="20" t="s">
        <v>33</v>
      </c>
      <c r="I7" s="20" t="s">
        <v>66</v>
      </c>
      <c r="J7" s="20" t="s">
        <v>67</v>
      </c>
      <c r="K7" s="23">
        <v>0.5</v>
      </c>
      <c r="L7" s="20" t="s">
        <v>68</v>
      </c>
      <c r="M7" s="20">
        <v>2016</v>
      </c>
      <c r="N7" s="20" t="s">
        <v>43</v>
      </c>
      <c r="O7" s="21" t="s">
        <v>44</v>
      </c>
      <c r="P7" s="20" t="s">
        <v>35</v>
      </c>
      <c r="Q7" s="21" t="s">
        <v>35</v>
      </c>
      <c r="R7" s="22">
        <v>80</v>
      </c>
      <c r="S7" s="23">
        <v>0.4</v>
      </c>
      <c r="T7" s="23">
        <v>0.1</v>
      </c>
      <c r="U7" s="23">
        <v>0</v>
      </c>
    </row>
    <row r="8" spans="1:21" x14ac:dyDescent="0.2">
      <c r="A8" s="20" t="s">
        <v>51</v>
      </c>
      <c r="B8" s="20" t="s">
        <v>52</v>
      </c>
      <c r="C8" s="20" t="s">
        <v>53</v>
      </c>
      <c r="D8" s="20" t="s">
        <v>63</v>
      </c>
      <c r="E8" s="20" t="s">
        <v>64</v>
      </c>
      <c r="F8" s="20" t="s">
        <v>49</v>
      </c>
      <c r="G8" s="20" t="s">
        <v>73</v>
      </c>
      <c r="H8" s="20" t="s">
        <v>33</v>
      </c>
      <c r="I8" s="20" t="s">
        <v>66</v>
      </c>
      <c r="J8" s="20" t="s">
        <v>67</v>
      </c>
      <c r="K8" s="23">
        <v>0.5</v>
      </c>
      <c r="L8" s="20" t="s">
        <v>68</v>
      </c>
      <c r="M8" s="20">
        <v>2016</v>
      </c>
      <c r="N8" s="20" t="s">
        <v>35</v>
      </c>
      <c r="O8" s="21" t="s">
        <v>35</v>
      </c>
      <c r="P8" s="20" t="s">
        <v>35</v>
      </c>
      <c r="Q8" s="21" t="s">
        <v>35</v>
      </c>
      <c r="R8" s="22">
        <v>100</v>
      </c>
      <c r="S8" s="23">
        <v>0.5</v>
      </c>
      <c r="T8" s="23">
        <v>0</v>
      </c>
      <c r="U8" s="23">
        <v>0</v>
      </c>
    </row>
    <row r="9" spans="1:21" x14ac:dyDescent="0.2">
      <c r="A9" s="20" t="s">
        <v>56</v>
      </c>
      <c r="B9" s="20" t="s">
        <v>57</v>
      </c>
      <c r="C9" s="20" t="s">
        <v>59</v>
      </c>
      <c r="D9" s="20" t="s">
        <v>78</v>
      </c>
      <c r="E9" s="20" t="s">
        <v>79</v>
      </c>
      <c r="F9" s="20" t="s">
        <v>46</v>
      </c>
      <c r="G9" s="20" t="s">
        <v>80</v>
      </c>
      <c r="H9" s="20" t="s">
        <v>33</v>
      </c>
      <c r="I9" s="20" t="s">
        <v>66</v>
      </c>
      <c r="J9" s="20" t="s">
        <v>67</v>
      </c>
      <c r="K9" s="23">
        <v>0.5</v>
      </c>
      <c r="L9" s="20" t="s">
        <v>68</v>
      </c>
      <c r="M9" s="20">
        <v>2016</v>
      </c>
      <c r="N9" s="20" t="s">
        <v>35</v>
      </c>
      <c r="O9" s="21" t="s">
        <v>35</v>
      </c>
      <c r="P9" s="20" t="s">
        <v>35</v>
      </c>
      <c r="Q9" s="21" t="s">
        <v>35</v>
      </c>
      <c r="R9" s="22">
        <v>100</v>
      </c>
      <c r="S9" s="23">
        <v>0.5</v>
      </c>
      <c r="T9" s="23">
        <v>0</v>
      </c>
      <c r="U9" s="23">
        <v>0</v>
      </c>
    </row>
    <row r="10" spans="1:21" x14ac:dyDescent="0.2">
      <c r="A10" s="20" t="s">
        <v>56</v>
      </c>
      <c r="B10" s="20" t="s">
        <v>57</v>
      </c>
      <c r="C10" s="20" t="s">
        <v>59</v>
      </c>
      <c r="D10" s="20" t="s">
        <v>78</v>
      </c>
      <c r="E10" s="20" t="s">
        <v>79</v>
      </c>
      <c r="F10" s="20" t="s">
        <v>46</v>
      </c>
      <c r="G10" s="20" t="s">
        <v>81</v>
      </c>
      <c r="H10" s="20" t="s">
        <v>33</v>
      </c>
      <c r="I10" s="20" t="s">
        <v>66</v>
      </c>
      <c r="J10" s="20" t="s">
        <v>67</v>
      </c>
      <c r="K10" s="23">
        <v>0.5</v>
      </c>
      <c r="L10" s="20" t="s">
        <v>68</v>
      </c>
      <c r="M10" s="20">
        <v>2016</v>
      </c>
      <c r="N10" s="20" t="s">
        <v>43</v>
      </c>
      <c r="O10" s="21" t="s">
        <v>44</v>
      </c>
      <c r="P10" s="20" t="s">
        <v>35</v>
      </c>
      <c r="Q10" s="21" t="s">
        <v>35</v>
      </c>
      <c r="R10" s="22">
        <v>80</v>
      </c>
      <c r="S10" s="23">
        <v>0.4</v>
      </c>
      <c r="T10" s="23">
        <v>0.1</v>
      </c>
      <c r="U10" s="23">
        <v>0</v>
      </c>
    </row>
    <row r="11" spans="1:21" x14ac:dyDescent="0.2">
      <c r="A11" s="20" t="s">
        <v>56</v>
      </c>
      <c r="B11" s="20" t="s">
        <v>57</v>
      </c>
      <c r="C11" s="20" t="s">
        <v>58</v>
      </c>
      <c r="D11" s="20" t="s">
        <v>76</v>
      </c>
      <c r="E11" s="20" t="s">
        <v>77</v>
      </c>
      <c r="F11" s="20" t="s">
        <v>65</v>
      </c>
      <c r="G11" s="20" t="s">
        <v>72</v>
      </c>
      <c r="H11" s="20" t="s">
        <v>36</v>
      </c>
      <c r="I11" s="20" t="s">
        <v>66</v>
      </c>
      <c r="J11" s="20" t="s">
        <v>67</v>
      </c>
      <c r="K11" s="23">
        <v>1</v>
      </c>
      <c r="L11" s="20" t="s">
        <v>68</v>
      </c>
      <c r="M11" s="20">
        <v>2016</v>
      </c>
      <c r="N11" s="20" t="s">
        <v>43</v>
      </c>
      <c r="O11" s="21" t="s">
        <v>44</v>
      </c>
      <c r="P11" s="20" t="s">
        <v>35</v>
      </c>
      <c r="Q11" s="21" t="s">
        <v>35</v>
      </c>
      <c r="R11" s="22">
        <v>80</v>
      </c>
      <c r="S11" s="23">
        <v>0.8</v>
      </c>
      <c r="T11" s="23">
        <v>0.2</v>
      </c>
      <c r="U11" s="23">
        <v>0</v>
      </c>
    </row>
    <row r="12" spans="1:21" x14ac:dyDescent="0.2">
      <c r="A12" s="20" t="s">
        <v>38</v>
      </c>
      <c r="B12" s="20" t="s">
        <v>39</v>
      </c>
      <c r="C12" s="20" t="s">
        <v>37</v>
      </c>
      <c r="D12" s="20" t="s">
        <v>61</v>
      </c>
      <c r="E12" s="20" t="s">
        <v>62</v>
      </c>
      <c r="F12" s="20" t="s">
        <v>50</v>
      </c>
      <c r="G12" s="20" t="s">
        <v>87</v>
      </c>
      <c r="H12" s="20" t="s">
        <v>33</v>
      </c>
      <c r="I12" s="20" t="s">
        <v>66</v>
      </c>
      <c r="J12" s="20" t="s">
        <v>67</v>
      </c>
      <c r="K12" s="23">
        <v>0.5</v>
      </c>
      <c r="L12" s="20" t="s">
        <v>68</v>
      </c>
      <c r="M12" s="20">
        <v>2017</v>
      </c>
      <c r="N12" s="20" t="s">
        <v>35</v>
      </c>
      <c r="O12" s="21" t="s">
        <v>35</v>
      </c>
      <c r="P12" s="20" t="s">
        <v>35</v>
      </c>
      <c r="Q12" s="21" t="s">
        <v>35</v>
      </c>
      <c r="R12" s="22">
        <v>100</v>
      </c>
      <c r="S12" s="23">
        <v>0.5</v>
      </c>
      <c r="T12" s="23">
        <v>0</v>
      </c>
      <c r="U12" s="23">
        <v>0</v>
      </c>
    </row>
    <row r="13" spans="1:21" x14ac:dyDescent="0.2">
      <c r="A13" s="20" t="s">
        <v>54</v>
      </c>
      <c r="B13" s="20" t="s">
        <v>55</v>
      </c>
      <c r="C13" s="20" t="s">
        <v>60</v>
      </c>
      <c r="D13" s="20" t="s">
        <v>88</v>
      </c>
      <c r="E13" s="20" t="s">
        <v>89</v>
      </c>
      <c r="F13" s="20" t="s">
        <v>47</v>
      </c>
      <c r="G13" s="20" t="s">
        <v>80</v>
      </c>
      <c r="H13" s="20" t="s">
        <v>33</v>
      </c>
      <c r="I13" s="20" t="s">
        <v>66</v>
      </c>
      <c r="J13" s="20" t="s">
        <v>67</v>
      </c>
      <c r="K13" s="50">
        <v>0.5</v>
      </c>
      <c r="L13" s="20" t="s">
        <v>68</v>
      </c>
      <c r="M13" s="20">
        <v>2018</v>
      </c>
      <c r="N13" s="20" t="s">
        <v>35</v>
      </c>
      <c r="O13" s="21" t="s">
        <v>35</v>
      </c>
      <c r="P13" s="20" t="s">
        <v>35</v>
      </c>
      <c r="Q13" s="21" t="s">
        <v>35</v>
      </c>
      <c r="R13" s="22">
        <v>100</v>
      </c>
      <c r="S13" s="23">
        <v>0.5</v>
      </c>
      <c r="T13" s="23">
        <v>0</v>
      </c>
      <c r="U13" s="23">
        <v>0</v>
      </c>
    </row>
    <row r="14" spans="1:21" x14ac:dyDescent="0.2">
      <c r="A14" s="20" t="s">
        <v>56</v>
      </c>
      <c r="B14" s="20" t="s">
        <v>57</v>
      </c>
      <c r="C14" s="20" t="s">
        <v>58</v>
      </c>
      <c r="D14" s="20" t="s">
        <v>90</v>
      </c>
      <c r="E14" s="20" t="s">
        <v>91</v>
      </c>
      <c r="F14" s="20" t="s">
        <v>92</v>
      </c>
      <c r="G14" s="20" t="s">
        <v>93</v>
      </c>
      <c r="H14" s="20" t="s">
        <v>33</v>
      </c>
      <c r="I14" s="20" t="s">
        <v>66</v>
      </c>
      <c r="J14" s="20" t="s">
        <v>67</v>
      </c>
      <c r="K14" s="50">
        <v>0.5</v>
      </c>
      <c r="L14" s="20" t="s">
        <v>68</v>
      </c>
      <c r="M14" s="20">
        <v>2018</v>
      </c>
      <c r="N14" s="20" t="s">
        <v>43</v>
      </c>
      <c r="O14" s="21" t="s">
        <v>34</v>
      </c>
      <c r="P14" s="20" t="s">
        <v>35</v>
      </c>
      <c r="Q14" s="21" t="s">
        <v>35</v>
      </c>
      <c r="R14" s="22">
        <v>50</v>
      </c>
      <c r="S14" s="23">
        <v>0.25</v>
      </c>
      <c r="T14" s="23">
        <v>0.25</v>
      </c>
      <c r="U14" s="23">
        <v>0</v>
      </c>
    </row>
    <row r="15" spans="1:21" x14ac:dyDescent="0.2">
      <c r="A15" s="24" t="s">
        <v>38</v>
      </c>
      <c r="B15" s="24" t="s">
        <v>39</v>
      </c>
      <c r="C15" s="24" t="s">
        <v>37</v>
      </c>
      <c r="D15" s="24" t="s">
        <v>234</v>
      </c>
      <c r="E15" s="24" t="s">
        <v>235</v>
      </c>
      <c r="F15" s="24" t="s">
        <v>236</v>
      </c>
      <c r="G15" s="24" t="s">
        <v>69</v>
      </c>
      <c r="H15" s="24" t="s">
        <v>33</v>
      </c>
      <c r="I15" s="24" t="s">
        <v>66</v>
      </c>
      <c r="J15" s="24" t="s">
        <v>67</v>
      </c>
      <c r="K15" s="51">
        <v>0.5</v>
      </c>
      <c r="L15" s="24" t="s">
        <v>68</v>
      </c>
      <c r="M15" s="24">
        <v>2019</v>
      </c>
      <c r="N15" s="24" t="s">
        <v>35</v>
      </c>
      <c r="O15" s="25" t="s">
        <v>35</v>
      </c>
      <c r="P15" s="24" t="s">
        <v>35</v>
      </c>
      <c r="Q15" s="25" t="s">
        <v>35</v>
      </c>
      <c r="R15" s="26">
        <v>100</v>
      </c>
      <c r="S15" s="27">
        <v>0.5</v>
      </c>
      <c r="T15" s="27">
        <v>0</v>
      </c>
      <c r="U15" s="27">
        <v>0</v>
      </c>
    </row>
    <row r="16" spans="1:21" ht="10.8" thickBot="1" x14ac:dyDescent="0.25">
      <c r="A16" s="24" t="s">
        <v>56</v>
      </c>
      <c r="B16" s="24" t="s">
        <v>57</v>
      </c>
      <c r="C16" s="24" t="s">
        <v>58</v>
      </c>
      <c r="D16" s="24" t="s">
        <v>237</v>
      </c>
      <c r="E16" s="24" t="s">
        <v>238</v>
      </c>
      <c r="F16" s="24" t="s">
        <v>239</v>
      </c>
      <c r="G16" s="24" t="s">
        <v>72</v>
      </c>
      <c r="H16" s="24" t="s">
        <v>36</v>
      </c>
      <c r="I16" s="24" t="s">
        <v>66</v>
      </c>
      <c r="J16" s="24" t="s">
        <v>67</v>
      </c>
      <c r="K16" s="51">
        <v>1</v>
      </c>
      <c r="L16" s="24" t="s">
        <v>68</v>
      </c>
      <c r="M16" s="24">
        <v>2019</v>
      </c>
      <c r="N16" s="24" t="s">
        <v>35</v>
      </c>
      <c r="O16" s="25" t="s">
        <v>35</v>
      </c>
      <c r="P16" s="24" t="s">
        <v>35</v>
      </c>
      <c r="Q16" s="25" t="s">
        <v>35</v>
      </c>
      <c r="R16" s="26">
        <v>100</v>
      </c>
      <c r="S16" s="27">
        <v>1</v>
      </c>
      <c r="T16" s="27">
        <v>0</v>
      </c>
      <c r="U16" s="27">
        <v>0</v>
      </c>
    </row>
    <row r="17" spans="1:21" x14ac:dyDescent="0.2">
      <c r="A17" s="52" t="s">
        <v>56</v>
      </c>
      <c r="B17" s="52" t="s">
        <v>57</v>
      </c>
      <c r="C17" s="52" t="s">
        <v>58</v>
      </c>
      <c r="D17" s="52" t="s">
        <v>246</v>
      </c>
      <c r="E17" s="52" t="s">
        <v>362</v>
      </c>
      <c r="F17" s="52" t="s">
        <v>247</v>
      </c>
      <c r="G17" s="53" t="s">
        <v>72</v>
      </c>
      <c r="H17" s="54" t="s">
        <v>36</v>
      </c>
      <c r="I17" s="54" t="s">
        <v>66</v>
      </c>
      <c r="J17" s="55" t="s">
        <v>67</v>
      </c>
      <c r="K17" s="57">
        <v>1</v>
      </c>
      <c r="L17" s="57" t="s">
        <v>68</v>
      </c>
      <c r="M17" s="56">
        <v>2020</v>
      </c>
      <c r="N17" s="56" t="s">
        <v>35</v>
      </c>
      <c r="O17" s="58" t="s">
        <v>35</v>
      </c>
      <c r="P17" s="56" t="s">
        <v>35</v>
      </c>
      <c r="Q17" s="58" t="s">
        <v>35</v>
      </c>
      <c r="R17" s="56">
        <v>100</v>
      </c>
      <c r="S17" s="56">
        <v>1</v>
      </c>
      <c r="T17" s="56">
        <v>0</v>
      </c>
      <c r="U17" s="56">
        <v>0</v>
      </c>
    </row>
    <row r="18" spans="1:21" x14ac:dyDescent="0.2">
      <c r="A18" s="20" t="s">
        <v>56</v>
      </c>
      <c r="B18" s="20" t="s">
        <v>57</v>
      </c>
      <c r="C18" s="20" t="s">
        <v>58</v>
      </c>
      <c r="D18" s="20" t="s">
        <v>248</v>
      </c>
      <c r="E18" s="20" t="s">
        <v>249</v>
      </c>
      <c r="F18" s="20" t="s">
        <v>250</v>
      </c>
      <c r="G18" s="20" t="s">
        <v>72</v>
      </c>
      <c r="H18" s="20" t="s">
        <v>36</v>
      </c>
      <c r="I18" s="20" t="s">
        <v>66</v>
      </c>
      <c r="J18" s="20" t="s">
        <v>67</v>
      </c>
      <c r="K18" s="28">
        <v>1</v>
      </c>
      <c r="L18" s="28" t="s">
        <v>68</v>
      </c>
      <c r="M18" s="20">
        <v>2020</v>
      </c>
      <c r="N18" s="20" t="s">
        <v>35</v>
      </c>
      <c r="O18" s="21" t="s">
        <v>35</v>
      </c>
      <c r="P18" s="20" t="s">
        <v>35</v>
      </c>
      <c r="Q18" s="21" t="s">
        <v>35</v>
      </c>
      <c r="R18" s="20">
        <v>100</v>
      </c>
      <c r="S18" s="20">
        <v>1</v>
      </c>
      <c r="T18" s="20">
        <v>0</v>
      </c>
      <c r="U18" s="20">
        <v>0</v>
      </c>
    </row>
    <row r="19" spans="1:21" x14ac:dyDescent="0.2">
      <c r="A19" s="20" t="s">
        <v>363</v>
      </c>
      <c r="B19" s="20" t="s">
        <v>364</v>
      </c>
      <c r="C19" s="20" t="s">
        <v>365</v>
      </c>
      <c r="D19" s="20" t="s">
        <v>366</v>
      </c>
      <c r="E19" s="20" t="s">
        <v>367</v>
      </c>
      <c r="F19" s="20" t="s">
        <v>368</v>
      </c>
      <c r="G19" s="20" t="s">
        <v>72</v>
      </c>
      <c r="H19" s="20" t="s">
        <v>36</v>
      </c>
      <c r="I19" s="20" t="s">
        <v>66</v>
      </c>
      <c r="J19" s="20" t="s">
        <v>67</v>
      </c>
      <c r="K19" s="28">
        <v>1</v>
      </c>
      <c r="L19" s="28" t="s">
        <v>68</v>
      </c>
      <c r="M19" s="20">
        <v>2021</v>
      </c>
      <c r="N19" s="20" t="s">
        <v>35</v>
      </c>
      <c r="O19" s="21" t="s">
        <v>35</v>
      </c>
      <c r="P19" s="20" t="s">
        <v>35</v>
      </c>
      <c r="Q19" s="21" t="s">
        <v>35</v>
      </c>
      <c r="R19" s="20">
        <v>100</v>
      </c>
      <c r="S19" s="20">
        <v>1</v>
      </c>
      <c r="T19" s="20">
        <v>0</v>
      </c>
      <c r="U19" s="20">
        <v>0</v>
      </c>
    </row>
    <row r="20" spans="1:21" x14ac:dyDescent="0.2">
      <c r="A20" s="20" t="s">
        <v>51</v>
      </c>
      <c r="B20" s="20" t="s">
        <v>52</v>
      </c>
      <c r="C20" s="20" t="s">
        <v>53</v>
      </c>
      <c r="D20" s="20" t="s">
        <v>369</v>
      </c>
      <c r="E20" s="20" t="s">
        <v>370</v>
      </c>
      <c r="F20" s="20" t="s">
        <v>371</v>
      </c>
      <c r="G20" s="20" t="s">
        <v>372</v>
      </c>
      <c r="H20" s="20" t="s">
        <v>33</v>
      </c>
      <c r="I20" s="20" t="s">
        <v>66</v>
      </c>
      <c r="J20" s="20" t="s">
        <v>67</v>
      </c>
      <c r="K20" s="28">
        <v>0.5</v>
      </c>
      <c r="L20" s="28" t="s">
        <v>68</v>
      </c>
      <c r="M20" s="20">
        <v>2021</v>
      </c>
      <c r="N20" s="20" t="s">
        <v>35</v>
      </c>
      <c r="O20" s="21" t="s">
        <v>35</v>
      </c>
      <c r="P20" s="20" t="s">
        <v>35</v>
      </c>
      <c r="Q20" s="21" t="s">
        <v>35</v>
      </c>
      <c r="R20" s="20">
        <v>100</v>
      </c>
      <c r="S20" s="20">
        <v>0.5</v>
      </c>
      <c r="T20" s="20">
        <v>0</v>
      </c>
      <c r="U20" s="20">
        <v>0</v>
      </c>
    </row>
    <row r="21" spans="1:21" x14ac:dyDescent="0.2">
      <c r="A21" s="20" t="s">
        <v>51</v>
      </c>
      <c r="B21" s="20" t="s">
        <v>52</v>
      </c>
      <c r="C21" s="20" t="s">
        <v>53</v>
      </c>
      <c r="D21" s="20" t="s">
        <v>369</v>
      </c>
      <c r="E21" s="20" t="s">
        <v>370</v>
      </c>
      <c r="F21" s="20" t="s">
        <v>371</v>
      </c>
      <c r="G21" s="20" t="s">
        <v>373</v>
      </c>
      <c r="H21" s="20" t="s">
        <v>33</v>
      </c>
      <c r="I21" s="20" t="s">
        <v>66</v>
      </c>
      <c r="J21" s="20" t="s">
        <v>67</v>
      </c>
      <c r="K21" s="28">
        <v>0.5</v>
      </c>
      <c r="L21" s="28" t="s">
        <v>68</v>
      </c>
      <c r="M21" s="20">
        <v>2021</v>
      </c>
      <c r="N21" s="20" t="s">
        <v>35</v>
      </c>
      <c r="O21" s="21" t="s">
        <v>35</v>
      </c>
      <c r="P21" s="20" t="s">
        <v>35</v>
      </c>
      <c r="Q21" s="21" t="s">
        <v>35</v>
      </c>
      <c r="R21" s="20">
        <v>100</v>
      </c>
      <c r="S21" s="20">
        <v>0.5</v>
      </c>
      <c r="T21" s="20">
        <v>0</v>
      </c>
      <c r="U21" s="20">
        <v>0</v>
      </c>
    </row>
    <row r="22" spans="1:21" x14ac:dyDescent="0.2">
      <c r="A22" s="20" t="s">
        <v>56</v>
      </c>
      <c r="B22" s="20" t="s">
        <v>57</v>
      </c>
      <c r="C22" s="20" t="s">
        <v>58</v>
      </c>
      <c r="D22" s="20" t="s">
        <v>374</v>
      </c>
      <c r="E22" s="20" t="s">
        <v>375</v>
      </c>
      <c r="F22" s="20" t="s">
        <v>376</v>
      </c>
      <c r="G22" s="20" t="s">
        <v>377</v>
      </c>
      <c r="H22" s="20" t="s">
        <v>33</v>
      </c>
      <c r="I22" s="20" t="s">
        <v>66</v>
      </c>
      <c r="J22" s="20" t="s">
        <v>67</v>
      </c>
      <c r="K22" s="28">
        <v>0.5</v>
      </c>
      <c r="L22" s="28" t="s">
        <v>68</v>
      </c>
      <c r="M22" s="20">
        <v>2021</v>
      </c>
      <c r="N22" s="20" t="s">
        <v>43</v>
      </c>
      <c r="O22" s="21" t="s">
        <v>34</v>
      </c>
      <c r="P22" s="20" t="s">
        <v>35</v>
      </c>
      <c r="Q22" s="21" t="s">
        <v>35</v>
      </c>
      <c r="R22" s="20">
        <v>50</v>
      </c>
      <c r="S22" s="20">
        <v>0.25</v>
      </c>
      <c r="T22" s="20">
        <v>0.25</v>
      </c>
      <c r="U22" s="20">
        <v>0</v>
      </c>
    </row>
    <row r="23" spans="1:21" x14ac:dyDescent="0.2">
      <c r="A23" s="20" t="s">
        <v>56</v>
      </c>
      <c r="B23" s="20" t="s">
        <v>57</v>
      </c>
      <c r="C23" s="20" t="s">
        <v>58</v>
      </c>
      <c r="D23" s="20" t="s">
        <v>378</v>
      </c>
      <c r="E23" s="20" t="s">
        <v>379</v>
      </c>
      <c r="F23" s="20" t="s">
        <v>380</v>
      </c>
      <c r="G23" s="20" t="s">
        <v>72</v>
      </c>
      <c r="H23" s="20" t="s">
        <v>36</v>
      </c>
      <c r="I23" s="20" t="s">
        <v>66</v>
      </c>
      <c r="J23" s="20" t="s">
        <v>67</v>
      </c>
      <c r="K23" s="28">
        <v>1</v>
      </c>
      <c r="L23" s="28" t="s">
        <v>68</v>
      </c>
      <c r="M23" s="20">
        <v>2021</v>
      </c>
      <c r="N23" s="20" t="s">
        <v>35</v>
      </c>
      <c r="O23" s="21" t="s">
        <v>35</v>
      </c>
      <c r="P23" s="20" t="s">
        <v>35</v>
      </c>
      <c r="Q23" s="21" t="s">
        <v>35</v>
      </c>
      <c r="R23" s="20">
        <v>100</v>
      </c>
      <c r="S23" s="20">
        <v>1</v>
      </c>
      <c r="T23" s="20">
        <v>0</v>
      </c>
      <c r="U23" s="20">
        <v>0</v>
      </c>
    </row>
    <row r="24" spans="1:21" x14ac:dyDescent="0.2">
      <c r="A24" s="20" t="s">
        <v>56</v>
      </c>
      <c r="B24" s="20" t="s">
        <v>57</v>
      </c>
      <c r="C24" s="20" t="s">
        <v>58</v>
      </c>
      <c r="D24" s="20" t="s">
        <v>381</v>
      </c>
      <c r="E24" s="20" t="s">
        <v>382</v>
      </c>
      <c r="F24" s="20" t="s">
        <v>383</v>
      </c>
      <c r="G24" s="20" t="s">
        <v>80</v>
      </c>
      <c r="H24" s="20" t="s">
        <v>33</v>
      </c>
      <c r="I24" s="20" t="s">
        <v>66</v>
      </c>
      <c r="J24" s="20" t="s">
        <v>67</v>
      </c>
      <c r="K24" s="28">
        <v>0.5</v>
      </c>
      <c r="L24" s="28" t="s">
        <v>68</v>
      </c>
      <c r="M24" s="20">
        <v>2021</v>
      </c>
      <c r="N24" s="20" t="s">
        <v>35</v>
      </c>
      <c r="O24" s="21" t="s">
        <v>35</v>
      </c>
      <c r="P24" s="20" t="s">
        <v>35</v>
      </c>
      <c r="Q24" s="21" t="s">
        <v>35</v>
      </c>
      <c r="R24" s="20">
        <v>100</v>
      </c>
      <c r="S24" s="20">
        <v>0.5</v>
      </c>
      <c r="T24" s="20">
        <v>0</v>
      </c>
      <c r="U24" s="20">
        <v>0</v>
      </c>
    </row>
    <row r="25" spans="1:21" x14ac:dyDescent="0.2">
      <c r="A25" s="20" t="s">
        <v>56</v>
      </c>
      <c r="B25" s="20" t="s">
        <v>57</v>
      </c>
      <c r="C25" s="20" t="s">
        <v>58</v>
      </c>
      <c r="D25" s="20" t="s">
        <v>384</v>
      </c>
      <c r="E25" s="20" t="s">
        <v>385</v>
      </c>
      <c r="F25" s="20" t="s">
        <v>386</v>
      </c>
      <c r="G25" s="20" t="s">
        <v>72</v>
      </c>
      <c r="H25" s="20" t="s">
        <v>33</v>
      </c>
      <c r="I25" s="20" t="s">
        <v>66</v>
      </c>
      <c r="J25" s="20" t="s">
        <v>67</v>
      </c>
      <c r="K25" s="28">
        <v>0.5</v>
      </c>
      <c r="L25" s="28" t="s">
        <v>68</v>
      </c>
      <c r="M25" s="20">
        <v>2021</v>
      </c>
      <c r="N25" s="20" t="s">
        <v>35</v>
      </c>
      <c r="O25" s="21" t="s">
        <v>35</v>
      </c>
      <c r="P25" s="20" t="s">
        <v>35</v>
      </c>
      <c r="Q25" s="21" t="s">
        <v>35</v>
      </c>
      <c r="R25" s="20">
        <v>100</v>
      </c>
      <c r="S25" s="20">
        <v>0.5</v>
      </c>
      <c r="T25" s="20">
        <v>0</v>
      </c>
      <c r="U25" s="20">
        <v>0</v>
      </c>
    </row>
    <row r="26" spans="1:21" x14ac:dyDescent="0.2">
      <c r="A26" s="20" t="s">
        <v>56</v>
      </c>
      <c r="B26" s="20" t="s">
        <v>57</v>
      </c>
      <c r="C26" s="20" t="s">
        <v>58</v>
      </c>
      <c r="D26" s="20" t="s">
        <v>384</v>
      </c>
      <c r="E26" s="20" t="s">
        <v>385</v>
      </c>
      <c r="F26" s="20" t="s">
        <v>386</v>
      </c>
      <c r="G26" s="20" t="s">
        <v>387</v>
      </c>
      <c r="H26" s="20" t="s">
        <v>33</v>
      </c>
      <c r="I26" s="20" t="s">
        <v>66</v>
      </c>
      <c r="J26" s="20" t="s">
        <v>67</v>
      </c>
      <c r="K26" s="28">
        <v>0.5</v>
      </c>
      <c r="L26" s="28" t="s">
        <v>68</v>
      </c>
      <c r="M26" s="20">
        <v>2021</v>
      </c>
      <c r="N26" s="20" t="s">
        <v>35</v>
      </c>
      <c r="O26" s="21" t="s">
        <v>35</v>
      </c>
      <c r="P26" s="20" t="s">
        <v>35</v>
      </c>
      <c r="Q26" s="21" t="s">
        <v>35</v>
      </c>
      <c r="R26" s="20">
        <v>100</v>
      </c>
      <c r="S26" s="20">
        <v>0.5</v>
      </c>
      <c r="T26" s="20">
        <v>0</v>
      </c>
      <c r="U26" s="20">
        <v>0</v>
      </c>
    </row>
    <row r="27" spans="1:21" x14ac:dyDescent="0.2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60"/>
      <c r="P27" s="59"/>
      <c r="Q27" s="60"/>
      <c r="R27" s="59"/>
      <c r="S27" s="72">
        <f>SUM(S2:S26)</f>
        <v>14.3</v>
      </c>
      <c r="T27" s="59"/>
      <c r="U27" s="59"/>
    </row>
  </sheetData>
  <autoFilter ref="A1:U1" xr:uid="{00000000-0009-0000-0000-000000000000}">
    <sortState xmlns:xlrd2="http://schemas.microsoft.com/office/spreadsheetml/2017/richdata2" ref="A2:T1889">
      <sortCondition ref="K2:K1889"/>
      <sortCondition ref="L2:L1889"/>
      <sortCondition ref="D2:D1889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23"/>
  <sheetViews>
    <sheetView zoomScaleNormal="100" workbookViewId="0">
      <selection activeCell="S23" sqref="S23"/>
    </sheetView>
  </sheetViews>
  <sheetFormatPr baseColWidth="10" defaultColWidth="11.44140625" defaultRowHeight="13.2" x14ac:dyDescent="0.25"/>
  <cols>
    <col min="1" max="1" width="10.44140625" style="18" bestFit="1" customWidth="1"/>
    <col min="2" max="2" width="39.5546875" style="18" bestFit="1" customWidth="1"/>
    <col min="3" max="3" width="17" style="18" bestFit="1" customWidth="1"/>
    <col min="4" max="9" width="3.33203125" style="18" bestFit="1" customWidth="1"/>
    <col min="10" max="10" width="13.109375" style="18" bestFit="1" customWidth="1"/>
    <col min="11" max="11" width="5.33203125" style="18" bestFit="1" customWidth="1"/>
    <col min="12" max="13" width="5.6640625" style="18" bestFit="1" customWidth="1"/>
    <col min="14" max="14" width="5.6640625" style="19" bestFit="1" customWidth="1"/>
    <col min="15" max="15" width="5.6640625" style="18" bestFit="1" customWidth="1"/>
    <col min="16" max="16" width="5.6640625" style="19" bestFit="1" customWidth="1"/>
    <col min="17" max="19" width="5.6640625" style="18" bestFit="1" customWidth="1"/>
    <col min="20" max="16384" width="11.44140625" style="18"/>
  </cols>
  <sheetData>
    <row r="1" spans="1:19" s="17" customFormat="1" ht="60" customHeight="1" x14ac:dyDescent="0.25">
      <c r="A1" s="61" t="s">
        <v>94</v>
      </c>
      <c r="B1" s="61" t="s">
        <v>95</v>
      </c>
      <c r="C1" s="61" t="s">
        <v>96</v>
      </c>
      <c r="D1" s="62">
        <v>2017</v>
      </c>
      <c r="E1" s="62">
        <v>2018</v>
      </c>
      <c r="F1" s="62">
        <v>2019</v>
      </c>
      <c r="G1" s="62">
        <v>2020</v>
      </c>
      <c r="H1" s="62">
        <v>2021</v>
      </c>
      <c r="I1" s="62">
        <v>2022</v>
      </c>
      <c r="J1" s="61" t="s">
        <v>97</v>
      </c>
      <c r="K1" s="63" t="s">
        <v>388</v>
      </c>
      <c r="L1" s="15" t="s">
        <v>98</v>
      </c>
      <c r="M1" s="15" t="s">
        <v>99</v>
      </c>
      <c r="N1" s="15" t="s">
        <v>100</v>
      </c>
      <c r="O1" s="15" t="s">
        <v>101</v>
      </c>
      <c r="P1" s="16" t="s">
        <v>102</v>
      </c>
      <c r="Q1" s="16" t="s">
        <v>103</v>
      </c>
      <c r="R1" s="16" t="s">
        <v>104</v>
      </c>
      <c r="S1" s="16" t="s">
        <v>105</v>
      </c>
    </row>
    <row r="2" spans="1:19" ht="14.4" x14ac:dyDescent="0.3">
      <c r="A2" s="64" t="s">
        <v>134</v>
      </c>
      <c r="B2" s="64" t="s">
        <v>135</v>
      </c>
      <c r="C2" s="64" t="s">
        <v>106</v>
      </c>
      <c r="D2" s="64"/>
      <c r="E2" s="64"/>
      <c r="F2" s="64"/>
      <c r="G2" s="64"/>
      <c r="H2" s="64"/>
      <c r="I2" s="64">
        <v>1</v>
      </c>
      <c r="J2" s="64">
        <v>1</v>
      </c>
      <c r="K2" s="64" t="s">
        <v>68</v>
      </c>
      <c r="L2" s="65" t="s">
        <v>43</v>
      </c>
      <c r="M2" s="65" t="s">
        <v>44</v>
      </c>
      <c r="N2" s="65" t="s">
        <v>35</v>
      </c>
      <c r="O2" s="65" t="s">
        <v>35</v>
      </c>
      <c r="P2" s="65">
        <v>80</v>
      </c>
      <c r="Q2" s="65">
        <v>0.2</v>
      </c>
      <c r="R2" s="65">
        <v>0</v>
      </c>
      <c r="S2" s="65">
        <v>0.8</v>
      </c>
    </row>
    <row r="3" spans="1:19" ht="14.4" x14ac:dyDescent="0.3">
      <c r="A3" s="64" t="s">
        <v>110</v>
      </c>
      <c r="B3" s="64" t="s">
        <v>111</v>
      </c>
      <c r="C3" s="64" t="s">
        <v>106</v>
      </c>
      <c r="D3" s="64"/>
      <c r="E3" s="64">
        <v>1</v>
      </c>
      <c r="F3" s="64"/>
      <c r="G3" s="64"/>
      <c r="H3" s="64"/>
      <c r="I3" s="64"/>
      <c r="J3" s="64">
        <v>1</v>
      </c>
      <c r="K3" s="64" t="s">
        <v>68</v>
      </c>
      <c r="L3" s="65" t="s">
        <v>48</v>
      </c>
      <c r="M3" s="65" t="s">
        <v>40</v>
      </c>
      <c r="N3" s="65" t="s">
        <v>35</v>
      </c>
      <c r="O3" s="65" t="s">
        <v>35</v>
      </c>
      <c r="P3" s="65">
        <v>90</v>
      </c>
      <c r="Q3" s="65">
        <v>0.1</v>
      </c>
      <c r="R3" s="65">
        <v>0</v>
      </c>
      <c r="S3" s="65">
        <v>0.9</v>
      </c>
    </row>
    <row r="4" spans="1:19" ht="14.4" x14ac:dyDescent="0.3">
      <c r="A4" s="64" t="s">
        <v>137</v>
      </c>
      <c r="B4" s="64" t="s">
        <v>138</v>
      </c>
      <c r="C4" s="64" t="s">
        <v>106</v>
      </c>
      <c r="D4" s="64"/>
      <c r="E4" s="64">
        <v>1</v>
      </c>
      <c r="F4" s="64"/>
      <c r="G4" s="64"/>
      <c r="H4" s="64"/>
      <c r="I4" s="64"/>
      <c r="J4" s="64">
        <v>1</v>
      </c>
      <c r="K4" s="64" t="s">
        <v>68</v>
      </c>
      <c r="L4" s="65" t="s">
        <v>43</v>
      </c>
      <c r="M4" s="65" t="s">
        <v>34</v>
      </c>
      <c r="N4" s="65" t="s">
        <v>35</v>
      </c>
      <c r="O4" s="65" t="s">
        <v>35</v>
      </c>
      <c r="P4" s="65">
        <v>50</v>
      </c>
      <c r="Q4" s="65">
        <v>0.5</v>
      </c>
      <c r="R4" s="65">
        <v>0</v>
      </c>
      <c r="S4" s="65">
        <v>0.5</v>
      </c>
    </row>
    <row r="5" spans="1:19" ht="14.4" x14ac:dyDescent="0.3">
      <c r="A5" s="64" t="s">
        <v>139</v>
      </c>
      <c r="B5" s="64" t="s">
        <v>140</v>
      </c>
      <c r="C5" s="64" t="s">
        <v>106</v>
      </c>
      <c r="D5" s="64"/>
      <c r="E5" s="64"/>
      <c r="F5" s="64">
        <v>1</v>
      </c>
      <c r="G5" s="64"/>
      <c r="H5" s="64"/>
      <c r="I5" s="64"/>
      <c r="J5" s="64">
        <v>1</v>
      </c>
      <c r="K5" s="64" t="s">
        <v>68</v>
      </c>
      <c r="L5" s="65" t="s">
        <v>43</v>
      </c>
      <c r="M5" s="65" t="s">
        <v>44</v>
      </c>
      <c r="N5" s="65" t="s">
        <v>35</v>
      </c>
      <c r="O5" s="65" t="s">
        <v>35</v>
      </c>
      <c r="P5" s="65">
        <v>80</v>
      </c>
      <c r="Q5" s="65">
        <v>0.2</v>
      </c>
      <c r="R5" s="65">
        <v>0</v>
      </c>
      <c r="S5" s="65">
        <v>0.8</v>
      </c>
    </row>
    <row r="6" spans="1:19" ht="14.4" x14ac:dyDescent="0.3">
      <c r="A6" s="64" t="s">
        <v>244</v>
      </c>
      <c r="B6" s="64" t="s">
        <v>245</v>
      </c>
      <c r="C6" s="64" t="s">
        <v>106</v>
      </c>
      <c r="D6" s="64"/>
      <c r="E6" s="64"/>
      <c r="F6" s="64"/>
      <c r="G6" s="64">
        <v>1</v>
      </c>
      <c r="H6" s="64"/>
      <c r="I6" s="64"/>
      <c r="J6" s="64">
        <v>1</v>
      </c>
      <c r="K6" s="64" t="s">
        <v>68</v>
      </c>
      <c r="L6" s="65">
        <v>0</v>
      </c>
      <c r="M6" s="65">
        <v>0</v>
      </c>
      <c r="N6" s="65" t="s">
        <v>35</v>
      </c>
      <c r="O6" s="65" t="s">
        <v>35</v>
      </c>
      <c r="P6" s="65">
        <v>100</v>
      </c>
      <c r="Q6" s="65">
        <v>0</v>
      </c>
      <c r="R6" s="65">
        <v>0</v>
      </c>
      <c r="S6" s="65">
        <v>1</v>
      </c>
    </row>
    <row r="7" spans="1:19" ht="14.4" x14ac:dyDescent="0.3">
      <c r="A7" s="64" t="s">
        <v>389</v>
      </c>
      <c r="B7" s="64" t="s">
        <v>390</v>
      </c>
      <c r="C7" s="64" t="s">
        <v>107</v>
      </c>
      <c r="D7" s="64"/>
      <c r="E7" s="64"/>
      <c r="F7" s="64"/>
      <c r="G7" s="64">
        <v>1</v>
      </c>
      <c r="H7" s="64"/>
      <c r="I7" s="64"/>
      <c r="J7" s="64">
        <v>1</v>
      </c>
      <c r="K7" s="64" t="s">
        <v>68</v>
      </c>
      <c r="L7" s="65">
        <v>0</v>
      </c>
      <c r="M7" s="65">
        <v>0</v>
      </c>
      <c r="N7" s="65" t="s">
        <v>35</v>
      </c>
      <c r="O7" s="65" t="s">
        <v>35</v>
      </c>
      <c r="P7" s="65">
        <v>100</v>
      </c>
      <c r="Q7" s="65">
        <v>0</v>
      </c>
      <c r="R7" s="65">
        <v>0</v>
      </c>
      <c r="S7" s="65">
        <v>1</v>
      </c>
    </row>
    <row r="8" spans="1:19" ht="14.4" x14ac:dyDescent="0.3">
      <c r="A8" s="64" t="s">
        <v>122</v>
      </c>
      <c r="B8" s="64" t="s">
        <v>123</v>
      </c>
      <c r="C8" s="64" t="s">
        <v>107</v>
      </c>
      <c r="D8" s="64"/>
      <c r="E8" s="64"/>
      <c r="F8" s="64"/>
      <c r="G8" s="64"/>
      <c r="H8" s="64"/>
      <c r="I8" s="64">
        <v>2</v>
      </c>
      <c r="J8" s="64">
        <v>2</v>
      </c>
      <c r="K8" s="64" t="s">
        <v>68</v>
      </c>
      <c r="L8" s="65">
        <v>0</v>
      </c>
      <c r="M8" s="65">
        <v>0</v>
      </c>
      <c r="N8" s="65" t="s">
        <v>35</v>
      </c>
      <c r="O8" s="65" t="s">
        <v>35</v>
      </c>
      <c r="P8" s="65">
        <v>100</v>
      </c>
      <c r="Q8" s="65">
        <v>0</v>
      </c>
      <c r="R8" s="65">
        <v>0</v>
      </c>
      <c r="S8" s="65">
        <v>2</v>
      </c>
    </row>
    <row r="9" spans="1:19" ht="14.4" x14ac:dyDescent="0.3">
      <c r="A9" s="64" t="s">
        <v>136</v>
      </c>
      <c r="B9" s="64" t="s">
        <v>391</v>
      </c>
      <c r="C9" s="64">
        <v>6</v>
      </c>
      <c r="D9" s="64">
        <v>1</v>
      </c>
      <c r="E9" s="64"/>
      <c r="F9" s="64">
        <v>1</v>
      </c>
      <c r="G9" s="64"/>
      <c r="H9" s="64"/>
      <c r="I9" s="64"/>
      <c r="J9" s="64">
        <v>2</v>
      </c>
      <c r="K9" s="64" t="s">
        <v>68</v>
      </c>
      <c r="L9" s="65" t="s">
        <v>43</v>
      </c>
      <c r="M9" s="65" t="s">
        <v>34</v>
      </c>
      <c r="N9" s="65" t="s">
        <v>35</v>
      </c>
      <c r="O9" s="65" t="s">
        <v>35</v>
      </c>
      <c r="P9" s="65">
        <v>50</v>
      </c>
      <c r="Q9" s="65">
        <v>1</v>
      </c>
      <c r="R9" s="65">
        <v>0</v>
      </c>
      <c r="S9" s="65">
        <v>1</v>
      </c>
    </row>
    <row r="10" spans="1:19" ht="14.4" x14ac:dyDescent="0.3">
      <c r="A10" s="64" t="s">
        <v>130</v>
      </c>
      <c r="B10" s="64" t="s">
        <v>131</v>
      </c>
      <c r="C10" s="64" t="s">
        <v>106</v>
      </c>
      <c r="D10" s="64"/>
      <c r="E10" s="64">
        <v>1</v>
      </c>
      <c r="F10" s="64">
        <v>1</v>
      </c>
      <c r="G10" s="64"/>
      <c r="H10" s="64"/>
      <c r="I10" s="64"/>
      <c r="J10" s="64">
        <v>2</v>
      </c>
      <c r="K10" s="64" t="s">
        <v>68</v>
      </c>
      <c r="L10" s="65">
        <v>0</v>
      </c>
      <c r="M10" s="65">
        <v>0</v>
      </c>
      <c r="N10" s="65" t="s">
        <v>35</v>
      </c>
      <c r="O10" s="65" t="s">
        <v>35</v>
      </c>
      <c r="P10" s="65">
        <v>100</v>
      </c>
      <c r="Q10" s="65">
        <v>0</v>
      </c>
      <c r="R10" s="65">
        <v>0</v>
      </c>
      <c r="S10" s="65">
        <v>2</v>
      </c>
    </row>
    <row r="11" spans="1:19" ht="14.4" x14ac:dyDescent="0.3">
      <c r="A11" s="64" t="s">
        <v>114</v>
      </c>
      <c r="B11" s="64" t="s">
        <v>115</v>
      </c>
      <c r="C11" s="64" t="s">
        <v>106</v>
      </c>
      <c r="D11" s="64"/>
      <c r="E11" s="64"/>
      <c r="F11" s="64">
        <v>1</v>
      </c>
      <c r="G11" s="64"/>
      <c r="H11" s="64">
        <v>1</v>
      </c>
      <c r="I11" s="64"/>
      <c r="J11" s="64">
        <v>2</v>
      </c>
      <c r="K11" s="64" t="s">
        <v>68</v>
      </c>
      <c r="L11" s="65">
        <v>0</v>
      </c>
      <c r="M11" s="65">
        <v>0</v>
      </c>
      <c r="N11" s="65" t="s">
        <v>35</v>
      </c>
      <c r="O11" s="65" t="s">
        <v>35</v>
      </c>
      <c r="P11" s="65">
        <v>100</v>
      </c>
      <c r="Q11" s="65">
        <v>0</v>
      </c>
      <c r="R11" s="65">
        <v>0</v>
      </c>
      <c r="S11" s="65">
        <v>2</v>
      </c>
    </row>
    <row r="12" spans="1:19" ht="14.4" x14ac:dyDescent="0.3">
      <c r="A12" s="64" t="s">
        <v>132</v>
      </c>
      <c r="B12" s="64" t="s">
        <v>133</v>
      </c>
      <c r="C12" s="64" t="s">
        <v>106</v>
      </c>
      <c r="D12" s="64"/>
      <c r="E12" s="64"/>
      <c r="F12" s="64"/>
      <c r="G12" s="64">
        <v>1</v>
      </c>
      <c r="H12" s="64"/>
      <c r="I12" s="64"/>
      <c r="J12" s="64">
        <v>1</v>
      </c>
      <c r="K12" s="64" t="s">
        <v>68</v>
      </c>
      <c r="L12" s="65" t="s">
        <v>43</v>
      </c>
      <c r="M12" s="65" t="s">
        <v>34</v>
      </c>
      <c r="N12" s="65" t="s">
        <v>35</v>
      </c>
      <c r="O12" s="65" t="s">
        <v>35</v>
      </c>
      <c r="P12" s="65">
        <v>50</v>
      </c>
      <c r="Q12" s="65">
        <v>0.5</v>
      </c>
      <c r="R12" s="65">
        <v>0</v>
      </c>
      <c r="S12" s="65">
        <v>0.5</v>
      </c>
    </row>
    <row r="13" spans="1:19" ht="14.4" x14ac:dyDescent="0.3">
      <c r="A13" s="64" t="s">
        <v>124</v>
      </c>
      <c r="B13" s="64" t="s">
        <v>125</v>
      </c>
      <c r="C13" s="64" t="s">
        <v>106</v>
      </c>
      <c r="D13" s="64"/>
      <c r="E13" s="64">
        <v>2</v>
      </c>
      <c r="F13" s="64"/>
      <c r="G13" s="64"/>
      <c r="H13" s="64"/>
      <c r="I13" s="64"/>
      <c r="J13" s="64">
        <v>2</v>
      </c>
      <c r="K13" s="64" t="s">
        <v>68</v>
      </c>
      <c r="L13" s="65" t="s">
        <v>43</v>
      </c>
      <c r="M13" s="65" t="s">
        <v>44</v>
      </c>
      <c r="N13" s="65" t="s">
        <v>35</v>
      </c>
      <c r="O13" s="65" t="s">
        <v>35</v>
      </c>
      <c r="P13" s="65">
        <v>80</v>
      </c>
      <c r="Q13" s="65">
        <v>0.4</v>
      </c>
      <c r="R13" s="65">
        <v>0</v>
      </c>
      <c r="S13" s="65">
        <v>1.6</v>
      </c>
    </row>
    <row r="14" spans="1:19" ht="14.4" x14ac:dyDescent="0.3">
      <c r="A14" s="64" t="s">
        <v>240</v>
      </c>
      <c r="B14" s="64" t="s">
        <v>241</v>
      </c>
      <c r="C14" s="64" t="s">
        <v>106</v>
      </c>
      <c r="D14" s="64"/>
      <c r="E14" s="64"/>
      <c r="F14" s="64"/>
      <c r="G14" s="64">
        <v>2</v>
      </c>
      <c r="H14" s="64"/>
      <c r="I14" s="64">
        <v>1</v>
      </c>
      <c r="J14" s="64">
        <v>3</v>
      </c>
      <c r="K14" s="64" t="s">
        <v>68</v>
      </c>
      <c r="L14" s="65">
        <v>0</v>
      </c>
      <c r="M14" s="65">
        <v>0</v>
      </c>
      <c r="N14" s="65" t="s">
        <v>35</v>
      </c>
      <c r="O14" s="65" t="s">
        <v>35</v>
      </c>
      <c r="P14" s="65">
        <v>100</v>
      </c>
      <c r="Q14" s="65">
        <v>0</v>
      </c>
      <c r="R14" s="65">
        <v>0</v>
      </c>
      <c r="S14" s="65">
        <v>3</v>
      </c>
    </row>
    <row r="15" spans="1:19" ht="14.4" x14ac:dyDescent="0.3">
      <c r="A15" s="64" t="s">
        <v>120</v>
      </c>
      <c r="B15" s="64" t="s">
        <v>121</v>
      </c>
      <c r="C15" s="64" t="s">
        <v>107</v>
      </c>
      <c r="D15" s="64"/>
      <c r="E15" s="64"/>
      <c r="F15" s="64"/>
      <c r="G15" s="64"/>
      <c r="H15" s="64"/>
      <c r="I15" s="64">
        <v>2</v>
      </c>
      <c r="J15" s="64">
        <v>2</v>
      </c>
      <c r="K15" s="64" t="s">
        <v>68</v>
      </c>
      <c r="L15" s="65">
        <v>0</v>
      </c>
      <c r="M15" s="65">
        <v>0</v>
      </c>
      <c r="N15" s="65" t="s">
        <v>35</v>
      </c>
      <c r="O15" s="65" t="s">
        <v>35</v>
      </c>
      <c r="P15" s="65">
        <v>100</v>
      </c>
      <c r="Q15" s="65">
        <v>0</v>
      </c>
      <c r="R15" s="65">
        <v>0</v>
      </c>
      <c r="S15" s="65">
        <v>2</v>
      </c>
    </row>
    <row r="16" spans="1:19" ht="14.4" x14ac:dyDescent="0.3">
      <c r="A16" s="64" t="s">
        <v>116</v>
      </c>
      <c r="B16" s="64" t="s">
        <v>117</v>
      </c>
      <c r="C16" s="64" t="s">
        <v>106</v>
      </c>
      <c r="D16" s="64">
        <v>1</v>
      </c>
      <c r="E16" s="64"/>
      <c r="F16" s="64"/>
      <c r="G16" s="64"/>
      <c r="H16" s="64"/>
      <c r="I16" s="64"/>
      <c r="J16" s="64">
        <v>1</v>
      </c>
      <c r="K16" s="64" t="s">
        <v>68</v>
      </c>
      <c r="L16" s="65">
        <v>0</v>
      </c>
      <c r="M16" s="65">
        <v>0</v>
      </c>
      <c r="N16" s="65" t="s">
        <v>35</v>
      </c>
      <c r="O16" s="65" t="s">
        <v>35</v>
      </c>
      <c r="P16" s="65">
        <v>100</v>
      </c>
      <c r="Q16" s="65">
        <v>0</v>
      </c>
      <c r="R16" s="65">
        <v>0</v>
      </c>
      <c r="S16" s="65">
        <v>1</v>
      </c>
    </row>
    <row r="17" spans="1:19" ht="14.4" x14ac:dyDescent="0.3">
      <c r="A17" s="64" t="s">
        <v>108</v>
      </c>
      <c r="B17" s="64" t="s">
        <v>109</v>
      </c>
      <c r="C17" s="64" t="s">
        <v>107</v>
      </c>
      <c r="D17" s="64"/>
      <c r="E17" s="64"/>
      <c r="F17" s="64"/>
      <c r="G17" s="64"/>
      <c r="H17" s="64"/>
      <c r="I17" s="64">
        <v>3</v>
      </c>
      <c r="J17" s="64">
        <v>3</v>
      </c>
      <c r="K17" s="64" t="s">
        <v>68</v>
      </c>
      <c r="L17" s="65">
        <v>0</v>
      </c>
      <c r="M17" s="65">
        <v>0</v>
      </c>
      <c r="N17" s="65" t="s">
        <v>35</v>
      </c>
      <c r="O17" s="65" t="s">
        <v>35</v>
      </c>
      <c r="P17" s="65">
        <v>100</v>
      </c>
      <c r="Q17" s="65">
        <v>0</v>
      </c>
      <c r="R17" s="65">
        <v>0</v>
      </c>
      <c r="S17" s="65">
        <v>3</v>
      </c>
    </row>
    <row r="18" spans="1:19" ht="14.4" x14ac:dyDescent="0.3">
      <c r="A18" s="64" t="s">
        <v>118</v>
      </c>
      <c r="B18" s="64" t="s">
        <v>119</v>
      </c>
      <c r="C18" s="64" t="s">
        <v>106</v>
      </c>
      <c r="D18" s="64"/>
      <c r="E18" s="64">
        <v>2</v>
      </c>
      <c r="F18" s="64"/>
      <c r="G18" s="64"/>
      <c r="H18" s="64"/>
      <c r="I18" s="64"/>
      <c r="J18" s="64">
        <v>2</v>
      </c>
      <c r="K18" s="64" t="s">
        <v>68</v>
      </c>
      <c r="L18" s="65" t="s">
        <v>43</v>
      </c>
      <c r="M18" s="65" t="s">
        <v>44</v>
      </c>
      <c r="N18" s="65" t="s">
        <v>35</v>
      </c>
      <c r="O18" s="65" t="s">
        <v>35</v>
      </c>
      <c r="P18" s="65">
        <v>80</v>
      </c>
      <c r="Q18" s="65">
        <v>0.4</v>
      </c>
      <c r="R18" s="65">
        <v>0</v>
      </c>
      <c r="S18" s="65">
        <v>1.6</v>
      </c>
    </row>
    <row r="19" spans="1:19" ht="14.4" x14ac:dyDescent="0.3">
      <c r="A19" s="64" t="s">
        <v>242</v>
      </c>
      <c r="B19" s="64" t="s">
        <v>243</v>
      </c>
      <c r="C19" s="64" t="s">
        <v>107</v>
      </c>
      <c r="D19" s="64"/>
      <c r="E19" s="64"/>
      <c r="F19" s="64"/>
      <c r="G19" s="64"/>
      <c r="H19" s="64"/>
      <c r="I19" s="64">
        <v>2</v>
      </c>
      <c r="J19" s="64">
        <v>2</v>
      </c>
      <c r="K19" s="64" t="s">
        <v>68</v>
      </c>
      <c r="L19" s="65">
        <v>0</v>
      </c>
      <c r="M19" s="65">
        <v>0</v>
      </c>
      <c r="N19" s="65" t="s">
        <v>35</v>
      </c>
      <c r="O19" s="65" t="s">
        <v>35</v>
      </c>
      <c r="P19" s="65">
        <v>100</v>
      </c>
      <c r="Q19" s="65">
        <v>0</v>
      </c>
      <c r="R19" s="65">
        <v>0</v>
      </c>
      <c r="S19" s="65">
        <v>2</v>
      </c>
    </row>
    <row r="20" spans="1:19" ht="14.4" x14ac:dyDescent="0.3">
      <c r="A20" s="64" t="s">
        <v>126</v>
      </c>
      <c r="B20" s="64" t="s">
        <v>127</v>
      </c>
      <c r="C20" s="66" t="s">
        <v>106</v>
      </c>
      <c r="D20" s="64">
        <v>1</v>
      </c>
      <c r="E20" s="64"/>
      <c r="F20" s="64"/>
      <c r="G20" s="64"/>
      <c r="H20" s="64"/>
      <c r="I20" s="64"/>
      <c r="J20" s="64">
        <v>1</v>
      </c>
      <c r="K20" s="64" t="s">
        <v>68</v>
      </c>
      <c r="L20" s="65" t="s">
        <v>43</v>
      </c>
      <c r="M20" s="65" t="s">
        <v>44</v>
      </c>
      <c r="N20" s="65" t="s">
        <v>35</v>
      </c>
      <c r="O20" s="65" t="s">
        <v>35</v>
      </c>
      <c r="P20" s="65">
        <v>80</v>
      </c>
      <c r="Q20" s="65">
        <v>0.2</v>
      </c>
      <c r="R20" s="65">
        <v>0</v>
      </c>
      <c r="S20" s="65">
        <v>0.8</v>
      </c>
    </row>
    <row r="21" spans="1:19" ht="14.4" x14ac:dyDescent="0.3">
      <c r="A21" s="64" t="s">
        <v>112</v>
      </c>
      <c r="B21" s="64" t="s">
        <v>113</v>
      </c>
      <c r="C21" s="66" t="s">
        <v>106</v>
      </c>
      <c r="D21" s="64"/>
      <c r="E21" s="64"/>
      <c r="F21" s="64">
        <v>1</v>
      </c>
      <c r="G21" s="64"/>
      <c r="H21" s="64"/>
      <c r="I21" s="64">
        <v>1</v>
      </c>
      <c r="J21" s="64">
        <v>2</v>
      </c>
      <c r="K21" s="64" t="s">
        <v>68</v>
      </c>
      <c r="L21" s="65">
        <v>0</v>
      </c>
      <c r="M21" s="65">
        <v>0</v>
      </c>
      <c r="N21" s="65" t="s">
        <v>35</v>
      </c>
      <c r="O21" s="65" t="s">
        <v>35</v>
      </c>
      <c r="P21" s="65">
        <v>100</v>
      </c>
      <c r="Q21" s="65">
        <v>0</v>
      </c>
      <c r="R21" s="65">
        <v>0</v>
      </c>
      <c r="S21" s="65">
        <v>2</v>
      </c>
    </row>
    <row r="22" spans="1:19" ht="14.4" x14ac:dyDescent="0.3">
      <c r="A22" s="64" t="s">
        <v>128</v>
      </c>
      <c r="B22" s="64" t="s">
        <v>129</v>
      </c>
      <c r="C22" s="66" t="s">
        <v>392</v>
      </c>
      <c r="D22" s="64"/>
      <c r="E22" s="64"/>
      <c r="F22" s="64"/>
      <c r="G22" s="64"/>
      <c r="H22" s="64"/>
      <c r="I22" s="64">
        <v>1</v>
      </c>
      <c r="J22" s="64">
        <v>1</v>
      </c>
      <c r="K22" s="64" t="s">
        <v>68</v>
      </c>
      <c r="L22" s="65" t="s">
        <v>43</v>
      </c>
      <c r="M22" s="65" t="s">
        <v>44</v>
      </c>
      <c r="N22" s="65" t="s">
        <v>35</v>
      </c>
      <c r="O22" s="65" t="s">
        <v>35</v>
      </c>
      <c r="P22" s="65">
        <v>80</v>
      </c>
      <c r="Q22" s="65">
        <v>0.2</v>
      </c>
      <c r="R22" s="65">
        <v>0</v>
      </c>
      <c r="S22" s="65">
        <v>0.8</v>
      </c>
    </row>
    <row r="23" spans="1:19" x14ac:dyDescent="0.25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9"/>
      <c r="O23" s="68"/>
      <c r="P23" s="69"/>
      <c r="Q23" s="68"/>
      <c r="R23" s="68"/>
      <c r="S23" s="67">
        <f>SUM(S2:S22)</f>
        <v>30.300000000000004</v>
      </c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2"/>
  <sheetViews>
    <sheetView topLeftCell="A76" zoomScaleNormal="100" workbookViewId="0">
      <selection activeCell="A62" sqref="A62:B102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3</v>
      </c>
      <c r="B2" s="5"/>
    </row>
    <row r="3" spans="1:2" x14ac:dyDescent="0.2">
      <c r="A3" s="4" t="s">
        <v>141</v>
      </c>
      <c r="B3" s="5">
        <v>10000</v>
      </c>
    </row>
    <row r="4" spans="1:2" x14ac:dyDescent="0.2">
      <c r="A4" s="4" t="s">
        <v>4</v>
      </c>
      <c r="B4" s="5"/>
    </row>
    <row r="5" spans="1:2" x14ac:dyDescent="0.2">
      <c r="A5" s="4" t="s">
        <v>142</v>
      </c>
      <c r="B5" s="5">
        <v>6000</v>
      </c>
    </row>
    <row r="6" spans="1:2" x14ac:dyDescent="0.2">
      <c r="A6" s="4" t="s">
        <v>143</v>
      </c>
      <c r="B6" s="5">
        <v>3600</v>
      </c>
    </row>
    <row r="7" spans="1:2" x14ac:dyDescent="0.2">
      <c r="A7" s="4" t="s">
        <v>144</v>
      </c>
      <c r="B7" s="5">
        <v>2400</v>
      </c>
    </row>
    <row r="8" spans="1:2" x14ac:dyDescent="0.2">
      <c r="A8" s="4" t="s">
        <v>5</v>
      </c>
      <c r="B8" s="5"/>
    </row>
    <row r="9" spans="1:2" x14ac:dyDescent="0.2">
      <c r="A9" s="4" t="s">
        <v>145</v>
      </c>
      <c r="B9" s="5">
        <v>15000</v>
      </c>
    </row>
    <row r="10" spans="1:2" x14ac:dyDescent="0.2">
      <c r="A10" s="4" t="s">
        <v>146</v>
      </c>
      <c r="B10" s="5"/>
    </row>
    <row r="11" spans="1:2" x14ac:dyDescent="0.2">
      <c r="A11" s="4" t="s">
        <v>147</v>
      </c>
      <c r="B11" s="5">
        <v>600</v>
      </c>
    </row>
    <row r="12" spans="1:2" x14ac:dyDescent="0.2">
      <c r="A12" s="4" t="s">
        <v>148</v>
      </c>
      <c r="B12" s="5">
        <v>600</v>
      </c>
    </row>
    <row r="13" spans="1:2" x14ac:dyDescent="0.2">
      <c r="A13" s="4" t="s">
        <v>149</v>
      </c>
      <c r="B13" s="5"/>
    </row>
    <row r="14" spans="1:2" x14ac:dyDescent="0.2">
      <c r="A14" s="4" t="s">
        <v>150</v>
      </c>
      <c r="B14" s="5">
        <v>2500</v>
      </c>
    </row>
    <row r="15" spans="1:2" x14ac:dyDescent="0.2">
      <c r="A15" s="4" t="s">
        <v>151</v>
      </c>
      <c r="B15" s="5"/>
    </row>
    <row r="16" spans="1:2" x14ac:dyDescent="0.2">
      <c r="A16" s="4" t="s">
        <v>152</v>
      </c>
      <c r="B16" s="5">
        <v>3520</v>
      </c>
    </row>
    <row r="17" spans="1:2" x14ac:dyDescent="0.2">
      <c r="A17" s="4" t="s">
        <v>153</v>
      </c>
      <c r="B17" s="5">
        <v>2288</v>
      </c>
    </row>
    <row r="18" spans="1:2" x14ac:dyDescent="0.2">
      <c r="A18" s="4" t="s">
        <v>154</v>
      </c>
      <c r="B18" s="5">
        <v>2904</v>
      </c>
    </row>
    <row r="19" spans="1:2" x14ac:dyDescent="0.2">
      <c r="A19" s="4" t="s">
        <v>155</v>
      </c>
      <c r="B19" s="5"/>
    </row>
    <row r="20" spans="1:2" x14ac:dyDescent="0.2">
      <c r="A20" s="4" t="s">
        <v>156</v>
      </c>
      <c r="B20" s="5">
        <v>976.53</v>
      </c>
    </row>
    <row r="21" spans="1:2" x14ac:dyDescent="0.2">
      <c r="A21" s="4" t="s">
        <v>157</v>
      </c>
      <c r="B21" s="5">
        <v>2124.3000000000002</v>
      </c>
    </row>
    <row r="22" spans="1:2" x14ac:dyDescent="0.2">
      <c r="A22" s="4" t="s">
        <v>158</v>
      </c>
      <c r="B22" s="5">
        <v>1108.43</v>
      </c>
    </row>
    <row r="23" spans="1:2" x14ac:dyDescent="0.2">
      <c r="A23" s="4" t="s">
        <v>159</v>
      </c>
      <c r="B23" s="5">
        <v>4397.54</v>
      </c>
    </row>
    <row r="24" spans="1:2" x14ac:dyDescent="0.2">
      <c r="A24" s="4" t="s">
        <v>160</v>
      </c>
      <c r="B24" s="5">
        <v>1402.9</v>
      </c>
    </row>
    <row r="25" spans="1:2" x14ac:dyDescent="0.2">
      <c r="A25" s="4" t="s">
        <v>161</v>
      </c>
      <c r="B25" s="5">
        <v>630.58000000000004</v>
      </c>
    </row>
    <row r="26" spans="1:2" x14ac:dyDescent="0.2">
      <c r="A26" s="4" t="s">
        <v>162</v>
      </c>
      <c r="B26" s="5">
        <v>1110.8499999999999</v>
      </c>
    </row>
    <row r="27" spans="1:2" x14ac:dyDescent="0.2">
      <c r="A27" s="4" t="s">
        <v>163</v>
      </c>
      <c r="B27" s="5"/>
    </row>
    <row r="28" spans="1:2" x14ac:dyDescent="0.2">
      <c r="A28" s="4" t="s">
        <v>164</v>
      </c>
      <c r="B28" s="5">
        <v>360</v>
      </c>
    </row>
    <row r="29" spans="1:2" x14ac:dyDescent="0.2">
      <c r="A29" s="4" t="s">
        <v>165</v>
      </c>
      <c r="B29" s="5"/>
    </row>
    <row r="30" spans="1:2" x14ac:dyDescent="0.2">
      <c r="A30" s="4" t="s">
        <v>166</v>
      </c>
      <c r="B30" s="5">
        <v>616</v>
      </c>
    </row>
    <row r="31" spans="1:2" x14ac:dyDescent="0.2">
      <c r="A31" s="4" t="s">
        <v>167</v>
      </c>
      <c r="B31" s="5"/>
    </row>
    <row r="32" spans="1:2" x14ac:dyDescent="0.2">
      <c r="A32" s="4" t="s">
        <v>168</v>
      </c>
      <c r="B32" s="5">
        <v>125</v>
      </c>
    </row>
    <row r="33" spans="1:2" x14ac:dyDescent="0.2">
      <c r="A33" s="4" t="s">
        <v>169</v>
      </c>
      <c r="B33" s="5"/>
    </row>
    <row r="34" spans="1:2" x14ac:dyDescent="0.2">
      <c r="A34" s="4" t="s">
        <v>170</v>
      </c>
      <c r="B34" s="5">
        <v>600</v>
      </c>
    </row>
    <row r="35" spans="1:2" x14ac:dyDescent="0.2">
      <c r="A35" s="4" t="s">
        <v>171</v>
      </c>
      <c r="B35" s="5"/>
    </row>
    <row r="36" spans="1:2" x14ac:dyDescent="0.2">
      <c r="A36" s="4" t="s">
        <v>172</v>
      </c>
      <c r="B36" s="5">
        <v>565</v>
      </c>
    </row>
    <row r="37" spans="1:2" x14ac:dyDescent="0.2">
      <c r="A37" s="4" t="s">
        <v>173</v>
      </c>
      <c r="B37" s="5"/>
    </row>
    <row r="38" spans="1:2" x14ac:dyDescent="0.2">
      <c r="A38" s="4" t="s">
        <v>174</v>
      </c>
      <c r="B38" s="5">
        <v>200</v>
      </c>
    </row>
    <row r="39" spans="1:2" x14ac:dyDescent="0.2">
      <c r="A39" s="4" t="s">
        <v>175</v>
      </c>
      <c r="B39" s="5"/>
    </row>
    <row r="40" spans="1:2" x14ac:dyDescent="0.2">
      <c r="A40" s="4" t="s">
        <v>176</v>
      </c>
      <c r="B40" s="5">
        <v>3000</v>
      </c>
    </row>
    <row r="41" spans="1:2" x14ac:dyDescent="0.2">
      <c r="A41" s="4" t="s">
        <v>177</v>
      </c>
      <c r="B41" s="5"/>
    </row>
    <row r="42" spans="1:2" x14ac:dyDescent="0.2">
      <c r="A42" s="4" t="s">
        <v>178</v>
      </c>
      <c r="B42" s="5">
        <v>9420</v>
      </c>
    </row>
    <row r="43" spans="1:2" x14ac:dyDescent="0.2">
      <c r="A43" s="4" t="s">
        <v>179</v>
      </c>
      <c r="B43" s="5">
        <v>6280</v>
      </c>
    </row>
    <row r="44" spans="1:2" x14ac:dyDescent="0.2">
      <c r="A44" s="4" t="s">
        <v>180</v>
      </c>
      <c r="B44" s="5"/>
    </row>
    <row r="45" spans="1:2" x14ac:dyDescent="0.2">
      <c r="A45" s="4" t="s">
        <v>181</v>
      </c>
      <c r="B45" s="5">
        <v>1000</v>
      </c>
    </row>
    <row r="46" spans="1:2" x14ac:dyDescent="0.2">
      <c r="A46" s="4" t="s">
        <v>182</v>
      </c>
      <c r="B46" s="5"/>
    </row>
    <row r="47" spans="1:2" x14ac:dyDescent="0.2">
      <c r="A47" s="4" t="s">
        <v>183</v>
      </c>
      <c r="B47" s="5">
        <v>50</v>
      </c>
    </row>
    <row r="48" spans="1:2" x14ac:dyDescent="0.2">
      <c r="A48" s="4" t="s">
        <v>184</v>
      </c>
      <c r="B48" s="5"/>
    </row>
    <row r="49" spans="1:2" x14ac:dyDescent="0.2">
      <c r="A49" s="4" t="s">
        <v>185</v>
      </c>
      <c r="B49" s="5">
        <v>77.150000000000006</v>
      </c>
    </row>
    <row r="50" spans="1:2" x14ac:dyDescent="0.2">
      <c r="A50" s="4" t="s">
        <v>186</v>
      </c>
      <c r="B50" s="5"/>
    </row>
    <row r="51" spans="1:2" x14ac:dyDescent="0.2">
      <c r="A51" s="4" t="s">
        <v>187</v>
      </c>
      <c r="B51" s="5">
        <v>900</v>
      </c>
    </row>
    <row r="52" spans="1:2" x14ac:dyDescent="0.2">
      <c r="A52" s="4" t="s">
        <v>188</v>
      </c>
      <c r="B52" s="5"/>
    </row>
    <row r="53" spans="1:2" x14ac:dyDescent="0.2">
      <c r="A53" s="4" t="s">
        <v>189</v>
      </c>
      <c r="B53" s="5">
        <v>300</v>
      </c>
    </row>
    <row r="54" spans="1:2" x14ac:dyDescent="0.2">
      <c r="A54" s="4" t="s">
        <v>190</v>
      </c>
      <c r="B54" s="5"/>
    </row>
    <row r="55" spans="1:2" x14ac:dyDescent="0.2">
      <c r="A55" s="4" t="s">
        <v>189</v>
      </c>
      <c r="B55" s="5">
        <v>300</v>
      </c>
    </row>
    <row r="56" spans="1:2" x14ac:dyDescent="0.2">
      <c r="A56" s="4" t="s">
        <v>191</v>
      </c>
      <c r="B56" s="5"/>
    </row>
    <row r="57" spans="1:2" x14ac:dyDescent="0.2">
      <c r="A57" s="4" t="s">
        <v>192</v>
      </c>
      <c r="B57" s="5">
        <v>600</v>
      </c>
    </row>
    <row r="58" spans="1:2" x14ac:dyDescent="0.2">
      <c r="A58" s="4" t="s">
        <v>193</v>
      </c>
      <c r="B58" s="5"/>
    </row>
    <row r="59" spans="1:2" x14ac:dyDescent="0.2">
      <c r="A59" s="4" t="s">
        <v>194</v>
      </c>
      <c r="B59" s="5">
        <v>1100</v>
      </c>
    </row>
    <row r="60" spans="1:2" x14ac:dyDescent="0.2">
      <c r="A60" s="4" t="s">
        <v>195</v>
      </c>
      <c r="B60" s="5"/>
    </row>
    <row r="61" spans="1:2" x14ac:dyDescent="0.2">
      <c r="A61" s="4" t="s">
        <v>196</v>
      </c>
      <c r="B61" s="5">
        <v>1700</v>
      </c>
    </row>
    <row r="62" spans="1:2" x14ac:dyDescent="0.2">
      <c r="A62" s="4" t="s">
        <v>197</v>
      </c>
      <c r="B62" s="5"/>
    </row>
    <row r="63" spans="1:2" x14ac:dyDescent="0.2">
      <c r="A63" s="4" t="s">
        <v>198</v>
      </c>
      <c r="B63" s="5">
        <v>400</v>
      </c>
    </row>
    <row r="64" spans="1:2" x14ac:dyDescent="0.2">
      <c r="A64" s="4" t="s">
        <v>199</v>
      </c>
      <c r="B64" s="5"/>
    </row>
    <row r="65" spans="1:2" x14ac:dyDescent="0.2">
      <c r="A65" s="4" t="s">
        <v>200</v>
      </c>
      <c r="B65" s="5">
        <v>400</v>
      </c>
    </row>
    <row r="66" spans="1:2" x14ac:dyDescent="0.2">
      <c r="A66" s="4" t="s">
        <v>201</v>
      </c>
      <c r="B66" s="5"/>
    </row>
    <row r="67" spans="1:2" x14ac:dyDescent="0.2">
      <c r="A67" s="4" t="s">
        <v>200</v>
      </c>
      <c r="B67" s="5">
        <v>400</v>
      </c>
    </row>
    <row r="68" spans="1:2" x14ac:dyDescent="0.2">
      <c r="A68" s="4" t="s">
        <v>202</v>
      </c>
      <c r="B68" s="5"/>
    </row>
    <row r="69" spans="1:2" x14ac:dyDescent="0.2">
      <c r="A69" s="4" t="s">
        <v>200</v>
      </c>
      <c r="B69" s="5">
        <v>300</v>
      </c>
    </row>
    <row r="70" spans="1:2" x14ac:dyDescent="0.2">
      <c r="A70" s="4" t="s">
        <v>203</v>
      </c>
      <c r="B70" s="5"/>
    </row>
    <row r="71" spans="1:2" x14ac:dyDescent="0.2">
      <c r="A71" s="4" t="s">
        <v>200</v>
      </c>
      <c r="B71" s="5">
        <v>600</v>
      </c>
    </row>
    <row r="72" spans="1:2" x14ac:dyDescent="0.2">
      <c r="A72" s="4" t="s">
        <v>204</v>
      </c>
      <c r="B72" s="5"/>
    </row>
    <row r="73" spans="1:2" x14ac:dyDescent="0.2">
      <c r="A73" s="4" t="s">
        <v>205</v>
      </c>
      <c r="B73" s="5">
        <v>300</v>
      </c>
    </row>
    <row r="74" spans="1:2" x14ac:dyDescent="0.2">
      <c r="A74" s="4" t="s">
        <v>206</v>
      </c>
      <c r="B74" s="5"/>
    </row>
    <row r="75" spans="1:2" x14ac:dyDescent="0.2">
      <c r="A75" s="4" t="s">
        <v>207</v>
      </c>
      <c r="B75" s="5">
        <v>400</v>
      </c>
    </row>
    <row r="76" spans="1:2" x14ac:dyDescent="0.2">
      <c r="A76" s="4" t="s">
        <v>208</v>
      </c>
      <c r="B76" s="5"/>
    </row>
    <row r="77" spans="1:2" x14ac:dyDescent="0.2">
      <c r="A77" s="4" t="s">
        <v>209</v>
      </c>
      <c r="B77" s="5">
        <v>2100</v>
      </c>
    </row>
    <row r="78" spans="1:2" x14ac:dyDescent="0.2">
      <c r="A78" s="4" t="s">
        <v>210</v>
      </c>
      <c r="B78" s="5"/>
    </row>
    <row r="79" spans="1:2" x14ac:dyDescent="0.2">
      <c r="A79" s="4" t="s">
        <v>211</v>
      </c>
      <c r="B79" s="5">
        <v>400</v>
      </c>
    </row>
    <row r="80" spans="1:2" x14ac:dyDescent="0.2">
      <c r="A80" s="4" t="s">
        <v>212</v>
      </c>
      <c r="B80" s="5"/>
    </row>
    <row r="81" spans="1:2" x14ac:dyDescent="0.2">
      <c r="A81" s="4" t="s">
        <v>213</v>
      </c>
      <c r="B81" s="5">
        <v>1519.04</v>
      </c>
    </row>
    <row r="82" spans="1:2" x14ac:dyDescent="0.2">
      <c r="A82" s="4" t="s">
        <v>214</v>
      </c>
      <c r="B82" s="5"/>
    </row>
    <row r="83" spans="1:2" x14ac:dyDescent="0.2">
      <c r="A83" s="4" t="s">
        <v>215</v>
      </c>
      <c r="B83" s="5">
        <v>300</v>
      </c>
    </row>
    <row r="84" spans="1:2" x14ac:dyDescent="0.2">
      <c r="A84" s="4" t="s">
        <v>216</v>
      </c>
      <c r="B84" s="5"/>
    </row>
    <row r="85" spans="1:2" x14ac:dyDescent="0.2">
      <c r="A85" s="4" t="s">
        <v>200</v>
      </c>
      <c r="B85" s="5">
        <v>600</v>
      </c>
    </row>
    <row r="86" spans="1:2" x14ac:dyDescent="0.2">
      <c r="A86" s="4" t="s">
        <v>217</v>
      </c>
      <c r="B86" s="5"/>
    </row>
    <row r="87" spans="1:2" x14ac:dyDescent="0.2">
      <c r="A87" s="4" t="s">
        <v>218</v>
      </c>
      <c r="B87" s="5">
        <v>1519.04</v>
      </c>
    </row>
    <row r="88" spans="1:2" x14ac:dyDescent="0.2">
      <c r="A88" s="4" t="s">
        <v>219</v>
      </c>
      <c r="B88" s="5"/>
    </row>
    <row r="89" spans="1:2" x14ac:dyDescent="0.2">
      <c r="A89" s="4" t="s">
        <v>220</v>
      </c>
      <c r="B89" s="5">
        <v>300</v>
      </c>
    </row>
    <row r="90" spans="1:2" x14ac:dyDescent="0.2">
      <c r="A90" s="4" t="s">
        <v>6</v>
      </c>
      <c r="B90" s="5"/>
    </row>
    <row r="91" spans="1:2" x14ac:dyDescent="0.2">
      <c r="A91" s="4" t="s">
        <v>221</v>
      </c>
      <c r="B91" s="5">
        <v>11760</v>
      </c>
    </row>
    <row r="92" spans="1:2" x14ac:dyDescent="0.2">
      <c r="A92" s="4" t="s">
        <v>222</v>
      </c>
      <c r="B92" s="5">
        <v>4.13</v>
      </c>
    </row>
    <row r="93" spans="1:2" x14ac:dyDescent="0.2">
      <c r="A93" s="4" t="s">
        <v>7</v>
      </c>
      <c r="B93" s="5"/>
    </row>
    <row r="94" spans="1:2" x14ac:dyDescent="0.2">
      <c r="A94" s="4" t="s">
        <v>223</v>
      </c>
      <c r="B94" s="5">
        <v>6180</v>
      </c>
    </row>
    <row r="95" spans="1:2" x14ac:dyDescent="0.2">
      <c r="A95" s="4" t="s">
        <v>8</v>
      </c>
      <c r="B95" s="5"/>
    </row>
    <row r="96" spans="1:2" x14ac:dyDescent="0.2">
      <c r="A96" s="4" t="s">
        <v>224</v>
      </c>
      <c r="B96" s="5">
        <v>20000</v>
      </c>
    </row>
    <row r="97" spans="1:2" x14ac:dyDescent="0.2">
      <c r="A97" s="4" t="s">
        <v>225</v>
      </c>
      <c r="B97" s="5"/>
    </row>
    <row r="98" spans="1:2" x14ac:dyDescent="0.2">
      <c r="A98" s="4" t="s">
        <v>226</v>
      </c>
      <c r="B98" s="5">
        <v>12500</v>
      </c>
    </row>
    <row r="99" spans="1:2" x14ac:dyDescent="0.2">
      <c r="A99" s="4" t="s">
        <v>227</v>
      </c>
      <c r="B99" s="5">
        <v>6000</v>
      </c>
    </row>
    <row r="100" spans="1:2" x14ac:dyDescent="0.2">
      <c r="A100" s="4" t="s">
        <v>228</v>
      </c>
      <c r="B100" s="5"/>
    </row>
    <row r="101" spans="1:2" x14ac:dyDescent="0.2">
      <c r="A101" s="4" t="s">
        <v>229</v>
      </c>
      <c r="B101" s="5">
        <v>13127.65</v>
      </c>
    </row>
    <row r="102" spans="1:2" x14ac:dyDescent="0.2">
      <c r="A102" s="6" t="s">
        <v>2</v>
      </c>
      <c r="B102" s="7">
        <f>SUM(B3:B101)</f>
        <v>167466.13999999998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414D4-9818-44B8-987F-7D3674054CFF}">
  <dimension ref="A1:B59"/>
  <sheetViews>
    <sheetView topLeftCell="A31" zoomScaleNormal="100" workbookViewId="0">
      <selection activeCell="A65" sqref="A65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146</v>
      </c>
      <c r="B2" s="5"/>
    </row>
    <row r="3" spans="1:2" x14ac:dyDescent="0.2">
      <c r="A3" s="4" t="s">
        <v>147</v>
      </c>
      <c r="B3" s="5">
        <v>1056</v>
      </c>
    </row>
    <row r="4" spans="1:2" x14ac:dyDescent="0.2">
      <c r="A4" s="4" t="s">
        <v>251</v>
      </c>
      <c r="B4" s="5">
        <v>880</v>
      </c>
    </row>
    <row r="5" spans="1:2" x14ac:dyDescent="0.2">
      <c r="A5" s="4" t="s">
        <v>149</v>
      </c>
      <c r="B5" s="5"/>
    </row>
    <row r="6" spans="1:2" x14ac:dyDescent="0.2">
      <c r="A6" s="4" t="s">
        <v>252</v>
      </c>
      <c r="B6" s="5">
        <v>3909.09</v>
      </c>
    </row>
    <row r="7" spans="1:2" x14ac:dyDescent="0.2">
      <c r="A7" s="4" t="s">
        <v>151</v>
      </c>
      <c r="B7" s="5"/>
    </row>
    <row r="8" spans="1:2" x14ac:dyDescent="0.2">
      <c r="A8" s="4" t="s">
        <v>253</v>
      </c>
      <c r="B8" s="5">
        <v>1216.1600000000001</v>
      </c>
    </row>
    <row r="9" spans="1:2" x14ac:dyDescent="0.2">
      <c r="A9" s="4" t="s">
        <v>254</v>
      </c>
      <c r="B9" s="5">
        <v>3329.92</v>
      </c>
    </row>
    <row r="10" spans="1:2" x14ac:dyDescent="0.2">
      <c r="A10" s="4" t="s">
        <v>155</v>
      </c>
      <c r="B10" s="5"/>
    </row>
    <row r="11" spans="1:2" x14ac:dyDescent="0.2">
      <c r="A11" s="4" t="s">
        <v>255</v>
      </c>
      <c r="B11" s="5">
        <v>2377.96</v>
      </c>
    </row>
    <row r="12" spans="1:2" x14ac:dyDescent="0.2">
      <c r="A12" s="4" t="s">
        <v>256</v>
      </c>
      <c r="B12" s="5">
        <v>209.24</v>
      </c>
    </row>
    <row r="13" spans="1:2" x14ac:dyDescent="0.2">
      <c r="A13" s="4" t="s">
        <v>257</v>
      </c>
      <c r="B13" s="5">
        <v>1652</v>
      </c>
    </row>
    <row r="14" spans="1:2" x14ac:dyDescent="0.2">
      <c r="A14" s="4" t="s">
        <v>258</v>
      </c>
      <c r="B14" s="5">
        <v>1662.47</v>
      </c>
    </row>
    <row r="15" spans="1:2" x14ac:dyDescent="0.2">
      <c r="A15" s="4" t="s">
        <v>259</v>
      </c>
      <c r="B15" s="5">
        <v>62.31</v>
      </c>
    </row>
    <row r="16" spans="1:2" x14ac:dyDescent="0.2">
      <c r="A16" s="4" t="s">
        <v>260</v>
      </c>
      <c r="B16" s="5">
        <v>1624.51</v>
      </c>
    </row>
    <row r="17" spans="1:2" x14ac:dyDescent="0.2">
      <c r="A17" s="4" t="s">
        <v>261</v>
      </c>
      <c r="B17" s="5">
        <v>2211.5</v>
      </c>
    </row>
    <row r="18" spans="1:2" x14ac:dyDescent="0.2">
      <c r="A18" s="4" t="s">
        <v>262</v>
      </c>
      <c r="B18" s="5">
        <v>911.28</v>
      </c>
    </row>
    <row r="19" spans="1:2" x14ac:dyDescent="0.2">
      <c r="A19" s="4" t="s">
        <v>263</v>
      </c>
      <c r="B19" s="5">
        <v>1252.3599999999999</v>
      </c>
    </row>
    <row r="20" spans="1:2" x14ac:dyDescent="0.2">
      <c r="A20" s="4" t="s">
        <v>264</v>
      </c>
      <c r="B20" s="5">
        <v>1321.17</v>
      </c>
    </row>
    <row r="21" spans="1:2" x14ac:dyDescent="0.2">
      <c r="A21" s="4" t="s">
        <v>265</v>
      </c>
      <c r="B21" s="5">
        <v>1520</v>
      </c>
    </row>
    <row r="22" spans="1:2" x14ac:dyDescent="0.2">
      <c r="A22" s="4" t="s">
        <v>266</v>
      </c>
      <c r="B22" s="5">
        <v>1254.9100000000001</v>
      </c>
    </row>
    <row r="23" spans="1:2" x14ac:dyDescent="0.2">
      <c r="A23" s="4" t="s">
        <v>177</v>
      </c>
      <c r="B23" s="5"/>
    </row>
    <row r="24" spans="1:2" x14ac:dyDescent="0.2">
      <c r="A24" s="4" t="s">
        <v>267</v>
      </c>
      <c r="B24" s="5">
        <v>1865.6</v>
      </c>
    </row>
    <row r="25" spans="1:2" x14ac:dyDescent="0.2">
      <c r="A25" s="4" t="s">
        <v>268</v>
      </c>
      <c r="B25" s="5"/>
    </row>
    <row r="26" spans="1:2" x14ac:dyDescent="0.2">
      <c r="A26" s="4" t="s">
        <v>269</v>
      </c>
      <c r="B26" s="5">
        <v>1760</v>
      </c>
    </row>
    <row r="27" spans="1:2" x14ac:dyDescent="0.2">
      <c r="A27" s="4" t="s">
        <v>182</v>
      </c>
      <c r="B27" s="5"/>
    </row>
    <row r="28" spans="1:2" x14ac:dyDescent="0.2">
      <c r="A28" s="4" t="s">
        <v>270</v>
      </c>
      <c r="B28" s="5">
        <v>44</v>
      </c>
    </row>
    <row r="29" spans="1:2" x14ac:dyDescent="0.2">
      <c r="A29" s="4" t="s">
        <v>271</v>
      </c>
      <c r="B29" s="5"/>
    </row>
    <row r="30" spans="1:2" x14ac:dyDescent="0.2">
      <c r="A30" s="4" t="s">
        <v>272</v>
      </c>
      <c r="B30" s="5">
        <v>1320</v>
      </c>
    </row>
    <row r="31" spans="1:2" x14ac:dyDescent="0.2">
      <c r="A31" s="4" t="s">
        <v>273</v>
      </c>
      <c r="B31" s="5"/>
    </row>
    <row r="32" spans="1:2" x14ac:dyDescent="0.2">
      <c r="A32" s="4" t="s">
        <v>274</v>
      </c>
      <c r="B32" s="5">
        <v>308</v>
      </c>
    </row>
    <row r="33" spans="1:2" x14ac:dyDescent="0.2">
      <c r="A33" s="4" t="s">
        <v>275</v>
      </c>
      <c r="B33" s="5"/>
    </row>
    <row r="34" spans="1:2" x14ac:dyDescent="0.2">
      <c r="A34" s="4" t="s">
        <v>276</v>
      </c>
      <c r="B34" s="5">
        <v>4293.51</v>
      </c>
    </row>
    <row r="35" spans="1:2" x14ac:dyDescent="0.2">
      <c r="A35" s="4" t="s">
        <v>277</v>
      </c>
      <c r="B35" s="5"/>
    </row>
    <row r="36" spans="1:2" x14ac:dyDescent="0.2">
      <c r="A36" s="4" t="s">
        <v>278</v>
      </c>
      <c r="B36" s="5">
        <v>1760</v>
      </c>
    </row>
    <row r="37" spans="1:2" x14ac:dyDescent="0.2">
      <c r="A37" s="4" t="s">
        <v>279</v>
      </c>
      <c r="B37" s="5"/>
    </row>
    <row r="38" spans="1:2" x14ac:dyDescent="0.2">
      <c r="A38" s="4" t="s">
        <v>280</v>
      </c>
      <c r="B38" s="5">
        <v>132</v>
      </c>
    </row>
    <row r="39" spans="1:2" x14ac:dyDescent="0.2">
      <c r="A39" s="4" t="s">
        <v>281</v>
      </c>
      <c r="B39" s="5"/>
    </row>
    <row r="40" spans="1:2" x14ac:dyDescent="0.2">
      <c r="A40" s="4" t="s">
        <v>282</v>
      </c>
      <c r="B40" s="5">
        <v>880</v>
      </c>
    </row>
    <row r="41" spans="1:2" x14ac:dyDescent="0.2">
      <c r="A41" s="4" t="s">
        <v>283</v>
      </c>
      <c r="B41" s="5"/>
    </row>
    <row r="42" spans="1:2" x14ac:dyDescent="0.2">
      <c r="A42" s="4" t="s">
        <v>284</v>
      </c>
      <c r="B42" s="5">
        <v>1232</v>
      </c>
    </row>
    <row r="43" spans="1:2" x14ac:dyDescent="0.2">
      <c r="A43" s="4" t="s">
        <v>285</v>
      </c>
      <c r="B43" s="5"/>
    </row>
    <row r="44" spans="1:2" x14ac:dyDescent="0.2">
      <c r="A44" s="4" t="s">
        <v>286</v>
      </c>
      <c r="B44" s="5">
        <v>837.76</v>
      </c>
    </row>
    <row r="45" spans="1:2" x14ac:dyDescent="0.2">
      <c r="A45" s="4" t="s">
        <v>287</v>
      </c>
      <c r="B45" s="5"/>
    </row>
    <row r="46" spans="1:2" x14ac:dyDescent="0.2">
      <c r="A46" s="4" t="s">
        <v>288</v>
      </c>
      <c r="B46" s="5">
        <v>528</v>
      </c>
    </row>
    <row r="47" spans="1:2" x14ac:dyDescent="0.2">
      <c r="A47" s="4" t="s">
        <v>289</v>
      </c>
      <c r="B47" s="5"/>
    </row>
    <row r="48" spans="1:2" x14ac:dyDescent="0.2">
      <c r="A48" s="4" t="s">
        <v>290</v>
      </c>
      <c r="B48" s="5">
        <v>528</v>
      </c>
    </row>
    <row r="49" spans="1:2" x14ac:dyDescent="0.2">
      <c r="A49" s="4" t="s">
        <v>6</v>
      </c>
      <c r="B49" s="5"/>
    </row>
    <row r="50" spans="1:2" x14ac:dyDescent="0.2">
      <c r="A50" s="4" t="s">
        <v>291</v>
      </c>
      <c r="B50" s="5">
        <v>473.97</v>
      </c>
    </row>
    <row r="51" spans="1:2" x14ac:dyDescent="0.2">
      <c r="A51" s="4" t="s">
        <v>225</v>
      </c>
      <c r="B51" s="5"/>
    </row>
    <row r="52" spans="1:2" x14ac:dyDescent="0.2">
      <c r="A52" s="4" t="s">
        <v>292</v>
      </c>
      <c r="B52" s="5">
        <v>1250</v>
      </c>
    </row>
    <row r="53" spans="1:2" x14ac:dyDescent="0.2">
      <c r="A53" s="4" t="s">
        <v>293</v>
      </c>
      <c r="B53" s="5"/>
    </row>
    <row r="54" spans="1:2" x14ac:dyDescent="0.2">
      <c r="A54" s="4" t="s">
        <v>294</v>
      </c>
      <c r="B54" s="5">
        <v>16770</v>
      </c>
    </row>
    <row r="55" spans="1:2" x14ac:dyDescent="0.2">
      <c r="A55" s="4" t="s">
        <v>295</v>
      </c>
      <c r="B55" s="5"/>
    </row>
    <row r="56" spans="1:2" x14ac:dyDescent="0.2">
      <c r="A56" s="4" t="s">
        <v>296</v>
      </c>
      <c r="B56" s="5">
        <v>8000</v>
      </c>
    </row>
    <row r="57" spans="1:2" x14ac:dyDescent="0.2">
      <c r="A57" s="4" t="s">
        <v>297</v>
      </c>
      <c r="B57" s="5"/>
    </row>
    <row r="58" spans="1:2" x14ac:dyDescent="0.2">
      <c r="A58" s="4" t="s">
        <v>296</v>
      </c>
      <c r="B58" s="5">
        <v>8000</v>
      </c>
    </row>
    <row r="59" spans="1:2" x14ac:dyDescent="0.2">
      <c r="A59" s="6" t="s">
        <v>2</v>
      </c>
      <c r="B59" s="7">
        <f>SUM(B3:B58)</f>
        <v>76433.72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B2CB9-65BA-47A7-B739-77E2355CD80A}">
  <dimension ref="A1:D48"/>
  <sheetViews>
    <sheetView topLeftCell="A25" workbookViewId="0">
      <selection activeCell="F48" sqref="F48"/>
    </sheetView>
  </sheetViews>
  <sheetFormatPr baseColWidth="10" defaultRowHeight="14.4" x14ac:dyDescent="0.3"/>
  <cols>
    <col min="2" max="2" width="13.33203125" customWidth="1"/>
    <col min="3" max="3" width="80.33203125" customWidth="1"/>
  </cols>
  <sheetData>
    <row r="1" spans="1:4" ht="15" thickBot="1" x14ac:dyDescent="0.35">
      <c r="A1" s="29" t="s">
        <v>300</v>
      </c>
      <c r="B1" s="30" t="s">
        <v>301</v>
      </c>
      <c r="C1" s="30" t="s">
        <v>302</v>
      </c>
      <c r="D1" s="31" t="s">
        <v>1</v>
      </c>
    </row>
    <row r="2" spans="1:4" ht="15" thickTop="1" x14ac:dyDescent="0.3">
      <c r="A2" s="32" t="s">
        <v>304</v>
      </c>
      <c r="B2" s="33" t="s">
        <v>306</v>
      </c>
      <c r="C2" s="33" t="s">
        <v>307</v>
      </c>
      <c r="D2" s="34">
        <v>900</v>
      </c>
    </row>
    <row r="3" spans="1:4" x14ac:dyDescent="0.3">
      <c r="A3" s="35" t="s">
        <v>304</v>
      </c>
      <c r="B3" s="36" t="s">
        <v>306</v>
      </c>
      <c r="C3" s="36" t="s">
        <v>308</v>
      </c>
      <c r="D3" s="37">
        <v>1200</v>
      </c>
    </row>
    <row r="4" spans="1:4" x14ac:dyDescent="0.3">
      <c r="A4" s="32" t="s">
        <v>304</v>
      </c>
      <c r="B4" s="33" t="s">
        <v>309</v>
      </c>
      <c r="C4" s="33" t="s">
        <v>310</v>
      </c>
      <c r="D4" s="34">
        <v>2250</v>
      </c>
    </row>
    <row r="5" spans="1:4" x14ac:dyDescent="0.3">
      <c r="A5" s="35" t="s">
        <v>304</v>
      </c>
      <c r="B5" s="36" t="s">
        <v>4</v>
      </c>
      <c r="C5" s="36" t="s">
        <v>311</v>
      </c>
      <c r="D5" s="37">
        <v>1936</v>
      </c>
    </row>
    <row r="6" spans="1:4" x14ac:dyDescent="0.3">
      <c r="A6" s="32" t="s">
        <v>304</v>
      </c>
      <c r="B6" s="33" t="s">
        <v>4</v>
      </c>
      <c r="C6" s="33" t="s">
        <v>312</v>
      </c>
      <c r="D6" s="34">
        <v>2904</v>
      </c>
    </row>
    <row r="7" spans="1:4" x14ac:dyDescent="0.3">
      <c r="A7" s="35" t="s">
        <v>304</v>
      </c>
      <c r="B7" s="36" t="s">
        <v>4</v>
      </c>
      <c r="C7" s="36" t="s">
        <v>313</v>
      </c>
      <c r="D7" s="37">
        <v>4840</v>
      </c>
    </row>
    <row r="8" spans="1:4" x14ac:dyDescent="0.3">
      <c r="A8" s="32" t="s">
        <v>304</v>
      </c>
      <c r="B8" s="33" t="s">
        <v>151</v>
      </c>
      <c r="C8" s="33" t="s">
        <v>314</v>
      </c>
      <c r="D8" s="34">
        <v>1548.8</v>
      </c>
    </row>
    <row r="9" spans="1:4" x14ac:dyDescent="0.3">
      <c r="A9" s="35" t="s">
        <v>304</v>
      </c>
      <c r="B9" s="36" t="s">
        <v>151</v>
      </c>
      <c r="C9" s="36" t="s">
        <v>315</v>
      </c>
      <c r="D9" s="37">
        <v>1724.8</v>
      </c>
    </row>
    <row r="10" spans="1:4" x14ac:dyDescent="0.3">
      <c r="A10" s="32" t="s">
        <v>304</v>
      </c>
      <c r="B10" s="33" t="s">
        <v>155</v>
      </c>
      <c r="C10" s="33" t="s">
        <v>316</v>
      </c>
      <c r="D10" s="34">
        <v>805.89</v>
      </c>
    </row>
    <row r="11" spans="1:4" x14ac:dyDescent="0.3">
      <c r="A11" s="35" t="s">
        <v>304</v>
      </c>
      <c r="B11" s="36" t="s">
        <v>155</v>
      </c>
      <c r="C11" s="36" t="s">
        <v>317</v>
      </c>
      <c r="D11" s="37">
        <v>1126.1099999999999</v>
      </c>
    </row>
    <row r="12" spans="1:4" x14ac:dyDescent="0.3">
      <c r="A12" s="32" t="s">
        <v>304</v>
      </c>
      <c r="B12" s="33" t="s">
        <v>155</v>
      </c>
      <c r="C12" s="33" t="s">
        <v>318</v>
      </c>
      <c r="D12" s="34">
        <v>1460.58</v>
      </c>
    </row>
    <row r="13" spans="1:4" x14ac:dyDescent="0.3">
      <c r="A13" s="35" t="s">
        <v>304</v>
      </c>
      <c r="B13" s="36" t="s">
        <v>155</v>
      </c>
      <c r="C13" s="36" t="s">
        <v>319</v>
      </c>
      <c r="D13" s="37">
        <v>1549.67</v>
      </c>
    </row>
    <row r="14" spans="1:4" x14ac:dyDescent="0.3">
      <c r="A14" s="32" t="s">
        <v>304</v>
      </c>
      <c r="B14" s="33" t="s">
        <v>155</v>
      </c>
      <c r="C14" s="33" t="s">
        <v>320</v>
      </c>
      <c r="D14" s="34">
        <v>1839.85</v>
      </c>
    </row>
    <row r="15" spans="1:4" x14ac:dyDescent="0.3">
      <c r="A15" s="35" t="s">
        <v>304</v>
      </c>
      <c r="B15" s="36" t="s">
        <v>155</v>
      </c>
      <c r="C15" s="36" t="s">
        <v>321</v>
      </c>
      <c r="D15" s="37">
        <v>1976.3</v>
      </c>
    </row>
    <row r="16" spans="1:4" x14ac:dyDescent="0.3">
      <c r="A16" s="32" t="s">
        <v>304</v>
      </c>
      <c r="B16" s="33" t="s">
        <v>155</v>
      </c>
      <c r="C16" s="33" t="s">
        <v>322</v>
      </c>
      <c r="D16" s="34">
        <v>2059.7800000000002</v>
      </c>
    </row>
    <row r="17" spans="1:4" x14ac:dyDescent="0.3">
      <c r="A17" s="35" t="s">
        <v>304</v>
      </c>
      <c r="B17" s="36" t="s">
        <v>155</v>
      </c>
      <c r="C17" s="36" t="s">
        <v>323</v>
      </c>
      <c r="D17" s="37">
        <v>2077.09</v>
      </c>
    </row>
    <row r="18" spans="1:4" x14ac:dyDescent="0.3">
      <c r="A18" s="32" t="s">
        <v>304</v>
      </c>
      <c r="B18" s="33" t="s">
        <v>155</v>
      </c>
      <c r="C18" s="33" t="s">
        <v>324</v>
      </c>
      <c r="D18" s="34">
        <v>2254.37</v>
      </c>
    </row>
    <row r="19" spans="1:4" x14ac:dyDescent="0.3">
      <c r="A19" s="35" t="s">
        <v>304</v>
      </c>
      <c r="B19" s="36" t="s">
        <v>155</v>
      </c>
      <c r="C19" s="36" t="s">
        <v>325</v>
      </c>
      <c r="D19" s="37">
        <v>2284.6999999999998</v>
      </c>
    </row>
    <row r="20" spans="1:4" x14ac:dyDescent="0.3">
      <c r="A20" s="32" t="s">
        <v>304</v>
      </c>
      <c r="B20" s="33" t="s">
        <v>155</v>
      </c>
      <c r="C20" s="33" t="s">
        <v>326</v>
      </c>
      <c r="D20" s="34">
        <v>2624.36</v>
      </c>
    </row>
    <row r="21" spans="1:4" x14ac:dyDescent="0.3">
      <c r="A21" s="35" t="s">
        <v>304</v>
      </c>
      <c r="B21" s="36" t="s">
        <v>155</v>
      </c>
      <c r="C21" s="36" t="s">
        <v>327</v>
      </c>
      <c r="D21" s="37">
        <v>2901.31</v>
      </c>
    </row>
    <row r="22" spans="1:4" x14ac:dyDescent="0.3">
      <c r="A22" s="32" t="s">
        <v>304</v>
      </c>
      <c r="B22" s="33" t="s">
        <v>177</v>
      </c>
      <c r="C22" s="33" t="s">
        <v>328</v>
      </c>
      <c r="D22" s="34">
        <v>2798.4</v>
      </c>
    </row>
    <row r="23" spans="1:4" x14ac:dyDescent="0.3">
      <c r="A23" s="35" t="s">
        <v>304</v>
      </c>
      <c r="B23" s="36" t="s">
        <v>177</v>
      </c>
      <c r="C23" s="36" t="s">
        <v>329</v>
      </c>
      <c r="D23" s="37">
        <v>5280</v>
      </c>
    </row>
    <row r="24" spans="1:4" x14ac:dyDescent="0.3">
      <c r="A24" s="32" t="s">
        <v>304</v>
      </c>
      <c r="B24" s="33" t="s">
        <v>271</v>
      </c>
      <c r="C24" s="33" t="s">
        <v>330</v>
      </c>
      <c r="D24" s="34">
        <v>2200</v>
      </c>
    </row>
    <row r="25" spans="1:4" x14ac:dyDescent="0.3">
      <c r="A25" s="35" t="s">
        <v>304</v>
      </c>
      <c r="B25" s="36" t="s">
        <v>331</v>
      </c>
      <c r="C25" s="36" t="s">
        <v>332</v>
      </c>
      <c r="D25" s="37">
        <v>4293.51</v>
      </c>
    </row>
    <row r="26" spans="1:4" x14ac:dyDescent="0.3">
      <c r="A26" s="32" t="s">
        <v>304</v>
      </c>
      <c r="B26" s="33" t="s">
        <v>333</v>
      </c>
      <c r="C26" s="33" t="s">
        <v>334</v>
      </c>
      <c r="D26" s="34">
        <v>3548.16</v>
      </c>
    </row>
    <row r="27" spans="1:4" x14ac:dyDescent="0.3">
      <c r="A27" s="35" t="s">
        <v>304</v>
      </c>
      <c r="B27" s="36" t="s">
        <v>335</v>
      </c>
      <c r="C27" s="36" t="s">
        <v>336</v>
      </c>
      <c r="D27" s="37">
        <v>2640</v>
      </c>
    </row>
    <row r="28" spans="1:4" x14ac:dyDescent="0.3">
      <c r="A28" s="32" t="s">
        <v>304</v>
      </c>
      <c r="B28" s="33" t="s">
        <v>337</v>
      </c>
      <c r="C28" s="33" t="s">
        <v>338</v>
      </c>
      <c r="D28" s="34">
        <v>528</v>
      </c>
    </row>
    <row r="29" spans="1:4" x14ac:dyDescent="0.3">
      <c r="A29" s="35" t="s">
        <v>304</v>
      </c>
      <c r="B29" s="36" t="s">
        <v>339</v>
      </c>
      <c r="C29" s="36" t="s">
        <v>340</v>
      </c>
      <c r="D29" s="37">
        <v>88</v>
      </c>
    </row>
    <row r="30" spans="1:4" x14ac:dyDescent="0.3">
      <c r="A30" s="32" t="s">
        <v>304</v>
      </c>
      <c r="B30" s="33" t="s">
        <v>341</v>
      </c>
      <c r="C30" s="33" t="s">
        <v>342</v>
      </c>
      <c r="D30" s="34">
        <v>1408</v>
      </c>
    </row>
    <row r="31" spans="1:4" x14ac:dyDescent="0.3">
      <c r="A31" s="35" t="s">
        <v>304</v>
      </c>
      <c r="B31" s="36" t="s">
        <v>341</v>
      </c>
      <c r="C31" s="36" t="s">
        <v>343</v>
      </c>
      <c r="D31" s="37">
        <v>2112</v>
      </c>
    </row>
    <row r="32" spans="1:4" x14ac:dyDescent="0.3">
      <c r="A32" s="32" t="s">
        <v>304</v>
      </c>
      <c r="B32" s="33" t="s">
        <v>344</v>
      </c>
      <c r="C32" s="33" t="s">
        <v>345</v>
      </c>
      <c r="D32" s="34">
        <v>893.2</v>
      </c>
    </row>
    <row r="33" spans="1:4" x14ac:dyDescent="0.3">
      <c r="A33" s="35" t="s">
        <v>304</v>
      </c>
      <c r="B33" s="36" t="s">
        <v>346</v>
      </c>
      <c r="C33" s="36" t="s">
        <v>347</v>
      </c>
      <c r="D33" s="37">
        <v>10909.09</v>
      </c>
    </row>
    <row r="34" spans="1:4" x14ac:dyDescent="0.3">
      <c r="A34" s="32" t="s">
        <v>304</v>
      </c>
      <c r="B34" s="33" t="s">
        <v>348</v>
      </c>
      <c r="C34" s="33" t="s">
        <v>349</v>
      </c>
      <c r="D34" s="34">
        <v>1320</v>
      </c>
    </row>
    <row r="35" spans="1:4" x14ac:dyDescent="0.3">
      <c r="A35" s="35" t="s">
        <v>304</v>
      </c>
      <c r="B35" s="36" t="s">
        <v>350</v>
      </c>
      <c r="C35" s="36" t="s">
        <v>351</v>
      </c>
      <c r="D35" s="37">
        <v>4312</v>
      </c>
    </row>
    <row r="36" spans="1:4" x14ac:dyDescent="0.3">
      <c r="A36" s="32" t="s">
        <v>304</v>
      </c>
      <c r="B36" s="33" t="s">
        <v>352</v>
      </c>
      <c r="C36" s="33" t="s">
        <v>353</v>
      </c>
      <c r="D36" s="34">
        <v>880</v>
      </c>
    </row>
    <row r="37" spans="1:4" x14ac:dyDescent="0.3">
      <c r="A37" s="35" t="s">
        <v>304</v>
      </c>
      <c r="B37" s="36" t="s">
        <v>354</v>
      </c>
      <c r="C37" s="36" t="s">
        <v>355</v>
      </c>
      <c r="D37" s="37">
        <v>6754</v>
      </c>
    </row>
    <row r="38" spans="1:4" x14ac:dyDescent="0.3">
      <c r="A38" s="32" t="s">
        <v>304</v>
      </c>
      <c r="B38" s="33" t="s">
        <v>225</v>
      </c>
      <c r="C38" s="33" t="s">
        <v>356</v>
      </c>
      <c r="D38" s="34">
        <v>5250</v>
      </c>
    </row>
    <row r="39" spans="1:4" x14ac:dyDescent="0.3">
      <c r="A39" s="35" t="s">
        <v>304</v>
      </c>
      <c r="B39" s="36" t="s">
        <v>293</v>
      </c>
      <c r="C39" s="36" t="s">
        <v>357</v>
      </c>
      <c r="D39" s="37">
        <v>41280</v>
      </c>
    </row>
    <row r="40" spans="1:4" x14ac:dyDescent="0.3">
      <c r="A40" s="32" t="s">
        <v>304</v>
      </c>
      <c r="B40" s="33" t="s">
        <v>295</v>
      </c>
      <c r="C40" s="33" t="s">
        <v>303</v>
      </c>
      <c r="D40" s="34">
        <v>8000</v>
      </c>
    </row>
    <row r="41" spans="1:4" x14ac:dyDescent="0.3">
      <c r="A41" s="35" t="s">
        <v>304</v>
      </c>
      <c r="B41" s="36" t="s">
        <v>297</v>
      </c>
      <c r="C41" s="36" t="s">
        <v>303</v>
      </c>
      <c r="D41" s="37">
        <v>8000</v>
      </c>
    </row>
    <row r="42" spans="1:4" x14ac:dyDescent="0.3">
      <c r="A42" s="32" t="s">
        <v>304</v>
      </c>
      <c r="B42" s="33" t="s">
        <v>358</v>
      </c>
      <c r="C42" s="33" t="s">
        <v>359</v>
      </c>
      <c r="D42" s="34">
        <v>4500</v>
      </c>
    </row>
    <row r="43" spans="1:4" x14ac:dyDescent="0.3">
      <c r="A43" s="35" t="s">
        <v>304</v>
      </c>
      <c r="B43" s="36" t="s">
        <v>358</v>
      </c>
      <c r="C43" s="36" t="s">
        <v>360</v>
      </c>
      <c r="D43" s="37">
        <v>4500</v>
      </c>
    </row>
    <row r="44" spans="1:4" ht="15" thickBot="1" x14ac:dyDescent="0.35">
      <c r="A44" s="32" t="s">
        <v>304</v>
      </c>
      <c r="B44" s="33" t="s">
        <v>228</v>
      </c>
      <c r="C44" s="33" t="s">
        <v>361</v>
      </c>
      <c r="D44" s="34">
        <v>13178.45</v>
      </c>
    </row>
    <row r="45" spans="1:4" ht="15" thickTop="1" x14ac:dyDescent="0.3">
      <c r="A45" s="38" t="s">
        <v>2</v>
      </c>
      <c r="B45" s="39"/>
      <c r="C45" s="39"/>
      <c r="D45" s="40">
        <v>174936.41999999998</v>
      </c>
    </row>
    <row r="48" spans="1:4" x14ac:dyDescent="0.3">
      <c r="C48" s="70" t="s">
        <v>393</v>
      </c>
      <c r="D48" s="71">
        <f>D45+'Ingresos investigación 2020'!B59+'Ingresos investigación 2019'!B102</f>
        <v>418836.27999999997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8"/>
  <sheetViews>
    <sheetView zoomScaleNormal="100" workbookViewId="0">
      <selection activeCell="A8" sqref="A8:XFD12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9</v>
      </c>
      <c r="B2" s="5"/>
    </row>
    <row r="3" spans="1:2" x14ac:dyDescent="0.2">
      <c r="A3" s="4" t="s">
        <v>230</v>
      </c>
      <c r="B3" s="5">
        <v>35</v>
      </c>
    </row>
    <row r="4" spans="1:2" x14ac:dyDescent="0.2">
      <c r="A4" s="4" t="s">
        <v>231</v>
      </c>
      <c r="B4" s="5">
        <v>1966.68</v>
      </c>
    </row>
    <row r="5" spans="1:2" x14ac:dyDescent="0.2">
      <c r="A5" s="4" t="s">
        <v>10</v>
      </c>
      <c r="B5" s="5"/>
    </row>
    <row r="6" spans="1:2" x14ac:dyDescent="0.2">
      <c r="A6" s="4" t="s">
        <v>232</v>
      </c>
      <c r="B6" s="5">
        <v>13300</v>
      </c>
    </row>
    <row r="7" spans="1:2" x14ac:dyDescent="0.2">
      <c r="A7" s="4" t="s">
        <v>233</v>
      </c>
      <c r="B7" s="5">
        <v>4200</v>
      </c>
    </row>
    <row r="8" spans="1:2" x14ac:dyDescent="0.2">
      <c r="A8" s="6" t="s">
        <v>2</v>
      </c>
      <c r="B8" s="7">
        <f>SUM(B3:B7)</f>
        <v>19501.68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FFFE1-0E60-4592-BE08-EDFD759A7554}">
  <dimension ref="A1:B6"/>
  <sheetViews>
    <sheetView zoomScaleNormal="100" workbookViewId="0">
      <selection activeCell="A14" sqref="A14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10</v>
      </c>
      <c r="B2" s="5"/>
    </row>
    <row r="3" spans="1:2" x14ac:dyDescent="0.2">
      <c r="A3" s="4" t="s">
        <v>298</v>
      </c>
      <c r="B3" s="5">
        <v>1353.82</v>
      </c>
    </row>
    <row r="4" spans="1:2" x14ac:dyDescent="0.2">
      <c r="A4" s="4" t="s">
        <v>11</v>
      </c>
      <c r="B4" s="5"/>
    </row>
    <row r="5" spans="1:2" x14ac:dyDescent="0.2">
      <c r="A5" s="4" t="s">
        <v>299</v>
      </c>
      <c r="B5" s="5">
        <v>4819.82</v>
      </c>
    </row>
    <row r="6" spans="1:2" x14ac:dyDescent="0.2">
      <c r="A6" s="6" t="s">
        <v>2</v>
      </c>
      <c r="B6" s="7">
        <f>SUM(B3:B5)</f>
        <v>6173.6399999999994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1EB3F-4293-4F39-AE3C-8A75FF597C1B}">
  <dimension ref="A1:D7"/>
  <sheetViews>
    <sheetView workbookViewId="0">
      <selection activeCell="C13" sqref="C13"/>
    </sheetView>
  </sheetViews>
  <sheetFormatPr baseColWidth="10" defaultRowHeight="14.4" x14ac:dyDescent="0.3"/>
  <cols>
    <col min="2" max="2" width="13.88671875" customWidth="1"/>
    <col min="3" max="3" width="52.88671875" customWidth="1"/>
  </cols>
  <sheetData>
    <row r="1" spans="1:4" x14ac:dyDescent="0.3">
      <c r="A1" s="41" t="s">
        <v>300</v>
      </c>
      <c r="B1" s="42" t="s">
        <v>301</v>
      </c>
      <c r="C1" s="42" t="s">
        <v>302</v>
      </c>
      <c r="D1" s="43" t="s">
        <v>1</v>
      </c>
    </row>
    <row r="2" spans="1:4" ht="15" thickBot="1" x14ac:dyDescent="0.35">
      <c r="A2" s="44" t="s">
        <v>304</v>
      </c>
      <c r="B2" s="45" t="s">
        <v>11</v>
      </c>
      <c r="C2" s="45" t="s">
        <v>305</v>
      </c>
      <c r="D2" s="46">
        <v>2052.75</v>
      </c>
    </row>
    <row r="3" spans="1:4" ht="15" thickTop="1" x14ac:dyDescent="0.3">
      <c r="A3" s="47" t="s">
        <v>2</v>
      </c>
      <c r="B3" s="48"/>
      <c r="C3" s="48"/>
      <c r="D3" s="49">
        <v>2052.75</v>
      </c>
    </row>
    <row r="7" spans="1:4" x14ac:dyDescent="0.3">
      <c r="C7" s="70" t="s">
        <v>394</v>
      </c>
      <c r="D7" s="71">
        <f>D3+'Ingresos formación 2020'!B6+'Ingresos formación 2019'!B8</f>
        <v>27728.07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Tesis</vt:lpstr>
      <vt:lpstr>Sexenios</vt:lpstr>
      <vt:lpstr>Ingresos investigación 2019</vt:lpstr>
      <vt:lpstr>Ingresos investigación 2020</vt:lpstr>
      <vt:lpstr>ingresos investigación 2021</vt:lpstr>
      <vt:lpstr>Ingresos formación 2019</vt:lpstr>
      <vt:lpstr>Ingresos formación 2020</vt:lpstr>
      <vt:lpstr>ingresos formación 2021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21511974M</cp:lastModifiedBy>
  <dcterms:created xsi:type="dcterms:W3CDTF">2019-07-03T07:15:54Z</dcterms:created>
  <dcterms:modified xsi:type="dcterms:W3CDTF">2022-10-18T14:46:40Z</dcterms:modified>
</cp:coreProperties>
</file>