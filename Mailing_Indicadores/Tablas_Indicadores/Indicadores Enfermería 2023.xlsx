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:\Mi unidad\Presupuestación\Presupuesto 2023\Departamentos\Departamentos\"/>
    </mc:Choice>
  </mc:AlternateContent>
  <xr:revisionPtr revIDLastSave="0" documentId="13_ncr:1_{C9087767-2382-47DB-8841-6F5222E561FB}" xr6:coauthVersionLast="47" xr6:coauthVersionMax="47" xr10:uidLastSave="{00000000-0000-0000-0000-000000000000}"/>
  <bookViews>
    <workbookView xWindow="22932" yWindow="-108" windowWidth="23256" windowHeight="12456" tabRatio="697" activeTab="4" xr2:uid="{00000000-000D-0000-FFFF-FFFF00000000}"/>
  </bookViews>
  <sheets>
    <sheet name="Tesis" sheetId="9" r:id="rId1"/>
    <sheet name="Sexenios" sheetId="10" r:id="rId2"/>
    <sheet name="Ingresos investigación 2019" sheetId="13" r:id="rId3"/>
    <sheet name="Ingresos investigación 2020" sheetId="16" r:id="rId4"/>
    <sheet name="Ingresos investigación 2021" sheetId="17" r:id="rId5"/>
    <sheet name="Ingresos formación 2019" sheetId="14" r:id="rId6"/>
    <sheet name="Ingresos formación 2020" sheetId="15" r:id="rId7"/>
    <sheet name="Ingresos formación 2021" sheetId="18" r:id="rId8"/>
  </sheets>
  <definedNames>
    <definedName name="_xlnm._FilterDatabase" localSheetId="1" hidden="1">Sexenios!$A$1:$S$1</definedName>
    <definedName name="_xlnm._FilterDatabase" localSheetId="0" hidden="1">Tesis!$A$1:$U$51</definedName>
    <definedName name="_xlnm.Print_Titles" localSheetId="1">Sexenios!$1:$1</definedName>
    <definedName name="_xlnm.Print_Titles" localSheetId="0">Tesis!$D:$D,Tesis!$1:$1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3" i="10" l="1"/>
  <c r="B5" i="17" l="1"/>
  <c r="B4" i="16"/>
  <c r="B12" i="13" l="1"/>
  <c r="B8" i="17" s="1"/>
  <c r="B20" i="15" l="1"/>
  <c r="B12" i="14" l="1"/>
  <c r="C13" i="18" s="1"/>
  <c r="S52" i="9" l="1"/>
</calcChain>
</file>

<file path=xl/sharedStrings.xml><?xml version="1.0" encoding="utf-8"?>
<sst xmlns="http://schemas.openxmlformats.org/spreadsheetml/2006/main" count="998" uniqueCount="289">
  <si>
    <t>Orgánica
Descripción justificante</t>
  </si>
  <si>
    <t>Importe</t>
  </si>
  <si>
    <t>Total</t>
  </si>
  <si>
    <t>33.40.6P.00.08</t>
  </si>
  <si>
    <t>33.40.2T.00.06</t>
  </si>
  <si>
    <t>33.40.2T.00.08</t>
  </si>
  <si>
    <t>33.40.6X.00.00</t>
  </si>
  <si>
    <t>C.D.</t>
  </si>
  <si>
    <t>Departamento</t>
  </si>
  <si>
    <t>Plan</t>
  </si>
  <si>
    <t>Alumno</t>
  </si>
  <si>
    <t>Tesis</t>
  </si>
  <si>
    <t>Fecha</t>
  </si>
  <si>
    <t>Tutor</t>
  </si>
  <si>
    <t>Rol</t>
  </si>
  <si>
    <t>C.DEP.</t>
  </si>
  <si>
    <t>Departamento Tutor</t>
  </si>
  <si>
    <t>ASIGNACIÓN</t>
  </si>
  <si>
    <t>DEP.ASIG.</t>
  </si>
  <si>
    <t>EJERCICIO</t>
  </si>
  <si>
    <t>INS 1</t>
  </si>
  <si>
    <t>DED INS 1</t>
  </si>
  <si>
    <t>INS 2</t>
  </si>
  <si>
    <t>DED INS 2</t>
  </si>
  <si>
    <t>DED DEP</t>
  </si>
  <si>
    <t>TDOC DEP</t>
  </si>
  <si>
    <t>TDOC INST 1</t>
  </si>
  <si>
    <t>TDOC INST 2</t>
  </si>
  <si>
    <t>Codirector de tesis </t>
  </si>
  <si>
    <t/>
  </si>
  <si>
    <t>Director de tesis </t>
  </si>
  <si>
    <t>10</t>
  </si>
  <si>
    <t>19/07/2017 </t>
  </si>
  <si>
    <t>10.25</t>
  </si>
  <si>
    <t>12/07/2019 </t>
  </si>
  <si>
    <t>30</t>
  </si>
  <si>
    <t>20</t>
  </si>
  <si>
    <t>10.19</t>
  </si>
  <si>
    <t>11/07/2017 </t>
  </si>
  <si>
    <t>20/07/2017 </t>
  </si>
  <si>
    <t>21/07/2017 </t>
  </si>
  <si>
    <t>19/09/2019 </t>
  </si>
  <si>
    <t>06/07/2017 </t>
  </si>
  <si>
    <t>30/06/2017 </t>
  </si>
  <si>
    <t>10.06</t>
  </si>
  <si>
    <t>28/07/2017 </t>
  </si>
  <si>
    <t>01/03/2019 </t>
  </si>
  <si>
    <t>02/03/2018 </t>
  </si>
  <si>
    <t>B134 </t>
  </si>
  <si>
    <t>ENFERMERIA </t>
  </si>
  <si>
    <t>U044 </t>
  </si>
  <si>
    <t>ADM. FACULTAD DE CIENCIAS DE LA SALUD </t>
  </si>
  <si>
    <t>DOCTORADO EN CIENCIAS DE LA SALUD </t>
  </si>
  <si>
    <t>26/06/2017 </t>
  </si>
  <si>
    <t>Zaragoza Martí, Ana </t>
  </si>
  <si>
    <t>EVALUACIÓN DE LA ADHERENCIA A LA DIETA MEDITERRÁNEA EN POBLACIÓN DE ADULTOS JÓVENES Y PERSONAS MAYORES </t>
  </si>
  <si>
    <t>27/06/2017 </t>
  </si>
  <si>
    <t>Cascales Pérez, Maria Luisa </t>
  </si>
  <si>
    <t>EFECTIVIDAD DE UN PROGRAMA DE ENTRENAMIENTO EN MINDFULNESS PARA MEJORAR LA CALIDAD DE VIDA EN PROFESIONALES SANITARIOS DE ATENCIÓN PRIMARIA </t>
  </si>
  <si>
    <t>B134</t>
  </si>
  <si>
    <t>22926999R </t>
  </si>
  <si>
    <t>21405338C </t>
  </si>
  <si>
    <t>22122086L </t>
  </si>
  <si>
    <t>21486597C </t>
  </si>
  <si>
    <t>21959421X </t>
  </si>
  <si>
    <t>22007370G </t>
  </si>
  <si>
    <t>74211603X </t>
  </si>
  <si>
    <t>48345363F </t>
  </si>
  <si>
    <t>22548470Y </t>
  </si>
  <si>
    <t>21510925Z </t>
  </si>
  <si>
    <t>48374192V </t>
  </si>
  <si>
    <t>Albuixech García, María del Rocío </t>
  </si>
  <si>
    <t>PERFIL, DETECCIÓN Y SEGUIMIENTO DE LA CONDUCTA SUICIDA MEDIANTE EL DIAGNÓSTICO NANDA "00150 RIESGO DE SUICIDIO" </t>
  </si>
  <si>
    <t>08/09/2017 </t>
  </si>
  <si>
    <t>Amezcua Martínez, Manuel </t>
  </si>
  <si>
    <t>CUIDADOS Y SOCIEDAD EN LA ESPAÑA MODERNA: LA INSTITUCIONALIZACIÓN DEL PENSAMIENTO Y LA PRÁCTICA DE LA ENFERMERÍA A TRAVÉS DE LAS FUENTES DOCUMENTALES </t>
  </si>
  <si>
    <t>Bellod Guillen, Jose Miguel </t>
  </si>
  <si>
    <t>DESARROLLO DE UN SISTEMA DE TRIAJE DE URGENCIAS ESCALABLE, REPRODUCIBLE Y CON INTEROPERABILIDAD SEMÁNTICA </t>
  </si>
  <si>
    <t>Cano Climent, Antoni </t>
  </si>
  <si>
    <t>EVOLUCIÓN DE LA FATIGA EN MADRES Y PADRES DURANTE LOS DOS PRIMEROS AÑOS TRAS EL NACIMIENTO DE UNA HIJO O UN HIJO </t>
  </si>
  <si>
    <t>39713954S </t>
  </si>
  <si>
    <t>Ceolin , Silvana </t>
  </si>
  <si>
    <t>A ENFERMEIRA NA CONSTRUÇAO DO PENSAMENTO CRÍTICO COM ESCOLARES: DA RACIONALIDADE TÉCNICA À AÇAO SOCIOCRÍTICA </t>
  </si>
  <si>
    <t>26/04/2017 </t>
  </si>
  <si>
    <t>Fernández-Lasquetty Blanc, Blanca </t>
  </si>
  <si>
    <t>EL CUIDADO Y LA SATISFACCIÓN DE LAS NECESIDADES DE LOS NIÑOS DE ADOPCIÓN INTERNACIONAL: EXPERIENCIA EN SOLITARIO DE LOS PADRES </t>
  </si>
  <si>
    <t>19/06/2017 </t>
  </si>
  <si>
    <t>García Sanjuán, Sofia </t>
  </si>
  <si>
    <t>LA VIDA TRAS EL DIAGNÓSTICO DE LA ENFERMEDAD DE CROHN </t>
  </si>
  <si>
    <t>16/06/2017 </t>
  </si>
  <si>
    <t>Hernández Zambrano, Sandra Milena </t>
  </si>
  <si>
    <t>LÍDERES JUVENILES CONTROLANDO RIESGOS ANTE EL CONSUMO COLECTIVO DE ALCOHOL </t>
  </si>
  <si>
    <t>02/11/2016 </t>
  </si>
  <si>
    <t>Llorens Ivorra, Cristóbal </t>
  </si>
  <si>
    <t>VALIDACIÓN DE UN CUESTIONARIO PARA EVALUAR EL EQUILIBRIO ALIMENTARIO DE MENÚS ANTERIORES </t>
  </si>
  <si>
    <t>Martínez Amorós, Natalia </t>
  </si>
  <si>
    <t>ANÁLISIS Y SEGUIMIENTO DE DIFERENTES VARIABLES AMBIENTALES Y SU INFLUENCIA EN EL SOBREPESO Y OBESIDAD INFANTO-JUVENIL </t>
  </si>
  <si>
    <t>Martínez Cánovas, Pablo </t>
  </si>
  <si>
    <t>IMPACTO DE LA INTERRELACIÓN ENFERMERA EN LA ATENCIÓN PROFESIONAL EN LA COMUNIDAD VALENCIANA </t>
  </si>
  <si>
    <t>Muñoz Reig, María José </t>
  </si>
  <si>
    <t>EFECTIVIDAD DE UNA ESTRATEGIA DE INTERVENCIÓN MÚLTIPLE DE CUIDADOS DE ENFERMERÍA RELACIONADOS CON EL DOLOR EN PACIENTES INGRESADOS EN EL HOSPITAL UNIVERSITARIO DE ALICANTE, EN TÉRMINOS DE RESULTADOS DE SALUD Y DE SATISFACCIÓN </t>
  </si>
  <si>
    <t>Reig Alcaraz, María </t>
  </si>
  <si>
    <t>ACTITUDES Y EXPERIENCIAS DE LOS PROFESIONALES SANITARIOS Y DE MUJERES INMIGRANTES ANTE LA MUTILACIÓN GENITAL FEMENINA: UN ESTUDIO FENOMENOLÓGICO EN EL CONTEXTO DE LA ENFERMERÍA TRANSCULTURAL </t>
  </si>
  <si>
    <t>Saus Ortega, Carlos </t>
  </si>
  <si>
    <t>UTILIDAD PREDICTIVA DE LA PERCEPCIÓN MATERNA DE LA EFICACIA DE LA LACTANCIA EN EL POSPARTO PRECOZ: UN ESTUDIO LONGITUDINAL </t>
  </si>
  <si>
    <t>Tomas Almarcha, Rosa </t>
  </si>
  <si>
    <t>IMPACTO DE LA ACTITUD SOBRE EL INICIO Y DURACIÓN DE LA LACTANCIA MATERNA </t>
  </si>
  <si>
    <t>Triviño Martínez, Ángeles </t>
  </si>
  <si>
    <t>EXPERIENCIAS VIVIDAS POR LAS MUJERES DIAGNOSTICADAS DE FIBROMIALGIA: UN ESTUDIO FENOMENOLÓGICO </t>
  </si>
  <si>
    <t>05/07/2017 </t>
  </si>
  <si>
    <t>Villaescusa Muñoz, Carolina </t>
  </si>
  <si>
    <t>EXPERIENCIA DE LAS MADRES ATENDIDAS EN UN HOSPITAL IHAN DURANTE LA INSTAURACIÓN DE LA LACTANCIA MATERNA: UN ESTUDIO PARA LA MEJORA DE LA CALIDAD MEDIANTE LA TÉCNICA DEL INCIDENTE CRÍTICO </t>
  </si>
  <si>
    <t>Martínez Rico, Sandra </t>
  </si>
  <si>
    <t>EFECTIVIDAD DE UN PROGRAMA DE FISIOTERAPIA PRECOZ AUTOGESTIONADO POR EL PACIENTE TRAS CIRUGÍA ARTROSCÓPICA PARA INESTABILIDAD DE HOMBRO </t>
  </si>
  <si>
    <t>Pérez Fuillerat, Natalia </t>
  </si>
  <si>
    <t>GESTIÓN DEL CONOCIMIENTO TÁCITO: ANÁLISIS DE LA DISOCIACIÓN TEÓRICO-PRÁCTICA ENFERMERA EN EL BOQUE QUIRÚRGICO </t>
  </si>
  <si>
    <t>06/09/2018 </t>
  </si>
  <si>
    <t>Fernández García, Pedro Luis </t>
  </si>
  <si>
    <t>GESTIÓN DE LA SANGRE DEL PACIENTE EN CIRUGÍA CARDÍACA ELECTIVA DE SUSTITUCIÓN VALVULAR: EFECTO DEL TRATAMIENTO DE LA DEFICIENCIA DE HIERRO </t>
  </si>
  <si>
    <t>31/05/2019 </t>
  </si>
  <si>
    <t>Gil Estevan, María Dolores </t>
  </si>
  <si>
    <t>EXPERIENCIA DE LOS PROFESIONALES DE ENFERMERÍA EN LA APLICACIÓN DE CUIDADOS CULTURALMENTE COMPETENTES EN MUJERES EN RIESGO DE VULNERABILIDAD SOCIAL: UN ESTUDIO ETNOGRÁFICO </t>
  </si>
  <si>
    <t>González Navarro, Blanca </t>
  </si>
  <si>
    <t>FRACTURAS DE CADERA EN ANCIANOS. ANÁLISIS DE LAS CAUSAS DE RETRASO PARA LA CIRUGÍA Y SU IMPACTO SOBRE LA MORTALIDAD </t>
  </si>
  <si>
    <t>08/05/2019 </t>
  </si>
  <si>
    <t>Saumell Bonet, Jaime Emigdio </t>
  </si>
  <si>
    <t>ENFERMERÍA MILITAR PROFESIONAL DEL EJÉRCITO DEL AIRE (1939-1989) </t>
  </si>
  <si>
    <t>Serna Berná, Ricardo </t>
  </si>
  <si>
    <t>PRÓTESIS DE RODILLA. ANÁLISIS DEL BENEFICIO CLÍNICO ENTRE LA CONSERVACIÓN O RESECCIÓN DEL LIGAMENTO CRUZADO POSTERIOR </t>
  </si>
  <si>
    <t>27/05/2019 </t>
  </si>
  <si>
    <t>NIF</t>
  </si>
  <si>
    <t>NOMBRE_COMPLETO</t>
  </si>
  <si>
    <t>TIPO_SEXENIO</t>
  </si>
  <si>
    <t>Total general</t>
  </si>
  <si>
    <t>INS
1</t>
  </si>
  <si>
    <t>DED
INS 1</t>
  </si>
  <si>
    <t>INS
2</t>
  </si>
  <si>
    <t>DED
INS 2</t>
  </si>
  <si>
    <t>DED
DEP</t>
  </si>
  <si>
    <t>SEX
INS 1</t>
  </si>
  <si>
    <t>SEX
INS 2</t>
  </si>
  <si>
    <t>SEX
DEP</t>
  </si>
  <si>
    <t>FUNCIONARIO</t>
  </si>
  <si>
    <t>NO FUNCIONARIO</t>
  </si>
  <si>
    <t>48374192V</t>
  </si>
  <si>
    <t>CABAÑERO MARTINEZ, MARIA JOSEFA</t>
  </si>
  <si>
    <t>22548470Y</t>
  </si>
  <si>
    <t>CABRERO GARCIA, JULIO</t>
  </si>
  <si>
    <t>72519028M</t>
  </si>
  <si>
    <t>HURTADO SANCHEZ, JOSE ANTONIO</t>
  </si>
  <si>
    <t>22457885H</t>
  </si>
  <si>
    <t>LAGUNA PEREZ, ANA</t>
  </si>
  <si>
    <t>21406895J</t>
  </si>
  <si>
    <t>MACIA SOLER, MARIA LORETO</t>
  </si>
  <si>
    <t>39713954S</t>
  </si>
  <si>
    <t>OLIVER ROIG, ANTONIO</t>
  </si>
  <si>
    <t>21486597C</t>
  </si>
  <si>
    <t>ORTS CORTES, MARIA ISABEL</t>
  </si>
  <si>
    <t>25123636T</t>
  </si>
  <si>
    <t>PEREZ CAÑAVERAS, ROSA MARIA</t>
  </si>
  <si>
    <t>22122086L</t>
  </si>
  <si>
    <t>RICHART MARTINEZ, MIGUEL</t>
  </si>
  <si>
    <t>74211603X</t>
  </si>
  <si>
    <t>SANJUAN QUILES, ANGELA</t>
  </si>
  <si>
    <t>22926999R</t>
  </si>
  <si>
    <t>SILES GONZALEZ, JOSE</t>
  </si>
  <si>
    <t>22007370G</t>
  </si>
  <si>
    <t>SOLANO RUIZ, MARIA DEL CARMEN</t>
  </si>
  <si>
    <t>20472950Y</t>
  </si>
  <si>
    <t>SOSPEDRA LOPEZ, MARIA ISABEL</t>
  </si>
  <si>
    <t>21510925Z</t>
  </si>
  <si>
    <t>VIZCAYA MORENO, MARIA FLORES</t>
  </si>
  <si>
    <t>33.40.6M.00.02</t>
  </si>
  <si>
    <t>DOCENCIA PARA CURSO DE CERTIFICACIÓN INTERNACIONAL EN CINEANTROPOMETRÍA - ISAK NIVEL 1, PARA ALUMNOS DEL CICLO FORMATIVO TÉCNICO SUPERIOR EN DIETÉTICA Y TÉCNICO SUPERIOR EN ANIMACIÓN DE ACTIVIDADES FÍSICAS Y DEPORTIVAS DE LA FUNDACIÓN VEDRUNA SEVILLA</t>
  </si>
  <si>
    <t>33.40.6M.00.03</t>
  </si>
  <si>
    <t>DOCENCIA PARA REALIZAR EL CURSO DE CERTIFICACIÓN INTERNACIONAL EN CINEANTROPOMETRÍA - ISAK NIVEL 1, PARA ALUMNOS DEL CICLO FORMATIVO TÉCNICO SUPERIOR EN DIETÉTICA Y TÉCNICO SUPERIOR EN ANIMACIÓN DE ACTIVIDADES FÍSICAS Y DEPORTIVAS, DE LA FUNDACIÓN VEDRUNA SEVILLA</t>
  </si>
  <si>
    <t xml:space="preserve">SUBVENCIONES PARA GRUPOS DE INVESTIGACIÓN CONSOLIDABLES AICO/2017-3ª ANUALIDAD </t>
  </si>
  <si>
    <t>33.40.2T.00.02</t>
  </si>
  <si>
    <t>Liquidación  PLAN G999 curso ''CURSO DE RESCATE ACUÁTICO AVANZADO'' ORDEN 5533</t>
  </si>
  <si>
    <t xml:space="preserve">Habibi Pérez Martínez . ESPECIALISTA HEMS Y ASISTENCIA MÉDICA AEROTRANSPORTADA (HICAMS, FWAA) </t>
  </si>
  <si>
    <t>Liquidación  PLAN 9325 curso ''ESPECIALISTA EN MEDICINA Y ENFERMERÍA AEROTRANSPORTADA'' ORDEN 5487</t>
  </si>
  <si>
    <t>33.40.2T.00.07</t>
  </si>
  <si>
    <t>Inscripción de David Díaz Álvarez en el curso Soporte Vital Cardiovascular Avanzado. Asociación Americana del Corazón. Referencia recibo 2018681144257</t>
  </si>
  <si>
    <t>Liquidación  PLAN GD31 curso ''PROVEEDOR DE SOPORTE VITAL CARDIOVASCULAR AVANZADO.'' ORDEN 5534</t>
  </si>
  <si>
    <t>33.40.2T.00.11</t>
  </si>
  <si>
    <t>Liquidación PLAN 9325 "Especialista en medicina y enfermería aerotransportada"</t>
  </si>
  <si>
    <t>Clement Carbonell, Maria Violeta </t>
  </si>
  <si>
    <t>EVALUACIÓN DE LA CALIDAD DE VIDA RELACIONADA CON LA SALUD EN EL ENVEJECIMIENTO SALUDABLE Y DETERIORO COGNITIVO LEVE </t>
  </si>
  <si>
    <t>18/09/2020 </t>
  </si>
  <si>
    <t>Oruc , Mirza </t>
  </si>
  <si>
    <t>Comparative Analysis in Palliative Care Competencies </t>
  </si>
  <si>
    <t>27/07/2020 </t>
  </si>
  <si>
    <t>Ingresado en cuenta OGPI</t>
  </si>
  <si>
    <t>33.40.6X.00.10</t>
  </si>
  <si>
    <t>TERCER PAGO DEL PROYECTO DEMOPHAC, COORDINADO POR EL PROFESOR MANUEL LILO.</t>
  </si>
  <si>
    <t>74006009J</t>
  </si>
  <si>
    <t>MARTINEZ SANZ, JOSE MIGUEL</t>
  </si>
  <si>
    <t>48335621V</t>
  </si>
  <si>
    <t>ZARAGOZA MARTI, ANA</t>
  </si>
  <si>
    <t>29009181V</t>
  </si>
  <si>
    <t>PERPIÑA GALVAÑ, JUANA</t>
  </si>
  <si>
    <t>COD DEP</t>
  </si>
  <si>
    <t>74535056Z</t>
  </si>
  <si>
    <t>NOREÑA PEÑA, ANA LUCIA</t>
  </si>
  <si>
    <t>Mahiques Segura, Gerard </t>
  </si>
  <si>
    <t>Artroplastia total de cadera primaria con vástago no cementado y par de fricción cerámica-cerámica en pacientes menores de 40 años </t>
  </si>
  <si>
    <t>16/10/2020 </t>
  </si>
  <si>
    <t>Asensio Pascual, Alfredo Elías </t>
  </si>
  <si>
    <t>Influencia de artroplastia total de cadera previa sobre la función de una subsecuente artropalstia total de rodilla ipsilateral </t>
  </si>
  <si>
    <t>06/10/2020 </t>
  </si>
  <si>
    <t>Sierras Davó, María Cristina </t>
  </si>
  <si>
    <t>De la teoría a la práctica, desarrollo de una cultura global en Healthcare Improvement Science. </t>
  </si>
  <si>
    <t>20/05/2021 </t>
  </si>
  <si>
    <t>Escandell Rico, Francisco Miguel </t>
  </si>
  <si>
    <t>Evaluación de un programa de mejora para prevenir los eventos adversos asociados al proceso de administración de medicamentos. </t>
  </si>
  <si>
    <t>12/03/2021 </t>
  </si>
  <si>
    <t>Aguirre Pastor, Alfredo </t>
  </si>
  <si>
    <t>Influencia de la pseudopatela baja sobre la artroplastia de rodilla. </t>
  </si>
  <si>
    <t>29/07/2021 </t>
  </si>
  <si>
    <t>Veracruz Gálvez, Eva María </t>
  </si>
  <si>
    <t>Influencia de la posición de los sesamoideos sobre el resultado funcional de la osteotomía del primer metatarsiano para hallux valgus </t>
  </si>
  <si>
    <t>16/06/2021 </t>
  </si>
  <si>
    <t>de Juan Pérez, Alba Isabel </t>
  </si>
  <si>
    <t>"Presencia y distribución de neuroreceptores de serotonina, GABA y dopamina en el espermatozoide humano. Estudio con técnicas de microscopía de alta resolución y análisis de grafos" </t>
  </si>
  <si>
    <t>25/03/2021 </t>
  </si>
  <si>
    <t>Martínez Martínez, Concepción </t>
  </si>
  <si>
    <t>Estigma de los profesionales de la salud hacia las pesonas con trastorno mental: Eficacia de una intervención de contactos. </t>
  </si>
  <si>
    <t>11/06/2021 </t>
  </si>
  <si>
    <t>Jover Mendiola, Antonio Damián </t>
  </si>
  <si>
    <t>Efectividad de la artrodesis primaria posterior de columna lumbar con técnica mínimamente invasiva comparada a la cirugía abierta para potología degenerativa lumbar. </t>
  </si>
  <si>
    <t>25/05/2021 </t>
  </si>
  <si>
    <t>Rubio Morales, Marta </t>
  </si>
  <si>
    <t>Beneficios clínicos de la prótesis inversa de hombro e influencia del diagnóstico. </t>
  </si>
  <si>
    <t>01/06/2021 </t>
  </si>
  <si>
    <t>Huertas Roca, Melody </t>
  </si>
  <si>
    <t>Validación externa de un sistema de puntuación para realizar cribado de EPOC. </t>
  </si>
  <si>
    <t>17/09/2021 </t>
  </si>
  <si>
    <t>33.40.6C.00.02</t>
  </si>
  <si>
    <t>PROYECTO NUTRICIÓN Y SALUD MENTAL</t>
  </si>
  <si>
    <t>REINTEGRO CUOTA PATRONAL CORRESPONDIENTE AL MES DE ENERO DE 2020.</t>
  </si>
  <si>
    <t>Inscripción de 8 estudiantes en el curso G454"Soporte Vital Básico Avanzado Pediátrico y Neonatal"</t>
  </si>
  <si>
    <t>Inscripción de Ginesa Sánchez López en curso G454 Soporte Vital Básico Avanzado Pediátrico y Neonatal. Recibo 2019727819986</t>
  </si>
  <si>
    <t>Inscripción de Pavel Milanés Mejías en curso G454 Soporte Vital Básico Avanzado Pediátrico y Neonatal. Recibo 2019727936881</t>
  </si>
  <si>
    <t>Inscripción de Sara Vicente Costa en curso G454 Soporte Vital Básico Avanzado Pediátrico y Neonatal. Recibo 2019727791480.</t>
  </si>
  <si>
    <t>Liquidación PLAN G454 "Soporte vital básico avanzado pediátrico y neonatal"</t>
  </si>
  <si>
    <t>DANIEL BORLÁN MORÁN. ESPECIALISTA EN MEDICINA Y ENFERMERÍA AEROTRANSPORTADA (HEMS, HICAMS, FWAA)</t>
  </si>
  <si>
    <t>Plan 9325 Curso 2020-21 ESPECIALISTA EN MEDICINA Y ENFERMERÍA AEROTRANSPORTADA (HEMS, HICAMS, FWAA)</t>
  </si>
  <si>
    <t>Vera Hernández, Xavier Ricardo. Especialista en Medicina y Enfermería Aerotransportada (HEMS, HICAMS, FWAA)</t>
  </si>
  <si>
    <t>33.40.2T.00.12</t>
  </si>
  <si>
    <t>Inscripción de 55 alumnos en el curso GE84 Gestión de Asociaciones de Pacientes 2020/21</t>
  </si>
  <si>
    <t>Inscripción en el curso GE84 Gestión de Asociaciones de pacientes 2019/20 de 31 alumnos: Álvarez Hernández, Ana María; Avellaneda Martínez, Ana; Ávila López, Jorge; Balas de la Gala, Manuela; Baquero Úbeda, José Luis; Beltrán Pedreira, Paloma; Benavente González, Luis Manuel; Bolaños Ojeda, Fátima Carmen; Cabello Quiros, Francisco José; Calvete Granja, José Luis; Cano Pastor, Amparo; Cortés Rizo, Mei Helena; Couto Gómez, Vanesa; Cuenca Lopera, José; Daimiel Tejeda, María Dolores; Darias Yanes, Francisco Javier; Escolar Antúnez, María Ángeles; Fernández de Dios, Yolanda; Fernández Delgado - Marqués, Raúl; Gallego Moreno, Ana Belén; García Díaz, Andrés Marcelino; García Iglesias, Javier; García Jiménez, Alicia; Gaspar Martínez, Bernard; Gistau Sánchez, Nuria; Gómez Del Valle Ochoa, María Paz; Herreros Zubía, María del Carmen; Hierro Racionero, Charo; Jiménez Chico, Clara; Lorenzo Garmendia, Andoni; Maderuelo Labrador, Mercedes Inscripción en el curso GE84 Gestión de Asociaciones de pacie</t>
  </si>
  <si>
    <t>Plan GE84 - GESTIÓN DE ASOCIACIONES DE PACIENTES</t>
  </si>
  <si>
    <t>PLAN GE84 2019/20 "Gestión de asociaciones de pacientes"</t>
  </si>
  <si>
    <t>TERCER Y CUARTO PAGO DEL PROYECTO MATE, COORDINADO POR EL PROFESOR MANUEL LILLO.</t>
  </si>
  <si>
    <t>33.40.6Q.00.01</t>
  </si>
  <si>
    <t>PRIMER PAGO EN CONCEPTO DE MECENAZGO DE LA CÁTEDRA DEL PACIENTE</t>
  </si>
  <si>
    <t>SEGUNDO PAGO 2021 EN CONCEPTO DE MECENAZGO DE LA CÁTEDRA DEL PACIENTE</t>
  </si>
  <si>
    <t>Cód. org. aplic.</t>
  </si>
  <si>
    <t>Descripción justificante</t>
  </si>
  <si>
    <t xml:space="preserve">Plan 9325 curso 2019/20ESPECIALISTA EN MEDICINA Y ENFERMERÍA AEROTRANSPORTADA					 </t>
  </si>
  <si>
    <t xml:space="preserve">Plan 9325 curso 2021-22, ESPECIALISTA EN MEDICINA Y ENFERMERÍA AEROTRANSPORTADA (HEMS, HICAMS, FWAA) </t>
  </si>
  <si>
    <t xml:space="preserve">Plan 9325 Curso 2020-21 ESPECIALISTA EN MEDICINA Y ENFERMERÍA AEROTRANSPORTADA (HEMS, HICAMS, FWAA) - complementario del JI 2020/4974 </t>
  </si>
  <si>
    <t>Plan GE84_2020-21_GESTIÓN DE ASOCIACIONES DE PACIENTES. COMPLEMENTARIO AL JI2020/4588</t>
  </si>
  <si>
    <t>Inscripción en el curso GE84 Gestión de Asociaciones de Pacientes 2020/21 3ª Edición de 45 alumnos</t>
  </si>
  <si>
    <t>Inscripción en el curso GE84 Gestión de Asociaciones de Pacientes 2020/21 2ª Edición de 55 alumnos</t>
  </si>
  <si>
    <t>Rollán Oliveira, Susana María </t>
  </si>
  <si>
    <t>Profesionales de enfermería asturianos en el siglo XX y XXI: un estudio intergeneracional desde la perspectiva de género. </t>
  </si>
  <si>
    <t>16/06/2022 </t>
  </si>
  <si>
    <t>Gutiérrez García, Ana Isabel </t>
  </si>
  <si>
    <t>¿Vivencias de mujeres que han sufrido la mutilación genital femenina como factor sensibilizador de la función preventiva de los profesionales de salud en la provincial de Alicante. Un estudio fenomenológico y formativo¿ </t>
  </si>
  <si>
    <t>17/05/2022 </t>
  </si>
  <si>
    <t>Ruiz Lozano, Matías </t>
  </si>
  <si>
    <t>Influencia del portal femoral artroscópico sobre el resultado de la reconstrucción del ligamento cruzado anterior. </t>
  </si>
  <si>
    <t>08/04/2022 </t>
  </si>
  <si>
    <t>Riquelme Galindo, Jorge </t>
  </si>
  <si>
    <t>¿Desarrollo de una cultura inclusiva en demencia mediante el diseño de contextos amigables.¿ </t>
  </si>
  <si>
    <t>04/02/2022 </t>
  </si>
  <si>
    <t>Martín Grandes, María del Rosario </t>
  </si>
  <si>
    <t>Efectividad del ácido tranexámico para reducir las pérdidas sanguíneas en pacientes con fracturas de cadera. </t>
  </si>
  <si>
    <t>13/06/2022 </t>
  </si>
  <si>
    <t>21470382C</t>
  </si>
  <si>
    <t>GABALDON BRAVO, EVA MARIA</t>
  </si>
  <si>
    <t>74004224E</t>
  </si>
  <si>
    <t>GARCIA SANJUAN, SOFIA</t>
  </si>
  <si>
    <t>74239968Q</t>
  </si>
  <si>
    <t>GUTIERREZ HERVAS, ANA ISABEL</t>
  </si>
  <si>
    <t>vivos</t>
  </si>
  <si>
    <t>Total ingresos formación 2019, 2020 y 2021</t>
  </si>
  <si>
    <t>Total ingresos investigación 2019, 2020 y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</si>
</sst>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4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000000"/>
      <name val="Arial"/>
      <family val="2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9" tint="0.399975585192419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/>
      <top style="medium">
        <color rgb="FF878787"/>
      </top>
      <bottom style="medium">
        <color rgb="FF878787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6">
    <xf numFmtId="0" fontId="0" fillId="0" borderId="0"/>
    <xf numFmtId="0" fontId="3" fillId="0" borderId="0"/>
    <xf numFmtId="0" fontId="6" fillId="0" borderId="0"/>
    <xf numFmtId="0" fontId="6" fillId="0" borderId="0"/>
    <xf numFmtId="0" fontId="7" fillId="0" borderId="0"/>
    <xf numFmtId="0" fontId="1" fillId="0" borderId="0"/>
  </cellStyleXfs>
  <cellXfs count="5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center"/>
    </xf>
    <xf numFmtId="0" fontId="1" fillId="0" borderId="1" xfId="0" applyFont="1" applyBorder="1"/>
    <xf numFmtId="4" fontId="1" fillId="0" borderId="1" xfId="0" applyNumberFormat="1" applyFont="1" applyBorder="1"/>
    <xf numFmtId="0" fontId="2" fillId="0" borderId="1" xfId="0" applyFont="1" applyBorder="1"/>
    <xf numFmtId="4" fontId="2" fillId="0" borderId="1" xfId="0" applyNumberFormat="1" applyFont="1" applyBorder="1"/>
    <xf numFmtId="0" fontId="4" fillId="3" borderId="1" xfId="1" applyFont="1" applyFill="1" applyBorder="1" applyAlignment="1">
      <alignment horizontal="center"/>
    </xf>
    <xf numFmtId="0" fontId="5" fillId="3" borderId="1" xfId="1" applyFont="1" applyFill="1" applyBorder="1" applyAlignment="1">
      <alignment horizontal="center"/>
    </xf>
    <xf numFmtId="0" fontId="5" fillId="3" borderId="1" xfId="2" applyFont="1" applyFill="1" applyBorder="1" applyAlignment="1">
      <alignment horizontal="center"/>
    </xf>
    <xf numFmtId="0" fontId="5" fillId="3" borderId="1" xfId="3" applyFont="1" applyFill="1" applyBorder="1" applyAlignment="1">
      <alignment horizontal="center" wrapText="1"/>
    </xf>
    <xf numFmtId="0" fontId="5" fillId="3" borderId="1" xfId="3" applyFont="1" applyFill="1" applyBorder="1" applyAlignment="1">
      <alignment horizontal="right" wrapText="1"/>
    </xf>
    <xf numFmtId="0" fontId="3" fillId="4" borderId="0" xfId="1" applyFont="1" applyFill="1" applyAlignment="1"/>
    <xf numFmtId="0" fontId="3" fillId="2" borderId="0" xfId="1" applyFont="1" applyFill="1" applyAlignment="1"/>
    <xf numFmtId="0" fontId="3" fillId="2" borderId="0" xfId="1" applyFont="1" applyFill="1" applyAlignment="1">
      <alignment horizontal="right"/>
    </xf>
    <xf numFmtId="164" fontId="4" fillId="2" borderId="1" xfId="1" applyNumberFormat="1" applyFont="1" applyFill="1" applyBorder="1" applyAlignment="1"/>
    <xf numFmtId="0" fontId="3" fillId="4" borderId="0" xfId="1" applyFont="1" applyFill="1" applyAlignment="1">
      <alignment horizontal="right"/>
    </xf>
    <xf numFmtId="0" fontId="9" fillId="5" borderId="1" xfId="3" applyFont="1" applyFill="1" applyBorder="1" applyAlignment="1">
      <alignment horizontal="center" textRotation="90" wrapText="1"/>
    </xf>
    <xf numFmtId="0" fontId="9" fillId="3" borderId="1" xfId="3" applyFont="1" applyFill="1" applyBorder="1" applyAlignment="1">
      <alignment horizontal="center" textRotation="90" wrapText="1"/>
    </xf>
    <xf numFmtId="0" fontId="6" fillId="0" borderId="0" xfId="5" applyFont="1"/>
    <xf numFmtId="0" fontId="10" fillId="0" borderId="0" xfId="5" applyFont="1"/>
    <xf numFmtId="0" fontId="10" fillId="0" borderId="0" xfId="5" applyFont="1" applyAlignment="1">
      <alignment horizontal="right"/>
    </xf>
    <xf numFmtId="0" fontId="8" fillId="2" borderId="1" xfId="0" applyFont="1" applyFill="1" applyBorder="1"/>
    <xf numFmtId="0" fontId="8" fillId="2" borderId="1" xfId="0" applyFont="1" applyFill="1" applyBorder="1" applyAlignment="1">
      <alignment textRotation="90"/>
    </xf>
    <xf numFmtId="0" fontId="9" fillId="3" borderId="1" xfId="3" applyFont="1" applyFill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4" fontId="0" fillId="0" borderId="2" xfId="0" applyNumberFormat="1" applyBorder="1"/>
    <xf numFmtId="4" fontId="0" fillId="0" borderId="0" xfId="0" applyNumberFormat="1"/>
    <xf numFmtId="0" fontId="3" fillId="4" borderId="1" xfId="1" applyFill="1" applyBorder="1"/>
    <xf numFmtId="0" fontId="3" fillId="4" borderId="3" xfId="1" applyFill="1" applyBorder="1"/>
    <xf numFmtId="0" fontId="12" fillId="6" borderId="1" xfId="0" applyFont="1" applyFill="1" applyBorder="1" applyAlignment="1">
      <alignment horizontal="left" vertical="center"/>
    </xf>
    <xf numFmtId="0" fontId="12" fillId="6" borderId="4" xfId="0" applyFont="1" applyFill="1" applyBorder="1" applyAlignment="1">
      <alignment horizontal="left" vertical="center"/>
    </xf>
    <xf numFmtId="0" fontId="12" fillId="6" borderId="5" xfId="0" applyFont="1" applyFill="1" applyBorder="1" applyAlignment="1">
      <alignment horizontal="left" vertical="center"/>
    </xf>
    <xf numFmtId="0" fontId="12" fillId="6" borderId="6" xfId="0" applyFont="1" applyFill="1" applyBorder="1" applyAlignment="1">
      <alignment horizontal="left" vertical="center"/>
    </xf>
    <xf numFmtId="164" fontId="3" fillId="4" borderId="1" xfId="1" applyNumberFormat="1" applyFill="1" applyBorder="1"/>
    <xf numFmtId="0" fontId="3" fillId="4" borderId="1" xfId="1" applyFill="1" applyBorder="1" applyAlignment="1">
      <alignment horizontal="right"/>
    </xf>
    <xf numFmtId="1" fontId="3" fillId="4" borderId="1" xfId="1" applyNumberFormat="1" applyFill="1" applyBorder="1"/>
    <xf numFmtId="165" fontId="3" fillId="4" borderId="1" xfId="1" applyNumberFormat="1" applyFill="1" applyBorder="1"/>
    <xf numFmtId="165" fontId="3" fillId="4" borderId="3" xfId="1" applyNumberFormat="1" applyFill="1" applyBorder="1"/>
    <xf numFmtId="0" fontId="3" fillId="4" borderId="3" xfId="1" applyFill="1" applyBorder="1" applyAlignment="1">
      <alignment horizontal="right"/>
    </xf>
    <xf numFmtId="1" fontId="3" fillId="4" borderId="3" xfId="1" applyNumberFormat="1" applyFill="1" applyBorder="1"/>
    <xf numFmtId="164" fontId="3" fillId="4" borderId="3" xfId="1" applyNumberFormat="1" applyFill="1" applyBorder="1"/>
    <xf numFmtId="0" fontId="3" fillId="0" borderId="1" xfId="1" applyBorder="1"/>
    <xf numFmtId="0" fontId="3" fillId="4" borderId="7" xfId="1" applyFill="1" applyBorder="1"/>
    <xf numFmtId="0" fontId="0" fillId="0" borderId="1" xfId="0" applyBorder="1" applyAlignment="1">
      <alignment horizontal="left"/>
    </xf>
    <xf numFmtId="4" fontId="13" fillId="0" borderId="0" xfId="0" applyNumberFormat="1" applyFont="1"/>
    <xf numFmtId="0" fontId="13" fillId="0" borderId="0" xfId="0" applyFont="1" applyAlignment="1">
      <alignment horizontal="right"/>
    </xf>
    <xf numFmtId="0" fontId="10" fillId="7" borderId="0" xfId="5" applyFont="1" applyFill="1"/>
    <xf numFmtId="0" fontId="10" fillId="7" borderId="0" xfId="5" applyFont="1" applyFill="1" applyAlignment="1">
      <alignment horizontal="right"/>
    </xf>
    <xf numFmtId="0" fontId="11" fillId="7" borderId="0" xfId="5" applyFont="1" applyFill="1"/>
    <xf numFmtId="0" fontId="2" fillId="0" borderId="1" xfId="0" applyFont="1" applyBorder="1" applyAlignment="1">
      <alignment horizontal="right"/>
    </xf>
  </cellXfs>
  <cellStyles count="6">
    <cellStyle name="Normal" xfId="0" builtinId="0"/>
    <cellStyle name="Normal 2" xfId="4" xr:uid="{00000000-0005-0000-0000-000001000000}"/>
    <cellStyle name="Normal 3" xfId="5" xr:uid="{00000000-0005-0000-0000-000002000000}"/>
    <cellStyle name="Normal_Becas 14_9_2005" xfId="2" xr:uid="{00000000-0005-0000-0000-000003000000}"/>
    <cellStyle name="Normal_Ind.2010" xfId="1" xr:uid="{00000000-0005-0000-0000-000004000000}"/>
    <cellStyle name="Normal_PDI por Centro" xfId="3" xr:uid="{00000000-0005-0000-0000-000007000000}"/>
  </cellStyles>
  <dxfs count="6">
    <dxf>
      <numFmt numFmtId="4" formatCode="#,##0.0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0AEDD0-8A34-4AB5-85E2-5C0CA8B6F053}" name="Tabla1" displayName="Tabla1" ref="A1:C10" totalsRowShown="0" headerRowBorderDxfId="5" tableBorderDxfId="4" totalsRowBorderDxfId="3">
  <autoFilter ref="A1:C10" xr:uid="{750AEDD0-8A34-4AB5-85E2-5C0CA8B6F053}"/>
  <tableColumns count="3">
    <tableColumn id="1" xr3:uid="{54B34C19-3B1C-45CC-8A28-89DC5786E9D1}" name="Cód. org. aplic." dataDxfId="2"/>
    <tableColumn id="2" xr3:uid="{0161D754-0E6B-409E-B2B5-02D085FEBC59}" name="Descripción justificante" dataDxfId="1"/>
    <tableColumn id="3" xr3:uid="{CF94C5DA-F4C5-42FD-BCE8-695C16903F9C}" name="Impor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52"/>
  <sheetViews>
    <sheetView showGridLines="0" zoomScale="120" zoomScaleNormal="120" workbookViewId="0">
      <pane xSplit="1" ySplit="1" topLeftCell="F11" activePane="bottomRight" state="frozen"/>
      <selection pane="topRight" activeCell="B1" sqref="B1"/>
      <selection pane="bottomLeft" activeCell="A2" sqref="A2"/>
      <selection pane="bottomRight" activeCell="J54" sqref="J54"/>
    </sheetView>
  </sheetViews>
  <sheetFormatPr baseColWidth="10" defaultColWidth="10.33203125" defaultRowHeight="10.199999999999999" x14ac:dyDescent="0.2"/>
  <cols>
    <col min="1" max="1" width="5" style="13" customWidth="1"/>
    <col min="2" max="4" width="29.6640625" style="13" customWidth="1"/>
    <col min="5" max="5" width="40.6640625" style="13" customWidth="1"/>
    <col min="6" max="6" width="9.109375" style="13" customWidth="1"/>
    <col min="7" max="7" width="9.6640625" style="13" customWidth="1"/>
    <col min="8" max="8" width="14.44140625" style="13" customWidth="1"/>
    <col min="9" max="9" width="5.88671875" style="13" customWidth="1"/>
    <col min="10" max="10" width="25.6640625" style="13" customWidth="1"/>
    <col min="11" max="12" width="5.109375" style="13" customWidth="1"/>
    <col min="13" max="13" width="4.44140625" style="13" customWidth="1"/>
    <col min="14" max="14" width="4.88671875" style="13" customWidth="1"/>
    <col min="15" max="15" width="4.88671875" style="17" customWidth="1"/>
    <col min="16" max="16" width="4.88671875" style="13" customWidth="1"/>
    <col min="17" max="17" width="3.5546875" style="17" customWidth="1"/>
    <col min="18" max="18" width="3.5546875" style="13" customWidth="1"/>
    <col min="19" max="21" width="5.109375" style="13" customWidth="1"/>
    <col min="22" max="16384" width="10.33203125" style="13"/>
  </cols>
  <sheetData>
    <row r="1" spans="1:21" ht="40.799999999999997" x14ac:dyDescent="0.2">
      <c r="A1" s="8" t="s">
        <v>7</v>
      </c>
      <c r="B1" s="9" t="s">
        <v>8</v>
      </c>
      <c r="C1" s="9" t="s">
        <v>9</v>
      </c>
      <c r="D1" s="9" t="s">
        <v>10</v>
      </c>
      <c r="E1" s="9" t="s">
        <v>11</v>
      </c>
      <c r="F1" s="9" t="s">
        <v>12</v>
      </c>
      <c r="G1" s="9" t="s">
        <v>13</v>
      </c>
      <c r="H1" s="9" t="s">
        <v>14</v>
      </c>
      <c r="I1" s="8" t="s">
        <v>15</v>
      </c>
      <c r="J1" s="9" t="s">
        <v>16</v>
      </c>
      <c r="K1" s="8" t="s">
        <v>17</v>
      </c>
      <c r="L1" s="9" t="s">
        <v>18</v>
      </c>
      <c r="M1" s="10" t="s">
        <v>19</v>
      </c>
      <c r="N1" s="11" t="s">
        <v>20</v>
      </c>
      <c r="O1" s="12" t="s">
        <v>21</v>
      </c>
      <c r="P1" s="11" t="s">
        <v>22</v>
      </c>
      <c r="Q1" s="12" t="s">
        <v>23</v>
      </c>
      <c r="R1" s="11" t="s">
        <v>24</v>
      </c>
      <c r="S1" s="11" t="s">
        <v>25</v>
      </c>
      <c r="T1" s="11" t="s">
        <v>26</v>
      </c>
      <c r="U1" s="11" t="s">
        <v>27</v>
      </c>
    </row>
    <row r="2" spans="1:21" x14ac:dyDescent="0.2">
      <c r="A2" s="31" t="s">
        <v>50</v>
      </c>
      <c r="B2" s="31" t="s">
        <v>51</v>
      </c>
      <c r="C2" s="31" t="s">
        <v>52</v>
      </c>
      <c r="D2" s="31" t="s">
        <v>84</v>
      </c>
      <c r="E2" s="31" t="s">
        <v>85</v>
      </c>
      <c r="F2" s="31" t="s">
        <v>86</v>
      </c>
      <c r="G2" s="31" t="s">
        <v>64</v>
      </c>
      <c r="H2" s="31" t="s">
        <v>28</v>
      </c>
      <c r="I2" s="31" t="s">
        <v>48</v>
      </c>
      <c r="J2" s="31" t="s">
        <v>49</v>
      </c>
      <c r="K2" s="37">
        <v>0.5</v>
      </c>
      <c r="L2" s="31" t="s">
        <v>59</v>
      </c>
      <c r="M2" s="31">
        <v>2016</v>
      </c>
      <c r="N2" s="31" t="s">
        <v>29</v>
      </c>
      <c r="O2" s="38" t="s">
        <v>29</v>
      </c>
      <c r="P2" s="31" t="s">
        <v>29</v>
      </c>
      <c r="Q2" s="38" t="s">
        <v>29</v>
      </c>
      <c r="R2" s="39">
        <v>100</v>
      </c>
      <c r="S2" s="37">
        <v>0.5</v>
      </c>
      <c r="T2" s="37">
        <v>0</v>
      </c>
      <c r="U2" s="37">
        <v>0</v>
      </c>
    </row>
    <row r="3" spans="1:21" x14ac:dyDescent="0.2">
      <c r="A3" s="31" t="s">
        <v>50</v>
      </c>
      <c r="B3" s="31" t="s">
        <v>51</v>
      </c>
      <c r="C3" s="31" t="s">
        <v>52</v>
      </c>
      <c r="D3" s="31" t="s">
        <v>71</v>
      </c>
      <c r="E3" s="31" t="s">
        <v>72</v>
      </c>
      <c r="F3" s="31" t="s">
        <v>73</v>
      </c>
      <c r="G3" s="31" t="s">
        <v>61</v>
      </c>
      <c r="H3" s="31" t="s">
        <v>30</v>
      </c>
      <c r="I3" s="31" t="s">
        <v>48</v>
      </c>
      <c r="J3" s="31" t="s">
        <v>49</v>
      </c>
      <c r="K3" s="37">
        <v>1</v>
      </c>
      <c r="L3" s="31" t="s">
        <v>59</v>
      </c>
      <c r="M3" s="31">
        <v>2016</v>
      </c>
      <c r="N3" s="31" t="s">
        <v>29</v>
      </c>
      <c r="O3" s="38" t="s">
        <v>29</v>
      </c>
      <c r="P3" s="31" t="s">
        <v>29</v>
      </c>
      <c r="Q3" s="38" t="s">
        <v>29</v>
      </c>
      <c r="R3" s="39">
        <v>100</v>
      </c>
      <c r="S3" s="37">
        <v>1</v>
      </c>
      <c r="T3" s="37">
        <v>0</v>
      </c>
      <c r="U3" s="37">
        <v>0</v>
      </c>
    </row>
    <row r="4" spans="1:21" x14ac:dyDescent="0.2">
      <c r="A4" s="31" t="s">
        <v>50</v>
      </c>
      <c r="B4" s="31" t="s">
        <v>51</v>
      </c>
      <c r="C4" s="31" t="s">
        <v>52</v>
      </c>
      <c r="D4" s="31" t="s">
        <v>103</v>
      </c>
      <c r="E4" s="31" t="s">
        <v>104</v>
      </c>
      <c r="F4" s="31" t="s">
        <v>40</v>
      </c>
      <c r="G4" s="31" t="s">
        <v>80</v>
      </c>
      <c r="H4" s="31" t="s">
        <v>28</v>
      </c>
      <c r="I4" s="31" t="s">
        <v>48</v>
      </c>
      <c r="J4" s="31" t="s">
        <v>49</v>
      </c>
      <c r="K4" s="37">
        <v>0.5</v>
      </c>
      <c r="L4" s="31" t="s">
        <v>59</v>
      </c>
      <c r="M4" s="31">
        <v>2016</v>
      </c>
      <c r="N4" s="31" t="s">
        <v>29</v>
      </c>
      <c r="O4" s="38" t="s">
        <v>29</v>
      </c>
      <c r="P4" s="31" t="s">
        <v>29</v>
      </c>
      <c r="Q4" s="38" t="s">
        <v>29</v>
      </c>
      <c r="R4" s="39">
        <v>100</v>
      </c>
      <c r="S4" s="37">
        <v>0.5</v>
      </c>
      <c r="T4" s="37">
        <v>0</v>
      </c>
      <c r="U4" s="37">
        <v>0</v>
      </c>
    </row>
    <row r="5" spans="1:21" x14ac:dyDescent="0.2">
      <c r="A5" s="31" t="s">
        <v>50</v>
      </c>
      <c r="B5" s="31" t="s">
        <v>51</v>
      </c>
      <c r="C5" s="31" t="s">
        <v>52</v>
      </c>
      <c r="D5" s="31" t="s">
        <v>103</v>
      </c>
      <c r="E5" s="31" t="s">
        <v>104</v>
      </c>
      <c r="F5" s="31" t="s">
        <v>40</v>
      </c>
      <c r="G5" s="31" t="s">
        <v>68</v>
      </c>
      <c r="H5" s="31" t="s">
        <v>28</v>
      </c>
      <c r="I5" s="31" t="s">
        <v>48</v>
      </c>
      <c r="J5" s="31" t="s">
        <v>49</v>
      </c>
      <c r="K5" s="37">
        <v>0.5</v>
      </c>
      <c r="L5" s="31" t="s">
        <v>59</v>
      </c>
      <c r="M5" s="31">
        <v>2016</v>
      </c>
      <c r="N5" s="31" t="s">
        <v>29</v>
      </c>
      <c r="O5" s="38" t="s">
        <v>29</v>
      </c>
      <c r="P5" s="31" t="s">
        <v>29</v>
      </c>
      <c r="Q5" s="38" t="s">
        <v>29</v>
      </c>
      <c r="R5" s="39">
        <v>100</v>
      </c>
      <c r="S5" s="37">
        <v>0.5</v>
      </c>
      <c r="T5" s="37">
        <v>0</v>
      </c>
      <c r="U5" s="37">
        <v>0</v>
      </c>
    </row>
    <row r="6" spans="1:21" x14ac:dyDescent="0.2">
      <c r="A6" s="31" t="s">
        <v>50</v>
      </c>
      <c r="B6" s="31" t="s">
        <v>51</v>
      </c>
      <c r="C6" s="31" t="s">
        <v>52</v>
      </c>
      <c r="D6" s="31" t="s">
        <v>99</v>
      </c>
      <c r="E6" s="31" t="s">
        <v>100</v>
      </c>
      <c r="F6" s="31" t="s">
        <v>40</v>
      </c>
      <c r="G6" s="31" t="s">
        <v>61</v>
      </c>
      <c r="H6" s="31" t="s">
        <v>30</v>
      </c>
      <c r="I6" s="31" t="s">
        <v>48</v>
      </c>
      <c r="J6" s="31" t="s">
        <v>49</v>
      </c>
      <c r="K6" s="37">
        <v>1</v>
      </c>
      <c r="L6" s="31" t="s">
        <v>59</v>
      </c>
      <c r="M6" s="31">
        <v>2016</v>
      </c>
      <c r="N6" s="31" t="s">
        <v>29</v>
      </c>
      <c r="O6" s="38" t="s">
        <v>29</v>
      </c>
      <c r="P6" s="31" t="s">
        <v>29</v>
      </c>
      <c r="Q6" s="38" t="s">
        <v>29</v>
      </c>
      <c r="R6" s="39">
        <v>100</v>
      </c>
      <c r="S6" s="37">
        <v>1</v>
      </c>
      <c r="T6" s="37">
        <v>0</v>
      </c>
      <c r="U6" s="37">
        <v>0</v>
      </c>
    </row>
    <row r="7" spans="1:21" x14ac:dyDescent="0.2">
      <c r="A7" s="31" t="s">
        <v>50</v>
      </c>
      <c r="B7" s="31" t="s">
        <v>51</v>
      </c>
      <c r="C7" s="31" t="s">
        <v>52</v>
      </c>
      <c r="D7" s="31" t="s">
        <v>93</v>
      </c>
      <c r="E7" s="31" t="s">
        <v>94</v>
      </c>
      <c r="F7" s="31" t="s">
        <v>38</v>
      </c>
      <c r="G7" s="31" t="s">
        <v>62</v>
      </c>
      <c r="H7" s="31" t="s">
        <v>28</v>
      </c>
      <c r="I7" s="31" t="s">
        <v>48</v>
      </c>
      <c r="J7" s="31" t="s">
        <v>49</v>
      </c>
      <c r="K7" s="37">
        <v>0.5</v>
      </c>
      <c r="L7" s="31" t="s">
        <v>59</v>
      </c>
      <c r="M7" s="31">
        <v>2016</v>
      </c>
      <c r="N7" s="31" t="s">
        <v>44</v>
      </c>
      <c r="O7" s="38" t="s">
        <v>31</v>
      </c>
      <c r="P7" s="31" t="s">
        <v>29</v>
      </c>
      <c r="Q7" s="38" t="s">
        <v>29</v>
      </c>
      <c r="R7" s="39">
        <v>90</v>
      </c>
      <c r="S7" s="37">
        <v>0.45</v>
      </c>
      <c r="T7" s="37">
        <v>0.05</v>
      </c>
      <c r="U7" s="37">
        <v>0</v>
      </c>
    </row>
    <row r="8" spans="1:21" x14ac:dyDescent="0.2">
      <c r="A8" s="31" t="s">
        <v>50</v>
      </c>
      <c r="B8" s="31" t="s">
        <v>51</v>
      </c>
      <c r="C8" s="31" t="s">
        <v>52</v>
      </c>
      <c r="D8" s="31" t="s">
        <v>110</v>
      </c>
      <c r="E8" s="31" t="s">
        <v>111</v>
      </c>
      <c r="F8" s="31" t="s">
        <v>32</v>
      </c>
      <c r="G8" s="31" t="s">
        <v>80</v>
      </c>
      <c r="H8" s="31" t="s">
        <v>30</v>
      </c>
      <c r="I8" s="31" t="s">
        <v>48</v>
      </c>
      <c r="J8" s="31" t="s">
        <v>49</v>
      </c>
      <c r="K8" s="37">
        <v>1</v>
      </c>
      <c r="L8" s="31" t="s">
        <v>59</v>
      </c>
      <c r="M8" s="31">
        <v>2016</v>
      </c>
      <c r="N8" s="31" t="s">
        <v>29</v>
      </c>
      <c r="O8" s="38" t="s">
        <v>29</v>
      </c>
      <c r="P8" s="31" t="s">
        <v>29</v>
      </c>
      <c r="Q8" s="38" t="s">
        <v>29</v>
      </c>
      <c r="R8" s="39">
        <v>100</v>
      </c>
      <c r="S8" s="37">
        <v>1</v>
      </c>
      <c r="T8" s="37">
        <v>0</v>
      </c>
      <c r="U8" s="37">
        <v>0</v>
      </c>
    </row>
    <row r="9" spans="1:21" x14ac:dyDescent="0.2">
      <c r="A9" s="31" t="s">
        <v>50</v>
      </c>
      <c r="B9" s="31" t="s">
        <v>51</v>
      </c>
      <c r="C9" s="31" t="s">
        <v>52</v>
      </c>
      <c r="D9" s="31" t="s">
        <v>101</v>
      </c>
      <c r="E9" s="31" t="s">
        <v>102</v>
      </c>
      <c r="F9" s="31" t="s">
        <v>42</v>
      </c>
      <c r="G9" s="31" t="s">
        <v>60</v>
      </c>
      <c r="H9" s="31" t="s">
        <v>30</v>
      </c>
      <c r="I9" s="31" t="s">
        <v>48</v>
      </c>
      <c r="J9" s="31" t="s">
        <v>49</v>
      </c>
      <c r="K9" s="37">
        <v>1</v>
      </c>
      <c r="L9" s="31" t="s">
        <v>59</v>
      </c>
      <c r="M9" s="31">
        <v>2016</v>
      </c>
      <c r="N9" s="31" t="s">
        <v>29</v>
      </c>
      <c r="O9" s="38" t="s">
        <v>29</v>
      </c>
      <c r="P9" s="31" t="s">
        <v>29</v>
      </c>
      <c r="Q9" s="38" t="s">
        <v>29</v>
      </c>
      <c r="R9" s="39">
        <v>100</v>
      </c>
      <c r="S9" s="37">
        <v>1</v>
      </c>
      <c r="T9" s="37">
        <v>0</v>
      </c>
      <c r="U9" s="37">
        <v>0</v>
      </c>
    </row>
    <row r="10" spans="1:21" x14ac:dyDescent="0.2">
      <c r="A10" s="31" t="s">
        <v>50</v>
      </c>
      <c r="B10" s="31" t="s">
        <v>51</v>
      </c>
      <c r="C10" s="31" t="s">
        <v>52</v>
      </c>
      <c r="D10" s="31" t="s">
        <v>97</v>
      </c>
      <c r="E10" s="31" t="s">
        <v>98</v>
      </c>
      <c r="F10" s="31" t="s">
        <v>45</v>
      </c>
      <c r="G10" s="31" t="s">
        <v>62</v>
      </c>
      <c r="H10" s="31" t="s">
        <v>28</v>
      </c>
      <c r="I10" s="31" t="s">
        <v>48</v>
      </c>
      <c r="J10" s="31" t="s">
        <v>49</v>
      </c>
      <c r="K10" s="37">
        <v>0.5</v>
      </c>
      <c r="L10" s="31" t="s">
        <v>59</v>
      </c>
      <c r="M10" s="31">
        <v>2016</v>
      </c>
      <c r="N10" s="31" t="s">
        <v>44</v>
      </c>
      <c r="O10" s="38" t="s">
        <v>31</v>
      </c>
      <c r="P10" s="31" t="s">
        <v>29</v>
      </c>
      <c r="Q10" s="38" t="s">
        <v>29</v>
      </c>
      <c r="R10" s="39">
        <v>90</v>
      </c>
      <c r="S10" s="37">
        <v>0.45</v>
      </c>
      <c r="T10" s="37">
        <v>0.05</v>
      </c>
      <c r="U10" s="37">
        <v>0</v>
      </c>
    </row>
    <row r="11" spans="1:21" x14ac:dyDescent="0.2">
      <c r="A11" s="31" t="s">
        <v>50</v>
      </c>
      <c r="B11" s="31" t="s">
        <v>51</v>
      </c>
      <c r="C11" s="31" t="s">
        <v>52</v>
      </c>
      <c r="D11" s="31" t="s">
        <v>97</v>
      </c>
      <c r="E11" s="31" t="s">
        <v>98</v>
      </c>
      <c r="F11" s="31" t="s">
        <v>45</v>
      </c>
      <c r="G11" s="31" t="s">
        <v>66</v>
      </c>
      <c r="H11" s="31" t="s">
        <v>28</v>
      </c>
      <c r="I11" s="31" t="s">
        <v>48</v>
      </c>
      <c r="J11" s="31" t="s">
        <v>49</v>
      </c>
      <c r="K11" s="37">
        <v>0.5</v>
      </c>
      <c r="L11" s="31" t="s">
        <v>59</v>
      </c>
      <c r="M11" s="31">
        <v>2016</v>
      </c>
      <c r="N11" s="31" t="s">
        <v>29</v>
      </c>
      <c r="O11" s="38" t="s">
        <v>29</v>
      </c>
      <c r="P11" s="31" t="s">
        <v>29</v>
      </c>
      <c r="Q11" s="38" t="s">
        <v>29</v>
      </c>
      <c r="R11" s="39">
        <v>100</v>
      </c>
      <c r="S11" s="37">
        <v>0.5</v>
      </c>
      <c r="T11" s="37">
        <v>0</v>
      </c>
      <c r="U11" s="37">
        <v>0</v>
      </c>
    </row>
    <row r="12" spans="1:21" x14ac:dyDescent="0.2">
      <c r="A12" s="31" t="s">
        <v>50</v>
      </c>
      <c r="B12" s="31" t="s">
        <v>51</v>
      </c>
      <c r="C12" s="31" t="s">
        <v>52</v>
      </c>
      <c r="D12" s="31" t="s">
        <v>74</v>
      </c>
      <c r="E12" s="31" t="s">
        <v>75</v>
      </c>
      <c r="F12" s="31" t="s">
        <v>39</v>
      </c>
      <c r="G12" s="31" t="s">
        <v>60</v>
      </c>
      <c r="H12" s="31" t="s">
        <v>30</v>
      </c>
      <c r="I12" s="31" t="s">
        <v>48</v>
      </c>
      <c r="J12" s="31" t="s">
        <v>49</v>
      </c>
      <c r="K12" s="37">
        <v>1</v>
      </c>
      <c r="L12" s="31" t="s">
        <v>59</v>
      </c>
      <c r="M12" s="31">
        <v>2016</v>
      </c>
      <c r="N12" s="31" t="s">
        <v>29</v>
      </c>
      <c r="O12" s="38" t="s">
        <v>29</v>
      </c>
      <c r="P12" s="31" t="s">
        <v>29</v>
      </c>
      <c r="Q12" s="38" t="s">
        <v>29</v>
      </c>
      <c r="R12" s="39">
        <v>100</v>
      </c>
      <c r="S12" s="37">
        <v>1</v>
      </c>
      <c r="T12" s="37">
        <v>0</v>
      </c>
      <c r="U12" s="37">
        <v>0</v>
      </c>
    </row>
    <row r="13" spans="1:21" x14ac:dyDescent="0.2">
      <c r="A13" s="31" t="s">
        <v>50</v>
      </c>
      <c r="B13" s="31" t="s">
        <v>51</v>
      </c>
      <c r="C13" s="31" t="s">
        <v>52</v>
      </c>
      <c r="D13" s="31" t="s">
        <v>107</v>
      </c>
      <c r="E13" s="31" t="s">
        <v>108</v>
      </c>
      <c r="F13" s="31" t="s">
        <v>109</v>
      </c>
      <c r="G13" s="31" t="s">
        <v>65</v>
      </c>
      <c r="H13" s="31" t="s">
        <v>30</v>
      </c>
      <c r="I13" s="31" t="s">
        <v>48</v>
      </c>
      <c r="J13" s="31" t="s">
        <v>49</v>
      </c>
      <c r="K13" s="37">
        <v>1</v>
      </c>
      <c r="L13" s="31" t="s">
        <v>59</v>
      </c>
      <c r="M13" s="31">
        <v>2016</v>
      </c>
      <c r="N13" s="31" t="s">
        <v>29</v>
      </c>
      <c r="O13" s="38" t="s">
        <v>29</v>
      </c>
      <c r="P13" s="31" t="s">
        <v>29</v>
      </c>
      <c r="Q13" s="38" t="s">
        <v>29</v>
      </c>
      <c r="R13" s="39">
        <v>100</v>
      </c>
      <c r="S13" s="37">
        <v>1</v>
      </c>
      <c r="T13" s="37">
        <v>0</v>
      </c>
      <c r="U13" s="37">
        <v>0</v>
      </c>
    </row>
    <row r="14" spans="1:21" x14ac:dyDescent="0.2">
      <c r="A14" s="31" t="s">
        <v>50</v>
      </c>
      <c r="B14" s="31" t="s">
        <v>51</v>
      </c>
      <c r="C14" s="31" t="s">
        <v>52</v>
      </c>
      <c r="D14" s="31" t="s">
        <v>105</v>
      </c>
      <c r="E14" s="31" t="s">
        <v>106</v>
      </c>
      <c r="F14" s="31" t="s">
        <v>53</v>
      </c>
      <c r="G14" s="31" t="s">
        <v>80</v>
      </c>
      <c r="H14" s="31" t="s">
        <v>30</v>
      </c>
      <c r="I14" s="31" t="s">
        <v>48</v>
      </c>
      <c r="J14" s="31" t="s">
        <v>49</v>
      </c>
      <c r="K14" s="37">
        <v>1</v>
      </c>
      <c r="L14" s="31" t="s">
        <v>59</v>
      </c>
      <c r="M14" s="31">
        <v>2016</v>
      </c>
      <c r="N14" s="31" t="s">
        <v>29</v>
      </c>
      <c r="O14" s="38" t="s">
        <v>29</v>
      </c>
      <c r="P14" s="31" t="s">
        <v>29</v>
      </c>
      <c r="Q14" s="38" t="s">
        <v>29</v>
      </c>
      <c r="R14" s="39">
        <v>100</v>
      </c>
      <c r="S14" s="37">
        <v>1</v>
      </c>
      <c r="T14" s="37">
        <v>0</v>
      </c>
      <c r="U14" s="37">
        <v>0</v>
      </c>
    </row>
    <row r="15" spans="1:21" x14ac:dyDescent="0.2">
      <c r="A15" s="31" t="s">
        <v>50</v>
      </c>
      <c r="B15" s="31" t="s">
        <v>51</v>
      </c>
      <c r="C15" s="31" t="s">
        <v>52</v>
      </c>
      <c r="D15" s="31" t="s">
        <v>54</v>
      </c>
      <c r="E15" s="31" t="s">
        <v>55</v>
      </c>
      <c r="F15" s="31" t="s">
        <v>56</v>
      </c>
      <c r="G15" s="31" t="s">
        <v>70</v>
      </c>
      <c r="H15" s="31" t="s">
        <v>28</v>
      </c>
      <c r="I15" s="31" t="s">
        <v>48</v>
      </c>
      <c r="J15" s="31" t="s">
        <v>49</v>
      </c>
      <c r="K15" s="37">
        <v>0.5</v>
      </c>
      <c r="L15" s="31" t="s">
        <v>59</v>
      </c>
      <c r="M15" s="31">
        <v>2016</v>
      </c>
      <c r="N15" s="31" t="s">
        <v>29</v>
      </c>
      <c r="O15" s="38" t="s">
        <v>29</v>
      </c>
      <c r="P15" s="31" t="s">
        <v>29</v>
      </c>
      <c r="Q15" s="38" t="s">
        <v>29</v>
      </c>
      <c r="R15" s="39">
        <v>100</v>
      </c>
      <c r="S15" s="37">
        <v>0.5</v>
      </c>
      <c r="T15" s="37">
        <v>0</v>
      </c>
      <c r="U15" s="37">
        <v>0</v>
      </c>
    </row>
    <row r="16" spans="1:21" x14ac:dyDescent="0.2">
      <c r="A16" s="31" t="s">
        <v>50</v>
      </c>
      <c r="B16" s="31" t="s">
        <v>51</v>
      </c>
      <c r="C16" s="31" t="s">
        <v>52</v>
      </c>
      <c r="D16" s="31" t="s">
        <v>95</v>
      </c>
      <c r="E16" s="31" t="s">
        <v>96</v>
      </c>
      <c r="F16" s="31" t="s">
        <v>43</v>
      </c>
      <c r="G16" s="31" t="s">
        <v>64</v>
      </c>
      <c r="H16" s="31" t="s">
        <v>28</v>
      </c>
      <c r="I16" s="31" t="s">
        <v>48</v>
      </c>
      <c r="J16" s="31" t="s">
        <v>49</v>
      </c>
      <c r="K16" s="37">
        <v>0.5</v>
      </c>
      <c r="L16" s="31" t="s">
        <v>59</v>
      </c>
      <c r="M16" s="31">
        <v>2016</v>
      </c>
      <c r="N16" s="31" t="s">
        <v>29</v>
      </c>
      <c r="O16" s="38" t="s">
        <v>29</v>
      </c>
      <c r="P16" s="31" t="s">
        <v>29</v>
      </c>
      <c r="Q16" s="38" t="s">
        <v>29</v>
      </c>
      <c r="R16" s="39">
        <v>100</v>
      </c>
      <c r="S16" s="37">
        <v>0.5</v>
      </c>
      <c r="T16" s="37">
        <v>0</v>
      </c>
      <c r="U16" s="37">
        <v>0</v>
      </c>
    </row>
    <row r="17" spans="1:21" x14ac:dyDescent="0.2">
      <c r="A17" s="31" t="s">
        <v>50</v>
      </c>
      <c r="B17" s="31" t="s">
        <v>51</v>
      </c>
      <c r="C17" s="31" t="s">
        <v>52</v>
      </c>
      <c r="D17" s="31" t="s">
        <v>87</v>
      </c>
      <c r="E17" s="31" t="s">
        <v>88</v>
      </c>
      <c r="F17" s="31" t="s">
        <v>89</v>
      </c>
      <c r="G17" s="31" t="s">
        <v>67</v>
      </c>
      <c r="H17" s="31" t="s">
        <v>28</v>
      </c>
      <c r="I17" s="31" t="s">
        <v>48</v>
      </c>
      <c r="J17" s="31" t="s">
        <v>49</v>
      </c>
      <c r="K17" s="37">
        <v>0.33333333333333331</v>
      </c>
      <c r="L17" s="31" t="s">
        <v>59</v>
      </c>
      <c r="M17" s="31">
        <v>2016</v>
      </c>
      <c r="N17" s="31" t="s">
        <v>29</v>
      </c>
      <c r="O17" s="38" t="s">
        <v>29</v>
      </c>
      <c r="P17" s="31" t="s">
        <v>29</v>
      </c>
      <c r="Q17" s="38" t="s">
        <v>29</v>
      </c>
      <c r="R17" s="39">
        <v>100</v>
      </c>
      <c r="S17" s="37">
        <v>0.33333333333333326</v>
      </c>
      <c r="T17" s="37">
        <v>0</v>
      </c>
      <c r="U17" s="37">
        <v>0</v>
      </c>
    </row>
    <row r="18" spans="1:21" x14ac:dyDescent="0.2">
      <c r="A18" s="31" t="s">
        <v>50</v>
      </c>
      <c r="B18" s="31" t="s">
        <v>51</v>
      </c>
      <c r="C18" s="31" t="s">
        <v>52</v>
      </c>
      <c r="D18" s="31" t="s">
        <v>87</v>
      </c>
      <c r="E18" s="31" t="s">
        <v>88</v>
      </c>
      <c r="F18" s="31" t="s">
        <v>89</v>
      </c>
      <c r="G18" s="31" t="s">
        <v>62</v>
      </c>
      <c r="H18" s="31" t="s">
        <v>28</v>
      </c>
      <c r="I18" s="31" t="s">
        <v>48</v>
      </c>
      <c r="J18" s="31" t="s">
        <v>49</v>
      </c>
      <c r="K18" s="37">
        <v>0.33333333333333331</v>
      </c>
      <c r="L18" s="31" t="s">
        <v>59</v>
      </c>
      <c r="M18" s="31">
        <v>2016</v>
      </c>
      <c r="N18" s="31" t="s">
        <v>44</v>
      </c>
      <c r="O18" s="38" t="s">
        <v>31</v>
      </c>
      <c r="P18" s="31" t="s">
        <v>29</v>
      </c>
      <c r="Q18" s="38" t="s">
        <v>29</v>
      </c>
      <c r="R18" s="39">
        <v>90</v>
      </c>
      <c r="S18" s="37">
        <v>0.3</v>
      </c>
      <c r="T18" s="37">
        <v>3.3333333333333333E-2</v>
      </c>
      <c r="U18" s="37">
        <v>0</v>
      </c>
    </row>
    <row r="19" spans="1:21" x14ac:dyDescent="0.2">
      <c r="A19" s="31" t="s">
        <v>50</v>
      </c>
      <c r="B19" s="31" t="s">
        <v>51</v>
      </c>
      <c r="C19" s="31" t="s">
        <v>52</v>
      </c>
      <c r="D19" s="31" t="s">
        <v>87</v>
      </c>
      <c r="E19" s="31" t="s">
        <v>88</v>
      </c>
      <c r="F19" s="31" t="s">
        <v>89</v>
      </c>
      <c r="G19" s="31" t="s">
        <v>66</v>
      </c>
      <c r="H19" s="31" t="s">
        <v>28</v>
      </c>
      <c r="I19" s="31" t="s">
        <v>48</v>
      </c>
      <c r="J19" s="31" t="s">
        <v>49</v>
      </c>
      <c r="K19" s="37">
        <v>0.33333333333333331</v>
      </c>
      <c r="L19" s="31" t="s">
        <v>59</v>
      </c>
      <c r="M19" s="31">
        <v>2016</v>
      </c>
      <c r="N19" s="31" t="s">
        <v>29</v>
      </c>
      <c r="O19" s="38" t="s">
        <v>29</v>
      </c>
      <c r="P19" s="31" t="s">
        <v>29</v>
      </c>
      <c r="Q19" s="38" t="s">
        <v>29</v>
      </c>
      <c r="R19" s="39">
        <v>100</v>
      </c>
      <c r="S19" s="37">
        <v>0.33333333333333326</v>
      </c>
      <c r="T19" s="37">
        <v>0</v>
      </c>
      <c r="U19" s="37">
        <v>0</v>
      </c>
    </row>
    <row r="20" spans="1:21" x14ac:dyDescent="0.2">
      <c r="A20" s="31" t="s">
        <v>50</v>
      </c>
      <c r="B20" s="31" t="s">
        <v>51</v>
      </c>
      <c r="C20" s="31" t="s">
        <v>52</v>
      </c>
      <c r="D20" s="31" t="s">
        <v>76</v>
      </c>
      <c r="E20" s="31" t="s">
        <v>77</v>
      </c>
      <c r="F20" s="31" t="s">
        <v>43</v>
      </c>
      <c r="G20" s="31" t="s">
        <v>62</v>
      </c>
      <c r="H20" s="31" t="s">
        <v>28</v>
      </c>
      <c r="I20" s="31" t="s">
        <v>48</v>
      </c>
      <c r="J20" s="31" t="s">
        <v>49</v>
      </c>
      <c r="K20" s="37">
        <v>0.5</v>
      </c>
      <c r="L20" s="31" t="s">
        <v>59</v>
      </c>
      <c r="M20" s="31">
        <v>2016</v>
      </c>
      <c r="N20" s="31" t="s">
        <v>44</v>
      </c>
      <c r="O20" s="38" t="s">
        <v>31</v>
      </c>
      <c r="P20" s="31" t="s">
        <v>29</v>
      </c>
      <c r="Q20" s="38" t="s">
        <v>29</v>
      </c>
      <c r="R20" s="39">
        <v>90</v>
      </c>
      <c r="S20" s="37">
        <v>0.45</v>
      </c>
      <c r="T20" s="37">
        <v>0.05</v>
      </c>
      <c r="U20" s="37">
        <v>0</v>
      </c>
    </row>
    <row r="21" spans="1:21" x14ac:dyDescent="0.2">
      <c r="A21" s="31" t="s">
        <v>50</v>
      </c>
      <c r="B21" s="31" t="s">
        <v>51</v>
      </c>
      <c r="C21" s="31" t="s">
        <v>52</v>
      </c>
      <c r="D21" s="31" t="s">
        <v>90</v>
      </c>
      <c r="E21" s="31" t="s">
        <v>91</v>
      </c>
      <c r="F21" s="31" t="s">
        <v>92</v>
      </c>
      <c r="G21" s="31" t="s">
        <v>60</v>
      </c>
      <c r="H21" s="31" t="s">
        <v>28</v>
      </c>
      <c r="I21" s="31" t="s">
        <v>48</v>
      </c>
      <c r="J21" s="31" t="s">
        <v>49</v>
      </c>
      <c r="K21" s="37">
        <v>0.5</v>
      </c>
      <c r="L21" s="31" t="s">
        <v>59</v>
      </c>
      <c r="M21" s="31">
        <v>2016</v>
      </c>
      <c r="N21" s="31" t="s">
        <v>29</v>
      </c>
      <c r="O21" s="38" t="s">
        <v>29</v>
      </c>
      <c r="P21" s="31" t="s">
        <v>29</v>
      </c>
      <c r="Q21" s="38" t="s">
        <v>29</v>
      </c>
      <c r="R21" s="39">
        <v>100</v>
      </c>
      <c r="S21" s="37">
        <v>0.5</v>
      </c>
      <c r="T21" s="37">
        <v>0</v>
      </c>
      <c r="U21" s="37">
        <v>0</v>
      </c>
    </row>
    <row r="22" spans="1:21" x14ac:dyDescent="0.2">
      <c r="A22" s="31" t="s">
        <v>50</v>
      </c>
      <c r="B22" s="31" t="s">
        <v>51</v>
      </c>
      <c r="C22" s="31" t="s">
        <v>52</v>
      </c>
      <c r="D22" s="31" t="s">
        <v>81</v>
      </c>
      <c r="E22" s="31" t="s">
        <v>82</v>
      </c>
      <c r="F22" s="31" t="s">
        <v>83</v>
      </c>
      <c r="G22" s="31" t="s">
        <v>60</v>
      </c>
      <c r="H22" s="31" t="s">
        <v>28</v>
      </c>
      <c r="I22" s="31" t="s">
        <v>48</v>
      </c>
      <c r="J22" s="31" t="s">
        <v>49</v>
      </c>
      <c r="K22" s="37">
        <v>0.5</v>
      </c>
      <c r="L22" s="31" t="s">
        <v>59</v>
      </c>
      <c r="M22" s="31">
        <v>2016</v>
      </c>
      <c r="N22" s="31" t="s">
        <v>29</v>
      </c>
      <c r="O22" s="38" t="s">
        <v>29</v>
      </c>
      <c r="P22" s="31" t="s">
        <v>29</v>
      </c>
      <c r="Q22" s="38" t="s">
        <v>29</v>
      </c>
      <c r="R22" s="39">
        <v>100</v>
      </c>
      <c r="S22" s="37">
        <v>0.5</v>
      </c>
      <c r="T22" s="37">
        <v>0</v>
      </c>
      <c r="U22" s="37">
        <v>0</v>
      </c>
    </row>
    <row r="23" spans="1:21" x14ac:dyDescent="0.2">
      <c r="A23" s="31" t="s">
        <v>50</v>
      </c>
      <c r="B23" s="31" t="s">
        <v>51</v>
      </c>
      <c r="C23" s="31" t="s">
        <v>52</v>
      </c>
      <c r="D23" s="31" t="s">
        <v>78</v>
      </c>
      <c r="E23" s="31" t="s">
        <v>79</v>
      </c>
      <c r="F23" s="31" t="s">
        <v>73</v>
      </c>
      <c r="G23" s="31" t="s">
        <v>80</v>
      </c>
      <c r="H23" s="31" t="s">
        <v>28</v>
      </c>
      <c r="I23" s="31" t="s">
        <v>48</v>
      </c>
      <c r="J23" s="31" t="s">
        <v>49</v>
      </c>
      <c r="K23" s="37">
        <v>0.5</v>
      </c>
      <c r="L23" s="31" t="s">
        <v>59</v>
      </c>
      <c r="M23" s="31">
        <v>2016</v>
      </c>
      <c r="N23" s="31" t="s">
        <v>29</v>
      </c>
      <c r="O23" s="38" t="s">
        <v>29</v>
      </c>
      <c r="P23" s="31" t="s">
        <v>29</v>
      </c>
      <c r="Q23" s="38" t="s">
        <v>29</v>
      </c>
      <c r="R23" s="39">
        <v>100</v>
      </c>
      <c r="S23" s="37">
        <v>0.5</v>
      </c>
      <c r="T23" s="37">
        <v>0</v>
      </c>
      <c r="U23" s="37">
        <v>0</v>
      </c>
    </row>
    <row r="24" spans="1:21" x14ac:dyDescent="0.2">
      <c r="A24" s="31" t="s">
        <v>50</v>
      </c>
      <c r="B24" s="31" t="s">
        <v>51</v>
      </c>
      <c r="C24" s="31" t="s">
        <v>52</v>
      </c>
      <c r="D24" s="31" t="s">
        <v>78</v>
      </c>
      <c r="E24" s="31" t="s">
        <v>79</v>
      </c>
      <c r="F24" s="31" t="s">
        <v>73</v>
      </c>
      <c r="G24" s="31" t="s">
        <v>62</v>
      </c>
      <c r="H24" s="31" t="s">
        <v>28</v>
      </c>
      <c r="I24" s="31" t="s">
        <v>48</v>
      </c>
      <c r="J24" s="31" t="s">
        <v>49</v>
      </c>
      <c r="K24" s="37">
        <v>0.5</v>
      </c>
      <c r="L24" s="31" t="s">
        <v>59</v>
      </c>
      <c r="M24" s="31">
        <v>2016</v>
      </c>
      <c r="N24" s="31" t="s">
        <v>44</v>
      </c>
      <c r="O24" s="38" t="s">
        <v>31</v>
      </c>
      <c r="P24" s="31" t="s">
        <v>29</v>
      </c>
      <c r="Q24" s="38" t="s">
        <v>29</v>
      </c>
      <c r="R24" s="39">
        <v>90</v>
      </c>
      <c r="S24" s="37">
        <v>0.45</v>
      </c>
      <c r="T24" s="37">
        <v>0.05</v>
      </c>
      <c r="U24" s="37">
        <v>0</v>
      </c>
    </row>
    <row r="25" spans="1:21" x14ac:dyDescent="0.2">
      <c r="A25" s="31" t="s">
        <v>50</v>
      </c>
      <c r="B25" s="31" t="s">
        <v>51</v>
      </c>
      <c r="C25" s="31" t="s">
        <v>52</v>
      </c>
      <c r="D25" s="31" t="s">
        <v>112</v>
      </c>
      <c r="E25" s="31" t="s">
        <v>113</v>
      </c>
      <c r="F25" s="31" t="s">
        <v>47</v>
      </c>
      <c r="G25" s="31" t="s">
        <v>69</v>
      </c>
      <c r="H25" s="31" t="s">
        <v>28</v>
      </c>
      <c r="I25" s="31" t="s">
        <v>48</v>
      </c>
      <c r="J25" s="31" t="s">
        <v>49</v>
      </c>
      <c r="K25" s="37">
        <v>0.5</v>
      </c>
      <c r="L25" s="31" t="s">
        <v>59</v>
      </c>
      <c r="M25" s="31">
        <v>2017</v>
      </c>
      <c r="N25" s="31" t="s">
        <v>29</v>
      </c>
      <c r="O25" s="38" t="s">
        <v>29</v>
      </c>
      <c r="P25" s="31" t="s">
        <v>29</v>
      </c>
      <c r="Q25" s="38" t="s">
        <v>29</v>
      </c>
      <c r="R25" s="39">
        <v>100</v>
      </c>
      <c r="S25" s="37">
        <v>0.5</v>
      </c>
      <c r="T25" s="37">
        <v>0</v>
      </c>
      <c r="U25" s="37">
        <v>0</v>
      </c>
    </row>
    <row r="26" spans="1:21" x14ac:dyDescent="0.2">
      <c r="A26" s="31" t="s">
        <v>50</v>
      </c>
      <c r="B26" s="31" t="s">
        <v>51</v>
      </c>
      <c r="C26" s="31" t="s">
        <v>52</v>
      </c>
      <c r="D26" s="31" t="s">
        <v>114</v>
      </c>
      <c r="E26" s="31" t="s">
        <v>115</v>
      </c>
      <c r="F26" s="31" t="s">
        <v>116</v>
      </c>
      <c r="G26" s="31" t="s">
        <v>65</v>
      </c>
      <c r="H26" s="31" t="s">
        <v>28</v>
      </c>
      <c r="I26" s="31" t="s">
        <v>48</v>
      </c>
      <c r="J26" s="31" t="s">
        <v>49</v>
      </c>
      <c r="K26" s="37">
        <v>0.5</v>
      </c>
      <c r="L26" s="31" t="s">
        <v>59</v>
      </c>
      <c r="M26" s="31">
        <v>2017</v>
      </c>
      <c r="N26" s="31" t="s">
        <v>29</v>
      </c>
      <c r="O26" s="38" t="s">
        <v>29</v>
      </c>
      <c r="P26" s="31" t="s">
        <v>29</v>
      </c>
      <c r="Q26" s="38" t="s">
        <v>29</v>
      </c>
      <c r="R26" s="39">
        <v>100</v>
      </c>
      <c r="S26" s="37">
        <v>0.5</v>
      </c>
      <c r="T26" s="37">
        <v>0</v>
      </c>
      <c r="U26" s="37">
        <v>0</v>
      </c>
    </row>
    <row r="27" spans="1:21" x14ac:dyDescent="0.2">
      <c r="A27" s="31" t="s">
        <v>50</v>
      </c>
      <c r="B27" s="31" t="s">
        <v>51</v>
      </c>
      <c r="C27" s="31" t="s">
        <v>52</v>
      </c>
      <c r="D27" s="31" t="s">
        <v>125</v>
      </c>
      <c r="E27" s="31" t="s">
        <v>126</v>
      </c>
      <c r="F27" s="31" t="s">
        <v>46</v>
      </c>
      <c r="G27" s="31" t="s">
        <v>60</v>
      </c>
      <c r="H27" s="31" t="s">
        <v>30</v>
      </c>
      <c r="I27" s="31" t="s">
        <v>48</v>
      </c>
      <c r="J27" s="31" t="s">
        <v>49</v>
      </c>
      <c r="K27" s="40">
        <v>1</v>
      </c>
      <c r="L27" s="31" t="s">
        <v>59</v>
      </c>
      <c r="M27" s="31">
        <v>2018</v>
      </c>
      <c r="N27" s="31" t="s">
        <v>29</v>
      </c>
      <c r="O27" s="38" t="s">
        <v>29</v>
      </c>
      <c r="P27" s="31" t="s">
        <v>29</v>
      </c>
      <c r="Q27" s="38" t="s">
        <v>29</v>
      </c>
      <c r="R27" s="39">
        <v>100</v>
      </c>
      <c r="S27" s="37">
        <v>1</v>
      </c>
      <c r="T27" s="37">
        <v>0</v>
      </c>
      <c r="U27" s="37">
        <v>0</v>
      </c>
    </row>
    <row r="28" spans="1:21" x14ac:dyDescent="0.2">
      <c r="A28" s="31" t="s">
        <v>50</v>
      </c>
      <c r="B28" s="31" t="s">
        <v>51</v>
      </c>
      <c r="C28" s="31" t="s">
        <v>52</v>
      </c>
      <c r="D28" s="31" t="s">
        <v>117</v>
      </c>
      <c r="E28" s="31" t="s">
        <v>118</v>
      </c>
      <c r="F28" s="31" t="s">
        <v>119</v>
      </c>
      <c r="G28" s="31" t="s">
        <v>63</v>
      </c>
      <c r="H28" s="31" t="s">
        <v>28</v>
      </c>
      <c r="I28" s="31" t="s">
        <v>48</v>
      </c>
      <c r="J28" s="31" t="s">
        <v>49</v>
      </c>
      <c r="K28" s="40">
        <v>0.5</v>
      </c>
      <c r="L28" s="31" t="s">
        <v>59</v>
      </c>
      <c r="M28" s="31">
        <v>2018</v>
      </c>
      <c r="N28" s="31" t="s">
        <v>29</v>
      </c>
      <c r="O28" s="38" t="s">
        <v>29</v>
      </c>
      <c r="P28" s="31" t="s">
        <v>29</v>
      </c>
      <c r="Q28" s="38" t="s">
        <v>29</v>
      </c>
      <c r="R28" s="39">
        <v>100</v>
      </c>
      <c r="S28" s="37">
        <v>0.5</v>
      </c>
      <c r="T28" s="37">
        <v>0</v>
      </c>
      <c r="U28" s="37">
        <v>0</v>
      </c>
    </row>
    <row r="29" spans="1:21" x14ac:dyDescent="0.2">
      <c r="A29" s="31" t="s">
        <v>50</v>
      </c>
      <c r="B29" s="31" t="s">
        <v>51</v>
      </c>
      <c r="C29" s="31" t="s">
        <v>52</v>
      </c>
      <c r="D29" s="31" t="s">
        <v>120</v>
      </c>
      <c r="E29" s="31" t="s">
        <v>121</v>
      </c>
      <c r="F29" s="31" t="s">
        <v>34</v>
      </c>
      <c r="G29" s="31" t="s">
        <v>65</v>
      </c>
      <c r="H29" s="31" t="s">
        <v>30</v>
      </c>
      <c r="I29" s="31" t="s">
        <v>48</v>
      </c>
      <c r="J29" s="31" t="s">
        <v>49</v>
      </c>
      <c r="K29" s="40">
        <v>1</v>
      </c>
      <c r="L29" s="31" t="s">
        <v>59</v>
      </c>
      <c r="M29" s="31">
        <v>2018</v>
      </c>
      <c r="N29" s="31" t="s">
        <v>29</v>
      </c>
      <c r="O29" s="38" t="s">
        <v>29</v>
      </c>
      <c r="P29" s="31" t="s">
        <v>29</v>
      </c>
      <c r="Q29" s="38" t="s">
        <v>29</v>
      </c>
      <c r="R29" s="39">
        <v>100</v>
      </c>
      <c r="S29" s="37">
        <v>1</v>
      </c>
      <c r="T29" s="37">
        <v>0</v>
      </c>
      <c r="U29" s="37">
        <v>0</v>
      </c>
    </row>
    <row r="30" spans="1:21" x14ac:dyDescent="0.2">
      <c r="A30" s="31" t="s">
        <v>50</v>
      </c>
      <c r="B30" s="31" t="s">
        <v>51</v>
      </c>
      <c r="C30" s="31" t="s">
        <v>52</v>
      </c>
      <c r="D30" s="31" t="s">
        <v>127</v>
      </c>
      <c r="E30" s="31" t="s">
        <v>128</v>
      </c>
      <c r="F30" s="31" t="s">
        <v>129</v>
      </c>
      <c r="G30" s="31" t="s">
        <v>69</v>
      </c>
      <c r="H30" s="31" t="s">
        <v>28</v>
      </c>
      <c r="I30" s="31" t="s">
        <v>48</v>
      </c>
      <c r="J30" s="31" t="s">
        <v>49</v>
      </c>
      <c r="K30" s="40">
        <v>0.5</v>
      </c>
      <c r="L30" s="31" t="s">
        <v>59</v>
      </c>
      <c r="M30" s="31">
        <v>2018</v>
      </c>
      <c r="N30" s="31" t="s">
        <v>29</v>
      </c>
      <c r="O30" s="38" t="s">
        <v>29</v>
      </c>
      <c r="P30" s="31" t="s">
        <v>29</v>
      </c>
      <c r="Q30" s="38" t="s">
        <v>29</v>
      </c>
      <c r="R30" s="39">
        <v>100</v>
      </c>
      <c r="S30" s="37">
        <v>0.5</v>
      </c>
      <c r="T30" s="37">
        <v>0</v>
      </c>
      <c r="U30" s="37">
        <v>0</v>
      </c>
    </row>
    <row r="31" spans="1:21" x14ac:dyDescent="0.2">
      <c r="A31" s="31" t="s">
        <v>50</v>
      </c>
      <c r="B31" s="31" t="s">
        <v>51</v>
      </c>
      <c r="C31" s="31" t="s">
        <v>52</v>
      </c>
      <c r="D31" s="31" t="s">
        <v>57</v>
      </c>
      <c r="E31" s="31" t="s">
        <v>58</v>
      </c>
      <c r="F31" s="31" t="s">
        <v>41</v>
      </c>
      <c r="G31" s="31" t="s">
        <v>70</v>
      </c>
      <c r="H31" s="31" t="s">
        <v>28</v>
      </c>
      <c r="I31" s="31" t="s">
        <v>48</v>
      </c>
      <c r="J31" s="31" t="s">
        <v>49</v>
      </c>
      <c r="K31" s="40">
        <v>0.5</v>
      </c>
      <c r="L31" s="31" t="s">
        <v>59</v>
      </c>
      <c r="M31" s="31">
        <v>2018</v>
      </c>
      <c r="N31" s="31" t="s">
        <v>29</v>
      </c>
      <c r="O31" s="38" t="s">
        <v>29</v>
      </c>
      <c r="P31" s="31" t="s">
        <v>29</v>
      </c>
      <c r="Q31" s="38" t="s">
        <v>29</v>
      </c>
      <c r="R31" s="39">
        <v>100</v>
      </c>
      <c r="S31" s="37">
        <v>0.5</v>
      </c>
      <c r="T31" s="37">
        <v>0</v>
      </c>
      <c r="U31" s="37">
        <v>0</v>
      </c>
    </row>
    <row r="32" spans="1:21" x14ac:dyDescent="0.2">
      <c r="A32" s="31" t="s">
        <v>50</v>
      </c>
      <c r="B32" s="31" t="s">
        <v>51</v>
      </c>
      <c r="C32" s="31" t="s">
        <v>52</v>
      </c>
      <c r="D32" s="31" t="s">
        <v>122</v>
      </c>
      <c r="E32" s="31" t="s">
        <v>123</v>
      </c>
      <c r="F32" s="31" t="s">
        <v>124</v>
      </c>
      <c r="G32" s="31" t="s">
        <v>69</v>
      </c>
      <c r="H32" s="31" t="s">
        <v>28</v>
      </c>
      <c r="I32" s="31" t="s">
        <v>48</v>
      </c>
      <c r="J32" s="31" t="s">
        <v>49</v>
      </c>
      <c r="K32" s="40">
        <v>0.5</v>
      </c>
      <c r="L32" s="31" t="s">
        <v>59</v>
      </c>
      <c r="M32" s="31">
        <v>2018</v>
      </c>
      <c r="N32" s="31" t="s">
        <v>29</v>
      </c>
      <c r="O32" s="38" t="s">
        <v>29</v>
      </c>
      <c r="P32" s="31" t="s">
        <v>29</v>
      </c>
      <c r="Q32" s="38" t="s">
        <v>29</v>
      </c>
      <c r="R32" s="39">
        <v>100</v>
      </c>
      <c r="S32" s="37">
        <v>0.5</v>
      </c>
      <c r="T32" s="37">
        <v>0</v>
      </c>
      <c r="U32" s="37">
        <v>0</v>
      </c>
    </row>
    <row r="33" spans="1:21" x14ac:dyDescent="0.2">
      <c r="A33" s="32" t="s">
        <v>50</v>
      </c>
      <c r="B33" s="32" t="s">
        <v>51</v>
      </c>
      <c r="C33" s="32" t="s">
        <v>52</v>
      </c>
      <c r="D33" s="32" t="s">
        <v>186</v>
      </c>
      <c r="E33" s="32" t="s">
        <v>187</v>
      </c>
      <c r="F33" s="32" t="s">
        <v>188</v>
      </c>
      <c r="G33" s="32" t="s">
        <v>70</v>
      </c>
      <c r="H33" s="32" t="s">
        <v>28</v>
      </c>
      <c r="I33" s="32" t="s">
        <v>48</v>
      </c>
      <c r="J33" s="32" t="s">
        <v>49</v>
      </c>
      <c r="K33" s="41">
        <v>0.5</v>
      </c>
      <c r="L33" s="32" t="s">
        <v>59</v>
      </c>
      <c r="M33" s="32">
        <v>2019</v>
      </c>
      <c r="N33" s="32" t="s">
        <v>29</v>
      </c>
      <c r="O33" s="42" t="s">
        <v>29</v>
      </c>
      <c r="P33" s="32" t="s">
        <v>29</v>
      </c>
      <c r="Q33" s="42" t="s">
        <v>29</v>
      </c>
      <c r="R33" s="43">
        <v>100</v>
      </c>
      <c r="S33" s="44">
        <v>0.5</v>
      </c>
      <c r="T33" s="44">
        <v>0</v>
      </c>
      <c r="U33" s="44">
        <v>0</v>
      </c>
    </row>
    <row r="34" spans="1:21" x14ac:dyDescent="0.2">
      <c r="A34" s="32" t="s">
        <v>50</v>
      </c>
      <c r="B34" s="32" t="s">
        <v>51</v>
      </c>
      <c r="C34" s="32" t="s">
        <v>52</v>
      </c>
      <c r="D34" s="32" t="s">
        <v>189</v>
      </c>
      <c r="E34" s="32" t="s">
        <v>190</v>
      </c>
      <c r="F34" s="32" t="s">
        <v>191</v>
      </c>
      <c r="G34" s="32" t="s">
        <v>70</v>
      </c>
      <c r="H34" s="32" t="s">
        <v>28</v>
      </c>
      <c r="I34" s="32" t="s">
        <v>48</v>
      </c>
      <c r="J34" s="32" t="s">
        <v>49</v>
      </c>
      <c r="K34" s="41">
        <v>0.5</v>
      </c>
      <c r="L34" s="32" t="s">
        <v>59</v>
      </c>
      <c r="M34" s="32">
        <v>2019</v>
      </c>
      <c r="N34" s="32" t="s">
        <v>29</v>
      </c>
      <c r="O34" s="42" t="s">
        <v>29</v>
      </c>
      <c r="P34" s="32" t="s">
        <v>29</v>
      </c>
      <c r="Q34" s="42" t="s">
        <v>29</v>
      </c>
      <c r="R34" s="43">
        <v>100</v>
      </c>
      <c r="S34" s="44">
        <v>0.5</v>
      </c>
      <c r="T34" s="44">
        <v>0</v>
      </c>
      <c r="U34" s="44">
        <v>0</v>
      </c>
    </row>
    <row r="35" spans="1:21" x14ac:dyDescent="0.2">
      <c r="A35" s="32" t="s">
        <v>50</v>
      </c>
      <c r="B35" s="32" t="s">
        <v>51</v>
      </c>
      <c r="C35" s="32" t="s">
        <v>52</v>
      </c>
      <c r="D35" s="32" t="s">
        <v>189</v>
      </c>
      <c r="E35" s="32" t="s">
        <v>190</v>
      </c>
      <c r="F35" s="32" t="s">
        <v>191</v>
      </c>
      <c r="G35" s="32" t="s">
        <v>62</v>
      </c>
      <c r="H35" s="32" t="s">
        <v>28</v>
      </c>
      <c r="I35" s="32" t="s">
        <v>48</v>
      </c>
      <c r="J35" s="32" t="s">
        <v>49</v>
      </c>
      <c r="K35" s="41">
        <v>0.5</v>
      </c>
      <c r="L35" s="32" t="s">
        <v>59</v>
      </c>
      <c r="M35" s="32">
        <v>2019</v>
      </c>
      <c r="N35" s="32" t="s">
        <v>44</v>
      </c>
      <c r="O35" s="42" t="s">
        <v>31</v>
      </c>
      <c r="P35" s="32" t="s">
        <v>29</v>
      </c>
      <c r="Q35" s="42" t="s">
        <v>29</v>
      </c>
      <c r="R35" s="43">
        <v>90</v>
      </c>
      <c r="S35" s="44">
        <v>0.45</v>
      </c>
      <c r="T35" s="44">
        <v>0.05</v>
      </c>
      <c r="U35" s="44">
        <v>0</v>
      </c>
    </row>
    <row r="36" spans="1:21" x14ac:dyDescent="0.2">
      <c r="A36" s="31" t="s">
        <v>50</v>
      </c>
      <c r="B36" s="31" t="s">
        <v>51</v>
      </c>
      <c r="C36" s="31" t="s">
        <v>52</v>
      </c>
      <c r="D36" s="31" t="s">
        <v>204</v>
      </c>
      <c r="E36" s="31" t="s">
        <v>205</v>
      </c>
      <c r="F36" s="31" t="s">
        <v>206</v>
      </c>
      <c r="G36" s="31" t="s">
        <v>69</v>
      </c>
      <c r="H36" s="31" t="s">
        <v>28</v>
      </c>
      <c r="I36" s="31" t="s">
        <v>48</v>
      </c>
      <c r="J36" s="31" t="s">
        <v>49</v>
      </c>
      <c r="K36" s="45">
        <v>0.5</v>
      </c>
      <c r="L36" s="45" t="s">
        <v>59</v>
      </c>
      <c r="M36" s="46">
        <v>2019</v>
      </c>
      <c r="N36" s="31" t="s">
        <v>37</v>
      </c>
      <c r="O36" s="38" t="s">
        <v>36</v>
      </c>
      <c r="P36" s="31" t="s">
        <v>29</v>
      </c>
      <c r="Q36" s="38" t="s">
        <v>29</v>
      </c>
      <c r="R36" s="31">
        <v>80</v>
      </c>
      <c r="S36" s="31">
        <v>0.4</v>
      </c>
      <c r="T36" s="31">
        <v>0.1</v>
      </c>
      <c r="U36" s="31">
        <v>0</v>
      </c>
    </row>
    <row r="37" spans="1:21" ht="10.8" thickBot="1" x14ac:dyDescent="0.25">
      <c r="A37" s="31" t="s">
        <v>50</v>
      </c>
      <c r="B37" s="31" t="s">
        <v>51</v>
      </c>
      <c r="C37" s="31" t="s">
        <v>52</v>
      </c>
      <c r="D37" s="31" t="s">
        <v>207</v>
      </c>
      <c r="E37" s="31" t="s">
        <v>208</v>
      </c>
      <c r="F37" s="31" t="s">
        <v>209</v>
      </c>
      <c r="G37" s="31" t="s">
        <v>69</v>
      </c>
      <c r="H37" s="31" t="s">
        <v>28</v>
      </c>
      <c r="I37" s="31" t="s">
        <v>48</v>
      </c>
      <c r="J37" s="31" t="s">
        <v>49</v>
      </c>
      <c r="K37" s="45">
        <v>0.5</v>
      </c>
      <c r="L37" s="45" t="s">
        <v>59</v>
      </c>
      <c r="M37" s="46">
        <v>2019</v>
      </c>
      <c r="N37" s="31" t="s">
        <v>37</v>
      </c>
      <c r="O37" s="38" t="s">
        <v>36</v>
      </c>
      <c r="P37" s="31" t="s">
        <v>29</v>
      </c>
      <c r="Q37" s="38" t="s">
        <v>29</v>
      </c>
      <c r="R37" s="31">
        <v>80</v>
      </c>
      <c r="S37" s="31">
        <v>0.4</v>
      </c>
      <c r="T37" s="31">
        <v>0.1</v>
      </c>
      <c r="U37" s="31">
        <v>0</v>
      </c>
    </row>
    <row r="38" spans="1:21" ht="10.8" thickBot="1" x14ac:dyDescent="0.25">
      <c r="A38" s="33" t="s">
        <v>50</v>
      </c>
      <c r="B38" s="33" t="s">
        <v>51</v>
      </c>
      <c r="C38" s="33" t="s">
        <v>52</v>
      </c>
      <c r="D38" s="33" t="s">
        <v>210</v>
      </c>
      <c r="E38" s="33" t="s">
        <v>211</v>
      </c>
      <c r="F38" s="33" t="s">
        <v>212</v>
      </c>
      <c r="G38" s="34" t="s">
        <v>67</v>
      </c>
      <c r="H38" s="35" t="s">
        <v>30</v>
      </c>
      <c r="I38" s="35" t="s">
        <v>48</v>
      </c>
      <c r="J38" s="36" t="s">
        <v>49</v>
      </c>
      <c r="K38" s="45">
        <v>1</v>
      </c>
      <c r="L38" s="45" t="s">
        <v>59</v>
      </c>
      <c r="M38" s="31">
        <v>2020</v>
      </c>
      <c r="N38" s="31" t="s">
        <v>29</v>
      </c>
      <c r="O38" s="38" t="s">
        <v>29</v>
      </c>
      <c r="P38" s="31" t="s">
        <v>29</v>
      </c>
      <c r="Q38" s="38" t="s">
        <v>29</v>
      </c>
      <c r="R38" s="31">
        <v>100</v>
      </c>
      <c r="S38" s="31">
        <v>1</v>
      </c>
      <c r="T38" s="31">
        <v>0</v>
      </c>
      <c r="U38" s="31">
        <v>0</v>
      </c>
    </row>
    <row r="39" spans="1:21" ht="10.8" thickBot="1" x14ac:dyDescent="0.25">
      <c r="A39" s="33" t="s">
        <v>50</v>
      </c>
      <c r="B39" s="33" t="s">
        <v>51</v>
      </c>
      <c r="C39" s="33" t="s">
        <v>52</v>
      </c>
      <c r="D39" s="33" t="s">
        <v>213</v>
      </c>
      <c r="E39" s="33" t="s">
        <v>214</v>
      </c>
      <c r="F39" s="33" t="s">
        <v>215</v>
      </c>
      <c r="G39" s="34" t="s">
        <v>66</v>
      </c>
      <c r="H39" s="35" t="s">
        <v>28</v>
      </c>
      <c r="I39" s="35" t="s">
        <v>48</v>
      </c>
      <c r="J39" s="36" t="s">
        <v>49</v>
      </c>
      <c r="K39" s="45">
        <v>0.5</v>
      </c>
      <c r="L39" s="45" t="s">
        <v>59</v>
      </c>
      <c r="M39" s="31">
        <v>2020</v>
      </c>
      <c r="N39" s="31" t="s">
        <v>29</v>
      </c>
      <c r="O39" s="38" t="s">
        <v>29</v>
      </c>
      <c r="P39" s="31" t="s">
        <v>29</v>
      </c>
      <c r="Q39" s="38" t="s">
        <v>29</v>
      </c>
      <c r="R39" s="31">
        <v>100</v>
      </c>
      <c r="S39" s="31">
        <v>0.5</v>
      </c>
      <c r="T39" s="31">
        <v>0</v>
      </c>
      <c r="U39" s="31">
        <v>0</v>
      </c>
    </row>
    <row r="40" spans="1:21" ht="10.8" thickBot="1" x14ac:dyDescent="0.25">
      <c r="A40" s="33" t="s">
        <v>50</v>
      </c>
      <c r="B40" s="33" t="s">
        <v>51</v>
      </c>
      <c r="C40" s="33" t="s">
        <v>52</v>
      </c>
      <c r="D40" s="33" t="s">
        <v>216</v>
      </c>
      <c r="E40" s="33" t="s">
        <v>217</v>
      </c>
      <c r="F40" s="33" t="s">
        <v>218</v>
      </c>
      <c r="G40" s="34" t="s">
        <v>69</v>
      </c>
      <c r="H40" s="35" t="s">
        <v>28</v>
      </c>
      <c r="I40" s="35" t="s">
        <v>48</v>
      </c>
      <c r="J40" s="36" t="s">
        <v>49</v>
      </c>
      <c r="K40" s="45">
        <v>0.5</v>
      </c>
      <c r="L40" s="45" t="s">
        <v>59</v>
      </c>
      <c r="M40" s="31">
        <v>2020</v>
      </c>
      <c r="N40" s="31" t="s">
        <v>37</v>
      </c>
      <c r="O40" s="38" t="s">
        <v>36</v>
      </c>
      <c r="P40" s="31" t="s">
        <v>29</v>
      </c>
      <c r="Q40" s="38" t="s">
        <v>29</v>
      </c>
      <c r="R40" s="31">
        <v>80</v>
      </c>
      <c r="S40" s="31">
        <v>0.4</v>
      </c>
      <c r="T40" s="31">
        <v>0.1</v>
      </c>
      <c r="U40" s="31">
        <v>0</v>
      </c>
    </row>
    <row r="41" spans="1:21" ht="10.8" thickBot="1" x14ac:dyDescent="0.25">
      <c r="A41" s="33" t="s">
        <v>50</v>
      </c>
      <c r="B41" s="33" t="s">
        <v>51</v>
      </c>
      <c r="C41" s="33" t="s">
        <v>52</v>
      </c>
      <c r="D41" s="33" t="s">
        <v>219</v>
      </c>
      <c r="E41" s="33" t="s">
        <v>220</v>
      </c>
      <c r="F41" s="33" t="s">
        <v>221</v>
      </c>
      <c r="G41" s="34" t="s">
        <v>69</v>
      </c>
      <c r="H41" s="35" t="s">
        <v>28</v>
      </c>
      <c r="I41" s="35" t="s">
        <v>48</v>
      </c>
      <c r="J41" s="36" t="s">
        <v>49</v>
      </c>
      <c r="K41" s="45">
        <v>0.5</v>
      </c>
      <c r="L41" s="45" t="s">
        <v>59</v>
      </c>
      <c r="M41" s="31">
        <v>2020</v>
      </c>
      <c r="N41" s="31" t="s">
        <v>37</v>
      </c>
      <c r="O41" s="38" t="s">
        <v>36</v>
      </c>
      <c r="P41" s="31" t="s">
        <v>29</v>
      </c>
      <c r="Q41" s="38" t="s">
        <v>29</v>
      </c>
      <c r="R41" s="31">
        <v>80</v>
      </c>
      <c r="S41" s="31">
        <v>0.4</v>
      </c>
      <c r="T41" s="31">
        <v>0.1</v>
      </c>
      <c r="U41" s="31">
        <v>0</v>
      </c>
    </row>
    <row r="42" spans="1:21" ht="10.8" thickBot="1" x14ac:dyDescent="0.25">
      <c r="A42" s="33" t="s">
        <v>50</v>
      </c>
      <c r="B42" s="33" t="s">
        <v>51</v>
      </c>
      <c r="C42" s="33" t="s">
        <v>52</v>
      </c>
      <c r="D42" s="33" t="s">
        <v>222</v>
      </c>
      <c r="E42" s="33" t="s">
        <v>223</v>
      </c>
      <c r="F42" s="33" t="s">
        <v>224</v>
      </c>
      <c r="G42" s="34" t="s">
        <v>69</v>
      </c>
      <c r="H42" s="35" t="s">
        <v>28</v>
      </c>
      <c r="I42" s="35" t="s">
        <v>48</v>
      </c>
      <c r="J42" s="36" t="s">
        <v>49</v>
      </c>
      <c r="K42" s="45">
        <v>0.5</v>
      </c>
      <c r="L42" s="45" t="s">
        <v>59</v>
      </c>
      <c r="M42" s="31">
        <v>2020</v>
      </c>
      <c r="N42" s="31" t="s">
        <v>37</v>
      </c>
      <c r="O42" s="38" t="s">
        <v>36</v>
      </c>
      <c r="P42" s="31" t="s">
        <v>29</v>
      </c>
      <c r="Q42" s="38" t="s">
        <v>29</v>
      </c>
      <c r="R42" s="31">
        <v>80</v>
      </c>
      <c r="S42" s="31">
        <v>0.4</v>
      </c>
      <c r="T42" s="31">
        <v>0.1</v>
      </c>
      <c r="U42" s="31">
        <v>0</v>
      </c>
    </row>
    <row r="43" spans="1:21" ht="10.8" thickBot="1" x14ac:dyDescent="0.25">
      <c r="A43" s="33" t="s">
        <v>50</v>
      </c>
      <c r="B43" s="33" t="s">
        <v>51</v>
      </c>
      <c r="C43" s="33" t="s">
        <v>52</v>
      </c>
      <c r="D43" s="33" t="s">
        <v>225</v>
      </c>
      <c r="E43" s="33" t="s">
        <v>226</v>
      </c>
      <c r="F43" s="33" t="s">
        <v>227</v>
      </c>
      <c r="G43" s="34" t="s">
        <v>62</v>
      </c>
      <c r="H43" s="35" t="s">
        <v>28</v>
      </c>
      <c r="I43" s="35" t="s">
        <v>48</v>
      </c>
      <c r="J43" s="36" t="s">
        <v>49</v>
      </c>
      <c r="K43" s="45">
        <v>0.5</v>
      </c>
      <c r="L43" s="45" t="s">
        <v>59</v>
      </c>
      <c r="M43" s="31">
        <v>2020</v>
      </c>
      <c r="N43" s="31" t="s">
        <v>44</v>
      </c>
      <c r="O43" s="38" t="s">
        <v>31</v>
      </c>
      <c r="P43" s="31" t="s">
        <v>29</v>
      </c>
      <c r="Q43" s="38" t="s">
        <v>29</v>
      </c>
      <c r="R43" s="31">
        <v>90</v>
      </c>
      <c r="S43" s="31">
        <v>0.45</v>
      </c>
      <c r="T43" s="31">
        <v>0.05</v>
      </c>
      <c r="U43" s="31">
        <v>0</v>
      </c>
    </row>
    <row r="44" spans="1:21" ht="10.8" thickBot="1" x14ac:dyDescent="0.25">
      <c r="A44" s="33" t="s">
        <v>50</v>
      </c>
      <c r="B44" s="33" t="s">
        <v>51</v>
      </c>
      <c r="C44" s="33" t="s">
        <v>52</v>
      </c>
      <c r="D44" s="33" t="s">
        <v>228</v>
      </c>
      <c r="E44" s="33" t="s">
        <v>229</v>
      </c>
      <c r="F44" s="33" t="s">
        <v>230</v>
      </c>
      <c r="G44" s="34" t="s">
        <v>69</v>
      </c>
      <c r="H44" s="35" t="s">
        <v>28</v>
      </c>
      <c r="I44" s="35" t="s">
        <v>48</v>
      </c>
      <c r="J44" s="36" t="s">
        <v>49</v>
      </c>
      <c r="K44" s="45">
        <v>0.5</v>
      </c>
      <c r="L44" s="45" t="s">
        <v>59</v>
      </c>
      <c r="M44" s="31">
        <v>2020</v>
      </c>
      <c r="N44" s="31" t="s">
        <v>37</v>
      </c>
      <c r="O44" s="38" t="s">
        <v>36</v>
      </c>
      <c r="P44" s="31" t="s">
        <v>29</v>
      </c>
      <c r="Q44" s="38" t="s">
        <v>29</v>
      </c>
      <c r="R44" s="31">
        <v>80</v>
      </c>
      <c r="S44" s="31">
        <v>0.4</v>
      </c>
      <c r="T44" s="31">
        <v>0.1</v>
      </c>
      <c r="U44" s="31">
        <v>0</v>
      </c>
    </row>
    <row r="45" spans="1:21" ht="10.8" thickBot="1" x14ac:dyDescent="0.25">
      <c r="A45" s="33" t="s">
        <v>50</v>
      </c>
      <c r="B45" s="33" t="s">
        <v>51</v>
      </c>
      <c r="C45" s="33" t="s">
        <v>52</v>
      </c>
      <c r="D45" s="33" t="s">
        <v>231</v>
      </c>
      <c r="E45" s="33" t="s">
        <v>232</v>
      </c>
      <c r="F45" s="33" t="s">
        <v>233</v>
      </c>
      <c r="G45" s="34" t="s">
        <v>69</v>
      </c>
      <c r="H45" s="35" t="s">
        <v>28</v>
      </c>
      <c r="I45" s="35" t="s">
        <v>48</v>
      </c>
      <c r="J45" s="36" t="s">
        <v>49</v>
      </c>
      <c r="K45" s="45">
        <v>0.5</v>
      </c>
      <c r="L45" s="45" t="s">
        <v>59</v>
      </c>
      <c r="M45" s="31">
        <v>2020</v>
      </c>
      <c r="N45" s="31" t="s">
        <v>37</v>
      </c>
      <c r="O45" s="38" t="s">
        <v>36</v>
      </c>
      <c r="P45" s="31" t="s">
        <v>29</v>
      </c>
      <c r="Q45" s="38" t="s">
        <v>29</v>
      </c>
      <c r="R45" s="31">
        <v>80</v>
      </c>
      <c r="S45" s="31">
        <v>0.4</v>
      </c>
      <c r="T45" s="31">
        <v>0.1</v>
      </c>
      <c r="U45" s="31">
        <v>0</v>
      </c>
    </row>
    <row r="46" spans="1:21" ht="10.8" thickBot="1" x14ac:dyDescent="0.25">
      <c r="A46" s="33" t="s">
        <v>50</v>
      </c>
      <c r="B46" s="33" t="s">
        <v>51</v>
      </c>
      <c r="C46" s="33" t="s">
        <v>52</v>
      </c>
      <c r="D46" s="33" t="s">
        <v>234</v>
      </c>
      <c r="E46" s="33" t="s">
        <v>235</v>
      </c>
      <c r="F46" s="33" t="s">
        <v>236</v>
      </c>
      <c r="G46" s="34" t="s">
        <v>64</v>
      </c>
      <c r="H46" s="35" t="s">
        <v>30</v>
      </c>
      <c r="I46" s="35" t="s">
        <v>48</v>
      </c>
      <c r="J46" s="36" t="s">
        <v>49</v>
      </c>
      <c r="K46" s="45">
        <v>1</v>
      </c>
      <c r="L46" s="45" t="s">
        <v>59</v>
      </c>
      <c r="M46" s="31">
        <v>2020</v>
      </c>
      <c r="N46" s="31" t="s">
        <v>29</v>
      </c>
      <c r="O46" s="38" t="s">
        <v>29</v>
      </c>
      <c r="P46" s="31" t="s">
        <v>29</v>
      </c>
      <c r="Q46" s="38" t="s">
        <v>29</v>
      </c>
      <c r="R46" s="31">
        <v>100</v>
      </c>
      <c r="S46" s="31">
        <v>1</v>
      </c>
      <c r="T46" s="31">
        <v>0</v>
      </c>
      <c r="U46" s="31">
        <v>0</v>
      </c>
    </row>
    <row r="47" spans="1:21" x14ac:dyDescent="0.2">
      <c r="A47" s="31" t="s">
        <v>50</v>
      </c>
      <c r="B47" s="31" t="s">
        <v>51</v>
      </c>
      <c r="C47" s="31" t="s">
        <v>52</v>
      </c>
      <c r="D47" s="31" t="s">
        <v>265</v>
      </c>
      <c r="E47" s="31" t="s">
        <v>266</v>
      </c>
      <c r="F47" s="31" t="s">
        <v>267</v>
      </c>
      <c r="G47" s="31" t="s">
        <v>60</v>
      </c>
      <c r="H47" s="31" t="s">
        <v>30</v>
      </c>
      <c r="I47" s="31" t="s">
        <v>48</v>
      </c>
      <c r="J47" s="31" t="s">
        <v>49</v>
      </c>
      <c r="K47" s="45">
        <v>1</v>
      </c>
      <c r="L47" s="45" t="s">
        <v>59</v>
      </c>
      <c r="M47" s="31">
        <v>2021</v>
      </c>
      <c r="N47" s="31" t="s">
        <v>29</v>
      </c>
      <c r="O47" s="38" t="s">
        <v>29</v>
      </c>
      <c r="P47" s="31" t="s">
        <v>29</v>
      </c>
      <c r="Q47" s="38" t="s">
        <v>29</v>
      </c>
      <c r="R47" s="31">
        <v>100</v>
      </c>
      <c r="S47" s="31">
        <v>1</v>
      </c>
      <c r="T47" s="31">
        <v>0</v>
      </c>
      <c r="U47" s="31">
        <v>0</v>
      </c>
    </row>
    <row r="48" spans="1:21" x14ac:dyDescent="0.2">
      <c r="A48" s="31" t="s">
        <v>50</v>
      </c>
      <c r="B48" s="31" t="s">
        <v>51</v>
      </c>
      <c r="C48" s="31" t="s">
        <v>52</v>
      </c>
      <c r="D48" s="31" t="s">
        <v>268</v>
      </c>
      <c r="E48" s="31" t="s">
        <v>269</v>
      </c>
      <c r="F48" s="31" t="s">
        <v>270</v>
      </c>
      <c r="G48" s="31" t="s">
        <v>65</v>
      </c>
      <c r="H48" s="31" t="s">
        <v>30</v>
      </c>
      <c r="I48" s="31" t="s">
        <v>48</v>
      </c>
      <c r="J48" s="31" t="s">
        <v>49</v>
      </c>
      <c r="K48" s="45">
        <v>1</v>
      </c>
      <c r="L48" s="45" t="s">
        <v>59</v>
      </c>
      <c r="M48" s="31">
        <v>2021</v>
      </c>
      <c r="N48" s="31" t="s">
        <v>29</v>
      </c>
      <c r="O48" s="38" t="s">
        <v>29</v>
      </c>
      <c r="P48" s="31" t="s">
        <v>29</v>
      </c>
      <c r="Q48" s="38" t="s">
        <v>29</v>
      </c>
      <c r="R48" s="31">
        <v>100</v>
      </c>
      <c r="S48" s="31">
        <v>1</v>
      </c>
      <c r="T48" s="31">
        <v>0</v>
      </c>
      <c r="U48" s="31">
        <v>0</v>
      </c>
    </row>
    <row r="49" spans="1:21" x14ac:dyDescent="0.2">
      <c r="A49" s="31" t="s">
        <v>50</v>
      </c>
      <c r="B49" s="31" t="s">
        <v>51</v>
      </c>
      <c r="C49" s="31" t="s">
        <v>52</v>
      </c>
      <c r="D49" s="31" t="s">
        <v>271</v>
      </c>
      <c r="E49" s="31" t="s">
        <v>272</v>
      </c>
      <c r="F49" s="31" t="s">
        <v>273</v>
      </c>
      <c r="G49" s="31" t="s">
        <v>69</v>
      </c>
      <c r="H49" s="31" t="s">
        <v>28</v>
      </c>
      <c r="I49" s="31" t="s">
        <v>48</v>
      </c>
      <c r="J49" s="31" t="s">
        <v>49</v>
      </c>
      <c r="K49" s="45">
        <v>0.5</v>
      </c>
      <c r="L49" s="45" t="s">
        <v>59</v>
      </c>
      <c r="M49" s="31">
        <v>2021</v>
      </c>
      <c r="N49" s="31" t="s">
        <v>37</v>
      </c>
      <c r="O49" s="38" t="s">
        <v>36</v>
      </c>
      <c r="P49" s="31" t="s">
        <v>29</v>
      </c>
      <c r="Q49" s="38" t="s">
        <v>29</v>
      </c>
      <c r="R49" s="31">
        <v>80</v>
      </c>
      <c r="S49" s="31">
        <v>0.4</v>
      </c>
      <c r="T49" s="31">
        <v>0.1</v>
      </c>
      <c r="U49" s="31">
        <v>0</v>
      </c>
    </row>
    <row r="50" spans="1:21" x14ac:dyDescent="0.2">
      <c r="A50" s="31" t="s">
        <v>50</v>
      </c>
      <c r="B50" s="31" t="s">
        <v>51</v>
      </c>
      <c r="C50" s="31" t="s">
        <v>52</v>
      </c>
      <c r="D50" s="31" t="s">
        <v>274</v>
      </c>
      <c r="E50" s="31" t="s">
        <v>275</v>
      </c>
      <c r="F50" s="31" t="s">
        <v>276</v>
      </c>
      <c r="G50" s="31" t="s">
        <v>67</v>
      </c>
      <c r="H50" s="31" t="s">
        <v>30</v>
      </c>
      <c r="I50" s="31" t="s">
        <v>48</v>
      </c>
      <c r="J50" s="31" t="s">
        <v>49</v>
      </c>
      <c r="K50" s="45">
        <v>1</v>
      </c>
      <c r="L50" s="45" t="s">
        <v>59</v>
      </c>
      <c r="M50" s="31">
        <v>2021</v>
      </c>
      <c r="N50" s="31" t="s">
        <v>29</v>
      </c>
      <c r="O50" s="38" t="s">
        <v>29</v>
      </c>
      <c r="P50" s="31" t="s">
        <v>29</v>
      </c>
      <c r="Q50" s="38" t="s">
        <v>29</v>
      </c>
      <c r="R50" s="31">
        <v>100</v>
      </c>
      <c r="S50" s="31">
        <v>1</v>
      </c>
      <c r="T50" s="31">
        <v>0</v>
      </c>
      <c r="U50" s="31">
        <v>0</v>
      </c>
    </row>
    <row r="51" spans="1:21" x14ac:dyDescent="0.2">
      <c r="A51" s="31" t="s">
        <v>50</v>
      </c>
      <c r="B51" s="31" t="s">
        <v>51</v>
      </c>
      <c r="C51" s="31" t="s">
        <v>52</v>
      </c>
      <c r="D51" s="31" t="s">
        <v>277</v>
      </c>
      <c r="E51" s="31" t="s">
        <v>278</v>
      </c>
      <c r="F51" s="31" t="s">
        <v>279</v>
      </c>
      <c r="G51" s="31" t="s">
        <v>69</v>
      </c>
      <c r="H51" s="31" t="s">
        <v>28</v>
      </c>
      <c r="I51" s="31" t="s">
        <v>48</v>
      </c>
      <c r="J51" s="31" t="s">
        <v>49</v>
      </c>
      <c r="K51" s="45">
        <v>0.5</v>
      </c>
      <c r="L51" s="45" t="s">
        <v>59</v>
      </c>
      <c r="M51" s="31">
        <v>2021</v>
      </c>
      <c r="N51" s="31" t="s">
        <v>37</v>
      </c>
      <c r="O51" s="38" t="s">
        <v>36</v>
      </c>
      <c r="P51" s="31" t="s">
        <v>29</v>
      </c>
      <c r="Q51" s="38" t="s">
        <v>29</v>
      </c>
      <c r="R51" s="31">
        <v>80</v>
      </c>
      <c r="S51" s="31">
        <v>0.4</v>
      </c>
      <c r="T51" s="31">
        <v>0.1</v>
      </c>
      <c r="U51" s="31">
        <v>0</v>
      </c>
    </row>
    <row r="52" spans="1:21" x14ac:dyDescent="0.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5"/>
      <c r="P52" s="14"/>
      <c r="Q52" s="15"/>
      <c r="R52" s="14"/>
      <c r="S52" s="16">
        <f>SUM(S2:S51)</f>
        <v>30.266666666666652</v>
      </c>
      <c r="T52" s="14"/>
      <c r="U52" s="14"/>
    </row>
  </sheetData>
  <autoFilter ref="A1:U51" xr:uid="{00000000-0009-0000-0000-000000000000}">
    <sortState xmlns:xlrd2="http://schemas.microsoft.com/office/spreadsheetml/2017/richdata2" ref="A2:U1868">
      <sortCondition ref="L2:L1868"/>
      <sortCondition ref="M2:M1868"/>
      <sortCondition ref="D2:D1868"/>
    </sortState>
  </autoFilter>
  <printOptions horizontalCentered="1"/>
  <pageMargins left="0.19685039370078741" right="0.19685039370078741" top="0.39370078740157483" bottom="0.39370078740157483" header="0.78740157480314965" footer="0"/>
  <pageSetup paperSize="9" scale="93" fitToWidth="2" fitToHeight="5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23"/>
  <sheetViews>
    <sheetView zoomScaleNormal="100" workbookViewId="0">
      <selection activeCell="A23" sqref="A23:S23"/>
    </sheetView>
  </sheetViews>
  <sheetFormatPr baseColWidth="10" defaultColWidth="11.44140625" defaultRowHeight="13.2" x14ac:dyDescent="0.25"/>
  <cols>
    <col min="1" max="1" width="10.5546875" style="21" bestFit="1" customWidth="1"/>
    <col min="2" max="2" width="36.6640625" style="21" bestFit="1" customWidth="1"/>
    <col min="3" max="3" width="17" style="21" bestFit="1" customWidth="1"/>
    <col min="4" max="9" width="3.33203125" style="21" bestFit="1" customWidth="1"/>
    <col min="10" max="10" width="13.109375" style="21" bestFit="1" customWidth="1"/>
    <col min="11" max="11" width="5.33203125" style="21" bestFit="1" customWidth="1"/>
    <col min="12" max="13" width="5.6640625" style="21" bestFit="1" customWidth="1"/>
    <col min="14" max="14" width="5.6640625" style="22" bestFit="1" customWidth="1"/>
    <col min="15" max="15" width="5.6640625" style="21" bestFit="1" customWidth="1"/>
    <col min="16" max="16" width="5.6640625" style="22" bestFit="1" customWidth="1"/>
    <col min="17" max="19" width="5.6640625" style="21" bestFit="1" customWidth="1"/>
    <col min="20" max="16384" width="11.44140625" style="21"/>
  </cols>
  <sheetData>
    <row r="1" spans="1:19" s="20" customFormat="1" ht="60" customHeight="1" x14ac:dyDescent="0.25">
      <c r="A1" s="23" t="s">
        <v>130</v>
      </c>
      <c r="B1" s="23" t="s">
        <v>131</v>
      </c>
      <c r="C1" s="23" t="s">
        <v>132</v>
      </c>
      <c r="D1" s="24">
        <v>2017</v>
      </c>
      <c r="E1" s="24">
        <v>2018</v>
      </c>
      <c r="F1" s="24">
        <v>2019</v>
      </c>
      <c r="G1" s="24">
        <v>2020</v>
      </c>
      <c r="H1" s="24">
        <v>2021</v>
      </c>
      <c r="I1" s="24">
        <v>2022</v>
      </c>
      <c r="J1" s="23" t="s">
        <v>133</v>
      </c>
      <c r="K1" s="25" t="s">
        <v>201</v>
      </c>
      <c r="L1" s="18" t="s">
        <v>134</v>
      </c>
      <c r="M1" s="18" t="s">
        <v>135</v>
      </c>
      <c r="N1" s="18" t="s">
        <v>136</v>
      </c>
      <c r="O1" s="18" t="s">
        <v>137</v>
      </c>
      <c r="P1" s="19" t="s">
        <v>138</v>
      </c>
      <c r="Q1" s="19" t="s">
        <v>139</v>
      </c>
      <c r="R1" s="19" t="s">
        <v>140</v>
      </c>
      <c r="S1" s="19" t="s">
        <v>141</v>
      </c>
    </row>
    <row r="2" spans="1:19" ht="14.4" x14ac:dyDescent="0.3">
      <c r="A2" s="26" t="s">
        <v>168</v>
      </c>
      <c r="B2" s="26" t="s">
        <v>169</v>
      </c>
      <c r="C2" s="26" t="s">
        <v>142</v>
      </c>
      <c r="D2" s="26"/>
      <c r="E2" s="26"/>
      <c r="F2" s="26"/>
      <c r="G2" s="26">
        <v>1</v>
      </c>
      <c r="H2" s="26">
        <v>1</v>
      </c>
      <c r="I2" s="26"/>
      <c r="J2" s="26">
        <v>2</v>
      </c>
      <c r="K2" s="26" t="s">
        <v>59</v>
      </c>
      <c r="L2" s="27">
        <v>0</v>
      </c>
      <c r="M2" s="27">
        <v>0</v>
      </c>
      <c r="N2" s="27" t="s">
        <v>29</v>
      </c>
      <c r="O2" s="27" t="s">
        <v>29</v>
      </c>
      <c r="P2" s="27">
        <v>100</v>
      </c>
      <c r="Q2" s="27">
        <v>0</v>
      </c>
      <c r="R2" s="27">
        <v>0</v>
      </c>
      <c r="S2" s="27">
        <v>2</v>
      </c>
    </row>
    <row r="3" spans="1:19" ht="14.4" x14ac:dyDescent="0.3">
      <c r="A3" s="26" t="s">
        <v>152</v>
      </c>
      <c r="B3" s="26" t="s">
        <v>153</v>
      </c>
      <c r="C3" s="26" t="s">
        <v>142</v>
      </c>
      <c r="D3" s="26"/>
      <c r="E3" s="26"/>
      <c r="F3" s="26">
        <v>1</v>
      </c>
      <c r="G3" s="26"/>
      <c r="H3" s="26"/>
      <c r="I3" s="26"/>
      <c r="J3" s="26">
        <v>1</v>
      </c>
      <c r="K3" s="26" t="s">
        <v>59</v>
      </c>
      <c r="L3" s="27" t="s">
        <v>33</v>
      </c>
      <c r="M3" s="27" t="s">
        <v>35</v>
      </c>
      <c r="N3" s="27" t="s">
        <v>29</v>
      </c>
      <c r="O3" s="27" t="s">
        <v>29</v>
      </c>
      <c r="P3" s="27">
        <v>70</v>
      </c>
      <c r="Q3" s="27">
        <v>0.3</v>
      </c>
      <c r="R3" s="27">
        <v>0</v>
      </c>
      <c r="S3" s="27">
        <v>0.7</v>
      </c>
    </row>
    <row r="4" spans="1:19" ht="14.4" x14ac:dyDescent="0.3">
      <c r="A4" s="26" t="s">
        <v>280</v>
      </c>
      <c r="B4" s="26" t="s">
        <v>281</v>
      </c>
      <c r="C4" s="47" t="s">
        <v>142</v>
      </c>
      <c r="D4" s="26"/>
      <c r="E4" s="26"/>
      <c r="F4" s="26"/>
      <c r="G4" s="26"/>
      <c r="H4" s="26"/>
      <c r="I4" s="26">
        <v>1</v>
      </c>
      <c r="J4" s="26">
        <v>1</v>
      </c>
      <c r="K4" s="26" t="s">
        <v>59</v>
      </c>
      <c r="L4" s="27">
        <v>0</v>
      </c>
      <c r="M4" s="27">
        <v>0</v>
      </c>
      <c r="N4" s="27" t="s">
        <v>29</v>
      </c>
      <c r="O4" s="27" t="s">
        <v>29</v>
      </c>
      <c r="P4" s="27">
        <v>100</v>
      </c>
      <c r="Q4" s="27">
        <v>0</v>
      </c>
      <c r="R4" s="27">
        <v>0</v>
      </c>
      <c r="S4" s="27">
        <v>1</v>
      </c>
    </row>
    <row r="5" spans="1:19" ht="14.4" x14ac:dyDescent="0.3">
      <c r="A5" s="26" t="s">
        <v>156</v>
      </c>
      <c r="B5" s="26" t="s">
        <v>157</v>
      </c>
      <c r="C5" s="26" t="s">
        <v>142</v>
      </c>
      <c r="D5" s="26"/>
      <c r="E5" s="26">
        <v>1</v>
      </c>
      <c r="F5" s="26"/>
      <c r="G5" s="26"/>
      <c r="H5" s="26"/>
      <c r="I5" s="26"/>
      <c r="J5" s="26">
        <v>1</v>
      </c>
      <c r="K5" s="26" t="s">
        <v>59</v>
      </c>
      <c r="L5" s="27">
        <v>0</v>
      </c>
      <c r="M5" s="27">
        <v>0</v>
      </c>
      <c r="N5" s="27" t="s">
        <v>29</v>
      </c>
      <c r="O5" s="27" t="s">
        <v>29</v>
      </c>
      <c r="P5" s="27">
        <v>100</v>
      </c>
      <c r="Q5" s="27">
        <v>0</v>
      </c>
      <c r="R5" s="27">
        <v>0</v>
      </c>
      <c r="S5" s="27">
        <v>1</v>
      </c>
    </row>
    <row r="6" spans="1:19" ht="14.4" x14ac:dyDescent="0.3">
      <c r="A6" s="26" t="s">
        <v>170</v>
      </c>
      <c r="B6" s="26" t="s">
        <v>171</v>
      </c>
      <c r="C6" s="26" t="s">
        <v>142</v>
      </c>
      <c r="D6" s="26"/>
      <c r="E6" s="26">
        <v>1</v>
      </c>
      <c r="F6" s="26"/>
      <c r="G6" s="26"/>
      <c r="H6" s="26"/>
      <c r="I6" s="26"/>
      <c r="J6" s="26">
        <v>1</v>
      </c>
      <c r="K6" s="26" t="s">
        <v>59</v>
      </c>
      <c r="L6" s="27" t="s">
        <v>37</v>
      </c>
      <c r="M6" s="27" t="s">
        <v>36</v>
      </c>
      <c r="N6" s="27" t="s">
        <v>29</v>
      </c>
      <c r="O6" s="27" t="s">
        <v>29</v>
      </c>
      <c r="P6" s="27">
        <v>80</v>
      </c>
      <c r="Q6" s="27">
        <v>0.2</v>
      </c>
      <c r="R6" s="27">
        <v>0</v>
      </c>
      <c r="S6" s="27">
        <v>0.8</v>
      </c>
    </row>
    <row r="7" spans="1:19" ht="14.4" x14ac:dyDescent="0.3">
      <c r="A7" s="26" t="s">
        <v>166</v>
      </c>
      <c r="B7" s="26" t="s">
        <v>167</v>
      </c>
      <c r="C7" s="26" t="s">
        <v>142</v>
      </c>
      <c r="D7" s="26"/>
      <c r="E7" s="26"/>
      <c r="F7" s="26">
        <v>1</v>
      </c>
      <c r="G7" s="26"/>
      <c r="H7" s="26"/>
      <c r="I7" s="26"/>
      <c r="J7" s="26">
        <v>1</v>
      </c>
      <c r="K7" s="26" t="s">
        <v>59</v>
      </c>
      <c r="L7" s="27">
        <v>0</v>
      </c>
      <c r="M7" s="27">
        <v>0</v>
      </c>
      <c r="N7" s="27" t="s">
        <v>29</v>
      </c>
      <c r="O7" s="27" t="s">
        <v>29</v>
      </c>
      <c r="P7" s="27">
        <v>100</v>
      </c>
      <c r="Q7" s="27">
        <v>0</v>
      </c>
      <c r="R7" s="27">
        <v>0</v>
      </c>
      <c r="S7" s="27">
        <v>1</v>
      </c>
    </row>
    <row r="8" spans="1:19" ht="14.4" x14ac:dyDescent="0.3">
      <c r="A8" s="26" t="s">
        <v>160</v>
      </c>
      <c r="B8" s="26" t="s">
        <v>161</v>
      </c>
      <c r="C8" s="26" t="s">
        <v>142</v>
      </c>
      <c r="D8" s="26"/>
      <c r="E8" s="26"/>
      <c r="F8" s="26"/>
      <c r="G8" s="26"/>
      <c r="H8" s="26">
        <v>1</v>
      </c>
      <c r="I8" s="26"/>
      <c r="J8" s="26">
        <v>1</v>
      </c>
      <c r="K8" s="26" t="s">
        <v>59</v>
      </c>
      <c r="L8" s="27" t="s">
        <v>44</v>
      </c>
      <c r="M8" s="27" t="s">
        <v>31</v>
      </c>
      <c r="N8" s="27" t="s">
        <v>29</v>
      </c>
      <c r="O8" s="27" t="s">
        <v>29</v>
      </c>
      <c r="P8" s="27">
        <v>90</v>
      </c>
      <c r="Q8" s="27">
        <v>0.1</v>
      </c>
      <c r="R8" s="27">
        <v>0</v>
      </c>
      <c r="S8" s="27">
        <v>0.9</v>
      </c>
    </row>
    <row r="9" spans="1:19" ht="14.4" x14ac:dyDescent="0.3">
      <c r="A9" s="26" t="s">
        <v>150</v>
      </c>
      <c r="B9" s="26" t="s">
        <v>151</v>
      </c>
      <c r="C9" s="26" t="s">
        <v>142</v>
      </c>
      <c r="D9" s="26"/>
      <c r="E9" s="26"/>
      <c r="F9" s="26">
        <v>1</v>
      </c>
      <c r="G9" s="26"/>
      <c r="H9" s="26"/>
      <c r="I9" s="26"/>
      <c r="J9" s="26">
        <v>1</v>
      </c>
      <c r="K9" s="26" t="s">
        <v>59</v>
      </c>
      <c r="L9" s="27" t="s">
        <v>44</v>
      </c>
      <c r="M9" s="27" t="s">
        <v>31</v>
      </c>
      <c r="N9" s="27" t="s">
        <v>29</v>
      </c>
      <c r="O9" s="27" t="s">
        <v>29</v>
      </c>
      <c r="P9" s="27">
        <v>90</v>
      </c>
      <c r="Q9" s="27">
        <v>0.1</v>
      </c>
      <c r="R9" s="27">
        <v>0</v>
      </c>
      <c r="S9" s="27">
        <v>0.9</v>
      </c>
    </row>
    <row r="10" spans="1:19" ht="14.4" x14ac:dyDescent="0.3">
      <c r="A10" s="26" t="s">
        <v>146</v>
      </c>
      <c r="B10" s="26" t="s">
        <v>147</v>
      </c>
      <c r="C10" s="26" t="s">
        <v>142</v>
      </c>
      <c r="D10" s="26"/>
      <c r="E10" s="26"/>
      <c r="F10" s="26"/>
      <c r="G10" s="26"/>
      <c r="H10" s="26">
        <v>1</v>
      </c>
      <c r="I10" s="26"/>
      <c r="J10" s="26">
        <v>1</v>
      </c>
      <c r="K10" s="26" t="s">
        <v>59</v>
      </c>
      <c r="L10" s="27">
        <v>0</v>
      </c>
      <c r="M10" s="27">
        <v>0</v>
      </c>
      <c r="N10" s="27" t="s">
        <v>29</v>
      </c>
      <c r="O10" s="27" t="s">
        <v>29</v>
      </c>
      <c r="P10" s="27">
        <v>100</v>
      </c>
      <c r="Q10" s="27">
        <v>0</v>
      </c>
      <c r="R10" s="27">
        <v>0</v>
      </c>
      <c r="S10" s="27">
        <v>1</v>
      </c>
    </row>
    <row r="11" spans="1:19" ht="14.4" x14ac:dyDescent="0.3">
      <c r="A11" s="26" t="s">
        <v>164</v>
      </c>
      <c r="B11" s="26" t="s">
        <v>165</v>
      </c>
      <c r="C11" s="26" t="s">
        <v>142</v>
      </c>
      <c r="D11" s="26"/>
      <c r="E11" s="26"/>
      <c r="F11" s="26">
        <v>1</v>
      </c>
      <c r="G11" s="26"/>
      <c r="H11" s="26"/>
      <c r="I11" s="26"/>
      <c r="J11" s="26">
        <v>1</v>
      </c>
      <c r="K11" s="26" t="s">
        <v>59</v>
      </c>
      <c r="L11" s="27">
        <v>0</v>
      </c>
      <c r="M11" s="27">
        <v>0</v>
      </c>
      <c r="N11" s="27" t="s">
        <v>29</v>
      </c>
      <c r="O11" s="27" t="s">
        <v>29</v>
      </c>
      <c r="P11" s="27">
        <v>100</v>
      </c>
      <c r="Q11" s="27">
        <v>0</v>
      </c>
      <c r="R11" s="27">
        <v>0</v>
      </c>
      <c r="S11" s="27">
        <v>1</v>
      </c>
    </row>
    <row r="12" spans="1:19" ht="14.4" x14ac:dyDescent="0.3">
      <c r="A12" s="26" t="s">
        <v>158</v>
      </c>
      <c r="B12" s="26" t="s">
        <v>159</v>
      </c>
      <c r="C12" s="47" t="s">
        <v>142</v>
      </c>
      <c r="D12" s="26"/>
      <c r="E12" s="26"/>
      <c r="F12" s="26">
        <v>1</v>
      </c>
      <c r="G12" s="26"/>
      <c r="H12" s="26"/>
      <c r="I12" s="26"/>
      <c r="J12" s="26">
        <v>1</v>
      </c>
      <c r="K12" s="26" t="s">
        <v>59</v>
      </c>
      <c r="L12" s="27">
        <v>0</v>
      </c>
      <c r="M12" s="27">
        <v>0</v>
      </c>
      <c r="N12" s="27" t="s">
        <v>29</v>
      </c>
      <c r="O12" s="27" t="s">
        <v>29</v>
      </c>
      <c r="P12" s="27">
        <v>100</v>
      </c>
      <c r="Q12" s="27">
        <v>0</v>
      </c>
      <c r="R12" s="27">
        <v>0</v>
      </c>
      <c r="S12" s="27">
        <v>1</v>
      </c>
    </row>
    <row r="13" spans="1:19" ht="14.4" x14ac:dyDescent="0.3">
      <c r="A13" s="26" t="s">
        <v>199</v>
      </c>
      <c r="B13" s="26" t="s">
        <v>200</v>
      </c>
      <c r="C13" s="26" t="s">
        <v>143</v>
      </c>
      <c r="D13" s="26"/>
      <c r="E13" s="26"/>
      <c r="F13" s="26"/>
      <c r="G13" s="26">
        <v>1</v>
      </c>
      <c r="H13" s="26"/>
      <c r="I13" s="26"/>
      <c r="J13" s="26">
        <v>1</v>
      </c>
      <c r="K13" s="26" t="s">
        <v>59</v>
      </c>
      <c r="L13" s="27">
        <v>0</v>
      </c>
      <c r="M13" s="27">
        <v>0</v>
      </c>
      <c r="N13" s="27" t="s">
        <v>29</v>
      </c>
      <c r="O13" s="27" t="s">
        <v>29</v>
      </c>
      <c r="P13" s="27">
        <v>100</v>
      </c>
      <c r="Q13" s="27">
        <v>0</v>
      </c>
      <c r="R13" s="27">
        <v>0</v>
      </c>
      <c r="S13" s="27">
        <v>1</v>
      </c>
    </row>
    <row r="14" spans="1:19" ht="14.4" x14ac:dyDescent="0.3">
      <c r="A14" s="26" t="s">
        <v>154</v>
      </c>
      <c r="B14" s="26" t="s">
        <v>155</v>
      </c>
      <c r="C14" s="26" t="s">
        <v>143</v>
      </c>
      <c r="D14" s="26"/>
      <c r="E14" s="26">
        <v>1</v>
      </c>
      <c r="F14" s="26"/>
      <c r="G14" s="26"/>
      <c r="H14" s="26"/>
      <c r="I14" s="26"/>
      <c r="J14" s="26">
        <v>1</v>
      </c>
      <c r="K14" s="26" t="s">
        <v>59</v>
      </c>
      <c r="L14" s="27">
        <v>0</v>
      </c>
      <c r="M14" s="27">
        <v>0</v>
      </c>
      <c r="N14" s="27" t="s">
        <v>29</v>
      </c>
      <c r="O14" s="27" t="s">
        <v>29</v>
      </c>
      <c r="P14" s="27">
        <v>100</v>
      </c>
      <c r="Q14" s="27">
        <v>0</v>
      </c>
      <c r="R14" s="27">
        <v>0</v>
      </c>
      <c r="S14" s="27">
        <v>1</v>
      </c>
    </row>
    <row r="15" spans="1:19" ht="14.4" x14ac:dyDescent="0.3">
      <c r="A15" s="26" t="s">
        <v>197</v>
      </c>
      <c r="B15" s="26" t="s">
        <v>198</v>
      </c>
      <c r="C15" s="26" t="s">
        <v>143</v>
      </c>
      <c r="D15" s="26"/>
      <c r="E15" s="26"/>
      <c r="F15" s="26"/>
      <c r="G15" s="26"/>
      <c r="H15" s="26"/>
      <c r="I15" s="26">
        <v>1</v>
      </c>
      <c r="J15" s="26">
        <v>1</v>
      </c>
      <c r="K15" s="26" t="s">
        <v>59</v>
      </c>
      <c r="L15" s="27">
        <v>0</v>
      </c>
      <c r="M15" s="27">
        <v>0</v>
      </c>
      <c r="N15" s="27" t="s">
        <v>29</v>
      </c>
      <c r="O15" s="27" t="s">
        <v>29</v>
      </c>
      <c r="P15" s="27">
        <v>100</v>
      </c>
      <c r="Q15" s="27">
        <v>0</v>
      </c>
      <c r="R15" s="27">
        <v>0</v>
      </c>
      <c r="S15" s="27">
        <v>1</v>
      </c>
    </row>
    <row r="16" spans="1:19" ht="14.4" x14ac:dyDescent="0.3">
      <c r="A16" s="26" t="s">
        <v>148</v>
      </c>
      <c r="B16" s="26" t="s">
        <v>149</v>
      </c>
      <c r="C16" s="26" t="s">
        <v>143</v>
      </c>
      <c r="D16" s="26"/>
      <c r="E16" s="26"/>
      <c r="F16" s="26">
        <v>1</v>
      </c>
      <c r="G16" s="26"/>
      <c r="H16" s="26"/>
      <c r="I16" s="26"/>
      <c r="J16" s="26">
        <v>1</v>
      </c>
      <c r="K16" s="26" t="s">
        <v>59</v>
      </c>
      <c r="L16" s="27">
        <v>0</v>
      </c>
      <c r="M16" s="27">
        <v>0</v>
      </c>
      <c r="N16" s="27" t="s">
        <v>29</v>
      </c>
      <c r="O16" s="27" t="s">
        <v>29</v>
      </c>
      <c r="P16" s="27">
        <v>100</v>
      </c>
      <c r="Q16" s="27">
        <v>0</v>
      </c>
      <c r="R16" s="27">
        <v>0</v>
      </c>
      <c r="S16" s="27">
        <v>1</v>
      </c>
    </row>
    <row r="17" spans="1:19" ht="14.4" x14ac:dyDescent="0.3">
      <c r="A17" s="26" t="s">
        <v>282</v>
      </c>
      <c r="B17" s="26" t="s">
        <v>283</v>
      </c>
      <c r="C17" s="26" t="s">
        <v>143</v>
      </c>
      <c r="D17" s="26"/>
      <c r="E17" s="26"/>
      <c r="F17" s="26"/>
      <c r="G17" s="26"/>
      <c r="H17" s="26"/>
      <c r="I17" s="26">
        <v>1</v>
      </c>
      <c r="J17" s="26">
        <v>1</v>
      </c>
      <c r="K17" s="26" t="s">
        <v>59</v>
      </c>
      <c r="L17" s="27">
        <v>0</v>
      </c>
      <c r="M17" s="27">
        <v>0</v>
      </c>
      <c r="N17" s="27" t="s">
        <v>29</v>
      </c>
      <c r="O17" s="27" t="s">
        <v>29</v>
      </c>
      <c r="P17" s="27">
        <v>100</v>
      </c>
      <c r="Q17" s="27">
        <v>0</v>
      </c>
      <c r="R17" s="27">
        <v>0</v>
      </c>
      <c r="S17" s="27">
        <v>1</v>
      </c>
    </row>
    <row r="18" spans="1:19" ht="14.4" x14ac:dyDescent="0.3">
      <c r="A18" s="26" t="s">
        <v>195</v>
      </c>
      <c r="B18" s="26" t="s">
        <v>196</v>
      </c>
      <c r="C18" s="26" t="s">
        <v>143</v>
      </c>
      <c r="D18" s="26"/>
      <c r="E18" s="26"/>
      <c r="F18" s="26"/>
      <c r="G18" s="26"/>
      <c r="H18" s="26"/>
      <c r="I18" s="26">
        <v>1</v>
      </c>
      <c r="J18" s="26">
        <v>1</v>
      </c>
      <c r="K18" s="26" t="s">
        <v>59</v>
      </c>
      <c r="L18" s="27">
        <v>0</v>
      </c>
      <c r="M18" s="27">
        <v>0</v>
      </c>
      <c r="N18" s="27" t="s">
        <v>29</v>
      </c>
      <c r="O18" s="27" t="s">
        <v>29</v>
      </c>
      <c r="P18" s="27">
        <v>100</v>
      </c>
      <c r="Q18" s="27">
        <v>0</v>
      </c>
      <c r="R18" s="27">
        <v>0</v>
      </c>
      <c r="S18" s="27">
        <v>1</v>
      </c>
    </row>
    <row r="19" spans="1:19" ht="14.4" x14ac:dyDescent="0.3">
      <c r="A19" s="26" t="s">
        <v>162</v>
      </c>
      <c r="B19" s="26" t="s">
        <v>163</v>
      </c>
      <c r="C19" s="26" t="s">
        <v>143</v>
      </c>
      <c r="D19" s="26"/>
      <c r="E19" s="26">
        <v>1</v>
      </c>
      <c r="F19" s="26"/>
      <c r="G19" s="26"/>
      <c r="H19" s="26"/>
      <c r="I19" s="26"/>
      <c r="J19" s="26">
        <v>1</v>
      </c>
      <c r="K19" s="26" t="s">
        <v>59</v>
      </c>
      <c r="L19" s="27">
        <v>0</v>
      </c>
      <c r="M19" s="27">
        <v>0</v>
      </c>
      <c r="N19" s="27" t="s">
        <v>29</v>
      </c>
      <c r="O19" s="27" t="s">
        <v>29</v>
      </c>
      <c r="P19" s="27">
        <v>100</v>
      </c>
      <c r="Q19" s="27">
        <v>0</v>
      </c>
      <c r="R19" s="27">
        <v>0</v>
      </c>
      <c r="S19" s="27">
        <v>1</v>
      </c>
    </row>
    <row r="20" spans="1:19" ht="14.4" x14ac:dyDescent="0.3">
      <c r="A20" s="26" t="s">
        <v>284</v>
      </c>
      <c r="B20" s="26" t="s">
        <v>285</v>
      </c>
      <c r="C20" s="26" t="s">
        <v>143</v>
      </c>
      <c r="D20" s="26"/>
      <c r="E20" s="26"/>
      <c r="F20" s="26"/>
      <c r="G20" s="26"/>
      <c r="H20" s="26"/>
      <c r="I20" s="26">
        <v>1</v>
      </c>
      <c r="J20" s="26">
        <v>1</v>
      </c>
      <c r="K20" s="26" t="s">
        <v>59</v>
      </c>
      <c r="L20" s="27">
        <v>0</v>
      </c>
      <c r="M20" s="27">
        <v>0</v>
      </c>
      <c r="N20" s="27" t="s">
        <v>29</v>
      </c>
      <c r="O20" s="27" t="s">
        <v>29</v>
      </c>
      <c r="P20" s="27">
        <v>100</v>
      </c>
      <c r="Q20" s="27">
        <v>0</v>
      </c>
      <c r="R20" s="27">
        <v>0</v>
      </c>
      <c r="S20" s="27">
        <v>1</v>
      </c>
    </row>
    <row r="21" spans="1:19" ht="14.4" x14ac:dyDescent="0.3">
      <c r="A21" s="26" t="s">
        <v>202</v>
      </c>
      <c r="B21" s="26" t="s">
        <v>203</v>
      </c>
      <c r="C21" s="47" t="s">
        <v>143</v>
      </c>
      <c r="D21" s="26"/>
      <c r="E21" s="26"/>
      <c r="F21" s="26"/>
      <c r="G21" s="26"/>
      <c r="H21" s="26">
        <v>1</v>
      </c>
      <c r="I21" s="26"/>
      <c r="J21" s="26">
        <v>1</v>
      </c>
      <c r="K21" s="26" t="s">
        <v>59</v>
      </c>
      <c r="L21" s="27">
        <v>0</v>
      </c>
      <c r="M21" s="27">
        <v>0</v>
      </c>
      <c r="N21" s="27" t="s">
        <v>29</v>
      </c>
      <c r="O21" s="27" t="s">
        <v>29</v>
      </c>
      <c r="P21" s="27">
        <v>100</v>
      </c>
      <c r="Q21" s="27">
        <v>0</v>
      </c>
      <c r="R21" s="27">
        <v>0</v>
      </c>
      <c r="S21" s="27">
        <v>1</v>
      </c>
    </row>
    <row r="22" spans="1:19" ht="14.4" x14ac:dyDescent="0.3">
      <c r="A22" s="26" t="s">
        <v>144</v>
      </c>
      <c r="B22" s="26" t="s">
        <v>145</v>
      </c>
      <c r="C22" s="47" t="s">
        <v>286</v>
      </c>
      <c r="D22" s="26"/>
      <c r="E22" s="26"/>
      <c r="F22" s="26"/>
      <c r="G22" s="26"/>
      <c r="H22" s="26"/>
      <c r="I22" s="26">
        <v>1</v>
      </c>
      <c r="J22" s="26">
        <v>1</v>
      </c>
      <c r="K22" s="26" t="s">
        <v>59</v>
      </c>
      <c r="L22" s="27">
        <v>0</v>
      </c>
      <c r="M22" s="27">
        <v>0</v>
      </c>
      <c r="N22" s="27" t="s">
        <v>29</v>
      </c>
      <c r="O22" s="27" t="s">
        <v>29</v>
      </c>
      <c r="P22" s="27">
        <v>100</v>
      </c>
      <c r="Q22" s="27">
        <v>0</v>
      </c>
      <c r="R22" s="27">
        <v>0</v>
      </c>
      <c r="S22" s="27">
        <v>1</v>
      </c>
    </row>
    <row r="23" spans="1:19" x14ac:dyDescent="0.25">
      <c r="A23" s="50"/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1"/>
      <c r="O23" s="50"/>
      <c r="P23" s="51"/>
      <c r="Q23" s="50"/>
      <c r="R23" s="50"/>
      <c r="S23" s="52">
        <f>SUM(S2:S22)</f>
        <v>21.3</v>
      </c>
    </row>
  </sheetData>
  <pageMargins left="0.39370078740157483" right="0.39370078740157483" top="0.39370078740157483" bottom="0.39370078740157483" header="0.31496062992125984" footer="0.31496062992125984"/>
  <pageSetup paperSize="9" scale="1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2"/>
  <sheetViews>
    <sheetView zoomScaleNormal="100" workbookViewId="0">
      <selection activeCell="A28" sqref="A28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3" ht="20.399999999999999" x14ac:dyDescent="0.2">
      <c r="A1" s="2" t="s">
        <v>0</v>
      </c>
      <c r="B1" s="3" t="s">
        <v>1</v>
      </c>
    </row>
    <row r="2" spans="1:3" x14ac:dyDescent="0.2">
      <c r="A2" s="4" t="s">
        <v>172</v>
      </c>
      <c r="B2" s="5"/>
    </row>
    <row r="3" spans="1:3" x14ac:dyDescent="0.2">
      <c r="A3" s="4" t="s">
        <v>173</v>
      </c>
      <c r="B3" s="5">
        <v>900</v>
      </c>
    </row>
    <row r="4" spans="1:3" x14ac:dyDescent="0.2">
      <c r="A4" s="4" t="s">
        <v>174</v>
      </c>
      <c r="B4" s="5"/>
    </row>
    <row r="5" spans="1:3" x14ac:dyDescent="0.2">
      <c r="A5" s="4" t="s">
        <v>175</v>
      </c>
      <c r="B5" s="5">
        <v>700</v>
      </c>
    </row>
    <row r="6" spans="1:3" x14ac:dyDescent="0.2">
      <c r="A6" s="4" t="s">
        <v>3</v>
      </c>
      <c r="B6" s="5"/>
    </row>
    <row r="7" spans="1:3" x14ac:dyDescent="0.2">
      <c r="A7" s="4" t="s">
        <v>176</v>
      </c>
      <c r="B7" s="5">
        <v>12160</v>
      </c>
    </row>
    <row r="8" spans="1:3" x14ac:dyDescent="0.2">
      <c r="A8" s="4" t="s">
        <v>6</v>
      </c>
      <c r="B8" s="5"/>
    </row>
    <row r="9" spans="1:3" x14ac:dyDescent="0.2">
      <c r="A9" s="4" t="s">
        <v>253</v>
      </c>
      <c r="B9" s="5">
        <v>9482</v>
      </c>
      <c r="C9" s="1" t="s">
        <v>192</v>
      </c>
    </row>
    <row r="10" spans="1:3" x14ac:dyDescent="0.2">
      <c r="A10" s="6" t="s">
        <v>193</v>
      </c>
      <c r="B10" s="7"/>
    </row>
    <row r="11" spans="1:3" x14ac:dyDescent="0.2">
      <c r="A11" s="4" t="s">
        <v>194</v>
      </c>
      <c r="B11" s="4">
        <v>2006.15</v>
      </c>
    </row>
    <row r="12" spans="1:3" x14ac:dyDescent="0.2">
      <c r="A12" s="6" t="s">
        <v>2</v>
      </c>
      <c r="B12" s="7">
        <f>SUM(B2:B11)</f>
        <v>25248.15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DD752-EE11-4C52-BCA4-C215DDAE2F24}">
  <dimension ref="A1:B4"/>
  <sheetViews>
    <sheetView zoomScaleNormal="100" workbookViewId="0">
      <selection activeCell="A15" sqref="A15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237</v>
      </c>
      <c r="B2" s="5"/>
    </row>
    <row r="3" spans="1:2" x14ac:dyDescent="0.2">
      <c r="A3" s="4" t="s">
        <v>238</v>
      </c>
      <c r="B3" s="5">
        <v>880</v>
      </c>
    </row>
    <row r="4" spans="1:2" x14ac:dyDescent="0.2">
      <c r="A4" s="6" t="s">
        <v>2</v>
      </c>
      <c r="B4" s="7">
        <f>SUM(B3:B3)</f>
        <v>880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692E7-152D-47F9-91C8-441B55D80F48}">
  <dimension ref="A1:B8"/>
  <sheetViews>
    <sheetView tabSelected="1" zoomScaleNormal="100" workbookViewId="0">
      <selection activeCell="A9" sqref="A9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254</v>
      </c>
      <c r="B2" s="5"/>
    </row>
    <row r="3" spans="1:2" x14ac:dyDescent="0.2">
      <c r="A3" s="4" t="s">
        <v>255</v>
      </c>
      <c r="B3" s="5">
        <v>5000</v>
      </c>
    </row>
    <row r="4" spans="1:2" x14ac:dyDescent="0.2">
      <c r="A4" s="4" t="s">
        <v>256</v>
      </c>
      <c r="B4" s="5">
        <v>5000</v>
      </c>
    </row>
    <row r="5" spans="1:2" x14ac:dyDescent="0.2">
      <c r="A5" s="6" t="s">
        <v>2</v>
      </c>
      <c r="B5" s="7">
        <f>SUM(B3:B4)</f>
        <v>10000</v>
      </c>
    </row>
    <row r="8" spans="1:2" x14ac:dyDescent="0.2">
      <c r="A8" s="53" t="s">
        <v>288</v>
      </c>
      <c r="B8" s="7">
        <f>B5+'Ingresos investigación 2020'!B4+'Ingresos investigación 2019'!B12</f>
        <v>36128.15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2"/>
  <sheetViews>
    <sheetView zoomScaleNormal="100" workbookViewId="0">
      <selection activeCell="A22" sqref="A22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177</v>
      </c>
      <c r="B2" s="5"/>
    </row>
    <row r="3" spans="1:2" x14ac:dyDescent="0.2">
      <c r="A3" s="4" t="s">
        <v>178</v>
      </c>
      <c r="B3" s="5">
        <v>4025</v>
      </c>
    </row>
    <row r="4" spans="1:2" x14ac:dyDescent="0.2">
      <c r="A4" s="4" t="s">
        <v>4</v>
      </c>
      <c r="B4" s="5"/>
    </row>
    <row r="5" spans="1:2" x14ac:dyDescent="0.2">
      <c r="A5" s="4" t="s">
        <v>179</v>
      </c>
      <c r="B5" s="5">
        <v>2883.21</v>
      </c>
    </row>
    <row r="6" spans="1:2" x14ac:dyDescent="0.2">
      <c r="A6" s="4" t="s">
        <v>180</v>
      </c>
      <c r="B6" s="5">
        <v>57000</v>
      </c>
    </row>
    <row r="7" spans="1:2" x14ac:dyDescent="0.2">
      <c r="A7" s="4" t="s">
        <v>181</v>
      </c>
      <c r="B7" s="5"/>
    </row>
    <row r="8" spans="1:2" x14ac:dyDescent="0.2">
      <c r="A8" s="4" t="s">
        <v>182</v>
      </c>
      <c r="B8" s="5">
        <v>798</v>
      </c>
    </row>
    <row r="9" spans="1:2" x14ac:dyDescent="0.2">
      <c r="A9" s="4" t="s">
        <v>183</v>
      </c>
      <c r="B9" s="5">
        <v>1197</v>
      </c>
    </row>
    <row r="10" spans="1:2" x14ac:dyDescent="0.2">
      <c r="A10" s="4" t="s">
        <v>184</v>
      </c>
      <c r="B10" s="5"/>
    </row>
    <row r="11" spans="1:2" x14ac:dyDescent="0.2">
      <c r="A11" s="4" t="s">
        <v>185</v>
      </c>
      <c r="B11" s="5">
        <v>35166.5</v>
      </c>
    </row>
    <row r="12" spans="1:2" x14ac:dyDescent="0.2">
      <c r="A12" s="6" t="s">
        <v>2</v>
      </c>
      <c r="B12" s="7">
        <f>SUM(B3:B11)</f>
        <v>101069.70999999999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931DC-55F4-4F73-8099-802A7D0A2B2B}">
  <dimension ref="A1:B20"/>
  <sheetViews>
    <sheetView zoomScaleNormal="100" workbookViewId="0">
      <selection activeCell="B23" sqref="B23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4</v>
      </c>
      <c r="B2" s="5"/>
    </row>
    <row r="3" spans="1:2" x14ac:dyDescent="0.2">
      <c r="A3" s="4" t="s">
        <v>239</v>
      </c>
      <c r="B3" s="5">
        <v>0.02</v>
      </c>
    </row>
    <row r="4" spans="1:2" x14ac:dyDescent="0.2">
      <c r="A4" s="4" t="s">
        <v>5</v>
      </c>
      <c r="B4" s="5"/>
    </row>
    <row r="5" spans="1:2" x14ac:dyDescent="0.2">
      <c r="A5" s="4" t="s">
        <v>240</v>
      </c>
      <c r="B5" s="5">
        <v>3192.99</v>
      </c>
    </row>
    <row r="6" spans="1:2" x14ac:dyDescent="0.2">
      <c r="A6" s="4" t="s">
        <v>241</v>
      </c>
      <c r="B6" s="5">
        <v>399</v>
      </c>
    </row>
    <row r="7" spans="1:2" x14ac:dyDescent="0.2">
      <c r="A7" s="4" t="s">
        <v>242</v>
      </c>
      <c r="B7" s="5">
        <v>399</v>
      </c>
    </row>
    <row r="8" spans="1:2" x14ac:dyDescent="0.2">
      <c r="A8" s="4" t="s">
        <v>243</v>
      </c>
      <c r="B8" s="5">
        <v>399</v>
      </c>
    </row>
    <row r="9" spans="1:2" x14ac:dyDescent="0.2">
      <c r="A9" s="4" t="s">
        <v>244</v>
      </c>
      <c r="B9" s="5">
        <v>1077.3000000000002</v>
      </c>
    </row>
    <row r="10" spans="1:2" x14ac:dyDescent="0.2">
      <c r="A10" s="4" t="s">
        <v>184</v>
      </c>
      <c r="B10" s="5"/>
    </row>
    <row r="11" spans="1:2" x14ac:dyDescent="0.2">
      <c r="A11" s="4" t="s">
        <v>245</v>
      </c>
      <c r="B11" s="5">
        <v>2888.21</v>
      </c>
    </row>
    <row r="12" spans="1:2" x14ac:dyDescent="0.2">
      <c r="A12" s="4" t="s">
        <v>185</v>
      </c>
      <c r="B12" s="5">
        <v>21621.1</v>
      </c>
    </row>
    <row r="13" spans="1:2" x14ac:dyDescent="0.2">
      <c r="A13" s="4" t="s">
        <v>246</v>
      </c>
      <c r="B13" s="5">
        <v>15659.9</v>
      </c>
    </row>
    <row r="14" spans="1:2" x14ac:dyDescent="0.2">
      <c r="A14" s="4" t="s">
        <v>247</v>
      </c>
      <c r="B14" s="5">
        <v>2888.21</v>
      </c>
    </row>
    <row r="15" spans="1:2" x14ac:dyDescent="0.2">
      <c r="A15" s="4" t="s">
        <v>248</v>
      </c>
      <c r="B15" s="5"/>
    </row>
    <row r="16" spans="1:2" x14ac:dyDescent="0.2">
      <c r="A16" s="4" t="s">
        <v>249</v>
      </c>
      <c r="B16" s="5">
        <v>8800</v>
      </c>
    </row>
    <row r="17" spans="1:2" x14ac:dyDescent="0.2">
      <c r="A17" s="4" t="s">
        <v>250</v>
      </c>
      <c r="B17" s="5">
        <v>10850</v>
      </c>
    </row>
    <row r="18" spans="1:2" x14ac:dyDescent="0.2">
      <c r="A18" s="4" t="s">
        <v>251</v>
      </c>
      <c r="B18" s="5">
        <v>7920</v>
      </c>
    </row>
    <row r="19" spans="1:2" x14ac:dyDescent="0.2">
      <c r="A19" s="4" t="s">
        <v>252</v>
      </c>
      <c r="B19" s="5">
        <v>10710</v>
      </c>
    </row>
    <row r="20" spans="1:2" x14ac:dyDescent="0.2">
      <c r="A20" s="6" t="s">
        <v>2</v>
      </c>
      <c r="B20" s="7">
        <f>SUM(B2:B19)</f>
        <v>86804.73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271C7-7E96-406C-BD34-5F7B339CEC20}">
  <dimension ref="A1:C13"/>
  <sheetViews>
    <sheetView zoomScaleNormal="100" workbookViewId="0">
      <selection activeCell="B13" sqref="B13"/>
    </sheetView>
  </sheetViews>
  <sheetFormatPr baseColWidth="10" defaultColWidth="11.44140625" defaultRowHeight="14.4" x14ac:dyDescent="0.3"/>
  <cols>
    <col min="1" max="1" width="15.44140625" customWidth="1"/>
    <col min="2" max="2" width="126.6640625" bestFit="1" customWidth="1"/>
  </cols>
  <sheetData>
    <row r="1" spans="1:3" x14ac:dyDescent="0.3">
      <c r="A1" t="s">
        <v>257</v>
      </c>
      <c r="B1" t="s">
        <v>258</v>
      </c>
      <c r="C1" t="s">
        <v>1</v>
      </c>
    </row>
    <row r="2" spans="1:3" x14ac:dyDescent="0.3">
      <c r="A2" t="s">
        <v>184</v>
      </c>
      <c r="B2" t="s">
        <v>259</v>
      </c>
      <c r="C2" s="30">
        <v>1649.7</v>
      </c>
    </row>
    <row r="3" spans="1:3" x14ac:dyDescent="0.3">
      <c r="A3" t="s">
        <v>184</v>
      </c>
      <c r="B3" t="s">
        <v>260</v>
      </c>
      <c r="C3" s="30">
        <v>18663.34</v>
      </c>
    </row>
    <row r="4" spans="1:3" x14ac:dyDescent="0.3">
      <c r="A4" t="s">
        <v>184</v>
      </c>
      <c r="B4" t="s">
        <v>260</v>
      </c>
      <c r="C4" s="30">
        <v>26951.47</v>
      </c>
    </row>
    <row r="5" spans="1:3" x14ac:dyDescent="0.3">
      <c r="A5" t="s">
        <v>184</v>
      </c>
      <c r="B5" t="s">
        <v>261</v>
      </c>
      <c r="C5" s="30">
        <v>31989.68</v>
      </c>
    </row>
    <row r="6" spans="1:3" x14ac:dyDescent="0.3">
      <c r="A6" t="s">
        <v>248</v>
      </c>
      <c r="B6" t="s">
        <v>262</v>
      </c>
      <c r="C6" s="30">
        <v>6480</v>
      </c>
    </row>
    <row r="7" spans="1:3" x14ac:dyDescent="0.3">
      <c r="A7" t="s">
        <v>248</v>
      </c>
      <c r="B7" t="s">
        <v>263</v>
      </c>
      <c r="C7" s="30">
        <v>7200</v>
      </c>
    </row>
    <row r="8" spans="1:3" x14ac:dyDescent="0.3">
      <c r="A8" t="s">
        <v>248</v>
      </c>
      <c r="B8" t="s">
        <v>262</v>
      </c>
      <c r="C8" s="30">
        <v>7920</v>
      </c>
    </row>
    <row r="9" spans="1:3" x14ac:dyDescent="0.3">
      <c r="A9" t="s">
        <v>248</v>
      </c>
      <c r="B9" t="s">
        <v>264</v>
      </c>
      <c r="C9" s="30">
        <v>8800</v>
      </c>
    </row>
    <row r="10" spans="1:3" x14ac:dyDescent="0.3">
      <c r="A10" s="28"/>
      <c r="B10" s="28"/>
      <c r="C10" s="29">
        <v>109654.19</v>
      </c>
    </row>
    <row r="13" spans="1:3" x14ac:dyDescent="0.3">
      <c r="B13" s="49" t="s">
        <v>287</v>
      </c>
      <c r="C13" s="48">
        <f>'Ingresos formación 2021'!C10+'Ingresos formación 2020'!B20+'Ingresos formación 2019'!B12</f>
        <v>297528.63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2</vt:i4>
      </vt:variant>
    </vt:vector>
  </HeadingPairs>
  <TitlesOfParts>
    <vt:vector size="10" baseType="lpstr">
      <vt:lpstr>Tesis</vt:lpstr>
      <vt:lpstr>Sexenios</vt:lpstr>
      <vt:lpstr>Ingresos investigación 2019</vt:lpstr>
      <vt:lpstr>Ingresos investigación 2020</vt:lpstr>
      <vt:lpstr>Ingresos investigación 2021</vt:lpstr>
      <vt:lpstr>Ingresos formación 2019</vt:lpstr>
      <vt:lpstr>Ingresos formación 2020</vt:lpstr>
      <vt:lpstr>Ingresos formación 2021</vt:lpstr>
      <vt:lpstr>Sexenios!Títulos_a_imprimir</vt:lpstr>
      <vt:lpstr>Tesis!Títulos_a_imprimir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21387280V</dc:creator>
  <cp:lastModifiedBy>21511974M</cp:lastModifiedBy>
  <dcterms:created xsi:type="dcterms:W3CDTF">2019-07-03T07:15:54Z</dcterms:created>
  <dcterms:modified xsi:type="dcterms:W3CDTF">2022-10-18T11:15:04Z</dcterms:modified>
</cp:coreProperties>
</file>