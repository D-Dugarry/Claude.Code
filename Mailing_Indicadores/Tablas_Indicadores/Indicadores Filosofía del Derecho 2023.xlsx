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DAB96DCB-B770-4209-ABB1-16BBD0CC8758}" xr6:coauthVersionLast="47" xr6:coauthVersionMax="47" xr10:uidLastSave="{00000000-0000-0000-0000-000000000000}"/>
  <bookViews>
    <workbookView xWindow="22932" yWindow="-108" windowWidth="23256" windowHeight="12456" tabRatio="728" xr2:uid="{00000000-000D-0000-FFFF-FFFF00000000}"/>
  </bookViews>
  <sheets>
    <sheet name="Tesis" sheetId="11" r:id="rId1"/>
    <sheet name="Sexenios" sheetId="12" r:id="rId2"/>
    <sheet name="Ingresos investigación 2019" sheetId="15" r:id="rId3"/>
    <sheet name="Ingresos investigación 2020" sheetId="18" r:id="rId4"/>
    <sheet name="Ingresos investigación 2021" sheetId="19" r:id="rId5"/>
    <sheet name="Ingresos formación 2019" sheetId="16" r:id="rId6"/>
    <sheet name="Ingresos formación 2020" sheetId="17" r:id="rId7"/>
    <sheet name="Ingresos formación 2021" sheetId="20" r:id="rId8"/>
  </sheets>
  <definedNames>
    <definedName name="_xlnm._FilterDatabase" localSheetId="1" hidden="1">Sexenios!$A$1:$S$12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1" l="1"/>
  <c r="B50" i="18" l="1"/>
  <c r="B14" i="17"/>
  <c r="S13" i="12"/>
  <c r="B17" i="16" l="1"/>
  <c r="C11" i="20" s="1"/>
  <c r="B59" i="15"/>
  <c r="C43" i="19" s="1"/>
</calcChain>
</file>

<file path=xl/sharedStrings.xml><?xml version="1.0" encoding="utf-8"?>
<sst xmlns="http://schemas.openxmlformats.org/spreadsheetml/2006/main" count="577" uniqueCount="286">
  <si>
    <t>Orgánica
Descripción justificante</t>
  </si>
  <si>
    <t>Importe</t>
  </si>
  <si>
    <t>Total</t>
  </si>
  <si>
    <t>35.10.6C.00.07</t>
  </si>
  <si>
    <t>nuevos modelos de estrategia y de negocio para las agencias de propiedad industrial e intelectual</t>
  </si>
  <si>
    <t>35.10.6P.00.06</t>
  </si>
  <si>
    <t>35.10.2T.00.01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</si>
  <si>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</si>
  <si>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</si>
  <si>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</si>
  <si>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</si>
  <si>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</si>
  <si>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</si>
  <si>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</si>
  <si>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</si>
  <si>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</si>
  <si>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</si>
  <si>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</si>
  <si>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</si>
  <si>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</si>
  <si>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</si>
  <si>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</si>
  <si>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</si>
  <si>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</si>
  <si>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</si>
  <si>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</si>
  <si>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</si>
  <si>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</si>
  <si>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</si>
  <si>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</si>
  <si>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10</t>
  </si>
  <si>
    <t>28/06/2019 </t>
  </si>
  <si>
    <t>U025 </t>
  </si>
  <si>
    <t>ADM. FACULTAD DE DERECHO </t>
  </si>
  <si>
    <t>DOCTORADO EN DERECHO </t>
  </si>
  <si>
    <t>22/03/2019 </t>
  </si>
  <si>
    <t>10.15</t>
  </si>
  <si>
    <t>10.06</t>
  </si>
  <si>
    <t>25/09/2017 </t>
  </si>
  <si>
    <t>21/09/2018 </t>
  </si>
  <si>
    <t>B152 </t>
  </si>
  <si>
    <t>FILOSOFÍA DEL DCHO .Y DCHO INTERNACIONAL PRIVADO </t>
  </si>
  <si>
    <t>B152</t>
  </si>
  <si>
    <t>13051474D </t>
  </si>
  <si>
    <t>43000084C </t>
  </si>
  <si>
    <t>21362427G </t>
  </si>
  <si>
    <t>21461869V </t>
  </si>
  <si>
    <t>Torres Ortega, Ilsse Carolina </t>
  </si>
  <si>
    <t>LA JUSTIFICACIÓN DEL CASTIGO EN LA FILOSOFÍA DEL DERECHO CONTEMPORÁNEA </t>
  </si>
  <si>
    <t>21474644G </t>
  </si>
  <si>
    <t>Simoes Nascimento, Roberta </t>
  </si>
  <si>
    <t>TEORIA DA LEGISLAÇAO E ARGUMENTAÇAO LEGISLATIVA NA ESPANHA E NO BRASIL: ANÁLISE DOS CENÁRIOS DAS LEIS SOBRE A VIOLÊNCIA CONTRA A MULHER </t>
  </si>
  <si>
    <t>Guasque , Bárbara </t>
  </si>
  <si>
    <t>ANÁLISE ECONÔMICA DO DIREITO E AS DECISOES JUDICIAIS: O JUDICIÁRIO COMO UMA VARIÁVEL ECONOMICA </t>
  </si>
  <si>
    <t>27/11/2018 </t>
  </si>
  <si>
    <t>Mafra Granado, Juliete Ruana </t>
  </si>
  <si>
    <t>INTERDISCIPLINARIDADE DO DIREITO COM ENFOQUE NA MORALIDADE POLÍTICA COMO FUNDAMENTO DA DECISAO JUDICIAL: A OPINIAO PÚBLICA NAS DECISIOES DE TEMA RELEVANTE DO STF </t>
  </si>
  <si>
    <t>Ricaurte Herrera, María Catherine </t>
  </si>
  <si>
    <t>ARGUMENTACIÓN Y TEORÍA DE LA PRUEBA EN EL MUNDO LATINO. UN PUNTO DE PARTÍDA </t>
  </si>
  <si>
    <t>19/06/2019 </t>
  </si>
  <si>
    <t>25123079H </t>
  </si>
  <si>
    <t>Vandresen , Thaís </t>
  </si>
  <si>
    <t>"O IMPEACHMENT DOS EX-PRESIDENTES FERNANDO COLLOR DE MELLO E DILMA VANA ROUSSEFF COMO RESULTANTES DE INFRAÇOES MATRIZES DA RESPONSABILIDADE DO PODER POLÍTICO"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</si>
  <si>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</si>
  <si>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</si>
  <si>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</si>
  <si>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</si>
  <si>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</si>
  <si>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</si>
  <si>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</si>
  <si>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</si>
  <si>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</si>
  <si>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</si>
  <si>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</si>
  <si>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</si>
  <si>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</si>
  <si>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</si>
  <si>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43000084C</t>
  </si>
  <si>
    <t>AGUILO REGLA, JOSEP</t>
  </si>
  <si>
    <t>21504756D</t>
  </si>
  <si>
    <t>ALEMANY GARCIA, MACARIO</t>
  </si>
  <si>
    <t>13051474D</t>
  </si>
  <si>
    <t>ATIENZA RODRIGUEZ, MANUEL</t>
  </si>
  <si>
    <t>25123079H</t>
  </si>
  <si>
    <t>GONZALEZ LAGIER, JOSE DANIEL</t>
  </si>
  <si>
    <t>21434053P</t>
  </si>
  <si>
    <t>LAFUENTE SANCHEZ, RAUL</t>
  </si>
  <si>
    <t>21474644G</t>
  </si>
  <si>
    <t>LIFANTE VIDAL, ISABEL</t>
  </si>
  <si>
    <t>21507330F</t>
  </si>
  <si>
    <t>LOPEZ-TARRUELLA MARTINEZ, AURELIO</t>
  </si>
  <si>
    <t>21461869V</t>
  </si>
  <si>
    <t>RODENAS CALATAYUD, ANGELES</t>
  </si>
  <si>
    <t>11072086R</t>
  </si>
  <si>
    <t>VEGA LOPEZ, JESUS</t>
  </si>
  <si>
    <t>asesoramiento especializado sobre propiedad industrial, intelectual y derecho internacional en aspectos legales de las tecnologias de l informacion y la comunicacion plazo número cinco FJF1-18T</t>
  </si>
  <si>
    <t xml:space="preserve">asesoramiento especializado sobre propiedad industrial, intelectual y derecho internacional en aspectos legales de las tecnologías de la información (julio-agosto)  </t>
  </si>
  <si>
    <t>asesoramiento especializado sobre propiedad industrial, intelectual y derecho internacional en aspectos legales de las tecnologías de la información y la comunicación</t>
  </si>
  <si>
    <t>asesoramiento especializado sobre propiedad industrial, intelectual y derecho internacional en aspectos legales de las tecnologías de la información y la comunicación.</t>
  </si>
  <si>
    <t xml:space="preserve">asesoramiento especializado sobre propiedad industrial, intelectual y derecho internacional en aspectos legales de las tecnologías de la información  y la comunicación ( enero-febrero plazo nº 6) </t>
  </si>
  <si>
    <t>asesoramiento  especializado sobre propiedad industrial, intelectual y derecho internacional en aspectos legales de las tecnologías de la información y la comunicación plazo número cuatro FJF1-18T</t>
  </si>
  <si>
    <t>REINTEGRO CUOTA PATRONAL CORRESPONDIENTE AL MES DE NOVIEMBRE 2019.</t>
  </si>
  <si>
    <t>35.10.6C.00.08</t>
  </si>
  <si>
    <t>expertise on the IP strategy of Peru: revising the project document for the planned Peruvian- Swiss IP project</t>
  </si>
  <si>
    <t>REINTEGRO CUOTA PATRONAL CORRESPONDIENTE AL MES DE OCTUBRE DE 2019.</t>
  </si>
  <si>
    <t>35.10.6C.00.09</t>
  </si>
  <si>
    <t>la adaptacion de las firmas profesionales de propiedad industrial e intelectua  a los desafios planteados por el mercado europeo ELZ2-18A septiembre</t>
  </si>
  <si>
    <t>la adaptacion de las firmas profesionales de propiedad industrial e intelectual a los desafios planteados por el mercado europeo ELZ2-18A diciembre</t>
  </si>
  <si>
    <t>la adaptacion de las firmas profesionales de propiedad industrial e intelectual a los desafios planteados por el mercado europeo ELZ2-18A noviembre</t>
  </si>
  <si>
    <t>la adaptación de las firmas profesionales de propiedad industrial e intelectual a los desafios planteados por el mercado interior europeo, marzo ELZ2-18A</t>
  </si>
  <si>
    <t>La adaptacion de las firmas profesionales de propiedad industrial e intelectual a los desafíos planteados por el mercado interior europeo. ELZ2-18A julio</t>
  </si>
  <si>
    <t>la adaptacion de las firmas profesionales de propiedad industrial e intelectual a los desafios planteados por el mercado interior europeo. febrero</t>
  </si>
  <si>
    <t>la adaptación de las firmas profesionales de propiedad industrial e intelectual a los desafios planteados por el mercado interior europeo. mayo ELZ2-18A</t>
  </si>
  <si>
    <t xml:space="preserve">la adaptacion de las firmas profesionales de propiedad industrial e intelectual a los desafios planteados por el mercado interior europeo.  </t>
  </si>
  <si>
    <t>la adaptacion de las firmas profesionales  de propiedad industrial e intelectual a los desafios planteados por el mercado europeo ELZ2-18A agosto</t>
  </si>
  <si>
    <t>la adaptacion de las firmas profesionales  de propiedad industrial e intelectual a los desafios planteados por el mercado europeo ELZ2-18A octubre</t>
  </si>
  <si>
    <t>la adaptacion de las firmas profesionales  de propiedad industrial e intelectual  a los  desafios plantaeados por el mercado interior europeo. ELZ2-18A</t>
  </si>
  <si>
    <t>la adaptacion de las firmas  profesionales de propiedad industrial e intelectual a los desafios planteados por el mercado interior europeo, abril, ELZ2-18A</t>
  </si>
  <si>
    <t>35.10.6C.00.10</t>
  </si>
  <si>
    <t>Dictamen jurídico sobre Dcho. Internacional Privado en materia de contratación internacional</t>
  </si>
  <si>
    <t>35.10.6M.00.04</t>
  </si>
  <si>
    <t>innovación y propiedad intelectual en la sociedad del conocimiento (segunda edición) abril ELZ1-18F</t>
  </si>
  <si>
    <t>innovación y propiedad intelectual en la sociedad del conocimiento (segunda edición) ELZ1-18F diciembre</t>
  </si>
  <si>
    <t>innovación y propiedad intelectual en la sociedad del conocimiento (segunda edición) ELZ1-18F octubre</t>
  </si>
  <si>
    <t>innovacion y propiedad intelectual en la sociedad del conocimiento (segunda edición) ELZ1-18F septiembre</t>
  </si>
  <si>
    <t>innovación y propiedad intelectual en la sociedad del conocimiento (segunda edición) junio ELZ1-18F</t>
  </si>
  <si>
    <t>innovación y propiedad intelectual en la sociedad del conocimiento (segunda edición)·ELZ1-18F noviembre</t>
  </si>
  <si>
    <t>innovación y propiedad intelectual en la sociedad del conocimiento (segunda edición)marzo ELZ1-18F</t>
  </si>
  <si>
    <t>innovación y propiedad intelectual en la sociedad del conocimiento  (segunda edición)</t>
  </si>
  <si>
    <t>innovación y propiedad intelectual en la sociedad del conocimiento  (segunda edición)agosto ELZ1-18F</t>
  </si>
  <si>
    <t>innovación y propiedad intelectual en la sociedad del conocimiento. (segunda edición) mayo ELZ1-18F</t>
  </si>
  <si>
    <t xml:space="preserve">innovacion y propiedad intelectual  en la sociedad del conocimiento (segunda edición) febrero  </t>
  </si>
  <si>
    <t>Innovacion  y propiedad intelectual en la sociedad del conocimiento (segunda edición) julio ELZ1-18F</t>
  </si>
  <si>
    <t>35.10.6M.00.05</t>
  </si>
  <si>
    <t>nuevos modelos de estrategia y de negocio para las agencias de propiedad industrial e intelectual ELZ3-18I diciembre</t>
  </si>
  <si>
    <t>nuevos modelos de estrategia y de negocio para las agencias de propiedad industrial e intelectual ELZ3-18I noviembre</t>
  </si>
  <si>
    <t>nuevos modelos de estrategia y de negocio para las agencias de propiedad industrial e intelectual ELZ3-18I septiembre</t>
  </si>
  <si>
    <t>nuevos modelos de estrategia y de negocio para las agencias de propiedad industrial e intelectual. abril  ELZ3-18I</t>
  </si>
  <si>
    <t>Nuevos modelos de estrategia y de negocio para las agencias de propiedad industrial e intelectual. julio. ELZ3-18I</t>
  </si>
  <si>
    <t>nuevos modelos de estrategia y de negocio para las agencias de propiedad industrial e intelectual. junio  ELZ3-18I</t>
  </si>
  <si>
    <t>nuevos modelos de estrategia y de negocio para las agencias de propiedad industrial e intelectual. marzo ELZ3-18I</t>
  </si>
  <si>
    <t>nuevos modelos de estrategia y de negocio para las agencias de propiedad industrial e intelectual. mayo. ELZ3-18I</t>
  </si>
  <si>
    <t>nuevos modelos de estrategia y de negocio para las agencias  de propiedad industrial e intelectual ELZ3-18I . agosto</t>
  </si>
  <si>
    <t>nuevos modelos de estrategia  y de negocio para las agencias de propiedad industrial e intelectual.febrero ELZ3-18I</t>
  </si>
  <si>
    <t xml:space="preserve">nuevos modelos de estrategia  y de negocio para  las agencias de propiedad industrial e intelectual. </t>
  </si>
  <si>
    <t>LIBERADOS EL 18/03/19. ANUALIDAD 2019 PROYECTOS I+D (PIA1) N EXPEDIENTE: PIA12017-1 -2 ANUALIDAD REFERENCIA: DER2017-86643-P.  REF. ORDENANTE: 27402219310015463.</t>
  </si>
  <si>
    <t>35.10.6X.00.01</t>
  </si>
  <si>
    <t>20 POR CIENTO E 2015-ES1-KA201-15967. LA OFICINA DE GESTIÓN DE PROYECTOS INTERNACIONALES INFORMA QUE SE TRATA DEL PAGO FINAL DEL PROYECTO HUMREV. DEPARTAMENTO DE FILOSOFÍA DEL DERECHO Y DERECHO INTERNACIONAL.</t>
  </si>
  <si>
    <t>CORTES MENDEZ, AIMÉE AMAHIRANY. 9192 MÁSTER EN ARGUMENTACIÓN JURÍDICA.</t>
  </si>
  <si>
    <t xml:space="preserve">Dominguez Calle, Fernanda Lili. MÁSTER EN ARGUMENTACIÓN JURÍDICA. </t>
  </si>
  <si>
    <t>Liquidación  PLAN 9192 curso ''MÁSTER EN ARGUMENTACIÓN JURÍDICA'' ORDEN 5324</t>
  </si>
  <si>
    <t>Mamani Coaquira, Oswaldo.   MÁSTER EN ARGUMENTACIÓN JURÍDICA</t>
  </si>
  <si>
    <t xml:space="preserve">Paredes Hernández, Minerva G16466985 MÁSTER EN ARGUMENTACIÓN JURÍDICA </t>
  </si>
  <si>
    <t xml:space="preserve">Pineda Salas, Hector Gustavo - G17611698. MÁSTER EN ARGUMENTACIÓN JURÍDICA. </t>
  </si>
  <si>
    <t>Roberto Alejandro Pérez Gutiérrez. MÁSTER EN ARGUMENTACIÓN JURÍDICA.</t>
  </si>
  <si>
    <t>35.10.2T.00.02</t>
  </si>
  <si>
    <t>Liquidación  PLAN GA22 curso ''CURSO ESPECIALIZACIÓN EN DERECHO EUROPEO DE LOS NEGOCIOS'' ORDEN 5541</t>
  </si>
  <si>
    <t>35.10.2T.00.04</t>
  </si>
  <si>
    <t>Liquidación PLAN 9192 "Máster en argumentación jurídica"</t>
  </si>
  <si>
    <t>López Ponce de León, Pedro. MÁSTER EN ARGUMENTACIÓN JURÍDICA</t>
  </si>
  <si>
    <t>Michel Regalado, Carlos Eduardo. MÁSTER EN ARGUMENTACIÓN JURÍDICA</t>
  </si>
  <si>
    <t>Ortega Martínez, Sandra. MÁSTER EN ARGUMENTACIÓN JURÍDICA</t>
  </si>
  <si>
    <t>Aramburo Calle, Maximiliano Alberto </t>
  </si>
  <si>
    <t>Decisión judicial y prueba en la obra de Michele Taruffo </t>
  </si>
  <si>
    <t>07/07/2020 </t>
  </si>
  <si>
    <t>19838491W</t>
  </si>
  <si>
    <t>DESANTES REAL, MANUEL</t>
  </si>
  <si>
    <t>COD DEP</t>
  </si>
  <si>
    <t>Ciofalo Lagos, Kira </t>
  </si>
  <si>
    <t>Giovanni Tarello y la Escuela Genovesa. Un estudio de filosofía analítica del derecho </t>
  </si>
  <si>
    <t>17/12/2020 </t>
  </si>
  <si>
    <t>Della Bona, Carla </t>
  </si>
  <si>
    <t>A Transnacionalização do Direito como forma de miscigenação dos Sistemas Jurídicos: uma recomposição dos fundamentos do Direito </t>
  </si>
  <si>
    <t>13/07/2021 </t>
  </si>
  <si>
    <t>Misseri , Lucas Emmanuel </t>
  </si>
  <si>
    <t>El Derecho en la Utopía: Análisis de la evolución histórica de ambos conceptos desde su oposición hasta su complementariedad </t>
  </si>
  <si>
    <t>09/07/2021 </t>
  </si>
  <si>
    <t>Asesoramiento especializado sobre propiedad industrial, intelectual y derecho internacional en aspectos legales  de las tecnologías de la información y la comunicación plazo número seis FJF1-18T</t>
  </si>
  <si>
    <t>35.10.6C.00.11</t>
  </si>
  <si>
    <t>la adaptación de las firmas profesionales de propiedad industrial e intelectual a los desafíos planteados por el mercado interior europeo ELZ2-19A</t>
  </si>
  <si>
    <t>La adaptacion de las firmas profesionales de propiedad industrial e intelectual a los desafios planteados por el mercado interior europeo ELZ2-19A marzo</t>
  </si>
  <si>
    <t>la adaptación de las firmas profesionales de propiedad industrial e intelectual a los desafíos planteados por el mercado interior europeo ELZ2-19A mes de julio</t>
  </si>
  <si>
    <t>La adaptacion de las firmas profesionales de propiedad industrial e intelectual a los desafios planteados por el mercado interior europeo ELZ2-19A. Mes de diciembre</t>
  </si>
  <si>
    <t>la adaptacion de las firmas profesionales de propiedad industrial e intelectual a los desafios planteados por el mercado interior  ELZ2-19A mes de agosto 35106C0011</t>
  </si>
  <si>
    <t>la adaptacion de las firmas profesionales de propiedad industrial e intelectual  a los desafios planteados por el mercado interior europeo. ELZ2-19A enero</t>
  </si>
  <si>
    <t>La adaptacion de las firmas profesionales de propiedad industrial  e intelectual a los desafios planteados por el mercado interior europeo ELZ2-19A mes de noviembre</t>
  </si>
  <si>
    <t xml:space="preserve">La adaptación de las firmas profesionales  de propiedad industrial e intelectual a los desafios planteados por el mercado interior europeo ELZ2-19A junio  </t>
  </si>
  <si>
    <t>La adaptacion de las firmas profesionales  de propiedad industrial e intelectual a los desafios planteados  por el mercado interior europeo ELZ2-19A septiembre</t>
  </si>
  <si>
    <t xml:space="preserve">La adaptación de las firmas  profesionales de propiedad industrial e intelectual a los desafios planteados  por el mercado interior europeo ELZ2-19A mes de abril </t>
  </si>
  <si>
    <t>La adaptacion  de las firmas profesionales de propiedad industrial e intelectual a los desafios planteados  por el mercado interior europeo ELZ2-19A mes de octubre</t>
  </si>
  <si>
    <t>La daptacion de las firmas profesionales  de propiedad industrial e intelectual a los desafios planteados  por el mercado interior ELZ2-19A mayo</t>
  </si>
  <si>
    <t>35.10.6M.00.06</t>
  </si>
  <si>
    <t>Nuevos modelos de estrategia y de negocio para las agencias de propiedad industrial e intelectual ELZ3-19 I mes de septiembre</t>
  </si>
  <si>
    <t>Nuevos modelos de estrategia y de negocio para las agencias de propiedad industrial e intelectual ELZ3-19I febrero</t>
  </si>
  <si>
    <t>nuevos modelos de estrategia y de negocio para las agencias de propiedad industrial e intelectual ELZ3-19I marzo</t>
  </si>
  <si>
    <t>Nuevos modelos de estrategia y de negocio para las agencias de propiedad industrial e intelectual ELZ3-19I mes de abril</t>
  </si>
  <si>
    <t xml:space="preserve">Nuevos modelos de estrategia y de negocio para las agencias de propiedad industrial e intelectual ELZ3-19I mes de agosto  </t>
  </si>
  <si>
    <t>nuevos modelos de estrategia y de negocio para las agencias de propiedad industrial e intelectual ELZ3-19I mes de julio</t>
  </si>
  <si>
    <t>Nuevos modelos de estrategia y de negocio para las agencias de propiedad industrial e intelectual ELZ3-19I mes de octubre</t>
  </si>
  <si>
    <t>Nuevos modelos de estrategia y de negocio para las agencias de propiedad industrial e intelectual ELZ3-19I. Mes de diciembre</t>
  </si>
  <si>
    <t>Nuevos modelos de estrategia y de negocio para las agencias de propiedad industrial e intelectual ELZ3-19I. mes de noviembre</t>
  </si>
  <si>
    <t>nuevos modelos de estrategia y de negocio para las agencias de propiedad industrial e intelectual. ELZ3-19I</t>
  </si>
  <si>
    <t>nuevos modelos de estrategia  y de negocio para las agencias de propiedad industrial e intelectual ELZ3-19I junio</t>
  </si>
  <si>
    <t>Nuevos modelos  de estrategia y de negocio para las agencias de propiedad industrial e intelectual ELZ3-19I mayo</t>
  </si>
  <si>
    <t>35.10.6M.00.07</t>
  </si>
  <si>
    <t>innovacion y propiedad intelectual en la sociedad del conocimiento tercera edición ELZ1-19F enero</t>
  </si>
  <si>
    <t>innovación y propiedad intelectual en la sociedad del conocimiento tercera edición ELZ1-19F marzo</t>
  </si>
  <si>
    <t>Innovación y propiedad intelectual en la sociedad del conocimiento tercera edición ELZ1-19F mayo</t>
  </si>
  <si>
    <t xml:space="preserve">Innovación y propiedad intelectual en la sociedad del conocimiento tercera edición ELZ1-19F mes de agosto </t>
  </si>
  <si>
    <t>innovación y propiedad intelectual en la sociedad del conocimiento tercera edición ELZ1-19F mes de julio</t>
  </si>
  <si>
    <t>Innovacion y propiedad intelectual en la sociedad del conocimiento tercera edicion ELZ1-19F mes de noviembre</t>
  </si>
  <si>
    <t>innovación y propiedad intelectual en la sociedad del conocimiento tercera edición  ELZ1-19F febrero</t>
  </si>
  <si>
    <t>Innovación y propiedad intelectual en la sociedad del conocimiento tercera edición. ELZ1-19F mes de abril</t>
  </si>
  <si>
    <t>Innovación y propiedad intelectual en la sociedad del conocimiento  tercera edición ELZ1-19F junio</t>
  </si>
  <si>
    <t>Innovación y propiedad intelectual en la sociedad del conocimiento  tercera edición. ELZ1-19F septiembre</t>
  </si>
  <si>
    <t>Innovación y propiedad  intelectual en la sociedad del conocimiento. tercera edición ELZ1-19F. mes de octubre</t>
  </si>
  <si>
    <t>Innovacion  y propiedad intelectual en la sociedad del conocimiento tercera edicion ELZ1-19F. Mes de diciembre</t>
  </si>
  <si>
    <t xml:space="preserve">LIBERADOS EL 18/02/2020, ANUALIDAD 2020 PROYECTOS I+D (PIA 1) N EXPEDIENTE: PIA 12017-1-3 ANUALIDAD REFERENCIA: DER2017-86643-P </t>
  </si>
  <si>
    <t>35.10.6Q.00.01</t>
  </si>
  <si>
    <t>Cátedra Emilio Balaguer de bioética historia de la medicina y medicina social (1ª anualidad) Universidad de Alicante Referencia interna: CATEDRAEMILIOBALAGUER</t>
  </si>
  <si>
    <t>Catedra Emilio Balaguer de bioetica, historia de la medicina y medicina social (1ª anualidad) Universidad de Alicante Referencia interna:CATEDRAEMILIOBALAGUER</t>
  </si>
  <si>
    <t>35.10.6X.00.02</t>
  </si>
  <si>
    <t>PRIMER PAGO DEL PROYECTO RECOGNIsE, COORDINA EL PROF MANUEL ATIENZA. DEPARTAMENTO DE FILOSOFIA DEL DERECHO Y DERECHO INTERNACIONAL PRIVADO.</t>
  </si>
  <si>
    <t>2ª Liquidación PLAN 9192 "Máster en argumentación jurídica"</t>
  </si>
  <si>
    <t>Arroyo Cortés, Valeria. MÁSTER EN ARGUMENTACIÓN JURÍDICA</t>
  </si>
  <si>
    <t>Carlos Eduardo Michel Regalado. MÁSTER EN ARGUMENTACIÓN JURÍDICA</t>
  </si>
  <si>
    <t>Carlos Manuel Barrios Barragán. MÁSTER EN ARGUMENTACIÓN JURÍDICA</t>
  </si>
  <si>
    <t>Clara Lucía Reyes Núñez. MÁSTER EN ARGUMENTACIÓN JURÍDICA</t>
  </si>
  <si>
    <t>Gatica Fernández, Rodrigo Santiago. MÁSTER EN ARGUMENTACIÓN JURÍDICA</t>
  </si>
  <si>
    <t>Pedro López Ponce de León. Máster en Argumentación Jurídica</t>
  </si>
  <si>
    <t>Plan 9192 Curso 2020-21 Master en argumentación jurídica</t>
  </si>
  <si>
    <t>Cód. org. aplic.</t>
  </si>
  <si>
    <t>Descripción justificante</t>
  </si>
  <si>
    <t>35.10.6C.00.12</t>
  </si>
  <si>
    <t>Estrategias de propiedad intelectual e industrial en la sociedad cognitiva, mes de octubre</t>
  </si>
  <si>
    <t>Estrategias de propiedad intelectual e industrial en la sociedad cognitiva mes de agosto</t>
  </si>
  <si>
    <t>Estrategias de propiedad intelectual e industrial en la sociedad cognitiva mes de noviembre</t>
  </si>
  <si>
    <t>Estrategias de propiedad intelectual e industrial en la sociedad cognitiva, mes de septiembre</t>
  </si>
  <si>
    <t>Estrategias de propiedad intelectual e industrial en la sociedad cognitiva. ELZ2-20A. mes de enero</t>
  </si>
  <si>
    <t>Estrategias de propiedad intelectual e industrial en la sociedad cognitiva. ELZ2-20A. mes de marzo</t>
  </si>
  <si>
    <t>Estrategias de propiedad intelectual e industrial en la sociedad cognitiva mes de abril.</t>
  </si>
  <si>
    <t>Estrategias de propiedad intelectual e industrial en la sociedad cognitiva mes de julio</t>
  </si>
  <si>
    <t>Estrategias de propiedad intelectual e industrial en la sociedad cognitiva mes de mayo.</t>
  </si>
  <si>
    <t>Estrategias de propiedad intelectual e industrial en la sociedad cognitiva mes de diciembre</t>
  </si>
  <si>
    <t>estrategias  de propiedad intelectual e industrial en la sociedad cognitiva mes de junio</t>
  </si>
  <si>
    <t>ESTRATEGIAS DE PROPIEDAD INTELECTUAL E INDUSTRIAL EN LA SOCIEDAD COGNITIVA.  ELZ2-20A MES DE FEBRERO</t>
  </si>
  <si>
    <t>35.10.6C.00.13</t>
  </si>
  <si>
    <t>Asistencia técnica a través de la elaboración de una serie de informes para la posible elaboración de una propuesta normativa de regulación de la publicidad de alimentos y bebidas dirigida al público infantil en España. MINISTERIODECONSUMO1-21TPA expediente 2021JAK00021</t>
  </si>
  <si>
    <t>35.10.6M.00.08</t>
  </si>
  <si>
    <t>Nuevos retos para las firmas de propiedad intelectual e industrial en el siglo XXI (1ª edición) mes de diciembre</t>
  </si>
  <si>
    <t>NUEVOS RETOS PARA LAS FIRMAS DE PROPIEDAD INTELECTUAL E INDUSTRIAL EN EL SIGLO XXI (1ª EDICION) ELZ1-20F MES DE FEBRERO</t>
  </si>
  <si>
    <t>Nuevos retos para las firmas de propiedad intelectual e industrial en el siglo XXI (1ª edicion)mes de mayo</t>
  </si>
  <si>
    <t>Nuevos retos para las firmas de propiedad intelectual e industrial en el siglo XXI (1ª edición) mes de agosto</t>
  </si>
  <si>
    <t>nuevos retos para las firmas de propiedad intelectual e industrial en el siglo xxi (primera edicion) mes de junio</t>
  </si>
  <si>
    <t>Nuevos retos para las firmas de propiedad intelectual e industrial en el siglo XXI (primera edición) ELZ1-20F</t>
  </si>
  <si>
    <t>Nuevos retos para las firmas de propiedad intelectual e industrial en el Siglo XXI (primera edición)ELZ1-20F mes de enero.</t>
  </si>
  <si>
    <t>Nuevos retos para las firmas de propiedad intelectual e industrial en el siglo XXI (1ª edición) mes de julio</t>
  </si>
  <si>
    <t>Nuevos retos para  las firmas de propiedad intelectual e industrial en el siglo XXI (1ª edicion) mes de abril.</t>
  </si>
  <si>
    <t>Nuevos retos  para las firmas de propiedad intelectual e industrial en el siglo xxi (1ª edición) mes de noviembre</t>
  </si>
  <si>
    <t>Nuevos retos para las firmas de propiedad intelectual e industrial en el siglo XXI (1ª edición)  mes de octubre</t>
  </si>
  <si>
    <t>Nuevos retos para las firmas de propiedad intelectual e industrial en el siglo XXI (1ª edición ) mes de septiembre</t>
  </si>
  <si>
    <t>35.10.6M.00.09</t>
  </si>
  <si>
    <t>La propiedad intelectual e industrial y la inteligencia artificial. ELZ3-20I mes de enero</t>
  </si>
  <si>
    <t>La propiedad intelectual e industrial  y la inteligencia artificial, mes de mayo.</t>
  </si>
  <si>
    <t>La propiedad intelectual e industrial y la inteligencia artificial mes de agosto</t>
  </si>
  <si>
    <t>La propiedad intelectual e industrial y la inteligencia artificial  mes de abril.</t>
  </si>
  <si>
    <t>la propiedad intelectual e industrial y la inteligencia artificial mes de junio</t>
  </si>
  <si>
    <t>LA PROPIEDAD INTELECTUAL E INDUSTRIAL Y LA INTELIGENCIA ARTIFICIAL. ELZ3-20I. MES DE FEBRERO</t>
  </si>
  <si>
    <t>La propiedad intelectual e industrial y la inteligencia artificial mes de julio</t>
  </si>
  <si>
    <t>La propiedad intelectual e industrial y la inteligencia artificial mes de diciembre</t>
  </si>
  <si>
    <t>La propiedad intelectual e industrial y la inteligencia artificial mes de noviembre</t>
  </si>
  <si>
    <t>La propiedad intelectual e industrial y la inteligencia artificial, mes de octubre</t>
  </si>
  <si>
    <t>La propiedad intelectual e industrial y la inteligencia artificial. ELZ3-20I. Mes de marzo</t>
  </si>
  <si>
    <t>La propiedad intelectual e industrial y la inteligencia artificial, mes de septiembre</t>
  </si>
  <si>
    <t>35.10.6P.00.09</t>
  </si>
  <si>
    <t>PID2020-113472RB-I00</t>
  </si>
  <si>
    <t>35.10.6Q.00.02</t>
  </si>
  <si>
    <t>Cátedra Iberoamericana en Cultura Digital y Propiedad Intelectual</t>
  </si>
  <si>
    <t>Rodrigo Santiago Gatica Fernández. MÁSTER EN ARGUMENTACIÓN JURÍDICA</t>
  </si>
  <si>
    <t>Plan 9192_Curso 2020-21_ MASTER EN ARGUMENTACIÓN JURÍDICA. COMPLEMENTARIO AL JI2020/5082.</t>
  </si>
  <si>
    <t xml:space="preserve">Plan 9192 curso 2021-22, MÁSTER EN ARGUMENTACIÓN JURÍDICA - 35.10.2T.00.04 </t>
  </si>
  <si>
    <t xml:space="preserve">Plan 9192 curso 2021-22, MÁSTER EN ARGUMENTACIÓN JURÍDICA </t>
  </si>
  <si>
    <t>Y6585052M</t>
  </si>
  <si>
    <t>MISSERI, LUCAS EMMANUEL</t>
  </si>
  <si>
    <t>Total ingresos investigación 2019, 2020 y 2021</t>
  </si>
  <si>
    <t>Total 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</si>
</sst>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/>
    <xf numFmtId="0" fontId="0" fillId="2" borderId="0" xfId="0" applyFill="1"/>
    <xf numFmtId="0" fontId="11" fillId="6" borderId="3" xfId="0" applyFont="1" applyFill="1" applyBorder="1"/>
    <xf numFmtId="0" fontId="11" fillId="6" borderId="4" xfId="0" applyFont="1" applyFill="1" applyBorder="1" applyAlignment="1">
      <alignment horizontal="right"/>
    </xf>
    <xf numFmtId="0" fontId="0" fillId="7" borderId="5" xfId="0" applyFill="1" applyBorder="1" applyAlignment="1">
      <alignment vertical="center"/>
    </xf>
    <xf numFmtId="0" fontId="0" fillId="7" borderId="5" xfId="0" applyFill="1" applyBorder="1" applyAlignment="1">
      <alignment vertical="center" wrapText="1"/>
    </xf>
    <xf numFmtId="4" fontId="0" fillId="7" borderId="6" xfId="0" applyNumberFormat="1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5" xfId="0" applyFill="1" applyBorder="1" applyAlignment="1">
      <alignment vertical="center" wrapText="1"/>
    </xf>
    <xf numFmtId="4" fontId="0" fillId="8" borderId="6" xfId="0" applyNumberFormat="1" applyFill="1" applyBorder="1" applyAlignment="1">
      <alignment vertical="center"/>
    </xf>
    <xf numFmtId="0" fontId="11" fillId="6" borderId="7" xfId="0" applyFont="1" applyFill="1" applyBorder="1" applyAlignment="1">
      <alignment vertical="center"/>
    </xf>
    <xf numFmtId="4" fontId="11" fillId="6" borderId="8" xfId="0" applyNumberFormat="1" applyFont="1" applyFill="1" applyBorder="1" applyAlignment="1">
      <alignment vertical="center"/>
    </xf>
    <xf numFmtId="0" fontId="11" fillId="6" borderId="9" xfId="0" applyFont="1" applyFill="1" applyBorder="1"/>
    <xf numFmtId="0" fontId="11" fillId="6" borderId="10" xfId="0" applyFont="1" applyFill="1" applyBorder="1"/>
    <xf numFmtId="0" fontId="0" fillId="8" borderId="9" xfId="0" applyFill="1" applyBorder="1"/>
    <xf numFmtId="4" fontId="0" fillId="8" borderId="10" xfId="0" applyNumberFormat="1" applyFill="1" applyBorder="1"/>
    <xf numFmtId="0" fontId="0" fillId="0" borderId="9" xfId="0" applyBorder="1"/>
    <xf numFmtId="4" fontId="0" fillId="0" borderId="10" xfId="0" applyNumberFormat="1" applyBorder="1"/>
    <xf numFmtId="0" fontId="12" fillId="0" borderId="11" xfId="0" applyFont="1" applyBorder="1"/>
    <xf numFmtId="4" fontId="12" fillId="0" borderId="12" xfId="0" applyNumberFormat="1" applyFont="1" applyBorder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4" borderId="13" xfId="1" applyFill="1" applyBorder="1"/>
    <xf numFmtId="165" fontId="3" fillId="4" borderId="13" xfId="1" applyNumberFormat="1" applyFill="1" applyBorder="1"/>
    <xf numFmtId="0" fontId="3" fillId="4" borderId="13" xfId="1" applyFill="1" applyBorder="1" applyAlignment="1">
      <alignment horizontal="right"/>
    </xf>
    <xf numFmtId="1" fontId="3" fillId="4" borderId="13" xfId="1" applyNumberFormat="1" applyFill="1" applyBorder="1"/>
    <xf numFmtId="164" fontId="3" fillId="4" borderId="13" xfId="1" applyNumberFormat="1" applyFill="1" applyBorder="1"/>
    <xf numFmtId="0" fontId="3" fillId="0" borderId="1" xfId="1" applyBorder="1"/>
    <xf numFmtId="0" fontId="3" fillId="4" borderId="14" xfId="1" applyFill="1" applyBorder="1"/>
    <xf numFmtId="0" fontId="13" fillId="9" borderId="1" xfId="0" applyFont="1" applyFill="1" applyBorder="1" applyAlignment="1">
      <alignment horizontal="left" vertical="center"/>
    </xf>
    <xf numFmtId="0" fontId="13" fillId="9" borderId="15" xfId="0" applyFont="1" applyFill="1" applyBorder="1" applyAlignment="1">
      <alignment horizontal="left" vertical="center"/>
    </xf>
    <xf numFmtId="0" fontId="13" fillId="9" borderId="16" xfId="0" applyFont="1" applyFill="1" applyBorder="1" applyAlignment="1">
      <alignment horizontal="left" vertical="center"/>
    </xf>
    <xf numFmtId="0" fontId="13" fillId="9" borderId="17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2" fillId="2" borderId="0" xfId="0" applyFont="1" applyFill="1"/>
    <xf numFmtId="0" fontId="12" fillId="0" borderId="1" xfId="0" applyFont="1" applyBorder="1" applyAlignment="1">
      <alignment horizontal="right"/>
    </xf>
    <xf numFmtId="4" fontId="12" fillId="0" borderId="1" xfId="0" applyNumberFormat="1" applyFont="1" applyBorder="1"/>
    <xf numFmtId="0" fontId="3" fillId="10" borderId="0" xfId="1" applyFont="1" applyFill="1" applyAlignment="1"/>
    <xf numFmtId="0" fontId="3" fillId="10" borderId="0" xfId="1" applyFont="1" applyFill="1" applyAlignment="1">
      <alignment horizontal="right"/>
    </xf>
    <xf numFmtId="164" fontId="4" fillId="10" borderId="0" xfId="1" applyNumberFormat="1" applyFont="1" applyFill="1" applyAlignmen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7"/>
  <sheetViews>
    <sheetView showGridLines="0" tabSelected="1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8" t="s">
        <v>15</v>
      </c>
      <c r="J1" s="9" t="s">
        <v>16</v>
      </c>
      <c r="K1" s="8" t="s">
        <v>17</v>
      </c>
      <c r="L1" s="9" t="s">
        <v>18</v>
      </c>
      <c r="M1" s="10" t="s">
        <v>19</v>
      </c>
      <c r="N1" s="11" t="s">
        <v>20</v>
      </c>
      <c r="O1" s="12" t="s">
        <v>21</v>
      </c>
      <c r="P1" s="11" t="s">
        <v>22</v>
      </c>
      <c r="Q1" s="12" t="s">
        <v>23</v>
      </c>
      <c r="R1" s="11" t="s">
        <v>24</v>
      </c>
      <c r="S1" s="11" t="s">
        <v>25</v>
      </c>
      <c r="T1" s="11" t="s">
        <v>26</v>
      </c>
      <c r="U1" s="11" t="s">
        <v>27</v>
      </c>
    </row>
    <row r="2" spans="1:21" x14ac:dyDescent="0.2">
      <c r="A2" s="47" t="s">
        <v>32</v>
      </c>
      <c r="B2" s="47" t="s">
        <v>33</v>
      </c>
      <c r="C2" s="47" t="s">
        <v>34</v>
      </c>
      <c r="D2" s="47" t="s">
        <v>47</v>
      </c>
      <c r="E2" s="47" t="s">
        <v>48</v>
      </c>
      <c r="F2" s="47" t="s">
        <v>38</v>
      </c>
      <c r="G2" s="47" t="s">
        <v>43</v>
      </c>
      <c r="H2" s="47" t="s">
        <v>28</v>
      </c>
      <c r="I2" s="47" t="s">
        <v>40</v>
      </c>
      <c r="J2" s="47" t="s">
        <v>41</v>
      </c>
      <c r="K2" s="48">
        <v>0.5</v>
      </c>
      <c r="L2" s="47" t="s">
        <v>42</v>
      </c>
      <c r="M2" s="47">
        <v>2016</v>
      </c>
      <c r="N2" s="47" t="s">
        <v>36</v>
      </c>
      <c r="O2" s="49" t="s">
        <v>30</v>
      </c>
      <c r="P2" s="47" t="s">
        <v>29</v>
      </c>
      <c r="Q2" s="49" t="s">
        <v>29</v>
      </c>
      <c r="R2" s="50">
        <v>90</v>
      </c>
      <c r="S2" s="48">
        <v>0.45</v>
      </c>
      <c r="T2" s="48">
        <v>0.05</v>
      </c>
      <c r="U2" s="48">
        <v>0</v>
      </c>
    </row>
    <row r="3" spans="1:21" x14ac:dyDescent="0.2">
      <c r="A3" s="47" t="s">
        <v>32</v>
      </c>
      <c r="B3" s="47" t="s">
        <v>33</v>
      </c>
      <c r="C3" s="47" t="s">
        <v>34</v>
      </c>
      <c r="D3" s="47" t="s">
        <v>47</v>
      </c>
      <c r="E3" s="47" t="s">
        <v>48</v>
      </c>
      <c r="F3" s="47" t="s">
        <v>38</v>
      </c>
      <c r="G3" s="47" t="s">
        <v>49</v>
      </c>
      <c r="H3" s="47" t="s">
        <v>28</v>
      </c>
      <c r="I3" s="47" t="s">
        <v>40</v>
      </c>
      <c r="J3" s="47" t="s">
        <v>41</v>
      </c>
      <c r="K3" s="48">
        <v>0.5</v>
      </c>
      <c r="L3" s="47" t="s">
        <v>42</v>
      </c>
      <c r="M3" s="47">
        <v>2016</v>
      </c>
      <c r="N3" s="47" t="s">
        <v>29</v>
      </c>
      <c r="O3" s="49" t="s">
        <v>29</v>
      </c>
      <c r="P3" s="47" t="s">
        <v>29</v>
      </c>
      <c r="Q3" s="49" t="s">
        <v>29</v>
      </c>
      <c r="R3" s="50">
        <v>100</v>
      </c>
      <c r="S3" s="48">
        <v>0.5</v>
      </c>
      <c r="T3" s="48">
        <v>0</v>
      </c>
      <c r="U3" s="48">
        <v>0</v>
      </c>
    </row>
    <row r="4" spans="1:21" x14ac:dyDescent="0.2">
      <c r="A4" s="47" t="s">
        <v>32</v>
      </c>
      <c r="B4" s="47" t="s">
        <v>33</v>
      </c>
      <c r="C4" s="47" t="s">
        <v>34</v>
      </c>
      <c r="D4" s="47" t="s">
        <v>50</v>
      </c>
      <c r="E4" s="47" t="s">
        <v>51</v>
      </c>
      <c r="F4" s="47" t="s">
        <v>39</v>
      </c>
      <c r="G4" s="47" t="s">
        <v>43</v>
      </c>
      <c r="H4" s="47" t="s">
        <v>28</v>
      </c>
      <c r="I4" s="47" t="s">
        <v>40</v>
      </c>
      <c r="J4" s="47" t="s">
        <v>41</v>
      </c>
      <c r="K4" s="48">
        <v>0.5</v>
      </c>
      <c r="L4" s="47" t="s">
        <v>42</v>
      </c>
      <c r="M4" s="47">
        <v>2017</v>
      </c>
      <c r="N4" s="47" t="s">
        <v>36</v>
      </c>
      <c r="O4" s="49" t="s">
        <v>30</v>
      </c>
      <c r="P4" s="47" t="s">
        <v>29</v>
      </c>
      <c r="Q4" s="49" t="s">
        <v>29</v>
      </c>
      <c r="R4" s="50">
        <v>90</v>
      </c>
      <c r="S4" s="48">
        <v>0.45</v>
      </c>
      <c r="T4" s="48">
        <v>0.05</v>
      </c>
      <c r="U4" s="48">
        <v>0</v>
      </c>
    </row>
    <row r="5" spans="1:21" x14ac:dyDescent="0.2">
      <c r="A5" s="47" t="s">
        <v>32</v>
      </c>
      <c r="B5" s="47" t="s">
        <v>33</v>
      </c>
      <c r="C5" s="47" t="s">
        <v>34</v>
      </c>
      <c r="D5" s="47" t="s">
        <v>57</v>
      </c>
      <c r="E5" s="47" t="s">
        <v>58</v>
      </c>
      <c r="F5" s="47" t="s">
        <v>59</v>
      </c>
      <c r="G5" s="47" t="s">
        <v>43</v>
      </c>
      <c r="H5" s="47" t="s">
        <v>28</v>
      </c>
      <c r="I5" s="47" t="s">
        <v>40</v>
      </c>
      <c r="J5" s="47" t="s">
        <v>41</v>
      </c>
      <c r="K5" s="51">
        <v>0.5</v>
      </c>
      <c r="L5" s="47" t="s">
        <v>42</v>
      </c>
      <c r="M5" s="47">
        <v>2018</v>
      </c>
      <c r="N5" s="47" t="s">
        <v>36</v>
      </c>
      <c r="O5" s="49" t="s">
        <v>30</v>
      </c>
      <c r="P5" s="47" t="s">
        <v>29</v>
      </c>
      <c r="Q5" s="49" t="s">
        <v>29</v>
      </c>
      <c r="R5" s="50">
        <v>90</v>
      </c>
      <c r="S5" s="48">
        <v>0.45</v>
      </c>
      <c r="T5" s="48">
        <v>0.05</v>
      </c>
      <c r="U5" s="48">
        <v>0</v>
      </c>
    </row>
    <row r="6" spans="1:21" x14ac:dyDescent="0.2">
      <c r="A6" s="47" t="s">
        <v>32</v>
      </c>
      <c r="B6" s="47" t="s">
        <v>33</v>
      </c>
      <c r="C6" s="47" t="s">
        <v>34</v>
      </c>
      <c r="D6" s="47" t="s">
        <v>57</v>
      </c>
      <c r="E6" s="47" t="s">
        <v>58</v>
      </c>
      <c r="F6" s="47" t="s">
        <v>59</v>
      </c>
      <c r="G6" s="47" t="s">
        <v>60</v>
      </c>
      <c r="H6" s="47" t="s">
        <v>28</v>
      </c>
      <c r="I6" s="47" t="s">
        <v>40</v>
      </c>
      <c r="J6" s="47" t="s">
        <v>41</v>
      </c>
      <c r="K6" s="51">
        <v>0.5</v>
      </c>
      <c r="L6" s="47" t="s">
        <v>42</v>
      </c>
      <c r="M6" s="47">
        <v>2018</v>
      </c>
      <c r="N6" s="47" t="s">
        <v>29</v>
      </c>
      <c r="O6" s="49" t="s">
        <v>29</v>
      </c>
      <c r="P6" s="47" t="s">
        <v>29</v>
      </c>
      <c r="Q6" s="49" t="s">
        <v>29</v>
      </c>
      <c r="R6" s="50">
        <v>100</v>
      </c>
      <c r="S6" s="48">
        <v>0.5</v>
      </c>
      <c r="T6" s="48">
        <v>0</v>
      </c>
      <c r="U6" s="48">
        <v>0</v>
      </c>
    </row>
    <row r="7" spans="1:21" x14ac:dyDescent="0.2">
      <c r="A7" s="47" t="s">
        <v>32</v>
      </c>
      <c r="B7" s="47" t="s">
        <v>33</v>
      </c>
      <c r="C7" s="47" t="s">
        <v>34</v>
      </c>
      <c r="D7" s="47" t="s">
        <v>52</v>
      </c>
      <c r="E7" s="47" t="s">
        <v>53</v>
      </c>
      <c r="F7" s="47" t="s">
        <v>54</v>
      </c>
      <c r="G7" s="47" t="s">
        <v>49</v>
      </c>
      <c r="H7" s="47" t="s">
        <v>28</v>
      </c>
      <c r="I7" s="47" t="s">
        <v>40</v>
      </c>
      <c r="J7" s="47" t="s">
        <v>41</v>
      </c>
      <c r="K7" s="51">
        <v>0.5</v>
      </c>
      <c r="L7" s="47" t="s">
        <v>42</v>
      </c>
      <c r="M7" s="47">
        <v>2018</v>
      </c>
      <c r="N7" s="47" t="s">
        <v>29</v>
      </c>
      <c r="O7" s="49" t="s">
        <v>29</v>
      </c>
      <c r="P7" s="47" t="s">
        <v>29</v>
      </c>
      <c r="Q7" s="49" t="s">
        <v>29</v>
      </c>
      <c r="R7" s="50">
        <v>100</v>
      </c>
      <c r="S7" s="48">
        <v>0.5</v>
      </c>
      <c r="T7" s="48">
        <v>0</v>
      </c>
      <c r="U7" s="48">
        <v>0</v>
      </c>
    </row>
    <row r="8" spans="1:21" x14ac:dyDescent="0.2">
      <c r="A8" s="47" t="s">
        <v>32</v>
      </c>
      <c r="B8" s="47" t="s">
        <v>33</v>
      </c>
      <c r="C8" s="47" t="s">
        <v>34</v>
      </c>
      <c r="D8" s="47" t="s">
        <v>61</v>
      </c>
      <c r="E8" s="47" t="s">
        <v>62</v>
      </c>
      <c r="F8" s="47" t="s">
        <v>35</v>
      </c>
      <c r="G8" s="47" t="s">
        <v>44</v>
      </c>
      <c r="H8" s="47" t="s">
        <v>28</v>
      </c>
      <c r="I8" s="47" t="s">
        <v>40</v>
      </c>
      <c r="J8" s="47" t="s">
        <v>41</v>
      </c>
      <c r="K8" s="51">
        <v>0.5</v>
      </c>
      <c r="L8" s="47" t="s">
        <v>42</v>
      </c>
      <c r="M8" s="47">
        <v>2018</v>
      </c>
      <c r="N8" s="47" t="s">
        <v>29</v>
      </c>
      <c r="O8" s="49" t="s">
        <v>29</v>
      </c>
      <c r="P8" s="47" t="s">
        <v>29</v>
      </c>
      <c r="Q8" s="49" t="s">
        <v>29</v>
      </c>
      <c r="R8" s="50">
        <v>100</v>
      </c>
      <c r="S8" s="48">
        <v>0.5</v>
      </c>
      <c r="T8" s="48">
        <v>0</v>
      </c>
      <c r="U8" s="48">
        <v>0</v>
      </c>
    </row>
    <row r="9" spans="1:21" x14ac:dyDescent="0.2">
      <c r="A9" s="47" t="s">
        <v>32</v>
      </c>
      <c r="B9" s="47" t="s">
        <v>33</v>
      </c>
      <c r="C9" s="47" t="s">
        <v>34</v>
      </c>
      <c r="D9" s="47" t="s">
        <v>55</v>
      </c>
      <c r="E9" s="47" t="s">
        <v>56</v>
      </c>
      <c r="F9" s="47" t="s">
        <v>31</v>
      </c>
      <c r="G9" s="47" t="s">
        <v>46</v>
      </c>
      <c r="H9" s="47" t="s">
        <v>28</v>
      </c>
      <c r="I9" s="47" t="s">
        <v>40</v>
      </c>
      <c r="J9" s="47" t="s">
        <v>41</v>
      </c>
      <c r="K9" s="51">
        <v>0.5</v>
      </c>
      <c r="L9" s="47" t="s">
        <v>42</v>
      </c>
      <c r="M9" s="47">
        <v>2018</v>
      </c>
      <c r="N9" s="47" t="s">
        <v>29</v>
      </c>
      <c r="O9" s="49" t="s">
        <v>29</v>
      </c>
      <c r="P9" s="47" t="s">
        <v>29</v>
      </c>
      <c r="Q9" s="49" t="s">
        <v>29</v>
      </c>
      <c r="R9" s="50">
        <v>100</v>
      </c>
      <c r="S9" s="48">
        <v>0.5</v>
      </c>
      <c r="T9" s="48">
        <v>0</v>
      </c>
      <c r="U9" s="48">
        <v>0</v>
      </c>
    </row>
    <row r="10" spans="1:21" x14ac:dyDescent="0.2">
      <c r="A10" s="52" t="s">
        <v>32</v>
      </c>
      <c r="B10" s="52" t="s">
        <v>33</v>
      </c>
      <c r="C10" s="52" t="s">
        <v>34</v>
      </c>
      <c r="D10" s="52" t="s">
        <v>162</v>
      </c>
      <c r="E10" s="52" t="s">
        <v>163</v>
      </c>
      <c r="F10" s="52" t="s">
        <v>164</v>
      </c>
      <c r="G10" s="52" t="s">
        <v>43</v>
      </c>
      <c r="H10" s="52" t="s">
        <v>28</v>
      </c>
      <c r="I10" s="52" t="s">
        <v>40</v>
      </c>
      <c r="J10" s="52" t="s">
        <v>41</v>
      </c>
      <c r="K10" s="53">
        <v>0.5</v>
      </c>
      <c r="L10" s="52" t="s">
        <v>42</v>
      </c>
      <c r="M10" s="52">
        <v>2019</v>
      </c>
      <c r="N10" s="52" t="s">
        <v>36</v>
      </c>
      <c r="O10" s="54" t="s">
        <v>30</v>
      </c>
      <c r="P10" s="52" t="s">
        <v>29</v>
      </c>
      <c r="Q10" s="54" t="s">
        <v>29</v>
      </c>
      <c r="R10" s="55">
        <v>90</v>
      </c>
      <c r="S10" s="56">
        <v>0.45</v>
      </c>
      <c r="T10" s="56">
        <v>0.05</v>
      </c>
      <c r="U10" s="56">
        <v>0</v>
      </c>
    </row>
    <row r="11" spans="1:21" x14ac:dyDescent="0.2">
      <c r="A11" s="52" t="s">
        <v>32</v>
      </c>
      <c r="B11" s="52" t="s">
        <v>33</v>
      </c>
      <c r="C11" s="52" t="s">
        <v>34</v>
      </c>
      <c r="D11" s="52" t="s">
        <v>162</v>
      </c>
      <c r="E11" s="52" t="s">
        <v>163</v>
      </c>
      <c r="F11" s="52" t="s">
        <v>164</v>
      </c>
      <c r="G11" s="52" t="s">
        <v>60</v>
      </c>
      <c r="H11" s="52" t="s">
        <v>28</v>
      </c>
      <c r="I11" s="52" t="s">
        <v>40</v>
      </c>
      <c r="J11" s="52" t="s">
        <v>41</v>
      </c>
      <c r="K11" s="53">
        <v>0.5</v>
      </c>
      <c r="L11" s="52" t="s">
        <v>42</v>
      </c>
      <c r="M11" s="52">
        <v>2019</v>
      </c>
      <c r="N11" s="52" t="s">
        <v>29</v>
      </c>
      <c r="O11" s="54" t="s">
        <v>29</v>
      </c>
      <c r="P11" s="52" t="s">
        <v>29</v>
      </c>
      <c r="Q11" s="54" t="s">
        <v>29</v>
      </c>
      <c r="R11" s="55">
        <v>100</v>
      </c>
      <c r="S11" s="56">
        <v>0.5</v>
      </c>
      <c r="T11" s="56">
        <v>0</v>
      </c>
      <c r="U11" s="56">
        <v>0</v>
      </c>
    </row>
    <row r="12" spans="1:21" x14ac:dyDescent="0.2">
      <c r="A12" s="47" t="s">
        <v>32</v>
      </c>
      <c r="B12" s="47" t="s">
        <v>33</v>
      </c>
      <c r="C12" s="47" t="s">
        <v>34</v>
      </c>
      <c r="D12" s="47" t="s">
        <v>168</v>
      </c>
      <c r="E12" s="47" t="s">
        <v>169</v>
      </c>
      <c r="F12" s="47" t="s">
        <v>170</v>
      </c>
      <c r="G12" s="47" t="s">
        <v>43</v>
      </c>
      <c r="H12" s="47" t="s">
        <v>28</v>
      </c>
      <c r="I12" s="47" t="s">
        <v>40</v>
      </c>
      <c r="J12" s="47" t="s">
        <v>41</v>
      </c>
      <c r="K12" s="57">
        <v>0.5</v>
      </c>
      <c r="L12" s="57" t="s">
        <v>42</v>
      </c>
      <c r="M12" s="58">
        <v>2019</v>
      </c>
      <c r="N12" s="47" t="s">
        <v>36</v>
      </c>
      <c r="O12" s="49" t="s">
        <v>30</v>
      </c>
      <c r="P12" s="47" t="s">
        <v>29</v>
      </c>
      <c r="Q12" s="49" t="s">
        <v>29</v>
      </c>
      <c r="R12" s="47">
        <v>90</v>
      </c>
      <c r="S12" s="47">
        <v>0.45</v>
      </c>
      <c r="T12" s="47">
        <v>0.05</v>
      </c>
      <c r="U12" s="47">
        <v>0</v>
      </c>
    </row>
    <row r="13" spans="1:21" ht="10.8" thickBot="1" x14ac:dyDescent="0.25">
      <c r="A13" s="47" t="s">
        <v>32</v>
      </c>
      <c r="B13" s="47" t="s">
        <v>33</v>
      </c>
      <c r="C13" s="47" t="s">
        <v>34</v>
      </c>
      <c r="D13" s="47" t="s">
        <v>168</v>
      </c>
      <c r="E13" s="47" t="s">
        <v>169</v>
      </c>
      <c r="F13" s="47" t="s">
        <v>170</v>
      </c>
      <c r="G13" s="47" t="s">
        <v>45</v>
      </c>
      <c r="H13" s="47" t="s">
        <v>28</v>
      </c>
      <c r="I13" s="47" t="s">
        <v>40</v>
      </c>
      <c r="J13" s="47" t="s">
        <v>41</v>
      </c>
      <c r="K13" s="57">
        <v>0.5</v>
      </c>
      <c r="L13" s="57" t="s">
        <v>42</v>
      </c>
      <c r="M13" s="58">
        <v>2019</v>
      </c>
      <c r="N13" s="47" t="s">
        <v>29</v>
      </c>
      <c r="O13" s="49" t="s">
        <v>29</v>
      </c>
      <c r="P13" s="47" t="s">
        <v>29</v>
      </c>
      <c r="Q13" s="49" t="s">
        <v>29</v>
      </c>
      <c r="R13" s="47">
        <v>100</v>
      </c>
      <c r="S13" s="47">
        <v>0.5</v>
      </c>
      <c r="T13" s="47">
        <v>0</v>
      </c>
      <c r="U13" s="47">
        <v>0</v>
      </c>
    </row>
    <row r="14" spans="1:21" ht="10.8" thickBot="1" x14ac:dyDescent="0.25">
      <c r="A14" s="59" t="s">
        <v>32</v>
      </c>
      <c r="B14" s="59" t="s">
        <v>33</v>
      </c>
      <c r="C14" s="59" t="s">
        <v>34</v>
      </c>
      <c r="D14" s="59" t="s">
        <v>171</v>
      </c>
      <c r="E14" s="59" t="s">
        <v>172</v>
      </c>
      <c r="F14" s="59" t="s">
        <v>173</v>
      </c>
      <c r="G14" s="60" t="s">
        <v>46</v>
      </c>
      <c r="H14" s="61" t="s">
        <v>28</v>
      </c>
      <c r="I14" s="61" t="s">
        <v>40</v>
      </c>
      <c r="J14" s="62" t="s">
        <v>41</v>
      </c>
      <c r="K14" s="57">
        <v>0.5</v>
      </c>
      <c r="L14" s="57" t="s">
        <v>42</v>
      </c>
      <c r="M14" s="47">
        <v>2020</v>
      </c>
      <c r="N14" s="47" t="s">
        <v>29</v>
      </c>
      <c r="O14" s="49" t="s">
        <v>29</v>
      </c>
      <c r="P14" s="47" t="s">
        <v>29</v>
      </c>
      <c r="Q14" s="49" t="s">
        <v>29</v>
      </c>
      <c r="R14" s="47">
        <v>100</v>
      </c>
      <c r="S14" s="47">
        <v>0.5</v>
      </c>
      <c r="T14" s="47">
        <v>0</v>
      </c>
      <c r="U14" s="47">
        <v>0</v>
      </c>
    </row>
    <row r="15" spans="1:21" ht="10.8" thickBot="1" x14ac:dyDescent="0.25">
      <c r="A15" s="59" t="s">
        <v>32</v>
      </c>
      <c r="B15" s="59" t="s">
        <v>33</v>
      </c>
      <c r="C15" s="59" t="s">
        <v>34</v>
      </c>
      <c r="D15" s="59" t="s">
        <v>174</v>
      </c>
      <c r="E15" s="59" t="s">
        <v>175</v>
      </c>
      <c r="F15" s="59" t="s">
        <v>176</v>
      </c>
      <c r="G15" s="60" t="s">
        <v>43</v>
      </c>
      <c r="H15" s="61" t="s">
        <v>28</v>
      </c>
      <c r="I15" s="61" t="s">
        <v>40</v>
      </c>
      <c r="J15" s="62" t="s">
        <v>41</v>
      </c>
      <c r="K15" s="57">
        <v>0.5</v>
      </c>
      <c r="L15" s="57" t="s">
        <v>42</v>
      </c>
      <c r="M15" s="47">
        <v>2020</v>
      </c>
      <c r="N15" s="47" t="s">
        <v>36</v>
      </c>
      <c r="O15" s="49" t="s">
        <v>30</v>
      </c>
      <c r="P15" s="47" t="s">
        <v>29</v>
      </c>
      <c r="Q15" s="49" t="s">
        <v>29</v>
      </c>
      <c r="R15" s="47">
        <v>90</v>
      </c>
      <c r="S15" s="47">
        <v>0.45</v>
      </c>
      <c r="T15" s="47">
        <v>0.05</v>
      </c>
      <c r="U15" s="47">
        <v>0</v>
      </c>
    </row>
    <row r="16" spans="1:21" ht="10.8" thickBot="1" x14ac:dyDescent="0.25">
      <c r="A16" s="59" t="s">
        <v>32</v>
      </c>
      <c r="B16" s="59" t="s">
        <v>33</v>
      </c>
      <c r="C16" s="59" t="s">
        <v>34</v>
      </c>
      <c r="D16" s="59" t="s">
        <v>174</v>
      </c>
      <c r="E16" s="59" t="s">
        <v>175</v>
      </c>
      <c r="F16" s="59" t="s">
        <v>176</v>
      </c>
      <c r="G16" s="60" t="s">
        <v>49</v>
      </c>
      <c r="H16" s="61" t="s">
        <v>28</v>
      </c>
      <c r="I16" s="61" t="s">
        <v>40</v>
      </c>
      <c r="J16" s="62" t="s">
        <v>41</v>
      </c>
      <c r="K16" s="57">
        <v>0.5</v>
      </c>
      <c r="L16" s="57" t="s">
        <v>42</v>
      </c>
      <c r="M16" s="47">
        <v>2020</v>
      </c>
      <c r="N16" s="47" t="s">
        <v>29</v>
      </c>
      <c r="O16" s="49" t="s">
        <v>29</v>
      </c>
      <c r="P16" s="47" t="s">
        <v>29</v>
      </c>
      <c r="Q16" s="49" t="s">
        <v>29</v>
      </c>
      <c r="R16" s="47">
        <v>100</v>
      </c>
      <c r="S16" s="47">
        <v>0.5</v>
      </c>
      <c r="T16" s="47">
        <v>0</v>
      </c>
      <c r="U16" s="47">
        <v>0</v>
      </c>
    </row>
    <row r="17" spans="1:21" x14ac:dyDescent="0.2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67"/>
      <c r="Q17" s="68"/>
      <c r="R17" s="67"/>
      <c r="S17" s="69">
        <f>SUM(S2:S16)</f>
        <v>7.2</v>
      </c>
      <c r="T17" s="67"/>
      <c r="U17" s="67"/>
    </row>
  </sheetData>
  <autoFilter ref="A1:U1" xr:uid="{00000000-0009-0000-0000-000000000000}">
    <sortState xmlns:xlrd2="http://schemas.microsoft.com/office/spreadsheetml/2017/richdata2" ref="A2:T1891">
      <sortCondition ref="K2:K1891"/>
      <sortCondition ref="L2:L1891"/>
      <sortCondition ref="D2:D1891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3"/>
  <sheetViews>
    <sheetView zoomScaleNormal="100" workbookViewId="0">
      <selection activeCell="K1" sqref="K1"/>
    </sheetView>
  </sheetViews>
  <sheetFormatPr baseColWidth="10" defaultColWidth="11.44140625" defaultRowHeight="13.2" x14ac:dyDescent="0.25"/>
  <cols>
    <col min="1" max="1" width="10.88671875" style="18" bestFit="1" customWidth="1"/>
    <col min="2" max="2" width="37.886718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63</v>
      </c>
      <c r="B1" s="20" t="s">
        <v>64</v>
      </c>
      <c r="C1" s="20" t="s">
        <v>65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66</v>
      </c>
      <c r="K1" s="22" t="s">
        <v>167</v>
      </c>
      <c r="L1" s="15" t="s">
        <v>67</v>
      </c>
      <c r="M1" s="15" t="s">
        <v>68</v>
      </c>
      <c r="N1" s="15" t="s">
        <v>69</v>
      </c>
      <c r="O1" s="15" t="s">
        <v>70</v>
      </c>
      <c r="P1" s="16" t="s">
        <v>71</v>
      </c>
      <c r="Q1" s="16" t="s">
        <v>72</v>
      </c>
      <c r="R1" s="16" t="s">
        <v>73</v>
      </c>
      <c r="S1" s="16" t="s">
        <v>74</v>
      </c>
    </row>
    <row r="2" spans="1:19" ht="14.4" x14ac:dyDescent="0.3">
      <c r="A2" s="23" t="s">
        <v>93</v>
      </c>
      <c r="B2" s="23" t="s">
        <v>94</v>
      </c>
      <c r="C2" s="23" t="s">
        <v>75</v>
      </c>
      <c r="D2" s="23"/>
      <c r="E2" s="23"/>
      <c r="F2" s="23"/>
      <c r="G2" s="23"/>
      <c r="H2" s="23"/>
      <c r="I2" s="23">
        <v>1</v>
      </c>
      <c r="J2" s="23">
        <v>1</v>
      </c>
      <c r="K2" s="23" t="s">
        <v>42</v>
      </c>
      <c r="L2" s="24">
        <v>0</v>
      </c>
      <c r="M2" s="24">
        <v>0</v>
      </c>
      <c r="N2" s="24" t="s">
        <v>29</v>
      </c>
      <c r="O2" s="24" t="s">
        <v>29</v>
      </c>
      <c r="P2" s="24">
        <v>100</v>
      </c>
      <c r="Q2" s="24">
        <v>0</v>
      </c>
      <c r="R2" s="24">
        <v>0</v>
      </c>
      <c r="S2" s="24">
        <v>1</v>
      </c>
    </row>
    <row r="3" spans="1:19" ht="14.4" x14ac:dyDescent="0.3">
      <c r="A3" s="23" t="s">
        <v>81</v>
      </c>
      <c r="B3" s="23" t="s">
        <v>82</v>
      </c>
      <c r="C3" s="23" t="s">
        <v>75</v>
      </c>
      <c r="D3" s="23"/>
      <c r="E3" s="23"/>
      <c r="F3" s="23">
        <v>1</v>
      </c>
      <c r="G3" s="23"/>
      <c r="H3" s="23"/>
      <c r="I3" s="23"/>
      <c r="J3" s="23">
        <v>1</v>
      </c>
      <c r="K3" s="23" t="s">
        <v>42</v>
      </c>
      <c r="L3" s="24" t="s">
        <v>36</v>
      </c>
      <c r="M3" s="24" t="s">
        <v>30</v>
      </c>
      <c r="N3" s="24" t="s">
        <v>29</v>
      </c>
      <c r="O3" s="24" t="s">
        <v>29</v>
      </c>
      <c r="P3" s="24">
        <v>90</v>
      </c>
      <c r="Q3" s="24">
        <v>0.1</v>
      </c>
      <c r="R3" s="24">
        <v>0</v>
      </c>
      <c r="S3" s="24">
        <v>0.9</v>
      </c>
    </row>
    <row r="4" spans="1:19" ht="14.4" x14ac:dyDescent="0.3">
      <c r="A4" s="23" t="s">
        <v>165</v>
      </c>
      <c r="B4" s="23" t="s">
        <v>166</v>
      </c>
      <c r="C4" s="23" t="s">
        <v>75</v>
      </c>
      <c r="D4" s="23"/>
      <c r="E4" s="23"/>
      <c r="F4" s="23">
        <v>1</v>
      </c>
      <c r="G4" s="23"/>
      <c r="H4" s="23"/>
      <c r="I4" s="23"/>
      <c r="J4" s="23">
        <v>1</v>
      </c>
      <c r="K4" s="23" t="s">
        <v>42</v>
      </c>
      <c r="L4" s="24" t="s">
        <v>37</v>
      </c>
      <c r="M4" s="24" t="s">
        <v>30</v>
      </c>
      <c r="N4" s="24" t="s">
        <v>29</v>
      </c>
      <c r="O4" s="24" t="s">
        <v>29</v>
      </c>
      <c r="P4" s="24">
        <v>90</v>
      </c>
      <c r="Q4" s="24">
        <v>0.1</v>
      </c>
      <c r="R4" s="24">
        <v>0</v>
      </c>
      <c r="S4" s="24">
        <v>0.9</v>
      </c>
    </row>
    <row r="5" spans="1:19" ht="14.4" x14ac:dyDescent="0.3">
      <c r="A5" s="23" t="s">
        <v>85</v>
      </c>
      <c r="B5" s="23" t="s">
        <v>86</v>
      </c>
      <c r="C5" s="23" t="s">
        <v>75</v>
      </c>
      <c r="D5" s="23"/>
      <c r="E5" s="23"/>
      <c r="F5" s="23"/>
      <c r="G5" s="23"/>
      <c r="H5" s="23"/>
      <c r="I5" s="23">
        <v>3</v>
      </c>
      <c r="J5" s="23">
        <v>3</v>
      </c>
      <c r="K5" s="23" t="s">
        <v>42</v>
      </c>
      <c r="L5" s="24" t="s">
        <v>37</v>
      </c>
      <c r="M5" s="24" t="s">
        <v>30</v>
      </c>
      <c r="N5" s="24" t="s">
        <v>29</v>
      </c>
      <c r="O5" s="24" t="s">
        <v>29</v>
      </c>
      <c r="P5" s="24">
        <v>90</v>
      </c>
      <c r="Q5" s="24">
        <v>0.3</v>
      </c>
      <c r="R5" s="24">
        <v>0</v>
      </c>
      <c r="S5" s="24">
        <v>2.7</v>
      </c>
    </row>
    <row r="6" spans="1:19" ht="14.4" x14ac:dyDescent="0.3">
      <c r="A6" s="23" t="s">
        <v>91</v>
      </c>
      <c r="B6" s="23" t="s">
        <v>92</v>
      </c>
      <c r="C6" s="23" t="s">
        <v>75</v>
      </c>
      <c r="D6" s="23"/>
      <c r="E6" s="23"/>
      <c r="F6" s="23"/>
      <c r="G6" s="23"/>
      <c r="H6" s="23">
        <v>1</v>
      </c>
      <c r="I6" s="23"/>
      <c r="J6" s="23">
        <v>1</v>
      </c>
      <c r="K6" s="23" t="s">
        <v>42</v>
      </c>
      <c r="L6" s="24">
        <v>0</v>
      </c>
      <c r="M6" s="24">
        <v>0</v>
      </c>
      <c r="N6" s="24" t="s">
        <v>29</v>
      </c>
      <c r="O6" s="24" t="s">
        <v>29</v>
      </c>
      <c r="P6" s="24">
        <v>100</v>
      </c>
      <c r="Q6" s="24">
        <v>0</v>
      </c>
      <c r="R6" s="24">
        <v>0</v>
      </c>
      <c r="S6" s="24">
        <v>1</v>
      </c>
    </row>
    <row r="7" spans="1:19" ht="14.4" x14ac:dyDescent="0.3">
      <c r="A7" s="23" t="s">
        <v>87</v>
      </c>
      <c r="B7" s="23" t="s">
        <v>88</v>
      </c>
      <c r="C7" s="23" t="s">
        <v>75</v>
      </c>
      <c r="D7" s="23"/>
      <c r="E7" s="23"/>
      <c r="F7" s="23">
        <v>2</v>
      </c>
      <c r="G7" s="23"/>
      <c r="H7" s="23"/>
      <c r="I7" s="23"/>
      <c r="J7" s="23">
        <v>2</v>
      </c>
      <c r="K7" s="23" t="s">
        <v>42</v>
      </c>
      <c r="L7" s="24">
        <v>0</v>
      </c>
      <c r="M7" s="24">
        <v>0</v>
      </c>
      <c r="N7" s="24" t="s">
        <v>29</v>
      </c>
      <c r="O7" s="24" t="s">
        <v>29</v>
      </c>
      <c r="P7" s="24">
        <v>100</v>
      </c>
      <c r="Q7" s="24">
        <v>0</v>
      </c>
      <c r="R7" s="24">
        <v>0</v>
      </c>
      <c r="S7" s="24">
        <v>2</v>
      </c>
    </row>
    <row r="8" spans="1:19" ht="14.4" x14ac:dyDescent="0.3">
      <c r="A8" s="23" t="s">
        <v>79</v>
      </c>
      <c r="B8" s="23" t="s">
        <v>80</v>
      </c>
      <c r="C8" s="23" t="s">
        <v>75</v>
      </c>
      <c r="D8" s="23"/>
      <c r="E8" s="23"/>
      <c r="F8" s="23"/>
      <c r="G8" s="23"/>
      <c r="H8" s="23"/>
      <c r="I8" s="23">
        <v>1</v>
      </c>
      <c r="J8" s="23">
        <v>1</v>
      </c>
      <c r="K8" s="23" t="s">
        <v>42</v>
      </c>
      <c r="L8" s="24">
        <v>0</v>
      </c>
      <c r="M8" s="24">
        <v>0</v>
      </c>
      <c r="N8" s="24" t="s">
        <v>29</v>
      </c>
      <c r="O8" s="24" t="s">
        <v>29</v>
      </c>
      <c r="P8" s="24">
        <v>100</v>
      </c>
      <c r="Q8" s="24">
        <v>0</v>
      </c>
      <c r="R8" s="24">
        <v>0</v>
      </c>
      <c r="S8" s="24">
        <v>1</v>
      </c>
    </row>
    <row r="9" spans="1:19" ht="14.4" x14ac:dyDescent="0.3">
      <c r="A9" s="23" t="s">
        <v>89</v>
      </c>
      <c r="B9" s="23" t="s">
        <v>90</v>
      </c>
      <c r="C9" s="23" t="s">
        <v>75</v>
      </c>
      <c r="D9" s="23"/>
      <c r="E9" s="23"/>
      <c r="F9" s="23">
        <v>2</v>
      </c>
      <c r="G9" s="23"/>
      <c r="H9" s="23"/>
      <c r="I9" s="23"/>
      <c r="J9" s="23">
        <v>2</v>
      </c>
      <c r="K9" s="23" t="s">
        <v>42</v>
      </c>
      <c r="L9" s="24" t="s">
        <v>37</v>
      </c>
      <c r="M9" s="24" t="s">
        <v>30</v>
      </c>
      <c r="N9" s="24" t="s">
        <v>29</v>
      </c>
      <c r="O9" s="24" t="s">
        <v>29</v>
      </c>
      <c r="P9" s="24">
        <v>90</v>
      </c>
      <c r="Q9" s="24">
        <v>0.2</v>
      </c>
      <c r="R9" s="24">
        <v>0</v>
      </c>
      <c r="S9" s="24">
        <v>1.8</v>
      </c>
    </row>
    <row r="10" spans="1:19" ht="14.4" x14ac:dyDescent="0.3">
      <c r="A10" s="23" t="s">
        <v>83</v>
      </c>
      <c r="B10" s="23" t="s">
        <v>84</v>
      </c>
      <c r="C10" s="23" t="s">
        <v>75</v>
      </c>
      <c r="D10" s="23"/>
      <c r="E10" s="23">
        <v>1</v>
      </c>
      <c r="F10" s="23"/>
      <c r="G10" s="23"/>
      <c r="H10" s="23"/>
      <c r="I10" s="23"/>
      <c r="J10" s="23">
        <v>1</v>
      </c>
      <c r="K10" s="23" t="s">
        <v>42</v>
      </c>
      <c r="L10" s="24">
        <v>0</v>
      </c>
      <c r="M10" s="24">
        <v>0</v>
      </c>
      <c r="N10" s="24" t="s">
        <v>29</v>
      </c>
      <c r="O10" s="24" t="s">
        <v>29</v>
      </c>
      <c r="P10" s="24">
        <v>100</v>
      </c>
      <c r="Q10" s="24">
        <v>0</v>
      </c>
      <c r="R10" s="24">
        <v>0</v>
      </c>
      <c r="S10" s="24">
        <v>1</v>
      </c>
    </row>
    <row r="11" spans="1:19" ht="14.4" x14ac:dyDescent="0.3">
      <c r="A11" s="23" t="s">
        <v>77</v>
      </c>
      <c r="B11" s="23" t="s">
        <v>78</v>
      </c>
      <c r="C11" s="23" t="s">
        <v>75</v>
      </c>
      <c r="D11" s="23"/>
      <c r="E11" s="23"/>
      <c r="F11" s="23"/>
      <c r="G11" s="23">
        <v>1</v>
      </c>
      <c r="H11" s="23"/>
      <c r="I11" s="23"/>
      <c r="J11" s="23">
        <v>1</v>
      </c>
      <c r="K11" s="23" t="s">
        <v>42</v>
      </c>
      <c r="L11" s="24">
        <v>0</v>
      </c>
      <c r="M11" s="24">
        <v>0</v>
      </c>
      <c r="N11" s="24" t="s">
        <v>29</v>
      </c>
      <c r="O11" s="24" t="s">
        <v>29</v>
      </c>
      <c r="P11" s="24">
        <v>100</v>
      </c>
      <c r="Q11" s="24">
        <v>0</v>
      </c>
      <c r="R11" s="24">
        <v>0</v>
      </c>
      <c r="S11" s="24">
        <v>1</v>
      </c>
    </row>
    <row r="12" spans="1:19" ht="14.4" x14ac:dyDescent="0.3">
      <c r="A12" s="23" t="s">
        <v>282</v>
      </c>
      <c r="B12" s="23" t="s">
        <v>283</v>
      </c>
      <c r="C12" s="63" t="s">
        <v>76</v>
      </c>
      <c r="D12" s="23"/>
      <c r="E12" s="23"/>
      <c r="F12" s="23"/>
      <c r="G12" s="23"/>
      <c r="H12" s="23"/>
      <c r="I12" s="23">
        <v>1</v>
      </c>
      <c r="J12" s="23">
        <v>1</v>
      </c>
      <c r="K12" s="23" t="s">
        <v>42</v>
      </c>
      <c r="L12" s="24">
        <v>0</v>
      </c>
      <c r="M12" s="24">
        <v>0</v>
      </c>
      <c r="N12" s="24" t="s">
        <v>29</v>
      </c>
      <c r="O12" s="24" t="s">
        <v>29</v>
      </c>
      <c r="P12" s="24">
        <v>100</v>
      </c>
      <c r="Q12" s="24">
        <v>0</v>
      </c>
      <c r="R12" s="24">
        <v>0</v>
      </c>
      <c r="S12" s="24">
        <v>1</v>
      </c>
    </row>
    <row r="13" spans="1:19" ht="14.4" x14ac:dyDescent="0.3">
      <c r="A13" s="25"/>
      <c r="B13" s="25"/>
      <c r="C13" s="26"/>
      <c r="D13" s="25"/>
      <c r="E13" s="25"/>
      <c r="F13" s="25"/>
      <c r="G13" s="25"/>
      <c r="H13" s="25"/>
      <c r="I13" s="25"/>
      <c r="J13" s="27"/>
      <c r="K13" s="28"/>
      <c r="L13" s="28"/>
      <c r="M13" s="28"/>
      <c r="N13" s="28"/>
      <c r="O13" s="28"/>
      <c r="P13" s="28"/>
      <c r="Q13" s="28"/>
      <c r="R13" s="28"/>
      <c r="S13" s="64">
        <f>SUM(S2:S12)</f>
        <v>14.3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9"/>
  <sheetViews>
    <sheetView topLeftCell="A33" zoomScaleNormal="100" workbookViewId="0">
      <selection activeCell="B61" sqref="B6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95</v>
      </c>
      <c r="B3" s="5">
        <v>3600</v>
      </c>
    </row>
    <row r="4" spans="1:2" x14ac:dyDescent="0.2">
      <c r="A4" s="4" t="s">
        <v>96</v>
      </c>
      <c r="B4" s="5">
        <v>3600</v>
      </c>
    </row>
    <row r="5" spans="1:2" x14ac:dyDescent="0.2">
      <c r="A5" s="4" t="s">
        <v>97</v>
      </c>
      <c r="B5" s="5">
        <v>3600</v>
      </c>
    </row>
    <row r="6" spans="1:2" x14ac:dyDescent="0.2">
      <c r="A6" s="4" t="s">
        <v>98</v>
      </c>
      <c r="B6" s="5">
        <v>3600</v>
      </c>
    </row>
    <row r="7" spans="1:2" x14ac:dyDescent="0.2">
      <c r="A7" s="4" t="s">
        <v>99</v>
      </c>
      <c r="B7" s="5">
        <v>3600</v>
      </c>
    </row>
    <row r="8" spans="1:2" x14ac:dyDescent="0.2">
      <c r="A8" s="4" t="s">
        <v>100</v>
      </c>
      <c r="B8" s="5">
        <v>3600</v>
      </c>
    </row>
    <row r="9" spans="1:2" x14ac:dyDescent="0.2">
      <c r="A9" s="4" t="s">
        <v>101</v>
      </c>
      <c r="B9" s="5">
        <v>8.5</v>
      </c>
    </row>
    <row r="10" spans="1:2" x14ac:dyDescent="0.2">
      <c r="A10" s="4" t="s">
        <v>102</v>
      </c>
      <c r="B10" s="5"/>
    </row>
    <row r="11" spans="1:2" x14ac:dyDescent="0.2">
      <c r="A11" s="4" t="s">
        <v>103</v>
      </c>
      <c r="B11" s="5">
        <v>1500</v>
      </c>
    </row>
    <row r="12" spans="1:2" x14ac:dyDescent="0.2">
      <c r="A12" s="4" t="s">
        <v>101</v>
      </c>
      <c r="B12" s="5">
        <v>0.64</v>
      </c>
    </row>
    <row r="13" spans="1:2" x14ac:dyDescent="0.2">
      <c r="A13" s="4" t="s">
        <v>104</v>
      </c>
      <c r="B13" s="5">
        <v>9.89</v>
      </c>
    </row>
    <row r="14" spans="1:2" x14ac:dyDescent="0.2">
      <c r="A14" s="4" t="s">
        <v>105</v>
      </c>
      <c r="B14" s="5"/>
    </row>
    <row r="15" spans="1:2" x14ac:dyDescent="0.2">
      <c r="A15" s="4" t="s">
        <v>106</v>
      </c>
      <c r="B15" s="5">
        <v>2516.67</v>
      </c>
    </row>
    <row r="16" spans="1:2" x14ac:dyDescent="0.2">
      <c r="A16" s="4" t="s">
        <v>107</v>
      </c>
      <c r="B16" s="5">
        <v>2516.67</v>
      </c>
    </row>
    <row r="17" spans="1:2" x14ac:dyDescent="0.2">
      <c r="A17" s="4" t="s">
        <v>108</v>
      </c>
      <c r="B17" s="5">
        <v>2516.67</v>
      </c>
    </row>
    <row r="18" spans="1:2" x14ac:dyDescent="0.2">
      <c r="A18" s="4" t="s">
        <v>109</v>
      </c>
      <c r="B18" s="5">
        <v>2516.67</v>
      </c>
    </row>
    <row r="19" spans="1:2" x14ac:dyDescent="0.2">
      <c r="A19" s="4" t="s">
        <v>110</v>
      </c>
      <c r="B19" s="5">
        <v>2516.67</v>
      </c>
    </row>
    <row r="20" spans="1:2" x14ac:dyDescent="0.2">
      <c r="A20" s="4" t="s">
        <v>111</v>
      </c>
      <c r="B20" s="5">
        <v>2516.67</v>
      </c>
    </row>
    <row r="21" spans="1:2" x14ac:dyDescent="0.2">
      <c r="A21" s="4" t="s">
        <v>112</v>
      </c>
      <c r="B21" s="5">
        <v>2516.67</v>
      </c>
    </row>
    <row r="22" spans="1:2" x14ac:dyDescent="0.2">
      <c r="A22" s="4" t="s">
        <v>113</v>
      </c>
      <c r="B22" s="5">
        <v>2516.67</v>
      </c>
    </row>
    <row r="23" spans="1:2" x14ac:dyDescent="0.2">
      <c r="A23" s="4" t="s">
        <v>114</v>
      </c>
      <c r="B23" s="5">
        <v>2516.67</v>
      </c>
    </row>
    <row r="24" spans="1:2" x14ac:dyDescent="0.2">
      <c r="A24" s="4" t="s">
        <v>115</v>
      </c>
      <c r="B24" s="5">
        <v>2516.67</v>
      </c>
    </row>
    <row r="25" spans="1:2" x14ac:dyDescent="0.2">
      <c r="A25" s="4" t="s">
        <v>116</v>
      </c>
      <c r="B25" s="5">
        <v>2516.67</v>
      </c>
    </row>
    <row r="26" spans="1:2" x14ac:dyDescent="0.2">
      <c r="A26" s="4" t="s">
        <v>117</v>
      </c>
      <c r="B26" s="5">
        <v>2516.67</v>
      </c>
    </row>
    <row r="27" spans="1:2" x14ac:dyDescent="0.2">
      <c r="A27" s="4" t="s">
        <v>118</v>
      </c>
      <c r="B27" s="5"/>
    </row>
    <row r="28" spans="1:2" x14ac:dyDescent="0.2">
      <c r="A28" s="4" t="s">
        <v>119</v>
      </c>
      <c r="B28" s="5">
        <v>1140</v>
      </c>
    </row>
    <row r="29" spans="1:2" x14ac:dyDescent="0.2">
      <c r="A29" s="4" t="s">
        <v>120</v>
      </c>
      <c r="B29" s="5"/>
    </row>
    <row r="30" spans="1:2" x14ac:dyDescent="0.2">
      <c r="A30" s="4" t="s">
        <v>121</v>
      </c>
      <c r="B30" s="5">
        <v>2400</v>
      </c>
    </row>
    <row r="31" spans="1:2" x14ac:dyDescent="0.2">
      <c r="A31" s="4" t="s">
        <v>122</v>
      </c>
      <c r="B31" s="5">
        <v>2400</v>
      </c>
    </row>
    <row r="32" spans="1:2" x14ac:dyDescent="0.2">
      <c r="A32" s="4" t="s">
        <v>123</v>
      </c>
      <c r="B32" s="5">
        <v>2400</v>
      </c>
    </row>
    <row r="33" spans="1:2" x14ac:dyDescent="0.2">
      <c r="A33" s="4" t="s">
        <v>124</v>
      </c>
      <c r="B33" s="5">
        <v>2400</v>
      </c>
    </row>
    <row r="34" spans="1:2" x14ac:dyDescent="0.2">
      <c r="A34" s="4" t="s">
        <v>125</v>
      </c>
      <c r="B34" s="5">
        <v>2400</v>
      </c>
    </row>
    <row r="35" spans="1:2" x14ac:dyDescent="0.2">
      <c r="A35" s="4" t="s">
        <v>126</v>
      </c>
      <c r="B35" s="5">
        <v>2400</v>
      </c>
    </row>
    <row r="36" spans="1:2" x14ac:dyDescent="0.2">
      <c r="A36" s="4" t="s">
        <v>127</v>
      </c>
      <c r="B36" s="5">
        <v>2400</v>
      </c>
    </row>
    <row r="37" spans="1:2" x14ac:dyDescent="0.2">
      <c r="A37" s="4" t="s">
        <v>128</v>
      </c>
      <c r="B37" s="5">
        <v>2400</v>
      </c>
    </row>
    <row r="38" spans="1:2" x14ac:dyDescent="0.2">
      <c r="A38" s="4" t="s">
        <v>129</v>
      </c>
      <c r="B38" s="5">
        <v>2400</v>
      </c>
    </row>
    <row r="39" spans="1:2" x14ac:dyDescent="0.2">
      <c r="A39" s="4" t="s">
        <v>130</v>
      </c>
      <c r="B39" s="5">
        <v>2400</v>
      </c>
    </row>
    <row r="40" spans="1:2" x14ac:dyDescent="0.2">
      <c r="A40" s="4" t="s">
        <v>131</v>
      </c>
      <c r="B40" s="5">
        <v>2400</v>
      </c>
    </row>
    <row r="41" spans="1:2" x14ac:dyDescent="0.2">
      <c r="A41" s="4" t="s">
        <v>132</v>
      </c>
      <c r="B41" s="5">
        <v>2400</v>
      </c>
    </row>
    <row r="42" spans="1:2" x14ac:dyDescent="0.2">
      <c r="A42" s="4" t="s">
        <v>133</v>
      </c>
      <c r="B42" s="5"/>
    </row>
    <row r="43" spans="1:2" x14ac:dyDescent="0.2">
      <c r="A43" s="4" t="s">
        <v>4</v>
      </c>
      <c r="B43" s="5">
        <v>2083.34</v>
      </c>
    </row>
    <row r="44" spans="1:2" x14ac:dyDescent="0.2">
      <c r="A44" s="4" t="s">
        <v>134</v>
      </c>
      <c r="B44" s="5">
        <v>2083.34</v>
      </c>
    </row>
    <row r="45" spans="1:2" x14ac:dyDescent="0.2">
      <c r="A45" s="4" t="s">
        <v>135</v>
      </c>
      <c r="B45" s="5">
        <v>2083.34</v>
      </c>
    </row>
    <row r="46" spans="1:2" x14ac:dyDescent="0.2">
      <c r="A46" s="4" t="s">
        <v>136</v>
      </c>
      <c r="B46" s="5">
        <v>2083.34</v>
      </c>
    </row>
    <row r="47" spans="1:2" x14ac:dyDescent="0.2">
      <c r="A47" s="4" t="s">
        <v>137</v>
      </c>
      <c r="B47" s="5">
        <v>2083.34</v>
      </c>
    </row>
    <row r="48" spans="1:2" x14ac:dyDescent="0.2">
      <c r="A48" s="4" t="s">
        <v>138</v>
      </c>
      <c r="B48" s="5">
        <v>2083.34</v>
      </c>
    </row>
    <row r="49" spans="1:2" x14ac:dyDescent="0.2">
      <c r="A49" s="4" t="s">
        <v>139</v>
      </c>
      <c r="B49" s="5">
        <v>2083.34</v>
      </c>
    </row>
    <row r="50" spans="1:2" x14ac:dyDescent="0.2">
      <c r="A50" s="4" t="s">
        <v>140</v>
      </c>
      <c r="B50" s="5">
        <v>2083.34</v>
      </c>
    </row>
    <row r="51" spans="1:2" x14ac:dyDescent="0.2">
      <c r="A51" s="4" t="s">
        <v>141</v>
      </c>
      <c r="B51" s="5">
        <v>2083.34</v>
      </c>
    </row>
    <row r="52" spans="1:2" x14ac:dyDescent="0.2">
      <c r="A52" s="4" t="s">
        <v>142</v>
      </c>
      <c r="B52" s="5">
        <v>2083.34</v>
      </c>
    </row>
    <row r="53" spans="1:2" x14ac:dyDescent="0.2">
      <c r="A53" s="4" t="s">
        <v>143</v>
      </c>
      <c r="B53" s="5">
        <v>2083.34</v>
      </c>
    </row>
    <row r="54" spans="1:2" x14ac:dyDescent="0.2">
      <c r="A54" s="4" t="s">
        <v>144</v>
      </c>
      <c r="B54" s="5">
        <v>2083.34</v>
      </c>
    </row>
    <row r="55" spans="1:2" x14ac:dyDescent="0.2">
      <c r="A55" s="4" t="s">
        <v>5</v>
      </c>
      <c r="B55" s="5"/>
    </row>
    <row r="56" spans="1:2" x14ac:dyDescent="0.2">
      <c r="A56" s="4" t="s">
        <v>145</v>
      </c>
      <c r="B56" s="5">
        <v>4250</v>
      </c>
    </row>
    <row r="57" spans="1:2" x14ac:dyDescent="0.2">
      <c r="A57" s="4" t="s">
        <v>146</v>
      </c>
      <c r="B57" s="5"/>
    </row>
    <row r="58" spans="1:2" x14ac:dyDescent="0.2">
      <c r="A58" s="4" t="s">
        <v>147</v>
      </c>
      <c r="B58" s="5">
        <v>2145</v>
      </c>
    </row>
    <row r="59" spans="1:2" x14ac:dyDescent="0.2">
      <c r="A59" s="6" t="s">
        <v>2</v>
      </c>
      <c r="B59" s="7">
        <f>SUM(B3:B58)</f>
        <v>114654.14999999994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3E78-42EF-4EB4-9046-23D2C8C96DFB}">
  <dimension ref="A1:B50"/>
  <sheetViews>
    <sheetView topLeftCell="A40" zoomScaleNormal="100" workbookViewId="0">
      <selection activeCell="A58" sqref="A5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177</v>
      </c>
      <c r="B3" s="5">
        <v>3168</v>
      </c>
    </row>
    <row r="4" spans="1:2" x14ac:dyDescent="0.2">
      <c r="A4" s="4" t="s">
        <v>178</v>
      </c>
      <c r="B4" s="5"/>
    </row>
    <row r="5" spans="1:2" x14ac:dyDescent="0.2">
      <c r="A5" s="4" t="s">
        <v>179</v>
      </c>
      <c r="B5" s="5">
        <v>2214.67</v>
      </c>
    </row>
    <row r="6" spans="1:2" x14ac:dyDescent="0.2">
      <c r="A6" s="4" t="s">
        <v>180</v>
      </c>
      <c r="B6" s="5">
        <v>2214.67</v>
      </c>
    </row>
    <row r="7" spans="1:2" x14ac:dyDescent="0.2">
      <c r="A7" s="4" t="s">
        <v>181</v>
      </c>
      <c r="B7" s="5">
        <v>2214.67</v>
      </c>
    </row>
    <row r="8" spans="1:2" x14ac:dyDescent="0.2">
      <c r="A8" s="4" t="s">
        <v>182</v>
      </c>
      <c r="B8" s="5">
        <v>2214.67</v>
      </c>
    </row>
    <row r="9" spans="1:2" x14ac:dyDescent="0.2">
      <c r="A9" s="4" t="s">
        <v>183</v>
      </c>
      <c r="B9" s="5">
        <v>2214.67</v>
      </c>
    </row>
    <row r="10" spans="1:2" x14ac:dyDescent="0.2">
      <c r="A10" s="4" t="s">
        <v>184</v>
      </c>
      <c r="B10" s="5">
        <v>2214.67</v>
      </c>
    </row>
    <row r="11" spans="1:2" x14ac:dyDescent="0.2">
      <c r="A11" s="4" t="s">
        <v>185</v>
      </c>
      <c r="B11" s="5">
        <v>2214.67</v>
      </c>
    </row>
    <row r="12" spans="1:2" x14ac:dyDescent="0.2">
      <c r="A12" s="4" t="s">
        <v>186</v>
      </c>
      <c r="B12" s="5">
        <v>2214.67</v>
      </c>
    </row>
    <row r="13" spans="1:2" x14ac:dyDescent="0.2">
      <c r="A13" s="4" t="s">
        <v>187</v>
      </c>
      <c r="B13" s="5">
        <v>2214.67</v>
      </c>
    </row>
    <row r="14" spans="1:2" x14ac:dyDescent="0.2">
      <c r="A14" s="4" t="s">
        <v>188</v>
      </c>
      <c r="B14" s="5">
        <v>2214.67</v>
      </c>
    </row>
    <row r="15" spans="1:2" x14ac:dyDescent="0.2">
      <c r="A15" s="4" t="s">
        <v>189</v>
      </c>
      <c r="B15" s="5">
        <v>2214.67</v>
      </c>
    </row>
    <row r="16" spans="1:2" x14ac:dyDescent="0.2">
      <c r="A16" s="4" t="s">
        <v>190</v>
      </c>
      <c r="B16" s="5">
        <v>2214.67</v>
      </c>
    </row>
    <row r="17" spans="1:2" x14ac:dyDescent="0.2">
      <c r="A17" s="4" t="s">
        <v>191</v>
      </c>
      <c r="B17" s="5"/>
    </row>
    <row r="18" spans="1:2" x14ac:dyDescent="0.2">
      <c r="A18" s="4" t="s">
        <v>192</v>
      </c>
      <c r="B18" s="5">
        <v>1833.34</v>
      </c>
    </row>
    <row r="19" spans="1:2" x14ac:dyDescent="0.2">
      <c r="A19" s="4" t="s">
        <v>193</v>
      </c>
      <c r="B19" s="5">
        <v>1833.34</v>
      </c>
    </row>
    <row r="20" spans="1:2" x14ac:dyDescent="0.2">
      <c r="A20" s="4" t="s">
        <v>194</v>
      </c>
      <c r="B20" s="5">
        <v>1833.34</v>
      </c>
    </row>
    <row r="21" spans="1:2" x14ac:dyDescent="0.2">
      <c r="A21" s="4" t="s">
        <v>195</v>
      </c>
      <c r="B21" s="5">
        <v>1833.34</v>
      </c>
    </row>
    <row r="22" spans="1:2" x14ac:dyDescent="0.2">
      <c r="A22" s="4" t="s">
        <v>196</v>
      </c>
      <c r="B22" s="5">
        <v>1833.34</v>
      </c>
    </row>
    <row r="23" spans="1:2" x14ac:dyDescent="0.2">
      <c r="A23" s="4" t="s">
        <v>197</v>
      </c>
      <c r="B23" s="5">
        <v>1833.34</v>
      </c>
    </row>
    <row r="24" spans="1:2" x14ac:dyDescent="0.2">
      <c r="A24" s="4" t="s">
        <v>198</v>
      </c>
      <c r="B24" s="5">
        <v>1833.34</v>
      </c>
    </row>
    <row r="25" spans="1:2" x14ac:dyDescent="0.2">
      <c r="A25" s="4" t="s">
        <v>199</v>
      </c>
      <c r="B25" s="5">
        <v>1833.34</v>
      </c>
    </row>
    <row r="26" spans="1:2" x14ac:dyDescent="0.2">
      <c r="A26" s="4" t="s">
        <v>200</v>
      </c>
      <c r="B26" s="5">
        <v>1833.34</v>
      </c>
    </row>
    <row r="27" spans="1:2" x14ac:dyDescent="0.2">
      <c r="A27" s="4" t="s">
        <v>201</v>
      </c>
      <c r="B27" s="5">
        <v>1833.34</v>
      </c>
    </row>
    <row r="28" spans="1:2" x14ac:dyDescent="0.2">
      <c r="A28" s="4" t="s">
        <v>202</v>
      </c>
      <c r="B28" s="5">
        <v>1833.34</v>
      </c>
    </row>
    <row r="29" spans="1:2" x14ac:dyDescent="0.2">
      <c r="A29" s="4" t="s">
        <v>203</v>
      </c>
      <c r="B29" s="5">
        <v>1833.34</v>
      </c>
    </row>
    <row r="30" spans="1:2" x14ac:dyDescent="0.2">
      <c r="A30" s="4" t="s">
        <v>204</v>
      </c>
      <c r="B30" s="5"/>
    </row>
    <row r="31" spans="1:2" x14ac:dyDescent="0.2">
      <c r="A31" s="4" t="s">
        <v>205</v>
      </c>
      <c r="B31" s="5">
        <v>2112</v>
      </c>
    </row>
    <row r="32" spans="1:2" x14ac:dyDescent="0.2">
      <c r="A32" s="4" t="s">
        <v>206</v>
      </c>
      <c r="B32" s="5">
        <v>2112</v>
      </c>
    </row>
    <row r="33" spans="1:2" x14ac:dyDescent="0.2">
      <c r="A33" s="4" t="s">
        <v>207</v>
      </c>
      <c r="B33" s="5">
        <v>2112</v>
      </c>
    </row>
    <row r="34" spans="1:2" x14ac:dyDescent="0.2">
      <c r="A34" s="4" t="s">
        <v>208</v>
      </c>
      <c r="B34" s="5">
        <v>2112</v>
      </c>
    </row>
    <row r="35" spans="1:2" x14ac:dyDescent="0.2">
      <c r="A35" s="4" t="s">
        <v>209</v>
      </c>
      <c r="B35" s="5">
        <v>2112</v>
      </c>
    </row>
    <row r="36" spans="1:2" x14ac:dyDescent="0.2">
      <c r="A36" s="4" t="s">
        <v>210</v>
      </c>
      <c r="B36" s="5">
        <v>2112</v>
      </c>
    </row>
    <row r="37" spans="1:2" x14ac:dyDescent="0.2">
      <c r="A37" s="4" t="s">
        <v>211</v>
      </c>
      <c r="B37" s="5">
        <v>2112</v>
      </c>
    </row>
    <row r="38" spans="1:2" x14ac:dyDescent="0.2">
      <c r="A38" s="4" t="s">
        <v>212</v>
      </c>
      <c r="B38" s="5">
        <v>2112</v>
      </c>
    </row>
    <row r="39" spans="1:2" x14ac:dyDescent="0.2">
      <c r="A39" s="4" t="s">
        <v>213</v>
      </c>
      <c r="B39" s="5">
        <v>2112</v>
      </c>
    </row>
    <row r="40" spans="1:2" x14ac:dyDescent="0.2">
      <c r="A40" s="4" t="s">
        <v>214</v>
      </c>
      <c r="B40" s="5">
        <v>2112</v>
      </c>
    </row>
    <row r="41" spans="1:2" x14ac:dyDescent="0.2">
      <c r="A41" s="4" t="s">
        <v>215</v>
      </c>
      <c r="B41" s="5">
        <v>2112</v>
      </c>
    </row>
    <row r="42" spans="1:2" x14ac:dyDescent="0.2">
      <c r="A42" s="4" t="s">
        <v>216</v>
      </c>
      <c r="B42" s="5">
        <v>2112</v>
      </c>
    </row>
    <row r="43" spans="1:2" x14ac:dyDescent="0.2">
      <c r="A43" s="4" t="s">
        <v>5</v>
      </c>
      <c r="B43" s="5"/>
    </row>
    <row r="44" spans="1:2" x14ac:dyDescent="0.2">
      <c r="A44" s="4" t="s">
        <v>217</v>
      </c>
      <c r="B44" s="5">
        <v>8500</v>
      </c>
    </row>
    <row r="45" spans="1:2" x14ac:dyDescent="0.2">
      <c r="A45" s="4" t="s">
        <v>218</v>
      </c>
      <c r="B45" s="5"/>
    </row>
    <row r="46" spans="1:2" x14ac:dyDescent="0.2">
      <c r="A46" s="4" t="s">
        <v>219</v>
      </c>
      <c r="B46" s="5">
        <v>15000</v>
      </c>
    </row>
    <row r="47" spans="1:2" x14ac:dyDescent="0.2">
      <c r="A47" s="4" t="s">
        <v>220</v>
      </c>
      <c r="B47" s="5">
        <v>15000</v>
      </c>
    </row>
    <row r="48" spans="1:2" x14ac:dyDescent="0.2">
      <c r="A48" s="4" t="s">
        <v>221</v>
      </c>
      <c r="B48" s="5"/>
    </row>
    <row r="49" spans="1:2" x14ac:dyDescent="0.2">
      <c r="A49" s="4" t="s">
        <v>222</v>
      </c>
      <c r="B49" s="5">
        <v>19212.8</v>
      </c>
    </row>
    <row r="50" spans="1:2" x14ac:dyDescent="0.2">
      <c r="A50" s="6" t="s">
        <v>2</v>
      </c>
      <c r="B50" s="7">
        <f>SUM(B3:B49)</f>
        <v>134800.91999999995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7230-0E99-4A70-A312-9155FD585712}">
  <dimension ref="A1:C43"/>
  <sheetViews>
    <sheetView topLeftCell="A34" zoomScaleNormal="100" workbookViewId="0">
      <selection activeCell="B43" sqref="B43:C43"/>
    </sheetView>
  </sheetViews>
  <sheetFormatPr baseColWidth="10" defaultColWidth="11.44140625" defaultRowHeight="14.4" x14ac:dyDescent="0.3"/>
  <cols>
    <col min="1" max="1" width="13.88671875" bestFit="1" customWidth="1"/>
    <col min="2" max="2" width="80.33203125" customWidth="1"/>
  </cols>
  <sheetData>
    <row r="1" spans="1:3" ht="15" thickBot="1" x14ac:dyDescent="0.35">
      <c r="A1" s="29" t="s">
        <v>231</v>
      </c>
      <c r="B1" s="29" t="s">
        <v>232</v>
      </c>
      <c r="C1" s="30" t="s">
        <v>1</v>
      </c>
    </row>
    <row r="2" spans="1:3" ht="15" thickTop="1" x14ac:dyDescent="0.3">
      <c r="A2" s="31" t="s">
        <v>233</v>
      </c>
      <c r="B2" s="32" t="s">
        <v>234</v>
      </c>
      <c r="C2" s="33">
        <v>1727.44</v>
      </c>
    </row>
    <row r="3" spans="1:3" x14ac:dyDescent="0.3">
      <c r="A3" s="34" t="s">
        <v>233</v>
      </c>
      <c r="B3" s="35" t="s">
        <v>235</v>
      </c>
      <c r="C3" s="36">
        <v>1727.44</v>
      </c>
    </row>
    <row r="4" spans="1:3" x14ac:dyDescent="0.3">
      <c r="A4" s="31" t="s">
        <v>233</v>
      </c>
      <c r="B4" s="32" t="s">
        <v>236</v>
      </c>
      <c r="C4" s="33">
        <v>1727.44</v>
      </c>
    </row>
    <row r="5" spans="1:3" x14ac:dyDescent="0.3">
      <c r="A5" s="34" t="s">
        <v>233</v>
      </c>
      <c r="B5" s="35" t="s">
        <v>237</v>
      </c>
      <c r="C5" s="36">
        <v>1727.44</v>
      </c>
    </row>
    <row r="6" spans="1:3" ht="28.8" x14ac:dyDescent="0.3">
      <c r="A6" s="31" t="s">
        <v>233</v>
      </c>
      <c r="B6" s="32" t="s">
        <v>238</v>
      </c>
      <c r="C6" s="33">
        <v>1727.44</v>
      </c>
    </row>
    <row r="7" spans="1:3" ht="28.8" x14ac:dyDescent="0.3">
      <c r="A7" s="34" t="s">
        <v>233</v>
      </c>
      <c r="B7" s="35" t="s">
        <v>239</v>
      </c>
      <c r="C7" s="36">
        <v>1727.44</v>
      </c>
    </row>
    <row r="8" spans="1:3" x14ac:dyDescent="0.3">
      <c r="A8" s="31" t="s">
        <v>233</v>
      </c>
      <c r="B8" s="32" t="s">
        <v>240</v>
      </c>
      <c r="C8" s="33">
        <v>1727.44</v>
      </c>
    </row>
    <row r="9" spans="1:3" x14ac:dyDescent="0.3">
      <c r="A9" s="34" t="s">
        <v>233</v>
      </c>
      <c r="B9" s="35" t="s">
        <v>241</v>
      </c>
      <c r="C9" s="36">
        <v>1727.44</v>
      </c>
    </row>
    <row r="10" spans="1:3" x14ac:dyDescent="0.3">
      <c r="A10" s="31" t="s">
        <v>233</v>
      </c>
      <c r="B10" s="32" t="s">
        <v>242</v>
      </c>
      <c r="C10" s="33">
        <v>1727.44</v>
      </c>
    </row>
    <row r="11" spans="1:3" x14ac:dyDescent="0.3">
      <c r="A11" s="34" t="s">
        <v>233</v>
      </c>
      <c r="B11" s="35" t="s">
        <v>243</v>
      </c>
      <c r="C11" s="36">
        <v>1727.44</v>
      </c>
    </row>
    <row r="12" spans="1:3" x14ac:dyDescent="0.3">
      <c r="A12" s="31" t="s">
        <v>233</v>
      </c>
      <c r="B12" s="32" t="s">
        <v>244</v>
      </c>
      <c r="C12" s="33">
        <v>1727.44</v>
      </c>
    </row>
    <row r="13" spans="1:3" ht="28.8" x14ac:dyDescent="0.3">
      <c r="A13" s="34" t="s">
        <v>233</v>
      </c>
      <c r="B13" s="35" t="s">
        <v>245</v>
      </c>
      <c r="C13" s="36">
        <v>1727.44</v>
      </c>
    </row>
    <row r="14" spans="1:3" ht="57.6" x14ac:dyDescent="0.3">
      <c r="A14" s="31" t="s">
        <v>246</v>
      </c>
      <c r="B14" s="32" t="s">
        <v>247</v>
      </c>
      <c r="C14" s="33">
        <v>6512</v>
      </c>
    </row>
    <row r="15" spans="1:3" ht="28.8" x14ac:dyDescent="0.3">
      <c r="A15" s="34" t="s">
        <v>248</v>
      </c>
      <c r="B15" s="35" t="s">
        <v>249</v>
      </c>
      <c r="C15" s="36">
        <v>1647.43</v>
      </c>
    </row>
    <row r="16" spans="1:3" ht="28.8" x14ac:dyDescent="0.3">
      <c r="A16" s="31" t="s">
        <v>248</v>
      </c>
      <c r="B16" s="32" t="s">
        <v>250</v>
      </c>
      <c r="C16" s="33">
        <v>1647.43</v>
      </c>
    </row>
    <row r="17" spans="1:3" ht="28.8" x14ac:dyDescent="0.3">
      <c r="A17" s="34" t="s">
        <v>248</v>
      </c>
      <c r="B17" s="35" t="s">
        <v>251</v>
      </c>
      <c r="C17" s="36">
        <v>1647.43</v>
      </c>
    </row>
    <row r="18" spans="1:3" ht="28.8" x14ac:dyDescent="0.3">
      <c r="A18" s="31" t="s">
        <v>248</v>
      </c>
      <c r="B18" s="32" t="s">
        <v>252</v>
      </c>
      <c r="C18" s="33">
        <v>1647.43</v>
      </c>
    </row>
    <row r="19" spans="1:3" ht="28.8" x14ac:dyDescent="0.3">
      <c r="A19" s="34" t="s">
        <v>248</v>
      </c>
      <c r="B19" s="35" t="s">
        <v>253</v>
      </c>
      <c r="C19" s="36">
        <v>1647.43</v>
      </c>
    </row>
    <row r="20" spans="1:3" ht="28.8" x14ac:dyDescent="0.3">
      <c r="A20" s="31" t="s">
        <v>248</v>
      </c>
      <c r="B20" s="32" t="s">
        <v>254</v>
      </c>
      <c r="C20" s="33">
        <v>1647.43</v>
      </c>
    </row>
    <row r="21" spans="1:3" ht="28.8" x14ac:dyDescent="0.3">
      <c r="A21" s="34" t="s">
        <v>248</v>
      </c>
      <c r="B21" s="35" t="s">
        <v>255</v>
      </c>
      <c r="C21" s="36">
        <v>1647.43</v>
      </c>
    </row>
    <row r="22" spans="1:3" ht="28.8" x14ac:dyDescent="0.3">
      <c r="A22" s="31" t="s">
        <v>248</v>
      </c>
      <c r="B22" s="32" t="s">
        <v>256</v>
      </c>
      <c r="C22" s="33">
        <v>1647.43</v>
      </c>
    </row>
    <row r="23" spans="1:3" ht="28.8" x14ac:dyDescent="0.3">
      <c r="A23" s="34" t="s">
        <v>248</v>
      </c>
      <c r="B23" s="35" t="s">
        <v>257</v>
      </c>
      <c r="C23" s="36">
        <v>1647.43</v>
      </c>
    </row>
    <row r="24" spans="1:3" ht="28.8" x14ac:dyDescent="0.3">
      <c r="A24" s="31" t="s">
        <v>248</v>
      </c>
      <c r="B24" s="32" t="s">
        <v>258</v>
      </c>
      <c r="C24" s="33">
        <v>1647.43</v>
      </c>
    </row>
    <row r="25" spans="1:3" ht="28.8" x14ac:dyDescent="0.3">
      <c r="A25" s="34" t="s">
        <v>248</v>
      </c>
      <c r="B25" s="35" t="s">
        <v>259</v>
      </c>
      <c r="C25" s="36">
        <v>1647.43</v>
      </c>
    </row>
    <row r="26" spans="1:3" ht="28.8" x14ac:dyDescent="0.3">
      <c r="A26" s="31" t="s">
        <v>248</v>
      </c>
      <c r="B26" s="32" t="s">
        <v>260</v>
      </c>
      <c r="C26" s="33">
        <v>1647.43</v>
      </c>
    </row>
    <row r="27" spans="1:3" x14ac:dyDescent="0.3">
      <c r="A27" s="34" t="s">
        <v>261</v>
      </c>
      <c r="B27" s="35" t="s">
        <v>262</v>
      </c>
      <c r="C27" s="36">
        <v>1430</v>
      </c>
    </row>
    <row r="28" spans="1:3" x14ac:dyDescent="0.3">
      <c r="A28" s="31" t="s">
        <v>261</v>
      </c>
      <c r="B28" s="32" t="s">
        <v>263</v>
      </c>
      <c r="C28" s="33">
        <v>1430</v>
      </c>
    </row>
    <row r="29" spans="1:3" x14ac:dyDescent="0.3">
      <c r="A29" s="34" t="s">
        <v>261</v>
      </c>
      <c r="B29" s="35" t="s">
        <v>264</v>
      </c>
      <c r="C29" s="36">
        <v>1430</v>
      </c>
    </row>
    <row r="30" spans="1:3" x14ac:dyDescent="0.3">
      <c r="A30" s="31" t="s">
        <v>261</v>
      </c>
      <c r="B30" s="32" t="s">
        <v>265</v>
      </c>
      <c r="C30" s="33">
        <v>1430</v>
      </c>
    </row>
    <row r="31" spans="1:3" x14ac:dyDescent="0.3">
      <c r="A31" s="34" t="s">
        <v>261</v>
      </c>
      <c r="B31" s="35" t="s">
        <v>266</v>
      </c>
      <c r="C31" s="36">
        <v>1430</v>
      </c>
    </row>
    <row r="32" spans="1:3" ht="28.8" x14ac:dyDescent="0.3">
      <c r="A32" s="31" t="s">
        <v>261</v>
      </c>
      <c r="B32" s="32" t="s">
        <v>267</v>
      </c>
      <c r="C32" s="33">
        <v>1430</v>
      </c>
    </row>
    <row r="33" spans="1:3" x14ac:dyDescent="0.3">
      <c r="A33" s="34" t="s">
        <v>261</v>
      </c>
      <c r="B33" s="35" t="s">
        <v>268</v>
      </c>
      <c r="C33" s="36">
        <v>1430</v>
      </c>
    </row>
    <row r="34" spans="1:3" x14ac:dyDescent="0.3">
      <c r="A34" s="31" t="s">
        <v>261</v>
      </c>
      <c r="B34" s="32" t="s">
        <v>269</v>
      </c>
      <c r="C34" s="33">
        <v>1430</v>
      </c>
    </row>
    <row r="35" spans="1:3" x14ac:dyDescent="0.3">
      <c r="A35" s="34" t="s">
        <v>261</v>
      </c>
      <c r="B35" s="35" t="s">
        <v>270</v>
      </c>
      <c r="C35" s="36">
        <v>1430</v>
      </c>
    </row>
    <row r="36" spans="1:3" x14ac:dyDescent="0.3">
      <c r="A36" s="31" t="s">
        <v>261</v>
      </c>
      <c r="B36" s="32" t="s">
        <v>271</v>
      </c>
      <c r="C36" s="33">
        <v>1430</v>
      </c>
    </row>
    <row r="37" spans="1:3" x14ac:dyDescent="0.3">
      <c r="A37" s="34" t="s">
        <v>261</v>
      </c>
      <c r="B37" s="35" t="s">
        <v>272</v>
      </c>
      <c r="C37" s="36">
        <v>1430</v>
      </c>
    </row>
    <row r="38" spans="1:3" x14ac:dyDescent="0.3">
      <c r="A38" s="31" t="s">
        <v>261</v>
      </c>
      <c r="B38" s="32" t="s">
        <v>273</v>
      </c>
      <c r="C38" s="33">
        <v>1430</v>
      </c>
    </row>
    <row r="39" spans="1:3" x14ac:dyDescent="0.3">
      <c r="A39" s="34" t="s">
        <v>274</v>
      </c>
      <c r="B39" s="35" t="s">
        <v>275</v>
      </c>
      <c r="C39" s="36">
        <v>2592</v>
      </c>
    </row>
    <row r="40" spans="1:3" ht="15" thickBot="1" x14ac:dyDescent="0.35">
      <c r="A40" s="31" t="s">
        <v>276</v>
      </c>
      <c r="B40" s="32" t="s">
        <v>277</v>
      </c>
      <c r="C40" s="33">
        <v>20000</v>
      </c>
    </row>
    <row r="41" spans="1:3" ht="15" thickTop="1" x14ac:dyDescent="0.3">
      <c r="A41" s="37"/>
      <c r="B41" s="37"/>
      <c r="C41" s="38">
        <v>86762.44</v>
      </c>
    </row>
    <row r="43" spans="1:3" x14ac:dyDescent="0.3">
      <c r="B43" s="65" t="s">
        <v>284</v>
      </c>
      <c r="C43" s="66">
        <f>+C41+'Ingresos investigación 2020'!B50+'Ingresos investigación 2019'!B59</f>
        <v>336217.50999999989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zoomScaleNormal="100" workbookViewId="0">
      <selection activeCell="A17" sqref="A17:XFD1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</v>
      </c>
      <c r="B2" s="5"/>
    </row>
    <row r="3" spans="1:2" x14ac:dyDescent="0.2">
      <c r="A3" s="4" t="s">
        <v>148</v>
      </c>
      <c r="B3" s="5">
        <v>4249.91</v>
      </c>
    </row>
    <row r="4" spans="1:2" x14ac:dyDescent="0.2">
      <c r="A4" s="4" t="s">
        <v>149</v>
      </c>
      <c r="B4" s="5">
        <v>4233.21</v>
      </c>
    </row>
    <row r="5" spans="1:2" x14ac:dyDescent="0.2">
      <c r="A5" s="4" t="s">
        <v>150</v>
      </c>
      <c r="B5" s="5">
        <v>254224.68000000005</v>
      </c>
    </row>
    <row r="6" spans="1:2" x14ac:dyDescent="0.2">
      <c r="A6" s="4" t="s">
        <v>151</v>
      </c>
      <c r="B6" s="5">
        <v>4233.21</v>
      </c>
    </row>
    <row r="7" spans="1:2" x14ac:dyDescent="0.2">
      <c r="A7" s="4" t="s">
        <v>152</v>
      </c>
      <c r="B7" s="5">
        <v>2100</v>
      </c>
    </row>
    <row r="8" spans="1:2" x14ac:dyDescent="0.2">
      <c r="A8" s="4" t="s">
        <v>153</v>
      </c>
      <c r="B8" s="5">
        <v>4233.21</v>
      </c>
    </row>
    <row r="9" spans="1:2" x14ac:dyDescent="0.2">
      <c r="A9" s="4" t="s">
        <v>154</v>
      </c>
      <c r="B9" s="5">
        <v>4233.21</v>
      </c>
    </row>
    <row r="10" spans="1:2" x14ac:dyDescent="0.2">
      <c r="A10" s="4" t="s">
        <v>155</v>
      </c>
      <c r="B10" s="5"/>
    </row>
    <row r="11" spans="1:2" x14ac:dyDescent="0.2">
      <c r="A11" s="4" t="s">
        <v>156</v>
      </c>
      <c r="B11" s="5">
        <v>13020</v>
      </c>
    </row>
    <row r="12" spans="1:2" x14ac:dyDescent="0.2">
      <c r="A12" s="4" t="s">
        <v>157</v>
      </c>
      <c r="B12" s="5"/>
    </row>
    <row r="13" spans="1:2" x14ac:dyDescent="0.2">
      <c r="A13" s="4" t="s">
        <v>158</v>
      </c>
      <c r="B13" s="5">
        <v>63853.600000000006</v>
      </c>
    </row>
    <row r="14" spans="1:2" x14ac:dyDescent="0.2">
      <c r="A14" s="4" t="s">
        <v>159</v>
      </c>
      <c r="B14" s="5">
        <v>2146.21</v>
      </c>
    </row>
    <row r="15" spans="1:2" x14ac:dyDescent="0.2">
      <c r="A15" s="4" t="s">
        <v>160</v>
      </c>
      <c r="B15" s="5">
        <v>2146.21</v>
      </c>
    </row>
    <row r="16" spans="1:2" x14ac:dyDescent="0.2">
      <c r="A16" s="4" t="s">
        <v>161</v>
      </c>
      <c r="B16" s="5">
        <v>1993.21</v>
      </c>
    </row>
    <row r="17" spans="1:2" x14ac:dyDescent="0.2">
      <c r="A17" s="6" t="s">
        <v>2</v>
      </c>
      <c r="B17" s="7">
        <f>SUM(B3:B16)</f>
        <v>360666.66000000021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0F33-401F-40CA-958A-C1665117689D}">
  <dimension ref="A1:B14"/>
  <sheetViews>
    <sheetView zoomScaleNormal="100" workbookViewId="0">
      <selection activeCell="A4" sqref="A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157</v>
      </c>
      <c r="B2" s="5"/>
    </row>
    <row r="3" spans="1:2" x14ac:dyDescent="0.2">
      <c r="A3" s="4" t="s">
        <v>223</v>
      </c>
      <c r="B3" s="5">
        <v>77337.47</v>
      </c>
    </row>
    <row r="4" spans="1:2" x14ac:dyDescent="0.2">
      <c r="A4" s="4" t="s">
        <v>224</v>
      </c>
      <c r="B4" s="5">
        <v>1260</v>
      </c>
    </row>
    <row r="5" spans="1:2" x14ac:dyDescent="0.2">
      <c r="A5" s="4" t="s">
        <v>225</v>
      </c>
      <c r="B5" s="5">
        <v>840</v>
      </c>
    </row>
    <row r="6" spans="1:2" x14ac:dyDescent="0.2">
      <c r="A6" s="4" t="s">
        <v>226</v>
      </c>
      <c r="B6" s="5">
        <v>2137.41</v>
      </c>
    </row>
    <row r="7" spans="1:2" x14ac:dyDescent="0.2">
      <c r="A7" s="4" t="s">
        <v>227</v>
      </c>
      <c r="B7" s="5">
        <v>2133.21</v>
      </c>
    </row>
    <row r="8" spans="1:2" x14ac:dyDescent="0.2">
      <c r="A8" s="4" t="s">
        <v>228</v>
      </c>
      <c r="B8" s="5">
        <v>2133.21</v>
      </c>
    </row>
    <row r="9" spans="1:2" x14ac:dyDescent="0.2">
      <c r="A9" s="4" t="s">
        <v>159</v>
      </c>
      <c r="B9" s="5">
        <v>1260</v>
      </c>
    </row>
    <row r="10" spans="1:2" x14ac:dyDescent="0.2">
      <c r="A10" s="4" t="s">
        <v>160</v>
      </c>
      <c r="B10" s="5">
        <v>1260</v>
      </c>
    </row>
    <row r="11" spans="1:2" x14ac:dyDescent="0.2">
      <c r="A11" s="4" t="s">
        <v>161</v>
      </c>
      <c r="B11" s="5">
        <v>2245</v>
      </c>
    </row>
    <row r="12" spans="1:2" x14ac:dyDescent="0.2">
      <c r="A12" s="4" t="s">
        <v>229</v>
      </c>
      <c r="B12" s="5">
        <v>840</v>
      </c>
    </row>
    <row r="13" spans="1:2" x14ac:dyDescent="0.2">
      <c r="A13" s="4" t="s">
        <v>230</v>
      </c>
      <c r="B13" s="5">
        <v>157898.88999999998</v>
      </c>
    </row>
    <row r="14" spans="1:2" x14ac:dyDescent="0.2">
      <c r="A14" s="6" t="s">
        <v>2</v>
      </c>
      <c r="B14" s="7">
        <f>SUM(B3:B13)</f>
        <v>249345.19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CE7D-F217-4C02-9F0E-C737129A8E8B}">
  <dimension ref="A1:C11"/>
  <sheetViews>
    <sheetView zoomScaleNormal="100" workbookViewId="0">
      <selection activeCell="B11" sqref="B11:C11"/>
    </sheetView>
  </sheetViews>
  <sheetFormatPr baseColWidth="10" defaultColWidth="11.44140625" defaultRowHeight="14.4" x14ac:dyDescent="0.3"/>
  <cols>
    <col min="1" max="1" width="13.5546875" bestFit="1" customWidth="1"/>
    <col min="2" max="2" width="89.44140625" customWidth="1"/>
  </cols>
  <sheetData>
    <row r="1" spans="1:3" x14ac:dyDescent="0.3">
      <c r="A1" s="39" t="s">
        <v>231</v>
      </c>
      <c r="B1" s="39" t="s">
        <v>232</v>
      </c>
      <c r="C1" s="40" t="s">
        <v>1</v>
      </c>
    </row>
    <row r="2" spans="1:3" x14ac:dyDescent="0.3">
      <c r="A2" s="41" t="s">
        <v>157</v>
      </c>
      <c r="B2" s="41" t="s">
        <v>278</v>
      </c>
      <c r="C2" s="42">
        <v>840</v>
      </c>
    </row>
    <row r="3" spans="1:3" x14ac:dyDescent="0.3">
      <c r="A3" s="43" t="s">
        <v>157</v>
      </c>
      <c r="B3" s="43" t="s">
        <v>227</v>
      </c>
      <c r="C3" s="44">
        <v>946.89</v>
      </c>
    </row>
    <row r="4" spans="1:3" x14ac:dyDescent="0.3">
      <c r="A4" s="41" t="s">
        <v>157</v>
      </c>
      <c r="B4" s="41" t="s">
        <v>227</v>
      </c>
      <c r="C4" s="42">
        <v>1157.31</v>
      </c>
    </row>
    <row r="5" spans="1:3" x14ac:dyDescent="0.3">
      <c r="A5" s="43" t="s">
        <v>157</v>
      </c>
      <c r="B5" s="43" t="s">
        <v>278</v>
      </c>
      <c r="C5" s="44">
        <v>1260</v>
      </c>
    </row>
    <row r="6" spans="1:3" x14ac:dyDescent="0.3">
      <c r="A6" s="41" t="s">
        <v>157</v>
      </c>
      <c r="B6" s="41" t="s">
        <v>279</v>
      </c>
      <c r="C6" s="42">
        <v>21827.53</v>
      </c>
    </row>
    <row r="7" spans="1:3" x14ac:dyDescent="0.3">
      <c r="A7" s="43" t="s">
        <v>157</v>
      </c>
      <c r="B7" s="43" t="s">
        <v>280</v>
      </c>
      <c r="C7" s="44">
        <v>98589.98</v>
      </c>
    </row>
    <row r="8" spans="1:3" ht="15" thickBot="1" x14ac:dyDescent="0.35">
      <c r="A8" s="41" t="s">
        <v>157</v>
      </c>
      <c r="B8" s="41" t="s">
        <v>281</v>
      </c>
      <c r="C8" s="42">
        <v>98589.98</v>
      </c>
    </row>
    <row r="9" spans="1:3" ht="15" thickTop="1" x14ac:dyDescent="0.3">
      <c r="A9" s="45"/>
      <c r="B9" s="45"/>
      <c r="C9" s="46">
        <v>223211.69</v>
      </c>
    </row>
    <row r="11" spans="1:3" x14ac:dyDescent="0.3">
      <c r="B11" s="65" t="s">
        <v>285</v>
      </c>
      <c r="C11" s="66">
        <f>C9+'Ingresos formación 2020'!B14+'Ingresos formación 2019'!B17</f>
        <v>833223.54000000027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2022-10-18T14:17:16Z</dcterms:modified>
</cp:coreProperties>
</file>