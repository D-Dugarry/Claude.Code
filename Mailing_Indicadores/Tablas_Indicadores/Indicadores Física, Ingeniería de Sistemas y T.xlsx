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27D9FD43-827C-48EE-B350-15E56BD7C9FA}" xr6:coauthVersionLast="47" xr6:coauthVersionMax="47" xr10:uidLastSave="{00000000-0000-0000-0000-000000000000}"/>
  <bookViews>
    <workbookView xWindow="22932" yWindow="-108" windowWidth="23256" windowHeight="12456" tabRatio="697" xr2:uid="{00000000-000D-0000-FFFF-FFFF00000000}"/>
  </bookViews>
  <sheets>
    <sheet name="Cr.20" sheetId="22" r:id="rId1"/>
    <sheet name="Cr.21" sheetId="29" r:id="rId2"/>
    <sheet name="Cr.22" sheetId="30" r:id="rId3"/>
    <sheet name="Tesis" sheetId="10" r:id="rId4"/>
    <sheet name="Sexenios" sheetId="11" r:id="rId5"/>
    <sheet name="Ingresos investigación 2019" sheetId="20" r:id="rId6"/>
    <sheet name="Ingresos investigación 2020" sheetId="25" r:id="rId7"/>
    <sheet name="Ingresos investigación 2021" sheetId="27" r:id="rId8"/>
    <sheet name="Ingresos formación 2019" sheetId="21" r:id="rId9"/>
    <sheet name="Ingresos formación 2020" sheetId="26" r:id="rId10"/>
    <sheet name="Ingresos formación 2021" sheetId="28" r:id="rId11"/>
  </sheets>
  <definedNames>
    <definedName name="_xlnm._FilterDatabase" localSheetId="4" hidden="1">Sexenios!$A$1:$S$38</definedName>
    <definedName name="_xlnm._FilterDatabase" localSheetId="3" hidden="1">Tesis!$A$1:$U$1</definedName>
    <definedName name="_xlnm.Print_Titles" localSheetId="4">Sexenios!$1:$1</definedName>
    <definedName name="_xlnm.Print_Titles" localSheetId="3">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2" i="11" l="1"/>
  <c r="S32" i="10" l="1"/>
  <c r="B11" i="26" l="1"/>
  <c r="B32" i="25"/>
  <c r="B26" i="21" l="1"/>
  <c r="C18" i="28" s="1"/>
  <c r="B39" i="20"/>
  <c r="C22" i="27" s="1"/>
</calcChain>
</file>

<file path=xl/sharedStrings.xml><?xml version="1.0" encoding="utf-8"?>
<sst xmlns="http://schemas.openxmlformats.org/spreadsheetml/2006/main" count="1034" uniqueCount="359">
  <si>
    <t>Orgánica
Descripción justificante</t>
  </si>
  <si>
    <t>Importe</t>
  </si>
  <si>
    <t>Total</t>
  </si>
  <si>
    <t>34.80.6C.00.06</t>
  </si>
  <si>
    <t>34.80.6C.00.13</t>
  </si>
  <si>
    <t>34.80.6C.00.14</t>
  </si>
  <si>
    <t>34.80.6C.00.16</t>
  </si>
  <si>
    <t>34.80.6P.00.15</t>
  </si>
  <si>
    <t>34.80.2T.00.01</t>
  </si>
  <si>
    <t>34.80.2T.00.03</t>
  </si>
  <si>
    <t>34.80.2T.00.04</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</si>
  <si>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</si>
  <si>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</si>
  <si>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</si>
  <si>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</si>
  <si>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</si>
  <si>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</si>
  <si>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</si>
  <si>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</si>
  <si>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</si>
  <si>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</si>
  <si>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</si>
  <si>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</si>
  <si>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</si>
  <si>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</si>
  <si>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</si>
  <si>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</si>
  <si>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</si>
  <si>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</si>
  <si>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</si>
  <si>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</si>
  <si>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</si>
  <si>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</si>
  <si>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</si>
  <si>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</si>
  <si>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U022 </t>
  </si>
  <si>
    <t>ADM. FACULTAD DE CIENCIAS </t>
  </si>
  <si>
    <t>DOCTORADO EN CIENCIAS EXPERIMENTALES Y BIOSANITARIAS </t>
  </si>
  <si>
    <t>Director de tesis </t>
  </si>
  <si>
    <t>15/09/2017 </t>
  </si>
  <si>
    <t>27/09/2017 </t>
  </si>
  <si>
    <t>28/09/2018 </t>
  </si>
  <si>
    <t>03/07/2017 </t>
  </si>
  <si>
    <t>10.20</t>
  </si>
  <si>
    <t>20</t>
  </si>
  <si>
    <t>10.19</t>
  </si>
  <si>
    <t>FISICA APLICADA </t>
  </si>
  <si>
    <t>26/01/2018 </t>
  </si>
  <si>
    <t>06/09/2019 </t>
  </si>
  <si>
    <t>24/09/2018 </t>
  </si>
  <si>
    <t>23/02/2017 </t>
  </si>
  <si>
    <t>19/07/2018 </t>
  </si>
  <si>
    <t>B185 </t>
  </si>
  <si>
    <t>INGENIERÍA CIVIL </t>
  </si>
  <si>
    <t>U062 </t>
  </si>
  <si>
    <t>ADM. I.U. DE INVESTIGACIÓN INFORMÁTICA </t>
  </si>
  <si>
    <t>DOCTORADO EN INFORMÁTICA </t>
  </si>
  <si>
    <t>03/03/2017 </t>
  </si>
  <si>
    <t>16568682B </t>
  </si>
  <si>
    <t>B149 </t>
  </si>
  <si>
    <t>FISICA, INGENIERIA DE SISTEMAS Y TEORIA DE LA SEÑAL </t>
  </si>
  <si>
    <t>B149</t>
  </si>
  <si>
    <t>52764629F </t>
  </si>
  <si>
    <t>21503683V </t>
  </si>
  <si>
    <t>U066 </t>
  </si>
  <si>
    <t>ADM. I.U. FÍSICA APLICADA A LA CIENCIAS Y A LAS TECNOLOGIAS </t>
  </si>
  <si>
    <t>DOCTORADO EN FÍSICA APLICADA A LAS CIENCIAS Y LAS TECNOLOGÍAS </t>
  </si>
  <si>
    <t>48350620C </t>
  </si>
  <si>
    <t>DOCTORADO EN CIENCIAS Y TECNOLOGÍAS FÍSICAS </t>
  </si>
  <si>
    <t>73989362H </t>
  </si>
  <si>
    <t>19099684R </t>
  </si>
  <si>
    <t>21995314T </t>
  </si>
  <si>
    <t>DOCTORADO EN AUTOMÁTICA Y ROBÓTICA </t>
  </si>
  <si>
    <t>Alabdo , Aiman </t>
  </si>
  <si>
    <t>ARQUITECTURA EMBEBIDA EN FPGA PARA CONTROL VISUAL DINÁMICO BASADO EN IMAGEN DE ROBOTS MANIPULADORES </t>
  </si>
  <si>
    <t>04/07/2017 </t>
  </si>
  <si>
    <t>52765823M </t>
  </si>
  <si>
    <t>Alemañ Berenguer, Rafael Andrés </t>
  </si>
  <si>
    <t>ESTUDIO DE LA REACUMULACIÓN POR AUTOGRAVEDAD DE PEQUEÑOS CUERPOS DEL SISTEMA SOLAR MEDIANTE SIMULACIONES NUMÉRICAS </t>
  </si>
  <si>
    <t>X0325201G </t>
  </si>
  <si>
    <t>Delgado Rodríguez, Ángel </t>
  </si>
  <si>
    <t>CONTROL Y RECONOCIMIENTO TÁCTIL APLICADO EN TAREAS DE MANIPULACIÓN DE OBJETOS DEFORMABLES </t>
  </si>
  <si>
    <t>73996233N </t>
  </si>
  <si>
    <t>24218798M </t>
  </si>
  <si>
    <t>Fernández Fernández, Roberto </t>
  </si>
  <si>
    <t>CHARACTERIZATION OF PHOTOPOLYMER-BASED DIFFRACTIVE OPTICAL ELEMENTS </t>
  </si>
  <si>
    <t>05162571Z </t>
  </si>
  <si>
    <t>Mateo Agulló, Carlos Manuel </t>
  </si>
  <si>
    <t>RECONOCIMIENTO GEOMÉTRICO DE OBJETOS 3D Y DETECCIÓN DE DEFORMACIONES EN MANIPULACIÓN ROBÓTICA </t>
  </si>
  <si>
    <t>52774982X </t>
  </si>
  <si>
    <t>Pérez Alepuz, Javier </t>
  </si>
  <si>
    <t>DYNAMIC VISUAL SERVOING OF ROBOT MANIPULATORS: OPTIMAL FRAMEWORK WITH DYNAMIC PERCEPTIBILITY AND CHAOS COMPENSATION </t>
  </si>
  <si>
    <t>01/09/2017 </t>
  </si>
  <si>
    <t>Tebar Martínez, Enrique Miguel </t>
  </si>
  <si>
    <t>ANÁLISIS ENERGÉTICO DE UN SISTEMA DE ALMACENAMIENTO DE ELECTRICIDAD EN BATERÍA MEDIANTE ENERGÍAS RENOVABLES CON CARACTERÍSTICA DE MODULARIDAD E INTERCAMBIABILIDAD EN VEHÍCULOS ELÉCTRICOS. </t>
  </si>
  <si>
    <t>Alonso Santiago, Javier </t>
  </si>
  <si>
    <t>CLUSTERS WITH K-SUPERGIANTS </t>
  </si>
  <si>
    <t>72520384G </t>
  </si>
  <si>
    <t>DOCTORADO EN INGENIERÍA DE MATERIALES, ESTRUCTURAS Y TERRENO: CONSTR. SOST. </t>
  </si>
  <si>
    <t>Carbajo San Martín, Jesús </t>
  </si>
  <si>
    <t>CONTRIBUTIONS TO THE STUDY OF THE ACOUSTIC PROPERTIES OF POROUS MATERIALS </t>
  </si>
  <si>
    <t>De Bernardis , Caleb Gustavo </t>
  </si>
  <si>
    <t>TÉCNICA DINÁMICAS PARA TELEDETECCIÓN EMPLEANDO IMÁGENES SAR, ÓPTICAS Y VEHÍCULOS AÉREOS NO TRIPULADOS </t>
  </si>
  <si>
    <t>Esteve Rico, Juan Carlos </t>
  </si>
  <si>
    <t>ANÁLISIS DE LAS PROPIEDADES ACÚSTICAS DEL TROMBÓN Y SU APLICACIÓN EN EL AULA DE VIENTO-METAL MEDIANTE LAS TIC </t>
  </si>
  <si>
    <t>05/09/2018 </t>
  </si>
  <si>
    <t>48328421Q </t>
  </si>
  <si>
    <t>Poveda Martínez, Pedro </t>
  </si>
  <si>
    <t>MÉTRICAS DE CALIDAD SONORA APLICADAS A PRODUCTOS INDUSTRIALES Y DE CONSUMO </t>
  </si>
  <si>
    <t>Mestre Quereda, Alejandro </t>
  </si>
  <si>
    <t>ADVANCED PROCESSING TECHNIQUES AND APPLICATIONS OF SYNTHETIC APERTURE RADAR INTERFEROMETRY </t>
  </si>
  <si>
    <t>NIF</t>
  </si>
  <si>
    <t>NOMBRE_COMPLETO</t>
  </si>
  <si>
    <t>TIPO_SEXENIO</t>
  </si>
  <si>
    <t>Total general</t>
  </si>
  <si>
    <t>INS
1</t>
  </si>
  <si>
    <t>DED
INS 1</t>
  </si>
  <si>
    <t>INS
2</t>
  </si>
  <si>
    <t>DED
INS 2</t>
  </si>
  <si>
    <t>DED
DEP</t>
  </si>
  <si>
    <t>SEX
INS 1</t>
  </si>
  <si>
    <t>SEX
INS 2</t>
  </si>
  <si>
    <t>SEX
DEP</t>
  </si>
  <si>
    <t>FUNCIONARIO</t>
  </si>
  <si>
    <t>NO FUNCIONARIO</t>
  </si>
  <si>
    <t>48674922E</t>
  </si>
  <si>
    <t>ALVAREZ LOPEZ, MARIELA LAZARA</t>
  </si>
  <si>
    <t>21664897R</t>
  </si>
  <si>
    <t>BALLESTER BERMAN, JOSEP DAVID</t>
  </si>
  <si>
    <t>05162571Z</t>
  </si>
  <si>
    <t>BELENDEZ VAZQUEZ, AUGUSTO</t>
  </si>
  <si>
    <t>50591680Y</t>
  </si>
  <si>
    <t>BENAVIDEZ LOZANO, PAULA GABRIELA</t>
  </si>
  <si>
    <t>33492959Z</t>
  </si>
  <si>
    <t>BLEDA PEREZ, SERGIO</t>
  </si>
  <si>
    <t>33493609C</t>
  </si>
  <si>
    <t>CALZADO ESTEPA, EVA MARIA</t>
  </si>
  <si>
    <t>X0325201G</t>
  </si>
  <si>
    <t>CAMPO BAGATIN, ADRIANO</t>
  </si>
  <si>
    <t>52773069Y</t>
  </si>
  <si>
    <t>CANDELAS HERIAS, FRANCISCO ANDRES</t>
  </si>
  <si>
    <t>48328421Q</t>
  </si>
  <si>
    <t>FRANCES MONLLOR, JORGE</t>
  </si>
  <si>
    <t>21499481R</t>
  </si>
  <si>
    <t>GALIANA MERINO, JUAN JOSE</t>
  </si>
  <si>
    <t>48350620C</t>
  </si>
  <si>
    <t>GALLEGO RICO, SERGI</t>
  </si>
  <si>
    <t>52765823M</t>
  </si>
  <si>
    <t>GARCIA GOMEZ, GABRIEL JESUS</t>
  </si>
  <si>
    <t>24229915J</t>
  </si>
  <si>
    <t>GIL CHICA, FRANCISCO JAVIER</t>
  </si>
  <si>
    <t>52774982X</t>
  </si>
  <si>
    <t>GIL VAZQUEZ, PABLO</t>
  </si>
  <si>
    <t>73996233N</t>
  </si>
  <si>
    <t>JARA BRAVO, CARLOS ALBERTO</t>
  </si>
  <si>
    <t>21503683V</t>
  </si>
  <si>
    <t>LOPEZ SANCHEZ, JUAN MANUEL</t>
  </si>
  <si>
    <t>72520384G</t>
  </si>
  <si>
    <t>MARCO TOBARRA, AMPARO</t>
  </si>
  <si>
    <t>X3722234Y</t>
  </si>
  <si>
    <t>52437293F</t>
  </si>
  <si>
    <t>MARQUEZ RUIZ, ANDRES</t>
  </si>
  <si>
    <t>22142307T</t>
  </si>
  <si>
    <t>MARTINEZ GUARDIOLA, FRANCISCO JAVIER</t>
  </si>
  <si>
    <t>21995314T</t>
  </si>
  <si>
    <t>MARTINEZ MARIN, TOMAS</t>
  </si>
  <si>
    <t>21502688B</t>
  </si>
  <si>
    <t>MENDEZ ALCARAZ, DAVID ISRAEL</t>
  </si>
  <si>
    <t>33477513R</t>
  </si>
  <si>
    <t>NEIPP LOPEZ, CRISTIAN</t>
  </si>
  <si>
    <t>48315036V</t>
  </si>
  <si>
    <t>ORTIZ ZAMORA, JAVIER</t>
  </si>
  <si>
    <t>29013624K</t>
  </si>
  <si>
    <t>ORTUÑO SANCHEZ, MANUEL FRANCISCO</t>
  </si>
  <si>
    <t>48539812Z</t>
  </si>
  <si>
    <t>PEREZ MOLINA, MANUEL</t>
  </si>
  <si>
    <t>52764629F</t>
  </si>
  <si>
    <t>POMARES BAEZA, JORGE</t>
  </si>
  <si>
    <t>52778442C</t>
  </si>
  <si>
    <t>PUENTE MENDEZ, SANTIAGO TIMOTEO</t>
  </si>
  <si>
    <t>73989362H</t>
  </si>
  <si>
    <t>RAMIS SORIANO, JAIME</t>
  </si>
  <si>
    <t>21451275A</t>
  </si>
  <si>
    <t>RODES ROCA, JOSE JOAQUIN</t>
  </si>
  <si>
    <t>74002223E</t>
  </si>
  <si>
    <t>SANCHEZ SORIANO, MIGUEL ANGEL</t>
  </si>
  <si>
    <t>22136568B</t>
  </si>
  <si>
    <t>SELVA VERA, JESUS</t>
  </si>
  <si>
    <t>19099684R</t>
  </si>
  <si>
    <t>TORREJON VAZQUEZ, JOSE MIGUEL</t>
  </si>
  <si>
    <t>24218798M</t>
  </si>
  <si>
    <t>TORRES MEDINA, FERNANDO</t>
  </si>
  <si>
    <t>74362842R</t>
  </si>
  <si>
    <t>UBEDA CASTELLANOS, ANDRES</t>
  </si>
  <si>
    <t>Departamento </t>
  </si>
  <si>
    <t>Área </t>
  </si>
  <si>
    <t>Créditos matriculados (Departamento) </t>
  </si>
  <si>
    <t>Tipo Titulacion Asig </t>
  </si>
  <si>
    <t>Grado </t>
  </si>
  <si>
    <t>Máster Universitario Oficial </t>
  </si>
  <si>
    <t>Total </t>
  </si>
  <si>
    <t>385 </t>
  </si>
  <si>
    <t>520 </t>
  </si>
  <si>
    <t>INGENIERIA DE SISTEMAS Y AUTOMATICA </t>
  </si>
  <si>
    <t>800 </t>
  </si>
  <si>
    <t>TEORIA DE LA SEÑAL Y COMUNICACIONES </t>
  </si>
  <si>
    <t>Reintegro de Cuota Patronal por IT del mes de abril 2019</t>
  </si>
  <si>
    <t>Colaboración en la mejora del confort acústico de la cabina de ascensor. (Tercer pago)</t>
  </si>
  <si>
    <t>Colaboración en la mejora del confort acústico de la cabina de ascensor.1 (Segundo pago)</t>
  </si>
  <si>
    <t>COLABORACIÓN EN LA MEJORA DEL CONFORT ACÚSTICO DE LA CABINA DEL ASCENSOR. (PRIMER PAGO)</t>
  </si>
  <si>
    <t>MEJORA EN SISTEMAS DE COMUNICACIÓN EN CABINAS DE ASCENSOR (PRIMERO PAGO)</t>
  </si>
  <si>
    <t>Mejora en sistemas de comunicación en cabinas de ascensor (Segundo pago)</t>
  </si>
  <si>
    <t>Mejora en sistemas de comunicación en cabinas de ascensor (Tercer pago).</t>
  </si>
  <si>
    <t>Investigación industrial para la generación de conocimientos y técnicas vibroacústicas (Cuarto pago)</t>
  </si>
  <si>
    <t>Investigación industrial para la generación de conocimientos y técnicas vibroacústicas (Tercer pago)</t>
  </si>
  <si>
    <t>INVESTIGACIÓN INDUSTRIAL PARA LA GENERACIÓN DE CONOCIMIENTOS Y TÉCNICAS VIBROACÚSTICAS. (SEGUNDO PAGO)</t>
  </si>
  <si>
    <t>34.80.6C.00.17</t>
  </si>
  <si>
    <t>Scientific and engineering consultancy in the frame of the Rapid IMPACT project, regarding the multiphisics study of high frecuency 3D components. (UNIVERSITEBRETAGNE1-18TPA)</t>
  </si>
  <si>
    <t>34.80.6C.00.18</t>
  </si>
  <si>
    <t>Elaboración de informe de caraterización del funcionamiento del Sistema de Geolocalización de Smartphones sin cobertura de telefonía móvil, propiedad de la Universidad de Alicante, en el entorno geográfico del Puig Campana AYTOFINESTRAT1-18TPA</t>
  </si>
  <si>
    <t>34.80.6C.00.20</t>
  </si>
  <si>
    <t>Estudio de viabilidad e integración temporal del sistema de geolocalización Wi-Fi de Smartphone en entornos sin cobertura de telefonía móvil en la App ALERTCOPS". Ref.:WAIRBUT1-19I</t>
  </si>
  <si>
    <t>34.80.6M.00.01</t>
  </si>
  <si>
    <t>Curso de procesamiento y técnicas avanzadas de radar de apertura sintética para obsservación de la Tierra.</t>
  </si>
  <si>
    <t>FLIB 18/03/19. PROYECTOS I+D+I RETOS 2017. ANUAL 2019. UNIV2 PROYECTOS I+D RETOS (PIA13) N EXPEDIENTE: PIA132017-1 - 2 ANUALIDAD REFERENCI. REF. ORDENANTE: 27402219310014327.</t>
  </si>
  <si>
    <t>34.80.6P.00.16</t>
  </si>
  <si>
    <t xml:space="preserve">SUBVENCIONES REALIZACIÓN PROYECTOS I+D+I GRUPOS EMERGENTES GV/2018.2ªANUALIDAD </t>
  </si>
  <si>
    <t>34.80.6P.00.17</t>
  </si>
  <si>
    <t>34.80.6P.00.21</t>
  </si>
  <si>
    <t xml:space="preserve">AORG - ORGANITZACIÓ CONGRESSOS </t>
  </si>
  <si>
    <t>34.80.6P.00.22</t>
  </si>
  <si>
    <t>PAGO 1 ANUALIDAD PROYECTOS RETOS I+D+I 2018. ANUAL 2019 PROYECTOS I+D RETOS (PIA 13) N EXPEDIENTE: PIA 132018 - 1- 1 ANUALIDAD REFERENCIA: R. REFERENCIA DEL ORDENANTE PARA EL BENEFICIARIO: 00173219310010848 - 2019/009668</t>
  </si>
  <si>
    <t>PARA EL PAGO DE LA ANUALIDAD 2019 DE LA CONVOCATORIA RTI 2018 PROYECTOS I+D RETOS (PIA 13) N EXPEDIENTE: PIA 132018-1-1 ANUALIDAD REFERENC REFERENCIA DEL ORDENANTE PARA EL BENEFICIARIO: 27402219310025912.</t>
  </si>
  <si>
    <t>34.80.6P.00.23</t>
  </si>
  <si>
    <t xml:space="preserve">SUBVENCIONES REALIZACION PROYECTOS I+D+IGRUPOS INVESTIGACION EMERGENTES GV/2019 </t>
  </si>
  <si>
    <t>34.80.6P.00.24</t>
  </si>
  <si>
    <t>RESOLUCIÓN CONCESIÓN PROMETEO 2019</t>
  </si>
  <si>
    <t>Liquidación  PLAN G576 curso ''PHOTOSHOP. DISEÑO CREATIVO Y RETOQUE DIGITAL'' ORDEN 5497</t>
  </si>
  <si>
    <t>Ayad Oulad el Haj Ahmed, Adbelmoniem. EXPERTO/A EN TECNOLOGÍAS Y CERTIFICACIONES DE TELECOMUNICACIONES</t>
  </si>
  <si>
    <t>Liquidación  PLAN 9191 curso ''EXPERTO EN TECNOLOGÍAS Y CERTIFICACIONES DE TELECOMUNICACIONES'' ORDEN 5326</t>
  </si>
  <si>
    <t xml:space="preserve">Lourdes Rodriguez Company. Experto en tecnologías y certificaciones de telecomunicaciones. </t>
  </si>
  <si>
    <t>Reintegro de Cuota Patronal del mes de diciembre 2019</t>
  </si>
  <si>
    <t>Viso Oliver, Miguel Ángel. EXPERTO EN TECNOLOGÍAS Y CERTIFICACIONES DE TELECOMUNICACIONES.</t>
  </si>
  <si>
    <t>Liquidación  PLAN 9313 curso ''EXPERTO EN ARQUITECTURAS CLOUD CON AMAZON AWS Y GOOGLE GCP'' ORDEN 5376</t>
  </si>
  <si>
    <t>López Muñoz, Nicolas. EXPERTO EN ARQUITECTURAS CLOUD CON AMAZON AWS Y GOOGLE GCP</t>
  </si>
  <si>
    <t>34.80.2T.00.05</t>
  </si>
  <si>
    <t>Liquidación PLAN GD30 "Producción musical con Ableton Live"</t>
  </si>
  <si>
    <t>Liquidación  PLAN GD30 curso ''CURSO DE ESPECIALIZACIÓN PRODUCCIÓN MUSICAL AMB ABLETON LIVE'' ORDEN 5374</t>
  </si>
  <si>
    <t>Liquidación  PLAN GD30 curso ''PRODUCCIÓN MUSICAL CON ABLETON LIVE'' ORDEN 5539</t>
  </si>
  <si>
    <t>34.80.2T.00.06</t>
  </si>
  <si>
    <t>Curso de especialización Síntesis de Sò Musical. Plan GD33. Ref. recibo 2018683192507</t>
  </si>
  <si>
    <t>Liquidación  PLAN GD33 curso ''SÍNTESIS DE SONIDO MUSICAL'' ORDEN 5464</t>
  </si>
  <si>
    <t>Liquidación  PLAN GD33 curso ''SÍNTESIS DE SONIDO MUSICAL'' ORDEN 5540</t>
  </si>
  <si>
    <t>34.80.2T.00.07</t>
  </si>
  <si>
    <t>Liquidación  PLAN GD29 curso ''MEZCLA DE SONIDO'' ORDEN 5463</t>
  </si>
  <si>
    <t>34.80.2T.00.08</t>
  </si>
  <si>
    <t>Jornada Smart Cities, Urbanismo, Sensorización, Datos y Smart Building</t>
  </si>
  <si>
    <t>Soler Llorens, Juan Luis </t>
  </si>
  <si>
    <t>DISEÑO, IMPLEMENTACIÓN Y VALIDACIÓN DE SISTEMAS DE ADQUISICIÓN DE DATOS SÍSMICOS BASADOS EN ARDUINO </t>
  </si>
  <si>
    <t>16/12/2019 </t>
  </si>
  <si>
    <t>21499481R </t>
  </si>
  <si>
    <t>Zapata Impatá, Brayan Stiven </t>
  </si>
  <si>
    <t>ROBOTIC MANIPULATION BASED ON VISUAL AND TACTILE PERCEPTION </t>
  </si>
  <si>
    <t>17/09/2020 </t>
  </si>
  <si>
    <t>MARINI, STEPHAN</t>
  </si>
  <si>
    <t>COD DEP</t>
  </si>
  <si>
    <t>vivos</t>
  </si>
  <si>
    <t>Del Pino Bastida, Iván </t>
  </si>
  <si>
    <t>Desarrollo de un sistema completo de navegación autónoma basado en GNSS y LiDAR para robots terrestres que operan en entornos dinámicos y no estructurados </t>
  </si>
  <si>
    <t>02/09/2021 </t>
  </si>
  <si>
    <t>Romero Puig, Noelia </t>
  </si>
  <si>
    <t>Crop Monitoring by Satellite Polarimetric SAR Interferometry </t>
  </si>
  <si>
    <t>16/09/2021 </t>
  </si>
  <si>
    <t>21664897R </t>
  </si>
  <si>
    <t>Xie , Qinghua </t>
  </si>
  <si>
    <t>Application of Polarimetric Model-based Decomposition for Crop Monitoring </t>
  </si>
  <si>
    <t>19/02/2021 </t>
  </si>
  <si>
    <t>Martínez Chicharro, María </t>
  </si>
  <si>
    <t>Stellar wind diagnostic and accretion in the massive X-ray binary 4U1700-37 through high resolution X-ray spectroscopy </t>
  </si>
  <si>
    <t>28/05/2021 </t>
  </si>
  <si>
    <t>Colaboración en la mejora del confort acústico de la cabina de ascensor. Primer pago. ORONA4-19ID</t>
  </si>
  <si>
    <t>Colaboración en la mejora del confort acústico de la cabina de ascensor. Segundo pago.</t>
  </si>
  <si>
    <t>Colaboración en la mejora del confort acústico de la cabina de ascensor. Tercer pago.</t>
  </si>
  <si>
    <t>"Mejora en sistemas de comunicación en cabinas de ascensor". (ORONA3-19ID)</t>
  </si>
  <si>
    <t>Mejora en sistemas de comunicación en cabinas de ascensor. Tercer pago.</t>
  </si>
  <si>
    <t>34.80.6C.00.21</t>
  </si>
  <si>
    <t>Desing for acoustic efficency (CLR1-19Y)</t>
  </si>
  <si>
    <t>Desing for acoustics efficency (Segundo pago)</t>
  </si>
  <si>
    <t>34.80.6C.00.22</t>
  </si>
  <si>
    <t>Material Transfer Agreement</t>
  </si>
  <si>
    <t>34.80.6C.00.23</t>
  </si>
  <si>
    <t>Investigación de mezclas asfálticas de granulometría alterna de alta capacidad-mixinterchange. Primer pago.</t>
  </si>
  <si>
    <t>34.80.6C.00.24</t>
  </si>
  <si>
    <t>Evaluación de la capacidad de absorción acústica de 12 mezclas mediante tubo de impedancia.  PROYECTO PRY-007-20 - PLASTIFOAM</t>
  </si>
  <si>
    <t xml:space="preserve">FLIB. 18/02/2020 PROYECTOS RETOS INVESTIGACIÓN 2017.ANUAL 2020 PROYECTOS I+D RETOS (PIA 13) N EXPEDIENTE: PIA132017-1-3 ANUALIDAD REFERENCIA: FIS2017-82919-R </t>
  </si>
  <si>
    <t>FLIB 30/06/2020. PROYECTOS RETOS INVESTIGACION 201 / 8. ANUAL 2020 PROYECTOS I+D RETOS (PIA13) N E / XPEDIENTE: PIA132018-1 - 2 ANUALIDAD REFERE / GOVT / 27402220310030572</t>
  </si>
  <si>
    <t>SUBVENCIONES PARA LA REALIZACION DE PROYCTOS DE I+D+I GRUPOS INVESTIGACIÓN EMERGENTE GV/2019/2ªANUALIDAD (INNOVACIÓN,UNIVERSIDADES,CIENCIA SOC.DIG)</t>
  </si>
  <si>
    <t>PROMETEO 2019 EN 2020 (INNOVACIÓN,UNIVERSIDADES,CIENCIA SOC.DIG)</t>
  </si>
  <si>
    <t>34.80.6P.00.27</t>
  </si>
  <si>
    <t>COVID-19 CONCESIÓN DIRECTA AYUDASURGENTES SOLUCIONES CIENTIFICO INNOVADORAS DECRETO 63/2020, 15 MAYO 2020 (INNOVACIÓN,UNIVERSIDADES,CIENCIA SOC.DIG)</t>
  </si>
  <si>
    <t>34.80.6P.00.28</t>
  </si>
  <si>
    <t>RESOLUCIÓN CONCESIÓN DE 13 DE JULIO DE 2020 SUB. AEST/2020 (INNOVACIÓN,UNIVERSIDADES,CIENCIA SOC.DIG)</t>
  </si>
  <si>
    <t>34.80.6P.00.29</t>
  </si>
  <si>
    <t xml:space="preserve">PAGO CONVOCATORIA PROYECTOS 2019 1ANUALIDAD 2020 PROYECTOS I+D (PIA 1)N EXPEDIENTE: PIA 1 2019-1-1. ANUALIDAD REFERENCIA: PID2019-103982RB-C43  </t>
  </si>
  <si>
    <t>34.80.2M.00.01</t>
  </si>
  <si>
    <t>RECIBO DE LA MATRÍCULA EN EL MÁSTER DE AUTOMÁTICA Y ROBÓTICA DEL ALUMNO PEDRO MANUEL MARTOS SÁNCHEZ CON REFERENCIA 2020730775198</t>
  </si>
  <si>
    <t>LIQUIDACIÓN Plan GD30-PRODUCCIÓN MÚSICAL AMB ABBLETON LIVE</t>
  </si>
  <si>
    <t>Liquidación PLAN GD33 "Síntesis de sonido musical"</t>
  </si>
  <si>
    <t>Liquidación PLAN GD29 "Mezcla de sonido"</t>
  </si>
  <si>
    <t>Cód. org. aplic.</t>
  </si>
  <si>
    <t>Descripción justificante</t>
  </si>
  <si>
    <t>CUARTO RECIBO DE LA MATRÍCULA EN EL MÁSTER DE AUTOMÁTICA Y ROBÓTICA DEL ALUMNO KALOYAN KAMENOV KUZEV CON REFERENCIA 2020761676345 CON FECHA DE PAGO 14/04/2021</t>
  </si>
  <si>
    <t>TERCER RECIBO DE LA MATRÍCULA EN EL MÁSTER DE AUTOMÁTICA Y ROBÓTICA DEL ALUMNO KALOYAN KAMENOV KUZEV CON REFERENCIA 2020761676244 CON FECHA DE PAGO 16/02/2021</t>
  </si>
  <si>
    <t xml:space="preserve">MATRÍCULA EN EL MÁSTER DE AUTOMÁTICA Y ROBÓTICA DEL ALUMNO KALOYAN KAMENOV KUZEV </t>
  </si>
  <si>
    <t>RECIBO DE LA MATRÍCULA DEL CURSO 2021-22 EN EL MÁSTER DE AUTOMÁTICA Y ROBÓTICA DEL ALUMNO PEDRO MANUEL MARTOS SÁNCHEZ CON REFERENCIA 2021796613288</t>
  </si>
  <si>
    <t>Recibo a nombre de Andreu Ferré i Ferré con referencia 2020767520552 del Curso de Especialización "Producción Musical con Ableton Live" (GD30)</t>
  </si>
  <si>
    <t>Plan GD30_CURSO 2020-21_PRODUCCIÓN MUSICAL CON ABLETON LIVE. COMPLEMENTARIO AL JI2020/4600.</t>
  </si>
  <si>
    <t>Plan GD33_2020-21_SÍNTESIS DE SONIDO MUSICAL</t>
  </si>
  <si>
    <t>Plan GD29_2020-21_MEZCLA DE SONIDO</t>
  </si>
  <si>
    <t xml:space="preserve">Plan GD29 curso 2021-22, MEZCLA DE SONIDO  </t>
  </si>
  <si>
    <t>Colaboración en la mejora del confort acústico de la cabina de ascensor. (Tercer pago). ORONA1-21ID</t>
  </si>
  <si>
    <t>"Colaboración en la mejora del confort acústico de la cabina del ascensor". (Segundo pago)</t>
  </si>
  <si>
    <t>COLABORACIÓN EN LA MEJORA DEL CONFORT ACÚSTICO DE LA CABINA DEL ASCENSOR. ORONA1-21ID</t>
  </si>
  <si>
    <t xml:space="preserve">MEJORA EN SISTEMAS DE COMUNICACIÓN EN CABINAS DE ASCENSOR. (Primer pago) </t>
  </si>
  <si>
    <t>"Mejora en sistemas de comunicación en cabinas de ascensor". (Tercer pago). PEDIDO: IT210023 SUBCONTRATACIÓN SEGÚN ÍNDICE No 149: Tecnologías AMI y Acústica.</t>
  </si>
  <si>
    <t>"Mejora en sistemas de comunicación en cabinas de ascensor". (Segundo pago). PEDIDO: IT210023 SUBCONTRATACION SEGÚN ÍNDICE No149: Tecnologías AMI y Acústica</t>
  </si>
  <si>
    <t xml:space="preserve"> DESIGN FOR ACOUSTIC EFFICIENCY (Primer pago).</t>
  </si>
  <si>
    <t xml:space="preserve">INVESTIGACIÓN DE MEZCLAS ASFÁLTICAS DE GRANULOMETRÍA ALTERNA DE ALTA CAPACIDAD-MIXINTERCHANGE- (Segundo pago). </t>
  </si>
  <si>
    <t>34.80.6C.00.25</t>
  </si>
  <si>
    <t>ADAPTACIÓN DEL SISTEMA DE GEOLOCALIZACIÓN WI-FI DE SMARTPHONES EN ENTORNOS SIN COBERTURA DE TELEFONÍA MÓVIL EN 100 DISPOSITIVOS RECEPTORES Y SU INTEGRACIÓN TEMPORAL EN LA APP ALERTCOPS.  (Ref. TECISA2-21I) - PRIMER PAGO.</t>
  </si>
  <si>
    <t>34.80.6C.00.26</t>
  </si>
  <si>
    <t>LICENCIA DE SOFTWARE: SISTEMA DE GEOLOCALIZACIÓN WI-FI DE SMARTPHONES EN ENTORNOS SIN COBERTURA DE TELEFONÍA MOVIL. Ref. (TECISA3-21R). PRIMER PAGO.</t>
  </si>
  <si>
    <t>34.80.6C.00.28</t>
  </si>
  <si>
    <t>Consultoría acústica para VILAMUSEU. Asesoramiento para la mejora de la inteligibilidad en la zona de la primera planta (exposición) teniendo presente los sistemas de refuerzo sonoro existentes. Propuestas de mejora.</t>
  </si>
  <si>
    <t>LIBERADOS EL 14/05/2021 ANUALIDAD 2021 PROYECTOS I+D (PIA1) N EXPEDIENTE: PIA12017-1-4 ANUALIDAD REFERENCIA: FIS2017-82919-R</t>
  </si>
  <si>
    <t xml:space="preserve">RTI2018-099464-B-I00 </t>
  </si>
  <si>
    <t>PROMETEO 2019 EN 2021 (INNOVACIÓN,UNIVERSIDADES,CIENCIA SOC.DIG)</t>
  </si>
  <si>
    <t>RESOL. CONCESIÓN 13/07/2020 SUB. PARA LACONTRATACIÓN DE DOCTORES EN EMPRESAS DE LA C.V. AEST/2020 EN 2021 (INNOVACIÓN,UNIVERSIDADES,CIENCIA SOC.DIG)</t>
  </si>
  <si>
    <t xml:space="preserve">PID2019-103982RB-C43 </t>
  </si>
  <si>
    <t>Miró Oca, Marina </t>
  </si>
  <si>
    <t>APLICACIÓN DE TÉCNICAS ULTRASÓNICAS NO LINEALES A LA DETECCIÓN DE LA FISURACIÓN POR CORROSIÓN DEL ACERO EN HORMIGÓN </t>
  </si>
  <si>
    <t>20/12/2021 </t>
  </si>
  <si>
    <t>Morales Hernández, Aitor </t>
  </si>
  <si>
    <t>Study and Proposal of High-Power Handling Capability Microwave Filtering Solutions </t>
  </si>
  <si>
    <t>30/06/2022 </t>
  </si>
  <si>
    <t>X3722234Y </t>
  </si>
  <si>
    <t>74002223E </t>
  </si>
  <si>
    <t>21393105T</t>
  </si>
  <si>
    <t>HERNANDEZ PRADOS, ANTONIO</t>
  </si>
  <si>
    <t>22139399J</t>
  </si>
  <si>
    <t>BROCAL FERNANDEZ, FRANCISCO</t>
  </si>
  <si>
    <t>33495154R</t>
  </si>
  <si>
    <t>PASCUAL VILLALOBOS, CAROLINA</t>
  </si>
  <si>
    <t>33499533X</t>
  </si>
  <si>
    <t>JAVALOYES ANTON, JUAN</t>
  </si>
  <si>
    <t>48316782S</t>
  </si>
  <si>
    <t>HEREDIA AVALOS, SANTIAGO</t>
  </si>
  <si>
    <t>Total ingresos investigación 2019-2020-2021</t>
  </si>
  <si>
    <t>Total ingresos formación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</si>
</sst>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11"/>
      <color theme="1"/>
      <name val="Calibri"/>
      <family val="2"/>
      <scheme val="minor"/>
    </font>
    <font>
      <b/>
      <sz val="8"/>
      <color rgb="FF000000"/>
      <name val="Arial"/>
      <family val="2"/>
    </font>
    <font>
      <sz val="8"/>
      <color rgb="FF000000"/>
      <name val="Arial"/>
      <family val="2"/>
    </font>
    <font>
      <b/>
      <sz val="8"/>
      <color rgb="FFFFFFFF"/>
      <name val="Arial"/>
      <family val="2"/>
    </font>
    <font>
      <b/>
      <sz val="11"/>
      <color theme="0"/>
      <name val="Calibri"/>
      <family val="2"/>
      <scheme val="minor"/>
    </font>
    <font>
      <b/>
      <sz val="11"/>
      <color theme="1"/>
      <name val="Calibri"/>
      <family val="2"/>
      <scheme val="minor"/>
    </font>
    <font>
      <sz val="10"/>
      <color rgb="FFFF0000"/>
      <name val="Arial"/>
      <family val="2"/>
    </font>
    <font>
      <b/>
      <sz val="11"/>
      <color rgb="FF000000"/>
      <name val="Calibri"/>
      <family val="2"/>
      <scheme val="minor"/>
    </font>
    <font>
      <b/>
      <sz val="10"/>
      <color theme="1"/>
      <name val="Arial"/>
      <family val="2"/>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CCCCCC"/>
        <bgColor indexed="64"/>
      </patternFill>
    </fill>
    <fill>
      <patternFill patternType="solid">
        <fgColor rgb="FFFFFFFF"/>
        <bgColor indexed="64"/>
      </patternFill>
    </fill>
    <fill>
      <patternFill patternType="solid">
        <fgColor rgb="FFB2B2B2"/>
        <bgColor indexed="64"/>
      </patternFill>
    </fill>
    <fill>
      <patternFill patternType="solid">
        <fgColor rgb="FFE5E5E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rgb="FF878787"/>
      </left>
      <right/>
      <top style="medium">
        <color rgb="FF878787"/>
      </top>
      <bottom/>
      <diagonal/>
    </border>
    <border>
      <left/>
      <right style="medium">
        <color rgb="FF878787"/>
      </right>
      <top style="medium">
        <color rgb="FF878787"/>
      </top>
      <bottom/>
      <diagonal/>
    </border>
    <border>
      <left style="thin">
        <color rgb="FF878787"/>
      </left>
      <right style="medium">
        <color rgb="FF878787"/>
      </right>
      <top style="medium">
        <color rgb="FF878787"/>
      </top>
      <bottom style="thin">
        <color rgb="FF878787"/>
      </bottom>
      <diagonal/>
    </border>
    <border>
      <left style="medium">
        <color rgb="FF878787"/>
      </left>
      <right/>
      <top style="medium">
        <color rgb="FF878787"/>
      </top>
      <bottom style="medium">
        <color rgb="FF878787"/>
      </bottom>
      <diagonal/>
    </border>
    <border>
      <left/>
      <right/>
      <top style="medium">
        <color rgb="FF878787"/>
      </top>
      <bottom style="medium">
        <color rgb="FF878787"/>
      </bottom>
      <diagonal/>
    </border>
    <border>
      <left/>
      <right style="medium">
        <color rgb="FF878787"/>
      </right>
      <top style="medium">
        <color rgb="FF878787"/>
      </top>
      <bottom style="medium">
        <color rgb="FF878787"/>
      </bottom>
      <diagonal/>
    </border>
    <border>
      <left style="medium">
        <color rgb="FF878787"/>
      </left>
      <right/>
      <top/>
      <bottom style="medium">
        <color rgb="FF878787"/>
      </bottom>
      <diagonal/>
    </border>
    <border>
      <left/>
      <right style="medium">
        <color rgb="FF878787"/>
      </right>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diagonal/>
    </border>
    <border>
      <left style="medium">
        <color rgb="FF878787"/>
      </left>
      <right style="medium">
        <color rgb="FF878787"/>
      </right>
      <top/>
      <bottom/>
      <diagonal/>
    </border>
    <border>
      <left style="medium">
        <color rgb="FF878787"/>
      </left>
      <right style="medium">
        <color rgb="FF878787"/>
      </right>
      <top/>
      <bottom style="medium">
        <color rgb="FF878787"/>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s>
  <cellStyleXfs count="10">
    <xf numFmtId="0" fontId="0" fillId="0" borderId="0"/>
    <xf numFmtId="0" fontId="3" fillId="0" borderId="0"/>
    <xf numFmtId="0" fontId="6" fillId="0" borderId="0"/>
    <xf numFmtId="0" fontId="6" fillId="0" borderId="0"/>
    <xf numFmtId="0" fontId="7" fillId="0" borderId="0"/>
    <xf numFmtId="0" fontId="1" fillId="0" borderId="0"/>
    <xf numFmtId="0" fontId="11" fillId="0" borderId="0"/>
    <xf numFmtId="0" fontId="11" fillId="0" borderId="0"/>
    <xf numFmtId="0" fontId="11" fillId="0" borderId="0"/>
    <xf numFmtId="0" fontId="11" fillId="0" borderId="0"/>
  </cellStyleXfs>
  <cellXfs count="94">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11" fillId="0" borderId="0" xfId="9" applyAlignment="1"/>
    <xf numFmtId="0" fontId="12" fillId="6" borderId="2" xfId="9" applyFont="1" applyFill="1" applyBorder="1" applyAlignment="1"/>
    <xf numFmtId="0" fontId="12" fillId="6" borderId="3" xfId="9" applyFont="1" applyFill="1" applyBorder="1" applyAlignment="1"/>
    <xf numFmtId="0" fontId="13" fillId="6" borderId="4" xfId="9" applyFont="1" applyFill="1" applyBorder="1" applyAlignment="1">
      <alignment horizontal="right" vertical="top"/>
    </xf>
    <xf numFmtId="0" fontId="12" fillId="6" borderId="5" xfId="9" applyFont="1" applyFill="1" applyBorder="1" applyAlignment="1">
      <alignment horizontal="center"/>
    </xf>
    <xf numFmtId="0" fontId="12" fillId="6" borderId="6" xfId="9" applyFont="1" applyFill="1" applyBorder="1" applyAlignment="1">
      <alignment horizontal="center"/>
    </xf>
    <xf numFmtId="0" fontId="12" fillId="6" borderId="7" xfId="9" applyFont="1" applyFill="1" applyBorder="1" applyAlignment="1">
      <alignment horizontal="center"/>
    </xf>
    <xf numFmtId="0" fontId="12" fillId="6" borderId="8" xfId="9" applyFont="1" applyFill="1" applyBorder="1" applyAlignment="1"/>
    <xf numFmtId="0" fontId="12" fillId="6" borderId="9" xfId="9" applyFont="1" applyFill="1" applyBorder="1" applyAlignment="1"/>
    <xf numFmtId="0" fontId="12" fillId="6" borderId="10" xfId="9" applyFont="1" applyFill="1" applyBorder="1" applyAlignment="1">
      <alignment horizontal="center"/>
    </xf>
    <xf numFmtId="0" fontId="14" fillId="8" borderId="5" xfId="9" applyFont="1" applyFill="1" applyBorder="1" applyAlignment="1">
      <alignment horizontal="left" vertical="center"/>
    </xf>
    <xf numFmtId="0" fontId="14" fillId="8" borderId="7" xfId="9" applyFont="1" applyFill="1" applyBorder="1" applyAlignment="1">
      <alignment horizontal="left" vertical="center"/>
    </xf>
    <xf numFmtId="0" fontId="14" fillId="8" borderId="6" xfId="9" applyFont="1" applyFill="1" applyBorder="1" applyAlignment="1">
      <alignment horizontal="left" vertical="center"/>
    </xf>
    <xf numFmtId="4" fontId="12" fillId="9" borderId="10" xfId="9" applyNumberFormat="1" applyFont="1" applyFill="1" applyBorder="1" applyAlignment="1">
      <alignment horizontal="right" vertical="center"/>
    </xf>
    <xf numFmtId="0" fontId="13" fillId="7" borderId="11" xfId="9" applyFont="1" applyFill="1" applyBorder="1" applyAlignment="1">
      <alignment horizontal="left" vertical="center"/>
    </xf>
    <xf numFmtId="0" fontId="13" fillId="7" borderId="12" xfId="9" applyFont="1" applyFill="1" applyBorder="1" applyAlignment="1">
      <alignment horizontal="left" vertical="center"/>
    </xf>
    <xf numFmtId="0" fontId="13" fillId="7" borderId="10" xfId="9" applyFont="1" applyFill="1" applyBorder="1" applyAlignment="1">
      <alignment horizontal="left" vertical="center"/>
    </xf>
    <xf numFmtId="0" fontId="13" fillId="7" borderId="5" xfId="9" applyFont="1" applyFill="1" applyBorder="1" applyAlignment="1">
      <alignment horizontal="left" vertical="center"/>
    </xf>
    <xf numFmtId="0" fontId="13" fillId="7" borderId="7" xfId="9" applyFont="1" applyFill="1" applyBorder="1" applyAlignment="1">
      <alignment horizontal="left" vertical="center"/>
    </xf>
    <xf numFmtId="4" fontId="13" fillId="7" borderId="10" xfId="9" applyNumberFormat="1" applyFont="1" applyFill="1" applyBorder="1" applyAlignment="1">
      <alignment horizontal="right"/>
    </xf>
    <xf numFmtId="0" fontId="13" fillId="7" borderId="10" xfId="9" applyFont="1" applyFill="1" applyBorder="1" applyAlignment="1">
      <alignment horizontal="right"/>
    </xf>
    <xf numFmtId="0" fontId="13" fillId="7" borderId="13" xfId="9" applyFont="1" applyFill="1" applyBorder="1" applyAlignment="1">
      <alignment horizontal="left" vertical="center"/>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15" fillId="10" borderId="14" xfId="0" applyFont="1" applyFill="1" applyBorder="1"/>
    <xf numFmtId="0" fontId="15" fillId="10" borderId="15" xfId="0" applyFont="1" applyFill="1" applyBorder="1"/>
    <xf numFmtId="4" fontId="0" fillId="11" borderId="15" xfId="0" applyNumberFormat="1" applyFill="1" applyBorder="1"/>
    <xf numFmtId="4" fontId="0" fillId="0" borderId="15" xfId="0" applyNumberFormat="1" applyBorder="1"/>
    <xf numFmtId="0" fontId="16" fillId="0" borderId="16" xfId="0" applyFont="1" applyBorder="1"/>
    <xf numFmtId="4" fontId="16" fillId="0" borderId="17" xfId="0" applyNumberFormat="1" applyFont="1" applyBorder="1"/>
    <xf numFmtId="0" fontId="0" fillId="11" borderId="14" xfId="0" applyFill="1" applyBorder="1" applyAlignment="1">
      <alignment vertical="center"/>
    </xf>
    <xf numFmtId="0" fontId="0" fillId="11" borderId="14" xfId="0" applyFill="1" applyBorder="1" applyAlignment="1">
      <alignment vertical="center" wrapText="1"/>
    </xf>
    <xf numFmtId="0" fontId="0" fillId="0" borderId="14" xfId="0" applyBorder="1" applyAlignment="1">
      <alignment vertical="center"/>
    </xf>
    <xf numFmtId="0" fontId="0" fillId="0" borderId="14" xfId="0" applyBorder="1" applyAlignment="1">
      <alignment vertical="center" wrapText="1"/>
    </xf>
    <xf numFmtId="4" fontId="0" fillId="0" borderId="0" xfId="0" applyNumberFormat="1"/>
    <xf numFmtId="0" fontId="15" fillId="10" borderId="18" xfId="0" applyFont="1" applyFill="1" applyBorder="1"/>
    <xf numFmtId="0" fontId="15" fillId="10" borderId="19" xfId="0" applyFont="1" applyFill="1" applyBorder="1" applyAlignment="1">
      <alignment horizontal="right"/>
    </xf>
    <xf numFmtId="4" fontId="0" fillId="12" borderId="21" xfId="0" applyNumberFormat="1" applyFill="1" applyBorder="1"/>
    <xf numFmtId="4" fontId="0" fillId="11" borderId="21" xfId="0" applyNumberFormat="1" applyFill="1" applyBorder="1"/>
    <xf numFmtId="0" fontId="15" fillId="10" borderId="22" xfId="0" applyFont="1" applyFill="1" applyBorder="1"/>
    <xf numFmtId="4" fontId="15" fillId="10" borderId="23" xfId="0" applyNumberFormat="1" applyFont="1" applyFill="1" applyBorder="1"/>
    <xf numFmtId="0" fontId="0" fillId="12" borderId="20" xfId="0" applyFill="1" applyBorder="1" applyAlignment="1">
      <alignment vertical="center"/>
    </xf>
    <xf numFmtId="0" fontId="0" fillId="12" borderId="20" xfId="0" applyFill="1" applyBorder="1" applyAlignment="1">
      <alignment vertical="center" wrapText="1"/>
    </xf>
    <xf numFmtId="0" fontId="0" fillId="11" borderId="20" xfId="0" applyFill="1" applyBorder="1" applyAlignment="1">
      <alignment vertical="center"/>
    </xf>
    <xf numFmtId="0" fontId="0" fillId="11" borderId="20" xfId="0" applyFill="1" applyBorder="1" applyAlignment="1">
      <alignment vertical="center" wrapText="1"/>
    </xf>
    <xf numFmtId="0" fontId="3" fillId="4" borderId="1" xfId="1" applyFill="1" applyBorder="1"/>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0" fontId="3" fillId="4" borderId="24" xfId="1" applyFill="1" applyBorder="1"/>
    <xf numFmtId="165" fontId="3" fillId="4" borderId="24" xfId="1" applyNumberFormat="1" applyFill="1" applyBorder="1"/>
    <xf numFmtId="0" fontId="3" fillId="4" borderId="24" xfId="1" applyFill="1" applyBorder="1" applyAlignment="1">
      <alignment horizontal="right"/>
    </xf>
    <xf numFmtId="1" fontId="3" fillId="4" borderId="24" xfId="1" applyNumberFormat="1" applyFill="1" applyBorder="1"/>
    <xf numFmtId="164" fontId="3" fillId="4" borderId="24" xfId="1" applyNumberFormat="1" applyFill="1" applyBorder="1"/>
    <xf numFmtId="0" fontId="13" fillId="7" borderId="1" xfId="0" applyFont="1" applyFill="1" applyBorder="1" applyAlignment="1">
      <alignment horizontal="left" vertical="center"/>
    </xf>
    <xf numFmtId="0" fontId="13" fillId="7" borderId="7" xfId="0" applyFont="1" applyFill="1" applyBorder="1" applyAlignment="1">
      <alignment horizontal="left" vertical="center"/>
    </xf>
    <xf numFmtId="0" fontId="13" fillId="7" borderId="10" xfId="0" applyFont="1" applyFill="1" applyBorder="1" applyAlignment="1">
      <alignment horizontal="left" vertical="center"/>
    </xf>
    <xf numFmtId="0" fontId="13" fillId="7" borderId="5" xfId="0" applyFont="1" applyFill="1" applyBorder="1" applyAlignment="1">
      <alignment horizontal="left" vertical="center"/>
    </xf>
    <xf numFmtId="0" fontId="3" fillId="0" borderId="1" xfId="1" applyBorder="1"/>
    <xf numFmtId="0" fontId="3" fillId="13" borderId="1" xfId="1" applyFill="1" applyBorder="1"/>
    <xf numFmtId="0" fontId="17" fillId="0" borderId="1" xfId="0" applyFont="1" applyBorder="1"/>
    <xf numFmtId="0" fontId="18" fillId="0" borderId="1" xfId="0" applyFont="1" applyFill="1" applyBorder="1" applyAlignment="1">
      <alignment horizontal="right"/>
    </xf>
    <xf numFmtId="4" fontId="16" fillId="0" borderId="1" xfId="0" applyNumberFormat="1" applyFont="1" applyFill="1" applyBorder="1"/>
    <xf numFmtId="0" fontId="3" fillId="13" borderId="0" xfId="1" applyFont="1" applyFill="1" applyAlignment="1"/>
    <xf numFmtId="0" fontId="3" fillId="13" borderId="0" xfId="1" applyFont="1" applyFill="1" applyAlignment="1">
      <alignment horizontal="right"/>
    </xf>
    <xf numFmtId="164" fontId="4" fillId="13" borderId="0" xfId="1" applyNumberFormat="1" applyFont="1" applyFill="1" applyAlignment="1"/>
    <xf numFmtId="0" fontId="10" fillId="13" borderId="25" xfId="5" applyFont="1" applyFill="1" applyBorder="1"/>
    <xf numFmtId="0" fontId="10" fillId="13" borderId="25" xfId="5" applyFont="1" applyFill="1" applyBorder="1" applyAlignment="1">
      <alignment horizontal="right"/>
    </xf>
    <xf numFmtId="0" fontId="19" fillId="13" borderId="25" xfId="5" applyFont="1" applyFill="1" applyBorder="1"/>
  </cellXfs>
  <cellStyles count="10">
    <cellStyle name="Normal" xfId="0" builtinId="0"/>
    <cellStyle name="Normal 14" xfId="7" xr:uid="{00000000-0005-0000-0000-000001000000}"/>
    <cellStyle name="Normal 17" xfId="8" xr:uid="{00000000-0005-0000-0000-000002000000}"/>
    <cellStyle name="Normal 19" xfId="9" xr:uid="{00000000-0005-0000-0000-000003000000}"/>
    <cellStyle name="Normal 2" xfId="4" xr:uid="{00000000-0005-0000-0000-000004000000}"/>
    <cellStyle name="Normal 3" xfId="5" xr:uid="{00000000-0005-0000-0000-000005000000}"/>
    <cellStyle name="Normal 4" xfId="6" xr:uid="{00000000-0005-0000-0000-000006000000}"/>
    <cellStyle name="Normal_Becas 14_9_2005" xfId="2" xr:uid="{00000000-0005-0000-0000-000007000000}"/>
    <cellStyle name="Normal_Ind.2010" xfId="1" xr:uid="{00000000-0005-0000-0000-000008000000}"/>
    <cellStyle name="Normal_PDI por Centro" xfId="3"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showGridLines="0" tabSelected="1" workbookViewId="0">
      <selection activeCell="F12" sqref="F12"/>
    </sheetView>
  </sheetViews>
  <sheetFormatPr baseColWidth="10" defaultColWidth="11.44140625" defaultRowHeight="14.4" x14ac:dyDescent="0.3"/>
  <cols>
    <col min="1" max="1" width="5.6640625" style="20" customWidth="1"/>
    <col min="2" max="2" width="52.5546875" style="20" customWidth="1"/>
    <col min="3" max="3" width="5.6640625" style="20" customWidth="1"/>
    <col min="4" max="4" width="26.44140625" style="20" customWidth="1"/>
    <col min="5" max="5" width="34.109375" style="20" customWidth="1"/>
    <col min="6" max="6" width="11.44140625" style="20" customWidth="1"/>
    <col min="7" max="7" width="26.33203125" style="20" customWidth="1"/>
    <col min="8" max="8" width="11.88671875" style="20" customWidth="1"/>
    <col min="9" max="16384" width="11.44140625" style="20"/>
  </cols>
  <sheetData>
    <row r="1" spans="1:8" ht="15" thickBot="1" x14ac:dyDescent="0.35">
      <c r="A1" s="21" t="s">
        <v>194</v>
      </c>
      <c r="B1" s="22"/>
      <c r="C1" s="21" t="s">
        <v>195</v>
      </c>
      <c r="D1" s="22"/>
      <c r="E1" s="23"/>
      <c r="F1" s="24" t="s">
        <v>196</v>
      </c>
      <c r="G1" s="25"/>
      <c r="H1" s="26"/>
    </row>
    <row r="2" spans="1:8" ht="15" thickBot="1" x14ac:dyDescent="0.35">
      <c r="A2" s="27"/>
      <c r="B2" s="28"/>
      <c r="C2" s="27"/>
      <c r="D2" s="28"/>
      <c r="E2" s="23" t="s">
        <v>197</v>
      </c>
      <c r="F2" s="29" t="s">
        <v>198</v>
      </c>
      <c r="G2" s="29" t="s">
        <v>199</v>
      </c>
      <c r="H2" s="29" t="s">
        <v>200</v>
      </c>
    </row>
    <row r="3" spans="1:8" ht="15" thickBot="1" x14ac:dyDescent="0.35">
      <c r="A3" s="34" t="s">
        <v>61</v>
      </c>
      <c r="B3" s="34" t="s">
        <v>60</v>
      </c>
      <c r="C3" s="30" t="s">
        <v>200</v>
      </c>
      <c r="D3" s="32"/>
      <c r="E3" s="31"/>
      <c r="F3" s="33">
        <v>28307.3</v>
      </c>
      <c r="G3" s="33">
        <v>2719.08</v>
      </c>
      <c r="H3" s="33">
        <v>31026.38</v>
      </c>
    </row>
    <row r="4" spans="1:8" ht="15" thickBot="1" x14ac:dyDescent="0.35">
      <c r="A4" s="35" t="s">
        <v>34</v>
      </c>
      <c r="B4" s="35"/>
      <c r="C4" s="36" t="s">
        <v>201</v>
      </c>
      <c r="D4" s="37" t="s">
        <v>46</v>
      </c>
      <c r="E4" s="38"/>
      <c r="F4" s="39">
        <v>12649.38</v>
      </c>
      <c r="G4" s="40">
        <v>627.92999999999995</v>
      </c>
      <c r="H4" s="33">
        <v>13277.3</v>
      </c>
    </row>
    <row r="5" spans="1:8" ht="15" thickBot="1" x14ac:dyDescent="0.35">
      <c r="A5" s="35" t="s">
        <v>34</v>
      </c>
      <c r="B5" s="35"/>
      <c r="C5" s="36" t="s">
        <v>202</v>
      </c>
      <c r="D5" s="37" t="s">
        <v>203</v>
      </c>
      <c r="E5" s="38"/>
      <c r="F5" s="39">
        <v>8476.23</v>
      </c>
      <c r="G5" s="39">
        <v>1440.55</v>
      </c>
      <c r="H5" s="33">
        <v>9916.7800000000007</v>
      </c>
    </row>
    <row r="6" spans="1:8" ht="15" thickBot="1" x14ac:dyDescent="0.35">
      <c r="A6" s="41" t="s">
        <v>34</v>
      </c>
      <c r="B6" s="41"/>
      <c r="C6" s="36" t="s">
        <v>204</v>
      </c>
      <c r="D6" s="37" t="s">
        <v>205</v>
      </c>
      <c r="E6" s="38"/>
      <c r="F6" s="39">
        <v>7181.7</v>
      </c>
      <c r="G6" s="40">
        <v>650.6</v>
      </c>
      <c r="H6" s="33">
        <v>7832.3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1E51-6B1D-488A-A3CA-CB7F29830844}">
  <dimension ref="A1:H6"/>
  <sheetViews>
    <sheetView showGridLines="0" workbookViewId="0">
      <selection activeCell="F3" sqref="F3:H6"/>
    </sheetView>
  </sheetViews>
  <sheetFormatPr baseColWidth="10" defaultColWidth="11.44140625" defaultRowHeight="14.4" x14ac:dyDescent="0.3"/>
  <cols>
    <col min="1" max="1" width="5.6640625" style="20" customWidth="1"/>
    <col min="2" max="2" width="52.5546875" style="20" customWidth="1"/>
    <col min="3" max="3" width="5.6640625" style="20" customWidth="1"/>
    <col min="4" max="4" width="26.44140625" style="20" customWidth="1"/>
    <col min="5" max="5" width="34.109375" style="20" customWidth="1"/>
    <col min="6" max="6" width="11.44140625" style="20" customWidth="1"/>
    <col min="7" max="7" width="26.33203125" style="20" customWidth="1"/>
    <col min="8" max="8" width="11.88671875" style="20" customWidth="1"/>
    <col min="9" max="16384" width="11.44140625" style="20"/>
  </cols>
  <sheetData>
    <row r="1" spans="1:8" ht="15" thickBot="1" x14ac:dyDescent="0.35">
      <c r="A1" s="21" t="s">
        <v>194</v>
      </c>
      <c r="B1" s="22"/>
      <c r="C1" s="21" t="s">
        <v>195</v>
      </c>
      <c r="D1" s="22"/>
      <c r="E1" s="23"/>
      <c r="F1" s="24" t="s">
        <v>196</v>
      </c>
      <c r="G1" s="25"/>
      <c r="H1" s="26"/>
    </row>
    <row r="2" spans="1:8" ht="15" thickBot="1" x14ac:dyDescent="0.35">
      <c r="A2" s="27"/>
      <c r="B2" s="28"/>
      <c r="C2" s="27"/>
      <c r="D2" s="28"/>
      <c r="E2" s="23" t="s">
        <v>197</v>
      </c>
      <c r="F2" s="29" t="s">
        <v>198</v>
      </c>
      <c r="G2" s="29" t="s">
        <v>199</v>
      </c>
      <c r="H2" s="29" t="s">
        <v>200</v>
      </c>
    </row>
    <row r="3" spans="1:8" ht="15" thickBot="1" x14ac:dyDescent="0.35">
      <c r="A3" s="34" t="s">
        <v>61</v>
      </c>
      <c r="B3" s="34" t="s">
        <v>60</v>
      </c>
      <c r="C3" s="30" t="s">
        <v>200</v>
      </c>
      <c r="D3" s="32"/>
      <c r="E3" s="31"/>
      <c r="F3" s="33">
        <v>29972.6</v>
      </c>
      <c r="G3" s="33">
        <v>2363.9299999999998</v>
      </c>
      <c r="H3" s="33">
        <v>32336.53</v>
      </c>
    </row>
    <row r="4" spans="1:8" ht="15" thickBot="1" x14ac:dyDescent="0.35">
      <c r="A4" s="35" t="s">
        <v>34</v>
      </c>
      <c r="B4" s="35"/>
      <c r="C4" s="36" t="s">
        <v>201</v>
      </c>
      <c r="D4" s="37" t="s">
        <v>46</v>
      </c>
      <c r="E4" s="38"/>
      <c r="F4" s="39">
        <v>14334.7</v>
      </c>
      <c r="G4" s="40">
        <v>585.70000000000005</v>
      </c>
      <c r="H4" s="33">
        <v>14920.4</v>
      </c>
    </row>
    <row r="5" spans="1:8" ht="15" thickBot="1" x14ac:dyDescent="0.35">
      <c r="A5" s="35" t="s">
        <v>34</v>
      </c>
      <c r="B5" s="35"/>
      <c r="C5" s="36" t="s">
        <v>202</v>
      </c>
      <c r="D5" s="37" t="s">
        <v>203</v>
      </c>
      <c r="E5" s="38"/>
      <c r="F5" s="39">
        <v>7879.8</v>
      </c>
      <c r="G5" s="39">
        <v>1132.58</v>
      </c>
      <c r="H5" s="33">
        <v>9012.3799999999992</v>
      </c>
    </row>
    <row r="6" spans="1:8" ht="15" thickBot="1" x14ac:dyDescent="0.35">
      <c r="A6" s="41" t="s">
        <v>34</v>
      </c>
      <c r="B6" s="41"/>
      <c r="C6" s="36" t="s">
        <v>204</v>
      </c>
      <c r="D6" s="37" t="s">
        <v>205</v>
      </c>
      <c r="E6" s="38"/>
      <c r="F6" s="39">
        <v>7758.1</v>
      </c>
      <c r="G6" s="40">
        <v>645.65</v>
      </c>
      <c r="H6" s="33">
        <v>8403.75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D635-3628-48C4-82DB-B2B99E5FD3BD}">
  <dimension ref="A1:H6"/>
  <sheetViews>
    <sheetView showGridLines="0" workbookViewId="0">
      <selection activeCell="F12" sqref="F12"/>
    </sheetView>
  </sheetViews>
  <sheetFormatPr baseColWidth="10" defaultColWidth="11.44140625" defaultRowHeight="14.4" x14ac:dyDescent="0.3"/>
  <cols>
    <col min="1" max="1" width="5.6640625" style="20" customWidth="1"/>
    <col min="2" max="2" width="52.5546875" style="20" customWidth="1"/>
    <col min="3" max="3" width="5.6640625" style="20" customWidth="1"/>
    <col min="4" max="4" width="26.44140625" style="20" customWidth="1"/>
    <col min="5" max="5" width="34.109375" style="20" customWidth="1"/>
    <col min="6" max="6" width="11.44140625" style="20" customWidth="1"/>
    <col min="7" max="7" width="26.33203125" style="20" customWidth="1"/>
    <col min="8" max="8" width="11.88671875" style="20" customWidth="1"/>
    <col min="9" max="16384" width="11.44140625" style="20"/>
  </cols>
  <sheetData>
    <row r="1" spans="1:8" ht="15" thickBot="1" x14ac:dyDescent="0.35">
      <c r="A1" s="21" t="s">
        <v>194</v>
      </c>
      <c r="B1" s="22"/>
      <c r="C1" s="21" t="s">
        <v>195</v>
      </c>
      <c r="D1" s="22"/>
      <c r="E1" s="23"/>
      <c r="F1" s="24" t="s">
        <v>196</v>
      </c>
      <c r="G1" s="25"/>
      <c r="H1" s="26"/>
    </row>
    <row r="2" spans="1:8" ht="15" thickBot="1" x14ac:dyDescent="0.35">
      <c r="A2" s="27"/>
      <c r="B2" s="28"/>
      <c r="C2" s="27"/>
      <c r="D2" s="28"/>
      <c r="E2" s="23" t="s">
        <v>197</v>
      </c>
      <c r="F2" s="29" t="s">
        <v>198</v>
      </c>
      <c r="G2" s="29" t="s">
        <v>199</v>
      </c>
      <c r="H2" s="29" t="s">
        <v>200</v>
      </c>
    </row>
    <row r="3" spans="1:8" ht="15" thickBot="1" x14ac:dyDescent="0.35">
      <c r="A3" s="34" t="s">
        <v>61</v>
      </c>
      <c r="B3" s="34" t="s">
        <v>60</v>
      </c>
      <c r="C3" s="30" t="s">
        <v>200</v>
      </c>
      <c r="D3" s="32"/>
      <c r="E3" s="31"/>
      <c r="F3" s="33">
        <v>28307.3</v>
      </c>
      <c r="G3" s="33">
        <v>2719.08</v>
      </c>
      <c r="H3" s="33">
        <v>31026.38</v>
      </c>
    </row>
    <row r="4" spans="1:8" ht="15" thickBot="1" x14ac:dyDescent="0.35">
      <c r="A4" s="35" t="s">
        <v>34</v>
      </c>
      <c r="B4" s="35"/>
      <c r="C4" s="36" t="s">
        <v>201</v>
      </c>
      <c r="D4" s="37" t="s">
        <v>46</v>
      </c>
      <c r="E4" s="38"/>
      <c r="F4" s="39">
        <v>12649.38</v>
      </c>
      <c r="G4" s="40">
        <v>627.92999999999995</v>
      </c>
      <c r="H4" s="33">
        <v>13277.3</v>
      </c>
    </row>
    <row r="5" spans="1:8" ht="15" thickBot="1" x14ac:dyDescent="0.35">
      <c r="A5" s="35" t="s">
        <v>34</v>
      </c>
      <c r="B5" s="35"/>
      <c r="C5" s="36" t="s">
        <v>202</v>
      </c>
      <c r="D5" s="37" t="s">
        <v>203</v>
      </c>
      <c r="E5" s="38"/>
      <c r="F5" s="39">
        <v>8476.23</v>
      </c>
      <c r="G5" s="39">
        <v>1440.55</v>
      </c>
      <c r="H5" s="33">
        <v>9916.7800000000007</v>
      </c>
    </row>
    <row r="6" spans="1:8" ht="15" thickBot="1" x14ac:dyDescent="0.35">
      <c r="A6" s="41" t="s">
        <v>34</v>
      </c>
      <c r="B6" s="41"/>
      <c r="C6" s="36" t="s">
        <v>204</v>
      </c>
      <c r="D6" s="37" t="s">
        <v>205</v>
      </c>
      <c r="E6" s="38"/>
      <c r="F6" s="39">
        <v>7181.7</v>
      </c>
      <c r="G6" s="40">
        <v>650.6</v>
      </c>
      <c r="H6" s="33">
        <v>7832.3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2"/>
  <sheetViews>
    <sheetView showGridLines="0" zoomScale="120" zoomScaleNormal="120" workbookViewId="0">
      <pane xSplit="1" ySplit="1" topLeftCell="E2" activePane="bottomRight" state="frozen"/>
      <selection pane="topRight" activeCell="B1" sqref="B1"/>
      <selection pane="bottomLeft" activeCell="A2" sqref="A2"/>
      <selection pane="bottomRight" activeCell="E27" sqref="E27"/>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11</v>
      </c>
      <c r="B1" s="9" t="s">
        <v>12</v>
      </c>
      <c r="C1" s="9" t="s">
        <v>13</v>
      </c>
      <c r="D1" s="9" t="s">
        <v>14</v>
      </c>
      <c r="E1" s="9" t="s">
        <v>15</v>
      </c>
      <c r="F1" s="9" t="s">
        <v>16</v>
      </c>
      <c r="G1" s="9" t="s">
        <v>17</v>
      </c>
      <c r="H1" s="9" t="s">
        <v>18</v>
      </c>
      <c r="I1" s="8" t="s">
        <v>19</v>
      </c>
      <c r="J1" s="9" t="s">
        <v>20</v>
      </c>
      <c r="K1" s="8" t="s">
        <v>21</v>
      </c>
      <c r="L1" s="9" t="s">
        <v>22</v>
      </c>
      <c r="M1" s="10" t="s">
        <v>23</v>
      </c>
      <c r="N1" s="11" t="s">
        <v>24</v>
      </c>
      <c r="O1" s="12" t="s">
        <v>25</v>
      </c>
      <c r="P1" s="11" t="s">
        <v>26</v>
      </c>
      <c r="Q1" s="12" t="s">
        <v>27</v>
      </c>
      <c r="R1" s="11" t="s">
        <v>28</v>
      </c>
      <c r="S1" s="11" t="s">
        <v>29</v>
      </c>
      <c r="T1" s="11" t="s">
        <v>30</v>
      </c>
      <c r="U1" s="11" t="s">
        <v>31</v>
      </c>
    </row>
    <row r="2" spans="1:21" x14ac:dyDescent="0.2">
      <c r="A2" s="69" t="s">
        <v>59</v>
      </c>
      <c r="B2" s="69" t="s">
        <v>60</v>
      </c>
      <c r="C2" s="69" t="s">
        <v>72</v>
      </c>
      <c r="D2" s="69" t="s">
        <v>87</v>
      </c>
      <c r="E2" s="69" t="s">
        <v>88</v>
      </c>
      <c r="F2" s="69" t="s">
        <v>42</v>
      </c>
      <c r="G2" s="69" t="s">
        <v>89</v>
      </c>
      <c r="H2" s="69" t="s">
        <v>32</v>
      </c>
      <c r="I2" s="69" t="s">
        <v>59</v>
      </c>
      <c r="J2" s="69" t="s">
        <v>60</v>
      </c>
      <c r="K2" s="70">
        <v>0.5</v>
      </c>
      <c r="L2" s="69" t="s">
        <v>61</v>
      </c>
      <c r="M2" s="69">
        <v>2016</v>
      </c>
      <c r="N2" s="69" t="s">
        <v>45</v>
      </c>
      <c r="O2" s="71" t="s">
        <v>33</v>
      </c>
      <c r="P2" s="69" t="s">
        <v>34</v>
      </c>
      <c r="Q2" s="71" t="s">
        <v>34</v>
      </c>
      <c r="R2" s="72">
        <v>50</v>
      </c>
      <c r="S2" s="70">
        <v>0.25</v>
      </c>
      <c r="T2" s="70">
        <v>0.25</v>
      </c>
      <c r="U2" s="70">
        <v>0</v>
      </c>
    </row>
    <row r="3" spans="1:21" x14ac:dyDescent="0.2">
      <c r="A3" s="69" t="s">
        <v>59</v>
      </c>
      <c r="B3" s="69" t="s">
        <v>60</v>
      </c>
      <c r="C3" s="69" t="s">
        <v>72</v>
      </c>
      <c r="D3" s="69" t="s">
        <v>87</v>
      </c>
      <c r="E3" s="69" t="s">
        <v>88</v>
      </c>
      <c r="F3" s="69" t="s">
        <v>42</v>
      </c>
      <c r="G3" s="69" t="s">
        <v>83</v>
      </c>
      <c r="H3" s="69" t="s">
        <v>32</v>
      </c>
      <c r="I3" s="69" t="s">
        <v>59</v>
      </c>
      <c r="J3" s="69" t="s">
        <v>60</v>
      </c>
      <c r="K3" s="70">
        <v>0.5</v>
      </c>
      <c r="L3" s="69" t="s">
        <v>61</v>
      </c>
      <c r="M3" s="69">
        <v>2016</v>
      </c>
      <c r="N3" s="69" t="s">
        <v>45</v>
      </c>
      <c r="O3" s="71" t="s">
        <v>33</v>
      </c>
      <c r="P3" s="69" t="s">
        <v>34</v>
      </c>
      <c r="Q3" s="71" t="s">
        <v>34</v>
      </c>
      <c r="R3" s="72">
        <v>50</v>
      </c>
      <c r="S3" s="70">
        <v>0.25</v>
      </c>
      <c r="T3" s="70">
        <v>0.25</v>
      </c>
      <c r="U3" s="70">
        <v>0</v>
      </c>
    </row>
    <row r="4" spans="1:21" x14ac:dyDescent="0.2">
      <c r="A4" s="69" t="s">
        <v>59</v>
      </c>
      <c r="B4" s="69" t="s">
        <v>60</v>
      </c>
      <c r="C4" s="69" t="s">
        <v>72</v>
      </c>
      <c r="D4" s="69" t="s">
        <v>73</v>
      </c>
      <c r="E4" s="69" t="s">
        <v>74</v>
      </c>
      <c r="F4" s="69" t="s">
        <v>75</v>
      </c>
      <c r="G4" s="69" t="s">
        <v>62</v>
      </c>
      <c r="H4" s="69" t="s">
        <v>32</v>
      </c>
      <c r="I4" s="69" t="s">
        <v>59</v>
      </c>
      <c r="J4" s="69" t="s">
        <v>60</v>
      </c>
      <c r="K4" s="70">
        <v>0.5</v>
      </c>
      <c r="L4" s="69" t="s">
        <v>61</v>
      </c>
      <c r="M4" s="69">
        <v>2016</v>
      </c>
      <c r="N4" s="69" t="s">
        <v>45</v>
      </c>
      <c r="O4" s="71" t="s">
        <v>44</v>
      </c>
      <c r="P4" s="69" t="s">
        <v>34</v>
      </c>
      <c r="Q4" s="71" t="s">
        <v>34</v>
      </c>
      <c r="R4" s="72">
        <v>80</v>
      </c>
      <c r="S4" s="70">
        <v>0.4</v>
      </c>
      <c r="T4" s="70">
        <v>0.1</v>
      </c>
      <c r="U4" s="70">
        <v>0</v>
      </c>
    </row>
    <row r="5" spans="1:21" x14ac:dyDescent="0.2">
      <c r="A5" s="69" t="s">
        <v>59</v>
      </c>
      <c r="B5" s="69" t="s">
        <v>60</v>
      </c>
      <c r="C5" s="69" t="s">
        <v>72</v>
      </c>
      <c r="D5" s="69" t="s">
        <v>73</v>
      </c>
      <c r="E5" s="69" t="s">
        <v>74</v>
      </c>
      <c r="F5" s="69" t="s">
        <v>75</v>
      </c>
      <c r="G5" s="69" t="s">
        <v>76</v>
      </c>
      <c r="H5" s="69" t="s">
        <v>32</v>
      </c>
      <c r="I5" s="69" t="s">
        <v>59</v>
      </c>
      <c r="J5" s="69" t="s">
        <v>60</v>
      </c>
      <c r="K5" s="70">
        <v>0.5</v>
      </c>
      <c r="L5" s="69" t="s">
        <v>61</v>
      </c>
      <c r="M5" s="69">
        <v>2016</v>
      </c>
      <c r="N5" s="69" t="s">
        <v>45</v>
      </c>
      <c r="O5" s="71" t="s">
        <v>44</v>
      </c>
      <c r="P5" s="69" t="s">
        <v>34</v>
      </c>
      <c r="Q5" s="71" t="s">
        <v>34</v>
      </c>
      <c r="R5" s="72">
        <v>80</v>
      </c>
      <c r="S5" s="70">
        <v>0.4</v>
      </c>
      <c r="T5" s="70">
        <v>0.1</v>
      </c>
      <c r="U5" s="70">
        <v>0</v>
      </c>
    </row>
    <row r="6" spans="1:21" x14ac:dyDescent="0.2">
      <c r="A6" s="69" t="s">
        <v>54</v>
      </c>
      <c r="B6" s="69" t="s">
        <v>55</v>
      </c>
      <c r="C6" s="69" t="s">
        <v>56</v>
      </c>
      <c r="D6" s="69" t="s">
        <v>80</v>
      </c>
      <c r="E6" s="69" t="s">
        <v>81</v>
      </c>
      <c r="F6" s="69" t="s">
        <v>40</v>
      </c>
      <c r="G6" s="69" t="s">
        <v>82</v>
      </c>
      <c r="H6" s="69" t="s">
        <v>32</v>
      </c>
      <c r="I6" s="69" t="s">
        <v>59</v>
      </c>
      <c r="J6" s="69" t="s">
        <v>60</v>
      </c>
      <c r="K6" s="70">
        <v>0.5</v>
      </c>
      <c r="L6" s="69" t="s">
        <v>61</v>
      </c>
      <c r="M6" s="69">
        <v>2016</v>
      </c>
      <c r="N6" s="69" t="s">
        <v>45</v>
      </c>
      <c r="O6" s="71" t="s">
        <v>44</v>
      </c>
      <c r="P6" s="69" t="s">
        <v>34</v>
      </c>
      <c r="Q6" s="71" t="s">
        <v>34</v>
      </c>
      <c r="R6" s="72">
        <v>80</v>
      </c>
      <c r="S6" s="70">
        <v>0.4</v>
      </c>
      <c r="T6" s="70">
        <v>0.1</v>
      </c>
      <c r="U6" s="70">
        <v>0</v>
      </c>
    </row>
    <row r="7" spans="1:21" x14ac:dyDescent="0.2">
      <c r="A7" s="69" t="s">
        <v>54</v>
      </c>
      <c r="B7" s="69" t="s">
        <v>55</v>
      </c>
      <c r="C7" s="69" t="s">
        <v>56</v>
      </c>
      <c r="D7" s="69" t="s">
        <v>80</v>
      </c>
      <c r="E7" s="69" t="s">
        <v>81</v>
      </c>
      <c r="F7" s="69" t="s">
        <v>40</v>
      </c>
      <c r="G7" s="69" t="s">
        <v>83</v>
      </c>
      <c r="H7" s="69" t="s">
        <v>32</v>
      </c>
      <c r="I7" s="69" t="s">
        <v>59</v>
      </c>
      <c r="J7" s="69" t="s">
        <v>60</v>
      </c>
      <c r="K7" s="70">
        <v>0.5</v>
      </c>
      <c r="L7" s="69" t="s">
        <v>61</v>
      </c>
      <c r="M7" s="69">
        <v>2016</v>
      </c>
      <c r="N7" s="69" t="s">
        <v>45</v>
      </c>
      <c r="O7" s="71" t="s">
        <v>33</v>
      </c>
      <c r="P7" s="69" t="s">
        <v>34</v>
      </c>
      <c r="Q7" s="71" t="s">
        <v>34</v>
      </c>
      <c r="R7" s="72">
        <v>50</v>
      </c>
      <c r="S7" s="70">
        <v>0.25</v>
      </c>
      <c r="T7" s="70">
        <v>0.25</v>
      </c>
      <c r="U7" s="70">
        <v>0</v>
      </c>
    </row>
    <row r="8" spans="1:21" x14ac:dyDescent="0.2">
      <c r="A8" s="69" t="s">
        <v>54</v>
      </c>
      <c r="B8" s="69" t="s">
        <v>55</v>
      </c>
      <c r="C8" s="69" t="s">
        <v>56</v>
      </c>
      <c r="D8" s="69" t="s">
        <v>90</v>
      </c>
      <c r="E8" s="69" t="s">
        <v>91</v>
      </c>
      <c r="F8" s="69" t="s">
        <v>92</v>
      </c>
      <c r="G8" s="69" t="s">
        <v>62</v>
      </c>
      <c r="H8" s="69" t="s">
        <v>32</v>
      </c>
      <c r="I8" s="69" t="s">
        <v>59</v>
      </c>
      <c r="J8" s="69" t="s">
        <v>60</v>
      </c>
      <c r="K8" s="70">
        <v>0.5</v>
      </c>
      <c r="L8" s="69" t="s">
        <v>61</v>
      </c>
      <c r="M8" s="69">
        <v>2016</v>
      </c>
      <c r="N8" s="69" t="s">
        <v>45</v>
      </c>
      <c r="O8" s="71" t="s">
        <v>44</v>
      </c>
      <c r="P8" s="69" t="s">
        <v>34</v>
      </c>
      <c r="Q8" s="71" t="s">
        <v>34</v>
      </c>
      <c r="R8" s="72">
        <v>80</v>
      </c>
      <c r="S8" s="70">
        <v>0.4</v>
      </c>
      <c r="T8" s="70">
        <v>0.1</v>
      </c>
      <c r="U8" s="70">
        <v>0</v>
      </c>
    </row>
    <row r="9" spans="1:21" x14ac:dyDescent="0.2">
      <c r="A9" s="69" t="s">
        <v>54</v>
      </c>
      <c r="B9" s="69" t="s">
        <v>55</v>
      </c>
      <c r="C9" s="69" t="s">
        <v>56</v>
      </c>
      <c r="D9" s="69" t="s">
        <v>90</v>
      </c>
      <c r="E9" s="69" t="s">
        <v>91</v>
      </c>
      <c r="F9" s="69" t="s">
        <v>92</v>
      </c>
      <c r="G9" s="69" t="s">
        <v>76</v>
      </c>
      <c r="H9" s="69" t="s">
        <v>32</v>
      </c>
      <c r="I9" s="69" t="s">
        <v>59</v>
      </c>
      <c r="J9" s="69" t="s">
        <v>60</v>
      </c>
      <c r="K9" s="70">
        <v>0.5</v>
      </c>
      <c r="L9" s="69" t="s">
        <v>61</v>
      </c>
      <c r="M9" s="69">
        <v>2016</v>
      </c>
      <c r="N9" s="69" t="s">
        <v>45</v>
      </c>
      <c r="O9" s="71" t="s">
        <v>44</v>
      </c>
      <c r="P9" s="69" t="s">
        <v>34</v>
      </c>
      <c r="Q9" s="71" t="s">
        <v>34</v>
      </c>
      <c r="R9" s="72">
        <v>80</v>
      </c>
      <c r="S9" s="70">
        <v>0.4</v>
      </c>
      <c r="T9" s="70">
        <v>0.1</v>
      </c>
      <c r="U9" s="70">
        <v>0</v>
      </c>
    </row>
    <row r="10" spans="1:21" x14ac:dyDescent="0.2">
      <c r="A10" s="69" t="s">
        <v>64</v>
      </c>
      <c r="B10" s="69" t="s">
        <v>65</v>
      </c>
      <c r="C10" s="69" t="s">
        <v>68</v>
      </c>
      <c r="D10" s="69" t="s">
        <v>77</v>
      </c>
      <c r="E10" s="69" t="s">
        <v>78</v>
      </c>
      <c r="F10" s="69" t="s">
        <v>50</v>
      </c>
      <c r="G10" s="69" t="s">
        <v>79</v>
      </c>
      <c r="H10" s="69" t="s">
        <v>38</v>
      </c>
      <c r="I10" s="69" t="s">
        <v>59</v>
      </c>
      <c r="J10" s="69" t="s">
        <v>60</v>
      </c>
      <c r="K10" s="70">
        <v>1</v>
      </c>
      <c r="L10" s="69" t="s">
        <v>61</v>
      </c>
      <c r="M10" s="69">
        <v>2016</v>
      </c>
      <c r="N10" s="69" t="s">
        <v>34</v>
      </c>
      <c r="O10" s="71" t="s">
        <v>34</v>
      </c>
      <c r="P10" s="69" t="s">
        <v>34</v>
      </c>
      <c r="Q10" s="71" t="s">
        <v>34</v>
      </c>
      <c r="R10" s="72">
        <v>100</v>
      </c>
      <c r="S10" s="70">
        <v>1</v>
      </c>
      <c r="T10" s="70">
        <v>0</v>
      </c>
      <c r="U10" s="70">
        <v>0</v>
      </c>
    </row>
    <row r="11" spans="1:21" x14ac:dyDescent="0.2">
      <c r="A11" s="69" t="s">
        <v>64</v>
      </c>
      <c r="B11" s="69" t="s">
        <v>65</v>
      </c>
      <c r="C11" s="69" t="s">
        <v>66</v>
      </c>
      <c r="D11" s="69" t="s">
        <v>84</v>
      </c>
      <c r="E11" s="69" t="s">
        <v>85</v>
      </c>
      <c r="F11" s="69" t="s">
        <v>57</v>
      </c>
      <c r="G11" s="69" t="s">
        <v>67</v>
      </c>
      <c r="H11" s="69" t="s">
        <v>32</v>
      </c>
      <c r="I11" s="69" t="s">
        <v>59</v>
      </c>
      <c r="J11" s="69" t="s">
        <v>60</v>
      </c>
      <c r="K11" s="70">
        <v>0.5</v>
      </c>
      <c r="L11" s="69" t="s">
        <v>61</v>
      </c>
      <c r="M11" s="69">
        <v>2016</v>
      </c>
      <c r="N11" s="69" t="s">
        <v>43</v>
      </c>
      <c r="O11" s="71" t="s">
        <v>44</v>
      </c>
      <c r="P11" s="69" t="s">
        <v>34</v>
      </c>
      <c r="Q11" s="71" t="s">
        <v>34</v>
      </c>
      <c r="R11" s="72">
        <v>80</v>
      </c>
      <c r="S11" s="70">
        <v>0.4</v>
      </c>
      <c r="T11" s="70">
        <v>0.1</v>
      </c>
      <c r="U11" s="70">
        <v>0</v>
      </c>
    </row>
    <row r="12" spans="1:21" x14ac:dyDescent="0.2">
      <c r="A12" s="69" t="s">
        <v>64</v>
      </c>
      <c r="B12" s="69" t="s">
        <v>65</v>
      </c>
      <c r="C12" s="69" t="s">
        <v>66</v>
      </c>
      <c r="D12" s="69" t="s">
        <v>84</v>
      </c>
      <c r="E12" s="69" t="s">
        <v>85</v>
      </c>
      <c r="F12" s="69" t="s">
        <v>57</v>
      </c>
      <c r="G12" s="69" t="s">
        <v>86</v>
      </c>
      <c r="H12" s="69" t="s">
        <v>32</v>
      </c>
      <c r="I12" s="69" t="s">
        <v>59</v>
      </c>
      <c r="J12" s="69" t="s">
        <v>60</v>
      </c>
      <c r="K12" s="70">
        <v>0.5</v>
      </c>
      <c r="L12" s="69" t="s">
        <v>61</v>
      </c>
      <c r="M12" s="69">
        <v>2016</v>
      </c>
      <c r="N12" s="69" t="s">
        <v>43</v>
      </c>
      <c r="O12" s="71" t="s">
        <v>33</v>
      </c>
      <c r="P12" s="69" t="s">
        <v>34</v>
      </c>
      <c r="Q12" s="71" t="s">
        <v>34</v>
      </c>
      <c r="R12" s="72">
        <v>50</v>
      </c>
      <c r="S12" s="70">
        <v>0.25</v>
      </c>
      <c r="T12" s="70">
        <v>0.25</v>
      </c>
      <c r="U12" s="70">
        <v>0</v>
      </c>
    </row>
    <row r="13" spans="1:21" x14ac:dyDescent="0.2">
      <c r="A13" s="69" t="s">
        <v>64</v>
      </c>
      <c r="B13" s="69" t="s">
        <v>65</v>
      </c>
      <c r="C13" s="69" t="s">
        <v>66</v>
      </c>
      <c r="D13" s="69" t="s">
        <v>93</v>
      </c>
      <c r="E13" s="69" t="s">
        <v>94</v>
      </c>
      <c r="F13" s="69" t="s">
        <v>39</v>
      </c>
      <c r="G13" s="69" t="s">
        <v>71</v>
      </c>
      <c r="H13" s="69" t="s">
        <v>32</v>
      </c>
      <c r="I13" s="69" t="s">
        <v>59</v>
      </c>
      <c r="J13" s="69" t="s">
        <v>60</v>
      </c>
      <c r="K13" s="70">
        <v>0.5</v>
      </c>
      <c r="L13" s="69" t="s">
        <v>61</v>
      </c>
      <c r="M13" s="69">
        <v>2016</v>
      </c>
      <c r="N13" s="69" t="s">
        <v>45</v>
      </c>
      <c r="O13" s="71" t="s">
        <v>33</v>
      </c>
      <c r="P13" s="69" t="s">
        <v>34</v>
      </c>
      <c r="Q13" s="71" t="s">
        <v>34</v>
      </c>
      <c r="R13" s="72">
        <v>50</v>
      </c>
      <c r="S13" s="70">
        <v>0.25</v>
      </c>
      <c r="T13" s="70">
        <v>0.25</v>
      </c>
      <c r="U13" s="70">
        <v>0</v>
      </c>
    </row>
    <row r="14" spans="1:21" x14ac:dyDescent="0.2">
      <c r="A14" s="69" t="s">
        <v>52</v>
      </c>
      <c r="B14" s="69" t="s">
        <v>53</v>
      </c>
      <c r="C14" s="69" t="s">
        <v>98</v>
      </c>
      <c r="D14" s="69" t="s">
        <v>99</v>
      </c>
      <c r="E14" s="69" t="s">
        <v>100</v>
      </c>
      <c r="F14" s="69" t="s">
        <v>51</v>
      </c>
      <c r="G14" s="69" t="s">
        <v>69</v>
      </c>
      <c r="H14" s="69" t="s">
        <v>32</v>
      </c>
      <c r="I14" s="69" t="s">
        <v>59</v>
      </c>
      <c r="J14" s="69" t="s">
        <v>60</v>
      </c>
      <c r="K14" s="70">
        <v>0.5</v>
      </c>
      <c r="L14" s="69" t="s">
        <v>61</v>
      </c>
      <c r="M14" s="69">
        <v>2017</v>
      </c>
      <c r="N14" s="69" t="s">
        <v>43</v>
      </c>
      <c r="O14" s="71" t="s">
        <v>33</v>
      </c>
      <c r="P14" s="69" t="s">
        <v>34</v>
      </c>
      <c r="Q14" s="71" t="s">
        <v>34</v>
      </c>
      <c r="R14" s="72">
        <v>50</v>
      </c>
      <c r="S14" s="70">
        <v>0.25</v>
      </c>
      <c r="T14" s="70">
        <v>0.25</v>
      </c>
      <c r="U14" s="70">
        <v>0</v>
      </c>
    </row>
    <row r="15" spans="1:21" x14ac:dyDescent="0.2">
      <c r="A15" s="69" t="s">
        <v>35</v>
      </c>
      <c r="B15" s="69" t="s">
        <v>36</v>
      </c>
      <c r="C15" s="69" t="s">
        <v>37</v>
      </c>
      <c r="D15" s="69" t="s">
        <v>95</v>
      </c>
      <c r="E15" s="69" t="s">
        <v>96</v>
      </c>
      <c r="F15" s="69" t="s">
        <v>47</v>
      </c>
      <c r="G15" s="69" t="s">
        <v>58</v>
      </c>
      <c r="H15" s="69" t="s">
        <v>32</v>
      </c>
      <c r="I15" s="69" t="s">
        <v>59</v>
      </c>
      <c r="J15" s="69" t="s">
        <v>60</v>
      </c>
      <c r="K15" s="70">
        <v>0.5</v>
      </c>
      <c r="L15" s="69" t="s">
        <v>61</v>
      </c>
      <c r="M15" s="69">
        <v>2017</v>
      </c>
      <c r="N15" s="69" t="s">
        <v>34</v>
      </c>
      <c r="O15" s="71" t="s">
        <v>34</v>
      </c>
      <c r="P15" s="69" t="s">
        <v>34</v>
      </c>
      <c r="Q15" s="71" t="s">
        <v>34</v>
      </c>
      <c r="R15" s="72">
        <v>100</v>
      </c>
      <c r="S15" s="70">
        <v>0.5</v>
      </c>
      <c r="T15" s="70">
        <v>0</v>
      </c>
      <c r="U15" s="70">
        <v>0</v>
      </c>
    </row>
    <row r="16" spans="1:21" x14ac:dyDescent="0.2">
      <c r="A16" s="69" t="s">
        <v>35</v>
      </c>
      <c r="B16" s="69" t="s">
        <v>36</v>
      </c>
      <c r="C16" s="69" t="s">
        <v>37</v>
      </c>
      <c r="D16" s="69" t="s">
        <v>95</v>
      </c>
      <c r="E16" s="69" t="s">
        <v>96</v>
      </c>
      <c r="F16" s="69" t="s">
        <v>47</v>
      </c>
      <c r="G16" s="69" t="s">
        <v>97</v>
      </c>
      <c r="H16" s="69" t="s">
        <v>32</v>
      </c>
      <c r="I16" s="69" t="s">
        <v>59</v>
      </c>
      <c r="J16" s="69" t="s">
        <v>60</v>
      </c>
      <c r="K16" s="70">
        <v>0.5</v>
      </c>
      <c r="L16" s="69" t="s">
        <v>61</v>
      </c>
      <c r="M16" s="69">
        <v>2017</v>
      </c>
      <c r="N16" s="69" t="s">
        <v>34</v>
      </c>
      <c r="O16" s="71" t="s">
        <v>34</v>
      </c>
      <c r="P16" s="69" t="s">
        <v>34</v>
      </c>
      <c r="Q16" s="71" t="s">
        <v>34</v>
      </c>
      <c r="R16" s="72">
        <v>100</v>
      </c>
      <c r="S16" s="70">
        <v>0.5</v>
      </c>
      <c r="T16" s="70">
        <v>0</v>
      </c>
      <c r="U16" s="70">
        <v>0</v>
      </c>
    </row>
    <row r="17" spans="1:21" x14ac:dyDescent="0.2">
      <c r="A17" s="69" t="s">
        <v>54</v>
      </c>
      <c r="B17" s="69" t="s">
        <v>55</v>
      </c>
      <c r="C17" s="69" t="s">
        <v>56</v>
      </c>
      <c r="D17" s="69" t="s">
        <v>101</v>
      </c>
      <c r="E17" s="69" t="s">
        <v>102</v>
      </c>
      <c r="F17" s="69" t="s">
        <v>41</v>
      </c>
      <c r="G17" s="69" t="s">
        <v>71</v>
      </c>
      <c r="H17" s="69" t="s">
        <v>38</v>
      </c>
      <c r="I17" s="69" t="s">
        <v>59</v>
      </c>
      <c r="J17" s="69" t="s">
        <v>60</v>
      </c>
      <c r="K17" s="70">
        <v>1</v>
      </c>
      <c r="L17" s="69" t="s">
        <v>61</v>
      </c>
      <c r="M17" s="69">
        <v>2017</v>
      </c>
      <c r="N17" s="69" t="s">
        <v>45</v>
      </c>
      <c r="O17" s="71" t="s">
        <v>33</v>
      </c>
      <c r="P17" s="69" t="s">
        <v>34</v>
      </c>
      <c r="Q17" s="71" t="s">
        <v>34</v>
      </c>
      <c r="R17" s="72">
        <v>50</v>
      </c>
      <c r="S17" s="70">
        <v>0.5</v>
      </c>
      <c r="T17" s="70">
        <v>0.5</v>
      </c>
      <c r="U17" s="70">
        <v>0</v>
      </c>
    </row>
    <row r="18" spans="1:21" x14ac:dyDescent="0.2">
      <c r="A18" s="69" t="s">
        <v>64</v>
      </c>
      <c r="B18" s="69" t="s">
        <v>65</v>
      </c>
      <c r="C18" s="69" t="s">
        <v>66</v>
      </c>
      <c r="D18" s="69" t="s">
        <v>107</v>
      </c>
      <c r="E18" s="69" t="s">
        <v>108</v>
      </c>
      <c r="F18" s="69" t="s">
        <v>49</v>
      </c>
      <c r="G18" s="69" t="s">
        <v>69</v>
      </c>
      <c r="H18" s="69" t="s">
        <v>38</v>
      </c>
      <c r="I18" s="69" t="s">
        <v>59</v>
      </c>
      <c r="J18" s="69" t="s">
        <v>60</v>
      </c>
      <c r="K18" s="70">
        <v>1</v>
      </c>
      <c r="L18" s="69" t="s">
        <v>61</v>
      </c>
      <c r="M18" s="69">
        <v>2017</v>
      </c>
      <c r="N18" s="69" t="s">
        <v>43</v>
      </c>
      <c r="O18" s="71" t="s">
        <v>33</v>
      </c>
      <c r="P18" s="69" t="s">
        <v>34</v>
      </c>
      <c r="Q18" s="71" t="s">
        <v>34</v>
      </c>
      <c r="R18" s="72">
        <v>50</v>
      </c>
      <c r="S18" s="70">
        <v>0.5</v>
      </c>
      <c r="T18" s="70">
        <v>0.5</v>
      </c>
      <c r="U18" s="70">
        <v>0</v>
      </c>
    </row>
    <row r="19" spans="1:21" x14ac:dyDescent="0.2">
      <c r="A19" s="69" t="s">
        <v>64</v>
      </c>
      <c r="B19" s="69" t="s">
        <v>65</v>
      </c>
      <c r="C19" s="69" t="s">
        <v>66</v>
      </c>
      <c r="D19" s="69" t="s">
        <v>103</v>
      </c>
      <c r="E19" s="69" t="s">
        <v>104</v>
      </c>
      <c r="F19" s="69" t="s">
        <v>105</v>
      </c>
      <c r="G19" s="69" t="s">
        <v>106</v>
      </c>
      <c r="H19" s="69" t="s">
        <v>38</v>
      </c>
      <c r="I19" s="69" t="s">
        <v>59</v>
      </c>
      <c r="J19" s="69" t="s">
        <v>60</v>
      </c>
      <c r="K19" s="70">
        <v>1</v>
      </c>
      <c r="L19" s="69" t="s">
        <v>61</v>
      </c>
      <c r="M19" s="69">
        <v>2017</v>
      </c>
      <c r="N19" s="69" t="s">
        <v>43</v>
      </c>
      <c r="O19" s="71" t="s">
        <v>44</v>
      </c>
      <c r="P19" s="69" t="s">
        <v>34</v>
      </c>
      <c r="Q19" s="71" t="s">
        <v>34</v>
      </c>
      <c r="R19" s="72">
        <v>80</v>
      </c>
      <c r="S19" s="70">
        <v>0.8</v>
      </c>
      <c r="T19" s="70">
        <v>0.2</v>
      </c>
      <c r="U19" s="70">
        <v>0</v>
      </c>
    </row>
    <row r="20" spans="1:21" x14ac:dyDescent="0.2">
      <c r="A20" s="69" t="s">
        <v>54</v>
      </c>
      <c r="B20" s="69" t="s">
        <v>55</v>
      </c>
      <c r="C20" s="69" t="s">
        <v>56</v>
      </c>
      <c r="D20" s="69" t="s">
        <v>109</v>
      </c>
      <c r="E20" s="69" t="s">
        <v>110</v>
      </c>
      <c r="F20" s="69" t="s">
        <v>48</v>
      </c>
      <c r="G20" s="69" t="s">
        <v>63</v>
      </c>
      <c r="H20" s="69" t="s">
        <v>38</v>
      </c>
      <c r="I20" s="69" t="s">
        <v>59</v>
      </c>
      <c r="J20" s="69" t="s">
        <v>60</v>
      </c>
      <c r="K20" s="73">
        <v>1</v>
      </c>
      <c r="L20" s="69" t="s">
        <v>61</v>
      </c>
      <c r="M20" s="69">
        <v>2018</v>
      </c>
      <c r="N20" s="69" t="s">
        <v>45</v>
      </c>
      <c r="O20" s="71" t="s">
        <v>33</v>
      </c>
      <c r="P20" s="69" t="s">
        <v>34</v>
      </c>
      <c r="Q20" s="71" t="s">
        <v>34</v>
      </c>
      <c r="R20" s="72">
        <v>50</v>
      </c>
      <c r="S20" s="70">
        <v>0.5</v>
      </c>
      <c r="T20" s="70">
        <v>0.5</v>
      </c>
      <c r="U20" s="70">
        <v>0</v>
      </c>
    </row>
    <row r="21" spans="1:21" x14ac:dyDescent="0.2">
      <c r="A21" s="74" t="s">
        <v>54</v>
      </c>
      <c r="B21" s="74" t="s">
        <v>55</v>
      </c>
      <c r="C21" s="74" t="s">
        <v>56</v>
      </c>
      <c r="D21" s="74" t="s">
        <v>261</v>
      </c>
      <c r="E21" s="74" t="s">
        <v>262</v>
      </c>
      <c r="F21" s="74" t="s">
        <v>263</v>
      </c>
      <c r="G21" s="74" t="s">
        <v>89</v>
      </c>
      <c r="H21" s="74" t="s">
        <v>38</v>
      </c>
      <c r="I21" s="74" t="s">
        <v>59</v>
      </c>
      <c r="J21" s="74" t="s">
        <v>60</v>
      </c>
      <c r="K21" s="75">
        <v>1</v>
      </c>
      <c r="L21" s="74" t="s">
        <v>61</v>
      </c>
      <c r="M21" s="74">
        <v>2019</v>
      </c>
      <c r="N21" s="74" t="s">
        <v>45</v>
      </c>
      <c r="O21" s="76" t="s">
        <v>33</v>
      </c>
      <c r="P21" s="74" t="s">
        <v>34</v>
      </c>
      <c r="Q21" s="76" t="s">
        <v>34</v>
      </c>
      <c r="R21" s="77">
        <v>50</v>
      </c>
      <c r="S21" s="78">
        <v>0.5</v>
      </c>
      <c r="T21" s="78">
        <v>0.5</v>
      </c>
      <c r="U21" s="78">
        <v>0</v>
      </c>
    </row>
    <row r="22" spans="1:21" ht="10.8" thickBot="1" x14ac:dyDescent="0.25">
      <c r="A22" s="74" t="s">
        <v>64</v>
      </c>
      <c r="B22" s="74" t="s">
        <v>65</v>
      </c>
      <c r="C22" s="74" t="s">
        <v>66</v>
      </c>
      <c r="D22" s="74" t="s">
        <v>257</v>
      </c>
      <c r="E22" s="74" t="s">
        <v>258</v>
      </c>
      <c r="F22" s="74" t="s">
        <v>259</v>
      </c>
      <c r="G22" s="74" t="s">
        <v>260</v>
      </c>
      <c r="H22" s="74" t="s">
        <v>32</v>
      </c>
      <c r="I22" s="74" t="s">
        <v>59</v>
      </c>
      <c r="J22" s="74" t="s">
        <v>60</v>
      </c>
      <c r="K22" s="75">
        <v>0.5</v>
      </c>
      <c r="L22" s="74" t="s">
        <v>61</v>
      </c>
      <c r="M22" s="74">
        <v>2019</v>
      </c>
      <c r="N22" s="74" t="s">
        <v>43</v>
      </c>
      <c r="O22" s="76" t="s">
        <v>44</v>
      </c>
      <c r="P22" s="74" t="s">
        <v>34</v>
      </c>
      <c r="Q22" s="76" t="s">
        <v>34</v>
      </c>
      <c r="R22" s="77">
        <v>80</v>
      </c>
      <c r="S22" s="78">
        <v>0.4</v>
      </c>
      <c r="T22" s="78">
        <v>0.1</v>
      </c>
      <c r="U22" s="78">
        <v>0</v>
      </c>
    </row>
    <row r="23" spans="1:21" ht="10.8" thickBot="1" x14ac:dyDescent="0.25">
      <c r="A23" s="79" t="s">
        <v>54</v>
      </c>
      <c r="B23" s="79" t="s">
        <v>55</v>
      </c>
      <c r="C23" s="79" t="s">
        <v>56</v>
      </c>
      <c r="D23" s="79" t="s">
        <v>267</v>
      </c>
      <c r="E23" s="79" t="s">
        <v>268</v>
      </c>
      <c r="F23" s="79" t="s">
        <v>269</v>
      </c>
      <c r="G23" s="80" t="s">
        <v>83</v>
      </c>
      <c r="H23" s="81" t="s">
        <v>32</v>
      </c>
      <c r="I23" s="81" t="s">
        <v>59</v>
      </c>
      <c r="J23" s="82" t="s">
        <v>60</v>
      </c>
      <c r="K23" s="83">
        <v>0.5</v>
      </c>
      <c r="L23" s="83" t="s">
        <v>61</v>
      </c>
      <c r="M23" s="69">
        <v>2020</v>
      </c>
      <c r="N23" s="69" t="s">
        <v>45</v>
      </c>
      <c r="O23" s="71" t="s">
        <v>33</v>
      </c>
      <c r="P23" s="69" t="s">
        <v>34</v>
      </c>
      <c r="Q23" s="71" t="s">
        <v>34</v>
      </c>
      <c r="R23" s="69">
        <v>50</v>
      </c>
      <c r="S23" s="69">
        <v>0.25</v>
      </c>
      <c r="T23" s="69">
        <v>0.25</v>
      </c>
      <c r="U23" s="69">
        <v>0</v>
      </c>
    </row>
    <row r="24" spans="1:21" ht="10.8" thickBot="1" x14ac:dyDescent="0.25">
      <c r="A24" s="79" t="s">
        <v>54</v>
      </c>
      <c r="B24" s="79" t="s">
        <v>55</v>
      </c>
      <c r="C24" s="79" t="s">
        <v>56</v>
      </c>
      <c r="D24" s="79" t="s">
        <v>270</v>
      </c>
      <c r="E24" s="79" t="s">
        <v>271</v>
      </c>
      <c r="F24" s="79" t="s">
        <v>272</v>
      </c>
      <c r="G24" s="80" t="s">
        <v>63</v>
      </c>
      <c r="H24" s="81" t="s">
        <v>32</v>
      </c>
      <c r="I24" s="81" t="s">
        <v>59</v>
      </c>
      <c r="J24" s="82" t="s">
        <v>60</v>
      </c>
      <c r="K24" s="83">
        <v>0.5</v>
      </c>
      <c r="L24" s="83" t="s">
        <v>61</v>
      </c>
      <c r="M24" s="69">
        <v>2020</v>
      </c>
      <c r="N24" s="69" t="s">
        <v>45</v>
      </c>
      <c r="O24" s="71" t="s">
        <v>33</v>
      </c>
      <c r="P24" s="69" t="s">
        <v>34</v>
      </c>
      <c r="Q24" s="71" t="s">
        <v>34</v>
      </c>
      <c r="R24" s="69">
        <v>50</v>
      </c>
      <c r="S24" s="69">
        <v>0.25</v>
      </c>
      <c r="T24" s="69">
        <v>0.25</v>
      </c>
      <c r="U24" s="69">
        <v>0</v>
      </c>
    </row>
    <row r="25" spans="1:21" ht="10.8" thickBot="1" x14ac:dyDescent="0.25">
      <c r="A25" s="79" t="s">
        <v>54</v>
      </c>
      <c r="B25" s="79" t="s">
        <v>55</v>
      </c>
      <c r="C25" s="79" t="s">
        <v>56</v>
      </c>
      <c r="D25" s="79" t="s">
        <v>270</v>
      </c>
      <c r="E25" s="79" t="s">
        <v>271</v>
      </c>
      <c r="F25" s="79" t="s">
        <v>272</v>
      </c>
      <c r="G25" s="80" t="s">
        <v>273</v>
      </c>
      <c r="H25" s="81" t="s">
        <v>32</v>
      </c>
      <c r="I25" s="81" t="s">
        <v>59</v>
      </c>
      <c r="J25" s="82" t="s">
        <v>60</v>
      </c>
      <c r="K25" s="83">
        <v>0.5</v>
      </c>
      <c r="L25" s="83" t="s">
        <v>61</v>
      </c>
      <c r="M25" s="69">
        <v>2020</v>
      </c>
      <c r="N25" s="69" t="s">
        <v>45</v>
      </c>
      <c r="O25" s="71" t="s">
        <v>44</v>
      </c>
      <c r="P25" s="69" t="s">
        <v>34</v>
      </c>
      <c r="Q25" s="71" t="s">
        <v>34</v>
      </c>
      <c r="R25" s="69">
        <v>80</v>
      </c>
      <c r="S25" s="69">
        <v>0.4</v>
      </c>
      <c r="T25" s="69">
        <v>0.1</v>
      </c>
      <c r="U25" s="69">
        <v>0</v>
      </c>
    </row>
    <row r="26" spans="1:21" ht="10.8" thickBot="1" x14ac:dyDescent="0.25">
      <c r="A26" s="79" t="s">
        <v>54</v>
      </c>
      <c r="B26" s="79" t="s">
        <v>55</v>
      </c>
      <c r="C26" s="79" t="s">
        <v>56</v>
      </c>
      <c r="D26" s="79" t="s">
        <v>274</v>
      </c>
      <c r="E26" s="79" t="s">
        <v>275</v>
      </c>
      <c r="F26" s="79" t="s">
        <v>276</v>
      </c>
      <c r="G26" s="80" t="s">
        <v>63</v>
      </c>
      <c r="H26" s="81" t="s">
        <v>32</v>
      </c>
      <c r="I26" s="81" t="s">
        <v>59</v>
      </c>
      <c r="J26" s="82" t="s">
        <v>60</v>
      </c>
      <c r="K26" s="83">
        <v>0.5</v>
      </c>
      <c r="L26" s="83" t="s">
        <v>61</v>
      </c>
      <c r="M26" s="69">
        <v>2020</v>
      </c>
      <c r="N26" s="69" t="s">
        <v>45</v>
      </c>
      <c r="O26" s="71" t="s">
        <v>33</v>
      </c>
      <c r="P26" s="69" t="s">
        <v>34</v>
      </c>
      <c r="Q26" s="71" t="s">
        <v>34</v>
      </c>
      <c r="R26" s="69">
        <v>50</v>
      </c>
      <c r="S26" s="69">
        <v>0.25</v>
      </c>
      <c r="T26" s="69">
        <v>0.25</v>
      </c>
      <c r="U26" s="69">
        <v>0</v>
      </c>
    </row>
    <row r="27" spans="1:21" ht="10.8" thickBot="1" x14ac:dyDescent="0.25">
      <c r="A27" s="79" t="s">
        <v>54</v>
      </c>
      <c r="B27" s="79" t="s">
        <v>55</v>
      </c>
      <c r="C27" s="79" t="s">
        <v>56</v>
      </c>
      <c r="D27" s="79" t="s">
        <v>274</v>
      </c>
      <c r="E27" s="79" t="s">
        <v>275</v>
      </c>
      <c r="F27" s="79" t="s">
        <v>276</v>
      </c>
      <c r="G27" s="80" t="s">
        <v>273</v>
      </c>
      <c r="H27" s="81" t="s">
        <v>32</v>
      </c>
      <c r="I27" s="81" t="s">
        <v>59</v>
      </c>
      <c r="J27" s="82" t="s">
        <v>60</v>
      </c>
      <c r="K27" s="83">
        <v>0.5</v>
      </c>
      <c r="L27" s="83" t="s">
        <v>61</v>
      </c>
      <c r="M27" s="69">
        <v>2020</v>
      </c>
      <c r="N27" s="69" t="s">
        <v>45</v>
      </c>
      <c r="O27" s="71" t="s">
        <v>44</v>
      </c>
      <c r="P27" s="69" t="s">
        <v>34</v>
      </c>
      <c r="Q27" s="71" t="s">
        <v>34</v>
      </c>
      <c r="R27" s="69">
        <v>80</v>
      </c>
      <c r="S27" s="69">
        <v>0.4</v>
      </c>
      <c r="T27" s="69">
        <v>0.1</v>
      </c>
      <c r="U27" s="69">
        <v>0</v>
      </c>
    </row>
    <row r="28" spans="1:21" x14ac:dyDescent="0.2">
      <c r="A28" s="84" t="s">
        <v>64</v>
      </c>
      <c r="B28" s="84" t="s">
        <v>65</v>
      </c>
      <c r="C28" s="84" t="s">
        <v>66</v>
      </c>
      <c r="D28" s="84" t="s">
        <v>277</v>
      </c>
      <c r="E28" s="84" t="s">
        <v>278</v>
      </c>
      <c r="F28" s="84" t="s">
        <v>279</v>
      </c>
      <c r="G28" s="84" t="s">
        <v>70</v>
      </c>
      <c r="H28" s="84" t="s">
        <v>38</v>
      </c>
      <c r="I28" s="84" t="s">
        <v>59</v>
      </c>
      <c r="J28" s="84" t="s">
        <v>60</v>
      </c>
      <c r="K28" s="83">
        <v>1</v>
      </c>
      <c r="L28" s="83" t="s">
        <v>61</v>
      </c>
      <c r="M28" s="69">
        <v>2020</v>
      </c>
      <c r="N28" s="69" t="s">
        <v>43</v>
      </c>
      <c r="O28" s="71" t="s">
        <v>44</v>
      </c>
      <c r="P28" s="69" t="s">
        <v>34</v>
      </c>
      <c r="Q28" s="71" t="s">
        <v>34</v>
      </c>
      <c r="R28" s="69">
        <v>80</v>
      </c>
      <c r="S28" s="69">
        <v>0.8</v>
      </c>
      <c r="T28" s="69">
        <v>0.2</v>
      </c>
      <c r="U28" s="69">
        <v>0</v>
      </c>
    </row>
    <row r="29" spans="1:21" x14ac:dyDescent="0.2">
      <c r="A29" s="69" t="s">
        <v>52</v>
      </c>
      <c r="B29" s="69" t="s">
        <v>53</v>
      </c>
      <c r="C29" s="69" t="s">
        <v>98</v>
      </c>
      <c r="D29" s="69" t="s">
        <v>339</v>
      </c>
      <c r="E29" s="69" t="s">
        <v>340</v>
      </c>
      <c r="F29" s="69" t="s">
        <v>341</v>
      </c>
      <c r="G29" s="69" t="s">
        <v>69</v>
      </c>
      <c r="H29" s="69" t="s">
        <v>32</v>
      </c>
      <c r="I29" s="69" t="s">
        <v>59</v>
      </c>
      <c r="J29" s="69" t="s">
        <v>60</v>
      </c>
      <c r="K29" s="83">
        <v>0.5</v>
      </c>
      <c r="L29" s="83" t="s">
        <v>61</v>
      </c>
      <c r="M29" s="69">
        <v>2021</v>
      </c>
      <c r="N29" s="69" t="s">
        <v>43</v>
      </c>
      <c r="O29" s="71" t="s">
        <v>33</v>
      </c>
      <c r="P29" s="69" t="s">
        <v>34</v>
      </c>
      <c r="Q29" s="71" t="s">
        <v>34</v>
      </c>
      <c r="R29" s="69">
        <v>50</v>
      </c>
      <c r="S29" s="69">
        <v>0.25</v>
      </c>
      <c r="T29" s="69">
        <v>0.25</v>
      </c>
      <c r="U29" s="69">
        <v>0</v>
      </c>
    </row>
    <row r="30" spans="1:21" x14ac:dyDescent="0.2">
      <c r="A30" s="69" t="s">
        <v>64</v>
      </c>
      <c r="B30" s="69" t="s">
        <v>65</v>
      </c>
      <c r="C30" s="69" t="s">
        <v>66</v>
      </c>
      <c r="D30" s="69" t="s">
        <v>342</v>
      </c>
      <c r="E30" s="69" t="s">
        <v>343</v>
      </c>
      <c r="F30" s="69" t="s">
        <v>344</v>
      </c>
      <c r="G30" s="69" t="s">
        <v>345</v>
      </c>
      <c r="H30" s="69" t="s">
        <v>32</v>
      </c>
      <c r="I30" s="69" t="s">
        <v>59</v>
      </c>
      <c r="J30" s="69" t="s">
        <v>60</v>
      </c>
      <c r="K30" s="83">
        <v>0.5</v>
      </c>
      <c r="L30" s="83" t="s">
        <v>61</v>
      </c>
      <c r="M30" s="69">
        <v>2021</v>
      </c>
      <c r="N30" s="69" t="s">
        <v>43</v>
      </c>
      <c r="O30" s="71" t="s">
        <v>44</v>
      </c>
      <c r="P30" s="69" t="s">
        <v>34</v>
      </c>
      <c r="Q30" s="71" t="s">
        <v>34</v>
      </c>
      <c r="R30" s="69">
        <v>80</v>
      </c>
      <c r="S30" s="69">
        <v>0.4</v>
      </c>
      <c r="T30" s="69">
        <v>0.1</v>
      </c>
      <c r="U30" s="69">
        <v>0</v>
      </c>
    </row>
    <row r="31" spans="1:21" x14ac:dyDescent="0.2">
      <c r="A31" s="69" t="s">
        <v>64</v>
      </c>
      <c r="B31" s="69" t="s">
        <v>65</v>
      </c>
      <c r="C31" s="69" t="s">
        <v>66</v>
      </c>
      <c r="D31" s="69" t="s">
        <v>342</v>
      </c>
      <c r="E31" s="69" t="s">
        <v>343</v>
      </c>
      <c r="F31" s="69" t="s">
        <v>344</v>
      </c>
      <c r="G31" s="69" t="s">
        <v>346</v>
      </c>
      <c r="H31" s="69" t="s">
        <v>32</v>
      </c>
      <c r="I31" s="69" t="s">
        <v>59</v>
      </c>
      <c r="J31" s="69" t="s">
        <v>60</v>
      </c>
      <c r="K31" s="83">
        <v>0.5</v>
      </c>
      <c r="L31" s="83" t="s">
        <v>61</v>
      </c>
      <c r="M31" s="69">
        <v>2021</v>
      </c>
      <c r="N31" s="69" t="s">
        <v>43</v>
      </c>
      <c r="O31" s="71" t="s">
        <v>44</v>
      </c>
      <c r="P31" s="69" t="s">
        <v>34</v>
      </c>
      <c r="Q31" s="71" t="s">
        <v>34</v>
      </c>
      <c r="R31" s="69">
        <v>80</v>
      </c>
      <c r="S31" s="69">
        <v>0.4</v>
      </c>
      <c r="T31" s="69">
        <v>0.1</v>
      </c>
      <c r="U31" s="69">
        <v>0</v>
      </c>
    </row>
    <row r="32" spans="1:21" x14ac:dyDescent="0.2">
      <c r="A32" s="88"/>
      <c r="B32" s="88"/>
      <c r="C32" s="88"/>
      <c r="D32" s="88"/>
      <c r="E32" s="88"/>
      <c r="F32" s="88"/>
      <c r="G32" s="88"/>
      <c r="H32" s="88"/>
      <c r="I32" s="88"/>
      <c r="J32" s="88"/>
      <c r="K32" s="88"/>
      <c r="L32" s="88"/>
      <c r="M32" s="88"/>
      <c r="N32" s="88"/>
      <c r="O32" s="89"/>
      <c r="P32" s="88"/>
      <c r="Q32" s="89"/>
      <c r="R32" s="88"/>
      <c r="S32" s="90">
        <f>SUM(S2:S31)</f>
        <v>12.500000000000002</v>
      </c>
      <c r="T32" s="88"/>
      <c r="U32" s="88"/>
    </row>
  </sheetData>
  <autoFilter ref="A1:U1" xr:uid="{00000000-0009-0000-0000-000006000000}">
    <sortState xmlns:xlrd2="http://schemas.microsoft.com/office/spreadsheetml/2017/richdata2" ref="A2:T1880">
      <sortCondition ref="K2:K1880"/>
      <sortCondition ref="L2:L1880"/>
      <sortCondition ref="D2:D1880"/>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42"/>
  <sheetViews>
    <sheetView topLeftCell="A28" zoomScaleNormal="100" workbookViewId="0">
      <selection activeCell="S42" sqref="S42"/>
    </sheetView>
  </sheetViews>
  <sheetFormatPr baseColWidth="10" defaultColWidth="11.44140625" defaultRowHeight="13.2" x14ac:dyDescent="0.25"/>
  <cols>
    <col min="1" max="1" width="10.88671875" style="18" bestFit="1" customWidth="1"/>
    <col min="2" max="2" width="41"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0" customHeight="1" x14ac:dyDescent="0.25">
      <c r="A1" s="42" t="s">
        <v>111</v>
      </c>
      <c r="B1" s="42" t="s">
        <v>112</v>
      </c>
      <c r="C1" s="42" t="s">
        <v>113</v>
      </c>
      <c r="D1" s="43">
        <v>2017</v>
      </c>
      <c r="E1" s="43">
        <v>2018</v>
      </c>
      <c r="F1" s="43">
        <v>2019</v>
      </c>
      <c r="G1" s="43">
        <v>2020</v>
      </c>
      <c r="H1" s="43">
        <v>2021</v>
      </c>
      <c r="I1" s="43">
        <v>2022</v>
      </c>
      <c r="J1" s="42" t="s">
        <v>114</v>
      </c>
      <c r="K1" s="44" t="s">
        <v>265</v>
      </c>
      <c r="L1" s="15" t="s">
        <v>115</v>
      </c>
      <c r="M1" s="15" t="s">
        <v>116</v>
      </c>
      <c r="N1" s="15" t="s">
        <v>117</v>
      </c>
      <c r="O1" s="15" t="s">
        <v>118</v>
      </c>
      <c r="P1" s="16" t="s">
        <v>119</v>
      </c>
      <c r="Q1" s="16" t="s">
        <v>120</v>
      </c>
      <c r="R1" s="16" t="s">
        <v>121</v>
      </c>
      <c r="S1" s="16" t="s">
        <v>122</v>
      </c>
    </row>
    <row r="2" spans="1:19" ht="14.4" x14ac:dyDescent="0.3">
      <c r="A2" s="45" t="s">
        <v>129</v>
      </c>
      <c r="B2" s="45" t="s">
        <v>130</v>
      </c>
      <c r="C2" s="45">
        <v>6</v>
      </c>
      <c r="D2" s="45">
        <v>1</v>
      </c>
      <c r="E2" s="45"/>
      <c r="F2" s="45">
        <v>1</v>
      </c>
      <c r="G2" s="45"/>
      <c r="H2" s="45"/>
      <c r="I2" s="45"/>
      <c r="J2" s="45">
        <v>2</v>
      </c>
      <c r="K2" s="45" t="s">
        <v>61</v>
      </c>
      <c r="L2" s="46" t="s">
        <v>43</v>
      </c>
      <c r="M2" s="46" t="s">
        <v>33</v>
      </c>
      <c r="N2" s="46" t="s">
        <v>34</v>
      </c>
      <c r="O2" s="46" t="s">
        <v>34</v>
      </c>
      <c r="P2" s="46">
        <v>50</v>
      </c>
      <c r="Q2" s="46">
        <v>1</v>
      </c>
      <c r="R2" s="46">
        <v>0</v>
      </c>
      <c r="S2" s="46">
        <v>1</v>
      </c>
    </row>
    <row r="3" spans="1:19" ht="14.4" x14ac:dyDescent="0.3">
      <c r="A3" s="45" t="s">
        <v>188</v>
      </c>
      <c r="B3" s="45" t="s">
        <v>189</v>
      </c>
      <c r="C3" s="45" t="s">
        <v>123</v>
      </c>
      <c r="D3" s="45"/>
      <c r="E3" s="45"/>
      <c r="F3" s="45">
        <v>1</v>
      </c>
      <c r="G3" s="45"/>
      <c r="H3" s="45"/>
      <c r="I3" s="45"/>
      <c r="J3" s="45">
        <v>1</v>
      </c>
      <c r="K3" s="45" t="s">
        <v>61</v>
      </c>
      <c r="L3" s="46" t="s">
        <v>43</v>
      </c>
      <c r="M3" s="46" t="s">
        <v>44</v>
      </c>
      <c r="N3" s="46" t="s">
        <v>34</v>
      </c>
      <c r="O3" s="46" t="s">
        <v>34</v>
      </c>
      <c r="P3" s="46">
        <v>80</v>
      </c>
      <c r="Q3" s="46">
        <v>0.2</v>
      </c>
      <c r="R3" s="46">
        <v>0</v>
      </c>
      <c r="S3" s="46">
        <v>0.8</v>
      </c>
    </row>
    <row r="4" spans="1:19" ht="14.4" x14ac:dyDescent="0.3">
      <c r="A4" s="45" t="s">
        <v>347</v>
      </c>
      <c r="B4" s="45" t="s">
        <v>348</v>
      </c>
      <c r="C4" s="45" t="s">
        <v>123</v>
      </c>
      <c r="D4" s="45"/>
      <c r="E4" s="45"/>
      <c r="F4" s="45"/>
      <c r="G4" s="45"/>
      <c r="H4" s="45"/>
      <c r="I4" s="45">
        <v>1</v>
      </c>
      <c r="J4" s="45">
        <v>1</v>
      </c>
      <c r="K4" s="45" t="s">
        <v>61</v>
      </c>
      <c r="L4" s="46" t="s">
        <v>43</v>
      </c>
      <c r="M4" s="46" t="s">
        <v>33</v>
      </c>
      <c r="N4" s="46" t="s">
        <v>34</v>
      </c>
      <c r="O4" s="46" t="s">
        <v>34</v>
      </c>
      <c r="P4" s="46">
        <v>50</v>
      </c>
      <c r="Q4" s="46">
        <v>0.5</v>
      </c>
      <c r="R4" s="46">
        <v>0</v>
      </c>
      <c r="S4" s="46">
        <v>0.5</v>
      </c>
    </row>
    <row r="5" spans="1:19" ht="14.4" x14ac:dyDescent="0.3">
      <c r="A5" s="45" t="s">
        <v>182</v>
      </c>
      <c r="B5" s="45" t="s">
        <v>183</v>
      </c>
      <c r="C5" s="45" t="s">
        <v>123</v>
      </c>
      <c r="D5" s="45"/>
      <c r="E5" s="45"/>
      <c r="F5" s="45"/>
      <c r="G5" s="45"/>
      <c r="H5" s="45"/>
      <c r="I5" s="45">
        <v>1</v>
      </c>
      <c r="J5" s="45">
        <v>1</v>
      </c>
      <c r="K5" s="45" t="s">
        <v>61</v>
      </c>
      <c r="L5" s="46" t="s">
        <v>43</v>
      </c>
      <c r="M5" s="46" t="s">
        <v>33</v>
      </c>
      <c r="N5" s="46" t="s">
        <v>34</v>
      </c>
      <c r="O5" s="46" t="s">
        <v>34</v>
      </c>
      <c r="P5" s="46">
        <v>50</v>
      </c>
      <c r="Q5" s="46">
        <v>0.5</v>
      </c>
      <c r="R5" s="46">
        <v>0</v>
      </c>
      <c r="S5" s="46">
        <v>0.5</v>
      </c>
    </row>
    <row r="6" spans="1:19" ht="14.4" x14ac:dyDescent="0.3">
      <c r="A6" s="45" t="s">
        <v>143</v>
      </c>
      <c r="B6" s="45" t="s">
        <v>144</v>
      </c>
      <c r="C6" s="45" t="s">
        <v>123</v>
      </c>
      <c r="D6" s="45"/>
      <c r="E6" s="45">
        <v>1</v>
      </c>
      <c r="F6" s="45"/>
      <c r="G6" s="45"/>
      <c r="H6" s="45"/>
      <c r="I6" s="45"/>
      <c r="J6" s="45">
        <v>1</v>
      </c>
      <c r="K6" s="45" t="s">
        <v>61</v>
      </c>
      <c r="L6" s="46" t="s">
        <v>43</v>
      </c>
      <c r="M6" s="46" t="s">
        <v>44</v>
      </c>
      <c r="N6" s="46" t="s">
        <v>34</v>
      </c>
      <c r="O6" s="46" t="s">
        <v>34</v>
      </c>
      <c r="P6" s="46">
        <v>80</v>
      </c>
      <c r="Q6" s="46">
        <v>0.2</v>
      </c>
      <c r="R6" s="46">
        <v>0</v>
      </c>
      <c r="S6" s="46">
        <v>0.8</v>
      </c>
    </row>
    <row r="7" spans="1:19" ht="14.4" x14ac:dyDescent="0.3">
      <c r="A7" s="45" t="s">
        <v>166</v>
      </c>
      <c r="B7" s="45" t="s">
        <v>167</v>
      </c>
      <c r="C7" s="45" t="s">
        <v>123</v>
      </c>
      <c r="D7" s="45"/>
      <c r="E7" s="45"/>
      <c r="F7" s="45"/>
      <c r="G7" s="45"/>
      <c r="H7" s="45"/>
      <c r="I7" s="45">
        <v>1</v>
      </c>
      <c r="J7" s="45">
        <v>1</v>
      </c>
      <c r="K7" s="45" t="s">
        <v>61</v>
      </c>
      <c r="L7" s="46" t="s">
        <v>43</v>
      </c>
      <c r="M7" s="46" t="s">
        <v>44</v>
      </c>
      <c r="N7" s="46" t="s">
        <v>34</v>
      </c>
      <c r="O7" s="46" t="s">
        <v>34</v>
      </c>
      <c r="P7" s="46">
        <v>80</v>
      </c>
      <c r="Q7" s="46">
        <v>0.2</v>
      </c>
      <c r="R7" s="46">
        <v>0</v>
      </c>
      <c r="S7" s="46">
        <v>0.8</v>
      </c>
    </row>
    <row r="8" spans="1:19" ht="14.4" x14ac:dyDescent="0.3">
      <c r="A8" s="45" t="s">
        <v>155</v>
      </c>
      <c r="B8" s="45" t="s">
        <v>156</v>
      </c>
      <c r="C8" s="45" t="s">
        <v>123</v>
      </c>
      <c r="D8" s="45"/>
      <c r="E8" s="45"/>
      <c r="F8" s="45">
        <v>1</v>
      </c>
      <c r="G8" s="45"/>
      <c r="H8" s="45">
        <v>1</v>
      </c>
      <c r="I8" s="45"/>
      <c r="J8" s="45">
        <v>2</v>
      </c>
      <c r="K8" s="45" t="s">
        <v>61</v>
      </c>
      <c r="L8" s="46" t="s">
        <v>45</v>
      </c>
      <c r="M8" s="46" t="s">
        <v>33</v>
      </c>
      <c r="N8" s="46" t="s">
        <v>34</v>
      </c>
      <c r="O8" s="46" t="s">
        <v>34</v>
      </c>
      <c r="P8" s="46">
        <v>50</v>
      </c>
      <c r="Q8" s="46">
        <v>1</v>
      </c>
      <c r="R8" s="46">
        <v>0</v>
      </c>
      <c r="S8" s="46">
        <v>1</v>
      </c>
    </row>
    <row r="9" spans="1:19" ht="14.4" x14ac:dyDescent="0.3">
      <c r="A9" s="45" t="s">
        <v>127</v>
      </c>
      <c r="B9" s="45" t="s">
        <v>128</v>
      </c>
      <c r="C9" s="45" t="s">
        <v>123</v>
      </c>
      <c r="D9" s="45"/>
      <c r="E9" s="45"/>
      <c r="F9" s="45"/>
      <c r="G9" s="45">
        <v>1</v>
      </c>
      <c r="H9" s="45"/>
      <c r="I9" s="45"/>
      <c r="J9" s="45">
        <v>1</v>
      </c>
      <c r="K9" s="45" t="s">
        <v>61</v>
      </c>
      <c r="L9" s="46" t="s">
        <v>45</v>
      </c>
      <c r="M9" s="46" t="s">
        <v>44</v>
      </c>
      <c r="N9" s="46" t="s">
        <v>34</v>
      </c>
      <c r="O9" s="46" t="s">
        <v>34</v>
      </c>
      <c r="P9" s="46">
        <v>80</v>
      </c>
      <c r="Q9" s="46">
        <v>0.2</v>
      </c>
      <c r="R9" s="46">
        <v>0</v>
      </c>
      <c r="S9" s="46">
        <v>0.8</v>
      </c>
    </row>
    <row r="10" spans="1:19" ht="14.4" x14ac:dyDescent="0.3">
      <c r="A10" s="45" t="s">
        <v>164</v>
      </c>
      <c r="B10" s="45" t="s">
        <v>165</v>
      </c>
      <c r="C10" s="45" t="s">
        <v>123</v>
      </c>
      <c r="D10" s="45"/>
      <c r="E10" s="45"/>
      <c r="F10" s="45"/>
      <c r="G10" s="45"/>
      <c r="H10" s="45"/>
      <c r="I10" s="45">
        <v>1</v>
      </c>
      <c r="J10" s="45">
        <v>1</v>
      </c>
      <c r="K10" s="45" t="s">
        <v>61</v>
      </c>
      <c r="L10" s="46" t="s">
        <v>45</v>
      </c>
      <c r="M10" s="46" t="s">
        <v>33</v>
      </c>
      <c r="N10" s="46" t="s">
        <v>34</v>
      </c>
      <c r="O10" s="46" t="s">
        <v>34</v>
      </c>
      <c r="P10" s="46">
        <v>50</v>
      </c>
      <c r="Q10" s="46">
        <v>0.5</v>
      </c>
      <c r="R10" s="46">
        <v>0</v>
      </c>
      <c r="S10" s="46">
        <v>0.5</v>
      </c>
    </row>
    <row r="11" spans="1:19" ht="14.4" x14ac:dyDescent="0.3">
      <c r="A11" s="45" t="s">
        <v>186</v>
      </c>
      <c r="B11" s="45" t="s">
        <v>187</v>
      </c>
      <c r="C11" s="45" t="s">
        <v>123</v>
      </c>
      <c r="D11" s="45"/>
      <c r="E11" s="45"/>
      <c r="F11" s="45"/>
      <c r="G11" s="45">
        <v>1</v>
      </c>
      <c r="H11" s="45"/>
      <c r="I11" s="45"/>
      <c r="J11" s="45">
        <v>1</v>
      </c>
      <c r="K11" s="45" t="s">
        <v>61</v>
      </c>
      <c r="L11" s="46" t="s">
        <v>45</v>
      </c>
      <c r="M11" s="46" t="s">
        <v>44</v>
      </c>
      <c r="N11" s="46" t="s">
        <v>34</v>
      </c>
      <c r="O11" s="46" t="s">
        <v>34</v>
      </c>
      <c r="P11" s="46">
        <v>80</v>
      </c>
      <c r="Q11" s="46">
        <v>0.2</v>
      </c>
      <c r="R11" s="46">
        <v>0</v>
      </c>
      <c r="S11" s="46">
        <v>0.8</v>
      </c>
    </row>
    <row r="12" spans="1:19" ht="14.4" x14ac:dyDescent="0.3">
      <c r="A12" s="45" t="s">
        <v>349</v>
      </c>
      <c r="B12" s="45" t="s">
        <v>350</v>
      </c>
      <c r="C12" s="45" t="s">
        <v>124</v>
      </c>
      <c r="D12" s="45"/>
      <c r="E12" s="45"/>
      <c r="F12" s="45"/>
      <c r="G12" s="45"/>
      <c r="H12" s="45"/>
      <c r="I12" s="45">
        <v>1</v>
      </c>
      <c r="J12" s="45">
        <v>1</v>
      </c>
      <c r="K12" s="45" t="s">
        <v>61</v>
      </c>
      <c r="L12" s="46" t="s">
        <v>43</v>
      </c>
      <c r="M12" s="46" t="s">
        <v>44</v>
      </c>
      <c r="N12" s="46" t="s">
        <v>34</v>
      </c>
      <c r="O12" s="46" t="s">
        <v>34</v>
      </c>
      <c r="P12" s="46">
        <v>80</v>
      </c>
      <c r="Q12" s="46">
        <v>0.2</v>
      </c>
      <c r="R12" s="46">
        <v>0</v>
      </c>
      <c r="S12" s="46">
        <v>0.8</v>
      </c>
    </row>
    <row r="13" spans="1:19" ht="14.4" x14ac:dyDescent="0.3">
      <c r="A13" s="45" t="s">
        <v>162</v>
      </c>
      <c r="B13" s="45" t="s">
        <v>163</v>
      </c>
      <c r="C13" s="45" t="s">
        <v>123</v>
      </c>
      <c r="D13" s="45"/>
      <c r="E13" s="45"/>
      <c r="F13" s="45"/>
      <c r="G13" s="45">
        <v>1</v>
      </c>
      <c r="H13" s="45">
        <v>1</v>
      </c>
      <c r="I13" s="45"/>
      <c r="J13" s="45">
        <v>2</v>
      </c>
      <c r="K13" s="45" t="s">
        <v>61</v>
      </c>
      <c r="L13" s="46" t="s">
        <v>43</v>
      </c>
      <c r="M13" s="46" t="s">
        <v>44</v>
      </c>
      <c r="N13" s="46" t="s">
        <v>34</v>
      </c>
      <c r="O13" s="46" t="s">
        <v>34</v>
      </c>
      <c r="P13" s="46">
        <v>80</v>
      </c>
      <c r="Q13" s="46">
        <v>0.4</v>
      </c>
      <c r="R13" s="46">
        <v>0</v>
      </c>
      <c r="S13" s="46">
        <v>1.6</v>
      </c>
    </row>
    <row r="14" spans="1:19" ht="14.4" x14ac:dyDescent="0.3">
      <c r="A14" s="45" t="s">
        <v>190</v>
      </c>
      <c r="B14" s="45" t="s">
        <v>191</v>
      </c>
      <c r="C14" s="45" t="s">
        <v>123</v>
      </c>
      <c r="D14" s="45"/>
      <c r="E14" s="45">
        <v>1</v>
      </c>
      <c r="F14" s="45"/>
      <c r="G14" s="45"/>
      <c r="H14" s="45"/>
      <c r="I14" s="45"/>
      <c r="J14" s="45">
        <v>1</v>
      </c>
      <c r="K14" s="45" t="s">
        <v>61</v>
      </c>
      <c r="L14" s="46" t="s">
        <v>45</v>
      </c>
      <c r="M14" s="46" t="s">
        <v>33</v>
      </c>
      <c r="N14" s="46" t="s">
        <v>34</v>
      </c>
      <c r="O14" s="46" t="s">
        <v>34</v>
      </c>
      <c r="P14" s="46">
        <v>50</v>
      </c>
      <c r="Q14" s="46">
        <v>0.5</v>
      </c>
      <c r="R14" s="46">
        <v>0</v>
      </c>
      <c r="S14" s="46">
        <v>0.5</v>
      </c>
    </row>
    <row r="15" spans="1:19" ht="14.4" x14ac:dyDescent="0.3">
      <c r="A15" s="45" t="s">
        <v>172</v>
      </c>
      <c r="B15" s="45" t="s">
        <v>173</v>
      </c>
      <c r="C15" s="45" t="s">
        <v>123</v>
      </c>
      <c r="D15" s="45"/>
      <c r="E15" s="45">
        <v>1</v>
      </c>
      <c r="F15" s="45"/>
      <c r="G15" s="45"/>
      <c r="H15" s="45"/>
      <c r="I15" s="45"/>
      <c r="J15" s="45">
        <v>1</v>
      </c>
      <c r="K15" s="45" t="s">
        <v>61</v>
      </c>
      <c r="L15" s="46" t="s">
        <v>43</v>
      </c>
      <c r="M15" s="46" t="s">
        <v>33</v>
      </c>
      <c r="N15" s="46" t="s">
        <v>34</v>
      </c>
      <c r="O15" s="46" t="s">
        <v>34</v>
      </c>
      <c r="P15" s="46">
        <v>50</v>
      </c>
      <c r="Q15" s="46">
        <v>0.5</v>
      </c>
      <c r="R15" s="46">
        <v>0</v>
      </c>
      <c r="S15" s="46">
        <v>0.5</v>
      </c>
    </row>
    <row r="16" spans="1:19" ht="14.4" x14ac:dyDescent="0.3">
      <c r="A16" s="45" t="s">
        <v>168</v>
      </c>
      <c r="B16" s="45" t="s">
        <v>169</v>
      </c>
      <c r="C16" s="45" t="s">
        <v>123</v>
      </c>
      <c r="D16" s="45">
        <v>1</v>
      </c>
      <c r="E16" s="45"/>
      <c r="F16" s="45"/>
      <c r="G16" s="45"/>
      <c r="H16" s="45"/>
      <c r="I16" s="45"/>
      <c r="J16" s="45">
        <v>1</v>
      </c>
      <c r="K16" s="45" t="s">
        <v>61</v>
      </c>
      <c r="L16" s="46" t="s">
        <v>43</v>
      </c>
      <c r="M16" s="46" t="s">
        <v>44</v>
      </c>
      <c r="N16" s="46" t="s">
        <v>34</v>
      </c>
      <c r="O16" s="46" t="s">
        <v>34</v>
      </c>
      <c r="P16" s="46">
        <v>80</v>
      </c>
      <c r="Q16" s="46">
        <v>0.2</v>
      </c>
      <c r="R16" s="46">
        <v>0</v>
      </c>
      <c r="S16" s="46">
        <v>0.8</v>
      </c>
    </row>
    <row r="17" spans="1:19" ht="14.4" x14ac:dyDescent="0.3">
      <c r="A17" s="45" t="s">
        <v>133</v>
      </c>
      <c r="B17" s="45" t="s">
        <v>134</v>
      </c>
      <c r="C17" s="45" t="s">
        <v>123</v>
      </c>
      <c r="D17" s="45"/>
      <c r="E17" s="45"/>
      <c r="F17" s="45"/>
      <c r="G17" s="45"/>
      <c r="H17" s="45">
        <v>2</v>
      </c>
      <c r="I17" s="45"/>
      <c r="J17" s="45">
        <v>2</v>
      </c>
      <c r="K17" s="45" t="s">
        <v>61</v>
      </c>
      <c r="L17" s="46" t="s">
        <v>43</v>
      </c>
      <c r="M17" s="46" t="s">
        <v>44</v>
      </c>
      <c r="N17" s="46" t="s">
        <v>34</v>
      </c>
      <c r="O17" s="46" t="s">
        <v>34</v>
      </c>
      <c r="P17" s="46">
        <v>80</v>
      </c>
      <c r="Q17" s="46">
        <v>0.4</v>
      </c>
      <c r="R17" s="46">
        <v>0</v>
      </c>
      <c r="S17" s="46">
        <v>1.6</v>
      </c>
    </row>
    <row r="18" spans="1:19" ht="14.4" x14ac:dyDescent="0.3">
      <c r="A18" s="45" t="s">
        <v>135</v>
      </c>
      <c r="B18" s="45" t="s">
        <v>136</v>
      </c>
      <c r="C18" s="45" t="s">
        <v>123</v>
      </c>
      <c r="D18" s="45"/>
      <c r="E18" s="45">
        <v>2</v>
      </c>
      <c r="F18" s="45"/>
      <c r="G18" s="45"/>
      <c r="H18" s="45"/>
      <c r="I18" s="45">
        <v>1</v>
      </c>
      <c r="J18" s="45">
        <v>3</v>
      </c>
      <c r="K18" s="45" t="s">
        <v>61</v>
      </c>
      <c r="L18" s="46" t="s">
        <v>43</v>
      </c>
      <c r="M18" s="46" t="s">
        <v>44</v>
      </c>
      <c r="N18" s="46" t="s">
        <v>34</v>
      </c>
      <c r="O18" s="46" t="s">
        <v>34</v>
      </c>
      <c r="P18" s="46">
        <v>80</v>
      </c>
      <c r="Q18" s="46">
        <v>0.6</v>
      </c>
      <c r="R18" s="46">
        <v>0</v>
      </c>
      <c r="S18" s="46">
        <v>2.4</v>
      </c>
    </row>
    <row r="19" spans="1:19" ht="14.4" x14ac:dyDescent="0.3">
      <c r="A19" s="45" t="s">
        <v>351</v>
      </c>
      <c r="B19" s="45" t="s">
        <v>352</v>
      </c>
      <c r="C19" s="45" t="s">
        <v>123</v>
      </c>
      <c r="D19" s="45"/>
      <c r="E19" s="45">
        <v>1</v>
      </c>
      <c r="F19" s="45"/>
      <c r="G19" s="45"/>
      <c r="H19" s="45"/>
      <c r="I19" s="45"/>
      <c r="J19" s="45">
        <v>1</v>
      </c>
      <c r="K19" s="45" t="s">
        <v>61</v>
      </c>
      <c r="L19" s="46" t="s">
        <v>43</v>
      </c>
      <c r="M19" s="46" t="s">
        <v>44</v>
      </c>
      <c r="N19" s="46" t="s">
        <v>34</v>
      </c>
      <c r="O19" s="46" t="s">
        <v>34</v>
      </c>
      <c r="P19" s="46">
        <v>80</v>
      </c>
      <c r="Q19" s="46">
        <v>0.2</v>
      </c>
      <c r="R19" s="46">
        <v>0</v>
      </c>
      <c r="S19" s="46">
        <v>0.8</v>
      </c>
    </row>
    <row r="20" spans="1:19" ht="14.4" x14ac:dyDescent="0.3">
      <c r="A20" s="45" t="s">
        <v>353</v>
      </c>
      <c r="B20" s="45" t="s">
        <v>354</v>
      </c>
      <c r="C20" s="45" t="s">
        <v>124</v>
      </c>
      <c r="D20" s="45"/>
      <c r="E20" s="45"/>
      <c r="F20" s="45"/>
      <c r="G20" s="45"/>
      <c r="H20" s="45"/>
      <c r="I20" s="45">
        <v>1</v>
      </c>
      <c r="J20" s="45">
        <v>1</v>
      </c>
      <c r="K20" s="45" t="s">
        <v>61</v>
      </c>
      <c r="L20" s="46">
        <v>0</v>
      </c>
      <c r="M20" s="46">
        <v>0</v>
      </c>
      <c r="N20" s="46" t="s">
        <v>34</v>
      </c>
      <c r="O20" s="46" t="s">
        <v>34</v>
      </c>
      <c r="P20" s="46">
        <v>100</v>
      </c>
      <c r="Q20" s="46">
        <v>0</v>
      </c>
      <c r="R20" s="46">
        <v>0</v>
      </c>
      <c r="S20" s="46">
        <v>1</v>
      </c>
    </row>
    <row r="21" spans="1:19" ht="14.4" x14ac:dyDescent="0.3">
      <c r="A21" s="45" t="s">
        <v>355</v>
      </c>
      <c r="B21" s="45" t="s">
        <v>356</v>
      </c>
      <c r="C21" s="45" t="s">
        <v>123</v>
      </c>
      <c r="D21" s="45"/>
      <c r="E21" s="45"/>
      <c r="F21" s="45"/>
      <c r="G21" s="45"/>
      <c r="H21" s="45"/>
      <c r="I21" s="45">
        <v>1</v>
      </c>
      <c r="J21" s="45">
        <v>1</v>
      </c>
      <c r="K21" s="45" t="s">
        <v>61</v>
      </c>
      <c r="L21" s="46" t="s">
        <v>43</v>
      </c>
      <c r="M21" s="46" t="s">
        <v>44</v>
      </c>
      <c r="N21" s="46" t="s">
        <v>34</v>
      </c>
      <c r="O21" s="46" t="s">
        <v>34</v>
      </c>
      <c r="P21" s="46">
        <v>80</v>
      </c>
      <c r="Q21" s="46">
        <v>0.2</v>
      </c>
      <c r="R21" s="46">
        <v>0</v>
      </c>
      <c r="S21" s="46">
        <v>0.8</v>
      </c>
    </row>
    <row r="22" spans="1:19" ht="14.4" x14ac:dyDescent="0.3">
      <c r="A22" s="45" t="s">
        <v>141</v>
      </c>
      <c r="B22" s="45" t="s">
        <v>142</v>
      </c>
      <c r="C22" s="45" t="s">
        <v>123</v>
      </c>
      <c r="D22" s="45"/>
      <c r="E22" s="45">
        <v>1</v>
      </c>
      <c r="F22" s="45">
        <v>1</v>
      </c>
      <c r="G22" s="45"/>
      <c r="H22" s="45"/>
      <c r="I22" s="45"/>
      <c r="J22" s="45">
        <v>2</v>
      </c>
      <c r="K22" s="45" t="s">
        <v>61</v>
      </c>
      <c r="L22" s="46" t="s">
        <v>43</v>
      </c>
      <c r="M22" s="46" t="s">
        <v>33</v>
      </c>
      <c r="N22" s="46" t="s">
        <v>34</v>
      </c>
      <c r="O22" s="46" t="s">
        <v>34</v>
      </c>
      <c r="P22" s="46">
        <v>50</v>
      </c>
      <c r="Q22" s="46">
        <v>1</v>
      </c>
      <c r="R22" s="46">
        <v>0</v>
      </c>
      <c r="S22" s="46">
        <v>1</v>
      </c>
    </row>
    <row r="23" spans="1:19" ht="14.4" x14ac:dyDescent="0.3">
      <c r="A23" s="45" t="s">
        <v>145</v>
      </c>
      <c r="B23" s="45" t="s">
        <v>146</v>
      </c>
      <c r="C23" s="45" t="s">
        <v>123</v>
      </c>
      <c r="D23" s="45"/>
      <c r="E23" s="45"/>
      <c r="F23" s="45"/>
      <c r="G23" s="45">
        <v>1</v>
      </c>
      <c r="H23" s="45"/>
      <c r="I23" s="45"/>
      <c r="J23" s="45">
        <v>1</v>
      </c>
      <c r="K23" s="45" t="s">
        <v>61</v>
      </c>
      <c r="L23" s="46" t="s">
        <v>43</v>
      </c>
      <c r="M23" s="46" t="s">
        <v>44</v>
      </c>
      <c r="N23" s="46" t="s">
        <v>34</v>
      </c>
      <c r="O23" s="46" t="s">
        <v>34</v>
      </c>
      <c r="P23" s="46">
        <v>80</v>
      </c>
      <c r="Q23" s="46">
        <v>0.2</v>
      </c>
      <c r="R23" s="46">
        <v>0</v>
      </c>
      <c r="S23" s="46">
        <v>0.8</v>
      </c>
    </row>
    <row r="24" spans="1:19" ht="14.4" x14ac:dyDescent="0.3">
      <c r="A24" s="85" t="s">
        <v>174</v>
      </c>
      <c r="B24" s="85" t="s">
        <v>175</v>
      </c>
      <c r="C24" s="85" t="s">
        <v>123</v>
      </c>
      <c r="D24" s="85"/>
      <c r="E24" s="85">
        <v>2</v>
      </c>
      <c r="F24" s="85"/>
      <c r="G24" s="85"/>
      <c r="H24" s="85"/>
      <c r="I24" s="85"/>
      <c r="J24" s="85">
        <v>2</v>
      </c>
      <c r="K24" s="45" t="s">
        <v>61</v>
      </c>
      <c r="L24" s="46" t="s">
        <v>43</v>
      </c>
      <c r="M24" s="46" t="s">
        <v>44</v>
      </c>
      <c r="N24" s="46" t="s">
        <v>34</v>
      </c>
      <c r="O24" s="46" t="s">
        <v>34</v>
      </c>
      <c r="P24" s="46">
        <v>80</v>
      </c>
      <c r="Q24" s="46">
        <v>0.4</v>
      </c>
      <c r="R24" s="46">
        <v>0</v>
      </c>
      <c r="S24" s="46">
        <v>1.6</v>
      </c>
    </row>
    <row r="25" spans="1:19" ht="14.4" x14ac:dyDescent="0.3">
      <c r="A25" s="45" t="s">
        <v>125</v>
      </c>
      <c r="B25" s="45" t="s">
        <v>126</v>
      </c>
      <c r="C25" s="45" t="s">
        <v>123</v>
      </c>
      <c r="D25" s="45"/>
      <c r="E25" s="45"/>
      <c r="F25" s="45"/>
      <c r="G25" s="45">
        <v>1</v>
      </c>
      <c r="H25" s="45"/>
      <c r="I25" s="45"/>
      <c r="J25" s="45">
        <v>1</v>
      </c>
      <c r="K25" s="45" t="s">
        <v>61</v>
      </c>
      <c r="L25" s="46" t="s">
        <v>43</v>
      </c>
      <c r="M25" s="46" t="s">
        <v>33</v>
      </c>
      <c r="N25" s="46" t="s">
        <v>34</v>
      </c>
      <c r="O25" s="46" t="s">
        <v>34</v>
      </c>
      <c r="P25" s="46">
        <v>50</v>
      </c>
      <c r="Q25" s="46">
        <v>0.5</v>
      </c>
      <c r="R25" s="46">
        <v>0</v>
      </c>
      <c r="S25" s="46">
        <v>0.5</v>
      </c>
    </row>
    <row r="26" spans="1:19" ht="14.4" x14ac:dyDescent="0.3">
      <c r="A26" s="45" t="s">
        <v>131</v>
      </c>
      <c r="B26" s="45" t="s">
        <v>132</v>
      </c>
      <c r="C26" s="45" t="s">
        <v>123</v>
      </c>
      <c r="D26" s="45"/>
      <c r="E26" s="45"/>
      <c r="F26" s="45"/>
      <c r="G26" s="45"/>
      <c r="H26" s="45">
        <v>2</v>
      </c>
      <c r="I26" s="45">
        <v>1</v>
      </c>
      <c r="J26" s="45">
        <v>3</v>
      </c>
      <c r="K26" s="45" t="s">
        <v>61</v>
      </c>
      <c r="L26" s="46" t="s">
        <v>43</v>
      </c>
      <c r="M26" s="46" t="s">
        <v>44</v>
      </c>
      <c r="N26" s="46" t="s">
        <v>34</v>
      </c>
      <c r="O26" s="46" t="s">
        <v>34</v>
      </c>
      <c r="P26" s="46">
        <v>80</v>
      </c>
      <c r="Q26" s="46">
        <v>0.6</v>
      </c>
      <c r="R26" s="46">
        <v>0</v>
      </c>
      <c r="S26" s="46">
        <v>2.4</v>
      </c>
    </row>
    <row r="27" spans="1:19" ht="14.4" x14ac:dyDescent="0.3">
      <c r="A27" s="45" t="s">
        <v>160</v>
      </c>
      <c r="B27" s="45" t="s">
        <v>161</v>
      </c>
      <c r="C27" s="45" t="s">
        <v>123</v>
      </c>
      <c r="D27" s="45"/>
      <c r="E27" s="45"/>
      <c r="F27" s="45"/>
      <c r="G27" s="45"/>
      <c r="H27" s="45">
        <v>1</v>
      </c>
      <c r="I27" s="45"/>
      <c r="J27" s="45">
        <v>1</v>
      </c>
      <c r="K27" s="45" t="s">
        <v>61</v>
      </c>
      <c r="L27" s="46" t="s">
        <v>43</v>
      </c>
      <c r="M27" s="46" t="s">
        <v>44</v>
      </c>
      <c r="N27" s="46" t="s">
        <v>34</v>
      </c>
      <c r="O27" s="46" t="s">
        <v>34</v>
      </c>
      <c r="P27" s="46">
        <v>80</v>
      </c>
      <c r="Q27" s="46">
        <v>0.2</v>
      </c>
      <c r="R27" s="46">
        <v>0</v>
      </c>
      <c r="S27" s="46">
        <v>0.8</v>
      </c>
    </row>
    <row r="28" spans="1:19" ht="14.4" x14ac:dyDescent="0.3">
      <c r="A28" s="45" t="s">
        <v>176</v>
      </c>
      <c r="B28" s="45" t="s">
        <v>177</v>
      </c>
      <c r="C28" s="45" t="s">
        <v>123</v>
      </c>
      <c r="D28" s="45"/>
      <c r="E28" s="45"/>
      <c r="F28" s="45"/>
      <c r="G28" s="45">
        <v>1</v>
      </c>
      <c r="H28" s="45"/>
      <c r="I28" s="45"/>
      <c r="J28" s="45">
        <v>1</v>
      </c>
      <c r="K28" s="45" t="s">
        <v>61</v>
      </c>
      <c r="L28" s="46" t="s">
        <v>43</v>
      </c>
      <c r="M28" s="46" t="s">
        <v>33</v>
      </c>
      <c r="N28" s="46" t="s">
        <v>34</v>
      </c>
      <c r="O28" s="46" t="s">
        <v>34</v>
      </c>
      <c r="P28" s="46">
        <v>50</v>
      </c>
      <c r="Q28" s="46">
        <v>0.5</v>
      </c>
      <c r="R28" s="46">
        <v>0</v>
      </c>
      <c r="S28" s="46">
        <v>0.5</v>
      </c>
    </row>
    <row r="29" spans="1:19" ht="14.4" x14ac:dyDescent="0.3">
      <c r="A29" s="45" t="s">
        <v>147</v>
      </c>
      <c r="B29" s="45" t="s">
        <v>148</v>
      </c>
      <c r="C29" s="45" t="s">
        <v>123</v>
      </c>
      <c r="D29" s="45"/>
      <c r="E29" s="45">
        <v>2</v>
      </c>
      <c r="F29" s="45"/>
      <c r="G29" s="45"/>
      <c r="H29" s="45"/>
      <c r="I29" s="45"/>
      <c r="J29" s="45">
        <v>2</v>
      </c>
      <c r="K29" s="45" t="s">
        <v>61</v>
      </c>
      <c r="L29" s="46" t="s">
        <v>43</v>
      </c>
      <c r="M29" s="46" t="s">
        <v>44</v>
      </c>
      <c r="N29" s="46" t="s">
        <v>34</v>
      </c>
      <c r="O29" s="46" t="s">
        <v>34</v>
      </c>
      <c r="P29" s="46">
        <v>80</v>
      </c>
      <c r="Q29" s="46">
        <v>0.4</v>
      </c>
      <c r="R29" s="46">
        <v>0</v>
      </c>
      <c r="S29" s="46">
        <v>1.6</v>
      </c>
    </row>
    <row r="30" spans="1:19" ht="14.4" x14ac:dyDescent="0.3">
      <c r="A30" s="45" t="s">
        <v>151</v>
      </c>
      <c r="B30" s="45" t="s">
        <v>152</v>
      </c>
      <c r="C30" s="45" t="s">
        <v>123</v>
      </c>
      <c r="D30" s="45"/>
      <c r="E30" s="45"/>
      <c r="F30" s="45">
        <v>2</v>
      </c>
      <c r="G30" s="45"/>
      <c r="H30" s="45"/>
      <c r="I30" s="45"/>
      <c r="J30" s="45">
        <v>2</v>
      </c>
      <c r="K30" s="45" t="s">
        <v>61</v>
      </c>
      <c r="L30" s="46" t="s">
        <v>45</v>
      </c>
      <c r="M30" s="46" t="s">
        <v>33</v>
      </c>
      <c r="N30" s="46" t="s">
        <v>34</v>
      </c>
      <c r="O30" s="46" t="s">
        <v>34</v>
      </c>
      <c r="P30" s="46">
        <v>50</v>
      </c>
      <c r="Q30" s="46">
        <v>1</v>
      </c>
      <c r="R30" s="46">
        <v>0</v>
      </c>
      <c r="S30" s="46">
        <v>1</v>
      </c>
    </row>
    <row r="31" spans="1:19" ht="14.4" x14ac:dyDescent="0.3">
      <c r="A31" s="45" t="s">
        <v>178</v>
      </c>
      <c r="B31" s="45" t="s">
        <v>179</v>
      </c>
      <c r="C31" s="45" t="s">
        <v>123</v>
      </c>
      <c r="D31" s="45"/>
      <c r="E31" s="45"/>
      <c r="F31" s="45">
        <v>1</v>
      </c>
      <c r="G31" s="45"/>
      <c r="H31" s="45"/>
      <c r="I31" s="45"/>
      <c r="J31" s="45">
        <v>1</v>
      </c>
      <c r="K31" s="45" t="s">
        <v>61</v>
      </c>
      <c r="L31" s="46" t="s">
        <v>45</v>
      </c>
      <c r="M31" s="46" t="s">
        <v>44</v>
      </c>
      <c r="N31" s="46" t="s">
        <v>34</v>
      </c>
      <c r="O31" s="46" t="s">
        <v>34</v>
      </c>
      <c r="P31" s="46">
        <v>80</v>
      </c>
      <c r="Q31" s="46">
        <v>0.2</v>
      </c>
      <c r="R31" s="46">
        <v>0</v>
      </c>
      <c r="S31" s="46">
        <v>0.8</v>
      </c>
    </row>
    <row r="32" spans="1:19" ht="14.4" x14ac:dyDescent="0.3">
      <c r="A32" s="45" t="s">
        <v>157</v>
      </c>
      <c r="B32" s="45" t="s">
        <v>158</v>
      </c>
      <c r="C32" s="45" t="s">
        <v>123</v>
      </c>
      <c r="D32" s="45"/>
      <c r="E32" s="45"/>
      <c r="F32" s="45"/>
      <c r="G32" s="45"/>
      <c r="H32" s="45">
        <v>1</v>
      </c>
      <c r="I32" s="45"/>
      <c r="J32" s="45">
        <v>1</v>
      </c>
      <c r="K32" s="45" t="s">
        <v>61</v>
      </c>
      <c r="L32" s="46" t="s">
        <v>45</v>
      </c>
      <c r="M32" s="46" t="s">
        <v>33</v>
      </c>
      <c r="N32" s="46" t="s">
        <v>34</v>
      </c>
      <c r="O32" s="46" t="s">
        <v>34</v>
      </c>
      <c r="P32" s="46">
        <v>50</v>
      </c>
      <c r="Q32" s="46">
        <v>0.5</v>
      </c>
      <c r="R32" s="46">
        <v>0</v>
      </c>
      <c r="S32" s="46">
        <v>0.5</v>
      </c>
    </row>
    <row r="33" spans="1:19" ht="14.4" x14ac:dyDescent="0.3">
      <c r="A33" s="45" t="s">
        <v>180</v>
      </c>
      <c r="B33" s="45" t="s">
        <v>181</v>
      </c>
      <c r="C33" s="45" t="s">
        <v>123</v>
      </c>
      <c r="D33" s="45"/>
      <c r="E33" s="45"/>
      <c r="F33" s="45"/>
      <c r="G33" s="45"/>
      <c r="H33" s="45"/>
      <c r="I33" s="45">
        <v>1</v>
      </c>
      <c r="J33" s="45">
        <v>1</v>
      </c>
      <c r="K33" s="45" t="s">
        <v>61</v>
      </c>
      <c r="L33" s="46" t="s">
        <v>43</v>
      </c>
      <c r="M33" s="46" t="s">
        <v>33</v>
      </c>
      <c r="N33" s="46" t="s">
        <v>34</v>
      </c>
      <c r="O33" s="46" t="s">
        <v>34</v>
      </c>
      <c r="P33" s="46">
        <v>50</v>
      </c>
      <c r="Q33" s="46">
        <v>0.5</v>
      </c>
      <c r="R33" s="46">
        <v>0</v>
      </c>
      <c r="S33" s="46">
        <v>0.5</v>
      </c>
    </row>
    <row r="34" spans="1:19" ht="14.4" x14ac:dyDescent="0.3">
      <c r="A34" s="45" t="s">
        <v>153</v>
      </c>
      <c r="B34" s="45" t="s">
        <v>154</v>
      </c>
      <c r="C34" s="45" t="s">
        <v>123</v>
      </c>
      <c r="D34" s="45"/>
      <c r="E34" s="45"/>
      <c r="F34" s="45">
        <v>2</v>
      </c>
      <c r="G34" s="45"/>
      <c r="H34" s="45"/>
      <c r="I34" s="45"/>
      <c r="J34" s="45">
        <v>2</v>
      </c>
      <c r="K34" s="45" t="s">
        <v>61</v>
      </c>
      <c r="L34" s="46" t="s">
        <v>43</v>
      </c>
      <c r="M34" s="46" t="s">
        <v>44</v>
      </c>
      <c r="N34" s="46" t="s">
        <v>34</v>
      </c>
      <c r="O34" s="46" t="s">
        <v>34</v>
      </c>
      <c r="P34" s="46">
        <v>80</v>
      </c>
      <c r="Q34" s="46">
        <v>0.4</v>
      </c>
      <c r="R34" s="46">
        <v>0</v>
      </c>
      <c r="S34" s="46">
        <v>1.6</v>
      </c>
    </row>
    <row r="35" spans="1:19" ht="14.4" x14ac:dyDescent="0.3">
      <c r="A35" s="45" t="s">
        <v>184</v>
      </c>
      <c r="B35" s="45" t="s">
        <v>185</v>
      </c>
      <c r="C35" s="45" t="s">
        <v>123</v>
      </c>
      <c r="D35" s="45"/>
      <c r="E35" s="45"/>
      <c r="F35" s="45"/>
      <c r="G35" s="45">
        <v>2</v>
      </c>
      <c r="H35" s="45"/>
      <c r="I35" s="45"/>
      <c r="J35" s="45">
        <v>2</v>
      </c>
      <c r="K35" s="45" t="s">
        <v>61</v>
      </c>
      <c r="L35" s="46" t="s">
        <v>43</v>
      </c>
      <c r="M35" s="46" t="s">
        <v>44</v>
      </c>
      <c r="N35" s="46" t="s">
        <v>34</v>
      </c>
      <c r="O35" s="46" t="s">
        <v>34</v>
      </c>
      <c r="P35" s="46">
        <v>80</v>
      </c>
      <c r="Q35" s="46">
        <v>0.4</v>
      </c>
      <c r="R35" s="46">
        <v>0</v>
      </c>
      <c r="S35" s="46">
        <v>1.6</v>
      </c>
    </row>
    <row r="36" spans="1:19" ht="14.4" x14ac:dyDescent="0.3">
      <c r="A36" s="45" t="s">
        <v>192</v>
      </c>
      <c r="B36" s="45" t="s">
        <v>193</v>
      </c>
      <c r="C36" s="45" t="s">
        <v>123</v>
      </c>
      <c r="D36" s="45"/>
      <c r="E36" s="45"/>
      <c r="F36" s="45"/>
      <c r="G36" s="45"/>
      <c r="H36" s="45">
        <v>1</v>
      </c>
      <c r="I36" s="45"/>
      <c r="J36" s="45">
        <v>1</v>
      </c>
      <c r="K36" s="45" t="s">
        <v>61</v>
      </c>
      <c r="L36" s="46" t="s">
        <v>43</v>
      </c>
      <c r="M36" s="46" t="s">
        <v>44</v>
      </c>
      <c r="N36" s="46" t="s">
        <v>34</v>
      </c>
      <c r="O36" s="46" t="s">
        <v>34</v>
      </c>
      <c r="P36" s="46">
        <v>80</v>
      </c>
      <c r="Q36" s="46">
        <v>0.2</v>
      </c>
      <c r="R36" s="46">
        <v>0</v>
      </c>
      <c r="S36" s="46">
        <v>0.8</v>
      </c>
    </row>
    <row r="37" spans="1:19" ht="14.4" x14ac:dyDescent="0.3">
      <c r="A37" s="45" t="s">
        <v>137</v>
      </c>
      <c r="B37" s="45" t="s">
        <v>138</v>
      </c>
      <c r="C37" s="47" t="s">
        <v>123</v>
      </c>
      <c r="D37" s="45"/>
      <c r="E37" s="45">
        <v>1</v>
      </c>
      <c r="F37" s="45"/>
      <c r="G37" s="45"/>
      <c r="H37" s="45"/>
      <c r="I37" s="45"/>
      <c r="J37" s="45">
        <v>1</v>
      </c>
      <c r="K37" s="45" t="s">
        <v>61</v>
      </c>
      <c r="L37" s="46" t="s">
        <v>43</v>
      </c>
      <c r="M37" s="46" t="s">
        <v>33</v>
      </c>
      <c r="N37" s="46" t="s">
        <v>34</v>
      </c>
      <c r="O37" s="46" t="s">
        <v>34</v>
      </c>
      <c r="P37" s="46">
        <v>50</v>
      </c>
      <c r="Q37" s="46">
        <v>0.5</v>
      </c>
      <c r="R37" s="46">
        <v>0</v>
      </c>
      <c r="S37" s="46">
        <v>0.5</v>
      </c>
    </row>
    <row r="38" spans="1:19" ht="14.4" x14ac:dyDescent="0.3">
      <c r="A38" s="45" t="s">
        <v>159</v>
      </c>
      <c r="B38" s="45" t="s">
        <v>264</v>
      </c>
      <c r="C38" s="47" t="s">
        <v>123</v>
      </c>
      <c r="D38" s="45"/>
      <c r="E38" s="45"/>
      <c r="F38" s="45"/>
      <c r="G38" s="45"/>
      <c r="H38" s="45"/>
      <c r="I38" s="45">
        <v>1</v>
      </c>
      <c r="J38" s="45">
        <v>1</v>
      </c>
      <c r="K38" s="45" t="s">
        <v>61</v>
      </c>
      <c r="L38" s="46" t="s">
        <v>43</v>
      </c>
      <c r="M38" s="46" t="s">
        <v>44</v>
      </c>
      <c r="N38" s="46" t="s">
        <v>34</v>
      </c>
      <c r="O38" s="46" t="s">
        <v>34</v>
      </c>
      <c r="P38" s="46">
        <v>80</v>
      </c>
      <c r="Q38" s="46">
        <v>0.2</v>
      </c>
      <c r="R38" s="46">
        <v>0</v>
      </c>
      <c r="S38" s="46">
        <v>0.8</v>
      </c>
    </row>
    <row r="39" spans="1:19" ht="14.4" x14ac:dyDescent="0.3">
      <c r="A39" s="45" t="s">
        <v>149</v>
      </c>
      <c r="B39" s="45" t="s">
        <v>150</v>
      </c>
      <c r="C39" s="47" t="s">
        <v>266</v>
      </c>
      <c r="D39" s="45"/>
      <c r="E39" s="45"/>
      <c r="F39" s="45"/>
      <c r="G39" s="45"/>
      <c r="H39" s="45"/>
      <c r="I39" s="45">
        <v>1</v>
      </c>
      <c r="J39" s="45">
        <v>1</v>
      </c>
      <c r="K39" s="45" t="s">
        <v>61</v>
      </c>
      <c r="L39" s="46" t="s">
        <v>43</v>
      </c>
      <c r="M39" s="46" t="s">
        <v>44</v>
      </c>
      <c r="N39" s="46" t="s">
        <v>34</v>
      </c>
      <c r="O39" s="46" t="s">
        <v>34</v>
      </c>
      <c r="P39" s="46">
        <v>80</v>
      </c>
      <c r="Q39" s="46">
        <v>0.2</v>
      </c>
      <c r="R39" s="46">
        <v>0</v>
      </c>
      <c r="S39" s="46">
        <v>0.8</v>
      </c>
    </row>
    <row r="40" spans="1:19" ht="14.4" x14ac:dyDescent="0.3">
      <c r="A40" s="45" t="s">
        <v>170</v>
      </c>
      <c r="B40" s="45" t="s">
        <v>171</v>
      </c>
      <c r="C40" s="47" t="s">
        <v>266</v>
      </c>
      <c r="D40" s="45"/>
      <c r="E40" s="45"/>
      <c r="F40" s="45"/>
      <c r="G40" s="45"/>
      <c r="H40" s="45"/>
      <c r="I40" s="45">
        <v>1</v>
      </c>
      <c r="J40" s="45">
        <v>1</v>
      </c>
      <c r="K40" s="45" t="s">
        <v>61</v>
      </c>
      <c r="L40" s="46" t="s">
        <v>43</v>
      </c>
      <c r="M40" s="46" t="s">
        <v>44</v>
      </c>
      <c r="N40" s="46" t="s">
        <v>34</v>
      </c>
      <c r="O40" s="46" t="s">
        <v>34</v>
      </c>
      <c r="P40" s="46">
        <v>80</v>
      </c>
      <c r="Q40" s="46">
        <v>0.2</v>
      </c>
      <c r="R40" s="46">
        <v>0</v>
      </c>
      <c r="S40" s="46">
        <v>0.8</v>
      </c>
    </row>
    <row r="41" spans="1:19" ht="14.4" x14ac:dyDescent="0.3">
      <c r="A41" s="45" t="s">
        <v>139</v>
      </c>
      <c r="B41" s="45" t="s">
        <v>140</v>
      </c>
      <c r="C41" s="47" t="s">
        <v>266</v>
      </c>
      <c r="D41" s="45"/>
      <c r="E41" s="45"/>
      <c r="F41" s="45"/>
      <c r="G41" s="45"/>
      <c r="H41" s="45"/>
      <c r="I41" s="45">
        <v>1</v>
      </c>
      <c r="J41" s="45">
        <v>1</v>
      </c>
      <c r="K41" s="45" t="s">
        <v>61</v>
      </c>
      <c r="L41" s="46" t="s">
        <v>45</v>
      </c>
      <c r="M41" s="46" t="s">
        <v>44</v>
      </c>
      <c r="N41" s="46" t="s">
        <v>34</v>
      </c>
      <c r="O41" s="46" t="s">
        <v>34</v>
      </c>
      <c r="P41" s="46">
        <v>80</v>
      </c>
      <c r="Q41" s="46">
        <v>0.2</v>
      </c>
      <c r="R41" s="46">
        <v>0</v>
      </c>
      <c r="S41" s="46">
        <v>0.8</v>
      </c>
    </row>
    <row r="42" spans="1:19" x14ac:dyDescent="0.25">
      <c r="A42" s="91"/>
      <c r="B42" s="91"/>
      <c r="C42" s="91"/>
      <c r="D42" s="91"/>
      <c r="E42" s="91"/>
      <c r="F42" s="91"/>
      <c r="G42" s="91"/>
      <c r="H42" s="91"/>
      <c r="I42" s="91"/>
      <c r="J42" s="91"/>
      <c r="K42" s="91"/>
      <c r="L42" s="91"/>
      <c r="M42" s="91"/>
      <c r="N42" s="92"/>
      <c r="O42" s="91"/>
      <c r="P42" s="92"/>
      <c r="Q42" s="91"/>
      <c r="R42" s="91"/>
      <c r="S42" s="93">
        <f>SUM(S2:S41)</f>
        <v>37.999999999999993</v>
      </c>
    </row>
  </sheetData>
  <pageMargins left="0.39370078740157483" right="0.39370078740157483" top="0.39370078740157483" bottom="0.39370078740157483" header="0.31496062992125984" footer="0.31496062992125984"/>
  <pageSetup paperSize="9"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9"/>
  <sheetViews>
    <sheetView topLeftCell="A10" zoomScaleNormal="100" workbookViewId="0">
      <selection activeCell="A2" sqref="A2:B3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206</v>
      </c>
      <c r="B3" s="5">
        <v>8.0299999999999994</v>
      </c>
    </row>
    <row r="4" spans="1:2" x14ac:dyDescent="0.2">
      <c r="A4" s="4" t="s">
        <v>4</v>
      </c>
      <c r="B4" s="5"/>
    </row>
    <row r="5" spans="1:2" x14ac:dyDescent="0.2">
      <c r="A5" s="4" t="s">
        <v>207</v>
      </c>
      <c r="B5" s="5">
        <v>4000</v>
      </c>
    </row>
    <row r="6" spans="1:2" x14ac:dyDescent="0.2">
      <c r="A6" s="4" t="s">
        <v>208</v>
      </c>
      <c r="B6" s="5">
        <v>6000</v>
      </c>
    </row>
    <row r="7" spans="1:2" x14ac:dyDescent="0.2">
      <c r="A7" s="4" t="s">
        <v>209</v>
      </c>
      <c r="B7" s="5">
        <v>6000</v>
      </c>
    </row>
    <row r="8" spans="1:2" x14ac:dyDescent="0.2">
      <c r="A8" s="4" t="s">
        <v>5</v>
      </c>
      <c r="B8" s="5"/>
    </row>
    <row r="9" spans="1:2" x14ac:dyDescent="0.2">
      <c r="A9" s="4" t="s">
        <v>210</v>
      </c>
      <c r="B9" s="5">
        <v>4000</v>
      </c>
    </row>
    <row r="10" spans="1:2" x14ac:dyDescent="0.2">
      <c r="A10" s="4" t="s">
        <v>211</v>
      </c>
      <c r="B10" s="5">
        <v>4000</v>
      </c>
    </row>
    <row r="11" spans="1:2" x14ac:dyDescent="0.2">
      <c r="A11" s="4" t="s">
        <v>212</v>
      </c>
      <c r="B11" s="5">
        <v>4000</v>
      </c>
    </row>
    <row r="12" spans="1:2" x14ac:dyDescent="0.2">
      <c r="A12" s="4" t="s">
        <v>6</v>
      </c>
      <c r="B12" s="5"/>
    </row>
    <row r="13" spans="1:2" x14ac:dyDescent="0.2">
      <c r="A13" s="4" t="s">
        <v>213</v>
      </c>
      <c r="B13" s="5">
        <v>5500</v>
      </c>
    </row>
    <row r="14" spans="1:2" x14ac:dyDescent="0.2">
      <c r="A14" s="4" t="s">
        <v>214</v>
      </c>
      <c r="B14" s="5">
        <v>5500</v>
      </c>
    </row>
    <row r="15" spans="1:2" x14ac:dyDescent="0.2">
      <c r="A15" s="4" t="s">
        <v>215</v>
      </c>
      <c r="B15" s="5">
        <v>5500</v>
      </c>
    </row>
    <row r="16" spans="1:2" x14ac:dyDescent="0.2">
      <c r="A16" s="4" t="s">
        <v>216</v>
      </c>
      <c r="B16" s="5"/>
    </row>
    <row r="17" spans="1:2" x14ac:dyDescent="0.2">
      <c r="A17" s="4" t="s">
        <v>217</v>
      </c>
      <c r="B17" s="5">
        <v>9000</v>
      </c>
    </row>
    <row r="18" spans="1:2" x14ac:dyDescent="0.2">
      <c r="A18" s="4" t="s">
        <v>218</v>
      </c>
      <c r="B18" s="5"/>
    </row>
    <row r="19" spans="1:2" x14ac:dyDescent="0.2">
      <c r="A19" s="4" t="s">
        <v>219</v>
      </c>
      <c r="B19" s="5">
        <v>175</v>
      </c>
    </row>
    <row r="20" spans="1:2" x14ac:dyDescent="0.2">
      <c r="A20" s="4" t="s">
        <v>220</v>
      </c>
      <c r="B20" s="5"/>
    </row>
    <row r="21" spans="1:2" x14ac:dyDescent="0.2">
      <c r="A21" s="4" t="s">
        <v>221</v>
      </c>
      <c r="B21" s="5">
        <v>3000</v>
      </c>
    </row>
    <row r="22" spans="1:2" x14ac:dyDescent="0.2">
      <c r="A22" s="4" t="s">
        <v>222</v>
      </c>
      <c r="B22" s="5"/>
    </row>
    <row r="23" spans="1:2" x14ac:dyDescent="0.2">
      <c r="A23" s="4" t="s">
        <v>223</v>
      </c>
      <c r="B23" s="5">
        <v>5600</v>
      </c>
    </row>
    <row r="24" spans="1:2" x14ac:dyDescent="0.2">
      <c r="A24" s="4" t="s">
        <v>7</v>
      </c>
      <c r="B24" s="5"/>
    </row>
    <row r="25" spans="1:2" x14ac:dyDescent="0.2">
      <c r="A25" s="4" t="s">
        <v>224</v>
      </c>
      <c r="B25" s="5">
        <v>3750</v>
      </c>
    </row>
    <row r="26" spans="1:2" x14ac:dyDescent="0.2">
      <c r="A26" s="4" t="s">
        <v>225</v>
      </c>
      <c r="B26" s="5"/>
    </row>
    <row r="27" spans="1:2" x14ac:dyDescent="0.2">
      <c r="A27" s="4" t="s">
        <v>226</v>
      </c>
      <c r="B27" s="5">
        <v>8000</v>
      </c>
    </row>
    <row r="28" spans="1:2" x14ac:dyDescent="0.2">
      <c r="A28" s="4" t="s">
        <v>227</v>
      </c>
      <c r="B28" s="5"/>
    </row>
    <row r="29" spans="1:2" x14ac:dyDescent="0.2">
      <c r="A29" s="4" t="s">
        <v>226</v>
      </c>
      <c r="B29" s="5">
        <v>8000</v>
      </c>
    </row>
    <row r="30" spans="1:2" x14ac:dyDescent="0.2">
      <c r="A30" s="4" t="s">
        <v>228</v>
      </c>
      <c r="B30" s="5"/>
    </row>
    <row r="31" spans="1:2" x14ac:dyDescent="0.2">
      <c r="A31" s="4" t="s">
        <v>229</v>
      </c>
      <c r="B31" s="5">
        <v>9000</v>
      </c>
    </row>
    <row r="32" spans="1:2" x14ac:dyDescent="0.2">
      <c r="A32" s="4" t="s">
        <v>230</v>
      </c>
      <c r="B32" s="5"/>
    </row>
    <row r="33" spans="1:2" x14ac:dyDescent="0.2">
      <c r="A33" s="4" t="s">
        <v>231</v>
      </c>
      <c r="B33" s="5">
        <v>15000</v>
      </c>
    </row>
    <row r="34" spans="1:2" x14ac:dyDescent="0.2">
      <c r="A34" s="4" t="s">
        <v>232</v>
      </c>
      <c r="B34" s="5">
        <v>7200</v>
      </c>
    </row>
    <row r="35" spans="1:2" x14ac:dyDescent="0.2">
      <c r="A35" s="4" t="s">
        <v>233</v>
      </c>
      <c r="B35" s="5"/>
    </row>
    <row r="36" spans="1:2" x14ac:dyDescent="0.2">
      <c r="A36" s="4" t="s">
        <v>234</v>
      </c>
      <c r="B36" s="5">
        <v>8000</v>
      </c>
    </row>
    <row r="37" spans="1:2" x14ac:dyDescent="0.2">
      <c r="A37" s="4" t="s">
        <v>235</v>
      </c>
      <c r="B37" s="5"/>
    </row>
    <row r="38" spans="1:2" x14ac:dyDescent="0.2">
      <c r="A38" s="4" t="s">
        <v>236</v>
      </c>
      <c r="B38" s="5">
        <v>34434.01</v>
      </c>
    </row>
    <row r="39" spans="1:2" x14ac:dyDescent="0.2">
      <c r="A39" s="6" t="s">
        <v>2</v>
      </c>
      <c r="B39" s="7">
        <f>SUM(B3:B38)</f>
        <v>155667.04</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D1071-DDBF-49CA-801E-BACC2ADEE28B}">
  <dimension ref="A1:B32"/>
  <sheetViews>
    <sheetView topLeftCell="A3" zoomScaleNormal="100" workbookViewId="0">
      <selection activeCell="A35" sqref="A35"/>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4</v>
      </c>
      <c r="B2" s="5"/>
    </row>
    <row r="3" spans="1:2" x14ac:dyDescent="0.2">
      <c r="A3" s="4" t="s">
        <v>280</v>
      </c>
      <c r="B3" s="5">
        <v>5280</v>
      </c>
    </row>
    <row r="4" spans="1:2" x14ac:dyDescent="0.2">
      <c r="A4" s="4" t="s">
        <v>281</v>
      </c>
      <c r="B4" s="5">
        <v>5280</v>
      </c>
    </row>
    <row r="5" spans="1:2" x14ac:dyDescent="0.2">
      <c r="A5" s="4" t="s">
        <v>282</v>
      </c>
      <c r="B5" s="5">
        <v>3520</v>
      </c>
    </row>
    <row r="6" spans="1:2" x14ac:dyDescent="0.2">
      <c r="A6" s="4" t="s">
        <v>5</v>
      </c>
      <c r="B6" s="5"/>
    </row>
    <row r="7" spans="1:2" x14ac:dyDescent="0.2">
      <c r="A7" s="4" t="s">
        <v>283</v>
      </c>
      <c r="B7" s="5">
        <v>3520</v>
      </c>
    </row>
    <row r="8" spans="1:2" x14ac:dyDescent="0.2">
      <c r="A8" s="4" t="s">
        <v>284</v>
      </c>
      <c r="B8" s="5">
        <v>3520</v>
      </c>
    </row>
    <row r="9" spans="1:2" x14ac:dyDescent="0.2">
      <c r="A9" s="4" t="s">
        <v>285</v>
      </c>
      <c r="B9" s="5"/>
    </row>
    <row r="10" spans="1:2" x14ac:dyDescent="0.2">
      <c r="A10" s="4" t="s">
        <v>286</v>
      </c>
      <c r="B10" s="5">
        <v>7920</v>
      </c>
    </row>
    <row r="11" spans="1:2" x14ac:dyDescent="0.2">
      <c r="A11" s="4" t="s">
        <v>287</v>
      </c>
      <c r="B11" s="5">
        <v>7920</v>
      </c>
    </row>
    <row r="12" spans="1:2" x14ac:dyDescent="0.2">
      <c r="A12" s="4" t="s">
        <v>288</v>
      </c>
      <c r="B12" s="5"/>
    </row>
    <row r="13" spans="1:2" x14ac:dyDescent="0.2">
      <c r="A13" s="4" t="s">
        <v>289</v>
      </c>
      <c r="B13" s="5">
        <v>603.67999999999995</v>
      </c>
    </row>
    <row r="14" spans="1:2" x14ac:dyDescent="0.2">
      <c r="A14" s="4" t="s">
        <v>290</v>
      </c>
      <c r="B14" s="5"/>
    </row>
    <row r="15" spans="1:2" x14ac:dyDescent="0.2">
      <c r="A15" s="4" t="s">
        <v>291</v>
      </c>
      <c r="B15" s="5">
        <v>3080</v>
      </c>
    </row>
    <row r="16" spans="1:2" x14ac:dyDescent="0.2">
      <c r="A16" s="4" t="s">
        <v>292</v>
      </c>
      <c r="B16" s="5"/>
    </row>
    <row r="17" spans="1:2" x14ac:dyDescent="0.2">
      <c r="A17" s="4" t="s">
        <v>293</v>
      </c>
      <c r="B17" s="5">
        <v>9680</v>
      </c>
    </row>
    <row r="18" spans="1:2" x14ac:dyDescent="0.2">
      <c r="A18" s="4" t="s">
        <v>7</v>
      </c>
      <c r="B18" s="5"/>
    </row>
    <row r="19" spans="1:2" x14ac:dyDescent="0.2">
      <c r="A19" s="4" t="s">
        <v>294</v>
      </c>
      <c r="B19" s="5">
        <v>13125</v>
      </c>
    </row>
    <row r="20" spans="1:2" x14ac:dyDescent="0.2">
      <c r="A20" s="4" t="s">
        <v>230</v>
      </c>
      <c r="B20" s="5"/>
    </row>
    <row r="21" spans="1:2" x14ac:dyDescent="0.2">
      <c r="A21" s="4" t="s">
        <v>295</v>
      </c>
      <c r="B21" s="5">
        <v>1500</v>
      </c>
    </row>
    <row r="22" spans="1:2" x14ac:dyDescent="0.2">
      <c r="A22" s="4" t="s">
        <v>233</v>
      </c>
      <c r="B22" s="5"/>
    </row>
    <row r="23" spans="1:2" x14ac:dyDescent="0.2">
      <c r="A23" s="4" t="s">
        <v>296</v>
      </c>
      <c r="B23" s="5">
        <v>8000</v>
      </c>
    </row>
    <row r="24" spans="1:2" x14ac:dyDescent="0.2">
      <c r="A24" s="4" t="s">
        <v>235</v>
      </c>
      <c r="B24" s="5"/>
    </row>
    <row r="25" spans="1:2" x14ac:dyDescent="0.2">
      <c r="A25" s="4" t="s">
        <v>297</v>
      </c>
      <c r="B25" s="5">
        <v>61768</v>
      </c>
    </row>
    <row r="26" spans="1:2" x14ac:dyDescent="0.2">
      <c r="A26" s="4" t="s">
        <v>298</v>
      </c>
      <c r="B26" s="5"/>
    </row>
    <row r="27" spans="1:2" x14ac:dyDescent="0.2">
      <c r="A27" s="4" t="s">
        <v>299</v>
      </c>
      <c r="B27" s="5">
        <v>9550</v>
      </c>
    </row>
    <row r="28" spans="1:2" x14ac:dyDescent="0.2">
      <c r="A28" s="4" t="s">
        <v>300</v>
      </c>
      <c r="B28" s="5"/>
    </row>
    <row r="29" spans="1:2" x14ac:dyDescent="0.2">
      <c r="A29" s="4" t="s">
        <v>301</v>
      </c>
      <c r="B29" s="5">
        <v>18000</v>
      </c>
    </row>
    <row r="30" spans="1:2" x14ac:dyDescent="0.2">
      <c r="A30" s="4" t="s">
        <v>302</v>
      </c>
      <c r="B30" s="5"/>
    </row>
    <row r="31" spans="1:2" x14ac:dyDescent="0.2">
      <c r="A31" s="4" t="s">
        <v>303</v>
      </c>
      <c r="B31" s="5">
        <v>6600</v>
      </c>
    </row>
    <row r="32" spans="1:2" x14ac:dyDescent="0.2">
      <c r="A32" s="6" t="s">
        <v>2</v>
      </c>
      <c r="B32" s="7">
        <f>SUM(B3:B31)</f>
        <v>168866.68</v>
      </c>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C2E75-39B9-4D78-8E43-A5D6E77AE7EC}">
  <dimension ref="A1:C22"/>
  <sheetViews>
    <sheetView topLeftCell="A7" zoomScaleNormal="100" workbookViewId="0">
      <selection activeCell="B23" sqref="B23"/>
    </sheetView>
  </sheetViews>
  <sheetFormatPr baseColWidth="10" defaultColWidth="11.44140625" defaultRowHeight="14.4" x14ac:dyDescent="0.3"/>
  <cols>
    <col min="1" max="1" width="13.88671875" bestFit="1" customWidth="1"/>
    <col min="2" max="2" width="107.44140625" customWidth="1"/>
  </cols>
  <sheetData>
    <row r="1" spans="1:3" ht="15" thickBot="1" x14ac:dyDescent="0.35">
      <c r="A1" s="59" t="s">
        <v>309</v>
      </c>
      <c r="B1" s="59" t="s">
        <v>310</v>
      </c>
      <c r="C1" s="60" t="s">
        <v>1</v>
      </c>
    </row>
    <row r="2" spans="1:3" ht="15" thickTop="1" x14ac:dyDescent="0.3">
      <c r="A2" s="65" t="s">
        <v>4</v>
      </c>
      <c r="B2" s="66" t="s">
        <v>320</v>
      </c>
      <c r="C2" s="61">
        <v>3520</v>
      </c>
    </row>
    <row r="3" spans="1:3" x14ac:dyDescent="0.3">
      <c r="A3" s="67" t="s">
        <v>4</v>
      </c>
      <c r="B3" s="68" t="s">
        <v>321</v>
      </c>
      <c r="C3" s="62">
        <v>5280</v>
      </c>
    </row>
    <row r="4" spans="1:3" x14ac:dyDescent="0.3">
      <c r="A4" s="65" t="s">
        <v>4</v>
      </c>
      <c r="B4" s="66" t="s">
        <v>322</v>
      </c>
      <c r="C4" s="61">
        <v>5280</v>
      </c>
    </row>
    <row r="5" spans="1:3" x14ac:dyDescent="0.3">
      <c r="A5" s="67" t="s">
        <v>5</v>
      </c>
      <c r="B5" s="68" t="s">
        <v>323</v>
      </c>
      <c r="C5" s="62">
        <v>3520</v>
      </c>
    </row>
    <row r="6" spans="1:3" ht="28.8" x14ac:dyDescent="0.3">
      <c r="A6" s="65" t="s">
        <v>5</v>
      </c>
      <c r="B6" s="66" t="s">
        <v>324</v>
      </c>
      <c r="C6" s="61">
        <v>3520</v>
      </c>
    </row>
    <row r="7" spans="1:3" ht="28.8" x14ac:dyDescent="0.3">
      <c r="A7" s="67" t="s">
        <v>5</v>
      </c>
      <c r="B7" s="68" t="s">
        <v>325</v>
      </c>
      <c r="C7" s="62">
        <v>3520</v>
      </c>
    </row>
    <row r="8" spans="1:3" x14ac:dyDescent="0.3">
      <c r="A8" s="65" t="s">
        <v>285</v>
      </c>
      <c r="B8" s="66" t="s">
        <v>326</v>
      </c>
      <c r="C8" s="61">
        <v>10560</v>
      </c>
    </row>
    <row r="9" spans="1:3" ht="28.8" x14ac:dyDescent="0.3">
      <c r="A9" s="67" t="s">
        <v>290</v>
      </c>
      <c r="B9" s="68" t="s">
        <v>327</v>
      </c>
      <c r="C9" s="62">
        <v>3080</v>
      </c>
    </row>
    <row r="10" spans="1:3" ht="43.2" x14ac:dyDescent="0.3">
      <c r="A10" s="65" t="s">
        <v>328</v>
      </c>
      <c r="B10" s="66" t="s">
        <v>329</v>
      </c>
      <c r="C10" s="61">
        <v>3168</v>
      </c>
    </row>
    <row r="11" spans="1:3" ht="28.8" x14ac:dyDescent="0.3">
      <c r="A11" s="67" t="s">
        <v>330</v>
      </c>
      <c r="B11" s="68" t="s">
        <v>331</v>
      </c>
      <c r="C11" s="62">
        <v>3240</v>
      </c>
    </row>
    <row r="12" spans="1:3" ht="28.8" x14ac:dyDescent="0.3">
      <c r="A12" s="65" t="s">
        <v>332</v>
      </c>
      <c r="B12" s="66" t="s">
        <v>333</v>
      </c>
      <c r="C12" s="61">
        <v>2181.8200000000002</v>
      </c>
    </row>
    <row r="13" spans="1:3" ht="28.8" x14ac:dyDescent="0.3">
      <c r="A13" s="67" t="s">
        <v>7</v>
      </c>
      <c r="B13" s="68" t="s">
        <v>334</v>
      </c>
      <c r="C13" s="62">
        <v>18750</v>
      </c>
    </row>
    <row r="14" spans="1:3" x14ac:dyDescent="0.3">
      <c r="A14" s="65" t="s">
        <v>230</v>
      </c>
      <c r="B14" s="66" t="s">
        <v>335</v>
      </c>
      <c r="C14" s="61">
        <v>6300</v>
      </c>
    </row>
    <row r="15" spans="1:3" x14ac:dyDescent="0.3">
      <c r="A15" s="67" t="s">
        <v>235</v>
      </c>
      <c r="B15" s="68" t="s">
        <v>336</v>
      </c>
      <c r="C15" s="62">
        <v>63564.54</v>
      </c>
    </row>
    <row r="16" spans="1:3" ht="28.8" x14ac:dyDescent="0.3">
      <c r="A16" s="65" t="s">
        <v>300</v>
      </c>
      <c r="B16" s="66" t="s">
        <v>337</v>
      </c>
      <c r="C16" s="61">
        <v>18000</v>
      </c>
    </row>
    <row r="17" spans="1:3" ht="15" thickBot="1" x14ac:dyDescent="0.35">
      <c r="A17" s="67" t="s">
        <v>302</v>
      </c>
      <c r="B17" s="68" t="s">
        <v>338</v>
      </c>
      <c r="C17" s="62">
        <v>33000</v>
      </c>
    </row>
    <row r="18" spans="1:3" ht="15" thickTop="1" x14ac:dyDescent="0.3">
      <c r="A18" s="63"/>
      <c r="B18" s="63"/>
      <c r="C18" s="64">
        <v>186484.36000000002</v>
      </c>
    </row>
    <row r="20" spans="1:3" x14ac:dyDescent="0.3">
      <c r="C20" s="58"/>
    </row>
    <row r="22" spans="1:3" x14ac:dyDescent="0.3">
      <c r="B22" s="86" t="s">
        <v>357</v>
      </c>
      <c r="C22" s="87">
        <f>C18+'Ingresos investigación 2020'!B32+'Ingresos investigación 2019'!B39</f>
        <v>511018.08000000007</v>
      </c>
    </row>
  </sheetData>
  <pageMargins left="0.39370078740157483" right="0.39370078740157483"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6"/>
  <sheetViews>
    <sheetView zoomScaleNormal="100" workbookViewId="0">
      <selection activeCell="A21" sqref="A21:B26"/>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8</v>
      </c>
      <c r="B2" s="5"/>
    </row>
    <row r="3" spans="1:2" x14ac:dyDescent="0.2">
      <c r="A3" s="4" t="s">
        <v>237</v>
      </c>
      <c r="B3" s="5">
        <v>162</v>
      </c>
    </row>
    <row r="4" spans="1:2" x14ac:dyDescent="0.2">
      <c r="A4" s="4" t="s">
        <v>9</v>
      </c>
      <c r="B4" s="5"/>
    </row>
    <row r="5" spans="1:2" x14ac:dyDescent="0.2">
      <c r="A5" s="4" t="s">
        <v>238</v>
      </c>
      <c r="B5" s="5">
        <v>191.21</v>
      </c>
    </row>
    <row r="6" spans="1:2" x14ac:dyDescent="0.2">
      <c r="A6" s="4" t="s">
        <v>239</v>
      </c>
      <c r="B6" s="5">
        <v>20061.98</v>
      </c>
    </row>
    <row r="7" spans="1:2" x14ac:dyDescent="0.2">
      <c r="A7" s="4" t="s">
        <v>240</v>
      </c>
      <c r="B7" s="5">
        <v>1533.21</v>
      </c>
    </row>
    <row r="8" spans="1:2" x14ac:dyDescent="0.2">
      <c r="A8" s="4" t="s">
        <v>241</v>
      </c>
      <c r="B8" s="5">
        <v>0.02</v>
      </c>
    </row>
    <row r="9" spans="1:2" x14ac:dyDescent="0.2">
      <c r="A9" s="4" t="s">
        <v>242</v>
      </c>
      <c r="B9" s="5">
        <v>5400</v>
      </c>
    </row>
    <row r="10" spans="1:2" x14ac:dyDescent="0.2">
      <c r="A10" s="4" t="s">
        <v>10</v>
      </c>
      <c r="B10" s="5"/>
    </row>
    <row r="11" spans="1:2" x14ac:dyDescent="0.2">
      <c r="A11" s="4" t="s">
        <v>243</v>
      </c>
      <c r="B11" s="5">
        <v>15840</v>
      </c>
    </row>
    <row r="12" spans="1:2" x14ac:dyDescent="0.2">
      <c r="A12" s="4" t="s">
        <v>244</v>
      </c>
      <c r="B12" s="5">
        <v>1533.21</v>
      </c>
    </row>
    <row r="13" spans="1:2" x14ac:dyDescent="0.2">
      <c r="A13" s="4" t="s">
        <v>241</v>
      </c>
      <c r="B13" s="5">
        <v>13.87</v>
      </c>
    </row>
    <row r="14" spans="1:2" x14ac:dyDescent="0.2">
      <c r="A14" s="4" t="s">
        <v>245</v>
      </c>
      <c r="B14" s="5"/>
    </row>
    <row r="15" spans="1:2" x14ac:dyDescent="0.2">
      <c r="A15" s="4" t="s">
        <v>246</v>
      </c>
      <c r="B15" s="5">
        <v>1512</v>
      </c>
    </row>
    <row r="16" spans="1:2" x14ac:dyDescent="0.2">
      <c r="A16" s="4" t="s">
        <v>247</v>
      </c>
      <c r="B16" s="5">
        <v>1362</v>
      </c>
    </row>
    <row r="17" spans="1:2" x14ac:dyDescent="0.2">
      <c r="A17" s="4" t="s">
        <v>248</v>
      </c>
      <c r="B17" s="5">
        <v>804</v>
      </c>
    </row>
    <row r="18" spans="1:2" x14ac:dyDescent="0.2">
      <c r="A18" s="4" t="s">
        <v>249</v>
      </c>
      <c r="B18" s="5"/>
    </row>
    <row r="19" spans="1:2" x14ac:dyDescent="0.2">
      <c r="A19" s="4" t="s">
        <v>250</v>
      </c>
      <c r="B19" s="5">
        <v>216</v>
      </c>
    </row>
    <row r="20" spans="1:2" x14ac:dyDescent="0.2">
      <c r="A20" s="4" t="s">
        <v>251</v>
      </c>
      <c r="B20" s="5">
        <v>588</v>
      </c>
    </row>
    <row r="21" spans="1:2" x14ac:dyDescent="0.2">
      <c r="A21" s="4" t="s">
        <v>252</v>
      </c>
      <c r="B21" s="5">
        <v>402</v>
      </c>
    </row>
    <row r="22" spans="1:2" x14ac:dyDescent="0.2">
      <c r="A22" s="4" t="s">
        <v>253</v>
      </c>
      <c r="B22" s="5"/>
    </row>
    <row r="23" spans="1:2" x14ac:dyDescent="0.2">
      <c r="A23" s="4" t="s">
        <v>254</v>
      </c>
      <c r="B23" s="5">
        <v>588</v>
      </c>
    </row>
    <row r="24" spans="1:2" x14ac:dyDescent="0.2">
      <c r="A24" s="4" t="s">
        <v>255</v>
      </c>
      <c r="B24" s="5"/>
    </row>
    <row r="25" spans="1:2" x14ac:dyDescent="0.2">
      <c r="A25" s="4" t="s">
        <v>256</v>
      </c>
      <c r="B25" s="5">
        <v>2700</v>
      </c>
    </row>
    <row r="26" spans="1:2" x14ac:dyDescent="0.2">
      <c r="A26" s="6" t="s">
        <v>2</v>
      </c>
      <c r="B26" s="7">
        <f>SUM(B3:B25)</f>
        <v>52907.5</v>
      </c>
    </row>
  </sheetData>
  <pageMargins left="0.39370078740157483" right="0.39370078740157483" top="0.74803149606299213" bottom="0.7480314960629921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30E4-6912-4549-9BA6-C0868A17D13B}">
  <dimension ref="A1:B11"/>
  <sheetViews>
    <sheetView zoomScaleNormal="100" workbookViewId="0">
      <selection activeCell="A20" sqref="A20"/>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304</v>
      </c>
      <c r="B2" s="5"/>
    </row>
    <row r="3" spans="1:2" x14ac:dyDescent="0.2">
      <c r="A3" s="4" t="s">
        <v>305</v>
      </c>
      <c r="B3" s="5">
        <v>1211.31</v>
      </c>
    </row>
    <row r="4" spans="1:2" x14ac:dyDescent="0.2">
      <c r="A4" s="4" t="s">
        <v>245</v>
      </c>
      <c r="B4" s="5"/>
    </row>
    <row r="5" spans="1:2" x14ac:dyDescent="0.2">
      <c r="A5" s="4" t="s">
        <v>246</v>
      </c>
      <c r="B5" s="5">
        <v>2473.2000000000003</v>
      </c>
    </row>
    <row r="6" spans="1:2" x14ac:dyDescent="0.2">
      <c r="A6" s="4" t="s">
        <v>306</v>
      </c>
      <c r="B6" s="5">
        <v>1436.4</v>
      </c>
    </row>
    <row r="7" spans="1:2" x14ac:dyDescent="0.2">
      <c r="A7" s="4" t="s">
        <v>249</v>
      </c>
      <c r="B7" s="5"/>
    </row>
    <row r="8" spans="1:2" x14ac:dyDescent="0.2">
      <c r="A8" s="4" t="s">
        <v>307</v>
      </c>
      <c r="B8" s="5">
        <v>750.6</v>
      </c>
    </row>
    <row r="9" spans="1:2" x14ac:dyDescent="0.2">
      <c r="A9" s="4" t="s">
        <v>253</v>
      </c>
      <c r="B9" s="5"/>
    </row>
    <row r="10" spans="1:2" x14ac:dyDescent="0.2">
      <c r="A10" s="4" t="s">
        <v>308</v>
      </c>
      <c r="B10" s="5">
        <v>1501.2000000000003</v>
      </c>
    </row>
    <row r="11" spans="1:2" x14ac:dyDescent="0.2">
      <c r="A11" s="6" t="s">
        <v>2</v>
      </c>
      <c r="B11" s="7">
        <f>SUM(B3:B10)</f>
        <v>7372.7100000000009</v>
      </c>
    </row>
  </sheetData>
  <pageMargins left="0.39370078740157483" right="0.39370078740157483" top="0.74803149606299213" bottom="0.7480314960629921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C4FC-35FE-4319-81A7-000A1F817364}">
  <dimension ref="A1:C18"/>
  <sheetViews>
    <sheetView zoomScaleNormal="100" workbookViewId="0">
      <selection activeCell="B18" sqref="B18:C18"/>
    </sheetView>
  </sheetViews>
  <sheetFormatPr baseColWidth="10" defaultColWidth="11.44140625" defaultRowHeight="14.4" x14ac:dyDescent="0.3"/>
  <cols>
    <col min="1" max="1" width="13.88671875" bestFit="1" customWidth="1"/>
    <col min="2" max="2" width="104.33203125" customWidth="1"/>
  </cols>
  <sheetData>
    <row r="1" spans="1:3" x14ac:dyDescent="0.3">
      <c r="A1" s="48" t="s">
        <v>309</v>
      </c>
      <c r="B1" s="48" t="s">
        <v>310</v>
      </c>
      <c r="C1" s="49" t="s">
        <v>1</v>
      </c>
    </row>
    <row r="2" spans="1:3" ht="28.8" x14ac:dyDescent="0.3">
      <c r="A2" s="54" t="s">
        <v>304</v>
      </c>
      <c r="B2" s="55" t="s">
        <v>311</v>
      </c>
      <c r="C2" s="50">
        <v>294.51</v>
      </c>
    </row>
    <row r="3" spans="1:3" ht="28.8" x14ac:dyDescent="0.3">
      <c r="A3" s="56" t="s">
        <v>304</v>
      </c>
      <c r="B3" s="57" t="s">
        <v>312</v>
      </c>
      <c r="C3" s="51">
        <v>294.52999999999997</v>
      </c>
    </row>
    <row r="4" spans="1:3" x14ac:dyDescent="0.3">
      <c r="A4" s="54" t="s">
        <v>304</v>
      </c>
      <c r="B4" s="55" t="s">
        <v>313</v>
      </c>
      <c r="C4" s="50">
        <v>626.47</v>
      </c>
    </row>
    <row r="5" spans="1:3" ht="28.8" x14ac:dyDescent="0.3">
      <c r="A5" s="56" t="s">
        <v>304</v>
      </c>
      <c r="B5" s="57" t="s">
        <v>314</v>
      </c>
      <c r="C5" s="51">
        <v>1187.92</v>
      </c>
    </row>
    <row r="6" spans="1:3" ht="28.8" x14ac:dyDescent="0.3">
      <c r="A6" s="54" t="s">
        <v>245</v>
      </c>
      <c r="B6" s="55" t="s">
        <v>315</v>
      </c>
      <c r="C6" s="50">
        <v>228</v>
      </c>
    </row>
    <row r="7" spans="1:3" x14ac:dyDescent="0.3">
      <c r="A7" s="56" t="s">
        <v>245</v>
      </c>
      <c r="B7" s="57" t="s">
        <v>316</v>
      </c>
      <c r="C7" s="51">
        <v>3898.8</v>
      </c>
    </row>
    <row r="8" spans="1:3" x14ac:dyDescent="0.3">
      <c r="A8" s="54" t="s">
        <v>249</v>
      </c>
      <c r="B8" s="55" t="s">
        <v>317</v>
      </c>
      <c r="C8" s="50">
        <v>205.2</v>
      </c>
    </row>
    <row r="9" spans="1:3" x14ac:dyDescent="0.3">
      <c r="A9" s="56" t="s">
        <v>249</v>
      </c>
      <c r="B9" s="57" t="s">
        <v>317</v>
      </c>
      <c r="C9" s="51">
        <v>615.6</v>
      </c>
    </row>
    <row r="10" spans="1:3" x14ac:dyDescent="0.3">
      <c r="A10" s="54" t="s">
        <v>253</v>
      </c>
      <c r="B10" s="55" t="s">
        <v>318</v>
      </c>
      <c r="C10" s="50">
        <v>205.2</v>
      </c>
    </row>
    <row r="11" spans="1:3" x14ac:dyDescent="0.3">
      <c r="A11" s="56" t="s">
        <v>253</v>
      </c>
      <c r="B11" s="57" t="s">
        <v>318</v>
      </c>
      <c r="C11" s="51">
        <v>410.4</v>
      </c>
    </row>
    <row r="12" spans="1:3" x14ac:dyDescent="0.3">
      <c r="A12" s="54" t="s">
        <v>253</v>
      </c>
      <c r="B12" s="55" t="s">
        <v>318</v>
      </c>
      <c r="C12" s="50">
        <v>615.6</v>
      </c>
    </row>
    <row r="13" spans="1:3" ht="15" thickBot="1" x14ac:dyDescent="0.35">
      <c r="A13" s="56" t="s">
        <v>253</v>
      </c>
      <c r="B13" s="57" t="s">
        <v>319</v>
      </c>
      <c r="C13" s="51">
        <v>1231.2</v>
      </c>
    </row>
    <row r="14" spans="1:3" ht="15" thickTop="1" x14ac:dyDescent="0.3">
      <c r="A14" s="52"/>
      <c r="B14" s="52"/>
      <c r="C14" s="53">
        <v>9813.43</v>
      </c>
    </row>
    <row r="16" spans="1:3" x14ac:dyDescent="0.3">
      <c r="C16" s="58"/>
    </row>
    <row r="18" spans="2:3" x14ac:dyDescent="0.3">
      <c r="B18" s="86" t="s">
        <v>358</v>
      </c>
      <c r="C18" s="87">
        <f>C14+'Ingresos formación 2020'!B11+'Ingresos formación 2019'!B26</f>
        <v>70093.64</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Cr.20</vt:lpstr>
      <vt:lpstr>Cr.21</vt:lpstr>
      <vt:lpstr>Cr.22</vt: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2022-10-19T11:11:33Z</dcterms:modified>
</cp:coreProperties>
</file>