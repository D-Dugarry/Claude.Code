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C886ED45-F91C-40E6-B1F6-8CF9D038B25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3" l="1"/>
  <c r="S27" i="2" l="1"/>
  <c r="B7" i="6" l="1"/>
  <c r="B21" i="5" l="1"/>
  <c r="D12" i="7" s="1"/>
</calcChain>
</file>

<file path=xl/sharedStrings.xml><?xml version="1.0" encoding="utf-8"?>
<sst xmlns="http://schemas.openxmlformats.org/spreadsheetml/2006/main" count="556" uniqueCount="182">
  <si>
    <t>Orgánica
Descripción justificante</t>
  </si>
  <si>
    <t>Importe</t>
  </si>
  <si>
    <t>Total</t>
  </si>
  <si>
    <t>33.20.6C.00.09</t>
  </si>
  <si>
    <t>33.20.6P.00.06</t>
  </si>
  <si>
    <t>33.20.6P.00.07</t>
  </si>
  <si>
    <t>33.20.6P.00.00</t>
  </si>
  <si>
    <t>33.20.6X.00.00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</si>
  <si>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</si>
  <si>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</si>
  <si>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</si>
  <si>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</si>
  <si>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</si>
  <si>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</si>
  <si>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</si>
  <si>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</si>
  <si>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</si>
  <si>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</si>
  <si>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</si>
  <si>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</si>
  <si>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</si>
  <si>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</si>
  <si>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</si>
  <si>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</si>
  <si>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</si>
  <si>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</si>
  <si>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</si>
  <si>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</si>
  <si>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</si>
  <si>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</si>
  <si>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</si>
  <si>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</si>
  <si>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B112 </t>
  </si>
  <si>
    <t>DIDACTICA GENERAL Y DIDÁCTICAS ESPECÍFICAS </t>
  </si>
  <si>
    <t>30</t>
  </si>
  <si>
    <t>DOCTORADO EN INVESTIGACIÓN EDUCATIVA: ENSEÑANZA Y APRENDIZAJE </t>
  </si>
  <si>
    <t>19/09/2017 </t>
  </si>
  <si>
    <t>19/09/2019 </t>
  </si>
  <si>
    <t>10.23</t>
  </si>
  <si>
    <t>13/07/2017 </t>
  </si>
  <si>
    <t>29/10/2018 </t>
  </si>
  <si>
    <t>21622874E </t>
  </si>
  <si>
    <t>B132 </t>
  </si>
  <si>
    <t>PSICOLOGIA DE LA SALUD </t>
  </si>
  <si>
    <t>B132</t>
  </si>
  <si>
    <t>51443101J </t>
  </si>
  <si>
    <t>U044 </t>
  </si>
  <si>
    <t>ADM. FACULTAD DE CIENCIAS DE LA SALUD </t>
  </si>
  <si>
    <t>DOCTORADO EN CIENCIAS DE LA SALUD </t>
  </si>
  <si>
    <t>20399316H </t>
  </si>
  <si>
    <t>Borrego Honrubia, Cristina </t>
  </si>
  <si>
    <t>EVALUACIÓN DE LOS ASPECTOS POSITIVOS Y DE LA CALIDAD DE VIDA RELACIONADA CON LA SALUD EN PACIENTES CON ESCLEROSIS MÚLTIPLE. </t>
  </si>
  <si>
    <t>21/11/2016 </t>
  </si>
  <si>
    <t>López Gracia, María Virtudes </t>
  </si>
  <si>
    <t>LAS CRISIS DE LA SALUD MENTAL Y LOS CUIDADOS FAMILIARES: UN ESTUDIO CUALITATIVO. </t>
  </si>
  <si>
    <t>López Ruiz, Elisa Teresa </t>
  </si>
  <si>
    <t>CONOCIMIENTO PROFESIONAL, COMPETENCIA Y PERCEPCIONES DEL PROFESORADO DE EDUCACIÓN SECUNDARIA, ORIENTADORES Y EQUIPOS DIRECTIVOS ACERCA DE LA INCLUSIÓN DEL ALUMNADO CON NECESIDADES ESPECÍFICAS DE APOYO EDUCATIVO (NEAE): ESTUDIO COMPARADO </t>
  </si>
  <si>
    <t>26/06/2017 </t>
  </si>
  <si>
    <t>28996290Y </t>
  </si>
  <si>
    <t>Moya Pérez, Rosario Encarnación </t>
  </si>
  <si>
    <t>SATISFACCIÓN LABORAL Y VITAL DEL PROFESORADO DEL ALUMNADO DE ALTAS CAPACIDADES EN EDUCACIÓN SECUNDARIA </t>
  </si>
  <si>
    <t>23/02/2017 </t>
  </si>
  <si>
    <t>74189195G </t>
  </si>
  <si>
    <t>SANCHEZ SAN SEGUNDO, MIRIAM </t>
  </si>
  <si>
    <t>LAS TRAYECTORIAS DE LA VIOLENCIA Y LA CONDUCTA CRIMINAL </t>
  </si>
  <si>
    <t>21485314W </t>
  </si>
  <si>
    <t>00381646F </t>
  </si>
  <si>
    <t>Sánchez San Segundo, Miriam </t>
  </si>
  <si>
    <t>Zaragoza Martí, Ana </t>
  </si>
  <si>
    <t>EVALUACIÓN DE LA ADHERENCIA A LA DIETA MEDITERRÁNEA EN POBLACIÓN DE ADULTOS JÓVENES Y PERSONAS MAYORES </t>
  </si>
  <si>
    <t>27/06/2017 </t>
  </si>
  <si>
    <t>Cascales Pérez, Maria Luisa </t>
  </si>
  <si>
    <t>EFECTIVIDAD DE UN PROGRAMA DE ENTRENAMIENTO EN MINDFULNESS PARA MEJORAR LA CALIDAD DE VIDA EN PROFESIONALES SANITARIOS DE ATENCIÓN PRIMARIA </t>
  </si>
  <si>
    <t>de la Torre Aboki, Juana </t>
  </si>
  <si>
    <t>COSTE-EFECTIVIDAD DE LA CONSULTA ENFERMERA DE PRÁCTICA AVANZADA EN EL MANEJO DEL PACIENTE CON ARTRITIS REUMATOIDE EN HOSPITAL DE DÍA </t>
  </si>
  <si>
    <t>48340670Y </t>
  </si>
  <si>
    <t>Oltra Cucarella, Javier </t>
  </si>
  <si>
    <t>REVISIÓN DE LOS CRITERIOS DIAGNÓSTICOS DEL DETERIORO CONGNITIVO LEVE: NUEVOS MARCADORES PREDICTIVOS DE LA ENFERMEDAD DE ALZHÉIMER </t>
  </si>
  <si>
    <t>11/12/2018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</si>
  <si>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</si>
  <si>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</si>
  <si>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</si>
  <si>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</si>
  <si>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</si>
  <si>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</si>
  <si>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</si>
  <si>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</si>
  <si>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</si>
  <si>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</si>
  <si>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</si>
  <si>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</si>
  <si>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</si>
  <si>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</si>
  <si>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48340670Y</t>
  </si>
  <si>
    <t>ALBALADEJO BLAZQUEZ, NATALIA</t>
  </si>
  <si>
    <t>21622874E</t>
  </si>
  <si>
    <t>CARDONA MOLTO, MARIA CRISTINA</t>
  </si>
  <si>
    <t>28996290Y</t>
  </si>
  <si>
    <t>CHINER SANZ, ESTHER</t>
  </si>
  <si>
    <t>51443101J</t>
  </si>
  <si>
    <t>DE LA CUESTA BENJUMEA, CARMEN</t>
  </si>
  <si>
    <t>21657417L</t>
  </si>
  <si>
    <t>FERNANDEZ PASCUAL, MARIA DOLORES</t>
  </si>
  <si>
    <t>74189195G</t>
  </si>
  <si>
    <t>FERRER CASCALES, ROSARIO ISABEL</t>
  </si>
  <si>
    <t>20399316H</t>
  </si>
  <si>
    <t>REIG FERRER, ABILIO</t>
  </si>
  <si>
    <t>44358070V</t>
  </si>
  <si>
    <t>SANTOS RUIZ, ANA MARIA</t>
  </si>
  <si>
    <t>Elaboración de la base de datos y depuración de los mismos, análisis estadístico e interpretación de los resultados y elaboración del informe final del proyecto de investigación "Evolución del patrón de consumo de drogas y otras conductas adictivas en estudiantes de educación secundaria"</t>
  </si>
  <si>
    <t>33.20.6C.00.11</t>
  </si>
  <si>
    <t>Evaluación del clima laboral y satisfacción con el trabajo del personal de centros de internamiento de menores en conflicto con la Ley de Responsabilidad Penal del Menor.</t>
  </si>
  <si>
    <t xml:space="preserve">SUBVENCIONES PARA LA REALIZACIÓN DE PROYECTOS DE I+D+I DESARROLLADOS POR GRUPOS DE INVESTIGACIÓN EMERGENTES GV/2017-3ªA. </t>
  </si>
  <si>
    <t>33.20.6X.00.01</t>
  </si>
  <si>
    <t>ADDITIONAL PAYMENT ERASMUS EMOTION 051033. LA OFICINA DE GESTIÓN DE PROYECTOS INTERNACIONALES INFORMA QUE SE TRATA DE UN PAGO PARCIAL DEL PROYECTO E-MOTION.</t>
  </si>
  <si>
    <t>FIRST RATE PAYMANET ERASMUS EMOTION 051033. LA OFICINA DE GESTIÓN DE PROYECTOS INTERNACIONALES INFORMA QUE CORRESPONDE CON EL PRIMER PAGO DEL PROYECTO E-MOTION. DEPARTAMENTO DE PSICOLOGÍA DE LA SALUD.</t>
  </si>
  <si>
    <t>Clement Carbonell, Maria Violeta </t>
  </si>
  <si>
    <t>EVALUACIÓN DE LA CALIDAD DE VIDA RELACIONADA CON LA SALUD EN EL ENVEJECIMIENTO SALUDABLE Y DETERIORO COGNITIVO LEVE </t>
  </si>
  <si>
    <t>18/09/2020 </t>
  </si>
  <si>
    <t>30993511E</t>
  </si>
  <si>
    <t>FERNANDEZ ALCANTARA, MANUEL</t>
  </si>
  <si>
    <t>FLIB 18/03/19. PROYECTOS I+D+I RETOS 2017. ANUAL 2019. UNIV2 PROYECTOS I+D RETOS (PIA13) N EXPEDIENTE: PIA132017-1 - 2 ANUALIDAD REFERENCI. REF. ORDENANTE: 27402219310014367.</t>
  </si>
  <si>
    <t>TERCER Y CUARTO PAGO DEL PROYECTO MATE, COORDINADO POR EL PROFESOR MANUEL LILLO.</t>
  </si>
  <si>
    <t>70820293G</t>
  </si>
  <si>
    <t>SANCHEZ SAN SEGUNDO, MIRIAM</t>
  </si>
  <si>
    <t>74370655V</t>
  </si>
  <si>
    <t>RUIZ ROBLEDILLO, NICOLAS</t>
  </si>
  <si>
    <t>77756473M</t>
  </si>
  <si>
    <t>RUBIO APARICIO, MARIA</t>
  </si>
  <si>
    <t>U073 </t>
  </si>
  <si>
    <t>ADM. I.U. INVESTIGACIÓN DE ESTUDIOS DE GÉNERO </t>
  </si>
  <si>
    <t>DOCTORADO EN ESTUDIOS INTERDISCIPLINARES DE GÉNERO </t>
  </si>
  <si>
    <t>Miralles Cardona, Cristina </t>
  </si>
  <si>
    <t>Estudio exploratorio de las percepciones, competencias y actitudes de docentes en formación hacia la igualdad de género / Student teachers' perceptions, competencies and attitudes towards gender equality: an exploratory study </t>
  </si>
  <si>
    <t>23/11/2020 </t>
  </si>
  <si>
    <t>Alcocer Bruno, Cristian Aarón </t>
  </si>
  <si>
    <t>"Influencia de los estilos de vida y la calidad de vida relacionada con la salud en la prevención y riesgo de transmisión del VIH." </t>
  </si>
  <si>
    <t>22/07/2021 </t>
  </si>
  <si>
    <t>74370655V </t>
  </si>
  <si>
    <t>Danza contemporánea como medio de liberación de la tensión emocional y expresión en mujeres maltratadas </t>
  </si>
  <si>
    <t>13/09/2021 </t>
  </si>
  <si>
    <t>segundo pago del proyecto E-MOTION, que coordina la profesora Rosario Ferrer.</t>
  </si>
  <si>
    <t>TERCER PAGO DEL PROYECTO E-MOTION. COORDINADORA LA PROFESORA ROSARIO FERRER</t>
  </si>
  <si>
    <t>41.90.6P.00.07</t>
  </si>
  <si>
    <t>4-PI18/00590 - ANUALIDAD 2020 / 1-PI18/00590, INGRESO INSTITUTO SALUD CARLOS III</t>
  </si>
  <si>
    <t>33% a enfermería comunitaria, 33% a psicología de la salud y 33% a estudios de género según email 05/11/2021 Carmen Vives Cases</t>
  </si>
  <si>
    <t>2-PI18/00590 - Anualidad 2019 / 1-PI18/00590 26203219310007930-2019/003281</t>
  </si>
  <si>
    <t>34.70.6P.00.24</t>
  </si>
  <si>
    <t xml:space="preserve">APE - CAPTACIÓ PROJECTES EUROPEUS </t>
  </si>
  <si>
    <t>De los 9000€ el 50% tiene que computarse a Psicología de la salud según email 04/11/2021 del IP Jorge Azorín López</t>
  </si>
  <si>
    <t>Unidad</t>
  </si>
  <si>
    <t>Cód. org. aplic.</t>
  </si>
  <si>
    <t>Descripción justificante</t>
  </si>
  <si>
    <t>33.20</t>
  </si>
  <si>
    <t>33.20.6C.00.13</t>
  </si>
  <si>
    <t>PROGRAMA DE INTERVENCIÓN PARA MEJORAR EL AFRONTAMIENTO Y RESOLUCIÓN DE PROBLEMAS EN ADOLESCENTES DE PROGRAMAS DE COMPENSACIÓN EDUCATIVA</t>
  </si>
  <si>
    <t>33.20.6C.00.14</t>
  </si>
  <si>
    <t>Informe técnico de acreditación del programa Reasoning&amp;Rehabilitation-2 (R&amp;R2) para la prevención de drogodependencias y otras conductas adictivas.</t>
  </si>
  <si>
    <t>CUARTO PAGO PROYECTO E-MOTION, SEGÚN INFORMA LA OGPI</t>
  </si>
  <si>
    <t>33.20.6X.00.02</t>
  </si>
  <si>
    <t>PRIMER PAGO DEL PROYECTO HIGH SENSITIVITY (COORDINA ROSARIO FERRER). DEL DEPARTAMENTO DE PSICOLOGÍA DE LA SALUD, SEGÚN INFORMAN DESDE LA OGPI</t>
  </si>
  <si>
    <t>33.20.6X.00.03</t>
  </si>
  <si>
    <t>PRIMER PAGO DEL PROYECTO PRO-MOTION (COORDINA NATALIA ALBADELEJO), SEGUN INFORMAN DESDE LA OGPI</t>
  </si>
  <si>
    <t>Vera Esteban, María del Carmen </t>
  </si>
  <si>
    <t>Alarcó Rosales, Raquel </t>
  </si>
  <si>
    <t>Efectos adversos al consumo de drogas y otros comportamientos de riesgo en la población adolescente. </t>
  </si>
  <si>
    <t>25/03/2022 </t>
  </si>
  <si>
    <t>70820293G </t>
  </si>
  <si>
    <t>Fernández Ávalos, María Inmaculada </t>
  </si>
  <si>
    <t>EVALUACIÓN E INTERVENCIÓN EN PROCESOS DE DUELO Y PÉRDIDA EN PERSONAS CON DISCAPACIDAD INTELECTUAL Y SUS CUIDADORES. </t>
  </si>
  <si>
    <t>21/03/2022 </t>
  </si>
  <si>
    <t>Kitta , Ioanna </t>
  </si>
  <si>
    <t>La formación inicial docente en igualdad de género en Grecia: percepciones y competencias del alumnado para una práctica profesional sostenible sensible al género </t>
  </si>
  <si>
    <t>06/07/2022 </t>
  </si>
  <si>
    <t>COD DEP</t>
  </si>
  <si>
    <t>21515785K</t>
  </si>
  <si>
    <t>CLEMENT CARBONELL, MARIA VIOLETA</t>
  </si>
  <si>
    <t>48616785Y</t>
  </si>
  <si>
    <t>MADRID VALERO, JUAN JOSE</t>
  </si>
  <si>
    <t>74665107T</t>
  </si>
  <si>
    <t>MARCOS MARCOS, JORGE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</si>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</sst>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3" fillId="0" borderId="1" xfId="1" applyBorder="1"/>
    <xf numFmtId="0" fontId="1" fillId="7" borderId="1" xfId="0" applyFont="1" applyFill="1" applyBorder="1"/>
    <xf numFmtId="4" fontId="1" fillId="7" borderId="1" xfId="0" applyNumberFormat="1" applyFont="1" applyFill="1" applyBorder="1"/>
    <xf numFmtId="0" fontId="12" fillId="8" borderId="6" xfId="0" applyNumberFormat="1" applyFont="1" applyFill="1" applyBorder="1"/>
    <xf numFmtId="0" fontId="12" fillId="8" borderId="7" xfId="0" applyNumberFormat="1" applyFont="1" applyFill="1" applyBorder="1"/>
    <xf numFmtId="0" fontId="12" fillId="8" borderId="8" xfId="0" applyFont="1" applyFill="1" applyBorder="1" applyAlignment="1">
      <alignment horizontal="right"/>
    </xf>
    <xf numFmtId="0" fontId="0" fillId="9" borderId="9" xfId="0" applyNumberFormat="1" applyFont="1" applyFill="1" applyBorder="1"/>
    <xf numFmtId="0" fontId="0" fillId="9" borderId="10" xfId="0" applyFont="1" applyFill="1" applyBorder="1"/>
    <xf numFmtId="4" fontId="0" fillId="9" borderId="11" xfId="0" applyNumberFormat="1" applyFont="1" applyFill="1" applyBorder="1"/>
    <xf numFmtId="0" fontId="0" fillId="10" borderId="9" xfId="0" applyNumberFormat="1" applyFont="1" applyFill="1" applyBorder="1"/>
    <xf numFmtId="0" fontId="0" fillId="10" borderId="10" xfId="0" applyFont="1" applyFill="1" applyBorder="1"/>
    <xf numFmtId="4" fontId="0" fillId="10" borderId="11" xfId="0" applyNumberFormat="1" applyFont="1" applyFill="1" applyBorder="1"/>
    <xf numFmtId="0" fontId="12" fillId="8" borderId="12" xfId="0" applyFont="1" applyFill="1" applyBorder="1"/>
    <xf numFmtId="0" fontId="12" fillId="8" borderId="13" xfId="0" applyFont="1" applyFill="1" applyBorder="1"/>
    <xf numFmtId="4" fontId="12" fillId="8" borderId="14" xfId="0" applyNumberFormat="1" applyFont="1" applyFill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4" borderId="15" xfId="1" applyFill="1" applyBorder="1"/>
    <xf numFmtId="0" fontId="3" fillId="11" borderId="16" xfId="1" applyFont="1" applyFill="1" applyBorder="1" applyAlignment="1"/>
    <xf numFmtId="0" fontId="3" fillId="11" borderId="16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11" borderId="16" xfId="5" applyFont="1" applyFill="1" applyBorder="1"/>
    <xf numFmtId="0" fontId="10" fillId="11" borderId="16" xfId="5" applyFont="1" applyFill="1" applyBorder="1" applyAlignment="1">
      <alignment horizontal="right"/>
    </xf>
    <xf numFmtId="0" fontId="13" fillId="12" borderId="1" xfId="0" applyFont="1" applyFill="1" applyBorder="1" applyAlignment="1">
      <alignment horizontal="right"/>
    </xf>
    <xf numFmtId="4" fontId="0" fillId="11" borderId="1" xfId="0" applyNumberFormat="1" applyFill="1" applyBorder="1"/>
    <xf numFmtId="164" fontId="4" fillId="11" borderId="16" xfId="1" applyNumberFormat="1" applyFont="1" applyFill="1" applyBorder="1" applyAlignment="1"/>
    <xf numFmtId="0" fontId="14" fillId="11" borderId="16" xfId="5" applyFont="1" applyFill="1" applyBorder="1"/>
    <xf numFmtId="4" fontId="0" fillId="0" borderId="0" xfId="0" applyNumberForma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7"/>
  <sheetViews>
    <sheetView showGridLines="0" tabSelected="1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27" sqref="S2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8" t="s">
        <v>16</v>
      </c>
      <c r="J1" s="9" t="s">
        <v>17</v>
      </c>
      <c r="K1" s="8" t="s">
        <v>18</v>
      </c>
      <c r="L1" s="9" t="s">
        <v>19</v>
      </c>
      <c r="M1" s="10" t="s">
        <v>20</v>
      </c>
      <c r="N1" s="11" t="s">
        <v>21</v>
      </c>
      <c r="O1" s="12" t="s">
        <v>22</v>
      </c>
      <c r="P1" s="11" t="s">
        <v>23</v>
      </c>
      <c r="Q1" s="12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 x14ac:dyDescent="0.2">
      <c r="A2" s="20" t="s">
        <v>32</v>
      </c>
      <c r="B2" s="20" t="s">
        <v>33</v>
      </c>
      <c r="C2" s="20" t="s">
        <v>35</v>
      </c>
      <c r="D2" s="20" t="s">
        <v>55</v>
      </c>
      <c r="E2" s="20" t="s">
        <v>56</v>
      </c>
      <c r="F2" s="20" t="s">
        <v>57</v>
      </c>
      <c r="G2" s="20" t="s">
        <v>58</v>
      </c>
      <c r="H2" s="20" t="s">
        <v>29</v>
      </c>
      <c r="I2" s="20" t="s">
        <v>42</v>
      </c>
      <c r="J2" s="20" t="s">
        <v>43</v>
      </c>
      <c r="K2" s="23">
        <v>0.5</v>
      </c>
      <c r="L2" s="20" t="s">
        <v>44</v>
      </c>
      <c r="M2" s="20">
        <v>2016</v>
      </c>
      <c r="N2" s="20" t="s">
        <v>38</v>
      </c>
      <c r="O2" s="21" t="s">
        <v>34</v>
      </c>
      <c r="P2" s="20" t="s">
        <v>30</v>
      </c>
      <c r="Q2" s="21" t="s">
        <v>30</v>
      </c>
      <c r="R2" s="22">
        <v>70</v>
      </c>
      <c r="S2" s="23">
        <v>0.35</v>
      </c>
      <c r="T2" s="23">
        <v>0.15</v>
      </c>
      <c r="U2" s="23">
        <v>0</v>
      </c>
    </row>
    <row r="3" spans="1:21" x14ac:dyDescent="0.2">
      <c r="A3" s="20" t="s">
        <v>32</v>
      </c>
      <c r="B3" s="20" t="s">
        <v>33</v>
      </c>
      <c r="C3" s="20" t="s">
        <v>35</v>
      </c>
      <c r="D3" s="20" t="s">
        <v>55</v>
      </c>
      <c r="E3" s="20" t="s">
        <v>56</v>
      </c>
      <c r="F3" s="20" t="s">
        <v>57</v>
      </c>
      <c r="G3" s="20" t="s">
        <v>41</v>
      </c>
      <c r="H3" s="20" t="s">
        <v>29</v>
      </c>
      <c r="I3" s="20" t="s">
        <v>42</v>
      </c>
      <c r="J3" s="20" t="s">
        <v>43</v>
      </c>
      <c r="K3" s="23">
        <v>0.5</v>
      </c>
      <c r="L3" s="20" t="s">
        <v>44</v>
      </c>
      <c r="M3" s="20">
        <v>2016</v>
      </c>
      <c r="N3" s="20" t="s">
        <v>38</v>
      </c>
      <c r="O3" s="21" t="s">
        <v>34</v>
      </c>
      <c r="P3" s="20" t="s">
        <v>30</v>
      </c>
      <c r="Q3" s="21" t="s">
        <v>30</v>
      </c>
      <c r="R3" s="22">
        <v>70</v>
      </c>
      <c r="S3" s="23">
        <v>0.35</v>
      </c>
      <c r="T3" s="23">
        <v>0.15</v>
      </c>
      <c r="U3" s="23">
        <v>0</v>
      </c>
    </row>
    <row r="4" spans="1:21" x14ac:dyDescent="0.2">
      <c r="A4" s="20" t="s">
        <v>46</v>
      </c>
      <c r="B4" s="20" t="s">
        <v>47</v>
      </c>
      <c r="C4" s="20" t="s">
        <v>48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29</v>
      </c>
      <c r="I4" s="20" t="s">
        <v>42</v>
      </c>
      <c r="J4" s="20" t="s">
        <v>43</v>
      </c>
      <c r="K4" s="23">
        <v>0.5</v>
      </c>
      <c r="L4" s="20" t="s">
        <v>44</v>
      </c>
      <c r="M4" s="20">
        <v>2016</v>
      </c>
      <c r="N4" s="20" t="s">
        <v>30</v>
      </c>
      <c r="O4" s="21" t="s">
        <v>30</v>
      </c>
      <c r="P4" s="20" t="s">
        <v>30</v>
      </c>
      <c r="Q4" s="21" t="s">
        <v>30</v>
      </c>
      <c r="R4" s="22">
        <v>100</v>
      </c>
      <c r="S4" s="23">
        <v>0.5</v>
      </c>
      <c r="T4" s="23">
        <v>0</v>
      </c>
      <c r="U4" s="23">
        <v>0</v>
      </c>
    </row>
    <row r="5" spans="1:21" x14ac:dyDescent="0.2">
      <c r="A5" s="20" t="s">
        <v>46</v>
      </c>
      <c r="B5" s="20" t="s">
        <v>47</v>
      </c>
      <c r="C5" s="20" t="s">
        <v>48</v>
      </c>
      <c r="D5" s="20" t="s">
        <v>50</v>
      </c>
      <c r="E5" s="20" t="s">
        <v>51</v>
      </c>
      <c r="F5" s="20" t="s">
        <v>52</v>
      </c>
      <c r="G5" s="20" t="s">
        <v>49</v>
      </c>
      <c r="H5" s="20" t="s">
        <v>29</v>
      </c>
      <c r="I5" s="20" t="s">
        <v>42</v>
      </c>
      <c r="J5" s="20" t="s">
        <v>43</v>
      </c>
      <c r="K5" s="23">
        <v>0.5</v>
      </c>
      <c r="L5" s="20" t="s">
        <v>44</v>
      </c>
      <c r="M5" s="20">
        <v>2016</v>
      </c>
      <c r="N5" s="20" t="s">
        <v>30</v>
      </c>
      <c r="O5" s="21" t="s">
        <v>30</v>
      </c>
      <c r="P5" s="20" t="s">
        <v>30</v>
      </c>
      <c r="Q5" s="21" t="s">
        <v>30</v>
      </c>
      <c r="R5" s="22">
        <v>100</v>
      </c>
      <c r="S5" s="23">
        <v>0.5</v>
      </c>
      <c r="T5" s="23">
        <v>0</v>
      </c>
      <c r="U5" s="23">
        <v>0</v>
      </c>
    </row>
    <row r="6" spans="1:21" x14ac:dyDescent="0.2">
      <c r="A6" s="20" t="s">
        <v>46</v>
      </c>
      <c r="B6" s="20" t="s">
        <v>47</v>
      </c>
      <c r="C6" s="20" t="s">
        <v>48</v>
      </c>
      <c r="D6" s="20" t="s">
        <v>68</v>
      </c>
      <c r="E6" s="20" t="s">
        <v>69</v>
      </c>
      <c r="F6" s="20" t="s">
        <v>70</v>
      </c>
      <c r="G6" s="20" t="s">
        <v>62</v>
      </c>
      <c r="H6" s="20" t="s">
        <v>29</v>
      </c>
      <c r="I6" s="20" t="s">
        <v>42</v>
      </c>
      <c r="J6" s="20" t="s">
        <v>43</v>
      </c>
      <c r="K6" s="23">
        <v>0.5</v>
      </c>
      <c r="L6" s="20" t="s">
        <v>44</v>
      </c>
      <c r="M6" s="20">
        <v>2016</v>
      </c>
      <c r="N6" s="20" t="s">
        <v>30</v>
      </c>
      <c r="O6" s="21" t="s">
        <v>30</v>
      </c>
      <c r="P6" s="20" t="s">
        <v>30</v>
      </c>
      <c r="Q6" s="21" t="s">
        <v>30</v>
      </c>
      <c r="R6" s="22">
        <v>100</v>
      </c>
      <c r="S6" s="23">
        <v>0.5</v>
      </c>
      <c r="T6" s="23">
        <v>0</v>
      </c>
      <c r="U6" s="23">
        <v>0</v>
      </c>
    </row>
    <row r="7" spans="1:21" x14ac:dyDescent="0.2">
      <c r="A7" s="20" t="s">
        <v>46</v>
      </c>
      <c r="B7" s="20" t="s">
        <v>47</v>
      </c>
      <c r="C7" s="20" t="s">
        <v>48</v>
      </c>
      <c r="D7" s="20" t="s">
        <v>53</v>
      </c>
      <c r="E7" s="20" t="s">
        <v>54</v>
      </c>
      <c r="F7" s="20" t="s">
        <v>36</v>
      </c>
      <c r="G7" s="20" t="s">
        <v>45</v>
      </c>
      <c r="H7" s="20" t="s">
        <v>31</v>
      </c>
      <c r="I7" s="20" t="s">
        <v>42</v>
      </c>
      <c r="J7" s="20" t="s">
        <v>43</v>
      </c>
      <c r="K7" s="23">
        <v>1</v>
      </c>
      <c r="L7" s="20" t="s">
        <v>44</v>
      </c>
      <c r="M7" s="20">
        <v>2016</v>
      </c>
      <c r="N7" s="20" t="s">
        <v>30</v>
      </c>
      <c r="O7" s="21" t="s">
        <v>30</v>
      </c>
      <c r="P7" s="20" t="s">
        <v>30</v>
      </c>
      <c r="Q7" s="21" t="s">
        <v>30</v>
      </c>
      <c r="R7" s="22">
        <v>100</v>
      </c>
      <c r="S7" s="23">
        <v>1</v>
      </c>
      <c r="T7" s="23">
        <v>0</v>
      </c>
      <c r="U7" s="23">
        <v>0</v>
      </c>
    </row>
    <row r="8" spans="1:21" x14ac:dyDescent="0.2">
      <c r="A8" s="20" t="s">
        <v>46</v>
      </c>
      <c r="B8" s="20" t="s">
        <v>47</v>
      </c>
      <c r="C8" s="20" t="s">
        <v>48</v>
      </c>
      <c r="D8" s="20" t="s">
        <v>63</v>
      </c>
      <c r="E8" s="20" t="s">
        <v>64</v>
      </c>
      <c r="F8" s="20" t="s">
        <v>39</v>
      </c>
      <c r="G8" s="20" t="s">
        <v>65</v>
      </c>
      <c r="H8" s="20" t="s">
        <v>29</v>
      </c>
      <c r="I8" s="20" t="s">
        <v>42</v>
      </c>
      <c r="J8" s="20" t="s">
        <v>43</v>
      </c>
      <c r="K8" s="23">
        <v>0.33333333333333331</v>
      </c>
      <c r="L8" s="20" t="s">
        <v>44</v>
      </c>
      <c r="M8" s="20">
        <v>2016</v>
      </c>
      <c r="N8" s="20" t="s">
        <v>30</v>
      </c>
      <c r="O8" s="21" t="s">
        <v>30</v>
      </c>
      <c r="P8" s="20" t="s">
        <v>30</v>
      </c>
      <c r="Q8" s="21" t="s">
        <v>30</v>
      </c>
      <c r="R8" s="22">
        <v>100</v>
      </c>
      <c r="S8" s="23">
        <v>0.33333333333333326</v>
      </c>
      <c r="T8" s="23">
        <v>0</v>
      </c>
      <c r="U8" s="23">
        <v>0</v>
      </c>
    </row>
    <row r="9" spans="1:21" x14ac:dyDescent="0.2">
      <c r="A9" s="20" t="s">
        <v>46</v>
      </c>
      <c r="B9" s="20" t="s">
        <v>47</v>
      </c>
      <c r="C9" s="20" t="s">
        <v>48</v>
      </c>
      <c r="D9" s="20" t="s">
        <v>63</v>
      </c>
      <c r="E9" s="20" t="s">
        <v>64</v>
      </c>
      <c r="F9" s="20" t="s">
        <v>39</v>
      </c>
      <c r="G9" s="20" t="s">
        <v>66</v>
      </c>
      <c r="H9" s="20" t="s">
        <v>29</v>
      </c>
      <c r="I9" s="20" t="s">
        <v>42</v>
      </c>
      <c r="J9" s="20" t="s">
        <v>43</v>
      </c>
      <c r="K9" s="23">
        <v>0.33333333333333331</v>
      </c>
      <c r="L9" s="20" t="s">
        <v>44</v>
      </c>
      <c r="M9" s="20">
        <v>2016</v>
      </c>
      <c r="N9" s="20" t="s">
        <v>30</v>
      </c>
      <c r="O9" s="21" t="s">
        <v>30</v>
      </c>
      <c r="P9" s="20" t="s">
        <v>30</v>
      </c>
      <c r="Q9" s="21" t="s">
        <v>30</v>
      </c>
      <c r="R9" s="22">
        <v>100</v>
      </c>
      <c r="S9" s="23">
        <v>0.33333333333333326</v>
      </c>
      <c r="T9" s="23">
        <v>0</v>
      </c>
      <c r="U9" s="23">
        <v>0</v>
      </c>
    </row>
    <row r="10" spans="1:21" x14ac:dyDescent="0.2">
      <c r="A10" s="20" t="s">
        <v>46</v>
      </c>
      <c r="B10" s="20" t="s">
        <v>47</v>
      </c>
      <c r="C10" s="20" t="s">
        <v>48</v>
      </c>
      <c r="D10" s="20" t="s">
        <v>63</v>
      </c>
      <c r="E10" s="20" t="s">
        <v>64</v>
      </c>
      <c r="F10" s="20" t="s">
        <v>39</v>
      </c>
      <c r="G10" s="20" t="s">
        <v>62</v>
      </c>
      <c r="H10" s="20" t="s">
        <v>29</v>
      </c>
      <c r="I10" s="20" t="s">
        <v>42</v>
      </c>
      <c r="J10" s="20" t="s">
        <v>43</v>
      </c>
      <c r="K10" s="23">
        <v>0.33333333333333331</v>
      </c>
      <c r="L10" s="20" t="s">
        <v>44</v>
      </c>
      <c r="M10" s="20">
        <v>2016</v>
      </c>
      <c r="N10" s="20" t="s">
        <v>30</v>
      </c>
      <c r="O10" s="21" t="s">
        <v>30</v>
      </c>
      <c r="P10" s="20" t="s">
        <v>30</v>
      </c>
      <c r="Q10" s="21" t="s">
        <v>30</v>
      </c>
      <c r="R10" s="22">
        <v>100</v>
      </c>
      <c r="S10" s="23">
        <v>0.33333333333333326</v>
      </c>
      <c r="T10" s="23">
        <v>0</v>
      </c>
      <c r="U10" s="23">
        <v>0</v>
      </c>
    </row>
    <row r="11" spans="1:21" x14ac:dyDescent="0.2">
      <c r="A11" s="20" t="s">
        <v>46</v>
      </c>
      <c r="B11" s="20" t="s">
        <v>47</v>
      </c>
      <c r="C11" s="20" t="s">
        <v>48</v>
      </c>
      <c r="D11" s="20" t="s">
        <v>67</v>
      </c>
      <c r="E11" s="20" t="s">
        <v>64</v>
      </c>
      <c r="F11" s="20" t="s">
        <v>39</v>
      </c>
      <c r="G11" s="20" t="s">
        <v>65</v>
      </c>
      <c r="H11" s="20" t="s">
        <v>29</v>
      </c>
      <c r="I11" s="20" t="s">
        <v>42</v>
      </c>
      <c r="J11" s="20" t="s">
        <v>43</v>
      </c>
      <c r="K11" s="23">
        <v>0.33333333333333331</v>
      </c>
      <c r="L11" s="20" t="s">
        <v>44</v>
      </c>
      <c r="M11" s="20">
        <v>2016</v>
      </c>
      <c r="N11" s="20" t="s">
        <v>30</v>
      </c>
      <c r="O11" s="21" t="s">
        <v>30</v>
      </c>
      <c r="P11" s="20" t="s">
        <v>30</v>
      </c>
      <c r="Q11" s="21" t="s">
        <v>30</v>
      </c>
      <c r="R11" s="22">
        <v>100</v>
      </c>
      <c r="S11" s="23">
        <v>0.33333333333333326</v>
      </c>
      <c r="T11" s="23">
        <v>0</v>
      </c>
      <c r="U11" s="23">
        <v>0</v>
      </c>
    </row>
    <row r="12" spans="1:21" x14ac:dyDescent="0.2">
      <c r="A12" s="20" t="s">
        <v>46</v>
      </c>
      <c r="B12" s="20" t="s">
        <v>47</v>
      </c>
      <c r="C12" s="20" t="s">
        <v>48</v>
      </c>
      <c r="D12" s="20" t="s">
        <v>67</v>
      </c>
      <c r="E12" s="20" t="s">
        <v>64</v>
      </c>
      <c r="F12" s="20" t="s">
        <v>39</v>
      </c>
      <c r="G12" s="20" t="s">
        <v>66</v>
      </c>
      <c r="H12" s="20" t="s">
        <v>29</v>
      </c>
      <c r="I12" s="20" t="s">
        <v>42</v>
      </c>
      <c r="J12" s="20" t="s">
        <v>43</v>
      </c>
      <c r="K12" s="23">
        <v>0.33333333333333331</v>
      </c>
      <c r="L12" s="20" t="s">
        <v>44</v>
      </c>
      <c r="M12" s="20">
        <v>2016</v>
      </c>
      <c r="N12" s="20" t="s">
        <v>30</v>
      </c>
      <c r="O12" s="21" t="s">
        <v>30</v>
      </c>
      <c r="P12" s="20" t="s">
        <v>30</v>
      </c>
      <c r="Q12" s="21" t="s">
        <v>30</v>
      </c>
      <c r="R12" s="22">
        <v>100</v>
      </c>
      <c r="S12" s="23">
        <v>0.33333333333333326</v>
      </c>
      <c r="T12" s="23">
        <v>0</v>
      </c>
      <c r="U12" s="23">
        <v>0</v>
      </c>
    </row>
    <row r="13" spans="1:21" x14ac:dyDescent="0.2">
      <c r="A13" s="20" t="s">
        <v>46</v>
      </c>
      <c r="B13" s="20" t="s">
        <v>47</v>
      </c>
      <c r="C13" s="20" t="s">
        <v>48</v>
      </c>
      <c r="D13" s="20" t="s">
        <v>67</v>
      </c>
      <c r="E13" s="20" t="s">
        <v>64</v>
      </c>
      <c r="F13" s="20" t="s">
        <v>39</v>
      </c>
      <c r="G13" s="20" t="s">
        <v>62</v>
      </c>
      <c r="H13" s="20" t="s">
        <v>29</v>
      </c>
      <c r="I13" s="20" t="s">
        <v>42</v>
      </c>
      <c r="J13" s="20" t="s">
        <v>43</v>
      </c>
      <c r="K13" s="23">
        <v>0.33333333333333331</v>
      </c>
      <c r="L13" s="20" t="s">
        <v>44</v>
      </c>
      <c r="M13" s="20">
        <v>2016</v>
      </c>
      <c r="N13" s="20" t="s">
        <v>30</v>
      </c>
      <c r="O13" s="21" t="s">
        <v>30</v>
      </c>
      <c r="P13" s="20" t="s">
        <v>30</v>
      </c>
      <c r="Q13" s="21" t="s">
        <v>30</v>
      </c>
      <c r="R13" s="22">
        <v>100</v>
      </c>
      <c r="S13" s="23">
        <v>0.33333333333333326</v>
      </c>
      <c r="T13" s="23">
        <v>0</v>
      </c>
      <c r="U13" s="23">
        <v>0</v>
      </c>
    </row>
    <row r="14" spans="1:21" x14ac:dyDescent="0.2">
      <c r="A14" s="20" t="s">
        <v>46</v>
      </c>
      <c r="B14" s="20" t="s">
        <v>47</v>
      </c>
      <c r="C14" s="20" t="s">
        <v>48</v>
      </c>
      <c r="D14" s="20" t="s">
        <v>76</v>
      </c>
      <c r="E14" s="20" t="s">
        <v>77</v>
      </c>
      <c r="F14" s="20" t="s">
        <v>78</v>
      </c>
      <c r="G14" s="20" t="s">
        <v>62</v>
      </c>
      <c r="H14" s="20" t="s">
        <v>31</v>
      </c>
      <c r="I14" s="20" t="s">
        <v>42</v>
      </c>
      <c r="J14" s="20" t="s">
        <v>43</v>
      </c>
      <c r="K14" s="47">
        <v>1</v>
      </c>
      <c r="L14" s="20" t="s">
        <v>44</v>
      </c>
      <c r="M14" s="20">
        <v>2018</v>
      </c>
      <c r="N14" s="20" t="s">
        <v>30</v>
      </c>
      <c r="O14" s="21" t="s">
        <v>30</v>
      </c>
      <c r="P14" s="20" t="s">
        <v>30</v>
      </c>
      <c r="Q14" s="21" t="s">
        <v>30</v>
      </c>
      <c r="R14" s="22">
        <v>100</v>
      </c>
      <c r="S14" s="23">
        <v>1</v>
      </c>
      <c r="T14" s="23">
        <v>0</v>
      </c>
      <c r="U14" s="23">
        <v>0</v>
      </c>
    </row>
    <row r="15" spans="1:21" x14ac:dyDescent="0.2">
      <c r="A15" s="20" t="s">
        <v>46</v>
      </c>
      <c r="B15" s="20" t="s">
        <v>47</v>
      </c>
      <c r="C15" s="20" t="s">
        <v>48</v>
      </c>
      <c r="D15" s="20" t="s">
        <v>73</v>
      </c>
      <c r="E15" s="20" t="s">
        <v>74</v>
      </c>
      <c r="F15" s="20" t="s">
        <v>40</v>
      </c>
      <c r="G15" s="20" t="s">
        <v>75</v>
      </c>
      <c r="H15" s="20" t="s">
        <v>29</v>
      </c>
      <c r="I15" s="20" t="s">
        <v>42</v>
      </c>
      <c r="J15" s="20" t="s">
        <v>43</v>
      </c>
      <c r="K15" s="47">
        <v>0.5</v>
      </c>
      <c r="L15" s="20" t="s">
        <v>44</v>
      </c>
      <c r="M15" s="20">
        <v>2018</v>
      </c>
      <c r="N15" s="20" t="s">
        <v>30</v>
      </c>
      <c r="O15" s="21" t="s">
        <v>30</v>
      </c>
      <c r="P15" s="20" t="s">
        <v>30</v>
      </c>
      <c r="Q15" s="21" t="s">
        <v>30</v>
      </c>
      <c r="R15" s="22">
        <v>100</v>
      </c>
      <c r="S15" s="23">
        <v>0.5</v>
      </c>
      <c r="T15" s="23">
        <v>0</v>
      </c>
      <c r="U15" s="23">
        <v>0</v>
      </c>
    </row>
    <row r="16" spans="1:21" x14ac:dyDescent="0.2">
      <c r="A16" s="20" t="s">
        <v>46</v>
      </c>
      <c r="B16" s="20" t="s">
        <v>47</v>
      </c>
      <c r="C16" s="20" t="s">
        <v>48</v>
      </c>
      <c r="D16" s="20" t="s">
        <v>71</v>
      </c>
      <c r="E16" s="20" t="s">
        <v>72</v>
      </c>
      <c r="F16" s="20" t="s">
        <v>37</v>
      </c>
      <c r="G16" s="20" t="s">
        <v>62</v>
      </c>
      <c r="H16" s="20" t="s">
        <v>29</v>
      </c>
      <c r="I16" s="20" t="s">
        <v>42</v>
      </c>
      <c r="J16" s="20" t="s">
        <v>43</v>
      </c>
      <c r="K16" s="47">
        <v>0.5</v>
      </c>
      <c r="L16" s="20" t="s">
        <v>44</v>
      </c>
      <c r="M16" s="20">
        <v>2018</v>
      </c>
      <c r="N16" s="20" t="s">
        <v>30</v>
      </c>
      <c r="O16" s="21" t="s">
        <v>30</v>
      </c>
      <c r="P16" s="20" t="s">
        <v>30</v>
      </c>
      <c r="Q16" s="21" t="s">
        <v>30</v>
      </c>
      <c r="R16" s="22">
        <v>100</v>
      </c>
      <c r="S16" s="23">
        <v>0.5</v>
      </c>
      <c r="T16" s="23">
        <v>0</v>
      </c>
      <c r="U16" s="23">
        <v>0</v>
      </c>
    </row>
    <row r="17" spans="1:21" x14ac:dyDescent="0.2">
      <c r="A17" s="24" t="s">
        <v>46</v>
      </c>
      <c r="B17" s="24" t="s">
        <v>47</v>
      </c>
      <c r="C17" s="24" t="s">
        <v>48</v>
      </c>
      <c r="D17" s="24" t="s">
        <v>116</v>
      </c>
      <c r="E17" s="24" t="s">
        <v>117</v>
      </c>
      <c r="F17" s="24" t="s">
        <v>118</v>
      </c>
      <c r="G17" s="24" t="s">
        <v>62</v>
      </c>
      <c r="H17" s="24" t="s">
        <v>29</v>
      </c>
      <c r="I17" s="24" t="s">
        <v>42</v>
      </c>
      <c r="J17" s="24" t="s">
        <v>43</v>
      </c>
      <c r="K17" s="48">
        <v>0.5</v>
      </c>
      <c r="L17" s="24" t="s">
        <v>44</v>
      </c>
      <c r="M17" s="24">
        <v>2019</v>
      </c>
      <c r="N17" s="24" t="s">
        <v>30</v>
      </c>
      <c r="O17" s="25" t="s">
        <v>30</v>
      </c>
      <c r="P17" s="24" t="s">
        <v>30</v>
      </c>
      <c r="Q17" s="25" t="s">
        <v>30</v>
      </c>
      <c r="R17" s="26">
        <v>100</v>
      </c>
      <c r="S17" s="27">
        <v>0.5</v>
      </c>
      <c r="T17" s="27">
        <v>0</v>
      </c>
      <c r="U17" s="27">
        <v>0</v>
      </c>
    </row>
    <row r="18" spans="1:21" x14ac:dyDescent="0.2">
      <c r="A18" s="20" t="s">
        <v>129</v>
      </c>
      <c r="B18" s="20" t="s">
        <v>130</v>
      </c>
      <c r="C18" s="20" t="s">
        <v>131</v>
      </c>
      <c r="D18" s="20" t="s">
        <v>132</v>
      </c>
      <c r="E18" s="20" t="s">
        <v>133</v>
      </c>
      <c r="F18" s="20" t="s">
        <v>134</v>
      </c>
      <c r="G18" s="20" t="s">
        <v>58</v>
      </c>
      <c r="H18" s="20" t="s">
        <v>29</v>
      </c>
      <c r="I18" s="20" t="s">
        <v>42</v>
      </c>
      <c r="J18" s="20" t="s">
        <v>43</v>
      </c>
      <c r="K18" s="32">
        <v>0.5</v>
      </c>
      <c r="L18" s="32" t="s">
        <v>44</v>
      </c>
      <c r="M18" s="49">
        <v>2019</v>
      </c>
      <c r="N18" s="20" t="s">
        <v>38</v>
      </c>
      <c r="O18" s="21" t="s">
        <v>34</v>
      </c>
      <c r="P18" s="20" t="s">
        <v>30</v>
      </c>
      <c r="Q18" s="21" t="s">
        <v>30</v>
      </c>
      <c r="R18" s="20">
        <v>70</v>
      </c>
      <c r="S18" s="20">
        <v>0.35</v>
      </c>
      <c r="T18" s="20">
        <v>0.15</v>
      </c>
      <c r="U18" s="20">
        <v>0</v>
      </c>
    </row>
    <row r="19" spans="1:21" ht="10.8" thickBot="1" x14ac:dyDescent="0.25">
      <c r="A19" s="20" t="s">
        <v>129</v>
      </c>
      <c r="B19" s="20" t="s">
        <v>130</v>
      </c>
      <c r="C19" s="20" t="s">
        <v>131</v>
      </c>
      <c r="D19" s="20" t="s">
        <v>132</v>
      </c>
      <c r="E19" s="20" t="s">
        <v>133</v>
      </c>
      <c r="F19" s="20" t="s">
        <v>134</v>
      </c>
      <c r="G19" s="20" t="s">
        <v>41</v>
      </c>
      <c r="H19" s="20" t="s">
        <v>29</v>
      </c>
      <c r="I19" s="20" t="s">
        <v>42</v>
      </c>
      <c r="J19" s="20" t="s">
        <v>43</v>
      </c>
      <c r="K19" s="32">
        <v>0.5</v>
      </c>
      <c r="L19" s="32" t="s">
        <v>44</v>
      </c>
      <c r="M19" s="49">
        <v>2019</v>
      </c>
      <c r="N19" s="20" t="s">
        <v>38</v>
      </c>
      <c r="O19" s="21" t="s">
        <v>34</v>
      </c>
      <c r="P19" s="20" t="s">
        <v>30</v>
      </c>
      <c r="Q19" s="21" t="s">
        <v>30</v>
      </c>
      <c r="R19" s="20">
        <v>70</v>
      </c>
      <c r="S19" s="20">
        <v>0.35</v>
      </c>
      <c r="T19" s="20">
        <v>0.15</v>
      </c>
      <c r="U19" s="20">
        <v>0</v>
      </c>
    </row>
    <row r="20" spans="1:21" ht="10.8" thickBot="1" x14ac:dyDescent="0.25">
      <c r="A20" s="28" t="s">
        <v>46</v>
      </c>
      <c r="B20" s="28" t="s">
        <v>47</v>
      </c>
      <c r="C20" s="28" t="s">
        <v>48</v>
      </c>
      <c r="D20" s="28" t="s">
        <v>135</v>
      </c>
      <c r="E20" s="28" t="s">
        <v>136</v>
      </c>
      <c r="F20" s="28" t="s">
        <v>137</v>
      </c>
      <c r="G20" s="29" t="s">
        <v>62</v>
      </c>
      <c r="H20" s="30" t="s">
        <v>29</v>
      </c>
      <c r="I20" s="30" t="s">
        <v>42</v>
      </c>
      <c r="J20" s="31" t="s">
        <v>43</v>
      </c>
      <c r="K20" s="32">
        <v>0.5</v>
      </c>
      <c r="L20" s="32" t="s">
        <v>44</v>
      </c>
      <c r="M20" s="20">
        <v>2020</v>
      </c>
      <c r="N20" s="20" t="s">
        <v>30</v>
      </c>
      <c r="O20" s="21" t="s">
        <v>30</v>
      </c>
      <c r="P20" s="20" t="s">
        <v>30</v>
      </c>
      <c r="Q20" s="21" t="s">
        <v>30</v>
      </c>
      <c r="R20" s="20">
        <v>100</v>
      </c>
      <c r="S20" s="20">
        <v>0.5</v>
      </c>
      <c r="T20" s="20">
        <v>0</v>
      </c>
      <c r="U20" s="20">
        <v>0</v>
      </c>
    </row>
    <row r="21" spans="1:21" ht="10.8" thickBot="1" x14ac:dyDescent="0.25">
      <c r="A21" s="28" t="s">
        <v>46</v>
      </c>
      <c r="B21" s="28" t="s">
        <v>47</v>
      </c>
      <c r="C21" s="28" t="s">
        <v>48</v>
      </c>
      <c r="D21" s="28" t="s">
        <v>135</v>
      </c>
      <c r="E21" s="28" t="s">
        <v>136</v>
      </c>
      <c r="F21" s="28" t="s">
        <v>137</v>
      </c>
      <c r="G21" s="29" t="s">
        <v>138</v>
      </c>
      <c r="H21" s="30" t="s">
        <v>29</v>
      </c>
      <c r="I21" s="30" t="s">
        <v>42</v>
      </c>
      <c r="J21" s="31" t="s">
        <v>43</v>
      </c>
      <c r="K21" s="32">
        <v>0.5</v>
      </c>
      <c r="L21" s="32" t="s">
        <v>44</v>
      </c>
      <c r="M21" s="20">
        <v>2020</v>
      </c>
      <c r="N21" s="20" t="s">
        <v>30</v>
      </c>
      <c r="O21" s="21" t="s">
        <v>30</v>
      </c>
      <c r="P21" s="20" t="s">
        <v>30</v>
      </c>
      <c r="Q21" s="21" t="s">
        <v>30</v>
      </c>
      <c r="R21" s="20">
        <v>100</v>
      </c>
      <c r="S21" s="20">
        <v>0.5</v>
      </c>
      <c r="T21" s="20">
        <v>0</v>
      </c>
      <c r="U21" s="20">
        <v>0</v>
      </c>
    </row>
    <row r="22" spans="1:21" x14ac:dyDescent="0.2">
      <c r="A22" s="20" t="s">
        <v>129</v>
      </c>
      <c r="B22" s="20" t="s">
        <v>130</v>
      </c>
      <c r="C22" s="20" t="s">
        <v>131</v>
      </c>
      <c r="D22" s="20" t="s">
        <v>163</v>
      </c>
      <c r="E22" s="20" t="s">
        <v>139</v>
      </c>
      <c r="F22" s="20" t="s">
        <v>140</v>
      </c>
      <c r="G22" s="20" t="s">
        <v>41</v>
      </c>
      <c r="H22" s="20" t="s">
        <v>31</v>
      </c>
      <c r="I22" s="20" t="s">
        <v>42</v>
      </c>
      <c r="J22" s="20" t="s">
        <v>43</v>
      </c>
      <c r="K22" s="32">
        <v>1</v>
      </c>
      <c r="L22" s="32" t="s">
        <v>44</v>
      </c>
      <c r="M22" s="20">
        <v>2020</v>
      </c>
      <c r="N22" s="20" t="s">
        <v>38</v>
      </c>
      <c r="O22" s="21" t="s">
        <v>34</v>
      </c>
      <c r="P22" s="20" t="s">
        <v>30</v>
      </c>
      <c r="Q22" s="21" t="s">
        <v>30</v>
      </c>
      <c r="R22" s="20">
        <v>70</v>
      </c>
      <c r="S22" s="20">
        <v>0.7</v>
      </c>
      <c r="T22" s="20">
        <v>0.3</v>
      </c>
      <c r="U22" s="20">
        <v>0</v>
      </c>
    </row>
    <row r="23" spans="1:21" x14ac:dyDescent="0.2">
      <c r="A23" s="20" t="s">
        <v>46</v>
      </c>
      <c r="B23" s="20" t="s">
        <v>47</v>
      </c>
      <c r="C23" s="20" t="s">
        <v>48</v>
      </c>
      <c r="D23" s="20" t="s">
        <v>164</v>
      </c>
      <c r="E23" s="20" t="s">
        <v>165</v>
      </c>
      <c r="F23" s="20" t="s">
        <v>166</v>
      </c>
      <c r="G23" s="20" t="s">
        <v>167</v>
      </c>
      <c r="H23" s="20" t="s">
        <v>29</v>
      </c>
      <c r="I23" s="20" t="s">
        <v>42</v>
      </c>
      <c r="J23" s="20" t="s">
        <v>43</v>
      </c>
      <c r="K23" s="32">
        <v>0.5</v>
      </c>
      <c r="L23" s="32" t="s">
        <v>44</v>
      </c>
      <c r="M23" s="20">
        <v>2021</v>
      </c>
      <c r="N23" s="20" t="s">
        <v>30</v>
      </c>
      <c r="O23" s="21" t="s">
        <v>30</v>
      </c>
      <c r="P23" s="20" t="s">
        <v>30</v>
      </c>
      <c r="Q23" s="21" t="s">
        <v>30</v>
      </c>
      <c r="R23" s="20">
        <v>100</v>
      </c>
      <c r="S23" s="20">
        <v>0.5</v>
      </c>
      <c r="T23" s="20">
        <v>0</v>
      </c>
      <c r="U23" s="20">
        <v>0</v>
      </c>
    </row>
    <row r="24" spans="1:21" x14ac:dyDescent="0.2">
      <c r="A24" s="20" t="s">
        <v>46</v>
      </c>
      <c r="B24" s="20" t="s">
        <v>47</v>
      </c>
      <c r="C24" s="20" t="s">
        <v>48</v>
      </c>
      <c r="D24" s="20" t="s">
        <v>164</v>
      </c>
      <c r="E24" s="20" t="s">
        <v>165</v>
      </c>
      <c r="F24" s="20" t="s">
        <v>166</v>
      </c>
      <c r="G24" s="20" t="s">
        <v>62</v>
      </c>
      <c r="H24" s="20" t="s">
        <v>29</v>
      </c>
      <c r="I24" s="20" t="s">
        <v>42</v>
      </c>
      <c r="J24" s="20" t="s">
        <v>43</v>
      </c>
      <c r="K24" s="32">
        <v>0.5</v>
      </c>
      <c r="L24" s="32" t="s">
        <v>44</v>
      </c>
      <c r="M24" s="20">
        <v>2021</v>
      </c>
      <c r="N24" s="20" t="s">
        <v>30</v>
      </c>
      <c r="O24" s="21" t="s">
        <v>30</v>
      </c>
      <c r="P24" s="20" t="s">
        <v>30</v>
      </c>
      <c r="Q24" s="21" t="s">
        <v>30</v>
      </c>
      <c r="R24" s="20">
        <v>100</v>
      </c>
      <c r="S24" s="20">
        <v>0.5</v>
      </c>
      <c r="T24" s="20">
        <v>0</v>
      </c>
      <c r="U24" s="20">
        <v>0</v>
      </c>
    </row>
    <row r="25" spans="1:21" x14ac:dyDescent="0.2">
      <c r="A25" s="20" t="s">
        <v>46</v>
      </c>
      <c r="B25" s="20" t="s">
        <v>47</v>
      </c>
      <c r="C25" s="20" t="s">
        <v>48</v>
      </c>
      <c r="D25" s="20" t="s">
        <v>168</v>
      </c>
      <c r="E25" s="20" t="s">
        <v>169</v>
      </c>
      <c r="F25" s="20" t="s">
        <v>170</v>
      </c>
      <c r="G25" s="20" t="s">
        <v>62</v>
      </c>
      <c r="H25" s="20" t="s">
        <v>29</v>
      </c>
      <c r="I25" s="20" t="s">
        <v>42</v>
      </c>
      <c r="J25" s="20" t="s">
        <v>43</v>
      </c>
      <c r="K25" s="32">
        <v>0.5</v>
      </c>
      <c r="L25" s="32" t="s">
        <v>44</v>
      </c>
      <c r="M25" s="20">
        <v>2021</v>
      </c>
      <c r="N25" s="20" t="s">
        <v>30</v>
      </c>
      <c r="O25" s="21" t="s">
        <v>30</v>
      </c>
      <c r="P25" s="20" t="s">
        <v>30</v>
      </c>
      <c r="Q25" s="21" t="s">
        <v>30</v>
      </c>
      <c r="R25" s="20">
        <v>100</v>
      </c>
      <c r="S25" s="20">
        <v>0.5</v>
      </c>
      <c r="T25" s="20">
        <v>0</v>
      </c>
      <c r="U25" s="20">
        <v>0</v>
      </c>
    </row>
    <row r="26" spans="1:21" x14ac:dyDescent="0.2">
      <c r="A26" s="20" t="s">
        <v>129</v>
      </c>
      <c r="B26" s="20" t="s">
        <v>130</v>
      </c>
      <c r="C26" s="20" t="s">
        <v>131</v>
      </c>
      <c r="D26" s="20" t="s">
        <v>171</v>
      </c>
      <c r="E26" s="20" t="s">
        <v>172</v>
      </c>
      <c r="F26" s="20" t="s">
        <v>173</v>
      </c>
      <c r="G26" s="20" t="s">
        <v>41</v>
      </c>
      <c r="H26" s="20" t="s">
        <v>31</v>
      </c>
      <c r="I26" s="20" t="s">
        <v>42</v>
      </c>
      <c r="J26" s="20" t="s">
        <v>43</v>
      </c>
      <c r="K26" s="32">
        <v>1</v>
      </c>
      <c r="L26" s="32" t="s">
        <v>44</v>
      </c>
      <c r="M26" s="20">
        <v>2021</v>
      </c>
      <c r="N26" s="20" t="s">
        <v>38</v>
      </c>
      <c r="O26" s="21" t="s">
        <v>34</v>
      </c>
      <c r="P26" s="20" t="s">
        <v>30</v>
      </c>
      <c r="Q26" s="21" t="s">
        <v>30</v>
      </c>
      <c r="R26" s="20">
        <v>70</v>
      </c>
      <c r="S26" s="20">
        <v>0.7</v>
      </c>
      <c r="T26" s="20">
        <v>0.3</v>
      </c>
      <c r="U26" s="20">
        <v>0</v>
      </c>
    </row>
    <row r="27" spans="1:21" x14ac:dyDescent="0.2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  <c r="P27" s="50"/>
      <c r="Q27" s="51"/>
      <c r="R27" s="50"/>
      <c r="S27" s="62">
        <f>SUM(S2:S26)</f>
        <v>12.299999999999997</v>
      </c>
      <c r="T27" s="50"/>
      <c r="U27" s="50"/>
    </row>
  </sheetData>
  <autoFilter ref="A1:U1" xr:uid="{00000000-0009-0000-0000-000000000000}">
    <sortState xmlns:xlrd2="http://schemas.microsoft.com/office/spreadsheetml/2017/richdata2" ref="A2:T1891">
      <sortCondition ref="K14:K1891"/>
      <sortCondition ref="L14:L1891"/>
      <sortCondition ref="D14:D1891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7"/>
  <sheetViews>
    <sheetView zoomScaleNormal="100" workbookViewId="0">
      <selection activeCell="S17" sqref="S17"/>
    </sheetView>
  </sheetViews>
  <sheetFormatPr baseColWidth="10" defaultColWidth="11.44140625" defaultRowHeight="13.2" x14ac:dyDescent="0.25"/>
  <cols>
    <col min="1" max="1" width="10.44140625" style="18" bestFit="1" customWidth="1"/>
    <col min="2" max="2" width="38.664062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52" t="s">
        <v>79</v>
      </c>
      <c r="B1" s="52" t="s">
        <v>80</v>
      </c>
      <c r="C1" s="52" t="s">
        <v>81</v>
      </c>
      <c r="D1" s="53">
        <v>2017</v>
      </c>
      <c r="E1" s="53">
        <v>2018</v>
      </c>
      <c r="F1" s="53">
        <v>2019</v>
      </c>
      <c r="G1" s="53">
        <v>2020</v>
      </c>
      <c r="H1" s="53">
        <v>2021</v>
      </c>
      <c r="I1" s="53">
        <v>2022</v>
      </c>
      <c r="J1" s="52" t="s">
        <v>82</v>
      </c>
      <c r="K1" s="54" t="s">
        <v>174</v>
      </c>
      <c r="L1" s="15" t="s">
        <v>83</v>
      </c>
      <c r="M1" s="15" t="s">
        <v>84</v>
      </c>
      <c r="N1" s="15" t="s">
        <v>85</v>
      </c>
      <c r="O1" s="15" t="s">
        <v>86</v>
      </c>
      <c r="P1" s="16" t="s">
        <v>87</v>
      </c>
      <c r="Q1" s="16" t="s">
        <v>88</v>
      </c>
      <c r="R1" s="16" t="s">
        <v>89</v>
      </c>
      <c r="S1" s="16" t="s">
        <v>90</v>
      </c>
    </row>
    <row r="2" spans="1:19" ht="14.4" x14ac:dyDescent="0.3">
      <c r="A2" s="55" t="s">
        <v>105</v>
      </c>
      <c r="B2" s="55" t="s">
        <v>106</v>
      </c>
      <c r="C2" s="55">
        <v>6</v>
      </c>
      <c r="D2" s="55"/>
      <c r="E2" s="55"/>
      <c r="F2" s="55"/>
      <c r="G2" s="55">
        <v>1</v>
      </c>
      <c r="H2" s="55"/>
      <c r="I2" s="55"/>
      <c r="J2" s="55">
        <v>1</v>
      </c>
      <c r="K2" s="55" t="s">
        <v>44</v>
      </c>
      <c r="L2" s="56">
        <v>0</v>
      </c>
      <c r="M2" s="56">
        <v>0</v>
      </c>
      <c r="N2" s="56" t="s">
        <v>30</v>
      </c>
      <c r="O2" s="56" t="s">
        <v>30</v>
      </c>
      <c r="P2" s="56">
        <v>100</v>
      </c>
      <c r="Q2" s="56">
        <v>0</v>
      </c>
      <c r="R2" s="56">
        <v>0</v>
      </c>
      <c r="S2" s="56">
        <v>1</v>
      </c>
    </row>
    <row r="3" spans="1:19" ht="14.4" x14ac:dyDescent="0.3">
      <c r="A3" s="55" t="s">
        <v>175</v>
      </c>
      <c r="B3" s="55" t="s">
        <v>176</v>
      </c>
      <c r="C3" s="55" t="s">
        <v>92</v>
      </c>
      <c r="D3" s="55"/>
      <c r="E3" s="55"/>
      <c r="F3" s="55"/>
      <c r="G3" s="55"/>
      <c r="H3" s="55"/>
      <c r="I3" s="55">
        <v>1</v>
      </c>
      <c r="J3" s="55">
        <v>1</v>
      </c>
      <c r="K3" s="55" t="s">
        <v>44</v>
      </c>
      <c r="L3" s="56">
        <v>0</v>
      </c>
      <c r="M3" s="56">
        <v>0</v>
      </c>
      <c r="N3" s="56" t="s">
        <v>30</v>
      </c>
      <c r="O3" s="56" t="s">
        <v>30</v>
      </c>
      <c r="P3" s="56">
        <v>100</v>
      </c>
      <c r="Q3" s="56">
        <v>0</v>
      </c>
      <c r="R3" s="56">
        <v>0</v>
      </c>
      <c r="S3" s="56">
        <v>1</v>
      </c>
    </row>
    <row r="4" spans="1:19" ht="14.4" x14ac:dyDescent="0.3">
      <c r="A4" s="55" t="s">
        <v>95</v>
      </c>
      <c r="B4" s="55" t="s">
        <v>96</v>
      </c>
      <c r="C4" s="55" t="s">
        <v>91</v>
      </c>
      <c r="D4" s="55"/>
      <c r="E4" s="55"/>
      <c r="F4" s="55">
        <v>1</v>
      </c>
      <c r="G4" s="55"/>
      <c r="H4" s="55"/>
      <c r="I4" s="55"/>
      <c r="J4" s="55">
        <v>1</v>
      </c>
      <c r="K4" s="55" t="s">
        <v>44</v>
      </c>
      <c r="L4" s="56" t="s">
        <v>38</v>
      </c>
      <c r="M4" s="56" t="s">
        <v>34</v>
      </c>
      <c r="N4" s="56" t="s">
        <v>30</v>
      </c>
      <c r="O4" s="56" t="s">
        <v>30</v>
      </c>
      <c r="P4" s="56">
        <v>70</v>
      </c>
      <c r="Q4" s="56">
        <v>0.3</v>
      </c>
      <c r="R4" s="56">
        <v>0</v>
      </c>
      <c r="S4" s="56">
        <v>0.7</v>
      </c>
    </row>
    <row r="5" spans="1:19" ht="14.4" x14ac:dyDescent="0.3">
      <c r="A5" s="55" t="s">
        <v>101</v>
      </c>
      <c r="B5" s="55" t="s">
        <v>102</v>
      </c>
      <c r="C5" s="55" t="s">
        <v>92</v>
      </c>
      <c r="D5" s="55"/>
      <c r="E5" s="55"/>
      <c r="F5" s="55">
        <v>1</v>
      </c>
      <c r="G5" s="55"/>
      <c r="H5" s="55"/>
      <c r="I5" s="55"/>
      <c r="J5" s="55">
        <v>1</v>
      </c>
      <c r="K5" s="55" t="s">
        <v>44</v>
      </c>
      <c r="L5" s="56">
        <v>0</v>
      </c>
      <c r="M5" s="56">
        <v>0</v>
      </c>
      <c r="N5" s="56" t="s">
        <v>30</v>
      </c>
      <c r="O5" s="56" t="s">
        <v>30</v>
      </c>
      <c r="P5" s="56">
        <v>100</v>
      </c>
      <c r="Q5" s="56">
        <v>0</v>
      </c>
      <c r="R5" s="56">
        <v>0</v>
      </c>
      <c r="S5" s="56">
        <v>1</v>
      </c>
    </row>
    <row r="6" spans="1:19" ht="14.4" x14ac:dyDescent="0.3">
      <c r="A6" s="55" t="s">
        <v>97</v>
      </c>
      <c r="B6" s="55" t="s">
        <v>98</v>
      </c>
      <c r="C6" s="55" t="s">
        <v>91</v>
      </c>
      <c r="D6" s="55"/>
      <c r="E6" s="55"/>
      <c r="F6" s="55"/>
      <c r="G6" s="55"/>
      <c r="H6" s="55"/>
      <c r="I6" s="55">
        <v>1</v>
      </c>
      <c r="J6" s="55">
        <v>1</v>
      </c>
      <c r="K6" s="55" t="s">
        <v>44</v>
      </c>
      <c r="L6" s="56" t="s">
        <v>38</v>
      </c>
      <c r="M6" s="56" t="s">
        <v>34</v>
      </c>
      <c r="N6" s="56" t="s">
        <v>30</v>
      </c>
      <c r="O6" s="56" t="s">
        <v>30</v>
      </c>
      <c r="P6" s="56">
        <v>70</v>
      </c>
      <c r="Q6" s="56">
        <v>0.3</v>
      </c>
      <c r="R6" s="56">
        <v>0</v>
      </c>
      <c r="S6" s="56">
        <v>0.7</v>
      </c>
    </row>
    <row r="7" spans="1:19" ht="14.4" x14ac:dyDescent="0.3">
      <c r="A7" s="55" t="s">
        <v>119</v>
      </c>
      <c r="B7" s="55" t="s">
        <v>120</v>
      </c>
      <c r="C7" s="55" t="s">
        <v>92</v>
      </c>
      <c r="D7" s="55"/>
      <c r="E7" s="55"/>
      <c r="F7" s="55"/>
      <c r="G7" s="55"/>
      <c r="H7" s="55"/>
      <c r="I7" s="55">
        <v>1</v>
      </c>
      <c r="J7" s="55">
        <v>1</v>
      </c>
      <c r="K7" s="55" t="s">
        <v>44</v>
      </c>
      <c r="L7" s="56">
        <v>0</v>
      </c>
      <c r="M7" s="56">
        <v>0</v>
      </c>
      <c r="N7" s="56" t="s">
        <v>30</v>
      </c>
      <c r="O7" s="56" t="s">
        <v>30</v>
      </c>
      <c r="P7" s="56">
        <v>100</v>
      </c>
      <c r="Q7" s="56">
        <v>0</v>
      </c>
      <c r="R7" s="56">
        <v>0</v>
      </c>
      <c r="S7" s="56">
        <v>1</v>
      </c>
    </row>
    <row r="8" spans="1:19" ht="14.4" x14ac:dyDescent="0.3">
      <c r="A8" s="55" t="s">
        <v>107</v>
      </c>
      <c r="B8" s="55" t="s">
        <v>108</v>
      </c>
      <c r="C8" s="55" t="s">
        <v>92</v>
      </c>
      <c r="D8" s="55"/>
      <c r="E8" s="55">
        <v>1</v>
      </c>
      <c r="F8" s="55"/>
      <c r="G8" s="55"/>
      <c r="H8" s="55">
        <v>1</v>
      </c>
      <c r="I8" s="55"/>
      <c r="J8" s="55">
        <v>2</v>
      </c>
      <c r="K8" s="55" t="s">
        <v>44</v>
      </c>
      <c r="L8" s="56">
        <v>0</v>
      </c>
      <c r="M8" s="56">
        <v>0</v>
      </c>
      <c r="N8" s="56" t="s">
        <v>30</v>
      </c>
      <c r="O8" s="56" t="s">
        <v>30</v>
      </c>
      <c r="P8" s="56">
        <v>100</v>
      </c>
      <c r="Q8" s="56">
        <v>0</v>
      </c>
      <c r="R8" s="56">
        <v>0</v>
      </c>
      <c r="S8" s="56">
        <v>2</v>
      </c>
    </row>
    <row r="9" spans="1:19" ht="14.4" x14ac:dyDescent="0.3">
      <c r="A9" s="55" t="s">
        <v>93</v>
      </c>
      <c r="B9" s="55" t="s">
        <v>94</v>
      </c>
      <c r="C9" s="55" t="s">
        <v>91</v>
      </c>
      <c r="D9" s="55"/>
      <c r="E9" s="55"/>
      <c r="F9" s="55"/>
      <c r="G9" s="55"/>
      <c r="H9" s="55">
        <v>1</v>
      </c>
      <c r="I9" s="55">
        <v>2</v>
      </c>
      <c r="J9" s="55">
        <v>3</v>
      </c>
      <c r="K9" s="55" t="s">
        <v>44</v>
      </c>
      <c r="L9" s="56">
        <v>0</v>
      </c>
      <c r="M9" s="56">
        <v>0</v>
      </c>
      <c r="N9" s="56" t="s">
        <v>30</v>
      </c>
      <c r="O9" s="56" t="s">
        <v>30</v>
      </c>
      <c r="P9" s="56">
        <v>100</v>
      </c>
      <c r="Q9" s="56">
        <v>0</v>
      </c>
      <c r="R9" s="56">
        <v>0</v>
      </c>
      <c r="S9" s="56">
        <v>3</v>
      </c>
    </row>
    <row r="10" spans="1:19" ht="14.4" x14ac:dyDescent="0.3">
      <c r="A10" s="55" t="s">
        <v>177</v>
      </c>
      <c r="B10" s="55" t="s">
        <v>178</v>
      </c>
      <c r="C10" s="57" t="s">
        <v>92</v>
      </c>
      <c r="D10" s="55"/>
      <c r="E10" s="55"/>
      <c r="F10" s="55"/>
      <c r="G10" s="55"/>
      <c r="H10" s="55"/>
      <c r="I10" s="55">
        <v>1</v>
      </c>
      <c r="J10" s="55">
        <v>1</v>
      </c>
      <c r="K10" s="55" t="s">
        <v>44</v>
      </c>
      <c r="L10" s="56">
        <v>0</v>
      </c>
      <c r="M10" s="56">
        <v>0</v>
      </c>
      <c r="N10" s="56" t="s">
        <v>30</v>
      </c>
      <c r="O10" s="56" t="s">
        <v>30</v>
      </c>
      <c r="P10" s="56">
        <v>100</v>
      </c>
      <c r="Q10" s="56">
        <v>0</v>
      </c>
      <c r="R10" s="56">
        <v>0</v>
      </c>
      <c r="S10" s="56">
        <v>1</v>
      </c>
    </row>
    <row r="11" spans="1:19" ht="14.4" x14ac:dyDescent="0.3">
      <c r="A11" s="55" t="s">
        <v>99</v>
      </c>
      <c r="B11" s="55" t="s">
        <v>100</v>
      </c>
      <c r="C11" s="55" t="s">
        <v>91</v>
      </c>
      <c r="D11" s="55"/>
      <c r="E11" s="55"/>
      <c r="F11" s="55"/>
      <c r="G11" s="55">
        <v>1</v>
      </c>
      <c r="H11" s="55"/>
      <c r="I11" s="55"/>
      <c r="J11" s="55">
        <v>1</v>
      </c>
      <c r="K11" s="55" t="s">
        <v>44</v>
      </c>
      <c r="L11" s="56">
        <v>0</v>
      </c>
      <c r="M11" s="56">
        <v>0</v>
      </c>
      <c r="N11" s="56" t="s">
        <v>30</v>
      </c>
      <c r="O11" s="56" t="s">
        <v>30</v>
      </c>
      <c r="P11" s="56">
        <v>100</v>
      </c>
      <c r="Q11" s="56">
        <v>0</v>
      </c>
      <c r="R11" s="56">
        <v>0</v>
      </c>
      <c r="S11" s="56">
        <v>1</v>
      </c>
    </row>
    <row r="12" spans="1:19" ht="14.4" x14ac:dyDescent="0.3">
      <c r="A12" s="55" t="s">
        <v>123</v>
      </c>
      <c r="B12" s="55" t="s">
        <v>124</v>
      </c>
      <c r="C12" s="55" t="s">
        <v>92</v>
      </c>
      <c r="D12" s="55"/>
      <c r="E12" s="55"/>
      <c r="F12" s="55"/>
      <c r="G12" s="55"/>
      <c r="H12" s="55"/>
      <c r="I12" s="55">
        <v>1</v>
      </c>
      <c r="J12" s="55">
        <v>1</v>
      </c>
      <c r="K12" s="55" t="s">
        <v>44</v>
      </c>
      <c r="L12" s="56">
        <v>0</v>
      </c>
      <c r="M12" s="56">
        <v>0</v>
      </c>
      <c r="N12" s="56" t="s">
        <v>30</v>
      </c>
      <c r="O12" s="56" t="s">
        <v>30</v>
      </c>
      <c r="P12" s="56">
        <v>100</v>
      </c>
      <c r="Q12" s="56">
        <v>0</v>
      </c>
      <c r="R12" s="56">
        <v>0</v>
      </c>
      <c r="S12" s="56">
        <v>1</v>
      </c>
    </row>
    <row r="13" spans="1:19" ht="14.4" x14ac:dyDescent="0.3">
      <c r="A13" s="55" t="s">
        <v>103</v>
      </c>
      <c r="B13" s="55" t="s">
        <v>104</v>
      </c>
      <c r="C13" s="55" t="s">
        <v>91</v>
      </c>
      <c r="D13" s="55"/>
      <c r="E13" s="55"/>
      <c r="F13" s="55">
        <v>1</v>
      </c>
      <c r="G13" s="55"/>
      <c r="H13" s="55">
        <v>1</v>
      </c>
      <c r="I13" s="55"/>
      <c r="J13" s="55">
        <v>2</v>
      </c>
      <c r="K13" s="55" t="s">
        <v>44</v>
      </c>
      <c r="L13" s="56">
        <v>0</v>
      </c>
      <c r="M13" s="56">
        <v>0</v>
      </c>
      <c r="N13" s="56" t="s">
        <v>30</v>
      </c>
      <c r="O13" s="56" t="s">
        <v>30</v>
      </c>
      <c r="P13" s="56">
        <v>100</v>
      </c>
      <c r="Q13" s="56">
        <v>0</v>
      </c>
      <c r="R13" s="56">
        <v>0</v>
      </c>
      <c r="S13" s="56">
        <v>2</v>
      </c>
    </row>
    <row r="14" spans="1:19" ht="14.4" x14ac:dyDescent="0.3">
      <c r="A14" s="55" t="s">
        <v>125</v>
      </c>
      <c r="B14" s="55" t="s">
        <v>126</v>
      </c>
      <c r="C14" s="57" t="s">
        <v>92</v>
      </c>
      <c r="D14" s="55"/>
      <c r="E14" s="55"/>
      <c r="F14" s="55"/>
      <c r="G14" s="55"/>
      <c r="H14" s="55"/>
      <c r="I14" s="55">
        <v>1</v>
      </c>
      <c r="J14" s="55">
        <v>1</v>
      </c>
      <c r="K14" s="55" t="s">
        <v>44</v>
      </c>
      <c r="L14" s="56">
        <v>0</v>
      </c>
      <c r="M14" s="56">
        <v>0</v>
      </c>
      <c r="N14" s="56" t="s">
        <v>30</v>
      </c>
      <c r="O14" s="56" t="s">
        <v>30</v>
      </c>
      <c r="P14" s="56">
        <v>100</v>
      </c>
      <c r="Q14" s="56">
        <v>0</v>
      </c>
      <c r="R14" s="56">
        <v>0</v>
      </c>
      <c r="S14" s="56">
        <v>1</v>
      </c>
    </row>
    <row r="15" spans="1:19" ht="14.4" x14ac:dyDescent="0.3">
      <c r="A15" s="55" t="s">
        <v>179</v>
      </c>
      <c r="B15" s="55" t="s">
        <v>180</v>
      </c>
      <c r="C15" s="57" t="s">
        <v>92</v>
      </c>
      <c r="D15" s="55"/>
      <c r="E15" s="55"/>
      <c r="F15" s="55"/>
      <c r="G15" s="55"/>
      <c r="H15" s="55"/>
      <c r="I15" s="55">
        <v>1</v>
      </c>
      <c r="J15" s="55">
        <v>1</v>
      </c>
      <c r="K15" s="55" t="s">
        <v>44</v>
      </c>
      <c r="L15" s="56">
        <v>0</v>
      </c>
      <c r="M15" s="56">
        <v>0</v>
      </c>
      <c r="N15" s="56" t="s">
        <v>30</v>
      </c>
      <c r="O15" s="56" t="s">
        <v>30</v>
      </c>
      <c r="P15" s="56">
        <v>100</v>
      </c>
      <c r="Q15" s="56">
        <v>0</v>
      </c>
      <c r="R15" s="56">
        <v>0</v>
      </c>
      <c r="S15" s="56">
        <v>1</v>
      </c>
    </row>
    <row r="16" spans="1:19" ht="14.4" x14ac:dyDescent="0.3">
      <c r="A16" s="55" t="s">
        <v>127</v>
      </c>
      <c r="B16" s="55" t="s">
        <v>128</v>
      </c>
      <c r="C16" s="57" t="s">
        <v>92</v>
      </c>
      <c r="D16" s="55"/>
      <c r="E16" s="55"/>
      <c r="F16" s="55"/>
      <c r="G16" s="55"/>
      <c r="H16" s="55"/>
      <c r="I16" s="55">
        <v>1</v>
      </c>
      <c r="J16" s="55">
        <v>1</v>
      </c>
      <c r="K16" s="55" t="s">
        <v>44</v>
      </c>
      <c r="L16" s="56">
        <v>0</v>
      </c>
      <c r="M16" s="56">
        <v>0</v>
      </c>
      <c r="N16" s="56" t="s">
        <v>30</v>
      </c>
      <c r="O16" s="56" t="s">
        <v>30</v>
      </c>
      <c r="P16" s="56">
        <v>100</v>
      </c>
      <c r="Q16" s="56">
        <v>0</v>
      </c>
      <c r="R16" s="56">
        <v>0</v>
      </c>
      <c r="S16" s="56">
        <v>1</v>
      </c>
    </row>
    <row r="17" spans="1:19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  <c r="O17" s="58"/>
      <c r="P17" s="59"/>
      <c r="Q17" s="58"/>
      <c r="R17" s="58"/>
      <c r="S17" s="63">
        <f>SUM(S2:S16)</f>
        <v>18.399999999999999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zoomScaleNormal="100" workbookViewId="0">
      <selection activeCell="B21" sqref="B2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3" ht="20.399999999999999" x14ac:dyDescent="0.2">
      <c r="A1" s="2" t="s">
        <v>0</v>
      </c>
      <c r="B1" s="3" t="s">
        <v>1</v>
      </c>
    </row>
    <row r="2" spans="1:3" x14ac:dyDescent="0.2">
      <c r="A2" s="4" t="s">
        <v>3</v>
      </c>
      <c r="B2" s="5"/>
    </row>
    <row r="3" spans="1:3" x14ac:dyDescent="0.2">
      <c r="A3" s="4" t="s">
        <v>109</v>
      </c>
      <c r="B3" s="5">
        <v>9000</v>
      </c>
    </row>
    <row r="4" spans="1:3" x14ac:dyDescent="0.2">
      <c r="A4" s="4" t="s">
        <v>110</v>
      </c>
      <c r="B4" s="5"/>
    </row>
    <row r="5" spans="1:3" x14ac:dyDescent="0.2">
      <c r="A5" s="4" t="s">
        <v>111</v>
      </c>
      <c r="B5" s="5">
        <v>1500</v>
      </c>
    </row>
    <row r="6" spans="1:3" x14ac:dyDescent="0.2">
      <c r="A6" s="4" t="s">
        <v>6</v>
      </c>
      <c r="B6" s="5"/>
    </row>
    <row r="7" spans="1:3" x14ac:dyDescent="0.2">
      <c r="A7" s="4" t="s">
        <v>121</v>
      </c>
      <c r="B7" s="5">
        <v>3445.2</v>
      </c>
    </row>
    <row r="8" spans="1:3" x14ac:dyDescent="0.2">
      <c r="A8" s="4" t="s">
        <v>4</v>
      </c>
      <c r="B8" s="5"/>
    </row>
    <row r="9" spans="1:3" x14ac:dyDescent="0.2">
      <c r="A9" s="4" t="s">
        <v>112</v>
      </c>
      <c r="B9" s="5">
        <v>5120</v>
      </c>
    </row>
    <row r="10" spans="1:3" x14ac:dyDescent="0.2">
      <c r="A10" s="4" t="s">
        <v>5</v>
      </c>
      <c r="B10" s="5"/>
    </row>
    <row r="11" spans="1:3" x14ac:dyDescent="0.2">
      <c r="A11" s="4" t="s">
        <v>112</v>
      </c>
      <c r="B11" s="5">
        <v>4700</v>
      </c>
    </row>
    <row r="12" spans="1:3" x14ac:dyDescent="0.2">
      <c r="A12" s="33" t="s">
        <v>143</v>
      </c>
      <c r="B12" s="34"/>
    </row>
    <row r="13" spans="1:3" x14ac:dyDescent="0.2">
      <c r="A13" s="33" t="s">
        <v>146</v>
      </c>
      <c r="B13" s="34">
        <v>2166.6666666666665</v>
      </c>
      <c r="C13" s="1" t="s">
        <v>145</v>
      </c>
    </row>
    <row r="14" spans="1:3" x14ac:dyDescent="0.2">
      <c r="A14" s="33" t="s">
        <v>147</v>
      </c>
      <c r="B14" s="34"/>
    </row>
    <row r="15" spans="1:3" x14ac:dyDescent="0.2">
      <c r="A15" s="33" t="s">
        <v>148</v>
      </c>
      <c r="B15" s="34">
        <v>4500</v>
      </c>
      <c r="C15" s="1" t="s">
        <v>149</v>
      </c>
    </row>
    <row r="16" spans="1:3" x14ac:dyDescent="0.2">
      <c r="A16" s="4" t="s">
        <v>7</v>
      </c>
      <c r="B16" s="5"/>
    </row>
    <row r="17" spans="1:2" x14ac:dyDescent="0.2">
      <c r="A17" s="4" t="s">
        <v>122</v>
      </c>
      <c r="B17" s="5">
        <v>9482</v>
      </c>
    </row>
    <row r="18" spans="1:2" x14ac:dyDescent="0.2">
      <c r="A18" s="4" t="s">
        <v>113</v>
      </c>
      <c r="B18" s="5"/>
    </row>
    <row r="19" spans="1:2" x14ac:dyDescent="0.2">
      <c r="A19" s="4" t="s">
        <v>114</v>
      </c>
      <c r="B19" s="5">
        <v>1000</v>
      </c>
    </row>
    <row r="20" spans="1:2" x14ac:dyDescent="0.2">
      <c r="A20" s="4" t="s">
        <v>115</v>
      </c>
      <c r="B20" s="5">
        <v>15202</v>
      </c>
    </row>
    <row r="21" spans="1:2" x14ac:dyDescent="0.2">
      <c r="A21" s="6" t="s">
        <v>2</v>
      </c>
      <c r="B21" s="7">
        <f>SUM(B3:B20)</f>
        <v>56115.866666666669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44AA-D0B9-46C8-891B-DD06BC80CCAB}">
  <dimension ref="A1:C7"/>
  <sheetViews>
    <sheetView zoomScaleNormal="100" workbookViewId="0">
      <selection activeCell="A2" sqref="A2:C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3" ht="20.399999999999999" x14ac:dyDescent="0.2">
      <c r="A1" s="2" t="s">
        <v>0</v>
      </c>
      <c r="B1" s="3" t="s">
        <v>1</v>
      </c>
    </row>
    <row r="2" spans="1:3" x14ac:dyDescent="0.2">
      <c r="A2" s="33" t="s">
        <v>143</v>
      </c>
      <c r="B2" s="34"/>
    </row>
    <row r="3" spans="1:3" x14ac:dyDescent="0.2">
      <c r="A3" s="33" t="s">
        <v>144</v>
      </c>
      <c r="B3" s="34">
        <v>2166.6666666666665</v>
      </c>
      <c r="C3" s="1" t="s">
        <v>145</v>
      </c>
    </row>
    <row r="4" spans="1:3" x14ac:dyDescent="0.2">
      <c r="A4" s="4" t="s">
        <v>113</v>
      </c>
      <c r="B4" s="5"/>
    </row>
    <row r="5" spans="1:3" x14ac:dyDescent="0.2">
      <c r="A5" s="4" t="s">
        <v>141</v>
      </c>
      <c r="B5" s="5">
        <v>15202</v>
      </c>
    </row>
    <row r="6" spans="1:3" x14ac:dyDescent="0.2">
      <c r="A6" s="4" t="s">
        <v>142</v>
      </c>
      <c r="B6" s="5">
        <v>15202</v>
      </c>
    </row>
    <row r="7" spans="1:3" x14ac:dyDescent="0.2">
      <c r="A7" s="6" t="s">
        <v>2</v>
      </c>
      <c r="B7" s="7">
        <f>SUM(B2:B6)</f>
        <v>32570.666666666668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40D5-96FD-49EA-A02A-EE2D74A52E09}">
  <dimension ref="A1:G12"/>
  <sheetViews>
    <sheetView zoomScale="85" zoomScaleNormal="85" workbookViewId="0">
      <selection activeCell="G12" sqref="G12"/>
    </sheetView>
  </sheetViews>
  <sheetFormatPr baseColWidth="10" defaultRowHeight="14.4" x14ac:dyDescent="0.3"/>
  <cols>
    <col min="2" max="2" width="14" bestFit="1" customWidth="1"/>
    <col min="3" max="3" width="131.33203125" customWidth="1"/>
    <col min="4" max="4" width="10" bestFit="1" customWidth="1"/>
  </cols>
  <sheetData>
    <row r="1" spans="1:7" ht="15" thickBot="1" x14ac:dyDescent="0.35">
      <c r="A1" s="35" t="s">
        <v>150</v>
      </c>
      <c r="B1" s="36" t="s">
        <v>151</v>
      </c>
      <c r="C1" s="36" t="s">
        <v>152</v>
      </c>
      <c r="D1" s="37" t="s">
        <v>1</v>
      </c>
    </row>
    <row r="2" spans="1:7" ht="15" thickTop="1" x14ac:dyDescent="0.3">
      <c r="A2" s="38" t="s">
        <v>153</v>
      </c>
      <c r="B2" s="39" t="s">
        <v>154</v>
      </c>
      <c r="C2" s="39" t="s">
        <v>155</v>
      </c>
      <c r="D2" s="40">
        <v>1232</v>
      </c>
    </row>
    <row r="3" spans="1:7" x14ac:dyDescent="0.3">
      <c r="A3" s="41" t="s">
        <v>153</v>
      </c>
      <c r="B3" s="42" t="s">
        <v>156</v>
      </c>
      <c r="C3" s="42" t="s">
        <v>157</v>
      </c>
      <c r="D3" s="43">
        <v>3800</v>
      </c>
    </row>
    <row r="4" spans="1:7" x14ac:dyDescent="0.3">
      <c r="A4" s="38" t="s">
        <v>153</v>
      </c>
      <c r="B4" s="39" t="s">
        <v>113</v>
      </c>
      <c r="C4" s="39" t="s">
        <v>158</v>
      </c>
      <c r="D4" s="40">
        <v>15202</v>
      </c>
    </row>
    <row r="5" spans="1:7" x14ac:dyDescent="0.3">
      <c r="A5" s="41" t="s">
        <v>153</v>
      </c>
      <c r="B5" s="42" t="s">
        <v>159</v>
      </c>
      <c r="C5" s="42" t="s">
        <v>160</v>
      </c>
      <c r="D5" s="43">
        <v>19452</v>
      </c>
    </row>
    <row r="6" spans="1:7" ht="15" thickBot="1" x14ac:dyDescent="0.35">
      <c r="A6" s="38" t="s">
        <v>153</v>
      </c>
      <c r="B6" s="39" t="s">
        <v>161</v>
      </c>
      <c r="C6" s="39" t="s">
        <v>162</v>
      </c>
      <c r="D6" s="40">
        <v>8904.56</v>
      </c>
    </row>
    <row r="7" spans="1:7" ht="15" thickTop="1" x14ac:dyDescent="0.3">
      <c r="A7" s="44" t="s">
        <v>2</v>
      </c>
      <c r="B7" s="45"/>
      <c r="C7" s="45"/>
      <c r="D7" s="46">
        <v>48590.559999999998</v>
      </c>
    </row>
    <row r="12" spans="1:7" x14ac:dyDescent="0.3">
      <c r="C12" s="60" t="s">
        <v>181</v>
      </c>
      <c r="D12" s="61">
        <f>D7+'Ingresos investigación 2020'!B7+'Ingresos investigación 2019'!B21</f>
        <v>137277.09333333332</v>
      </c>
      <c r="G12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2022-10-18T14:56:10Z</dcterms:modified>
</cp:coreProperties>
</file>