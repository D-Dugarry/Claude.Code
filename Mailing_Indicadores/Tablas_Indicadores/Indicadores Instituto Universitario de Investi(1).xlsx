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2C75AB16-55F7-457F-999D-3A638AB6F82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Sexenios!$A$1:$S$85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7" i="3" l="1"/>
  <c r="T185" i="2" l="1"/>
  <c r="B118" i="6" l="1"/>
  <c r="D60" i="8" s="1"/>
</calcChain>
</file>

<file path=xl/sharedStrings.xml><?xml version="1.0" encoding="utf-8"?>
<sst xmlns="http://schemas.openxmlformats.org/spreadsheetml/2006/main" count="3937" uniqueCount="1009">
  <si>
    <t>Orgánica
Descripción justificante</t>
  </si>
  <si>
    <t>Importe</t>
  </si>
  <si>
    <t>Total</t>
  </si>
  <si>
    <t>41.50.6C.00.06</t>
  </si>
  <si>
    <t>41.50.6C.00.30</t>
  </si>
  <si>
    <t>41.50.6C.00.39</t>
  </si>
  <si>
    <t>41.50.6C.00.49</t>
  </si>
  <si>
    <t>41.50.6C.00.55</t>
  </si>
  <si>
    <t>41.50.6C.00.61</t>
  </si>
  <si>
    <t>41.50.6H.00.01</t>
  </si>
  <si>
    <t>41.50.6P.00.11</t>
  </si>
  <si>
    <t>41.50.6P.00.13</t>
  </si>
  <si>
    <t>41.50.6P.00.20</t>
  </si>
  <si>
    <t>41.50.6P.00.21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</si>
  <si>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</si>
  <si>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</si>
  <si>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</si>
  <si>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</si>
  <si>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</si>
  <si>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</si>
  <si>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</si>
  <si>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</si>
  <si>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</si>
  <si>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</si>
  <si>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</si>
  <si>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</si>
  <si>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</si>
  <si>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</si>
  <si>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</si>
  <si>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</si>
  <si>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</si>
  <si>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</si>
  <si>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</si>
  <si>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</si>
  <si>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</si>
  <si>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- </t>
  </si>
  <si>
    <t>Codirector de tesis </t>
  </si>
  <si>
    <t/>
  </si>
  <si>
    <t>20/07/2017 </t>
  </si>
  <si>
    <t>Director de tesis </t>
  </si>
  <si>
    <t>12/07/2019 </t>
  </si>
  <si>
    <t>28/09/2018 </t>
  </si>
  <si>
    <t>06/09/2019 </t>
  </si>
  <si>
    <t>23/09/2019 </t>
  </si>
  <si>
    <t>U062 </t>
  </si>
  <si>
    <t>ADM. I.U. DE INVESTIGACIÓN INFORMÁTICA </t>
  </si>
  <si>
    <t>DOCTORADO EN INFORMÁTICA </t>
  </si>
  <si>
    <t>10.19</t>
  </si>
  <si>
    <t>Rangel Ortiz, José Carlos </t>
  </si>
  <si>
    <t>SCENE UNDERSTANDING FOR MOBILE ROBOTS EXPLOITING DEEP LEARNING TECHNIQUES </t>
  </si>
  <si>
    <t>05/09/2017 </t>
  </si>
  <si>
    <t>Vega Pérez, Julio Manuel </t>
  </si>
  <si>
    <t>EDUCATIONAL FRAMEWORK USING ROBOTS WITH VISION FOR CONSTRUCTIVIST TEACHING OF ROBOTICS TO PRE-UNIVERSITY STUDENTS </t>
  </si>
  <si>
    <t>21/09/2018 </t>
  </si>
  <si>
    <t>Zambrano Méndez, Leandro </t>
  </si>
  <si>
    <t>DISEÑO SYSTEM ON CHIP DE LOS CENTROS NERVIOSOS DEL SISTEMA NEURORREGULADOR DE LOS HUMANOS. APLICACIÓN AL CENTRO CÓRTICO-DIENCEFÁLICO </t>
  </si>
  <si>
    <t>Albandes Cunha Gomes, Iuri </t>
  </si>
  <si>
    <t>USE OF APPROXIMATE TRIPLE MODULAR REDUNDANCY FOR FAULT TOLERANCE IN DIGITAL CIRCUITS </t>
  </si>
  <si>
    <t>26/11/2018 </t>
  </si>
  <si>
    <t>U066 </t>
  </si>
  <si>
    <t>ADM. I.U. FÍSICA APLICADA A LA CIENCIAS Y A LAS TECNOLOGIAS </t>
  </si>
  <si>
    <t>DOCTORADO EN FÍSICA APLICADA A LAS CIENCIAS Y LAS TECNOLOGÍAS </t>
  </si>
  <si>
    <t>Tebar Martínez, Enrique Miguel </t>
  </si>
  <si>
    <t>ANÁLISIS ENERGÉTICO DE UN SISTEMA DE ALMACENAMIENTO DE ELECTRICIDAD EN BATERÍA MEDIANTE ENERGÍAS RENOVABLES CON CARACTERÍSTICA DE MODULARIDAD E INTERCAMBIABILIDAD EN VEHÍCULOS ELÉCTRICOS. </t>
  </si>
  <si>
    <t>15/09/2017 </t>
  </si>
  <si>
    <t>B112 </t>
  </si>
  <si>
    <t>DIDACTICA GENERAL Y DIDÁCTICAS ESPECÍFICAS </t>
  </si>
  <si>
    <t>DOCTORADO EN INVESTIGACIÓN EDUCATIVA </t>
  </si>
  <si>
    <t>50</t>
  </si>
  <si>
    <t>20</t>
  </si>
  <si>
    <t>ZZ </t>
  </si>
  <si>
    <t>SIN ASIGNAR </t>
  </si>
  <si>
    <t>27/09/2017 </t>
  </si>
  <si>
    <t>29/06/2017 </t>
  </si>
  <si>
    <t>10</t>
  </si>
  <si>
    <t>U044 </t>
  </si>
  <si>
    <t>ADM. FACULTAD DE CIENCIAS DE LA SALUD </t>
  </si>
  <si>
    <t>DOCTORADO EN CIENCIAS DE LA SALUD </t>
  </si>
  <si>
    <t>04/07/2017 </t>
  </si>
  <si>
    <t>B185 </t>
  </si>
  <si>
    <t>INGENIERÍA CIVIL </t>
  </si>
  <si>
    <t>DOCTORADO EN INGENIERÍA DE MATERIALES, ESTRUCTURAS Y TERRENO: CONSTR. SOST. </t>
  </si>
  <si>
    <t>10.06</t>
  </si>
  <si>
    <t>B134</t>
  </si>
  <si>
    <t>11/07/2017 </t>
  </si>
  <si>
    <t>Bellod Guillen, Jose Miguel </t>
  </si>
  <si>
    <t>DESARROLLO DE UN SISTEMA DE TRIAJE DE URGENCIAS ESCALABLE, REPRODUCIBLE Y CON INTEROPERABILIDAD SEMÁNTICA </t>
  </si>
  <si>
    <t>30/06/2017 </t>
  </si>
  <si>
    <t>B158 </t>
  </si>
  <si>
    <t>LENGUAJES Y SISTEMAS INFORMÁTICOS </t>
  </si>
  <si>
    <t>DOCTORADO EN APLICACIONES DE LA INFORMÁTICA </t>
  </si>
  <si>
    <t>Sánchez Gordón, Sandra Patricia </t>
  </si>
  <si>
    <t>DESARROLLO DE UN PROCESO DE IMPLEMENTACIÓN DE CURSOS EN LÍNEA MASIVOS Y ABIERTOS ACCESIBLES </t>
  </si>
  <si>
    <t>02/05/2017 </t>
  </si>
  <si>
    <t>21513360B </t>
  </si>
  <si>
    <t>B158</t>
  </si>
  <si>
    <t>Calle Jiménez, Tania Elizabeth </t>
  </si>
  <si>
    <t>APORTACIONES TÉCNICAS Y PEDAGÓGICAS A LA CREACIÓN DE MAPAS DE LÍNEA ACCESIBLES </t>
  </si>
  <si>
    <t>Navarrete Rueda, Rosa del Carmen </t>
  </si>
  <si>
    <t>APLICACIÓN DE LA EXPERIENCIA DE USUARIO ACCESIBLE EN ENTORNOS WEB DE RECURSOS EDUCATIVOS ABIERTOS </t>
  </si>
  <si>
    <t>Peñafiel Aguilar, Mirian Guadalupe </t>
  </si>
  <si>
    <t>APORTACIONES PARA LA MEJORA DE LA EDUCACIÓN VIRTUAL EN LA ENSEÑANZA DE LA INGENIERÍA </t>
  </si>
  <si>
    <t>16/02/2018 </t>
  </si>
  <si>
    <t>Candela Romero, Gustavo </t>
  </si>
  <si>
    <t>PUBLICACIÓN Y ENRIQUECIMIENTO SEMÁNTICO DE DATOS ABIERTOS EN BIBLIOTECAS DIGITALES </t>
  </si>
  <si>
    <t>02/07/2019 </t>
  </si>
  <si>
    <t>21395951V </t>
  </si>
  <si>
    <t>19/07/2018 </t>
  </si>
  <si>
    <t>03/07/2017 </t>
  </si>
  <si>
    <t>25/09/2017 </t>
  </si>
  <si>
    <t>19/09/2017 </t>
  </si>
  <si>
    <t>25/09/2018 </t>
  </si>
  <si>
    <t>26/09/2019 </t>
  </si>
  <si>
    <t>24/02/2017 </t>
  </si>
  <si>
    <t>10.25</t>
  </si>
  <si>
    <t>B112</t>
  </si>
  <si>
    <t>07/09/2018 </t>
  </si>
  <si>
    <t>21506145H </t>
  </si>
  <si>
    <t>Zarco Pleguezuelos, Pablo </t>
  </si>
  <si>
    <t>ANÁLISIS MULTIFACTORIAL DE LOS COMBATES DE JUDO MASCULINO EN CAMPEONATOS DEL MUNDO Y JUEGOS OLÍMPICOS EN EL PERÍODO 2014-16. </t>
  </si>
  <si>
    <t>24/07/2017 </t>
  </si>
  <si>
    <t>B148 </t>
  </si>
  <si>
    <t>TECNOLOGÍA INFORMÁTICA Y COMPUTACIÓN </t>
  </si>
  <si>
    <t>DOCTORADO EN TECNOLOGÍAS DE LA SOCIEDAD DE LA INFORMACIÓN </t>
  </si>
  <si>
    <t>33476663W </t>
  </si>
  <si>
    <t>B148</t>
  </si>
  <si>
    <t>31251007X </t>
  </si>
  <si>
    <t>21474037H </t>
  </si>
  <si>
    <t>21486541X </t>
  </si>
  <si>
    <t>21964202F </t>
  </si>
  <si>
    <t>52764803C </t>
  </si>
  <si>
    <t>22000675W </t>
  </si>
  <si>
    <t>B161 </t>
  </si>
  <si>
    <t>CIENCIA DE LA COMPUTACION E INTELIGENCIA ARTIFICIAL </t>
  </si>
  <si>
    <t>50735030C </t>
  </si>
  <si>
    <t>33489374V </t>
  </si>
  <si>
    <t>50170678L </t>
  </si>
  <si>
    <t>Monsalve Torra, Ana Eddy </t>
  </si>
  <si>
    <t>SISTEMAS DE AYUDA A LA DECISIÓN CLÍNICA EN ENFERMEDADES DE DIAGNÓSTICO COMPLEJO </t>
  </si>
  <si>
    <t>21510176R </t>
  </si>
  <si>
    <t>22135677V </t>
  </si>
  <si>
    <t>Albentosa Mora, Jose Luis </t>
  </si>
  <si>
    <t>MODELO Y ARQUITECTURA PARA LAPROVISIÓN EN LA NUBE DE SERVICIOS Y APLICACIONES HETEROGÉNEAS </t>
  </si>
  <si>
    <t>Sirvent Llamas, Alejandro </t>
  </si>
  <si>
    <t>ARQUITECTURAS DE INTERNET DE LAS COSAS PARA LA GESTIÓN DE INFRAESTRUCTURAS EN CIUDADES INTELIGENTES </t>
  </si>
  <si>
    <t>Hinojo Pérez, Juan José </t>
  </si>
  <si>
    <t>INVESTIGACIÓN INDUSTRIAL ORIENTADA A LA ADECUACIÓN DE LOS SISTEMAS PRODUCTIVOS ACTUALES DEL SECTOR CALZADO A TECNOLOGÍAS DE RECIENTE DESARROLLO </t>
  </si>
  <si>
    <t>29011916S </t>
  </si>
  <si>
    <t>Román Ibáñez, Vicente </t>
  </si>
  <si>
    <t>MODELADO E IMPLEMENTACIÓN DE SISTEMAS ROBÓTICOS ORIENTADOS AL SECTOR CALZADO </t>
  </si>
  <si>
    <t>17/09/2018 </t>
  </si>
  <si>
    <t>44752524K </t>
  </si>
  <si>
    <t>Isaza González, José Iván </t>
  </si>
  <si>
    <t>APORTACIONES A LA TOLERANCIA A FALLOS EN MICROPROCESADORES BAJO EFECTOS DE LA RADIACIÓN </t>
  </si>
  <si>
    <t>16/07/2018 </t>
  </si>
  <si>
    <t>74653004H </t>
  </si>
  <si>
    <t>Mendoza Tello, Julio César </t>
  </si>
  <si>
    <t>INNOVACIÓN DISRUPTIVA DE LAS CRIPTOMONEDAS PARA LA SOCIEDAD Y EL COMERCIO ELECTRÓNICO </t>
  </si>
  <si>
    <t>14/06/2019 </t>
  </si>
  <si>
    <t>Salvador Meneses, Jaime Oswaldo </t>
  </si>
  <si>
    <t>OPTIMIZACIÓN Y PROCESAMIENTO INTELIGENTE DE GRANDES VOLÚMENES DE DATOS CATEGÓRICOS </t>
  </si>
  <si>
    <t>11/06/2019 </t>
  </si>
  <si>
    <t>Ruiz Chávez, Zoila de Lourdes </t>
  </si>
  <si>
    <t>TÉCNICAS DE APRENDIZAJE AUTOMÁTICO APLICADAS AL PROCESAMIENTO DE INFORMACIÓN DEMOGRÁFICA </t>
  </si>
  <si>
    <t>De Ramón Fernández, Alberto Antonio </t>
  </si>
  <si>
    <t>MODELO BASADO EN MONITORIZACIÓN PARA EL EMPODERAMIENTO EN SALUD. UN ENFOQUE CENTRADO EN ARQUITECTURAS DISTRIBUIDAS Y DISPOSITIVOS EMBEBIDOS </t>
  </si>
  <si>
    <t>29/03/2019 </t>
  </si>
  <si>
    <t>33491634T </t>
  </si>
  <si>
    <t>48375795X </t>
  </si>
  <si>
    <t>B149 </t>
  </si>
  <si>
    <t>FISICA, INGENIERIA DE SISTEMAS Y TEORIA DE LA SEÑAL </t>
  </si>
  <si>
    <t>52764629F </t>
  </si>
  <si>
    <t>B149</t>
  </si>
  <si>
    <t>21503683V </t>
  </si>
  <si>
    <t>21995314T </t>
  </si>
  <si>
    <t>DOCTORADO EN AUTOMÁTICA Y ROBÓTICA </t>
  </si>
  <si>
    <t>Mateo Agulló, Carlos Manuel </t>
  </si>
  <si>
    <t>RECONOCIMIENTO GEOMÉTRICO DE OBJETOS 3D Y DETECCIÓN DE DEFORMACIONES EN MANIPULACIÓN ROBÓTICA </t>
  </si>
  <si>
    <t>52774982X </t>
  </si>
  <si>
    <t>24218798M </t>
  </si>
  <si>
    <t>Alabdo , Aiman </t>
  </si>
  <si>
    <t>ARQUITECTURA EMBEBIDA EN FPGA PARA CONTROL VISUAL DINÁMICO BASADO EN IMAGEN DE ROBOTS MANIPULADORES </t>
  </si>
  <si>
    <t>52765823M </t>
  </si>
  <si>
    <t>Delgado Rodríguez, Ángel </t>
  </si>
  <si>
    <t>CONTROL Y RECONOCIMIENTO TÁCTIL APLICADO EN TAREAS DE MANIPULACIÓN DE OBJETOS DEFORMABLES </t>
  </si>
  <si>
    <t>73996233N </t>
  </si>
  <si>
    <t>Pérez Alepuz, Javier </t>
  </si>
  <si>
    <t>DYNAMIC VISUAL SERVOING OF ROBOT MANIPULATORS: OPTIMAL FRAMEWORK WITH DYNAMIC PERCEPTIBILITY AND CHAOS COMPENSATION </t>
  </si>
  <si>
    <t>01/09/2017 </t>
  </si>
  <si>
    <t>De Bernardis , Caleb Gustavo </t>
  </si>
  <si>
    <t>TÉCNICA DINÁMICAS PARA TELEDETECCIÓN EMPLEANDO IMÁGENES SAR, ÓPTICAS Y VEHÍCULOS AÉREOS NO TRIPULADOS </t>
  </si>
  <si>
    <t>Mestre Quereda, Alejandro </t>
  </si>
  <si>
    <t>ADVANCED PROCESSING TECHNIQUES AND APPLICATIONS OF SYNTHETIC APERTURE RADAR INTERFEROMETRY </t>
  </si>
  <si>
    <t>21467137H </t>
  </si>
  <si>
    <t>21494991L </t>
  </si>
  <si>
    <t>21473652R </t>
  </si>
  <si>
    <t>21512592W </t>
  </si>
  <si>
    <t>52771535J </t>
  </si>
  <si>
    <t>21453179K </t>
  </si>
  <si>
    <t>73993969W </t>
  </si>
  <si>
    <t>21439614A </t>
  </si>
  <si>
    <t>21444874L </t>
  </si>
  <si>
    <t>73766251F </t>
  </si>
  <si>
    <t>52777349P </t>
  </si>
  <si>
    <t>33481301V </t>
  </si>
  <si>
    <t>21488273V </t>
  </si>
  <si>
    <t>21464202G </t>
  </si>
  <si>
    <t>44759120Q </t>
  </si>
  <si>
    <t>21645638Q </t>
  </si>
  <si>
    <t>Bernabeu Briones, Jose Francisco </t>
  </si>
  <si>
    <t>SIMILARITY LEARNING AND STOCHASTIC LANGUAGE MODELS FOR TREE-REPRESENTED MUSIC </t>
  </si>
  <si>
    <t>21417213G </t>
  </si>
  <si>
    <t>Valero Mas, Jose Javier </t>
  </si>
  <si>
    <t>TOWARDS INTERACTIVE MULTIMODAL MUSIC TRANSCRIPTION </t>
  </si>
  <si>
    <t>Torregrosa Rivero, Daniel </t>
  </si>
  <si>
    <t>BLACK-BOX INTERACTIVE TRANSLATION PREDICTION </t>
  </si>
  <si>
    <t>25/05/2018 </t>
  </si>
  <si>
    <t>Canales Zaragoza, Lea </t>
  </si>
  <si>
    <t>TACKLING THE CHALLENGE OF EMOTION ANNOTATION IN TEXT </t>
  </si>
  <si>
    <t>Toala Sánchez, Glenda Marilú </t>
  </si>
  <si>
    <t>IMPACTO DEL FACTOR HUMANO EN LA INGENIERÍA DIRIGIDA POR MODELOS </t>
  </si>
  <si>
    <t>Bustos Moreno, Aurelia María </t>
  </si>
  <si>
    <t>EXTRACTION OF MEDICAL KNOWLEDGE FROM CLINICAL REPORTS AND CHEST X-RAYS USING MACHINE LERANING TECHNIQUES </t>
  </si>
  <si>
    <t>01/07/2019 </t>
  </si>
  <si>
    <t>48455569C </t>
  </si>
  <si>
    <t>21450055W </t>
  </si>
  <si>
    <t>Barros Catalán, Cristina </t>
  </si>
  <si>
    <t>PROPOSAL OF A HYBRID APPROACH FOR NATURAL LANGUAGE GENERATION AND ITS APPLICATION TO HUMAN LANGUAGE TECHNOLOGIES </t>
  </si>
  <si>
    <t>20/09/2019 </t>
  </si>
  <si>
    <t>53232971T </t>
  </si>
  <si>
    <t>Castro Castro, Daniel </t>
  </si>
  <si>
    <t>VERIFICACIÓN DE AUTORÍA,. MODELOS INTRÍNSECOS BASADOS EN SEMAJANZA </t>
  </si>
  <si>
    <t>28/01/2019 </t>
  </si>
  <si>
    <t>21461233W </t>
  </si>
  <si>
    <t>B161</t>
  </si>
  <si>
    <t>21489731A </t>
  </si>
  <si>
    <t>22135596M </t>
  </si>
  <si>
    <t>21637322A </t>
  </si>
  <si>
    <t>53231432W </t>
  </si>
  <si>
    <t>03120050P </t>
  </si>
  <si>
    <t>Agryzkov Denysyuk, Taras </t>
  </si>
  <si>
    <t>MEDIDAS DE CENTRALIDAD EN REDES URBANAS CON DATOS </t>
  </si>
  <si>
    <t>27/06/2018 </t>
  </si>
  <si>
    <t>21453332J </t>
  </si>
  <si>
    <t>Curado Navarro, Manuel </t>
  </si>
  <si>
    <t>STRUCTURAL SIMILITARY: APPLICATIONS TO OBJECT RECOGNITION AND CLUSTERING </t>
  </si>
  <si>
    <t>03/09/2018 </t>
  </si>
  <si>
    <t>52805806Z </t>
  </si>
  <si>
    <t>74193699T </t>
  </si>
  <si>
    <t>Guillem Aldave, Carlos </t>
  </si>
  <si>
    <t>TECNOLOGÍAS DE LA INFORMACIÓN PARA MEDIR SOCIALMENTE LA CREATIVIDAD </t>
  </si>
  <si>
    <t>Andrade Bazurto, Alicia Lorena </t>
  </si>
  <si>
    <t>CARACTERÍSTICAS Y APLICACIONES DE LAS FUNCIONES RESUMEN CRIPTOGRÁFICAS EN LA GESTIÓN DE CONTRASEÑAS </t>
  </si>
  <si>
    <t>10/07/2019 </t>
  </si>
  <si>
    <t>Morales Cardoso, Santiago Leonardo </t>
  </si>
  <si>
    <t>METODOLOGÍA PARA PROCESOS DE INTELIGENCIA DE NEGOCIOS CON MEJORAS EN LA EXTRACCIÓN Y TRANSFORMACIÓN DE FUENTES DE DATOS, ORIENTADO A LA TOMA DE DECISIONES </t>
  </si>
  <si>
    <t>14/03/2019 </t>
  </si>
  <si>
    <t>21388068T </t>
  </si>
  <si>
    <t>Meza Bolaños, Doris Verónica </t>
  </si>
  <si>
    <t>MODELO PARA ESTIMAR EL IMPACTO SOCIAL DEL USO DE ECOSISTEMAS DE APRENDIZAJE EN LAS UNIVERSIDADES </t>
  </si>
  <si>
    <t>21496149G </t>
  </si>
  <si>
    <t>21649909D </t>
  </si>
  <si>
    <t>Valverde Alulema, Francisco Xavier </t>
  </si>
  <si>
    <t>LA CARTERA ESTRATÉGICA DE PROYECTOS DE TI COMO BUENA PRÁCTICA PARA LA GOBERNANZA DE LAS TI EN LAS UNIVERSIDADES </t>
  </si>
  <si>
    <t>08/03/2019 </t>
  </si>
  <si>
    <t>Mejía Madrid, Gina Susana </t>
  </si>
  <si>
    <t>EL PROCESO DE ENSEÑANZA APRENDIZAJE APOYADO EN LAS TECNOLOGÍAS DE LA INFORMACIÓN: MODELO PARA EVALUAR LA CALIDAD DE LOS CURSOS B-LEARNING EN LAS UNIVERSIDADADES </t>
  </si>
  <si>
    <t>Domínguez Sánchez, Alejandro </t>
  </si>
  <si>
    <t>RECOGNITION OF DRIVING OBJECTS IN REAL TIME WITH COMPUTER VISION AND DEEP NEURAL NETWORKS </t>
  </si>
  <si>
    <t>19/12/2018 </t>
  </si>
  <si>
    <t>Cano Espinosa, Carlos </t>
  </si>
  <si>
    <t>IMAGE-BASED BIOMARKER LOCALIZATION FROM REGRESSION NETWORKS </t>
  </si>
  <si>
    <t>Moscoso Zea, Oswaldo Vicente </t>
  </si>
  <si>
    <t>A HYBRID INFRASTRUCTURE OF ENTREPRISE ARCHITECTURE AND BUSINESS INTELLIGENCE &amp; ANALYTICS TO EMPOWER KNOWLEGDE MANAGEMENT IN EDUCATION </t>
  </si>
  <si>
    <t>03/03/2017 </t>
  </si>
  <si>
    <t>Nieto Hidalgo, Mario </t>
  </si>
  <si>
    <t>"GAIT ANALYSIS USING COMPUTER VISION FOR THE EARLY DETECTION OF ELDERLY SYNDROMES. A FORMAL PROPOSAL" </t>
  </si>
  <si>
    <t>33475167R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</si>
  <si>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</si>
  <si>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</si>
  <si>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</si>
  <si>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</si>
  <si>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</si>
  <si>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</si>
  <si>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</si>
  <si>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</si>
  <si>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</si>
  <si>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</si>
  <si>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</si>
  <si>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</si>
  <si>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</si>
  <si>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</si>
  <si>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53231432W</t>
  </si>
  <si>
    <t>ALVAREZ SANCHEZ, RAFAEL IGNACIO</t>
  </si>
  <si>
    <t>52793369C</t>
  </si>
  <si>
    <t>ARNAL GARCIA, JOSE</t>
  </si>
  <si>
    <t>21672410Q</t>
  </si>
  <si>
    <t>AZNAR GREGORI, FIDEL</t>
  </si>
  <si>
    <t>52764803C</t>
  </si>
  <si>
    <t>AZORIN LOPEZ, JORGE</t>
  </si>
  <si>
    <t>21664897R</t>
  </si>
  <si>
    <t>BALLESTER BERMAN, JOSEP DAVID</t>
  </si>
  <si>
    <t>48375795X</t>
  </si>
  <si>
    <t>BERNA MARTINEZ, JOSE VICENTE</t>
  </si>
  <si>
    <t>33481301V</t>
  </si>
  <si>
    <t>CACHERO CASTRO, CRISTINA</t>
  </si>
  <si>
    <t>52773069Y</t>
  </si>
  <si>
    <t>CANDELAS HERIAS, FRANCISCO ANDRES</t>
  </si>
  <si>
    <t>21450055W</t>
  </si>
  <si>
    <t>CARRASCO JIMENEZ, RAFAEL CARLOS</t>
  </si>
  <si>
    <t>21489731A</t>
  </si>
  <si>
    <t>CAZORLA QUEVEDO, MIGUEL ANGEL</t>
  </si>
  <si>
    <t>21496149G</t>
  </si>
  <si>
    <t>COMPAÑ ROSIQUE, PATRICIA</t>
  </si>
  <si>
    <t>31251007X</t>
  </si>
  <si>
    <t>CUENCA ASENSI, SERGIO ANTONIO</t>
  </si>
  <si>
    <t>74193699T</t>
  </si>
  <si>
    <t>ESCOLANO RUIZ, FRANCISCO JAVIER</t>
  </si>
  <si>
    <t>09371918Q</t>
  </si>
  <si>
    <t>FERRANDEZ PASTOR, FRANCISCO JAVIER</t>
  </si>
  <si>
    <t>21464202G</t>
  </si>
  <si>
    <t>FERRANDEZ RODRIGUEZ, ANTONIO</t>
  </si>
  <si>
    <t>33476663W</t>
  </si>
  <si>
    <t>21444874L</t>
  </si>
  <si>
    <t>FORCADA ZUBIZARRETA, MIKEL LORENZO</t>
  </si>
  <si>
    <t>22000675W</t>
  </si>
  <si>
    <t>FUSTER GUILLO, ANDRES</t>
  </si>
  <si>
    <t>21486541X</t>
  </si>
  <si>
    <t>GARCIA RODRIGUEZ, JOSE</t>
  </si>
  <si>
    <t>48351140B</t>
  </si>
  <si>
    <t>GARRIGOS FERNANDEZ, IRENE</t>
  </si>
  <si>
    <t>50170678L</t>
  </si>
  <si>
    <t>GIL MENDEZ, DAVID</t>
  </si>
  <si>
    <t>52774982X</t>
  </si>
  <si>
    <t>GIL VAZQUEZ, PABLO</t>
  </si>
  <si>
    <t>50735030C</t>
  </si>
  <si>
    <t>GILART IGLESIAS, VIRGILIO</t>
  </si>
  <si>
    <t>21475880K</t>
  </si>
  <si>
    <t>GOMEZ ORTEGA, JAIME</t>
  </si>
  <si>
    <t>21397854B</t>
  </si>
  <si>
    <t>GREDIAGA OLIVO, ANGEL</t>
  </si>
  <si>
    <t>21439614A</t>
  </si>
  <si>
    <t>IÑESTA QUEREDA, JOSE MANUEL</t>
  </si>
  <si>
    <t>29011916S</t>
  </si>
  <si>
    <t>JIMENO MORENILLA, ANTONIO MANUEL</t>
  </si>
  <si>
    <t>21637322A</t>
  </si>
  <si>
    <t>LLORENS LARGO, FARAON</t>
  </si>
  <si>
    <t>21503683V</t>
  </si>
  <si>
    <t>LOPEZ SANCHEZ, JUAN MANUEL</t>
  </si>
  <si>
    <t>48531413X</t>
  </si>
  <si>
    <t>LOZANO ORTEGA, MIGUEL ANGEL</t>
  </si>
  <si>
    <t>21474037H</t>
  </si>
  <si>
    <t>MACIA PEREZ, FRANCISCO</t>
  </si>
  <si>
    <t>33491634T</t>
  </si>
  <si>
    <t>MARCOS JORQUERA, DIEGO</t>
  </si>
  <si>
    <t>74653004H</t>
  </si>
  <si>
    <t>MARTINEZ ALVAREZ, ANTONIO</t>
  </si>
  <si>
    <t>21473652R</t>
  </si>
  <si>
    <t>MARTINEZ BARCO, PATRICIO MANUEL</t>
  </si>
  <si>
    <t>21995314T</t>
  </si>
  <si>
    <t>MARTINEZ MARIN, TOMAS</t>
  </si>
  <si>
    <t>53227471C</t>
  </si>
  <si>
    <t>MARTINEZ MARTIN, ESTER</t>
  </si>
  <si>
    <t>73993969W</t>
  </si>
  <si>
    <t>MAZON LOPEZ, JOSE NORBERTO</t>
  </si>
  <si>
    <t>52777349P</t>
  </si>
  <si>
    <t>MELIA BEIGBEDER, SANTIAGO</t>
  </si>
  <si>
    <t>21462550P</t>
  </si>
  <si>
    <t>MIGALLON GOMIS, MARIA VIOLETA</t>
  </si>
  <si>
    <t>22135596M</t>
  </si>
  <si>
    <t>MOLINA CARMONA, RAFAEL</t>
  </si>
  <si>
    <t>21453179K</t>
  </si>
  <si>
    <t>MONTOYO GUIJARRO, JUAN ANDRES</t>
  </si>
  <si>
    <t>33489374V</t>
  </si>
  <si>
    <t>MORA MORA, HIGINIO</t>
  </si>
  <si>
    <t>21482756C</t>
  </si>
  <si>
    <t>MOREDA POZO, MARIA PALOMA</t>
  </si>
  <si>
    <t>21467137H</t>
  </si>
  <si>
    <t>MUÑOZ GUILLENA, RAFAEL</t>
  </si>
  <si>
    <t>53230124M</t>
  </si>
  <si>
    <t>MUÑOZ TEROL, RAFAEL</t>
  </si>
  <si>
    <t>21430250T</t>
  </si>
  <si>
    <t>ONCINA CARRATALA, JOSE MARIA</t>
  </si>
  <si>
    <t>20413324L</t>
  </si>
  <si>
    <t>PALOMAR SANZ, MANUEL JAVIER</t>
  </si>
  <si>
    <t>21645324R</t>
  </si>
  <si>
    <t>PENADES MARTINEZ, JOSE LEANDRO</t>
  </si>
  <si>
    <t>21488273V</t>
  </si>
  <si>
    <t>PERAL CORTES, JESUS</t>
  </si>
  <si>
    <t>48455569C</t>
  </si>
  <si>
    <t>PERTUSA IBAÑEZ, ANTONIO JORGE</t>
  </si>
  <si>
    <t>52778442C</t>
  </si>
  <si>
    <t>PUENTE MENDEZ, SANTIAGO TIMOTEO</t>
  </si>
  <si>
    <t>21506145H</t>
  </si>
  <si>
    <t>PUEO ORTEGA, BASILIO</t>
  </si>
  <si>
    <t>44752524K</t>
  </si>
  <si>
    <t>PUJOL LOPEZ, FRANCISCO ANTONIO</t>
  </si>
  <si>
    <t>74213842H</t>
  </si>
  <si>
    <t>PUJOL LOPEZ, MARIA DEL MAR</t>
  </si>
  <si>
    <t>73766251F</t>
  </si>
  <si>
    <t>RICO JUAN, JUAN RAMON</t>
  </si>
  <si>
    <t>21388068T</t>
  </si>
  <si>
    <t>RIZO ALDEGUER, RAMON LUIS</t>
  </si>
  <si>
    <t>21510176R</t>
  </si>
  <si>
    <t>RUIZ FERNANDEZ, DANIEL</t>
  </si>
  <si>
    <t>52805806Z</t>
  </si>
  <si>
    <t>SAEZ MARTINEZ, JUAN MANUEL</t>
  </si>
  <si>
    <t>21512592W</t>
  </si>
  <si>
    <t>SANCHEZ MARTINEZ, FELIPE</t>
  </si>
  <si>
    <t>33485105A</t>
  </si>
  <si>
    <t>SANCHEZ ROMERO, JOSE LUIS</t>
  </si>
  <si>
    <t>52778169T</t>
  </si>
  <si>
    <t>21649909D</t>
  </si>
  <si>
    <t>22136568B</t>
  </si>
  <si>
    <t>SELVA VERA, JESUS</t>
  </si>
  <si>
    <t>21411855M</t>
  </si>
  <si>
    <t>SIGNES PONT, MARIA TERESA</t>
  </si>
  <si>
    <t>22135677V</t>
  </si>
  <si>
    <t>SORIANO PAYA, ANTONIO</t>
  </si>
  <si>
    <t>44759120Q</t>
  </si>
  <si>
    <t>TOMAS DIAZ, DAVID</t>
  </si>
  <si>
    <t>24218798M</t>
  </si>
  <si>
    <t>TORRES MEDINA, FERNANDO</t>
  </si>
  <si>
    <t>21461233W</t>
  </si>
  <si>
    <t>TORTOSA GRAU, LEANDRO</t>
  </si>
  <si>
    <t>21494991L</t>
  </si>
  <si>
    <t>TRUJILLO MONDEJAR, JUAN CARLOS</t>
  </si>
  <si>
    <t>74085154S</t>
  </si>
  <si>
    <t>VICEDO GONZALEZ, JOSE LUIS</t>
  </si>
  <si>
    <t>21453332J</t>
  </si>
  <si>
    <t>VICENT FRANCES, JOSE FRANCISCO</t>
  </si>
  <si>
    <t>03120050P</t>
  </si>
  <si>
    <t>VIEJO HERNANDO, DIEGO</t>
  </si>
  <si>
    <t>21422399S</t>
  </si>
  <si>
    <t>ZAMORA GOMEZ, ANTONIO</t>
  </si>
  <si>
    <t>21513360B</t>
  </si>
  <si>
    <t>LUJAN MORA, SERGIO</t>
  </si>
  <si>
    <t>21964202F</t>
  </si>
  <si>
    <t>GARCIA CHAMIZO, JUAN MANUEL</t>
  </si>
  <si>
    <t>33475167R</t>
  </si>
  <si>
    <t>MORA PASCUAL, JERONIMO MANUEL</t>
  </si>
  <si>
    <t>41.50.6C.00.29</t>
  </si>
  <si>
    <t>REINTEGRO CUOTA PATRONAL CORRESPONDIENTE AL MES DE OCTUBRE DE 2019.</t>
  </si>
  <si>
    <t>REINTEGRO CUOTA PATRONAL CORRESPONDIENTE AL MES DE DICIEMBRE DE 2019.</t>
  </si>
  <si>
    <t>41.50.6C.00.43</t>
  </si>
  <si>
    <t>AYUDA PARA CONTRATOS PREDOCTORALES COFINANCIADOS ENTRE LA UNIVERSIDAD DE ALICANTE Y UNA EMPRESA. Primera factura por la entrada en vigor del convenio entre las partes</t>
  </si>
  <si>
    <t xml:space="preserve">AYUDA PARA CONTRATOS PREDOCTORALES COFINANCIADOS ENTRE LA UNIVERSIDAD DE ALICANTE Y UNA EMPRESA. Segunda factura </t>
  </si>
  <si>
    <t xml:space="preserve">AYUDA PARA CONTRATOS PREDOCTORALES COFINANCIADOS ENTRE LA UNIVERSIDAD DE ALICANTE Y UNA EMPRESA. Tercera factura a los 12 meses, según convenio firmado entre las partes </t>
  </si>
  <si>
    <t>41.50.6C.00.48</t>
  </si>
  <si>
    <t xml:space="preserve">Final Settlement (MS-2): Upon the DLR's acceptance of all deliverable items due under the Subcontract (No. D / 551 / 67254235 to ESA Contract No. 4000121574/ 17/NL/CT) and the Subcontractor's fulfilment of all other contractual obligations including submission of the Contract Closure Documentation. </t>
  </si>
  <si>
    <t>Progress (MS-1): Upon successful completion of Concept Review (CR) and acceptance of the technical note for task 3."Subcontract No. D / 551 / 67254235 to ESA Contract No. 4000121574/ 17/NL/CT"</t>
  </si>
  <si>
    <t>Primera versión del software y documentación asociada</t>
  </si>
  <si>
    <t>41.50.6C.00.59</t>
  </si>
  <si>
    <t>REALIZACIÓN POR PARTE DEL EXPERTO-INVESTIGADOR DE LA EVALUACIÓN DEL PROYECTO 637.349 EQA34-18TPA</t>
  </si>
  <si>
    <t>41.50.6C.00.60</t>
  </si>
  <si>
    <t xml:space="preserve">DESARROLLO DE UN SISTEMA DE INTELIGENICA NEURONAL PARA LA INSPECCION SUPERFICIAL DE PIEZAS. CONTRATO 623.404 (EQA35-18TPA) </t>
  </si>
  <si>
    <t>(NITSNETS1-17Y) DETECCIÓN DE ERRORES EN EL DISEÑO DE SITIOS WEB</t>
  </si>
  <si>
    <t>SEGUNDO PAGO  (NITSNETS1-17Y) DETECCIÓN DE ERRORES EN EL DISEÑO DE SITIOS WEB.</t>
  </si>
  <si>
    <t>41.50.6C.00.65</t>
  </si>
  <si>
    <t>DESARROLLO DE INNOVADOR SISTEMA DE VISION ARTIFICIAL Y SU APLICACION EN DETECCION Y MANIPULACION DE BALAS DE CAUCHO. CONTRATO 647.139 (EQA39-18TPA)</t>
  </si>
  <si>
    <t>41.50.6C.00.67</t>
  </si>
  <si>
    <t>MEJORA DEL SISTEMA DE GESTION INTEGRAL DE AGVS DE KIVNON. CONTRATO 644.922 (EQA44-18TPA)</t>
  </si>
  <si>
    <t>41.50.6C.00.68</t>
  </si>
  <si>
    <t xml:space="preserve">DISEÑO Y DESARROLLO DE UN SISTEMA DE GESTION DE SUSCRIPCION SUBMAN EN UN SISTEMA OPERATIVO EMBEBIDO. CONTRATO 653.174 (EQA45-18TPA) </t>
  </si>
  <si>
    <t>41.50.6C.00.71</t>
  </si>
  <si>
    <t xml:space="preserve">PATROCINIO DE LAS FINALES DE LA COMPETICION INTERNACIONAL ZEROROBOTIC (EMXYS1-18TPA) </t>
  </si>
  <si>
    <t>41.50.6C.00.72</t>
  </si>
  <si>
    <t>(SEVENSOLUTIONS1-19XPA) PATROCINIO DE LAS FINALES DE LA COMPETICION INTERNACIONAL ZEROROBOTICS</t>
  </si>
  <si>
    <t>41.50.6C.00.73</t>
  </si>
  <si>
    <t>REALIZACIÓN POR PARTE DEL EXPERTO-INVESTIGADOR DE LA EVALUACIÓN DEL PROYECTO 705.238</t>
  </si>
  <si>
    <t>41.50.6C.00.74</t>
  </si>
  <si>
    <t>(EQA30-19TPA) REALIZACIÓN POR PARTE DEL EXPERTO-INVESTIGADOR DE LA EVALUACIÓN DEL PROYECTO EXPEDIENTE 720.102 DISEÑO Y DESARROLLO DE UNA UNIDAD DE ULTIMA GENERACION DE PROCESAMIENTO MULTIPLE</t>
  </si>
  <si>
    <t>41.50.6C.00.75</t>
  </si>
  <si>
    <t>DESARROLLO DEL PORTAL INTERNO DE SERVICIOS EN ASV, PLATAFORMA DE INTEGRACION (1 de Octubre al 31 de Octubre de 2019)</t>
  </si>
  <si>
    <t>41.50.6C.00.76</t>
  </si>
  <si>
    <t>(EQA33-19TPA) REALIZACIÓN POR PARTE DEL EXPERTO INVESTIGADOR (FERNANDO TORRES)DE LA EVALUACIÓN DEL PROYECTO EXPEDIENTE 696.110. AUTOMATIZACION EN LA INSERCION DE ALFOMBRILLAS</t>
  </si>
  <si>
    <t>41.50.6C.00.78</t>
  </si>
  <si>
    <t>(LWD1-19I) DESCRIPCIÓN DETALLADA DE LOS ALGORITMOS Y REQUERIMIENTOS DEL SOFTWARE A DESARROLLAR POR LA EMPRESA PARA PROCESADO INTERFEROMÉTRICO PSI</t>
  </si>
  <si>
    <t>41.50.6C.00.79</t>
  </si>
  <si>
    <t>(EQA39-19TPA) REALIZACIÓN POR PARTE DEL EXPERTO-INVESTIGADOR ( FERNANDO TORRES MEDINA) DE LA EVALUACION DEL PROYECTO 704.562. PROTOTIPO DE MONITORIZACION PREDICTIVO PARA AVERIAS EN ROBOTS.</t>
  </si>
  <si>
    <t>41.50.6G.00.01</t>
  </si>
  <si>
    <t>COMPETICIÓN INTERNACIONAL ZERO ROBOTICS ISS FINALS @ALICANTE, SPAIN.</t>
  </si>
  <si>
    <t>41.50.6G.00.02</t>
  </si>
  <si>
    <t>(CONGRESO) JORNADAS NACIONALES DE ROBOTICA JNR2019</t>
  </si>
  <si>
    <t>(CONGRESO) JORNADAS NACIONALES DE ROBOTICA JNR2019 ALBERTO ORTIZ RODRIGUEZ</t>
  </si>
  <si>
    <t>(CONGRESO) JORNADAS NACIONALES DE ROBOTICA JNR2019 ALFONSO JOSE GARCIA CEREZO</t>
  </si>
  <si>
    <t>(CONGRESO) JORNADAS NACIONALES DE ROBOTICA JNR2019 ANGEL MANUEL GUERRERO HIGUERAS</t>
  </si>
  <si>
    <t>(CONGRESO) JORNADAS NACIONALES DE ROBOTICA JNR2019 ANTONIO BARRIENTOS CRUZ</t>
  </si>
  <si>
    <t>(CONGRESO) JORNADAS NACIONALES DE ROBOTICA JNR2019 ANTONIO GIMENEZ FERNANDEZ</t>
  </si>
  <si>
    <t>(CONGRESO) JORNADAS NACIONALES DE ROBOTICA JNR2019 CONCEPCION ALICIA MONJE</t>
  </si>
  <si>
    <t>(CONGRESO) JORNADAS NACIONALES DE ROBOTICA JNR2019 DAVID SERRANO DEL CERRO</t>
  </si>
  <si>
    <t>(CONGRESO) JORNADAS NACIONALES DE ROBOTICA JNR2019 DORIN-SABIN COPACI</t>
  </si>
  <si>
    <t>(CONGRESO) JORNADAS NACIONALES DE ROBOTICA JNR2019 FERNANDO ALONSO MARTIN</t>
  </si>
  <si>
    <t>(CONGRESO) JORNADAS NACIONALES DE ROBOTICA JNR2019 ITZIAR CABANES AXPE</t>
  </si>
  <si>
    <t>(CONGRESO) JORNADAS NACIONALES DE ROBOTICA JNR2019 JAIME DEL CERRO GINER</t>
  </si>
  <si>
    <t xml:space="preserve">(CONGRESO) JORNADAS NACIONALES DE ROBOTICA JNR2019 Jaime Gómez García Bermejo  </t>
  </si>
  <si>
    <t>(CONGRESO) JORNADAS NACIONALES DE ROBOTICA JNR2019 JANETH ILEANA ARIAS</t>
  </si>
  <si>
    <t>(CONGRESO) JORNADAS NACIONALES DE ROBOTICA JNR2019 JAVIER BELMAR MARTINEZ</t>
  </si>
  <si>
    <t>(CONGRESO) JORNADAS NACIONALES DE ROBOTICA JNR2019 JAVIER GONZALEZ JIMENEZ</t>
  </si>
  <si>
    <t>(CONGRESO) JORNADAS NACIONALES DE ROBOTICA JNR2019 JORGE MUÑOZ YAÑEZ</t>
  </si>
  <si>
    <t>(CONGRESO) JORNADAS NACIONALES DE ROBOTICA JNR2019 JOSE CARLOS CASTILLO MONTOYA</t>
  </si>
  <si>
    <t>(CONGRESO) JORNADAS NACIONALES DE ROBOTICA JNR2019 LISBETH KARINA MENA</t>
  </si>
  <si>
    <t>(CONGRESO) JORNADAS NACIONALES DE ROBOTICA JNR2019 LUIS ENRIQUE MORENO LORENTE</t>
  </si>
  <si>
    <t>(CONGRESO) JORNADAS NACIONALES DE ROBOTICA JNR2019 LUIS FERNANDO NAGUA</t>
  </si>
  <si>
    <t>(CONGRESO) JORNADAS NACIONALES DE ROBOTICA JNR2019 LUIS SANTIAGO GARRIDO BULLON</t>
  </si>
  <si>
    <t>(CONGRESO) JORNADAS NACIONALES DE ROBOTICA JNR2019 Mª DE LOS ANGELES MALFAZ VAZQUEZ</t>
  </si>
  <si>
    <t>(CONGRESO) JORNADAS NACIONALES DE ROBOTICA JNR2019 Mª DOLORES BLANCO ROJAS</t>
  </si>
  <si>
    <t>(CONGRESO) JORNADAS NACIONALES DE ROBOTICA JNR2019 MANUEL FERRE PEREZ</t>
  </si>
  <si>
    <t>(CONGRESO) JORNADAS NACIONALES DE ROBOTICA JNR2019 MIGUEL ANGEL SALICHS</t>
  </si>
  <si>
    <t xml:space="preserve">(CONGRESO) JORNADAS NACIONALES DE ROBOTICA JNR2019 NOE PEREZ HIGUERAS </t>
  </si>
  <si>
    <t>(CONGRESO) JORNADAS NACIONALES DE ROBOTICA JNR2019 OLAYA ALVAREZ TUÑON</t>
  </si>
  <si>
    <t>(CONGRESO) JORNADAS NACIONALES DE ROBOTICA JNR2019 PEDRO JOSE SANZ VALERO</t>
  </si>
  <si>
    <t>(CONGRESO) JORNADAS NACIONALES DE ROBOTICA JNR2019 VICTOR FERNANDO MUÑOZ MARTINEZ</t>
  </si>
  <si>
    <t>CONGRESO JORNADAS NACIONALES DE ROBÓTICA (LIQ 3)</t>
  </si>
  <si>
    <t>JORNADAS DE ROBÓTICA 2019 (APUNTE AJ GARC)</t>
  </si>
  <si>
    <t xml:space="preserve">JORNADAS NACIONALES DE ROBOTICA JNR2019 Dr. Roemi Fernández Saavedra  </t>
  </si>
  <si>
    <t xml:space="preserve">JORNADAS NACIONALES DE ROBOTICA JNR2019 Eduardo Zalama Casanova </t>
  </si>
  <si>
    <t>JORNADAS NACIONALES DE ROBOTICA JNR2019 JULIO SALVADOR LORA MILLAN</t>
  </si>
  <si>
    <t>JORNADAS NACIONALES DE ROBOTICA JNR2019 RAUL SUAREZ</t>
  </si>
  <si>
    <t>JORNADAS NACIONALES ROBOTICA JUNIO 2019.</t>
  </si>
  <si>
    <t>SEGUNDA LIQUIDACIÓN CONGRESO ROBÓTICA 2019</t>
  </si>
  <si>
    <t>41.50.6G.00.03</t>
  </si>
  <si>
    <t>2ª Liquidación Congreso Digtal Libraries for Musicology</t>
  </si>
  <si>
    <t>Congreso Digital Libraries for Musicology</t>
  </si>
  <si>
    <t xml:space="preserve">APOTI/2018 SUBVENCIONES CONTRATACIÓN DEPERSONAL DE APOYO VINCULADO A PROYECTO  DE TRANSFERENCIA TECNOL. RES 13/06/2018 </t>
  </si>
  <si>
    <t>LIBERADOS EL 23/04/2019, ANUALIDAD 2019 PROYECTOS I+D (PIA1) N EXPEDIENTE: PIA12015-1 -4 ANUALIDAD REFERENCIA:ESP2015-68245-C4-3-P. REF. DEL ORDENANTE PARA EL BENEFICIARIO: 27402219310017420.</t>
  </si>
  <si>
    <t>FLIB 08/10/19. PROYECTOS RETOS I+D+I 2016. ANUAL 2019 PROYECTOS I+D RETOS (PIA13) N EXPEDIENTE: PIA 132016 -1 -4 ANUALIDAD REFERENCIA: TIN2016- 76515-R REFERENCIA DEL ORDENANTE PARA EL BENEFICIARIO: 27402219310029449</t>
  </si>
  <si>
    <t>FLIB 18/03/19. PROYECTOS I+D+I RETOS 2017. ANUAL 2019. UNIV2 PROYECTOS I+D RETOS (PIA13) N EXPEDIENTE: PIA132017-1 - 2 ANUALIDAD REFERENCI. REF. ORDENANTE: 27402219310014360.</t>
  </si>
  <si>
    <t>LIBERADOS EL 18/03/2019, ANUALIDAD 2019 PROYECTOS I+D (PIA1) N EXPEDIENTE: PIA12017-1 -2 ANUALIDAD  REFERENCIA: TEC2017-85244-C2-1-P. REF. ORDENANTE: 27402219310015483.</t>
  </si>
  <si>
    <t>41.50.6P.00.22</t>
  </si>
  <si>
    <t xml:space="preserve">AEST 2018 - ANUALITAT 2019 </t>
  </si>
  <si>
    <t>41.50.6P.00.23</t>
  </si>
  <si>
    <t xml:space="preserve">SUBVENCIONES REALIZACIÓN PROYECTOS I+D+I GRUPOS EMERGENTES GV/2018.2ªANUALIDAD </t>
  </si>
  <si>
    <t>41.50.6P.00.24</t>
  </si>
  <si>
    <t xml:space="preserve">PROMETEO 2018 EN 2019 </t>
  </si>
  <si>
    <t>41.50.6P.00.28</t>
  </si>
  <si>
    <t>PAGO 1 ANUALIDAD PROYECTOS RETOS I+D+I 2018. ANUAL 2019 PROYECTOS I+D RETOS (PIA 13) N EXPEDIENTE: PIA 132018 - 1- 1 ANUALIDAD REFERENCIA: R. REFERENCIA DEL ORDENANTE PARA EL BENEFICIARIO: 00173219310010861 - 2019/009679</t>
  </si>
  <si>
    <t>PARA EL PAGO DE LA ANUALIDAD 2019 DE LA CONVOCATORIA RTI 2018 PROYECTOS I+D RETOS (PIA 13) N EXPEDIENTE: PIA 132018-1  - 1 ANUALIDAD REFERENC REFERENCIA DEL ORDENANTE PARA EL BENEFICIARIO: 27402219310026765</t>
  </si>
  <si>
    <t>41.50.6P.00.29</t>
  </si>
  <si>
    <t>PAGO 1 ANUALIDAD PROYECTOS RETOS I+D+I 2018. ANUAL 2019 PROYECTOS I+D RETOS (PIA 13) N EXPEDIENTE: PIA 132018 - 1- 1 ANUALIDAD REFERENCIA: R. REFERENCIA DEL ORDENANTE PARA EL BENEFICIARIO: 00173219310010852 - 2019/009672</t>
  </si>
  <si>
    <t>PARA EL PAGO DE LA ANUALIDAD 2019 DE LA CONVOCATORIA RTI 2018 PROYECTOS I+D RETOS (PIA13) N EXPEDIENTE: PIA 132018- 1-  1 ANUALIDAD REFERENC REFERENCIA DEL ORDENANTE PARA EL BENEFICIARIO: 27402219310026276</t>
  </si>
  <si>
    <t>41.50.6P.00.30</t>
  </si>
  <si>
    <t xml:space="preserve">SUBVENCIONES GRUPOS INVESTIGACION CONSOLIDABLES AICO/2019 (EDUCACIÓN,INVESTIGACIÓN,CULTURA Y DEPORT)  </t>
  </si>
  <si>
    <t>41.50.6S.00.08</t>
  </si>
  <si>
    <t>Caldwell Marín, Eldon Glen </t>
  </si>
  <si>
    <t>ROBÓTICA ASISTENCIAL CIBER-FÍSICA PARA TERAPIA DEL HABLA-LENGUAJE </t>
  </si>
  <si>
    <t>27/04/2020 </t>
  </si>
  <si>
    <t>Cruz , Edmanuel Gaspar </t>
  </si>
  <si>
    <t>Robotics semantic localization using deep learning techniques </t>
  </si>
  <si>
    <t>28/04/2020 </t>
  </si>
  <si>
    <t>Acosta Vargas, Nelly Patricia </t>
  </si>
  <si>
    <t>EVALUACIÓN DE LA ACCESIBILIDAD WEB CON HERRAMIENTAS AUTOMÁTICAS Y UN MÉTODO HEURÍSTICO ARA USUARIOS CON BAJA VISIÓN </t>
  </si>
  <si>
    <t>11/02/2020 </t>
  </si>
  <si>
    <t>Arroba Rimassa, Jorge </t>
  </si>
  <si>
    <t>EL ANÁLISIS DE OPINIONES EN LA PREDICCIÓN POLÍTICA BASADOS EN TWITTER. UN NUEVO ENFOQUE </t>
  </si>
  <si>
    <t>28/10/2019 </t>
  </si>
  <si>
    <t>Borja Borja, Luis Felipe </t>
  </si>
  <si>
    <t>Arquitectura de visión y aprendizaje para el reconocimiento de actividades de grupos usando descriptores de movimient </t>
  </si>
  <si>
    <t>25/06/2020 </t>
  </si>
  <si>
    <t>48325227L </t>
  </si>
  <si>
    <t>Buenaño Fernández, Diego Patricio </t>
  </si>
  <si>
    <t>PROPUESTA DE UN CONJUNTO DE HERRAMIENTAS DE MINERÍA DE DATOS PARA EVALUAR EL DESEMPEÑO DE LOS ESTUDIANTES Y LOS PROCESOS DE ENSEÑANZA-APRENDIZAJE EN EL ÁMBITO DE LA EDUACIÓN EN LA INGENIERÍA </t>
  </si>
  <si>
    <t>19/06/2020 </t>
  </si>
  <si>
    <t>Cadena Vela, Susana Graciela </t>
  </si>
  <si>
    <t>MARCO DE REFERENCIA PARA LA PUBLICACIÓN DE DATOS ABIERTOS COMPRENSIBLES BASADO EN ESTÁNDARES DE CALIDAD </t>
  </si>
  <si>
    <t>20/11/2019 </t>
  </si>
  <si>
    <t>Cortes Castillo, Antonio </t>
  </si>
  <si>
    <t>MODELIZACIÓN DE LA PROPAGACIÓN DE INFORMACIÓN A TRAVÉS DE LAS REDES INFORMÁTICAS </t>
  </si>
  <si>
    <t>16/07/2020 </t>
  </si>
  <si>
    <t>21411855M </t>
  </si>
  <si>
    <t>Enríquez Reyes, Robert </t>
  </si>
  <si>
    <t>SELECCIÓN DE CONJUNTOS DE DATOS A PUBLICAR EN ABIERTO BASADA EN EL MÉTODO DELPHI DIFUSO </t>
  </si>
  <si>
    <t>Escobar Esteban, María Pilar </t>
  </si>
  <si>
    <t>UN ENFOQUE MULTIDIMENSIONAL BASADO EN RDF PARA LA PUBLICACIÓN DE LINKED OPEN DATA </t>
  </si>
  <si>
    <t>07/07/2020 </t>
  </si>
  <si>
    <t>Espín León, Aldrin Marcel </t>
  </si>
  <si>
    <t>06/07/2020 </t>
  </si>
  <si>
    <t>Fernández Frías, Ana María </t>
  </si>
  <si>
    <t>NUEVAS TECNOLOGÍAS Y CÁNCER DE MAMA. ANÁLISIS MEDIANTE E-HEALTH DE LA ANSIEDAD DURANTE LA FASE DIAGNÓSTICA DE UNA LESIÓN MAMARIA SOSPECHOSA </t>
  </si>
  <si>
    <t>29/07/2020 </t>
  </si>
  <si>
    <t>García García, Alberto </t>
  </si>
  <si>
    <t>DEEP LEARNING FOR 3D PERCEPTION: COMPUTER VISION AND TACTILE SENSING </t>
  </si>
  <si>
    <t>53240321J </t>
  </si>
  <si>
    <t>Gómez Donoso, Francisco </t>
  </si>
  <si>
    <t>Contributions to 3D object recognition and 3D hand pose estimation using deep learning techniques </t>
  </si>
  <si>
    <t>18/09/2020 </t>
  </si>
  <si>
    <t>Kauffmann Incer, Erick </t>
  </si>
  <si>
    <t>ARQUITECTURA PARA ANALÍTICAS DE DATOS ORIENTADA A LA AYUDA DEL PROCESO DE LA TOMA DE DECISIONES </t>
  </si>
  <si>
    <t>16/01/2020 </t>
  </si>
  <si>
    <t>Villegas Chiliquinga, William Eduardo </t>
  </si>
  <si>
    <t>ARQUITECTURA PARA LA GESTIÓN DE DATOS EN UN CAMPUS INTELIGENTE </t>
  </si>
  <si>
    <t>24/01/2020 </t>
  </si>
  <si>
    <t>Zapata Impatá, Brayan Stiven </t>
  </si>
  <si>
    <t>ROBOTIC MANIPULATION BASED ON VISUAL AND TACTILE PERCEPTION </t>
  </si>
  <si>
    <t>17/09/2020 </t>
  </si>
  <si>
    <t>74004743N</t>
  </si>
  <si>
    <t>CALVO ZARAGOZA, JORGE</t>
  </si>
  <si>
    <t>53232971T</t>
  </si>
  <si>
    <t>LLORET PASTOR, ELENA</t>
  </si>
  <si>
    <t>52771535J</t>
  </si>
  <si>
    <t>PEREZ ORTIZ, JUAN ANTONIO</t>
  </si>
  <si>
    <t>48325227L</t>
  </si>
  <si>
    <t>SAVAL CALVO, MARCELO</t>
  </si>
  <si>
    <t>02380426H</t>
  </si>
  <si>
    <t>GUTIERREZ VAZQUEZ, YOAN</t>
  </si>
  <si>
    <t>COD DEP</t>
  </si>
  <si>
    <t>vivos</t>
  </si>
  <si>
    <t>21472011Q</t>
  </si>
  <si>
    <t>VILLAGRA ARNEDO, CARLOS JOSE</t>
  </si>
  <si>
    <t>44762540D</t>
  </si>
  <si>
    <t>VAZQUEZ PEREZ, SONIA</t>
  </si>
  <si>
    <t>48363194J</t>
  </si>
  <si>
    <t>GALLEGO DURAN, FRANCISCO JOSE</t>
  </si>
  <si>
    <t>52776534K</t>
  </si>
  <si>
    <t>NAVARRO COLORADO, FRANCISCO DE BORJA</t>
  </si>
  <si>
    <t>74085674Y</t>
  </si>
  <si>
    <t>RICO SOLIVERES, MARIA LUISA</t>
  </si>
  <si>
    <t xml:space="preserve">Pago mínimo regalías por transferencia de tecnología 2019   -  Ref. contrato: LUCENTIALAB(EBT)1-15O </t>
  </si>
  <si>
    <t xml:space="preserve">Final Settlement (MS 6): Upon the Agency's acceptance of all deliverable items due under the Contract and the Contractor's fulfilment of all other contractual obligations including submission of the Contract Closure Documentation. </t>
  </si>
  <si>
    <t>Progress (MS 3): Upon successful development of WP 2000 and deliverable of D2.8 v1.</t>
  </si>
  <si>
    <t>REINTEGRO CUOTA PATRONAL CORRESPONDIENTE A JULIO 2020.</t>
  </si>
  <si>
    <t>Factura 4: AYUDA PARA CONTRATOS PREDOCTORALES COFINANCIADOS ENTRE LA UNIVERSIDAD DE ALICANTE Y UNA EMPRESA. Cuarta  factura a los 18 meses, según convenio firmado entre las partes.</t>
  </si>
  <si>
    <t>Factura 5: AYUDA PARA CONTRATOS PREDOCTORALES COFINANCIADOS ENTRE LA UNIVERSIDAD DE ALICANTE Y UNA EMPRESA. Quinta   factura a los 24 meses, según convenio firmado entre las partes.</t>
  </si>
  <si>
    <t xml:space="preserve">Factura 5. Emitida en 2020 según contrato. Tareas realizadas de investigación, desarrollo e innovación en varias tareas del proyecto DQIOT según anexo de contrato. </t>
  </si>
  <si>
    <t>Tareas a realizar de investigación, desarrollo e innovación en varias tareas del proyecto según anexo</t>
  </si>
  <si>
    <t>41.50.6C.00.52</t>
  </si>
  <si>
    <t>Pago de regalías por transferencia de tecnología 2018   -  Ref. contrato: QUIROBOT(EBT)1-17O</t>
  </si>
  <si>
    <t>DESARROLLO DE UN MÓDULO DE DETECCIÓN DE CAMBIOS BASADO EN IMÁGENES DEL SATÉLITE PAZ</t>
  </si>
  <si>
    <t>(ASVFUNESER1-19T) PORTAL INTERNO DE SERVICIOS EN ASV, PLATAFORMA DE INTEGRACIÓN</t>
  </si>
  <si>
    <t>PORTAL INTERNO DE SERVICIOS EN ASV, PLATAFORMA DE INTEGRACIÓN (1 de enero 2020 al 28 de febrero de 2020)</t>
  </si>
  <si>
    <t>PORTAL INTERNO DE SERVICIOS EN ASV, PLATAFORMA DE INTEGRACIÓN (1 de julio 2020 al 31 de agosto 2020)</t>
  </si>
  <si>
    <t>PORTAL INTERNO DE SERVICIOS EN ASV, PLATAFORMA DE INTEGRACIÓN (1 de mayo 2020 al 30 de junio 2020)</t>
  </si>
  <si>
    <t>PORTAL INTERNO DE SERVICIOS EN ASV, PLATAFORMA DE INTEGRACIÓN (1 de noviembre de 2019 al 31 de diciembre de 2019)</t>
  </si>
  <si>
    <t>PORTAL INTERNO DE SERVICIOS EN ASV, PLATAFORMA DE INTEGRACIÓN (1 de septiembre 2020 al 31 de octubre 2020)</t>
  </si>
  <si>
    <t>41.50.6C.00.77</t>
  </si>
  <si>
    <t>(SGS14-19TPA) EVALUACIÓN DEL PROYECTO DE I+D+I AREAPROGER (ANUALIDAD 2017)</t>
  </si>
  <si>
    <t xml:space="preserve">Aceptación por parte de la empresa de la documentación de la 1ª versión (documentos 1 y 2) </t>
  </si>
  <si>
    <t>41.50.6C.00.80</t>
  </si>
  <si>
    <t xml:space="preserve">REALIZACIÓN POR PARTE DEL EXPERTO INVESTIGADOR (FERNANDO TORRES) DE LA EVALUACIÓN DEL PROYECTO EXPEDIENTE 730.440 </t>
  </si>
  <si>
    <t>41.50.6C.00.81</t>
  </si>
  <si>
    <t>EVALUACIÓN POR PARTE DEL EXPERTO INVESTIGADOR DEL PROYECTO DE I+D+i TALENTE+ ACOEMSICOG</t>
  </si>
  <si>
    <t>41.50.6C.00.82</t>
  </si>
  <si>
    <t>G-Class hydro Terra - Milestone 1 - upon successful completion of task 1 (mission definition) and acceptance of deliverable items. Purchase order nr. 5525821</t>
  </si>
  <si>
    <t>G-Class hydro Terra - Milestone 2 - upon successful completion of task 2 (mission consolidation) and acceptance of deliverable items. Purchase order nr. 5525821</t>
  </si>
  <si>
    <t>41.50.6C.00.83</t>
  </si>
  <si>
    <t>  Realización de trabajos correspondientes a la Fase 3 del producto 16 (SAR) para el programa Civil UAVS Initiative: 2ª factura DETECCIÓN EN EL MAR DE CUERPOS FLOTANTES CON APARIENCIA HUMANA DESDE UAV</t>
  </si>
  <si>
    <t>  Realización de trabajos correspondientes a la Fase 3 del producto 16 (SAR) para el programa Civil UAVS Initiative:1ª FACTURA DETECCIÓN EN EL MAR DE CUERPOS FLOTANTES CON APARIENCIA HUMANA DESDE UAV.</t>
  </si>
  <si>
    <t>41.50.6C.00.84</t>
  </si>
  <si>
    <t>(AENOR1-20TPA) SUPERVISIÓN POR PARTE DEL EXPERTO INVESTIGADOR DEL PROYECTO 2012/0753/PIDI/06 MOBILITY18</t>
  </si>
  <si>
    <t>41.50.6C.00.85</t>
  </si>
  <si>
    <t>(AENOR2-20TPA) SUPERVISIÓN POR PARTE DEL EXPERTO INVESTIGADOR DEL PROYECTO 2012/0753/PIDI/05 BIPEDAL18</t>
  </si>
  <si>
    <t>41.50.6C.00.86</t>
  </si>
  <si>
    <t>Ref. pdo. 6037360 Proyecto: OLIVESENSE (ANUALIDAD 2018) Experto 4D: Fernando Torres Medina</t>
  </si>
  <si>
    <t>41.50.6C.00.87</t>
  </si>
  <si>
    <t>Ref. pdo. 6037822 Proyecto: TELEMATICS (ANUALIDAD 2018) Experto 4D: Fernando Torres Medina</t>
  </si>
  <si>
    <t>41.50.6C.00.88</t>
  </si>
  <si>
    <t>Ref. pdo. 6037823 Proyecto: MESCERAMIC (ANUALIDAD 2018) Experto 4D: Fernando Torres Medina</t>
  </si>
  <si>
    <t>41.50.6C.00.89</t>
  </si>
  <si>
    <t>Contrato  794.858. Solución industrial para la comunicación entre sistemas de inspección de superficies y estaciones au.</t>
  </si>
  <si>
    <t>41.50.6C.00.90</t>
  </si>
  <si>
    <t>Factura correspondiente al 50% del presupuesto por haber finalizado la tarea del Anexo técnico según convenio y haber desplegado los algoritmos en la plataforma del client. Informe final del proyecto entregado.El trabajo corresponde a la Tarea 2 del Proyecto IVACE con nombre 'Análisis de medidas bioparamétricas para encontrar correlaciones entre los hábitos diarios y la toma de un suplemento para reducir la tensión arterial''</t>
  </si>
  <si>
    <t>Factura correspondiente al 50% del presupuesto por haber finalizado la tarea del Anexo técnico según convenio.</t>
  </si>
  <si>
    <t>41.50.6C.00.92</t>
  </si>
  <si>
    <t>(SGS20-20TPA) EVALUACIÓN DEL PROYECTO DE I+D+i TALENT AUTOFABR18 (ANUALIDAD 2018)</t>
  </si>
  <si>
    <t>41.50.6C.00.93</t>
  </si>
  <si>
    <t>(SGS21-20TPA) EVALUACIÓN DEL PROYECTO DE I+D+i AUXIACEROS (ANUALIDAD 2018)</t>
  </si>
  <si>
    <t>41.50.6C.00.97</t>
  </si>
  <si>
    <t>Factura de inicio del proyecto: (VIESSERE2-20I) DETECCIÓN DE EMOCIONES EN EL USUARIO E INTEGRACIÓN EN LA PLATAFORMA CARRO ALADO</t>
  </si>
  <si>
    <t>41.50.6C.00.98</t>
  </si>
  <si>
    <t>EVALUACIÓN DEL PROYECTO DE I+D+i TELEMATICS (ANUALIDAD 2019). REFERENCIA 6040833</t>
  </si>
  <si>
    <t>41.50.6C.00.99</t>
  </si>
  <si>
    <t>EVALUACIÓN DEL PROYECTO DE I+D+i GRAMALUR18. REFERENCIA 6040836</t>
  </si>
  <si>
    <t>41.50.6C.01.00</t>
  </si>
  <si>
    <t>EVALUACIÓN DEL PROYECTO DE I+D+i TOILET4DOG. REFERENCIA 6040749</t>
  </si>
  <si>
    <t>41.50.6C.01.02</t>
  </si>
  <si>
    <t>EVALUACIÓN POR PARTE DEL EXPERTO INVESTIGADOR DEL PROYECTO DE I+D+I MEDIHUME16. REFERENCIA 6041258</t>
  </si>
  <si>
    <t>41.50.6C.01.06</t>
  </si>
  <si>
    <t>(EQA44-20TPA) EVALUACIÓN POR PARTE DEL EXPERTO INVESTIGADOR DEL PROYECTO CON EXPEDIENTE 860.376 "GENERACIÓN DE IP PARA LA DETENCIÓN DE MATRÍCULAS EN BASE A ML"</t>
  </si>
  <si>
    <t>41.50.6C.01.07</t>
  </si>
  <si>
    <t>(EQA45-20TPA) EVALUACIÓN POR PARTE DEL EXPERTO INVESTIGADOR DEL PROYECTO CON EXPEDIENTE 858.610 "DESARROLLO DE UN NOVEDOSO SISTEMA INTERACTIVO INTELIGENTE"</t>
  </si>
  <si>
    <t>41.50.6C.01.09</t>
  </si>
  <si>
    <t>(EQA46-20TPA) EVALUACIÓN POR PARTE DEL EXPERTO INVESTIGADOR DEL PROYECTO CON EXPEDIENTE 852.948. Evolución de nueva consola portátil",</t>
  </si>
  <si>
    <t>41.50.6C.01.10</t>
  </si>
  <si>
    <t>TRANSFERENCIA DE FCV UNIDAD ELLIS ALICANTE CONCEPTO 50 COLABORACIÓN PROYECTO LA4COVID UA (FRANCISCO ESCOLANO)</t>
  </si>
  <si>
    <t>41.50.6C.01.11</t>
  </si>
  <si>
    <t>TRANSFERENCIA DE FCV UNIDAD ELLIS ALICANTE, CONCEPTO 50. COLABORACIÓN PROYECTO LA4COVID UA (MIGUEL A. LOZANO)</t>
  </si>
  <si>
    <t>41.50.6C.01.12</t>
  </si>
  <si>
    <t>TRANSFERENCIA DE FCV UNIDAD ELLIS ALICANTE. CONCEPTO 50, COLABORACIÓN PROYECTO LA4COVID UA(JUAN CARLOS TRUJILLO)</t>
  </si>
  <si>
    <t>41.50.6M.00.05</t>
  </si>
  <si>
    <t>SUBVENCIÓN NOMINATIVA. CONCEPTO: Projecte Cd4c Ovid (20i216). 80. Ingreso informado por Gestión Económica de la Investigación.</t>
  </si>
  <si>
    <t>Reintegro de cuota patronal de ejercicio cerrado por duplicado del mes de octubre de 2019. John Alejandro Castro Vargas</t>
  </si>
  <si>
    <t>FLIB. 27/05/2020. PROYECTOS RETOS INVESTIGACION 2017. ANUAL 2020 PROYE CTOS I+D RETOS (PIA13) N EXPEDIENTE: PIA132017-1 - 3 ANUALIDAD REFER</t>
  </si>
  <si>
    <t xml:space="preserve">LIBERADOS EL 05/10/2020, ANUALIDAD 2020 PROYECTOS I+D (PIA1) N EXPEDIENTE: PIA12017-1 - 3 ANUALIDAD REFERENCIA: TEC2017-85244-C2-1-P </t>
  </si>
  <si>
    <t>PROMETEO 2018 EN 2020 (CONSELLERÍA INNOVACIÓN,UNIVERSIDADES,CIENCIA SOC.DIG)</t>
  </si>
  <si>
    <t>INGRESO AGENCIA ESTATAL INVESTIGACIÓN: RTI2018-094279-B-I00</t>
  </si>
  <si>
    <t>FLIB 30/06/2020. PROYECTOS RETOS INVESTIGACION 201 / 8. ANUAL 2020 PROYECTOS I+D RETOS (PIA13) N E / XPEDIENTE: PIA132018-1 - 2 ANUALIDAD REFERE / GOVT / 27402220310030594</t>
  </si>
  <si>
    <t>SUBVENCIONES GRUPOS INVESTIGACION CONSOLIDABLES AICO/2019.2ª (INNOVACIÓN,UNIVERSIDADES,CIENCIA SOC.DIG)</t>
  </si>
  <si>
    <t>41.50.6P.00.37</t>
  </si>
  <si>
    <t xml:space="preserve">PAGO CONVOCATORIA PROYECTOS 2019 1ANUALIDAD 2020 PROYECTOS I+D (PIA 1)N EXPEDIENTE: PIA 1 2019-1-1. ANUALIDAD REFERENCIA: PID2019-104818RB-I00 </t>
  </si>
  <si>
    <t>41.50.6P.00.38</t>
  </si>
  <si>
    <t>PAGO CONVOVATORIA PROYECTOS 2019 ANUALIDAD 2020 PROYECTOS I+D (PIA1) EXPEDIENTE PIA12019-1-1 ANUALIDAD REFERENCIA: PID2019-106455G</t>
  </si>
  <si>
    <t>41.50.6P.00.43</t>
  </si>
  <si>
    <t>DECRETO 180/2020 CONCESIÓN AYUDAS URGENTES A PROYECTOS INVESTIGACIÓN EXCELENCIA PARA ANTICIPACIÓN Y ADAPTACIÓN COVID-19 (INNOVACIÓN,UNIVERSIDADES,CIENCIA SOC.DIG)</t>
  </si>
  <si>
    <t>41.50.6X.00.01</t>
  </si>
  <si>
    <t>ESTE DOCUMENTO ES SOPORTE DEL ACTO ADMINISTRATIVO DE LA PROPUESTA DE PAGO: FEDER SUDOE 2014-20 SOE2P1F0638 COMMANDIA 00160320310000443-2020/000943. LA OFICINA DE GESTIÓN DE PROYECTOS INTERNACIONALES INFORMA QUE SE TRATA DEL PRIMER PAGO DEL PROYECTO COMMANDIA. INSTITUTO UNIVERSITARIO DE INVESTIGACIÓN INFORMÁTICA.</t>
  </si>
  <si>
    <t>ESTE DOCUMENTO ES SOPORTE DEL ACTO ADMINISTRATIVO DE LA PROPUESTA DE PAGO:  FEDER SUDOE 2014-20 SOE2P1F0638 COMMANDIA 00160320310002395-2020/008602</t>
  </si>
  <si>
    <t> Numero
de tesis</t>
  </si>
  <si>
    <t>Caracterización y cuantificación de la identidad cultural; aplicación a la cultura indígena amazónica</t>
  </si>
  <si>
    <t>Silva Barrera, Blanca Patricia </t>
  </si>
  <si>
    <t>ESTUDIO DESCRIPTIVO SOBRE LOS FACTORES DE VULNERABILIDAD QUE AFECTAN AL INGRESO DE PACIENTES EN UN HOSPITAL PSIQUIÁTRICO ALEMÁN (2001-2014) </t>
  </si>
  <si>
    <t>12/11/2020 </t>
  </si>
  <si>
    <t>Zamora Hernández, Mauricio Andrés </t>
  </si>
  <si>
    <t>Arquitectura para el control visual de ensambles en Industria 4.0 basado en aprendizaje </t>
  </si>
  <si>
    <t>27/10/2020 </t>
  </si>
  <si>
    <t>Herrera Flores, Boris Enrique </t>
  </si>
  <si>
    <t>Propuesta metodológica para el desarrollo de sistemas automáticos de evaluación </t>
  </si>
  <si>
    <t>26/10/2020 </t>
  </si>
  <si>
    <t>02380426H </t>
  </si>
  <si>
    <t>Acosta Hurtado, Tania Aleyda </t>
  </si>
  <si>
    <t>LINEAMIENTOS PARA EL DISEÑO, PUBLICACIÓN Y EVALUACIÓN DEL CONTENIDO MULTIMEDIA ACCESIBLE EN LA WEB </t>
  </si>
  <si>
    <t>05/11/2020 </t>
  </si>
  <si>
    <t>Serrano Cases, Alejandro </t>
  </si>
  <si>
    <t>Fault tolerance in critical aerospace embedded systems: Multi-threaded mitigation, non-intrusive compiler-guided hardening, and early prediction of proton and neutron induced soft errors </t>
  </si>
  <si>
    <t>30/10/2020 </t>
  </si>
  <si>
    <t>Duque Gomez, Henry </t>
  </si>
  <si>
    <t>ARQUITECTURAS INTELIGENTES PARA GESTIÓN DE SISTEMAS CIBERFÍSICOS EN AMBIENTES IoT </t>
  </si>
  <si>
    <t>Sebastia Amat, Sergio </t>
  </si>
  <si>
    <t>Propuesta de evaluación motriz en personas com enfermedad de Parkinson / Motor evaluation proposal for people with Parkinson Disease </t>
  </si>
  <si>
    <t>20/07/2021 </t>
  </si>
  <si>
    <t>Startseva , Elena </t>
  </si>
  <si>
    <t>Líneas de investigación cibernética y biótica. Modelado y simulación de sistemas biológicos. Ingeniería de conocimiento para la mejora de la orientación académica. </t>
  </si>
  <si>
    <t>11/02/2021 </t>
  </si>
  <si>
    <t>Jiménez Álvarez, Luis Gonzalo </t>
  </si>
  <si>
    <t>Diseño y Especificación del ocio digital con fines de aprendizaje ODFA Subproblema: Ocio digital formativo en competencias ODFC para la UCE </t>
  </si>
  <si>
    <t>25/02/2021 </t>
  </si>
  <si>
    <t>Hochstetter Diez, Jorge Alberto </t>
  </si>
  <si>
    <t>Impacto de la calidad del documento de requisitos sobre el proceso de licitaciones públicas de proyectos de desarrollo software </t>
  </si>
  <si>
    <t>14/01/2021 </t>
  </si>
  <si>
    <t>Naranjo Zeledón, Luis Carlos </t>
  </si>
  <si>
    <t>¿Arquitectura de componentes de refuerzo del aprendizaje de lengua de señas empleando proximidad fonológica¿ </t>
  </si>
  <si>
    <t>27/09/2021 </t>
  </si>
  <si>
    <t>Morales Morales, Mario Raúl </t>
  </si>
  <si>
    <t>Criptomonedas de ámbito social como herramienta de gobierno electrónico para el desarrollo sostenible </t>
  </si>
  <si>
    <t>01/06/2021 </t>
  </si>
  <si>
    <t>Salvador Ullauri, Luis Antonio </t>
  </si>
  <si>
    <t>Evaluación de la accesibilidad para personas con deficiencia visual en juegos serios basados en la web </t>
  </si>
  <si>
    <t>Criollo Caizaguano, Luis </t>
  </si>
  <si>
    <t>Propuesta de un conjunto de herramientas para el análisis y evaluación de prácticas educativas innovadoras en el aprendizaje electrónico móvil </t>
  </si>
  <si>
    <t>08/09/2021 </t>
  </si>
  <si>
    <t>Mora Lizán, Francisco José </t>
  </si>
  <si>
    <t>Avances en modelado de sistemas multiagente. Propuesta de arquitectura híbrida multinivel </t>
  </si>
  <si>
    <t>26/01/2021 </t>
  </si>
  <si>
    <t>21672410Q </t>
  </si>
  <si>
    <t>Nasri Mohammadshahi, Nadia </t>
  </si>
  <si>
    <t>Hand gesture recognition using sEMG and deep learning </t>
  </si>
  <si>
    <t>17/06/2021 </t>
  </si>
  <si>
    <t>Cortés Blasco, Daniel </t>
  </si>
  <si>
    <t>Modelado y simulación para la predicción de explosiones en espacios confinados </t>
  </si>
  <si>
    <t>03/03/2021 </t>
  </si>
  <si>
    <t>Del Pino Bastida, Iván </t>
  </si>
  <si>
    <t>Desarrollo de un sistema completo de navegación autónoma basado en GNSS y LiDAR para robots terrestres que operan en entornos dinámicos y no estructurados </t>
  </si>
  <si>
    <t>02/09/2021 </t>
  </si>
  <si>
    <t>Lavalle López, Ana </t>
  </si>
  <si>
    <t>A methodology for the visual comprehension of Big Data </t>
  </si>
  <si>
    <t>15/07/2021 </t>
  </si>
  <si>
    <t>Escalona Moncholí, Félix </t>
  </si>
  <si>
    <t>Contributions to 3D data processing and social robotics </t>
  </si>
  <si>
    <t>30/09/2021 </t>
  </si>
  <si>
    <t>Romero Puig, Noelia </t>
  </si>
  <si>
    <t>Crop Monitoring by Satellite Polarimetric SAR Interferometry </t>
  </si>
  <si>
    <t>16/09/2021 </t>
  </si>
  <si>
    <t>21664897R </t>
  </si>
  <si>
    <t>Ortega Bastida, Javier </t>
  </si>
  <si>
    <t>Aproximación de soluciones multimodales para aplicaciones Deep Learning. </t>
  </si>
  <si>
    <t>48531956R </t>
  </si>
  <si>
    <t>Tardio Olmos, Roberto </t>
  </si>
  <si>
    <t>Un método iterativo y alineado con los planes estratégicos para modelar, integrar y analizar datos en escenarios Big Data. </t>
  </si>
  <si>
    <t>19/07/2021 </t>
  </si>
  <si>
    <t>Román García, Miguel Ángel </t>
  </si>
  <si>
    <t>An End-to-End Framework for Audio to Score Music Transcription </t>
  </si>
  <si>
    <t>20/01/2021 </t>
  </si>
  <si>
    <t>74004743N </t>
  </si>
  <si>
    <t>González Mora, César </t>
  </si>
  <si>
    <t>An APIfication Approach to Facilitate the Access and Reuse of Open Data </t>
  </si>
  <si>
    <t>10/09/2021 </t>
  </si>
  <si>
    <t>48351140B </t>
  </si>
  <si>
    <t>Rosa de Rivera, Verónica Idalia </t>
  </si>
  <si>
    <t>21/07/2021 </t>
  </si>
  <si>
    <t>Aguirre Ayala, Carlos Antonio </t>
  </si>
  <si>
    <t>"Diseño causal de sistema piramidal para aprendizaje colaborativo sobre la ingeniería web". </t>
  </si>
  <si>
    <t>22/07/2021 </t>
  </si>
  <si>
    <t>Bauer , Zuria </t>
  </si>
  <si>
    <t>Monocular Depth Estimation: Datasets, Methods, and Applications. </t>
  </si>
  <si>
    <t>15/09/2021 </t>
  </si>
  <si>
    <t>Ortega , John Evan </t>
  </si>
  <si>
    <t>Fuzzy-match repair in computer-aided translation using black-box machine translation </t>
  </si>
  <si>
    <t>01/03/2021 </t>
  </si>
  <si>
    <t>Xie , Qinghua </t>
  </si>
  <si>
    <t>Application of Polarimetric Model-based Decomposition for Crop Monitoring </t>
  </si>
  <si>
    <t>19/02/2021 </t>
  </si>
  <si>
    <t>Bravo Fuentes, Paloma </t>
  </si>
  <si>
    <t>Propuesta metodológica para la enseñanza de la flauta dulce en educación primaria mediante el soporte de complementos tecnológicos para el aprendizaje autónomo. </t>
  </si>
  <si>
    <t>29/07/2021 </t>
  </si>
  <si>
    <t>09371918Q </t>
  </si>
  <si>
    <t>Unidad</t>
  </si>
  <si>
    <t>Cód. org. aplic.</t>
  </si>
  <si>
    <t>Descripción justificante</t>
  </si>
  <si>
    <t>41.50</t>
  </si>
  <si>
    <t>PORTAL INTERNO DE SERVICIOS EN ASV, PLATAFORMA DE INTEGRACIÓN (1 de septiembre al 30 de septiembre 2021)</t>
  </si>
  <si>
    <t>PORTAL INTERNO DE SERVICIOS EN ASV, PLATAFORMA DE INTEGRACIÓN</t>
  </si>
  <si>
    <t>PORTAL INTERNO DE SERVICIOS EN ASV, PLATAFORMA DE INTEGRACIÓN (1 de noviembre 2020 al 31 de diciembre de 2020)</t>
  </si>
  <si>
    <t>PORTAL INTERNO DE SERVICIOS EN ASV, PLATAFORMA DE INTEGRACIÓN (1 de enero 2021 al 28 de febrero 2021)</t>
  </si>
  <si>
    <t>PORTAL INTERNO DE SERVICIOS EN ASV, PLATAFORMA DE INTEGRACIÓN (1 de marzo 2021 al 30 de abril 2021)</t>
  </si>
  <si>
    <t>PORTAL INTERNO DE SERVICIOS EN ASV, PLATAFORMA DE INTEGRACIÓN (1 de mayo 2021 al 30 de junio 2021)</t>
  </si>
  <si>
    <t>G-Class hydro Terra - Milestone 3 - upon agency's acceptance of all deliverable items due under the contract (performance demonstration and wrap-up). Purchase order 5525821.</t>
  </si>
  <si>
    <t>Segunda factura proyecto</t>
  </si>
  <si>
    <t>41.50.6C.01.01</t>
  </si>
  <si>
    <t>CONVENIO DE COLABORACIÓN ENTRE LA EXCMA. DIPUTACIÓN PROVINCIAL DE ALICANTE Y LA UNIVERSIDAD DE ALICANTE PARA EL PROYECTO INNOVACIÓN TECNOLÓGICA Y GENERACIÓN DE CONOCIMIENTO EN EL ÁMBITO DE LA INTELIGENCIA DIGITAL.</t>
  </si>
  <si>
    <t>41.50.6C.01.03</t>
  </si>
  <si>
    <t>SEGUNDO PAGO DEL PRESUPUESTO A FACTURAR REFERENTE AL PROYECTO IMIDTA/2019/66. 40 % DEL TOTAL</t>
  </si>
  <si>
    <t>PRIMER PAGO DEL PRESUPUESTO A FACTURAR. 60 % DEL TOTAL</t>
  </si>
  <si>
    <t>41.50.6C.01.04</t>
  </si>
  <si>
    <t>(SGS29-20TPA) EVALUACIÓN POR PARTE DEL EXPERTO INVESTIGADOR DEL PROYECTO DE I+D+I SECIAS2019 (ANUALIDAD 2019) REFERENCIA 6042360</t>
  </si>
  <si>
    <t>41.50.6C.01.05</t>
  </si>
  <si>
    <t>(SGS30-20TPA) EVALUACIÓN POR PARTE DEL EXPERTO INVESTIGADOR DEL PROYECTO DE I+D+I ILURA2019. REFERENCIA 6041713</t>
  </si>
  <si>
    <t>TRANSFERENCIA DE FCV UNIDAD ELLIS ALICANTE, CONCEPTO 40. COL ABORACION PROYECTO IA4COVID UA</t>
  </si>
  <si>
    <t>TRANSFERENCIA DE FCV UNIDAD ELLIS ALICANTE, CONCEPTO 40 . CO LABORACION PROYECTO IA4COVID</t>
  </si>
  <si>
    <t>TRANSFERENCIA DE FCV UNIDAD ELLIS ALICANTE, CONCEPTO 40 . CO LABORACION PROYECTO IA4COVID.</t>
  </si>
  <si>
    <t>41.50.6C.01.13</t>
  </si>
  <si>
    <t>(AENOR1-21TPA) EVALUACIÓN POR PARTE DEL EXPERTO DEL EXPEDIENTE 2012/0753/PIDI/08 DESARROLLO DE PLATAFORMAS HUMANOIDES PARA ROBOTICA COLABORATIVA</t>
  </si>
  <si>
    <t>41.50.6C.01.14</t>
  </si>
  <si>
    <t>(AENOR2-21TPA) EVALUACIÓN POR PARTE DEL EXPERTO DEL EXPEDIENTE 2012/0753/PIDI/07 DESARROLLO DE PLATAFORMAS MOVILES PARA ROBOTICA COLABORATIVA</t>
  </si>
  <si>
    <t>41.50.6C.01.15</t>
  </si>
  <si>
    <t>(SGS1-21TPA) EVALUACIÓN DEL PROYECTO DE I+D+i PEINCA2019 (ANUALIDAD 2019) Referencia 6043525</t>
  </si>
  <si>
    <t>41.50.6C.01.16</t>
  </si>
  <si>
    <t>(SGS2-21TPA) EVALUACIÓN DEL PROYECTO DE I+D+i INSTALA172 (ANUALIDAD 2019) Referencia 6043858</t>
  </si>
  <si>
    <t>41.50.6C.01.17</t>
  </si>
  <si>
    <t>(SGS3-21TPA) EVALUACIÓN DEL PROYECTO DE I+D+i VIDEOSOLAR Referencia 6043859</t>
  </si>
  <si>
    <t>41.50.6C.01.18</t>
  </si>
  <si>
    <t>DESARROLLO DE UNA INNOVADORA INSTALACIÓN ALTAMENTE ROBOTIZADA DE UN ALMACÉN DE BARCOS EN MARINA SECA DE LA BOCANA NORTE DEL PUERTO DE BARCELONA</t>
  </si>
  <si>
    <t>41.50.6C.01.19</t>
  </si>
  <si>
    <t>CONSUTORÍA TECNOLÓGICA AL DEPARTAMENTO DE I+D</t>
  </si>
  <si>
    <t>Segunda factura, correspondiente al 40 % de la contraprestación acordada, tras la finalización de la prestación del servicio  "CONSUTORÍA TECNOLÓGICA AL DEPARTAMENTO DE I+D (FACEPHI1-21TPA)"</t>
  </si>
  <si>
    <t>41.50.6C.01.20</t>
  </si>
  <si>
    <t>EVALUACIÓN DEL PROYECTO DE I+D+i PREDVIBRAT (ANUALIDAD 2019)</t>
  </si>
  <si>
    <t>41.50.6C.01.22</t>
  </si>
  <si>
    <t>PAGO 1 DE 6 PREVISTOS. PROYECTO DE I+D UAIND19-03. SLAM 3D BASADO EN CONTORNOS PARA NAVEGACIÓN OUTDOOR AUTÓNOMA EN ENTORNOS INDUSTRIALES EXTENSOS</t>
  </si>
  <si>
    <t>41.50.6C.01.23</t>
  </si>
  <si>
    <t>SGS14-21TPA que corresponde a la referencia 6046173 de la evaluación del proyecto I+D+i TRADIGIT (2020)</t>
  </si>
  <si>
    <t>41.50.6C.01.24</t>
  </si>
  <si>
    <t>SGS15-21TPA que corresponde a la referencia 6045460 de la evaluación del proyecto I+D+i ACTUMINI2021</t>
  </si>
  <si>
    <t>41.50.6C.01.25</t>
  </si>
  <si>
    <t>ASESORAMIENTO ACERCA DE TECNOLOGÍA DE VANGUARDIA EN INTELIGENCIA ARTIFICIAL Y APRENDIZAJE AUTOMÁTICO APLICADA A LA VISIÓN POR COMPUTADOR</t>
  </si>
  <si>
    <t>41.50.6C.01.27</t>
  </si>
  <si>
    <t>SMURFITKAPPA-21 TPA_ESTUDIO DE VIABILIDAD PARA EL DESARROLLO DE UN SISTEMA DE RECONOCIMIENTO Y MONITORIZACIÓN DE ESTRUCTURAS DE EMBALAJE EN CÉLULAS AUTOMATIZADAS</t>
  </si>
  <si>
    <t>41.50.6C.01.28</t>
  </si>
  <si>
    <t>SGS23-21TPA REFERENCIA 6047239 EVALUACIÓN DEL PROYECTO I+D+i VIRTUSFLOT (2017) todos los trabajos han finalizado en su totalidad</t>
  </si>
  <si>
    <t>41.50.6C.01.31</t>
  </si>
  <si>
    <t>SGS24-21TPA que	corresponde	a la	referencia 6048420 de la evaluación del proyecto	I+D+i RADIOCONTR (ANUALIDAD 2020), indica que todos los trabajos han finalizado en	su totalidad</t>
  </si>
  <si>
    <t>41.50.6C.01.32</t>
  </si>
  <si>
    <t>SGS25-21TPA que corresponde	a la referencia 6048466 de	la evaluación	del proyecto I+D+i DARCOVID19, indica que todos los trabajos han finalizado en su	 totalidad</t>
  </si>
  <si>
    <t>41.50.6C.01.33</t>
  </si>
  <si>
    <t>(DIGIO1-21Y) PLATAFORMA IOT ABIERTA Y DE PROPÓSITO GENERAL, DOTADA  DE CAPACIDADES MULTI-SENSOR Y DE COMPUTACIÓN AI EN EL EDGE_Primera factura proyecto</t>
  </si>
  <si>
    <t>41.50.6C.01.35</t>
  </si>
  <si>
    <t>SGS28-21TPA que	corresponde	a la	referencia 6049376 "EVALUACIÓN DEL PROYECTO I+D+i BARRESIS01 (2019)",	indica que todos los trabajos han finalizado en su	 totalidad</t>
  </si>
  <si>
    <t>41.50.6C.01.36</t>
  </si>
  <si>
    <t>SGS29-21TPA que	corresponde	a la	referencia 6049377 de la evaluación del "proyecto I+D+i BARRESIS02 (2019)", indica que todos los trabajos han finalizado en su totalidad</t>
  </si>
  <si>
    <t>41.50.6C.01.37</t>
  </si>
  <si>
    <t>SGS30-21TPA que	corresponde	a la	referencia 6049375 de la evaluación del "proyecto I+D+i BARRESIS02 (2020)", indica que todos los trabajos han finalizado en su totalidad</t>
  </si>
  <si>
    <t>41.50.6C.01.38</t>
  </si>
  <si>
    <t>SGS31-21TPA que corresponde	a la referencia 6049374 de la evaluación del proyecto I+D+i BARRESIS01 (2020), indica que todos los trabajos han finalizado en su totalidad</t>
  </si>
  <si>
    <t>41.50.6C.01.39</t>
  </si>
  <si>
    <t>SGS32-21TPA que	corresponde a la referencia 6049791 de	la evaluación	del "proyecto I+D+i DRUMCARGDE (2020)", indica que todos los trabajos han finalizado en su	 totalidad</t>
  </si>
  <si>
    <t>41.50.6C.01.40</t>
  </si>
  <si>
    <t>SGS33-21TPA que corresponde	a la referencia 6049594 de la evaluación	 del "proyecto I+D+i GESINT2020 (2020)",	 indica que todos los trabajos han finalizado en su totalidad</t>
  </si>
  <si>
    <t>41.50.6C.01.41</t>
  </si>
  <si>
    <t>AENOR7-21TPA que corresponde a la referencia 2012/0753/PIDI/09 PALMOB2020, indica que todos los trabajos han finalizado en su totalidad.</t>
  </si>
  <si>
    <t>41.50.6G.00.04</t>
  </si>
  <si>
    <t>Inscripción de Mª TERESA DELGADO SÁNCHEZ al Music Encoding Conference 2021</t>
  </si>
  <si>
    <t>Liquidación, Music Encoding Conference 2021, JI 2021-3360, ExpAdm 2021EXPADM1332</t>
  </si>
  <si>
    <t>PROMETEO 2018 EN 2021 (INNOVACIÓN,UNIVERSIDADES,CIENCIA SOC.DIG)</t>
  </si>
  <si>
    <t>REINTEGRO CUOTA PATRONAL CORRESPONDIENTE A JUNIO DE 2021.</t>
  </si>
  <si>
    <t>RTI2018-094279-B-I00</t>
  </si>
  <si>
    <t xml:space="preserve">RTI2018-094649-B-I00 </t>
  </si>
  <si>
    <t>PID2019-104818RB-I00</t>
  </si>
  <si>
    <t xml:space="preserve">PID2019-106455GB-C22 </t>
  </si>
  <si>
    <t>41.50.6P.00.44</t>
  </si>
  <si>
    <t>PAGO 50 INICIAL BECAS LEONARDO FUNDACION BBVA 2021. SEGÚN INFORMAN DESDE CONVOCATORIAS PÚBLICAS</t>
  </si>
  <si>
    <t>41.50.6P.00.45</t>
  </si>
  <si>
    <t>PID2020-117303GB-C22</t>
  </si>
  <si>
    <t>41.50.6P.00.46</t>
  </si>
  <si>
    <t>PID2020-118447RA-I00</t>
  </si>
  <si>
    <t>41.50.6P.00.47</t>
  </si>
  <si>
    <t>PROMETEO/2021/088 2021 en 2021</t>
  </si>
  <si>
    <t>ACTO ADMINISTRATIVO DE LA PROPUES// DE PAGO: FEDER SUDOE 2014-20 SOE//1F0638 COMMANDIA</t>
  </si>
  <si>
    <t>Diéguez Rebolledo, Mauricio Rubén </t>
  </si>
  <si>
    <t>Enfoque metodológico para la selección de controles de seguridad de la información </t>
  </si>
  <si>
    <t>18/02/2022 </t>
  </si>
  <si>
    <t>Arrebola Moreno, Clara </t>
  </si>
  <si>
    <t>Tecnologías aplicadas al proceso de enseñanza-aprendizaje del repertorio del Canto Lírico </t>
  </si>
  <si>
    <t>19/11/2021 </t>
  </si>
  <si>
    <t>Piad Morffis, Alejandro </t>
  </si>
  <si>
    <t>Ecosistema para el Descubrimiento de Conocimiento en Lenguaje Natural </t>
  </si>
  <si>
    <t>16/12/2021 </t>
  </si>
  <si>
    <t>Estévez Velarde, Suilan </t>
  </si>
  <si>
    <t>Descubrimiento Automático de Flujos de Aprendizaje de Máquina basado en Gramáticas Probabilísticas </t>
  </si>
  <si>
    <t>02/12/2021 </t>
  </si>
  <si>
    <t>Mahiques Segura, Gerard </t>
  </si>
  <si>
    <t>Artroplastia total de cadera primaria con vástago no cementado y par de fricción cerámica-cerámica en pacientes menores de 40 años </t>
  </si>
  <si>
    <t>16/10/2020 </t>
  </si>
  <si>
    <t>21510925Z </t>
  </si>
  <si>
    <t>B134 </t>
  </si>
  <si>
    <t>ENFERMERIA </t>
  </si>
  <si>
    <t>Asensio Pascual, Alfredo Elías </t>
  </si>
  <si>
    <t>Influencia de artroplastia total de cadera previa sobre la función de una subsecuente artropalstia total de rodilla ipsilateral </t>
  </si>
  <si>
    <t>06/10/2020 </t>
  </si>
  <si>
    <t>Sánchez García, Luis Fermín </t>
  </si>
  <si>
    <t>Factores condicionales de rendimiento deportivo en corredores jóvenes de trail running </t>
  </si>
  <si>
    <t>15/06/2021 </t>
  </si>
  <si>
    <t>U022 </t>
  </si>
  <si>
    <t>ADM. FACULTAD DE CIENCIAS </t>
  </si>
  <si>
    <t>DOCTORADO EN CIENCIAS EXPERIMENTALES Y BIOSANITARIAS </t>
  </si>
  <si>
    <t>Trigueros Páez, Emilio </t>
  </si>
  <si>
    <t>MONOS: Multiplicity Of Northern O-type Spectroscopic systems </t>
  </si>
  <si>
    <t>30/07/2021 </t>
  </si>
  <si>
    <t>16568682B </t>
  </si>
  <si>
    <t>B117 </t>
  </si>
  <si>
    <t>FISICA APLICADA </t>
  </si>
  <si>
    <t>B117</t>
  </si>
  <si>
    <t>15</t>
  </si>
  <si>
    <t>Aguirre Pastor, Alfredo </t>
  </si>
  <si>
    <t>Influencia de la pseudopatela baja sobre la artroplastia de rodilla. </t>
  </si>
  <si>
    <t>Veracruz Gálvez, Eva María </t>
  </si>
  <si>
    <t>Influencia de la posición de los sesamoideos sobre el resultado funcional de la osteotomía del primer metatarsiano para hallux valgus </t>
  </si>
  <si>
    <t>16/06/2021 </t>
  </si>
  <si>
    <t>de Juan Pérez, Alba Isabel </t>
  </si>
  <si>
    <t>"Presencia y distribución de neuroreceptores de serotonina, GABA y dopamina en el espermatozoide humano. Estudio con técnicas de microscopía de alta resolución y análisis de grafos" </t>
  </si>
  <si>
    <t>25/03/2021 </t>
  </si>
  <si>
    <t>Jover Mendiola, Antonio Damián </t>
  </si>
  <si>
    <t>Efectividad de la artrodesis primaria posterior de columna lumbar con técnica mínimamente invasiva comparada a la cirugía abierta para potología degenerativa lumbar. </t>
  </si>
  <si>
    <t>25/05/2021 </t>
  </si>
  <si>
    <t>Rubio Morales, Marta </t>
  </si>
  <si>
    <t>Beneficios clínicos de la prótesis inversa de hombro e influencia del diagnóstico. </t>
  </si>
  <si>
    <t>48558539L </t>
  </si>
  <si>
    <t>Diseño causal de sistema piramidal para aprendizaje colaborativo de los lenguajes de programación </t>
  </si>
  <si>
    <t>Ruiz Lozano, Matías </t>
  </si>
  <si>
    <t>Influencia del portal femoral artroscópico sobre el resultado de la reconstrucción del ligamento cruzado anterior. </t>
  </si>
  <si>
    <t>08/04/2022 </t>
  </si>
  <si>
    <t>Martín Grandes, María del Rosario </t>
  </si>
  <si>
    <t>Efectividad del ácido tranexámico para reducir las pérdidas sanguíneas en pacientes con fracturas de cadera. </t>
  </si>
  <si>
    <t>13/06/2022 </t>
  </si>
  <si>
    <t>Larco Ampudia, Enrique Andrés </t>
  </si>
  <si>
    <t>Desarrollo de software basado en experiencia de usuario y prototipado para personas con discapacidad </t>
  </si>
  <si>
    <t>23/02/2022 </t>
  </si>
  <si>
    <t>Jaramillo Alcázar, Ángel Gabriel </t>
  </si>
  <si>
    <t>PROPUESTA DE UN MÉTODO PARA EL DESARROLLO DE VIDEOJUEGOS SERIOS </t>
  </si>
  <si>
    <t>08/06/2022 </t>
  </si>
  <si>
    <t>Martínez Mosquera, Silvia Diana </t>
  </si>
  <si>
    <t>Big data-driven optimization for performance management in mobile networks. </t>
  </si>
  <si>
    <t>15/11/2021 </t>
  </si>
  <si>
    <t>Bernabeu Lledó, María Luisa </t>
  </si>
  <si>
    <t>Búsqueda de imágenes similares usando técnicas de aprendizaje automático </t>
  </si>
  <si>
    <t>15/07/2022 </t>
  </si>
  <si>
    <t>Vicente Moreno, Esther Marta </t>
  </si>
  <si>
    <t>A Discourse-aware Macroplanning Approach for Text Generation and Beyond </t>
  </si>
  <si>
    <t>Rico García, Héctor </t>
  </si>
  <si>
    <t>APLICACIÓN DE TÉCNICAS DE COMPUTACIÓN PARALELA PARA ACELERACIÓN DE ALGORITMOS EN INGENIERÍA </t>
  </si>
  <si>
    <t>33485105A </t>
  </si>
  <si>
    <t>Real Fernández, Alberto </t>
  </si>
  <si>
    <t>CALM: un modelo de aprendizaje adaptativo y personalizado </t>
  </si>
  <si>
    <t>18/07/2022 </t>
  </si>
  <si>
    <t>Vives Boix, Víctor </t>
  </si>
  <si>
    <t>¿Modelos neuronales basados en la metaplasticidad para la ayuda al diagnóstico clínico¿ </t>
  </si>
  <si>
    <t>03/12/2021 </t>
  </si>
  <si>
    <t>Alashhab , Samer Refat Hamzeh </t>
  </si>
  <si>
    <t>Aplicaciones de Visión Artificial para Ayuda a Personas con Dificultades Visuales </t>
  </si>
  <si>
    <t>01/07/2022 </t>
  </si>
  <si>
    <t>48531413X </t>
  </si>
  <si>
    <t>Sepúlveda Torres, Robiert </t>
  </si>
  <si>
    <t>¿Detección de información engañosa mediante Tecnologías del Lenguaje Humano e Inteligencia Artificial¿ </t>
  </si>
  <si>
    <t>18/03/2022 </t>
  </si>
  <si>
    <t>52778169T </t>
  </si>
  <si>
    <t>48560510N </t>
  </si>
  <si>
    <t>B171 </t>
  </si>
  <si>
    <t>CIENCIAS DEL MAR Y BIOLOGÍA APLICADA </t>
  </si>
  <si>
    <t>B171</t>
  </si>
  <si>
    <t>10.16</t>
  </si>
  <si>
    <t>04296267M</t>
  </si>
  <si>
    <t>ARAUJO DA SILVA COSTA, ANGELO GONÇALO</t>
  </si>
  <si>
    <t>16568682B</t>
  </si>
  <si>
    <t>NEGUERUELA DIEZ, IGNACIO</t>
  </si>
  <si>
    <t>21510925Z</t>
  </si>
  <si>
    <t>VIZCAYA MORENO, MARIA FLORES</t>
  </si>
  <si>
    <t>SATORRE CUERDA, Rosana</t>
  </si>
  <si>
    <t>FLOREZ REVUELTA, FRANCISCO ASIS</t>
  </si>
  <si>
    <t>47075279Y</t>
  </si>
  <si>
    <t>TERUEL MARTINEZ, MIGUEL ANGEL</t>
  </si>
  <si>
    <t>48531956R</t>
  </si>
  <si>
    <t>GALLEGO SANCHEZ, ANTONIO JAVIER</t>
  </si>
  <si>
    <t>48534266B</t>
  </si>
  <si>
    <t>ESPLA GOMIS, MIQUEL</t>
  </si>
  <si>
    <t>48558539L</t>
  </si>
  <si>
    <t>MATE MORGA, ALEJANDRO</t>
  </si>
  <si>
    <t>SAQUETE BORO, MARIA ESTELA</t>
  </si>
  <si>
    <t>72520384G</t>
  </si>
  <si>
    <t>MARCO TOBARRA, AMPARO</t>
  </si>
  <si>
    <t>48560510N</t>
  </si>
  <si>
    <t>ZUBCOFF VALLEJO, JOSE JACOBO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</si>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</sst>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0" fontId="0" fillId="0" borderId="0" xfId="0" applyAlignment="1">
      <alignment horizontal="left" indent="1"/>
    </xf>
    <xf numFmtId="0" fontId="11" fillId="6" borderId="5" xfId="0" applyFont="1" applyFill="1" applyBorder="1" applyAlignment="1">
      <alignment horizontal="left"/>
    </xf>
    <xf numFmtId="0" fontId="11" fillId="6" borderId="5" xfId="0" applyFont="1" applyFill="1" applyBorder="1"/>
    <xf numFmtId="0" fontId="5" fillId="3" borderId="1" xfId="1" applyFont="1" applyFill="1" applyBorder="1" applyAlignment="1">
      <alignment horizontal="center" vertical="top" wrapText="1"/>
    </xf>
    <xf numFmtId="0" fontId="5" fillId="3" borderId="1" xfId="2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left" vertical="center"/>
    </xf>
    <xf numFmtId="0" fontId="12" fillId="7" borderId="10" xfId="0" applyFont="1" applyFill="1" applyBorder="1" applyAlignment="1">
      <alignment horizontal="left" vertical="center"/>
    </xf>
    <xf numFmtId="0" fontId="13" fillId="8" borderId="11" xfId="0" applyNumberFormat="1" applyFont="1" applyFill="1" applyBorder="1"/>
    <xf numFmtId="0" fontId="13" fillId="8" borderId="12" xfId="0" applyNumberFormat="1" applyFont="1" applyFill="1" applyBorder="1"/>
    <xf numFmtId="0" fontId="13" fillId="8" borderId="13" xfId="0" applyFont="1" applyFill="1" applyBorder="1" applyAlignment="1">
      <alignment horizontal="right"/>
    </xf>
    <xf numFmtId="0" fontId="0" fillId="9" borderId="14" xfId="0" applyNumberFormat="1" applyFont="1" applyFill="1" applyBorder="1"/>
    <xf numFmtId="0" fontId="0" fillId="9" borderId="15" xfId="0" applyFont="1" applyFill="1" applyBorder="1"/>
    <xf numFmtId="4" fontId="0" fillId="9" borderId="16" xfId="0" applyNumberFormat="1" applyFont="1" applyFill="1" applyBorder="1"/>
    <xf numFmtId="0" fontId="0" fillId="6" borderId="14" xfId="0" applyNumberFormat="1" applyFont="1" applyFill="1" applyBorder="1"/>
    <xf numFmtId="0" fontId="0" fillId="6" borderId="15" xfId="0" applyFont="1" applyFill="1" applyBorder="1"/>
    <xf numFmtId="4" fontId="0" fillId="6" borderId="16" xfId="0" applyNumberFormat="1" applyFont="1" applyFill="1" applyBorder="1"/>
    <xf numFmtId="0" fontId="13" fillId="8" borderId="17" xfId="0" applyFont="1" applyFill="1" applyBorder="1"/>
    <xf numFmtId="0" fontId="13" fillId="8" borderId="18" xfId="0" applyFont="1" applyFill="1" applyBorder="1"/>
    <xf numFmtId="4" fontId="13" fillId="8" borderId="19" xfId="0" applyNumberFormat="1" applyFont="1" applyFill="1" applyBorder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0" fontId="3" fillId="4" borderId="0" xfId="1" applyFill="1"/>
    <xf numFmtId="165" fontId="3" fillId="4" borderId="1" xfId="1" applyNumberFormat="1" applyFill="1" applyBorder="1"/>
    <xf numFmtId="0" fontId="3" fillId="4" borderId="6" xfId="1" applyFill="1" applyBorder="1"/>
    <xf numFmtId="165" fontId="3" fillId="4" borderId="6" xfId="1" applyNumberFormat="1" applyFill="1" applyBorder="1"/>
    <xf numFmtId="0" fontId="3" fillId="4" borderId="6" xfId="1" applyFill="1" applyBorder="1" applyAlignment="1">
      <alignment horizontal="right"/>
    </xf>
    <xf numFmtId="1" fontId="3" fillId="4" borderId="6" xfId="1" applyNumberFormat="1" applyFill="1" applyBorder="1"/>
    <xf numFmtId="164" fontId="3" fillId="4" borderId="6" xfId="1" applyNumberFormat="1" applyFill="1" applyBorder="1"/>
    <xf numFmtId="0" fontId="3" fillId="0" borderId="1" xfId="1" applyBorder="1"/>
    <xf numFmtId="0" fontId="3" fillId="4" borderId="2" xfId="1" applyFill="1" applyBorder="1"/>
    <xf numFmtId="164" fontId="3" fillId="4" borderId="2" xfId="1" applyNumberFormat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0" fontId="3" fillId="4" borderId="7" xfId="1" applyFill="1" applyBorder="1"/>
    <xf numFmtId="164" fontId="3" fillId="10" borderId="1" xfId="1" applyNumberFormat="1" applyFill="1" applyBorder="1"/>
    <xf numFmtId="164" fontId="3" fillId="10" borderId="6" xfId="1" applyNumberFormat="1" applyFill="1" applyBorder="1"/>
    <xf numFmtId="0" fontId="3" fillId="10" borderId="1" xfId="1" applyFill="1" applyBorder="1"/>
    <xf numFmtId="164" fontId="3" fillId="10" borderId="2" xfId="1" applyNumberForma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right"/>
    </xf>
    <xf numFmtId="4" fontId="0" fillId="0" borderId="1" xfId="0" applyNumberFormat="1" applyBorder="1"/>
    <xf numFmtId="164" fontId="4" fillId="10" borderId="20" xfId="1" applyNumberFormat="1" applyFont="1" applyFill="1" applyBorder="1" applyAlignment="1">
      <alignment horizontal="center"/>
    </xf>
    <xf numFmtId="0" fontId="4" fillId="10" borderId="20" xfId="1" applyFont="1" applyFill="1" applyBorder="1" applyAlignment="1">
      <alignment horizontal="center"/>
    </xf>
    <xf numFmtId="164" fontId="14" fillId="10" borderId="3" xfId="5" applyNumberFormat="1" applyFont="1" applyFill="1" applyBorder="1" applyAlignment="1">
      <alignment horizontal="center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5"/>
  <sheetViews>
    <sheetView showGridLines="0" tabSelected="1" topLeftCell="H166" zoomScale="120" zoomScaleNormal="120" workbookViewId="0">
      <selection activeCell="T8" sqref="T8"/>
    </sheetView>
  </sheetViews>
  <sheetFormatPr baseColWidth="10" defaultColWidth="10.33203125" defaultRowHeight="10.199999999999999" x14ac:dyDescent="0.2"/>
  <cols>
    <col min="1" max="1" width="5" style="12" customWidth="1"/>
    <col min="2" max="4" width="29.6640625" style="12" customWidth="1"/>
    <col min="5" max="5" width="40.6640625" style="12" customWidth="1"/>
    <col min="6" max="6" width="9.109375" style="12" customWidth="1"/>
    <col min="7" max="7" width="9.6640625" style="12" customWidth="1"/>
    <col min="8" max="8" width="14.44140625" style="12" customWidth="1"/>
    <col min="9" max="9" width="5.88671875" style="12" customWidth="1"/>
    <col min="10" max="10" width="25.6640625" style="12" customWidth="1"/>
    <col min="11" max="12" width="5.109375" style="12" customWidth="1"/>
    <col min="13" max="13" width="5.33203125" style="13" customWidth="1"/>
    <col min="14" max="14" width="4.88671875" style="12" customWidth="1"/>
    <col min="15" max="15" width="5.33203125" style="13" customWidth="1"/>
    <col min="16" max="16" width="4.88671875" style="12" customWidth="1"/>
    <col min="17" max="17" width="3.5546875" style="13" customWidth="1"/>
    <col min="18" max="18" width="3.5546875" style="12" customWidth="1"/>
    <col min="19" max="21" width="5.109375" style="12" customWidth="1"/>
    <col min="22" max="16384" width="10.33203125" style="12"/>
  </cols>
  <sheetData>
    <row r="1" spans="1:22" ht="40.799999999999997" x14ac:dyDescent="0.2">
      <c r="A1" s="8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8" t="s">
        <v>22</v>
      </c>
      <c r="J1" s="9" t="s">
        <v>23</v>
      </c>
      <c r="K1" s="31" t="s">
        <v>706</v>
      </c>
      <c r="L1" s="8" t="s">
        <v>24</v>
      </c>
      <c r="M1" s="9" t="s">
        <v>25</v>
      </c>
      <c r="N1" s="32" t="s">
        <v>26</v>
      </c>
      <c r="O1" s="10" t="s">
        <v>27</v>
      </c>
      <c r="P1" s="11" t="s">
        <v>28</v>
      </c>
      <c r="Q1" s="10" t="s">
        <v>29</v>
      </c>
      <c r="R1" s="11" t="s">
        <v>30</v>
      </c>
      <c r="S1" s="10" t="s">
        <v>31</v>
      </c>
      <c r="T1" s="10" t="s">
        <v>32</v>
      </c>
      <c r="U1" s="10" t="s">
        <v>33</v>
      </c>
      <c r="V1" s="10" t="s">
        <v>34</v>
      </c>
    </row>
    <row r="2" spans="1:22" s="53" customFormat="1" x14ac:dyDescent="0.2">
      <c r="A2" s="49" t="s">
        <v>44</v>
      </c>
      <c r="B2" s="49" t="s">
        <v>45</v>
      </c>
      <c r="C2" s="49" t="s">
        <v>46</v>
      </c>
      <c r="D2" s="49" t="s">
        <v>48</v>
      </c>
      <c r="E2" s="49" t="s">
        <v>49</v>
      </c>
      <c r="F2" s="49" t="s">
        <v>50</v>
      </c>
      <c r="G2" s="49" t="s">
        <v>35</v>
      </c>
      <c r="H2" s="49" t="s">
        <v>36</v>
      </c>
      <c r="I2" s="49" t="s">
        <v>44</v>
      </c>
      <c r="J2" s="49" t="s">
        <v>45</v>
      </c>
      <c r="K2" s="49">
        <v>1</v>
      </c>
      <c r="L2" s="50">
        <v>0.5</v>
      </c>
      <c r="M2" s="49" t="s">
        <v>47</v>
      </c>
      <c r="N2" s="49">
        <v>2016</v>
      </c>
      <c r="O2" s="49" t="s">
        <v>37</v>
      </c>
      <c r="P2" s="51" t="s">
        <v>37</v>
      </c>
      <c r="Q2" s="49" t="s">
        <v>37</v>
      </c>
      <c r="R2" s="51" t="s">
        <v>37</v>
      </c>
      <c r="S2" s="52">
        <v>100</v>
      </c>
      <c r="T2" s="66">
        <v>0.5</v>
      </c>
      <c r="U2" s="50">
        <v>0</v>
      </c>
      <c r="V2" s="50">
        <v>0</v>
      </c>
    </row>
    <row r="3" spans="1:22" s="53" customFormat="1" x14ac:dyDescent="0.2">
      <c r="A3" s="49" t="s">
        <v>44</v>
      </c>
      <c r="B3" s="49" t="s">
        <v>45</v>
      </c>
      <c r="C3" s="49" t="s">
        <v>46</v>
      </c>
      <c r="D3" s="49" t="s">
        <v>51</v>
      </c>
      <c r="E3" s="49" t="s">
        <v>52</v>
      </c>
      <c r="F3" s="49" t="s">
        <v>53</v>
      </c>
      <c r="G3" s="49" t="s">
        <v>35</v>
      </c>
      <c r="H3" s="49" t="s">
        <v>36</v>
      </c>
      <c r="I3" s="49" t="s">
        <v>44</v>
      </c>
      <c r="J3" s="49" t="s">
        <v>45</v>
      </c>
      <c r="K3" s="49">
        <v>1</v>
      </c>
      <c r="L3" s="50">
        <v>0.5</v>
      </c>
      <c r="M3" s="49" t="s">
        <v>47</v>
      </c>
      <c r="N3" s="49">
        <v>2017</v>
      </c>
      <c r="O3" s="49" t="s">
        <v>37</v>
      </c>
      <c r="P3" s="51" t="s">
        <v>37</v>
      </c>
      <c r="Q3" s="49" t="s">
        <v>37</v>
      </c>
      <c r="R3" s="51" t="s">
        <v>37</v>
      </c>
      <c r="S3" s="52">
        <v>100</v>
      </c>
      <c r="T3" s="66">
        <v>0.5</v>
      </c>
      <c r="U3" s="50">
        <v>0</v>
      </c>
      <c r="V3" s="50">
        <v>0</v>
      </c>
    </row>
    <row r="4" spans="1:22" s="53" customFormat="1" x14ac:dyDescent="0.2">
      <c r="A4" s="49" t="s">
        <v>44</v>
      </c>
      <c r="B4" s="49" t="s">
        <v>45</v>
      </c>
      <c r="C4" s="49" t="s">
        <v>46</v>
      </c>
      <c r="D4" s="49" t="s">
        <v>54</v>
      </c>
      <c r="E4" s="49" t="s">
        <v>55</v>
      </c>
      <c r="F4" s="49" t="s">
        <v>40</v>
      </c>
      <c r="G4" s="49" t="s">
        <v>35</v>
      </c>
      <c r="H4" s="49" t="s">
        <v>36</v>
      </c>
      <c r="I4" s="49" t="s">
        <v>44</v>
      </c>
      <c r="J4" s="49" t="s">
        <v>45</v>
      </c>
      <c r="K4" s="49">
        <v>1</v>
      </c>
      <c r="L4" s="54">
        <v>0.33333333333333331</v>
      </c>
      <c r="M4" s="49" t="s">
        <v>47</v>
      </c>
      <c r="N4" s="49">
        <v>2018</v>
      </c>
      <c r="O4" s="49" t="s">
        <v>37</v>
      </c>
      <c r="P4" s="51" t="s">
        <v>37</v>
      </c>
      <c r="Q4" s="49" t="s">
        <v>37</v>
      </c>
      <c r="R4" s="51" t="s">
        <v>37</v>
      </c>
      <c r="S4" s="52">
        <v>100</v>
      </c>
      <c r="T4" s="66">
        <v>0.33333333333333326</v>
      </c>
      <c r="U4" s="50">
        <v>0</v>
      </c>
      <c r="V4" s="50">
        <v>0</v>
      </c>
    </row>
    <row r="5" spans="1:22" s="53" customFormat="1" x14ac:dyDescent="0.2">
      <c r="A5" s="49" t="s">
        <v>44</v>
      </c>
      <c r="B5" s="49" t="s">
        <v>45</v>
      </c>
      <c r="C5" s="49" t="s">
        <v>46</v>
      </c>
      <c r="D5" s="49" t="s">
        <v>56</v>
      </c>
      <c r="E5" s="49" t="s">
        <v>57</v>
      </c>
      <c r="F5" s="49" t="s">
        <v>58</v>
      </c>
      <c r="G5" s="49" t="s">
        <v>35</v>
      </c>
      <c r="H5" s="49" t="s">
        <v>36</v>
      </c>
      <c r="I5" s="49" t="s">
        <v>44</v>
      </c>
      <c r="J5" s="49" t="s">
        <v>45</v>
      </c>
      <c r="K5" s="49">
        <v>1</v>
      </c>
      <c r="L5" s="54">
        <v>0.5</v>
      </c>
      <c r="M5" s="49" t="s">
        <v>47</v>
      </c>
      <c r="N5" s="49">
        <v>2018</v>
      </c>
      <c r="O5" s="49" t="s">
        <v>37</v>
      </c>
      <c r="P5" s="51" t="s">
        <v>37</v>
      </c>
      <c r="Q5" s="49" t="s">
        <v>37</v>
      </c>
      <c r="R5" s="51" t="s">
        <v>37</v>
      </c>
      <c r="S5" s="52">
        <v>100</v>
      </c>
      <c r="T5" s="66">
        <v>0.5</v>
      </c>
      <c r="U5" s="50">
        <v>0</v>
      </c>
      <c r="V5" s="50">
        <v>0</v>
      </c>
    </row>
    <row r="6" spans="1:22" s="53" customFormat="1" x14ac:dyDescent="0.2">
      <c r="A6" s="55" t="s">
        <v>44</v>
      </c>
      <c r="B6" s="55" t="s">
        <v>45</v>
      </c>
      <c r="C6" s="55" t="s">
        <v>46</v>
      </c>
      <c r="D6" s="55" t="s">
        <v>547</v>
      </c>
      <c r="E6" s="55" t="s">
        <v>548</v>
      </c>
      <c r="F6" s="55" t="s">
        <v>549</v>
      </c>
      <c r="G6" s="55" t="s">
        <v>35</v>
      </c>
      <c r="H6" s="55" t="s">
        <v>36</v>
      </c>
      <c r="I6" s="55" t="s">
        <v>44</v>
      </c>
      <c r="J6" s="55" t="s">
        <v>45</v>
      </c>
      <c r="K6" s="55">
        <v>1</v>
      </c>
      <c r="L6" s="56">
        <v>0.5</v>
      </c>
      <c r="M6" s="55" t="s">
        <v>47</v>
      </c>
      <c r="N6" s="55">
        <v>2019</v>
      </c>
      <c r="O6" s="55" t="s">
        <v>37</v>
      </c>
      <c r="P6" s="57" t="s">
        <v>37</v>
      </c>
      <c r="Q6" s="55" t="s">
        <v>37</v>
      </c>
      <c r="R6" s="57" t="s">
        <v>37</v>
      </c>
      <c r="S6" s="58">
        <v>100</v>
      </c>
      <c r="T6" s="67">
        <v>0.5</v>
      </c>
      <c r="U6" s="59">
        <v>0</v>
      </c>
      <c r="V6" s="59">
        <v>0</v>
      </c>
    </row>
    <row r="7" spans="1:22" s="53" customFormat="1" ht="10.8" thickBot="1" x14ac:dyDescent="0.25">
      <c r="A7" s="55" t="s">
        <v>44</v>
      </c>
      <c r="B7" s="55" t="s">
        <v>45</v>
      </c>
      <c r="C7" s="55" t="s">
        <v>46</v>
      </c>
      <c r="D7" s="55" t="s">
        <v>544</v>
      </c>
      <c r="E7" s="55" t="s">
        <v>545</v>
      </c>
      <c r="F7" s="55" t="s">
        <v>546</v>
      </c>
      <c r="G7" s="55" t="s">
        <v>35</v>
      </c>
      <c r="H7" s="55" t="s">
        <v>36</v>
      </c>
      <c r="I7" s="55" t="s">
        <v>44</v>
      </c>
      <c r="J7" s="55" t="s">
        <v>45</v>
      </c>
      <c r="K7" s="55">
        <v>1</v>
      </c>
      <c r="L7" s="56">
        <v>0.5</v>
      </c>
      <c r="M7" s="55" t="s">
        <v>47</v>
      </c>
      <c r="N7" s="55">
        <v>2019</v>
      </c>
      <c r="O7" s="55" t="s">
        <v>37</v>
      </c>
      <c r="P7" s="57" t="s">
        <v>37</v>
      </c>
      <c r="Q7" s="55" t="s">
        <v>37</v>
      </c>
      <c r="R7" s="57" t="s">
        <v>37</v>
      </c>
      <c r="S7" s="58">
        <v>100</v>
      </c>
      <c r="T7" s="67">
        <v>0.5</v>
      </c>
      <c r="U7" s="59">
        <v>0</v>
      </c>
      <c r="V7" s="59">
        <v>0</v>
      </c>
    </row>
    <row r="8" spans="1:22" s="53" customFormat="1" ht="10.8" thickBot="1" x14ac:dyDescent="0.25">
      <c r="A8" s="33" t="s">
        <v>44</v>
      </c>
      <c r="B8" s="33" t="s">
        <v>45</v>
      </c>
      <c r="C8" s="33" t="s">
        <v>46</v>
      </c>
      <c r="D8" s="33" t="s">
        <v>800</v>
      </c>
      <c r="E8" s="33" t="s">
        <v>801</v>
      </c>
      <c r="F8" s="33" t="s">
        <v>802</v>
      </c>
      <c r="G8" s="34" t="s">
        <v>35</v>
      </c>
      <c r="H8" s="35" t="s">
        <v>36</v>
      </c>
      <c r="I8" s="35" t="s">
        <v>44</v>
      </c>
      <c r="J8" s="36" t="s">
        <v>45</v>
      </c>
      <c r="K8" s="49">
        <v>1</v>
      </c>
      <c r="L8" s="60">
        <v>0.5</v>
      </c>
      <c r="M8" s="60" t="s">
        <v>47</v>
      </c>
      <c r="N8" s="49">
        <v>2020</v>
      </c>
      <c r="O8" s="49" t="s">
        <v>37</v>
      </c>
      <c r="P8" s="51" t="s">
        <v>37</v>
      </c>
      <c r="Q8" s="49" t="s">
        <v>37</v>
      </c>
      <c r="R8" s="51" t="s">
        <v>37</v>
      </c>
      <c r="S8" s="49">
        <v>100</v>
      </c>
      <c r="T8" s="68">
        <v>0.5</v>
      </c>
      <c r="U8" s="49">
        <v>0</v>
      </c>
      <c r="V8" s="49">
        <v>0</v>
      </c>
    </row>
    <row r="9" spans="1:22" s="53" customFormat="1" ht="10.8" thickBot="1" x14ac:dyDescent="0.25">
      <c r="A9" s="33" t="s">
        <v>44</v>
      </c>
      <c r="B9" s="33" t="s">
        <v>45</v>
      </c>
      <c r="C9" s="33" t="s">
        <v>46</v>
      </c>
      <c r="D9" s="33" t="s">
        <v>735</v>
      </c>
      <c r="E9" s="33" t="s">
        <v>736</v>
      </c>
      <c r="F9" s="33" t="s">
        <v>737</v>
      </c>
      <c r="G9" s="34" t="s">
        <v>35</v>
      </c>
      <c r="H9" s="35" t="s">
        <v>36</v>
      </c>
      <c r="I9" s="35" t="s">
        <v>44</v>
      </c>
      <c r="J9" s="36" t="s">
        <v>45</v>
      </c>
      <c r="K9" s="49">
        <v>1</v>
      </c>
      <c r="L9" s="60">
        <v>0.5</v>
      </c>
      <c r="M9" s="60" t="s">
        <v>47</v>
      </c>
      <c r="N9" s="49">
        <v>2020</v>
      </c>
      <c r="O9" s="49" t="s">
        <v>37</v>
      </c>
      <c r="P9" s="51" t="s">
        <v>37</v>
      </c>
      <c r="Q9" s="49" t="s">
        <v>37</v>
      </c>
      <c r="R9" s="51" t="s">
        <v>37</v>
      </c>
      <c r="S9" s="49">
        <v>100</v>
      </c>
      <c r="T9" s="68">
        <v>0.5</v>
      </c>
      <c r="U9" s="49">
        <v>0</v>
      </c>
      <c r="V9" s="49">
        <v>0</v>
      </c>
    </row>
    <row r="10" spans="1:22" s="53" customFormat="1" ht="10.8" thickBot="1" x14ac:dyDescent="0.25">
      <c r="A10" s="33" t="s">
        <v>44</v>
      </c>
      <c r="B10" s="33" t="s">
        <v>45</v>
      </c>
      <c r="C10" s="33" t="s">
        <v>46</v>
      </c>
      <c r="D10" s="33" t="s">
        <v>759</v>
      </c>
      <c r="E10" s="33" t="s">
        <v>760</v>
      </c>
      <c r="F10" s="33" t="s">
        <v>761</v>
      </c>
      <c r="G10" s="34" t="s">
        <v>35</v>
      </c>
      <c r="H10" s="35" t="s">
        <v>36</v>
      </c>
      <c r="I10" s="35" t="s">
        <v>44</v>
      </c>
      <c r="J10" s="36" t="s">
        <v>45</v>
      </c>
      <c r="K10" s="49">
        <v>1</v>
      </c>
      <c r="L10" s="60">
        <v>0.5</v>
      </c>
      <c r="M10" s="60" t="s">
        <v>47</v>
      </c>
      <c r="N10" s="49">
        <v>2020</v>
      </c>
      <c r="O10" s="49" t="s">
        <v>37</v>
      </c>
      <c r="P10" s="51" t="s">
        <v>37</v>
      </c>
      <c r="Q10" s="49" t="s">
        <v>37</v>
      </c>
      <c r="R10" s="51" t="s">
        <v>37</v>
      </c>
      <c r="S10" s="49">
        <v>100</v>
      </c>
      <c r="T10" s="68">
        <v>0.5</v>
      </c>
      <c r="U10" s="49">
        <v>0</v>
      </c>
      <c r="V10" s="49">
        <v>0</v>
      </c>
    </row>
    <row r="11" spans="1:22" s="53" customFormat="1" x14ac:dyDescent="0.2">
      <c r="A11" s="49" t="s">
        <v>44</v>
      </c>
      <c r="B11" s="49" t="s">
        <v>45</v>
      </c>
      <c r="C11" s="49" t="s">
        <v>46</v>
      </c>
      <c r="D11" s="49" t="s">
        <v>895</v>
      </c>
      <c r="E11" s="49" t="s">
        <v>896</v>
      </c>
      <c r="F11" s="49" t="s">
        <v>897</v>
      </c>
      <c r="G11" s="49" t="s">
        <v>35</v>
      </c>
      <c r="H11" s="49" t="s">
        <v>36</v>
      </c>
      <c r="I11" s="49" t="s">
        <v>44</v>
      </c>
      <c r="J11" s="49" t="s">
        <v>45</v>
      </c>
      <c r="K11" s="49">
        <v>1</v>
      </c>
      <c r="L11" s="60">
        <v>0.5</v>
      </c>
      <c r="M11" s="60" t="s">
        <v>47</v>
      </c>
      <c r="N11" s="49">
        <v>2021</v>
      </c>
      <c r="O11" s="49" t="s">
        <v>37</v>
      </c>
      <c r="P11" s="51" t="s">
        <v>37</v>
      </c>
      <c r="Q11" s="49" t="s">
        <v>37</v>
      </c>
      <c r="R11" s="51" t="s">
        <v>37</v>
      </c>
      <c r="S11" s="49">
        <v>100</v>
      </c>
      <c r="T11" s="68">
        <v>0.5</v>
      </c>
      <c r="U11" s="49">
        <v>0</v>
      </c>
      <c r="V11" s="49">
        <v>0</v>
      </c>
    </row>
    <row r="12" spans="1:22" s="53" customFormat="1" x14ac:dyDescent="0.2">
      <c r="A12" s="49" t="s">
        <v>44</v>
      </c>
      <c r="B12" s="49" t="s">
        <v>45</v>
      </c>
      <c r="C12" s="49" t="s">
        <v>46</v>
      </c>
      <c r="D12" s="49" t="s">
        <v>898</v>
      </c>
      <c r="E12" s="49" t="s">
        <v>899</v>
      </c>
      <c r="F12" s="49" t="s">
        <v>900</v>
      </c>
      <c r="G12" s="49" t="s">
        <v>35</v>
      </c>
      <c r="H12" s="49" t="s">
        <v>36</v>
      </c>
      <c r="I12" s="49" t="s">
        <v>44</v>
      </c>
      <c r="J12" s="49" t="s">
        <v>45</v>
      </c>
      <c r="K12" s="49">
        <v>1</v>
      </c>
      <c r="L12" s="60">
        <v>0.5</v>
      </c>
      <c r="M12" s="60" t="s">
        <v>47</v>
      </c>
      <c r="N12" s="49">
        <v>2021</v>
      </c>
      <c r="O12" s="49" t="s">
        <v>37</v>
      </c>
      <c r="P12" s="51" t="s">
        <v>37</v>
      </c>
      <c r="Q12" s="49" t="s">
        <v>37</v>
      </c>
      <c r="R12" s="51" t="s">
        <v>37</v>
      </c>
      <c r="S12" s="49">
        <v>100</v>
      </c>
      <c r="T12" s="68">
        <v>0.5</v>
      </c>
      <c r="U12" s="49">
        <v>0</v>
      </c>
      <c r="V12" s="49">
        <v>0</v>
      </c>
    </row>
    <row r="13" spans="1:22" s="53" customFormat="1" x14ac:dyDescent="0.2">
      <c r="A13" s="49" t="s">
        <v>44</v>
      </c>
      <c r="B13" s="49" t="s">
        <v>45</v>
      </c>
      <c r="C13" s="49" t="s">
        <v>46</v>
      </c>
      <c r="D13" s="49" t="s">
        <v>901</v>
      </c>
      <c r="E13" s="49" t="s">
        <v>902</v>
      </c>
      <c r="F13" s="49" t="s">
        <v>903</v>
      </c>
      <c r="G13" s="49" t="s">
        <v>35</v>
      </c>
      <c r="H13" s="49" t="s">
        <v>36</v>
      </c>
      <c r="I13" s="49" t="s">
        <v>44</v>
      </c>
      <c r="J13" s="49" t="s">
        <v>45</v>
      </c>
      <c r="K13" s="49">
        <v>1</v>
      </c>
      <c r="L13" s="60">
        <v>0.33333333333333331</v>
      </c>
      <c r="M13" s="60" t="s">
        <v>47</v>
      </c>
      <c r="N13" s="49">
        <v>2021</v>
      </c>
      <c r="O13" s="49" t="s">
        <v>37</v>
      </c>
      <c r="P13" s="51" t="s">
        <v>37</v>
      </c>
      <c r="Q13" s="49" t="s">
        <v>37</v>
      </c>
      <c r="R13" s="51" t="s">
        <v>37</v>
      </c>
      <c r="S13" s="49">
        <v>100</v>
      </c>
      <c r="T13" s="66">
        <v>0.33333333333333326</v>
      </c>
      <c r="U13" s="49">
        <v>0</v>
      </c>
      <c r="V13" s="49">
        <v>0</v>
      </c>
    </row>
    <row r="14" spans="1:22" s="53" customFormat="1" x14ac:dyDescent="0.2">
      <c r="A14" s="49" t="s">
        <v>44</v>
      </c>
      <c r="B14" s="49" t="s">
        <v>45</v>
      </c>
      <c r="C14" s="49" t="s">
        <v>46</v>
      </c>
      <c r="D14" s="49" t="s">
        <v>904</v>
      </c>
      <c r="E14" s="49" t="s">
        <v>905</v>
      </c>
      <c r="F14" s="49" t="s">
        <v>906</v>
      </c>
      <c r="G14" s="49" t="s">
        <v>35</v>
      </c>
      <c r="H14" s="49" t="s">
        <v>36</v>
      </c>
      <c r="I14" s="49" t="s">
        <v>44</v>
      </c>
      <c r="J14" s="49" t="s">
        <v>45</v>
      </c>
      <c r="K14" s="49">
        <v>1</v>
      </c>
      <c r="L14" s="60">
        <v>0.33333333333333331</v>
      </c>
      <c r="M14" s="60" t="s">
        <v>47</v>
      </c>
      <c r="N14" s="49">
        <v>2021</v>
      </c>
      <c r="O14" s="49" t="s">
        <v>37</v>
      </c>
      <c r="P14" s="51" t="s">
        <v>37</v>
      </c>
      <c r="Q14" s="49" t="s">
        <v>37</v>
      </c>
      <c r="R14" s="51" t="s">
        <v>37</v>
      </c>
      <c r="S14" s="49">
        <v>100</v>
      </c>
      <c r="T14" s="66">
        <v>0.33333333333333326</v>
      </c>
      <c r="U14" s="49">
        <v>0</v>
      </c>
      <c r="V14" s="49">
        <v>0</v>
      </c>
    </row>
    <row r="15" spans="1:22" s="53" customFormat="1" x14ac:dyDescent="0.2">
      <c r="A15" s="49" t="s">
        <v>65</v>
      </c>
      <c r="B15" s="49" t="s">
        <v>66</v>
      </c>
      <c r="C15" s="49" t="s">
        <v>67</v>
      </c>
      <c r="D15" s="49" t="s">
        <v>118</v>
      </c>
      <c r="E15" s="49" t="s">
        <v>119</v>
      </c>
      <c r="F15" s="49" t="s">
        <v>120</v>
      </c>
      <c r="G15" s="49" t="s">
        <v>117</v>
      </c>
      <c r="H15" s="49" t="s">
        <v>39</v>
      </c>
      <c r="I15" s="49" t="s">
        <v>65</v>
      </c>
      <c r="J15" s="49" t="s">
        <v>66</v>
      </c>
      <c r="K15" s="49">
        <v>1</v>
      </c>
      <c r="L15" s="50">
        <v>1</v>
      </c>
      <c r="M15" s="49" t="s">
        <v>115</v>
      </c>
      <c r="N15" s="49">
        <v>2016</v>
      </c>
      <c r="O15" s="49" t="s">
        <v>47</v>
      </c>
      <c r="P15" s="51" t="s">
        <v>69</v>
      </c>
      <c r="Q15" s="49" t="s">
        <v>37</v>
      </c>
      <c r="R15" s="51" t="s">
        <v>37</v>
      </c>
      <c r="S15" s="52">
        <v>80</v>
      </c>
      <c r="T15" s="50">
        <v>0.8</v>
      </c>
      <c r="U15" s="66">
        <v>0.2</v>
      </c>
      <c r="V15" s="50">
        <v>0</v>
      </c>
    </row>
    <row r="16" spans="1:22" s="53" customFormat="1" x14ac:dyDescent="0.2">
      <c r="A16" s="49" t="s">
        <v>121</v>
      </c>
      <c r="B16" s="49" t="s">
        <v>122</v>
      </c>
      <c r="C16" s="49" t="s">
        <v>123</v>
      </c>
      <c r="D16" s="49" t="s">
        <v>137</v>
      </c>
      <c r="E16" s="49" t="s">
        <v>138</v>
      </c>
      <c r="F16" s="49" t="s">
        <v>113</v>
      </c>
      <c r="G16" s="49" t="s">
        <v>139</v>
      </c>
      <c r="H16" s="49" t="s">
        <v>36</v>
      </c>
      <c r="I16" s="49" t="s">
        <v>121</v>
      </c>
      <c r="J16" s="49" t="s">
        <v>122</v>
      </c>
      <c r="K16" s="49">
        <v>1</v>
      </c>
      <c r="L16" s="50">
        <v>0.5</v>
      </c>
      <c r="M16" s="49" t="s">
        <v>125</v>
      </c>
      <c r="N16" s="49">
        <v>2016</v>
      </c>
      <c r="O16" s="49" t="s">
        <v>47</v>
      </c>
      <c r="P16" s="51" t="s">
        <v>69</v>
      </c>
      <c r="Q16" s="49" t="s">
        <v>37</v>
      </c>
      <c r="R16" s="51" t="s">
        <v>37</v>
      </c>
      <c r="S16" s="52">
        <v>80</v>
      </c>
      <c r="T16" s="50">
        <v>0.4</v>
      </c>
      <c r="U16" s="66">
        <v>0.1</v>
      </c>
      <c r="V16" s="50">
        <v>0</v>
      </c>
    </row>
    <row r="17" spans="1:22" s="53" customFormat="1" x14ac:dyDescent="0.2">
      <c r="A17" s="49" t="s">
        <v>121</v>
      </c>
      <c r="B17" s="49" t="s">
        <v>122</v>
      </c>
      <c r="C17" s="49" t="s">
        <v>123</v>
      </c>
      <c r="D17" s="49" t="s">
        <v>137</v>
      </c>
      <c r="E17" s="49" t="s">
        <v>138</v>
      </c>
      <c r="F17" s="49" t="s">
        <v>113</v>
      </c>
      <c r="G17" s="49" t="s">
        <v>140</v>
      </c>
      <c r="H17" s="49" t="s">
        <v>36</v>
      </c>
      <c r="I17" s="49" t="s">
        <v>121</v>
      </c>
      <c r="J17" s="49" t="s">
        <v>122</v>
      </c>
      <c r="K17" s="49">
        <v>1</v>
      </c>
      <c r="L17" s="50">
        <v>0.5</v>
      </c>
      <c r="M17" s="49" t="s">
        <v>125</v>
      </c>
      <c r="N17" s="49">
        <v>2016</v>
      </c>
      <c r="O17" s="49" t="s">
        <v>47</v>
      </c>
      <c r="P17" s="51" t="s">
        <v>69</v>
      </c>
      <c r="Q17" s="49" t="s">
        <v>37</v>
      </c>
      <c r="R17" s="51" t="s">
        <v>37</v>
      </c>
      <c r="S17" s="52">
        <v>80</v>
      </c>
      <c r="T17" s="50">
        <v>0.4</v>
      </c>
      <c r="U17" s="66">
        <v>0.1</v>
      </c>
      <c r="V17" s="50">
        <v>0</v>
      </c>
    </row>
    <row r="18" spans="1:22" s="53" customFormat="1" x14ac:dyDescent="0.2">
      <c r="A18" s="49" t="s">
        <v>169</v>
      </c>
      <c r="B18" s="49" t="s">
        <v>170</v>
      </c>
      <c r="C18" s="49" t="s">
        <v>175</v>
      </c>
      <c r="D18" s="49" t="s">
        <v>176</v>
      </c>
      <c r="E18" s="49" t="s">
        <v>177</v>
      </c>
      <c r="F18" s="49" t="s">
        <v>108</v>
      </c>
      <c r="G18" s="49" t="s">
        <v>178</v>
      </c>
      <c r="H18" s="49" t="s">
        <v>36</v>
      </c>
      <c r="I18" s="49" t="s">
        <v>169</v>
      </c>
      <c r="J18" s="49" t="s">
        <v>170</v>
      </c>
      <c r="K18" s="49">
        <v>1</v>
      </c>
      <c r="L18" s="50">
        <v>0.5</v>
      </c>
      <c r="M18" s="49" t="s">
        <v>172</v>
      </c>
      <c r="N18" s="49">
        <v>2016</v>
      </c>
      <c r="O18" s="49" t="s">
        <v>47</v>
      </c>
      <c r="P18" s="51" t="s">
        <v>68</v>
      </c>
      <c r="Q18" s="49" t="s">
        <v>37</v>
      </c>
      <c r="R18" s="51" t="s">
        <v>37</v>
      </c>
      <c r="S18" s="52">
        <v>50</v>
      </c>
      <c r="T18" s="50">
        <v>0.25</v>
      </c>
      <c r="U18" s="66">
        <v>0.25</v>
      </c>
      <c r="V18" s="50">
        <v>0</v>
      </c>
    </row>
    <row r="19" spans="1:22" s="53" customFormat="1" x14ac:dyDescent="0.2">
      <c r="A19" s="49" t="s">
        <v>169</v>
      </c>
      <c r="B19" s="49" t="s">
        <v>170</v>
      </c>
      <c r="C19" s="49" t="s">
        <v>175</v>
      </c>
      <c r="D19" s="49" t="s">
        <v>176</v>
      </c>
      <c r="E19" s="49" t="s">
        <v>177</v>
      </c>
      <c r="F19" s="49" t="s">
        <v>108</v>
      </c>
      <c r="G19" s="49" t="s">
        <v>179</v>
      </c>
      <c r="H19" s="49" t="s">
        <v>36</v>
      </c>
      <c r="I19" s="49" t="s">
        <v>169</v>
      </c>
      <c r="J19" s="49" t="s">
        <v>170</v>
      </c>
      <c r="K19" s="49">
        <v>1</v>
      </c>
      <c r="L19" s="50">
        <v>0.5</v>
      </c>
      <c r="M19" s="49" t="s">
        <v>172</v>
      </c>
      <c r="N19" s="49">
        <v>2016</v>
      </c>
      <c r="O19" s="49" t="s">
        <v>47</v>
      </c>
      <c r="P19" s="51" t="s">
        <v>68</v>
      </c>
      <c r="Q19" s="49" t="s">
        <v>37</v>
      </c>
      <c r="R19" s="51" t="s">
        <v>37</v>
      </c>
      <c r="S19" s="52">
        <v>50</v>
      </c>
      <c r="T19" s="50">
        <v>0.25</v>
      </c>
      <c r="U19" s="66">
        <v>0.25</v>
      </c>
      <c r="V19" s="50">
        <v>0</v>
      </c>
    </row>
    <row r="20" spans="1:22" s="53" customFormat="1" x14ac:dyDescent="0.2">
      <c r="A20" s="49" t="s">
        <v>169</v>
      </c>
      <c r="B20" s="49" t="s">
        <v>170</v>
      </c>
      <c r="C20" s="49" t="s">
        <v>175</v>
      </c>
      <c r="D20" s="49" t="s">
        <v>180</v>
      </c>
      <c r="E20" s="49" t="s">
        <v>181</v>
      </c>
      <c r="F20" s="49" t="s">
        <v>78</v>
      </c>
      <c r="G20" s="49" t="s">
        <v>171</v>
      </c>
      <c r="H20" s="49" t="s">
        <v>36</v>
      </c>
      <c r="I20" s="49" t="s">
        <v>169</v>
      </c>
      <c r="J20" s="49" t="s">
        <v>170</v>
      </c>
      <c r="K20" s="49">
        <v>1</v>
      </c>
      <c r="L20" s="50">
        <v>0.5</v>
      </c>
      <c r="M20" s="49" t="s">
        <v>172</v>
      </c>
      <c r="N20" s="49">
        <v>2016</v>
      </c>
      <c r="O20" s="49" t="s">
        <v>47</v>
      </c>
      <c r="P20" s="51" t="s">
        <v>69</v>
      </c>
      <c r="Q20" s="49" t="s">
        <v>37</v>
      </c>
      <c r="R20" s="51" t="s">
        <v>37</v>
      </c>
      <c r="S20" s="52">
        <v>80</v>
      </c>
      <c r="T20" s="50">
        <v>0.4</v>
      </c>
      <c r="U20" s="66">
        <v>0.1</v>
      </c>
      <c r="V20" s="50">
        <v>0</v>
      </c>
    </row>
    <row r="21" spans="1:22" s="53" customFormat="1" x14ac:dyDescent="0.2">
      <c r="A21" s="49" t="s">
        <v>169</v>
      </c>
      <c r="B21" s="49" t="s">
        <v>170</v>
      </c>
      <c r="C21" s="49" t="s">
        <v>175</v>
      </c>
      <c r="D21" s="49" t="s">
        <v>180</v>
      </c>
      <c r="E21" s="49" t="s">
        <v>181</v>
      </c>
      <c r="F21" s="49" t="s">
        <v>78</v>
      </c>
      <c r="G21" s="49" t="s">
        <v>182</v>
      </c>
      <c r="H21" s="49" t="s">
        <v>36</v>
      </c>
      <c r="I21" s="49" t="s">
        <v>169</v>
      </c>
      <c r="J21" s="49" t="s">
        <v>170</v>
      </c>
      <c r="K21" s="49">
        <v>1</v>
      </c>
      <c r="L21" s="50">
        <v>0.5</v>
      </c>
      <c r="M21" s="49" t="s">
        <v>172</v>
      </c>
      <c r="N21" s="49">
        <v>2016</v>
      </c>
      <c r="O21" s="49" t="s">
        <v>47</v>
      </c>
      <c r="P21" s="51" t="s">
        <v>69</v>
      </c>
      <c r="Q21" s="49" t="s">
        <v>37</v>
      </c>
      <c r="R21" s="51" t="s">
        <v>37</v>
      </c>
      <c r="S21" s="52">
        <v>80</v>
      </c>
      <c r="T21" s="50">
        <v>0.4</v>
      </c>
      <c r="U21" s="66">
        <v>0.1</v>
      </c>
      <c r="V21" s="50">
        <v>0</v>
      </c>
    </row>
    <row r="22" spans="1:22" s="53" customFormat="1" x14ac:dyDescent="0.2">
      <c r="A22" s="49" t="s">
        <v>75</v>
      </c>
      <c r="B22" s="49" t="s">
        <v>76</v>
      </c>
      <c r="C22" s="49" t="s">
        <v>77</v>
      </c>
      <c r="D22" s="49" t="s">
        <v>85</v>
      </c>
      <c r="E22" s="49" t="s">
        <v>86</v>
      </c>
      <c r="F22" s="49" t="s">
        <v>87</v>
      </c>
      <c r="G22" s="49" t="s">
        <v>124</v>
      </c>
      <c r="H22" s="49" t="s">
        <v>36</v>
      </c>
      <c r="I22" s="49" t="s">
        <v>121</v>
      </c>
      <c r="J22" s="49" t="s">
        <v>122</v>
      </c>
      <c r="K22" s="49">
        <v>1</v>
      </c>
      <c r="L22" s="50">
        <v>0.5</v>
      </c>
      <c r="M22" s="49" t="s">
        <v>125</v>
      </c>
      <c r="N22" s="49">
        <v>2016</v>
      </c>
      <c r="O22" s="49" t="s">
        <v>47</v>
      </c>
      <c r="P22" s="51" t="s">
        <v>69</v>
      </c>
      <c r="Q22" s="49" t="s">
        <v>37</v>
      </c>
      <c r="R22" s="51" t="s">
        <v>37</v>
      </c>
      <c r="S22" s="52">
        <v>80</v>
      </c>
      <c r="T22" s="50">
        <v>0.4</v>
      </c>
      <c r="U22" s="66">
        <v>0.1</v>
      </c>
      <c r="V22" s="50">
        <v>0</v>
      </c>
    </row>
    <row r="23" spans="1:22" s="53" customFormat="1" x14ac:dyDescent="0.2">
      <c r="A23" s="49" t="s">
        <v>44</v>
      </c>
      <c r="B23" s="49" t="s">
        <v>45</v>
      </c>
      <c r="C23" s="49" t="s">
        <v>46</v>
      </c>
      <c r="D23" s="49" t="s">
        <v>48</v>
      </c>
      <c r="E23" s="49" t="s">
        <v>49</v>
      </c>
      <c r="F23" s="49" t="s">
        <v>50</v>
      </c>
      <c r="G23" s="49" t="s">
        <v>235</v>
      </c>
      <c r="H23" s="49" t="s">
        <v>36</v>
      </c>
      <c r="I23" s="49" t="s">
        <v>132</v>
      </c>
      <c r="J23" s="49" t="s">
        <v>133</v>
      </c>
      <c r="K23" s="49">
        <v>1</v>
      </c>
      <c r="L23" s="50">
        <v>0.5</v>
      </c>
      <c r="M23" s="49" t="s">
        <v>234</v>
      </c>
      <c r="N23" s="49">
        <v>2016</v>
      </c>
      <c r="O23" s="49" t="s">
        <v>47</v>
      </c>
      <c r="P23" s="51" t="s">
        <v>68</v>
      </c>
      <c r="Q23" s="49" t="s">
        <v>37</v>
      </c>
      <c r="R23" s="51" t="s">
        <v>37</v>
      </c>
      <c r="S23" s="52">
        <v>50</v>
      </c>
      <c r="T23" s="50">
        <v>0.25</v>
      </c>
      <c r="U23" s="66">
        <v>0.25</v>
      </c>
      <c r="V23" s="50">
        <v>0</v>
      </c>
    </row>
    <row r="24" spans="1:22" s="53" customFormat="1" x14ac:dyDescent="0.2">
      <c r="A24" s="49" t="s">
        <v>44</v>
      </c>
      <c r="B24" s="49" t="s">
        <v>45</v>
      </c>
      <c r="C24" s="49" t="s">
        <v>46</v>
      </c>
      <c r="D24" s="49" t="s">
        <v>141</v>
      </c>
      <c r="E24" s="49" t="s">
        <v>142</v>
      </c>
      <c r="F24" s="49" t="s">
        <v>109</v>
      </c>
      <c r="G24" s="49" t="s">
        <v>135</v>
      </c>
      <c r="H24" s="49" t="s">
        <v>36</v>
      </c>
      <c r="I24" s="49" t="s">
        <v>121</v>
      </c>
      <c r="J24" s="49" t="s">
        <v>122</v>
      </c>
      <c r="K24" s="49">
        <v>1</v>
      </c>
      <c r="L24" s="50">
        <v>0.5</v>
      </c>
      <c r="M24" s="49" t="s">
        <v>125</v>
      </c>
      <c r="N24" s="49">
        <v>2016</v>
      </c>
      <c r="O24" s="49" t="s">
        <v>47</v>
      </c>
      <c r="P24" s="51" t="s">
        <v>69</v>
      </c>
      <c r="Q24" s="49" t="s">
        <v>37</v>
      </c>
      <c r="R24" s="51" t="s">
        <v>37</v>
      </c>
      <c r="S24" s="52">
        <v>80</v>
      </c>
      <c r="T24" s="50">
        <v>0.4</v>
      </c>
      <c r="U24" s="66">
        <v>0.1</v>
      </c>
      <c r="V24" s="50">
        <v>0</v>
      </c>
    </row>
    <row r="25" spans="1:22" s="53" customFormat="1" x14ac:dyDescent="0.2">
      <c r="A25" s="49" t="s">
        <v>44</v>
      </c>
      <c r="B25" s="49" t="s">
        <v>45</v>
      </c>
      <c r="C25" s="49" t="s">
        <v>46</v>
      </c>
      <c r="D25" s="49" t="s">
        <v>183</v>
      </c>
      <c r="E25" s="49" t="s">
        <v>184</v>
      </c>
      <c r="F25" s="49" t="s">
        <v>72</v>
      </c>
      <c r="G25" s="49" t="s">
        <v>185</v>
      </c>
      <c r="H25" s="49" t="s">
        <v>36</v>
      </c>
      <c r="I25" s="49" t="s">
        <v>169</v>
      </c>
      <c r="J25" s="49" t="s">
        <v>170</v>
      </c>
      <c r="K25" s="49">
        <v>1</v>
      </c>
      <c r="L25" s="50">
        <v>0.5</v>
      </c>
      <c r="M25" s="49" t="s">
        <v>172</v>
      </c>
      <c r="N25" s="49">
        <v>2016</v>
      </c>
      <c r="O25" s="49" t="s">
        <v>47</v>
      </c>
      <c r="P25" s="51" t="s">
        <v>69</v>
      </c>
      <c r="Q25" s="49" t="s">
        <v>37</v>
      </c>
      <c r="R25" s="51" t="s">
        <v>37</v>
      </c>
      <c r="S25" s="52">
        <v>80</v>
      </c>
      <c r="T25" s="50">
        <v>0.4</v>
      </c>
      <c r="U25" s="66">
        <v>0.1</v>
      </c>
      <c r="V25" s="50">
        <v>0</v>
      </c>
    </row>
    <row r="26" spans="1:22" s="53" customFormat="1" x14ac:dyDescent="0.2">
      <c r="A26" s="49" t="s">
        <v>44</v>
      </c>
      <c r="B26" s="49" t="s">
        <v>45</v>
      </c>
      <c r="C26" s="49" t="s">
        <v>46</v>
      </c>
      <c r="D26" s="49" t="s">
        <v>183</v>
      </c>
      <c r="E26" s="49" t="s">
        <v>184</v>
      </c>
      <c r="F26" s="49" t="s">
        <v>72</v>
      </c>
      <c r="G26" s="49" t="s">
        <v>179</v>
      </c>
      <c r="H26" s="49" t="s">
        <v>36</v>
      </c>
      <c r="I26" s="49" t="s">
        <v>169</v>
      </c>
      <c r="J26" s="49" t="s">
        <v>170</v>
      </c>
      <c r="K26" s="49">
        <v>1</v>
      </c>
      <c r="L26" s="50">
        <v>0.5</v>
      </c>
      <c r="M26" s="49" t="s">
        <v>172</v>
      </c>
      <c r="N26" s="49">
        <v>2016</v>
      </c>
      <c r="O26" s="49" t="s">
        <v>47</v>
      </c>
      <c r="P26" s="51" t="s">
        <v>68</v>
      </c>
      <c r="Q26" s="49" t="s">
        <v>37</v>
      </c>
      <c r="R26" s="51" t="s">
        <v>37</v>
      </c>
      <c r="S26" s="52">
        <v>50</v>
      </c>
      <c r="T26" s="50">
        <v>0.25</v>
      </c>
      <c r="U26" s="66">
        <v>0.25</v>
      </c>
      <c r="V26" s="50">
        <v>0</v>
      </c>
    </row>
    <row r="27" spans="1:22" s="53" customFormat="1" x14ac:dyDescent="0.2">
      <c r="A27" s="49" t="s">
        <v>44</v>
      </c>
      <c r="B27" s="49" t="s">
        <v>45</v>
      </c>
      <c r="C27" s="49" t="s">
        <v>46</v>
      </c>
      <c r="D27" s="49" t="s">
        <v>186</v>
      </c>
      <c r="E27" s="49" t="s">
        <v>187</v>
      </c>
      <c r="F27" s="49" t="s">
        <v>188</v>
      </c>
      <c r="G27" s="49" t="s">
        <v>171</v>
      </c>
      <c r="H27" s="49" t="s">
        <v>36</v>
      </c>
      <c r="I27" s="49" t="s">
        <v>169</v>
      </c>
      <c r="J27" s="49" t="s">
        <v>170</v>
      </c>
      <c r="K27" s="49">
        <v>1</v>
      </c>
      <c r="L27" s="50">
        <v>0.5</v>
      </c>
      <c r="M27" s="49" t="s">
        <v>172</v>
      </c>
      <c r="N27" s="49">
        <v>2016</v>
      </c>
      <c r="O27" s="49" t="s">
        <v>47</v>
      </c>
      <c r="P27" s="51" t="s">
        <v>69</v>
      </c>
      <c r="Q27" s="49" t="s">
        <v>37</v>
      </c>
      <c r="R27" s="51" t="s">
        <v>37</v>
      </c>
      <c r="S27" s="52">
        <v>80</v>
      </c>
      <c r="T27" s="50">
        <v>0.4</v>
      </c>
      <c r="U27" s="66">
        <v>0.1</v>
      </c>
      <c r="V27" s="50">
        <v>0</v>
      </c>
    </row>
    <row r="28" spans="1:22" s="53" customFormat="1" x14ac:dyDescent="0.2">
      <c r="A28" s="49" t="s">
        <v>44</v>
      </c>
      <c r="B28" s="49" t="s">
        <v>45</v>
      </c>
      <c r="C28" s="49" t="s">
        <v>46</v>
      </c>
      <c r="D28" s="49" t="s">
        <v>186</v>
      </c>
      <c r="E28" s="49" t="s">
        <v>187</v>
      </c>
      <c r="F28" s="49" t="s">
        <v>188</v>
      </c>
      <c r="G28" s="49" t="s">
        <v>182</v>
      </c>
      <c r="H28" s="49" t="s">
        <v>36</v>
      </c>
      <c r="I28" s="49" t="s">
        <v>169</v>
      </c>
      <c r="J28" s="49" t="s">
        <v>170</v>
      </c>
      <c r="K28" s="49">
        <v>1</v>
      </c>
      <c r="L28" s="50">
        <v>0.5</v>
      </c>
      <c r="M28" s="49" t="s">
        <v>172</v>
      </c>
      <c r="N28" s="49">
        <v>2016</v>
      </c>
      <c r="O28" s="49" t="s">
        <v>47</v>
      </c>
      <c r="P28" s="51" t="s">
        <v>69</v>
      </c>
      <c r="Q28" s="49" t="s">
        <v>37</v>
      </c>
      <c r="R28" s="51" t="s">
        <v>37</v>
      </c>
      <c r="S28" s="52">
        <v>80</v>
      </c>
      <c r="T28" s="50">
        <v>0.4</v>
      </c>
      <c r="U28" s="66">
        <v>0.1</v>
      </c>
      <c r="V28" s="50">
        <v>0</v>
      </c>
    </row>
    <row r="29" spans="1:22" s="53" customFormat="1" x14ac:dyDescent="0.2">
      <c r="A29" s="49" t="s">
        <v>44</v>
      </c>
      <c r="B29" s="49" t="s">
        <v>45</v>
      </c>
      <c r="C29" s="49" t="s">
        <v>46</v>
      </c>
      <c r="D29" s="49" t="s">
        <v>209</v>
      </c>
      <c r="E29" s="49" t="s">
        <v>210</v>
      </c>
      <c r="F29" s="49" t="s">
        <v>38</v>
      </c>
      <c r="G29" s="49" t="s">
        <v>211</v>
      </c>
      <c r="H29" s="49" t="s">
        <v>36</v>
      </c>
      <c r="I29" s="49" t="s">
        <v>88</v>
      </c>
      <c r="J29" s="49" t="s">
        <v>89</v>
      </c>
      <c r="K29" s="49">
        <v>1</v>
      </c>
      <c r="L29" s="50">
        <v>0.5</v>
      </c>
      <c r="M29" s="49" t="s">
        <v>95</v>
      </c>
      <c r="N29" s="49">
        <v>2016</v>
      </c>
      <c r="O29" s="49" t="s">
        <v>47</v>
      </c>
      <c r="P29" s="51" t="s">
        <v>69</v>
      </c>
      <c r="Q29" s="49" t="s">
        <v>37</v>
      </c>
      <c r="R29" s="51" t="s">
        <v>37</v>
      </c>
      <c r="S29" s="52">
        <v>80</v>
      </c>
      <c r="T29" s="50">
        <v>0.4</v>
      </c>
      <c r="U29" s="66">
        <v>0.1</v>
      </c>
      <c r="V29" s="50">
        <v>0</v>
      </c>
    </row>
    <row r="30" spans="1:22" s="53" customFormat="1" x14ac:dyDescent="0.2">
      <c r="A30" s="49" t="s">
        <v>44</v>
      </c>
      <c r="B30" s="49" t="s">
        <v>45</v>
      </c>
      <c r="C30" s="49" t="s">
        <v>46</v>
      </c>
      <c r="D30" s="49" t="s">
        <v>209</v>
      </c>
      <c r="E30" s="49" t="s">
        <v>210</v>
      </c>
      <c r="F30" s="49" t="s">
        <v>38</v>
      </c>
      <c r="G30" s="49" t="s">
        <v>200</v>
      </c>
      <c r="H30" s="49" t="s">
        <v>36</v>
      </c>
      <c r="I30" s="49" t="s">
        <v>88</v>
      </c>
      <c r="J30" s="49" t="s">
        <v>89</v>
      </c>
      <c r="K30" s="49">
        <v>1</v>
      </c>
      <c r="L30" s="50">
        <v>0.5</v>
      </c>
      <c r="M30" s="49" t="s">
        <v>95</v>
      </c>
      <c r="N30" s="49">
        <v>2016</v>
      </c>
      <c r="O30" s="49" t="s">
        <v>47</v>
      </c>
      <c r="P30" s="51" t="s">
        <v>69</v>
      </c>
      <c r="Q30" s="49" t="s">
        <v>37</v>
      </c>
      <c r="R30" s="51" t="s">
        <v>37</v>
      </c>
      <c r="S30" s="52">
        <v>80</v>
      </c>
      <c r="T30" s="50">
        <v>0.4</v>
      </c>
      <c r="U30" s="66">
        <v>0.1</v>
      </c>
      <c r="V30" s="50">
        <v>0</v>
      </c>
    </row>
    <row r="31" spans="1:22" s="53" customFormat="1" x14ac:dyDescent="0.2">
      <c r="A31" s="49" t="s">
        <v>44</v>
      </c>
      <c r="B31" s="49" t="s">
        <v>45</v>
      </c>
      <c r="C31" s="49" t="s">
        <v>46</v>
      </c>
      <c r="D31" s="49" t="s">
        <v>212</v>
      </c>
      <c r="E31" s="49" t="s">
        <v>213</v>
      </c>
      <c r="F31" s="49" t="s">
        <v>84</v>
      </c>
      <c r="G31" s="49" t="s">
        <v>200</v>
      </c>
      <c r="H31" s="49" t="s">
        <v>39</v>
      </c>
      <c r="I31" s="49" t="s">
        <v>88</v>
      </c>
      <c r="J31" s="49" t="s">
        <v>89</v>
      </c>
      <c r="K31" s="49">
        <v>1</v>
      </c>
      <c r="L31" s="50">
        <v>1</v>
      </c>
      <c r="M31" s="49" t="s">
        <v>95</v>
      </c>
      <c r="N31" s="49">
        <v>2016</v>
      </c>
      <c r="O31" s="49" t="s">
        <v>47</v>
      </c>
      <c r="P31" s="51" t="s">
        <v>69</v>
      </c>
      <c r="Q31" s="49" t="s">
        <v>37</v>
      </c>
      <c r="R31" s="51" t="s">
        <v>37</v>
      </c>
      <c r="S31" s="52">
        <v>80</v>
      </c>
      <c r="T31" s="50">
        <v>0.8</v>
      </c>
      <c r="U31" s="66">
        <v>0.2</v>
      </c>
      <c r="V31" s="50">
        <v>0</v>
      </c>
    </row>
    <row r="32" spans="1:22" s="53" customFormat="1" x14ac:dyDescent="0.2">
      <c r="A32" s="49" t="s">
        <v>59</v>
      </c>
      <c r="B32" s="49" t="s">
        <v>60</v>
      </c>
      <c r="C32" s="49" t="s">
        <v>61</v>
      </c>
      <c r="D32" s="49" t="s">
        <v>62</v>
      </c>
      <c r="E32" s="49" t="s">
        <v>63</v>
      </c>
      <c r="F32" s="49" t="s">
        <v>64</v>
      </c>
      <c r="G32" s="49" t="s">
        <v>174</v>
      </c>
      <c r="H32" s="49" t="s">
        <v>36</v>
      </c>
      <c r="I32" s="49" t="s">
        <v>169</v>
      </c>
      <c r="J32" s="49" t="s">
        <v>170</v>
      </c>
      <c r="K32" s="49">
        <v>1</v>
      </c>
      <c r="L32" s="50">
        <v>0.5</v>
      </c>
      <c r="M32" s="49" t="s">
        <v>172</v>
      </c>
      <c r="N32" s="49">
        <v>2016</v>
      </c>
      <c r="O32" s="49" t="s">
        <v>47</v>
      </c>
      <c r="P32" s="51" t="s">
        <v>68</v>
      </c>
      <c r="Q32" s="49" t="s">
        <v>37</v>
      </c>
      <c r="R32" s="51" t="s">
        <v>37</v>
      </c>
      <c r="S32" s="52">
        <v>50</v>
      </c>
      <c r="T32" s="50">
        <v>0.25</v>
      </c>
      <c r="U32" s="66">
        <v>0.25</v>
      </c>
      <c r="V32" s="50">
        <v>0</v>
      </c>
    </row>
    <row r="33" spans="1:22" s="53" customFormat="1" x14ac:dyDescent="0.2">
      <c r="A33" s="49" t="s">
        <v>44</v>
      </c>
      <c r="B33" s="49" t="s">
        <v>45</v>
      </c>
      <c r="C33" s="49" t="s">
        <v>46</v>
      </c>
      <c r="D33" s="49" t="s">
        <v>143</v>
      </c>
      <c r="E33" s="49" t="s">
        <v>144</v>
      </c>
      <c r="F33" s="49" t="s">
        <v>110</v>
      </c>
      <c r="G33" s="49" t="s">
        <v>135</v>
      </c>
      <c r="H33" s="49" t="s">
        <v>36</v>
      </c>
      <c r="I33" s="49" t="s">
        <v>121</v>
      </c>
      <c r="J33" s="49" t="s">
        <v>122</v>
      </c>
      <c r="K33" s="49">
        <v>1</v>
      </c>
      <c r="L33" s="50">
        <v>0.5</v>
      </c>
      <c r="M33" s="49" t="s">
        <v>125</v>
      </c>
      <c r="N33" s="49">
        <v>2016</v>
      </c>
      <c r="O33" s="49" t="s">
        <v>47</v>
      </c>
      <c r="P33" s="51" t="s">
        <v>69</v>
      </c>
      <c r="Q33" s="49" t="s">
        <v>37</v>
      </c>
      <c r="R33" s="51" t="s">
        <v>37</v>
      </c>
      <c r="S33" s="52">
        <v>80</v>
      </c>
      <c r="T33" s="50">
        <v>0.4</v>
      </c>
      <c r="U33" s="66">
        <v>0.1</v>
      </c>
      <c r="V33" s="50">
        <v>0</v>
      </c>
    </row>
    <row r="34" spans="1:22" s="53" customFormat="1" x14ac:dyDescent="0.2">
      <c r="A34" s="49" t="s">
        <v>44</v>
      </c>
      <c r="B34" s="49" t="s">
        <v>45</v>
      </c>
      <c r="C34" s="49" t="s">
        <v>46</v>
      </c>
      <c r="D34" s="49" t="s">
        <v>143</v>
      </c>
      <c r="E34" s="49" t="s">
        <v>144</v>
      </c>
      <c r="F34" s="49" t="s">
        <v>110</v>
      </c>
      <c r="G34" s="49" t="s">
        <v>134</v>
      </c>
      <c r="H34" s="49" t="s">
        <v>36</v>
      </c>
      <c r="I34" s="49" t="s">
        <v>121</v>
      </c>
      <c r="J34" s="49" t="s">
        <v>122</v>
      </c>
      <c r="K34" s="49">
        <v>1</v>
      </c>
      <c r="L34" s="50">
        <v>0.5</v>
      </c>
      <c r="M34" s="49" t="s">
        <v>125</v>
      </c>
      <c r="N34" s="49">
        <v>2016</v>
      </c>
      <c r="O34" s="49" t="s">
        <v>47</v>
      </c>
      <c r="P34" s="51" t="s">
        <v>69</v>
      </c>
      <c r="Q34" s="49" t="s">
        <v>37</v>
      </c>
      <c r="R34" s="51" t="s">
        <v>37</v>
      </c>
      <c r="S34" s="52">
        <v>80</v>
      </c>
      <c r="T34" s="50">
        <v>0.4</v>
      </c>
      <c r="U34" s="66">
        <v>0.1</v>
      </c>
      <c r="V34" s="50">
        <v>0</v>
      </c>
    </row>
    <row r="35" spans="1:22" s="53" customFormat="1" x14ac:dyDescent="0.2">
      <c r="A35" s="49" t="s">
        <v>79</v>
      </c>
      <c r="B35" s="49" t="s">
        <v>80</v>
      </c>
      <c r="C35" s="49" t="s">
        <v>81</v>
      </c>
      <c r="D35" s="49" t="s">
        <v>240</v>
      </c>
      <c r="E35" s="49" t="s">
        <v>241</v>
      </c>
      <c r="F35" s="49" t="s">
        <v>242</v>
      </c>
      <c r="G35" s="49" t="s">
        <v>243</v>
      </c>
      <c r="H35" s="49" t="s">
        <v>36</v>
      </c>
      <c r="I35" s="49" t="s">
        <v>132</v>
      </c>
      <c r="J35" s="49" t="s">
        <v>133</v>
      </c>
      <c r="K35" s="49">
        <v>1</v>
      </c>
      <c r="L35" s="50">
        <v>0.5</v>
      </c>
      <c r="M35" s="49" t="s">
        <v>234</v>
      </c>
      <c r="N35" s="49">
        <v>2017</v>
      </c>
      <c r="O35" s="49" t="s">
        <v>47</v>
      </c>
      <c r="P35" s="51" t="s">
        <v>69</v>
      </c>
      <c r="Q35" s="49" t="s">
        <v>37</v>
      </c>
      <c r="R35" s="51" t="s">
        <v>37</v>
      </c>
      <c r="S35" s="52">
        <v>80</v>
      </c>
      <c r="T35" s="50">
        <v>0.4</v>
      </c>
      <c r="U35" s="66">
        <v>0.1</v>
      </c>
      <c r="V35" s="50">
        <v>0</v>
      </c>
    </row>
    <row r="36" spans="1:22" s="53" customFormat="1" x14ac:dyDescent="0.2">
      <c r="A36" s="49" t="s">
        <v>79</v>
      </c>
      <c r="B36" s="49" t="s">
        <v>80</v>
      </c>
      <c r="C36" s="49" t="s">
        <v>81</v>
      </c>
      <c r="D36" s="49" t="s">
        <v>240</v>
      </c>
      <c r="E36" s="49" t="s">
        <v>241</v>
      </c>
      <c r="F36" s="49" t="s">
        <v>242</v>
      </c>
      <c r="G36" s="49" t="s">
        <v>233</v>
      </c>
      <c r="H36" s="49" t="s">
        <v>36</v>
      </c>
      <c r="I36" s="49" t="s">
        <v>132</v>
      </c>
      <c r="J36" s="49" t="s">
        <v>133</v>
      </c>
      <c r="K36" s="49">
        <v>1</v>
      </c>
      <c r="L36" s="50">
        <v>0.5</v>
      </c>
      <c r="M36" s="49" t="s">
        <v>234</v>
      </c>
      <c r="N36" s="49">
        <v>2017</v>
      </c>
      <c r="O36" s="49" t="s">
        <v>47</v>
      </c>
      <c r="P36" s="51" t="s">
        <v>69</v>
      </c>
      <c r="Q36" s="49" t="s">
        <v>37</v>
      </c>
      <c r="R36" s="51" t="s">
        <v>37</v>
      </c>
      <c r="S36" s="52">
        <v>80</v>
      </c>
      <c r="T36" s="50">
        <v>0.4</v>
      </c>
      <c r="U36" s="66">
        <v>0.1</v>
      </c>
      <c r="V36" s="50">
        <v>0</v>
      </c>
    </row>
    <row r="37" spans="1:22" s="53" customFormat="1" x14ac:dyDescent="0.2">
      <c r="A37" s="49" t="s">
        <v>44</v>
      </c>
      <c r="B37" s="49" t="s">
        <v>45</v>
      </c>
      <c r="C37" s="49" t="s">
        <v>46</v>
      </c>
      <c r="D37" s="49" t="s">
        <v>145</v>
      </c>
      <c r="E37" s="49" t="s">
        <v>146</v>
      </c>
      <c r="F37" s="49" t="s">
        <v>116</v>
      </c>
      <c r="G37" s="49" t="s">
        <v>147</v>
      </c>
      <c r="H37" s="49" t="s">
        <v>36</v>
      </c>
      <c r="I37" s="49" t="s">
        <v>121</v>
      </c>
      <c r="J37" s="49" t="s">
        <v>122</v>
      </c>
      <c r="K37" s="49">
        <v>1</v>
      </c>
      <c r="L37" s="50">
        <v>0.5</v>
      </c>
      <c r="M37" s="49" t="s">
        <v>125</v>
      </c>
      <c r="N37" s="49">
        <v>2017</v>
      </c>
      <c r="O37" s="49" t="s">
        <v>47</v>
      </c>
      <c r="P37" s="51" t="s">
        <v>69</v>
      </c>
      <c r="Q37" s="49" t="s">
        <v>37</v>
      </c>
      <c r="R37" s="51" t="s">
        <v>37</v>
      </c>
      <c r="S37" s="52">
        <v>80</v>
      </c>
      <c r="T37" s="50">
        <v>0.4</v>
      </c>
      <c r="U37" s="66">
        <v>0.1</v>
      </c>
      <c r="V37" s="50">
        <v>0</v>
      </c>
    </row>
    <row r="38" spans="1:22" s="53" customFormat="1" x14ac:dyDescent="0.2">
      <c r="A38" s="49" t="s">
        <v>44</v>
      </c>
      <c r="B38" s="49" t="s">
        <v>45</v>
      </c>
      <c r="C38" s="49" t="s">
        <v>46</v>
      </c>
      <c r="D38" s="49" t="s">
        <v>148</v>
      </c>
      <c r="E38" s="49" t="s">
        <v>149</v>
      </c>
      <c r="F38" s="49" t="s">
        <v>150</v>
      </c>
      <c r="G38" s="49" t="s">
        <v>147</v>
      </c>
      <c r="H38" s="49" t="s">
        <v>36</v>
      </c>
      <c r="I38" s="49" t="s">
        <v>121</v>
      </c>
      <c r="J38" s="49" t="s">
        <v>122</v>
      </c>
      <c r="K38" s="49">
        <v>1</v>
      </c>
      <c r="L38" s="50">
        <v>0.5</v>
      </c>
      <c r="M38" s="49" t="s">
        <v>125</v>
      </c>
      <c r="N38" s="49">
        <v>2017</v>
      </c>
      <c r="O38" s="49" t="s">
        <v>47</v>
      </c>
      <c r="P38" s="51" t="s">
        <v>69</v>
      </c>
      <c r="Q38" s="49" t="s">
        <v>37</v>
      </c>
      <c r="R38" s="51" t="s">
        <v>37</v>
      </c>
      <c r="S38" s="52">
        <v>80</v>
      </c>
      <c r="T38" s="50">
        <v>0.4</v>
      </c>
      <c r="U38" s="66">
        <v>0.1</v>
      </c>
      <c r="V38" s="50">
        <v>0</v>
      </c>
    </row>
    <row r="39" spans="1:22" s="53" customFormat="1" x14ac:dyDescent="0.2">
      <c r="A39" s="49" t="s">
        <v>44</v>
      </c>
      <c r="B39" s="49" t="s">
        <v>45</v>
      </c>
      <c r="C39" s="49" t="s">
        <v>46</v>
      </c>
      <c r="D39" s="49" t="s">
        <v>148</v>
      </c>
      <c r="E39" s="49" t="s">
        <v>149</v>
      </c>
      <c r="F39" s="49" t="s">
        <v>150</v>
      </c>
      <c r="G39" s="49" t="s">
        <v>151</v>
      </c>
      <c r="H39" s="49" t="s">
        <v>36</v>
      </c>
      <c r="I39" s="49" t="s">
        <v>121</v>
      </c>
      <c r="J39" s="49" t="s">
        <v>122</v>
      </c>
      <c r="K39" s="49">
        <v>1</v>
      </c>
      <c r="L39" s="50">
        <v>0.5</v>
      </c>
      <c r="M39" s="49" t="s">
        <v>125</v>
      </c>
      <c r="N39" s="49">
        <v>2017</v>
      </c>
      <c r="O39" s="49" t="s">
        <v>47</v>
      </c>
      <c r="P39" s="51" t="s">
        <v>69</v>
      </c>
      <c r="Q39" s="49" t="s">
        <v>37</v>
      </c>
      <c r="R39" s="51" t="s">
        <v>37</v>
      </c>
      <c r="S39" s="52">
        <v>80</v>
      </c>
      <c r="T39" s="50">
        <v>0.4</v>
      </c>
      <c r="U39" s="66">
        <v>0.1</v>
      </c>
      <c r="V39" s="50">
        <v>0</v>
      </c>
    </row>
    <row r="40" spans="1:22" s="53" customFormat="1" x14ac:dyDescent="0.2">
      <c r="A40" s="49" t="s">
        <v>44</v>
      </c>
      <c r="B40" s="49" t="s">
        <v>45</v>
      </c>
      <c r="C40" s="49" t="s">
        <v>46</v>
      </c>
      <c r="D40" s="49" t="s">
        <v>244</v>
      </c>
      <c r="E40" s="49" t="s">
        <v>245</v>
      </c>
      <c r="F40" s="49" t="s">
        <v>246</v>
      </c>
      <c r="G40" s="49" t="s">
        <v>247</v>
      </c>
      <c r="H40" s="49" t="s">
        <v>36</v>
      </c>
      <c r="I40" s="49" t="s">
        <v>132</v>
      </c>
      <c r="J40" s="49" t="s">
        <v>133</v>
      </c>
      <c r="K40" s="49">
        <v>1</v>
      </c>
      <c r="L40" s="50">
        <v>0.5</v>
      </c>
      <c r="M40" s="49" t="s">
        <v>234</v>
      </c>
      <c r="N40" s="49">
        <v>2017</v>
      </c>
      <c r="O40" s="49" t="s">
        <v>47</v>
      </c>
      <c r="P40" s="51" t="s">
        <v>69</v>
      </c>
      <c r="Q40" s="49" t="s">
        <v>37</v>
      </c>
      <c r="R40" s="51" t="s">
        <v>37</v>
      </c>
      <c r="S40" s="52">
        <v>80</v>
      </c>
      <c r="T40" s="50">
        <v>0.4</v>
      </c>
      <c r="U40" s="66">
        <v>0.1</v>
      </c>
      <c r="V40" s="50">
        <v>0</v>
      </c>
    </row>
    <row r="41" spans="1:22" s="53" customFormat="1" x14ac:dyDescent="0.2">
      <c r="A41" s="49" t="s">
        <v>44</v>
      </c>
      <c r="B41" s="49" t="s">
        <v>45</v>
      </c>
      <c r="C41" s="49" t="s">
        <v>46</v>
      </c>
      <c r="D41" s="49" t="s">
        <v>244</v>
      </c>
      <c r="E41" s="49" t="s">
        <v>245</v>
      </c>
      <c r="F41" s="49" t="s">
        <v>246</v>
      </c>
      <c r="G41" s="49" t="s">
        <v>248</v>
      </c>
      <c r="H41" s="49" t="s">
        <v>36</v>
      </c>
      <c r="I41" s="49" t="s">
        <v>132</v>
      </c>
      <c r="J41" s="49" t="s">
        <v>133</v>
      </c>
      <c r="K41" s="49">
        <v>1</v>
      </c>
      <c r="L41" s="50">
        <v>0.5</v>
      </c>
      <c r="M41" s="49" t="s">
        <v>234</v>
      </c>
      <c r="N41" s="49">
        <v>2017</v>
      </c>
      <c r="O41" s="49" t="s">
        <v>47</v>
      </c>
      <c r="P41" s="51" t="s">
        <v>68</v>
      </c>
      <c r="Q41" s="49" t="s">
        <v>37</v>
      </c>
      <c r="R41" s="51" t="s">
        <v>37</v>
      </c>
      <c r="S41" s="52">
        <v>50</v>
      </c>
      <c r="T41" s="50">
        <v>0.25</v>
      </c>
      <c r="U41" s="66">
        <v>0.25</v>
      </c>
      <c r="V41" s="50">
        <v>0</v>
      </c>
    </row>
    <row r="42" spans="1:22" s="53" customFormat="1" x14ac:dyDescent="0.2">
      <c r="A42" s="49" t="s">
        <v>44</v>
      </c>
      <c r="B42" s="49" t="s">
        <v>45</v>
      </c>
      <c r="C42" s="49" t="s">
        <v>46</v>
      </c>
      <c r="D42" s="49" t="s">
        <v>249</v>
      </c>
      <c r="E42" s="49" t="s">
        <v>250</v>
      </c>
      <c r="F42" s="49" t="s">
        <v>111</v>
      </c>
      <c r="G42" s="49" t="s">
        <v>236</v>
      </c>
      <c r="H42" s="49" t="s">
        <v>39</v>
      </c>
      <c r="I42" s="49" t="s">
        <v>132</v>
      </c>
      <c r="J42" s="49" t="s">
        <v>133</v>
      </c>
      <c r="K42" s="49">
        <v>1</v>
      </c>
      <c r="L42" s="50">
        <v>1</v>
      </c>
      <c r="M42" s="49" t="s">
        <v>234</v>
      </c>
      <c r="N42" s="49">
        <v>2017</v>
      </c>
      <c r="O42" s="49" t="s">
        <v>47</v>
      </c>
      <c r="P42" s="51" t="s">
        <v>69</v>
      </c>
      <c r="Q42" s="49" t="s">
        <v>37</v>
      </c>
      <c r="R42" s="51" t="s">
        <v>37</v>
      </c>
      <c r="S42" s="52">
        <v>80</v>
      </c>
      <c r="T42" s="50">
        <v>0.8</v>
      </c>
      <c r="U42" s="66">
        <v>0.2</v>
      </c>
      <c r="V42" s="50">
        <v>0</v>
      </c>
    </row>
    <row r="43" spans="1:22" s="53" customFormat="1" x14ac:dyDescent="0.2">
      <c r="A43" s="49" t="s">
        <v>44</v>
      </c>
      <c r="B43" s="49" t="s">
        <v>45</v>
      </c>
      <c r="C43" s="49" t="s">
        <v>46</v>
      </c>
      <c r="D43" s="49" t="s">
        <v>214</v>
      </c>
      <c r="E43" s="49" t="s">
        <v>215</v>
      </c>
      <c r="F43" s="49" t="s">
        <v>216</v>
      </c>
      <c r="G43" s="49" t="s">
        <v>201</v>
      </c>
      <c r="H43" s="49" t="s">
        <v>36</v>
      </c>
      <c r="I43" s="49" t="s">
        <v>88</v>
      </c>
      <c r="J43" s="49" t="s">
        <v>89</v>
      </c>
      <c r="K43" s="49">
        <v>1</v>
      </c>
      <c r="L43" s="50">
        <v>0.5</v>
      </c>
      <c r="M43" s="49" t="s">
        <v>95</v>
      </c>
      <c r="N43" s="49">
        <v>2017</v>
      </c>
      <c r="O43" s="49" t="s">
        <v>47</v>
      </c>
      <c r="P43" s="51" t="s">
        <v>69</v>
      </c>
      <c r="Q43" s="49" t="s">
        <v>37</v>
      </c>
      <c r="R43" s="51" t="s">
        <v>37</v>
      </c>
      <c r="S43" s="52">
        <v>80</v>
      </c>
      <c r="T43" s="50">
        <v>0.4</v>
      </c>
      <c r="U43" s="66">
        <v>0.1</v>
      </c>
      <c r="V43" s="50">
        <v>0</v>
      </c>
    </row>
    <row r="44" spans="1:22" s="53" customFormat="1" x14ac:dyDescent="0.2">
      <c r="A44" s="49" t="s">
        <v>44</v>
      </c>
      <c r="B44" s="49" t="s">
        <v>45</v>
      </c>
      <c r="C44" s="49" t="s">
        <v>46</v>
      </c>
      <c r="D44" s="49" t="s">
        <v>214</v>
      </c>
      <c r="E44" s="49" t="s">
        <v>215</v>
      </c>
      <c r="F44" s="49" t="s">
        <v>216</v>
      </c>
      <c r="G44" s="49" t="s">
        <v>197</v>
      </c>
      <c r="H44" s="49" t="s">
        <v>36</v>
      </c>
      <c r="I44" s="49" t="s">
        <v>88</v>
      </c>
      <c r="J44" s="49" t="s">
        <v>89</v>
      </c>
      <c r="K44" s="49">
        <v>1</v>
      </c>
      <c r="L44" s="50">
        <v>0.5</v>
      </c>
      <c r="M44" s="49" t="s">
        <v>95</v>
      </c>
      <c r="N44" s="49">
        <v>2017</v>
      </c>
      <c r="O44" s="49" t="s">
        <v>47</v>
      </c>
      <c r="P44" s="51" t="s">
        <v>69</v>
      </c>
      <c r="Q44" s="49" t="s">
        <v>37</v>
      </c>
      <c r="R44" s="51" t="s">
        <v>37</v>
      </c>
      <c r="S44" s="52">
        <v>80</v>
      </c>
      <c r="T44" s="50">
        <v>0.4</v>
      </c>
      <c r="U44" s="66">
        <v>0.1</v>
      </c>
      <c r="V44" s="50">
        <v>0</v>
      </c>
    </row>
    <row r="45" spans="1:22" s="53" customFormat="1" x14ac:dyDescent="0.2">
      <c r="A45" s="49" t="s">
        <v>44</v>
      </c>
      <c r="B45" s="49" t="s">
        <v>45</v>
      </c>
      <c r="C45" s="49" t="s">
        <v>46</v>
      </c>
      <c r="D45" s="49" t="s">
        <v>51</v>
      </c>
      <c r="E45" s="49" t="s">
        <v>52</v>
      </c>
      <c r="F45" s="49" t="s">
        <v>53</v>
      </c>
      <c r="G45" s="49" t="s">
        <v>235</v>
      </c>
      <c r="H45" s="49" t="s">
        <v>36</v>
      </c>
      <c r="I45" s="49" t="s">
        <v>132</v>
      </c>
      <c r="J45" s="49" t="s">
        <v>133</v>
      </c>
      <c r="K45" s="49">
        <v>1</v>
      </c>
      <c r="L45" s="50">
        <v>0.5</v>
      </c>
      <c r="M45" s="49" t="s">
        <v>234</v>
      </c>
      <c r="N45" s="49">
        <v>2017</v>
      </c>
      <c r="O45" s="49" t="s">
        <v>47</v>
      </c>
      <c r="P45" s="51" t="s">
        <v>68</v>
      </c>
      <c r="Q45" s="49" t="s">
        <v>37</v>
      </c>
      <c r="R45" s="51" t="s">
        <v>37</v>
      </c>
      <c r="S45" s="52">
        <v>50</v>
      </c>
      <c r="T45" s="50">
        <v>0.25</v>
      </c>
      <c r="U45" s="66">
        <v>0.25</v>
      </c>
      <c r="V45" s="50">
        <v>0</v>
      </c>
    </row>
    <row r="46" spans="1:22" s="53" customFormat="1" x14ac:dyDescent="0.2">
      <c r="A46" s="49" t="s">
        <v>44</v>
      </c>
      <c r="B46" s="49" t="s">
        <v>45</v>
      </c>
      <c r="C46" s="49" t="s">
        <v>46</v>
      </c>
      <c r="D46" s="49" t="s">
        <v>152</v>
      </c>
      <c r="E46" s="49" t="s">
        <v>153</v>
      </c>
      <c r="F46" s="49" t="s">
        <v>154</v>
      </c>
      <c r="G46" s="49" t="s">
        <v>155</v>
      </c>
      <c r="H46" s="49" t="s">
        <v>36</v>
      </c>
      <c r="I46" s="49" t="s">
        <v>121</v>
      </c>
      <c r="J46" s="49" t="s">
        <v>122</v>
      </c>
      <c r="K46" s="49">
        <v>1</v>
      </c>
      <c r="L46" s="50">
        <v>0.5</v>
      </c>
      <c r="M46" s="49" t="s">
        <v>125</v>
      </c>
      <c r="N46" s="49">
        <v>2017</v>
      </c>
      <c r="O46" s="49" t="s">
        <v>47</v>
      </c>
      <c r="P46" s="51" t="s">
        <v>69</v>
      </c>
      <c r="Q46" s="49" t="s">
        <v>37</v>
      </c>
      <c r="R46" s="51" t="s">
        <v>37</v>
      </c>
      <c r="S46" s="52">
        <v>80</v>
      </c>
      <c r="T46" s="50">
        <v>0.4</v>
      </c>
      <c r="U46" s="66">
        <v>0.1</v>
      </c>
      <c r="V46" s="50">
        <v>0</v>
      </c>
    </row>
    <row r="47" spans="1:22" s="53" customFormat="1" x14ac:dyDescent="0.2">
      <c r="A47" s="49" t="s">
        <v>44</v>
      </c>
      <c r="B47" s="49" t="s">
        <v>45</v>
      </c>
      <c r="C47" s="49" t="s">
        <v>46</v>
      </c>
      <c r="D47" s="49" t="s">
        <v>152</v>
      </c>
      <c r="E47" s="49" t="s">
        <v>153</v>
      </c>
      <c r="F47" s="49" t="s">
        <v>154</v>
      </c>
      <c r="G47" s="49" t="s">
        <v>126</v>
      </c>
      <c r="H47" s="49" t="s">
        <v>36</v>
      </c>
      <c r="I47" s="49" t="s">
        <v>121</v>
      </c>
      <c r="J47" s="49" t="s">
        <v>122</v>
      </c>
      <c r="K47" s="49">
        <v>1</v>
      </c>
      <c r="L47" s="50">
        <v>0.5</v>
      </c>
      <c r="M47" s="49" t="s">
        <v>125</v>
      </c>
      <c r="N47" s="49">
        <v>2017</v>
      </c>
      <c r="O47" s="49" t="s">
        <v>47</v>
      </c>
      <c r="P47" s="51" t="s">
        <v>69</v>
      </c>
      <c r="Q47" s="49" t="s">
        <v>37</v>
      </c>
      <c r="R47" s="51" t="s">
        <v>37</v>
      </c>
      <c r="S47" s="52">
        <v>80</v>
      </c>
      <c r="T47" s="50">
        <v>0.4</v>
      </c>
      <c r="U47" s="66">
        <v>0.1</v>
      </c>
      <c r="V47" s="50">
        <v>0</v>
      </c>
    </row>
    <row r="48" spans="1:22" s="53" customFormat="1" x14ac:dyDescent="0.2">
      <c r="A48" s="49" t="s">
        <v>44</v>
      </c>
      <c r="B48" s="49" t="s">
        <v>45</v>
      </c>
      <c r="C48" s="49" t="s">
        <v>46</v>
      </c>
      <c r="D48" s="49" t="s">
        <v>189</v>
      </c>
      <c r="E48" s="49" t="s">
        <v>190</v>
      </c>
      <c r="F48" s="49" t="s">
        <v>41</v>
      </c>
      <c r="G48" s="49" t="s">
        <v>174</v>
      </c>
      <c r="H48" s="49" t="s">
        <v>39</v>
      </c>
      <c r="I48" s="49" t="s">
        <v>169</v>
      </c>
      <c r="J48" s="49" t="s">
        <v>170</v>
      </c>
      <c r="K48" s="49">
        <v>1</v>
      </c>
      <c r="L48" s="50">
        <v>1</v>
      </c>
      <c r="M48" s="49" t="s">
        <v>172</v>
      </c>
      <c r="N48" s="49">
        <v>2017</v>
      </c>
      <c r="O48" s="49" t="s">
        <v>47</v>
      </c>
      <c r="P48" s="51" t="s">
        <v>68</v>
      </c>
      <c r="Q48" s="49" t="s">
        <v>37</v>
      </c>
      <c r="R48" s="51" t="s">
        <v>37</v>
      </c>
      <c r="S48" s="52">
        <v>50</v>
      </c>
      <c r="T48" s="50">
        <v>0.5</v>
      </c>
      <c r="U48" s="66">
        <v>0.5</v>
      </c>
      <c r="V48" s="50">
        <v>0</v>
      </c>
    </row>
    <row r="49" spans="1:22" s="53" customFormat="1" x14ac:dyDescent="0.2">
      <c r="A49" s="61" t="s">
        <v>70</v>
      </c>
      <c r="B49" s="61" t="s">
        <v>71</v>
      </c>
      <c r="C49" s="61" t="s">
        <v>46</v>
      </c>
      <c r="D49" s="61" t="s">
        <v>217</v>
      </c>
      <c r="E49" s="61" t="s">
        <v>218</v>
      </c>
      <c r="F49" s="61" t="s">
        <v>107</v>
      </c>
      <c r="G49" s="61" t="s">
        <v>195</v>
      </c>
      <c r="H49" s="61" t="s">
        <v>39</v>
      </c>
      <c r="I49" s="61" t="s">
        <v>88</v>
      </c>
      <c r="J49" s="61" t="s">
        <v>89</v>
      </c>
      <c r="K49" s="49">
        <v>1</v>
      </c>
      <c r="L49" s="62">
        <v>1</v>
      </c>
      <c r="M49" s="61" t="s">
        <v>95</v>
      </c>
      <c r="N49" s="61">
        <v>2017</v>
      </c>
      <c r="O49" s="61" t="s">
        <v>47</v>
      </c>
      <c r="P49" s="63" t="s">
        <v>68</v>
      </c>
      <c r="Q49" s="61" t="s">
        <v>37</v>
      </c>
      <c r="R49" s="63" t="s">
        <v>37</v>
      </c>
      <c r="S49" s="64">
        <v>50</v>
      </c>
      <c r="T49" s="62">
        <v>0.5</v>
      </c>
      <c r="U49" s="69">
        <v>0.5</v>
      </c>
      <c r="V49" s="62">
        <v>0</v>
      </c>
    </row>
    <row r="50" spans="1:22" s="53" customFormat="1" x14ac:dyDescent="0.2">
      <c r="A50" s="49" t="s">
        <v>44</v>
      </c>
      <c r="B50" s="49" t="s">
        <v>45</v>
      </c>
      <c r="C50" s="49" t="s">
        <v>46</v>
      </c>
      <c r="D50" s="49" t="s">
        <v>156</v>
      </c>
      <c r="E50" s="49" t="s">
        <v>157</v>
      </c>
      <c r="F50" s="49" t="s">
        <v>158</v>
      </c>
      <c r="G50" s="49" t="s">
        <v>135</v>
      </c>
      <c r="H50" s="49" t="s">
        <v>36</v>
      </c>
      <c r="I50" s="49" t="s">
        <v>121</v>
      </c>
      <c r="J50" s="49" t="s">
        <v>122</v>
      </c>
      <c r="K50" s="49">
        <v>1</v>
      </c>
      <c r="L50" s="54">
        <v>0.5</v>
      </c>
      <c r="M50" s="49" t="s">
        <v>125</v>
      </c>
      <c r="N50" s="49">
        <v>2018</v>
      </c>
      <c r="O50" s="49" t="s">
        <v>47</v>
      </c>
      <c r="P50" s="51" t="s">
        <v>69</v>
      </c>
      <c r="Q50" s="49" t="s">
        <v>37</v>
      </c>
      <c r="R50" s="51" t="s">
        <v>37</v>
      </c>
      <c r="S50" s="52">
        <v>80</v>
      </c>
      <c r="T50" s="50">
        <v>0.4</v>
      </c>
      <c r="U50" s="66">
        <v>0.1</v>
      </c>
      <c r="V50" s="50">
        <v>0</v>
      </c>
    </row>
    <row r="51" spans="1:22" s="53" customFormat="1" x14ac:dyDescent="0.2">
      <c r="A51" s="49" t="s">
        <v>44</v>
      </c>
      <c r="B51" s="49" t="s">
        <v>45</v>
      </c>
      <c r="C51" s="49" t="s">
        <v>46</v>
      </c>
      <c r="D51" s="49" t="s">
        <v>156</v>
      </c>
      <c r="E51" s="49" t="s">
        <v>157</v>
      </c>
      <c r="F51" s="49" t="s">
        <v>158</v>
      </c>
      <c r="G51" s="49" t="s">
        <v>151</v>
      </c>
      <c r="H51" s="49" t="s">
        <v>36</v>
      </c>
      <c r="I51" s="49" t="s">
        <v>121</v>
      </c>
      <c r="J51" s="49" t="s">
        <v>122</v>
      </c>
      <c r="K51" s="49">
        <v>1</v>
      </c>
      <c r="L51" s="54">
        <v>0.5</v>
      </c>
      <c r="M51" s="49" t="s">
        <v>125</v>
      </c>
      <c r="N51" s="49">
        <v>2018</v>
      </c>
      <c r="O51" s="49" t="s">
        <v>47</v>
      </c>
      <c r="P51" s="51" t="s">
        <v>69</v>
      </c>
      <c r="Q51" s="49" t="s">
        <v>37</v>
      </c>
      <c r="R51" s="51" t="s">
        <v>37</v>
      </c>
      <c r="S51" s="52">
        <v>80</v>
      </c>
      <c r="T51" s="50">
        <v>0.4</v>
      </c>
      <c r="U51" s="66">
        <v>0.1</v>
      </c>
      <c r="V51" s="50">
        <v>0</v>
      </c>
    </row>
    <row r="52" spans="1:22" s="53" customFormat="1" x14ac:dyDescent="0.2">
      <c r="A52" s="49" t="s">
        <v>44</v>
      </c>
      <c r="B52" s="49" t="s">
        <v>45</v>
      </c>
      <c r="C52" s="49" t="s">
        <v>46</v>
      </c>
      <c r="D52" s="49" t="s">
        <v>159</v>
      </c>
      <c r="E52" s="49" t="s">
        <v>160</v>
      </c>
      <c r="F52" s="49" t="s">
        <v>161</v>
      </c>
      <c r="G52" s="49" t="s">
        <v>128</v>
      </c>
      <c r="H52" s="49" t="s">
        <v>39</v>
      </c>
      <c r="I52" s="49" t="s">
        <v>121</v>
      </c>
      <c r="J52" s="49" t="s">
        <v>122</v>
      </c>
      <c r="K52" s="49">
        <v>1</v>
      </c>
      <c r="L52" s="54">
        <v>1</v>
      </c>
      <c r="M52" s="49" t="s">
        <v>125</v>
      </c>
      <c r="N52" s="49">
        <v>2018</v>
      </c>
      <c r="O52" s="49" t="s">
        <v>47</v>
      </c>
      <c r="P52" s="51" t="s">
        <v>69</v>
      </c>
      <c r="Q52" s="49" t="s">
        <v>37</v>
      </c>
      <c r="R52" s="51" t="s">
        <v>37</v>
      </c>
      <c r="S52" s="52">
        <v>80</v>
      </c>
      <c r="T52" s="50">
        <v>0.8</v>
      </c>
      <c r="U52" s="66">
        <v>0.2</v>
      </c>
      <c r="V52" s="50">
        <v>0</v>
      </c>
    </row>
    <row r="53" spans="1:22" s="53" customFormat="1" x14ac:dyDescent="0.2">
      <c r="A53" s="49" t="s">
        <v>44</v>
      </c>
      <c r="B53" s="49" t="s">
        <v>45</v>
      </c>
      <c r="C53" s="49" t="s">
        <v>46</v>
      </c>
      <c r="D53" s="49" t="s">
        <v>219</v>
      </c>
      <c r="E53" s="49" t="s">
        <v>220</v>
      </c>
      <c r="F53" s="49" t="s">
        <v>43</v>
      </c>
      <c r="G53" s="49" t="s">
        <v>203</v>
      </c>
      <c r="H53" s="49" t="s">
        <v>36</v>
      </c>
      <c r="I53" s="49" t="s">
        <v>88</v>
      </c>
      <c r="J53" s="49" t="s">
        <v>89</v>
      </c>
      <c r="K53" s="49">
        <v>1</v>
      </c>
      <c r="L53" s="54">
        <v>0.5</v>
      </c>
      <c r="M53" s="49" t="s">
        <v>95</v>
      </c>
      <c r="N53" s="49">
        <v>2018</v>
      </c>
      <c r="O53" s="49" t="s">
        <v>47</v>
      </c>
      <c r="P53" s="51" t="s">
        <v>69</v>
      </c>
      <c r="Q53" s="49" t="s">
        <v>37</v>
      </c>
      <c r="R53" s="51" t="s">
        <v>37</v>
      </c>
      <c r="S53" s="52">
        <v>80</v>
      </c>
      <c r="T53" s="50">
        <v>0.4</v>
      </c>
      <c r="U53" s="66">
        <v>0.1</v>
      </c>
      <c r="V53" s="50">
        <v>0</v>
      </c>
    </row>
    <row r="54" spans="1:22" s="53" customFormat="1" x14ac:dyDescent="0.2">
      <c r="A54" s="49" t="s">
        <v>44</v>
      </c>
      <c r="B54" s="49" t="s">
        <v>45</v>
      </c>
      <c r="C54" s="49" t="s">
        <v>46</v>
      </c>
      <c r="D54" s="49" t="s">
        <v>219</v>
      </c>
      <c r="E54" s="49" t="s">
        <v>220</v>
      </c>
      <c r="F54" s="49" t="s">
        <v>43</v>
      </c>
      <c r="G54" s="49" t="s">
        <v>204</v>
      </c>
      <c r="H54" s="49" t="s">
        <v>36</v>
      </c>
      <c r="I54" s="49" t="s">
        <v>88</v>
      </c>
      <c r="J54" s="49" t="s">
        <v>89</v>
      </c>
      <c r="K54" s="49">
        <v>1</v>
      </c>
      <c r="L54" s="54">
        <v>0.5</v>
      </c>
      <c r="M54" s="49" t="s">
        <v>95</v>
      </c>
      <c r="N54" s="49">
        <v>2018</v>
      </c>
      <c r="O54" s="49" t="s">
        <v>47</v>
      </c>
      <c r="P54" s="51" t="s">
        <v>69</v>
      </c>
      <c r="Q54" s="49" t="s">
        <v>37</v>
      </c>
      <c r="R54" s="51" t="s">
        <v>37</v>
      </c>
      <c r="S54" s="52">
        <v>80</v>
      </c>
      <c r="T54" s="50">
        <v>0.4</v>
      </c>
      <c r="U54" s="66">
        <v>0.1</v>
      </c>
      <c r="V54" s="50">
        <v>0</v>
      </c>
    </row>
    <row r="55" spans="1:22" s="53" customFormat="1" x14ac:dyDescent="0.2">
      <c r="A55" s="49" t="s">
        <v>44</v>
      </c>
      <c r="B55" s="49" t="s">
        <v>45</v>
      </c>
      <c r="C55" s="49" t="s">
        <v>46</v>
      </c>
      <c r="D55" s="49" t="s">
        <v>251</v>
      </c>
      <c r="E55" s="49" t="s">
        <v>252</v>
      </c>
      <c r="F55" s="49" t="s">
        <v>253</v>
      </c>
      <c r="G55" s="49" t="s">
        <v>238</v>
      </c>
      <c r="H55" s="49" t="s">
        <v>39</v>
      </c>
      <c r="I55" s="49" t="s">
        <v>132</v>
      </c>
      <c r="J55" s="49" t="s">
        <v>133</v>
      </c>
      <c r="K55" s="49">
        <v>1</v>
      </c>
      <c r="L55" s="54">
        <v>1</v>
      </c>
      <c r="M55" s="49" t="s">
        <v>234</v>
      </c>
      <c r="N55" s="49">
        <v>2018</v>
      </c>
      <c r="O55" s="49" t="s">
        <v>47</v>
      </c>
      <c r="P55" s="51" t="s">
        <v>69</v>
      </c>
      <c r="Q55" s="49" t="s">
        <v>37</v>
      </c>
      <c r="R55" s="51" t="s">
        <v>37</v>
      </c>
      <c r="S55" s="52">
        <v>80</v>
      </c>
      <c r="T55" s="50">
        <v>0.8</v>
      </c>
      <c r="U55" s="66">
        <v>0.2</v>
      </c>
      <c r="V55" s="50">
        <v>0</v>
      </c>
    </row>
    <row r="56" spans="1:22" s="53" customFormat="1" x14ac:dyDescent="0.2">
      <c r="A56" s="49" t="s">
        <v>44</v>
      </c>
      <c r="B56" s="49" t="s">
        <v>45</v>
      </c>
      <c r="C56" s="49" t="s">
        <v>46</v>
      </c>
      <c r="D56" s="49" t="s">
        <v>254</v>
      </c>
      <c r="E56" s="49" t="s">
        <v>255</v>
      </c>
      <c r="F56" s="49" t="s">
        <v>256</v>
      </c>
      <c r="G56" s="49" t="s">
        <v>257</v>
      </c>
      <c r="H56" s="49" t="s">
        <v>39</v>
      </c>
      <c r="I56" s="49" t="s">
        <v>132</v>
      </c>
      <c r="J56" s="49" t="s">
        <v>133</v>
      </c>
      <c r="K56" s="49">
        <v>1</v>
      </c>
      <c r="L56" s="54">
        <v>1</v>
      </c>
      <c r="M56" s="49" t="s">
        <v>234</v>
      </c>
      <c r="N56" s="49">
        <v>2018</v>
      </c>
      <c r="O56" s="49" t="s">
        <v>47</v>
      </c>
      <c r="P56" s="51" t="s">
        <v>69</v>
      </c>
      <c r="Q56" s="49" t="s">
        <v>37</v>
      </c>
      <c r="R56" s="51" t="s">
        <v>37</v>
      </c>
      <c r="S56" s="52">
        <v>80</v>
      </c>
      <c r="T56" s="50">
        <v>0.8</v>
      </c>
      <c r="U56" s="66">
        <v>0.2</v>
      </c>
      <c r="V56" s="50">
        <v>0</v>
      </c>
    </row>
    <row r="57" spans="1:22" s="53" customFormat="1" x14ac:dyDescent="0.2">
      <c r="A57" s="49" t="s">
        <v>44</v>
      </c>
      <c r="B57" s="49" t="s">
        <v>45</v>
      </c>
      <c r="C57" s="49" t="s">
        <v>46</v>
      </c>
      <c r="D57" s="49" t="s">
        <v>272</v>
      </c>
      <c r="E57" s="49" t="s">
        <v>273</v>
      </c>
      <c r="F57" s="49" t="s">
        <v>105</v>
      </c>
      <c r="G57" s="49" t="s">
        <v>94</v>
      </c>
      <c r="H57" s="49" t="s">
        <v>39</v>
      </c>
      <c r="I57" s="49" t="s">
        <v>88</v>
      </c>
      <c r="J57" s="49" t="s">
        <v>89</v>
      </c>
      <c r="K57" s="49">
        <v>1</v>
      </c>
      <c r="L57" s="54">
        <v>1</v>
      </c>
      <c r="M57" s="49" t="s">
        <v>95</v>
      </c>
      <c r="N57" s="49">
        <v>2018</v>
      </c>
      <c r="O57" s="49" t="s">
        <v>47</v>
      </c>
      <c r="P57" s="51" t="s">
        <v>69</v>
      </c>
      <c r="Q57" s="49" t="s">
        <v>82</v>
      </c>
      <c r="R57" s="51" t="s">
        <v>74</v>
      </c>
      <c r="S57" s="52">
        <v>70</v>
      </c>
      <c r="T57" s="50">
        <v>0.7</v>
      </c>
      <c r="U57" s="66">
        <v>0.2</v>
      </c>
      <c r="V57" s="50">
        <v>0.1</v>
      </c>
    </row>
    <row r="58" spans="1:22" s="53" customFormat="1" x14ac:dyDescent="0.2">
      <c r="A58" s="49" t="s">
        <v>44</v>
      </c>
      <c r="B58" s="49" t="s">
        <v>45</v>
      </c>
      <c r="C58" s="49" t="s">
        <v>46</v>
      </c>
      <c r="D58" s="49" t="s">
        <v>258</v>
      </c>
      <c r="E58" s="49" t="s">
        <v>259</v>
      </c>
      <c r="F58" s="49" t="s">
        <v>223</v>
      </c>
      <c r="G58" s="49" t="s">
        <v>260</v>
      </c>
      <c r="H58" s="49" t="s">
        <v>36</v>
      </c>
      <c r="I58" s="49" t="s">
        <v>132</v>
      </c>
      <c r="J58" s="49" t="s">
        <v>133</v>
      </c>
      <c r="K58" s="49">
        <v>1</v>
      </c>
      <c r="L58" s="54">
        <v>0.5</v>
      </c>
      <c r="M58" s="49" t="s">
        <v>234</v>
      </c>
      <c r="N58" s="49">
        <v>2018</v>
      </c>
      <c r="O58" s="49" t="s">
        <v>47</v>
      </c>
      <c r="P58" s="51" t="s">
        <v>69</v>
      </c>
      <c r="Q58" s="49" t="s">
        <v>37</v>
      </c>
      <c r="R58" s="51" t="s">
        <v>37</v>
      </c>
      <c r="S58" s="52">
        <v>80</v>
      </c>
      <c r="T58" s="50">
        <v>0.4</v>
      </c>
      <c r="U58" s="66">
        <v>0.1</v>
      </c>
      <c r="V58" s="50">
        <v>0</v>
      </c>
    </row>
    <row r="59" spans="1:22" s="53" customFormat="1" x14ac:dyDescent="0.2">
      <c r="A59" s="49" t="s">
        <v>44</v>
      </c>
      <c r="B59" s="49" t="s">
        <v>45</v>
      </c>
      <c r="C59" s="49" t="s">
        <v>46</v>
      </c>
      <c r="D59" s="49" t="s">
        <v>258</v>
      </c>
      <c r="E59" s="49" t="s">
        <v>259</v>
      </c>
      <c r="F59" s="49" t="s">
        <v>223</v>
      </c>
      <c r="G59" s="49" t="s">
        <v>261</v>
      </c>
      <c r="H59" s="49" t="s">
        <v>36</v>
      </c>
      <c r="I59" s="49" t="s">
        <v>132</v>
      </c>
      <c r="J59" s="49" t="s">
        <v>133</v>
      </c>
      <c r="K59" s="49">
        <v>1</v>
      </c>
      <c r="L59" s="54">
        <v>0.5</v>
      </c>
      <c r="M59" s="49" t="s">
        <v>234</v>
      </c>
      <c r="N59" s="49">
        <v>2018</v>
      </c>
      <c r="O59" s="49" t="s">
        <v>47</v>
      </c>
      <c r="P59" s="51" t="s">
        <v>69</v>
      </c>
      <c r="Q59" s="49" t="s">
        <v>37</v>
      </c>
      <c r="R59" s="51" t="s">
        <v>37</v>
      </c>
      <c r="S59" s="52">
        <v>80</v>
      </c>
      <c r="T59" s="50">
        <v>0.4</v>
      </c>
      <c r="U59" s="66">
        <v>0.1</v>
      </c>
      <c r="V59" s="50">
        <v>0</v>
      </c>
    </row>
    <row r="60" spans="1:22" s="53" customFormat="1" x14ac:dyDescent="0.2">
      <c r="A60" s="49" t="s">
        <v>44</v>
      </c>
      <c r="B60" s="49" t="s">
        <v>45</v>
      </c>
      <c r="C60" s="49" t="s">
        <v>46</v>
      </c>
      <c r="D60" s="49" t="s">
        <v>162</v>
      </c>
      <c r="E60" s="49" t="s">
        <v>163</v>
      </c>
      <c r="F60" s="49" t="s">
        <v>161</v>
      </c>
      <c r="G60" s="49" t="s">
        <v>128</v>
      </c>
      <c r="H60" s="49" t="s">
        <v>39</v>
      </c>
      <c r="I60" s="49" t="s">
        <v>121</v>
      </c>
      <c r="J60" s="49" t="s">
        <v>122</v>
      </c>
      <c r="K60" s="49">
        <v>1</v>
      </c>
      <c r="L60" s="54">
        <v>1</v>
      </c>
      <c r="M60" s="49" t="s">
        <v>125</v>
      </c>
      <c r="N60" s="49">
        <v>2018</v>
      </c>
      <c r="O60" s="49" t="s">
        <v>47</v>
      </c>
      <c r="P60" s="51" t="s">
        <v>69</v>
      </c>
      <c r="Q60" s="49" t="s">
        <v>37</v>
      </c>
      <c r="R60" s="51" t="s">
        <v>37</v>
      </c>
      <c r="S60" s="52">
        <v>80</v>
      </c>
      <c r="T60" s="50">
        <v>0.8</v>
      </c>
      <c r="U60" s="66">
        <v>0.2</v>
      </c>
      <c r="V60" s="50">
        <v>0</v>
      </c>
    </row>
    <row r="61" spans="1:22" s="53" customFormat="1" x14ac:dyDescent="0.2">
      <c r="A61" s="49" t="s">
        <v>44</v>
      </c>
      <c r="B61" s="49" t="s">
        <v>45</v>
      </c>
      <c r="C61" s="49" t="s">
        <v>46</v>
      </c>
      <c r="D61" s="49" t="s">
        <v>262</v>
      </c>
      <c r="E61" s="49" t="s">
        <v>263</v>
      </c>
      <c r="F61" s="49" t="s">
        <v>264</v>
      </c>
      <c r="G61" s="49" t="s">
        <v>237</v>
      </c>
      <c r="H61" s="49" t="s">
        <v>39</v>
      </c>
      <c r="I61" s="49" t="s">
        <v>132</v>
      </c>
      <c r="J61" s="49" t="s">
        <v>133</v>
      </c>
      <c r="K61" s="49">
        <v>1</v>
      </c>
      <c r="L61" s="54">
        <v>1</v>
      </c>
      <c r="M61" s="49" t="s">
        <v>234</v>
      </c>
      <c r="N61" s="49">
        <v>2018</v>
      </c>
      <c r="O61" s="49" t="s">
        <v>47</v>
      </c>
      <c r="P61" s="51" t="s">
        <v>69</v>
      </c>
      <c r="Q61" s="49" t="s">
        <v>37</v>
      </c>
      <c r="R61" s="51" t="s">
        <v>37</v>
      </c>
      <c r="S61" s="52">
        <v>80</v>
      </c>
      <c r="T61" s="50">
        <v>0.8</v>
      </c>
      <c r="U61" s="66">
        <v>0.2</v>
      </c>
      <c r="V61" s="50">
        <v>0</v>
      </c>
    </row>
    <row r="62" spans="1:22" s="53" customFormat="1" x14ac:dyDescent="0.2">
      <c r="A62" s="49" t="s">
        <v>44</v>
      </c>
      <c r="B62" s="49" t="s">
        <v>45</v>
      </c>
      <c r="C62" s="49" t="s">
        <v>46</v>
      </c>
      <c r="D62" s="49" t="s">
        <v>265</v>
      </c>
      <c r="E62" s="49" t="s">
        <v>266</v>
      </c>
      <c r="F62" s="49" t="s">
        <v>264</v>
      </c>
      <c r="G62" s="49" t="s">
        <v>236</v>
      </c>
      <c r="H62" s="49" t="s">
        <v>39</v>
      </c>
      <c r="I62" s="49" t="s">
        <v>132</v>
      </c>
      <c r="J62" s="49" t="s">
        <v>133</v>
      </c>
      <c r="K62" s="49">
        <v>1</v>
      </c>
      <c r="L62" s="54">
        <v>1</v>
      </c>
      <c r="M62" s="49" t="s">
        <v>234</v>
      </c>
      <c r="N62" s="49">
        <v>2018</v>
      </c>
      <c r="O62" s="49" t="s">
        <v>47</v>
      </c>
      <c r="P62" s="51" t="s">
        <v>69</v>
      </c>
      <c r="Q62" s="49" t="s">
        <v>37</v>
      </c>
      <c r="R62" s="51" t="s">
        <v>37</v>
      </c>
      <c r="S62" s="52">
        <v>80</v>
      </c>
      <c r="T62" s="50">
        <v>0.8</v>
      </c>
      <c r="U62" s="66">
        <v>0.2</v>
      </c>
      <c r="V62" s="50">
        <v>0</v>
      </c>
    </row>
    <row r="63" spans="1:22" s="53" customFormat="1" x14ac:dyDescent="0.2">
      <c r="A63" s="49" t="s">
        <v>44</v>
      </c>
      <c r="B63" s="49" t="s">
        <v>45</v>
      </c>
      <c r="C63" s="49" t="s">
        <v>46</v>
      </c>
      <c r="D63" s="49" t="s">
        <v>221</v>
      </c>
      <c r="E63" s="49" t="s">
        <v>222</v>
      </c>
      <c r="F63" s="49" t="s">
        <v>223</v>
      </c>
      <c r="G63" s="49" t="s">
        <v>224</v>
      </c>
      <c r="H63" s="49" t="s">
        <v>39</v>
      </c>
      <c r="I63" s="49" t="s">
        <v>88</v>
      </c>
      <c r="J63" s="49" t="s">
        <v>89</v>
      </c>
      <c r="K63" s="49">
        <v>1</v>
      </c>
      <c r="L63" s="54">
        <v>1</v>
      </c>
      <c r="M63" s="49" t="s">
        <v>95</v>
      </c>
      <c r="N63" s="49">
        <v>2018</v>
      </c>
      <c r="O63" s="49" t="s">
        <v>47</v>
      </c>
      <c r="P63" s="51" t="s">
        <v>68</v>
      </c>
      <c r="Q63" s="49" t="s">
        <v>37</v>
      </c>
      <c r="R63" s="51" t="s">
        <v>37</v>
      </c>
      <c r="S63" s="52">
        <v>50</v>
      </c>
      <c r="T63" s="50">
        <v>0.5</v>
      </c>
      <c r="U63" s="66">
        <v>0.5</v>
      </c>
      <c r="V63" s="50">
        <v>0</v>
      </c>
    </row>
    <row r="64" spans="1:22" s="53" customFormat="1" x14ac:dyDescent="0.2">
      <c r="A64" s="49" t="s">
        <v>44</v>
      </c>
      <c r="B64" s="49" t="s">
        <v>45</v>
      </c>
      <c r="C64" s="49" t="s">
        <v>46</v>
      </c>
      <c r="D64" s="49" t="s">
        <v>267</v>
      </c>
      <c r="E64" s="49" t="s">
        <v>268</v>
      </c>
      <c r="F64" s="49" t="s">
        <v>269</v>
      </c>
      <c r="G64" s="49" t="s">
        <v>235</v>
      </c>
      <c r="H64" s="49" t="s">
        <v>39</v>
      </c>
      <c r="I64" s="49" t="s">
        <v>132</v>
      </c>
      <c r="J64" s="49" t="s">
        <v>133</v>
      </c>
      <c r="K64" s="49">
        <v>1</v>
      </c>
      <c r="L64" s="54">
        <v>1</v>
      </c>
      <c r="M64" s="49" t="s">
        <v>234</v>
      </c>
      <c r="N64" s="49">
        <v>2018</v>
      </c>
      <c r="O64" s="49" t="s">
        <v>47</v>
      </c>
      <c r="P64" s="51" t="s">
        <v>68</v>
      </c>
      <c r="Q64" s="49" t="s">
        <v>37</v>
      </c>
      <c r="R64" s="51" t="s">
        <v>37</v>
      </c>
      <c r="S64" s="52">
        <v>50</v>
      </c>
      <c r="T64" s="50">
        <v>0.5</v>
      </c>
      <c r="U64" s="66">
        <v>0.5</v>
      </c>
      <c r="V64" s="50">
        <v>0</v>
      </c>
    </row>
    <row r="65" spans="1:22" s="53" customFormat="1" x14ac:dyDescent="0.2">
      <c r="A65" s="49" t="s">
        <v>44</v>
      </c>
      <c r="B65" s="49" t="s">
        <v>45</v>
      </c>
      <c r="C65" s="49" t="s">
        <v>46</v>
      </c>
      <c r="D65" s="49" t="s">
        <v>103</v>
      </c>
      <c r="E65" s="49" t="s">
        <v>104</v>
      </c>
      <c r="F65" s="49" t="s">
        <v>105</v>
      </c>
      <c r="G65" s="49" t="s">
        <v>225</v>
      </c>
      <c r="H65" s="49" t="s">
        <v>36</v>
      </c>
      <c r="I65" s="49" t="s">
        <v>88</v>
      </c>
      <c r="J65" s="49" t="s">
        <v>89</v>
      </c>
      <c r="K65" s="49">
        <v>1</v>
      </c>
      <c r="L65" s="54">
        <v>0.5</v>
      </c>
      <c r="M65" s="49" t="s">
        <v>95</v>
      </c>
      <c r="N65" s="49">
        <v>2018</v>
      </c>
      <c r="O65" s="49" t="s">
        <v>47</v>
      </c>
      <c r="P65" s="51" t="s">
        <v>69</v>
      </c>
      <c r="Q65" s="49" t="s">
        <v>37</v>
      </c>
      <c r="R65" s="51" t="s">
        <v>37</v>
      </c>
      <c r="S65" s="52">
        <v>80</v>
      </c>
      <c r="T65" s="50">
        <v>0.4</v>
      </c>
      <c r="U65" s="66">
        <v>0.1</v>
      </c>
      <c r="V65" s="50">
        <v>0</v>
      </c>
    </row>
    <row r="66" spans="1:22" s="53" customFormat="1" x14ac:dyDescent="0.2">
      <c r="A66" s="49" t="s">
        <v>44</v>
      </c>
      <c r="B66" s="49" t="s">
        <v>45</v>
      </c>
      <c r="C66" s="49" t="s">
        <v>46</v>
      </c>
      <c r="D66" s="49" t="s">
        <v>270</v>
      </c>
      <c r="E66" s="49" t="s">
        <v>271</v>
      </c>
      <c r="F66" s="49" t="s">
        <v>112</v>
      </c>
      <c r="G66" s="49" t="s">
        <v>235</v>
      </c>
      <c r="H66" s="49" t="s">
        <v>36</v>
      </c>
      <c r="I66" s="49" t="s">
        <v>132</v>
      </c>
      <c r="J66" s="49" t="s">
        <v>133</v>
      </c>
      <c r="K66" s="49">
        <v>1</v>
      </c>
      <c r="L66" s="54">
        <v>0.5</v>
      </c>
      <c r="M66" s="49" t="s">
        <v>234</v>
      </c>
      <c r="N66" s="49">
        <v>2018</v>
      </c>
      <c r="O66" s="49" t="s">
        <v>47</v>
      </c>
      <c r="P66" s="51" t="s">
        <v>68</v>
      </c>
      <c r="Q66" s="49" t="s">
        <v>37</v>
      </c>
      <c r="R66" s="51" t="s">
        <v>37</v>
      </c>
      <c r="S66" s="52">
        <v>50</v>
      </c>
      <c r="T66" s="50">
        <v>0.25</v>
      </c>
      <c r="U66" s="66">
        <v>0.25</v>
      </c>
      <c r="V66" s="50">
        <v>0</v>
      </c>
    </row>
    <row r="67" spans="1:22" s="53" customFormat="1" x14ac:dyDescent="0.2">
      <c r="A67" s="49" t="s">
        <v>44</v>
      </c>
      <c r="B67" s="49" t="s">
        <v>45</v>
      </c>
      <c r="C67" s="49" t="s">
        <v>46</v>
      </c>
      <c r="D67" s="49" t="s">
        <v>164</v>
      </c>
      <c r="E67" s="49" t="s">
        <v>165</v>
      </c>
      <c r="F67" s="49" t="s">
        <v>166</v>
      </c>
      <c r="G67" s="49" t="s">
        <v>139</v>
      </c>
      <c r="H67" s="49" t="s">
        <v>36</v>
      </c>
      <c r="I67" s="49" t="s">
        <v>121</v>
      </c>
      <c r="J67" s="49" t="s">
        <v>122</v>
      </c>
      <c r="K67" s="49">
        <v>1</v>
      </c>
      <c r="L67" s="54">
        <v>0.5</v>
      </c>
      <c r="M67" s="49" t="s">
        <v>125</v>
      </c>
      <c r="N67" s="49">
        <v>2018</v>
      </c>
      <c r="O67" s="49" t="s">
        <v>47</v>
      </c>
      <c r="P67" s="51" t="s">
        <v>69</v>
      </c>
      <c r="Q67" s="49" t="s">
        <v>37</v>
      </c>
      <c r="R67" s="51" t="s">
        <v>37</v>
      </c>
      <c r="S67" s="52">
        <v>80</v>
      </c>
      <c r="T67" s="50">
        <v>0.4</v>
      </c>
      <c r="U67" s="66">
        <v>0.1</v>
      </c>
      <c r="V67" s="50">
        <v>0</v>
      </c>
    </row>
    <row r="68" spans="1:22" s="53" customFormat="1" x14ac:dyDescent="0.2">
      <c r="A68" s="49" t="s">
        <v>44</v>
      </c>
      <c r="B68" s="49" t="s">
        <v>45</v>
      </c>
      <c r="C68" s="49" t="s">
        <v>46</v>
      </c>
      <c r="D68" s="49" t="s">
        <v>164</v>
      </c>
      <c r="E68" s="49" t="s">
        <v>165</v>
      </c>
      <c r="F68" s="49" t="s">
        <v>166</v>
      </c>
      <c r="G68" s="49" t="s">
        <v>167</v>
      </c>
      <c r="H68" s="49" t="s">
        <v>36</v>
      </c>
      <c r="I68" s="49" t="s">
        <v>121</v>
      </c>
      <c r="J68" s="49" t="s">
        <v>122</v>
      </c>
      <c r="K68" s="49">
        <v>1</v>
      </c>
      <c r="L68" s="54">
        <v>0.5</v>
      </c>
      <c r="M68" s="49" t="s">
        <v>125</v>
      </c>
      <c r="N68" s="49">
        <v>2018</v>
      </c>
      <c r="O68" s="49" t="s">
        <v>47</v>
      </c>
      <c r="P68" s="51" t="s">
        <v>69</v>
      </c>
      <c r="Q68" s="49" t="s">
        <v>37</v>
      </c>
      <c r="R68" s="51" t="s">
        <v>37</v>
      </c>
      <c r="S68" s="52">
        <v>80</v>
      </c>
      <c r="T68" s="50">
        <v>0.4</v>
      </c>
      <c r="U68" s="66">
        <v>0.1</v>
      </c>
      <c r="V68" s="50">
        <v>0</v>
      </c>
    </row>
    <row r="69" spans="1:22" s="53" customFormat="1" x14ac:dyDescent="0.2">
      <c r="A69" s="49" t="s">
        <v>44</v>
      </c>
      <c r="B69" s="49" t="s">
        <v>45</v>
      </c>
      <c r="C69" s="49" t="s">
        <v>46</v>
      </c>
      <c r="D69" s="49" t="s">
        <v>191</v>
      </c>
      <c r="E69" s="49" t="s">
        <v>192</v>
      </c>
      <c r="F69" s="49" t="s">
        <v>42</v>
      </c>
      <c r="G69" s="49" t="s">
        <v>173</v>
      </c>
      <c r="H69" s="49" t="s">
        <v>39</v>
      </c>
      <c r="I69" s="49" t="s">
        <v>169</v>
      </c>
      <c r="J69" s="49" t="s">
        <v>170</v>
      </c>
      <c r="K69" s="49">
        <v>1</v>
      </c>
      <c r="L69" s="54">
        <v>1</v>
      </c>
      <c r="M69" s="49" t="s">
        <v>172</v>
      </c>
      <c r="N69" s="49">
        <v>2018</v>
      </c>
      <c r="O69" s="49" t="s">
        <v>47</v>
      </c>
      <c r="P69" s="51" t="s">
        <v>68</v>
      </c>
      <c r="Q69" s="49" t="s">
        <v>37</v>
      </c>
      <c r="R69" s="51" t="s">
        <v>37</v>
      </c>
      <c r="S69" s="52">
        <v>50</v>
      </c>
      <c r="T69" s="50">
        <v>0.5</v>
      </c>
      <c r="U69" s="66">
        <v>0.5</v>
      </c>
      <c r="V69" s="50">
        <v>0</v>
      </c>
    </row>
    <row r="70" spans="1:22" s="53" customFormat="1" x14ac:dyDescent="0.2">
      <c r="A70" s="49" t="s">
        <v>44</v>
      </c>
      <c r="B70" s="49" t="s">
        <v>45</v>
      </c>
      <c r="C70" s="49" t="s">
        <v>46</v>
      </c>
      <c r="D70" s="49" t="s">
        <v>226</v>
      </c>
      <c r="E70" s="49" t="s">
        <v>227</v>
      </c>
      <c r="F70" s="49" t="s">
        <v>228</v>
      </c>
      <c r="G70" s="49" t="s">
        <v>229</v>
      </c>
      <c r="H70" s="49" t="s">
        <v>39</v>
      </c>
      <c r="I70" s="49" t="s">
        <v>88</v>
      </c>
      <c r="J70" s="49" t="s">
        <v>89</v>
      </c>
      <c r="K70" s="49">
        <v>1</v>
      </c>
      <c r="L70" s="54">
        <v>1</v>
      </c>
      <c r="M70" s="49" t="s">
        <v>95</v>
      </c>
      <c r="N70" s="49">
        <v>2018</v>
      </c>
      <c r="O70" s="49" t="s">
        <v>47</v>
      </c>
      <c r="P70" s="51" t="s">
        <v>69</v>
      </c>
      <c r="Q70" s="49" t="s">
        <v>37</v>
      </c>
      <c r="R70" s="51" t="s">
        <v>37</v>
      </c>
      <c r="S70" s="52">
        <v>80</v>
      </c>
      <c r="T70" s="50">
        <v>0.8</v>
      </c>
      <c r="U70" s="66">
        <v>0.2</v>
      </c>
      <c r="V70" s="50">
        <v>0</v>
      </c>
    </row>
    <row r="71" spans="1:22" s="53" customFormat="1" x14ac:dyDescent="0.2">
      <c r="A71" s="49" t="s">
        <v>44</v>
      </c>
      <c r="B71" s="49" t="s">
        <v>45</v>
      </c>
      <c r="C71" s="49" t="s">
        <v>46</v>
      </c>
      <c r="D71" s="49" t="s">
        <v>54</v>
      </c>
      <c r="E71" s="49" t="s">
        <v>55</v>
      </c>
      <c r="F71" s="49" t="s">
        <v>40</v>
      </c>
      <c r="G71" s="49" t="s">
        <v>168</v>
      </c>
      <c r="H71" s="49" t="s">
        <v>36</v>
      </c>
      <c r="I71" s="49" t="s">
        <v>121</v>
      </c>
      <c r="J71" s="49" t="s">
        <v>122</v>
      </c>
      <c r="K71" s="49">
        <v>1</v>
      </c>
      <c r="L71" s="54">
        <v>0.33333333333333331</v>
      </c>
      <c r="M71" s="49" t="s">
        <v>125</v>
      </c>
      <c r="N71" s="49">
        <v>2018</v>
      </c>
      <c r="O71" s="49" t="s">
        <v>47</v>
      </c>
      <c r="P71" s="51" t="s">
        <v>69</v>
      </c>
      <c r="Q71" s="49" t="s">
        <v>37</v>
      </c>
      <c r="R71" s="51" t="s">
        <v>37</v>
      </c>
      <c r="S71" s="52">
        <v>80</v>
      </c>
      <c r="T71" s="50">
        <v>0.26666666666666666</v>
      </c>
      <c r="U71" s="66">
        <v>6.6666666666666666E-2</v>
      </c>
      <c r="V71" s="50">
        <v>0</v>
      </c>
    </row>
    <row r="72" spans="1:22" s="53" customFormat="1" x14ac:dyDescent="0.2">
      <c r="A72" s="49" t="s">
        <v>44</v>
      </c>
      <c r="B72" s="49" t="s">
        <v>45</v>
      </c>
      <c r="C72" s="49" t="s">
        <v>46</v>
      </c>
      <c r="D72" s="49" t="s">
        <v>54</v>
      </c>
      <c r="E72" s="49" t="s">
        <v>55</v>
      </c>
      <c r="F72" s="49" t="s">
        <v>40</v>
      </c>
      <c r="G72" s="49" t="s">
        <v>127</v>
      </c>
      <c r="H72" s="49" t="s">
        <v>36</v>
      </c>
      <c r="I72" s="49" t="s">
        <v>121</v>
      </c>
      <c r="J72" s="49" t="s">
        <v>122</v>
      </c>
      <c r="K72" s="49">
        <v>1</v>
      </c>
      <c r="L72" s="54">
        <v>0.33333333333333331</v>
      </c>
      <c r="M72" s="49" t="s">
        <v>125</v>
      </c>
      <c r="N72" s="49">
        <v>2018</v>
      </c>
      <c r="O72" s="49" t="s">
        <v>47</v>
      </c>
      <c r="P72" s="51" t="s">
        <v>69</v>
      </c>
      <c r="Q72" s="49" t="s">
        <v>37</v>
      </c>
      <c r="R72" s="51" t="s">
        <v>37</v>
      </c>
      <c r="S72" s="52">
        <v>80</v>
      </c>
      <c r="T72" s="50">
        <v>0.26666666666666666</v>
      </c>
      <c r="U72" s="66">
        <v>6.6666666666666666E-2</v>
      </c>
      <c r="V72" s="50">
        <v>0</v>
      </c>
    </row>
    <row r="73" spans="1:22" s="53" customFormat="1" x14ac:dyDescent="0.2">
      <c r="A73" s="49" t="s">
        <v>44</v>
      </c>
      <c r="B73" s="49" t="s">
        <v>45</v>
      </c>
      <c r="C73" s="49" t="s">
        <v>46</v>
      </c>
      <c r="D73" s="49" t="s">
        <v>230</v>
      </c>
      <c r="E73" s="49" t="s">
        <v>231</v>
      </c>
      <c r="F73" s="49" t="s">
        <v>232</v>
      </c>
      <c r="G73" s="49" t="s">
        <v>193</v>
      </c>
      <c r="H73" s="49" t="s">
        <v>39</v>
      </c>
      <c r="I73" s="49" t="s">
        <v>88</v>
      </c>
      <c r="J73" s="49" t="s">
        <v>89</v>
      </c>
      <c r="K73" s="49">
        <v>1</v>
      </c>
      <c r="L73" s="54">
        <v>1</v>
      </c>
      <c r="M73" s="49" t="s">
        <v>95</v>
      </c>
      <c r="N73" s="49">
        <v>2018</v>
      </c>
      <c r="O73" s="49" t="s">
        <v>47</v>
      </c>
      <c r="P73" s="51" t="s">
        <v>69</v>
      </c>
      <c r="Q73" s="49" t="s">
        <v>37</v>
      </c>
      <c r="R73" s="51" t="s">
        <v>37</v>
      </c>
      <c r="S73" s="52">
        <v>80</v>
      </c>
      <c r="T73" s="50">
        <v>0.8</v>
      </c>
      <c r="U73" s="66">
        <v>0.2</v>
      </c>
      <c r="V73" s="50">
        <v>0</v>
      </c>
    </row>
    <row r="74" spans="1:22" s="53" customFormat="1" x14ac:dyDescent="0.2">
      <c r="A74" s="49" t="s">
        <v>44</v>
      </c>
      <c r="B74" s="49" t="s">
        <v>45</v>
      </c>
      <c r="C74" s="49" t="s">
        <v>46</v>
      </c>
      <c r="D74" s="49" t="s">
        <v>56</v>
      </c>
      <c r="E74" s="49" t="s">
        <v>57</v>
      </c>
      <c r="F74" s="49" t="s">
        <v>58</v>
      </c>
      <c r="G74" s="49" t="s">
        <v>126</v>
      </c>
      <c r="H74" s="49" t="s">
        <v>36</v>
      </c>
      <c r="I74" s="49" t="s">
        <v>121</v>
      </c>
      <c r="J74" s="49" t="s">
        <v>122</v>
      </c>
      <c r="K74" s="49">
        <v>1</v>
      </c>
      <c r="L74" s="54">
        <v>0.5</v>
      </c>
      <c r="M74" s="49" t="s">
        <v>125</v>
      </c>
      <c r="N74" s="49">
        <v>2018</v>
      </c>
      <c r="O74" s="49" t="s">
        <v>47</v>
      </c>
      <c r="P74" s="51" t="s">
        <v>69</v>
      </c>
      <c r="Q74" s="49" t="s">
        <v>37</v>
      </c>
      <c r="R74" s="51" t="s">
        <v>37</v>
      </c>
      <c r="S74" s="52">
        <v>80</v>
      </c>
      <c r="T74" s="50">
        <v>0.4</v>
      </c>
      <c r="U74" s="66">
        <v>0.1</v>
      </c>
      <c r="V74" s="50">
        <v>0</v>
      </c>
    </row>
    <row r="75" spans="1:22" s="53" customFormat="1" x14ac:dyDescent="0.2">
      <c r="A75" s="55" t="s">
        <v>75</v>
      </c>
      <c r="B75" s="55" t="s">
        <v>76</v>
      </c>
      <c r="C75" s="55" t="s">
        <v>77</v>
      </c>
      <c r="D75" s="55" t="s">
        <v>577</v>
      </c>
      <c r="E75" s="55" t="s">
        <v>578</v>
      </c>
      <c r="F75" s="55" t="s">
        <v>579</v>
      </c>
      <c r="G75" s="55" t="s">
        <v>139</v>
      </c>
      <c r="H75" s="55" t="s">
        <v>39</v>
      </c>
      <c r="I75" s="55" t="s">
        <v>121</v>
      </c>
      <c r="J75" s="55" t="s">
        <v>122</v>
      </c>
      <c r="K75" s="49">
        <v>1</v>
      </c>
      <c r="L75" s="56">
        <v>1</v>
      </c>
      <c r="M75" s="55" t="s">
        <v>125</v>
      </c>
      <c r="N75" s="55">
        <v>2019</v>
      </c>
      <c r="O75" s="55" t="s">
        <v>47</v>
      </c>
      <c r="P75" s="57" t="s">
        <v>69</v>
      </c>
      <c r="Q75" s="55" t="s">
        <v>37</v>
      </c>
      <c r="R75" s="57" t="s">
        <v>37</v>
      </c>
      <c r="S75" s="58">
        <v>80</v>
      </c>
      <c r="T75" s="59">
        <v>0.8</v>
      </c>
      <c r="U75" s="67">
        <v>0.2</v>
      </c>
      <c r="V75" s="59">
        <v>0</v>
      </c>
    </row>
    <row r="76" spans="1:22" s="53" customFormat="1" x14ac:dyDescent="0.2">
      <c r="A76" s="55" t="s">
        <v>44</v>
      </c>
      <c r="B76" s="55" t="s">
        <v>45</v>
      </c>
      <c r="C76" s="55" t="s">
        <v>46</v>
      </c>
      <c r="D76" s="55" t="s">
        <v>547</v>
      </c>
      <c r="E76" s="55" t="s">
        <v>548</v>
      </c>
      <c r="F76" s="55" t="s">
        <v>549</v>
      </c>
      <c r="G76" s="55" t="s">
        <v>235</v>
      </c>
      <c r="H76" s="55" t="s">
        <v>36</v>
      </c>
      <c r="I76" s="55" t="s">
        <v>132</v>
      </c>
      <c r="J76" s="55" t="s">
        <v>133</v>
      </c>
      <c r="K76" s="49">
        <v>1</v>
      </c>
      <c r="L76" s="56">
        <v>0.5</v>
      </c>
      <c r="M76" s="55" t="s">
        <v>234</v>
      </c>
      <c r="N76" s="55">
        <v>2019</v>
      </c>
      <c r="O76" s="55" t="s">
        <v>47</v>
      </c>
      <c r="P76" s="57" t="s">
        <v>68</v>
      </c>
      <c r="Q76" s="55" t="s">
        <v>37</v>
      </c>
      <c r="R76" s="57" t="s">
        <v>37</v>
      </c>
      <c r="S76" s="58">
        <v>50</v>
      </c>
      <c r="T76" s="59">
        <v>0.25</v>
      </c>
      <c r="U76" s="67">
        <v>0.25</v>
      </c>
      <c r="V76" s="59">
        <v>0</v>
      </c>
    </row>
    <row r="77" spans="1:22" s="53" customFormat="1" x14ac:dyDescent="0.2">
      <c r="A77" s="55" t="s">
        <v>44</v>
      </c>
      <c r="B77" s="55" t="s">
        <v>45</v>
      </c>
      <c r="C77" s="55" t="s">
        <v>46</v>
      </c>
      <c r="D77" s="55" t="s">
        <v>563</v>
      </c>
      <c r="E77" s="55" t="s">
        <v>564</v>
      </c>
      <c r="F77" s="55" t="s">
        <v>565</v>
      </c>
      <c r="G77" s="55" t="s">
        <v>199</v>
      </c>
      <c r="H77" s="55" t="s">
        <v>36</v>
      </c>
      <c r="I77" s="55" t="s">
        <v>88</v>
      </c>
      <c r="J77" s="55" t="s">
        <v>89</v>
      </c>
      <c r="K77" s="49">
        <v>1</v>
      </c>
      <c r="L77" s="56">
        <v>0.5</v>
      </c>
      <c r="M77" s="55" t="s">
        <v>95</v>
      </c>
      <c r="N77" s="55">
        <v>2019</v>
      </c>
      <c r="O77" s="55" t="s">
        <v>47</v>
      </c>
      <c r="P77" s="57" t="s">
        <v>69</v>
      </c>
      <c r="Q77" s="55" t="s">
        <v>37</v>
      </c>
      <c r="R77" s="57" t="s">
        <v>37</v>
      </c>
      <c r="S77" s="58">
        <v>80</v>
      </c>
      <c r="T77" s="59">
        <v>0.4</v>
      </c>
      <c r="U77" s="67">
        <v>0.1</v>
      </c>
      <c r="V77" s="59">
        <v>0</v>
      </c>
    </row>
    <row r="78" spans="1:22" s="53" customFormat="1" x14ac:dyDescent="0.2">
      <c r="A78" s="55" t="s">
        <v>44</v>
      </c>
      <c r="B78" s="55" t="s">
        <v>45</v>
      </c>
      <c r="C78" s="55" t="s">
        <v>46</v>
      </c>
      <c r="D78" s="55" t="s">
        <v>563</v>
      </c>
      <c r="E78" s="55" t="s">
        <v>564</v>
      </c>
      <c r="F78" s="55" t="s">
        <v>565</v>
      </c>
      <c r="G78" s="55" t="s">
        <v>131</v>
      </c>
      <c r="H78" s="55" t="s">
        <v>36</v>
      </c>
      <c r="I78" s="55" t="s">
        <v>121</v>
      </c>
      <c r="J78" s="55" t="s">
        <v>122</v>
      </c>
      <c r="K78" s="49">
        <v>1</v>
      </c>
      <c r="L78" s="56">
        <v>0.5</v>
      </c>
      <c r="M78" s="55" t="s">
        <v>125</v>
      </c>
      <c r="N78" s="55">
        <v>2019</v>
      </c>
      <c r="O78" s="55" t="s">
        <v>47</v>
      </c>
      <c r="P78" s="57" t="s">
        <v>68</v>
      </c>
      <c r="Q78" s="55" t="s">
        <v>37</v>
      </c>
      <c r="R78" s="57" t="s">
        <v>37</v>
      </c>
      <c r="S78" s="58">
        <v>50</v>
      </c>
      <c r="T78" s="59">
        <v>0.25</v>
      </c>
      <c r="U78" s="67">
        <v>0.25</v>
      </c>
      <c r="V78" s="59">
        <v>0</v>
      </c>
    </row>
    <row r="79" spans="1:22" s="53" customFormat="1" x14ac:dyDescent="0.2">
      <c r="A79" s="55" t="s">
        <v>44</v>
      </c>
      <c r="B79" s="55" t="s">
        <v>45</v>
      </c>
      <c r="C79" s="55" t="s">
        <v>46</v>
      </c>
      <c r="D79" s="55" t="s">
        <v>566</v>
      </c>
      <c r="E79" s="55" t="s">
        <v>567</v>
      </c>
      <c r="F79" s="55" t="s">
        <v>568</v>
      </c>
      <c r="G79" s="55" t="s">
        <v>569</v>
      </c>
      <c r="H79" s="55" t="s">
        <v>39</v>
      </c>
      <c r="I79" s="55" t="s">
        <v>121</v>
      </c>
      <c r="J79" s="55" t="s">
        <v>122</v>
      </c>
      <c r="K79" s="49">
        <v>1</v>
      </c>
      <c r="L79" s="56">
        <v>1</v>
      </c>
      <c r="M79" s="55" t="s">
        <v>125</v>
      </c>
      <c r="N79" s="55">
        <v>2019</v>
      </c>
      <c r="O79" s="55" t="s">
        <v>47</v>
      </c>
      <c r="P79" s="57" t="s">
        <v>69</v>
      </c>
      <c r="Q79" s="55" t="s">
        <v>37</v>
      </c>
      <c r="R79" s="57" t="s">
        <v>37</v>
      </c>
      <c r="S79" s="58">
        <v>80</v>
      </c>
      <c r="T79" s="59">
        <v>0.8</v>
      </c>
      <c r="U79" s="67">
        <v>0.2</v>
      </c>
      <c r="V79" s="59">
        <v>0</v>
      </c>
    </row>
    <row r="80" spans="1:22" s="53" customFormat="1" x14ac:dyDescent="0.2">
      <c r="A80" s="55" t="s">
        <v>44</v>
      </c>
      <c r="B80" s="55" t="s">
        <v>45</v>
      </c>
      <c r="C80" s="55" t="s">
        <v>46</v>
      </c>
      <c r="D80" s="55" t="s">
        <v>575</v>
      </c>
      <c r="E80" s="55" t="s">
        <v>707</v>
      </c>
      <c r="F80" s="55" t="s">
        <v>576</v>
      </c>
      <c r="G80" s="55" t="s">
        <v>147</v>
      </c>
      <c r="H80" s="55" t="s">
        <v>36</v>
      </c>
      <c r="I80" s="55" t="s">
        <v>121</v>
      </c>
      <c r="J80" s="55" t="s">
        <v>122</v>
      </c>
      <c r="K80" s="49">
        <v>1</v>
      </c>
      <c r="L80" s="56">
        <v>0.5</v>
      </c>
      <c r="M80" s="55" t="s">
        <v>125</v>
      </c>
      <c r="N80" s="55">
        <v>2019</v>
      </c>
      <c r="O80" s="55" t="s">
        <v>47</v>
      </c>
      <c r="P80" s="57" t="s">
        <v>69</v>
      </c>
      <c r="Q80" s="55" t="s">
        <v>37</v>
      </c>
      <c r="R80" s="57" t="s">
        <v>37</v>
      </c>
      <c r="S80" s="58">
        <v>80</v>
      </c>
      <c r="T80" s="59">
        <v>0.4</v>
      </c>
      <c r="U80" s="67">
        <v>0.1</v>
      </c>
      <c r="V80" s="59">
        <v>0</v>
      </c>
    </row>
    <row r="81" spans="1:22" s="53" customFormat="1" x14ac:dyDescent="0.2">
      <c r="A81" s="55" t="s">
        <v>44</v>
      </c>
      <c r="B81" s="55" t="s">
        <v>45</v>
      </c>
      <c r="C81" s="55" t="s">
        <v>46</v>
      </c>
      <c r="D81" s="55" t="s">
        <v>544</v>
      </c>
      <c r="E81" s="55" t="s">
        <v>545</v>
      </c>
      <c r="F81" s="55" t="s">
        <v>546</v>
      </c>
      <c r="G81" s="55" t="s">
        <v>235</v>
      </c>
      <c r="H81" s="55" t="s">
        <v>36</v>
      </c>
      <c r="I81" s="55" t="s">
        <v>132</v>
      </c>
      <c r="J81" s="55" t="s">
        <v>133</v>
      </c>
      <c r="K81" s="49">
        <v>1</v>
      </c>
      <c r="L81" s="56">
        <v>0.5</v>
      </c>
      <c r="M81" s="55" t="s">
        <v>234</v>
      </c>
      <c r="N81" s="55">
        <v>2019</v>
      </c>
      <c r="O81" s="55" t="s">
        <v>47</v>
      </c>
      <c r="P81" s="57" t="s">
        <v>68</v>
      </c>
      <c r="Q81" s="55" t="s">
        <v>37</v>
      </c>
      <c r="R81" s="57" t="s">
        <v>37</v>
      </c>
      <c r="S81" s="58">
        <v>50</v>
      </c>
      <c r="T81" s="59">
        <v>0.25</v>
      </c>
      <c r="U81" s="67">
        <v>0.25</v>
      </c>
      <c r="V81" s="59">
        <v>0</v>
      </c>
    </row>
    <row r="82" spans="1:22" s="53" customFormat="1" x14ac:dyDescent="0.2">
      <c r="A82" s="55" t="s">
        <v>44</v>
      </c>
      <c r="B82" s="55" t="s">
        <v>45</v>
      </c>
      <c r="C82" s="55" t="s">
        <v>46</v>
      </c>
      <c r="D82" s="55" t="s">
        <v>553</v>
      </c>
      <c r="E82" s="55" t="s">
        <v>554</v>
      </c>
      <c r="F82" s="55" t="s">
        <v>555</v>
      </c>
      <c r="G82" s="55" t="s">
        <v>193</v>
      </c>
      <c r="H82" s="55" t="s">
        <v>36</v>
      </c>
      <c r="I82" s="55" t="s">
        <v>88</v>
      </c>
      <c r="J82" s="55" t="s">
        <v>89</v>
      </c>
      <c r="K82" s="49">
        <v>1</v>
      </c>
      <c r="L82" s="56">
        <v>0.5</v>
      </c>
      <c r="M82" s="55" t="s">
        <v>95</v>
      </c>
      <c r="N82" s="55">
        <v>2019</v>
      </c>
      <c r="O82" s="55" t="s">
        <v>47</v>
      </c>
      <c r="P82" s="57" t="s">
        <v>69</v>
      </c>
      <c r="Q82" s="55" t="s">
        <v>37</v>
      </c>
      <c r="R82" s="57" t="s">
        <v>37</v>
      </c>
      <c r="S82" s="58">
        <v>80</v>
      </c>
      <c r="T82" s="59">
        <v>0.4</v>
      </c>
      <c r="U82" s="67">
        <v>0.1</v>
      </c>
      <c r="V82" s="59">
        <v>0</v>
      </c>
    </row>
    <row r="83" spans="1:22" s="53" customFormat="1" x14ac:dyDescent="0.2">
      <c r="A83" s="55" t="s">
        <v>44</v>
      </c>
      <c r="B83" s="55" t="s">
        <v>45</v>
      </c>
      <c r="C83" s="55" t="s">
        <v>46</v>
      </c>
      <c r="D83" s="55" t="s">
        <v>553</v>
      </c>
      <c r="E83" s="55" t="s">
        <v>554</v>
      </c>
      <c r="F83" s="55" t="s">
        <v>555</v>
      </c>
      <c r="G83" s="55" t="s">
        <v>208</v>
      </c>
      <c r="H83" s="55" t="s">
        <v>36</v>
      </c>
      <c r="I83" s="55" t="s">
        <v>88</v>
      </c>
      <c r="J83" s="55" t="s">
        <v>89</v>
      </c>
      <c r="K83" s="49">
        <v>1</v>
      </c>
      <c r="L83" s="56">
        <v>0.5</v>
      </c>
      <c r="M83" s="55" t="s">
        <v>95</v>
      </c>
      <c r="N83" s="55">
        <v>2019</v>
      </c>
      <c r="O83" s="55" t="s">
        <v>47</v>
      </c>
      <c r="P83" s="57" t="s">
        <v>69</v>
      </c>
      <c r="Q83" s="55" t="s">
        <v>37</v>
      </c>
      <c r="R83" s="57" t="s">
        <v>37</v>
      </c>
      <c r="S83" s="58">
        <v>80</v>
      </c>
      <c r="T83" s="59">
        <v>0.4</v>
      </c>
      <c r="U83" s="67">
        <v>0.1</v>
      </c>
      <c r="V83" s="59">
        <v>0</v>
      </c>
    </row>
    <row r="84" spans="1:22" s="53" customFormat="1" x14ac:dyDescent="0.2">
      <c r="A84" s="55" t="s">
        <v>44</v>
      </c>
      <c r="B84" s="55" t="s">
        <v>45</v>
      </c>
      <c r="C84" s="55" t="s">
        <v>46</v>
      </c>
      <c r="D84" s="55" t="s">
        <v>570</v>
      </c>
      <c r="E84" s="55" t="s">
        <v>571</v>
      </c>
      <c r="F84" s="55" t="s">
        <v>565</v>
      </c>
      <c r="G84" s="55" t="s">
        <v>199</v>
      </c>
      <c r="H84" s="55" t="s">
        <v>36</v>
      </c>
      <c r="I84" s="55" t="s">
        <v>88</v>
      </c>
      <c r="J84" s="55" t="s">
        <v>89</v>
      </c>
      <c r="K84" s="49">
        <v>1</v>
      </c>
      <c r="L84" s="56">
        <v>0.5</v>
      </c>
      <c r="M84" s="55" t="s">
        <v>95</v>
      </c>
      <c r="N84" s="55">
        <v>2019</v>
      </c>
      <c r="O84" s="55" t="s">
        <v>47</v>
      </c>
      <c r="P84" s="57" t="s">
        <v>69</v>
      </c>
      <c r="Q84" s="55" t="s">
        <v>37</v>
      </c>
      <c r="R84" s="57" t="s">
        <v>37</v>
      </c>
      <c r="S84" s="58">
        <v>80</v>
      </c>
      <c r="T84" s="59">
        <v>0.4</v>
      </c>
      <c r="U84" s="67">
        <v>0.1</v>
      </c>
      <c r="V84" s="59">
        <v>0</v>
      </c>
    </row>
    <row r="85" spans="1:22" s="53" customFormat="1" x14ac:dyDescent="0.2">
      <c r="A85" s="55" t="s">
        <v>44</v>
      </c>
      <c r="B85" s="55" t="s">
        <v>45</v>
      </c>
      <c r="C85" s="55" t="s">
        <v>46</v>
      </c>
      <c r="D85" s="55" t="s">
        <v>570</v>
      </c>
      <c r="E85" s="55" t="s">
        <v>571</v>
      </c>
      <c r="F85" s="55" t="s">
        <v>565</v>
      </c>
      <c r="G85" s="55" t="s">
        <v>131</v>
      </c>
      <c r="H85" s="55" t="s">
        <v>36</v>
      </c>
      <c r="I85" s="55" t="s">
        <v>121</v>
      </c>
      <c r="J85" s="55" t="s">
        <v>122</v>
      </c>
      <c r="K85" s="49">
        <v>1</v>
      </c>
      <c r="L85" s="56">
        <v>0.5</v>
      </c>
      <c r="M85" s="55" t="s">
        <v>125</v>
      </c>
      <c r="N85" s="55">
        <v>2019</v>
      </c>
      <c r="O85" s="55" t="s">
        <v>47</v>
      </c>
      <c r="P85" s="57" t="s">
        <v>68</v>
      </c>
      <c r="Q85" s="55" t="s">
        <v>37</v>
      </c>
      <c r="R85" s="57" t="s">
        <v>37</v>
      </c>
      <c r="S85" s="58">
        <v>50</v>
      </c>
      <c r="T85" s="59">
        <v>0.25</v>
      </c>
      <c r="U85" s="67">
        <v>0.25</v>
      </c>
      <c r="V85" s="59">
        <v>0</v>
      </c>
    </row>
    <row r="86" spans="1:22" s="53" customFormat="1" x14ac:dyDescent="0.2">
      <c r="A86" s="55" t="s">
        <v>44</v>
      </c>
      <c r="B86" s="55" t="s">
        <v>45</v>
      </c>
      <c r="C86" s="55" t="s">
        <v>46</v>
      </c>
      <c r="D86" s="55" t="s">
        <v>560</v>
      </c>
      <c r="E86" s="55" t="s">
        <v>561</v>
      </c>
      <c r="F86" s="55" t="s">
        <v>562</v>
      </c>
      <c r="G86" s="55" t="s">
        <v>94</v>
      </c>
      <c r="H86" s="55" t="s">
        <v>36</v>
      </c>
      <c r="I86" s="55" t="s">
        <v>88</v>
      </c>
      <c r="J86" s="55" t="s">
        <v>89</v>
      </c>
      <c r="K86" s="49">
        <v>1</v>
      </c>
      <c r="L86" s="56">
        <v>0.5</v>
      </c>
      <c r="M86" s="55" t="s">
        <v>95</v>
      </c>
      <c r="N86" s="55">
        <v>2019</v>
      </c>
      <c r="O86" s="55" t="s">
        <v>47</v>
      </c>
      <c r="P86" s="57" t="s">
        <v>69</v>
      </c>
      <c r="Q86" s="55" t="s">
        <v>37</v>
      </c>
      <c r="R86" s="57" t="s">
        <v>37</v>
      </c>
      <c r="S86" s="58">
        <v>80</v>
      </c>
      <c r="T86" s="59">
        <v>0.4</v>
      </c>
      <c r="U86" s="67">
        <v>0.1</v>
      </c>
      <c r="V86" s="59">
        <v>0</v>
      </c>
    </row>
    <row r="87" spans="1:22" s="53" customFormat="1" x14ac:dyDescent="0.2">
      <c r="A87" s="55" t="s">
        <v>44</v>
      </c>
      <c r="B87" s="55" t="s">
        <v>45</v>
      </c>
      <c r="C87" s="55" t="s">
        <v>46</v>
      </c>
      <c r="D87" s="55" t="s">
        <v>560</v>
      </c>
      <c r="E87" s="55" t="s">
        <v>561</v>
      </c>
      <c r="F87" s="55" t="s">
        <v>562</v>
      </c>
      <c r="G87" s="55" t="s">
        <v>136</v>
      </c>
      <c r="H87" s="55" t="s">
        <v>36</v>
      </c>
      <c r="I87" s="55" t="s">
        <v>121</v>
      </c>
      <c r="J87" s="55" t="s">
        <v>122</v>
      </c>
      <c r="K87" s="49">
        <v>1</v>
      </c>
      <c r="L87" s="56">
        <v>0.5</v>
      </c>
      <c r="M87" s="55" t="s">
        <v>125</v>
      </c>
      <c r="N87" s="55">
        <v>2019</v>
      </c>
      <c r="O87" s="55" t="s">
        <v>47</v>
      </c>
      <c r="P87" s="57" t="s">
        <v>69</v>
      </c>
      <c r="Q87" s="55" t="s">
        <v>37</v>
      </c>
      <c r="R87" s="57" t="s">
        <v>37</v>
      </c>
      <c r="S87" s="58">
        <v>80</v>
      </c>
      <c r="T87" s="59">
        <v>0.4</v>
      </c>
      <c r="U87" s="67">
        <v>0.1</v>
      </c>
      <c r="V87" s="59">
        <v>0</v>
      </c>
    </row>
    <row r="88" spans="1:22" s="53" customFormat="1" x14ac:dyDescent="0.2">
      <c r="A88" s="55" t="s">
        <v>44</v>
      </c>
      <c r="B88" s="55" t="s">
        <v>45</v>
      </c>
      <c r="C88" s="55" t="s">
        <v>46</v>
      </c>
      <c r="D88" s="55" t="s">
        <v>556</v>
      </c>
      <c r="E88" s="55" t="s">
        <v>557</v>
      </c>
      <c r="F88" s="55" t="s">
        <v>558</v>
      </c>
      <c r="G88" s="55" t="s">
        <v>130</v>
      </c>
      <c r="H88" s="55" t="s">
        <v>36</v>
      </c>
      <c r="I88" s="55" t="s">
        <v>121</v>
      </c>
      <c r="J88" s="55" t="s">
        <v>122</v>
      </c>
      <c r="K88" s="49">
        <v>1</v>
      </c>
      <c r="L88" s="56">
        <v>0.5</v>
      </c>
      <c r="M88" s="55" t="s">
        <v>125</v>
      </c>
      <c r="N88" s="55">
        <v>2019</v>
      </c>
      <c r="O88" s="55" t="s">
        <v>47</v>
      </c>
      <c r="P88" s="57" t="s">
        <v>68</v>
      </c>
      <c r="Q88" s="55" t="s">
        <v>37</v>
      </c>
      <c r="R88" s="57" t="s">
        <v>37</v>
      </c>
      <c r="S88" s="58">
        <v>50</v>
      </c>
      <c r="T88" s="59">
        <v>0.25</v>
      </c>
      <c r="U88" s="67">
        <v>0.25</v>
      </c>
      <c r="V88" s="59">
        <v>0</v>
      </c>
    </row>
    <row r="89" spans="1:22" s="53" customFormat="1" x14ac:dyDescent="0.2">
      <c r="A89" s="55" t="s">
        <v>44</v>
      </c>
      <c r="B89" s="55" t="s">
        <v>45</v>
      </c>
      <c r="C89" s="55" t="s">
        <v>46</v>
      </c>
      <c r="D89" s="55" t="s">
        <v>556</v>
      </c>
      <c r="E89" s="55" t="s">
        <v>557</v>
      </c>
      <c r="F89" s="55" t="s">
        <v>558</v>
      </c>
      <c r="G89" s="55" t="s">
        <v>559</v>
      </c>
      <c r="H89" s="55" t="s">
        <v>36</v>
      </c>
      <c r="I89" s="55" t="s">
        <v>121</v>
      </c>
      <c r="J89" s="55" t="s">
        <v>122</v>
      </c>
      <c r="K89" s="49">
        <v>1</v>
      </c>
      <c r="L89" s="56">
        <v>0.5</v>
      </c>
      <c r="M89" s="55" t="s">
        <v>125</v>
      </c>
      <c r="N89" s="55">
        <v>2019</v>
      </c>
      <c r="O89" s="55" t="s">
        <v>47</v>
      </c>
      <c r="P89" s="57" t="s">
        <v>69</v>
      </c>
      <c r="Q89" s="55" t="s">
        <v>37</v>
      </c>
      <c r="R89" s="57" t="s">
        <v>37</v>
      </c>
      <c r="S89" s="58">
        <v>80</v>
      </c>
      <c r="T89" s="59">
        <v>0.4</v>
      </c>
      <c r="U89" s="67">
        <v>0.1</v>
      </c>
      <c r="V89" s="59">
        <v>0</v>
      </c>
    </row>
    <row r="90" spans="1:22" s="53" customFormat="1" x14ac:dyDescent="0.2">
      <c r="A90" s="55" t="s">
        <v>44</v>
      </c>
      <c r="B90" s="55" t="s">
        <v>45</v>
      </c>
      <c r="C90" s="55" t="s">
        <v>46</v>
      </c>
      <c r="D90" s="55" t="s">
        <v>589</v>
      </c>
      <c r="E90" s="55" t="s">
        <v>590</v>
      </c>
      <c r="F90" s="55" t="s">
        <v>591</v>
      </c>
      <c r="G90" s="55" t="s">
        <v>94</v>
      </c>
      <c r="H90" s="55" t="s">
        <v>39</v>
      </c>
      <c r="I90" s="55" t="s">
        <v>88</v>
      </c>
      <c r="J90" s="55" t="s">
        <v>89</v>
      </c>
      <c r="K90" s="49">
        <v>1</v>
      </c>
      <c r="L90" s="56">
        <v>1</v>
      </c>
      <c r="M90" s="55" t="s">
        <v>95</v>
      </c>
      <c r="N90" s="55">
        <v>2019</v>
      </c>
      <c r="O90" s="55" t="s">
        <v>47</v>
      </c>
      <c r="P90" s="57" t="s">
        <v>69</v>
      </c>
      <c r="Q90" s="55" t="s">
        <v>37</v>
      </c>
      <c r="R90" s="57" t="s">
        <v>37</v>
      </c>
      <c r="S90" s="58">
        <v>80</v>
      </c>
      <c r="T90" s="59">
        <v>0.8</v>
      </c>
      <c r="U90" s="67">
        <v>0.2</v>
      </c>
      <c r="V90" s="59">
        <v>0</v>
      </c>
    </row>
    <row r="91" spans="1:22" s="53" customFormat="1" x14ac:dyDescent="0.2">
      <c r="A91" s="55" t="s">
        <v>44</v>
      </c>
      <c r="B91" s="55" t="s">
        <v>45</v>
      </c>
      <c r="C91" s="55" t="s">
        <v>46</v>
      </c>
      <c r="D91" s="55" t="s">
        <v>550</v>
      </c>
      <c r="E91" s="55" t="s">
        <v>551</v>
      </c>
      <c r="F91" s="55" t="s">
        <v>552</v>
      </c>
      <c r="G91" s="55" t="s">
        <v>94</v>
      </c>
      <c r="H91" s="55" t="s">
        <v>39</v>
      </c>
      <c r="I91" s="55" t="s">
        <v>88</v>
      </c>
      <c r="J91" s="55" t="s">
        <v>89</v>
      </c>
      <c r="K91" s="49">
        <v>1</v>
      </c>
      <c r="L91" s="56">
        <v>1</v>
      </c>
      <c r="M91" s="55" t="s">
        <v>95</v>
      </c>
      <c r="N91" s="55">
        <v>2019</v>
      </c>
      <c r="O91" s="55" t="s">
        <v>47</v>
      </c>
      <c r="P91" s="57" t="s">
        <v>69</v>
      </c>
      <c r="Q91" s="55" t="s">
        <v>37</v>
      </c>
      <c r="R91" s="57" t="s">
        <v>37</v>
      </c>
      <c r="S91" s="58">
        <v>80</v>
      </c>
      <c r="T91" s="59">
        <v>0.8</v>
      </c>
      <c r="U91" s="67">
        <v>0.2</v>
      </c>
      <c r="V91" s="59">
        <v>0</v>
      </c>
    </row>
    <row r="92" spans="1:22" s="53" customFormat="1" x14ac:dyDescent="0.2">
      <c r="A92" s="55" t="s">
        <v>44</v>
      </c>
      <c r="B92" s="55" t="s">
        <v>45</v>
      </c>
      <c r="C92" s="55" t="s">
        <v>46</v>
      </c>
      <c r="D92" s="55" t="s">
        <v>572</v>
      </c>
      <c r="E92" s="55" t="s">
        <v>573</v>
      </c>
      <c r="F92" s="55" t="s">
        <v>574</v>
      </c>
      <c r="G92" s="55" t="s">
        <v>205</v>
      </c>
      <c r="H92" s="55" t="s">
        <v>36</v>
      </c>
      <c r="I92" s="55" t="s">
        <v>88</v>
      </c>
      <c r="J92" s="55" t="s">
        <v>89</v>
      </c>
      <c r="K92" s="49">
        <v>1</v>
      </c>
      <c r="L92" s="56">
        <v>0.5</v>
      </c>
      <c r="M92" s="55" t="s">
        <v>95</v>
      </c>
      <c r="N92" s="55">
        <v>2019</v>
      </c>
      <c r="O92" s="55" t="s">
        <v>47</v>
      </c>
      <c r="P92" s="57" t="s">
        <v>69</v>
      </c>
      <c r="Q92" s="55" t="s">
        <v>37</v>
      </c>
      <c r="R92" s="57" t="s">
        <v>37</v>
      </c>
      <c r="S92" s="58">
        <v>80</v>
      </c>
      <c r="T92" s="59">
        <v>0.4</v>
      </c>
      <c r="U92" s="67">
        <v>0.1</v>
      </c>
      <c r="V92" s="59">
        <v>0</v>
      </c>
    </row>
    <row r="93" spans="1:22" s="53" customFormat="1" x14ac:dyDescent="0.2">
      <c r="A93" s="55" t="s">
        <v>44</v>
      </c>
      <c r="B93" s="55" t="s">
        <v>45</v>
      </c>
      <c r="C93" s="55" t="s">
        <v>46</v>
      </c>
      <c r="D93" s="55" t="s">
        <v>580</v>
      </c>
      <c r="E93" s="55" t="s">
        <v>581</v>
      </c>
      <c r="F93" s="55" t="s">
        <v>555</v>
      </c>
      <c r="G93" s="55" t="s">
        <v>128</v>
      </c>
      <c r="H93" s="55" t="s">
        <v>36</v>
      </c>
      <c r="I93" s="55" t="s">
        <v>121</v>
      </c>
      <c r="J93" s="55" t="s">
        <v>122</v>
      </c>
      <c r="K93" s="49">
        <v>1</v>
      </c>
      <c r="L93" s="56">
        <v>0.5</v>
      </c>
      <c r="M93" s="55" t="s">
        <v>125</v>
      </c>
      <c r="N93" s="55">
        <v>2019</v>
      </c>
      <c r="O93" s="55" t="s">
        <v>47</v>
      </c>
      <c r="P93" s="57" t="s">
        <v>69</v>
      </c>
      <c r="Q93" s="55" t="s">
        <v>37</v>
      </c>
      <c r="R93" s="57" t="s">
        <v>37</v>
      </c>
      <c r="S93" s="58">
        <v>80</v>
      </c>
      <c r="T93" s="59">
        <v>0.4</v>
      </c>
      <c r="U93" s="67">
        <v>0.1</v>
      </c>
      <c r="V93" s="59">
        <v>0</v>
      </c>
    </row>
    <row r="94" spans="1:22" s="53" customFormat="1" x14ac:dyDescent="0.2">
      <c r="A94" s="55" t="s">
        <v>44</v>
      </c>
      <c r="B94" s="55" t="s">
        <v>45</v>
      </c>
      <c r="C94" s="55" t="s">
        <v>46</v>
      </c>
      <c r="D94" s="55" t="s">
        <v>580</v>
      </c>
      <c r="E94" s="55" t="s">
        <v>581</v>
      </c>
      <c r="F94" s="55" t="s">
        <v>555</v>
      </c>
      <c r="G94" s="55" t="s">
        <v>582</v>
      </c>
      <c r="H94" s="55" t="s">
        <v>36</v>
      </c>
      <c r="I94" s="55" t="s">
        <v>132</v>
      </c>
      <c r="J94" s="55" t="s">
        <v>133</v>
      </c>
      <c r="K94" s="49">
        <v>1</v>
      </c>
      <c r="L94" s="56">
        <v>0.5</v>
      </c>
      <c r="M94" s="55" t="s">
        <v>234</v>
      </c>
      <c r="N94" s="55">
        <v>2019</v>
      </c>
      <c r="O94" s="55" t="s">
        <v>47</v>
      </c>
      <c r="P94" s="57" t="s">
        <v>69</v>
      </c>
      <c r="Q94" s="55" t="s">
        <v>37</v>
      </c>
      <c r="R94" s="57" t="s">
        <v>37</v>
      </c>
      <c r="S94" s="58">
        <v>80</v>
      </c>
      <c r="T94" s="59">
        <v>0.4</v>
      </c>
      <c r="U94" s="67">
        <v>0.1</v>
      </c>
      <c r="V94" s="59">
        <v>0</v>
      </c>
    </row>
    <row r="95" spans="1:22" s="53" customFormat="1" x14ac:dyDescent="0.2">
      <c r="A95" s="55" t="s">
        <v>44</v>
      </c>
      <c r="B95" s="55" t="s">
        <v>45</v>
      </c>
      <c r="C95" s="55" t="s">
        <v>46</v>
      </c>
      <c r="D95" s="55" t="s">
        <v>583</v>
      </c>
      <c r="E95" s="55" t="s">
        <v>584</v>
      </c>
      <c r="F95" s="55" t="s">
        <v>585</v>
      </c>
      <c r="G95" s="55" t="s">
        <v>235</v>
      </c>
      <c r="H95" s="55" t="s">
        <v>39</v>
      </c>
      <c r="I95" s="55" t="s">
        <v>132</v>
      </c>
      <c r="J95" s="55" t="s">
        <v>133</v>
      </c>
      <c r="K95" s="49">
        <v>1</v>
      </c>
      <c r="L95" s="56">
        <v>1</v>
      </c>
      <c r="M95" s="55" t="s">
        <v>234</v>
      </c>
      <c r="N95" s="55">
        <v>2019</v>
      </c>
      <c r="O95" s="55" t="s">
        <v>47</v>
      </c>
      <c r="P95" s="57" t="s">
        <v>68</v>
      </c>
      <c r="Q95" s="55" t="s">
        <v>37</v>
      </c>
      <c r="R95" s="57" t="s">
        <v>37</v>
      </c>
      <c r="S95" s="58">
        <v>50</v>
      </c>
      <c r="T95" s="59">
        <v>0.5</v>
      </c>
      <c r="U95" s="67">
        <v>0.5</v>
      </c>
      <c r="V95" s="59">
        <v>0</v>
      </c>
    </row>
    <row r="96" spans="1:22" s="53" customFormat="1" x14ac:dyDescent="0.2">
      <c r="A96" s="55" t="s">
        <v>44</v>
      </c>
      <c r="B96" s="55" t="s">
        <v>45</v>
      </c>
      <c r="C96" s="55" t="s">
        <v>46</v>
      </c>
      <c r="D96" s="55" t="s">
        <v>592</v>
      </c>
      <c r="E96" s="55" t="s">
        <v>593</v>
      </c>
      <c r="F96" s="55" t="s">
        <v>594</v>
      </c>
      <c r="G96" s="55" t="s">
        <v>178</v>
      </c>
      <c r="H96" s="55" t="s">
        <v>39</v>
      </c>
      <c r="I96" s="55" t="s">
        <v>169</v>
      </c>
      <c r="J96" s="55" t="s">
        <v>170</v>
      </c>
      <c r="K96" s="49">
        <v>1</v>
      </c>
      <c r="L96" s="56">
        <v>1</v>
      </c>
      <c r="M96" s="55" t="s">
        <v>172</v>
      </c>
      <c r="N96" s="55">
        <v>2019</v>
      </c>
      <c r="O96" s="55" t="s">
        <v>47</v>
      </c>
      <c r="P96" s="57" t="s">
        <v>68</v>
      </c>
      <c r="Q96" s="55" t="s">
        <v>37</v>
      </c>
      <c r="R96" s="57" t="s">
        <v>37</v>
      </c>
      <c r="S96" s="58">
        <v>50</v>
      </c>
      <c r="T96" s="59">
        <v>0.5</v>
      </c>
      <c r="U96" s="67">
        <v>0.5</v>
      </c>
      <c r="V96" s="59">
        <v>0</v>
      </c>
    </row>
    <row r="97" spans="1:22" s="53" customFormat="1" x14ac:dyDescent="0.2">
      <c r="A97" s="55" t="s">
        <v>44</v>
      </c>
      <c r="B97" s="55" t="s">
        <v>45</v>
      </c>
      <c r="C97" s="55" t="s">
        <v>46</v>
      </c>
      <c r="D97" s="55" t="s">
        <v>586</v>
      </c>
      <c r="E97" s="55" t="s">
        <v>587</v>
      </c>
      <c r="F97" s="55" t="s">
        <v>588</v>
      </c>
      <c r="G97" s="55" t="s">
        <v>205</v>
      </c>
      <c r="H97" s="55" t="s">
        <v>36</v>
      </c>
      <c r="I97" s="55" t="s">
        <v>88</v>
      </c>
      <c r="J97" s="55" t="s">
        <v>89</v>
      </c>
      <c r="K97" s="49">
        <v>1</v>
      </c>
      <c r="L97" s="56">
        <v>0.5</v>
      </c>
      <c r="M97" s="55" t="s">
        <v>95</v>
      </c>
      <c r="N97" s="55">
        <v>2019</v>
      </c>
      <c r="O97" s="55" t="s">
        <v>47</v>
      </c>
      <c r="P97" s="57" t="s">
        <v>69</v>
      </c>
      <c r="Q97" s="55" t="s">
        <v>37</v>
      </c>
      <c r="R97" s="57" t="s">
        <v>37</v>
      </c>
      <c r="S97" s="58">
        <v>80</v>
      </c>
      <c r="T97" s="59">
        <v>0.4</v>
      </c>
      <c r="U97" s="67">
        <v>0.1</v>
      </c>
      <c r="V97" s="59">
        <v>0</v>
      </c>
    </row>
    <row r="98" spans="1:22" s="53" customFormat="1" x14ac:dyDescent="0.2">
      <c r="A98" s="55" t="s">
        <v>44</v>
      </c>
      <c r="B98" s="55" t="s">
        <v>45</v>
      </c>
      <c r="C98" s="55" t="s">
        <v>46</v>
      </c>
      <c r="D98" s="55" t="s">
        <v>586</v>
      </c>
      <c r="E98" s="55" t="s">
        <v>587</v>
      </c>
      <c r="F98" s="55" t="s">
        <v>588</v>
      </c>
      <c r="G98" s="55" t="s">
        <v>136</v>
      </c>
      <c r="H98" s="55" t="s">
        <v>36</v>
      </c>
      <c r="I98" s="55" t="s">
        <v>121</v>
      </c>
      <c r="J98" s="55" t="s">
        <v>122</v>
      </c>
      <c r="K98" s="49">
        <v>1</v>
      </c>
      <c r="L98" s="56">
        <v>0.5</v>
      </c>
      <c r="M98" s="55" t="s">
        <v>125</v>
      </c>
      <c r="N98" s="55">
        <v>2019</v>
      </c>
      <c r="O98" s="55" t="s">
        <v>47</v>
      </c>
      <c r="P98" s="57" t="s">
        <v>69</v>
      </c>
      <c r="Q98" s="55" t="s">
        <v>37</v>
      </c>
      <c r="R98" s="57" t="s">
        <v>37</v>
      </c>
      <c r="S98" s="58">
        <v>80</v>
      </c>
      <c r="T98" s="59">
        <v>0.4</v>
      </c>
      <c r="U98" s="67">
        <v>0.1</v>
      </c>
      <c r="V98" s="59">
        <v>0</v>
      </c>
    </row>
    <row r="99" spans="1:22" s="53" customFormat="1" x14ac:dyDescent="0.2">
      <c r="A99" s="49" t="s">
        <v>75</v>
      </c>
      <c r="B99" s="49" t="s">
        <v>76</v>
      </c>
      <c r="C99" s="49" t="s">
        <v>77</v>
      </c>
      <c r="D99" s="49" t="s">
        <v>907</v>
      </c>
      <c r="E99" s="49" t="s">
        <v>908</v>
      </c>
      <c r="F99" s="49" t="s">
        <v>909</v>
      </c>
      <c r="G99" s="49" t="s">
        <v>910</v>
      </c>
      <c r="H99" s="49" t="s">
        <v>36</v>
      </c>
      <c r="I99" s="49" t="s">
        <v>911</v>
      </c>
      <c r="J99" s="49" t="s">
        <v>912</v>
      </c>
      <c r="K99" s="49">
        <v>1</v>
      </c>
      <c r="L99" s="60">
        <v>0.5</v>
      </c>
      <c r="M99" s="60" t="s">
        <v>83</v>
      </c>
      <c r="N99" s="65">
        <v>2019</v>
      </c>
      <c r="O99" s="49" t="s">
        <v>47</v>
      </c>
      <c r="P99" s="51" t="s">
        <v>69</v>
      </c>
      <c r="Q99" s="49" t="s">
        <v>37</v>
      </c>
      <c r="R99" s="51" t="s">
        <v>37</v>
      </c>
      <c r="S99" s="49">
        <v>80</v>
      </c>
      <c r="T99" s="49">
        <v>0.4</v>
      </c>
      <c r="U99" s="68">
        <v>0.1</v>
      </c>
      <c r="V99" s="49">
        <v>0</v>
      </c>
    </row>
    <row r="100" spans="1:22" s="53" customFormat="1" x14ac:dyDescent="0.2">
      <c r="A100" s="49" t="s">
        <v>75</v>
      </c>
      <c r="B100" s="49" t="s">
        <v>76</v>
      </c>
      <c r="C100" s="49" t="s">
        <v>77</v>
      </c>
      <c r="D100" s="49" t="s">
        <v>913</v>
      </c>
      <c r="E100" s="49" t="s">
        <v>914</v>
      </c>
      <c r="F100" s="49" t="s">
        <v>915</v>
      </c>
      <c r="G100" s="49" t="s">
        <v>910</v>
      </c>
      <c r="H100" s="49" t="s">
        <v>36</v>
      </c>
      <c r="I100" s="49" t="s">
        <v>911</v>
      </c>
      <c r="J100" s="49" t="s">
        <v>912</v>
      </c>
      <c r="K100" s="49">
        <v>1</v>
      </c>
      <c r="L100" s="60">
        <v>0.5</v>
      </c>
      <c r="M100" s="60" t="s">
        <v>83</v>
      </c>
      <c r="N100" s="65">
        <v>2019</v>
      </c>
      <c r="O100" s="49" t="s">
        <v>47</v>
      </c>
      <c r="P100" s="51" t="s">
        <v>69</v>
      </c>
      <c r="Q100" s="49" t="s">
        <v>37</v>
      </c>
      <c r="R100" s="51" t="s">
        <v>37</v>
      </c>
      <c r="S100" s="49">
        <v>80</v>
      </c>
      <c r="T100" s="49">
        <v>0.4</v>
      </c>
      <c r="U100" s="68">
        <v>0.1</v>
      </c>
      <c r="V100" s="49">
        <v>0</v>
      </c>
    </row>
    <row r="101" spans="1:22" s="53" customFormat="1" x14ac:dyDescent="0.2">
      <c r="A101" s="49" t="s">
        <v>75</v>
      </c>
      <c r="B101" s="49" t="s">
        <v>76</v>
      </c>
      <c r="C101" s="49" t="s">
        <v>77</v>
      </c>
      <c r="D101" s="49" t="s">
        <v>708</v>
      </c>
      <c r="E101" s="49" t="s">
        <v>709</v>
      </c>
      <c r="F101" s="49" t="s">
        <v>710</v>
      </c>
      <c r="G101" s="49" t="s">
        <v>198</v>
      </c>
      <c r="H101" s="49" t="s">
        <v>39</v>
      </c>
      <c r="I101" s="49" t="s">
        <v>88</v>
      </c>
      <c r="J101" s="49" t="s">
        <v>89</v>
      </c>
      <c r="K101" s="49">
        <v>1</v>
      </c>
      <c r="L101" s="60">
        <v>1</v>
      </c>
      <c r="M101" s="60" t="s">
        <v>95</v>
      </c>
      <c r="N101" s="65">
        <v>2019</v>
      </c>
      <c r="O101" s="49" t="s">
        <v>47</v>
      </c>
      <c r="P101" s="51" t="s">
        <v>69</v>
      </c>
      <c r="Q101" s="49" t="s">
        <v>37</v>
      </c>
      <c r="R101" s="51" t="s">
        <v>37</v>
      </c>
      <c r="S101" s="49">
        <v>80</v>
      </c>
      <c r="T101" s="49">
        <v>0.8</v>
      </c>
      <c r="U101" s="68">
        <v>0.2</v>
      </c>
      <c r="V101" s="49">
        <v>0</v>
      </c>
    </row>
    <row r="102" spans="1:22" s="53" customFormat="1" x14ac:dyDescent="0.2">
      <c r="A102" s="49" t="s">
        <v>44</v>
      </c>
      <c r="B102" s="49" t="s">
        <v>45</v>
      </c>
      <c r="C102" s="49" t="s">
        <v>46</v>
      </c>
      <c r="D102" s="49" t="s">
        <v>711</v>
      </c>
      <c r="E102" s="49" t="s">
        <v>712</v>
      </c>
      <c r="F102" s="49" t="s">
        <v>713</v>
      </c>
      <c r="G102" s="49" t="s">
        <v>128</v>
      </c>
      <c r="H102" s="49" t="s">
        <v>36</v>
      </c>
      <c r="I102" s="49" t="s">
        <v>121</v>
      </c>
      <c r="J102" s="49" t="s">
        <v>122</v>
      </c>
      <c r="K102" s="49">
        <v>1</v>
      </c>
      <c r="L102" s="60">
        <v>0.5</v>
      </c>
      <c r="M102" s="60" t="s">
        <v>125</v>
      </c>
      <c r="N102" s="65">
        <v>2019</v>
      </c>
      <c r="O102" s="49" t="s">
        <v>47</v>
      </c>
      <c r="P102" s="51" t="s">
        <v>69</v>
      </c>
      <c r="Q102" s="49" t="s">
        <v>37</v>
      </c>
      <c r="R102" s="51" t="s">
        <v>37</v>
      </c>
      <c r="S102" s="49">
        <v>80</v>
      </c>
      <c r="T102" s="49">
        <v>0.4</v>
      </c>
      <c r="U102" s="68">
        <v>0.1</v>
      </c>
      <c r="V102" s="49">
        <v>0</v>
      </c>
    </row>
    <row r="103" spans="1:22" s="53" customFormat="1" x14ac:dyDescent="0.2">
      <c r="A103" s="49" t="s">
        <v>44</v>
      </c>
      <c r="B103" s="49" t="s">
        <v>45</v>
      </c>
      <c r="C103" s="49" t="s">
        <v>46</v>
      </c>
      <c r="D103" s="49" t="s">
        <v>711</v>
      </c>
      <c r="E103" s="49" t="s">
        <v>712</v>
      </c>
      <c r="F103" s="49" t="s">
        <v>713</v>
      </c>
      <c r="G103" s="49" t="s">
        <v>130</v>
      </c>
      <c r="H103" s="49" t="s">
        <v>36</v>
      </c>
      <c r="I103" s="49" t="s">
        <v>121</v>
      </c>
      <c r="J103" s="49" t="s">
        <v>122</v>
      </c>
      <c r="K103" s="49">
        <v>1</v>
      </c>
      <c r="L103" s="60">
        <v>0.5</v>
      </c>
      <c r="M103" s="60" t="s">
        <v>125</v>
      </c>
      <c r="N103" s="65">
        <v>2019</v>
      </c>
      <c r="O103" s="49" t="s">
        <v>47</v>
      </c>
      <c r="P103" s="51" t="s">
        <v>68</v>
      </c>
      <c r="Q103" s="49" t="s">
        <v>37</v>
      </c>
      <c r="R103" s="51" t="s">
        <v>37</v>
      </c>
      <c r="S103" s="49">
        <v>50</v>
      </c>
      <c r="T103" s="49">
        <v>0.25</v>
      </c>
      <c r="U103" s="68">
        <v>0.25</v>
      </c>
      <c r="V103" s="49">
        <v>0</v>
      </c>
    </row>
    <row r="104" spans="1:22" s="53" customFormat="1" x14ac:dyDescent="0.2">
      <c r="A104" s="49" t="s">
        <v>44</v>
      </c>
      <c r="B104" s="49" t="s">
        <v>45</v>
      </c>
      <c r="C104" s="49" t="s">
        <v>46</v>
      </c>
      <c r="D104" s="49" t="s">
        <v>714</v>
      </c>
      <c r="E104" s="49" t="s">
        <v>715</v>
      </c>
      <c r="F104" s="49" t="s">
        <v>716</v>
      </c>
      <c r="G104" s="49" t="s">
        <v>207</v>
      </c>
      <c r="H104" s="49" t="s">
        <v>36</v>
      </c>
      <c r="I104" s="49" t="s">
        <v>88</v>
      </c>
      <c r="J104" s="49" t="s">
        <v>89</v>
      </c>
      <c r="K104" s="49">
        <v>1</v>
      </c>
      <c r="L104" s="60">
        <v>0.5</v>
      </c>
      <c r="M104" s="60" t="s">
        <v>95</v>
      </c>
      <c r="N104" s="65">
        <v>2019</v>
      </c>
      <c r="O104" s="49" t="s">
        <v>47</v>
      </c>
      <c r="P104" s="51" t="s">
        <v>69</v>
      </c>
      <c r="Q104" s="49" t="s">
        <v>37</v>
      </c>
      <c r="R104" s="51" t="s">
        <v>37</v>
      </c>
      <c r="S104" s="49">
        <v>80</v>
      </c>
      <c r="T104" s="49">
        <v>0.4</v>
      </c>
      <c r="U104" s="68">
        <v>0.1</v>
      </c>
      <c r="V104" s="49">
        <v>0</v>
      </c>
    </row>
    <row r="105" spans="1:22" s="53" customFormat="1" x14ac:dyDescent="0.2">
      <c r="A105" s="49" t="s">
        <v>44</v>
      </c>
      <c r="B105" s="49" t="s">
        <v>45</v>
      </c>
      <c r="C105" s="49" t="s">
        <v>46</v>
      </c>
      <c r="D105" s="49" t="s">
        <v>714</v>
      </c>
      <c r="E105" s="49" t="s">
        <v>715</v>
      </c>
      <c r="F105" s="49" t="s">
        <v>716</v>
      </c>
      <c r="G105" s="49" t="s">
        <v>717</v>
      </c>
      <c r="H105" s="49" t="s">
        <v>36</v>
      </c>
      <c r="I105" s="49" t="s">
        <v>88</v>
      </c>
      <c r="J105" s="49" t="s">
        <v>89</v>
      </c>
      <c r="K105" s="49">
        <v>1</v>
      </c>
      <c r="L105" s="60">
        <v>0.5</v>
      </c>
      <c r="M105" s="60" t="s">
        <v>95</v>
      </c>
      <c r="N105" s="65">
        <v>2019</v>
      </c>
      <c r="O105" s="49" t="s">
        <v>47</v>
      </c>
      <c r="P105" s="51" t="s">
        <v>69</v>
      </c>
      <c r="Q105" s="49" t="s">
        <v>37</v>
      </c>
      <c r="R105" s="51" t="s">
        <v>37</v>
      </c>
      <c r="S105" s="49">
        <v>80</v>
      </c>
      <c r="T105" s="49">
        <v>0.4</v>
      </c>
      <c r="U105" s="68">
        <v>0.1</v>
      </c>
      <c r="V105" s="49">
        <v>0</v>
      </c>
    </row>
    <row r="106" spans="1:22" s="53" customFormat="1" x14ac:dyDescent="0.2">
      <c r="A106" s="49" t="s">
        <v>44</v>
      </c>
      <c r="B106" s="49" t="s">
        <v>45</v>
      </c>
      <c r="C106" s="49" t="s">
        <v>46</v>
      </c>
      <c r="D106" s="49" t="s">
        <v>718</v>
      </c>
      <c r="E106" s="49" t="s">
        <v>719</v>
      </c>
      <c r="F106" s="49" t="s">
        <v>720</v>
      </c>
      <c r="G106" s="49" t="s">
        <v>94</v>
      </c>
      <c r="H106" s="49" t="s">
        <v>39</v>
      </c>
      <c r="I106" s="49" t="s">
        <v>88</v>
      </c>
      <c r="J106" s="49" t="s">
        <v>89</v>
      </c>
      <c r="K106" s="49">
        <v>1</v>
      </c>
      <c r="L106" s="60">
        <v>1</v>
      </c>
      <c r="M106" s="60" t="s">
        <v>95</v>
      </c>
      <c r="N106" s="65">
        <v>2019</v>
      </c>
      <c r="O106" s="49" t="s">
        <v>47</v>
      </c>
      <c r="P106" s="51" t="s">
        <v>69</v>
      </c>
      <c r="Q106" s="49" t="s">
        <v>37</v>
      </c>
      <c r="R106" s="51" t="s">
        <v>37</v>
      </c>
      <c r="S106" s="49">
        <v>80</v>
      </c>
      <c r="T106" s="49">
        <v>0.8</v>
      </c>
      <c r="U106" s="68">
        <v>0.2</v>
      </c>
      <c r="V106" s="49">
        <v>0</v>
      </c>
    </row>
    <row r="107" spans="1:22" s="53" customFormat="1" x14ac:dyDescent="0.2">
      <c r="A107" s="49" t="s">
        <v>44</v>
      </c>
      <c r="B107" s="49" t="s">
        <v>45</v>
      </c>
      <c r="C107" s="49" t="s">
        <v>46</v>
      </c>
      <c r="D107" s="49" t="s">
        <v>721</v>
      </c>
      <c r="E107" s="49" t="s">
        <v>722</v>
      </c>
      <c r="F107" s="49" t="s">
        <v>723</v>
      </c>
      <c r="G107" s="49" t="s">
        <v>155</v>
      </c>
      <c r="H107" s="49" t="s">
        <v>39</v>
      </c>
      <c r="I107" s="49" t="s">
        <v>121</v>
      </c>
      <c r="J107" s="49" t="s">
        <v>122</v>
      </c>
      <c r="K107" s="49">
        <v>1</v>
      </c>
      <c r="L107" s="60">
        <v>1</v>
      </c>
      <c r="M107" s="60" t="s">
        <v>125</v>
      </c>
      <c r="N107" s="65">
        <v>2019</v>
      </c>
      <c r="O107" s="49" t="s">
        <v>47</v>
      </c>
      <c r="P107" s="51" t="s">
        <v>69</v>
      </c>
      <c r="Q107" s="49" t="s">
        <v>37</v>
      </c>
      <c r="R107" s="51" t="s">
        <v>37</v>
      </c>
      <c r="S107" s="49">
        <v>80</v>
      </c>
      <c r="T107" s="49">
        <v>0.8</v>
      </c>
      <c r="U107" s="68">
        <v>0.2</v>
      </c>
      <c r="V107" s="49">
        <v>0</v>
      </c>
    </row>
    <row r="108" spans="1:22" s="53" customFormat="1" x14ac:dyDescent="0.2">
      <c r="A108" s="49" t="s">
        <v>44</v>
      </c>
      <c r="B108" s="49" t="s">
        <v>45</v>
      </c>
      <c r="C108" s="49" t="s">
        <v>46</v>
      </c>
      <c r="D108" s="49" t="s">
        <v>724</v>
      </c>
      <c r="E108" s="49" t="s">
        <v>725</v>
      </c>
      <c r="F108" s="49" t="s">
        <v>713</v>
      </c>
      <c r="G108" s="49" t="s">
        <v>128</v>
      </c>
      <c r="H108" s="49" t="s">
        <v>36</v>
      </c>
      <c r="I108" s="49" t="s">
        <v>121</v>
      </c>
      <c r="J108" s="49" t="s">
        <v>122</v>
      </c>
      <c r="K108" s="49">
        <v>1</v>
      </c>
      <c r="L108" s="60">
        <v>0.5</v>
      </c>
      <c r="M108" s="60" t="s">
        <v>125</v>
      </c>
      <c r="N108" s="65">
        <v>2019</v>
      </c>
      <c r="O108" s="49" t="s">
        <v>47</v>
      </c>
      <c r="P108" s="51" t="s">
        <v>69</v>
      </c>
      <c r="Q108" s="49" t="s">
        <v>37</v>
      </c>
      <c r="R108" s="51" t="s">
        <v>37</v>
      </c>
      <c r="S108" s="49">
        <v>80</v>
      </c>
      <c r="T108" s="49">
        <v>0.4</v>
      </c>
      <c r="U108" s="68">
        <v>0.1</v>
      </c>
      <c r="V108" s="49">
        <v>0</v>
      </c>
    </row>
    <row r="109" spans="1:22" s="53" customFormat="1" ht="10.8" thickBot="1" x14ac:dyDescent="0.25">
      <c r="A109" s="49" t="s">
        <v>44</v>
      </c>
      <c r="B109" s="49" t="s">
        <v>45</v>
      </c>
      <c r="C109" s="49" t="s">
        <v>46</v>
      </c>
      <c r="D109" s="49" t="s">
        <v>724</v>
      </c>
      <c r="E109" s="49" t="s">
        <v>725</v>
      </c>
      <c r="F109" s="49" t="s">
        <v>713</v>
      </c>
      <c r="G109" s="49" t="s">
        <v>130</v>
      </c>
      <c r="H109" s="49" t="s">
        <v>36</v>
      </c>
      <c r="I109" s="49" t="s">
        <v>121</v>
      </c>
      <c r="J109" s="49" t="s">
        <v>122</v>
      </c>
      <c r="K109" s="49">
        <v>1</v>
      </c>
      <c r="L109" s="60">
        <v>0.5</v>
      </c>
      <c r="M109" s="60" t="s">
        <v>125</v>
      </c>
      <c r="N109" s="65">
        <v>2019</v>
      </c>
      <c r="O109" s="49" t="s">
        <v>47</v>
      </c>
      <c r="P109" s="51" t="s">
        <v>68</v>
      </c>
      <c r="Q109" s="49" t="s">
        <v>37</v>
      </c>
      <c r="R109" s="51" t="s">
        <v>37</v>
      </c>
      <c r="S109" s="49">
        <v>50</v>
      </c>
      <c r="T109" s="49">
        <v>0.25</v>
      </c>
      <c r="U109" s="68">
        <v>0.25</v>
      </c>
      <c r="V109" s="49">
        <v>0</v>
      </c>
    </row>
    <row r="110" spans="1:22" s="53" customFormat="1" ht="10.8" thickBot="1" x14ac:dyDescent="0.25">
      <c r="A110" s="33" t="s">
        <v>65</v>
      </c>
      <c r="B110" s="33" t="s">
        <v>66</v>
      </c>
      <c r="C110" s="33" t="s">
        <v>67</v>
      </c>
      <c r="D110" s="33" t="s">
        <v>726</v>
      </c>
      <c r="E110" s="33" t="s">
        <v>727</v>
      </c>
      <c r="F110" s="33" t="s">
        <v>728</v>
      </c>
      <c r="G110" s="34" t="s">
        <v>117</v>
      </c>
      <c r="H110" s="35" t="s">
        <v>36</v>
      </c>
      <c r="I110" s="35" t="s">
        <v>65</v>
      </c>
      <c r="J110" s="36" t="s">
        <v>66</v>
      </c>
      <c r="K110" s="49">
        <v>1</v>
      </c>
      <c r="L110" s="60">
        <v>0.5</v>
      </c>
      <c r="M110" s="60" t="s">
        <v>115</v>
      </c>
      <c r="N110" s="49">
        <v>2020</v>
      </c>
      <c r="O110" s="49" t="s">
        <v>47</v>
      </c>
      <c r="P110" s="51" t="s">
        <v>69</v>
      </c>
      <c r="Q110" s="49" t="s">
        <v>37</v>
      </c>
      <c r="R110" s="51" t="s">
        <v>37</v>
      </c>
      <c r="S110" s="49">
        <v>80</v>
      </c>
      <c r="T110" s="49">
        <v>0.4</v>
      </c>
      <c r="U110" s="68">
        <v>0.1</v>
      </c>
      <c r="V110" s="49">
        <v>0</v>
      </c>
    </row>
    <row r="111" spans="1:22" s="53" customFormat="1" ht="10.8" thickBot="1" x14ac:dyDescent="0.25">
      <c r="A111" s="33" t="s">
        <v>65</v>
      </c>
      <c r="B111" s="33" t="s">
        <v>66</v>
      </c>
      <c r="C111" s="33" t="s">
        <v>67</v>
      </c>
      <c r="D111" s="33" t="s">
        <v>916</v>
      </c>
      <c r="E111" s="33" t="s">
        <v>917</v>
      </c>
      <c r="F111" s="33" t="s">
        <v>918</v>
      </c>
      <c r="G111" s="34" t="s">
        <v>117</v>
      </c>
      <c r="H111" s="35" t="s">
        <v>36</v>
      </c>
      <c r="I111" s="35" t="s">
        <v>65</v>
      </c>
      <c r="J111" s="36" t="s">
        <v>66</v>
      </c>
      <c r="K111" s="49">
        <v>1</v>
      </c>
      <c r="L111" s="60">
        <v>0.5</v>
      </c>
      <c r="M111" s="60" t="s">
        <v>115</v>
      </c>
      <c r="N111" s="49">
        <v>2020</v>
      </c>
      <c r="O111" s="49" t="s">
        <v>47</v>
      </c>
      <c r="P111" s="51" t="s">
        <v>69</v>
      </c>
      <c r="Q111" s="49" t="s">
        <v>37</v>
      </c>
      <c r="R111" s="51" t="s">
        <v>37</v>
      </c>
      <c r="S111" s="49">
        <v>80</v>
      </c>
      <c r="T111" s="49">
        <v>0.4</v>
      </c>
      <c r="U111" s="68">
        <v>0.1</v>
      </c>
      <c r="V111" s="49">
        <v>0</v>
      </c>
    </row>
    <row r="112" spans="1:22" s="53" customFormat="1" ht="10.8" thickBot="1" x14ac:dyDescent="0.25">
      <c r="A112" s="33" t="s">
        <v>919</v>
      </c>
      <c r="B112" s="33" t="s">
        <v>920</v>
      </c>
      <c r="C112" s="33" t="s">
        <v>921</v>
      </c>
      <c r="D112" s="33" t="s">
        <v>922</v>
      </c>
      <c r="E112" s="33" t="s">
        <v>923</v>
      </c>
      <c r="F112" s="33" t="s">
        <v>924</v>
      </c>
      <c r="G112" s="34" t="s">
        <v>925</v>
      </c>
      <c r="H112" s="35" t="s">
        <v>36</v>
      </c>
      <c r="I112" s="35" t="s">
        <v>926</v>
      </c>
      <c r="J112" s="36" t="s">
        <v>927</v>
      </c>
      <c r="K112" s="49">
        <v>1</v>
      </c>
      <c r="L112" s="60">
        <v>0.5</v>
      </c>
      <c r="M112" s="60" t="s">
        <v>928</v>
      </c>
      <c r="N112" s="49">
        <v>2020</v>
      </c>
      <c r="O112" s="49" t="s">
        <v>47</v>
      </c>
      <c r="P112" s="51" t="s">
        <v>929</v>
      </c>
      <c r="Q112" s="49" t="s">
        <v>37</v>
      </c>
      <c r="R112" s="51" t="s">
        <v>37</v>
      </c>
      <c r="S112" s="49">
        <v>85</v>
      </c>
      <c r="T112" s="49">
        <v>0.42499999999999999</v>
      </c>
      <c r="U112" s="68">
        <v>7.4999999999999997E-2</v>
      </c>
      <c r="V112" s="49">
        <v>0</v>
      </c>
    </row>
    <row r="113" spans="1:22" s="53" customFormat="1" ht="10.8" thickBot="1" x14ac:dyDescent="0.25">
      <c r="A113" s="33" t="s">
        <v>75</v>
      </c>
      <c r="B113" s="33" t="s">
        <v>76</v>
      </c>
      <c r="C113" s="33" t="s">
        <v>77</v>
      </c>
      <c r="D113" s="33" t="s">
        <v>930</v>
      </c>
      <c r="E113" s="33" t="s">
        <v>931</v>
      </c>
      <c r="F113" s="33" t="s">
        <v>802</v>
      </c>
      <c r="G113" s="34" t="s">
        <v>910</v>
      </c>
      <c r="H113" s="35" t="s">
        <v>36</v>
      </c>
      <c r="I113" s="35" t="s">
        <v>911</v>
      </c>
      <c r="J113" s="36" t="s">
        <v>912</v>
      </c>
      <c r="K113" s="49">
        <v>1</v>
      </c>
      <c r="L113" s="60">
        <v>0.5</v>
      </c>
      <c r="M113" s="60" t="s">
        <v>83</v>
      </c>
      <c r="N113" s="49">
        <v>2020</v>
      </c>
      <c r="O113" s="49" t="s">
        <v>47</v>
      </c>
      <c r="P113" s="51" t="s">
        <v>69</v>
      </c>
      <c r="Q113" s="49" t="s">
        <v>37</v>
      </c>
      <c r="R113" s="51" t="s">
        <v>37</v>
      </c>
      <c r="S113" s="49">
        <v>80</v>
      </c>
      <c r="T113" s="49">
        <v>0.4</v>
      </c>
      <c r="U113" s="68">
        <v>0.1</v>
      </c>
      <c r="V113" s="49">
        <v>0</v>
      </c>
    </row>
    <row r="114" spans="1:22" s="53" customFormat="1" ht="10.8" thickBot="1" x14ac:dyDescent="0.25">
      <c r="A114" s="33" t="s">
        <v>75</v>
      </c>
      <c r="B114" s="33" t="s">
        <v>76</v>
      </c>
      <c r="C114" s="33" t="s">
        <v>77</v>
      </c>
      <c r="D114" s="33" t="s">
        <v>932</v>
      </c>
      <c r="E114" s="33" t="s">
        <v>933</v>
      </c>
      <c r="F114" s="33" t="s">
        <v>934</v>
      </c>
      <c r="G114" s="34" t="s">
        <v>910</v>
      </c>
      <c r="H114" s="35" t="s">
        <v>36</v>
      </c>
      <c r="I114" s="35" t="s">
        <v>911</v>
      </c>
      <c r="J114" s="36" t="s">
        <v>912</v>
      </c>
      <c r="K114" s="49">
        <v>1</v>
      </c>
      <c r="L114" s="60">
        <v>0.5</v>
      </c>
      <c r="M114" s="60" t="s">
        <v>83</v>
      </c>
      <c r="N114" s="49">
        <v>2020</v>
      </c>
      <c r="O114" s="49" t="s">
        <v>47</v>
      </c>
      <c r="P114" s="51" t="s">
        <v>69</v>
      </c>
      <c r="Q114" s="49" t="s">
        <v>37</v>
      </c>
      <c r="R114" s="51" t="s">
        <v>37</v>
      </c>
      <c r="S114" s="49">
        <v>80</v>
      </c>
      <c r="T114" s="49">
        <v>0.4</v>
      </c>
      <c r="U114" s="68">
        <v>0.1</v>
      </c>
      <c r="V114" s="49">
        <v>0</v>
      </c>
    </row>
    <row r="115" spans="1:22" s="53" customFormat="1" ht="10.8" thickBot="1" x14ac:dyDescent="0.25">
      <c r="A115" s="33" t="s">
        <v>75</v>
      </c>
      <c r="B115" s="33" t="s">
        <v>76</v>
      </c>
      <c r="C115" s="33" t="s">
        <v>77</v>
      </c>
      <c r="D115" s="33" t="s">
        <v>935</v>
      </c>
      <c r="E115" s="33" t="s">
        <v>936</v>
      </c>
      <c r="F115" s="33" t="s">
        <v>937</v>
      </c>
      <c r="G115" s="34" t="s">
        <v>910</v>
      </c>
      <c r="H115" s="35" t="s">
        <v>36</v>
      </c>
      <c r="I115" s="35" t="s">
        <v>911</v>
      </c>
      <c r="J115" s="36" t="s">
        <v>912</v>
      </c>
      <c r="K115" s="49">
        <v>1</v>
      </c>
      <c r="L115" s="60">
        <v>0.5</v>
      </c>
      <c r="M115" s="60" t="s">
        <v>83</v>
      </c>
      <c r="N115" s="49">
        <v>2020</v>
      </c>
      <c r="O115" s="49" t="s">
        <v>47</v>
      </c>
      <c r="P115" s="51" t="s">
        <v>69</v>
      </c>
      <c r="Q115" s="49" t="s">
        <v>37</v>
      </c>
      <c r="R115" s="51" t="s">
        <v>37</v>
      </c>
      <c r="S115" s="49">
        <v>80</v>
      </c>
      <c r="T115" s="49">
        <v>0.4</v>
      </c>
      <c r="U115" s="68">
        <v>0.1</v>
      </c>
      <c r="V115" s="49">
        <v>0</v>
      </c>
    </row>
    <row r="116" spans="1:22" s="53" customFormat="1" ht="10.8" thickBot="1" x14ac:dyDescent="0.25">
      <c r="A116" s="33" t="s">
        <v>75</v>
      </c>
      <c r="B116" s="33" t="s">
        <v>76</v>
      </c>
      <c r="C116" s="33" t="s">
        <v>77</v>
      </c>
      <c r="D116" s="33" t="s">
        <v>938</v>
      </c>
      <c r="E116" s="33" t="s">
        <v>939</v>
      </c>
      <c r="F116" s="33" t="s">
        <v>940</v>
      </c>
      <c r="G116" s="34" t="s">
        <v>910</v>
      </c>
      <c r="H116" s="35" t="s">
        <v>36</v>
      </c>
      <c r="I116" s="35" t="s">
        <v>911</v>
      </c>
      <c r="J116" s="36" t="s">
        <v>912</v>
      </c>
      <c r="K116" s="49">
        <v>1</v>
      </c>
      <c r="L116" s="60">
        <v>0.5</v>
      </c>
      <c r="M116" s="60" t="s">
        <v>83</v>
      </c>
      <c r="N116" s="49">
        <v>2020</v>
      </c>
      <c r="O116" s="49" t="s">
        <v>47</v>
      </c>
      <c r="P116" s="51" t="s">
        <v>69</v>
      </c>
      <c r="Q116" s="49" t="s">
        <v>37</v>
      </c>
      <c r="R116" s="51" t="s">
        <v>37</v>
      </c>
      <c r="S116" s="49">
        <v>80</v>
      </c>
      <c r="T116" s="49">
        <v>0.4</v>
      </c>
      <c r="U116" s="68">
        <v>0.1</v>
      </c>
      <c r="V116" s="49">
        <v>0</v>
      </c>
    </row>
    <row r="117" spans="1:22" s="53" customFormat="1" ht="10.8" thickBot="1" x14ac:dyDescent="0.25">
      <c r="A117" s="33" t="s">
        <v>75</v>
      </c>
      <c r="B117" s="33" t="s">
        <v>76</v>
      </c>
      <c r="C117" s="33" t="s">
        <v>77</v>
      </c>
      <c r="D117" s="33" t="s">
        <v>941</v>
      </c>
      <c r="E117" s="33" t="s">
        <v>942</v>
      </c>
      <c r="F117" s="33" t="s">
        <v>743</v>
      </c>
      <c r="G117" s="34" t="s">
        <v>910</v>
      </c>
      <c r="H117" s="35" t="s">
        <v>36</v>
      </c>
      <c r="I117" s="35" t="s">
        <v>911</v>
      </c>
      <c r="J117" s="36" t="s">
        <v>912</v>
      </c>
      <c r="K117" s="49">
        <v>1</v>
      </c>
      <c r="L117" s="60">
        <v>0.5</v>
      </c>
      <c r="M117" s="60" t="s">
        <v>83</v>
      </c>
      <c r="N117" s="49">
        <v>2020</v>
      </c>
      <c r="O117" s="49" t="s">
        <v>47</v>
      </c>
      <c r="P117" s="51" t="s">
        <v>69</v>
      </c>
      <c r="Q117" s="49" t="s">
        <v>37</v>
      </c>
      <c r="R117" s="51" t="s">
        <v>37</v>
      </c>
      <c r="S117" s="49">
        <v>80</v>
      </c>
      <c r="T117" s="49">
        <v>0.4</v>
      </c>
      <c r="U117" s="68">
        <v>0.1</v>
      </c>
      <c r="V117" s="49">
        <v>0</v>
      </c>
    </row>
    <row r="118" spans="1:22" s="53" customFormat="1" ht="10.8" thickBot="1" x14ac:dyDescent="0.25">
      <c r="A118" s="33" t="s">
        <v>75</v>
      </c>
      <c r="B118" s="33" t="s">
        <v>76</v>
      </c>
      <c r="C118" s="33" t="s">
        <v>77</v>
      </c>
      <c r="D118" s="33" t="s">
        <v>729</v>
      </c>
      <c r="E118" s="33" t="s">
        <v>730</v>
      </c>
      <c r="F118" s="33" t="s">
        <v>731</v>
      </c>
      <c r="G118" s="34" t="s">
        <v>208</v>
      </c>
      <c r="H118" s="35" t="s">
        <v>39</v>
      </c>
      <c r="I118" s="35" t="s">
        <v>88</v>
      </c>
      <c r="J118" s="36" t="s">
        <v>89</v>
      </c>
      <c r="K118" s="49">
        <v>1</v>
      </c>
      <c r="L118" s="60">
        <v>1</v>
      </c>
      <c r="M118" s="60" t="s">
        <v>95</v>
      </c>
      <c r="N118" s="49">
        <v>2020</v>
      </c>
      <c r="O118" s="49" t="s">
        <v>47</v>
      </c>
      <c r="P118" s="51" t="s">
        <v>69</v>
      </c>
      <c r="Q118" s="49" t="s">
        <v>37</v>
      </c>
      <c r="R118" s="51" t="s">
        <v>37</v>
      </c>
      <c r="S118" s="49">
        <v>80</v>
      </c>
      <c r="T118" s="49">
        <v>0.8</v>
      </c>
      <c r="U118" s="68">
        <v>0.2</v>
      </c>
      <c r="V118" s="49">
        <v>0</v>
      </c>
    </row>
    <row r="119" spans="1:22" s="53" customFormat="1" ht="10.8" thickBot="1" x14ac:dyDescent="0.25">
      <c r="A119" s="33" t="s">
        <v>44</v>
      </c>
      <c r="B119" s="33" t="s">
        <v>45</v>
      </c>
      <c r="C119" s="33" t="s">
        <v>46</v>
      </c>
      <c r="D119" s="33" t="s">
        <v>732</v>
      </c>
      <c r="E119" s="33" t="s">
        <v>733</v>
      </c>
      <c r="F119" s="33" t="s">
        <v>734</v>
      </c>
      <c r="G119" s="34" t="s">
        <v>129</v>
      </c>
      <c r="H119" s="35" t="s">
        <v>36</v>
      </c>
      <c r="I119" s="35" t="s">
        <v>121</v>
      </c>
      <c r="J119" s="36" t="s">
        <v>122</v>
      </c>
      <c r="K119" s="49">
        <v>1</v>
      </c>
      <c r="L119" s="60">
        <v>0.5</v>
      </c>
      <c r="M119" s="60" t="s">
        <v>125</v>
      </c>
      <c r="N119" s="49">
        <v>2020</v>
      </c>
      <c r="O119" s="49" t="s">
        <v>47</v>
      </c>
      <c r="P119" s="51" t="s">
        <v>69</v>
      </c>
      <c r="Q119" s="49" t="s">
        <v>114</v>
      </c>
      <c r="R119" s="51" t="s">
        <v>74</v>
      </c>
      <c r="S119" s="49">
        <v>70</v>
      </c>
      <c r="T119" s="49">
        <v>0.35</v>
      </c>
      <c r="U119" s="68">
        <v>0.1</v>
      </c>
      <c r="V119" s="49">
        <v>0.05</v>
      </c>
    </row>
    <row r="120" spans="1:22" s="53" customFormat="1" ht="10.8" thickBot="1" x14ac:dyDescent="0.25">
      <c r="A120" s="33" t="s">
        <v>44</v>
      </c>
      <c r="B120" s="33" t="s">
        <v>45</v>
      </c>
      <c r="C120" s="33" t="s">
        <v>46</v>
      </c>
      <c r="D120" s="33" t="s">
        <v>735</v>
      </c>
      <c r="E120" s="33" t="s">
        <v>736</v>
      </c>
      <c r="F120" s="33" t="s">
        <v>737</v>
      </c>
      <c r="G120" s="34" t="s">
        <v>204</v>
      </c>
      <c r="H120" s="35" t="s">
        <v>36</v>
      </c>
      <c r="I120" s="35" t="s">
        <v>88</v>
      </c>
      <c r="J120" s="36" t="s">
        <v>89</v>
      </c>
      <c r="K120" s="49">
        <v>1</v>
      </c>
      <c r="L120" s="60">
        <v>0.5</v>
      </c>
      <c r="M120" s="60" t="s">
        <v>95</v>
      </c>
      <c r="N120" s="49">
        <v>2020</v>
      </c>
      <c r="O120" s="49" t="s">
        <v>47</v>
      </c>
      <c r="P120" s="51" t="s">
        <v>69</v>
      </c>
      <c r="Q120" s="49" t="s">
        <v>37</v>
      </c>
      <c r="R120" s="51" t="s">
        <v>37</v>
      </c>
      <c r="S120" s="49">
        <v>80</v>
      </c>
      <c r="T120" s="49">
        <v>0.4</v>
      </c>
      <c r="U120" s="68">
        <v>0.1</v>
      </c>
      <c r="V120" s="49">
        <v>0</v>
      </c>
    </row>
    <row r="121" spans="1:22" s="53" customFormat="1" ht="10.8" thickBot="1" x14ac:dyDescent="0.25">
      <c r="A121" s="33" t="s">
        <v>44</v>
      </c>
      <c r="B121" s="33" t="s">
        <v>45</v>
      </c>
      <c r="C121" s="33" t="s">
        <v>46</v>
      </c>
      <c r="D121" s="33" t="s">
        <v>738</v>
      </c>
      <c r="E121" s="33" t="s">
        <v>739</v>
      </c>
      <c r="F121" s="33" t="s">
        <v>740</v>
      </c>
      <c r="G121" s="34" t="s">
        <v>206</v>
      </c>
      <c r="H121" s="35" t="s">
        <v>36</v>
      </c>
      <c r="I121" s="35" t="s">
        <v>88</v>
      </c>
      <c r="J121" s="36" t="s">
        <v>89</v>
      </c>
      <c r="K121" s="49">
        <v>1</v>
      </c>
      <c r="L121" s="60">
        <v>0.5</v>
      </c>
      <c r="M121" s="60" t="s">
        <v>95</v>
      </c>
      <c r="N121" s="49">
        <v>2020</v>
      </c>
      <c r="O121" s="49" t="s">
        <v>47</v>
      </c>
      <c r="P121" s="51" t="s">
        <v>69</v>
      </c>
      <c r="Q121" s="49" t="s">
        <v>37</v>
      </c>
      <c r="R121" s="51" t="s">
        <v>37</v>
      </c>
      <c r="S121" s="49">
        <v>80</v>
      </c>
      <c r="T121" s="49">
        <v>0.4</v>
      </c>
      <c r="U121" s="68">
        <v>0.1</v>
      </c>
      <c r="V121" s="49">
        <v>0</v>
      </c>
    </row>
    <row r="122" spans="1:22" s="53" customFormat="1" ht="10.8" thickBot="1" x14ac:dyDescent="0.25">
      <c r="A122" s="33" t="s">
        <v>44</v>
      </c>
      <c r="B122" s="33" t="s">
        <v>45</v>
      </c>
      <c r="C122" s="33" t="s">
        <v>46</v>
      </c>
      <c r="D122" s="33" t="s">
        <v>738</v>
      </c>
      <c r="E122" s="33" t="s">
        <v>739</v>
      </c>
      <c r="F122" s="33" t="s">
        <v>740</v>
      </c>
      <c r="G122" s="34" t="s">
        <v>205</v>
      </c>
      <c r="H122" s="35" t="s">
        <v>36</v>
      </c>
      <c r="I122" s="35" t="s">
        <v>88</v>
      </c>
      <c r="J122" s="36" t="s">
        <v>89</v>
      </c>
      <c r="K122" s="49">
        <v>1</v>
      </c>
      <c r="L122" s="60">
        <v>0.5</v>
      </c>
      <c r="M122" s="60" t="s">
        <v>95</v>
      </c>
      <c r="N122" s="49">
        <v>2020</v>
      </c>
      <c r="O122" s="49" t="s">
        <v>47</v>
      </c>
      <c r="P122" s="51" t="s">
        <v>69</v>
      </c>
      <c r="Q122" s="49" t="s">
        <v>37</v>
      </c>
      <c r="R122" s="51" t="s">
        <v>37</v>
      </c>
      <c r="S122" s="49">
        <v>80</v>
      </c>
      <c r="T122" s="49">
        <v>0.4</v>
      </c>
      <c r="U122" s="68">
        <v>0.1</v>
      </c>
      <c r="V122" s="49">
        <v>0</v>
      </c>
    </row>
    <row r="123" spans="1:22" s="53" customFormat="1" ht="10.8" thickBot="1" x14ac:dyDescent="0.25">
      <c r="A123" s="33" t="s">
        <v>44</v>
      </c>
      <c r="B123" s="33" t="s">
        <v>45</v>
      </c>
      <c r="C123" s="33" t="s">
        <v>46</v>
      </c>
      <c r="D123" s="33" t="s">
        <v>741</v>
      </c>
      <c r="E123" s="33" t="s">
        <v>742</v>
      </c>
      <c r="F123" s="33" t="s">
        <v>743</v>
      </c>
      <c r="G123" s="34" t="s">
        <v>135</v>
      </c>
      <c r="H123" s="35" t="s">
        <v>36</v>
      </c>
      <c r="I123" s="35" t="s">
        <v>121</v>
      </c>
      <c r="J123" s="36" t="s">
        <v>122</v>
      </c>
      <c r="K123" s="49">
        <v>1</v>
      </c>
      <c r="L123" s="60">
        <v>0.5</v>
      </c>
      <c r="M123" s="60" t="s">
        <v>125</v>
      </c>
      <c r="N123" s="49">
        <v>2020</v>
      </c>
      <c r="O123" s="49" t="s">
        <v>47</v>
      </c>
      <c r="P123" s="51" t="s">
        <v>69</v>
      </c>
      <c r="Q123" s="49" t="s">
        <v>37</v>
      </c>
      <c r="R123" s="51" t="s">
        <v>37</v>
      </c>
      <c r="S123" s="49">
        <v>80</v>
      </c>
      <c r="T123" s="49">
        <v>0.4</v>
      </c>
      <c r="U123" s="68">
        <v>0.1</v>
      </c>
      <c r="V123" s="49">
        <v>0</v>
      </c>
    </row>
    <row r="124" spans="1:22" s="53" customFormat="1" ht="10.8" thickBot="1" x14ac:dyDescent="0.25">
      <c r="A124" s="33" t="s">
        <v>44</v>
      </c>
      <c r="B124" s="33" t="s">
        <v>45</v>
      </c>
      <c r="C124" s="33" t="s">
        <v>46</v>
      </c>
      <c r="D124" s="33" t="s">
        <v>741</v>
      </c>
      <c r="E124" s="33" t="s">
        <v>742</v>
      </c>
      <c r="F124" s="33" t="s">
        <v>743</v>
      </c>
      <c r="G124" s="34" t="s">
        <v>151</v>
      </c>
      <c r="H124" s="35" t="s">
        <v>36</v>
      </c>
      <c r="I124" s="35" t="s">
        <v>121</v>
      </c>
      <c r="J124" s="36" t="s">
        <v>122</v>
      </c>
      <c r="K124" s="49">
        <v>1</v>
      </c>
      <c r="L124" s="60">
        <v>0.5</v>
      </c>
      <c r="M124" s="60" t="s">
        <v>125</v>
      </c>
      <c r="N124" s="49">
        <v>2020</v>
      </c>
      <c r="O124" s="49" t="s">
        <v>47</v>
      </c>
      <c r="P124" s="51" t="s">
        <v>69</v>
      </c>
      <c r="Q124" s="49" t="s">
        <v>37</v>
      </c>
      <c r="R124" s="51" t="s">
        <v>37</v>
      </c>
      <c r="S124" s="49">
        <v>80</v>
      </c>
      <c r="T124" s="49">
        <v>0.4</v>
      </c>
      <c r="U124" s="68">
        <v>0.1</v>
      </c>
      <c r="V124" s="49">
        <v>0</v>
      </c>
    </row>
    <row r="125" spans="1:22" s="53" customFormat="1" ht="10.8" thickBot="1" x14ac:dyDescent="0.25">
      <c r="A125" s="33" t="s">
        <v>44</v>
      </c>
      <c r="B125" s="33" t="s">
        <v>45</v>
      </c>
      <c r="C125" s="33" t="s">
        <v>46</v>
      </c>
      <c r="D125" s="33" t="s">
        <v>744</v>
      </c>
      <c r="E125" s="33" t="s">
        <v>745</v>
      </c>
      <c r="F125" s="33" t="s">
        <v>734</v>
      </c>
      <c r="G125" s="34" t="s">
        <v>94</v>
      </c>
      <c r="H125" s="35" t="s">
        <v>39</v>
      </c>
      <c r="I125" s="35" t="s">
        <v>88</v>
      </c>
      <c r="J125" s="36" t="s">
        <v>89</v>
      </c>
      <c r="K125" s="49">
        <v>1</v>
      </c>
      <c r="L125" s="60">
        <v>1</v>
      </c>
      <c r="M125" s="60" t="s">
        <v>95</v>
      </c>
      <c r="N125" s="49">
        <v>2020</v>
      </c>
      <c r="O125" s="49" t="s">
        <v>47</v>
      </c>
      <c r="P125" s="51" t="s">
        <v>69</v>
      </c>
      <c r="Q125" s="49" t="s">
        <v>37</v>
      </c>
      <c r="R125" s="51" t="s">
        <v>37</v>
      </c>
      <c r="S125" s="49">
        <v>80</v>
      </c>
      <c r="T125" s="49">
        <v>0.8</v>
      </c>
      <c r="U125" s="68">
        <v>0.2</v>
      </c>
      <c r="V125" s="49">
        <v>0</v>
      </c>
    </row>
    <row r="126" spans="1:22" s="53" customFormat="1" ht="10.8" thickBot="1" x14ac:dyDescent="0.25">
      <c r="A126" s="33" t="s">
        <v>44</v>
      </c>
      <c r="B126" s="33" t="s">
        <v>45</v>
      </c>
      <c r="C126" s="33" t="s">
        <v>46</v>
      </c>
      <c r="D126" s="33" t="s">
        <v>746</v>
      </c>
      <c r="E126" s="33" t="s">
        <v>747</v>
      </c>
      <c r="F126" s="33" t="s">
        <v>748</v>
      </c>
      <c r="G126" s="34" t="s">
        <v>94</v>
      </c>
      <c r="H126" s="35" t="s">
        <v>39</v>
      </c>
      <c r="I126" s="35" t="s">
        <v>88</v>
      </c>
      <c r="J126" s="36" t="s">
        <v>89</v>
      </c>
      <c r="K126" s="49">
        <v>1</v>
      </c>
      <c r="L126" s="60">
        <v>1</v>
      </c>
      <c r="M126" s="60" t="s">
        <v>95</v>
      </c>
      <c r="N126" s="49">
        <v>2020</v>
      </c>
      <c r="O126" s="49" t="s">
        <v>47</v>
      </c>
      <c r="P126" s="51" t="s">
        <v>69</v>
      </c>
      <c r="Q126" s="49" t="s">
        <v>37</v>
      </c>
      <c r="R126" s="51" t="s">
        <v>37</v>
      </c>
      <c r="S126" s="49">
        <v>80</v>
      </c>
      <c r="T126" s="49">
        <v>0.8</v>
      </c>
      <c r="U126" s="68">
        <v>0.2</v>
      </c>
      <c r="V126" s="49">
        <v>0</v>
      </c>
    </row>
    <row r="127" spans="1:22" s="53" customFormat="1" ht="10.8" thickBot="1" x14ac:dyDescent="0.25">
      <c r="A127" s="33" t="s">
        <v>44</v>
      </c>
      <c r="B127" s="33" t="s">
        <v>45</v>
      </c>
      <c r="C127" s="33" t="s">
        <v>46</v>
      </c>
      <c r="D127" s="33" t="s">
        <v>749</v>
      </c>
      <c r="E127" s="33" t="s">
        <v>750</v>
      </c>
      <c r="F127" s="33" t="s">
        <v>751</v>
      </c>
      <c r="G127" s="34" t="s">
        <v>752</v>
      </c>
      <c r="H127" s="35" t="s">
        <v>36</v>
      </c>
      <c r="I127" s="35" t="s">
        <v>132</v>
      </c>
      <c r="J127" s="36" t="s">
        <v>133</v>
      </c>
      <c r="K127" s="49">
        <v>1</v>
      </c>
      <c r="L127" s="60">
        <v>0.5</v>
      </c>
      <c r="M127" s="60" t="s">
        <v>234</v>
      </c>
      <c r="N127" s="49">
        <v>2020</v>
      </c>
      <c r="O127" s="49" t="s">
        <v>47</v>
      </c>
      <c r="P127" s="51" t="s">
        <v>69</v>
      </c>
      <c r="Q127" s="49" t="s">
        <v>37</v>
      </c>
      <c r="R127" s="51" t="s">
        <v>37</v>
      </c>
      <c r="S127" s="49">
        <v>80</v>
      </c>
      <c r="T127" s="49">
        <v>0.4</v>
      </c>
      <c r="U127" s="68">
        <v>0.1</v>
      </c>
      <c r="V127" s="49">
        <v>0</v>
      </c>
    </row>
    <row r="128" spans="1:22" s="53" customFormat="1" ht="10.8" thickBot="1" x14ac:dyDescent="0.25">
      <c r="A128" s="33" t="s">
        <v>44</v>
      </c>
      <c r="B128" s="33" t="s">
        <v>45</v>
      </c>
      <c r="C128" s="33" t="s">
        <v>46</v>
      </c>
      <c r="D128" s="33" t="s">
        <v>753</v>
      </c>
      <c r="E128" s="33" t="s">
        <v>754</v>
      </c>
      <c r="F128" s="33" t="s">
        <v>755</v>
      </c>
      <c r="G128" s="34" t="s">
        <v>582</v>
      </c>
      <c r="H128" s="35" t="s">
        <v>36</v>
      </c>
      <c r="I128" s="35" t="s">
        <v>132</v>
      </c>
      <c r="J128" s="36" t="s">
        <v>133</v>
      </c>
      <c r="K128" s="49">
        <v>1</v>
      </c>
      <c r="L128" s="60">
        <v>0.5</v>
      </c>
      <c r="M128" s="60" t="s">
        <v>234</v>
      </c>
      <c r="N128" s="49">
        <v>2020</v>
      </c>
      <c r="O128" s="49" t="s">
        <v>47</v>
      </c>
      <c r="P128" s="51" t="s">
        <v>69</v>
      </c>
      <c r="Q128" s="49" t="s">
        <v>37</v>
      </c>
      <c r="R128" s="51" t="s">
        <v>37</v>
      </c>
      <c r="S128" s="49">
        <v>80</v>
      </c>
      <c r="T128" s="49">
        <v>0.4</v>
      </c>
      <c r="U128" s="68">
        <v>0.1</v>
      </c>
      <c r="V128" s="49">
        <v>0</v>
      </c>
    </row>
    <row r="129" spans="1:22" s="53" customFormat="1" ht="10.8" thickBot="1" x14ac:dyDescent="0.25">
      <c r="A129" s="33" t="s">
        <v>44</v>
      </c>
      <c r="B129" s="33" t="s">
        <v>45</v>
      </c>
      <c r="C129" s="33" t="s">
        <v>46</v>
      </c>
      <c r="D129" s="33" t="s">
        <v>753</v>
      </c>
      <c r="E129" s="33" t="s">
        <v>754</v>
      </c>
      <c r="F129" s="33" t="s">
        <v>755</v>
      </c>
      <c r="G129" s="34" t="s">
        <v>235</v>
      </c>
      <c r="H129" s="35" t="s">
        <v>36</v>
      </c>
      <c r="I129" s="35" t="s">
        <v>132</v>
      </c>
      <c r="J129" s="36" t="s">
        <v>133</v>
      </c>
      <c r="K129" s="49">
        <v>1</v>
      </c>
      <c r="L129" s="60">
        <v>0.5</v>
      </c>
      <c r="M129" s="60" t="s">
        <v>234</v>
      </c>
      <c r="N129" s="49">
        <v>2020</v>
      </c>
      <c r="O129" s="49" t="s">
        <v>47</v>
      </c>
      <c r="P129" s="51" t="s">
        <v>68</v>
      </c>
      <c r="Q129" s="49" t="s">
        <v>37</v>
      </c>
      <c r="R129" s="51" t="s">
        <v>37</v>
      </c>
      <c r="S129" s="49">
        <v>50</v>
      </c>
      <c r="T129" s="49">
        <v>0.25</v>
      </c>
      <c r="U129" s="68">
        <v>0.25</v>
      </c>
      <c r="V129" s="49">
        <v>0</v>
      </c>
    </row>
    <row r="130" spans="1:22" s="53" customFormat="1" ht="10.8" thickBot="1" x14ac:dyDescent="0.25">
      <c r="A130" s="33" t="s">
        <v>44</v>
      </c>
      <c r="B130" s="33" t="s">
        <v>45</v>
      </c>
      <c r="C130" s="33" t="s">
        <v>46</v>
      </c>
      <c r="D130" s="33" t="s">
        <v>756</v>
      </c>
      <c r="E130" s="33" t="s">
        <v>757</v>
      </c>
      <c r="F130" s="33" t="s">
        <v>758</v>
      </c>
      <c r="G130" s="34" t="s">
        <v>130</v>
      </c>
      <c r="H130" s="35" t="s">
        <v>36</v>
      </c>
      <c r="I130" s="35" t="s">
        <v>121</v>
      </c>
      <c r="J130" s="36" t="s">
        <v>122</v>
      </c>
      <c r="K130" s="49">
        <v>1</v>
      </c>
      <c r="L130" s="60">
        <v>0.5</v>
      </c>
      <c r="M130" s="60" t="s">
        <v>125</v>
      </c>
      <c r="N130" s="49">
        <v>2020</v>
      </c>
      <c r="O130" s="49" t="s">
        <v>47</v>
      </c>
      <c r="P130" s="51" t="s">
        <v>68</v>
      </c>
      <c r="Q130" s="49" t="s">
        <v>37</v>
      </c>
      <c r="R130" s="51" t="s">
        <v>37</v>
      </c>
      <c r="S130" s="49">
        <v>50</v>
      </c>
      <c r="T130" s="49">
        <v>0.25</v>
      </c>
      <c r="U130" s="68">
        <v>0.25</v>
      </c>
      <c r="V130" s="49">
        <v>0</v>
      </c>
    </row>
    <row r="131" spans="1:22" s="53" customFormat="1" ht="10.8" thickBot="1" x14ac:dyDescent="0.25">
      <c r="A131" s="33" t="s">
        <v>44</v>
      </c>
      <c r="B131" s="33" t="s">
        <v>45</v>
      </c>
      <c r="C131" s="33" t="s">
        <v>46</v>
      </c>
      <c r="D131" s="33" t="s">
        <v>756</v>
      </c>
      <c r="E131" s="33" t="s">
        <v>757</v>
      </c>
      <c r="F131" s="33" t="s">
        <v>758</v>
      </c>
      <c r="G131" s="34" t="s">
        <v>136</v>
      </c>
      <c r="H131" s="35" t="s">
        <v>36</v>
      </c>
      <c r="I131" s="35" t="s">
        <v>121</v>
      </c>
      <c r="J131" s="36" t="s">
        <v>122</v>
      </c>
      <c r="K131" s="49">
        <v>1</v>
      </c>
      <c r="L131" s="60">
        <v>0.5</v>
      </c>
      <c r="M131" s="60" t="s">
        <v>125</v>
      </c>
      <c r="N131" s="49">
        <v>2020</v>
      </c>
      <c r="O131" s="49" t="s">
        <v>47</v>
      </c>
      <c r="P131" s="51" t="s">
        <v>69</v>
      </c>
      <c r="Q131" s="49" t="s">
        <v>37</v>
      </c>
      <c r="R131" s="51" t="s">
        <v>37</v>
      </c>
      <c r="S131" s="49">
        <v>80</v>
      </c>
      <c r="T131" s="49">
        <v>0.4</v>
      </c>
      <c r="U131" s="68">
        <v>0.1</v>
      </c>
      <c r="V131" s="49">
        <v>0</v>
      </c>
    </row>
    <row r="132" spans="1:22" s="53" customFormat="1" ht="10.8" thickBot="1" x14ac:dyDescent="0.25">
      <c r="A132" s="33" t="s">
        <v>44</v>
      </c>
      <c r="B132" s="33" t="s">
        <v>45</v>
      </c>
      <c r="C132" s="33" t="s">
        <v>46</v>
      </c>
      <c r="D132" s="33" t="s">
        <v>759</v>
      </c>
      <c r="E132" s="33" t="s">
        <v>760</v>
      </c>
      <c r="F132" s="33" t="s">
        <v>761</v>
      </c>
      <c r="G132" s="34" t="s">
        <v>179</v>
      </c>
      <c r="H132" s="35" t="s">
        <v>36</v>
      </c>
      <c r="I132" s="35" t="s">
        <v>169</v>
      </c>
      <c r="J132" s="36" t="s">
        <v>170</v>
      </c>
      <c r="K132" s="49">
        <v>1</v>
      </c>
      <c r="L132" s="60">
        <v>0.5</v>
      </c>
      <c r="M132" s="60" t="s">
        <v>172</v>
      </c>
      <c r="N132" s="49">
        <v>2020</v>
      </c>
      <c r="O132" s="49" t="s">
        <v>47</v>
      </c>
      <c r="P132" s="51" t="s">
        <v>68</v>
      </c>
      <c r="Q132" s="49" t="s">
        <v>37</v>
      </c>
      <c r="R132" s="51" t="s">
        <v>37</v>
      </c>
      <c r="S132" s="49">
        <v>50</v>
      </c>
      <c r="T132" s="49">
        <v>0.25</v>
      </c>
      <c r="U132" s="68">
        <v>0.25</v>
      </c>
      <c r="V132" s="49">
        <v>0</v>
      </c>
    </row>
    <row r="133" spans="1:22" s="53" customFormat="1" ht="10.8" thickBot="1" x14ac:dyDescent="0.25">
      <c r="A133" s="33" t="s">
        <v>44</v>
      </c>
      <c r="B133" s="33" t="s">
        <v>45</v>
      </c>
      <c r="C133" s="33" t="s">
        <v>46</v>
      </c>
      <c r="D133" s="33" t="s">
        <v>762</v>
      </c>
      <c r="E133" s="33" t="s">
        <v>763</v>
      </c>
      <c r="F133" s="33" t="s">
        <v>764</v>
      </c>
      <c r="G133" s="34" t="s">
        <v>943</v>
      </c>
      <c r="H133" s="35" t="s">
        <v>36</v>
      </c>
      <c r="I133" s="35" t="s">
        <v>88</v>
      </c>
      <c r="J133" s="36" t="s">
        <v>89</v>
      </c>
      <c r="K133" s="49">
        <v>1</v>
      </c>
      <c r="L133" s="60">
        <v>0.5</v>
      </c>
      <c r="M133" s="60" t="s">
        <v>95</v>
      </c>
      <c r="N133" s="49">
        <v>2020</v>
      </c>
      <c r="O133" s="49" t="s">
        <v>47</v>
      </c>
      <c r="P133" s="51" t="s">
        <v>69</v>
      </c>
      <c r="Q133" s="49" t="s">
        <v>37</v>
      </c>
      <c r="R133" s="51" t="s">
        <v>37</v>
      </c>
      <c r="S133" s="49">
        <v>80</v>
      </c>
      <c r="T133" s="49">
        <v>0.4</v>
      </c>
      <c r="U133" s="68">
        <v>0.1</v>
      </c>
      <c r="V133" s="49">
        <v>0</v>
      </c>
    </row>
    <row r="134" spans="1:22" s="53" customFormat="1" ht="10.8" thickBot="1" x14ac:dyDescent="0.25">
      <c r="A134" s="33" t="s">
        <v>44</v>
      </c>
      <c r="B134" s="33" t="s">
        <v>45</v>
      </c>
      <c r="C134" s="33" t="s">
        <v>46</v>
      </c>
      <c r="D134" s="33" t="s">
        <v>762</v>
      </c>
      <c r="E134" s="33" t="s">
        <v>763</v>
      </c>
      <c r="F134" s="33" t="s">
        <v>764</v>
      </c>
      <c r="G134" s="34" t="s">
        <v>194</v>
      </c>
      <c r="H134" s="35" t="s">
        <v>36</v>
      </c>
      <c r="I134" s="35" t="s">
        <v>88</v>
      </c>
      <c r="J134" s="36" t="s">
        <v>89</v>
      </c>
      <c r="K134" s="49">
        <v>1</v>
      </c>
      <c r="L134" s="60">
        <v>0.5</v>
      </c>
      <c r="M134" s="60" t="s">
        <v>95</v>
      </c>
      <c r="N134" s="49">
        <v>2020</v>
      </c>
      <c r="O134" s="49" t="s">
        <v>47</v>
      </c>
      <c r="P134" s="51" t="s">
        <v>69</v>
      </c>
      <c r="Q134" s="49" t="s">
        <v>37</v>
      </c>
      <c r="R134" s="51" t="s">
        <v>37</v>
      </c>
      <c r="S134" s="49">
        <v>80</v>
      </c>
      <c r="T134" s="49">
        <v>0.4</v>
      </c>
      <c r="U134" s="68">
        <v>0.1</v>
      </c>
      <c r="V134" s="49">
        <v>0</v>
      </c>
    </row>
    <row r="135" spans="1:22" s="53" customFormat="1" ht="10.8" thickBot="1" x14ac:dyDescent="0.25">
      <c r="A135" s="33" t="s">
        <v>44</v>
      </c>
      <c r="B135" s="33" t="s">
        <v>45</v>
      </c>
      <c r="C135" s="33" t="s">
        <v>46</v>
      </c>
      <c r="D135" s="33" t="s">
        <v>765</v>
      </c>
      <c r="E135" s="33" t="s">
        <v>766</v>
      </c>
      <c r="F135" s="33" t="s">
        <v>767</v>
      </c>
      <c r="G135" s="34" t="s">
        <v>239</v>
      </c>
      <c r="H135" s="35" t="s">
        <v>36</v>
      </c>
      <c r="I135" s="35" t="s">
        <v>132</v>
      </c>
      <c r="J135" s="36" t="s">
        <v>133</v>
      </c>
      <c r="K135" s="49">
        <v>1</v>
      </c>
      <c r="L135" s="60">
        <v>0.5</v>
      </c>
      <c r="M135" s="60" t="s">
        <v>234</v>
      </c>
      <c r="N135" s="49">
        <v>2020</v>
      </c>
      <c r="O135" s="49" t="s">
        <v>47</v>
      </c>
      <c r="P135" s="51" t="s">
        <v>69</v>
      </c>
      <c r="Q135" s="49" t="s">
        <v>37</v>
      </c>
      <c r="R135" s="51" t="s">
        <v>37</v>
      </c>
      <c r="S135" s="49">
        <v>80</v>
      </c>
      <c r="T135" s="49">
        <v>0.4</v>
      </c>
      <c r="U135" s="68">
        <v>0.1</v>
      </c>
      <c r="V135" s="49">
        <v>0</v>
      </c>
    </row>
    <row r="136" spans="1:22" s="53" customFormat="1" ht="10.8" thickBot="1" x14ac:dyDescent="0.25">
      <c r="A136" s="33" t="s">
        <v>44</v>
      </c>
      <c r="B136" s="33" t="s">
        <v>45</v>
      </c>
      <c r="C136" s="33" t="s">
        <v>46</v>
      </c>
      <c r="D136" s="33" t="s">
        <v>765</v>
      </c>
      <c r="E136" s="33" t="s">
        <v>766</v>
      </c>
      <c r="F136" s="33" t="s">
        <v>767</v>
      </c>
      <c r="G136" s="34" t="s">
        <v>235</v>
      </c>
      <c r="H136" s="35" t="s">
        <v>36</v>
      </c>
      <c r="I136" s="35" t="s">
        <v>132</v>
      </c>
      <c r="J136" s="36" t="s">
        <v>133</v>
      </c>
      <c r="K136" s="49">
        <v>1</v>
      </c>
      <c r="L136" s="60">
        <v>0.5</v>
      </c>
      <c r="M136" s="60" t="s">
        <v>234</v>
      </c>
      <c r="N136" s="49">
        <v>2020</v>
      </c>
      <c r="O136" s="49" t="s">
        <v>47</v>
      </c>
      <c r="P136" s="51" t="s">
        <v>68</v>
      </c>
      <c r="Q136" s="49" t="s">
        <v>37</v>
      </c>
      <c r="R136" s="51" t="s">
        <v>37</v>
      </c>
      <c r="S136" s="49">
        <v>50</v>
      </c>
      <c r="T136" s="49">
        <v>0.25</v>
      </c>
      <c r="U136" s="68">
        <v>0.25</v>
      </c>
      <c r="V136" s="49">
        <v>0</v>
      </c>
    </row>
    <row r="137" spans="1:22" s="53" customFormat="1" ht="10.8" thickBot="1" x14ac:dyDescent="0.25">
      <c r="A137" s="33" t="s">
        <v>44</v>
      </c>
      <c r="B137" s="33" t="s">
        <v>45</v>
      </c>
      <c r="C137" s="33" t="s">
        <v>46</v>
      </c>
      <c r="D137" s="33" t="s">
        <v>768</v>
      </c>
      <c r="E137" s="33" t="s">
        <v>769</v>
      </c>
      <c r="F137" s="33" t="s">
        <v>770</v>
      </c>
      <c r="G137" s="34" t="s">
        <v>173</v>
      </c>
      <c r="H137" s="35" t="s">
        <v>36</v>
      </c>
      <c r="I137" s="35" t="s">
        <v>169</v>
      </c>
      <c r="J137" s="36" t="s">
        <v>170</v>
      </c>
      <c r="K137" s="49">
        <v>1</v>
      </c>
      <c r="L137" s="60">
        <v>0.5</v>
      </c>
      <c r="M137" s="60" t="s">
        <v>172</v>
      </c>
      <c r="N137" s="49">
        <v>2020</v>
      </c>
      <c r="O137" s="49" t="s">
        <v>47</v>
      </c>
      <c r="P137" s="51" t="s">
        <v>68</v>
      </c>
      <c r="Q137" s="49" t="s">
        <v>37</v>
      </c>
      <c r="R137" s="51" t="s">
        <v>37</v>
      </c>
      <c r="S137" s="49">
        <v>50</v>
      </c>
      <c r="T137" s="49">
        <v>0.25</v>
      </c>
      <c r="U137" s="68">
        <v>0.25</v>
      </c>
      <c r="V137" s="49">
        <v>0</v>
      </c>
    </row>
    <row r="138" spans="1:22" s="53" customFormat="1" ht="10.8" thickBot="1" x14ac:dyDescent="0.25">
      <c r="A138" s="33" t="s">
        <v>44</v>
      </c>
      <c r="B138" s="33" t="s">
        <v>45</v>
      </c>
      <c r="C138" s="33" t="s">
        <v>46</v>
      </c>
      <c r="D138" s="33" t="s">
        <v>768</v>
      </c>
      <c r="E138" s="33" t="s">
        <v>769</v>
      </c>
      <c r="F138" s="33" t="s">
        <v>770</v>
      </c>
      <c r="G138" s="34" t="s">
        <v>771</v>
      </c>
      <c r="H138" s="35" t="s">
        <v>36</v>
      </c>
      <c r="I138" s="35" t="s">
        <v>169</v>
      </c>
      <c r="J138" s="36" t="s">
        <v>170</v>
      </c>
      <c r="K138" s="49">
        <v>1</v>
      </c>
      <c r="L138" s="60">
        <v>0.5</v>
      </c>
      <c r="M138" s="60" t="s">
        <v>172</v>
      </c>
      <c r="N138" s="49">
        <v>2020</v>
      </c>
      <c r="O138" s="49" t="s">
        <v>47</v>
      </c>
      <c r="P138" s="51" t="s">
        <v>69</v>
      </c>
      <c r="Q138" s="49" t="s">
        <v>37</v>
      </c>
      <c r="R138" s="51" t="s">
        <v>37</v>
      </c>
      <c r="S138" s="49">
        <v>80</v>
      </c>
      <c r="T138" s="49">
        <v>0.4</v>
      </c>
      <c r="U138" s="68">
        <v>0.1</v>
      </c>
      <c r="V138" s="49">
        <v>0</v>
      </c>
    </row>
    <row r="139" spans="1:22" s="53" customFormat="1" ht="10.8" thickBot="1" x14ac:dyDescent="0.25">
      <c r="A139" s="33" t="s">
        <v>44</v>
      </c>
      <c r="B139" s="33" t="s">
        <v>45</v>
      </c>
      <c r="C139" s="33" t="s">
        <v>46</v>
      </c>
      <c r="D139" s="33" t="s">
        <v>772</v>
      </c>
      <c r="E139" s="33" t="s">
        <v>773</v>
      </c>
      <c r="F139" s="33" t="s">
        <v>767</v>
      </c>
      <c r="G139" s="34" t="s">
        <v>774</v>
      </c>
      <c r="H139" s="35" t="s">
        <v>36</v>
      </c>
      <c r="I139" s="35" t="s">
        <v>88</v>
      </c>
      <c r="J139" s="36" t="s">
        <v>89</v>
      </c>
      <c r="K139" s="49">
        <v>1</v>
      </c>
      <c r="L139" s="60">
        <v>0.5</v>
      </c>
      <c r="M139" s="60" t="s">
        <v>95</v>
      </c>
      <c r="N139" s="49">
        <v>2020</v>
      </c>
      <c r="O139" s="49" t="s">
        <v>47</v>
      </c>
      <c r="P139" s="51" t="s">
        <v>69</v>
      </c>
      <c r="Q139" s="49" t="s">
        <v>37</v>
      </c>
      <c r="R139" s="51" t="s">
        <v>37</v>
      </c>
      <c r="S139" s="49">
        <v>80</v>
      </c>
      <c r="T139" s="49">
        <v>0.4</v>
      </c>
      <c r="U139" s="68">
        <v>0.1</v>
      </c>
      <c r="V139" s="49">
        <v>0</v>
      </c>
    </row>
    <row r="140" spans="1:22" s="53" customFormat="1" ht="10.8" thickBot="1" x14ac:dyDescent="0.25">
      <c r="A140" s="33" t="s">
        <v>44</v>
      </c>
      <c r="B140" s="33" t="s">
        <v>45</v>
      </c>
      <c r="C140" s="33" t="s">
        <v>46</v>
      </c>
      <c r="D140" s="33" t="s">
        <v>772</v>
      </c>
      <c r="E140" s="33" t="s">
        <v>773</v>
      </c>
      <c r="F140" s="33" t="s">
        <v>767</v>
      </c>
      <c r="G140" s="34" t="s">
        <v>202</v>
      </c>
      <c r="H140" s="35" t="s">
        <v>36</v>
      </c>
      <c r="I140" s="35" t="s">
        <v>88</v>
      </c>
      <c r="J140" s="36" t="s">
        <v>89</v>
      </c>
      <c r="K140" s="49">
        <v>1</v>
      </c>
      <c r="L140" s="60">
        <v>0.5</v>
      </c>
      <c r="M140" s="60" t="s">
        <v>95</v>
      </c>
      <c r="N140" s="49">
        <v>2020</v>
      </c>
      <c r="O140" s="49" t="s">
        <v>47</v>
      </c>
      <c r="P140" s="51" t="s">
        <v>69</v>
      </c>
      <c r="Q140" s="49" t="s">
        <v>37</v>
      </c>
      <c r="R140" s="51" t="s">
        <v>37</v>
      </c>
      <c r="S140" s="49">
        <v>80</v>
      </c>
      <c r="T140" s="49">
        <v>0.4</v>
      </c>
      <c r="U140" s="68">
        <v>0.1</v>
      </c>
      <c r="V140" s="49">
        <v>0</v>
      </c>
    </row>
    <row r="141" spans="1:22" s="53" customFormat="1" ht="10.8" thickBot="1" x14ac:dyDescent="0.25">
      <c r="A141" s="33" t="s">
        <v>44</v>
      </c>
      <c r="B141" s="33" t="s">
        <v>45</v>
      </c>
      <c r="C141" s="33" t="s">
        <v>46</v>
      </c>
      <c r="D141" s="33" t="s">
        <v>775</v>
      </c>
      <c r="E141" s="33" t="s">
        <v>776</v>
      </c>
      <c r="F141" s="33" t="s">
        <v>777</v>
      </c>
      <c r="G141" s="34" t="s">
        <v>943</v>
      </c>
      <c r="H141" s="35" t="s">
        <v>36</v>
      </c>
      <c r="I141" s="35" t="s">
        <v>88</v>
      </c>
      <c r="J141" s="36" t="s">
        <v>89</v>
      </c>
      <c r="K141" s="49">
        <v>1</v>
      </c>
      <c r="L141" s="60">
        <v>0.5</v>
      </c>
      <c r="M141" s="60" t="s">
        <v>95</v>
      </c>
      <c r="N141" s="49">
        <v>2020</v>
      </c>
      <c r="O141" s="49" t="s">
        <v>47</v>
      </c>
      <c r="P141" s="51" t="s">
        <v>69</v>
      </c>
      <c r="Q141" s="49" t="s">
        <v>37</v>
      </c>
      <c r="R141" s="51" t="s">
        <v>37</v>
      </c>
      <c r="S141" s="49">
        <v>80</v>
      </c>
      <c r="T141" s="49">
        <v>0.4</v>
      </c>
      <c r="U141" s="68">
        <v>0.1</v>
      </c>
      <c r="V141" s="49">
        <v>0</v>
      </c>
    </row>
    <row r="142" spans="1:22" s="53" customFormat="1" ht="10.8" thickBot="1" x14ac:dyDescent="0.25">
      <c r="A142" s="33" t="s">
        <v>44</v>
      </c>
      <c r="B142" s="33" t="s">
        <v>45</v>
      </c>
      <c r="C142" s="33" t="s">
        <v>46</v>
      </c>
      <c r="D142" s="33" t="s">
        <v>775</v>
      </c>
      <c r="E142" s="33" t="s">
        <v>776</v>
      </c>
      <c r="F142" s="33" t="s">
        <v>777</v>
      </c>
      <c r="G142" s="34" t="s">
        <v>194</v>
      </c>
      <c r="H142" s="35" t="s">
        <v>36</v>
      </c>
      <c r="I142" s="35" t="s">
        <v>88</v>
      </c>
      <c r="J142" s="36" t="s">
        <v>89</v>
      </c>
      <c r="K142" s="49">
        <v>1</v>
      </c>
      <c r="L142" s="60">
        <v>0.5</v>
      </c>
      <c r="M142" s="60" t="s">
        <v>95</v>
      </c>
      <c r="N142" s="49">
        <v>2020</v>
      </c>
      <c r="O142" s="49" t="s">
        <v>47</v>
      </c>
      <c r="P142" s="51" t="s">
        <v>69</v>
      </c>
      <c r="Q142" s="49" t="s">
        <v>37</v>
      </c>
      <c r="R142" s="51" t="s">
        <v>37</v>
      </c>
      <c r="S142" s="49">
        <v>80</v>
      </c>
      <c r="T142" s="49">
        <v>0.4</v>
      </c>
      <c r="U142" s="68">
        <v>0.1</v>
      </c>
      <c r="V142" s="49">
        <v>0</v>
      </c>
    </row>
    <row r="143" spans="1:22" s="53" customFormat="1" ht="10.8" thickBot="1" x14ac:dyDescent="0.25">
      <c r="A143" s="33" t="s">
        <v>44</v>
      </c>
      <c r="B143" s="33" t="s">
        <v>45</v>
      </c>
      <c r="C143" s="33" t="s">
        <v>46</v>
      </c>
      <c r="D143" s="33" t="s">
        <v>778</v>
      </c>
      <c r="E143" s="33" t="s">
        <v>779</v>
      </c>
      <c r="F143" s="33" t="s">
        <v>780</v>
      </c>
      <c r="G143" s="34" t="s">
        <v>224</v>
      </c>
      <c r="H143" s="35" t="s">
        <v>36</v>
      </c>
      <c r="I143" s="35" t="s">
        <v>88</v>
      </c>
      <c r="J143" s="36" t="s">
        <v>89</v>
      </c>
      <c r="K143" s="49">
        <v>1</v>
      </c>
      <c r="L143" s="60">
        <v>0.5</v>
      </c>
      <c r="M143" s="60" t="s">
        <v>95</v>
      </c>
      <c r="N143" s="49">
        <v>2020</v>
      </c>
      <c r="O143" s="49" t="s">
        <v>47</v>
      </c>
      <c r="P143" s="51" t="s">
        <v>68</v>
      </c>
      <c r="Q143" s="49" t="s">
        <v>37</v>
      </c>
      <c r="R143" s="51" t="s">
        <v>37</v>
      </c>
      <c r="S143" s="49">
        <v>50</v>
      </c>
      <c r="T143" s="49">
        <v>0.25</v>
      </c>
      <c r="U143" s="68">
        <v>0.25</v>
      </c>
      <c r="V143" s="49">
        <v>0</v>
      </c>
    </row>
    <row r="144" spans="1:22" s="53" customFormat="1" ht="10.8" thickBot="1" x14ac:dyDescent="0.25">
      <c r="A144" s="33" t="s">
        <v>44</v>
      </c>
      <c r="B144" s="33" t="s">
        <v>45</v>
      </c>
      <c r="C144" s="33" t="s">
        <v>46</v>
      </c>
      <c r="D144" s="33" t="s">
        <v>778</v>
      </c>
      <c r="E144" s="33" t="s">
        <v>779</v>
      </c>
      <c r="F144" s="33" t="s">
        <v>780</v>
      </c>
      <c r="G144" s="34" t="s">
        <v>781</v>
      </c>
      <c r="H144" s="35" t="s">
        <v>36</v>
      </c>
      <c r="I144" s="35" t="s">
        <v>88</v>
      </c>
      <c r="J144" s="36" t="s">
        <v>89</v>
      </c>
      <c r="K144" s="49">
        <v>1</v>
      </c>
      <c r="L144" s="60">
        <v>0.5</v>
      </c>
      <c r="M144" s="60" t="s">
        <v>95</v>
      </c>
      <c r="N144" s="49">
        <v>2020</v>
      </c>
      <c r="O144" s="49" t="s">
        <v>47</v>
      </c>
      <c r="P144" s="51" t="s">
        <v>69</v>
      </c>
      <c r="Q144" s="49" t="s">
        <v>37</v>
      </c>
      <c r="R144" s="51" t="s">
        <v>37</v>
      </c>
      <c r="S144" s="49">
        <v>80</v>
      </c>
      <c r="T144" s="49">
        <v>0.4</v>
      </c>
      <c r="U144" s="68">
        <v>0.1</v>
      </c>
      <c r="V144" s="49">
        <v>0</v>
      </c>
    </row>
    <row r="145" spans="1:22" s="53" customFormat="1" ht="10.8" thickBot="1" x14ac:dyDescent="0.25">
      <c r="A145" s="33" t="s">
        <v>44</v>
      </c>
      <c r="B145" s="33" t="s">
        <v>45</v>
      </c>
      <c r="C145" s="33" t="s">
        <v>46</v>
      </c>
      <c r="D145" s="33" t="s">
        <v>782</v>
      </c>
      <c r="E145" s="33" t="s">
        <v>783</v>
      </c>
      <c r="F145" s="33" t="s">
        <v>784</v>
      </c>
      <c r="G145" s="34" t="s">
        <v>785</v>
      </c>
      <c r="H145" s="35" t="s">
        <v>36</v>
      </c>
      <c r="I145" s="35" t="s">
        <v>88</v>
      </c>
      <c r="J145" s="36" t="s">
        <v>89</v>
      </c>
      <c r="K145" s="49">
        <v>1</v>
      </c>
      <c r="L145" s="60">
        <v>0.5</v>
      </c>
      <c r="M145" s="60" t="s">
        <v>95</v>
      </c>
      <c r="N145" s="49">
        <v>2020</v>
      </c>
      <c r="O145" s="49" t="s">
        <v>47</v>
      </c>
      <c r="P145" s="51" t="s">
        <v>69</v>
      </c>
      <c r="Q145" s="49" t="s">
        <v>37</v>
      </c>
      <c r="R145" s="51" t="s">
        <v>37</v>
      </c>
      <c r="S145" s="49">
        <v>80</v>
      </c>
      <c r="T145" s="49">
        <v>0.4</v>
      </c>
      <c r="U145" s="68">
        <v>0.1</v>
      </c>
      <c r="V145" s="49">
        <v>0</v>
      </c>
    </row>
    <row r="146" spans="1:22" s="53" customFormat="1" ht="10.8" thickBot="1" x14ac:dyDescent="0.25">
      <c r="A146" s="33" t="s">
        <v>44</v>
      </c>
      <c r="B146" s="33" t="s">
        <v>45</v>
      </c>
      <c r="C146" s="33" t="s">
        <v>46</v>
      </c>
      <c r="D146" s="33" t="s">
        <v>786</v>
      </c>
      <c r="E146" s="33" t="s">
        <v>944</v>
      </c>
      <c r="F146" s="33" t="s">
        <v>787</v>
      </c>
      <c r="G146" s="34" t="s">
        <v>129</v>
      </c>
      <c r="H146" s="35" t="s">
        <v>39</v>
      </c>
      <c r="I146" s="35" t="s">
        <v>121</v>
      </c>
      <c r="J146" s="36" t="s">
        <v>122</v>
      </c>
      <c r="K146" s="49">
        <v>1</v>
      </c>
      <c r="L146" s="60">
        <v>1</v>
      </c>
      <c r="M146" s="60" t="s">
        <v>125</v>
      </c>
      <c r="N146" s="49">
        <v>2020</v>
      </c>
      <c r="O146" s="49" t="s">
        <v>47</v>
      </c>
      <c r="P146" s="51" t="s">
        <v>69</v>
      </c>
      <c r="Q146" s="49" t="s">
        <v>114</v>
      </c>
      <c r="R146" s="51" t="s">
        <v>74</v>
      </c>
      <c r="S146" s="49">
        <v>70</v>
      </c>
      <c r="T146" s="49">
        <v>0.7</v>
      </c>
      <c r="U146" s="68">
        <v>0.2</v>
      </c>
      <c r="V146" s="49">
        <v>0.1</v>
      </c>
    </row>
    <row r="147" spans="1:22" s="53" customFormat="1" ht="10.8" thickBot="1" x14ac:dyDescent="0.25">
      <c r="A147" s="33" t="s">
        <v>44</v>
      </c>
      <c r="B147" s="33" t="s">
        <v>45</v>
      </c>
      <c r="C147" s="33" t="s">
        <v>46</v>
      </c>
      <c r="D147" s="33" t="s">
        <v>788</v>
      </c>
      <c r="E147" s="33" t="s">
        <v>789</v>
      </c>
      <c r="F147" s="33" t="s">
        <v>790</v>
      </c>
      <c r="G147" s="34" t="s">
        <v>129</v>
      </c>
      <c r="H147" s="35" t="s">
        <v>39</v>
      </c>
      <c r="I147" s="35" t="s">
        <v>121</v>
      </c>
      <c r="J147" s="36" t="s">
        <v>122</v>
      </c>
      <c r="K147" s="49">
        <v>1</v>
      </c>
      <c r="L147" s="60">
        <v>1</v>
      </c>
      <c r="M147" s="60" t="s">
        <v>125</v>
      </c>
      <c r="N147" s="49">
        <v>2020</v>
      </c>
      <c r="O147" s="49" t="s">
        <v>47</v>
      </c>
      <c r="P147" s="51" t="s">
        <v>69</v>
      </c>
      <c r="Q147" s="49" t="s">
        <v>114</v>
      </c>
      <c r="R147" s="51" t="s">
        <v>74</v>
      </c>
      <c r="S147" s="49">
        <v>70</v>
      </c>
      <c r="T147" s="49">
        <v>0.7</v>
      </c>
      <c r="U147" s="68">
        <v>0.2</v>
      </c>
      <c r="V147" s="49">
        <v>0.1</v>
      </c>
    </row>
    <row r="148" spans="1:22" s="53" customFormat="1" ht="10.8" thickBot="1" x14ac:dyDescent="0.25">
      <c r="A148" s="33" t="s">
        <v>44</v>
      </c>
      <c r="B148" s="33" t="s">
        <v>45</v>
      </c>
      <c r="C148" s="33" t="s">
        <v>46</v>
      </c>
      <c r="D148" s="33" t="s">
        <v>791</v>
      </c>
      <c r="E148" s="33" t="s">
        <v>792</v>
      </c>
      <c r="F148" s="33" t="s">
        <v>793</v>
      </c>
      <c r="G148" s="34" t="s">
        <v>582</v>
      </c>
      <c r="H148" s="35" t="s">
        <v>36</v>
      </c>
      <c r="I148" s="35" t="s">
        <v>132</v>
      </c>
      <c r="J148" s="36" t="s">
        <v>133</v>
      </c>
      <c r="K148" s="49">
        <v>1</v>
      </c>
      <c r="L148" s="60">
        <v>0.5</v>
      </c>
      <c r="M148" s="60" t="s">
        <v>234</v>
      </c>
      <c r="N148" s="49">
        <v>2020</v>
      </c>
      <c r="O148" s="49" t="s">
        <v>47</v>
      </c>
      <c r="P148" s="51" t="s">
        <v>69</v>
      </c>
      <c r="Q148" s="49" t="s">
        <v>37</v>
      </c>
      <c r="R148" s="51" t="s">
        <v>37</v>
      </c>
      <c r="S148" s="49">
        <v>80</v>
      </c>
      <c r="T148" s="49">
        <v>0.4</v>
      </c>
      <c r="U148" s="68">
        <v>0.1</v>
      </c>
      <c r="V148" s="49">
        <v>0</v>
      </c>
    </row>
    <row r="149" spans="1:22" s="53" customFormat="1" ht="10.8" thickBot="1" x14ac:dyDescent="0.25">
      <c r="A149" s="33" t="s">
        <v>44</v>
      </c>
      <c r="B149" s="33" t="s">
        <v>45</v>
      </c>
      <c r="C149" s="33" t="s">
        <v>46</v>
      </c>
      <c r="D149" s="33" t="s">
        <v>791</v>
      </c>
      <c r="E149" s="33" t="s">
        <v>792</v>
      </c>
      <c r="F149" s="33" t="s">
        <v>793</v>
      </c>
      <c r="G149" s="34" t="s">
        <v>235</v>
      </c>
      <c r="H149" s="35" t="s">
        <v>36</v>
      </c>
      <c r="I149" s="35" t="s">
        <v>132</v>
      </c>
      <c r="J149" s="36" t="s">
        <v>133</v>
      </c>
      <c r="K149" s="49">
        <v>1</v>
      </c>
      <c r="L149" s="60">
        <v>0.5</v>
      </c>
      <c r="M149" s="60" t="s">
        <v>234</v>
      </c>
      <c r="N149" s="49">
        <v>2020</v>
      </c>
      <c r="O149" s="49" t="s">
        <v>47</v>
      </c>
      <c r="P149" s="51" t="s">
        <v>68</v>
      </c>
      <c r="Q149" s="49" t="s">
        <v>37</v>
      </c>
      <c r="R149" s="51" t="s">
        <v>37</v>
      </c>
      <c r="S149" s="49">
        <v>50</v>
      </c>
      <c r="T149" s="49">
        <v>0.25</v>
      </c>
      <c r="U149" s="68">
        <v>0.25</v>
      </c>
      <c r="V149" s="49">
        <v>0</v>
      </c>
    </row>
    <row r="150" spans="1:22" s="53" customFormat="1" ht="10.8" thickBot="1" x14ac:dyDescent="0.25">
      <c r="A150" s="33" t="s">
        <v>44</v>
      </c>
      <c r="B150" s="33" t="s">
        <v>45</v>
      </c>
      <c r="C150" s="33" t="s">
        <v>46</v>
      </c>
      <c r="D150" s="33" t="s">
        <v>794</v>
      </c>
      <c r="E150" s="33" t="s">
        <v>795</v>
      </c>
      <c r="F150" s="33" t="s">
        <v>796</v>
      </c>
      <c r="G150" s="34" t="s">
        <v>196</v>
      </c>
      <c r="H150" s="35" t="s">
        <v>39</v>
      </c>
      <c r="I150" s="35" t="s">
        <v>88</v>
      </c>
      <c r="J150" s="36" t="s">
        <v>89</v>
      </c>
      <c r="K150" s="49">
        <v>1</v>
      </c>
      <c r="L150" s="60">
        <v>1</v>
      </c>
      <c r="M150" s="60" t="s">
        <v>95</v>
      </c>
      <c r="N150" s="49">
        <v>2020</v>
      </c>
      <c r="O150" s="49" t="s">
        <v>47</v>
      </c>
      <c r="P150" s="51" t="s">
        <v>69</v>
      </c>
      <c r="Q150" s="49" t="s">
        <v>37</v>
      </c>
      <c r="R150" s="51" t="s">
        <v>37</v>
      </c>
      <c r="S150" s="49">
        <v>80</v>
      </c>
      <c r="T150" s="49">
        <v>0.8</v>
      </c>
      <c r="U150" s="68">
        <v>0.2</v>
      </c>
      <c r="V150" s="49">
        <v>0</v>
      </c>
    </row>
    <row r="151" spans="1:22" s="53" customFormat="1" ht="10.8" thickBot="1" x14ac:dyDescent="0.25">
      <c r="A151" s="33" t="s">
        <v>44</v>
      </c>
      <c r="B151" s="33" t="s">
        <v>45</v>
      </c>
      <c r="C151" s="33" t="s">
        <v>46</v>
      </c>
      <c r="D151" s="33" t="s">
        <v>797</v>
      </c>
      <c r="E151" s="33" t="s">
        <v>798</v>
      </c>
      <c r="F151" s="33" t="s">
        <v>799</v>
      </c>
      <c r="G151" s="34" t="s">
        <v>173</v>
      </c>
      <c r="H151" s="35" t="s">
        <v>36</v>
      </c>
      <c r="I151" s="35" t="s">
        <v>169</v>
      </c>
      <c r="J151" s="36" t="s">
        <v>170</v>
      </c>
      <c r="K151" s="49">
        <v>1</v>
      </c>
      <c r="L151" s="60">
        <v>0.5</v>
      </c>
      <c r="M151" s="60" t="s">
        <v>172</v>
      </c>
      <c r="N151" s="49">
        <v>2020</v>
      </c>
      <c r="O151" s="49" t="s">
        <v>47</v>
      </c>
      <c r="P151" s="51" t="s">
        <v>68</v>
      </c>
      <c r="Q151" s="49" t="s">
        <v>37</v>
      </c>
      <c r="R151" s="51" t="s">
        <v>37</v>
      </c>
      <c r="S151" s="49">
        <v>50</v>
      </c>
      <c r="T151" s="49">
        <v>0.25</v>
      </c>
      <c r="U151" s="68">
        <v>0.25</v>
      </c>
      <c r="V151" s="49">
        <v>0</v>
      </c>
    </row>
    <row r="152" spans="1:22" s="53" customFormat="1" ht="10.8" thickBot="1" x14ac:dyDescent="0.25">
      <c r="A152" s="33" t="s">
        <v>44</v>
      </c>
      <c r="B152" s="33" t="s">
        <v>45</v>
      </c>
      <c r="C152" s="33" t="s">
        <v>46</v>
      </c>
      <c r="D152" s="33" t="s">
        <v>797</v>
      </c>
      <c r="E152" s="33" t="s">
        <v>798</v>
      </c>
      <c r="F152" s="33" t="s">
        <v>799</v>
      </c>
      <c r="G152" s="34" t="s">
        <v>771</v>
      </c>
      <c r="H152" s="35" t="s">
        <v>36</v>
      </c>
      <c r="I152" s="35" t="s">
        <v>169</v>
      </c>
      <c r="J152" s="36" t="s">
        <v>170</v>
      </c>
      <c r="K152" s="49">
        <v>1</v>
      </c>
      <c r="L152" s="60">
        <v>0.5</v>
      </c>
      <c r="M152" s="60" t="s">
        <v>172</v>
      </c>
      <c r="N152" s="49">
        <v>2020</v>
      </c>
      <c r="O152" s="49" t="s">
        <v>47</v>
      </c>
      <c r="P152" s="51" t="s">
        <v>69</v>
      </c>
      <c r="Q152" s="49" t="s">
        <v>37</v>
      </c>
      <c r="R152" s="51" t="s">
        <v>37</v>
      </c>
      <c r="S152" s="49">
        <v>80</v>
      </c>
      <c r="T152" s="49">
        <v>0.4</v>
      </c>
      <c r="U152" s="68">
        <v>0.1</v>
      </c>
      <c r="V152" s="49">
        <v>0</v>
      </c>
    </row>
    <row r="153" spans="1:22" s="53" customFormat="1" x14ac:dyDescent="0.2">
      <c r="A153" s="49" t="s">
        <v>75</v>
      </c>
      <c r="B153" s="49" t="s">
        <v>76</v>
      </c>
      <c r="C153" s="49" t="s">
        <v>77</v>
      </c>
      <c r="D153" s="49" t="s">
        <v>945</v>
      </c>
      <c r="E153" s="49" t="s">
        <v>946</v>
      </c>
      <c r="F153" s="49" t="s">
        <v>947</v>
      </c>
      <c r="G153" s="49" t="s">
        <v>910</v>
      </c>
      <c r="H153" s="49" t="s">
        <v>36</v>
      </c>
      <c r="I153" s="49" t="s">
        <v>911</v>
      </c>
      <c r="J153" s="49" t="s">
        <v>912</v>
      </c>
      <c r="K153" s="49">
        <v>1</v>
      </c>
      <c r="L153" s="60">
        <v>0.5</v>
      </c>
      <c r="M153" s="60" t="s">
        <v>83</v>
      </c>
      <c r="N153" s="49">
        <v>2021</v>
      </c>
      <c r="O153" s="49" t="s">
        <v>47</v>
      </c>
      <c r="P153" s="51" t="s">
        <v>69</v>
      </c>
      <c r="Q153" s="49" t="s">
        <v>37</v>
      </c>
      <c r="R153" s="51" t="s">
        <v>37</v>
      </c>
      <c r="S153" s="49">
        <v>80</v>
      </c>
      <c r="T153" s="49">
        <v>0.4</v>
      </c>
      <c r="U153" s="68">
        <v>0.1</v>
      </c>
      <c r="V153" s="49">
        <v>0</v>
      </c>
    </row>
    <row r="154" spans="1:22" s="53" customFormat="1" x14ac:dyDescent="0.2">
      <c r="A154" s="49" t="s">
        <v>75</v>
      </c>
      <c r="B154" s="49" t="s">
        <v>76</v>
      </c>
      <c r="C154" s="49" t="s">
        <v>77</v>
      </c>
      <c r="D154" s="49" t="s">
        <v>948</v>
      </c>
      <c r="E154" s="49" t="s">
        <v>949</v>
      </c>
      <c r="F154" s="49" t="s">
        <v>950</v>
      </c>
      <c r="G154" s="49" t="s">
        <v>910</v>
      </c>
      <c r="H154" s="49" t="s">
        <v>36</v>
      </c>
      <c r="I154" s="49" t="s">
        <v>911</v>
      </c>
      <c r="J154" s="49" t="s">
        <v>912</v>
      </c>
      <c r="K154" s="49">
        <v>1</v>
      </c>
      <c r="L154" s="60">
        <v>0.5</v>
      </c>
      <c r="M154" s="60" t="s">
        <v>83</v>
      </c>
      <c r="N154" s="49">
        <v>2021</v>
      </c>
      <c r="O154" s="49" t="s">
        <v>47</v>
      </c>
      <c r="P154" s="51" t="s">
        <v>69</v>
      </c>
      <c r="Q154" s="49" t="s">
        <v>37</v>
      </c>
      <c r="R154" s="51" t="s">
        <v>37</v>
      </c>
      <c r="S154" s="49">
        <v>80</v>
      </c>
      <c r="T154" s="49">
        <v>0.4</v>
      </c>
      <c r="U154" s="68">
        <v>0.1</v>
      </c>
      <c r="V154" s="49">
        <v>0</v>
      </c>
    </row>
    <row r="155" spans="1:22" s="53" customFormat="1" x14ac:dyDescent="0.2">
      <c r="A155" s="49" t="s">
        <v>44</v>
      </c>
      <c r="B155" s="49" t="s">
        <v>45</v>
      </c>
      <c r="C155" s="49" t="s">
        <v>46</v>
      </c>
      <c r="D155" s="49" t="s">
        <v>895</v>
      </c>
      <c r="E155" s="49" t="s">
        <v>896</v>
      </c>
      <c r="F155" s="49" t="s">
        <v>897</v>
      </c>
      <c r="G155" s="49" t="s">
        <v>204</v>
      </c>
      <c r="H155" s="49" t="s">
        <v>36</v>
      </c>
      <c r="I155" s="49" t="s">
        <v>88</v>
      </c>
      <c r="J155" s="49" t="s">
        <v>89</v>
      </c>
      <c r="K155" s="49">
        <v>1</v>
      </c>
      <c r="L155" s="60">
        <v>0.5</v>
      </c>
      <c r="M155" s="60" t="s">
        <v>95</v>
      </c>
      <c r="N155" s="49">
        <v>2021</v>
      </c>
      <c r="O155" s="49" t="s">
        <v>47</v>
      </c>
      <c r="P155" s="51" t="s">
        <v>69</v>
      </c>
      <c r="Q155" s="49" t="s">
        <v>37</v>
      </c>
      <c r="R155" s="51" t="s">
        <v>37</v>
      </c>
      <c r="S155" s="49">
        <v>80</v>
      </c>
      <c r="T155" s="49">
        <v>0.4</v>
      </c>
      <c r="U155" s="68">
        <v>0.1</v>
      </c>
      <c r="V155" s="49">
        <v>0</v>
      </c>
    </row>
    <row r="156" spans="1:22" s="53" customFormat="1" x14ac:dyDescent="0.2">
      <c r="A156" s="49" t="s">
        <v>44</v>
      </c>
      <c r="B156" s="49" t="s">
        <v>45</v>
      </c>
      <c r="C156" s="49" t="s">
        <v>46</v>
      </c>
      <c r="D156" s="49" t="s">
        <v>951</v>
      </c>
      <c r="E156" s="49" t="s">
        <v>952</v>
      </c>
      <c r="F156" s="49" t="s">
        <v>953</v>
      </c>
      <c r="G156" s="49" t="s">
        <v>94</v>
      </c>
      <c r="H156" s="49" t="s">
        <v>39</v>
      </c>
      <c r="I156" s="49" t="s">
        <v>88</v>
      </c>
      <c r="J156" s="49" t="s">
        <v>89</v>
      </c>
      <c r="K156" s="49">
        <v>1</v>
      </c>
      <c r="L156" s="60">
        <v>1</v>
      </c>
      <c r="M156" s="60" t="s">
        <v>95</v>
      </c>
      <c r="N156" s="49">
        <v>2021</v>
      </c>
      <c r="O156" s="49" t="s">
        <v>47</v>
      </c>
      <c r="P156" s="51" t="s">
        <v>69</v>
      </c>
      <c r="Q156" s="49" t="s">
        <v>37</v>
      </c>
      <c r="R156" s="51" t="s">
        <v>37</v>
      </c>
      <c r="S156" s="49">
        <v>80</v>
      </c>
      <c r="T156" s="49">
        <v>0.8</v>
      </c>
      <c r="U156" s="68">
        <v>0.2</v>
      </c>
      <c r="V156" s="49">
        <v>0</v>
      </c>
    </row>
    <row r="157" spans="1:22" s="53" customFormat="1" x14ac:dyDescent="0.2">
      <c r="A157" s="49" t="s">
        <v>44</v>
      </c>
      <c r="B157" s="49" t="s">
        <v>45</v>
      </c>
      <c r="C157" s="49" t="s">
        <v>46</v>
      </c>
      <c r="D157" s="49" t="s">
        <v>954</v>
      </c>
      <c r="E157" s="49" t="s">
        <v>955</v>
      </c>
      <c r="F157" s="49" t="s">
        <v>956</v>
      </c>
      <c r="G157" s="49" t="s">
        <v>94</v>
      </c>
      <c r="H157" s="49" t="s">
        <v>39</v>
      </c>
      <c r="I157" s="49" t="s">
        <v>88</v>
      </c>
      <c r="J157" s="49" t="s">
        <v>89</v>
      </c>
      <c r="K157" s="49">
        <v>1</v>
      </c>
      <c r="L157" s="60">
        <v>1</v>
      </c>
      <c r="M157" s="60" t="s">
        <v>95</v>
      </c>
      <c r="N157" s="49">
        <v>2021</v>
      </c>
      <c r="O157" s="49" t="s">
        <v>47</v>
      </c>
      <c r="P157" s="51" t="s">
        <v>69</v>
      </c>
      <c r="Q157" s="49" t="s">
        <v>37</v>
      </c>
      <c r="R157" s="51" t="s">
        <v>37</v>
      </c>
      <c r="S157" s="49">
        <v>80</v>
      </c>
      <c r="T157" s="49">
        <v>0.8</v>
      </c>
      <c r="U157" s="68">
        <v>0.2</v>
      </c>
      <c r="V157" s="49">
        <v>0</v>
      </c>
    </row>
    <row r="158" spans="1:22" s="53" customFormat="1" x14ac:dyDescent="0.2">
      <c r="A158" s="49" t="s">
        <v>44</v>
      </c>
      <c r="B158" s="49" t="s">
        <v>45</v>
      </c>
      <c r="C158" s="49" t="s">
        <v>46</v>
      </c>
      <c r="D158" s="49" t="s">
        <v>957</v>
      </c>
      <c r="E158" s="49" t="s">
        <v>958</v>
      </c>
      <c r="F158" s="49" t="s">
        <v>959</v>
      </c>
      <c r="G158" s="49" t="s">
        <v>94</v>
      </c>
      <c r="H158" s="49" t="s">
        <v>39</v>
      </c>
      <c r="I158" s="49" t="s">
        <v>88</v>
      </c>
      <c r="J158" s="49" t="s">
        <v>89</v>
      </c>
      <c r="K158" s="49">
        <v>1</v>
      </c>
      <c r="L158" s="60">
        <v>1</v>
      </c>
      <c r="M158" s="60" t="s">
        <v>95</v>
      </c>
      <c r="N158" s="49">
        <v>2021</v>
      </c>
      <c r="O158" s="49" t="s">
        <v>47</v>
      </c>
      <c r="P158" s="51" t="s">
        <v>69</v>
      </c>
      <c r="Q158" s="49" t="s">
        <v>37</v>
      </c>
      <c r="R158" s="51" t="s">
        <v>37</v>
      </c>
      <c r="S158" s="49">
        <v>80</v>
      </c>
      <c r="T158" s="49">
        <v>0.8</v>
      </c>
      <c r="U158" s="68">
        <v>0.2</v>
      </c>
      <c r="V158" s="49">
        <v>0</v>
      </c>
    </row>
    <row r="159" spans="1:22" s="53" customFormat="1" x14ac:dyDescent="0.2">
      <c r="A159" s="49" t="s">
        <v>44</v>
      </c>
      <c r="B159" s="49" t="s">
        <v>45</v>
      </c>
      <c r="C159" s="49" t="s">
        <v>46</v>
      </c>
      <c r="D159" s="49" t="s">
        <v>960</v>
      </c>
      <c r="E159" s="49" t="s">
        <v>961</v>
      </c>
      <c r="F159" s="49" t="s">
        <v>962</v>
      </c>
      <c r="G159" s="49" t="s">
        <v>224</v>
      </c>
      <c r="H159" s="49" t="s">
        <v>36</v>
      </c>
      <c r="I159" s="49" t="s">
        <v>88</v>
      </c>
      <c r="J159" s="49" t="s">
        <v>89</v>
      </c>
      <c r="K159" s="49">
        <v>1</v>
      </c>
      <c r="L159" s="60">
        <v>0.5</v>
      </c>
      <c r="M159" s="60" t="s">
        <v>95</v>
      </c>
      <c r="N159" s="49">
        <v>2021</v>
      </c>
      <c r="O159" s="49" t="s">
        <v>47</v>
      </c>
      <c r="P159" s="51" t="s">
        <v>68</v>
      </c>
      <c r="Q159" s="49" t="s">
        <v>37</v>
      </c>
      <c r="R159" s="51" t="s">
        <v>37</v>
      </c>
      <c r="S159" s="49">
        <v>50</v>
      </c>
      <c r="T159" s="49">
        <v>0.25</v>
      </c>
      <c r="U159" s="68">
        <v>0.25</v>
      </c>
      <c r="V159" s="49">
        <v>0</v>
      </c>
    </row>
    <row r="160" spans="1:22" s="53" customFormat="1" x14ac:dyDescent="0.2">
      <c r="A160" s="49" t="s">
        <v>44</v>
      </c>
      <c r="B160" s="49" t="s">
        <v>45</v>
      </c>
      <c r="C160" s="49" t="s">
        <v>46</v>
      </c>
      <c r="D160" s="49" t="s">
        <v>960</v>
      </c>
      <c r="E160" s="49" t="s">
        <v>961</v>
      </c>
      <c r="F160" s="49" t="s">
        <v>962</v>
      </c>
      <c r="G160" s="49" t="s">
        <v>774</v>
      </c>
      <c r="H160" s="49" t="s">
        <v>36</v>
      </c>
      <c r="I160" s="49" t="s">
        <v>88</v>
      </c>
      <c r="J160" s="49" t="s">
        <v>89</v>
      </c>
      <c r="K160" s="49">
        <v>1</v>
      </c>
      <c r="L160" s="60">
        <v>0.5</v>
      </c>
      <c r="M160" s="60" t="s">
        <v>95</v>
      </c>
      <c r="N160" s="49">
        <v>2021</v>
      </c>
      <c r="O160" s="49" t="s">
        <v>47</v>
      </c>
      <c r="P160" s="51" t="s">
        <v>69</v>
      </c>
      <c r="Q160" s="49" t="s">
        <v>37</v>
      </c>
      <c r="R160" s="51" t="s">
        <v>37</v>
      </c>
      <c r="S160" s="49">
        <v>80</v>
      </c>
      <c r="T160" s="49">
        <v>0.4</v>
      </c>
      <c r="U160" s="68">
        <v>0.1</v>
      </c>
      <c r="V160" s="49">
        <v>0</v>
      </c>
    </row>
    <row r="161" spans="1:22" s="53" customFormat="1" x14ac:dyDescent="0.2">
      <c r="A161" s="49" t="s">
        <v>44</v>
      </c>
      <c r="B161" s="49" t="s">
        <v>45</v>
      </c>
      <c r="C161" s="49" t="s">
        <v>46</v>
      </c>
      <c r="D161" s="49" t="s">
        <v>963</v>
      </c>
      <c r="E161" s="49" t="s">
        <v>964</v>
      </c>
      <c r="F161" s="49" t="s">
        <v>903</v>
      </c>
      <c r="G161" s="49" t="s">
        <v>229</v>
      </c>
      <c r="H161" s="49" t="s">
        <v>39</v>
      </c>
      <c r="I161" s="49" t="s">
        <v>88</v>
      </c>
      <c r="J161" s="49" t="s">
        <v>89</v>
      </c>
      <c r="K161" s="49">
        <v>1</v>
      </c>
      <c r="L161" s="60">
        <v>1</v>
      </c>
      <c r="M161" s="60" t="s">
        <v>95</v>
      </c>
      <c r="N161" s="49">
        <v>2021</v>
      </c>
      <c r="O161" s="49" t="s">
        <v>47</v>
      </c>
      <c r="P161" s="51" t="s">
        <v>69</v>
      </c>
      <c r="Q161" s="49" t="s">
        <v>37</v>
      </c>
      <c r="R161" s="51" t="s">
        <v>37</v>
      </c>
      <c r="S161" s="49">
        <v>80</v>
      </c>
      <c r="T161" s="49">
        <v>0.8</v>
      </c>
      <c r="U161" s="68">
        <v>0.2</v>
      </c>
      <c r="V161" s="49">
        <v>0</v>
      </c>
    </row>
    <row r="162" spans="1:22" s="53" customFormat="1" x14ac:dyDescent="0.2">
      <c r="A162" s="49" t="s">
        <v>44</v>
      </c>
      <c r="B162" s="49" t="s">
        <v>45</v>
      </c>
      <c r="C162" s="49" t="s">
        <v>46</v>
      </c>
      <c r="D162" s="49" t="s">
        <v>965</v>
      </c>
      <c r="E162" s="49" t="s">
        <v>966</v>
      </c>
      <c r="F162" s="49" t="s">
        <v>906</v>
      </c>
      <c r="G162" s="49" t="s">
        <v>147</v>
      </c>
      <c r="H162" s="49" t="s">
        <v>36</v>
      </c>
      <c r="I162" s="49" t="s">
        <v>121</v>
      </c>
      <c r="J162" s="49" t="s">
        <v>122</v>
      </c>
      <c r="K162" s="49">
        <v>1</v>
      </c>
      <c r="L162" s="60">
        <v>0.5</v>
      </c>
      <c r="M162" s="60" t="s">
        <v>125</v>
      </c>
      <c r="N162" s="49">
        <v>2021</v>
      </c>
      <c r="O162" s="49" t="s">
        <v>47</v>
      </c>
      <c r="P162" s="51" t="s">
        <v>69</v>
      </c>
      <c r="Q162" s="49" t="s">
        <v>37</v>
      </c>
      <c r="R162" s="51" t="s">
        <v>37</v>
      </c>
      <c r="S162" s="49">
        <v>80</v>
      </c>
      <c r="T162" s="49">
        <v>0.4</v>
      </c>
      <c r="U162" s="68">
        <v>0.1</v>
      </c>
      <c r="V162" s="49">
        <v>0</v>
      </c>
    </row>
    <row r="163" spans="1:22" s="53" customFormat="1" x14ac:dyDescent="0.2">
      <c r="A163" s="49" t="s">
        <v>44</v>
      </c>
      <c r="B163" s="49" t="s">
        <v>45</v>
      </c>
      <c r="C163" s="49" t="s">
        <v>46</v>
      </c>
      <c r="D163" s="49" t="s">
        <v>965</v>
      </c>
      <c r="E163" s="49" t="s">
        <v>966</v>
      </c>
      <c r="F163" s="49" t="s">
        <v>906</v>
      </c>
      <c r="G163" s="49" t="s">
        <v>967</v>
      </c>
      <c r="H163" s="49" t="s">
        <v>36</v>
      </c>
      <c r="I163" s="49" t="s">
        <v>121</v>
      </c>
      <c r="J163" s="49" t="s">
        <v>122</v>
      </c>
      <c r="K163" s="49">
        <v>1</v>
      </c>
      <c r="L163" s="60">
        <v>0.5</v>
      </c>
      <c r="M163" s="60" t="s">
        <v>125</v>
      </c>
      <c r="N163" s="49">
        <v>2021</v>
      </c>
      <c r="O163" s="49" t="s">
        <v>47</v>
      </c>
      <c r="P163" s="51" t="s">
        <v>69</v>
      </c>
      <c r="Q163" s="49" t="s">
        <v>37</v>
      </c>
      <c r="R163" s="51" t="s">
        <v>37</v>
      </c>
      <c r="S163" s="49">
        <v>80</v>
      </c>
      <c r="T163" s="49">
        <v>0.4</v>
      </c>
      <c r="U163" s="68">
        <v>0.1</v>
      </c>
      <c r="V163" s="49">
        <v>0</v>
      </c>
    </row>
    <row r="164" spans="1:22" s="53" customFormat="1" x14ac:dyDescent="0.2">
      <c r="A164" s="49" t="s">
        <v>44</v>
      </c>
      <c r="B164" s="49" t="s">
        <v>45</v>
      </c>
      <c r="C164" s="49" t="s">
        <v>46</v>
      </c>
      <c r="D164" s="49" t="s">
        <v>968</v>
      </c>
      <c r="E164" s="49" t="s">
        <v>969</v>
      </c>
      <c r="F164" s="49" t="s">
        <v>970</v>
      </c>
      <c r="G164" s="49" t="s">
        <v>237</v>
      </c>
      <c r="H164" s="49" t="s">
        <v>36</v>
      </c>
      <c r="I164" s="49" t="s">
        <v>132</v>
      </c>
      <c r="J164" s="49" t="s">
        <v>133</v>
      </c>
      <c r="K164" s="49">
        <v>1</v>
      </c>
      <c r="L164" s="60">
        <v>0.5</v>
      </c>
      <c r="M164" s="60" t="s">
        <v>234</v>
      </c>
      <c r="N164" s="49">
        <v>2021</v>
      </c>
      <c r="O164" s="49" t="s">
        <v>47</v>
      </c>
      <c r="P164" s="51" t="s">
        <v>69</v>
      </c>
      <c r="Q164" s="49" t="s">
        <v>37</v>
      </c>
      <c r="R164" s="51" t="s">
        <v>37</v>
      </c>
      <c r="S164" s="49">
        <v>80</v>
      </c>
      <c r="T164" s="49">
        <v>0.4</v>
      </c>
      <c r="U164" s="68">
        <v>0.1</v>
      </c>
      <c r="V164" s="49">
        <v>0</v>
      </c>
    </row>
    <row r="165" spans="1:22" s="53" customFormat="1" x14ac:dyDescent="0.2">
      <c r="A165" s="49" t="s">
        <v>44</v>
      </c>
      <c r="B165" s="49" t="s">
        <v>45</v>
      </c>
      <c r="C165" s="49" t="s">
        <v>46</v>
      </c>
      <c r="D165" s="49" t="s">
        <v>968</v>
      </c>
      <c r="E165" s="49" t="s">
        <v>969</v>
      </c>
      <c r="F165" s="49" t="s">
        <v>970</v>
      </c>
      <c r="G165" s="49" t="s">
        <v>236</v>
      </c>
      <c r="H165" s="49" t="s">
        <v>36</v>
      </c>
      <c r="I165" s="49" t="s">
        <v>132</v>
      </c>
      <c r="J165" s="49" t="s">
        <v>133</v>
      </c>
      <c r="K165" s="49">
        <v>1</v>
      </c>
      <c r="L165" s="60">
        <v>0.5</v>
      </c>
      <c r="M165" s="60" t="s">
        <v>234</v>
      </c>
      <c r="N165" s="49">
        <v>2021</v>
      </c>
      <c r="O165" s="49" t="s">
        <v>47</v>
      </c>
      <c r="P165" s="51" t="s">
        <v>69</v>
      </c>
      <c r="Q165" s="49" t="s">
        <v>37</v>
      </c>
      <c r="R165" s="51" t="s">
        <v>37</v>
      </c>
      <c r="S165" s="49">
        <v>80</v>
      </c>
      <c r="T165" s="49">
        <v>0.4</v>
      </c>
      <c r="U165" s="68">
        <v>0.1</v>
      </c>
      <c r="V165" s="49">
        <v>0</v>
      </c>
    </row>
    <row r="166" spans="1:22" s="53" customFormat="1" x14ac:dyDescent="0.2">
      <c r="A166" s="49" t="s">
        <v>44</v>
      </c>
      <c r="B166" s="49" t="s">
        <v>45</v>
      </c>
      <c r="C166" s="49" t="s">
        <v>46</v>
      </c>
      <c r="D166" s="49" t="s">
        <v>971</v>
      </c>
      <c r="E166" s="49" t="s">
        <v>972</v>
      </c>
      <c r="F166" s="49" t="s">
        <v>973</v>
      </c>
      <c r="G166" s="49" t="s">
        <v>139</v>
      </c>
      <c r="H166" s="49" t="s">
        <v>39</v>
      </c>
      <c r="I166" s="49" t="s">
        <v>121</v>
      </c>
      <c r="J166" s="49" t="s">
        <v>122</v>
      </c>
      <c r="K166" s="49">
        <v>1</v>
      </c>
      <c r="L166" s="60">
        <v>1</v>
      </c>
      <c r="M166" s="60" t="s">
        <v>125</v>
      </c>
      <c r="N166" s="49">
        <v>2021</v>
      </c>
      <c r="O166" s="49" t="s">
        <v>47</v>
      </c>
      <c r="P166" s="51" t="s">
        <v>69</v>
      </c>
      <c r="Q166" s="49" t="s">
        <v>37</v>
      </c>
      <c r="R166" s="51" t="s">
        <v>37</v>
      </c>
      <c r="S166" s="49">
        <v>80</v>
      </c>
      <c r="T166" s="49">
        <v>0.8</v>
      </c>
      <c r="U166" s="68">
        <v>0.2</v>
      </c>
      <c r="V166" s="49">
        <v>0</v>
      </c>
    </row>
    <row r="167" spans="1:22" s="53" customFormat="1" x14ac:dyDescent="0.2">
      <c r="A167" s="49" t="s">
        <v>44</v>
      </c>
      <c r="B167" s="49" t="s">
        <v>45</v>
      </c>
      <c r="C167" s="49" t="s">
        <v>46</v>
      </c>
      <c r="D167" s="49" t="s">
        <v>901</v>
      </c>
      <c r="E167" s="49" t="s">
        <v>902</v>
      </c>
      <c r="F167" s="49" t="s">
        <v>903</v>
      </c>
      <c r="G167" s="49" t="s">
        <v>717</v>
      </c>
      <c r="H167" s="49" t="s">
        <v>36</v>
      </c>
      <c r="I167" s="49" t="s">
        <v>88</v>
      </c>
      <c r="J167" s="49" t="s">
        <v>89</v>
      </c>
      <c r="K167" s="49">
        <v>1</v>
      </c>
      <c r="L167" s="60">
        <v>0.33333333333333331</v>
      </c>
      <c r="M167" s="60" t="s">
        <v>95</v>
      </c>
      <c r="N167" s="49">
        <v>2021</v>
      </c>
      <c r="O167" s="49" t="s">
        <v>47</v>
      </c>
      <c r="P167" s="51" t="s">
        <v>69</v>
      </c>
      <c r="Q167" s="49" t="s">
        <v>37</v>
      </c>
      <c r="R167" s="51" t="s">
        <v>37</v>
      </c>
      <c r="S167" s="49">
        <v>80</v>
      </c>
      <c r="T167" s="49">
        <v>0.26666666666666666</v>
      </c>
      <c r="U167" s="68">
        <v>6.6666666666666666E-2</v>
      </c>
      <c r="V167" s="49">
        <v>0</v>
      </c>
    </row>
    <row r="168" spans="1:22" s="53" customFormat="1" x14ac:dyDescent="0.2">
      <c r="A168" s="49" t="s">
        <v>44</v>
      </c>
      <c r="B168" s="49" t="s">
        <v>45</v>
      </c>
      <c r="C168" s="49" t="s">
        <v>46</v>
      </c>
      <c r="D168" s="49" t="s">
        <v>901</v>
      </c>
      <c r="E168" s="49" t="s">
        <v>902</v>
      </c>
      <c r="F168" s="49" t="s">
        <v>903</v>
      </c>
      <c r="G168" s="49" t="s">
        <v>193</v>
      </c>
      <c r="H168" s="49" t="s">
        <v>36</v>
      </c>
      <c r="I168" s="49" t="s">
        <v>88</v>
      </c>
      <c r="J168" s="49" t="s">
        <v>89</v>
      </c>
      <c r="K168" s="49">
        <v>1</v>
      </c>
      <c r="L168" s="60">
        <v>0.33333333333333331</v>
      </c>
      <c r="M168" s="60" t="s">
        <v>95</v>
      </c>
      <c r="N168" s="49">
        <v>2021</v>
      </c>
      <c r="O168" s="49" t="s">
        <v>47</v>
      </c>
      <c r="P168" s="51" t="s">
        <v>69</v>
      </c>
      <c r="Q168" s="49" t="s">
        <v>37</v>
      </c>
      <c r="R168" s="51" t="s">
        <v>37</v>
      </c>
      <c r="S168" s="49">
        <v>80</v>
      </c>
      <c r="T168" s="49">
        <v>0.26666666666666666</v>
      </c>
      <c r="U168" s="68">
        <v>6.6666666666666666E-2</v>
      </c>
      <c r="V168" s="49">
        <v>0</v>
      </c>
    </row>
    <row r="169" spans="1:22" s="53" customFormat="1" x14ac:dyDescent="0.2">
      <c r="A169" s="49" t="s">
        <v>44</v>
      </c>
      <c r="B169" s="49" t="s">
        <v>45</v>
      </c>
      <c r="C169" s="49" t="s">
        <v>46</v>
      </c>
      <c r="D169" s="49" t="s">
        <v>904</v>
      </c>
      <c r="E169" s="49" t="s">
        <v>905</v>
      </c>
      <c r="F169" s="49" t="s">
        <v>906</v>
      </c>
      <c r="G169" s="49" t="s">
        <v>717</v>
      </c>
      <c r="H169" s="49" t="s">
        <v>36</v>
      </c>
      <c r="I169" s="49" t="s">
        <v>88</v>
      </c>
      <c r="J169" s="49" t="s">
        <v>89</v>
      </c>
      <c r="K169" s="49">
        <v>1</v>
      </c>
      <c r="L169" s="60">
        <v>0.33333333333333331</v>
      </c>
      <c r="M169" s="60" t="s">
        <v>95</v>
      </c>
      <c r="N169" s="49">
        <v>2021</v>
      </c>
      <c r="O169" s="49" t="s">
        <v>47</v>
      </c>
      <c r="P169" s="51" t="s">
        <v>69</v>
      </c>
      <c r="Q169" s="49" t="s">
        <v>37</v>
      </c>
      <c r="R169" s="51" t="s">
        <v>37</v>
      </c>
      <c r="S169" s="49">
        <v>80</v>
      </c>
      <c r="T169" s="49">
        <v>0.26666666666666666</v>
      </c>
      <c r="U169" s="68">
        <v>6.6666666666666666E-2</v>
      </c>
      <c r="V169" s="49">
        <v>0</v>
      </c>
    </row>
    <row r="170" spans="1:22" s="53" customFormat="1" x14ac:dyDescent="0.2">
      <c r="A170" s="49" t="s">
        <v>44</v>
      </c>
      <c r="B170" s="49" t="s">
        <v>45</v>
      </c>
      <c r="C170" s="49" t="s">
        <v>46</v>
      </c>
      <c r="D170" s="49" t="s">
        <v>904</v>
      </c>
      <c r="E170" s="49" t="s">
        <v>905</v>
      </c>
      <c r="F170" s="49" t="s">
        <v>906</v>
      </c>
      <c r="G170" s="49" t="s">
        <v>198</v>
      </c>
      <c r="H170" s="49" t="s">
        <v>36</v>
      </c>
      <c r="I170" s="49" t="s">
        <v>88</v>
      </c>
      <c r="J170" s="49" t="s">
        <v>89</v>
      </c>
      <c r="K170" s="49">
        <v>1</v>
      </c>
      <c r="L170" s="60">
        <v>0.33333333333333331</v>
      </c>
      <c r="M170" s="60" t="s">
        <v>95</v>
      </c>
      <c r="N170" s="49">
        <v>2021</v>
      </c>
      <c r="O170" s="49" t="s">
        <v>47</v>
      </c>
      <c r="P170" s="51" t="s">
        <v>69</v>
      </c>
      <c r="Q170" s="49" t="s">
        <v>37</v>
      </c>
      <c r="R170" s="51" t="s">
        <v>37</v>
      </c>
      <c r="S170" s="49">
        <v>80</v>
      </c>
      <c r="T170" s="49">
        <v>0.26666666666666666</v>
      </c>
      <c r="U170" s="68">
        <v>6.6666666666666666E-2</v>
      </c>
      <c r="V170" s="49">
        <v>0</v>
      </c>
    </row>
    <row r="171" spans="1:22" s="53" customFormat="1" x14ac:dyDescent="0.2">
      <c r="A171" s="49" t="s">
        <v>44</v>
      </c>
      <c r="B171" s="49" t="s">
        <v>45</v>
      </c>
      <c r="C171" s="49" t="s">
        <v>46</v>
      </c>
      <c r="D171" s="49" t="s">
        <v>974</v>
      </c>
      <c r="E171" s="49" t="s">
        <v>975</v>
      </c>
      <c r="F171" s="49" t="s">
        <v>976</v>
      </c>
      <c r="G171" s="49" t="s">
        <v>977</v>
      </c>
      <c r="H171" s="49" t="s">
        <v>36</v>
      </c>
      <c r="I171" s="49" t="s">
        <v>132</v>
      </c>
      <c r="J171" s="49" t="s">
        <v>133</v>
      </c>
      <c r="K171" s="49">
        <v>1</v>
      </c>
      <c r="L171" s="60">
        <v>0.5</v>
      </c>
      <c r="M171" s="60" t="s">
        <v>234</v>
      </c>
      <c r="N171" s="49">
        <v>2021</v>
      </c>
      <c r="O171" s="49" t="s">
        <v>47</v>
      </c>
      <c r="P171" s="51" t="s">
        <v>69</v>
      </c>
      <c r="Q171" s="49" t="s">
        <v>37</v>
      </c>
      <c r="R171" s="51" t="s">
        <v>37</v>
      </c>
      <c r="S171" s="49">
        <v>80</v>
      </c>
      <c r="T171" s="49">
        <v>0.4</v>
      </c>
      <c r="U171" s="68">
        <v>0.1</v>
      </c>
      <c r="V171" s="49">
        <v>0</v>
      </c>
    </row>
    <row r="172" spans="1:22" s="53" customFormat="1" x14ac:dyDescent="0.2">
      <c r="A172" s="49" t="s">
        <v>44</v>
      </c>
      <c r="B172" s="49" t="s">
        <v>45</v>
      </c>
      <c r="C172" s="49" t="s">
        <v>46</v>
      </c>
      <c r="D172" s="49" t="s">
        <v>974</v>
      </c>
      <c r="E172" s="49" t="s">
        <v>975</v>
      </c>
      <c r="F172" s="49" t="s">
        <v>976</v>
      </c>
      <c r="G172" s="49" t="s">
        <v>774</v>
      </c>
      <c r="H172" s="49" t="s">
        <v>36</v>
      </c>
      <c r="I172" s="49" t="s">
        <v>88</v>
      </c>
      <c r="J172" s="49" t="s">
        <v>89</v>
      </c>
      <c r="K172" s="49">
        <v>1</v>
      </c>
      <c r="L172" s="60">
        <v>0.5</v>
      </c>
      <c r="M172" s="60" t="s">
        <v>95</v>
      </c>
      <c r="N172" s="49">
        <v>2021</v>
      </c>
      <c r="O172" s="49" t="s">
        <v>47</v>
      </c>
      <c r="P172" s="51" t="s">
        <v>69</v>
      </c>
      <c r="Q172" s="49" t="s">
        <v>37</v>
      </c>
      <c r="R172" s="51" t="s">
        <v>37</v>
      </c>
      <c r="S172" s="49">
        <v>80</v>
      </c>
      <c r="T172" s="49">
        <v>0.4</v>
      </c>
      <c r="U172" s="68">
        <v>0.1</v>
      </c>
      <c r="V172" s="49">
        <v>0</v>
      </c>
    </row>
    <row r="173" spans="1:22" s="53" customFormat="1" x14ac:dyDescent="0.2">
      <c r="A173" s="49" t="s">
        <v>44</v>
      </c>
      <c r="B173" s="49" t="s">
        <v>45</v>
      </c>
      <c r="C173" s="49" t="s">
        <v>46</v>
      </c>
      <c r="D173" s="49" t="s">
        <v>978</v>
      </c>
      <c r="E173" s="49" t="s">
        <v>979</v>
      </c>
      <c r="F173" s="49" t="s">
        <v>980</v>
      </c>
      <c r="G173" s="49" t="s">
        <v>981</v>
      </c>
      <c r="H173" s="49" t="s">
        <v>39</v>
      </c>
      <c r="I173" s="49" t="s">
        <v>88</v>
      </c>
      <c r="J173" s="49" t="s">
        <v>89</v>
      </c>
      <c r="K173" s="49">
        <v>1</v>
      </c>
      <c r="L173" s="60">
        <v>1</v>
      </c>
      <c r="M173" s="60" t="s">
        <v>95</v>
      </c>
      <c r="N173" s="49">
        <v>2021</v>
      </c>
      <c r="O173" s="49" t="s">
        <v>47</v>
      </c>
      <c r="P173" s="51" t="s">
        <v>69</v>
      </c>
      <c r="Q173" s="49" t="s">
        <v>37</v>
      </c>
      <c r="R173" s="51" t="s">
        <v>37</v>
      </c>
      <c r="S173" s="49">
        <v>80</v>
      </c>
      <c r="T173" s="49">
        <v>0.8</v>
      </c>
      <c r="U173" s="68">
        <v>0.2</v>
      </c>
      <c r="V173" s="49">
        <v>0</v>
      </c>
    </row>
    <row r="174" spans="1:22" s="53" customFormat="1" x14ac:dyDescent="0.2">
      <c r="A174" s="49" t="s">
        <v>121</v>
      </c>
      <c r="B174" s="49" t="s">
        <v>122</v>
      </c>
      <c r="C174" s="49" t="s">
        <v>123</v>
      </c>
      <c r="D174" s="49" t="s">
        <v>275</v>
      </c>
      <c r="E174" s="49" t="s">
        <v>276</v>
      </c>
      <c r="F174" s="49" t="s">
        <v>274</v>
      </c>
      <c r="G174" s="49" t="s">
        <v>129</v>
      </c>
      <c r="H174" s="49" t="s">
        <v>39</v>
      </c>
      <c r="I174" s="49" t="s">
        <v>121</v>
      </c>
      <c r="J174" s="49" t="s">
        <v>122</v>
      </c>
      <c r="K174" s="49">
        <v>1</v>
      </c>
      <c r="L174" s="50">
        <v>1</v>
      </c>
      <c r="M174" s="49" t="s">
        <v>125</v>
      </c>
      <c r="N174" s="49">
        <v>2016</v>
      </c>
      <c r="O174" s="49" t="s">
        <v>114</v>
      </c>
      <c r="P174" s="51" t="s">
        <v>74</v>
      </c>
      <c r="Q174" s="49" t="s">
        <v>47</v>
      </c>
      <c r="R174" s="51" t="s">
        <v>69</v>
      </c>
      <c r="S174" s="52">
        <v>70</v>
      </c>
      <c r="T174" s="50">
        <v>0.7</v>
      </c>
      <c r="U174" s="50">
        <v>0.1</v>
      </c>
      <c r="V174" s="66">
        <v>0.2</v>
      </c>
    </row>
    <row r="175" spans="1:22" s="53" customFormat="1" x14ac:dyDescent="0.2">
      <c r="A175" s="49" t="s">
        <v>88</v>
      </c>
      <c r="B175" s="49" t="s">
        <v>89</v>
      </c>
      <c r="C175" s="49" t="s">
        <v>90</v>
      </c>
      <c r="D175" s="49" t="s">
        <v>91</v>
      </c>
      <c r="E175" s="49" t="s">
        <v>92</v>
      </c>
      <c r="F175" s="49" t="s">
        <v>93</v>
      </c>
      <c r="G175" s="49" t="s">
        <v>94</v>
      </c>
      <c r="H175" s="49" t="s">
        <v>39</v>
      </c>
      <c r="I175" s="49" t="s">
        <v>88</v>
      </c>
      <c r="J175" s="49" t="s">
        <v>89</v>
      </c>
      <c r="K175" s="49">
        <v>1</v>
      </c>
      <c r="L175" s="50">
        <v>1</v>
      </c>
      <c r="M175" s="49" t="s">
        <v>95</v>
      </c>
      <c r="N175" s="49">
        <v>2016</v>
      </c>
      <c r="O175" s="49" t="s">
        <v>82</v>
      </c>
      <c r="P175" s="51" t="s">
        <v>74</v>
      </c>
      <c r="Q175" s="49" t="s">
        <v>47</v>
      </c>
      <c r="R175" s="51" t="s">
        <v>69</v>
      </c>
      <c r="S175" s="52">
        <v>70</v>
      </c>
      <c r="T175" s="50">
        <v>0.7</v>
      </c>
      <c r="U175" s="50">
        <v>0.1</v>
      </c>
      <c r="V175" s="66">
        <v>0.2</v>
      </c>
    </row>
    <row r="176" spans="1:22" s="53" customFormat="1" x14ac:dyDescent="0.2">
      <c r="A176" s="49" t="s">
        <v>88</v>
      </c>
      <c r="B176" s="49" t="s">
        <v>89</v>
      </c>
      <c r="C176" s="49" t="s">
        <v>90</v>
      </c>
      <c r="D176" s="49" t="s">
        <v>96</v>
      </c>
      <c r="E176" s="49" t="s">
        <v>97</v>
      </c>
      <c r="F176" s="49" t="s">
        <v>73</v>
      </c>
      <c r="G176" s="49" t="s">
        <v>94</v>
      </c>
      <c r="H176" s="49" t="s">
        <v>39</v>
      </c>
      <c r="I176" s="49" t="s">
        <v>88</v>
      </c>
      <c r="J176" s="49" t="s">
        <v>89</v>
      </c>
      <c r="K176" s="49">
        <v>1</v>
      </c>
      <c r="L176" s="50">
        <v>1</v>
      </c>
      <c r="M176" s="49" t="s">
        <v>95</v>
      </c>
      <c r="N176" s="49">
        <v>2016</v>
      </c>
      <c r="O176" s="49" t="s">
        <v>82</v>
      </c>
      <c r="P176" s="51" t="s">
        <v>74</v>
      </c>
      <c r="Q176" s="49" t="s">
        <v>47</v>
      </c>
      <c r="R176" s="51" t="s">
        <v>69</v>
      </c>
      <c r="S176" s="52">
        <v>70</v>
      </c>
      <c r="T176" s="50">
        <v>0.7</v>
      </c>
      <c r="U176" s="50">
        <v>0.1</v>
      </c>
      <c r="V176" s="66">
        <v>0.2</v>
      </c>
    </row>
    <row r="177" spans="1:22" s="53" customFormat="1" x14ac:dyDescent="0.2">
      <c r="A177" s="49" t="s">
        <v>44</v>
      </c>
      <c r="B177" s="49" t="s">
        <v>45</v>
      </c>
      <c r="C177" s="49" t="s">
        <v>46</v>
      </c>
      <c r="D177" s="49" t="s">
        <v>98</v>
      </c>
      <c r="E177" s="49" t="s">
        <v>99</v>
      </c>
      <c r="F177" s="49" t="s">
        <v>73</v>
      </c>
      <c r="G177" s="49" t="s">
        <v>94</v>
      </c>
      <c r="H177" s="49" t="s">
        <v>39</v>
      </c>
      <c r="I177" s="49" t="s">
        <v>88</v>
      </c>
      <c r="J177" s="49" t="s">
        <v>89</v>
      </c>
      <c r="K177" s="49">
        <v>1</v>
      </c>
      <c r="L177" s="50">
        <v>1</v>
      </c>
      <c r="M177" s="49" t="s">
        <v>95</v>
      </c>
      <c r="N177" s="49">
        <v>2016</v>
      </c>
      <c r="O177" s="49" t="s">
        <v>82</v>
      </c>
      <c r="P177" s="51" t="s">
        <v>74</v>
      </c>
      <c r="Q177" s="49" t="s">
        <v>47</v>
      </c>
      <c r="R177" s="51" t="s">
        <v>69</v>
      </c>
      <c r="S177" s="52">
        <v>70</v>
      </c>
      <c r="T177" s="50">
        <v>0.7</v>
      </c>
      <c r="U177" s="50">
        <v>0.1</v>
      </c>
      <c r="V177" s="66">
        <v>0.2</v>
      </c>
    </row>
    <row r="178" spans="1:22" s="53" customFormat="1" x14ac:dyDescent="0.2">
      <c r="A178" s="49" t="s">
        <v>44</v>
      </c>
      <c r="B178" s="49" t="s">
        <v>45</v>
      </c>
      <c r="C178" s="49" t="s">
        <v>46</v>
      </c>
      <c r="D178" s="49" t="s">
        <v>141</v>
      </c>
      <c r="E178" s="49" t="s">
        <v>142</v>
      </c>
      <c r="F178" s="49" t="s">
        <v>109</v>
      </c>
      <c r="G178" s="49" t="s">
        <v>277</v>
      </c>
      <c r="H178" s="49" t="s">
        <v>36</v>
      </c>
      <c r="I178" s="49" t="s">
        <v>121</v>
      </c>
      <c r="J178" s="49" t="s">
        <v>122</v>
      </c>
      <c r="K178" s="49">
        <v>1</v>
      </c>
      <c r="L178" s="50">
        <v>0.5</v>
      </c>
      <c r="M178" s="49" t="s">
        <v>125</v>
      </c>
      <c r="N178" s="49">
        <v>2016</v>
      </c>
      <c r="O178" s="49" t="s">
        <v>114</v>
      </c>
      <c r="P178" s="51" t="s">
        <v>74</v>
      </c>
      <c r="Q178" s="49" t="s">
        <v>47</v>
      </c>
      <c r="R178" s="51" t="s">
        <v>69</v>
      </c>
      <c r="S178" s="52">
        <v>70</v>
      </c>
      <c r="T178" s="50">
        <v>0.35</v>
      </c>
      <c r="U178" s="50">
        <v>0.05</v>
      </c>
      <c r="V178" s="66">
        <v>0.1</v>
      </c>
    </row>
    <row r="179" spans="1:22" s="53" customFormat="1" x14ac:dyDescent="0.2">
      <c r="A179" s="49" t="s">
        <v>44</v>
      </c>
      <c r="B179" s="49" t="s">
        <v>45</v>
      </c>
      <c r="C179" s="49" t="s">
        <v>46</v>
      </c>
      <c r="D179" s="49" t="s">
        <v>100</v>
      </c>
      <c r="E179" s="49" t="s">
        <v>101</v>
      </c>
      <c r="F179" s="49" t="s">
        <v>102</v>
      </c>
      <c r="G179" s="49" t="s">
        <v>94</v>
      </c>
      <c r="H179" s="49" t="s">
        <v>39</v>
      </c>
      <c r="I179" s="49" t="s">
        <v>88</v>
      </c>
      <c r="J179" s="49" t="s">
        <v>89</v>
      </c>
      <c r="K179" s="49">
        <v>1</v>
      </c>
      <c r="L179" s="50">
        <v>1</v>
      </c>
      <c r="M179" s="49" t="s">
        <v>95</v>
      </c>
      <c r="N179" s="49">
        <v>2017</v>
      </c>
      <c r="O179" s="49" t="s">
        <v>82</v>
      </c>
      <c r="P179" s="51" t="s">
        <v>74</v>
      </c>
      <c r="Q179" s="49" t="s">
        <v>47</v>
      </c>
      <c r="R179" s="51" t="s">
        <v>69</v>
      </c>
      <c r="S179" s="52">
        <v>70</v>
      </c>
      <c r="T179" s="50">
        <v>0.7</v>
      </c>
      <c r="U179" s="50">
        <v>0.1</v>
      </c>
      <c r="V179" s="66">
        <v>0.2</v>
      </c>
    </row>
    <row r="180" spans="1:22" s="53" customFormat="1" x14ac:dyDescent="0.2">
      <c r="A180" s="49" t="s">
        <v>44</v>
      </c>
      <c r="B180" s="49" t="s">
        <v>45</v>
      </c>
      <c r="C180" s="49" t="s">
        <v>46</v>
      </c>
      <c r="D180" s="49" t="s">
        <v>103</v>
      </c>
      <c r="E180" s="49" t="s">
        <v>104</v>
      </c>
      <c r="F180" s="49" t="s">
        <v>105</v>
      </c>
      <c r="G180" s="49" t="s">
        <v>106</v>
      </c>
      <c r="H180" s="49" t="s">
        <v>36</v>
      </c>
      <c r="I180" s="49" t="s">
        <v>88</v>
      </c>
      <c r="J180" s="49" t="s">
        <v>89</v>
      </c>
      <c r="K180" s="49">
        <v>1</v>
      </c>
      <c r="L180" s="54">
        <v>0.5</v>
      </c>
      <c r="M180" s="49" t="s">
        <v>95</v>
      </c>
      <c r="N180" s="49">
        <v>2018</v>
      </c>
      <c r="O180" s="49" t="s">
        <v>82</v>
      </c>
      <c r="P180" s="51" t="s">
        <v>74</v>
      </c>
      <c r="Q180" s="49" t="s">
        <v>47</v>
      </c>
      <c r="R180" s="51" t="s">
        <v>74</v>
      </c>
      <c r="S180" s="52">
        <v>80</v>
      </c>
      <c r="T180" s="50">
        <v>0.4</v>
      </c>
      <c r="U180" s="50">
        <v>0.05</v>
      </c>
      <c r="V180" s="66">
        <v>0.05</v>
      </c>
    </row>
    <row r="181" spans="1:22" s="53" customFormat="1" ht="10.8" thickBot="1" x14ac:dyDescent="0.25">
      <c r="A181" s="55" t="s">
        <v>44</v>
      </c>
      <c r="B181" s="55" t="s">
        <v>45</v>
      </c>
      <c r="C181" s="55" t="s">
        <v>46</v>
      </c>
      <c r="D181" s="55" t="s">
        <v>572</v>
      </c>
      <c r="E181" s="55" t="s">
        <v>573</v>
      </c>
      <c r="F181" s="55" t="s">
        <v>574</v>
      </c>
      <c r="G181" s="55" t="s">
        <v>106</v>
      </c>
      <c r="H181" s="55" t="s">
        <v>36</v>
      </c>
      <c r="I181" s="55" t="s">
        <v>88</v>
      </c>
      <c r="J181" s="55" t="s">
        <v>89</v>
      </c>
      <c r="K181" s="49">
        <v>1</v>
      </c>
      <c r="L181" s="56">
        <v>0.5</v>
      </c>
      <c r="M181" s="55" t="s">
        <v>95</v>
      </c>
      <c r="N181" s="55">
        <v>2019</v>
      </c>
      <c r="O181" s="55" t="s">
        <v>82</v>
      </c>
      <c r="P181" s="57" t="s">
        <v>74</v>
      </c>
      <c r="Q181" s="55" t="s">
        <v>47</v>
      </c>
      <c r="R181" s="57" t="s">
        <v>74</v>
      </c>
      <c r="S181" s="58">
        <v>80</v>
      </c>
      <c r="T181" s="59">
        <v>0.4</v>
      </c>
      <c r="U181" s="59">
        <v>0.05</v>
      </c>
      <c r="V181" s="67">
        <v>0.05</v>
      </c>
    </row>
    <row r="182" spans="1:22" s="53" customFormat="1" ht="10.8" thickBot="1" x14ac:dyDescent="0.25">
      <c r="A182" s="33" t="s">
        <v>44</v>
      </c>
      <c r="B182" s="33" t="s">
        <v>45</v>
      </c>
      <c r="C182" s="33" t="s">
        <v>46</v>
      </c>
      <c r="D182" s="33" t="s">
        <v>800</v>
      </c>
      <c r="E182" s="33" t="s">
        <v>801</v>
      </c>
      <c r="F182" s="33" t="s">
        <v>802</v>
      </c>
      <c r="G182" s="34" t="s">
        <v>803</v>
      </c>
      <c r="H182" s="35" t="s">
        <v>36</v>
      </c>
      <c r="I182" s="35" t="s">
        <v>121</v>
      </c>
      <c r="J182" s="36" t="s">
        <v>122</v>
      </c>
      <c r="K182" s="49">
        <v>1</v>
      </c>
      <c r="L182" s="60">
        <v>0.5</v>
      </c>
      <c r="M182" s="60" t="s">
        <v>125</v>
      </c>
      <c r="N182" s="49">
        <v>2020</v>
      </c>
      <c r="O182" s="49" t="s">
        <v>114</v>
      </c>
      <c r="P182" s="51" t="s">
        <v>74</v>
      </c>
      <c r="Q182" s="49" t="s">
        <v>47</v>
      </c>
      <c r="R182" s="51" t="s">
        <v>74</v>
      </c>
      <c r="S182" s="49">
        <v>80</v>
      </c>
      <c r="T182" s="49">
        <v>0.4</v>
      </c>
      <c r="U182" s="49">
        <v>0.05</v>
      </c>
      <c r="V182" s="68">
        <v>0.05</v>
      </c>
    </row>
    <row r="183" spans="1:22" s="53" customFormat="1" ht="10.8" thickBot="1" x14ac:dyDescent="0.25">
      <c r="A183" s="33" t="s">
        <v>44</v>
      </c>
      <c r="B183" s="33" t="s">
        <v>45</v>
      </c>
      <c r="C183" s="33" t="s">
        <v>46</v>
      </c>
      <c r="D183" s="33" t="s">
        <v>782</v>
      </c>
      <c r="E183" s="33" t="s">
        <v>783</v>
      </c>
      <c r="F183" s="33" t="s">
        <v>784</v>
      </c>
      <c r="G183" s="34" t="s">
        <v>982</v>
      </c>
      <c r="H183" s="35" t="s">
        <v>36</v>
      </c>
      <c r="I183" s="35" t="s">
        <v>983</v>
      </c>
      <c r="J183" s="36" t="s">
        <v>984</v>
      </c>
      <c r="K183" s="49">
        <v>1</v>
      </c>
      <c r="L183" s="60">
        <v>0.5</v>
      </c>
      <c r="M183" s="60" t="s">
        <v>985</v>
      </c>
      <c r="N183" s="49">
        <v>2020</v>
      </c>
      <c r="O183" s="49" t="s">
        <v>986</v>
      </c>
      <c r="P183" s="51" t="s">
        <v>74</v>
      </c>
      <c r="Q183" s="49" t="s">
        <v>47</v>
      </c>
      <c r="R183" s="51" t="s">
        <v>74</v>
      </c>
      <c r="S183" s="49">
        <v>80</v>
      </c>
      <c r="T183" s="49">
        <v>0.4</v>
      </c>
      <c r="U183" s="49">
        <v>0.05</v>
      </c>
      <c r="V183" s="68">
        <v>0.05</v>
      </c>
    </row>
    <row r="184" spans="1:22" s="53" customFormat="1" x14ac:dyDescent="0.2">
      <c r="A184" s="49" t="s">
        <v>44</v>
      </c>
      <c r="B184" s="49" t="s">
        <v>45</v>
      </c>
      <c r="C184" s="49" t="s">
        <v>46</v>
      </c>
      <c r="D184" s="49" t="s">
        <v>898</v>
      </c>
      <c r="E184" s="49" t="s">
        <v>899</v>
      </c>
      <c r="F184" s="49" t="s">
        <v>900</v>
      </c>
      <c r="G184" s="49" t="s">
        <v>803</v>
      </c>
      <c r="H184" s="49" t="s">
        <v>36</v>
      </c>
      <c r="I184" s="49" t="s">
        <v>121</v>
      </c>
      <c r="J184" s="49" t="s">
        <v>122</v>
      </c>
      <c r="K184" s="49">
        <v>1</v>
      </c>
      <c r="L184" s="60">
        <v>0.5</v>
      </c>
      <c r="M184" s="60" t="s">
        <v>125</v>
      </c>
      <c r="N184" s="49">
        <v>2021</v>
      </c>
      <c r="O184" s="49" t="s">
        <v>114</v>
      </c>
      <c r="P184" s="51" t="s">
        <v>74</v>
      </c>
      <c r="Q184" s="49" t="s">
        <v>47</v>
      </c>
      <c r="R184" s="51" t="s">
        <v>74</v>
      </c>
      <c r="S184" s="49">
        <v>80</v>
      </c>
      <c r="T184" s="49">
        <v>0.4</v>
      </c>
      <c r="U184" s="49">
        <v>0.05</v>
      </c>
      <c r="V184" s="68">
        <v>0.05</v>
      </c>
    </row>
    <row r="185" spans="1:22" x14ac:dyDescent="0.2">
      <c r="T185" s="75">
        <f>SUM(V174:V184,U15:U173,T2:T14)</f>
        <v>32.525000000000034</v>
      </c>
      <c r="U185" s="76"/>
      <c r="V185" s="76"/>
    </row>
  </sheetData>
  <autoFilter ref="A1:U1" xr:uid="{00000000-0009-0000-0000-000000000000}"/>
  <mergeCells count="1">
    <mergeCell ref="T185:V185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97"/>
  <sheetViews>
    <sheetView topLeftCell="A76" zoomScaleNormal="100" workbookViewId="0">
      <selection activeCell="Q97" sqref="Q97:R97"/>
    </sheetView>
  </sheetViews>
  <sheetFormatPr baseColWidth="10" defaultColWidth="11.44140625" defaultRowHeight="13.2" x14ac:dyDescent="0.25"/>
  <cols>
    <col min="1" max="1" width="10.88671875" style="17" bestFit="1" customWidth="1"/>
    <col min="2" max="2" width="39.88671875" style="17" bestFit="1" customWidth="1"/>
    <col min="3" max="3" width="17" style="17" bestFit="1" customWidth="1"/>
    <col min="4" max="9" width="3.33203125" style="17" bestFit="1" customWidth="1"/>
    <col min="10" max="10" width="8.44140625" style="17" customWidth="1"/>
    <col min="11" max="11" width="5.33203125" style="17" bestFit="1" customWidth="1"/>
    <col min="12" max="12" width="5.6640625" style="17" bestFit="1" customWidth="1"/>
    <col min="13" max="14" width="5.6640625" style="19" bestFit="1" customWidth="1"/>
    <col min="15" max="15" width="5.6640625" style="17" bestFit="1" customWidth="1"/>
    <col min="16" max="16" width="5.6640625" style="19" bestFit="1" customWidth="1"/>
    <col min="17" max="19" width="5.6640625" style="17" bestFit="1" customWidth="1"/>
    <col min="20" max="16384" width="11.44140625" style="17"/>
  </cols>
  <sheetData>
    <row r="1" spans="1:19" s="16" customFormat="1" ht="65.099999999999994" customHeight="1" x14ac:dyDescent="0.25">
      <c r="A1" s="20" t="s">
        <v>278</v>
      </c>
      <c r="B1" s="20" t="s">
        <v>279</v>
      </c>
      <c r="C1" s="20" t="s">
        <v>280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281</v>
      </c>
      <c r="K1" s="22" t="s">
        <v>605</v>
      </c>
      <c r="L1" s="14" t="s">
        <v>282</v>
      </c>
      <c r="M1" s="14" t="s">
        <v>283</v>
      </c>
      <c r="N1" s="14" t="s">
        <v>284</v>
      </c>
      <c r="O1" s="14" t="s">
        <v>285</v>
      </c>
      <c r="P1" s="15" t="s">
        <v>286</v>
      </c>
      <c r="Q1" s="15" t="s">
        <v>287</v>
      </c>
      <c r="R1" s="15" t="s">
        <v>288</v>
      </c>
      <c r="S1" s="15" t="s">
        <v>289</v>
      </c>
    </row>
    <row r="2" spans="1:19" ht="14.4" x14ac:dyDescent="0.3">
      <c r="A2" s="23" t="s">
        <v>603</v>
      </c>
      <c r="B2" s="23" t="s">
        <v>604</v>
      </c>
      <c r="C2" s="23" t="s">
        <v>291</v>
      </c>
      <c r="D2" s="23"/>
      <c r="E2" s="23"/>
      <c r="F2" s="23"/>
      <c r="G2" s="23">
        <v>1</v>
      </c>
      <c r="H2" s="23"/>
      <c r="I2" s="23"/>
      <c r="J2" s="23">
        <v>1</v>
      </c>
      <c r="K2" s="23" t="s">
        <v>95</v>
      </c>
      <c r="L2" s="24" t="s">
        <v>47</v>
      </c>
      <c r="M2" s="24" t="s">
        <v>69</v>
      </c>
      <c r="N2" s="24" t="s">
        <v>37</v>
      </c>
      <c r="O2" s="24" t="s">
        <v>37</v>
      </c>
      <c r="P2" s="24">
        <v>80</v>
      </c>
      <c r="Q2" s="72">
        <v>0.2</v>
      </c>
      <c r="R2" s="24">
        <v>0</v>
      </c>
      <c r="S2" s="24">
        <v>0.8</v>
      </c>
    </row>
    <row r="3" spans="1:19" ht="14.4" x14ac:dyDescent="0.3">
      <c r="A3" s="23" t="s">
        <v>431</v>
      </c>
      <c r="B3" s="23" t="s">
        <v>432</v>
      </c>
      <c r="C3" s="23" t="s">
        <v>290</v>
      </c>
      <c r="D3" s="23"/>
      <c r="E3" s="23"/>
      <c r="F3" s="23"/>
      <c r="G3" s="23">
        <v>1</v>
      </c>
      <c r="H3" s="23">
        <v>1</v>
      </c>
      <c r="I3" s="23"/>
      <c r="J3" s="23">
        <v>2</v>
      </c>
      <c r="K3" s="23" t="s">
        <v>234</v>
      </c>
      <c r="L3" s="24" t="s">
        <v>47</v>
      </c>
      <c r="M3" s="24" t="s">
        <v>69</v>
      </c>
      <c r="N3" s="24" t="s">
        <v>37</v>
      </c>
      <c r="O3" s="24" t="s">
        <v>37</v>
      </c>
      <c r="P3" s="24">
        <v>80</v>
      </c>
      <c r="Q3" s="72">
        <v>0.4</v>
      </c>
      <c r="R3" s="24">
        <v>0</v>
      </c>
      <c r="S3" s="24">
        <v>1.6</v>
      </c>
    </row>
    <row r="4" spans="1:19" ht="14.4" x14ac:dyDescent="0.3">
      <c r="A4" s="23" t="s">
        <v>987</v>
      </c>
      <c r="B4" s="23" t="s">
        <v>988</v>
      </c>
      <c r="C4" s="23" t="s">
        <v>291</v>
      </c>
      <c r="D4" s="23"/>
      <c r="E4" s="23"/>
      <c r="F4" s="23"/>
      <c r="G4" s="23">
        <v>1</v>
      </c>
      <c r="H4" s="23"/>
      <c r="I4" s="23"/>
      <c r="J4" s="23">
        <v>1</v>
      </c>
      <c r="K4" s="23" t="s">
        <v>234</v>
      </c>
      <c r="L4" s="24" t="s">
        <v>47</v>
      </c>
      <c r="M4" s="24" t="s">
        <v>69</v>
      </c>
      <c r="N4" s="24" t="s">
        <v>37</v>
      </c>
      <c r="O4" s="24" t="s">
        <v>37</v>
      </c>
      <c r="P4" s="24">
        <v>80</v>
      </c>
      <c r="Q4" s="72">
        <v>0.2</v>
      </c>
      <c r="R4" s="24">
        <v>0</v>
      </c>
      <c r="S4" s="24">
        <v>0.8</v>
      </c>
    </row>
    <row r="5" spans="1:19" ht="14.4" x14ac:dyDescent="0.3">
      <c r="A5" s="23" t="s">
        <v>989</v>
      </c>
      <c r="B5" s="23" t="s">
        <v>990</v>
      </c>
      <c r="C5" s="23" t="s">
        <v>290</v>
      </c>
      <c r="D5" s="23"/>
      <c r="E5" s="23">
        <v>1</v>
      </c>
      <c r="F5" s="23"/>
      <c r="G5" s="23"/>
      <c r="H5" s="23"/>
      <c r="I5" s="23"/>
      <c r="J5" s="23">
        <v>1</v>
      </c>
      <c r="K5" s="23" t="s">
        <v>928</v>
      </c>
      <c r="L5" s="24" t="s">
        <v>47</v>
      </c>
      <c r="M5" s="24" t="s">
        <v>929</v>
      </c>
      <c r="N5" s="24" t="s">
        <v>37</v>
      </c>
      <c r="O5" s="24" t="s">
        <v>37</v>
      </c>
      <c r="P5" s="24">
        <v>85</v>
      </c>
      <c r="Q5" s="72">
        <v>0.15</v>
      </c>
      <c r="R5" s="24">
        <v>0</v>
      </c>
      <c r="S5" s="24">
        <v>0.85</v>
      </c>
    </row>
    <row r="6" spans="1:19" ht="14.4" x14ac:dyDescent="0.3">
      <c r="A6" s="23" t="s">
        <v>383</v>
      </c>
      <c r="B6" s="23" t="s">
        <v>384</v>
      </c>
      <c r="C6" s="23" t="s">
        <v>290</v>
      </c>
      <c r="D6" s="23"/>
      <c r="E6" s="23"/>
      <c r="F6" s="23">
        <v>2</v>
      </c>
      <c r="G6" s="23"/>
      <c r="H6" s="23"/>
      <c r="I6" s="23"/>
      <c r="J6" s="23">
        <v>2</v>
      </c>
      <c r="K6" s="23" t="s">
        <v>95</v>
      </c>
      <c r="L6" s="24" t="s">
        <v>47</v>
      </c>
      <c r="M6" s="24" t="s">
        <v>68</v>
      </c>
      <c r="N6" s="24" t="s">
        <v>37</v>
      </c>
      <c r="O6" s="24" t="s">
        <v>37</v>
      </c>
      <c r="P6" s="24">
        <v>50</v>
      </c>
      <c r="Q6" s="72">
        <v>1</v>
      </c>
      <c r="R6" s="24">
        <v>0</v>
      </c>
      <c r="S6" s="24">
        <v>1</v>
      </c>
    </row>
    <row r="7" spans="1:19" ht="14.4" x14ac:dyDescent="0.3">
      <c r="A7" s="23" t="s">
        <v>401</v>
      </c>
      <c r="B7" s="23" t="s">
        <v>402</v>
      </c>
      <c r="C7" s="23" t="s">
        <v>290</v>
      </c>
      <c r="D7" s="23">
        <v>1</v>
      </c>
      <c r="E7" s="23"/>
      <c r="F7" s="23"/>
      <c r="G7" s="23"/>
      <c r="H7" s="23"/>
      <c r="I7" s="23"/>
      <c r="J7" s="23">
        <v>1</v>
      </c>
      <c r="K7" s="23" t="s">
        <v>234</v>
      </c>
      <c r="L7" s="24" t="s">
        <v>47</v>
      </c>
      <c r="M7" s="24" t="s">
        <v>69</v>
      </c>
      <c r="N7" s="24" t="s">
        <v>37</v>
      </c>
      <c r="O7" s="24" t="s">
        <v>37</v>
      </c>
      <c r="P7" s="24">
        <v>80</v>
      </c>
      <c r="Q7" s="72">
        <v>0.2</v>
      </c>
      <c r="R7" s="24">
        <v>0</v>
      </c>
      <c r="S7" s="24">
        <v>0.8</v>
      </c>
    </row>
    <row r="8" spans="1:19" ht="14.4" x14ac:dyDescent="0.3">
      <c r="A8" s="23" t="s">
        <v>339</v>
      </c>
      <c r="B8" s="23" t="s">
        <v>340</v>
      </c>
      <c r="C8" s="23" t="s">
        <v>290</v>
      </c>
      <c r="D8" s="23">
        <v>1</v>
      </c>
      <c r="E8" s="23"/>
      <c r="F8" s="23"/>
      <c r="G8" s="23"/>
      <c r="H8" s="23"/>
      <c r="I8" s="23"/>
      <c r="J8" s="23">
        <v>1</v>
      </c>
      <c r="K8" s="23" t="s">
        <v>125</v>
      </c>
      <c r="L8" s="24" t="s">
        <v>47</v>
      </c>
      <c r="M8" s="24" t="s">
        <v>69</v>
      </c>
      <c r="N8" s="24" t="s">
        <v>37</v>
      </c>
      <c r="O8" s="24" t="s">
        <v>37</v>
      </c>
      <c r="P8" s="24">
        <v>80</v>
      </c>
      <c r="Q8" s="72">
        <v>0.2</v>
      </c>
      <c r="R8" s="24">
        <v>0</v>
      </c>
      <c r="S8" s="24">
        <v>0.8</v>
      </c>
    </row>
    <row r="9" spans="1:19" ht="14.4" x14ac:dyDescent="0.3">
      <c r="A9" s="23" t="s">
        <v>415</v>
      </c>
      <c r="B9" s="23" t="s">
        <v>416</v>
      </c>
      <c r="C9" s="25" t="s">
        <v>290</v>
      </c>
      <c r="D9" s="23">
        <v>1</v>
      </c>
      <c r="E9" s="23"/>
      <c r="F9" s="23"/>
      <c r="G9" s="23"/>
      <c r="H9" s="23"/>
      <c r="I9" s="23"/>
      <c r="J9" s="23">
        <v>1</v>
      </c>
      <c r="K9" s="23" t="s">
        <v>125</v>
      </c>
      <c r="L9" s="24" t="s">
        <v>47</v>
      </c>
      <c r="M9" s="24" t="s">
        <v>69</v>
      </c>
      <c r="N9" s="24" t="s">
        <v>37</v>
      </c>
      <c r="O9" s="24" t="s">
        <v>37</v>
      </c>
      <c r="P9" s="24">
        <v>80</v>
      </c>
      <c r="Q9" s="72">
        <v>0.2</v>
      </c>
      <c r="R9" s="24">
        <v>0</v>
      </c>
      <c r="S9" s="24">
        <v>0.8</v>
      </c>
    </row>
    <row r="10" spans="1:19" ht="14.4" x14ac:dyDescent="0.3">
      <c r="A10" s="23" t="s">
        <v>433</v>
      </c>
      <c r="B10" s="23" t="s">
        <v>434</v>
      </c>
      <c r="C10" s="23" t="s">
        <v>290</v>
      </c>
      <c r="D10" s="23"/>
      <c r="E10" s="23">
        <v>1</v>
      </c>
      <c r="F10" s="23"/>
      <c r="G10" s="23"/>
      <c r="H10" s="23"/>
      <c r="I10" s="23"/>
      <c r="J10" s="23">
        <v>1</v>
      </c>
      <c r="K10" s="23" t="s">
        <v>234</v>
      </c>
      <c r="L10" s="24" t="s">
        <v>47</v>
      </c>
      <c r="M10" s="24" t="s">
        <v>69</v>
      </c>
      <c r="N10" s="24" t="s">
        <v>37</v>
      </c>
      <c r="O10" s="24" t="s">
        <v>37</v>
      </c>
      <c r="P10" s="24">
        <v>80</v>
      </c>
      <c r="Q10" s="72">
        <v>0.2</v>
      </c>
      <c r="R10" s="24">
        <v>0</v>
      </c>
      <c r="S10" s="24">
        <v>0.8</v>
      </c>
    </row>
    <row r="11" spans="1:19" s="18" customFormat="1" ht="14.4" x14ac:dyDescent="0.3">
      <c r="A11" s="23" t="s">
        <v>381</v>
      </c>
      <c r="B11" s="23" t="s">
        <v>382</v>
      </c>
      <c r="C11" s="23" t="s">
        <v>290</v>
      </c>
      <c r="D11" s="23"/>
      <c r="E11" s="23"/>
      <c r="F11" s="23">
        <v>1</v>
      </c>
      <c r="G11" s="23"/>
      <c r="H11" s="23"/>
      <c r="I11" s="23"/>
      <c r="J11" s="23">
        <v>1</v>
      </c>
      <c r="K11" s="23" t="s">
        <v>95</v>
      </c>
      <c r="L11" s="24" t="s">
        <v>47</v>
      </c>
      <c r="M11" s="24" t="s">
        <v>69</v>
      </c>
      <c r="N11" s="24" t="s">
        <v>37</v>
      </c>
      <c r="O11" s="24" t="s">
        <v>37</v>
      </c>
      <c r="P11" s="24">
        <v>80</v>
      </c>
      <c r="Q11" s="72">
        <v>0.2</v>
      </c>
      <c r="R11" s="24">
        <v>0</v>
      </c>
      <c r="S11" s="24">
        <v>0.8</v>
      </c>
    </row>
    <row r="12" spans="1:19" ht="14.4" x14ac:dyDescent="0.3">
      <c r="A12" s="23" t="s">
        <v>341</v>
      </c>
      <c r="B12" s="23" t="s">
        <v>342</v>
      </c>
      <c r="C12" s="23" t="s">
        <v>290</v>
      </c>
      <c r="D12" s="23">
        <v>1</v>
      </c>
      <c r="E12" s="23"/>
      <c r="F12" s="23"/>
      <c r="G12" s="23"/>
      <c r="H12" s="23"/>
      <c r="I12" s="23"/>
      <c r="J12" s="23">
        <v>1</v>
      </c>
      <c r="K12" s="23" t="s">
        <v>95</v>
      </c>
      <c r="L12" s="24" t="s">
        <v>47</v>
      </c>
      <c r="M12" s="24" t="s">
        <v>69</v>
      </c>
      <c r="N12" s="24" t="s">
        <v>37</v>
      </c>
      <c r="O12" s="24" t="s">
        <v>37</v>
      </c>
      <c r="P12" s="24">
        <v>80</v>
      </c>
      <c r="Q12" s="72">
        <v>0.2</v>
      </c>
      <c r="R12" s="24">
        <v>0</v>
      </c>
      <c r="S12" s="24">
        <v>0.8</v>
      </c>
    </row>
    <row r="13" spans="1:19" ht="14.4" x14ac:dyDescent="0.3">
      <c r="A13" s="23" t="s">
        <v>323</v>
      </c>
      <c r="B13" s="23" t="s">
        <v>324</v>
      </c>
      <c r="C13" s="23" t="s">
        <v>290</v>
      </c>
      <c r="D13" s="23"/>
      <c r="E13" s="23"/>
      <c r="F13" s="23">
        <v>1</v>
      </c>
      <c r="G13" s="23"/>
      <c r="H13" s="23"/>
      <c r="I13" s="23"/>
      <c r="J13" s="23">
        <v>1</v>
      </c>
      <c r="K13" s="23" t="s">
        <v>95</v>
      </c>
      <c r="L13" s="24" t="s">
        <v>47</v>
      </c>
      <c r="M13" s="24" t="s">
        <v>69</v>
      </c>
      <c r="N13" s="24" t="s">
        <v>37</v>
      </c>
      <c r="O13" s="24" t="s">
        <v>37</v>
      </c>
      <c r="P13" s="24">
        <v>80</v>
      </c>
      <c r="Q13" s="72">
        <v>0.2</v>
      </c>
      <c r="R13" s="24">
        <v>0</v>
      </c>
      <c r="S13" s="24">
        <v>0.8</v>
      </c>
    </row>
    <row r="14" spans="1:19" ht="14.4" x14ac:dyDescent="0.3">
      <c r="A14" s="23" t="s">
        <v>308</v>
      </c>
      <c r="B14" s="23" t="s">
        <v>309</v>
      </c>
      <c r="C14" s="23" t="s">
        <v>290</v>
      </c>
      <c r="D14" s="23"/>
      <c r="E14" s="23"/>
      <c r="F14" s="23">
        <v>1</v>
      </c>
      <c r="G14" s="23"/>
      <c r="H14" s="23"/>
      <c r="I14" s="23"/>
      <c r="J14" s="23">
        <v>1</v>
      </c>
      <c r="K14" s="23" t="s">
        <v>95</v>
      </c>
      <c r="L14" s="24" t="s">
        <v>47</v>
      </c>
      <c r="M14" s="24" t="s">
        <v>69</v>
      </c>
      <c r="N14" s="24" t="s">
        <v>37</v>
      </c>
      <c r="O14" s="24" t="s">
        <v>37</v>
      </c>
      <c r="P14" s="24">
        <v>80</v>
      </c>
      <c r="Q14" s="72">
        <v>0.2</v>
      </c>
      <c r="R14" s="24">
        <v>0</v>
      </c>
      <c r="S14" s="24">
        <v>0.8</v>
      </c>
    </row>
    <row r="15" spans="1:19" ht="14.4" x14ac:dyDescent="0.3">
      <c r="A15" s="23" t="s">
        <v>371</v>
      </c>
      <c r="B15" s="23" t="s">
        <v>372</v>
      </c>
      <c r="C15" s="23" t="s">
        <v>290</v>
      </c>
      <c r="D15" s="23"/>
      <c r="E15" s="23"/>
      <c r="F15" s="23">
        <v>1</v>
      </c>
      <c r="G15" s="23"/>
      <c r="H15" s="23">
        <v>1</v>
      </c>
      <c r="I15" s="23"/>
      <c r="J15" s="23">
        <v>2</v>
      </c>
      <c r="K15" s="23" t="s">
        <v>95</v>
      </c>
      <c r="L15" s="24" t="s">
        <v>47</v>
      </c>
      <c r="M15" s="24" t="s">
        <v>69</v>
      </c>
      <c r="N15" s="24" t="s">
        <v>37</v>
      </c>
      <c r="O15" s="24" t="s">
        <v>37</v>
      </c>
      <c r="P15" s="24">
        <v>80</v>
      </c>
      <c r="Q15" s="72">
        <v>0.4</v>
      </c>
      <c r="R15" s="24">
        <v>0</v>
      </c>
      <c r="S15" s="24">
        <v>1.6</v>
      </c>
    </row>
    <row r="16" spans="1:19" ht="14.4" x14ac:dyDescent="0.3">
      <c r="A16" s="23" t="s">
        <v>429</v>
      </c>
      <c r="B16" s="23" t="s">
        <v>430</v>
      </c>
      <c r="C16" s="23" t="s">
        <v>290</v>
      </c>
      <c r="D16" s="23"/>
      <c r="E16" s="23">
        <v>2</v>
      </c>
      <c r="F16" s="23"/>
      <c r="G16" s="23"/>
      <c r="H16" s="23"/>
      <c r="I16" s="23">
        <v>1</v>
      </c>
      <c r="J16" s="23">
        <v>3</v>
      </c>
      <c r="K16" s="23" t="s">
        <v>234</v>
      </c>
      <c r="L16" s="24" t="s">
        <v>47</v>
      </c>
      <c r="M16" s="24" t="s">
        <v>69</v>
      </c>
      <c r="N16" s="24" t="s">
        <v>37</v>
      </c>
      <c r="O16" s="24" t="s">
        <v>37</v>
      </c>
      <c r="P16" s="24">
        <v>80</v>
      </c>
      <c r="Q16" s="72">
        <v>0.6</v>
      </c>
      <c r="R16" s="24">
        <v>0</v>
      </c>
      <c r="S16" s="24">
        <v>2.4</v>
      </c>
    </row>
    <row r="17" spans="1:19" ht="14.4" x14ac:dyDescent="0.3">
      <c r="A17" s="23" t="s">
        <v>423</v>
      </c>
      <c r="B17" s="23" t="s">
        <v>424</v>
      </c>
      <c r="C17" s="23" t="s">
        <v>290</v>
      </c>
      <c r="D17" s="23"/>
      <c r="E17" s="23"/>
      <c r="F17" s="23"/>
      <c r="G17" s="23"/>
      <c r="H17" s="23"/>
      <c r="I17" s="23">
        <v>1</v>
      </c>
      <c r="J17" s="23">
        <v>1</v>
      </c>
      <c r="K17" s="23" t="s">
        <v>234</v>
      </c>
      <c r="L17" s="24" t="s">
        <v>47</v>
      </c>
      <c r="M17" s="24" t="s">
        <v>69</v>
      </c>
      <c r="N17" s="24" t="s">
        <v>37</v>
      </c>
      <c r="O17" s="24" t="s">
        <v>37</v>
      </c>
      <c r="P17" s="24">
        <v>80</v>
      </c>
      <c r="Q17" s="72">
        <v>0.2</v>
      </c>
      <c r="R17" s="24">
        <v>0</v>
      </c>
      <c r="S17" s="24">
        <v>0.8</v>
      </c>
    </row>
    <row r="18" spans="1:19" s="18" customFormat="1" ht="14.4" x14ac:dyDescent="0.3">
      <c r="A18" s="23" t="s">
        <v>367</v>
      </c>
      <c r="B18" s="23" t="s">
        <v>368</v>
      </c>
      <c r="C18" s="23" t="s">
        <v>290</v>
      </c>
      <c r="D18" s="23"/>
      <c r="E18" s="23"/>
      <c r="F18" s="23"/>
      <c r="G18" s="23"/>
      <c r="H18" s="23">
        <v>1</v>
      </c>
      <c r="I18" s="23"/>
      <c r="J18" s="23">
        <v>1</v>
      </c>
      <c r="K18" s="23" t="s">
        <v>234</v>
      </c>
      <c r="L18" s="24" t="s">
        <v>47</v>
      </c>
      <c r="M18" s="24" t="s">
        <v>69</v>
      </c>
      <c r="N18" s="24" t="s">
        <v>37</v>
      </c>
      <c r="O18" s="24" t="s">
        <v>37</v>
      </c>
      <c r="P18" s="24">
        <v>80</v>
      </c>
      <c r="Q18" s="72">
        <v>0.2</v>
      </c>
      <c r="R18" s="24">
        <v>0</v>
      </c>
      <c r="S18" s="24">
        <v>0.8</v>
      </c>
    </row>
    <row r="19" spans="1:19" ht="14.4" x14ac:dyDescent="0.3">
      <c r="A19" s="23" t="s">
        <v>320</v>
      </c>
      <c r="B19" s="23" t="s">
        <v>321</v>
      </c>
      <c r="C19" s="23" t="s">
        <v>290</v>
      </c>
      <c r="D19" s="23"/>
      <c r="E19" s="23"/>
      <c r="F19" s="23">
        <v>2</v>
      </c>
      <c r="G19" s="23"/>
      <c r="H19" s="23"/>
      <c r="I19" s="23"/>
      <c r="J19" s="23">
        <v>2</v>
      </c>
      <c r="K19" s="23" t="s">
        <v>95</v>
      </c>
      <c r="L19" s="24" t="s">
        <v>47</v>
      </c>
      <c r="M19" s="24" t="s">
        <v>69</v>
      </c>
      <c r="N19" s="24" t="s">
        <v>37</v>
      </c>
      <c r="O19" s="24" t="s">
        <v>37</v>
      </c>
      <c r="P19" s="24">
        <v>80</v>
      </c>
      <c r="Q19" s="72">
        <v>0.4</v>
      </c>
      <c r="R19" s="24">
        <v>0</v>
      </c>
      <c r="S19" s="24">
        <v>1.6</v>
      </c>
    </row>
    <row r="20" spans="1:19" ht="14.4" x14ac:dyDescent="0.3">
      <c r="A20" s="23" t="s">
        <v>377</v>
      </c>
      <c r="B20" s="23" t="s">
        <v>378</v>
      </c>
      <c r="C20" s="23" t="s">
        <v>290</v>
      </c>
      <c r="D20" s="23"/>
      <c r="E20" s="23"/>
      <c r="F20" s="23"/>
      <c r="G20" s="23">
        <v>1</v>
      </c>
      <c r="H20" s="23"/>
      <c r="I20" s="23"/>
      <c r="J20" s="23">
        <v>1</v>
      </c>
      <c r="K20" s="23" t="s">
        <v>95</v>
      </c>
      <c r="L20" s="24" t="s">
        <v>47</v>
      </c>
      <c r="M20" s="24" t="s">
        <v>69</v>
      </c>
      <c r="N20" s="24" t="s">
        <v>37</v>
      </c>
      <c r="O20" s="24" t="s">
        <v>37</v>
      </c>
      <c r="P20" s="24">
        <v>80</v>
      </c>
      <c r="Q20" s="72">
        <v>0.2</v>
      </c>
      <c r="R20" s="24">
        <v>0</v>
      </c>
      <c r="S20" s="24">
        <v>0.8</v>
      </c>
    </row>
    <row r="21" spans="1:19" ht="14.4" x14ac:dyDescent="0.3">
      <c r="A21" s="23" t="s">
        <v>607</v>
      </c>
      <c r="B21" s="23" t="s">
        <v>608</v>
      </c>
      <c r="C21" s="23" t="s">
        <v>290</v>
      </c>
      <c r="D21" s="23"/>
      <c r="E21" s="23"/>
      <c r="F21" s="23"/>
      <c r="G21" s="23"/>
      <c r="H21" s="23">
        <v>1</v>
      </c>
      <c r="I21" s="23"/>
      <c r="J21" s="23">
        <v>1</v>
      </c>
      <c r="K21" s="23" t="s">
        <v>234</v>
      </c>
      <c r="L21" s="24" t="s">
        <v>47</v>
      </c>
      <c r="M21" s="24" t="s">
        <v>69</v>
      </c>
      <c r="N21" s="24" t="s">
        <v>37</v>
      </c>
      <c r="O21" s="24" t="s">
        <v>37</v>
      </c>
      <c r="P21" s="24">
        <v>80</v>
      </c>
      <c r="Q21" s="72">
        <v>0.2</v>
      </c>
      <c r="R21" s="24">
        <v>0</v>
      </c>
      <c r="S21" s="24">
        <v>0.8</v>
      </c>
    </row>
    <row r="22" spans="1:19" ht="14.4" x14ac:dyDescent="0.3">
      <c r="A22" s="23" t="s">
        <v>357</v>
      </c>
      <c r="B22" s="23" t="s">
        <v>358</v>
      </c>
      <c r="C22" s="23" t="s">
        <v>290</v>
      </c>
      <c r="D22" s="23"/>
      <c r="E22" s="23"/>
      <c r="F22" s="23">
        <v>1</v>
      </c>
      <c r="G22" s="23"/>
      <c r="H22" s="23">
        <v>1</v>
      </c>
      <c r="I22" s="23"/>
      <c r="J22" s="23">
        <v>2</v>
      </c>
      <c r="K22" s="23" t="s">
        <v>95</v>
      </c>
      <c r="L22" s="24" t="s">
        <v>47</v>
      </c>
      <c r="M22" s="24" t="s">
        <v>68</v>
      </c>
      <c r="N22" s="24" t="s">
        <v>37</v>
      </c>
      <c r="O22" s="24" t="s">
        <v>37</v>
      </c>
      <c r="P22" s="24">
        <v>50</v>
      </c>
      <c r="Q22" s="72">
        <v>1</v>
      </c>
      <c r="R22" s="24">
        <v>0</v>
      </c>
      <c r="S22" s="24">
        <v>1</v>
      </c>
    </row>
    <row r="23" spans="1:19" ht="14.4" x14ac:dyDescent="0.3">
      <c r="A23" s="23" t="s">
        <v>351</v>
      </c>
      <c r="B23" s="23" t="s">
        <v>352</v>
      </c>
      <c r="C23" s="23" t="s">
        <v>290</v>
      </c>
      <c r="D23" s="23"/>
      <c r="E23" s="23"/>
      <c r="F23" s="23">
        <v>1</v>
      </c>
      <c r="G23" s="23">
        <v>1</v>
      </c>
      <c r="H23" s="23"/>
      <c r="I23" s="23"/>
      <c r="J23" s="23">
        <v>2</v>
      </c>
      <c r="K23" s="23" t="s">
        <v>125</v>
      </c>
      <c r="L23" s="24" t="s">
        <v>47</v>
      </c>
      <c r="M23" s="24" t="s">
        <v>69</v>
      </c>
      <c r="N23" s="24" t="s">
        <v>37</v>
      </c>
      <c r="O23" s="24" t="s">
        <v>37</v>
      </c>
      <c r="P23" s="24">
        <v>80</v>
      </c>
      <c r="Q23" s="72">
        <v>0.4</v>
      </c>
      <c r="R23" s="24">
        <v>0</v>
      </c>
      <c r="S23" s="24">
        <v>1.6</v>
      </c>
    </row>
    <row r="24" spans="1:19" ht="14.4" x14ac:dyDescent="0.3">
      <c r="A24" s="23" t="s">
        <v>337</v>
      </c>
      <c r="B24" s="23" t="s">
        <v>338</v>
      </c>
      <c r="C24" s="23" t="s">
        <v>290</v>
      </c>
      <c r="D24" s="23"/>
      <c r="E24" s="23"/>
      <c r="F24" s="23">
        <v>1</v>
      </c>
      <c r="G24" s="23"/>
      <c r="H24" s="23"/>
      <c r="I24" s="23"/>
      <c r="J24" s="23">
        <v>1</v>
      </c>
      <c r="K24" s="23" t="s">
        <v>95</v>
      </c>
      <c r="L24" s="24" t="s">
        <v>47</v>
      </c>
      <c r="M24" s="24" t="s">
        <v>69</v>
      </c>
      <c r="N24" s="24" t="s">
        <v>37</v>
      </c>
      <c r="O24" s="24" t="s">
        <v>37</v>
      </c>
      <c r="P24" s="24">
        <v>80</v>
      </c>
      <c r="Q24" s="72">
        <v>0.2</v>
      </c>
      <c r="R24" s="24">
        <v>0</v>
      </c>
      <c r="S24" s="24">
        <v>0.8</v>
      </c>
    </row>
    <row r="25" spans="1:19" ht="14.4" x14ac:dyDescent="0.3">
      <c r="A25" s="23" t="s">
        <v>375</v>
      </c>
      <c r="B25" s="23" t="s">
        <v>376</v>
      </c>
      <c r="C25" s="23" t="s">
        <v>290</v>
      </c>
      <c r="D25" s="23"/>
      <c r="E25" s="23"/>
      <c r="F25" s="23">
        <v>1</v>
      </c>
      <c r="G25" s="23"/>
      <c r="H25" s="23"/>
      <c r="I25" s="23"/>
      <c r="J25" s="23">
        <v>1</v>
      </c>
      <c r="K25" s="23" t="s">
        <v>95</v>
      </c>
      <c r="L25" s="24" t="s">
        <v>47</v>
      </c>
      <c r="M25" s="24" t="s">
        <v>69</v>
      </c>
      <c r="N25" s="24" t="s">
        <v>37</v>
      </c>
      <c r="O25" s="24" t="s">
        <v>37</v>
      </c>
      <c r="P25" s="24">
        <v>80</v>
      </c>
      <c r="Q25" s="72">
        <v>0.2</v>
      </c>
      <c r="R25" s="24">
        <v>0</v>
      </c>
      <c r="S25" s="24">
        <v>0.8</v>
      </c>
    </row>
    <row r="26" spans="1:19" ht="14.4" x14ac:dyDescent="0.3">
      <c r="A26" s="23" t="s">
        <v>327</v>
      </c>
      <c r="B26" s="23" t="s">
        <v>328</v>
      </c>
      <c r="C26" s="23" t="s">
        <v>290</v>
      </c>
      <c r="D26" s="23"/>
      <c r="E26" s="23"/>
      <c r="F26" s="23">
        <v>1</v>
      </c>
      <c r="G26" s="23"/>
      <c r="H26" s="23"/>
      <c r="I26" s="23"/>
      <c r="J26" s="23">
        <v>1</v>
      </c>
      <c r="K26" s="23" t="s">
        <v>125</v>
      </c>
      <c r="L26" s="24" t="s">
        <v>47</v>
      </c>
      <c r="M26" s="24" t="s">
        <v>69</v>
      </c>
      <c r="N26" s="24" t="s">
        <v>37</v>
      </c>
      <c r="O26" s="24" t="s">
        <v>37</v>
      </c>
      <c r="P26" s="24">
        <v>80</v>
      </c>
      <c r="Q26" s="72">
        <v>0.2</v>
      </c>
      <c r="R26" s="24">
        <v>0</v>
      </c>
      <c r="S26" s="24">
        <v>0.8</v>
      </c>
    </row>
    <row r="27" spans="1:19" ht="14.4" x14ac:dyDescent="0.3">
      <c r="A27" s="23" t="s">
        <v>387</v>
      </c>
      <c r="B27" s="23" t="s">
        <v>388</v>
      </c>
      <c r="C27" s="23" t="s">
        <v>290</v>
      </c>
      <c r="D27" s="23">
        <v>1</v>
      </c>
      <c r="E27" s="23"/>
      <c r="F27" s="23"/>
      <c r="G27" s="23"/>
      <c r="H27" s="23"/>
      <c r="I27" s="23"/>
      <c r="J27" s="23">
        <v>1</v>
      </c>
      <c r="K27" s="23" t="s">
        <v>95</v>
      </c>
      <c r="L27" s="24" t="s">
        <v>47</v>
      </c>
      <c r="M27" s="24" t="s">
        <v>69</v>
      </c>
      <c r="N27" s="24" t="s">
        <v>37</v>
      </c>
      <c r="O27" s="24" t="s">
        <v>37</v>
      </c>
      <c r="P27" s="24">
        <v>80</v>
      </c>
      <c r="Q27" s="72">
        <v>0.2</v>
      </c>
      <c r="R27" s="24">
        <v>0</v>
      </c>
      <c r="S27" s="24">
        <v>0.8</v>
      </c>
    </row>
    <row r="28" spans="1:19" ht="14.4" x14ac:dyDescent="0.3">
      <c r="A28" s="23" t="s">
        <v>310</v>
      </c>
      <c r="B28" s="23" t="s">
        <v>311</v>
      </c>
      <c r="C28" s="23" t="s">
        <v>290</v>
      </c>
      <c r="D28" s="23"/>
      <c r="E28" s="23"/>
      <c r="F28" s="23">
        <v>1</v>
      </c>
      <c r="G28" s="23"/>
      <c r="H28" s="23"/>
      <c r="I28" s="23">
        <v>1</v>
      </c>
      <c r="J28" s="23">
        <v>2</v>
      </c>
      <c r="K28" s="23" t="s">
        <v>234</v>
      </c>
      <c r="L28" s="24" t="s">
        <v>47</v>
      </c>
      <c r="M28" s="24" t="s">
        <v>68</v>
      </c>
      <c r="N28" s="24" t="s">
        <v>37</v>
      </c>
      <c r="O28" s="24" t="s">
        <v>37</v>
      </c>
      <c r="P28" s="24">
        <v>50</v>
      </c>
      <c r="Q28" s="72">
        <v>1</v>
      </c>
      <c r="R28" s="24">
        <v>0</v>
      </c>
      <c r="S28" s="24">
        <v>1</v>
      </c>
    </row>
    <row r="29" spans="1:19" ht="14.4" x14ac:dyDescent="0.3">
      <c r="A29" s="23" t="s">
        <v>425</v>
      </c>
      <c r="B29" s="23" t="s">
        <v>426</v>
      </c>
      <c r="C29" s="23" t="s">
        <v>290</v>
      </c>
      <c r="D29" s="23"/>
      <c r="E29" s="23"/>
      <c r="F29" s="23">
        <v>1</v>
      </c>
      <c r="G29" s="23"/>
      <c r="H29" s="23">
        <v>1</v>
      </c>
      <c r="I29" s="23"/>
      <c r="J29" s="23">
        <v>2</v>
      </c>
      <c r="K29" s="23" t="s">
        <v>95</v>
      </c>
      <c r="L29" s="24" t="s">
        <v>47</v>
      </c>
      <c r="M29" s="24" t="s">
        <v>69</v>
      </c>
      <c r="N29" s="24" t="s">
        <v>37</v>
      </c>
      <c r="O29" s="24" t="s">
        <v>37</v>
      </c>
      <c r="P29" s="24">
        <v>80</v>
      </c>
      <c r="Q29" s="72">
        <v>0.4</v>
      </c>
      <c r="R29" s="24">
        <v>0</v>
      </c>
      <c r="S29" s="24">
        <v>1.6</v>
      </c>
    </row>
    <row r="30" spans="1:19" ht="14.4" x14ac:dyDescent="0.3">
      <c r="A30" s="23" t="s">
        <v>312</v>
      </c>
      <c r="B30" s="23" t="s">
        <v>313</v>
      </c>
      <c r="C30" s="23" t="s">
        <v>290</v>
      </c>
      <c r="D30" s="23">
        <v>1</v>
      </c>
      <c r="E30" s="23"/>
      <c r="F30" s="23"/>
      <c r="G30" s="23"/>
      <c r="H30" s="23"/>
      <c r="I30" s="23"/>
      <c r="J30" s="23">
        <v>1</v>
      </c>
      <c r="K30" s="23" t="s">
        <v>234</v>
      </c>
      <c r="L30" s="24" t="s">
        <v>47</v>
      </c>
      <c r="M30" s="24" t="s">
        <v>69</v>
      </c>
      <c r="N30" s="24" t="s">
        <v>37</v>
      </c>
      <c r="O30" s="24" t="s">
        <v>37</v>
      </c>
      <c r="P30" s="24">
        <v>80</v>
      </c>
      <c r="Q30" s="72">
        <v>0.2</v>
      </c>
      <c r="R30" s="24">
        <v>0</v>
      </c>
      <c r="S30" s="24">
        <v>0.8</v>
      </c>
    </row>
    <row r="31" spans="1:19" ht="14.4" x14ac:dyDescent="0.3">
      <c r="A31" s="23" t="s">
        <v>347</v>
      </c>
      <c r="B31" s="23" t="s">
        <v>348</v>
      </c>
      <c r="C31" s="23" t="s">
        <v>290</v>
      </c>
      <c r="D31" s="23"/>
      <c r="E31" s="23"/>
      <c r="F31" s="23">
        <v>1</v>
      </c>
      <c r="G31" s="23"/>
      <c r="H31" s="23">
        <v>1</v>
      </c>
      <c r="I31" s="23"/>
      <c r="J31" s="23">
        <v>2</v>
      </c>
      <c r="K31" s="23" t="s">
        <v>172</v>
      </c>
      <c r="L31" s="24" t="s">
        <v>47</v>
      </c>
      <c r="M31" s="24" t="s">
        <v>68</v>
      </c>
      <c r="N31" s="24" t="s">
        <v>37</v>
      </c>
      <c r="O31" s="24" t="s">
        <v>37</v>
      </c>
      <c r="P31" s="24">
        <v>50</v>
      </c>
      <c r="Q31" s="72">
        <v>1</v>
      </c>
      <c r="R31" s="24">
        <v>0</v>
      </c>
      <c r="S31" s="24">
        <v>1</v>
      </c>
    </row>
    <row r="32" spans="1:19" ht="14.4" x14ac:dyDescent="0.3">
      <c r="A32" s="23" t="s">
        <v>393</v>
      </c>
      <c r="B32" s="23" t="s">
        <v>394</v>
      </c>
      <c r="C32" s="23" t="s">
        <v>290</v>
      </c>
      <c r="D32" s="23"/>
      <c r="E32" s="23"/>
      <c r="F32" s="23">
        <v>2</v>
      </c>
      <c r="G32" s="23"/>
      <c r="H32" s="23"/>
      <c r="I32" s="23">
        <v>1</v>
      </c>
      <c r="J32" s="23">
        <v>3</v>
      </c>
      <c r="K32" s="23" t="s">
        <v>115</v>
      </c>
      <c r="L32" s="24" t="s">
        <v>47</v>
      </c>
      <c r="M32" s="24" t="s">
        <v>69</v>
      </c>
      <c r="N32" s="24" t="s">
        <v>37</v>
      </c>
      <c r="O32" s="24" t="s">
        <v>37</v>
      </c>
      <c r="P32" s="24">
        <v>80</v>
      </c>
      <c r="Q32" s="72">
        <v>0.6</v>
      </c>
      <c r="R32" s="24">
        <v>0</v>
      </c>
      <c r="S32" s="24">
        <v>2.4</v>
      </c>
    </row>
    <row r="33" spans="1:19" ht="14.4" x14ac:dyDescent="0.3">
      <c r="A33" s="23" t="s">
        <v>403</v>
      </c>
      <c r="B33" s="23" t="s">
        <v>404</v>
      </c>
      <c r="C33" s="23" t="s">
        <v>290</v>
      </c>
      <c r="D33" s="23"/>
      <c r="E33" s="23"/>
      <c r="F33" s="23">
        <v>1</v>
      </c>
      <c r="G33" s="23"/>
      <c r="H33" s="23">
        <v>1</v>
      </c>
      <c r="I33" s="23"/>
      <c r="J33" s="23">
        <v>2</v>
      </c>
      <c r="K33" s="23" t="s">
        <v>125</v>
      </c>
      <c r="L33" s="24" t="s">
        <v>47</v>
      </c>
      <c r="M33" s="24" t="s">
        <v>69</v>
      </c>
      <c r="N33" s="24" t="s">
        <v>37</v>
      </c>
      <c r="O33" s="24" t="s">
        <v>37</v>
      </c>
      <c r="P33" s="24">
        <v>80</v>
      </c>
      <c r="Q33" s="72">
        <v>0.4</v>
      </c>
      <c r="R33" s="24">
        <v>0</v>
      </c>
      <c r="S33" s="24">
        <v>1.6</v>
      </c>
    </row>
    <row r="34" spans="1:19" ht="14.4" x14ac:dyDescent="0.3">
      <c r="A34" s="23" t="s">
        <v>991</v>
      </c>
      <c r="B34" s="23" t="s">
        <v>992</v>
      </c>
      <c r="C34" s="23" t="s">
        <v>290</v>
      </c>
      <c r="D34" s="23"/>
      <c r="E34" s="23">
        <v>1</v>
      </c>
      <c r="F34" s="23"/>
      <c r="G34" s="23"/>
      <c r="H34" s="23"/>
      <c r="I34" s="23"/>
      <c r="J34" s="23">
        <v>1</v>
      </c>
      <c r="K34" s="23" t="s">
        <v>83</v>
      </c>
      <c r="L34" s="24" t="s">
        <v>47</v>
      </c>
      <c r="M34" s="24" t="s">
        <v>69</v>
      </c>
      <c r="N34" s="24" t="s">
        <v>37</v>
      </c>
      <c r="O34" s="24" t="s">
        <v>37</v>
      </c>
      <c r="P34" s="24">
        <v>80</v>
      </c>
      <c r="Q34" s="72">
        <v>0.2</v>
      </c>
      <c r="R34" s="24">
        <v>0</v>
      </c>
      <c r="S34" s="24">
        <v>0.8</v>
      </c>
    </row>
    <row r="35" spans="1:19" ht="14.4" x14ac:dyDescent="0.3">
      <c r="A35" s="23" t="s">
        <v>407</v>
      </c>
      <c r="B35" s="23" t="s">
        <v>408</v>
      </c>
      <c r="C35" s="23" t="s">
        <v>290</v>
      </c>
      <c r="D35" s="23"/>
      <c r="E35" s="23"/>
      <c r="F35" s="23"/>
      <c r="G35" s="23"/>
      <c r="H35" s="23">
        <v>1</v>
      </c>
      <c r="I35" s="23">
        <v>1</v>
      </c>
      <c r="J35" s="23">
        <v>2</v>
      </c>
      <c r="K35" s="23" t="s">
        <v>95</v>
      </c>
      <c r="L35" s="24" t="s">
        <v>47</v>
      </c>
      <c r="M35" s="24" t="s">
        <v>69</v>
      </c>
      <c r="N35" s="24" t="s">
        <v>37</v>
      </c>
      <c r="O35" s="24" t="s">
        <v>37</v>
      </c>
      <c r="P35" s="24">
        <v>80</v>
      </c>
      <c r="Q35" s="72">
        <v>0.4</v>
      </c>
      <c r="R35" s="24">
        <v>0</v>
      </c>
      <c r="S35" s="24">
        <v>1.6</v>
      </c>
    </row>
    <row r="36" spans="1:19" ht="14.4" x14ac:dyDescent="0.3">
      <c r="A36" s="23" t="s">
        <v>435</v>
      </c>
      <c r="B36" s="23" t="s">
        <v>436</v>
      </c>
      <c r="C36" s="23" t="s">
        <v>290</v>
      </c>
      <c r="D36" s="23"/>
      <c r="E36" s="23"/>
      <c r="F36" s="23">
        <v>2</v>
      </c>
      <c r="G36" s="23"/>
      <c r="H36" s="23"/>
      <c r="I36" s="23"/>
      <c r="J36" s="23">
        <v>2</v>
      </c>
      <c r="K36" s="23" t="s">
        <v>95</v>
      </c>
      <c r="L36" s="24" t="s">
        <v>47</v>
      </c>
      <c r="M36" s="24" t="s">
        <v>69</v>
      </c>
      <c r="N36" s="24" t="s">
        <v>37</v>
      </c>
      <c r="O36" s="24" t="s">
        <v>37</v>
      </c>
      <c r="P36" s="24">
        <v>80</v>
      </c>
      <c r="Q36" s="72">
        <v>0.4</v>
      </c>
      <c r="R36" s="24">
        <v>0</v>
      </c>
      <c r="S36" s="24">
        <v>1.6</v>
      </c>
    </row>
    <row r="37" spans="1:19" ht="14.4" x14ac:dyDescent="0.3">
      <c r="A37" s="23" t="s">
        <v>345</v>
      </c>
      <c r="B37" s="23" t="s">
        <v>346</v>
      </c>
      <c r="C37" s="23" t="s">
        <v>290</v>
      </c>
      <c r="D37" s="23"/>
      <c r="E37" s="23">
        <v>1</v>
      </c>
      <c r="F37" s="23">
        <v>1</v>
      </c>
      <c r="G37" s="23"/>
      <c r="H37" s="23"/>
      <c r="I37" s="23"/>
      <c r="J37" s="23">
        <v>2</v>
      </c>
      <c r="K37" s="23" t="s">
        <v>234</v>
      </c>
      <c r="L37" s="24" t="s">
        <v>47</v>
      </c>
      <c r="M37" s="24" t="s">
        <v>69</v>
      </c>
      <c r="N37" s="24" t="s">
        <v>37</v>
      </c>
      <c r="O37" s="24" t="s">
        <v>37</v>
      </c>
      <c r="P37" s="24">
        <v>80</v>
      </c>
      <c r="Q37" s="72">
        <v>0.4</v>
      </c>
      <c r="R37" s="24">
        <v>0</v>
      </c>
      <c r="S37" s="24">
        <v>1.6</v>
      </c>
    </row>
    <row r="38" spans="1:19" ht="14.4" x14ac:dyDescent="0.3">
      <c r="A38" s="23" t="s">
        <v>385</v>
      </c>
      <c r="B38" s="23" t="s">
        <v>386</v>
      </c>
      <c r="C38" s="23" t="s">
        <v>290</v>
      </c>
      <c r="D38" s="23"/>
      <c r="E38" s="23"/>
      <c r="F38" s="23"/>
      <c r="G38" s="23"/>
      <c r="H38" s="23">
        <v>1</v>
      </c>
      <c r="I38" s="23"/>
      <c r="J38" s="23">
        <v>1</v>
      </c>
      <c r="K38" s="23" t="s">
        <v>234</v>
      </c>
      <c r="L38" s="24" t="s">
        <v>47</v>
      </c>
      <c r="M38" s="24" t="s">
        <v>69</v>
      </c>
      <c r="N38" s="24" t="s">
        <v>37</v>
      </c>
      <c r="O38" s="24" t="s">
        <v>37</v>
      </c>
      <c r="P38" s="24">
        <v>80</v>
      </c>
      <c r="Q38" s="72">
        <v>0.2</v>
      </c>
      <c r="R38" s="24">
        <v>0</v>
      </c>
      <c r="S38" s="24">
        <v>0.8</v>
      </c>
    </row>
    <row r="39" spans="1:19" ht="14.4" x14ac:dyDescent="0.3">
      <c r="A39" s="23" t="s">
        <v>412</v>
      </c>
      <c r="B39" s="23" t="s">
        <v>993</v>
      </c>
      <c r="C39" s="23" t="s">
        <v>290</v>
      </c>
      <c r="D39" s="23">
        <v>1</v>
      </c>
      <c r="E39" s="23"/>
      <c r="F39" s="23"/>
      <c r="G39" s="23"/>
      <c r="H39" s="23"/>
      <c r="I39" s="23"/>
      <c r="J39" s="23">
        <v>1</v>
      </c>
      <c r="K39" s="23" t="s">
        <v>234</v>
      </c>
      <c r="L39" s="24" t="s">
        <v>47</v>
      </c>
      <c r="M39" s="24" t="s">
        <v>69</v>
      </c>
      <c r="N39" s="24" t="s">
        <v>37</v>
      </c>
      <c r="O39" s="24" t="s">
        <v>37</v>
      </c>
      <c r="P39" s="24">
        <v>80</v>
      </c>
      <c r="Q39" s="72">
        <v>0.2</v>
      </c>
      <c r="R39" s="24">
        <v>0</v>
      </c>
      <c r="S39" s="24">
        <v>0.8</v>
      </c>
    </row>
    <row r="40" spans="1:19" ht="14.4" x14ac:dyDescent="0.3">
      <c r="A40" s="23" t="s">
        <v>300</v>
      </c>
      <c r="B40" s="23" t="s">
        <v>301</v>
      </c>
      <c r="C40" s="23" t="s">
        <v>290</v>
      </c>
      <c r="D40" s="23"/>
      <c r="E40" s="23"/>
      <c r="F40" s="23"/>
      <c r="G40" s="23">
        <v>1</v>
      </c>
      <c r="H40" s="23"/>
      <c r="I40" s="23"/>
      <c r="J40" s="23">
        <v>1</v>
      </c>
      <c r="K40" s="23" t="s">
        <v>172</v>
      </c>
      <c r="L40" s="24" t="s">
        <v>47</v>
      </c>
      <c r="M40" s="24" t="s">
        <v>69</v>
      </c>
      <c r="N40" s="24" t="s">
        <v>37</v>
      </c>
      <c r="O40" s="24" t="s">
        <v>37</v>
      </c>
      <c r="P40" s="24">
        <v>80</v>
      </c>
      <c r="Q40" s="72">
        <v>0.2</v>
      </c>
      <c r="R40" s="24">
        <v>0</v>
      </c>
      <c r="S40" s="24">
        <v>0.8</v>
      </c>
    </row>
    <row r="41" spans="1:19" ht="14.4" x14ac:dyDescent="0.3">
      <c r="A41" s="23" t="s">
        <v>296</v>
      </c>
      <c r="B41" s="23" t="s">
        <v>297</v>
      </c>
      <c r="C41" s="23" t="s">
        <v>290</v>
      </c>
      <c r="D41" s="23"/>
      <c r="E41" s="23">
        <v>2</v>
      </c>
      <c r="F41" s="23"/>
      <c r="G41" s="23"/>
      <c r="H41" s="23">
        <v>1</v>
      </c>
      <c r="I41" s="23"/>
      <c r="J41" s="23">
        <v>3</v>
      </c>
      <c r="K41" s="23" t="s">
        <v>234</v>
      </c>
      <c r="L41" s="24" t="s">
        <v>47</v>
      </c>
      <c r="M41" s="24" t="s">
        <v>69</v>
      </c>
      <c r="N41" s="24" t="s">
        <v>37</v>
      </c>
      <c r="O41" s="24" t="s">
        <v>37</v>
      </c>
      <c r="P41" s="24">
        <v>80</v>
      </c>
      <c r="Q41" s="72">
        <v>0.6</v>
      </c>
      <c r="R41" s="24">
        <v>0</v>
      </c>
      <c r="S41" s="24">
        <v>2.4</v>
      </c>
    </row>
    <row r="42" spans="1:19" ht="14.4" x14ac:dyDescent="0.3">
      <c r="A42" s="23" t="s">
        <v>437</v>
      </c>
      <c r="B42" s="23" t="s">
        <v>438</v>
      </c>
      <c r="C42" s="23" t="s">
        <v>290</v>
      </c>
      <c r="D42" s="23"/>
      <c r="E42" s="23"/>
      <c r="F42" s="23"/>
      <c r="G42" s="23">
        <v>1</v>
      </c>
      <c r="H42" s="23"/>
      <c r="I42" s="23"/>
      <c r="J42" s="23">
        <v>1</v>
      </c>
      <c r="K42" s="23" t="s">
        <v>125</v>
      </c>
      <c r="L42" s="24" t="s">
        <v>47</v>
      </c>
      <c r="M42" s="24" t="s">
        <v>69</v>
      </c>
      <c r="N42" s="24" t="s">
        <v>114</v>
      </c>
      <c r="O42" s="24" t="s">
        <v>74</v>
      </c>
      <c r="P42" s="24">
        <v>70</v>
      </c>
      <c r="Q42" s="72">
        <v>0.2</v>
      </c>
      <c r="R42" s="24">
        <v>0.1</v>
      </c>
      <c r="S42" s="24">
        <v>0.7</v>
      </c>
    </row>
    <row r="43" spans="1:19" ht="14.4" x14ac:dyDescent="0.3">
      <c r="A43" s="23" t="s">
        <v>359</v>
      </c>
      <c r="B43" s="23" t="s">
        <v>360</v>
      </c>
      <c r="C43" s="23" t="s">
        <v>290</v>
      </c>
      <c r="D43" s="23"/>
      <c r="E43" s="23"/>
      <c r="F43" s="23"/>
      <c r="G43" s="23"/>
      <c r="H43" s="23"/>
      <c r="I43" s="23">
        <v>1</v>
      </c>
      <c r="J43" s="23">
        <v>1</v>
      </c>
      <c r="K43" s="23" t="s">
        <v>172</v>
      </c>
      <c r="L43" s="24" t="s">
        <v>47</v>
      </c>
      <c r="M43" s="24" t="s">
        <v>68</v>
      </c>
      <c r="N43" s="24" t="s">
        <v>37</v>
      </c>
      <c r="O43" s="24" t="s">
        <v>37</v>
      </c>
      <c r="P43" s="24">
        <v>50</v>
      </c>
      <c r="Q43" s="72">
        <v>0.5</v>
      </c>
      <c r="R43" s="24">
        <v>0</v>
      </c>
      <c r="S43" s="24">
        <v>0.5</v>
      </c>
    </row>
    <row r="44" spans="1:19" ht="14.4" x14ac:dyDescent="0.3">
      <c r="A44" s="23" t="s">
        <v>325</v>
      </c>
      <c r="B44" s="23" t="s">
        <v>326</v>
      </c>
      <c r="C44" s="23" t="s">
        <v>290</v>
      </c>
      <c r="D44" s="23"/>
      <c r="E44" s="23"/>
      <c r="F44" s="23"/>
      <c r="G44" s="23"/>
      <c r="H44" s="23"/>
      <c r="I44" s="23">
        <v>1</v>
      </c>
      <c r="J44" s="23">
        <v>1</v>
      </c>
      <c r="K44" s="23" t="s">
        <v>125</v>
      </c>
      <c r="L44" s="24" t="s">
        <v>47</v>
      </c>
      <c r="M44" s="24" t="s">
        <v>68</v>
      </c>
      <c r="N44" s="24" t="s">
        <v>37</v>
      </c>
      <c r="O44" s="24" t="s">
        <v>37</v>
      </c>
      <c r="P44" s="24">
        <v>50</v>
      </c>
      <c r="Q44" s="72">
        <v>0.5</v>
      </c>
      <c r="R44" s="24">
        <v>0</v>
      </c>
      <c r="S44" s="24">
        <v>0.5</v>
      </c>
    </row>
    <row r="45" spans="1:19" ht="14.4" x14ac:dyDescent="0.3">
      <c r="A45" s="23" t="s">
        <v>369</v>
      </c>
      <c r="B45" s="23" t="s">
        <v>370</v>
      </c>
      <c r="C45" s="23" t="s">
        <v>290</v>
      </c>
      <c r="D45" s="23"/>
      <c r="E45" s="23"/>
      <c r="F45" s="23"/>
      <c r="G45" s="23"/>
      <c r="H45" s="23"/>
      <c r="I45" s="23">
        <v>1</v>
      </c>
      <c r="J45" s="23">
        <v>1</v>
      </c>
      <c r="K45" s="23" t="s">
        <v>234</v>
      </c>
      <c r="L45" s="24" t="s">
        <v>47</v>
      </c>
      <c r="M45" s="24" t="s">
        <v>69</v>
      </c>
      <c r="N45" s="24" t="s">
        <v>37</v>
      </c>
      <c r="O45" s="24" t="s">
        <v>37</v>
      </c>
      <c r="P45" s="24">
        <v>80</v>
      </c>
      <c r="Q45" s="72">
        <v>0.2</v>
      </c>
      <c r="R45" s="24">
        <v>0</v>
      </c>
      <c r="S45" s="24">
        <v>0.8</v>
      </c>
    </row>
    <row r="46" spans="1:19" ht="14.4" x14ac:dyDescent="0.3">
      <c r="A46" s="23" t="s">
        <v>413</v>
      </c>
      <c r="B46" s="23" t="s">
        <v>414</v>
      </c>
      <c r="C46" s="23" t="s">
        <v>290</v>
      </c>
      <c r="D46" s="23"/>
      <c r="E46" s="23"/>
      <c r="F46" s="23"/>
      <c r="G46" s="23">
        <v>1</v>
      </c>
      <c r="H46" s="23"/>
      <c r="I46" s="23"/>
      <c r="J46" s="23">
        <v>1</v>
      </c>
      <c r="K46" s="23" t="s">
        <v>172</v>
      </c>
      <c r="L46" s="24" t="s">
        <v>47</v>
      </c>
      <c r="M46" s="24" t="s">
        <v>69</v>
      </c>
      <c r="N46" s="24" t="s">
        <v>37</v>
      </c>
      <c r="O46" s="24" t="s">
        <v>37</v>
      </c>
      <c r="P46" s="24">
        <v>80</v>
      </c>
      <c r="Q46" s="72">
        <v>0.2</v>
      </c>
      <c r="R46" s="24">
        <v>0</v>
      </c>
      <c r="S46" s="24">
        <v>0.8</v>
      </c>
    </row>
    <row r="47" spans="1:19" ht="14.4" x14ac:dyDescent="0.3">
      <c r="A47" s="23" t="s">
        <v>421</v>
      </c>
      <c r="B47" s="23" t="s">
        <v>422</v>
      </c>
      <c r="C47" s="23" t="s">
        <v>290</v>
      </c>
      <c r="D47" s="23"/>
      <c r="E47" s="23">
        <v>1</v>
      </c>
      <c r="F47" s="23"/>
      <c r="G47" s="23"/>
      <c r="H47" s="23"/>
      <c r="I47" s="23"/>
      <c r="J47" s="23">
        <v>1</v>
      </c>
      <c r="K47" s="23" t="s">
        <v>172</v>
      </c>
      <c r="L47" s="24" t="s">
        <v>47</v>
      </c>
      <c r="M47" s="24" t="s">
        <v>68</v>
      </c>
      <c r="N47" s="24" t="s">
        <v>37</v>
      </c>
      <c r="O47" s="24" t="s">
        <v>37</v>
      </c>
      <c r="P47" s="24">
        <v>50</v>
      </c>
      <c r="Q47" s="72">
        <v>0.5</v>
      </c>
      <c r="R47" s="24">
        <v>0</v>
      </c>
      <c r="S47" s="24">
        <v>0.5</v>
      </c>
    </row>
    <row r="48" spans="1:19" ht="14.4" x14ac:dyDescent="0.3">
      <c r="A48" s="23" t="s">
        <v>343</v>
      </c>
      <c r="B48" s="23" t="s">
        <v>344</v>
      </c>
      <c r="C48" s="23" t="s">
        <v>290</v>
      </c>
      <c r="D48" s="23">
        <v>1</v>
      </c>
      <c r="E48" s="23"/>
      <c r="F48" s="23">
        <v>1</v>
      </c>
      <c r="G48" s="23"/>
      <c r="H48" s="23"/>
      <c r="I48" s="23"/>
      <c r="J48" s="23">
        <v>2</v>
      </c>
      <c r="K48" s="23" t="s">
        <v>125</v>
      </c>
      <c r="L48" s="24" t="s">
        <v>47</v>
      </c>
      <c r="M48" s="24" t="s">
        <v>69</v>
      </c>
      <c r="N48" s="24" t="s">
        <v>37</v>
      </c>
      <c r="O48" s="24" t="s">
        <v>37</v>
      </c>
      <c r="P48" s="24">
        <v>80</v>
      </c>
      <c r="Q48" s="72">
        <v>0.4</v>
      </c>
      <c r="R48" s="24">
        <v>0</v>
      </c>
      <c r="S48" s="24">
        <v>1.6</v>
      </c>
    </row>
    <row r="49" spans="1:19" ht="14.4" x14ac:dyDescent="0.3">
      <c r="A49" s="23" t="s">
        <v>314</v>
      </c>
      <c r="B49" s="23" t="s">
        <v>315</v>
      </c>
      <c r="C49" s="23" t="s">
        <v>290</v>
      </c>
      <c r="D49" s="23"/>
      <c r="E49" s="23">
        <v>1</v>
      </c>
      <c r="F49" s="23">
        <v>1</v>
      </c>
      <c r="G49" s="23"/>
      <c r="H49" s="23"/>
      <c r="I49" s="23"/>
      <c r="J49" s="23">
        <v>2</v>
      </c>
      <c r="K49" s="23" t="s">
        <v>125</v>
      </c>
      <c r="L49" s="24" t="s">
        <v>47</v>
      </c>
      <c r="M49" s="24" t="s">
        <v>69</v>
      </c>
      <c r="N49" s="24" t="s">
        <v>37</v>
      </c>
      <c r="O49" s="24" t="s">
        <v>37</v>
      </c>
      <c r="P49" s="24">
        <v>80</v>
      </c>
      <c r="Q49" s="72">
        <v>0.4</v>
      </c>
      <c r="R49" s="24">
        <v>0</v>
      </c>
      <c r="S49" s="24">
        <v>1.6</v>
      </c>
    </row>
    <row r="50" spans="1:19" ht="14.4" x14ac:dyDescent="0.3">
      <c r="A50" s="70" t="s">
        <v>439</v>
      </c>
      <c r="B50" s="70" t="s">
        <v>440</v>
      </c>
      <c r="C50" s="71" t="s">
        <v>290</v>
      </c>
      <c r="D50" s="70"/>
      <c r="E50" s="70"/>
      <c r="F50" s="70">
        <v>2</v>
      </c>
      <c r="G50" s="70"/>
      <c r="H50" s="70"/>
      <c r="I50" s="70"/>
      <c r="J50" s="23">
        <v>2</v>
      </c>
      <c r="K50" s="23" t="s">
        <v>125</v>
      </c>
      <c r="L50" s="24" t="s">
        <v>47</v>
      </c>
      <c r="M50" s="24" t="s">
        <v>69</v>
      </c>
      <c r="N50" s="24" t="s">
        <v>114</v>
      </c>
      <c r="O50" s="24" t="s">
        <v>74</v>
      </c>
      <c r="P50" s="24">
        <v>70</v>
      </c>
      <c r="Q50" s="72">
        <v>0.4</v>
      </c>
      <c r="R50" s="24">
        <v>0.2</v>
      </c>
      <c r="S50" s="24">
        <v>1.4</v>
      </c>
    </row>
    <row r="51" spans="1:19" ht="14.4" x14ac:dyDescent="0.3">
      <c r="A51" s="23" t="s">
        <v>322</v>
      </c>
      <c r="B51" s="23" t="s">
        <v>994</v>
      </c>
      <c r="C51" s="23" t="s">
        <v>290</v>
      </c>
      <c r="D51" s="23"/>
      <c r="E51" s="23"/>
      <c r="F51" s="23">
        <v>1</v>
      </c>
      <c r="G51" s="23"/>
      <c r="H51" s="23"/>
      <c r="I51" s="23">
        <v>1</v>
      </c>
      <c r="J51" s="23">
        <v>2</v>
      </c>
      <c r="K51" s="23" t="s">
        <v>125</v>
      </c>
      <c r="L51" s="24" t="s">
        <v>47</v>
      </c>
      <c r="M51" s="24" t="s">
        <v>69</v>
      </c>
      <c r="N51" s="24" t="s">
        <v>37</v>
      </c>
      <c r="O51" s="24" t="s">
        <v>37</v>
      </c>
      <c r="P51" s="24">
        <v>80</v>
      </c>
      <c r="Q51" s="72">
        <v>0.4</v>
      </c>
      <c r="R51" s="24">
        <v>0</v>
      </c>
      <c r="S51" s="24">
        <v>1.6</v>
      </c>
    </row>
    <row r="52" spans="1:19" ht="14.4" x14ac:dyDescent="0.3">
      <c r="A52" s="23" t="s">
        <v>304</v>
      </c>
      <c r="B52" s="23" t="s">
        <v>305</v>
      </c>
      <c r="C52" s="23" t="s">
        <v>290</v>
      </c>
      <c r="D52" s="23"/>
      <c r="E52" s="23"/>
      <c r="F52" s="23"/>
      <c r="G52" s="23">
        <v>1</v>
      </c>
      <c r="H52" s="23"/>
      <c r="I52" s="23"/>
      <c r="J52" s="23">
        <v>1</v>
      </c>
      <c r="K52" s="23" t="s">
        <v>95</v>
      </c>
      <c r="L52" s="24" t="s">
        <v>47</v>
      </c>
      <c r="M52" s="24" t="s">
        <v>69</v>
      </c>
      <c r="N52" s="24" t="s">
        <v>37</v>
      </c>
      <c r="O52" s="24" t="s">
        <v>37</v>
      </c>
      <c r="P52" s="24">
        <v>80</v>
      </c>
      <c r="Q52" s="72">
        <v>0.2</v>
      </c>
      <c r="R52" s="24">
        <v>0</v>
      </c>
      <c r="S52" s="24">
        <v>0.8</v>
      </c>
    </row>
    <row r="53" spans="1:19" ht="14.4" x14ac:dyDescent="0.3">
      <c r="A53" s="23" t="s">
        <v>409</v>
      </c>
      <c r="B53" s="23" t="s">
        <v>410</v>
      </c>
      <c r="C53" s="23" t="s">
        <v>290</v>
      </c>
      <c r="D53" s="23"/>
      <c r="E53" s="23"/>
      <c r="F53" s="23"/>
      <c r="G53" s="23"/>
      <c r="H53" s="23">
        <v>1</v>
      </c>
      <c r="I53" s="23"/>
      <c r="J53" s="23">
        <v>1</v>
      </c>
      <c r="K53" s="23" t="s">
        <v>125</v>
      </c>
      <c r="L53" s="24" t="s">
        <v>47</v>
      </c>
      <c r="M53" s="24" t="s">
        <v>69</v>
      </c>
      <c r="N53" s="24" t="s">
        <v>37</v>
      </c>
      <c r="O53" s="24" t="s">
        <v>37</v>
      </c>
      <c r="P53" s="24">
        <v>80</v>
      </c>
      <c r="Q53" s="72">
        <v>0.2</v>
      </c>
      <c r="R53" s="24">
        <v>0</v>
      </c>
      <c r="S53" s="24">
        <v>0.8</v>
      </c>
    </row>
    <row r="54" spans="1:19" ht="14.4" x14ac:dyDescent="0.3">
      <c r="A54" s="23" t="s">
        <v>373</v>
      </c>
      <c r="B54" s="23" t="s">
        <v>374</v>
      </c>
      <c r="C54" s="23" t="s">
        <v>290</v>
      </c>
      <c r="D54" s="23"/>
      <c r="E54" s="23"/>
      <c r="F54" s="23">
        <v>2</v>
      </c>
      <c r="G54" s="23"/>
      <c r="H54" s="23"/>
      <c r="I54" s="23"/>
      <c r="J54" s="23">
        <v>2</v>
      </c>
      <c r="K54" s="23" t="s">
        <v>125</v>
      </c>
      <c r="L54" s="24" t="s">
        <v>47</v>
      </c>
      <c r="M54" s="24" t="s">
        <v>69</v>
      </c>
      <c r="N54" s="24" t="s">
        <v>37</v>
      </c>
      <c r="O54" s="24" t="s">
        <v>37</v>
      </c>
      <c r="P54" s="24">
        <v>80</v>
      </c>
      <c r="Q54" s="72">
        <v>0.4</v>
      </c>
      <c r="R54" s="24">
        <v>0</v>
      </c>
      <c r="S54" s="24">
        <v>1.6</v>
      </c>
    </row>
    <row r="55" spans="1:19" ht="14.4" x14ac:dyDescent="0.3">
      <c r="A55" s="23" t="s">
        <v>353</v>
      </c>
      <c r="B55" s="23" t="s">
        <v>354</v>
      </c>
      <c r="C55" s="25" t="s">
        <v>291</v>
      </c>
      <c r="D55" s="23"/>
      <c r="E55" s="23">
        <v>1</v>
      </c>
      <c r="F55" s="23"/>
      <c r="G55" s="23"/>
      <c r="H55" s="23"/>
      <c r="I55" s="23">
        <v>1</v>
      </c>
      <c r="J55" s="23">
        <v>2</v>
      </c>
      <c r="K55" s="23" t="s">
        <v>125</v>
      </c>
      <c r="L55" s="24" t="s">
        <v>47</v>
      </c>
      <c r="M55" s="24" t="s">
        <v>69</v>
      </c>
      <c r="N55" s="24" t="s">
        <v>37</v>
      </c>
      <c r="O55" s="24" t="s">
        <v>37</v>
      </c>
      <c r="P55" s="24">
        <v>80</v>
      </c>
      <c r="Q55" s="72">
        <v>0.4</v>
      </c>
      <c r="R55" s="24">
        <v>0</v>
      </c>
      <c r="S55" s="24">
        <v>1.6</v>
      </c>
    </row>
    <row r="56" spans="1:19" ht="14.4" x14ac:dyDescent="0.3">
      <c r="A56" s="23" t="s">
        <v>395</v>
      </c>
      <c r="B56" s="23" t="s">
        <v>396</v>
      </c>
      <c r="C56" s="23" t="s">
        <v>290</v>
      </c>
      <c r="D56" s="23">
        <v>1</v>
      </c>
      <c r="E56" s="23"/>
      <c r="F56" s="23"/>
      <c r="G56" s="23"/>
      <c r="H56" s="23"/>
      <c r="I56" s="23"/>
      <c r="J56" s="23">
        <v>1</v>
      </c>
      <c r="K56" s="23" t="s">
        <v>125</v>
      </c>
      <c r="L56" s="24" t="s">
        <v>47</v>
      </c>
      <c r="M56" s="24" t="s">
        <v>69</v>
      </c>
      <c r="N56" s="24" t="s">
        <v>37</v>
      </c>
      <c r="O56" s="24" t="s">
        <v>37</v>
      </c>
      <c r="P56" s="24">
        <v>80</v>
      </c>
      <c r="Q56" s="72">
        <v>0.2</v>
      </c>
      <c r="R56" s="24">
        <v>0</v>
      </c>
      <c r="S56" s="24">
        <v>0.8</v>
      </c>
    </row>
    <row r="57" spans="1:19" ht="14.4" x14ac:dyDescent="0.3">
      <c r="A57" s="23" t="s">
        <v>419</v>
      </c>
      <c r="B57" s="23" t="s">
        <v>420</v>
      </c>
      <c r="C57" s="23" t="s">
        <v>291</v>
      </c>
      <c r="D57" s="23"/>
      <c r="E57" s="23"/>
      <c r="F57" s="23"/>
      <c r="G57" s="23">
        <v>1</v>
      </c>
      <c r="H57" s="23"/>
      <c r="I57" s="23"/>
      <c r="J57" s="23">
        <v>1</v>
      </c>
      <c r="K57" s="23" t="s">
        <v>95</v>
      </c>
      <c r="L57" s="24" t="s">
        <v>47</v>
      </c>
      <c r="M57" s="24" t="s">
        <v>69</v>
      </c>
      <c r="N57" s="24" t="s">
        <v>37</v>
      </c>
      <c r="O57" s="24" t="s">
        <v>37</v>
      </c>
      <c r="P57" s="24">
        <v>80</v>
      </c>
      <c r="Q57" s="72">
        <v>0.2</v>
      </c>
      <c r="R57" s="24">
        <v>0</v>
      </c>
      <c r="S57" s="24">
        <v>0.8</v>
      </c>
    </row>
    <row r="58" spans="1:19" ht="14.4" x14ac:dyDescent="0.3">
      <c r="A58" s="23" t="s">
        <v>609</v>
      </c>
      <c r="B58" s="23" t="s">
        <v>610</v>
      </c>
      <c r="C58" s="23" t="s">
        <v>291</v>
      </c>
      <c r="D58" s="23"/>
      <c r="E58" s="23"/>
      <c r="F58" s="23"/>
      <c r="G58" s="23">
        <v>1</v>
      </c>
      <c r="H58" s="23"/>
      <c r="I58" s="23"/>
      <c r="J58" s="23">
        <v>1</v>
      </c>
      <c r="K58" s="23" t="s">
        <v>95</v>
      </c>
      <c r="L58" s="24" t="s">
        <v>47</v>
      </c>
      <c r="M58" s="24" t="s">
        <v>69</v>
      </c>
      <c r="N58" s="24" t="s">
        <v>37</v>
      </c>
      <c r="O58" s="24" t="s">
        <v>37</v>
      </c>
      <c r="P58" s="24">
        <v>80</v>
      </c>
      <c r="Q58" s="72">
        <v>0.2</v>
      </c>
      <c r="R58" s="24">
        <v>0</v>
      </c>
      <c r="S58" s="24">
        <v>0.8</v>
      </c>
    </row>
    <row r="59" spans="1:19" ht="14.4" x14ac:dyDescent="0.3">
      <c r="A59" s="23" t="s">
        <v>995</v>
      </c>
      <c r="B59" s="23" t="s">
        <v>996</v>
      </c>
      <c r="C59" s="23" t="s">
        <v>291</v>
      </c>
      <c r="D59" s="23"/>
      <c r="E59" s="23"/>
      <c r="F59" s="23"/>
      <c r="G59" s="23"/>
      <c r="H59" s="23"/>
      <c r="I59" s="23">
        <v>1</v>
      </c>
      <c r="J59" s="23">
        <v>1</v>
      </c>
      <c r="K59" s="23" t="s">
        <v>95</v>
      </c>
      <c r="L59" s="24" t="s">
        <v>47</v>
      </c>
      <c r="M59" s="24" t="s">
        <v>69</v>
      </c>
      <c r="N59" s="24" t="s">
        <v>37</v>
      </c>
      <c r="O59" s="24" t="s">
        <v>37</v>
      </c>
      <c r="P59" s="24">
        <v>80</v>
      </c>
      <c r="Q59" s="72">
        <v>0.2</v>
      </c>
      <c r="R59" s="24">
        <v>0</v>
      </c>
      <c r="S59" s="24">
        <v>0.8</v>
      </c>
    </row>
    <row r="60" spans="1:19" ht="14.4" x14ac:dyDescent="0.3">
      <c r="A60" s="23" t="s">
        <v>601</v>
      </c>
      <c r="B60" s="23" t="s">
        <v>602</v>
      </c>
      <c r="C60" s="23" t="s">
        <v>290</v>
      </c>
      <c r="D60" s="23"/>
      <c r="E60" s="23"/>
      <c r="F60" s="23"/>
      <c r="G60" s="23"/>
      <c r="H60" s="23">
        <v>1</v>
      </c>
      <c r="I60" s="23"/>
      <c r="J60" s="23">
        <v>1</v>
      </c>
      <c r="K60" s="23" t="s">
        <v>125</v>
      </c>
      <c r="L60" s="24" t="s">
        <v>47</v>
      </c>
      <c r="M60" s="24" t="s">
        <v>69</v>
      </c>
      <c r="N60" s="24" t="s">
        <v>37</v>
      </c>
      <c r="O60" s="24" t="s">
        <v>37</v>
      </c>
      <c r="P60" s="24">
        <v>80</v>
      </c>
      <c r="Q60" s="72">
        <v>0.2</v>
      </c>
      <c r="R60" s="24">
        <v>0</v>
      </c>
      <c r="S60" s="24">
        <v>0.8</v>
      </c>
    </row>
    <row r="61" spans="1:19" ht="14.4" x14ac:dyDescent="0.3">
      <c r="A61" s="23" t="s">
        <v>329</v>
      </c>
      <c r="B61" s="23" t="s">
        <v>330</v>
      </c>
      <c r="C61" s="23" t="s">
        <v>290</v>
      </c>
      <c r="D61" s="23"/>
      <c r="E61" s="23">
        <v>2</v>
      </c>
      <c r="F61" s="23"/>
      <c r="G61" s="23"/>
      <c r="H61" s="23"/>
      <c r="I61" s="23"/>
      <c r="J61" s="23">
        <v>2</v>
      </c>
      <c r="K61" s="23" t="s">
        <v>95</v>
      </c>
      <c r="L61" s="24" t="s">
        <v>47</v>
      </c>
      <c r="M61" s="24" t="s">
        <v>69</v>
      </c>
      <c r="N61" s="24" t="s">
        <v>37</v>
      </c>
      <c r="O61" s="24" t="s">
        <v>37</v>
      </c>
      <c r="P61" s="24">
        <v>80</v>
      </c>
      <c r="Q61" s="72">
        <v>0.4</v>
      </c>
      <c r="R61" s="24">
        <v>0</v>
      </c>
      <c r="S61" s="24">
        <v>1.6</v>
      </c>
    </row>
    <row r="62" spans="1:19" ht="14.4" x14ac:dyDescent="0.3">
      <c r="A62" s="23" t="s">
        <v>611</v>
      </c>
      <c r="B62" s="23" t="s">
        <v>612</v>
      </c>
      <c r="C62" s="23" t="s">
        <v>291</v>
      </c>
      <c r="D62" s="23"/>
      <c r="E62" s="23"/>
      <c r="F62" s="23"/>
      <c r="G62" s="23"/>
      <c r="H62" s="23">
        <v>1</v>
      </c>
      <c r="I62" s="23"/>
      <c r="J62" s="23">
        <v>1</v>
      </c>
      <c r="K62" s="23" t="s">
        <v>234</v>
      </c>
      <c r="L62" s="24" t="s">
        <v>47</v>
      </c>
      <c r="M62" s="24" t="s">
        <v>69</v>
      </c>
      <c r="N62" s="24" t="s">
        <v>37</v>
      </c>
      <c r="O62" s="24" t="s">
        <v>37</v>
      </c>
      <c r="P62" s="24">
        <v>80</v>
      </c>
      <c r="Q62" s="72">
        <v>0.2</v>
      </c>
      <c r="R62" s="24">
        <v>0</v>
      </c>
      <c r="S62" s="24">
        <v>0.8</v>
      </c>
    </row>
    <row r="63" spans="1:19" ht="14.4" x14ac:dyDescent="0.3">
      <c r="A63" s="23" t="s">
        <v>302</v>
      </c>
      <c r="B63" s="23" t="s">
        <v>303</v>
      </c>
      <c r="C63" s="23" t="s">
        <v>291</v>
      </c>
      <c r="D63" s="23">
        <v>1</v>
      </c>
      <c r="E63" s="23"/>
      <c r="F63" s="23"/>
      <c r="G63" s="23"/>
      <c r="H63" s="23"/>
      <c r="I63" s="23"/>
      <c r="J63" s="23">
        <v>1</v>
      </c>
      <c r="K63" s="23" t="s">
        <v>125</v>
      </c>
      <c r="L63" s="24" t="s">
        <v>47</v>
      </c>
      <c r="M63" s="24" t="s">
        <v>69</v>
      </c>
      <c r="N63" s="24" t="s">
        <v>37</v>
      </c>
      <c r="O63" s="24" t="s">
        <v>37</v>
      </c>
      <c r="P63" s="24">
        <v>80</v>
      </c>
      <c r="Q63" s="72">
        <v>0.2</v>
      </c>
      <c r="R63" s="24">
        <v>0</v>
      </c>
      <c r="S63" s="24">
        <v>0.8</v>
      </c>
    </row>
    <row r="64" spans="1:19" ht="14.4" x14ac:dyDescent="0.3">
      <c r="A64" s="23" t="s">
        <v>389</v>
      </c>
      <c r="B64" s="23" t="s">
        <v>390</v>
      </c>
      <c r="C64" s="23" t="s">
        <v>290</v>
      </c>
      <c r="D64" s="23"/>
      <c r="E64" s="23"/>
      <c r="F64" s="23"/>
      <c r="G64" s="23">
        <v>2</v>
      </c>
      <c r="H64" s="23"/>
      <c r="I64" s="23"/>
      <c r="J64" s="23">
        <v>2</v>
      </c>
      <c r="K64" s="23" t="s">
        <v>95</v>
      </c>
      <c r="L64" s="24" t="s">
        <v>47</v>
      </c>
      <c r="M64" s="24" t="s">
        <v>68</v>
      </c>
      <c r="N64" s="24" t="s">
        <v>37</v>
      </c>
      <c r="O64" s="24" t="s">
        <v>37</v>
      </c>
      <c r="P64" s="24">
        <v>50</v>
      </c>
      <c r="Q64" s="72">
        <v>1</v>
      </c>
      <c r="R64" s="24">
        <v>0</v>
      </c>
      <c r="S64" s="24">
        <v>1</v>
      </c>
    </row>
    <row r="65" spans="1:19" ht="14.4" x14ac:dyDescent="0.3">
      <c r="A65" s="23" t="s">
        <v>349</v>
      </c>
      <c r="B65" s="23" t="s">
        <v>350</v>
      </c>
      <c r="C65" s="23" t="s">
        <v>290</v>
      </c>
      <c r="D65" s="23"/>
      <c r="E65" s="23"/>
      <c r="F65" s="23">
        <v>3</v>
      </c>
      <c r="G65" s="23"/>
      <c r="H65" s="23"/>
      <c r="I65" s="23">
        <v>1</v>
      </c>
      <c r="J65" s="23">
        <v>4</v>
      </c>
      <c r="K65" s="23" t="s">
        <v>234</v>
      </c>
      <c r="L65" s="24" t="s">
        <v>47</v>
      </c>
      <c r="M65" s="24" t="s">
        <v>69</v>
      </c>
      <c r="N65" s="24" t="s">
        <v>37</v>
      </c>
      <c r="O65" s="24" t="s">
        <v>37</v>
      </c>
      <c r="P65" s="24">
        <v>80</v>
      </c>
      <c r="Q65" s="72">
        <v>0.8</v>
      </c>
      <c r="R65" s="24">
        <v>0</v>
      </c>
      <c r="S65" s="24">
        <v>3.2</v>
      </c>
    </row>
    <row r="66" spans="1:19" ht="14.4" x14ac:dyDescent="0.3">
      <c r="A66" s="23" t="s">
        <v>997</v>
      </c>
      <c r="B66" s="23" t="s">
        <v>998</v>
      </c>
      <c r="C66" s="23" t="s">
        <v>290</v>
      </c>
      <c r="D66" s="23"/>
      <c r="E66" s="23"/>
      <c r="F66" s="23"/>
      <c r="G66" s="23"/>
      <c r="H66" s="23"/>
      <c r="I66" s="23">
        <v>1</v>
      </c>
      <c r="J66" s="23">
        <v>1</v>
      </c>
      <c r="K66" s="23" t="s">
        <v>95</v>
      </c>
      <c r="L66" s="24" t="s">
        <v>47</v>
      </c>
      <c r="M66" s="24" t="s">
        <v>69</v>
      </c>
      <c r="N66" s="24" t="s">
        <v>37</v>
      </c>
      <c r="O66" s="24" t="s">
        <v>37</v>
      </c>
      <c r="P66" s="24">
        <v>80</v>
      </c>
      <c r="Q66" s="72">
        <v>0.2</v>
      </c>
      <c r="R66" s="24">
        <v>0</v>
      </c>
      <c r="S66" s="24">
        <v>0.8</v>
      </c>
    </row>
    <row r="67" spans="1:19" ht="14.4" x14ac:dyDescent="0.3">
      <c r="A67" s="23" t="s">
        <v>999</v>
      </c>
      <c r="B67" s="23" t="s">
        <v>1000</v>
      </c>
      <c r="C67" s="23" t="s">
        <v>291</v>
      </c>
      <c r="D67" s="23"/>
      <c r="E67" s="23"/>
      <c r="F67" s="23"/>
      <c r="G67" s="23"/>
      <c r="H67" s="23"/>
      <c r="I67" s="23">
        <v>1</v>
      </c>
      <c r="J67" s="23">
        <v>1</v>
      </c>
      <c r="K67" s="23" t="s">
        <v>95</v>
      </c>
      <c r="L67" s="24" t="s">
        <v>47</v>
      </c>
      <c r="M67" s="24" t="s">
        <v>69</v>
      </c>
      <c r="N67" s="24" t="s">
        <v>37</v>
      </c>
      <c r="O67" s="24" t="s">
        <v>37</v>
      </c>
      <c r="P67" s="24">
        <v>80</v>
      </c>
      <c r="Q67" s="72">
        <v>0.2</v>
      </c>
      <c r="R67" s="24">
        <v>0</v>
      </c>
      <c r="S67" s="24">
        <v>0.8</v>
      </c>
    </row>
    <row r="68" spans="1:19" ht="14.4" x14ac:dyDescent="0.3">
      <c r="A68" s="23" t="s">
        <v>1001</v>
      </c>
      <c r="B68" s="23" t="s">
        <v>1002</v>
      </c>
      <c r="C68" s="23" t="s">
        <v>290</v>
      </c>
      <c r="D68" s="23"/>
      <c r="E68" s="23"/>
      <c r="F68" s="23"/>
      <c r="G68" s="23">
        <v>1</v>
      </c>
      <c r="H68" s="23"/>
      <c r="I68" s="23">
        <v>1</v>
      </c>
      <c r="J68" s="23">
        <v>2</v>
      </c>
      <c r="K68" s="23" t="s">
        <v>95</v>
      </c>
      <c r="L68" s="24" t="s">
        <v>47</v>
      </c>
      <c r="M68" s="24" t="s">
        <v>69</v>
      </c>
      <c r="N68" s="24" t="s">
        <v>37</v>
      </c>
      <c r="O68" s="24" t="s">
        <v>37</v>
      </c>
      <c r="P68" s="24">
        <v>80</v>
      </c>
      <c r="Q68" s="72">
        <v>0.4</v>
      </c>
      <c r="R68" s="24">
        <v>0</v>
      </c>
      <c r="S68" s="24">
        <v>1.6</v>
      </c>
    </row>
    <row r="69" spans="1:19" ht="14.4" x14ac:dyDescent="0.3">
      <c r="A69" s="23" t="s">
        <v>331</v>
      </c>
      <c r="B69" s="23" t="s">
        <v>332</v>
      </c>
      <c r="C69" s="23" t="s">
        <v>290</v>
      </c>
      <c r="D69" s="23"/>
      <c r="E69" s="23">
        <v>2</v>
      </c>
      <c r="F69" s="23"/>
      <c r="G69" s="23"/>
      <c r="H69" s="23"/>
      <c r="I69" s="23">
        <v>1</v>
      </c>
      <c r="J69" s="23">
        <v>3</v>
      </c>
      <c r="K69" s="23" t="s">
        <v>125</v>
      </c>
      <c r="L69" s="24" t="s">
        <v>47</v>
      </c>
      <c r="M69" s="24" t="s">
        <v>69</v>
      </c>
      <c r="N69" s="24" t="s">
        <v>37</v>
      </c>
      <c r="O69" s="24" t="s">
        <v>37</v>
      </c>
      <c r="P69" s="24">
        <v>80</v>
      </c>
      <c r="Q69" s="72">
        <v>0.6</v>
      </c>
      <c r="R69" s="24">
        <v>0</v>
      </c>
      <c r="S69" s="24">
        <v>2.4</v>
      </c>
    </row>
    <row r="70" spans="1:19" ht="14.4" x14ac:dyDescent="0.3">
      <c r="A70" s="23" t="s">
        <v>335</v>
      </c>
      <c r="B70" s="23" t="s">
        <v>336</v>
      </c>
      <c r="C70" s="23" t="s">
        <v>290</v>
      </c>
      <c r="D70" s="23"/>
      <c r="E70" s="23"/>
      <c r="F70" s="23">
        <v>1</v>
      </c>
      <c r="G70" s="23"/>
      <c r="H70" s="23">
        <v>1</v>
      </c>
      <c r="I70" s="23"/>
      <c r="J70" s="23">
        <v>2</v>
      </c>
      <c r="K70" s="23" t="s">
        <v>125</v>
      </c>
      <c r="L70" s="24" t="s">
        <v>47</v>
      </c>
      <c r="M70" s="24" t="s">
        <v>69</v>
      </c>
      <c r="N70" s="24" t="s">
        <v>37</v>
      </c>
      <c r="O70" s="24" t="s">
        <v>37</v>
      </c>
      <c r="P70" s="24">
        <v>80</v>
      </c>
      <c r="Q70" s="72">
        <v>0.4</v>
      </c>
      <c r="R70" s="24">
        <v>0</v>
      </c>
      <c r="S70" s="24">
        <v>1.6</v>
      </c>
    </row>
    <row r="71" spans="1:19" ht="14.4" x14ac:dyDescent="0.3">
      <c r="A71" s="23" t="s">
        <v>298</v>
      </c>
      <c r="B71" s="23" t="s">
        <v>299</v>
      </c>
      <c r="C71" s="23" t="s">
        <v>290</v>
      </c>
      <c r="D71" s="23"/>
      <c r="E71" s="23"/>
      <c r="F71" s="23">
        <v>2</v>
      </c>
      <c r="G71" s="23"/>
      <c r="H71" s="23"/>
      <c r="I71" s="23">
        <v>1</v>
      </c>
      <c r="J71" s="23">
        <v>3</v>
      </c>
      <c r="K71" s="23" t="s">
        <v>125</v>
      </c>
      <c r="L71" s="24" t="s">
        <v>47</v>
      </c>
      <c r="M71" s="24" t="s">
        <v>68</v>
      </c>
      <c r="N71" s="24" t="s">
        <v>37</v>
      </c>
      <c r="O71" s="24" t="s">
        <v>37</v>
      </c>
      <c r="P71" s="24">
        <v>50</v>
      </c>
      <c r="Q71" s="72">
        <v>1.5</v>
      </c>
      <c r="R71" s="24">
        <v>0</v>
      </c>
      <c r="S71" s="24">
        <v>1.5</v>
      </c>
    </row>
    <row r="72" spans="1:19" ht="14.4" x14ac:dyDescent="0.3">
      <c r="A72" s="23" t="s">
        <v>599</v>
      </c>
      <c r="B72" s="23" t="s">
        <v>600</v>
      </c>
      <c r="C72" s="23" t="s">
        <v>290</v>
      </c>
      <c r="D72" s="23"/>
      <c r="E72" s="23"/>
      <c r="F72" s="23">
        <v>1</v>
      </c>
      <c r="G72" s="23"/>
      <c r="H72" s="23"/>
      <c r="I72" s="23">
        <v>1</v>
      </c>
      <c r="J72" s="23">
        <v>2</v>
      </c>
      <c r="K72" s="23" t="s">
        <v>95</v>
      </c>
      <c r="L72" s="24" t="s">
        <v>47</v>
      </c>
      <c r="M72" s="24" t="s">
        <v>69</v>
      </c>
      <c r="N72" s="24" t="s">
        <v>37</v>
      </c>
      <c r="O72" s="24" t="s">
        <v>37</v>
      </c>
      <c r="P72" s="24">
        <v>80</v>
      </c>
      <c r="Q72" s="72">
        <v>0.4</v>
      </c>
      <c r="R72" s="24">
        <v>0</v>
      </c>
      <c r="S72" s="24">
        <v>1.6</v>
      </c>
    </row>
    <row r="73" spans="1:19" ht="14.4" x14ac:dyDescent="0.3">
      <c r="A73" s="23" t="s">
        <v>333</v>
      </c>
      <c r="B73" s="23" t="s">
        <v>334</v>
      </c>
      <c r="C73" s="23" t="s">
        <v>290</v>
      </c>
      <c r="D73" s="23"/>
      <c r="E73" s="23"/>
      <c r="F73" s="23">
        <v>2</v>
      </c>
      <c r="G73" s="23"/>
      <c r="H73" s="23"/>
      <c r="I73" s="23"/>
      <c r="J73" s="23">
        <v>2</v>
      </c>
      <c r="K73" s="23" t="s">
        <v>172</v>
      </c>
      <c r="L73" s="24" t="s">
        <v>47</v>
      </c>
      <c r="M73" s="24" t="s">
        <v>68</v>
      </c>
      <c r="N73" s="24" t="s">
        <v>37</v>
      </c>
      <c r="O73" s="24" t="s">
        <v>37</v>
      </c>
      <c r="P73" s="24">
        <v>50</v>
      </c>
      <c r="Q73" s="72">
        <v>1</v>
      </c>
      <c r="R73" s="24">
        <v>0</v>
      </c>
      <c r="S73" s="24">
        <v>1</v>
      </c>
    </row>
    <row r="74" spans="1:19" ht="14.4" x14ac:dyDescent="0.3">
      <c r="A74" s="23" t="s">
        <v>613</v>
      </c>
      <c r="B74" s="23" t="s">
        <v>614</v>
      </c>
      <c r="C74" s="23" t="s">
        <v>291</v>
      </c>
      <c r="D74" s="23"/>
      <c r="E74" s="23"/>
      <c r="F74" s="23"/>
      <c r="G74" s="23">
        <v>1</v>
      </c>
      <c r="H74" s="23"/>
      <c r="I74" s="23"/>
      <c r="J74" s="23">
        <v>1</v>
      </c>
      <c r="K74" s="23" t="s">
        <v>95</v>
      </c>
      <c r="L74" s="24" t="s">
        <v>47</v>
      </c>
      <c r="M74" s="24" t="s">
        <v>69</v>
      </c>
      <c r="N74" s="24" t="s">
        <v>37</v>
      </c>
      <c r="O74" s="24" t="s">
        <v>37</v>
      </c>
      <c r="P74" s="24">
        <v>80</v>
      </c>
      <c r="Q74" s="72">
        <v>0.2</v>
      </c>
      <c r="R74" s="24">
        <v>0</v>
      </c>
      <c r="S74" s="24">
        <v>0.8</v>
      </c>
    </row>
    <row r="75" spans="1:19" ht="14.4" x14ac:dyDescent="0.3">
      <c r="A75" s="23" t="s">
        <v>365</v>
      </c>
      <c r="B75" s="23" t="s">
        <v>366</v>
      </c>
      <c r="C75" s="23" t="s">
        <v>290</v>
      </c>
      <c r="D75" s="23"/>
      <c r="E75" s="23">
        <v>2</v>
      </c>
      <c r="F75" s="23">
        <v>1</v>
      </c>
      <c r="G75" s="23"/>
      <c r="H75" s="23"/>
      <c r="I75" s="23"/>
      <c r="J75" s="23">
        <v>3</v>
      </c>
      <c r="K75" s="23" t="s">
        <v>95</v>
      </c>
      <c r="L75" s="24" t="s">
        <v>47</v>
      </c>
      <c r="M75" s="24" t="s">
        <v>69</v>
      </c>
      <c r="N75" s="24" t="s">
        <v>37</v>
      </c>
      <c r="O75" s="24" t="s">
        <v>37</v>
      </c>
      <c r="P75" s="24">
        <v>80</v>
      </c>
      <c r="Q75" s="72">
        <v>0.6</v>
      </c>
      <c r="R75" s="24">
        <v>0</v>
      </c>
      <c r="S75" s="24">
        <v>2.4</v>
      </c>
    </row>
    <row r="76" spans="1:19" ht="14.4" x14ac:dyDescent="0.3">
      <c r="A76" s="23" t="s">
        <v>411</v>
      </c>
      <c r="B76" s="23" t="s">
        <v>1003</v>
      </c>
      <c r="C76" s="23" t="s">
        <v>290</v>
      </c>
      <c r="D76" s="23"/>
      <c r="E76" s="23"/>
      <c r="F76" s="23">
        <v>1</v>
      </c>
      <c r="G76" s="23"/>
      <c r="H76" s="23"/>
      <c r="I76" s="23">
        <v>1</v>
      </c>
      <c r="J76" s="23">
        <v>2</v>
      </c>
      <c r="K76" s="23" t="s">
        <v>95</v>
      </c>
      <c r="L76" s="24" t="s">
        <v>47</v>
      </c>
      <c r="M76" s="24" t="s">
        <v>69</v>
      </c>
      <c r="N76" s="24" t="s">
        <v>37</v>
      </c>
      <c r="O76" s="24" t="s">
        <v>37</v>
      </c>
      <c r="P76" s="24">
        <v>80</v>
      </c>
      <c r="Q76" s="72">
        <v>0.4</v>
      </c>
      <c r="R76" s="24">
        <v>0</v>
      </c>
      <c r="S76" s="24">
        <v>1.6</v>
      </c>
    </row>
    <row r="77" spans="1:19" ht="14.4" x14ac:dyDescent="0.3">
      <c r="A77" s="23" t="s">
        <v>391</v>
      </c>
      <c r="B77" s="23" t="s">
        <v>392</v>
      </c>
      <c r="C77" s="23" t="s">
        <v>290</v>
      </c>
      <c r="D77" s="23"/>
      <c r="E77" s="23"/>
      <c r="F77" s="23">
        <v>1</v>
      </c>
      <c r="G77" s="23"/>
      <c r="H77" s="23"/>
      <c r="I77" s="23"/>
      <c r="J77" s="23">
        <v>1</v>
      </c>
      <c r="K77" s="23" t="s">
        <v>172</v>
      </c>
      <c r="L77" s="24" t="s">
        <v>47</v>
      </c>
      <c r="M77" s="24" t="s">
        <v>69</v>
      </c>
      <c r="N77" s="24" t="s">
        <v>37</v>
      </c>
      <c r="O77" s="24" t="s">
        <v>37</v>
      </c>
      <c r="P77" s="24">
        <v>80</v>
      </c>
      <c r="Q77" s="72">
        <v>0.2</v>
      </c>
      <c r="R77" s="24">
        <v>0</v>
      </c>
      <c r="S77" s="24">
        <v>0.8</v>
      </c>
    </row>
    <row r="78" spans="1:19" ht="14.4" x14ac:dyDescent="0.3">
      <c r="A78" s="23" t="s">
        <v>294</v>
      </c>
      <c r="B78" s="23" t="s">
        <v>295</v>
      </c>
      <c r="C78" s="23" t="s">
        <v>290</v>
      </c>
      <c r="D78" s="23">
        <v>1</v>
      </c>
      <c r="E78" s="23"/>
      <c r="F78" s="23"/>
      <c r="G78" s="23"/>
      <c r="H78" s="23"/>
      <c r="I78" s="23"/>
      <c r="J78" s="23">
        <v>1</v>
      </c>
      <c r="K78" s="23" t="s">
        <v>234</v>
      </c>
      <c r="L78" s="24" t="s">
        <v>47</v>
      </c>
      <c r="M78" s="24" t="s">
        <v>69</v>
      </c>
      <c r="N78" s="24" t="s">
        <v>37</v>
      </c>
      <c r="O78" s="24" t="s">
        <v>37</v>
      </c>
      <c r="P78" s="24">
        <v>80</v>
      </c>
      <c r="Q78" s="72">
        <v>0.2</v>
      </c>
      <c r="R78" s="24">
        <v>0</v>
      </c>
      <c r="S78" s="24">
        <v>0.8</v>
      </c>
    </row>
    <row r="79" spans="1:19" ht="14.4" x14ac:dyDescent="0.3">
      <c r="A79" s="23" t="s">
        <v>405</v>
      </c>
      <c r="B79" s="23" t="s">
        <v>406</v>
      </c>
      <c r="C79" s="23" t="s">
        <v>290</v>
      </c>
      <c r="D79" s="23"/>
      <c r="E79" s="23"/>
      <c r="F79" s="23">
        <v>1</v>
      </c>
      <c r="G79" s="23"/>
      <c r="H79" s="23">
        <v>1</v>
      </c>
      <c r="I79" s="23"/>
      <c r="J79" s="23">
        <v>2</v>
      </c>
      <c r="K79" s="23" t="s">
        <v>234</v>
      </c>
      <c r="L79" s="24" t="s">
        <v>47</v>
      </c>
      <c r="M79" s="24" t="s">
        <v>69</v>
      </c>
      <c r="N79" s="24" t="s">
        <v>37</v>
      </c>
      <c r="O79" s="24" t="s">
        <v>37</v>
      </c>
      <c r="P79" s="24">
        <v>80</v>
      </c>
      <c r="Q79" s="72">
        <v>0.4</v>
      </c>
      <c r="R79" s="24">
        <v>0</v>
      </c>
      <c r="S79" s="24">
        <v>1.6</v>
      </c>
    </row>
    <row r="80" spans="1:19" ht="14.4" x14ac:dyDescent="0.3">
      <c r="A80" s="23" t="s">
        <v>361</v>
      </c>
      <c r="B80" s="23" t="s">
        <v>362</v>
      </c>
      <c r="C80" s="23" t="s">
        <v>291</v>
      </c>
      <c r="D80" s="23"/>
      <c r="E80" s="23">
        <v>1</v>
      </c>
      <c r="F80" s="23"/>
      <c r="G80" s="23"/>
      <c r="H80" s="23"/>
      <c r="I80" s="23"/>
      <c r="J80" s="23">
        <v>1</v>
      </c>
      <c r="K80" s="23" t="s">
        <v>234</v>
      </c>
      <c r="L80" s="24" t="s">
        <v>47</v>
      </c>
      <c r="M80" s="24" t="s">
        <v>69</v>
      </c>
      <c r="N80" s="24" t="s">
        <v>37</v>
      </c>
      <c r="O80" s="24" t="s">
        <v>37</v>
      </c>
      <c r="P80" s="24">
        <v>80</v>
      </c>
      <c r="Q80" s="72">
        <v>0.2</v>
      </c>
      <c r="R80" s="24">
        <v>0</v>
      </c>
      <c r="S80" s="24">
        <v>0.8</v>
      </c>
    </row>
    <row r="81" spans="1:19" ht="14.4" x14ac:dyDescent="0.3">
      <c r="A81" s="23" t="s">
        <v>379</v>
      </c>
      <c r="B81" s="23" t="s">
        <v>380</v>
      </c>
      <c r="C81" s="23" t="s">
        <v>291</v>
      </c>
      <c r="D81" s="23"/>
      <c r="E81" s="23"/>
      <c r="F81" s="23">
        <v>1</v>
      </c>
      <c r="G81" s="23"/>
      <c r="H81" s="23"/>
      <c r="I81" s="23"/>
      <c r="J81" s="23">
        <v>1</v>
      </c>
      <c r="K81" s="23" t="s">
        <v>95</v>
      </c>
      <c r="L81" s="24" t="s">
        <v>47</v>
      </c>
      <c r="M81" s="24" t="s">
        <v>69</v>
      </c>
      <c r="N81" s="24" t="s">
        <v>37</v>
      </c>
      <c r="O81" s="24" t="s">
        <v>37</v>
      </c>
      <c r="P81" s="24">
        <v>80</v>
      </c>
      <c r="Q81" s="72">
        <v>0.2</v>
      </c>
      <c r="R81" s="24">
        <v>0</v>
      </c>
      <c r="S81" s="24">
        <v>0.8</v>
      </c>
    </row>
    <row r="82" spans="1:19" ht="14.4" x14ac:dyDescent="0.3">
      <c r="A82" s="23" t="s">
        <v>292</v>
      </c>
      <c r="B82" s="23" t="s">
        <v>293</v>
      </c>
      <c r="C82" s="23" t="s">
        <v>290</v>
      </c>
      <c r="D82" s="23"/>
      <c r="E82" s="23">
        <v>2</v>
      </c>
      <c r="F82" s="23"/>
      <c r="G82" s="23"/>
      <c r="H82" s="23"/>
      <c r="I82" s="23"/>
      <c r="J82" s="23">
        <v>2</v>
      </c>
      <c r="K82" s="23" t="s">
        <v>234</v>
      </c>
      <c r="L82" s="24" t="s">
        <v>47</v>
      </c>
      <c r="M82" s="24" t="s">
        <v>69</v>
      </c>
      <c r="N82" s="24" t="s">
        <v>37</v>
      </c>
      <c r="O82" s="24" t="s">
        <v>37</v>
      </c>
      <c r="P82" s="24">
        <v>80</v>
      </c>
      <c r="Q82" s="72">
        <v>0.4</v>
      </c>
      <c r="R82" s="24">
        <v>0</v>
      </c>
      <c r="S82" s="24">
        <v>1.6</v>
      </c>
    </row>
    <row r="83" spans="1:19" ht="14.4" x14ac:dyDescent="0.3">
      <c r="A83" s="23" t="s">
        <v>597</v>
      </c>
      <c r="B83" s="23" t="s">
        <v>598</v>
      </c>
      <c r="C83" s="23" t="s">
        <v>290</v>
      </c>
      <c r="D83" s="23"/>
      <c r="E83" s="23"/>
      <c r="F83" s="23"/>
      <c r="G83" s="23">
        <v>2</v>
      </c>
      <c r="H83" s="23"/>
      <c r="I83" s="23"/>
      <c r="J83" s="23">
        <v>2</v>
      </c>
      <c r="K83" s="23" t="s">
        <v>95</v>
      </c>
      <c r="L83" s="24" t="s">
        <v>47</v>
      </c>
      <c r="M83" s="24" t="s">
        <v>69</v>
      </c>
      <c r="N83" s="24" t="s">
        <v>37</v>
      </c>
      <c r="O83" s="24" t="s">
        <v>37</v>
      </c>
      <c r="P83" s="24">
        <v>80</v>
      </c>
      <c r="Q83" s="72">
        <v>0.4</v>
      </c>
      <c r="R83" s="24">
        <v>0</v>
      </c>
      <c r="S83" s="24">
        <v>1.6</v>
      </c>
    </row>
    <row r="84" spans="1:19" ht="14.4" x14ac:dyDescent="0.3">
      <c r="A84" s="23" t="s">
        <v>1004</v>
      </c>
      <c r="B84" s="23" t="s">
        <v>1005</v>
      </c>
      <c r="C84" s="23" t="s">
        <v>290</v>
      </c>
      <c r="D84" s="23"/>
      <c r="E84" s="23"/>
      <c r="F84" s="23"/>
      <c r="G84" s="23"/>
      <c r="H84" s="23">
        <v>1</v>
      </c>
      <c r="I84" s="23"/>
      <c r="J84" s="23">
        <v>1</v>
      </c>
      <c r="K84" s="23" t="s">
        <v>172</v>
      </c>
      <c r="L84" s="24" t="s">
        <v>47</v>
      </c>
      <c r="M84" s="24" t="s">
        <v>68</v>
      </c>
      <c r="N84" s="24" t="s">
        <v>37</v>
      </c>
      <c r="O84" s="24" t="s">
        <v>37</v>
      </c>
      <c r="P84" s="24">
        <v>50</v>
      </c>
      <c r="Q84" s="72">
        <v>0.5</v>
      </c>
      <c r="R84" s="24">
        <v>0</v>
      </c>
      <c r="S84" s="24">
        <v>0.5</v>
      </c>
    </row>
    <row r="85" spans="1:19" ht="14.4" x14ac:dyDescent="0.3">
      <c r="A85" s="23" t="s">
        <v>399</v>
      </c>
      <c r="B85" s="23" t="s">
        <v>400</v>
      </c>
      <c r="C85" s="23" t="s">
        <v>290</v>
      </c>
      <c r="D85" s="23"/>
      <c r="E85" s="23">
        <v>1</v>
      </c>
      <c r="F85" s="23"/>
      <c r="G85" s="23"/>
      <c r="H85" s="23"/>
      <c r="I85" s="23"/>
      <c r="J85" s="23">
        <v>1</v>
      </c>
      <c r="K85" s="23" t="s">
        <v>95</v>
      </c>
      <c r="L85" s="24" t="s">
        <v>47</v>
      </c>
      <c r="M85" s="24" t="s">
        <v>69</v>
      </c>
      <c r="N85" s="24" t="s">
        <v>37</v>
      </c>
      <c r="O85" s="24" t="s">
        <v>37</v>
      </c>
      <c r="P85" s="24">
        <v>80</v>
      </c>
      <c r="Q85" s="72">
        <v>0.2</v>
      </c>
      <c r="R85" s="24">
        <v>0</v>
      </c>
      <c r="S85" s="24">
        <v>0.8</v>
      </c>
    </row>
    <row r="86" spans="1:19" ht="14.4" x14ac:dyDescent="0.3">
      <c r="A86" s="23" t="s">
        <v>363</v>
      </c>
      <c r="B86" s="23" t="s">
        <v>364</v>
      </c>
      <c r="C86" s="23" t="s">
        <v>290</v>
      </c>
      <c r="D86" s="23"/>
      <c r="E86" s="23">
        <v>2</v>
      </c>
      <c r="F86" s="23"/>
      <c r="G86" s="23"/>
      <c r="H86" s="23"/>
      <c r="I86" s="23"/>
      <c r="J86" s="23">
        <v>2</v>
      </c>
      <c r="K86" s="23" t="s">
        <v>95</v>
      </c>
      <c r="L86" s="24" t="s">
        <v>47</v>
      </c>
      <c r="M86" s="24" t="s">
        <v>69</v>
      </c>
      <c r="N86" s="24" t="s">
        <v>37</v>
      </c>
      <c r="O86" s="24" t="s">
        <v>37</v>
      </c>
      <c r="P86" s="24">
        <v>80</v>
      </c>
      <c r="Q86" s="72">
        <v>0.4</v>
      </c>
      <c r="R86" s="24">
        <v>0</v>
      </c>
      <c r="S86" s="24">
        <v>1.6</v>
      </c>
    </row>
    <row r="87" spans="1:19" ht="14.4" x14ac:dyDescent="0.3">
      <c r="A87" s="23" t="s">
        <v>595</v>
      </c>
      <c r="B87" s="23" t="s">
        <v>596</v>
      </c>
      <c r="C87" s="23" t="s">
        <v>291</v>
      </c>
      <c r="D87" s="23"/>
      <c r="E87" s="23"/>
      <c r="F87" s="23"/>
      <c r="G87" s="23"/>
      <c r="H87" s="23"/>
      <c r="I87" s="23">
        <v>1</v>
      </c>
      <c r="J87" s="23">
        <v>1</v>
      </c>
      <c r="K87" s="23" t="s">
        <v>95</v>
      </c>
      <c r="L87" s="24" t="s">
        <v>47</v>
      </c>
      <c r="M87" s="24" t="s">
        <v>69</v>
      </c>
      <c r="N87" s="24" t="s">
        <v>37</v>
      </c>
      <c r="O87" s="24" t="s">
        <v>37</v>
      </c>
      <c r="P87" s="24">
        <v>80</v>
      </c>
      <c r="Q87" s="72">
        <v>0.2</v>
      </c>
      <c r="R87" s="24">
        <v>0</v>
      </c>
      <c r="S87" s="24">
        <v>0.8</v>
      </c>
    </row>
    <row r="88" spans="1:19" ht="14.4" x14ac:dyDescent="0.3">
      <c r="A88" s="23" t="s">
        <v>615</v>
      </c>
      <c r="B88" s="23" t="s">
        <v>616</v>
      </c>
      <c r="C88" s="23" t="s">
        <v>290</v>
      </c>
      <c r="D88" s="23"/>
      <c r="E88" s="23"/>
      <c r="F88" s="23"/>
      <c r="G88" s="23"/>
      <c r="H88" s="23">
        <v>1</v>
      </c>
      <c r="I88" s="23"/>
      <c r="J88" s="23">
        <v>1</v>
      </c>
      <c r="K88" s="23" t="s">
        <v>125</v>
      </c>
      <c r="L88" s="24" t="s">
        <v>47</v>
      </c>
      <c r="M88" s="24" t="s">
        <v>69</v>
      </c>
      <c r="N88" s="24" t="s">
        <v>37</v>
      </c>
      <c r="O88" s="24" t="s">
        <v>37</v>
      </c>
      <c r="P88" s="24">
        <v>80</v>
      </c>
      <c r="Q88" s="72">
        <v>0.2</v>
      </c>
      <c r="R88" s="24">
        <v>0</v>
      </c>
      <c r="S88" s="24">
        <v>0.8</v>
      </c>
    </row>
    <row r="89" spans="1:19" ht="14.4" x14ac:dyDescent="0.3">
      <c r="A89" s="23" t="s">
        <v>316</v>
      </c>
      <c r="B89" s="23" t="s">
        <v>317</v>
      </c>
      <c r="C89" s="23" t="s">
        <v>290</v>
      </c>
      <c r="D89" s="23"/>
      <c r="E89" s="23"/>
      <c r="F89" s="23">
        <v>1</v>
      </c>
      <c r="G89" s="23"/>
      <c r="H89" s="23"/>
      <c r="I89" s="23">
        <v>1</v>
      </c>
      <c r="J89" s="23">
        <v>2</v>
      </c>
      <c r="K89" s="23" t="s">
        <v>234</v>
      </c>
      <c r="L89" s="24" t="s">
        <v>47</v>
      </c>
      <c r="M89" s="24" t="s">
        <v>68</v>
      </c>
      <c r="N89" s="24" t="s">
        <v>37</v>
      </c>
      <c r="O89" s="24" t="s">
        <v>37</v>
      </c>
      <c r="P89" s="24">
        <v>50</v>
      </c>
      <c r="Q89" s="72">
        <v>1</v>
      </c>
      <c r="R89" s="24">
        <v>0</v>
      </c>
      <c r="S89" s="24">
        <v>1</v>
      </c>
    </row>
    <row r="90" spans="1:19" ht="14.4" x14ac:dyDescent="0.3">
      <c r="A90" s="23" t="s">
        <v>397</v>
      </c>
      <c r="B90" s="23" t="s">
        <v>398</v>
      </c>
      <c r="C90" s="23" t="s">
        <v>290</v>
      </c>
      <c r="D90" s="23"/>
      <c r="E90" s="23"/>
      <c r="F90" s="23"/>
      <c r="G90" s="23"/>
      <c r="H90" s="23">
        <v>1</v>
      </c>
      <c r="I90" s="23"/>
      <c r="J90" s="23">
        <v>1</v>
      </c>
      <c r="K90" s="23" t="s">
        <v>234</v>
      </c>
      <c r="L90" s="24" t="s">
        <v>47</v>
      </c>
      <c r="M90" s="24" t="s">
        <v>69</v>
      </c>
      <c r="N90" s="24" t="s">
        <v>37</v>
      </c>
      <c r="O90" s="24" t="s">
        <v>37</v>
      </c>
      <c r="P90" s="24">
        <v>80</v>
      </c>
      <c r="Q90" s="72">
        <v>0.2</v>
      </c>
      <c r="R90" s="24">
        <v>0</v>
      </c>
      <c r="S90" s="24">
        <v>0.8</v>
      </c>
    </row>
    <row r="91" spans="1:19" ht="14.4" x14ac:dyDescent="0.3">
      <c r="A91" s="23" t="s">
        <v>355</v>
      </c>
      <c r="B91" s="23" t="s">
        <v>356</v>
      </c>
      <c r="C91" s="25" t="s">
        <v>290</v>
      </c>
      <c r="D91" s="23"/>
      <c r="E91" s="23">
        <v>2</v>
      </c>
      <c r="F91" s="23"/>
      <c r="G91" s="23"/>
      <c r="H91" s="23">
        <v>1</v>
      </c>
      <c r="I91" s="23"/>
      <c r="J91" s="23">
        <v>3</v>
      </c>
      <c r="K91" s="23" t="s">
        <v>125</v>
      </c>
      <c r="L91" s="24" t="s">
        <v>47</v>
      </c>
      <c r="M91" s="24" t="s">
        <v>69</v>
      </c>
      <c r="N91" s="24" t="s">
        <v>37</v>
      </c>
      <c r="O91" s="24" t="s">
        <v>37</v>
      </c>
      <c r="P91" s="24">
        <v>80</v>
      </c>
      <c r="Q91" s="72">
        <v>0.6</v>
      </c>
      <c r="R91" s="24">
        <v>0</v>
      </c>
      <c r="S91" s="24">
        <v>2.4</v>
      </c>
    </row>
    <row r="92" spans="1:19" ht="14.4" x14ac:dyDescent="0.3">
      <c r="A92" s="23" t="s">
        <v>417</v>
      </c>
      <c r="B92" s="23" t="s">
        <v>418</v>
      </c>
      <c r="C92" s="25" t="s">
        <v>606</v>
      </c>
      <c r="D92" s="23"/>
      <c r="E92" s="23"/>
      <c r="F92" s="23"/>
      <c r="G92" s="23"/>
      <c r="H92" s="23"/>
      <c r="I92" s="23">
        <v>1</v>
      </c>
      <c r="J92" s="23">
        <v>1</v>
      </c>
      <c r="K92" s="23" t="s">
        <v>125</v>
      </c>
      <c r="L92" s="24" t="s">
        <v>47</v>
      </c>
      <c r="M92" s="24" t="s">
        <v>69</v>
      </c>
      <c r="N92" s="24" t="s">
        <v>37</v>
      </c>
      <c r="O92" s="24" t="s">
        <v>37</v>
      </c>
      <c r="P92" s="24">
        <v>80</v>
      </c>
      <c r="Q92" s="72">
        <v>0.2</v>
      </c>
      <c r="R92" s="24">
        <v>0</v>
      </c>
      <c r="S92" s="24">
        <v>0.8</v>
      </c>
    </row>
    <row r="93" spans="1:19" ht="14.4" x14ac:dyDescent="0.3">
      <c r="A93" s="23" t="s">
        <v>306</v>
      </c>
      <c r="B93" s="23" t="s">
        <v>307</v>
      </c>
      <c r="C93" s="25" t="s">
        <v>606</v>
      </c>
      <c r="D93" s="23"/>
      <c r="E93" s="23"/>
      <c r="F93" s="23"/>
      <c r="G93" s="23"/>
      <c r="H93" s="23"/>
      <c r="I93" s="23">
        <v>1</v>
      </c>
      <c r="J93" s="23">
        <v>1</v>
      </c>
      <c r="K93" s="23" t="s">
        <v>172</v>
      </c>
      <c r="L93" s="24" t="s">
        <v>47</v>
      </c>
      <c r="M93" s="24" t="s">
        <v>69</v>
      </c>
      <c r="N93" s="24" t="s">
        <v>37</v>
      </c>
      <c r="O93" s="24" t="s">
        <v>37</v>
      </c>
      <c r="P93" s="24">
        <v>80</v>
      </c>
      <c r="Q93" s="72">
        <v>0.2</v>
      </c>
      <c r="R93" s="24">
        <v>0</v>
      </c>
      <c r="S93" s="24">
        <v>0.8</v>
      </c>
    </row>
    <row r="94" spans="1:19" ht="14.4" x14ac:dyDescent="0.3">
      <c r="A94" s="23" t="s">
        <v>427</v>
      </c>
      <c r="B94" s="23" t="s">
        <v>428</v>
      </c>
      <c r="C94" s="25" t="s">
        <v>606</v>
      </c>
      <c r="D94" s="23"/>
      <c r="E94" s="23"/>
      <c r="F94" s="23"/>
      <c r="G94" s="23"/>
      <c r="H94" s="23"/>
      <c r="I94" s="23">
        <v>1</v>
      </c>
      <c r="J94" s="23">
        <v>1</v>
      </c>
      <c r="K94" s="23" t="s">
        <v>95</v>
      </c>
      <c r="L94" s="24" t="s">
        <v>47</v>
      </c>
      <c r="M94" s="24" t="s">
        <v>69</v>
      </c>
      <c r="N94" s="24" t="s">
        <v>37</v>
      </c>
      <c r="O94" s="24" t="s">
        <v>37</v>
      </c>
      <c r="P94" s="24">
        <v>80</v>
      </c>
      <c r="Q94" s="72">
        <v>0.2</v>
      </c>
      <c r="R94" s="24">
        <v>0</v>
      </c>
      <c r="S94" s="24">
        <v>0.8</v>
      </c>
    </row>
    <row r="95" spans="1:19" ht="14.4" x14ac:dyDescent="0.3">
      <c r="A95" s="23" t="s">
        <v>318</v>
      </c>
      <c r="B95" s="23" t="s">
        <v>319</v>
      </c>
      <c r="C95" s="23" t="s">
        <v>290</v>
      </c>
      <c r="D95" s="23">
        <v>1</v>
      </c>
      <c r="E95" s="23"/>
      <c r="F95" s="23">
        <v>1</v>
      </c>
      <c r="G95" s="23"/>
      <c r="H95" s="23"/>
      <c r="I95" s="23"/>
      <c r="J95" s="23">
        <v>2</v>
      </c>
      <c r="K95" s="23" t="s">
        <v>125</v>
      </c>
      <c r="L95" s="24" t="s">
        <v>114</v>
      </c>
      <c r="M95" s="24" t="s">
        <v>74</v>
      </c>
      <c r="N95" s="24" t="s">
        <v>47</v>
      </c>
      <c r="O95" s="24" t="s">
        <v>74</v>
      </c>
      <c r="P95" s="24">
        <v>80</v>
      </c>
      <c r="Q95" s="24">
        <v>0.2</v>
      </c>
      <c r="R95" s="72">
        <v>0.2</v>
      </c>
      <c r="S95" s="24">
        <v>1.6</v>
      </c>
    </row>
    <row r="96" spans="1:19" ht="14.4" x14ac:dyDescent="0.3">
      <c r="A96" s="23" t="s">
        <v>1006</v>
      </c>
      <c r="B96" s="23" t="s">
        <v>1007</v>
      </c>
      <c r="C96" s="23" t="s">
        <v>290</v>
      </c>
      <c r="D96" s="23"/>
      <c r="E96" s="23"/>
      <c r="F96" s="23">
        <v>2</v>
      </c>
      <c r="G96" s="23"/>
      <c r="H96" s="23"/>
      <c r="I96" s="23">
        <v>1</v>
      </c>
      <c r="J96" s="23">
        <v>3</v>
      </c>
      <c r="K96" s="23" t="s">
        <v>985</v>
      </c>
      <c r="L96" s="24" t="s">
        <v>986</v>
      </c>
      <c r="M96" s="24" t="s">
        <v>74</v>
      </c>
      <c r="N96" s="24" t="s">
        <v>47</v>
      </c>
      <c r="O96" s="24" t="s">
        <v>74</v>
      </c>
      <c r="P96" s="24">
        <v>80</v>
      </c>
      <c r="Q96" s="24">
        <v>0.3</v>
      </c>
      <c r="R96" s="72">
        <v>0.3</v>
      </c>
      <c r="S96" s="24">
        <v>2.4</v>
      </c>
    </row>
    <row r="97" spans="17:18" x14ac:dyDescent="0.25">
      <c r="Q97" s="77">
        <f>SUM(R95:R96,Q2:Q94)</f>
        <v>34.949999999999989</v>
      </c>
      <c r="R97" s="77"/>
    </row>
  </sheetData>
  <mergeCells count="1">
    <mergeCell ref="Q97:R97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8"/>
  <sheetViews>
    <sheetView topLeftCell="A85"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441</v>
      </c>
      <c r="B2" s="5"/>
    </row>
    <row r="3" spans="1:2" x14ac:dyDescent="0.2">
      <c r="A3" s="4" t="s">
        <v>442</v>
      </c>
      <c r="B3" s="5">
        <v>0.05</v>
      </c>
    </row>
    <row r="4" spans="1:2" x14ac:dyDescent="0.2">
      <c r="A4" s="4" t="s">
        <v>5</v>
      </c>
      <c r="B4" s="5"/>
    </row>
    <row r="5" spans="1:2" x14ac:dyDescent="0.2">
      <c r="A5" s="4" t="s">
        <v>443</v>
      </c>
      <c r="B5" s="5">
        <v>10.61</v>
      </c>
    </row>
    <row r="6" spans="1:2" x14ac:dyDescent="0.2">
      <c r="A6" s="4" t="s">
        <v>444</v>
      </c>
      <c r="B6" s="5"/>
    </row>
    <row r="7" spans="1:2" x14ac:dyDescent="0.2">
      <c r="A7" s="4" t="s">
        <v>445</v>
      </c>
      <c r="B7" s="5">
        <v>5100</v>
      </c>
    </row>
    <row r="8" spans="1:2" x14ac:dyDescent="0.2">
      <c r="A8" s="4" t="s">
        <v>446</v>
      </c>
      <c r="B8" s="5">
        <v>5100</v>
      </c>
    </row>
    <row r="9" spans="1:2" x14ac:dyDescent="0.2">
      <c r="A9" s="4" t="s">
        <v>447</v>
      </c>
      <c r="B9" s="5">
        <v>5100</v>
      </c>
    </row>
    <row r="10" spans="1:2" x14ac:dyDescent="0.2">
      <c r="A10" s="4" t="s">
        <v>448</v>
      </c>
      <c r="B10" s="5"/>
    </row>
    <row r="11" spans="1:2" x14ac:dyDescent="0.2">
      <c r="A11" s="4" t="s">
        <v>449</v>
      </c>
      <c r="B11" s="5">
        <v>7500</v>
      </c>
    </row>
    <row r="12" spans="1:2" x14ac:dyDescent="0.2">
      <c r="A12" s="4" t="s">
        <v>450</v>
      </c>
      <c r="B12" s="5">
        <v>7500</v>
      </c>
    </row>
    <row r="13" spans="1:2" x14ac:dyDescent="0.2">
      <c r="A13" s="4" t="s">
        <v>6</v>
      </c>
      <c r="B13" s="5"/>
    </row>
    <row r="14" spans="1:2" x14ac:dyDescent="0.2">
      <c r="A14" s="4" t="s">
        <v>443</v>
      </c>
      <c r="B14" s="5">
        <v>502.79</v>
      </c>
    </row>
    <row r="15" spans="1:2" x14ac:dyDescent="0.2">
      <c r="A15" s="4" t="s">
        <v>7</v>
      </c>
      <c r="B15" s="5"/>
    </row>
    <row r="16" spans="1:2" x14ac:dyDescent="0.2">
      <c r="A16" s="4" t="s">
        <v>451</v>
      </c>
      <c r="B16" s="5">
        <v>19200</v>
      </c>
    </row>
    <row r="17" spans="1:2" x14ac:dyDescent="0.2">
      <c r="A17" s="4" t="s">
        <v>452</v>
      </c>
      <c r="B17" s="5"/>
    </row>
    <row r="18" spans="1:2" x14ac:dyDescent="0.2">
      <c r="A18" s="4" t="s">
        <v>453</v>
      </c>
      <c r="B18" s="5">
        <v>750</v>
      </c>
    </row>
    <row r="19" spans="1:2" x14ac:dyDescent="0.2">
      <c r="A19" s="4" t="s">
        <v>454</v>
      </c>
      <c r="B19" s="5"/>
    </row>
    <row r="20" spans="1:2" x14ac:dyDescent="0.2">
      <c r="A20" s="4" t="s">
        <v>455</v>
      </c>
      <c r="B20" s="5">
        <v>750</v>
      </c>
    </row>
    <row r="21" spans="1:2" x14ac:dyDescent="0.2">
      <c r="A21" s="4" t="s">
        <v>8</v>
      </c>
      <c r="B21" s="5"/>
    </row>
    <row r="22" spans="1:2" x14ac:dyDescent="0.2">
      <c r="A22" s="4" t="s">
        <v>456</v>
      </c>
      <c r="B22" s="5">
        <v>8687.2000000000007</v>
      </c>
    </row>
    <row r="23" spans="1:2" x14ac:dyDescent="0.2">
      <c r="A23" s="4" t="s">
        <v>443</v>
      </c>
      <c r="B23" s="5">
        <v>473.97</v>
      </c>
    </row>
    <row r="24" spans="1:2" x14ac:dyDescent="0.2">
      <c r="A24" s="4" t="s">
        <v>457</v>
      </c>
      <c r="B24" s="5">
        <v>8687.02</v>
      </c>
    </row>
    <row r="25" spans="1:2" x14ac:dyDescent="0.2">
      <c r="A25" s="4" t="s">
        <v>458</v>
      </c>
      <c r="B25" s="5"/>
    </row>
    <row r="26" spans="1:2" x14ac:dyDescent="0.2">
      <c r="A26" s="4" t="s">
        <v>459</v>
      </c>
      <c r="B26" s="5">
        <v>750</v>
      </c>
    </row>
    <row r="27" spans="1:2" x14ac:dyDescent="0.2">
      <c r="A27" s="4" t="s">
        <v>460</v>
      </c>
      <c r="B27" s="5"/>
    </row>
    <row r="28" spans="1:2" x14ac:dyDescent="0.2">
      <c r="A28" s="4" t="s">
        <v>461</v>
      </c>
      <c r="B28" s="5">
        <v>750</v>
      </c>
    </row>
    <row r="29" spans="1:2" x14ac:dyDescent="0.2">
      <c r="A29" s="4" t="s">
        <v>462</v>
      </c>
      <c r="B29" s="5"/>
    </row>
    <row r="30" spans="1:2" x14ac:dyDescent="0.2">
      <c r="A30" s="4" t="s">
        <v>463</v>
      </c>
      <c r="B30" s="5">
        <v>750</v>
      </c>
    </row>
    <row r="31" spans="1:2" x14ac:dyDescent="0.2">
      <c r="A31" s="4" t="s">
        <v>464</v>
      </c>
      <c r="B31" s="5"/>
    </row>
    <row r="32" spans="1:2" x14ac:dyDescent="0.2">
      <c r="A32" s="4" t="s">
        <v>465</v>
      </c>
      <c r="B32" s="5">
        <v>1000</v>
      </c>
    </row>
    <row r="33" spans="1:2" x14ac:dyDescent="0.2">
      <c r="A33" s="4" t="s">
        <v>466</v>
      </c>
      <c r="B33" s="5"/>
    </row>
    <row r="34" spans="1:2" x14ac:dyDescent="0.2">
      <c r="A34" s="4" t="s">
        <v>467</v>
      </c>
      <c r="B34" s="5">
        <v>600</v>
      </c>
    </row>
    <row r="35" spans="1:2" x14ac:dyDescent="0.2">
      <c r="A35" s="4" t="s">
        <v>468</v>
      </c>
      <c r="B35" s="5"/>
    </row>
    <row r="36" spans="1:2" x14ac:dyDescent="0.2">
      <c r="A36" s="4" t="s">
        <v>469</v>
      </c>
      <c r="B36" s="5">
        <v>750</v>
      </c>
    </row>
    <row r="37" spans="1:2" x14ac:dyDescent="0.2">
      <c r="A37" s="4" t="s">
        <v>470</v>
      </c>
      <c r="B37" s="5"/>
    </row>
    <row r="38" spans="1:2" x14ac:dyDescent="0.2">
      <c r="A38" s="4" t="s">
        <v>471</v>
      </c>
      <c r="B38" s="5">
        <v>430</v>
      </c>
    </row>
    <row r="39" spans="1:2" x14ac:dyDescent="0.2">
      <c r="A39" s="4" t="s">
        <v>472</v>
      </c>
      <c r="B39" s="5"/>
    </row>
    <row r="40" spans="1:2" x14ac:dyDescent="0.2">
      <c r="A40" s="4" t="s">
        <v>473</v>
      </c>
      <c r="B40" s="5">
        <v>2400</v>
      </c>
    </row>
    <row r="41" spans="1:2" x14ac:dyDescent="0.2">
      <c r="A41" s="4" t="s">
        <v>474</v>
      </c>
      <c r="B41" s="5"/>
    </row>
    <row r="42" spans="1:2" x14ac:dyDescent="0.2">
      <c r="A42" s="4" t="s">
        <v>475</v>
      </c>
      <c r="B42" s="5">
        <v>750</v>
      </c>
    </row>
    <row r="43" spans="1:2" x14ac:dyDescent="0.2">
      <c r="A43" s="4" t="s">
        <v>476</v>
      </c>
      <c r="B43" s="5"/>
    </row>
    <row r="44" spans="1:2" x14ac:dyDescent="0.2">
      <c r="A44" s="4" t="s">
        <v>477</v>
      </c>
      <c r="B44" s="5">
        <v>3750</v>
      </c>
    </row>
    <row r="45" spans="1:2" x14ac:dyDescent="0.2">
      <c r="A45" s="4" t="s">
        <v>478</v>
      </c>
      <c r="B45" s="5"/>
    </row>
    <row r="46" spans="1:2" x14ac:dyDescent="0.2">
      <c r="A46" s="4" t="s">
        <v>479</v>
      </c>
      <c r="B46" s="5">
        <v>750</v>
      </c>
    </row>
    <row r="47" spans="1:2" x14ac:dyDescent="0.2">
      <c r="A47" s="4" t="s">
        <v>480</v>
      </c>
      <c r="B47" s="5"/>
    </row>
    <row r="48" spans="1:2" x14ac:dyDescent="0.2">
      <c r="A48" s="4" t="s">
        <v>481</v>
      </c>
      <c r="B48" s="5">
        <v>4257</v>
      </c>
    </row>
    <row r="49" spans="1:2" x14ac:dyDescent="0.2">
      <c r="A49" s="4" t="s">
        <v>482</v>
      </c>
      <c r="B49" s="5"/>
    </row>
    <row r="50" spans="1:2" x14ac:dyDescent="0.2">
      <c r="A50" s="4" t="s">
        <v>483</v>
      </c>
      <c r="B50" s="5">
        <v>180</v>
      </c>
    </row>
    <row r="51" spans="1:2" x14ac:dyDescent="0.2">
      <c r="A51" s="4" t="s">
        <v>484</v>
      </c>
      <c r="B51" s="5">
        <v>120</v>
      </c>
    </row>
    <row r="52" spans="1:2" x14ac:dyDescent="0.2">
      <c r="A52" s="4" t="s">
        <v>485</v>
      </c>
      <c r="B52" s="5">
        <v>180</v>
      </c>
    </row>
    <row r="53" spans="1:2" x14ac:dyDescent="0.2">
      <c r="A53" s="4" t="s">
        <v>486</v>
      </c>
      <c r="B53" s="5">
        <v>180</v>
      </c>
    </row>
    <row r="54" spans="1:2" x14ac:dyDescent="0.2">
      <c r="A54" s="4" t="s">
        <v>487</v>
      </c>
      <c r="B54" s="5">
        <v>180</v>
      </c>
    </row>
    <row r="55" spans="1:2" x14ac:dyDescent="0.2">
      <c r="A55" s="4" t="s">
        <v>488</v>
      </c>
      <c r="B55" s="5">
        <v>180</v>
      </c>
    </row>
    <row r="56" spans="1:2" x14ac:dyDescent="0.2">
      <c r="A56" s="4" t="s">
        <v>489</v>
      </c>
      <c r="B56" s="5">
        <v>180</v>
      </c>
    </row>
    <row r="57" spans="1:2" x14ac:dyDescent="0.2">
      <c r="A57" s="4" t="s">
        <v>490</v>
      </c>
      <c r="B57" s="5">
        <v>60</v>
      </c>
    </row>
    <row r="58" spans="1:2" x14ac:dyDescent="0.2">
      <c r="A58" s="4" t="s">
        <v>491</v>
      </c>
      <c r="B58" s="5">
        <v>120</v>
      </c>
    </row>
    <row r="59" spans="1:2" x14ac:dyDescent="0.2">
      <c r="A59" s="4" t="s">
        <v>492</v>
      </c>
      <c r="B59" s="5">
        <v>120</v>
      </c>
    </row>
    <row r="60" spans="1:2" x14ac:dyDescent="0.2">
      <c r="A60" s="4" t="s">
        <v>493</v>
      </c>
      <c r="B60" s="5">
        <v>120</v>
      </c>
    </row>
    <row r="61" spans="1:2" x14ac:dyDescent="0.2">
      <c r="A61" s="4" t="s">
        <v>494</v>
      </c>
      <c r="B61" s="5">
        <v>60</v>
      </c>
    </row>
    <row r="62" spans="1:2" x14ac:dyDescent="0.2">
      <c r="A62" s="4" t="s">
        <v>495</v>
      </c>
      <c r="B62" s="5">
        <v>120</v>
      </c>
    </row>
    <row r="63" spans="1:2" x14ac:dyDescent="0.2">
      <c r="A63" s="4" t="s">
        <v>496</v>
      </c>
      <c r="B63" s="5">
        <v>60</v>
      </c>
    </row>
    <row r="64" spans="1:2" x14ac:dyDescent="0.2">
      <c r="A64" s="4" t="s">
        <v>497</v>
      </c>
      <c r="B64" s="5">
        <v>60</v>
      </c>
    </row>
    <row r="65" spans="1:2" x14ac:dyDescent="0.2">
      <c r="A65" s="4" t="s">
        <v>498</v>
      </c>
      <c r="B65" s="5">
        <v>120</v>
      </c>
    </row>
    <row r="66" spans="1:2" x14ac:dyDescent="0.2">
      <c r="A66" s="4" t="s">
        <v>499</v>
      </c>
      <c r="B66" s="5">
        <v>60</v>
      </c>
    </row>
    <row r="67" spans="1:2" x14ac:dyDescent="0.2">
      <c r="A67" s="4" t="s">
        <v>500</v>
      </c>
      <c r="B67" s="5">
        <v>120</v>
      </c>
    </row>
    <row r="68" spans="1:2" x14ac:dyDescent="0.2">
      <c r="A68" s="4" t="s">
        <v>501</v>
      </c>
      <c r="B68" s="5">
        <v>60</v>
      </c>
    </row>
    <row r="69" spans="1:2" x14ac:dyDescent="0.2">
      <c r="A69" s="4" t="s">
        <v>502</v>
      </c>
      <c r="B69" s="5">
        <v>120</v>
      </c>
    </row>
    <row r="70" spans="1:2" x14ac:dyDescent="0.2">
      <c r="A70" s="4" t="s">
        <v>503</v>
      </c>
      <c r="B70" s="5">
        <v>60</v>
      </c>
    </row>
    <row r="71" spans="1:2" x14ac:dyDescent="0.2">
      <c r="A71" s="4" t="s">
        <v>504</v>
      </c>
      <c r="B71" s="5">
        <v>120</v>
      </c>
    </row>
    <row r="72" spans="1:2" x14ac:dyDescent="0.2">
      <c r="A72" s="4" t="s">
        <v>505</v>
      </c>
      <c r="B72" s="5">
        <v>120</v>
      </c>
    </row>
    <row r="73" spans="1:2" x14ac:dyDescent="0.2">
      <c r="A73" s="4" t="s">
        <v>506</v>
      </c>
      <c r="B73" s="5">
        <v>120</v>
      </c>
    </row>
    <row r="74" spans="1:2" x14ac:dyDescent="0.2">
      <c r="A74" s="4" t="s">
        <v>507</v>
      </c>
      <c r="B74" s="5">
        <v>120</v>
      </c>
    </row>
    <row r="75" spans="1:2" x14ac:dyDescent="0.2">
      <c r="A75" s="4" t="s">
        <v>508</v>
      </c>
      <c r="B75" s="5">
        <v>120</v>
      </c>
    </row>
    <row r="76" spans="1:2" x14ac:dyDescent="0.2">
      <c r="A76" s="4" t="s">
        <v>509</v>
      </c>
      <c r="B76" s="5">
        <v>120</v>
      </c>
    </row>
    <row r="77" spans="1:2" x14ac:dyDescent="0.2">
      <c r="A77" s="4" t="s">
        <v>510</v>
      </c>
      <c r="B77" s="5">
        <v>60</v>
      </c>
    </row>
    <row r="78" spans="1:2" x14ac:dyDescent="0.2">
      <c r="A78" s="4" t="s">
        <v>511</v>
      </c>
      <c r="B78" s="5">
        <v>120</v>
      </c>
    </row>
    <row r="79" spans="1:2" x14ac:dyDescent="0.2">
      <c r="A79" s="4" t="s">
        <v>512</v>
      </c>
      <c r="B79" s="5">
        <v>180</v>
      </c>
    </row>
    <row r="80" spans="1:2" x14ac:dyDescent="0.2">
      <c r="A80" s="4" t="s">
        <v>513</v>
      </c>
      <c r="B80" s="5">
        <v>1380</v>
      </c>
    </row>
    <row r="81" spans="1:2" x14ac:dyDescent="0.2">
      <c r="A81" s="4" t="s">
        <v>514</v>
      </c>
      <c r="B81" s="5">
        <v>180</v>
      </c>
    </row>
    <row r="82" spans="1:2" x14ac:dyDescent="0.2">
      <c r="A82" s="4" t="s">
        <v>515</v>
      </c>
      <c r="B82" s="5">
        <v>120</v>
      </c>
    </row>
    <row r="83" spans="1:2" x14ac:dyDescent="0.2">
      <c r="A83" s="4" t="s">
        <v>516</v>
      </c>
      <c r="B83" s="5">
        <v>120</v>
      </c>
    </row>
    <row r="84" spans="1:2" x14ac:dyDescent="0.2">
      <c r="A84" s="4" t="s">
        <v>517</v>
      </c>
      <c r="B84" s="5">
        <v>60</v>
      </c>
    </row>
    <row r="85" spans="1:2" x14ac:dyDescent="0.2">
      <c r="A85" s="4" t="s">
        <v>518</v>
      </c>
      <c r="B85" s="5">
        <v>120</v>
      </c>
    </row>
    <row r="86" spans="1:2" x14ac:dyDescent="0.2">
      <c r="A86" s="4" t="s">
        <v>519</v>
      </c>
      <c r="B86" s="5">
        <v>250</v>
      </c>
    </row>
    <row r="87" spans="1:2" x14ac:dyDescent="0.2">
      <c r="A87" s="4" t="s">
        <v>520</v>
      </c>
      <c r="B87" s="5">
        <v>3250</v>
      </c>
    </row>
    <row r="88" spans="1:2" x14ac:dyDescent="0.2">
      <c r="A88" s="4" t="s">
        <v>521</v>
      </c>
      <c r="B88" s="5"/>
    </row>
    <row r="89" spans="1:2" x14ac:dyDescent="0.2">
      <c r="A89" s="4" t="s">
        <v>522</v>
      </c>
      <c r="B89" s="5">
        <v>964.05</v>
      </c>
    </row>
    <row r="90" spans="1:2" x14ac:dyDescent="0.2">
      <c r="A90" s="4" t="s">
        <v>523</v>
      </c>
      <c r="B90" s="5">
        <v>1337.52</v>
      </c>
    </row>
    <row r="91" spans="1:2" x14ac:dyDescent="0.2">
      <c r="A91" s="4" t="s">
        <v>9</v>
      </c>
      <c r="B91" s="5"/>
    </row>
    <row r="92" spans="1:2" x14ac:dyDescent="0.2">
      <c r="A92" s="4" t="s">
        <v>524</v>
      </c>
      <c r="B92" s="5">
        <v>13500</v>
      </c>
    </row>
    <row r="93" spans="1:2" x14ac:dyDescent="0.2">
      <c r="A93" s="4" t="s">
        <v>10</v>
      </c>
      <c r="B93" s="5"/>
    </row>
    <row r="94" spans="1:2" x14ac:dyDescent="0.2">
      <c r="A94" s="4" t="s">
        <v>525</v>
      </c>
      <c r="B94" s="5">
        <v>8820</v>
      </c>
    </row>
    <row r="95" spans="1:2" x14ac:dyDescent="0.2">
      <c r="A95" s="4" t="s">
        <v>11</v>
      </c>
      <c r="B95" s="5"/>
    </row>
    <row r="96" spans="1:2" x14ac:dyDescent="0.2">
      <c r="A96" s="4" t="s">
        <v>526</v>
      </c>
      <c r="B96" s="5">
        <v>31012.3</v>
      </c>
    </row>
    <row r="97" spans="1:2" x14ac:dyDescent="0.2">
      <c r="A97" s="4" t="s">
        <v>443</v>
      </c>
      <c r="B97" s="5">
        <v>18.96</v>
      </c>
    </row>
    <row r="98" spans="1:2" x14ac:dyDescent="0.2">
      <c r="A98" s="4" t="s">
        <v>12</v>
      </c>
      <c r="B98" s="5"/>
    </row>
    <row r="99" spans="1:2" x14ac:dyDescent="0.2">
      <c r="A99" s="4" t="s">
        <v>527</v>
      </c>
      <c r="B99" s="5">
        <v>12045</v>
      </c>
    </row>
    <row r="100" spans="1:2" x14ac:dyDescent="0.2">
      <c r="A100" s="4" t="s">
        <v>13</v>
      </c>
      <c r="B100" s="5"/>
    </row>
    <row r="101" spans="1:2" x14ac:dyDescent="0.2">
      <c r="A101" s="4" t="s">
        <v>528</v>
      </c>
      <c r="B101" s="5">
        <v>20500</v>
      </c>
    </row>
    <row r="102" spans="1:2" x14ac:dyDescent="0.2">
      <c r="A102" s="4" t="s">
        <v>529</v>
      </c>
      <c r="B102" s="5"/>
    </row>
    <row r="103" spans="1:2" x14ac:dyDescent="0.2">
      <c r="A103" s="4" t="s">
        <v>530</v>
      </c>
      <c r="B103" s="5">
        <v>18000</v>
      </c>
    </row>
    <row r="104" spans="1:2" x14ac:dyDescent="0.2">
      <c r="A104" s="4" t="s">
        <v>531</v>
      </c>
      <c r="B104" s="5"/>
    </row>
    <row r="105" spans="1:2" x14ac:dyDescent="0.2">
      <c r="A105" s="4" t="s">
        <v>532</v>
      </c>
      <c r="B105" s="5">
        <v>5950</v>
      </c>
    </row>
    <row r="106" spans="1:2" x14ac:dyDescent="0.2">
      <c r="A106" s="4" t="s">
        <v>533</v>
      </c>
      <c r="B106" s="5"/>
    </row>
    <row r="107" spans="1:2" x14ac:dyDescent="0.2">
      <c r="A107" s="4" t="s">
        <v>534</v>
      </c>
      <c r="B107" s="5">
        <v>73488.149999999994</v>
      </c>
    </row>
    <row r="108" spans="1:2" x14ac:dyDescent="0.2">
      <c r="A108" s="4" t="s">
        <v>535</v>
      </c>
      <c r="B108" s="5"/>
    </row>
    <row r="109" spans="1:2" x14ac:dyDescent="0.2">
      <c r="A109" s="4" t="s">
        <v>536</v>
      </c>
      <c r="B109" s="5">
        <v>47500</v>
      </c>
    </row>
    <row r="110" spans="1:2" x14ac:dyDescent="0.2">
      <c r="A110" s="4" t="s">
        <v>537</v>
      </c>
      <c r="B110" s="5">
        <v>22800</v>
      </c>
    </row>
    <row r="111" spans="1:2" x14ac:dyDescent="0.2">
      <c r="A111" s="4" t="s">
        <v>538</v>
      </c>
      <c r="B111" s="5"/>
    </row>
    <row r="112" spans="1:2" x14ac:dyDescent="0.2">
      <c r="A112" s="4" t="s">
        <v>539</v>
      </c>
      <c r="B112" s="5">
        <v>27650</v>
      </c>
    </row>
    <row r="113" spans="1:2" x14ac:dyDescent="0.2">
      <c r="A113" s="4" t="s">
        <v>540</v>
      </c>
      <c r="B113" s="5">
        <v>13272</v>
      </c>
    </row>
    <row r="114" spans="1:2" x14ac:dyDescent="0.2">
      <c r="A114" s="4" t="s">
        <v>541</v>
      </c>
      <c r="B114" s="5"/>
    </row>
    <row r="115" spans="1:2" x14ac:dyDescent="0.2">
      <c r="A115" s="4" t="s">
        <v>542</v>
      </c>
      <c r="B115" s="5">
        <v>20000</v>
      </c>
    </row>
    <row r="116" spans="1:2" x14ac:dyDescent="0.2">
      <c r="A116" s="4" t="s">
        <v>543</v>
      </c>
      <c r="B116" s="5"/>
    </row>
    <row r="117" spans="1:2" x14ac:dyDescent="0.2">
      <c r="A117" s="4" t="s">
        <v>443</v>
      </c>
      <c r="B117" s="5">
        <v>690.6</v>
      </c>
    </row>
    <row r="118" spans="1:2" x14ac:dyDescent="0.2">
      <c r="A118" s="6" t="s">
        <v>2</v>
      </c>
      <c r="B118" s="7">
        <f>SUM(B3:B117)</f>
        <v>412867.22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D189-BEB8-438F-B933-F0F5E85155A5}">
  <dimension ref="A1:B106"/>
  <sheetViews>
    <sheetView topLeftCell="B80" workbookViewId="0">
      <selection activeCell="A106" sqref="A106"/>
    </sheetView>
  </sheetViews>
  <sheetFormatPr baseColWidth="10" defaultRowHeight="14.4" x14ac:dyDescent="0.3"/>
  <cols>
    <col min="1" max="1" width="255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26" t="s">
        <v>3</v>
      </c>
      <c r="B2" s="27"/>
    </row>
    <row r="3" spans="1:2" x14ac:dyDescent="0.3">
      <c r="A3" s="28" t="s">
        <v>617</v>
      </c>
      <c r="B3">
        <v>1800</v>
      </c>
    </row>
    <row r="4" spans="1:2" x14ac:dyDescent="0.3">
      <c r="A4" s="26" t="s">
        <v>4</v>
      </c>
      <c r="B4" s="27"/>
    </row>
    <row r="5" spans="1:2" x14ac:dyDescent="0.3">
      <c r="A5" s="28" t="s">
        <v>618</v>
      </c>
      <c r="B5">
        <v>7303.21</v>
      </c>
    </row>
    <row r="6" spans="1:2" x14ac:dyDescent="0.3">
      <c r="A6" s="28" t="s">
        <v>619</v>
      </c>
      <c r="B6">
        <v>10954.81</v>
      </c>
    </row>
    <row r="7" spans="1:2" x14ac:dyDescent="0.3">
      <c r="A7" s="26" t="s">
        <v>5</v>
      </c>
      <c r="B7" s="27"/>
    </row>
    <row r="8" spans="1:2" x14ac:dyDescent="0.3">
      <c r="A8" s="28" t="s">
        <v>620</v>
      </c>
      <c r="B8">
        <v>160.59</v>
      </c>
    </row>
    <row r="9" spans="1:2" x14ac:dyDescent="0.3">
      <c r="A9" s="26" t="s">
        <v>444</v>
      </c>
      <c r="B9" s="27"/>
    </row>
    <row r="10" spans="1:2" x14ac:dyDescent="0.3">
      <c r="A10" s="28" t="s">
        <v>621</v>
      </c>
      <c r="B10">
        <v>4488</v>
      </c>
    </row>
    <row r="11" spans="1:2" x14ac:dyDescent="0.3">
      <c r="A11" s="28" t="s">
        <v>622</v>
      </c>
      <c r="B11">
        <v>4488</v>
      </c>
    </row>
    <row r="12" spans="1:2" x14ac:dyDescent="0.3">
      <c r="A12" s="26" t="s">
        <v>6</v>
      </c>
      <c r="B12" s="27"/>
    </row>
    <row r="13" spans="1:2" x14ac:dyDescent="0.3">
      <c r="A13" s="28" t="s">
        <v>623</v>
      </c>
      <c r="B13">
        <v>9240</v>
      </c>
    </row>
    <row r="14" spans="1:2" x14ac:dyDescent="0.3">
      <c r="A14" s="28" t="s">
        <v>624</v>
      </c>
      <c r="B14">
        <v>9240</v>
      </c>
    </row>
    <row r="15" spans="1:2" x14ac:dyDescent="0.3">
      <c r="A15" s="26" t="s">
        <v>625</v>
      </c>
      <c r="B15" s="27"/>
    </row>
    <row r="16" spans="1:2" x14ac:dyDescent="0.3">
      <c r="A16" s="28" t="s">
        <v>626</v>
      </c>
      <c r="B16">
        <v>334.08</v>
      </c>
    </row>
    <row r="17" spans="1:2" x14ac:dyDescent="0.3">
      <c r="A17" s="26" t="s">
        <v>7</v>
      </c>
      <c r="B17" s="27"/>
    </row>
    <row r="18" spans="1:2" x14ac:dyDescent="0.3">
      <c r="A18" s="28" t="s">
        <v>627</v>
      </c>
      <c r="B18">
        <v>10560</v>
      </c>
    </row>
    <row r="19" spans="1:2" x14ac:dyDescent="0.3">
      <c r="A19" s="26" t="s">
        <v>472</v>
      </c>
      <c r="B19" s="27"/>
    </row>
    <row r="20" spans="1:2" x14ac:dyDescent="0.3">
      <c r="A20" s="28" t="s">
        <v>628</v>
      </c>
      <c r="B20">
        <v>3660.8</v>
      </c>
    </row>
    <row r="21" spans="1:2" x14ac:dyDescent="0.3">
      <c r="A21" s="28" t="s">
        <v>629</v>
      </c>
      <c r="B21">
        <v>5632</v>
      </c>
    </row>
    <row r="22" spans="1:2" x14ac:dyDescent="0.3">
      <c r="A22" s="28" t="s">
        <v>630</v>
      </c>
      <c r="B22">
        <v>5350.4</v>
      </c>
    </row>
    <row r="23" spans="1:2" x14ac:dyDescent="0.3">
      <c r="A23" s="28" t="s">
        <v>631</v>
      </c>
      <c r="B23">
        <v>5632</v>
      </c>
    </row>
    <row r="24" spans="1:2" x14ac:dyDescent="0.3">
      <c r="A24" s="28" t="s">
        <v>632</v>
      </c>
      <c r="B24">
        <v>5068</v>
      </c>
    </row>
    <row r="25" spans="1:2" x14ac:dyDescent="0.3">
      <c r="A25" s="28" t="s">
        <v>633</v>
      </c>
      <c r="B25">
        <v>4153.6000000000004</v>
      </c>
    </row>
    <row r="26" spans="1:2" x14ac:dyDescent="0.3">
      <c r="A26" s="26" t="s">
        <v>634</v>
      </c>
      <c r="B26" s="27"/>
    </row>
    <row r="27" spans="1:2" x14ac:dyDescent="0.3">
      <c r="A27" s="28" t="s">
        <v>635</v>
      </c>
      <c r="B27">
        <v>176</v>
      </c>
    </row>
    <row r="28" spans="1:2" x14ac:dyDescent="0.3">
      <c r="A28" s="26" t="s">
        <v>476</v>
      </c>
      <c r="B28" s="27"/>
    </row>
    <row r="29" spans="1:2" x14ac:dyDescent="0.3">
      <c r="A29" s="28" t="s">
        <v>636</v>
      </c>
      <c r="B29">
        <v>3300</v>
      </c>
    </row>
    <row r="30" spans="1:2" x14ac:dyDescent="0.3">
      <c r="A30" s="26" t="s">
        <v>637</v>
      </c>
      <c r="B30" s="27"/>
    </row>
    <row r="31" spans="1:2" x14ac:dyDescent="0.3">
      <c r="A31" s="28" t="s">
        <v>638</v>
      </c>
      <c r="B31">
        <v>660</v>
      </c>
    </row>
    <row r="32" spans="1:2" x14ac:dyDescent="0.3">
      <c r="A32" s="26" t="s">
        <v>639</v>
      </c>
      <c r="B32" s="27"/>
    </row>
    <row r="33" spans="1:2" x14ac:dyDescent="0.3">
      <c r="A33" s="28" t="s">
        <v>640</v>
      </c>
      <c r="B33">
        <v>176</v>
      </c>
    </row>
    <row r="34" spans="1:2" x14ac:dyDescent="0.3">
      <c r="A34" s="26" t="s">
        <v>641</v>
      </c>
      <c r="B34" s="27"/>
    </row>
    <row r="35" spans="1:2" x14ac:dyDescent="0.3">
      <c r="A35" s="28" t="s">
        <v>642</v>
      </c>
      <c r="B35">
        <v>7696.61</v>
      </c>
    </row>
    <row r="36" spans="1:2" x14ac:dyDescent="0.3">
      <c r="A36" s="28" t="s">
        <v>643</v>
      </c>
      <c r="B36">
        <v>8796.1299999999992</v>
      </c>
    </row>
    <row r="37" spans="1:2" x14ac:dyDescent="0.3">
      <c r="A37" s="26" t="s">
        <v>644</v>
      </c>
      <c r="B37" s="27"/>
    </row>
    <row r="38" spans="1:2" x14ac:dyDescent="0.3">
      <c r="A38" s="28" t="s">
        <v>645</v>
      </c>
      <c r="B38">
        <v>26400</v>
      </c>
    </row>
    <row r="39" spans="1:2" x14ac:dyDescent="0.3">
      <c r="A39" s="28" t="s">
        <v>646</v>
      </c>
      <c r="B39">
        <v>14700.4</v>
      </c>
    </row>
    <row r="40" spans="1:2" x14ac:dyDescent="0.3">
      <c r="A40" s="26" t="s">
        <v>647</v>
      </c>
      <c r="B40" s="27"/>
    </row>
    <row r="41" spans="1:2" x14ac:dyDescent="0.3">
      <c r="A41" s="28" t="s">
        <v>648</v>
      </c>
      <c r="B41">
        <v>132</v>
      </c>
    </row>
    <row r="42" spans="1:2" x14ac:dyDescent="0.3">
      <c r="A42" s="26" t="s">
        <v>649</v>
      </c>
      <c r="B42" s="27"/>
    </row>
    <row r="43" spans="1:2" x14ac:dyDescent="0.3">
      <c r="A43" s="28" t="s">
        <v>650</v>
      </c>
      <c r="B43">
        <v>132</v>
      </c>
    </row>
    <row r="44" spans="1:2" x14ac:dyDescent="0.3">
      <c r="A44" s="26" t="s">
        <v>651</v>
      </c>
      <c r="B44" s="27"/>
    </row>
    <row r="45" spans="1:2" x14ac:dyDescent="0.3">
      <c r="A45" s="28" t="s">
        <v>652</v>
      </c>
      <c r="B45">
        <v>176</v>
      </c>
    </row>
    <row r="46" spans="1:2" x14ac:dyDescent="0.3">
      <c r="A46" s="26" t="s">
        <v>653</v>
      </c>
      <c r="B46" s="27"/>
    </row>
    <row r="47" spans="1:2" x14ac:dyDescent="0.3">
      <c r="A47" s="28" t="s">
        <v>654</v>
      </c>
      <c r="B47">
        <v>176</v>
      </c>
    </row>
    <row r="48" spans="1:2" x14ac:dyDescent="0.3">
      <c r="A48" s="26" t="s">
        <v>655</v>
      </c>
      <c r="B48" s="27"/>
    </row>
    <row r="49" spans="1:2" x14ac:dyDescent="0.3">
      <c r="A49" s="28" t="s">
        <v>656</v>
      </c>
      <c r="B49">
        <v>176</v>
      </c>
    </row>
    <row r="50" spans="1:2" x14ac:dyDescent="0.3">
      <c r="A50" s="26" t="s">
        <v>657</v>
      </c>
      <c r="B50" s="27"/>
    </row>
    <row r="51" spans="1:2" x14ac:dyDescent="0.3">
      <c r="A51" s="28" t="s">
        <v>658</v>
      </c>
      <c r="B51">
        <v>176</v>
      </c>
    </row>
    <row r="52" spans="1:2" x14ac:dyDescent="0.3">
      <c r="A52" s="26" t="s">
        <v>659</v>
      </c>
      <c r="B52" s="27"/>
    </row>
    <row r="53" spans="1:2" x14ac:dyDescent="0.3">
      <c r="A53" s="28" t="s">
        <v>660</v>
      </c>
      <c r="B53">
        <v>4180</v>
      </c>
    </row>
    <row r="54" spans="1:2" x14ac:dyDescent="0.3">
      <c r="A54" s="28" t="s">
        <v>661</v>
      </c>
      <c r="B54">
        <v>4180</v>
      </c>
    </row>
    <row r="55" spans="1:2" x14ac:dyDescent="0.3">
      <c r="A55" s="26" t="s">
        <v>662</v>
      </c>
      <c r="B55" s="27"/>
    </row>
    <row r="56" spans="1:2" x14ac:dyDescent="0.3">
      <c r="A56" s="28" t="s">
        <v>663</v>
      </c>
      <c r="B56">
        <v>176</v>
      </c>
    </row>
    <row r="57" spans="1:2" x14ac:dyDescent="0.3">
      <c r="A57" s="26" t="s">
        <v>664</v>
      </c>
      <c r="B57" s="27"/>
    </row>
    <row r="58" spans="1:2" x14ac:dyDescent="0.3">
      <c r="A58" s="28" t="s">
        <v>665</v>
      </c>
      <c r="B58">
        <v>176</v>
      </c>
    </row>
    <row r="59" spans="1:2" x14ac:dyDescent="0.3">
      <c r="A59" s="26" t="s">
        <v>666</v>
      </c>
      <c r="B59" s="27"/>
    </row>
    <row r="60" spans="1:2" x14ac:dyDescent="0.3">
      <c r="A60" s="28" t="s">
        <v>667</v>
      </c>
      <c r="B60">
        <v>4400</v>
      </c>
    </row>
    <row r="61" spans="1:2" x14ac:dyDescent="0.3">
      <c r="A61" s="26" t="s">
        <v>668</v>
      </c>
      <c r="B61" s="27"/>
    </row>
    <row r="62" spans="1:2" x14ac:dyDescent="0.3">
      <c r="A62" s="28" t="s">
        <v>669</v>
      </c>
      <c r="B62">
        <v>88</v>
      </c>
    </row>
    <row r="63" spans="1:2" x14ac:dyDescent="0.3">
      <c r="A63" s="26" t="s">
        <v>670</v>
      </c>
      <c r="B63" s="27"/>
    </row>
    <row r="64" spans="1:2" x14ac:dyDescent="0.3">
      <c r="A64" s="28" t="s">
        <v>671</v>
      </c>
      <c r="B64">
        <v>176</v>
      </c>
    </row>
    <row r="65" spans="1:2" x14ac:dyDescent="0.3">
      <c r="A65" s="26" t="s">
        <v>672</v>
      </c>
      <c r="B65" s="27"/>
    </row>
    <row r="66" spans="1:2" x14ac:dyDescent="0.3">
      <c r="A66" s="28" t="s">
        <v>673</v>
      </c>
      <c r="B66">
        <v>176</v>
      </c>
    </row>
    <row r="67" spans="1:2" x14ac:dyDescent="0.3">
      <c r="A67" s="26" t="s">
        <v>674</v>
      </c>
      <c r="B67" s="27"/>
    </row>
    <row r="68" spans="1:2" x14ac:dyDescent="0.3">
      <c r="A68" s="28" t="s">
        <v>675</v>
      </c>
      <c r="B68">
        <v>176</v>
      </c>
    </row>
    <row r="69" spans="1:2" x14ac:dyDescent="0.3">
      <c r="A69" s="26" t="s">
        <v>676</v>
      </c>
      <c r="B69" s="27"/>
    </row>
    <row r="70" spans="1:2" x14ac:dyDescent="0.3">
      <c r="A70" s="28" t="s">
        <v>677</v>
      </c>
      <c r="B70">
        <v>308</v>
      </c>
    </row>
    <row r="71" spans="1:2" x14ac:dyDescent="0.3">
      <c r="A71" s="26" t="s">
        <v>678</v>
      </c>
      <c r="B71" s="27"/>
    </row>
    <row r="72" spans="1:2" x14ac:dyDescent="0.3">
      <c r="A72" s="28" t="s">
        <v>679</v>
      </c>
      <c r="B72">
        <v>308</v>
      </c>
    </row>
    <row r="73" spans="1:2" x14ac:dyDescent="0.3">
      <c r="A73" s="26" t="s">
        <v>680</v>
      </c>
      <c r="B73" s="27"/>
    </row>
    <row r="74" spans="1:2" x14ac:dyDescent="0.3">
      <c r="A74" s="28" t="s">
        <v>681</v>
      </c>
      <c r="B74">
        <v>660</v>
      </c>
    </row>
    <row r="75" spans="1:2" x14ac:dyDescent="0.3">
      <c r="A75" s="26" t="s">
        <v>682</v>
      </c>
      <c r="B75" s="27"/>
    </row>
    <row r="76" spans="1:2" x14ac:dyDescent="0.3">
      <c r="A76" s="28" t="s">
        <v>683</v>
      </c>
      <c r="B76">
        <v>3732.08</v>
      </c>
    </row>
    <row r="77" spans="1:2" x14ac:dyDescent="0.3">
      <c r="A77" s="26" t="s">
        <v>684</v>
      </c>
      <c r="B77" s="27"/>
    </row>
    <row r="78" spans="1:2" x14ac:dyDescent="0.3">
      <c r="A78" s="28" t="s">
        <v>685</v>
      </c>
      <c r="B78">
        <v>3732.08</v>
      </c>
    </row>
    <row r="79" spans="1:2" x14ac:dyDescent="0.3">
      <c r="A79" s="26" t="s">
        <v>686</v>
      </c>
      <c r="B79" s="27"/>
    </row>
    <row r="80" spans="1:2" x14ac:dyDescent="0.3">
      <c r="A80" s="28" t="s">
        <v>687</v>
      </c>
      <c r="B80">
        <v>3732.08</v>
      </c>
    </row>
    <row r="81" spans="1:2" x14ac:dyDescent="0.3">
      <c r="A81" s="26" t="s">
        <v>688</v>
      </c>
      <c r="B81" s="27"/>
    </row>
    <row r="82" spans="1:2" x14ac:dyDescent="0.3">
      <c r="A82" s="28" t="s">
        <v>689</v>
      </c>
      <c r="B82">
        <v>11339.33</v>
      </c>
    </row>
    <row r="83" spans="1:2" x14ac:dyDescent="0.3">
      <c r="A83" s="26" t="s">
        <v>11</v>
      </c>
      <c r="B83" s="27"/>
    </row>
    <row r="84" spans="1:2" x14ac:dyDescent="0.3">
      <c r="A84" s="28" t="s">
        <v>690</v>
      </c>
      <c r="B84">
        <v>461.13</v>
      </c>
    </row>
    <row r="85" spans="1:2" x14ac:dyDescent="0.3">
      <c r="A85" s="26" t="s">
        <v>12</v>
      </c>
      <c r="B85" s="27"/>
    </row>
    <row r="86" spans="1:2" x14ac:dyDescent="0.3">
      <c r="A86" s="28" t="s">
        <v>691</v>
      </c>
      <c r="B86">
        <v>24090</v>
      </c>
    </row>
    <row r="87" spans="1:2" x14ac:dyDescent="0.3">
      <c r="A87" s="26" t="s">
        <v>13</v>
      </c>
      <c r="B87" s="27"/>
    </row>
    <row r="88" spans="1:2" x14ac:dyDescent="0.3">
      <c r="A88" s="28" t="s">
        <v>692</v>
      </c>
      <c r="B88">
        <v>41000</v>
      </c>
    </row>
    <row r="89" spans="1:2" x14ac:dyDescent="0.3">
      <c r="A89" s="26" t="s">
        <v>533</v>
      </c>
      <c r="B89" s="27"/>
    </row>
    <row r="90" spans="1:2" x14ac:dyDescent="0.3">
      <c r="A90" s="28" t="s">
        <v>693</v>
      </c>
      <c r="B90">
        <v>84996.17</v>
      </c>
    </row>
    <row r="91" spans="1:2" x14ac:dyDescent="0.3">
      <c r="A91" s="26" t="s">
        <v>535</v>
      </c>
      <c r="B91" s="27"/>
    </row>
    <row r="92" spans="1:2" x14ac:dyDescent="0.3">
      <c r="A92" s="28" t="s">
        <v>694</v>
      </c>
      <c r="B92">
        <v>4750</v>
      </c>
    </row>
    <row r="93" spans="1:2" x14ac:dyDescent="0.3">
      <c r="A93" s="26" t="s">
        <v>538</v>
      </c>
      <c r="B93" s="27"/>
    </row>
    <row r="94" spans="1:2" x14ac:dyDescent="0.3">
      <c r="A94" s="28" t="s">
        <v>695</v>
      </c>
      <c r="B94">
        <v>2765</v>
      </c>
    </row>
    <row r="95" spans="1:2" x14ac:dyDescent="0.3">
      <c r="A95" s="26" t="s">
        <v>541</v>
      </c>
      <c r="B95" s="27"/>
    </row>
    <row r="96" spans="1:2" x14ac:dyDescent="0.3">
      <c r="A96" s="28" t="s">
        <v>696</v>
      </c>
      <c r="B96">
        <v>20000</v>
      </c>
    </row>
    <row r="97" spans="1:2" x14ac:dyDescent="0.3">
      <c r="A97" s="26" t="s">
        <v>697</v>
      </c>
      <c r="B97" s="27"/>
    </row>
    <row r="98" spans="1:2" x14ac:dyDescent="0.3">
      <c r="A98" s="28" t="s">
        <v>698</v>
      </c>
      <c r="B98">
        <v>6000</v>
      </c>
    </row>
    <row r="99" spans="1:2" x14ac:dyDescent="0.3">
      <c r="A99" s="26" t="s">
        <v>699</v>
      </c>
      <c r="B99" s="27"/>
    </row>
    <row r="100" spans="1:2" x14ac:dyDescent="0.3">
      <c r="A100" s="28" t="s">
        <v>700</v>
      </c>
      <c r="B100">
        <v>4580</v>
      </c>
    </row>
    <row r="101" spans="1:2" x14ac:dyDescent="0.3">
      <c r="A101" s="26" t="s">
        <v>701</v>
      </c>
      <c r="B101" s="27"/>
    </row>
    <row r="102" spans="1:2" x14ac:dyDescent="0.3">
      <c r="A102" s="28" t="s">
        <v>702</v>
      </c>
      <c r="B102">
        <v>100000</v>
      </c>
    </row>
    <row r="103" spans="1:2" x14ac:dyDescent="0.3">
      <c r="A103" s="26" t="s">
        <v>703</v>
      </c>
      <c r="B103" s="27"/>
    </row>
    <row r="104" spans="1:2" x14ac:dyDescent="0.3">
      <c r="A104" s="28" t="s">
        <v>704</v>
      </c>
      <c r="B104">
        <v>9603.19</v>
      </c>
    </row>
    <row r="105" spans="1:2" x14ac:dyDescent="0.3">
      <c r="A105" s="28" t="s">
        <v>705</v>
      </c>
      <c r="B105">
        <v>33529.269999999997</v>
      </c>
    </row>
    <row r="106" spans="1:2" x14ac:dyDescent="0.3">
      <c r="A106" s="29" t="s">
        <v>281</v>
      </c>
      <c r="B106" s="30">
        <v>520252.95999999996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944D-0862-4F2E-B0F0-2A755D5A9291}">
  <dimension ref="A1:D60"/>
  <sheetViews>
    <sheetView topLeftCell="A37" workbookViewId="0">
      <selection activeCell="C66" sqref="C66"/>
    </sheetView>
  </sheetViews>
  <sheetFormatPr baseColWidth="10" defaultRowHeight="14.4" x14ac:dyDescent="0.3"/>
  <cols>
    <col min="2" max="2" width="14" bestFit="1" customWidth="1"/>
    <col min="3" max="3" width="92.44140625" customWidth="1"/>
    <col min="4" max="4" width="11.6640625" bestFit="1" customWidth="1"/>
  </cols>
  <sheetData>
    <row r="1" spans="1:4" ht="15" thickBot="1" x14ac:dyDescent="0.35">
      <c r="A1" s="37" t="s">
        <v>804</v>
      </c>
      <c r="B1" s="38" t="s">
        <v>805</v>
      </c>
      <c r="C1" s="38" t="s">
        <v>806</v>
      </c>
      <c r="D1" s="39" t="s">
        <v>1</v>
      </c>
    </row>
    <row r="2" spans="1:4" ht="15" thickTop="1" x14ac:dyDescent="0.3">
      <c r="A2" s="40" t="s">
        <v>807</v>
      </c>
      <c r="B2" s="41" t="s">
        <v>472</v>
      </c>
      <c r="C2" s="41" t="s">
        <v>808</v>
      </c>
      <c r="D2" s="42">
        <v>4364.8</v>
      </c>
    </row>
    <row r="3" spans="1:4" x14ac:dyDescent="0.3">
      <c r="A3" s="43" t="s">
        <v>807</v>
      </c>
      <c r="B3" s="44" t="s">
        <v>472</v>
      </c>
      <c r="C3" s="44" t="s">
        <v>809</v>
      </c>
      <c r="D3" s="45">
        <v>6547.2</v>
      </c>
    </row>
    <row r="4" spans="1:4" x14ac:dyDescent="0.3">
      <c r="A4" s="40" t="s">
        <v>807</v>
      </c>
      <c r="B4" s="41" t="s">
        <v>472</v>
      </c>
      <c r="C4" s="41" t="s">
        <v>810</v>
      </c>
      <c r="D4" s="42">
        <v>6589.44</v>
      </c>
    </row>
    <row r="5" spans="1:4" x14ac:dyDescent="0.3">
      <c r="A5" s="43" t="s">
        <v>807</v>
      </c>
      <c r="B5" s="44" t="s">
        <v>472</v>
      </c>
      <c r="C5" s="44" t="s">
        <v>811</v>
      </c>
      <c r="D5" s="45">
        <v>7321.6</v>
      </c>
    </row>
    <row r="6" spans="1:4" x14ac:dyDescent="0.3">
      <c r="A6" s="40" t="s">
        <v>807</v>
      </c>
      <c r="B6" s="41" t="s">
        <v>472</v>
      </c>
      <c r="C6" s="41" t="s">
        <v>812</v>
      </c>
      <c r="D6" s="42">
        <v>7856.64</v>
      </c>
    </row>
    <row r="7" spans="1:4" x14ac:dyDescent="0.3">
      <c r="A7" s="43" t="s">
        <v>807</v>
      </c>
      <c r="B7" s="44" t="s">
        <v>472</v>
      </c>
      <c r="C7" s="44" t="s">
        <v>813</v>
      </c>
      <c r="D7" s="45">
        <v>8511.36</v>
      </c>
    </row>
    <row r="8" spans="1:4" x14ac:dyDescent="0.3">
      <c r="A8" s="40" t="s">
        <v>807</v>
      </c>
      <c r="B8" s="41" t="s">
        <v>641</v>
      </c>
      <c r="C8" s="41" t="s">
        <v>814</v>
      </c>
      <c r="D8" s="42">
        <v>5497.58</v>
      </c>
    </row>
    <row r="9" spans="1:4" x14ac:dyDescent="0.3">
      <c r="A9" s="43" t="s">
        <v>807</v>
      </c>
      <c r="B9" s="44" t="s">
        <v>666</v>
      </c>
      <c r="C9" s="44" t="s">
        <v>815</v>
      </c>
      <c r="D9" s="45">
        <v>4400</v>
      </c>
    </row>
    <row r="10" spans="1:4" x14ac:dyDescent="0.3">
      <c r="A10" s="40" t="s">
        <v>807</v>
      </c>
      <c r="B10" s="41" t="s">
        <v>816</v>
      </c>
      <c r="C10" s="41" t="s">
        <v>817</v>
      </c>
      <c r="D10" s="42">
        <v>197804.13</v>
      </c>
    </row>
    <row r="11" spans="1:4" x14ac:dyDescent="0.3">
      <c r="A11" s="43" t="s">
        <v>807</v>
      </c>
      <c r="B11" s="44" t="s">
        <v>818</v>
      </c>
      <c r="C11" s="44" t="s">
        <v>819</v>
      </c>
      <c r="D11" s="45">
        <v>2534.4</v>
      </c>
    </row>
    <row r="12" spans="1:4" x14ac:dyDescent="0.3">
      <c r="A12" s="40" t="s">
        <v>807</v>
      </c>
      <c r="B12" s="41" t="s">
        <v>818</v>
      </c>
      <c r="C12" s="41" t="s">
        <v>820</v>
      </c>
      <c r="D12" s="42">
        <v>3801.6</v>
      </c>
    </row>
    <row r="13" spans="1:4" x14ac:dyDescent="0.3">
      <c r="A13" s="43" t="s">
        <v>807</v>
      </c>
      <c r="B13" s="44" t="s">
        <v>821</v>
      </c>
      <c r="C13" s="44" t="s">
        <v>822</v>
      </c>
      <c r="D13" s="45">
        <v>176</v>
      </c>
    </row>
    <row r="14" spans="1:4" x14ac:dyDescent="0.3">
      <c r="A14" s="40" t="s">
        <v>807</v>
      </c>
      <c r="B14" s="41" t="s">
        <v>823</v>
      </c>
      <c r="C14" s="41" t="s">
        <v>824</v>
      </c>
      <c r="D14" s="42">
        <v>176</v>
      </c>
    </row>
    <row r="15" spans="1:4" x14ac:dyDescent="0.3">
      <c r="A15" s="43" t="s">
        <v>807</v>
      </c>
      <c r="B15" s="44" t="s">
        <v>682</v>
      </c>
      <c r="C15" s="44" t="s">
        <v>825</v>
      </c>
      <c r="D15" s="45">
        <v>2985.72</v>
      </c>
    </row>
    <row r="16" spans="1:4" x14ac:dyDescent="0.3">
      <c r="A16" s="40" t="s">
        <v>807</v>
      </c>
      <c r="B16" s="41" t="s">
        <v>684</v>
      </c>
      <c r="C16" s="41" t="s">
        <v>826</v>
      </c>
      <c r="D16" s="42">
        <v>2985.72</v>
      </c>
    </row>
    <row r="17" spans="1:4" x14ac:dyDescent="0.3">
      <c r="A17" s="43" t="s">
        <v>807</v>
      </c>
      <c r="B17" s="44" t="s">
        <v>686</v>
      </c>
      <c r="C17" s="44" t="s">
        <v>827</v>
      </c>
      <c r="D17" s="45">
        <v>2985.72</v>
      </c>
    </row>
    <row r="18" spans="1:4" x14ac:dyDescent="0.3">
      <c r="A18" s="40" t="s">
        <v>807</v>
      </c>
      <c r="B18" s="41" t="s">
        <v>828</v>
      </c>
      <c r="C18" s="41" t="s">
        <v>829</v>
      </c>
      <c r="D18" s="42">
        <v>132</v>
      </c>
    </row>
    <row r="19" spans="1:4" x14ac:dyDescent="0.3">
      <c r="A19" s="43" t="s">
        <v>807</v>
      </c>
      <c r="B19" s="44" t="s">
        <v>830</v>
      </c>
      <c r="C19" s="44" t="s">
        <v>831</v>
      </c>
      <c r="D19" s="45">
        <v>132</v>
      </c>
    </row>
    <row r="20" spans="1:4" x14ac:dyDescent="0.3">
      <c r="A20" s="40" t="s">
        <v>807</v>
      </c>
      <c r="B20" s="41" t="s">
        <v>832</v>
      </c>
      <c r="C20" s="41" t="s">
        <v>833</v>
      </c>
      <c r="D20" s="42">
        <v>176</v>
      </c>
    </row>
    <row r="21" spans="1:4" x14ac:dyDescent="0.3">
      <c r="A21" s="43" t="s">
        <v>807</v>
      </c>
      <c r="B21" s="44" t="s">
        <v>834</v>
      </c>
      <c r="C21" s="44" t="s">
        <v>835</v>
      </c>
      <c r="D21" s="45">
        <v>176</v>
      </c>
    </row>
    <row r="22" spans="1:4" x14ac:dyDescent="0.3">
      <c r="A22" s="40" t="s">
        <v>807</v>
      </c>
      <c r="B22" s="41" t="s">
        <v>836</v>
      </c>
      <c r="C22" s="41" t="s">
        <v>837</v>
      </c>
      <c r="D22" s="42">
        <v>176</v>
      </c>
    </row>
    <row r="23" spans="1:4" x14ac:dyDescent="0.3">
      <c r="A23" s="43" t="s">
        <v>807</v>
      </c>
      <c r="B23" s="44" t="s">
        <v>838</v>
      </c>
      <c r="C23" s="44" t="s">
        <v>839</v>
      </c>
      <c r="D23" s="45">
        <v>264</v>
      </c>
    </row>
    <row r="24" spans="1:4" x14ac:dyDescent="0.3">
      <c r="A24" s="40" t="s">
        <v>807</v>
      </c>
      <c r="B24" s="41" t="s">
        <v>840</v>
      </c>
      <c r="C24" s="41" t="s">
        <v>841</v>
      </c>
      <c r="D24" s="42">
        <v>880</v>
      </c>
    </row>
    <row r="25" spans="1:4" x14ac:dyDescent="0.3">
      <c r="A25" s="43" t="s">
        <v>807</v>
      </c>
      <c r="B25" s="44" t="s">
        <v>840</v>
      </c>
      <c r="C25" s="44" t="s">
        <v>841</v>
      </c>
      <c r="D25" s="45">
        <v>1672.77</v>
      </c>
    </row>
    <row r="26" spans="1:4" x14ac:dyDescent="0.3">
      <c r="A26" s="40" t="s">
        <v>807</v>
      </c>
      <c r="B26" s="41" t="s">
        <v>840</v>
      </c>
      <c r="C26" s="41" t="s">
        <v>842</v>
      </c>
      <c r="D26" s="42">
        <v>1701.85</v>
      </c>
    </row>
    <row r="27" spans="1:4" x14ac:dyDescent="0.3">
      <c r="A27" s="43" t="s">
        <v>807</v>
      </c>
      <c r="B27" s="44" t="s">
        <v>843</v>
      </c>
      <c r="C27" s="44" t="s">
        <v>844</v>
      </c>
      <c r="D27" s="45">
        <v>176</v>
      </c>
    </row>
    <row r="28" spans="1:4" x14ac:dyDescent="0.3">
      <c r="A28" s="40" t="s">
        <v>807</v>
      </c>
      <c r="B28" s="41" t="s">
        <v>845</v>
      </c>
      <c r="C28" s="41" t="s">
        <v>846</v>
      </c>
      <c r="D28" s="42">
        <v>6000</v>
      </c>
    </row>
    <row r="29" spans="1:4" x14ac:dyDescent="0.3">
      <c r="A29" s="43" t="s">
        <v>807</v>
      </c>
      <c r="B29" s="44" t="s">
        <v>847</v>
      </c>
      <c r="C29" s="44" t="s">
        <v>848</v>
      </c>
      <c r="D29" s="45">
        <v>176</v>
      </c>
    </row>
    <row r="30" spans="1:4" x14ac:dyDescent="0.3">
      <c r="A30" s="40" t="s">
        <v>807</v>
      </c>
      <c r="B30" s="41" t="s">
        <v>849</v>
      </c>
      <c r="C30" s="41" t="s">
        <v>850</v>
      </c>
      <c r="D30" s="42">
        <v>176</v>
      </c>
    </row>
    <row r="31" spans="1:4" x14ac:dyDescent="0.3">
      <c r="A31" s="43" t="s">
        <v>807</v>
      </c>
      <c r="B31" s="44" t="s">
        <v>851</v>
      </c>
      <c r="C31" s="44" t="s">
        <v>852</v>
      </c>
      <c r="D31" s="45">
        <v>4450.91</v>
      </c>
    </row>
    <row r="32" spans="1:4" x14ac:dyDescent="0.3">
      <c r="A32" s="40" t="s">
        <v>807</v>
      </c>
      <c r="B32" s="41" t="s">
        <v>853</v>
      </c>
      <c r="C32" s="41" t="s">
        <v>854</v>
      </c>
      <c r="D32" s="42">
        <v>4320.1000000000004</v>
      </c>
    </row>
    <row r="33" spans="1:4" x14ac:dyDescent="0.3">
      <c r="A33" s="43" t="s">
        <v>807</v>
      </c>
      <c r="B33" s="44" t="s">
        <v>855</v>
      </c>
      <c r="C33" s="44" t="s">
        <v>856</v>
      </c>
      <c r="D33" s="45">
        <v>176</v>
      </c>
    </row>
    <row r="34" spans="1:4" x14ac:dyDescent="0.3">
      <c r="A34" s="40" t="s">
        <v>807</v>
      </c>
      <c r="B34" s="41" t="s">
        <v>857</v>
      </c>
      <c r="C34" s="41" t="s">
        <v>858</v>
      </c>
      <c r="D34" s="42">
        <v>176</v>
      </c>
    </row>
    <row r="35" spans="1:4" x14ac:dyDescent="0.3">
      <c r="A35" s="43" t="s">
        <v>807</v>
      </c>
      <c r="B35" s="44" t="s">
        <v>859</v>
      </c>
      <c r="C35" s="44" t="s">
        <v>860</v>
      </c>
      <c r="D35" s="45">
        <v>176</v>
      </c>
    </row>
    <row r="36" spans="1:4" x14ac:dyDescent="0.3">
      <c r="A36" s="40" t="s">
        <v>807</v>
      </c>
      <c r="B36" s="41" t="s">
        <v>861</v>
      </c>
      <c r="C36" s="41" t="s">
        <v>862</v>
      </c>
      <c r="D36" s="42">
        <v>8800</v>
      </c>
    </row>
    <row r="37" spans="1:4" x14ac:dyDescent="0.3">
      <c r="A37" s="43" t="s">
        <v>807</v>
      </c>
      <c r="B37" s="44" t="s">
        <v>863</v>
      </c>
      <c r="C37" s="44" t="s">
        <v>864</v>
      </c>
      <c r="D37" s="45">
        <v>176</v>
      </c>
    </row>
    <row r="38" spans="1:4" x14ac:dyDescent="0.3">
      <c r="A38" s="40" t="s">
        <v>807</v>
      </c>
      <c r="B38" s="41" t="s">
        <v>865</v>
      </c>
      <c r="C38" s="41" t="s">
        <v>866</v>
      </c>
      <c r="D38" s="42">
        <v>176</v>
      </c>
    </row>
    <row r="39" spans="1:4" x14ac:dyDescent="0.3">
      <c r="A39" s="43" t="s">
        <v>807</v>
      </c>
      <c r="B39" s="44" t="s">
        <v>867</v>
      </c>
      <c r="C39" s="44" t="s">
        <v>868</v>
      </c>
      <c r="D39" s="45">
        <v>88</v>
      </c>
    </row>
    <row r="40" spans="1:4" x14ac:dyDescent="0.3">
      <c r="A40" s="40" t="s">
        <v>807</v>
      </c>
      <c r="B40" s="41" t="s">
        <v>869</v>
      </c>
      <c r="C40" s="41" t="s">
        <v>870</v>
      </c>
      <c r="D40" s="42">
        <v>88</v>
      </c>
    </row>
    <row r="41" spans="1:4" x14ac:dyDescent="0.3">
      <c r="A41" s="43" t="s">
        <v>807</v>
      </c>
      <c r="B41" s="44" t="s">
        <v>871</v>
      </c>
      <c r="C41" s="44" t="s">
        <v>872</v>
      </c>
      <c r="D41" s="45">
        <v>176</v>
      </c>
    </row>
    <row r="42" spans="1:4" x14ac:dyDescent="0.3">
      <c r="A42" s="40" t="s">
        <v>807</v>
      </c>
      <c r="B42" s="41" t="s">
        <v>873</v>
      </c>
      <c r="C42" s="41" t="s">
        <v>874</v>
      </c>
      <c r="D42" s="42">
        <v>176</v>
      </c>
    </row>
    <row r="43" spans="1:4" x14ac:dyDescent="0.3">
      <c r="A43" s="43" t="s">
        <v>807</v>
      </c>
      <c r="B43" s="44" t="s">
        <v>875</v>
      </c>
      <c r="C43" s="44" t="s">
        <v>876</v>
      </c>
      <c r="D43" s="45">
        <v>132</v>
      </c>
    </row>
    <row r="44" spans="1:4" x14ac:dyDescent="0.3">
      <c r="A44" s="40" t="s">
        <v>807</v>
      </c>
      <c r="B44" s="41" t="s">
        <v>877</v>
      </c>
      <c r="C44" s="41" t="s">
        <v>878</v>
      </c>
      <c r="D44" s="42">
        <v>185</v>
      </c>
    </row>
    <row r="45" spans="1:4" x14ac:dyDescent="0.3">
      <c r="A45" s="43" t="s">
        <v>807</v>
      </c>
      <c r="B45" s="44" t="s">
        <v>877</v>
      </c>
      <c r="C45" s="44" t="s">
        <v>879</v>
      </c>
      <c r="D45" s="45">
        <v>185</v>
      </c>
    </row>
    <row r="46" spans="1:4" x14ac:dyDescent="0.3">
      <c r="A46" s="40" t="s">
        <v>807</v>
      </c>
      <c r="B46" s="41" t="s">
        <v>533</v>
      </c>
      <c r="C46" s="41" t="s">
        <v>880</v>
      </c>
      <c r="D46" s="42">
        <v>84996.17</v>
      </c>
    </row>
    <row r="47" spans="1:4" x14ac:dyDescent="0.3">
      <c r="A47" s="43" t="s">
        <v>807</v>
      </c>
      <c r="B47" s="44" t="s">
        <v>535</v>
      </c>
      <c r="C47" s="44" t="s">
        <v>881</v>
      </c>
      <c r="D47" s="45">
        <v>3.13</v>
      </c>
    </row>
    <row r="48" spans="1:4" x14ac:dyDescent="0.3">
      <c r="A48" s="40" t="s">
        <v>807</v>
      </c>
      <c r="B48" s="41" t="s">
        <v>535</v>
      </c>
      <c r="C48" s="41" t="s">
        <v>882</v>
      </c>
      <c r="D48" s="42">
        <v>19950</v>
      </c>
    </row>
    <row r="49" spans="1:4" x14ac:dyDescent="0.3">
      <c r="A49" s="43" t="s">
        <v>807</v>
      </c>
      <c r="B49" s="44" t="s">
        <v>538</v>
      </c>
      <c r="C49" s="44" t="s">
        <v>883</v>
      </c>
      <c r="D49" s="45">
        <v>11613</v>
      </c>
    </row>
    <row r="50" spans="1:4" x14ac:dyDescent="0.3">
      <c r="A50" s="40" t="s">
        <v>807</v>
      </c>
      <c r="B50" s="41" t="s">
        <v>697</v>
      </c>
      <c r="C50" s="41" t="s">
        <v>884</v>
      </c>
      <c r="D50" s="42">
        <v>30000</v>
      </c>
    </row>
    <row r="51" spans="1:4" x14ac:dyDescent="0.3">
      <c r="A51" s="43" t="s">
        <v>807</v>
      </c>
      <c r="B51" s="44" t="s">
        <v>699</v>
      </c>
      <c r="C51" s="44" t="s">
        <v>885</v>
      </c>
      <c r="D51" s="45">
        <v>22900</v>
      </c>
    </row>
    <row r="52" spans="1:4" x14ac:dyDescent="0.3">
      <c r="A52" s="40" t="s">
        <v>807</v>
      </c>
      <c r="B52" s="41" t="s">
        <v>886</v>
      </c>
      <c r="C52" s="41" t="s">
        <v>887</v>
      </c>
      <c r="D52" s="42">
        <v>19740</v>
      </c>
    </row>
    <row r="53" spans="1:4" x14ac:dyDescent="0.3">
      <c r="A53" s="43" t="s">
        <v>807</v>
      </c>
      <c r="B53" s="44" t="s">
        <v>888</v>
      </c>
      <c r="C53" s="44" t="s">
        <v>889</v>
      </c>
      <c r="D53" s="45">
        <v>10672</v>
      </c>
    </row>
    <row r="54" spans="1:4" x14ac:dyDescent="0.3">
      <c r="A54" s="40" t="s">
        <v>807</v>
      </c>
      <c r="B54" s="41" t="s">
        <v>890</v>
      </c>
      <c r="C54" s="41" t="s">
        <v>891</v>
      </c>
      <c r="D54" s="42">
        <v>25552</v>
      </c>
    </row>
    <row r="55" spans="1:4" x14ac:dyDescent="0.3">
      <c r="A55" s="43" t="s">
        <v>807</v>
      </c>
      <c r="B55" s="44" t="s">
        <v>892</v>
      </c>
      <c r="C55" s="44" t="s">
        <v>893</v>
      </c>
      <c r="D55" s="45">
        <v>142830.6</v>
      </c>
    </row>
    <row r="56" spans="1:4" ht="15" thickBot="1" x14ac:dyDescent="0.35">
      <c r="A56" s="40" t="s">
        <v>807</v>
      </c>
      <c r="B56" s="41" t="s">
        <v>703</v>
      </c>
      <c r="C56" s="41" t="s">
        <v>894</v>
      </c>
      <c r="D56" s="42">
        <v>50439.78</v>
      </c>
    </row>
    <row r="57" spans="1:4" ht="15" thickTop="1" x14ac:dyDescent="0.3">
      <c r="A57" s="46" t="s">
        <v>2</v>
      </c>
      <c r="B57" s="47"/>
      <c r="C57" s="47"/>
      <c r="D57" s="48">
        <v>714554.22</v>
      </c>
    </row>
    <row r="60" spans="1:4" x14ac:dyDescent="0.3">
      <c r="C60" s="73" t="s">
        <v>1008</v>
      </c>
      <c r="D60" s="74">
        <f>D57+'ingresos investigación 2020'!B106+'Ingresos investigación 2019'!B118</f>
        <v>1647674.4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2022-10-18T15:58:53Z</dcterms:modified>
</cp:coreProperties>
</file>