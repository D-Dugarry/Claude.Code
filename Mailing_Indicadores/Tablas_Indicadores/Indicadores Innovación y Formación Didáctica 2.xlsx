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36AAB612-9A21-4889-8873-25B5264D3A0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6" r:id="rId4"/>
    <sheet name="Ingresos investigación 2021" sheetId="7" r:id="rId5"/>
  </sheets>
  <definedNames>
    <definedName name="_xlnm._FilterDatabase" localSheetId="1" hidden="1">Sexenios!$A$1:$S$9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3" l="1"/>
  <c r="S32" i="2" l="1"/>
  <c r="B39" i="6" l="1"/>
  <c r="B10" i="5" l="1"/>
  <c r="D27" i="7" s="1"/>
</calcChain>
</file>

<file path=xl/sharedStrings.xml><?xml version="1.0" encoding="utf-8"?>
<sst xmlns="http://schemas.openxmlformats.org/spreadsheetml/2006/main" count="669" uniqueCount="228">
  <si>
    <t>Orgánica
Descripción justificante</t>
  </si>
  <si>
    <t>Importe</t>
  </si>
  <si>
    <t>Total</t>
  </si>
  <si>
    <t>36.30.6P.00.06</t>
  </si>
  <si>
    <t>36.30.6P.00.07</t>
  </si>
  <si>
    <t>36.30.6X.00.01</t>
  </si>
  <si>
    <t>36.30.6G.00.02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</si>
  <si>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</si>
  <si>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</si>
  <si>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</si>
  <si>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</si>
  <si>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</si>
  <si>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</si>
  <si>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</si>
  <si>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</si>
  <si>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</si>
  <si>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</si>
  <si>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</si>
  <si>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</si>
  <si>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</si>
  <si>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</si>
  <si>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</si>
  <si>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</si>
  <si>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</si>
  <si>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</si>
  <si>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</si>
  <si>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</si>
  <si>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</si>
  <si>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</si>
  <si>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</si>
  <si>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</si>
  <si>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27/09/2019 </t>
  </si>
  <si>
    <t>26/09/2017 </t>
  </si>
  <si>
    <t>DOCTORADO EN INVESTIGACIÓN EDUCATIVA </t>
  </si>
  <si>
    <t>20/07/2018 </t>
  </si>
  <si>
    <t>B177 </t>
  </si>
  <si>
    <t>PSICOLOGÍA EVOLUTIVA Y DIDÁCTICA </t>
  </si>
  <si>
    <t>U023 </t>
  </si>
  <si>
    <t>ADM. FACULTAD DE FILOSOFIA Y LETRAS </t>
  </si>
  <si>
    <t>DOCTORADO EN FILOSOFÍA Y LETRAS </t>
  </si>
  <si>
    <t>Ramírez Sepúlveda, Daniela Soledad </t>
  </si>
  <si>
    <t>LA VOZ DE LAS MUJERES Y SU SIGNIFICADO EN LA OBRA POÉTIVA DE LUDWIG ZELLER </t>
  </si>
  <si>
    <t>05/09/2017 </t>
  </si>
  <si>
    <t>10/07/2017 </t>
  </si>
  <si>
    <t>Ortiz García, Daniel </t>
  </si>
  <si>
    <t>LA ODISEA EN LA LITERATURA JUVENIL EN ESPAÑOL DEL S. XXI. ENFOQUE DESDE LA NARRATOLOGÍA Y DESDE LA DIDÁCTICA DE LA LENGUA Y LA LITERATURA </t>
  </si>
  <si>
    <t>21/09/2018 </t>
  </si>
  <si>
    <t>06/09/2018 </t>
  </si>
  <si>
    <t>B166 </t>
  </si>
  <si>
    <t>INNOVACIÓN Y FORMACIÓN DIDÁCTICA </t>
  </si>
  <si>
    <t>INVEST.EDUCAT.: DIDÁCT.DE LA MATEM., DE LA LENG. Y LA LIT., DE LA EXP.MUSIC </t>
  </si>
  <si>
    <t>13052559J </t>
  </si>
  <si>
    <t>B166</t>
  </si>
  <si>
    <t>73906426C </t>
  </si>
  <si>
    <t>22099909Z </t>
  </si>
  <si>
    <t>21427493A </t>
  </si>
  <si>
    <t>21681750H </t>
  </si>
  <si>
    <t>Buforn Lloret, Àngela </t>
  </si>
  <si>
    <t>CARACTERÍSTICAS DE LA COMPETENCIA DOCENTE MIRAR PROFESIONALMENTE DE LOS ESTUDIANTES PARA MAESTRO EN RELACIÓN AL RAZONAMIENTO PROPORCIONAL </t>
  </si>
  <si>
    <t>Molina Molina, María </t>
  </si>
  <si>
    <t>DESARROLLO Y EVALUACIÓN DE LA COMPETENCIA LECTOLITERARIA EN EL BACHILLERATO </t>
  </si>
  <si>
    <t>Romo Maroto, Pablo Eduardo </t>
  </si>
  <si>
    <t>ESTRATEGIAS DIDÁCTICAS Y EVALUACIÓN DE LA COMUNICACIÓN ORAL </t>
  </si>
  <si>
    <t>Belda Martínez, David </t>
  </si>
  <si>
    <t>LA LITERATURA INFANTIL COMO RECURSO EDUCATIVO EN LA ESCUELA INCLUSIVA: VOCES DE LAS FAMILIAS DE NIÑOS Y NIÑAS CON DIVERSIDAD FUNCIONAL </t>
  </si>
  <si>
    <t>Ivars Santacreu, Pedro José </t>
  </si>
  <si>
    <t>APRENDIZAJE DE LOS ESTUDIANTES PARA MAESTRO SOBRE TRAYECTORIAS DE APRENDIZAJE DE LAS FRACCIONES </t>
  </si>
  <si>
    <t>17/07/2018 </t>
  </si>
  <si>
    <t>Orts Muñoz, Abilio </t>
  </si>
  <si>
    <t>CARACTERÍSTICAS DEL APRENDIZAJE DE LA RECTA TANGENTE. IDENTIFICACIÓN DE TRAYECTORIAS DE APRENDIZAJE EN UN EXPERIMENTO DE ENSEÑANZA </t>
  </si>
  <si>
    <t>24/11/2017 </t>
  </si>
  <si>
    <t>Arias Balarezo, Ana Lucía </t>
  </si>
  <si>
    <t>ANÁLISIS DE LA COMPRENSIÓN DEL CONCEPTO DE LÍMITE DE UNA FUNCIÓN EN UN PUNTO EN ESTUDIANTES ECUATORIANOS DE BACHILLERATO Y DEL CURSO DE NIVELACIÓN </t>
  </si>
  <si>
    <t>Soler Quílez, Guillermo </t>
  </si>
  <si>
    <t>LEYENDO EL ARCOIRIS EN LAS CLASES DE LENGUA: HACIA UN MODELO DE ESCUELA QUEER </t>
  </si>
  <si>
    <t>11/03/2019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</si>
  <si>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</si>
  <si>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</si>
  <si>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</si>
  <si>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</si>
  <si>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</si>
  <si>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</si>
  <si>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</si>
  <si>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</si>
  <si>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</si>
  <si>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</si>
  <si>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</si>
  <si>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</si>
  <si>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</si>
  <si>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</si>
  <si>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21428371F</t>
  </si>
  <si>
    <t>DEL OLMO IBAÑEZ, MARIA TERESA</t>
  </si>
  <si>
    <t>21681750H</t>
  </si>
  <si>
    <t>FERNANDEZ VERDU, CENEIDA</t>
  </si>
  <si>
    <t>73906426C</t>
  </si>
  <si>
    <t>LLINARES CISCAR, SALVADOR</t>
  </si>
  <si>
    <t>42878165R</t>
  </si>
  <si>
    <t>ROMERO NARANJO, FRANCISCO JAVIER</t>
  </si>
  <si>
    <t>48358135Z</t>
  </si>
  <si>
    <t>TABUENCA CUEVAS, MARIA FELICIDAD</t>
  </si>
  <si>
    <t>Colaboración con la UA en la organización de "UNICÓMIC XX. Congreso Internacional de Estudios Universitarios sobre el Cómic."</t>
  </si>
  <si>
    <t>PROMETEO 2017 EN 2019</t>
  </si>
  <si>
    <t>FLIB 18/03/19. PROYECTOS I+D+I RETOS 2017. ANUAL 2019. UNIV2 PROYECTOS I+D RETOS (PIA13) N EXPEDIENTE: PIA132017-1 - 2 ANUALIDAD REFERENCI. REF. ORDENANTE: 27402219310014362.</t>
  </si>
  <si>
    <t>36.30.6P.00.08</t>
  </si>
  <si>
    <t xml:space="preserve">SUBVENCIONES REALIZACIÓN PROYECTOS I+D+I GRUPOS EMERGENTES GV/2018.2ªANUALIDAD </t>
  </si>
  <si>
    <t>González Forte, Juan Manuel </t>
  </si>
  <si>
    <t>CARACTERÍSTICAS DE LA COMPRENSIÓN DE LOS NÚMEROS RACIONALES EN ESTUDIANTES DE EDUCACIÓN PRIMARIA Y SECUNDARIA </t>
  </si>
  <si>
    <t>02/09/2020 </t>
  </si>
  <si>
    <t>51380679J</t>
  </si>
  <si>
    <t>MORENO MORENO, MARIA DEL MAR</t>
  </si>
  <si>
    <t>48341376E</t>
  </si>
  <si>
    <t>ROVIRA COLLADO, JOSE</t>
  </si>
  <si>
    <t>COD DEP</t>
  </si>
  <si>
    <t>Munizza , Elisa Teresa </t>
  </si>
  <si>
    <t>RAÚL ZURITA Y EL MUNDO ITALIANO. LA CREACIÓN DE UNA POÉTICA A TRAVÉS DE DANTE, MIGUEL ÁNGEL Y LOS CREADORES DE LA MODERNIDAD </t>
  </si>
  <si>
    <t>05/11/2020 </t>
  </si>
  <si>
    <t>45835535P </t>
  </si>
  <si>
    <t>Bolaños Salvador, Carlos Miguel </t>
  </si>
  <si>
    <t>LA PREOCUPACIÓN TEATRAL DE JUAN CERVERA Y SU CORRESPONDIENTE APORTACIÓN PEDAGÓCICA A LA ESCUELA ESPAÑOLA </t>
  </si>
  <si>
    <t>24/09/2021 </t>
  </si>
  <si>
    <t>Martín Martín, María Aránzazu </t>
  </si>
  <si>
    <t>La educación literaria en Secundaria: propuesta ética y estética con álbumes ilustrados. La construcción de la identidad en adolescentes </t>
  </si>
  <si>
    <t>23/07/2021 </t>
  </si>
  <si>
    <t>Bernabeu Martínez, Melania </t>
  </si>
  <si>
    <t>Niveles de comprensión del concepto de polígono y de las clases de polígonos en estudiantes de educación primaria </t>
  </si>
  <si>
    <t>18/06/2021 </t>
  </si>
  <si>
    <t>51380679J </t>
  </si>
  <si>
    <t>Rojas Avilés, Héctor Francisco </t>
  </si>
  <si>
    <t>Características del desarrollo del razonamiento proporcional en estudiantes de Ecuador de 11 a 16 años: una trayetoria de aprendizaje </t>
  </si>
  <si>
    <t>03/03/2021 </t>
  </si>
  <si>
    <t>Crespo Rodríguez, Antonio </t>
  </si>
  <si>
    <t>El teatro para la infancia en España: 1985-1995 </t>
  </si>
  <si>
    <t>23/09/2021 </t>
  </si>
  <si>
    <t>Clemente Egío, Vicente </t>
  </si>
  <si>
    <t>La competencia lectora. Una aproximación teórica y práctica para su evaluación en el aula </t>
  </si>
  <si>
    <t>25/03/2021 </t>
  </si>
  <si>
    <t>Cueva Rodríguez, Ruth Amelia </t>
  </si>
  <si>
    <t>Regularidades entre los desenlaces del razonamiento configural y el razonamiento discursivo teórico en estudiantes ecuatorianos de nivelación para ingeniería al resolver problemas de geometría en un entorno de lápiz y papel </t>
  </si>
  <si>
    <t>09/02/2021 </t>
  </si>
  <si>
    <t>Puma Torres, Paúl Fernando </t>
  </si>
  <si>
    <t>El juego de la imagen/acto poético liberador en Pluma y la tempestad, La casa de Rigoberta mira al sur y Foto de señoritas y esclusas, de Arístides Vargas" </t>
  </si>
  <si>
    <t>12/03/2021 </t>
  </si>
  <si>
    <t>36.30.6G.00.03</t>
  </si>
  <si>
    <t>1ª liquidación V Congreso Internacional AECL 2020. Lectura y dificultades lectoras</t>
  </si>
  <si>
    <t xml:space="preserve">IInscripción de Diana Muela Bermejo al V Congreso Internacional AECL. Lectura y Dificultades Lectoras. Fechas del Congreso: 27-29 de mayo de 2020. Proyecto I+D+I: Formar lectores en la sociedad digital desde el libro de no ficción. RTI2018-093825B-I00. Código SGI 25234.  </t>
  </si>
  <si>
    <t>Inscripción de Alberto Nolasco Hernández al V Congreso Internacional AECL. Lectura y Dificultades lectoras.</t>
  </si>
  <si>
    <t>Inscripción de Almudena Carmen Barrientos Báez al V Congreso Internacional AECL. Lectura y Dificultades lectoras.</t>
  </si>
  <si>
    <t>Inscripción de Antonio Gutiérrez Rivero al V Congreso Internacional AECL. Lectura y Dificultades lectoras. Número de expediente contable: 2020/0012764 Código Oficina Contable: U00500136 Código Unidad Tramitadora: GE0003812 Código Órgano Gestor: U00500048 Código Orgánica Principal: 20DPDLCP20</t>
  </si>
  <si>
    <t>Inscripción de Antonio Martín Ezpeleta al V Congreso Internacional AECL. Lectura y dificultades lectoras.</t>
  </si>
  <si>
    <t>Inscripción de David Eduardo Saldaña Sage al V Congreso Internacional AECL. Lectura y dificultades lectoras.</t>
  </si>
  <si>
    <t>Inscripción de Flavia Gomes Franco e Silva al V Congreso Internacional AECL. Lectura y Dificultades lectoras.</t>
  </si>
  <si>
    <t>Inscripción de Francisco Javier Moreno Pérez al V Congreso Internacional AECL. Lectura y Dificultades Lectoras.</t>
  </si>
  <si>
    <t>Inscripción de Iris Orosia Campos Bandres al V Congreso Internacional AECL. Lectura y Dificultades lectoras.</t>
  </si>
  <si>
    <t>Inscripción de Isabel de los Reyes Rodríguez Ortiz al V Congreso Internacional AECL. Lectura y Dificultades Lectoras.</t>
  </si>
  <si>
    <t>Inscripción de Isabel Gómez Veiga al V Congreso Internacional AECL. Lectura y dificultades lectoras.</t>
  </si>
  <si>
    <t>Inscripción de José María Fernández Noriega al V Congreso Internacional AECL. Lectura y dificultades lectoras.</t>
  </si>
  <si>
    <t>Inscripción de Juan José Navarro Hidalgo al V Congreso Internacional AECL. Lectura y dificultades lectoras.</t>
  </si>
  <si>
    <t>Inscripción de Mª del Carmen Cristófol Rodríguez al V Congreso Internacional AECL. Lectura y Dificultades lectoras.</t>
  </si>
  <si>
    <t>Inscripción de Mª del Mar Criado Pérez al V Congreso Internacional AECL. Lectura y Dificultades lectoras.</t>
  </si>
  <si>
    <t>Inscripción de Mª del Pilar Núñez Delgado al V Congreso Internacional AECL. Lectura y Dificultades Lectoras.</t>
  </si>
  <si>
    <t>Inscripción de Marta Sampériz Hernández al V Congreso Internacional AECL. Lectura y dificultades lectoras.</t>
  </si>
  <si>
    <t>Inscripción de Marta Sanjuán Álvarez al V Congreso Internacional AECL. Lectura y Dificultades lectoras.</t>
  </si>
  <si>
    <t>Inscripción de Milagrosa Parrado Collantes al V Congreso Internacional AECL. Lectura y Dificultades Lectoras. Código expediente contable: 2020/0007753 Código OC: U00500136 Código UT:  GE0003812 Código OG: U00500048 Código OP: 20DPDLCP19</t>
  </si>
  <si>
    <t>Inscripción de Miriam Rivero Contreras al V Congreso Internacional AECL. Lectura y Dificultades Lectoras.</t>
  </si>
  <si>
    <t>Inscripción de Moisés Selfa Sastre al V Congreso Internacional AECL. Lectura y Dificultades Lectoras.</t>
  </si>
  <si>
    <t>Inscripción de Noemí Manrique Gil al V Congreso Internacional AECL. Lectura y dificultades lectoras.</t>
  </si>
  <si>
    <t>Inscripción de Nuria Calet Ruiz al V Congreso Internacional AECL. Lectura y Dificultades Lectoras.</t>
  </si>
  <si>
    <t>Inscripción de Pablo Delgado Herrera al V Congreso Internacional AECL. Lectura y Dificultades Lectoras.</t>
  </si>
  <si>
    <t>Inscripción de Paula Rivera Jurado en el V Congreso Internacional AECL. Lectura y Dificultades Lectoras.</t>
  </si>
  <si>
    <t>Inscripción de Yolanda Echegoyen Sanz al V Congreso Internacional AECL. Lectura y dificultades lectoras.</t>
  </si>
  <si>
    <t>Inscrpción de Marta Valdés Coronel al V Congreso Internacional AECL. Lectura y Dificultades lectoras.</t>
  </si>
  <si>
    <t>PROMETEO 2017 EN 2020 (CONSELLERIA INNOVACIÓN,UNIVERSIDADES,CIENCIA SOC.DIG)</t>
  </si>
  <si>
    <t xml:space="preserve">FLIB.18/02/2020.PROYECTOS RETOS INVESTIGACIÓN 2017. ANUAL 2020 PROYECTOS I+D RETOS  (PIA13) N EXPEDIENTE: PIA 132017-1-3 ANUALIDAD REFERENCIA:EDU2017-87411-R  </t>
  </si>
  <si>
    <t>Segundo pago proyecto MOOC2MOVE. investigador ppal. José ROVIRA</t>
  </si>
  <si>
    <t>36.30.6X.00.02</t>
  </si>
  <si>
    <t>PROYECTO COREFLECT@MATHS, INVESTIGADOR PRINCIPAL CENEIDA FERNÁNDEZ. FIRST INSTALLMENT ERASMUS + PROJ2019</t>
  </si>
  <si>
    <t>Unidad</t>
  </si>
  <si>
    <t>Cód. org. aplic.</t>
  </si>
  <si>
    <t>Descripción justificante</t>
  </si>
  <si>
    <t>36.30</t>
  </si>
  <si>
    <t xml:space="preserve">Inscripción de Isabel Cómitre Narváez a UNICÓMIC XXIII. Segundo Congreso Internacional de Estudios Universitarios sobre el Cómic. </t>
  </si>
  <si>
    <t>Inscripción de Jordi Giner Monfort en el UNICÓMIC XXIII. Segundo Congreso Internacional de Estudios Universitarios sobre el Cómic.</t>
  </si>
  <si>
    <t>Inscripción de Daniel Becerra Romero en el UNICÓMIC XXIII. Segundo Congreso Internacional de Estudios Universitarios sobre el Cómic.</t>
  </si>
  <si>
    <t xml:space="preserve">Liquidación JyC: UNICÓMIC XXIII - 2º Congreso Internacional de estudios Universitarios SOBRE EL CÓMIC. Dpto. Innovación y Form. Didact. - JI 2021-1301, ExpAdm 2021EXPADM0499 </t>
  </si>
  <si>
    <t>Inscripción de Mª del Carmen Baena Lupiáñez en el UNICÓMIC XXIII. Segundo Congreso Internacional de Estudios Universitarios sobre el Cómic.</t>
  </si>
  <si>
    <t>Inscripción de Hugo Almeida al XXIII Congreso UNICÓMIC (10 - 12 marzo 2021) . REQ 390 / 2021</t>
  </si>
  <si>
    <t>Inscripción de Raquel Fernández Cobo en el UNICÓMIC XXIII. Segundo Congreso Internacional de Estudios Universitarios sobre el Cómic.</t>
  </si>
  <si>
    <t>Inscripción de Rubén Cristóbal Hornillos al V Congreso Internacional AECL. Lectura y Dificultades Lectoras.</t>
  </si>
  <si>
    <t>36.30.6G.00.04</t>
  </si>
  <si>
    <t>Inscripción de Emilia López Iñesta en la 45th Conference of the International Group for the Psychology of Mathematics Education (PME45)</t>
  </si>
  <si>
    <t>Inscripción de Carlos Valenzuela García en la 45th Conference of the International Group for the Psychology of Mathematics Education (PME45)</t>
  </si>
  <si>
    <t>Inscripción de Nuria Planas Raig a The 45th Conference of the International Group for the Psychology of Mathematics Education (PM45)</t>
  </si>
  <si>
    <t>Inscripción de Mª Teresa Sanz García en la 45th Conference of the International Group for the Psychology of Mathematics Education (PME45)</t>
  </si>
  <si>
    <t>Liqidación: PME45, 45th Conference of the International Group for the Psychology of Mathematics Education, JI 2021-5603, 2021EXPADM2137</t>
  </si>
  <si>
    <t>REINTEGRO DE CERRADO, JG: 2020/000000012716 ; ADO: 2020000014639. CSI - 21042 1-1433 DEV.DUPLIC. DP INNOVACION Y FORMACION DIDACTICA</t>
  </si>
  <si>
    <t>PROMETEO 2017 EN 2021 (INNOVACIÓN,UNIVERSIDADES,CIENCIA SOC.DIG)</t>
  </si>
  <si>
    <t>36.30.6P.00.11</t>
  </si>
  <si>
    <t>PID2020-116514GB-I00</t>
  </si>
  <si>
    <t>SEGUNDO PAGO DEL PROYECTO COREFLEC@MATHS, SEGUN INFORMA LA OGPI</t>
  </si>
  <si>
    <t>TERCER PAGO PROYECTO COREFLECT@MATHS, SEGUN INFORMAN DESDE LA OGPI</t>
  </si>
  <si>
    <t>Contreras de la Llave, Natalia </t>
  </si>
  <si>
    <t>Cine y prespetiva de género como herramientas de transformación social en la didáctica del Español como Lengua Extranjera </t>
  </si>
  <si>
    <t>18/02/2022 </t>
  </si>
  <si>
    <t>López Medina, Julián </t>
  </si>
  <si>
    <t>La dimensión intercultural en una pedagogía crítica de lenguas adicionales: creencias del profesorado en formación </t>
  </si>
  <si>
    <t>14/02/2022 </t>
  </si>
  <si>
    <t>Prior Martínez, Juan </t>
  </si>
  <si>
    <t>RAZONAMIENTO CONFIGURAL Y RESOLUCIÓN DE PROBLEMAS DE PROBAR </t>
  </si>
  <si>
    <t>21/01/2022 </t>
  </si>
  <si>
    <t>Serna Rodrigo, Rocío </t>
  </si>
  <si>
    <t>Videojuegos para la educación literaria: criterios de selección y análisis, corpus y propuesta de actuación didáctica en educación primaria </t>
  </si>
  <si>
    <t>23/02/2022 </t>
  </si>
  <si>
    <t>48341376E </t>
  </si>
  <si>
    <t>Pan , Lili </t>
  </si>
  <si>
    <t>Analysis of development of communication skills for chine in Spain </t>
  </si>
  <si>
    <t>08/02/2022 </t>
  </si>
  <si>
    <t>Draghia , Ana Maria </t>
  </si>
  <si>
    <t>Transtextualidad en la narrativa juvenil. Posibilidades didácticas y claves para el desasrrollo de la educación literaria </t>
  </si>
  <si>
    <t>27/01/2022 </t>
  </si>
  <si>
    <t>48298700B</t>
  </si>
  <si>
    <t>IVARS SANTACREU, PEDRO JOSE</t>
  </si>
  <si>
    <t>48344747N</t>
  </si>
  <si>
    <t>RUIZ BAÑULS, MONICA</t>
  </si>
  <si>
    <t>48493006J</t>
  </si>
  <si>
    <t>ANDUGAR SOTO, ANA</t>
  </si>
  <si>
    <t>52789309P</t>
  </si>
  <si>
    <t>PEREZ TYTECA, PATRICIA</t>
  </si>
  <si>
    <t>Total ingresos investigación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</si>
</sst>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2" fillId="7" borderId="7" xfId="0" applyFont="1" applyFill="1" applyBorder="1"/>
    <xf numFmtId="0" fontId="12" fillId="7" borderId="8" xfId="0" applyFont="1" applyFill="1" applyBorder="1"/>
    <xf numFmtId="0" fontId="12" fillId="7" borderId="9" xfId="0" applyFont="1" applyFill="1" applyBorder="1" applyAlignment="1">
      <alignment horizontal="right"/>
    </xf>
    <xf numFmtId="0" fontId="0" fillId="8" borderId="10" xfId="0" applyFill="1" applyBorder="1"/>
    <xf numFmtId="0" fontId="0" fillId="8" borderId="11" xfId="0" applyFill="1" applyBorder="1"/>
    <xf numFmtId="4" fontId="0" fillId="8" borderId="12" xfId="0" applyNumberFormat="1" applyFill="1" applyBorder="1"/>
    <xf numFmtId="0" fontId="0" fillId="9" borderId="10" xfId="0" applyFill="1" applyBorder="1"/>
    <xf numFmtId="0" fontId="0" fillId="9" borderId="11" xfId="0" applyFill="1" applyBorder="1"/>
    <xf numFmtId="4" fontId="0" fillId="9" borderId="12" xfId="0" applyNumberFormat="1" applyFill="1" applyBorder="1"/>
    <xf numFmtId="0" fontId="12" fillId="7" borderId="13" xfId="0" applyFont="1" applyFill="1" applyBorder="1"/>
    <xf numFmtId="0" fontId="12" fillId="7" borderId="14" xfId="0" applyFont="1" applyFill="1" applyBorder="1"/>
    <xf numFmtId="4" fontId="12" fillId="7" borderId="15" xfId="0" applyNumberFormat="1" applyFont="1" applyFill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3" fillId="10" borderId="16" xfId="1" applyFont="1" applyFill="1" applyBorder="1" applyAlignment="1"/>
    <xf numFmtId="0" fontId="3" fillId="10" borderId="16" xfId="1" applyFont="1" applyFill="1" applyBorder="1" applyAlignment="1">
      <alignment horizontal="right"/>
    </xf>
    <xf numFmtId="0" fontId="13" fillId="11" borderId="1" xfId="0" applyFont="1" applyFill="1" applyBorder="1" applyAlignment="1">
      <alignment horizontal="right"/>
    </xf>
    <xf numFmtId="4" fontId="0" fillId="10" borderId="1" xfId="0" applyNumberFormat="1" applyFill="1" applyBorder="1"/>
    <xf numFmtId="164" fontId="4" fillId="10" borderId="16" xfId="1" applyNumberFormat="1" applyFont="1" applyFill="1" applyBorder="1" applyAlignment="1"/>
    <xf numFmtId="0" fontId="10" fillId="10" borderId="0" xfId="5" applyFont="1" applyFill="1" applyBorder="1"/>
    <xf numFmtId="0" fontId="10" fillId="10" borderId="0" xfId="5" applyFont="1" applyFill="1" applyBorder="1" applyAlignment="1">
      <alignment horizontal="right"/>
    </xf>
    <xf numFmtId="0" fontId="14" fillId="10" borderId="0" xfId="5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2"/>
  <sheetViews>
    <sheetView showGridLines="0" tabSelected="1" zoomScale="120" zoomScaleNormal="120" workbookViewId="0">
      <pane xSplit="1" ySplit="1" topLeftCell="F14" activePane="bottomRight" state="frozen"/>
      <selection pane="topRight" activeCell="B1" sqref="B1"/>
      <selection pane="bottomLeft" activeCell="A2" sqref="A2"/>
      <selection pane="bottomRight" activeCell="S32" sqref="S32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8" t="s">
        <v>15</v>
      </c>
      <c r="J1" s="9" t="s">
        <v>16</v>
      </c>
      <c r="K1" s="8" t="s">
        <v>17</v>
      </c>
      <c r="L1" s="9" t="s">
        <v>18</v>
      </c>
      <c r="M1" s="10" t="s">
        <v>19</v>
      </c>
      <c r="N1" s="11" t="s">
        <v>20</v>
      </c>
      <c r="O1" s="12" t="s">
        <v>21</v>
      </c>
      <c r="P1" s="11" t="s">
        <v>22</v>
      </c>
      <c r="Q1" s="12" t="s">
        <v>23</v>
      </c>
      <c r="R1" s="11" t="s">
        <v>24</v>
      </c>
      <c r="S1" s="11" t="s">
        <v>25</v>
      </c>
      <c r="T1" s="11" t="s">
        <v>26</v>
      </c>
      <c r="U1" s="11" t="s">
        <v>27</v>
      </c>
    </row>
    <row r="2" spans="1:21" x14ac:dyDescent="0.2">
      <c r="A2" s="25" t="s">
        <v>48</v>
      </c>
      <c r="B2" s="25" t="s">
        <v>49</v>
      </c>
      <c r="C2" s="25" t="s">
        <v>50</v>
      </c>
      <c r="D2" s="25" t="s">
        <v>57</v>
      </c>
      <c r="E2" s="25" t="s">
        <v>58</v>
      </c>
      <c r="F2" s="25" t="s">
        <v>32</v>
      </c>
      <c r="G2" s="25" t="s">
        <v>53</v>
      </c>
      <c r="H2" s="25" t="s">
        <v>28</v>
      </c>
      <c r="I2" s="25" t="s">
        <v>48</v>
      </c>
      <c r="J2" s="25" t="s">
        <v>49</v>
      </c>
      <c r="K2" s="28">
        <v>0.5</v>
      </c>
      <c r="L2" s="25" t="s">
        <v>52</v>
      </c>
      <c r="M2" s="25">
        <v>2016</v>
      </c>
      <c r="N2" s="25" t="s">
        <v>29</v>
      </c>
      <c r="O2" s="26" t="s">
        <v>29</v>
      </c>
      <c r="P2" s="25" t="s">
        <v>29</v>
      </c>
      <c r="Q2" s="26" t="s">
        <v>29</v>
      </c>
      <c r="R2" s="27">
        <v>100</v>
      </c>
      <c r="S2" s="28">
        <v>0.5</v>
      </c>
      <c r="T2" s="28">
        <v>0</v>
      </c>
      <c r="U2" s="28">
        <v>0</v>
      </c>
    </row>
    <row r="3" spans="1:21" x14ac:dyDescent="0.2">
      <c r="A3" s="25" t="s">
        <v>48</v>
      </c>
      <c r="B3" s="25" t="s">
        <v>49</v>
      </c>
      <c r="C3" s="25" t="s">
        <v>50</v>
      </c>
      <c r="D3" s="25" t="s">
        <v>57</v>
      </c>
      <c r="E3" s="25" t="s">
        <v>58</v>
      </c>
      <c r="F3" s="25" t="s">
        <v>32</v>
      </c>
      <c r="G3" s="25" t="s">
        <v>56</v>
      </c>
      <c r="H3" s="25" t="s">
        <v>28</v>
      </c>
      <c r="I3" s="25" t="s">
        <v>48</v>
      </c>
      <c r="J3" s="25" t="s">
        <v>49</v>
      </c>
      <c r="K3" s="28">
        <v>0.5</v>
      </c>
      <c r="L3" s="25" t="s">
        <v>52</v>
      </c>
      <c r="M3" s="25">
        <v>2016</v>
      </c>
      <c r="N3" s="25" t="s">
        <v>29</v>
      </c>
      <c r="O3" s="26" t="s">
        <v>29</v>
      </c>
      <c r="P3" s="25" t="s">
        <v>29</v>
      </c>
      <c r="Q3" s="26" t="s">
        <v>29</v>
      </c>
      <c r="R3" s="27">
        <v>100</v>
      </c>
      <c r="S3" s="28">
        <v>0.5</v>
      </c>
      <c r="T3" s="28">
        <v>0</v>
      </c>
      <c r="U3" s="28">
        <v>0</v>
      </c>
    </row>
    <row r="4" spans="1:21" x14ac:dyDescent="0.2">
      <c r="A4" s="25" t="s">
        <v>48</v>
      </c>
      <c r="B4" s="25" t="s">
        <v>49</v>
      </c>
      <c r="C4" s="25" t="s">
        <v>50</v>
      </c>
      <c r="D4" s="25" t="s">
        <v>59</v>
      </c>
      <c r="E4" s="25" t="s">
        <v>60</v>
      </c>
      <c r="F4" s="25" t="s">
        <v>42</v>
      </c>
      <c r="G4" s="25" t="s">
        <v>51</v>
      </c>
      <c r="H4" s="25" t="s">
        <v>30</v>
      </c>
      <c r="I4" s="25" t="s">
        <v>48</v>
      </c>
      <c r="J4" s="25" t="s">
        <v>49</v>
      </c>
      <c r="K4" s="28">
        <v>1</v>
      </c>
      <c r="L4" s="25" t="s">
        <v>52</v>
      </c>
      <c r="M4" s="25">
        <v>2016</v>
      </c>
      <c r="N4" s="25" t="s">
        <v>29</v>
      </c>
      <c r="O4" s="26" t="s">
        <v>29</v>
      </c>
      <c r="P4" s="25" t="s">
        <v>29</v>
      </c>
      <c r="Q4" s="26" t="s">
        <v>29</v>
      </c>
      <c r="R4" s="27">
        <v>100</v>
      </c>
      <c r="S4" s="28">
        <v>1</v>
      </c>
      <c r="T4" s="28">
        <v>0</v>
      </c>
      <c r="U4" s="28">
        <v>0</v>
      </c>
    </row>
    <row r="5" spans="1:21" x14ac:dyDescent="0.2">
      <c r="A5" s="25" t="s">
        <v>35</v>
      </c>
      <c r="B5" s="25" t="s">
        <v>36</v>
      </c>
      <c r="C5" s="25" t="s">
        <v>33</v>
      </c>
      <c r="D5" s="25" t="s">
        <v>61</v>
      </c>
      <c r="E5" s="25" t="s">
        <v>62</v>
      </c>
      <c r="F5" s="25" t="s">
        <v>43</v>
      </c>
      <c r="G5" s="25" t="s">
        <v>51</v>
      </c>
      <c r="H5" s="25" t="s">
        <v>30</v>
      </c>
      <c r="I5" s="25" t="s">
        <v>48</v>
      </c>
      <c r="J5" s="25" t="s">
        <v>49</v>
      </c>
      <c r="K5" s="28">
        <v>1</v>
      </c>
      <c r="L5" s="25" t="s">
        <v>52</v>
      </c>
      <c r="M5" s="25">
        <v>2016</v>
      </c>
      <c r="N5" s="25" t="s">
        <v>29</v>
      </c>
      <c r="O5" s="26" t="s">
        <v>29</v>
      </c>
      <c r="P5" s="25" t="s">
        <v>29</v>
      </c>
      <c r="Q5" s="26" t="s">
        <v>29</v>
      </c>
      <c r="R5" s="27">
        <v>100</v>
      </c>
      <c r="S5" s="28">
        <v>1</v>
      </c>
      <c r="T5" s="28">
        <v>0</v>
      </c>
      <c r="U5" s="28">
        <v>0</v>
      </c>
    </row>
    <row r="6" spans="1:21" x14ac:dyDescent="0.2">
      <c r="A6" s="25" t="s">
        <v>35</v>
      </c>
      <c r="B6" s="25" t="s">
        <v>36</v>
      </c>
      <c r="C6" s="25" t="s">
        <v>33</v>
      </c>
      <c r="D6" s="25" t="s">
        <v>68</v>
      </c>
      <c r="E6" s="25" t="s">
        <v>69</v>
      </c>
      <c r="F6" s="25" t="s">
        <v>70</v>
      </c>
      <c r="G6" s="25" t="s">
        <v>53</v>
      </c>
      <c r="H6" s="25" t="s">
        <v>30</v>
      </c>
      <c r="I6" s="25" t="s">
        <v>48</v>
      </c>
      <c r="J6" s="25" t="s">
        <v>49</v>
      </c>
      <c r="K6" s="28">
        <v>1</v>
      </c>
      <c r="L6" s="25" t="s">
        <v>52</v>
      </c>
      <c r="M6" s="25">
        <v>2017</v>
      </c>
      <c r="N6" s="25" t="s">
        <v>29</v>
      </c>
      <c r="O6" s="26" t="s">
        <v>29</v>
      </c>
      <c r="P6" s="25" t="s">
        <v>29</v>
      </c>
      <c r="Q6" s="26" t="s">
        <v>29</v>
      </c>
      <c r="R6" s="27">
        <v>100</v>
      </c>
      <c r="S6" s="28">
        <v>1</v>
      </c>
      <c r="T6" s="28">
        <v>0</v>
      </c>
      <c r="U6" s="28">
        <v>0</v>
      </c>
    </row>
    <row r="7" spans="1:21" x14ac:dyDescent="0.2">
      <c r="A7" s="25" t="s">
        <v>35</v>
      </c>
      <c r="B7" s="25" t="s">
        <v>36</v>
      </c>
      <c r="C7" s="25" t="s">
        <v>33</v>
      </c>
      <c r="D7" s="25" t="s">
        <v>63</v>
      </c>
      <c r="E7" s="25" t="s">
        <v>64</v>
      </c>
      <c r="F7" s="25" t="s">
        <v>47</v>
      </c>
      <c r="G7" s="25" t="s">
        <v>55</v>
      </c>
      <c r="H7" s="25" t="s">
        <v>30</v>
      </c>
      <c r="I7" s="25" t="s">
        <v>48</v>
      </c>
      <c r="J7" s="25" t="s">
        <v>49</v>
      </c>
      <c r="K7" s="28">
        <v>1</v>
      </c>
      <c r="L7" s="25" t="s">
        <v>52</v>
      </c>
      <c r="M7" s="25">
        <v>2017</v>
      </c>
      <c r="N7" s="25" t="s">
        <v>29</v>
      </c>
      <c r="O7" s="26" t="s">
        <v>29</v>
      </c>
      <c r="P7" s="25" t="s">
        <v>29</v>
      </c>
      <c r="Q7" s="26" t="s">
        <v>29</v>
      </c>
      <c r="R7" s="27">
        <v>100</v>
      </c>
      <c r="S7" s="28">
        <v>1</v>
      </c>
      <c r="T7" s="28">
        <v>0</v>
      </c>
      <c r="U7" s="28">
        <v>0</v>
      </c>
    </row>
    <row r="8" spans="1:21" x14ac:dyDescent="0.2">
      <c r="A8" s="25" t="s">
        <v>35</v>
      </c>
      <c r="B8" s="25" t="s">
        <v>36</v>
      </c>
      <c r="C8" s="25" t="s">
        <v>33</v>
      </c>
      <c r="D8" s="25" t="s">
        <v>65</v>
      </c>
      <c r="E8" s="25" t="s">
        <v>66</v>
      </c>
      <c r="F8" s="25" t="s">
        <v>67</v>
      </c>
      <c r="G8" s="25" t="s">
        <v>53</v>
      </c>
      <c r="H8" s="25" t="s">
        <v>28</v>
      </c>
      <c r="I8" s="25" t="s">
        <v>48</v>
      </c>
      <c r="J8" s="25" t="s">
        <v>49</v>
      </c>
      <c r="K8" s="28">
        <v>0.5</v>
      </c>
      <c r="L8" s="25" t="s">
        <v>52</v>
      </c>
      <c r="M8" s="25">
        <v>2017</v>
      </c>
      <c r="N8" s="25" t="s">
        <v>29</v>
      </c>
      <c r="O8" s="26" t="s">
        <v>29</v>
      </c>
      <c r="P8" s="25" t="s">
        <v>29</v>
      </c>
      <c r="Q8" s="26" t="s">
        <v>29</v>
      </c>
      <c r="R8" s="27">
        <v>100</v>
      </c>
      <c r="S8" s="28">
        <v>0.5</v>
      </c>
      <c r="T8" s="28">
        <v>0</v>
      </c>
      <c r="U8" s="28">
        <v>0</v>
      </c>
    </row>
    <row r="9" spans="1:21" x14ac:dyDescent="0.2">
      <c r="A9" s="25" t="s">
        <v>35</v>
      </c>
      <c r="B9" s="25" t="s">
        <v>36</v>
      </c>
      <c r="C9" s="25" t="s">
        <v>33</v>
      </c>
      <c r="D9" s="25" t="s">
        <v>65</v>
      </c>
      <c r="E9" s="25" t="s">
        <v>66</v>
      </c>
      <c r="F9" s="25" t="s">
        <v>67</v>
      </c>
      <c r="G9" s="25" t="s">
        <v>56</v>
      </c>
      <c r="H9" s="25" t="s">
        <v>28</v>
      </c>
      <c r="I9" s="25" t="s">
        <v>48</v>
      </c>
      <c r="J9" s="25" t="s">
        <v>49</v>
      </c>
      <c r="K9" s="28">
        <v>0.5</v>
      </c>
      <c r="L9" s="25" t="s">
        <v>52</v>
      </c>
      <c r="M9" s="25">
        <v>2017</v>
      </c>
      <c r="N9" s="25" t="s">
        <v>29</v>
      </c>
      <c r="O9" s="26" t="s">
        <v>29</v>
      </c>
      <c r="P9" s="25" t="s">
        <v>29</v>
      </c>
      <c r="Q9" s="26" t="s">
        <v>29</v>
      </c>
      <c r="R9" s="27">
        <v>100</v>
      </c>
      <c r="S9" s="28">
        <v>0.5</v>
      </c>
      <c r="T9" s="28">
        <v>0</v>
      </c>
      <c r="U9" s="28">
        <v>0</v>
      </c>
    </row>
    <row r="10" spans="1:21" x14ac:dyDescent="0.2">
      <c r="A10" s="25" t="s">
        <v>37</v>
      </c>
      <c r="B10" s="25" t="s">
        <v>38</v>
      </c>
      <c r="C10" s="25" t="s">
        <v>39</v>
      </c>
      <c r="D10" s="25" t="s">
        <v>40</v>
      </c>
      <c r="E10" s="25" t="s">
        <v>41</v>
      </c>
      <c r="F10" s="25" t="s">
        <v>34</v>
      </c>
      <c r="G10" s="25" t="s">
        <v>51</v>
      </c>
      <c r="H10" s="25" t="s">
        <v>28</v>
      </c>
      <c r="I10" s="25" t="s">
        <v>48</v>
      </c>
      <c r="J10" s="25" t="s">
        <v>49</v>
      </c>
      <c r="K10" s="28">
        <v>0.5</v>
      </c>
      <c r="L10" s="25" t="s">
        <v>52</v>
      </c>
      <c r="M10" s="25">
        <v>2017</v>
      </c>
      <c r="N10" s="25" t="s">
        <v>29</v>
      </c>
      <c r="O10" s="26" t="s">
        <v>29</v>
      </c>
      <c r="P10" s="25" t="s">
        <v>29</v>
      </c>
      <c r="Q10" s="26" t="s">
        <v>29</v>
      </c>
      <c r="R10" s="27">
        <v>100</v>
      </c>
      <c r="S10" s="28">
        <v>0.5</v>
      </c>
      <c r="T10" s="28">
        <v>0</v>
      </c>
      <c r="U10" s="28">
        <v>0</v>
      </c>
    </row>
    <row r="11" spans="1:21" x14ac:dyDescent="0.2">
      <c r="A11" s="25" t="s">
        <v>37</v>
      </c>
      <c r="B11" s="25" t="s">
        <v>38</v>
      </c>
      <c r="C11" s="25" t="s">
        <v>39</v>
      </c>
      <c r="D11" s="25" t="s">
        <v>44</v>
      </c>
      <c r="E11" s="25" t="s">
        <v>45</v>
      </c>
      <c r="F11" s="25" t="s">
        <v>46</v>
      </c>
      <c r="G11" s="25" t="s">
        <v>55</v>
      </c>
      <c r="H11" s="25" t="s">
        <v>28</v>
      </c>
      <c r="I11" s="25" t="s">
        <v>48</v>
      </c>
      <c r="J11" s="25" t="s">
        <v>49</v>
      </c>
      <c r="K11" s="28">
        <v>0.5</v>
      </c>
      <c r="L11" s="25" t="s">
        <v>52</v>
      </c>
      <c r="M11" s="25">
        <v>2017</v>
      </c>
      <c r="N11" s="25" t="s">
        <v>29</v>
      </c>
      <c r="O11" s="26" t="s">
        <v>29</v>
      </c>
      <c r="P11" s="25" t="s">
        <v>29</v>
      </c>
      <c r="Q11" s="26" t="s">
        <v>29</v>
      </c>
      <c r="R11" s="27">
        <v>100</v>
      </c>
      <c r="S11" s="28">
        <v>0.5</v>
      </c>
      <c r="T11" s="28">
        <v>0</v>
      </c>
      <c r="U11" s="28">
        <v>0</v>
      </c>
    </row>
    <row r="12" spans="1:21" x14ac:dyDescent="0.2">
      <c r="A12" s="25" t="s">
        <v>35</v>
      </c>
      <c r="B12" s="25" t="s">
        <v>36</v>
      </c>
      <c r="C12" s="25" t="s">
        <v>33</v>
      </c>
      <c r="D12" s="25" t="s">
        <v>71</v>
      </c>
      <c r="E12" s="25" t="s">
        <v>72</v>
      </c>
      <c r="F12" s="25" t="s">
        <v>31</v>
      </c>
      <c r="G12" s="25" t="s">
        <v>53</v>
      </c>
      <c r="H12" s="25" t="s">
        <v>30</v>
      </c>
      <c r="I12" s="25" t="s">
        <v>48</v>
      </c>
      <c r="J12" s="25" t="s">
        <v>49</v>
      </c>
      <c r="K12" s="51">
        <v>1</v>
      </c>
      <c r="L12" s="25" t="s">
        <v>52</v>
      </c>
      <c r="M12" s="25">
        <v>2018</v>
      </c>
      <c r="N12" s="25" t="s">
        <v>29</v>
      </c>
      <c r="O12" s="26" t="s">
        <v>29</v>
      </c>
      <c r="P12" s="25" t="s">
        <v>29</v>
      </c>
      <c r="Q12" s="26" t="s">
        <v>29</v>
      </c>
      <c r="R12" s="27">
        <v>100</v>
      </c>
      <c r="S12" s="28">
        <v>1</v>
      </c>
      <c r="T12" s="28">
        <v>0</v>
      </c>
      <c r="U12" s="28">
        <v>0</v>
      </c>
    </row>
    <row r="13" spans="1:21" x14ac:dyDescent="0.2">
      <c r="A13" s="25" t="s">
        <v>35</v>
      </c>
      <c r="B13" s="25" t="s">
        <v>36</v>
      </c>
      <c r="C13" s="25" t="s">
        <v>33</v>
      </c>
      <c r="D13" s="25" t="s">
        <v>73</v>
      </c>
      <c r="E13" s="25" t="s">
        <v>74</v>
      </c>
      <c r="F13" s="25" t="s">
        <v>75</v>
      </c>
      <c r="G13" s="25" t="s">
        <v>55</v>
      </c>
      <c r="H13" s="25" t="s">
        <v>30</v>
      </c>
      <c r="I13" s="25" t="s">
        <v>48</v>
      </c>
      <c r="J13" s="25" t="s">
        <v>49</v>
      </c>
      <c r="K13" s="51">
        <v>1</v>
      </c>
      <c r="L13" s="25" t="s">
        <v>52</v>
      </c>
      <c r="M13" s="25">
        <v>2018</v>
      </c>
      <c r="N13" s="25" t="s">
        <v>29</v>
      </c>
      <c r="O13" s="26" t="s">
        <v>29</v>
      </c>
      <c r="P13" s="25" t="s">
        <v>29</v>
      </c>
      <c r="Q13" s="26" t="s">
        <v>29</v>
      </c>
      <c r="R13" s="27">
        <v>100</v>
      </c>
      <c r="S13" s="28">
        <v>1</v>
      </c>
      <c r="T13" s="28">
        <v>0</v>
      </c>
      <c r="U13" s="28">
        <v>0</v>
      </c>
    </row>
    <row r="14" spans="1:21" x14ac:dyDescent="0.2">
      <c r="A14" s="29" t="s">
        <v>35</v>
      </c>
      <c r="B14" s="29" t="s">
        <v>36</v>
      </c>
      <c r="C14" s="29" t="s">
        <v>33</v>
      </c>
      <c r="D14" s="29" t="s">
        <v>105</v>
      </c>
      <c r="E14" s="29" t="s">
        <v>106</v>
      </c>
      <c r="F14" s="29" t="s">
        <v>107</v>
      </c>
      <c r="G14" s="29" t="s">
        <v>56</v>
      </c>
      <c r="H14" s="29" t="s">
        <v>30</v>
      </c>
      <c r="I14" s="29" t="s">
        <v>48</v>
      </c>
      <c r="J14" s="29" t="s">
        <v>49</v>
      </c>
      <c r="K14" s="52">
        <v>1</v>
      </c>
      <c r="L14" s="29" t="s">
        <v>52</v>
      </c>
      <c r="M14" s="29">
        <v>2019</v>
      </c>
      <c r="N14" s="29" t="s">
        <v>29</v>
      </c>
      <c r="O14" s="30" t="s">
        <v>29</v>
      </c>
      <c r="P14" s="29" t="s">
        <v>29</v>
      </c>
      <c r="Q14" s="30" t="s">
        <v>29</v>
      </c>
      <c r="R14" s="31">
        <v>100</v>
      </c>
      <c r="S14" s="32">
        <v>1</v>
      </c>
      <c r="T14" s="32">
        <v>0</v>
      </c>
      <c r="U14" s="32">
        <v>0</v>
      </c>
    </row>
    <row r="15" spans="1:21" ht="10.8" thickBot="1" x14ac:dyDescent="0.25">
      <c r="A15" s="25" t="s">
        <v>37</v>
      </c>
      <c r="B15" s="25" t="s">
        <v>38</v>
      </c>
      <c r="C15" s="25" t="s">
        <v>39</v>
      </c>
      <c r="D15" s="25" t="s">
        <v>113</v>
      </c>
      <c r="E15" s="25" t="s">
        <v>114</v>
      </c>
      <c r="F15" s="25" t="s">
        <v>115</v>
      </c>
      <c r="G15" s="25" t="s">
        <v>116</v>
      </c>
      <c r="H15" s="25" t="s">
        <v>28</v>
      </c>
      <c r="I15" s="25" t="s">
        <v>48</v>
      </c>
      <c r="J15" s="25" t="s">
        <v>49</v>
      </c>
      <c r="K15" s="33">
        <v>0.5</v>
      </c>
      <c r="L15" s="33" t="s">
        <v>52</v>
      </c>
      <c r="M15" s="34">
        <v>2019</v>
      </c>
      <c r="N15" s="25" t="s">
        <v>29</v>
      </c>
      <c r="O15" s="26" t="s">
        <v>29</v>
      </c>
      <c r="P15" s="25" t="s">
        <v>29</v>
      </c>
      <c r="Q15" s="26" t="s">
        <v>29</v>
      </c>
      <c r="R15" s="25">
        <v>100</v>
      </c>
      <c r="S15" s="25">
        <v>0.5</v>
      </c>
      <c r="T15" s="25">
        <v>0</v>
      </c>
      <c r="U15" s="25">
        <v>0</v>
      </c>
    </row>
    <row r="16" spans="1:21" ht="10.8" thickBot="1" x14ac:dyDescent="0.25">
      <c r="A16" s="35" t="s">
        <v>48</v>
      </c>
      <c r="B16" s="35" t="s">
        <v>49</v>
      </c>
      <c r="C16" s="35" t="s">
        <v>33</v>
      </c>
      <c r="D16" s="35" t="s">
        <v>117</v>
      </c>
      <c r="E16" s="35" t="s">
        <v>118</v>
      </c>
      <c r="F16" s="35" t="s">
        <v>119</v>
      </c>
      <c r="G16" s="36" t="s">
        <v>51</v>
      </c>
      <c r="H16" s="37" t="s">
        <v>30</v>
      </c>
      <c r="I16" s="37" t="s">
        <v>48</v>
      </c>
      <c r="J16" s="38" t="s">
        <v>49</v>
      </c>
      <c r="K16" s="33">
        <v>1</v>
      </c>
      <c r="L16" s="33" t="s">
        <v>52</v>
      </c>
      <c r="M16" s="25">
        <v>2020</v>
      </c>
      <c r="N16" s="25" t="s">
        <v>29</v>
      </c>
      <c r="O16" s="26" t="s">
        <v>29</v>
      </c>
      <c r="P16" s="25" t="s">
        <v>29</v>
      </c>
      <c r="Q16" s="26" t="s">
        <v>29</v>
      </c>
      <c r="R16" s="25">
        <v>100</v>
      </c>
      <c r="S16" s="25">
        <v>1</v>
      </c>
      <c r="T16" s="25">
        <v>0</v>
      </c>
      <c r="U16" s="25">
        <v>0</v>
      </c>
    </row>
    <row r="17" spans="1:21" ht="10.8" thickBot="1" x14ac:dyDescent="0.25">
      <c r="A17" s="35" t="s">
        <v>48</v>
      </c>
      <c r="B17" s="35" t="s">
        <v>49</v>
      </c>
      <c r="C17" s="35" t="s">
        <v>33</v>
      </c>
      <c r="D17" s="35" t="s">
        <v>120</v>
      </c>
      <c r="E17" s="35" t="s">
        <v>121</v>
      </c>
      <c r="F17" s="35" t="s">
        <v>122</v>
      </c>
      <c r="G17" s="36" t="s">
        <v>55</v>
      </c>
      <c r="H17" s="37" t="s">
        <v>30</v>
      </c>
      <c r="I17" s="37" t="s">
        <v>48</v>
      </c>
      <c r="J17" s="38" t="s">
        <v>49</v>
      </c>
      <c r="K17" s="33">
        <v>1</v>
      </c>
      <c r="L17" s="33" t="s">
        <v>52</v>
      </c>
      <c r="M17" s="25">
        <v>2020</v>
      </c>
      <c r="N17" s="25" t="s">
        <v>29</v>
      </c>
      <c r="O17" s="26" t="s">
        <v>29</v>
      </c>
      <c r="P17" s="25" t="s">
        <v>29</v>
      </c>
      <c r="Q17" s="26" t="s">
        <v>29</v>
      </c>
      <c r="R17" s="25">
        <v>100</v>
      </c>
      <c r="S17" s="25">
        <v>1</v>
      </c>
      <c r="T17" s="25">
        <v>0</v>
      </c>
      <c r="U17" s="25">
        <v>0</v>
      </c>
    </row>
    <row r="18" spans="1:21" ht="10.8" thickBot="1" x14ac:dyDescent="0.25">
      <c r="A18" s="35" t="s">
        <v>48</v>
      </c>
      <c r="B18" s="35" t="s">
        <v>49</v>
      </c>
      <c r="C18" s="35" t="s">
        <v>33</v>
      </c>
      <c r="D18" s="35" t="s">
        <v>123</v>
      </c>
      <c r="E18" s="35" t="s">
        <v>124</v>
      </c>
      <c r="F18" s="35" t="s">
        <v>125</v>
      </c>
      <c r="G18" s="36" t="s">
        <v>53</v>
      </c>
      <c r="H18" s="37" t="s">
        <v>28</v>
      </c>
      <c r="I18" s="37" t="s">
        <v>48</v>
      </c>
      <c r="J18" s="38" t="s">
        <v>49</v>
      </c>
      <c r="K18" s="33">
        <v>0.5</v>
      </c>
      <c r="L18" s="33" t="s">
        <v>52</v>
      </c>
      <c r="M18" s="25">
        <v>2020</v>
      </c>
      <c r="N18" s="25" t="s">
        <v>29</v>
      </c>
      <c r="O18" s="26" t="s">
        <v>29</v>
      </c>
      <c r="P18" s="25" t="s">
        <v>29</v>
      </c>
      <c r="Q18" s="26" t="s">
        <v>29</v>
      </c>
      <c r="R18" s="25">
        <v>100</v>
      </c>
      <c r="S18" s="25">
        <v>0.5</v>
      </c>
      <c r="T18" s="25">
        <v>0</v>
      </c>
      <c r="U18" s="25">
        <v>0</v>
      </c>
    </row>
    <row r="19" spans="1:21" ht="10.8" thickBot="1" x14ac:dyDescent="0.25">
      <c r="A19" s="35" t="s">
        <v>48</v>
      </c>
      <c r="B19" s="35" t="s">
        <v>49</v>
      </c>
      <c r="C19" s="35" t="s">
        <v>33</v>
      </c>
      <c r="D19" s="35" t="s">
        <v>123</v>
      </c>
      <c r="E19" s="35" t="s">
        <v>124</v>
      </c>
      <c r="F19" s="35" t="s">
        <v>125</v>
      </c>
      <c r="G19" s="36" t="s">
        <v>126</v>
      </c>
      <c r="H19" s="37" t="s">
        <v>28</v>
      </c>
      <c r="I19" s="37" t="s">
        <v>48</v>
      </c>
      <c r="J19" s="38" t="s">
        <v>49</v>
      </c>
      <c r="K19" s="33">
        <v>0.5</v>
      </c>
      <c r="L19" s="33" t="s">
        <v>52</v>
      </c>
      <c r="M19" s="25">
        <v>2020</v>
      </c>
      <c r="N19" s="25" t="s">
        <v>29</v>
      </c>
      <c r="O19" s="26" t="s">
        <v>29</v>
      </c>
      <c r="P19" s="25" t="s">
        <v>29</v>
      </c>
      <c r="Q19" s="26" t="s">
        <v>29</v>
      </c>
      <c r="R19" s="25">
        <v>100</v>
      </c>
      <c r="S19" s="25">
        <v>0.5</v>
      </c>
      <c r="T19" s="25">
        <v>0</v>
      </c>
      <c r="U19" s="25">
        <v>0</v>
      </c>
    </row>
    <row r="20" spans="1:21" ht="10.8" thickBot="1" x14ac:dyDescent="0.25">
      <c r="A20" s="35" t="s">
        <v>35</v>
      </c>
      <c r="B20" s="35" t="s">
        <v>36</v>
      </c>
      <c r="C20" s="35" t="s">
        <v>33</v>
      </c>
      <c r="D20" s="35" t="s">
        <v>127</v>
      </c>
      <c r="E20" s="35" t="s">
        <v>128</v>
      </c>
      <c r="F20" s="35" t="s">
        <v>129</v>
      </c>
      <c r="G20" s="36" t="s">
        <v>56</v>
      </c>
      <c r="H20" s="37" t="s">
        <v>30</v>
      </c>
      <c r="I20" s="37" t="s">
        <v>48</v>
      </c>
      <c r="J20" s="38" t="s">
        <v>49</v>
      </c>
      <c r="K20" s="33">
        <v>1</v>
      </c>
      <c r="L20" s="33" t="s">
        <v>52</v>
      </c>
      <c r="M20" s="25">
        <v>2020</v>
      </c>
      <c r="N20" s="25" t="s">
        <v>29</v>
      </c>
      <c r="O20" s="26" t="s">
        <v>29</v>
      </c>
      <c r="P20" s="25" t="s">
        <v>29</v>
      </c>
      <c r="Q20" s="26" t="s">
        <v>29</v>
      </c>
      <c r="R20" s="25">
        <v>100</v>
      </c>
      <c r="S20" s="25">
        <v>1</v>
      </c>
      <c r="T20" s="25">
        <v>0</v>
      </c>
      <c r="U20" s="25">
        <v>0</v>
      </c>
    </row>
    <row r="21" spans="1:21" ht="10.8" thickBot="1" x14ac:dyDescent="0.25">
      <c r="A21" s="35" t="s">
        <v>35</v>
      </c>
      <c r="B21" s="35" t="s">
        <v>36</v>
      </c>
      <c r="C21" s="35" t="s">
        <v>33</v>
      </c>
      <c r="D21" s="35" t="s">
        <v>130</v>
      </c>
      <c r="E21" s="35" t="s">
        <v>131</v>
      </c>
      <c r="F21" s="35" t="s">
        <v>132</v>
      </c>
      <c r="G21" s="36" t="s">
        <v>51</v>
      </c>
      <c r="H21" s="37" t="s">
        <v>30</v>
      </c>
      <c r="I21" s="37" t="s">
        <v>48</v>
      </c>
      <c r="J21" s="38" t="s">
        <v>49</v>
      </c>
      <c r="K21" s="33">
        <v>1</v>
      </c>
      <c r="L21" s="33" t="s">
        <v>52</v>
      </c>
      <c r="M21" s="25">
        <v>2020</v>
      </c>
      <c r="N21" s="25" t="s">
        <v>29</v>
      </c>
      <c r="O21" s="26" t="s">
        <v>29</v>
      </c>
      <c r="P21" s="25" t="s">
        <v>29</v>
      </c>
      <c r="Q21" s="26" t="s">
        <v>29</v>
      </c>
      <c r="R21" s="25">
        <v>100</v>
      </c>
      <c r="S21" s="25">
        <v>1</v>
      </c>
      <c r="T21" s="25">
        <v>0</v>
      </c>
      <c r="U21" s="25">
        <v>0</v>
      </c>
    </row>
    <row r="22" spans="1:21" ht="10.8" thickBot="1" x14ac:dyDescent="0.25">
      <c r="A22" s="35" t="s">
        <v>35</v>
      </c>
      <c r="B22" s="35" t="s">
        <v>36</v>
      </c>
      <c r="C22" s="35" t="s">
        <v>33</v>
      </c>
      <c r="D22" s="35" t="s">
        <v>133</v>
      </c>
      <c r="E22" s="35" t="s">
        <v>134</v>
      </c>
      <c r="F22" s="35" t="s">
        <v>135</v>
      </c>
      <c r="G22" s="36" t="s">
        <v>51</v>
      </c>
      <c r="H22" s="37" t="s">
        <v>30</v>
      </c>
      <c r="I22" s="37" t="s">
        <v>48</v>
      </c>
      <c r="J22" s="38" t="s">
        <v>49</v>
      </c>
      <c r="K22" s="33">
        <v>1</v>
      </c>
      <c r="L22" s="33" t="s">
        <v>52</v>
      </c>
      <c r="M22" s="25">
        <v>2020</v>
      </c>
      <c r="N22" s="25" t="s">
        <v>29</v>
      </c>
      <c r="O22" s="26" t="s">
        <v>29</v>
      </c>
      <c r="P22" s="25" t="s">
        <v>29</v>
      </c>
      <c r="Q22" s="26" t="s">
        <v>29</v>
      </c>
      <c r="R22" s="25">
        <v>100</v>
      </c>
      <c r="S22" s="25">
        <v>1</v>
      </c>
      <c r="T22" s="25">
        <v>0</v>
      </c>
      <c r="U22" s="25">
        <v>0</v>
      </c>
    </row>
    <row r="23" spans="1:21" ht="10.8" thickBot="1" x14ac:dyDescent="0.25">
      <c r="A23" s="35" t="s">
        <v>35</v>
      </c>
      <c r="B23" s="35" t="s">
        <v>36</v>
      </c>
      <c r="C23" s="35" t="s">
        <v>33</v>
      </c>
      <c r="D23" s="35" t="s">
        <v>136</v>
      </c>
      <c r="E23" s="35" t="s">
        <v>137</v>
      </c>
      <c r="F23" s="35" t="s">
        <v>138</v>
      </c>
      <c r="G23" s="36" t="s">
        <v>53</v>
      </c>
      <c r="H23" s="37" t="s">
        <v>30</v>
      </c>
      <c r="I23" s="37" t="s">
        <v>48</v>
      </c>
      <c r="J23" s="38" t="s">
        <v>49</v>
      </c>
      <c r="K23" s="33">
        <v>1</v>
      </c>
      <c r="L23" s="33" t="s">
        <v>52</v>
      </c>
      <c r="M23" s="25">
        <v>2020</v>
      </c>
      <c r="N23" s="25" t="s">
        <v>29</v>
      </c>
      <c r="O23" s="26" t="s">
        <v>29</v>
      </c>
      <c r="P23" s="25" t="s">
        <v>29</v>
      </c>
      <c r="Q23" s="26" t="s">
        <v>29</v>
      </c>
      <c r="R23" s="25">
        <v>100</v>
      </c>
      <c r="S23" s="25">
        <v>1</v>
      </c>
      <c r="T23" s="25">
        <v>0</v>
      </c>
      <c r="U23" s="25">
        <v>0</v>
      </c>
    </row>
    <row r="24" spans="1:21" ht="10.8" thickBot="1" x14ac:dyDescent="0.25">
      <c r="A24" s="35" t="s">
        <v>37</v>
      </c>
      <c r="B24" s="35" t="s">
        <v>38</v>
      </c>
      <c r="C24" s="35" t="s">
        <v>39</v>
      </c>
      <c r="D24" s="35" t="s">
        <v>139</v>
      </c>
      <c r="E24" s="35" t="s">
        <v>140</v>
      </c>
      <c r="F24" s="35" t="s">
        <v>141</v>
      </c>
      <c r="G24" s="36" t="s">
        <v>51</v>
      </c>
      <c r="H24" s="37" t="s">
        <v>28</v>
      </c>
      <c r="I24" s="37" t="s">
        <v>48</v>
      </c>
      <c r="J24" s="38" t="s">
        <v>49</v>
      </c>
      <c r="K24" s="33">
        <v>0.5</v>
      </c>
      <c r="L24" s="33" t="s">
        <v>52</v>
      </c>
      <c r="M24" s="25">
        <v>2020</v>
      </c>
      <c r="N24" s="25" t="s">
        <v>29</v>
      </c>
      <c r="O24" s="26" t="s">
        <v>29</v>
      </c>
      <c r="P24" s="25" t="s">
        <v>29</v>
      </c>
      <c r="Q24" s="26" t="s">
        <v>29</v>
      </c>
      <c r="R24" s="25">
        <v>100</v>
      </c>
      <c r="S24" s="25">
        <v>0.5</v>
      </c>
      <c r="T24" s="25">
        <v>0</v>
      </c>
      <c r="U24" s="25">
        <v>0</v>
      </c>
    </row>
    <row r="25" spans="1:21" x14ac:dyDescent="0.2">
      <c r="A25" s="25" t="s">
        <v>48</v>
      </c>
      <c r="B25" s="25" t="s">
        <v>49</v>
      </c>
      <c r="C25" s="25" t="s">
        <v>33</v>
      </c>
      <c r="D25" s="25" t="s">
        <v>200</v>
      </c>
      <c r="E25" s="25" t="s">
        <v>201</v>
      </c>
      <c r="F25" s="25" t="s">
        <v>202</v>
      </c>
      <c r="G25" s="25" t="s">
        <v>55</v>
      </c>
      <c r="H25" s="25" t="s">
        <v>28</v>
      </c>
      <c r="I25" s="25" t="s">
        <v>48</v>
      </c>
      <c r="J25" s="25" t="s">
        <v>49</v>
      </c>
      <c r="K25" s="33">
        <v>0.5</v>
      </c>
      <c r="L25" s="33" t="s">
        <v>52</v>
      </c>
      <c r="M25" s="25">
        <v>2021</v>
      </c>
      <c r="N25" s="25" t="s">
        <v>29</v>
      </c>
      <c r="O25" s="26" t="s">
        <v>29</v>
      </c>
      <c r="P25" s="25" t="s">
        <v>29</v>
      </c>
      <c r="Q25" s="26" t="s">
        <v>29</v>
      </c>
      <c r="R25" s="25">
        <v>100</v>
      </c>
      <c r="S25" s="25">
        <v>0.5</v>
      </c>
      <c r="T25" s="25">
        <v>0</v>
      </c>
      <c r="U25" s="25">
        <v>0</v>
      </c>
    </row>
    <row r="26" spans="1:21" x14ac:dyDescent="0.2">
      <c r="A26" s="25" t="s">
        <v>48</v>
      </c>
      <c r="B26" s="25" t="s">
        <v>49</v>
      </c>
      <c r="C26" s="25" t="s">
        <v>33</v>
      </c>
      <c r="D26" s="25" t="s">
        <v>203</v>
      </c>
      <c r="E26" s="25" t="s">
        <v>204</v>
      </c>
      <c r="F26" s="25" t="s">
        <v>205</v>
      </c>
      <c r="G26" s="25" t="s">
        <v>51</v>
      </c>
      <c r="H26" s="25" t="s">
        <v>28</v>
      </c>
      <c r="I26" s="25" t="s">
        <v>48</v>
      </c>
      <c r="J26" s="25" t="s">
        <v>49</v>
      </c>
      <c r="K26" s="33">
        <v>0.5</v>
      </c>
      <c r="L26" s="33" t="s">
        <v>52</v>
      </c>
      <c r="M26" s="25">
        <v>2021</v>
      </c>
      <c r="N26" s="25" t="s">
        <v>29</v>
      </c>
      <c r="O26" s="26" t="s">
        <v>29</v>
      </c>
      <c r="P26" s="25" t="s">
        <v>29</v>
      </c>
      <c r="Q26" s="26" t="s">
        <v>29</v>
      </c>
      <c r="R26" s="25">
        <v>100</v>
      </c>
      <c r="S26" s="25">
        <v>0.5</v>
      </c>
      <c r="T26" s="25">
        <v>0</v>
      </c>
      <c r="U26" s="25">
        <v>0</v>
      </c>
    </row>
    <row r="27" spans="1:21" x14ac:dyDescent="0.2">
      <c r="A27" s="25" t="s">
        <v>48</v>
      </c>
      <c r="B27" s="25" t="s">
        <v>49</v>
      </c>
      <c r="C27" s="25" t="s">
        <v>33</v>
      </c>
      <c r="D27" s="25" t="s">
        <v>206</v>
      </c>
      <c r="E27" s="25" t="s">
        <v>207</v>
      </c>
      <c r="F27" s="25" t="s">
        <v>208</v>
      </c>
      <c r="G27" s="25" t="s">
        <v>54</v>
      </c>
      <c r="H27" s="25" t="s">
        <v>30</v>
      </c>
      <c r="I27" s="25" t="s">
        <v>48</v>
      </c>
      <c r="J27" s="25" t="s">
        <v>49</v>
      </c>
      <c r="K27" s="33">
        <v>1</v>
      </c>
      <c r="L27" s="33" t="s">
        <v>52</v>
      </c>
      <c r="M27" s="25">
        <v>2021</v>
      </c>
      <c r="N27" s="25" t="s">
        <v>29</v>
      </c>
      <c r="O27" s="26" t="s">
        <v>29</v>
      </c>
      <c r="P27" s="25" t="s">
        <v>29</v>
      </c>
      <c r="Q27" s="26" t="s">
        <v>29</v>
      </c>
      <c r="R27" s="25">
        <v>100</v>
      </c>
      <c r="S27" s="25">
        <v>1</v>
      </c>
      <c r="T27" s="25">
        <v>0</v>
      </c>
      <c r="U27" s="25">
        <v>0</v>
      </c>
    </row>
    <row r="28" spans="1:21" x14ac:dyDescent="0.2">
      <c r="A28" s="25" t="s">
        <v>48</v>
      </c>
      <c r="B28" s="25" t="s">
        <v>49</v>
      </c>
      <c r="C28" s="25" t="s">
        <v>33</v>
      </c>
      <c r="D28" s="25" t="s">
        <v>209</v>
      </c>
      <c r="E28" s="25" t="s">
        <v>210</v>
      </c>
      <c r="F28" s="25" t="s">
        <v>211</v>
      </c>
      <c r="G28" s="25" t="s">
        <v>212</v>
      </c>
      <c r="H28" s="25" t="s">
        <v>28</v>
      </c>
      <c r="I28" s="25" t="s">
        <v>48</v>
      </c>
      <c r="J28" s="25" t="s">
        <v>49</v>
      </c>
      <c r="K28" s="33">
        <v>0.5</v>
      </c>
      <c r="L28" s="33" t="s">
        <v>52</v>
      </c>
      <c r="M28" s="25">
        <v>2021</v>
      </c>
      <c r="N28" s="25" t="s">
        <v>29</v>
      </c>
      <c r="O28" s="26" t="s">
        <v>29</v>
      </c>
      <c r="P28" s="25" t="s">
        <v>29</v>
      </c>
      <c r="Q28" s="26" t="s">
        <v>29</v>
      </c>
      <c r="R28" s="25">
        <v>100</v>
      </c>
      <c r="S28" s="25">
        <v>0.5</v>
      </c>
      <c r="T28" s="25">
        <v>0</v>
      </c>
      <c r="U28" s="25">
        <v>0</v>
      </c>
    </row>
    <row r="29" spans="1:21" x14ac:dyDescent="0.2">
      <c r="A29" s="25" t="s">
        <v>48</v>
      </c>
      <c r="B29" s="25" t="s">
        <v>49</v>
      </c>
      <c r="C29" s="25" t="s">
        <v>33</v>
      </c>
      <c r="D29" s="25" t="s">
        <v>209</v>
      </c>
      <c r="E29" s="25" t="s">
        <v>210</v>
      </c>
      <c r="F29" s="25" t="s">
        <v>211</v>
      </c>
      <c r="G29" s="25" t="s">
        <v>55</v>
      </c>
      <c r="H29" s="25" t="s">
        <v>28</v>
      </c>
      <c r="I29" s="25" t="s">
        <v>48</v>
      </c>
      <c r="J29" s="25" t="s">
        <v>49</v>
      </c>
      <c r="K29" s="33">
        <v>0.5</v>
      </c>
      <c r="L29" s="33" t="s">
        <v>52</v>
      </c>
      <c r="M29" s="25">
        <v>2021</v>
      </c>
      <c r="N29" s="25" t="s">
        <v>29</v>
      </c>
      <c r="O29" s="26" t="s">
        <v>29</v>
      </c>
      <c r="P29" s="25" t="s">
        <v>29</v>
      </c>
      <c r="Q29" s="26" t="s">
        <v>29</v>
      </c>
      <c r="R29" s="25">
        <v>100</v>
      </c>
      <c r="S29" s="25">
        <v>0.5</v>
      </c>
      <c r="T29" s="25">
        <v>0</v>
      </c>
      <c r="U29" s="25">
        <v>0</v>
      </c>
    </row>
    <row r="30" spans="1:21" x14ac:dyDescent="0.2">
      <c r="A30" s="25" t="s">
        <v>48</v>
      </c>
      <c r="B30" s="25" t="s">
        <v>49</v>
      </c>
      <c r="C30" s="25" t="s">
        <v>33</v>
      </c>
      <c r="D30" s="25" t="s">
        <v>213</v>
      </c>
      <c r="E30" s="25" t="s">
        <v>214</v>
      </c>
      <c r="F30" s="25" t="s">
        <v>215</v>
      </c>
      <c r="G30" s="25" t="s">
        <v>51</v>
      </c>
      <c r="H30" s="25" t="s">
        <v>30</v>
      </c>
      <c r="I30" s="25" t="s">
        <v>48</v>
      </c>
      <c r="J30" s="25" t="s">
        <v>49</v>
      </c>
      <c r="K30" s="33">
        <v>1</v>
      </c>
      <c r="L30" s="33" t="s">
        <v>52</v>
      </c>
      <c r="M30" s="25">
        <v>2021</v>
      </c>
      <c r="N30" s="25" t="s">
        <v>29</v>
      </c>
      <c r="O30" s="26" t="s">
        <v>29</v>
      </c>
      <c r="P30" s="25" t="s">
        <v>29</v>
      </c>
      <c r="Q30" s="26" t="s">
        <v>29</v>
      </c>
      <c r="R30" s="25">
        <v>100</v>
      </c>
      <c r="S30" s="25">
        <v>1</v>
      </c>
      <c r="T30" s="25">
        <v>0</v>
      </c>
      <c r="U30" s="25">
        <v>0</v>
      </c>
    </row>
    <row r="31" spans="1:21" x14ac:dyDescent="0.2">
      <c r="A31" s="25" t="s">
        <v>35</v>
      </c>
      <c r="B31" s="25" t="s">
        <v>36</v>
      </c>
      <c r="C31" s="25" t="s">
        <v>33</v>
      </c>
      <c r="D31" s="25" t="s">
        <v>216</v>
      </c>
      <c r="E31" s="25" t="s">
        <v>217</v>
      </c>
      <c r="F31" s="25" t="s">
        <v>218</v>
      </c>
      <c r="G31" s="25" t="s">
        <v>55</v>
      </c>
      <c r="H31" s="25" t="s">
        <v>30</v>
      </c>
      <c r="I31" s="25" t="s">
        <v>48</v>
      </c>
      <c r="J31" s="25" t="s">
        <v>49</v>
      </c>
      <c r="K31" s="33">
        <v>1</v>
      </c>
      <c r="L31" s="33" t="s">
        <v>52</v>
      </c>
      <c r="M31" s="25">
        <v>2021</v>
      </c>
      <c r="N31" s="25" t="s">
        <v>29</v>
      </c>
      <c r="O31" s="26" t="s">
        <v>29</v>
      </c>
      <c r="P31" s="25" t="s">
        <v>29</v>
      </c>
      <c r="Q31" s="26" t="s">
        <v>29</v>
      </c>
      <c r="R31" s="25">
        <v>100</v>
      </c>
      <c r="S31" s="25">
        <v>1</v>
      </c>
      <c r="T31" s="25">
        <v>0</v>
      </c>
      <c r="U31" s="25">
        <v>0</v>
      </c>
    </row>
    <row r="32" spans="1:21" x14ac:dyDescent="0.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53"/>
      <c r="Q32" s="54"/>
      <c r="R32" s="53"/>
      <c r="S32" s="57">
        <f>SUM(S2:S31)</f>
        <v>23</v>
      </c>
      <c r="T32" s="53"/>
      <c r="U32" s="53"/>
    </row>
  </sheetData>
  <autoFilter ref="A1:U1" xr:uid="{00000000-0009-0000-0000-000000000000}">
    <sortState xmlns:xlrd2="http://schemas.microsoft.com/office/spreadsheetml/2017/richdata2" ref="A2:T1877">
      <sortCondition ref="K2:K1877"/>
      <sortCondition ref="L2:L1877"/>
      <sortCondition ref="D2:D1877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3"/>
  <sheetViews>
    <sheetView zoomScaleNormal="100" workbookViewId="0">
      <selection activeCell="C14" sqref="C14"/>
    </sheetView>
  </sheetViews>
  <sheetFormatPr baseColWidth="10" defaultColWidth="11.44140625" defaultRowHeight="13.2" x14ac:dyDescent="0.25"/>
  <cols>
    <col min="1" max="1" width="10.33203125" style="18" bestFit="1" customWidth="1"/>
    <col min="2" max="2" width="38.10937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76</v>
      </c>
      <c r="B1" s="20" t="s">
        <v>77</v>
      </c>
      <c r="C1" s="20" t="s">
        <v>78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79</v>
      </c>
      <c r="K1" s="22" t="s">
        <v>112</v>
      </c>
      <c r="L1" s="15" t="s">
        <v>80</v>
      </c>
      <c r="M1" s="15" t="s">
        <v>81</v>
      </c>
      <c r="N1" s="15" t="s">
        <v>82</v>
      </c>
      <c r="O1" s="15" t="s">
        <v>83</v>
      </c>
      <c r="P1" s="16" t="s">
        <v>84</v>
      </c>
      <c r="Q1" s="16" t="s">
        <v>85</v>
      </c>
      <c r="R1" s="16" t="s">
        <v>86</v>
      </c>
      <c r="S1" s="16" t="s">
        <v>87</v>
      </c>
    </row>
    <row r="2" spans="1:19" ht="14.4" x14ac:dyDescent="0.3">
      <c r="A2" s="23" t="s">
        <v>90</v>
      </c>
      <c r="B2" s="23" t="s">
        <v>91</v>
      </c>
      <c r="C2" s="23" t="s">
        <v>89</v>
      </c>
      <c r="D2" s="23"/>
      <c r="E2" s="23"/>
      <c r="F2" s="23">
        <v>1</v>
      </c>
      <c r="G2" s="23"/>
      <c r="H2" s="23"/>
      <c r="I2" s="23"/>
      <c r="J2" s="23">
        <v>1</v>
      </c>
      <c r="K2" s="23" t="s">
        <v>52</v>
      </c>
      <c r="L2" s="24">
        <v>0</v>
      </c>
      <c r="M2" s="24">
        <v>0</v>
      </c>
      <c r="N2" s="24" t="s">
        <v>29</v>
      </c>
      <c r="O2" s="24" t="s">
        <v>29</v>
      </c>
      <c r="P2" s="24">
        <v>100</v>
      </c>
      <c r="Q2" s="24">
        <v>0</v>
      </c>
      <c r="R2" s="24">
        <v>0</v>
      </c>
      <c r="S2" s="24">
        <v>1</v>
      </c>
    </row>
    <row r="3" spans="1:19" ht="14.4" x14ac:dyDescent="0.3">
      <c r="A3" s="23" t="s">
        <v>92</v>
      </c>
      <c r="B3" s="23" t="s">
        <v>93</v>
      </c>
      <c r="C3" s="23" t="s">
        <v>88</v>
      </c>
      <c r="D3" s="23"/>
      <c r="E3" s="23"/>
      <c r="F3" s="23"/>
      <c r="G3" s="23">
        <v>2</v>
      </c>
      <c r="H3" s="23"/>
      <c r="I3" s="23"/>
      <c r="J3" s="23">
        <v>2</v>
      </c>
      <c r="K3" s="23" t="s">
        <v>52</v>
      </c>
      <c r="L3" s="24">
        <v>0</v>
      </c>
      <c r="M3" s="24">
        <v>0</v>
      </c>
      <c r="N3" s="24" t="s">
        <v>29</v>
      </c>
      <c r="O3" s="24" t="s">
        <v>29</v>
      </c>
      <c r="P3" s="24">
        <v>100</v>
      </c>
      <c r="Q3" s="24">
        <v>0</v>
      </c>
      <c r="R3" s="24">
        <v>0</v>
      </c>
      <c r="S3" s="24">
        <v>2</v>
      </c>
    </row>
    <row r="4" spans="1:19" ht="14.4" x14ac:dyDescent="0.3">
      <c r="A4" s="23" t="s">
        <v>96</v>
      </c>
      <c r="B4" s="23" t="s">
        <v>97</v>
      </c>
      <c r="C4" s="23" t="s">
        <v>88</v>
      </c>
      <c r="D4" s="23"/>
      <c r="E4" s="23"/>
      <c r="F4" s="23">
        <v>1</v>
      </c>
      <c r="G4" s="23"/>
      <c r="H4" s="23"/>
      <c r="I4" s="23"/>
      <c r="J4" s="23">
        <v>1</v>
      </c>
      <c r="K4" s="23" t="s">
        <v>52</v>
      </c>
      <c r="L4" s="24">
        <v>0</v>
      </c>
      <c r="M4" s="24">
        <v>0</v>
      </c>
      <c r="N4" s="24" t="s">
        <v>29</v>
      </c>
      <c r="O4" s="24" t="s">
        <v>29</v>
      </c>
      <c r="P4" s="24">
        <v>100</v>
      </c>
      <c r="Q4" s="24">
        <v>0</v>
      </c>
      <c r="R4" s="24">
        <v>0</v>
      </c>
      <c r="S4" s="24">
        <v>1</v>
      </c>
    </row>
    <row r="5" spans="1:19" ht="14.4" x14ac:dyDescent="0.3">
      <c r="A5" s="23" t="s">
        <v>219</v>
      </c>
      <c r="B5" s="23" t="s">
        <v>220</v>
      </c>
      <c r="C5" s="23" t="s">
        <v>89</v>
      </c>
      <c r="D5" s="23"/>
      <c r="E5" s="23"/>
      <c r="F5" s="23"/>
      <c r="G5" s="23"/>
      <c r="H5" s="23"/>
      <c r="I5" s="23">
        <v>1</v>
      </c>
      <c r="J5" s="23">
        <v>1</v>
      </c>
      <c r="K5" s="23" t="s">
        <v>52</v>
      </c>
      <c r="L5" s="24">
        <v>0</v>
      </c>
      <c r="M5" s="24">
        <v>0</v>
      </c>
      <c r="N5" s="24" t="s">
        <v>29</v>
      </c>
      <c r="O5" s="24" t="s">
        <v>29</v>
      </c>
      <c r="P5" s="24">
        <v>100</v>
      </c>
      <c r="Q5" s="24">
        <v>0</v>
      </c>
      <c r="R5" s="24">
        <v>0</v>
      </c>
      <c r="S5" s="24">
        <v>1</v>
      </c>
    </row>
    <row r="6" spans="1:19" ht="14.4" x14ac:dyDescent="0.3">
      <c r="A6" s="23" t="s">
        <v>110</v>
      </c>
      <c r="B6" s="23" t="s">
        <v>111</v>
      </c>
      <c r="C6" s="23" t="s">
        <v>89</v>
      </c>
      <c r="D6" s="23"/>
      <c r="E6" s="23"/>
      <c r="F6" s="23"/>
      <c r="G6" s="23">
        <v>1</v>
      </c>
      <c r="H6" s="23"/>
      <c r="I6" s="23"/>
      <c r="J6" s="23">
        <v>1</v>
      </c>
      <c r="K6" s="23" t="s">
        <v>52</v>
      </c>
      <c r="L6" s="24">
        <v>0</v>
      </c>
      <c r="M6" s="24">
        <v>0</v>
      </c>
      <c r="N6" s="24" t="s">
        <v>29</v>
      </c>
      <c r="O6" s="24" t="s">
        <v>29</v>
      </c>
      <c r="P6" s="24">
        <v>100</v>
      </c>
      <c r="Q6" s="24">
        <v>0</v>
      </c>
      <c r="R6" s="24">
        <v>0</v>
      </c>
      <c r="S6" s="24">
        <v>1</v>
      </c>
    </row>
    <row r="7" spans="1:19" ht="14.4" x14ac:dyDescent="0.3">
      <c r="A7" s="23" t="s">
        <v>221</v>
      </c>
      <c r="B7" s="23" t="s">
        <v>222</v>
      </c>
      <c r="C7" s="23" t="s">
        <v>89</v>
      </c>
      <c r="D7" s="23"/>
      <c r="E7" s="23"/>
      <c r="F7" s="23"/>
      <c r="G7" s="23"/>
      <c r="H7" s="23"/>
      <c r="I7" s="23">
        <v>2</v>
      </c>
      <c r="J7" s="23">
        <v>2</v>
      </c>
      <c r="K7" s="23" t="s">
        <v>52</v>
      </c>
      <c r="L7" s="24">
        <v>0</v>
      </c>
      <c r="M7" s="24">
        <v>0</v>
      </c>
      <c r="N7" s="24" t="s">
        <v>29</v>
      </c>
      <c r="O7" s="24" t="s">
        <v>29</v>
      </c>
      <c r="P7" s="24">
        <v>100</v>
      </c>
      <c r="Q7" s="24">
        <v>0</v>
      </c>
      <c r="R7" s="24">
        <v>0</v>
      </c>
      <c r="S7" s="24">
        <v>2</v>
      </c>
    </row>
    <row r="8" spans="1:19" ht="14.4" x14ac:dyDescent="0.3">
      <c r="A8" s="23" t="s">
        <v>98</v>
      </c>
      <c r="B8" s="23" t="s">
        <v>99</v>
      </c>
      <c r="C8" s="23" t="s">
        <v>89</v>
      </c>
      <c r="D8" s="23"/>
      <c r="E8" s="23">
        <v>1</v>
      </c>
      <c r="F8" s="23">
        <v>1</v>
      </c>
      <c r="G8" s="23"/>
      <c r="H8" s="23"/>
      <c r="I8" s="23"/>
      <c r="J8" s="23">
        <v>2</v>
      </c>
      <c r="K8" s="23" t="s">
        <v>52</v>
      </c>
      <c r="L8" s="24">
        <v>0</v>
      </c>
      <c r="M8" s="24">
        <v>0</v>
      </c>
      <c r="N8" s="24" t="s">
        <v>29</v>
      </c>
      <c r="O8" s="24" t="s">
        <v>29</v>
      </c>
      <c r="P8" s="24">
        <v>100</v>
      </c>
      <c r="Q8" s="24">
        <v>0</v>
      </c>
      <c r="R8" s="24">
        <v>0</v>
      </c>
      <c r="S8" s="24">
        <v>2</v>
      </c>
    </row>
    <row r="9" spans="1:19" ht="14.4" x14ac:dyDescent="0.3">
      <c r="A9" s="23" t="s">
        <v>223</v>
      </c>
      <c r="B9" s="23" t="s">
        <v>224</v>
      </c>
      <c r="C9" s="23" t="s">
        <v>89</v>
      </c>
      <c r="D9" s="23"/>
      <c r="E9" s="23"/>
      <c r="F9" s="23"/>
      <c r="G9" s="23"/>
      <c r="H9" s="23"/>
      <c r="I9" s="23">
        <v>1</v>
      </c>
      <c r="J9" s="23">
        <v>1</v>
      </c>
      <c r="K9" s="23" t="s">
        <v>52</v>
      </c>
      <c r="L9" s="24">
        <v>0</v>
      </c>
      <c r="M9" s="24">
        <v>0</v>
      </c>
      <c r="N9" s="24" t="s">
        <v>29</v>
      </c>
      <c r="O9" s="24" t="s">
        <v>29</v>
      </c>
      <c r="P9" s="24">
        <v>100</v>
      </c>
      <c r="Q9" s="24">
        <v>0</v>
      </c>
      <c r="R9" s="24">
        <v>0</v>
      </c>
      <c r="S9" s="24">
        <v>1</v>
      </c>
    </row>
    <row r="10" spans="1:19" ht="14.4" x14ac:dyDescent="0.3">
      <c r="A10" s="23" t="s">
        <v>108</v>
      </c>
      <c r="B10" s="23" t="s">
        <v>109</v>
      </c>
      <c r="C10" s="23" t="s">
        <v>88</v>
      </c>
      <c r="D10" s="23"/>
      <c r="E10" s="23"/>
      <c r="F10" s="23"/>
      <c r="G10" s="23">
        <v>1</v>
      </c>
      <c r="H10" s="23"/>
      <c r="I10" s="23"/>
      <c r="J10" s="23">
        <v>1</v>
      </c>
      <c r="K10" s="23" t="s">
        <v>52</v>
      </c>
      <c r="L10" s="24">
        <v>0</v>
      </c>
      <c r="M10" s="24">
        <v>0</v>
      </c>
      <c r="N10" s="24" t="s">
        <v>29</v>
      </c>
      <c r="O10" s="24" t="s">
        <v>29</v>
      </c>
      <c r="P10" s="24">
        <v>100</v>
      </c>
      <c r="Q10" s="24">
        <v>0</v>
      </c>
      <c r="R10" s="24">
        <v>0</v>
      </c>
      <c r="S10" s="24">
        <v>1</v>
      </c>
    </row>
    <row r="11" spans="1:19" ht="14.4" x14ac:dyDescent="0.3">
      <c r="A11" s="23" t="s">
        <v>225</v>
      </c>
      <c r="B11" s="23" t="s">
        <v>226</v>
      </c>
      <c r="C11" s="23" t="s">
        <v>89</v>
      </c>
      <c r="D11" s="23"/>
      <c r="E11" s="23"/>
      <c r="F11" s="23"/>
      <c r="G11" s="23"/>
      <c r="H11" s="23"/>
      <c r="I11" s="23">
        <v>1</v>
      </c>
      <c r="J11" s="23">
        <v>1</v>
      </c>
      <c r="K11" s="23" t="s">
        <v>52</v>
      </c>
      <c r="L11" s="24">
        <v>0</v>
      </c>
      <c r="M11" s="24">
        <v>0</v>
      </c>
      <c r="N11" s="24" t="s">
        <v>29</v>
      </c>
      <c r="O11" s="24" t="s">
        <v>29</v>
      </c>
      <c r="P11" s="24">
        <v>100</v>
      </c>
      <c r="Q11" s="24">
        <v>0</v>
      </c>
      <c r="R11" s="24">
        <v>0</v>
      </c>
      <c r="S11" s="24">
        <v>1</v>
      </c>
    </row>
    <row r="12" spans="1:19" ht="14.4" x14ac:dyDescent="0.3">
      <c r="A12" s="23" t="s">
        <v>94</v>
      </c>
      <c r="B12" s="23" t="s">
        <v>95</v>
      </c>
      <c r="C12" s="23">
        <v>6</v>
      </c>
      <c r="D12" s="23"/>
      <c r="E12" s="23"/>
      <c r="F12" s="23"/>
      <c r="G12" s="23"/>
      <c r="H12" s="23">
        <v>1</v>
      </c>
      <c r="I12" s="23"/>
      <c r="J12" s="23">
        <v>1</v>
      </c>
      <c r="K12" s="23" t="s">
        <v>52</v>
      </c>
      <c r="L12" s="24">
        <v>0</v>
      </c>
      <c r="M12" s="24">
        <v>0</v>
      </c>
      <c r="N12" s="24" t="s">
        <v>29</v>
      </c>
      <c r="O12" s="24" t="s">
        <v>29</v>
      </c>
      <c r="P12" s="24">
        <v>100</v>
      </c>
      <c r="Q12" s="24">
        <v>0</v>
      </c>
      <c r="R12" s="24">
        <v>0</v>
      </c>
      <c r="S12" s="24">
        <v>1</v>
      </c>
    </row>
    <row r="13" spans="1:19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9"/>
      <c r="O13" s="58"/>
      <c r="P13" s="59"/>
      <c r="Q13" s="58"/>
      <c r="R13" s="58"/>
      <c r="S13" s="60">
        <f>SUM(S2:S12)</f>
        <v>14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zoomScaleNormal="100" workbookViewId="0">
      <selection activeCell="A10" sqref="A10:XFD1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6</v>
      </c>
      <c r="B2" s="5"/>
    </row>
    <row r="3" spans="1:2" x14ac:dyDescent="0.2">
      <c r="A3" s="4" t="s">
        <v>100</v>
      </c>
      <c r="B3" s="5">
        <v>2000</v>
      </c>
    </row>
    <row r="4" spans="1:2" x14ac:dyDescent="0.2">
      <c r="A4" s="4" t="s">
        <v>3</v>
      </c>
      <c r="B4" s="5"/>
    </row>
    <row r="5" spans="1:2" x14ac:dyDescent="0.2">
      <c r="A5" s="4" t="s">
        <v>101</v>
      </c>
      <c r="B5" s="5">
        <v>66461.39</v>
      </c>
    </row>
    <row r="6" spans="1:2" x14ac:dyDescent="0.2">
      <c r="A6" s="4" t="s">
        <v>4</v>
      </c>
      <c r="B6" s="5"/>
    </row>
    <row r="7" spans="1:2" x14ac:dyDescent="0.2">
      <c r="A7" s="4" t="s">
        <v>102</v>
      </c>
      <c r="B7" s="5">
        <v>6210</v>
      </c>
    </row>
    <row r="8" spans="1:2" x14ac:dyDescent="0.2">
      <c r="A8" s="4" t="s">
        <v>103</v>
      </c>
      <c r="B8" s="5"/>
    </row>
    <row r="9" spans="1:2" x14ac:dyDescent="0.2">
      <c r="A9" s="4" t="s">
        <v>104</v>
      </c>
      <c r="B9" s="5">
        <v>7000</v>
      </c>
    </row>
    <row r="10" spans="1:2" x14ac:dyDescent="0.2">
      <c r="A10" s="6" t="s">
        <v>2</v>
      </c>
      <c r="B10" s="7">
        <f>SUM(B3:B9)</f>
        <v>81671.39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DD0E-2778-4B8B-9F36-BFB7B561B1C6}">
  <dimension ref="A1:B39"/>
  <sheetViews>
    <sheetView topLeftCell="A13" zoomScaleNormal="100" workbookViewId="0">
      <selection activeCell="B40" sqref="B40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142</v>
      </c>
      <c r="B2" s="5"/>
    </row>
    <row r="3" spans="1:2" x14ac:dyDescent="0.2">
      <c r="A3" s="4" t="s">
        <v>143</v>
      </c>
      <c r="B3" s="5">
        <v>9798.74</v>
      </c>
    </row>
    <row r="4" spans="1:2" x14ac:dyDescent="0.2">
      <c r="A4" s="4" t="s">
        <v>144</v>
      </c>
      <c r="B4" s="5">
        <v>150</v>
      </c>
    </row>
    <row r="5" spans="1:2" x14ac:dyDescent="0.2">
      <c r="A5" s="4" t="s">
        <v>145</v>
      </c>
      <c r="B5" s="5">
        <v>150</v>
      </c>
    </row>
    <row r="6" spans="1:2" x14ac:dyDescent="0.2">
      <c r="A6" s="4" t="s">
        <v>146</v>
      </c>
      <c r="B6" s="5">
        <v>150</v>
      </c>
    </row>
    <row r="7" spans="1:2" x14ac:dyDescent="0.2">
      <c r="A7" s="4" t="s">
        <v>147</v>
      </c>
      <c r="B7" s="5">
        <v>150</v>
      </c>
    </row>
    <row r="8" spans="1:2" x14ac:dyDescent="0.2">
      <c r="A8" s="4" t="s">
        <v>148</v>
      </c>
      <c r="B8" s="5">
        <v>150</v>
      </c>
    </row>
    <row r="9" spans="1:2" x14ac:dyDescent="0.2">
      <c r="A9" s="4" t="s">
        <v>149</v>
      </c>
      <c r="B9" s="5">
        <v>150</v>
      </c>
    </row>
    <row r="10" spans="1:2" x14ac:dyDescent="0.2">
      <c r="A10" s="4" t="s">
        <v>150</v>
      </c>
      <c r="B10" s="5">
        <v>150</v>
      </c>
    </row>
    <row r="11" spans="1:2" x14ac:dyDescent="0.2">
      <c r="A11" s="4" t="s">
        <v>151</v>
      </c>
      <c r="B11" s="5">
        <v>150</v>
      </c>
    </row>
    <row r="12" spans="1:2" x14ac:dyDescent="0.2">
      <c r="A12" s="4" t="s">
        <v>152</v>
      </c>
      <c r="B12" s="5">
        <v>150</v>
      </c>
    </row>
    <row r="13" spans="1:2" x14ac:dyDescent="0.2">
      <c r="A13" s="4" t="s">
        <v>153</v>
      </c>
      <c r="B13" s="5">
        <v>150</v>
      </c>
    </row>
    <row r="14" spans="1:2" x14ac:dyDescent="0.2">
      <c r="A14" s="4" t="s">
        <v>154</v>
      </c>
      <c r="B14" s="5">
        <v>150</v>
      </c>
    </row>
    <row r="15" spans="1:2" x14ac:dyDescent="0.2">
      <c r="A15" s="4" t="s">
        <v>155</v>
      </c>
      <c r="B15" s="5">
        <v>50</v>
      </c>
    </row>
    <row r="16" spans="1:2" x14ac:dyDescent="0.2">
      <c r="A16" s="4" t="s">
        <v>156</v>
      </c>
      <c r="B16" s="5">
        <v>150</v>
      </c>
    </row>
    <row r="17" spans="1:2" x14ac:dyDescent="0.2">
      <c r="A17" s="4" t="s">
        <v>157</v>
      </c>
      <c r="B17" s="5">
        <v>150</v>
      </c>
    </row>
    <row r="18" spans="1:2" x14ac:dyDescent="0.2">
      <c r="A18" s="4" t="s">
        <v>158</v>
      </c>
      <c r="B18" s="5">
        <v>50</v>
      </c>
    </row>
    <row r="19" spans="1:2" x14ac:dyDescent="0.2">
      <c r="A19" s="4" t="s">
        <v>159</v>
      </c>
      <c r="B19" s="5">
        <v>150</v>
      </c>
    </row>
    <row r="20" spans="1:2" x14ac:dyDescent="0.2">
      <c r="A20" s="4" t="s">
        <v>160</v>
      </c>
      <c r="B20" s="5">
        <v>150</v>
      </c>
    </row>
    <row r="21" spans="1:2" x14ac:dyDescent="0.2">
      <c r="A21" s="4" t="s">
        <v>161</v>
      </c>
      <c r="B21" s="5">
        <v>150</v>
      </c>
    </row>
    <row r="22" spans="1:2" x14ac:dyDescent="0.2">
      <c r="A22" s="4" t="s">
        <v>162</v>
      </c>
      <c r="B22" s="5">
        <v>100</v>
      </c>
    </row>
    <row r="23" spans="1:2" x14ac:dyDescent="0.2">
      <c r="A23" s="4" t="s">
        <v>163</v>
      </c>
      <c r="B23" s="5">
        <v>50</v>
      </c>
    </row>
    <row r="24" spans="1:2" x14ac:dyDescent="0.2">
      <c r="A24" s="4" t="s">
        <v>164</v>
      </c>
      <c r="B24" s="5">
        <v>150</v>
      </c>
    </row>
    <row r="25" spans="1:2" x14ac:dyDescent="0.2">
      <c r="A25" s="4" t="s">
        <v>165</v>
      </c>
      <c r="B25" s="5">
        <v>150</v>
      </c>
    </row>
    <row r="26" spans="1:2" x14ac:dyDescent="0.2">
      <c r="A26" s="4" t="s">
        <v>166</v>
      </c>
      <c r="B26" s="5">
        <v>150</v>
      </c>
    </row>
    <row r="27" spans="1:2" x14ac:dyDescent="0.2">
      <c r="A27" s="4" t="s">
        <v>167</v>
      </c>
      <c r="B27" s="5">
        <v>150</v>
      </c>
    </row>
    <row r="28" spans="1:2" x14ac:dyDescent="0.2">
      <c r="A28" s="4" t="s">
        <v>168</v>
      </c>
      <c r="B28" s="5">
        <v>150</v>
      </c>
    </row>
    <row r="29" spans="1:2" x14ac:dyDescent="0.2">
      <c r="A29" s="4" t="s">
        <v>169</v>
      </c>
      <c r="B29" s="5">
        <v>150</v>
      </c>
    </row>
    <row r="30" spans="1:2" x14ac:dyDescent="0.2">
      <c r="A30" s="4" t="s">
        <v>170</v>
      </c>
      <c r="B30" s="5">
        <v>50</v>
      </c>
    </row>
    <row r="31" spans="1:2" x14ac:dyDescent="0.2">
      <c r="A31" s="4" t="s">
        <v>3</v>
      </c>
      <c r="B31" s="5"/>
    </row>
    <row r="32" spans="1:2" x14ac:dyDescent="0.2">
      <c r="A32" s="4" t="s">
        <v>171</v>
      </c>
      <c r="B32" s="5">
        <v>68861.39</v>
      </c>
    </row>
    <row r="33" spans="1:2" x14ac:dyDescent="0.2">
      <c r="A33" s="4" t="s">
        <v>4</v>
      </c>
      <c r="B33" s="5"/>
    </row>
    <row r="34" spans="1:2" x14ac:dyDescent="0.2">
      <c r="A34" s="4" t="s">
        <v>172</v>
      </c>
      <c r="B34" s="5">
        <v>12420</v>
      </c>
    </row>
    <row r="35" spans="1:2" x14ac:dyDescent="0.2">
      <c r="A35" s="4" t="s">
        <v>5</v>
      </c>
      <c r="B35" s="5"/>
    </row>
    <row r="36" spans="1:2" x14ac:dyDescent="0.2">
      <c r="A36" s="4" t="s">
        <v>173</v>
      </c>
      <c r="B36" s="5">
        <v>15736</v>
      </c>
    </row>
    <row r="37" spans="1:2" x14ac:dyDescent="0.2">
      <c r="A37" s="4" t="s">
        <v>174</v>
      </c>
      <c r="B37" s="5"/>
    </row>
    <row r="38" spans="1:2" x14ac:dyDescent="0.2">
      <c r="A38" s="4" t="s">
        <v>175</v>
      </c>
      <c r="B38" s="5">
        <v>10000</v>
      </c>
    </row>
    <row r="39" spans="1:2" x14ac:dyDescent="0.2">
      <c r="A39" s="6" t="s">
        <v>2</v>
      </c>
      <c r="B39" s="7">
        <f>SUM(B2:B38)</f>
        <v>120416.13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8C85-3429-4C2A-A35D-D0D53595AF03}">
  <dimension ref="A1:D27"/>
  <sheetViews>
    <sheetView topLeftCell="C4" workbookViewId="0">
      <selection activeCell="C29" sqref="C29"/>
    </sheetView>
  </sheetViews>
  <sheetFormatPr baseColWidth="10" defaultRowHeight="14.4" x14ac:dyDescent="0.3"/>
  <cols>
    <col min="2" max="2" width="13.5546875" bestFit="1" customWidth="1"/>
    <col min="3" max="3" width="152" bestFit="1" customWidth="1"/>
  </cols>
  <sheetData>
    <row r="1" spans="1:4" ht="15" thickBot="1" x14ac:dyDescent="0.35">
      <c r="A1" s="39" t="s">
        <v>176</v>
      </c>
      <c r="B1" s="40" t="s">
        <v>177</v>
      </c>
      <c r="C1" s="40" t="s">
        <v>178</v>
      </c>
      <c r="D1" s="41" t="s">
        <v>1</v>
      </c>
    </row>
    <row r="2" spans="1:4" ht="15" thickTop="1" x14ac:dyDescent="0.3">
      <c r="A2" s="42" t="s">
        <v>179</v>
      </c>
      <c r="B2" s="43" t="s">
        <v>6</v>
      </c>
      <c r="C2" s="43" t="s">
        <v>180</v>
      </c>
      <c r="D2" s="44">
        <v>20</v>
      </c>
    </row>
    <row r="3" spans="1:4" x14ac:dyDescent="0.3">
      <c r="A3" s="45" t="s">
        <v>179</v>
      </c>
      <c r="B3" s="46" t="s">
        <v>6</v>
      </c>
      <c r="C3" s="46" t="s">
        <v>181</v>
      </c>
      <c r="D3" s="47">
        <v>40</v>
      </c>
    </row>
    <row r="4" spans="1:4" x14ac:dyDescent="0.3">
      <c r="A4" s="42" t="s">
        <v>179</v>
      </c>
      <c r="B4" s="43" t="s">
        <v>6</v>
      </c>
      <c r="C4" s="43" t="s">
        <v>182</v>
      </c>
      <c r="D4" s="44">
        <v>40</v>
      </c>
    </row>
    <row r="5" spans="1:4" x14ac:dyDescent="0.3">
      <c r="A5" s="45" t="s">
        <v>179</v>
      </c>
      <c r="B5" s="46" t="s">
        <v>6</v>
      </c>
      <c r="C5" s="46" t="s">
        <v>183</v>
      </c>
      <c r="D5" s="47">
        <v>50</v>
      </c>
    </row>
    <row r="6" spans="1:4" x14ac:dyDescent="0.3">
      <c r="A6" s="42" t="s">
        <v>179</v>
      </c>
      <c r="B6" s="43" t="s">
        <v>6</v>
      </c>
      <c r="C6" s="43" t="s">
        <v>184</v>
      </c>
      <c r="D6" s="44">
        <v>50</v>
      </c>
    </row>
    <row r="7" spans="1:4" x14ac:dyDescent="0.3">
      <c r="A7" s="45" t="s">
        <v>179</v>
      </c>
      <c r="B7" s="46" t="s">
        <v>6</v>
      </c>
      <c r="C7" s="46" t="s">
        <v>185</v>
      </c>
      <c r="D7" s="47">
        <v>50</v>
      </c>
    </row>
    <row r="8" spans="1:4" x14ac:dyDescent="0.3">
      <c r="A8" s="42" t="s">
        <v>179</v>
      </c>
      <c r="B8" s="43" t="s">
        <v>6</v>
      </c>
      <c r="C8" s="43" t="s">
        <v>186</v>
      </c>
      <c r="D8" s="44">
        <v>50</v>
      </c>
    </row>
    <row r="9" spans="1:4" x14ac:dyDescent="0.3">
      <c r="A9" s="45" t="s">
        <v>179</v>
      </c>
      <c r="B9" s="46" t="s">
        <v>6</v>
      </c>
      <c r="C9" s="46" t="s">
        <v>183</v>
      </c>
      <c r="D9" s="47">
        <v>780</v>
      </c>
    </row>
    <row r="10" spans="1:4" x14ac:dyDescent="0.3">
      <c r="A10" s="42" t="s">
        <v>179</v>
      </c>
      <c r="B10" s="43" t="s">
        <v>6</v>
      </c>
      <c r="C10" s="43" t="s">
        <v>183</v>
      </c>
      <c r="D10" s="44">
        <v>2100</v>
      </c>
    </row>
    <row r="11" spans="1:4" x14ac:dyDescent="0.3">
      <c r="A11" s="45" t="s">
        <v>179</v>
      </c>
      <c r="B11" s="46" t="s">
        <v>142</v>
      </c>
      <c r="C11" s="46" t="s">
        <v>187</v>
      </c>
      <c r="D11" s="47">
        <v>150</v>
      </c>
    </row>
    <row r="12" spans="1:4" x14ac:dyDescent="0.3">
      <c r="A12" s="42" t="s">
        <v>179</v>
      </c>
      <c r="B12" s="43" t="s">
        <v>188</v>
      </c>
      <c r="C12" s="43" t="s">
        <v>189</v>
      </c>
      <c r="D12" s="44">
        <v>130</v>
      </c>
    </row>
    <row r="13" spans="1:4" x14ac:dyDescent="0.3">
      <c r="A13" s="45" t="s">
        <v>179</v>
      </c>
      <c r="B13" s="46" t="s">
        <v>188</v>
      </c>
      <c r="C13" s="46" t="s">
        <v>190</v>
      </c>
      <c r="D13" s="47">
        <v>130</v>
      </c>
    </row>
    <row r="14" spans="1:4" x14ac:dyDescent="0.3">
      <c r="A14" s="42" t="s">
        <v>179</v>
      </c>
      <c r="B14" s="43" t="s">
        <v>188</v>
      </c>
      <c r="C14" s="43" t="s">
        <v>191</v>
      </c>
      <c r="D14" s="44">
        <v>130</v>
      </c>
    </row>
    <row r="15" spans="1:4" x14ac:dyDescent="0.3">
      <c r="A15" s="45" t="s">
        <v>179</v>
      </c>
      <c r="B15" s="46" t="s">
        <v>188</v>
      </c>
      <c r="C15" s="46" t="s">
        <v>192</v>
      </c>
      <c r="D15" s="47">
        <v>130</v>
      </c>
    </row>
    <row r="16" spans="1:4" x14ac:dyDescent="0.3">
      <c r="A16" s="42" t="s">
        <v>179</v>
      </c>
      <c r="B16" s="43" t="s">
        <v>188</v>
      </c>
      <c r="C16" s="43" t="s">
        <v>193</v>
      </c>
      <c r="D16" s="44">
        <v>390</v>
      </c>
    </row>
    <row r="17" spans="1:4" x14ac:dyDescent="0.3">
      <c r="A17" s="45" t="s">
        <v>179</v>
      </c>
      <c r="B17" s="46" t="s">
        <v>188</v>
      </c>
      <c r="C17" s="46" t="s">
        <v>193</v>
      </c>
      <c r="D17" s="47">
        <v>4530</v>
      </c>
    </row>
    <row r="18" spans="1:4" x14ac:dyDescent="0.3">
      <c r="A18" s="42" t="s">
        <v>179</v>
      </c>
      <c r="B18" s="43" t="s">
        <v>3</v>
      </c>
      <c r="C18" s="43" t="s">
        <v>194</v>
      </c>
      <c r="D18" s="44">
        <v>324.45</v>
      </c>
    </row>
    <row r="19" spans="1:4" x14ac:dyDescent="0.3">
      <c r="A19" s="45" t="s">
        <v>179</v>
      </c>
      <c r="B19" s="46" t="s">
        <v>3</v>
      </c>
      <c r="C19" s="46" t="s">
        <v>195</v>
      </c>
      <c r="D19" s="47">
        <v>60131.39</v>
      </c>
    </row>
    <row r="20" spans="1:4" x14ac:dyDescent="0.3">
      <c r="A20" s="42" t="s">
        <v>179</v>
      </c>
      <c r="B20" s="43" t="s">
        <v>196</v>
      </c>
      <c r="C20" s="43" t="s">
        <v>197</v>
      </c>
      <c r="D20" s="44">
        <v>6912</v>
      </c>
    </row>
    <row r="21" spans="1:4" x14ac:dyDescent="0.3">
      <c r="A21" s="45" t="s">
        <v>179</v>
      </c>
      <c r="B21" s="46" t="s">
        <v>174</v>
      </c>
      <c r="C21" s="46" t="s">
        <v>198</v>
      </c>
      <c r="D21" s="47">
        <v>10000</v>
      </c>
    </row>
    <row r="22" spans="1:4" ht="15" thickBot="1" x14ac:dyDescent="0.35">
      <c r="A22" s="42" t="s">
        <v>179</v>
      </c>
      <c r="B22" s="43" t="s">
        <v>174</v>
      </c>
      <c r="C22" s="43" t="s">
        <v>199</v>
      </c>
      <c r="D22" s="44">
        <v>10000</v>
      </c>
    </row>
    <row r="23" spans="1:4" ht="15" thickTop="1" x14ac:dyDescent="0.3">
      <c r="A23" s="48" t="s">
        <v>2</v>
      </c>
      <c r="B23" s="49"/>
      <c r="C23" s="49"/>
      <c r="D23" s="50">
        <v>96137.84</v>
      </c>
    </row>
    <row r="27" spans="1:4" x14ac:dyDescent="0.3">
      <c r="C27" s="55" t="s">
        <v>227</v>
      </c>
      <c r="D27" s="56">
        <f>D23+'Ingresos investigación 2020'!B39+'Ingresos investigación 2019'!B10</f>
        <v>298225.36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2022-10-18T14:38:47Z</dcterms:modified>
</cp:coreProperties>
</file>