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92C7F179-AC6B-4644-AAC2-93BA54E0902C}" xr6:coauthVersionLast="47" xr6:coauthVersionMax="47" xr10:uidLastSave="{00000000-0000-0000-0000-000000000000}"/>
  <bookViews>
    <workbookView xWindow="22932" yWindow="-108" windowWidth="23256" windowHeight="12456" tabRatio="807" xr2:uid="{00000000-000D-0000-FFFF-FFFF00000000}"/>
  </bookViews>
  <sheets>
    <sheet name="Tesis" sheetId="10" r:id="rId1"/>
    <sheet name="Sexenios" sheetId="11" r:id="rId2"/>
    <sheet name="Ingresos investigación 2019" sheetId="14" r:id="rId3"/>
    <sheet name="Ingresos investigación 2020" sheetId="16" r:id="rId4"/>
    <sheet name="Ingresos investigación 2021" sheetId="18" r:id="rId5"/>
    <sheet name="Ingresos formación 2019" sheetId="15" r:id="rId6"/>
    <sheet name="Ingresos formación 2020" sheetId="17" r:id="rId7"/>
    <sheet name="Ingresos formación 2021" sheetId="19" r:id="rId8"/>
  </sheets>
  <definedNames>
    <definedName name="_xlnm._FilterDatabase" localSheetId="1" hidden="1">Sexenios!$A$1:$S$1</definedName>
    <definedName name="_xlnm._FilterDatabase" localSheetId="0" hidden="1">Tesis!$A$1:$U$17</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9" i="11" l="1"/>
  <c r="B85" i="17" l="1"/>
  <c r="B51" i="16"/>
  <c r="B13" i="15" l="1"/>
  <c r="C107" i="19" s="1"/>
  <c r="B79" i="14"/>
  <c r="C40" i="18" s="1"/>
  <c r="S18" i="10" l="1"/>
</calcChain>
</file>

<file path=xl/sharedStrings.xml><?xml version="1.0" encoding="utf-8"?>
<sst xmlns="http://schemas.openxmlformats.org/spreadsheetml/2006/main" count="887" uniqueCount="521">
  <si>
    <t>Orgánica
Descripción justificante</t>
  </si>
  <si>
    <t>Importe</t>
  </si>
  <si>
    <t>Total</t>
  </si>
  <si>
    <t>34.50.6C.00.43</t>
  </si>
  <si>
    <t>34.50.6M.00.01</t>
  </si>
  <si>
    <t>34.50.6M.00.07</t>
  </si>
  <si>
    <t>34.50.2T.00.01</t>
  </si>
  <si>
    <t>34.50.6G.00.02</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</si>
  <si>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</si>
  <si>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</si>
  <si>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</si>
  <si>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</si>
  <si>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</si>
  <si>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</si>
  <si>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</si>
  <si>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</si>
  <si>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</si>
  <si>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</si>
  <si>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</si>
  <si>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</si>
  <si>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</si>
  <si>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</si>
  <si>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</si>
  <si>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</si>
  <si>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</si>
  <si>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</si>
  <si>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</si>
  <si>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</si>
  <si>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</si>
  <si>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</si>
  <si>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</si>
  <si>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</si>
  <si>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Director de tesis </t>
  </si>
  <si>
    <t>10</t>
  </si>
  <si>
    <t>12/07/2017 </t>
  </si>
  <si>
    <t>10.05</t>
  </si>
  <si>
    <t>12/04/2019 </t>
  </si>
  <si>
    <t>20</t>
  </si>
  <si>
    <t>10/05/2017 </t>
  </si>
  <si>
    <t>U020 </t>
  </si>
  <si>
    <t>ADM. I.U. DEL AGUA Y DE LAS CIENCIAS AMBIENTALES </t>
  </si>
  <si>
    <t>DOCTORADO EN AGUA Y DESARROLLO SOSTENIBLE </t>
  </si>
  <si>
    <t>10.15</t>
  </si>
  <si>
    <t>10.23</t>
  </si>
  <si>
    <t>11/09/2017 </t>
  </si>
  <si>
    <t>26/09/2019 </t>
  </si>
  <si>
    <t>08/09/2017 </t>
  </si>
  <si>
    <t>16/06/2017 </t>
  </si>
  <si>
    <t>B147 </t>
  </si>
  <si>
    <t>CONSTRUCCIONES ARQUITECTONICAS </t>
  </si>
  <si>
    <t>DOCTORADO EN INVESTIG. EN ARQUITECTURA Y URBANISMO SOSTENIBLES </t>
  </si>
  <si>
    <t>Gilsanz Díaz, Ana Covadonga </t>
  </si>
  <si>
    <t>LA ARQUITECTURA COMO ACONTECIMIENTO. LA DOCENCIA DE LA ARQUITECTURA Y SU APRENDIZAJE EN LA EXPERIENCIA DEL BLACK MOUNTAIN COLLEGE (1933-57) </t>
  </si>
  <si>
    <t>B185 </t>
  </si>
  <si>
    <t>INGENIERÍA CIVIL </t>
  </si>
  <si>
    <t>Reus Martínez, Patricia </t>
  </si>
  <si>
    <t>LA FORMA EN LA CIUDAD CÍVICA. EVOLUCIÓN DEL BARRIO DE VISTABELLA, MURCIA, ESPAÑA (1941-2016). DE LA ALDEA PERIFÉRICA A LA ALDEA EXPANDIDA </t>
  </si>
  <si>
    <t>01/12/2016 </t>
  </si>
  <si>
    <t>DOCTORADO EN INGENIERÍA DE MATERIALES, ESTRUCTURAS Y TERRENO: CONSTR. SOST. </t>
  </si>
  <si>
    <t>López Ortiz, Carmen María </t>
  </si>
  <si>
    <t>PRESENCIA DE CONTAMINANTES ORGÁNICOS EMERGENTES EN AGUAS SUPERFICIALES Y SUBTERRÁNEAS. TRANSPORTE EN COLUMNA Y PROCESOS DE ELIMINACIÓN MEDIANTE NANOFILTRACIÓN E INTERCAMBIO IÓNICO </t>
  </si>
  <si>
    <t>05/06/2017 </t>
  </si>
  <si>
    <t>Blancafort Sansó, Jaume </t>
  </si>
  <si>
    <t>PARTICIPACIÓN Y CREACIÓN COLECTIVA EN LA ARQUITECTURA DE LAWRENCE HALPRIN. LA METODOLOGÍA TAKE PART EN LOS PROCESOS PARTICIPATIVOS DEL PROYECTO URBANO </t>
  </si>
  <si>
    <t>Reos Llinares, Angela </t>
  </si>
  <si>
    <t>LOS CONJUNTOS HISTÓRICOS COMO ÁMBITOS URBANOS SOTENIBLES </t>
  </si>
  <si>
    <t>B146 </t>
  </si>
  <si>
    <t>EXPRESION GRAFICA Y CARTOGRAFIA </t>
  </si>
  <si>
    <t>B187</t>
  </si>
  <si>
    <t>51389222T </t>
  </si>
  <si>
    <t>21432168D </t>
  </si>
  <si>
    <t>13300077M </t>
  </si>
  <si>
    <t>21459581Y </t>
  </si>
  <si>
    <t>Cano Redondo, Armando </t>
  </si>
  <si>
    <t>PEQUEÑOS ESPACIOS, GRANDES PROYECTOS. LOS INTERIORES COMERCIALES EN ESPAÑA (1919-1989): DE LA MODERNIDAD A LA GLOBALIZACIÓN </t>
  </si>
  <si>
    <t>04/09/2017 </t>
  </si>
  <si>
    <t>LEIVA IVORRA, FRANCISCO JAVIER </t>
  </si>
  <si>
    <t>COREOGRAFÍAS REDIBUJADAS. DE LOS DIBUJOS INTUITIVOS A LAS ARQUITECTURAS ENCONTRADAS. UN RECORRIDO A TRAVÉS DE LAS EXPERIENCIAS PROPIAS </t>
  </si>
  <si>
    <t>48316901L </t>
  </si>
  <si>
    <t>Muñoz Mora, María Josefa </t>
  </si>
  <si>
    <t>LA MUERTE, SU CASA Y SU CIUDAD. EL DESVANECIMIENTO DE LAS CIUDADES SILENTES DE CARTAGENA </t>
  </si>
  <si>
    <t>Seoane Lugli, Verónica Beatriz </t>
  </si>
  <si>
    <t>URBANIZACIÓN DE ASENTAMIENTOS INFORMALES EN SAO PAULO DE 2005 A 2012. PARTICIPACIÓN COMUNITARIA Y RESULTADOS </t>
  </si>
  <si>
    <t>Allepuz Pedreño, Ángel </t>
  </si>
  <si>
    <t>TRAZAS DEL PENSAMIENTO. PROCESOS GRÁFICOS EN LOS DIBUJOS AUTÓGRAFOS DE LOS ARQUITECTOS MODERNOS, DESDE SU INICIO EN BORROMINI HASTA EL FINAL DEL SIGLO XX. </t>
  </si>
  <si>
    <t>09306886M </t>
  </si>
  <si>
    <t>B187 </t>
  </si>
  <si>
    <t>EXPRESION GRAFICA, COMPOSICIÓN Y PROYECTOS </t>
  </si>
  <si>
    <t>NIF</t>
  </si>
  <si>
    <t>NOMBRE_COMPLETO</t>
  </si>
  <si>
    <t>TIPO_SEXENIO</t>
  </si>
  <si>
    <t>Total general</t>
  </si>
  <si>
    <t>INS
1</t>
  </si>
  <si>
    <t>DED
INS 1</t>
  </si>
  <si>
    <t>INS
2</t>
  </si>
  <si>
    <t>DED
INS 2</t>
  </si>
  <si>
    <t>DED
DEP</t>
  </si>
  <si>
    <t>SEX
INS 1</t>
  </si>
  <si>
    <t>SEX
INS 2</t>
  </si>
  <si>
    <t>SEX
DEP</t>
  </si>
  <si>
    <t>FUNCIONARIO</t>
  </si>
  <si>
    <t>43038413P</t>
  </si>
  <si>
    <t>CARRASCO HORTAL, JOSE</t>
  </si>
  <si>
    <t>21626358X</t>
  </si>
  <si>
    <t>DOMINGO GRESA, JORGE</t>
  </si>
  <si>
    <t>13300077M</t>
  </si>
  <si>
    <t>GUTIERREZ MOZO, MARIA ELIA</t>
  </si>
  <si>
    <t>09306886M</t>
  </si>
  <si>
    <t>MARCOS ALBA, CARLOS LUIS</t>
  </si>
  <si>
    <t>21432168D</t>
  </si>
  <si>
    <t>MARTINEZ MEDINA, ANDRES</t>
  </si>
  <si>
    <t>51389222T</t>
  </si>
  <si>
    <t>NIETO FERNANDEZ, ENRIQUE JOSE</t>
  </si>
  <si>
    <t>21486126D</t>
  </si>
  <si>
    <t>OLIVER RAMIREZ, JOSE LUIS</t>
  </si>
  <si>
    <t>27447619V</t>
  </si>
  <si>
    <t>SANCHEZ MERINA, FRANCISCO JAVIER</t>
  </si>
  <si>
    <t>48316901L</t>
  </si>
  <si>
    <t>SENTANA GADEA, IRENE</t>
  </si>
  <si>
    <t>ESTUDIO Y CATALOGACIÓN DE LOS FONDOS DOCUMENTALES DEL ARCHIVO DEL COLEGIO DE ARQUITECTOS DE ALICANTE. PRIMER PAGO SEGÚN PUNTO 4.2 DE LA ADDENDA DEL CONVENIO.</t>
  </si>
  <si>
    <t>Estudio y catalogación de los Fondos Documentales del Archivo del Colegio de Arquitectos de Alicante.Segundo Pago y último. Según punto 4.2 de la Addenda del Convenio.</t>
  </si>
  <si>
    <t>REINTEGRO CUOTA PATRONAL CORRESPONDIENTE AL MES DE NOVIEMBRE 2019.</t>
  </si>
  <si>
    <t>REINTEGRO CUOTA PATRONAL CORRESPONDIENTE AL MES DE OCTUBRE DE 2019.</t>
  </si>
  <si>
    <t>Reintegro de cuota patronal del mes de julio 2019</t>
  </si>
  <si>
    <t>34.50.6C.00.48</t>
  </si>
  <si>
    <t>607.336 EQA22-18TPA- Novedoso sistema de desalación sostenible y eficiente</t>
  </si>
  <si>
    <t>34.50.6C.00.54</t>
  </si>
  <si>
    <t>Desarrollo de un novedoso cultivo microbiológico para el tratamiento de Aguas Contaminadas". Núm.proyecto.648.706 EQA40-18TPA</t>
  </si>
  <si>
    <t>34.50.6C.00.57</t>
  </si>
  <si>
    <t>Informe sobre las condiciones de soleamiento del "Proyecto Básico Modificado de cinco viviendas y garaje mancomunado".</t>
  </si>
  <si>
    <t>34.50.6C.00.58</t>
  </si>
  <si>
    <t>Producción del proyecto "Si los peces hablaron del tarde" en residencia en Centro Cultural Las Cigarreras de Alicante en el marco de Estéticas Transversales Ecosistemas del ocio 2018-2019 / Idensitat + Consorcio de Museos de la Comunidad Valenciana.</t>
  </si>
  <si>
    <t>34.50.6C.00.60</t>
  </si>
  <si>
    <t xml:space="preserve">Evaluación de los proyectos adjuntos en el " Anexo Contrato 4D PREFERENTE (Del 01/09/2018 al 01/12/2018)", actuando como Experto 4D/Comité. Número: 603.036, 612.075, 628.148, 629.289, 629.962, 632.028, 632.767, 634.997, 634.997 642.526, 643.560, 643.708, 644.691, 644.691. </t>
  </si>
  <si>
    <t>34.50.6C.00.61</t>
  </si>
  <si>
    <t>653.961- Bonificaciones a la S.S. por personal investigador dedicado en exclusiva a I+D+i - 2018.</t>
  </si>
  <si>
    <t>34.50.6C.00.62</t>
  </si>
  <si>
    <t>Informe Técnico para la incoación del BIC del asentamiento militar ejecutado durante la guerra civil española: " Destacamento de costa nº 4 de la costa levantina".</t>
  </si>
  <si>
    <t>34.50.6C.00.63</t>
  </si>
  <si>
    <t xml:space="preserve">Investigació per a proyecte de paisatge i urbanisme "Camins de l`Aigua" desenvolupat en el municipi de Mutxamel (Alacant), resultant en inventari o catàleg de paisatge que analitza els recorreguts patrimonials relacionats amb el sistema hidràulic del municipi. I suport per al disseny de bases cartogràfiques del paisatge etnològic i el disseny de senyalética per a visitants.     </t>
  </si>
  <si>
    <t>34.50.6C.00.64</t>
  </si>
  <si>
    <t>Confeccionar las fichas de Ampliación temporal del registro Docomomo Ibérico Nivel A para varios edificios.</t>
  </si>
  <si>
    <t>34.50.6C.00.65</t>
  </si>
  <si>
    <t xml:space="preserve">Analysis and Designs related </t>
  </si>
  <si>
    <t>Analysis and Designs related to April 2019</t>
  </si>
  <si>
    <t>Analysis and Designs related to February 2019</t>
  </si>
  <si>
    <t>Analysis and Designs related to March 2019</t>
  </si>
  <si>
    <t>Analysis and Designs related to  May 2019</t>
  </si>
  <si>
    <t>34.50.6C.00.66</t>
  </si>
  <si>
    <t>Evaluación de los siguientes proyectos, actuando como Experto 4D/Comité.: 550.472, 609.693, 618.928 , 632.028 , 633.954 , 633.956 , 638.009 , 638.694 ,638.695, 643.560 , 643.708, 655.879 , 655.879, 655.882, 667.598 .</t>
  </si>
  <si>
    <t>34.50.6C.00.67</t>
  </si>
  <si>
    <t>703.525 Desarrollo de un proceso biorreactor de membranas para gestión de efluentes salinos".</t>
  </si>
  <si>
    <t>34.50.6C.00.68</t>
  </si>
  <si>
    <t>Diseño y fabricación 300 llaveros promocionales para el Club Sportiu Aquarium Alacant de natación adaptada mediante el servicio de impresión 3D realizado por el laboratorio social ARTEFACTOS.</t>
  </si>
  <si>
    <t>34.50.6C.00.69</t>
  </si>
  <si>
    <t>Evaluación técnica del proyecto 680.820: "Bonificaciones a la S.S por personal investigador 2018 ".</t>
  </si>
  <si>
    <t>34.50.6C.00.70</t>
  </si>
  <si>
    <t>Evaluación técnica del proyecto "Bonificaciones a la Seguridad Social por personal investigador 2018. 671.188"</t>
  </si>
  <si>
    <t>34.50.6C.00.71</t>
  </si>
  <si>
    <t>Evaluación técnica del proyecto 689.807  "Bonificaciones a la S.S por personal investigador 2018".</t>
  </si>
  <si>
    <t>34.50.6C.00.72</t>
  </si>
  <si>
    <t>Proyecto Básico y de Ejecución de Adecuación de nave industrial para usos de ocio juvenil (50%)</t>
  </si>
  <si>
    <t>34.50.6C.00.73</t>
  </si>
  <si>
    <t>Dirección de obras del Centro Social de Blanca</t>
  </si>
  <si>
    <t>34.50.6C.00.74</t>
  </si>
  <si>
    <t>Correcciones en fase de aprobación definitiva y aprobación definitiva del Plan.</t>
  </si>
  <si>
    <t>34.50.6C.00.75</t>
  </si>
  <si>
    <t>Evaluación de los proyectos 687.695 y 699.221</t>
  </si>
  <si>
    <t>34.50.6C.00.76</t>
  </si>
  <si>
    <t>Evaluación técnica del proyecto 679.944 "Bonificaciones a la S.S por personal investigador 2018".</t>
  </si>
  <si>
    <t>34.50.6C.00.78</t>
  </si>
  <si>
    <t xml:space="preserve">REALIZACIÓN POR PARTE DEL EXPERTO 4D DE LOS PROYECTOS CON EXPEDIENTES: 596.493, 596.591, 638.471, 682.448, 682.488, 682.569, 686.804, 686.845, 687.695, 692.603, 692.603, 696.111, 699.221, 699.480, 701.767, 703.056 Y 728.171 </t>
  </si>
  <si>
    <t>34.50.6C.00.79</t>
  </si>
  <si>
    <t>Diseño y fabricación 250 llaveros promocionales para el Club Sportiu  Aquarium Alacant de natación adaptada mediante el servicio de impresión 3D realizado por el laboratorio social ARTEFACTOS.</t>
  </si>
  <si>
    <t>INSCRIPCIÓN CONGRESO EURAU2018 EFPRAXIA GIANNOPOULOU LIQ. 2018/5 NUM. ORDEN 10</t>
  </si>
  <si>
    <t>INSCRIPCIÓN CONGRESO EURAU2018 MAGDALINI GRIGORIADOU LIQ. 2018/5 NUM.ORDEN 11</t>
  </si>
  <si>
    <t>Entrenamiento de movimiento rítmico y reflejos primitivos, nivel 1</t>
  </si>
  <si>
    <t>Entrenamiento de movimiento rítmico y reflejos primitivos, nivel 2 EMPARMAYANS1-18FD</t>
  </si>
  <si>
    <t>Entrenamiento de movimiento rítmico y reflejos primitivos, nivel 3</t>
  </si>
  <si>
    <t>Entrenamiento de movimiento rítmico y reflejos primitivos, nivel infantil</t>
  </si>
  <si>
    <t>34.50.6M.00.05</t>
  </si>
  <si>
    <t xml:space="preserve">Creación de un dispositivo que permita a las personas con movilidad reducida recuperar de forma autónoma una o las dos muletas, en el caso que se les caiga al suelo. </t>
  </si>
  <si>
    <t>Reintegro de cuota patronal correspondiente al mes de agosto 2019</t>
  </si>
  <si>
    <t>34.50.6M.00.09</t>
  </si>
  <si>
    <t>Mecenazgo del proyecto de carácter social "Artefactos, diseño y desarrollo social"</t>
  </si>
  <si>
    <t>34.50.6M.00.10</t>
  </si>
  <si>
    <t>Curso BRMT 1. Reflejos primitivos</t>
  </si>
  <si>
    <t>34.50.6X.00.01</t>
  </si>
  <si>
    <t>/INV/ ERASMUS AND SWAIP PROJECT. REF. BENEFICIARIO: CITISEPA190403000232800000173. LA OFICINA DE GESTIÓN DE PROYECTOS INTERNACIONALES INFORMA QUE SE TRATA DEL SEGUNDO INGRESO DEL PROYECTO SWAIP. DEPARTAMENTO DE EXPRESIÓN GRÁFICA.</t>
  </si>
  <si>
    <t>INV INTENSIVE PROGRAMME 1 ERASMU. REFERENCIA: 319169062566369. LA OFICINA DE GESTIÓN DE PROYECTOS INTERNACIONALES INFORMA QUE SE TRATA DEL PRIMER INGRESO DEL PROYECTO SWAIP. DEPARTAMENTO DE EXPRESIÓN GRÁFICA.</t>
  </si>
  <si>
    <t>34.50.2E.00.18</t>
  </si>
  <si>
    <t>LIQUIDACIÓN SEMESTRAL CUENTA ARTEFACTO 2019.</t>
  </si>
  <si>
    <t>34.50.2G.00.01</t>
  </si>
  <si>
    <t>DEVOLUCIÓN POLITECHNIKA LODKA, CONCEPTO ZWROT NADPLATY ZA FA W6/POZ/6/2018Z</t>
  </si>
  <si>
    <t>LIQUIDACIÓN ABRIL-MAYO CUENTA TALLER DE MAQUETAS.</t>
  </si>
  <si>
    <t>LIQUIDACIÓN ENERO-MARZO/19 TALLER MAQUETAS (FABLAB).TRASPASO CUENTA (1067114) A CTA. GRAL. (1027506).</t>
  </si>
  <si>
    <t>LIQUIDACIÓN JUNIO SEPTIEMBRE TALLER MAQUETAS FABLAB</t>
  </si>
  <si>
    <t>LIQUIDACIÓN OCTUBRE-DICIEMBRE 2019. MAQUETAS (FABLAB)</t>
  </si>
  <si>
    <t>34.50.2T.00.05</t>
  </si>
  <si>
    <t>Liquidación  PLAN GD85 curso ''TALLER EN SERIGRAFÍA'' ORDEN 5486</t>
  </si>
  <si>
    <t>Torrego Gómez, Daniel </t>
  </si>
  <si>
    <t>ENCONTRARSE EN MEDIO. CUATRO CAMINOS PARA EL RECONOCIMIENTO DE UNA ECOLOGÍA MATERIAL EN ARQUITECTURA </t>
  </si>
  <si>
    <t>27459509Q </t>
  </si>
  <si>
    <t>21969160C</t>
  </si>
  <si>
    <t>IRLES PARREÑO, RICARDO</t>
  </si>
  <si>
    <t>27459509Q</t>
  </si>
  <si>
    <t>MESA DEL CASTILLO CLAVEL, MIGUEL</t>
  </si>
  <si>
    <t>NO FUNCIONARIO</t>
  </si>
  <si>
    <t>COD DEP</t>
  </si>
  <si>
    <t>vivos</t>
  </si>
  <si>
    <t>34819244G</t>
  </si>
  <si>
    <t>PARRA MARTINEZ, JOSE</t>
  </si>
  <si>
    <t>48347387F</t>
  </si>
  <si>
    <t>CAPDEVILA CASTELLANOS, IVAN</t>
  </si>
  <si>
    <t>ESTUDIO Y CATALOGACION DE LOS FONDOS DOCUMENTALES DEL COLEGIO DE ARQUITECTOS DE ALICANTE. PRIMER PAGO SEGUN ESTABLECE LA SEGUNDA ADENDA DEL CONVENIO SEGUN PUNTO 4.2</t>
  </si>
  <si>
    <t>Analysis and Designs related to December 19</t>
  </si>
  <si>
    <t>Analysis and Designs related to November 19</t>
  </si>
  <si>
    <t>Analysis and designs related to September 19</t>
  </si>
  <si>
    <t>Analysis and Designs  related to October 19</t>
  </si>
  <si>
    <t>34.50.6C.00.77</t>
  </si>
  <si>
    <t>706.388 Novedosos sistemas de desalación sostenible y eficiente"</t>
  </si>
  <si>
    <t>34.50.6C.00.80</t>
  </si>
  <si>
    <t>Evaluación Técnica del proyecto de referencia PRJC599564-2019-PRC-ESP"</t>
  </si>
  <si>
    <t>34.50.6C.00.81</t>
  </si>
  <si>
    <t>Evaluación de los siguientes proyectos en contrato 4D Preferente.682.569/699.480/716.908/716.909/718.299/718.299/721.759/724.432/725.866/725.866/726.598/727.718/727.718/728.171/729.872/729.872/729.982/730.446/732.820/732.820/740.595/740.595/741.872/741.872/741.889/743.844/749.067/751.142/751.142/751.521/757.949/758.236/758.237/761.123/762.834/763.630</t>
  </si>
  <si>
    <t>34.50.6C.00.84</t>
  </si>
  <si>
    <t>Diseño y desarrollo de un sistema de detección  de plazas ocupadas para personas con movilidad reducida.</t>
  </si>
  <si>
    <t>34.50.6C.00.85</t>
  </si>
  <si>
    <t xml:space="preserve">REALIZACIÓN POR PARTE DEL EXPERTO INVESTIGADOR DE LA EVALUACIÓN DE LOS PROYECTOS EXP. 721.759, 729.982, 741.889, 742.889, 743.844, 751.521, 757.949, 762.834,763.630, 767.705 (EXPERTO 4D), 767.705 (EXPERTO COMITÉ) Y 778.690    </t>
  </si>
  <si>
    <t>34.50.6C.00.86</t>
  </si>
  <si>
    <t xml:space="preserve">REALIZACIÓN POR PARTE DEL EXPERTO INVESTIGADOR DE LA EVALUACIÓN DEL PROYECTO EXP. 783.203  </t>
  </si>
  <si>
    <t>34.50.6C.00.87</t>
  </si>
  <si>
    <t xml:space="preserve">REALIZACIÓN POR PARTE DEL EXPERTO INVESTIGADOR DE LA EVALUACIÓN  DEL PROYECTO EXP. 794.014 INNCAD </t>
  </si>
  <si>
    <t>34.50.6C.00.88</t>
  </si>
  <si>
    <t>Evaluación DEL PROYECTO 793_668 INNEST.</t>
  </si>
  <si>
    <t>34.50.6C.00.89</t>
  </si>
  <si>
    <t>Realización por parte del experto investigador de la Evaluación del Proyecto  EXP. 794.375</t>
  </si>
  <si>
    <t>34.50.6C.00.90</t>
  </si>
  <si>
    <t>Evaluación del proyecto 793.664 innest</t>
  </si>
  <si>
    <t>34.50.6C.00.91</t>
  </si>
  <si>
    <t>Evaluación por parte de la experta investigadora exp. 809.635</t>
  </si>
  <si>
    <t>34.50.6C.00.92</t>
  </si>
  <si>
    <t xml:space="preserve">VALUACIÓN POR PARTE DE LA EXPERTA INVESTIGADORA DEL EXPEDIENTE 800.142  Bonificaciones a la S.S. por personal investigador-2019 </t>
  </si>
  <si>
    <t>34.50.6C.00.93</t>
  </si>
  <si>
    <t>EVALUACIÓN POR PARTE DE LA EXPERTA INVESTIGADORA DE 18 EXPEDIENTES: EXPEDIENTES 778.690 EC 788.601 EC , 789.284 EC, 789.515 EC, 794.590 EC, 794.591 EC, 796.082 E 4D, 796.082 EC, 796.240 E 4D, 796.240 EC, 796.903 E 4D, 796.903 EC, 798.265 E 4D, 801.624 EC, 809.642 E 4D, 811.162 E 4D, 814.108 E 4D, 814.109 E 4D  EQA28-20TPA</t>
  </si>
  <si>
    <t>34.50.6C.00.95</t>
  </si>
  <si>
    <t>CONFECCIÓN DEL CATÁLOGO DE LA EXPOSICIÓN "FRANCISCO JAREÑO, UN ARQUITECTO ALBACETEÑO DEL SIGLO XIX"</t>
  </si>
  <si>
    <t>34.50.6C.00.96</t>
  </si>
  <si>
    <t>EVALUACIÓN POR PARTE DE LA EXPERTA INVESTIGADORA DEL PROYECTO CON EXPEDIENTE 814.516.  EQA34-20TPA</t>
  </si>
  <si>
    <t>34.50.6C.00.97</t>
  </si>
  <si>
    <t>EVALUACIÓN POR PARTE DE LA EXPERTA INVESTIGADORA DEL PROYECTO CON EXPEDIENTE 785.479</t>
  </si>
  <si>
    <t>34.50.6C.00.98</t>
  </si>
  <si>
    <t>Evaluación por parte de la experta investigadora del proyecto con expediente 795.065</t>
  </si>
  <si>
    <t>34.50.6C.01.02</t>
  </si>
  <si>
    <t>Evaluación de los proyectos adjuntos en el Anexo Contrato 4D PREFERENTE, actuando como Experto 4D/Comité.: 798.265, 801.287, 809.642, 811.162, 814.108, 814.109, 816.166, 816.214, 816.214, 816.436, 824.928, 824.928, 835.845, 836.007, 840.171, 843.107, 844.662, 845.701.</t>
  </si>
  <si>
    <t>34.50.6C.01.06</t>
  </si>
  <si>
    <t>Analysis and recommendations for the correct Design of Solid Extrusion Dies.</t>
  </si>
  <si>
    <t>REINTEGRO CUOTA PATRONAL CORRESPONDIENTE A DICIEMBRE DE 2020.</t>
  </si>
  <si>
    <t>Nivel 2 Entrenamiento del movimiento rítmico y reflejos primitivos</t>
  </si>
  <si>
    <t>03 Joaquín López 09-03-2020 ( Pieza 3D)</t>
  </si>
  <si>
    <t>07 Rubén Poveda Baidez ( Impresión 3D, Artefactos).</t>
  </si>
  <si>
    <t>34.50.2T.00.06</t>
  </si>
  <si>
    <t>Servicio FabLab 20</t>
  </si>
  <si>
    <t>Servicio FabLab 21</t>
  </si>
  <si>
    <t>Servicio FabLab 22</t>
  </si>
  <si>
    <t>Servicio FabLab 23</t>
  </si>
  <si>
    <t>Servicio FabLab 24</t>
  </si>
  <si>
    <t>Servicio FabLab 25</t>
  </si>
  <si>
    <t>Servicio FabLab 26</t>
  </si>
  <si>
    <t>Servicio FabLab 27</t>
  </si>
  <si>
    <t>Servicio FabLab 28</t>
  </si>
  <si>
    <t>Servicio FabLab 29</t>
  </si>
  <si>
    <t>Servicio FabLab 30</t>
  </si>
  <si>
    <t>Servicio FabLab 31 ( Corte CNC Enrique Soriano).</t>
  </si>
  <si>
    <t>Servicio FabLab 32</t>
  </si>
  <si>
    <t>Servicio FabLab 33</t>
  </si>
  <si>
    <t>Servicio FabLab 34</t>
  </si>
  <si>
    <t xml:space="preserve">Servicio FabLab 36 </t>
  </si>
  <si>
    <t xml:space="preserve">Servicio FabLab 37 </t>
  </si>
  <si>
    <t>Servicio FabLab 38</t>
  </si>
  <si>
    <t>Servicio FabLab 39</t>
  </si>
  <si>
    <t>Servicio FabLab 40</t>
  </si>
  <si>
    <t>Servicio FabLab 41</t>
  </si>
  <si>
    <t>Servicio FabLab 42</t>
  </si>
  <si>
    <t>Servicio FabLab 43</t>
  </si>
  <si>
    <t>Servicio FabLab 44</t>
  </si>
  <si>
    <t>Servicio FabLab 45</t>
  </si>
  <si>
    <t>Servicio FabLab 46</t>
  </si>
  <si>
    <t>Servicio FabLab 47</t>
  </si>
  <si>
    <t>Servicio FabLab 48</t>
  </si>
  <si>
    <t>Servicio FabLab 49</t>
  </si>
  <si>
    <t>Servicio FabLab 50</t>
  </si>
  <si>
    <t xml:space="preserve">Servicio FabLab 51 </t>
  </si>
  <si>
    <t xml:space="preserve">Servicio FabLab 52 </t>
  </si>
  <si>
    <t xml:space="preserve">Servicio FabLab 53 </t>
  </si>
  <si>
    <t>Servicio FabLab 54</t>
  </si>
  <si>
    <t xml:space="preserve">Servicio FabLab 55 </t>
  </si>
  <si>
    <t>Servicio FabLab 56</t>
  </si>
  <si>
    <t>Servicio FabLab 57</t>
  </si>
  <si>
    <t>Servicio FabLab 58</t>
  </si>
  <si>
    <t>Servicio FabLab 59</t>
  </si>
  <si>
    <t>Servicio FabLab 60</t>
  </si>
  <si>
    <t>Servicio FabLab 61</t>
  </si>
  <si>
    <t>Servicio FabLab 62</t>
  </si>
  <si>
    <t>Servicio FabLab 63</t>
  </si>
  <si>
    <t xml:space="preserve">Servicio FabLab 64 </t>
  </si>
  <si>
    <t>Servicio FabLab 65</t>
  </si>
  <si>
    <t xml:space="preserve">Servicio FabLab 66 </t>
  </si>
  <si>
    <t>Servicio FabLab 67</t>
  </si>
  <si>
    <t xml:space="preserve">Servicio FabLab 68 </t>
  </si>
  <si>
    <t>Servicio FabLab 69</t>
  </si>
  <si>
    <t>Servicio FabLab 70</t>
  </si>
  <si>
    <t>Servicio FabLab 71</t>
  </si>
  <si>
    <t>Servicio FabLab 72</t>
  </si>
  <si>
    <t>Servicio FabLab 73</t>
  </si>
  <si>
    <t>Servicio FabLab 74</t>
  </si>
  <si>
    <t>Servicio FabLab 75</t>
  </si>
  <si>
    <t>Servicio FabLab1</t>
  </si>
  <si>
    <t>Servicio FabLab10</t>
  </si>
  <si>
    <t>Servicio FabLab11</t>
  </si>
  <si>
    <t>Servicio FabLab12</t>
  </si>
  <si>
    <t>Servicio FabLab13</t>
  </si>
  <si>
    <t>Servicio FabLab14</t>
  </si>
  <si>
    <t>Servicio FabLab15</t>
  </si>
  <si>
    <t>Servicio FabLab16</t>
  </si>
  <si>
    <t>Servicio FabLab17</t>
  </si>
  <si>
    <t>Servicio FabLab18</t>
  </si>
  <si>
    <t>Servicio FabLab19</t>
  </si>
  <si>
    <t>Servicio FabLab2</t>
  </si>
  <si>
    <t>Servicio FabLab3</t>
  </si>
  <si>
    <t>Servicio FabLab35</t>
  </si>
  <si>
    <t>Servicio FabLab4</t>
  </si>
  <si>
    <t>Servicio FabLab5</t>
  </si>
  <si>
    <t>Servicio FabLab6</t>
  </si>
  <si>
    <t>Servicio FabLab7</t>
  </si>
  <si>
    <t>Servicio FabLab8</t>
  </si>
  <si>
    <t>Servicio FabLab9</t>
  </si>
  <si>
    <t>34.50.2T.00.07</t>
  </si>
  <si>
    <t>Liquidación PLAN GD49 "Taller de estrategias de diseño paramétrico con Grasshopper"</t>
  </si>
  <si>
    <t xml:space="preserve">Plan GD49- 2020-TALLER ESTRATÈGIES DE DISSENY PARAMÈTRIC AMB GRASSHOPPER </t>
  </si>
  <si>
    <t>Cerezuela Motos, Antonio </t>
  </si>
  <si>
    <t>Correlatos entre sostenibilidad, estándares de vida y arquitectura </t>
  </si>
  <si>
    <t>20/09/2021 </t>
  </si>
  <si>
    <t>Dazzini Langdon, Mónica Mabel </t>
  </si>
  <si>
    <t>PAISAJES IN-HABITADOS: LA MEMORIA DEL RÍO </t>
  </si>
  <si>
    <t>21/06/2021 </t>
  </si>
  <si>
    <t>Cód. org. aplic.</t>
  </si>
  <si>
    <t>Descripción justificante</t>
  </si>
  <si>
    <t>34.50.6C.00.05</t>
  </si>
  <si>
    <t>INGRESO FACTURA 202/2016-I. SE HACE INCORPORACIÓN DE REMANENTE (EXPEDIENTE 1800) PERO NO SE ASOCIA DEBIDO A QUE LA ORGÁNICA NO EXISTE EN 2021.</t>
  </si>
  <si>
    <t>Analysis and Designs related to February to October 2020.</t>
  </si>
  <si>
    <t>Diseño y desarrollo de un sistema de detección  de plazas ocupadas para personas con movilidad reducida ( segunda aportación del pago).</t>
  </si>
  <si>
    <t>34.50.6C.01.00</t>
  </si>
  <si>
    <t>DESARROLLO Y PRODUCCIÓN DE UN SOPORTE LATERAL DE BRAZO PARA QUIRÓFANOS.</t>
  </si>
  <si>
    <t>34.50.6C.01.01</t>
  </si>
  <si>
    <t>Desarrollo y producción de un soporte de brazo para procedimientos de abordaje radial.</t>
  </si>
  <si>
    <t>34.50.6C.01.04</t>
  </si>
  <si>
    <t>Analysis and recommendations for the correct Design of Extrusion Dies (last part) and desing rewiews (from December 2019 to March 2020)</t>
  </si>
  <si>
    <t>34.50.6C.01.05</t>
  </si>
  <si>
    <t>Investigación y desarrollo para la recuperación de microplásticos presentes en EDAR.PRJN-192669-2020-PA-ESP.</t>
  </si>
  <si>
    <t>Analysis and recommendations for the correct Design of Hollow Extrusion Dies + Solid Dies review February-May 2021</t>
  </si>
  <si>
    <t>34.50.6C.01.07</t>
  </si>
  <si>
    <t>Asesoría profesional de Ingeniería de Producto y redacción de un informe técnico para analizar y evaluar el diseño y la fabricación de un dispositivo de titularidad UMH para la medición de flujo miccional máximo.</t>
  </si>
  <si>
    <t>34.50.6C.01.08</t>
  </si>
  <si>
    <t xml:space="preserve">Evaluación de los proyectos adjuntos, actuando como Experto 4D/Comité 792.485 :Experto 4D 792.485 :Experto Comité 794.381 :Experto 4D 794.381 :Experto Comité 836.007 :Experto Comité 837.800 :Experto 4D 837.935 :Experto Comité 840.171 :Experto Comité 843.107 :Experto Comité 844.385 :Experto 4D 844.662 :Experto Comité 845.701 :Experto Comité 845.989 :Experto 4D 848.314 :Experto 4D 848.314 :Experto Comité 848.668 :Experto 4D 848.668 :Experto Comité 848.669 :Experto 4D 848.669 :Experto Comité 848.706 :Experto Comité 852.402 :Experto 4D 853.892 :Experto 4D 856.696 :Experto 4D 859.939 :Experto 4D 859.971 :Experto 4D 859.971 :Experto Comité 861.386 :Experto 4D 862.085 :Experto 4D 867.586 :Experto 4D 868.197 :Experto 4D 871.829 :Experto 4D 873.724 :Experto 4D 875.342 :Experto 4D 875.622 :Experto 4D 877.195 :Experto 4D </t>
  </si>
  <si>
    <t>34.50.6C.01.09</t>
  </si>
  <si>
    <t>Evaluación por parte de la experta investigadora de los siguientes proyectos : 835.845 Experto Comite, 837.800 Experto Comite, 843.521 Experto Comite, 844.385 Experto Comite, 845.989 Experto Comite, 852.402 Experto Comite, 853.892 Experto Comite, 856.696 Experto Comite, 858.111 Experto Comite, 859.939 Experto Comite, 861.386 Experto Comite, 862.085 Experto Comite, 866.234 Experto 4D 867.424 Experto Comite, 867.586 Experto Comite, 868.197 Experto Comite, 871.829 Experto Comite, 873.724 Experto Comite, 875.342 Experto Comite, 875.622 Experto Comite, 877.195 Experto Comite.</t>
  </si>
  <si>
    <t>34.50.6C.01.10</t>
  </si>
  <si>
    <t>Diseño de Plataforma regulable en altura para mesa de quirófano ( primer pago del 50%  al inicio del servicio).</t>
  </si>
  <si>
    <t>Desarrollo y producción de un soporte lateral de brazo para quirófanos(plataforma para endoscopia; segundo pago del 50% tras finalización del servicio).</t>
  </si>
  <si>
    <t>34.50.6C.01.11</t>
  </si>
  <si>
    <t>Comprobación de la adaptación a la normativa mexicana de los sistemas Grapamar para el proyecto San Joaquín de México (DF)</t>
  </si>
  <si>
    <t>34.50.6C.01.12</t>
  </si>
  <si>
    <t>931.384-Novedoso sistema de desalación sostenible y eficiente</t>
  </si>
  <si>
    <t>34.50.6C.01.13</t>
  </si>
  <si>
    <t>901.325 Bonificaciones a la S.S por personal investigador-2020</t>
  </si>
  <si>
    <t>34.50.6C.01.14</t>
  </si>
  <si>
    <t>Desarrollo y producción de un modelo de simulación vascular cerebral con tramos intercambiables.</t>
  </si>
  <si>
    <t>34.50.6C.01.16</t>
  </si>
  <si>
    <t>"927.762 - Bonificaciones a la S.S por personal investigador-2020"</t>
  </si>
  <si>
    <t>34.50.6C.01.17</t>
  </si>
  <si>
    <t>Evaluación de los siguientes proyectos actuando como experto 4D/Comité : 910.541 experto comité; 910.543 experto comité; 910.591 experto 4D; 910.591 experto comité; 910.598 experto 4D; 910.598 experto comité; 919.212 experto comité; 930.752 experto comité;  930.768 experto 4D; 930.769 experto 4D; 930.889 experto 4D; 930.894 experto 4D; 930.916 experto comité; 930.920 experto 4D; 930.981 experto 4D; 931.148 experto 4D; 931.148 experto comité; 931.184 experto 4D;  931.333 experto 4D; 931.333 experto comité; 931.346 experto comité; 931.358 experto 4D; 931.358 experto comité; 931.385 experto comité; 931.455 experto; 931.566 experto 4D; 931.732 experto comité</t>
  </si>
  <si>
    <t>34.50.6C.01.18</t>
  </si>
  <si>
    <t>EVALUACIÓN POR PARTE DE LA EXPERTA INVESTIGADORA DEL EXPEDIENTE 927.765.</t>
  </si>
  <si>
    <t>34.50.6C.01.19</t>
  </si>
  <si>
    <t>930.768 Experto Comité, 930.769 Experto Comité, 930.889 Experto Comité, 930.894 Experto Comité, 930.917 Experto Comité, 930.920 Experto Comité, 930.981 Experto Comité,  931.184 	Experto Comité,  931.232 	Experto Comité, 931.249 Experto Comité, 931.279	Experto Comité, 931.429 Experto Comité, 931.496 Experto 4D, 931.684 Experto 4D, 931.779 Experto 4D, 931.874 Experto Comité, 931.891 Experto 4D ,931.891 Experto Comité, 931.896 Experto 4D, 931.896 Experto Comité, 931.962 Experto 4D, 932.014 Experto 4D, 932.014 Experto Comité, 932.049 Experto 4D, 932.399 Experto 4D</t>
  </si>
  <si>
    <t>34.50.6C.01.20</t>
  </si>
  <si>
    <t>925.031 "Diseño de un dispositivo de tratamiento del agua anticalcáreo basado en la disolución de zinc para e"</t>
  </si>
  <si>
    <t>34.50.6C.01.21</t>
  </si>
  <si>
    <t>Realización de informe de tasación del local sito en Avenida de la Alegría 33, pb, local 3 de Elche. El local es la F.R.33737 del R.P. nº 3 de Elche. Autorización de encargo 25.020.</t>
  </si>
  <si>
    <t>34.50.6C.01.22</t>
  </si>
  <si>
    <t>Redacción de cinco proyectos de arquitectura (reducidos) propuestos por el Ayuntamiento de Benferri. Los proyectos serán redactados por técnico competente en arquitectura y conforme a las condiciones fijadas en la base de la convocatoria para la concesión de subvenciones por parte de la Excma. Diputación Provincial de Alicante para el plan + Cerca 2021.</t>
  </si>
  <si>
    <t>34.50.6C.01.23</t>
  </si>
  <si>
    <t xml:space="preserve"> Número expediente 925.263 MONACO: Módulo control de acceso para el sector de la alimentación ".</t>
  </si>
  <si>
    <t>34.50.6C.01.24</t>
  </si>
  <si>
    <t>Realización de un modelo de simulación vascular endovascular con tramos intercambiables (primer pago adelantado).</t>
  </si>
  <si>
    <t>Realización de un modelo de simulación vascular endovascular con tramos intercambiables(2º pago final).</t>
  </si>
  <si>
    <t>34.50.6P.00.15</t>
  </si>
  <si>
    <t>REINTEGRO CUOTA PATRONAL CORRESPONDIENTE A OCTUBRE DE 2021.</t>
  </si>
  <si>
    <t>34.50.6P.00.16</t>
  </si>
  <si>
    <t>REINTEGRO DE CERRADO DE LAS FACTURAS DE ABONO CN_2020_00238 Y CN_2021_00011.  CONCEPTO: DEVOLUCIÓN IMPRESORA 3D COMPRADA DESDE ARTEFACTOS (DPTO. EXPRESIÓN GRÁFICA).</t>
  </si>
  <si>
    <t>34.50.6S.00.08</t>
  </si>
  <si>
    <t xml:space="preserve">REINTEGRO CUOTA PATRONAL CORRESPONDIENTE A DICIEMBRE DE 2021. </t>
  </si>
  <si>
    <t>10 Impresión 3D Artefactos, Juan Miguel Rivas(cuerpos 1 y 2)</t>
  </si>
  <si>
    <t>15 Impresión 3D Artefactos, Alex López</t>
  </si>
  <si>
    <t>06 Impresión 3D Artefactos, Carmen Ginebra</t>
  </si>
  <si>
    <t>22 Impresión 3D Artefactos, Daniel Méndez</t>
  </si>
  <si>
    <t>07 Impresión 3D Artefactos, Jorge Bou</t>
  </si>
  <si>
    <t>03 Impresión 3D Artefactos, José Berna</t>
  </si>
  <si>
    <t>08 Impresión 3D Artefactos, Sergio Ruiz</t>
  </si>
  <si>
    <t>01. Impresión 3D Artefactos, José Rodrigo</t>
  </si>
  <si>
    <t>Servicio FabLab 65(2021)</t>
  </si>
  <si>
    <t>Servicio FabLab 72(2021)</t>
  </si>
  <si>
    <t>Servicio FabLab 8(2021)</t>
  </si>
  <si>
    <t>Servicio FabLab 50 (2021) Cartón Ondulado 3mm Guillermo Escolano</t>
  </si>
  <si>
    <t>Servicio FabLab 10(2021)</t>
  </si>
  <si>
    <t>Servicio FabLab 7(2021)</t>
  </si>
  <si>
    <t>Servicio FabLab 11(2021)</t>
  </si>
  <si>
    <t>Servicio FabLab 77(2021)</t>
  </si>
  <si>
    <t>Servicio FabLab 17(2021)</t>
  </si>
  <si>
    <t xml:space="preserve">Servicio FabLab 19(2021) </t>
  </si>
  <si>
    <t>Servicio FabLab 18(2021)</t>
  </si>
  <si>
    <t>Servicio FabLab 28(2021)</t>
  </si>
  <si>
    <t>Servicio FabLab 71(2021)</t>
  </si>
  <si>
    <t>Servicio FabLab 31(2021)</t>
  </si>
  <si>
    <t>Servicio FabLab 9(2021)</t>
  </si>
  <si>
    <t>Servicio FabLab 79(2021)</t>
  </si>
  <si>
    <t>Servicio FabLab 75(2021)</t>
  </si>
  <si>
    <t>Servicio FabLab 74(2021)</t>
  </si>
  <si>
    <t>Servicio FabLab 70(2021)</t>
  </si>
  <si>
    <t>Servicio FabLab 64(2021)</t>
  </si>
  <si>
    <t>Servicio FabLab 1(2021)</t>
  </si>
  <si>
    <t>Servicio FabLab 45(2021)</t>
  </si>
  <si>
    <t>Servicio FabLab 87(2021)</t>
  </si>
  <si>
    <t>Servicio FabLab 76(2021)</t>
  </si>
  <si>
    <t>Servicio FabLab 85(2021)</t>
  </si>
  <si>
    <t>Servicio FabLab 16(2021)</t>
  </si>
  <si>
    <t>Servicio FabLab 52(2021)</t>
  </si>
  <si>
    <t>Servicio FabLab 21(2021)</t>
  </si>
  <si>
    <t>Servicio FabLab 5(2021)</t>
  </si>
  <si>
    <t>Servicio FabLab 66(2021)</t>
  </si>
  <si>
    <t>Servicio FabLab 51(2021)</t>
  </si>
  <si>
    <t>Servicio FabLab 43(2021)</t>
  </si>
  <si>
    <t>Servicio FabLab 69(2021)</t>
  </si>
  <si>
    <t>Servicio FabLab 83(2021)</t>
  </si>
  <si>
    <t>Servicio FabLab 15(2021)</t>
  </si>
  <si>
    <t>Servicio FabLab 41(2021)</t>
  </si>
  <si>
    <t>Servicio FabLab 30(2021)</t>
  </si>
  <si>
    <t>Servicio FabLab 46(2021)</t>
  </si>
  <si>
    <t>Servicio FabLab 33(2021)</t>
  </si>
  <si>
    <t>Servicio FabLab 84(2021)</t>
  </si>
  <si>
    <t>Servicio FabLab 88(2021)</t>
  </si>
  <si>
    <t>Servicio FabLab 4(2021)</t>
  </si>
  <si>
    <t>Servicio FabLab 47(2021)</t>
  </si>
  <si>
    <t>Servicio FabLab 29(2021)</t>
  </si>
  <si>
    <t>Servicio FabLab 86(2021)</t>
  </si>
  <si>
    <t>Servicio FabLab 3(2021)</t>
  </si>
  <si>
    <t>Servicio FabLab 48(2021)</t>
  </si>
  <si>
    <t>Servicio FabLab32(2021)</t>
  </si>
  <si>
    <t>Servicio FabLab 89(2021)</t>
  </si>
  <si>
    <t>Servicio FabLab 82(2021)</t>
  </si>
  <si>
    <t>Servicio FabLab 55(2021)</t>
  </si>
  <si>
    <t>Servicio FabLab 42(2021)</t>
  </si>
  <si>
    <t>Servicio FabLab 61(2021)</t>
  </si>
  <si>
    <t>Servicio FabLab 40(2021)</t>
  </si>
  <si>
    <t>Servicio FabLab 59(2021)</t>
  </si>
  <si>
    <t>Servicio FabLab 20(2021)</t>
  </si>
  <si>
    <t>Servicio FabLab 12(2021)</t>
  </si>
  <si>
    <t>Servicio FabLab 67(2021)</t>
  </si>
  <si>
    <t>Servicio FabLab 23(2021)</t>
  </si>
  <si>
    <t>Servicio FabLab 57(2021)</t>
  </si>
  <si>
    <t>Servicio FabLab 34(2021)</t>
  </si>
  <si>
    <t>Servicio FabLab 22(2021)</t>
  </si>
  <si>
    <t>Servicio FabLab 6(2021)</t>
  </si>
  <si>
    <t>Servicio FabLab 25(2021)</t>
  </si>
  <si>
    <t>Servicio FabLab 37(2021)</t>
  </si>
  <si>
    <t>Servicio FabLab 81(2021)</t>
  </si>
  <si>
    <t>Servicio FabLab 38(2021)</t>
  </si>
  <si>
    <t>Servicio FabLab 44(2021)</t>
  </si>
  <si>
    <t>Servicio FabLab 56(2021)</t>
  </si>
  <si>
    <t>Servicio FabLab 2(2021)</t>
  </si>
  <si>
    <t>Servicio FabLab 80(2021)</t>
  </si>
  <si>
    <t>Servicio FabLab 35(2021)</t>
  </si>
  <si>
    <t>Servicio FabLab 63(2021)</t>
  </si>
  <si>
    <t>Servicio FabLab 91(2021)</t>
  </si>
  <si>
    <t>Servicio FabLab 39(2021)</t>
  </si>
  <si>
    <t>Servicio FabLab 49(2021) Corte Láser Base Maqueta Guillermo Escolano</t>
  </si>
  <si>
    <t>Servicio FabLab 14(2021)</t>
  </si>
  <si>
    <t>Servicio FabLab 26(2021)</t>
  </si>
  <si>
    <t>Servicio FabLab 58(2021)</t>
  </si>
  <si>
    <t>Servicio FabLab 36(2021)</t>
  </si>
  <si>
    <t>Servicio FabLab 78(2021)</t>
  </si>
  <si>
    <t>Servicio FabLab 62(2021)</t>
  </si>
  <si>
    <t>Servicio FabLab 73(2021)</t>
  </si>
  <si>
    <t>Servicio FabLab 68(2021)</t>
  </si>
  <si>
    <t>Servicio FabLab 13(2021)</t>
  </si>
  <si>
    <t>Servicio FabLab 27(2021)</t>
  </si>
  <si>
    <t>Servicio FabLab 90(2021)</t>
  </si>
  <si>
    <t>Servicio FabLab 53(2021)</t>
  </si>
  <si>
    <t xml:space="preserve">Servicio FabLab 60(2021) </t>
  </si>
  <si>
    <t>Servicio FabLab 24(2021)</t>
  </si>
  <si>
    <t>Servicio FabLab 92(2021)</t>
  </si>
  <si>
    <t>Servicio FabLab 54(2021)</t>
  </si>
  <si>
    <t>Plan GE26_Curso 2020-21_CURSO DE VALENCIANO NIVEL C2 NO PRESENCIAL. COMPLEMENTARIO AL JI2020/4997</t>
  </si>
  <si>
    <t xml:space="preserve">Plan GE26 curso 2021-22, CURSO DE VALENCIANO. NIVEL C2 NO PRESENCIAL </t>
  </si>
  <si>
    <t>Gisbert Alemany, Ester </t>
  </si>
  <si>
    <t>To do a landscape variations on the Costa Blanca </t>
  </si>
  <si>
    <t>18/07/2022 </t>
  </si>
  <si>
    <t>Aldeguer Esquerdo, Alejandro </t>
  </si>
  <si>
    <t>Tratamientos combinados mediante carbón activado y ozono para reducir la presencia de atrazina, simazina, carbamazepina y diclofenaco en medio acuoso. </t>
  </si>
  <si>
    <t>27/05/2022 </t>
  </si>
  <si>
    <t>21496767R</t>
  </si>
  <si>
    <t>ESCLAPES JOVER, FRANCISCO JAVIER</t>
  </si>
  <si>
    <t>22962676M</t>
  </si>
  <si>
    <t>ALLEPUZ PEDREÑO, ANGEL</t>
  </si>
  <si>
    <t>37333473B</t>
  </si>
  <si>
    <t>CASTRO DOMINGUEZ, JUAN CARLOS</t>
  </si>
  <si>
    <t>44765297Y</t>
  </si>
  <si>
    <t>JUAN GUTIERREZ, PABLO JEREMIAS</t>
  </si>
  <si>
    <t>Total ingresos  investigación 2019, 2020 y 2021</t>
  </si>
  <si>
    <t>Total ingresos formación 2019, 2020 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</si>
</sst>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1"/>
      <color theme="0"/>
      <name val="Calibri"/>
      <family val="2"/>
      <scheme val="minor"/>
    </font>
    <font>
      <b/>
      <sz val="11"/>
      <color theme="1"/>
      <name val="Calibri"/>
      <family val="2"/>
      <scheme val="minor"/>
    </font>
    <font>
      <b/>
      <sz val="10"/>
      <color theme="1"/>
      <name val="Arial"/>
      <family val="2"/>
    </font>
  </fonts>
  <fills count="11">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ck">
        <color theme="0"/>
      </top>
      <bottom/>
      <diagonal/>
    </border>
    <border>
      <left style="thin">
        <color theme="0"/>
      </left>
      <right/>
      <top style="thick">
        <color theme="0"/>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double">
        <color theme="4"/>
      </top>
      <bottom style="thin">
        <color theme="4" tint="0.39997558519241921"/>
      </bottom>
      <diagonal/>
    </border>
    <border>
      <left/>
      <right style="thin">
        <color theme="4" tint="0.39997558519241921"/>
      </right>
      <top style="double">
        <color theme="4"/>
      </top>
      <bottom style="thin">
        <color theme="4" tint="0.39997558519241921"/>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64">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2" borderId="0" xfId="1" applyFont="1" applyFill="1" applyAlignment="1"/>
    <xf numFmtId="0" fontId="3" fillId="2" borderId="0" xfId="1" applyFont="1" applyFill="1" applyAlignment="1">
      <alignment horizontal="right"/>
    </xf>
    <xf numFmtId="164" fontId="4" fillId="2" borderId="1" xfId="1" applyNumberFormat="1" applyFont="1" applyFill="1" applyBorder="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3" fillId="4" borderId="1" xfId="1" applyFill="1" applyBorder="1"/>
    <xf numFmtId="0" fontId="3" fillId="4" borderId="1" xfId="1" applyFill="1" applyBorder="1" applyAlignment="1">
      <alignment horizontal="right"/>
    </xf>
    <xf numFmtId="1" fontId="3" fillId="4" borderId="1" xfId="1" applyNumberFormat="1" applyFill="1" applyBorder="1"/>
    <xf numFmtId="164" fontId="3" fillId="4" borderId="1" xfId="1" applyNumberFormat="1" applyFill="1" applyBorder="1"/>
    <xf numFmtId="0" fontId="11" fillId="6" borderId="1" xfId="0" applyFont="1" applyFill="1" applyBorder="1" applyAlignment="1">
      <alignment horizontal="left" vertical="center"/>
    </xf>
    <xf numFmtId="0" fontId="11" fillId="6" borderId="2" xfId="0" applyFont="1" applyFill="1" applyBorder="1" applyAlignment="1">
      <alignment horizontal="left" vertical="center"/>
    </xf>
    <xf numFmtId="0" fontId="11" fillId="6" borderId="3" xfId="0" applyFont="1" applyFill="1" applyBorder="1" applyAlignment="1">
      <alignment horizontal="left" vertical="center"/>
    </xf>
    <xf numFmtId="0" fontId="11" fillId="6" borderId="4" xfId="0" applyFont="1" applyFill="1" applyBorder="1" applyAlignment="1">
      <alignment horizontal="left" vertical="center"/>
    </xf>
    <xf numFmtId="0" fontId="3" fillId="0" borderId="1" xfId="1" applyBorder="1"/>
    <xf numFmtId="0" fontId="12" fillId="7" borderId="5" xfId="0" applyFont="1" applyFill="1" applyBorder="1"/>
    <xf numFmtId="0" fontId="12" fillId="7" borderId="6" xfId="0" applyFont="1" applyFill="1" applyBorder="1" applyAlignment="1">
      <alignment horizontal="right"/>
    </xf>
    <xf numFmtId="0" fontId="0" fillId="8" borderId="7" xfId="0" applyFill="1" applyBorder="1" applyAlignment="1">
      <alignment vertical="center"/>
    </xf>
    <xf numFmtId="0" fontId="0" fillId="8" borderId="7" xfId="0" applyFill="1" applyBorder="1" applyAlignment="1">
      <alignment vertical="center" wrapText="1"/>
    </xf>
    <xf numFmtId="4" fontId="0" fillId="8" borderId="8" xfId="0" applyNumberFormat="1" applyFill="1" applyBorder="1" applyAlignment="1">
      <alignment vertical="center"/>
    </xf>
    <xf numFmtId="0" fontId="0" fillId="9" borderId="7" xfId="0" applyFill="1" applyBorder="1" applyAlignment="1">
      <alignment vertical="center"/>
    </xf>
    <xf numFmtId="0" fontId="0" fillId="9" borderId="7" xfId="0" applyFill="1" applyBorder="1" applyAlignment="1">
      <alignment vertical="center" wrapText="1"/>
    </xf>
    <xf numFmtId="4" fontId="0" fillId="9" borderId="8" xfId="0" applyNumberFormat="1" applyFill="1" applyBorder="1" applyAlignment="1">
      <alignment vertical="center"/>
    </xf>
    <xf numFmtId="0" fontId="12" fillId="7" borderId="9" xfId="0" applyFont="1" applyFill="1" applyBorder="1" applyAlignment="1">
      <alignment vertical="center"/>
    </xf>
    <xf numFmtId="4" fontId="12" fillId="7" borderId="10" xfId="0" applyNumberFormat="1" applyFont="1" applyFill="1" applyBorder="1" applyAlignment="1">
      <alignment vertical="center"/>
    </xf>
    <xf numFmtId="4" fontId="0" fillId="0" borderId="0" xfId="0" applyNumberFormat="1"/>
    <xf numFmtId="0" fontId="12" fillId="7" borderId="11" xfId="0" applyFont="1" applyFill="1" applyBorder="1"/>
    <xf numFmtId="0" fontId="12" fillId="7" borderId="12" xfId="0" applyFont="1" applyFill="1" applyBorder="1"/>
    <xf numFmtId="0" fontId="0" fillId="9" borderId="11" xfId="0" applyFill="1" applyBorder="1"/>
    <xf numFmtId="4" fontId="0" fillId="9" borderId="12" xfId="0" applyNumberFormat="1" applyFill="1" applyBorder="1"/>
    <xf numFmtId="0" fontId="0" fillId="0" borderId="11" xfId="0" applyBorder="1"/>
    <xf numFmtId="4" fontId="0" fillId="0" borderId="12" xfId="0" applyNumberFormat="1" applyBorder="1"/>
    <xf numFmtId="0" fontId="13" fillId="0" borderId="13" xfId="0" applyFont="1" applyBorder="1"/>
    <xf numFmtId="4" fontId="13" fillId="0" borderId="14" xfId="0" applyNumberFormat="1" applyFont="1" applyBorder="1"/>
    <xf numFmtId="165" fontId="3" fillId="4" borderId="1" xfId="1" applyNumberFormat="1" applyFill="1" applyBorder="1"/>
    <xf numFmtId="0" fontId="7" fillId="0" borderId="1" xfId="0" applyFont="1" applyBorder="1"/>
    <xf numFmtId="0" fontId="10" fillId="10" borderId="0" xfId="5" applyFont="1" applyFill="1"/>
    <xf numFmtId="0" fontId="10" fillId="10" borderId="0" xfId="5" applyFont="1" applyFill="1" applyAlignment="1">
      <alignment horizontal="right"/>
    </xf>
    <xf numFmtId="0" fontId="14" fillId="10" borderId="0" xfId="5" applyFont="1" applyFill="1"/>
    <xf numFmtId="0" fontId="13" fillId="0" borderId="1" xfId="0" applyFont="1" applyBorder="1" applyAlignment="1">
      <alignment horizontal="right"/>
    </xf>
    <xf numFmtId="4" fontId="13" fillId="0" borderId="1" xfId="0" applyNumberFormat="1" applyFont="1" applyBorder="1"/>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8"/>
  <sheetViews>
    <sheetView showGridLines="0" tabSelected="1" zoomScale="120" zoomScaleNormal="120" workbookViewId="0">
      <pane xSplit="1" ySplit="1" topLeftCell="F2" activePane="bottomRight" state="frozen"/>
      <selection pane="topRight" activeCell="B1" sqref="B1"/>
      <selection pane="bottomLeft" activeCell="A2" sqref="A2"/>
      <selection pane="bottomRight" activeCell="I21" sqref="I21"/>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40.33203125" style="13" customWidth="1"/>
    <col min="11" max="12" width="5.109375" style="13" customWidth="1"/>
    <col min="13" max="13" width="4.44140625" style="13" customWidth="1"/>
    <col min="14" max="14" width="4.88671875" style="13" customWidth="1"/>
    <col min="15" max="15" width="4.88671875" style="17" customWidth="1"/>
    <col min="16" max="16" width="4.88671875" style="13" customWidth="1"/>
    <col min="17" max="17" width="3.5546875" style="17" customWidth="1"/>
    <col min="18" max="18" width="4.6640625" style="13" customWidth="1"/>
    <col min="19" max="21" width="5.109375" style="13" customWidth="1"/>
    <col min="22" max="16384" width="10.33203125" style="13"/>
  </cols>
  <sheetData>
    <row r="1" spans="1:21" ht="40.799999999999997" x14ac:dyDescent="0.2">
      <c r="A1" s="8" t="s">
        <v>8</v>
      </c>
      <c r="B1" s="9" t="s">
        <v>9</v>
      </c>
      <c r="C1" s="9" t="s">
        <v>10</v>
      </c>
      <c r="D1" s="9" t="s">
        <v>11</v>
      </c>
      <c r="E1" s="9" t="s">
        <v>12</v>
      </c>
      <c r="F1" s="9" t="s">
        <v>13</v>
      </c>
      <c r="G1" s="9" t="s">
        <v>14</v>
      </c>
      <c r="H1" s="9" t="s">
        <v>15</v>
      </c>
      <c r="I1" s="8" t="s">
        <v>16</v>
      </c>
      <c r="J1" s="9" t="s">
        <v>17</v>
      </c>
      <c r="K1" s="8" t="s">
        <v>18</v>
      </c>
      <c r="L1" s="9" t="s">
        <v>19</v>
      </c>
      <c r="M1" s="10" t="s">
        <v>20</v>
      </c>
      <c r="N1" s="11" t="s">
        <v>21</v>
      </c>
      <c r="O1" s="12" t="s">
        <v>22</v>
      </c>
      <c r="P1" s="11" t="s">
        <v>23</v>
      </c>
      <c r="Q1" s="12" t="s">
        <v>24</v>
      </c>
      <c r="R1" s="11" t="s">
        <v>25</v>
      </c>
      <c r="S1" s="11" t="s">
        <v>26</v>
      </c>
      <c r="T1" s="11" t="s">
        <v>27</v>
      </c>
      <c r="U1" s="11" t="s">
        <v>28</v>
      </c>
    </row>
    <row r="2" spans="1:21" x14ac:dyDescent="0.2">
      <c r="A2" s="29" t="s">
        <v>48</v>
      </c>
      <c r="B2" s="29" t="s">
        <v>49</v>
      </c>
      <c r="C2" s="29" t="s">
        <v>50</v>
      </c>
      <c r="D2" s="29" t="s">
        <v>55</v>
      </c>
      <c r="E2" s="29" t="s">
        <v>56</v>
      </c>
      <c r="F2" s="29" t="s">
        <v>57</v>
      </c>
      <c r="G2" s="29" t="s">
        <v>71</v>
      </c>
      <c r="H2" s="29" t="s">
        <v>29</v>
      </c>
      <c r="I2" s="29" t="s">
        <v>66</v>
      </c>
      <c r="J2" s="29" t="s">
        <v>67</v>
      </c>
      <c r="K2" s="32">
        <v>0.5</v>
      </c>
      <c r="L2" s="29" t="s">
        <v>68</v>
      </c>
      <c r="M2" s="29">
        <v>2016</v>
      </c>
      <c r="N2" s="29" t="s">
        <v>43</v>
      </c>
      <c r="O2" s="30" t="s">
        <v>37</v>
      </c>
      <c r="P2" s="29" t="s">
        <v>31</v>
      </c>
      <c r="Q2" s="30" t="s">
        <v>31</v>
      </c>
      <c r="R2" s="31">
        <v>80</v>
      </c>
      <c r="S2" s="32">
        <v>0.4</v>
      </c>
      <c r="T2" s="32">
        <v>0.1</v>
      </c>
      <c r="U2" s="32">
        <v>0</v>
      </c>
    </row>
    <row r="3" spans="1:21" x14ac:dyDescent="0.2">
      <c r="A3" s="29" t="s">
        <v>48</v>
      </c>
      <c r="B3" s="29" t="s">
        <v>49</v>
      </c>
      <c r="C3" s="29" t="s">
        <v>50</v>
      </c>
      <c r="D3" s="29" t="s">
        <v>79</v>
      </c>
      <c r="E3" s="29" t="s">
        <v>80</v>
      </c>
      <c r="F3" s="29" t="s">
        <v>47</v>
      </c>
      <c r="G3" s="29" t="s">
        <v>70</v>
      </c>
      <c r="H3" s="29" t="s">
        <v>32</v>
      </c>
      <c r="I3" s="29" t="s">
        <v>66</v>
      </c>
      <c r="J3" s="29" t="s">
        <v>67</v>
      </c>
      <c r="K3" s="32">
        <v>1</v>
      </c>
      <c r="L3" s="29" t="s">
        <v>68</v>
      </c>
      <c r="M3" s="29">
        <v>2016</v>
      </c>
      <c r="N3" s="29" t="s">
        <v>31</v>
      </c>
      <c r="O3" s="30" t="s">
        <v>31</v>
      </c>
      <c r="P3" s="29" t="s">
        <v>31</v>
      </c>
      <c r="Q3" s="30" t="s">
        <v>31</v>
      </c>
      <c r="R3" s="31">
        <v>100</v>
      </c>
      <c r="S3" s="32">
        <v>1</v>
      </c>
      <c r="T3" s="32">
        <v>0</v>
      </c>
      <c r="U3" s="32">
        <v>0</v>
      </c>
    </row>
    <row r="4" spans="1:21" x14ac:dyDescent="0.2">
      <c r="A4" s="29" t="s">
        <v>48</v>
      </c>
      <c r="B4" s="29" t="s">
        <v>49</v>
      </c>
      <c r="C4" s="29" t="s">
        <v>50</v>
      </c>
      <c r="D4" s="29" t="s">
        <v>51</v>
      </c>
      <c r="E4" s="29" t="s">
        <v>52</v>
      </c>
      <c r="F4" s="29" t="s">
        <v>46</v>
      </c>
      <c r="G4" s="29" t="s">
        <v>70</v>
      </c>
      <c r="H4" s="29" t="s">
        <v>29</v>
      </c>
      <c r="I4" s="29" t="s">
        <v>66</v>
      </c>
      <c r="J4" s="29" t="s">
        <v>67</v>
      </c>
      <c r="K4" s="32">
        <v>0.5</v>
      </c>
      <c r="L4" s="29" t="s">
        <v>68</v>
      </c>
      <c r="M4" s="29">
        <v>2016</v>
      </c>
      <c r="N4" s="29" t="s">
        <v>31</v>
      </c>
      <c r="O4" s="30" t="s">
        <v>31</v>
      </c>
      <c r="P4" s="29" t="s">
        <v>31</v>
      </c>
      <c r="Q4" s="30" t="s">
        <v>31</v>
      </c>
      <c r="R4" s="31">
        <v>100</v>
      </c>
      <c r="S4" s="32">
        <v>0.5</v>
      </c>
      <c r="T4" s="32">
        <v>0</v>
      </c>
      <c r="U4" s="32">
        <v>0</v>
      </c>
    </row>
    <row r="5" spans="1:21" x14ac:dyDescent="0.2">
      <c r="A5" s="29" t="s">
        <v>48</v>
      </c>
      <c r="B5" s="29" t="s">
        <v>49</v>
      </c>
      <c r="C5" s="29" t="s">
        <v>50</v>
      </c>
      <c r="D5" s="29" t="s">
        <v>73</v>
      </c>
      <c r="E5" s="29" t="s">
        <v>74</v>
      </c>
      <c r="F5" s="29" t="s">
        <v>75</v>
      </c>
      <c r="G5" s="29" t="s">
        <v>70</v>
      </c>
      <c r="H5" s="29" t="s">
        <v>32</v>
      </c>
      <c r="I5" s="29" t="s">
        <v>66</v>
      </c>
      <c r="J5" s="29" t="s">
        <v>67</v>
      </c>
      <c r="K5" s="32">
        <v>1</v>
      </c>
      <c r="L5" s="29" t="s">
        <v>68</v>
      </c>
      <c r="M5" s="29">
        <v>2016</v>
      </c>
      <c r="N5" s="29" t="s">
        <v>31</v>
      </c>
      <c r="O5" s="30" t="s">
        <v>31</v>
      </c>
      <c r="P5" s="29" t="s">
        <v>31</v>
      </c>
      <c r="Q5" s="30" t="s">
        <v>31</v>
      </c>
      <c r="R5" s="31">
        <v>100</v>
      </c>
      <c r="S5" s="32">
        <v>1</v>
      </c>
      <c r="T5" s="32">
        <v>0</v>
      </c>
      <c r="U5" s="32">
        <v>0</v>
      </c>
    </row>
    <row r="6" spans="1:21" x14ac:dyDescent="0.2">
      <c r="A6" s="29" t="s">
        <v>53</v>
      </c>
      <c r="B6" s="29" t="s">
        <v>54</v>
      </c>
      <c r="C6" s="29" t="s">
        <v>58</v>
      </c>
      <c r="D6" s="29" t="s">
        <v>62</v>
      </c>
      <c r="E6" s="29" t="s">
        <v>63</v>
      </c>
      <c r="F6" s="29" t="s">
        <v>44</v>
      </c>
      <c r="G6" s="29" t="s">
        <v>71</v>
      </c>
      <c r="H6" s="29" t="s">
        <v>29</v>
      </c>
      <c r="I6" s="29" t="s">
        <v>66</v>
      </c>
      <c r="J6" s="29" t="s">
        <v>67</v>
      </c>
      <c r="K6" s="32">
        <v>0.5</v>
      </c>
      <c r="L6" s="29" t="s">
        <v>68</v>
      </c>
      <c r="M6" s="29">
        <v>2016</v>
      </c>
      <c r="N6" s="29" t="s">
        <v>43</v>
      </c>
      <c r="O6" s="30" t="s">
        <v>37</v>
      </c>
      <c r="P6" s="29" t="s">
        <v>31</v>
      </c>
      <c r="Q6" s="30" t="s">
        <v>31</v>
      </c>
      <c r="R6" s="31">
        <v>80</v>
      </c>
      <c r="S6" s="32">
        <v>0.4</v>
      </c>
      <c r="T6" s="32">
        <v>0.1</v>
      </c>
      <c r="U6" s="32">
        <v>0</v>
      </c>
    </row>
    <row r="7" spans="1:21" x14ac:dyDescent="0.2">
      <c r="A7" s="29" t="s">
        <v>53</v>
      </c>
      <c r="B7" s="29" t="s">
        <v>54</v>
      </c>
      <c r="C7" s="29" t="s">
        <v>58</v>
      </c>
      <c r="D7" s="29" t="s">
        <v>81</v>
      </c>
      <c r="E7" s="29" t="s">
        <v>82</v>
      </c>
      <c r="F7" s="29" t="s">
        <v>38</v>
      </c>
      <c r="G7" s="29" t="s">
        <v>71</v>
      </c>
      <c r="H7" s="29" t="s">
        <v>29</v>
      </c>
      <c r="I7" s="29" t="s">
        <v>66</v>
      </c>
      <c r="J7" s="29" t="s">
        <v>67</v>
      </c>
      <c r="K7" s="32">
        <v>0.5</v>
      </c>
      <c r="L7" s="29" t="s">
        <v>68</v>
      </c>
      <c r="M7" s="29">
        <v>2016</v>
      </c>
      <c r="N7" s="29" t="s">
        <v>43</v>
      </c>
      <c r="O7" s="30" t="s">
        <v>37</v>
      </c>
      <c r="P7" s="29" t="s">
        <v>31</v>
      </c>
      <c r="Q7" s="30" t="s">
        <v>31</v>
      </c>
      <c r="R7" s="31">
        <v>80</v>
      </c>
      <c r="S7" s="32">
        <v>0.4</v>
      </c>
      <c r="T7" s="32">
        <v>0.1</v>
      </c>
      <c r="U7" s="32">
        <v>0</v>
      </c>
    </row>
    <row r="8" spans="1:21" x14ac:dyDescent="0.2">
      <c r="A8" s="29" t="s">
        <v>53</v>
      </c>
      <c r="B8" s="29" t="s">
        <v>54</v>
      </c>
      <c r="C8" s="29" t="s">
        <v>58</v>
      </c>
      <c r="D8" s="29" t="s">
        <v>81</v>
      </c>
      <c r="E8" s="29" t="s">
        <v>82</v>
      </c>
      <c r="F8" s="29" t="s">
        <v>38</v>
      </c>
      <c r="G8" s="29" t="s">
        <v>70</v>
      </c>
      <c r="H8" s="29" t="s">
        <v>29</v>
      </c>
      <c r="I8" s="29" t="s">
        <v>66</v>
      </c>
      <c r="J8" s="29" t="s">
        <v>67</v>
      </c>
      <c r="K8" s="32">
        <v>0.5</v>
      </c>
      <c r="L8" s="29" t="s">
        <v>68</v>
      </c>
      <c r="M8" s="29">
        <v>2016</v>
      </c>
      <c r="N8" s="29" t="s">
        <v>31</v>
      </c>
      <c r="O8" s="30" t="s">
        <v>31</v>
      </c>
      <c r="P8" s="29" t="s">
        <v>31</v>
      </c>
      <c r="Q8" s="30" t="s">
        <v>31</v>
      </c>
      <c r="R8" s="31">
        <v>100</v>
      </c>
      <c r="S8" s="32">
        <v>0.5</v>
      </c>
      <c r="T8" s="32">
        <v>0</v>
      </c>
      <c r="U8" s="32">
        <v>0</v>
      </c>
    </row>
    <row r="9" spans="1:21" x14ac:dyDescent="0.2">
      <c r="A9" s="29" t="s">
        <v>39</v>
      </c>
      <c r="B9" s="29" t="s">
        <v>40</v>
      </c>
      <c r="C9" s="29" t="s">
        <v>41</v>
      </c>
      <c r="D9" s="29" t="s">
        <v>59</v>
      </c>
      <c r="E9" s="29" t="s">
        <v>60</v>
      </c>
      <c r="F9" s="29" t="s">
        <v>61</v>
      </c>
      <c r="G9" s="29" t="s">
        <v>78</v>
      </c>
      <c r="H9" s="29" t="s">
        <v>29</v>
      </c>
      <c r="I9" s="29" t="s">
        <v>66</v>
      </c>
      <c r="J9" s="29" t="s">
        <v>67</v>
      </c>
      <c r="K9" s="32">
        <v>0.5</v>
      </c>
      <c r="L9" s="29" t="s">
        <v>68</v>
      </c>
      <c r="M9" s="29">
        <v>2016</v>
      </c>
      <c r="N9" s="29" t="s">
        <v>35</v>
      </c>
      <c r="O9" s="30" t="s">
        <v>30</v>
      </c>
      <c r="P9" s="29" t="s">
        <v>31</v>
      </c>
      <c r="Q9" s="30" t="s">
        <v>31</v>
      </c>
      <c r="R9" s="31">
        <v>50</v>
      </c>
      <c r="S9" s="32">
        <v>0.25</v>
      </c>
      <c r="T9" s="32">
        <v>0.25</v>
      </c>
      <c r="U9" s="32">
        <v>0</v>
      </c>
    </row>
    <row r="10" spans="1:21" x14ac:dyDescent="0.2">
      <c r="A10" s="29" t="s">
        <v>48</v>
      </c>
      <c r="B10" s="29" t="s">
        <v>49</v>
      </c>
      <c r="C10" s="29" t="s">
        <v>50</v>
      </c>
      <c r="D10" s="29" t="s">
        <v>76</v>
      </c>
      <c r="E10" s="29" t="s">
        <v>77</v>
      </c>
      <c r="F10" s="29" t="s">
        <v>34</v>
      </c>
      <c r="G10" s="29" t="s">
        <v>69</v>
      </c>
      <c r="H10" s="29" t="s">
        <v>32</v>
      </c>
      <c r="I10" s="29" t="s">
        <v>66</v>
      </c>
      <c r="J10" s="29" t="s">
        <v>67</v>
      </c>
      <c r="K10" s="32">
        <v>1</v>
      </c>
      <c r="L10" s="29" t="s">
        <v>68</v>
      </c>
      <c r="M10" s="29">
        <v>2016</v>
      </c>
      <c r="N10" s="29" t="s">
        <v>31</v>
      </c>
      <c r="O10" s="30" t="s">
        <v>31</v>
      </c>
      <c r="P10" s="29" t="s">
        <v>31</v>
      </c>
      <c r="Q10" s="30" t="s">
        <v>31</v>
      </c>
      <c r="R10" s="31">
        <v>100</v>
      </c>
      <c r="S10" s="32">
        <v>1</v>
      </c>
      <c r="T10" s="32">
        <v>0</v>
      </c>
      <c r="U10" s="32">
        <v>0</v>
      </c>
    </row>
    <row r="11" spans="1:21" x14ac:dyDescent="0.2">
      <c r="A11" s="29" t="s">
        <v>53</v>
      </c>
      <c r="B11" s="29" t="s">
        <v>54</v>
      </c>
      <c r="C11" s="29" t="s">
        <v>58</v>
      </c>
      <c r="D11" s="29" t="s">
        <v>83</v>
      </c>
      <c r="E11" s="29" t="s">
        <v>84</v>
      </c>
      <c r="F11" s="29" t="s">
        <v>36</v>
      </c>
      <c r="G11" s="29" t="s">
        <v>85</v>
      </c>
      <c r="H11" s="29" t="s">
        <v>32</v>
      </c>
      <c r="I11" s="29" t="s">
        <v>86</v>
      </c>
      <c r="J11" s="29" t="s">
        <v>87</v>
      </c>
      <c r="K11" s="57">
        <v>1</v>
      </c>
      <c r="L11" s="29" t="s">
        <v>68</v>
      </c>
      <c r="M11" s="29">
        <v>2018</v>
      </c>
      <c r="N11" s="29" t="s">
        <v>42</v>
      </c>
      <c r="O11" s="30" t="s">
        <v>33</v>
      </c>
      <c r="P11" s="29" t="s">
        <v>31</v>
      </c>
      <c r="Q11" s="30" t="s">
        <v>31</v>
      </c>
      <c r="R11" s="31">
        <v>90</v>
      </c>
      <c r="S11" s="32">
        <v>0.9</v>
      </c>
      <c r="T11" s="32">
        <v>0.1</v>
      </c>
      <c r="U11" s="32">
        <v>0</v>
      </c>
    </row>
    <row r="12" spans="1:21" x14ac:dyDescent="0.2">
      <c r="A12" s="29" t="s">
        <v>53</v>
      </c>
      <c r="B12" s="29" t="s">
        <v>54</v>
      </c>
      <c r="C12" s="29" t="s">
        <v>58</v>
      </c>
      <c r="D12" s="29" t="s">
        <v>64</v>
      </c>
      <c r="E12" s="29" t="s">
        <v>65</v>
      </c>
      <c r="F12" s="29" t="s">
        <v>45</v>
      </c>
      <c r="G12" s="29" t="s">
        <v>85</v>
      </c>
      <c r="H12" s="29" t="s">
        <v>29</v>
      </c>
      <c r="I12" s="29" t="s">
        <v>86</v>
      </c>
      <c r="J12" s="29" t="s">
        <v>87</v>
      </c>
      <c r="K12" s="57">
        <v>0.5</v>
      </c>
      <c r="L12" s="29" t="s">
        <v>68</v>
      </c>
      <c r="M12" s="29">
        <v>2018</v>
      </c>
      <c r="N12" s="29" t="s">
        <v>42</v>
      </c>
      <c r="O12" s="30" t="s">
        <v>33</v>
      </c>
      <c r="P12" s="29" t="s">
        <v>31</v>
      </c>
      <c r="Q12" s="30" t="s">
        <v>31</v>
      </c>
      <c r="R12" s="31">
        <v>90</v>
      </c>
      <c r="S12" s="32">
        <v>0.45</v>
      </c>
      <c r="T12" s="32">
        <v>0.05</v>
      </c>
      <c r="U12" s="32">
        <v>0</v>
      </c>
    </row>
    <row r="13" spans="1:21" ht="10.8" thickBot="1" x14ac:dyDescent="0.25">
      <c r="A13" s="29" t="s">
        <v>53</v>
      </c>
      <c r="B13" s="29" t="s">
        <v>54</v>
      </c>
      <c r="C13" s="29" t="s">
        <v>58</v>
      </c>
      <c r="D13" s="29" t="s">
        <v>200</v>
      </c>
      <c r="E13" s="29" t="s">
        <v>201</v>
      </c>
      <c r="F13" s="29" t="s">
        <v>45</v>
      </c>
      <c r="G13" s="29" t="s">
        <v>202</v>
      </c>
      <c r="H13" s="29" t="s">
        <v>32</v>
      </c>
      <c r="I13" s="29" t="s">
        <v>86</v>
      </c>
      <c r="J13" s="29" t="s">
        <v>87</v>
      </c>
      <c r="K13" s="57">
        <v>1</v>
      </c>
      <c r="L13" s="29" t="s">
        <v>68</v>
      </c>
      <c r="M13" s="29">
        <v>2018</v>
      </c>
      <c r="N13" s="29" t="s">
        <v>31</v>
      </c>
      <c r="O13" s="30" t="s">
        <v>31</v>
      </c>
      <c r="P13" s="29" t="s">
        <v>31</v>
      </c>
      <c r="Q13" s="30" t="s">
        <v>31</v>
      </c>
      <c r="R13" s="31">
        <v>100</v>
      </c>
      <c r="S13" s="32">
        <v>1</v>
      </c>
      <c r="T13" s="32">
        <v>0</v>
      </c>
      <c r="U13" s="32">
        <v>0</v>
      </c>
    </row>
    <row r="14" spans="1:21" ht="10.8" thickBot="1" x14ac:dyDescent="0.25">
      <c r="A14" s="33" t="s">
        <v>53</v>
      </c>
      <c r="B14" s="33" t="s">
        <v>54</v>
      </c>
      <c r="C14" s="33" t="s">
        <v>58</v>
      </c>
      <c r="D14" s="33" t="s">
        <v>340</v>
      </c>
      <c r="E14" s="33" t="s">
        <v>341</v>
      </c>
      <c r="F14" s="33" t="s">
        <v>342</v>
      </c>
      <c r="G14" s="34" t="s">
        <v>69</v>
      </c>
      <c r="H14" s="35" t="s">
        <v>29</v>
      </c>
      <c r="I14" s="35" t="s">
        <v>86</v>
      </c>
      <c r="J14" s="36" t="s">
        <v>87</v>
      </c>
      <c r="K14" s="37">
        <v>0.5</v>
      </c>
      <c r="L14" s="37" t="s">
        <v>68</v>
      </c>
      <c r="M14" s="29">
        <v>2020</v>
      </c>
      <c r="N14" s="29" t="s">
        <v>31</v>
      </c>
      <c r="O14" s="30" t="s">
        <v>31</v>
      </c>
      <c r="P14" s="29" t="s">
        <v>31</v>
      </c>
      <c r="Q14" s="30" t="s">
        <v>31</v>
      </c>
      <c r="R14" s="29">
        <v>100</v>
      </c>
      <c r="S14" s="29">
        <v>0.5</v>
      </c>
      <c r="T14" s="29">
        <v>0</v>
      </c>
      <c r="U14" s="29">
        <v>0</v>
      </c>
    </row>
    <row r="15" spans="1:21" ht="10.8" thickBot="1" x14ac:dyDescent="0.25">
      <c r="A15" s="33" t="s">
        <v>53</v>
      </c>
      <c r="B15" s="33" t="s">
        <v>54</v>
      </c>
      <c r="C15" s="33" t="s">
        <v>58</v>
      </c>
      <c r="D15" s="33" t="s">
        <v>343</v>
      </c>
      <c r="E15" s="33" t="s">
        <v>344</v>
      </c>
      <c r="F15" s="33" t="s">
        <v>345</v>
      </c>
      <c r="G15" s="34" t="s">
        <v>72</v>
      </c>
      <c r="H15" s="35" t="s">
        <v>29</v>
      </c>
      <c r="I15" s="35" t="s">
        <v>86</v>
      </c>
      <c r="J15" s="36" t="s">
        <v>87</v>
      </c>
      <c r="K15" s="37">
        <v>0.5</v>
      </c>
      <c r="L15" s="37" t="s">
        <v>68</v>
      </c>
      <c r="M15" s="29">
        <v>2020</v>
      </c>
      <c r="N15" s="29" t="s">
        <v>31</v>
      </c>
      <c r="O15" s="30" t="s">
        <v>31</v>
      </c>
      <c r="P15" s="29" t="s">
        <v>31</v>
      </c>
      <c r="Q15" s="30" t="s">
        <v>31</v>
      </c>
      <c r="R15" s="29">
        <v>100</v>
      </c>
      <c r="S15" s="29">
        <v>0.5</v>
      </c>
      <c r="T15" s="29">
        <v>0</v>
      </c>
      <c r="U15" s="29">
        <v>0</v>
      </c>
    </row>
    <row r="16" spans="1:21" x14ac:dyDescent="0.2">
      <c r="A16" s="29" t="s">
        <v>53</v>
      </c>
      <c r="B16" s="29" t="s">
        <v>54</v>
      </c>
      <c r="C16" s="29" t="s">
        <v>58</v>
      </c>
      <c r="D16" s="29" t="s">
        <v>505</v>
      </c>
      <c r="E16" s="29" t="s">
        <v>506</v>
      </c>
      <c r="F16" s="29" t="s">
        <v>507</v>
      </c>
      <c r="G16" s="29" t="s">
        <v>69</v>
      </c>
      <c r="H16" s="29" t="s">
        <v>29</v>
      </c>
      <c r="I16" s="29" t="s">
        <v>86</v>
      </c>
      <c r="J16" s="29" t="s">
        <v>87</v>
      </c>
      <c r="K16" s="37">
        <v>0.5</v>
      </c>
      <c r="L16" s="37" t="s">
        <v>68</v>
      </c>
      <c r="M16" s="29">
        <v>2021</v>
      </c>
      <c r="N16" s="29" t="s">
        <v>31</v>
      </c>
      <c r="O16" s="30" t="s">
        <v>31</v>
      </c>
      <c r="P16" s="29" t="s">
        <v>31</v>
      </c>
      <c r="Q16" s="30" t="s">
        <v>31</v>
      </c>
      <c r="R16" s="29">
        <v>100</v>
      </c>
      <c r="S16" s="29">
        <v>0.5</v>
      </c>
      <c r="T16" s="29">
        <v>0</v>
      </c>
      <c r="U16" s="29">
        <v>0</v>
      </c>
    </row>
    <row r="17" spans="1:21" x14ac:dyDescent="0.2">
      <c r="A17" s="29" t="s">
        <v>39</v>
      </c>
      <c r="B17" s="29" t="s">
        <v>40</v>
      </c>
      <c r="C17" s="29" t="s">
        <v>41</v>
      </c>
      <c r="D17" s="29" t="s">
        <v>508</v>
      </c>
      <c r="E17" s="29" t="s">
        <v>509</v>
      </c>
      <c r="F17" s="29" t="s">
        <v>510</v>
      </c>
      <c r="G17" s="29" t="s">
        <v>78</v>
      </c>
      <c r="H17" s="29" t="s">
        <v>29</v>
      </c>
      <c r="I17" s="29" t="s">
        <v>86</v>
      </c>
      <c r="J17" s="29" t="s">
        <v>87</v>
      </c>
      <c r="K17" s="37">
        <v>0.5</v>
      </c>
      <c r="L17" s="37" t="s">
        <v>68</v>
      </c>
      <c r="M17" s="29">
        <v>2021</v>
      </c>
      <c r="N17" s="29" t="s">
        <v>35</v>
      </c>
      <c r="O17" s="30" t="s">
        <v>30</v>
      </c>
      <c r="P17" s="29" t="s">
        <v>31</v>
      </c>
      <c r="Q17" s="30" t="s">
        <v>31</v>
      </c>
      <c r="R17" s="29">
        <v>50</v>
      </c>
      <c r="S17" s="29">
        <v>0.25</v>
      </c>
      <c r="T17" s="29">
        <v>0.25</v>
      </c>
      <c r="U17" s="29">
        <v>0</v>
      </c>
    </row>
    <row r="18" spans="1:21" x14ac:dyDescent="0.2">
      <c r="A18" s="14"/>
      <c r="B18" s="14"/>
      <c r="C18" s="14"/>
      <c r="D18" s="14"/>
      <c r="E18" s="14"/>
      <c r="F18" s="14"/>
      <c r="G18" s="14"/>
      <c r="H18" s="14"/>
      <c r="I18" s="14"/>
      <c r="J18" s="14"/>
      <c r="K18" s="14"/>
      <c r="L18" s="14"/>
      <c r="M18" s="14"/>
      <c r="N18" s="14"/>
      <c r="O18" s="15"/>
      <c r="P18" s="14"/>
      <c r="Q18" s="15"/>
      <c r="R18" s="14"/>
      <c r="S18" s="16">
        <f>SUM(S2:S17)</f>
        <v>9.5500000000000007</v>
      </c>
      <c r="T18" s="14"/>
      <c r="U18" s="14"/>
    </row>
  </sheetData>
  <autoFilter ref="A1:U17" xr:uid="{00000000-0009-0000-0000-000000000000}">
    <sortState xmlns:xlrd2="http://schemas.microsoft.com/office/spreadsheetml/2017/richdata2" ref="A2:U1903">
      <sortCondition ref="L2:L1903"/>
      <sortCondition ref="M2:M1903"/>
      <sortCondition ref="D2:D1903"/>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9"/>
  <sheetViews>
    <sheetView zoomScaleNormal="100" workbookViewId="0">
      <selection activeCell="A19" sqref="A19:S19"/>
    </sheetView>
  </sheetViews>
  <sheetFormatPr baseColWidth="10" defaultColWidth="11.44140625" defaultRowHeight="13.2" x14ac:dyDescent="0.25"/>
  <cols>
    <col min="1" max="1" width="10.5546875" style="21" bestFit="1" customWidth="1"/>
    <col min="2" max="2" width="37" style="21" bestFit="1" customWidth="1"/>
    <col min="3" max="3" width="14.5546875" style="21" bestFit="1" customWidth="1"/>
    <col min="4" max="9" width="3.33203125" style="21" bestFit="1" customWidth="1"/>
    <col min="10" max="10" width="13.109375" style="21" bestFit="1" customWidth="1"/>
    <col min="11" max="11" width="5.33203125" style="21" bestFit="1" customWidth="1"/>
    <col min="12" max="13" width="5.6640625" style="21" bestFit="1" customWidth="1"/>
    <col min="14" max="14" width="5.6640625" style="22" bestFit="1" customWidth="1"/>
    <col min="15" max="15" width="5.6640625" style="21" bestFit="1" customWidth="1"/>
    <col min="16" max="16" width="5.6640625" style="22" bestFit="1" customWidth="1"/>
    <col min="17" max="19" width="5.6640625" style="21" bestFit="1" customWidth="1"/>
    <col min="20" max="16384" width="11.44140625" style="21"/>
  </cols>
  <sheetData>
    <row r="1" spans="1:19" s="20" customFormat="1" ht="60" customHeight="1" x14ac:dyDescent="0.25">
      <c r="A1" s="23" t="s">
        <v>88</v>
      </c>
      <c r="B1" s="23" t="s">
        <v>89</v>
      </c>
      <c r="C1" s="23" t="s">
        <v>90</v>
      </c>
      <c r="D1" s="24">
        <v>2017</v>
      </c>
      <c r="E1" s="24">
        <v>2018</v>
      </c>
      <c r="F1" s="24">
        <v>2019</v>
      </c>
      <c r="G1" s="24">
        <v>2020</v>
      </c>
      <c r="H1" s="24">
        <v>2021</v>
      </c>
      <c r="I1" s="24">
        <v>2022</v>
      </c>
      <c r="J1" s="23" t="s">
        <v>91</v>
      </c>
      <c r="K1" s="25" t="s">
        <v>208</v>
      </c>
      <c r="L1" s="18" t="s">
        <v>92</v>
      </c>
      <c r="M1" s="18" t="s">
        <v>93</v>
      </c>
      <c r="N1" s="18" t="s">
        <v>94</v>
      </c>
      <c r="O1" s="18" t="s">
        <v>95</v>
      </c>
      <c r="P1" s="19" t="s">
        <v>96</v>
      </c>
      <c r="Q1" s="19" t="s">
        <v>97</v>
      </c>
      <c r="R1" s="19" t="s">
        <v>98</v>
      </c>
      <c r="S1" s="19" t="s">
        <v>99</v>
      </c>
    </row>
    <row r="2" spans="1:19" ht="14.4" x14ac:dyDescent="0.3">
      <c r="A2" s="26" t="s">
        <v>107</v>
      </c>
      <c r="B2" s="26" t="s">
        <v>108</v>
      </c>
      <c r="C2" s="26" t="s">
        <v>100</v>
      </c>
      <c r="D2" s="26"/>
      <c r="E2" s="26">
        <v>2</v>
      </c>
      <c r="F2" s="26"/>
      <c r="G2" s="26"/>
      <c r="H2" s="26"/>
      <c r="I2" s="26"/>
      <c r="J2" s="26">
        <v>2</v>
      </c>
      <c r="K2" s="26" t="s">
        <v>68</v>
      </c>
      <c r="L2" s="27" t="s">
        <v>42</v>
      </c>
      <c r="M2" s="27" t="s">
        <v>33</v>
      </c>
      <c r="N2" s="27" t="s">
        <v>31</v>
      </c>
      <c r="O2" s="27" t="s">
        <v>31</v>
      </c>
      <c r="P2" s="27">
        <v>90</v>
      </c>
      <c r="Q2" s="27">
        <v>0.2</v>
      </c>
      <c r="R2" s="27">
        <v>0</v>
      </c>
      <c r="S2" s="27">
        <v>1.8</v>
      </c>
    </row>
    <row r="3" spans="1:19" ht="14.4" x14ac:dyDescent="0.3">
      <c r="A3" s="26" t="s">
        <v>105</v>
      </c>
      <c r="B3" s="26" t="s">
        <v>106</v>
      </c>
      <c r="C3" s="26" t="s">
        <v>100</v>
      </c>
      <c r="D3" s="26"/>
      <c r="E3" s="26">
        <v>2</v>
      </c>
      <c r="F3" s="26">
        <v>1</v>
      </c>
      <c r="G3" s="26"/>
      <c r="H3" s="26"/>
      <c r="I3" s="26"/>
      <c r="J3" s="26">
        <v>3</v>
      </c>
      <c r="K3" s="26" t="s">
        <v>68</v>
      </c>
      <c r="L3" s="27" t="s">
        <v>43</v>
      </c>
      <c r="M3" s="27" t="s">
        <v>30</v>
      </c>
      <c r="N3" s="27" t="s">
        <v>31</v>
      </c>
      <c r="O3" s="27" t="s">
        <v>31</v>
      </c>
      <c r="P3" s="27">
        <v>50</v>
      </c>
      <c r="Q3" s="27">
        <v>1.5</v>
      </c>
      <c r="R3" s="27">
        <v>0</v>
      </c>
      <c r="S3" s="27">
        <v>1.5</v>
      </c>
    </row>
    <row r="4" spans="1:19" ht="14.4" x14ac:dyDescent="0.3">
      <c r="A4" s="26" t="s">
        <v>109</v>
      </c>
      <c r="B4" s="26" t="s">
        <v>110</v>
      </c>
      <c r="C4" s="28" t="s">
        <v>100</v>
      </c>
      <c r="D4" s="26"/>
      <c r="E4" s="26"/>
      <c r="F4" s="26">
        <v>1</v>
      </c>
      <c r="G4" s="26"/>
      <c r="H4" s="26"/>
      <c r="I4" s="26"/>
      <c r="J4" s="26">
        <v>1</v>
      </c>
      <c r="K4" s="26" t="s">
        <v>68</v>
      </c>
      <c r="L4" s="27">
        <v>0</v>
      </c>
      <c r="M4" s="27">
        <v>0</v>
      </c>
      <c r="N4" s="27" t="s">
        <v>31</v>
      </c>
      <c r="O4" s="27" t="s">
        <v>31</v>
      </c>
      <c r="P4" s="27">
        <v>100</v>
      </c>
      <c r="Q4" s="27">
        <v>0</v>
      </c>
      <c r="R4" s="27">
        <v>0</v>
      </c>
      <c r="S4" s="27">
        <v>1</v>
      </c>
    </row>
    <row r="5" spans="1:19" ht="14.4" x14ac:dyDescent="0.3">
      <c r="A5" s="26" t="s">
        <v>113</v>
      </c>
      <c r="B5" s="26" t="s">
        <v>114</v>
      </c>
      <c r="C5" s="26" t="s">
        <v>100</v>
      </c>
      <c r="D5" s="26"/>
      <c r="E5" s="26">
        <v>2</v>
      </c>
      <c r="F5" s="26"/>
      <c r="G5" s="26"/>
      <c r="H5" s="26"/>
      <c r="I5" s="26"/>
      <c r="J5" s="26">
        <v>2</v>
      </c>
      <c r="K5" s="26" t="s">
        <v>68</v>
      </c>
      <c r="L5" s="27">
        <v>0</v>
      </c>
      <c r="M5" s="27">
        <v>0</v>
      </c>
      <c r="N5" s="27" t="s">
        <v>31</v>
      </c>
      <c r="O5" s="27" t="s">
        <v>31</v>
      </c>
      <c r="P5" s="27">
        <v>100</v>
      </c>
      <c r="Q5" s="27">
        <v>0</v>
      </c>
      <c r="R5" s="27">
        <v>0</v>
      </c>
      <c r="S5" s="27">
        <v>2</v>
      </c>
    </row>
    <row r="6" spans="1:19" ht="14.4" x14ac:dyDescent="0.3">
      <c r="A6" s="26" t="s">
        <v>511</v>
      </c>
      <c r="B6" s="26" t="s">
        <v>512</v>
      </c>
      <c r="C6" s="26" t="s">
        <v>207</v>
      </c>
      <c r="D6" s="26"/>
      <c r="E6" s="26"/>
      <c r="F6" s="26"/>
      <c r="G6" s="26"/>
      <c r="H6" s="26"/>
      <c r="I6" s="26">
        <v>1</v>
      </c>
      <c r="J6" s="26">
        <v>1</v>
      </c>
      <c r="K6" s="26" t="s">
        <v>68</v>
      </c>
      <c r="L6" s="27">
        <v>0</v>
      </c>
      <c r="M6" s="27">
        <v>0</v>
      </c>
      <c r="N6" s="27" t="s">
        <v>31</v>
      </c>
      <c r="O6" s="27" t="s">
        <v>31</v>
      </c>
      <c r="P6" s="27">
        <v>100</v>
      </c>
      <c r="Q6" s="27">
        <v>0</v>
      </c>
      <c r="R6" s="27">
        <v>0</v>
      </c>
      <c r="S6" s="27">
        <v>1</v>
      </c>
    </row>
    <row r="7" spans="1:19" ht="14.4" x14ac:dyDescent="0.3">
      <c r="A7" s="26" t="s">
        <v>103</v>
      </c>
      <c r="B7" s="26" t="s">
        <v>104</v>
      </c>
      <c r="C7" s="26" t="s">
        <v>100</v>
      </c>
      <c r="D7" s="26"/>
      <c r="E7" s="26">
        <v>1</v>
      </c>
      <c r="F7" s="26"/>
      <c r="G7" s="26"/>
      <c r="H7" s="26"/>
      <c r="I7" s="26"/>
      <c r="J7" s="26">
        <v>1</v>
      </c>
      <c r="K7" s="26" t="s">
        <v>68</v>
      </c>
      <c r="L7" s="27">
        <v>0</v>
      </c>
      <c r="M7" s="27">
        <v>0</v>
      </c>
      <c r="N7" s="27" t="s">
        <v>31</v>
      </c>
      <c r="O7" s="27" t="s">
        <v>31</v>
      </c>
      <c r="P7" s="27">
        <v>100</v>
      </c>
      <c r="Q7" s="27">
        <v>0</v>
      </c>
      <c r="R7" s="27">
        <v>0</v>
      </c>
      <c r="S7" s="27">
        <v>1</v>
      </c>
    </row>
    <row r="8" spans="1:19" ht="14.4" x14ac:dyDescent="0.3">
      <c r="A8" s="26" t="s">
        <v>203</v>
      </c>
      <c r="B8" s="26" t="s">
        <v>204</v>
      </c>
      <c r="C8" s="26" t="s">
        <v>100</v>
      </c>
      <c r="D8" s="26"/>
      <c r="E8" s="26"/>
      <c r="F8" s="26"/>
      <c r="G8" s="26">
        <v>1</v>
      </c>
      <c r="H8" s="26"/>
      <c r="I8" s="26"/>
      <c r="J8" s="26">
        <v>1</v>
      </c>
      <c r="K8" s="26" t="s">
        <v>68</v>
      </c>
      <c r="L8" s="27">
        <v>0</v>
      </c>
      <c r="M8" s="27">
        <v>0</v>
      </c>
      <c r="N8" s="27" t="s">
        <v>31</v>
      </c>
      <c r="O8" s="27" t="s">
        <v>31</v>
      </c>
      <c r="P8" s="27">
        <v>100</v>
      </c>
      <c r="Q8" s="27">
        <v>0</v>
      </c>
      <c r="R8" s="27">
        <v>0</v>
      </c>
      <c r="S8" s="27">
        <v>1</v>
      </c>
    </row>
    <row r="9" spans="1:19" ht="14.4" x14ac:dyDescent="0.3">
      <c r="A9" s="26" t="s">
        <v>513</v>
      </c>
      <c r="B9" s="26" t="s">
        <v>514</v>
      </c>
      <c r="C9" s="58" t="s">
        <v>207</v>
      </c>
      <c r="D9" s="26"/>
      <c r="E9" s="26"/>
      <c r="F9" s="26"/>
      <c r="G9" s="26"/>
      <c r="H9" s="26"/>
      <c r="I9" s="26">
        <v>1</v>
      </c>
      <c r="J9" s="26">
        <v>1</v>
      </c>
      <c r="K9" s="26" t="s">
        <v>68</v>
      </c>
      <c r="L9" s="27">
        <v>0</v>
      </c>
      <c r="M9" s="27">
        <v>0</v>
      </c>
      <c r="N9" s="27" t="s">
        <v>31</v>
      </c>
      <c r="O9" s="27" t="s">
        <v>31</v>
      </c>
      <c r="P9" s="27">
        <v>100</v>
      </c>
      <c r="Q9" s="27">
        <v>0</v>
      </c>
      <c r="R9" s="27">
        <v>0</v>
      </c>
      <c r="S9" s="27">
        <v>1</v>
      </c>
    </row>
    <row r="10" spans="1:19" ht="14.4" x14ac:dyDescent="0.3">
      <c r="A10" s="26" t="s">
        <v>115</v>
      </c>
      <c r="B10" s="26" t="s">
        <v>116</v>
      </c>
      <c r="C10" s="26" t="s">
        <v>100</v>
      </c>
      <c r="D10" s="26">
        <v>1</v>
      </c>
      <c r="E10" s="26"/>
      <c r="F10" s="26"/>
      <c r="G10" s="26"/>
      <c r="H10" s="26"/>
      <c r="I10" s="26"/>
      <c r="J10" s="26">
        <v>1</v>
      </c>
      <c r="K10" s="26" t="s">
        <v>68</v>
      </c>
      <c r="L10" s="27">
        <v>0</v>
      </c>
      <c r="M10" s="27">
        <v>0</v>
      </c>
      <c r="N10" s="27" t="s">
        <v>31</v>
      </c>
      <c r="O10" s="27" t="s">
        <v>31</v>
      </c>
      <c r="P10" s="27">
        <v>100</v>
      </c>
      <c r="Q10" s="27">
        <v>0</v>
      </c>
      <c r="R10" s="27">
        <v>0</v>
      </c>
      <c r="S10" s="27">
        <v>1</v>
      </c>
    </row>
    <row r="11" spans="1:19" ht="14.4" x14ac:dyDescent="0.3">
      <c r="A11" s="26" t="s">
        <v>205</v>
      </c>
      <c r="B11" s="26" t="s">
        <v>206</v>
      </c>
      <c r="C11" s="26" t="s">
        <v>207</v>
      </c>
      <c r="D11" s="26"/>
      <c r="E11" s="26"/>
      <c r="F11" s="26"/>
      <c r="G11" s="26">
        <v>1</v>
      </c>
      <c r="H11" s="26"/>
      <c r="I11" s="26"/>
      <c r="J11" s="26">
        <v>1</v>
      </c>
      <c r="K11" s="26" t="s">
        <v>68</v>
      </c>
      <c r="L11" s="27">
        <v>0</v>
      </c>
      <c r="M11" s="27">
        <v>0</v>
      </c>
      <c r="N11" s="27" t="s">
        <v>31</v>
      </c>
      <c r="O11" s="27" t="s">
        <v>31</v>
      </c>
      <c r="P11" s="27">
        <v>100</v>
      </c>
      <c r="Q11" s="27">
        <v>0</v>
      </c>
      <c r="R11" s="27">
        <v>0</v>
      </c>
      <c r="S11" s="27">
        <v>1</v>
      </c>
    </row>
    <row r="12" spans="1:19" ht="14.4" x14ac:dyDescent="0.3">
      <c r="A12" s="26" t="s">
        <v>210</v>
      </c>
      <c r="B12" s="26" t="s">
        <v>211</v>
      </c>
      <c r="C12" s="26" t="s">
        <v>207</v>
      </c>
      <c r="D12" s="26"/>
      <c r="E12" s="26"/>
      <c r="F12" s="26"/>
      <c r="G12" s="26"/>
      <c r="H12" s="26">
        <v>1</v>
      </c>
      <c r="I12" s="26"/>
      <c r="J12" s="26">
        <v>1</v>
      </c>
      <c r="K12" s="26" t="s">
        <v>68</v>
      </c>
      <c r="L12" s="27" t="s">
        <v>43</v>
      </c>
      <c r="M12" s="27" t="s">
        <v>30</v>
      </c>
      <c r="N12" s="27" t="s">
        <v>31</v>
      </c>
      <c r="O12" s="27" t="s">
        <v>31</v>
      </c>
      <c r="P12" s="27">
        <v>50</v>
      </c>
      <c r="Q12" s="27">
        <v>0.5</v>
      </c>
      <c r="R12" s="27">
        <v>0</v>
      </c>
      <c r="S12" s="27">
        <v>0.5</v>
      </c>
    </row>
    <row r="13" spans="1:19" ht="14.4" x14ac:dyDescent="0.3">
      <c r="A13" s="26" t="s">
        <v>515</v>
      </c>
      <c r="B13" s="26" t="s">
        <v>516</v>
      </c>
      <c r="C13" s="26" t="s">
        <v>207</v>
      </c>
      <c r="D13" s="26"/>
      <c r="E13" s="26"/>
      <c r="F13" s="26"/>
      <c r="G13" s="26"/>
      <c r="H13" s="26"/>
      <c r="I13" s="26">
        <v>1</v>
      </c>
      <c r="J13" s="26">
        <v>1</v>
      </c>
      <c r="K13" s="26" t="s">
        <v>68</v>
      </c>
      <c r="L13" s="27">
        <v>0</v>
      </c>
      <c r="M13" s="27">
        <v>0</v>
      </c>
      <c r="N13" s="27" t="s">
        <v>31</v>
      </c>
      <c r="O13" s="27" t="s">
        <v>31</v>
      </c>
      <c r="P13" s="27">
        <v>100</v>
      </c>
      <c r="Q13" s="27">
        <v>0</v>
      </c>
      <c r="R13" s="27">
        <v>0</v>
      </c>
      <c r="S13" s="27">
        <v>1</v>
      </c>
    </row>
    <row r="14" spans="1:19" ht="14.4" x14ac:dyDescent="0.3">
      <c r="A14" s="26" t="s">
        <v>101</v>
      </c>
      <c r="B14" s="26" t="s">
        <v>102</v>
      </c>
      <c r="C14" s="26" t="s">
        <v>100</v>
      </c>
      <c r="D14" s="26"/>
      <c r="E14" s="26"/>
      <c r="F14" s="26"/>
      <c r="G14" s="26">
        <v>1</v>
      </c>
      <c r="H14" s="26"/>
      <c r="I14" s="26"/>
      <c r="J14" s="26">
        <v>1</v>
      </c>
      <c r="K14" s="26" t="s">
        <v>68</v>
      </c>
      <c r="L14" s="27">
        <v>0</v>
      </c>
      <c r="M14" s="27">
        <v>0</v>
      </c>
      <c r="N14" s="27" t="s">
        <v>31</v>
      </c>
      <c r="O14" s="27" t="s">
        <v>31</v>
      </c>
      <c r="P14" s="27">
        <v>100</v>
      </c>
      <c r="Q14" s="27">
        <v>0</v>
      </c>
      <c r="R14" s="27">
        <v>0</v>
      </c>
      <c r="S14" s="27">
        <v>1</v>
      </c>
    </row>
    <row r="15" spans="1:19" ht="14.4" x14ac:dyDescent="0.3">
      <c r="A15" s="26" t="s">
        <v>517</v>
      </c>
      <c r="B15" s="26" t="s">
        <v>518</v>
      </c>
      <c r="C15" s="26" t="s">
        <v>207</v>
      </c>
      <c r="D15" s="26"/>
      <c r="E15" s="26"/>
      <c r="F15" s="26"/>
      <c r="G15" s="26"/>
      <c r="H15" s="26"/>
      <c r="I15" s="26">
        <v>1</v>
      </c>
      <c r="J15" s="26">
        <v>1</v>
      </c>
      <c r="K15" s="26" t="s">
        <v>68</v>
      </c>
      <c r="L15" s="27">
        <v>0</v>
      </c>
      <c r="M15" s="27">
        <v>0</v>
      </c>
      <c r="N15" s="27" t="s">
        <v>31</v>
      </c>
      <c r="O15" s="27" t="s">
        <v>31</v>
      </c>
      <c r="P15" s="27">
        <v>100</v>
      </c>
      <c r="Q15" s="27">
        <v>0</v>
      </c>
      <c r="R15" s="27">
        <v>0</v>
      </c>
      <c r="S15" s="27">
        <v>1</v>
      </c>
    </row>
    <row r="16" spans="1:19" ht="14.4" x14ac:dyDescent="0.3">
      <c r="A16" s="26" t="s">
        <v>117</v>
      </c>
      <c r="B16" s="26" t="s">
        <v>118</v>
      </c>
      <c r="C16" s="26" t="s">
        <v>100</v>
      </c>
      <c r="D16" s="26"/>
      <c r="E16" s="26"/>
      <c r="F16" s="26">
        <v>1</v>
      </c>
      <c r="G16" s="26"/>
      <c r="H16" s="26"/>
      <c r="I16" s="26"/>
      <c r="J16" s="26">
        <v>1</v>
      </c>
      <c r="K16" s="26" t="s">
        <v>68</v>
      </c>
      <c r="L16" s="27" t="s">
        <v>35</v>
      </c>
      <c r="M16" s="27" t="s">
        <v>30</v>
      </c>
      <c r="N16" s="27" t="s">
        <v>31</v>
      </c>
      <c r="O16" s="27" t="s">
        <v>31</v>
      </c>
      <c r="P16" s="27">
        <v>50</v>
      </c>
      <c r="Q16" s="27">
        <v>0.5</v>
      </c>
      <c r="R16" s="27">
        <v>0</v>
      </c>
      <c r="S16" s="27">
        <v>0.5</v>
      </c>
    </row>
    <row r="17" spans="1:19" ht="14.4" x14ac:dyDescent="0.3">
      <c r="A17" s="26" t="s">
        <v>212</v>
      </c>
      <c r="B17" s="26" t="s">
        <v>213</v>
      </c>
      <c r="C17" s="26" t="s">
        <v>207</v>
      </c>
      <c r="D17" s="26"/>
      <c r="E17" s="26"/>
      <c r="F17" s="26"/>
      <c r="G17" s="26"/>
      <c r="H17" s="26">
        <v>1</v>
      </c>
      <c r="I17" s="26"/>
      <c r="J17" s="26">
        <v>1</v>
      </c>
      <c r="K17" s="26" t="s">
        <v>68</v>
      </c>
      <c r="L17" s="27">
        <v>0</v>
      </c>
      <c r="M17" s="27">
        <v>0</v>
      </c>
      <c r="N17" s="27" t="s">
        <v>31</v>
      </c>
      <c r="O17" s="27" t="s">
        <v>31</v>
      </c>
      <c r="P17" s="27">
        <v>100</v>
      </c>
      <c r="Q17" s="27">
        <v>0</v>
      </c>
      <c r="R17" s="27">
        <v>0</v>
      </c>
      <c r="S17" s="27">
        <v>1</v>
      </c>
    </row>
    <row r="18" spans="1:19" ht="14.4" x14ac:dyDescent="0.3">
      <c r="A18" s="26" t="s">
        <v>111</v>
      </c>
      <c r="B18" s="26" t="s">
        <v>112</v>
      </c>
      <c r="C18" s="28" t="s">
        <v>209</v>
      </c>
      <c r="D18" s="26"/>
      <c r="E18" s="26"/>
      <c r="F18" s="26"/>
      <c r="G18" s="26"/>
      <c r="H18" s="26"/>
      <c r="I18" s="26">
        <v>1</v>
      </c>
      <c r="J18" s="26">
        <v>1</v>
      </c>
      <c r="K18" s="26" t="s">
        <v>68</v>
      </c>
      <c r="L18" s="27">
        <v>0</v>
      </c>
      <c r="M18" s="27">
        <v>0</v>
      </c>
      <c r="N18" s="27" t="s">
        <v>31</v>
      </c>
      <c r="O18" s="27" t="s">
        <v>31</v>
      </c>
      <c r="P18" s="27">
        <v>100</v>
      </c>
      <c r="Q18" s="27">
        <v>0</v>
      </c>
      <c r="R18" s="27">
        <v>0</v>
      </c>
      <c r="S18" s="27">
        <v>1</v>
      </c>
    </row>
    <row r="19" spans="1:19" x14ac:dyDescent="0.25">
      <c r="A19" s="59"/>
      <c r="B19" s="59"/>
      <c r="C19" s="59"/>
      <c r="D19" s="59"/>
      <c r="E19" s="59"/>
      <c r="F19" s="59"/>
      <c r="G19" s="59"/>
      <c r="H19" s="59"/>
      <c r="I19" s="59"/>
      <c r="J19" s="59"/>
      <c r="K19" s="59"/>
      <c r="L19" s="59"/>
      <c r="M19" s="59"/>
      <c r="N19" s="60"/>
      <c r="O19" s="59"/>
      <c r="P19" s="60"/>
      <c r="Q19" s="59"/>
      <c r="R19" s="59"/>
      <c r="S19" s="61">
        <f>SUM(S2:S18)</f>
        <v>18.3</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9"/>
  <sheetViews>
    <sheetView topLeftCell="A53" zoomScaleNormal="100" workbookViewId="0">
      <selection activeCell="A71" sqref="A71:B79"/>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119</v>
      </c>
      <c r="B3" s="5">
        <v>9297.5</v>
      </c>
    </row>
    <row r="4" spans="1:2" x14ac:dyDescent="0.2">
      <c r="A4" s="4" t="s">
        <v>120</v>
      </c>
      <c r="B4" s="5">
        <v>9297.5499999999993</v>
      </c>
    </row>
    <row r="5" spans="1:2" x14ac:dyDescent="0.2">
      <c r="A5" s="4" t="s">
        <v>121</v>
      </c>
      <c r="B5" s="5">
        <v>1.99</v>
      </c>
    </row>
    <row r="6" spans="1:2" x14ac:dyDescent="0.2">
      <c r="A6" s="4" t="s">
        <v>122</v>
      </c>
      <c r="B6" s="5">
        <v>9.34</v>
      </c>
    </row>
    <row r="7" spans="1:2" x14ac:dyDescent="0.2">
      <c r="A7" s="4" t="s">
        <v>123</v>
      </c>
      <c r="B7" s="5">
        <v>4.8</v>
      </c>
    </row>
    <row r="8" spans="1:2" x14ac:dyDescent="0.2">
      <c r="A8" s="4" t="s">
        <v>124</v>
      </c>
      <c r="B8" s="5"/>
    </row>
    <row r="9" spans="1:2" x14ac:dyDescent="0.2">
      <c r="A9" s="4" t="s">
        <v>125</v>
      </c>
      <c r="B9" s="5">
        <v>750</v>
      </c>
    </row>
    <row r="10" spans="1:2" x14ac:dyDescent="0.2">
      <c r="A10" s="4" t="s">
        <v>126</v>
      </c>
      <c r="B10" s="5"/>
    </row>
    <row r="11" spans="1:2" x14ac:dyDescent="0.2">
      <c r="A11" s="4" t="s">
        <v>127</v>
      </c>
      <c r="B11" s="5">
        <v>750</v>
      </c>
    </row>
    <row r="12" spans="1:2" x14ac:dyDescent="0.2">
      <c r="A12" s="4" t="s">
        <v>128</v>
      </c>
      <c r="B12" s="5"/>
    </row>
    <row r="13" spans="1:2" x14ac:dyDescent="0.2">
      <c r="A13" s="4" t="s">
        <v>129</v>
      </c>
      <c r="B13" s="5">
        <v>240</v>
      </c>
    </row>
    <row r="14" spans="1:2" x14ac:dyDescent="0.2">
      <c r="A14" s="4" t="s">
        <v>130</v>
      </c>
      <c r="B14" s="5"/>
    </row>
    <row r="15" spans="1:2" x14ac:dyDescent="0.2">
      <c r="A15" s="4" t="s">
        <v>131</v>
      </c>
      <c r="B15" s="5">
        <v>313.60000000000002</v>
      </c>
    </row>
    <row r="16" spans="1:2" x14ac:dyDescent="0.2">
      <c r="A16" s="4" t="s">
        <v>132</v>
      </c>
      <c r="B16" s="5"/>
    </row>
    <row r="17" spans="1:2" x14ac:dyDescent="0.2">
      <c r="A17" s="4" t="s">
        <v>133</v>
      </c>
      <c r="B17" s="5">
        <v>1120</v>
      </c>
    </row>
    <row r="18" spans="1:2" x14ac:dyDescent="0.2">
      <c r="A18" s="4" t="s">
        <v>134</v>
      </c>
      <c r="B18" s="5"/>
    </row>
    <row r="19" spans="1:2" x14ac:dyDescent="0.2">
      <c r="A19" s="4" t="s">
        <v>135</v>
      </c>
      <c r="B19" s="5">
        <v>300</v>
      </c>
    </row>
    <row r="20" spans="1:2" x14ac:dyDescent="0.2">
      <c r="A20" s="4" t="s">
        <v>136</v>
      </c>
      <c r="B20" s="5"/>
    </row>
    <row r="21" spans="1:2" x14ac:dyDescent="0.2">
      <c r="A21" s="4" t="s">
        <v>137</v>
      </c>
      <c r="B21" s="5">
        <v>2500</v>
      </c>
    </row>
    <row r="22" spans="1:2" x14ac:dyDescent="0.2">
      <c r="A22" s="4" t="s">
        <v>138</v>
      </c>
      <c r="B22" s="5"/>
    </row>
    <row r="23" spans="1:2" x14ac:dyDescent="0.2">
      <c r="A23" s="4" t="s">
        <v>139</v>
      </c>
      <c r="B23" s="5">
        <v>800</v>
      </c>
    </row>
    <row r="24" spans="1:2" x14ac:dyDescent="0.2">
      <c r="A24" s="4" t="s">
        <v>140</v>
      </c>
      <c r="B24" s="5"/>
    </row>
    <row r="25" spans="1:2" x14ac:dyDescent="0.2">
      <c r="A25" s="4" t="s">
        <v>141</v>
      </c>
      <c r="B25" s="5">
        <v>1000</v>
      </c>
    </row>
    <row r="26" spans="1:2" x14ac:dyDescent="0.2">
      <c r="A26" s="4" t="s">
        <v>142</v>
      </c>
      <c r="B26" s="5"/>
    </row>
    <row r="27" spans="1:2" x14ac:dyDescent="0.2">
      <c r="A27" s="4" t="s">
        <v>143</v>
      </c>
      <c r="B27" s="5">
        <v>785</v>
      </c>
    </row>
    <row r="28" spans="1:2" x14ac:dyDescent="0.2">
      <c r="A28" s="4" t="s">
        <v>144</v>
      </c>
      <c r="B28" s="5">
        <v>920</v>
      </c>
    </row>
    <row r="29" spans="1:2" x14ac:dyDescent="0.2">
      <c r="A29" s="4" t="s">
        <v>145</v>
      </c>
      <c r="B29" s="5">
        <v>1520</v>
      </c>
    </row>
    <row r="30" spans="1:2" x14ac:dyDescent="0.2">
      <c r="A30" s="4" t="s">
        <v>146</v>
      </c>
      <c r="B30" s="5">
        <v>935</v>
      </c>
    </row>
    <row r="31" spans="1:2" x14ac:dyDescent="0.2">
      <c r="A31" s="4" t="s">
        <v>147</v>
      </c>
      <c r="B31" s="5">
        <v>550</v>
      </c>
    </row>
    <row r="32" spans="1:2" x14ac:dyDescent="0.2">
      <c r="A32" s="4" t="s">
        <v>148</v>
      </c>
      <c r="B32" s="5"/>
    </row>
    <row r="33" spans="1:2" x14ac:dyDescent="0.2">
      <c r="A33" s="4" t="s">
        <v>149</v>
      </c>
      <c r="B33" s="5">
        <v>1080</v>
      </c>
    </row>
    <row r="34" spans="1:2" x14ac:dyDescent="0.2">
      <c r="A34" s="4" t="s">
        <v>150</v>
      </c>
      <c r="B34" s="5"/>
    </row>
    <row r="35" spans="1:2" x14ac:dyDescent="0.2">
      <c r="A35" s="4" t="s">
        <v>151</v>
      </c>
      <c r="B35" s="5">
        <v>430</v>
      </c>
    </row>
    <row r="36" spans="1:2" x14ac:dyDescent="0.2">
      <c r="A36" s="4" t="s">
        <v>152</v>
      </c>
      <c r="B36" s="5"/>
    </row>
    <row r="37" spans="1:2" x14ac:dyDescent="0.2">
      <c r="A37" s="4" t="s">
        <v>153</v>
      </c>
      <c r="B37" s="5">
        <v>296.61</v>
      </c>
    </row>
    <row r="38" spans="1:2" x14ac:dyDescent="0.2">
      <c r="A38" s="4" t="s">
        <v>154</v>
      </c>
      <c r="B38" s="5"/>
    </row>
    <row r="39" spans="1:2" x14ac:dyDescent="0.2">
      <c r="A39" s="4" t="s">
        <v>155</v>
      </c>
      <c r="B39" s="5">
        <v>300</v>
      </c>
    </row>
    <row r="40" spans="1:2" x14ac:dyDescent="0.2">
      <c r="A40" s="4" t="s">
        <v>156</v>
      </c>
      <c r="B40" s="5"/>
    </row>
    <row r="41" spans="1:2" x14ac:dyDescent="0.2">
      <c r="A41" s="4" t="s">
        <v>157</v>
      </c>
      <c r="B41" s="5">
        <v>600</v>
      </c>
    </row>
    <row r="42" spans="1:2" x14ac:dyDescent="0.2">
      <c r="A42" s="4" t="s">
        <v>158</v>
      </c>
      <c r="B42" s="5"/>
    </row>
    <row r="43" spans="1:2" x14ac:dyDescent="0.2">
      <c r="A43" s="4" t="s">
        <v>159</v>
      </c>
      <c r="B43" s="5">
        <v>300</v>
      </c>
    </row>
    <row r="44" spans="1:2" x14ac:dyDescent="0.2">
      <c r="A44" s="4" t="s">
        <v>160</v>
      </c>
      <c r="B44" s="5"/>
    </row>
    <row r="45" spans="1:2" x14ac:dyDescent="0.2">
      <c r="A45" s="4" t="s">
        <v>161</v>
      </c>
      <c r="B45" s="5">
        <v>3500</v>
      </c>
    </row>
    <row r="46" spans="1:2" x14ac:dyDescent="0.2">
      <c r="A46" s="4" t="s">
        <v>162</v>
      </c>
      <c r="B46" s="5"/>
    </row>
    <row r="47" spans="1:2" x14ac:dyDescent="0.2">
      <c r="A47" s="4" t="s">
        <v>163</v>
      </c>
      <c r="B47" s="5">
        <v>2960</v>
      </c>
    </row>
    <row r="48" spans="1:2" x14ac:dyDescent="0.2">
      <c r="A48" s="4" t="s">
        <v>164</v>
      </c>
      <c r="B48" s="5"/>
    </row>
    <row r="49" spans="1:2" x14ac:dyDescent="0.2">
      <c r="A49" s="4" t="s">
        <v>165</v>
      </c>
      <c r="B49" s="5">
        <v>8115</v>
      </c>
    </row>
    <row r="50" spans="1:2" x14ac:dyDescent="0.2">
      <c r="A50" s="4" t="s">
        <v>166</v>
      </c>
      <c r="B50" s="5"/>
    </row>
    <row r="51" spans="1:2" x14ac:dyDescent="0.2">
      <c r="A51" s="4" t="s">
        <v>167</v>
      </c>
      <c r="B51" s="5">
        <v>160</v>
      </c>
    </row>
    <row r="52" spans="1:2" x14ac:dyDescent="0.2">
      <c r="A52" s="4" t="s">
        <v>168</v>
      </c>
      <c r="B52" s="5"/>
    </row>
    <row r="53" spans="1:2" x14ac:dyDescent="0.2">
      <c r="A53" s="4" t="s">
        <v>169</v>
      </c>
      <c r="B53" s="5">
        <v>300</v>
      </c>
    </row>
    <row r="54" spans="1:2" x14ac:dyDescent="0.2">
      <c r="A54" s="4" t="s">
        <v>170</v>
      </c>
      <c r="B54" s="5"/>
    </row>
    <row r="55" spans="1:2" x14ac:dyDescent="0.2">
      <c r="A55" s="4" t="s">
        <v>171</v>
      </c>
      <c r="B55" s="5">
        <v>1360</v>
      </c>
    </row>
    <row r="56" spans="1:2" x14ac:dyDescent="0.2">
      <c r="A56" s="4" t="s">
        <v>172</v>
      </c>
      <c r="B56" s="5"/>
    </row>
    <row r="57" spans="1:2" x14ac:dyDescent="0.2">
      <c r="A57" s="4" t="s">
        <v>173</v>
      </c>
      <c r="B57" s="5">
        <v>247.93</v>
      </c>
    </row>
    <row r="58" spans="1:2" x14ac:dyDescent="0.2">
      <c r="A58" s="4" t="s">
        <v>7</v>
      </c>
      <c r="B58" s="5"/>
    </row>
    <row r="59" spans="1:2" x14ac:dyDescent="0.2">
      <c r="A59" s="4" t="s">
        <v>174</v>
      </c>
      <c r="B59" s="5">
        <v>301</v>
      </c>
    </row>
    <row r="60" spans="1:2" x14ac:dyDescent="0.2">
      <c r="A60" s="4" t="s">
        <v>175</v>
      </c>
      <c r="B60" s="5">
        <v>301</v>
      </c>
    </row>
    <row r="61" spans="1:2" x14ac:dyDescent="0.2">
      <c r="A61" s="4" t="s">
        <v>4</v>
      </c>
      <c r="B61" s="5"/>
    </row>
    <row r="62" spans="1:2" x14ac:dyDescent="0.2">
      <c r="A62" s="4" t="s">
        <v>176</v>
      </c>
      <c r="B62" s="5">
        <v>849</v>
      </c>
    </row>
    <row r="63" spans="1:2" x14ac:dyDescent="0.2">
      <c r="A63" s="4" t="s">
        <v>177</v>
      </c>
      <c r="B63" s="5">
        <v>1122</v>
      </c>
    </row>
    <row r="64" spans="1:2" x14ac:dyDescent="0.2">
      <c r="A64" s="4" t="s">
        <v>178</v>
      </c>
      <c r="B64" s="5">
        <v>1224</v>
      </c>
    </row>
    <row r="65" spans="1:2" x14ac:dyDescent="0.2">
      <c r="A65" s="4" t="s">
        <v>179</v>
      </c>
      <c r="B65" s="5">
        <v>1813</v>
      </c>
    </row>
    <row r="66" spans="1:2" x14ac:dyDescent="0.2">
      <c r="A66" s="4" t="s">
        <v>180</v>
      </c>
      <c r="B66" s="5"/>
    </row>
    <row r="67" spans="1:2" x14ac:dyDescent="0.2">
      <c r="A67" s="4" t="s">
        <v>181</v>
      </c>
      <c r="B67" s="5">
        <v>1375</v>
      </c>
    </row>
    <row r="68" spans="1:2" x14ac:dyDescent="0.2">
      <c r="A68" s="4" t="s">
        <v>5</v>
      </c>
      <c r="B68" s="5"/>
    </row>
    <row r="69" spans="1:2" x14ac:dyDescent="0.2">
      <c r="A69" s="4" t="s">
        <v>121</v>
      </c>
      <c r="B69" s="5">
        <v>2.84</v>
      </c>
    </row>
    <row r="70" spans="1:2" x14ac:dyDescent="0.2">
      <c r="A70" s="4" t="s">
        <v>122</v>
      </c>
      <c r="B70" s="5">
        <v>14.08</v>
      </c>
    </row>
    <row r="71" spans="1:2" x14ac:dyDescent="0.2">
      <c r="A71" s="4" t="s">
        <v>182</v>
      </c>
      <c r="B71" s="5">
        <v>0.8</v>
      </c>
    </row>
    <row r="72" spans="1:2" x14ac:dyDescent="0.2">
      <c r="A72" s="4" t="s">
        <v>183</v>
      </c>
      <c r="B72" s="5"/>
    </row>
    <row r="73" spans="1:2" x14ac:dyDescent="0.2">
      <c r="A73" s="4" t="s">
        <v>184</v>
      </c>
      <c r="B73" s="5">
        <v>979.31</v>
      </c>
    </row>
    <row r="74" spans="1:2" x14ac:dyDescent="0.2">
      <c r="A74" s="4" t="s">
        <v>185</v>
      </c>
      <c r="B74" s="5"/>
    </row>
    <row r="75" spans="1:2" x14ac:dyDescent="0.2">
      <c r="A75" s="4" t="s">
        <v>186</v>
      </c>
      <c r="B75" s="5">
        <v>1515</v>
      </c>
    </row>
    <row r="76" spans="1:2" x14ac:dyDescent="0.2">
      <c r="A76" s="4" t="s">
        <v>187</v>
      </c>
      <c r="B76" s="5"/>
    </row>
    <row r="77" spans="1:2" x14ac:dyDescent="0.2">
      <c r="A77" s="4" t="s">
        <v>188</v>
      </c>
      <c r="B77" s="5">
        <v>3500.49</v>
      </c>
    </row>
    <row r="78" spans="1:2" x14ac:dyDescent="0.2">
      <c r="A78" s="4" t="s">
        <v>189</v>
      </c>
      <c r="B78" s="5">
        <v>13000</v>
      </c>
    </row>
    <row r="79" spans="1:2" x14ac:dyDescent="0.2">
      <c r="A79" s="6" t="s">
        <v>2</v>
      </c>
      <c r="B79" s="7">
        <f>SUM(B3:B78)</f>
        <v>76741.84</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CF17D-8F9A-46D7-975A-3B8CA9FFE2DD}">
  <dimension ref="A1:B51"/>
  <sheetViews>
    <sheetView topLeftCell="A20" zoomScaleNormal="100" workbookViewId="0">
      <selection activeCell="B52" sqref="B52"/>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214</v>
      </c>
      <c r="B3" s="5">
        <v>11917.4</v>
      </c>
    </row>
    <row r="4" spans="1:2" x14ac:dyDescent="0.2">
      <c r="A4" s="4" t="s">
        <v>142</v>
      </c>
      <c r="B4" s="5"/>
    </row>
    <row r="5" spans="1:2" x14ac:dyDescent="0.2">
      <c r="A5" s="4" t="s">
        <v>215</v>
      </c>
      <c r="B5" s="5">
        <v>998.8</v>
      </c>
    </row>
    <row r="6" spans="1:2" x14ac:dyDescent="0.2">
      <c r="A6" s="4" t="s">
        <v>216</v>
      </c>
      <c r="B6" s="5">
        <v>712.8</v>
      </c>
    </row>
    <row r="7" spans="1:2" x14ac:dyDescent="0.2">
      <c r="A7" s="4" t="s">
        <v>217</v>
      </c>
      <c r="B7" s="5">
        <v>937.2</v>
      </c>
    </row>
    <row r="8" spans="1:2" x14ac:dyDescent="0.2">
      <c r="A8" s="4" t="s">
        <v>218</v>
      </c>
      <c r="B8" s="5">
        <v>1808.4</v>
      </c>
    </row>
    <row r="9" spans="1:2" x14ac:dyDescent="0.2">
      <c r="A9" s="4" t="s">
        <v>219</v>
      </c>
      <c r="B9" s="5"/>
    </row>
    <row r="10" spans="1:2" x14ac:dyDescent="0.2">
      <c r="A10" s="4" t="s">
        <v>220</v>
      </c>
      <c r="B10" s="5">
        <v>378.4</v>
      </c>
    </row>
    <row r="11" spans="1:2" x14ac:dyDescent="0.2">
      <c r="A11" s="4" t="s">
        <v>221</v>
      </c>
      <c r="B11" s="5"/>
    </row>
    <row r="12" spans="1:2" x14ac:dyDescent="0.2">
      <c r="A12" s="4" t="s">
        <v>222</v>
      </c>
      <c r="B12" s="5">
        <v>660</v>
      </c>
    </row>
    <row r="13" spans="1:2" x14ac:dyDescent="0.2">
      <c r="A13" s="4" t="s">
        <v>223</v>
      </c>
      <c r="B13" s="5"/>
    </row>
    <row r="14" spans="1:2" x14ac:dyDescent="0.2">
      <c r="A14" s="4" t="s">
        <v>224</v>
      </c>
      <c r="B14" s="5">
        <v>2428.8000000000002</v>
      </c>
    </row>
    <row r="15" spans="1:2" x14ac:dyDescent="0.2">
      <c r="A15" s="4" t="s">
        <v>225</v>
      </c>
      <c r="B15" s="5"/>
    </row>
    <row r="16" spans="1:2" x14ac:dyDescent="0.2">
      <c r="A16" s="4" t="s">
        <v>226</v>
      </c>
      <c r="B16" s="5">
        <v>3000</v>
      </c>
    </row>
    <row r="17" spans="1:2" x14ac:dyDescent="0.2">
      <c r="A17" s="4" t="s">
        <v>227</v>
      </c>
      <c r="B17" s="5"/>
    </row>
    <row r="18" spans="1:2" x14ac:dyDescent="0.2">
      <c r="A18" s="4" t="s">
        <v>228</v>
      </c>
      <c r="B18" s="5">
        <v>844.8</v>
      </c>
    </row>
    <row r="19" spans="1:2" x14ac:dyDescent="0.2">
      <c r="A19" s="4" t="s">
        <v>229</v>
      </c>
      <c r="B19" s="5"/>
    </row>
    <row r="20" spans="1:2" x14ac:dyDescent="0.2">
      <c r="A20" s="4" t="s">
        <v>230</v>
      </c>
      <c r="B20" s="5">
        <v>264</v>
      </c>
    </row>
    <row r="21" spans="1:2" x14ac:dyDescent="0.2">
      <c r="A21" s="4" t="s">
        <v>231</v>
      </c>
      <c r="B21" s="5"/>
    </row>
    <row r="22" spans="1:2" x14ac:dyDescent="0.2">
      <c r="A22" s="4" t="s">
        <v>232</v>
      </c>
      <c r="B22" s="5">
        <v>176</v>
      </c>
    </row>
    <row r="23" spans="1:2" x14ac:dyDescent="0.2">
      <c r="A23" s="4" t="s">
        <v>233</v>
      </c>
      <c r="B23" s="5"/>
    </row>
    <row r="24" spans="1:2" x14ac:dyDescent="0.2">
      <c r="A24" s="4" t="s">
        <v>234</v>
      </c>
      <c r="B24" s="5">
        <v>176</v>
      </c>
    </row>
    <row r="25" spans="1:2" x14ac:dyDescent="0.2">
      <c r="A25" s="4" t="s">
        <v>235</v>
      </c>
      <c r="B25" s="5"/>
    </row>
    <row r="26" spans="1:2" x14ac:dyDescent="0.2">
      <c r="A26" s="4" t="s">
        <v>236</v>
      </c>
      <c r="B26" s="5">
        <v>378.4</v>
      </c>
    </row>
    <row r="27" spans="1:2" x14ac:dyDescent="0.2">
      <c r="A27" s="4" t="s">
        <v>237</v>
      </c>
      <c r="B27" s="5"/>
    </row>
    <row r="28" spans="1:2" x14ac:dyDescent="0.2">
      <c r="A28" s="4" t="s">
        <v>238</v>
      </c>
      <c r="B28" s="5">
        <v>176</v>
      </c>
    </row>
    <row r="29" spans="1:2" x14ac:dyDescent="0.2">
      <c r="A29" s="4" t="s">
        <v>239</v>
      </c>
      <c r="B29" s="5"/>
    </row>
    <row r="30" spans="1:2" x14ac:dyDescent="0.2">
      <c r="A30" s="4" t="s">
        <v>240</v>
      </c>
      <c r="B30" s="5">
        <v>176</v>
      </c>
    </row>
    <row r="31" spans="1:2" x14ac:dyDescent="0.2">
      <c r="A31" s="4" t="s">
        <v>241</v>
      </c>
      <c r="B31" s="5"/>
    </row>
    <row r="32" spans="1:2" x14ac:dyDescent="0.2">
      <c r="A32" s="4" t="s">
        <v>242</v>
      </c>
      <c r="B32" s="5">
        <v>176</v>
      </c>
    </row>
    <row r="33" spans="1:2" x14ac:dyDescent="0.2">
      <c r="A33" s="4" t="s">
        <v>243</v>
      </c>
      <c r="B33" s="5"/>
    </row>
    <row r="34" spans="1:2" x14ac:dyDescent="0.2">
      <c r="A34" s="4" t="s">
        <v>244</v>
      </c>
      <c r="B34" s="5">
        <v>1214.4000000000001</v>
      </c>
    </row>
    <row r="35" spans="1:2" x14ac:dyDescent="0.2">
      <c r="A35" s="4" t="s">
        <v>245</v>
      </c>
      <c r="B35" s="5"/>
    </row>
    <row r="36" spans="1:2" x14ac:dyDescent="0.2">
      <c r="A36" s="4" t="s">
        <v>246</v>
      </c>
      <c r="B36" s="5">
        <v>616</v>
      </c>
    </row>
    <row r="37" spans="1:2" x14ac:dyDescent="0.2">
      <c r="A37" s="4" t="s">
        <v>247</v>
      </c>
      <c r="B37" s="5"/>
    </row>
    <row r="38" spans="1:2" x14ac:dyDescent="0.2">
      <c r="A38" s="4" t="s">
        <v>248</v>
      </c>
      <c r="B38" s="5">
        <v>176</v>
      </c>
    </row>
    <row r="39" spans="1:2" x14ac:dyDescent="0.2">
      <c r="A39" s="4" t="s">
        <v>249</v>
      </c>
      <c r="B39" s="5"/>
    </row>
    <row r="40" spans="1:2" x14ac:dyDescent="0.2">
      <c r="A40" s="4" t="s">
        <v>250</v>
      </c>
      <c r="B40" s="5">
        <v>264</v>
      </c>
    </row>
    <row r="41" spans="1:2" x14ac:dyDescent="0.2">
      <c r="A41" s="4" t="s">
        <v>251</v>
      </c>
      <c r="B41" s="5"/>
    </row>
    <row r="42" spans="1:2" x14ac:dyDescent="0.2">
      <c r="A42" s="4" t="s">
        <v>252</v>
      </c>
      <c r="B42" s="5">
        <v>616</v>
      </c>
    </row>
    <row r="43" spans="1:2" x14ac:dyDescent="0.2">
      <c r="A43" s="4" t="s">
        <v>253</v>
      </c>
      <c r="B43" s="5"/>
    </row>
    <row r="44" spans="1:2" x14ac:dyDescent="0.2">
      <c r="A44" s="4" t="s">
        <v>254</v>
      </c>
      <c r="B44" s="5">
        <v>1214.4000000000001</v>
      </c>
    </row>
    <row r="45" spans="1:2" x14ac:dyDescent="0.2">
      <c r="A45" s="4" t="s">
        <v>255</v>
      </c>
      <c r="B45" s="5"/>
    </row>
    <row r="46" spans="1:2" x14ac:dyDescent="0.2">
      <c r="A46" s="4" t="s">
        <v>256</v>
      </c>
      <c r="B46" s="5">
        <v>2904</v>
      </c>
    </row>
    <row r="47" spans="1:2" x14ac:dyDescent="0.2">
      <c r="A47" s="4" t="s">
        <v>7</v>
      </c>
      <c r="B47" s="5"/>
    </row>
    <row r="48" spans="1:2" x14ac:dyDescent="0.2">
      <c r="A48" s="4" t="s">
        <v>257</v>
      </c>
      <c r="B48" s="5">
        <v>206.95</v>
      </c>
    </row>
    <row r="49" spans="1:2" x14ac:dyDescent="0.2">
      <c r="A49" s="4" t="s">
        <v>4</v>
      </c>
      <c r="B49" s="5"/>
    </row>
    <row r="50" spans="1:2" x14ac:dyDescent="0.2">
      <c r="A50" s="4" t="s">
        <v>258</v>
      </c>
      <c r="B50" s="5">
        <v>495.44</v>
      </c>
    </row>
    <row r="51" spans="1:2" x14ac:dyDescent="0.2">
      <c r="A51" s="6" t="s">
        <v>2</v>
      </c>
      <c r="B51" s="7">
        <f>SUM(B2:B50)</f>
        <v>32916.19</v>
      </c>
    </row>
  </sheetData>
  <pageMargins left="0.39370078740157483" right="0.39370078740157483"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0A3FE-18A8-4A1E-8EC7-135F29BD4EAC}">
  <dimension ref="A5:C40"/>
  <sheetViews>
    <sheetView topLeftCell="A34" zoomScaleNormal="100" workbookViewId="0">
      <selection activeCell="B40" sqref="B40"/>
    </sheetView>
  </sheetViews>
  <sheetFormatPr baseColWidth="10" defaultColWidth="11.44140625" defaultRowHeight="14.4" x14ac:dyDescent="0.3"/>
  <cols>
    <col min="1" max="1" width="13.5546875" bestFit="1" customWidth="1"/>
    <col min="2" max="2" width="77.6640625" customWidth="1"/>
  </cols>
  <sheetData>
    <row r="5" spans="1:3" ht="15" thickBot="1" x14ac:dyDescent="0.35">
      <c r="A5" s="38" t="s">
        <v>346</v>
      </c>
      <c r="B5" s="38" t="s">
        <v>347</v>
      </c>
      <c r="C5" s="39" t="s">
        <v>1</v>
      </c>
    </row>
    <row r="6" spans="1:3" ht="29.4" thickTop="1" x14ac:dyDescent="0.3">
      <c r="A6" s="40" t="s">
        <v>348</v>
      </c>
      <c r="B6" s="41" t="s">
        <v>349</v>
      </c>
      <c r="C6" s="42">
        <v>154.38</v>
      </c>
    </row>
    <row r="7" spans="1:3" x14ac:dyDescent="0.3">
      <c r="A7" s="43" t="s">
        <v>142</v>
      </c>
      <c r="B7" s="44" t="s">
        <v>350</v>
      </c>
      <c r="C7" s="45">
        <v>3682.8</v>
      </c>
    </row>
    <row r="8" spans="1:3" ht="28.8" x14ac:dyDescent="0.3">
      <c r="A8" s="40" t="s">
        <v>225</v>
      </c>
      <c r="B8" s="41" t="s">
        <v>351</v>
      </c>
      <c r="C8" s="42">
        <v>3000</v>
      </c>
    </row>
    <row r="9" spans="1:3" x14ac:dyDescent="0.3">
      <c r="A9" s="43" t="s">
        <v>352</v>
      </c>
      <c r="B9" s="44" t="s">
        <v>353</v>
      </c>
      <c r="C9" s="45">
        <v>708.4</v>
      </c>
    </row>
    <row r="10" spans="1:3" x14ac:dyDescent="0.3">
      <c r="A10" s="40" t="s">
        <v>354</v>
      </c>
      <c r="B10" s="41" t="s">
        <v>355</v>
      </c>
      <c r="C10" s="42">
        <v>3256</v>
      </c>
    </row>
    <row r="11" spans="1:3" ht="28.8" x14ac:dyDescent="0.3">
      <c r="A11" s="43" t="s">
        <v>356</v>
      </c>
      <c r="B11" s="44" t="s">
        <v>357</v>
      </c>
      <c r="C11" s="45">
        <v>1966.8</v>
      </c>
    </row>
    <row r="12" spans="1:3" ht="28.8" x14ac:dyDescent="0.3">
      <c r="A12" s="40" t="s">
        <v>358</v>
      </c>
      <c r="B12" s="41" t="s">
        <v>359</v>
      </c>
      <c r="C12" s="42">
        <v>660</v>
      </c>
    </row>
    <row r="13" spans="1:3" ht="28.8" x14ac:dyDescent="0.3">
      <c r="A13" s="43" t="s">
        <v>255</v>
      </c>
      <c r="B13" s="44" t="s">
        <v>360</v>
      </c>
      <c r="C13" s="45">
        <v>3604.48</v>
      </c>
    </row>
    <row r="14" spans="1:3" ht="43.2" x14ac:dyDescent="0.3">
      <c r="A14" s="40" t="s">
        <v>361</v>
      </c>
      <c r="B14" s="41" t="s">
        <v>362</v>
      </c>
      <c r="C14" s="42">
        <v>1232</v>
      </c>
    </row>
    <row r="15" spans="1:3" ht="144" x14ac:dyDescent="0.3">
      <c r="A15" s="43" t="s">
        <v>363</v>
      </c>
      <c r="B15" s="44" t="s">
        <v>364</v>
      </c>
      <c r="C15" s="45">
        <v>2464</v>
      </c>
    </row>
    <row r="16" spans="1:3" ht="100.8" x14ac:dyDescent="0.3">
      <c r="A16" s="40" t="s">
        <v>365</v>
      </c>
      <c r="B16" s="41" t="s">
        <v>366</v>
      </c>
      <c r="C16" s="42">
        <v>1478.4</v>
      </c>
    </row>
    <row r="17" spans="1:3" ht="28.8" x14ac:dyDescent="0.3">
      <c r="A17" s="43" t="s">
        <v>367</v>
      </c>
      <c r="B17" s="44" t="s">
        <v>368</v>
      </c>
      <c r="C17" s="45">
        <v>1749</v>
      </c>
    </row>
    <row r="18" spans="1:3" ht="28.8" x14ac:dyDescent="0.3">
      <c r="A18" s="40" t="s">
        <v>367</v>
      </c>
      <c r="B18" s="41" t="s">
        <v>369</v>
      </c>
      <c r="C18" s="42">
        <v>1749</v>
      </c>
    </row>
    <row r="19" spans="1:3" ht="28.8" x14ac:dyDescent="0.3">
      <c r="A19" s="43" t="s">
        <v>370</v>
      </c>
      <c r="B19" s="44" t="s">
        <v>371</v>
      </c>
      <c r="C19" s="45">
        <v>1232</v>
      </c>
    </row>
    <row r="20" spans="1:3" x14ac:dyDescent="0.3">
      <c r="A20" s="40" t="s">
        <v>372</v>
      </c>
      <c r="B20" s="41" t="s">
        <v>373</v>
      </c>
      <c r="C20" s="42">
        <v>378.4</v>
      </c>
    </row>
    <row r="21" spans="1:3" x14ac:dyDescent="0.3">
      <c r="A21" s="43" t="s">
        <v>374</v>
      </c>
      <c r="B21" s="44" t="s">
        <v>375</v>
      </c>
      <c r="C21" s="45">
        <v>264</v>
      </c>
    </row>
    <row r="22" spans="1:3" ht="28.8" x14ac:dyDescent="0.3">
      <c r="A22" s="40" t="s">
        <v>376</v>
      </c>
      <c r="B22" s="41" t="s">
        <v>377</v>
      </c>
      <c r="C22" s="42">
        <v>1029.5999999999999</v>
      </c>
    </row>
    <row r="23" spans="1:3" x14ac:dyDescent="0.3">
      <c r="A23" s="43" t="s">
        <v>378</v>
      </c>
      <c r="B23" s="44" t="s">
        <v>379</v>
      </c>
      <c r="C23" s="45">
        <v>528</v>
      </c>
    </row>
    <row r="24" spans="1:3" ht="115.2" x14ac:dyDescent="0.3">
      <c r="A24" s="40" t="s">
        <v>380</v>
      </c>
      <c r="B24" s="41" t="s">
        <v>381</v>
      </c>
      <c r="C24" s="42">
        <v>1900.8</v>
      </c>
    </row>
    <row r="25" spans="1:3" x14ac:dyDescent="0.3">
      <c r="A25" s="43" t="s">
        <v>382</v>
      </c>
      <c r="B25" s="44" t="s">
        <v>383</v>
      </c>
      <c r="C25" s="45">
        <v>440</v>
      </c>
    </row>
    <row r="26" spans="1:3" ht="100.8" x14ac:dyDescent="0.3">
      <c r="A26" s="40" t="s">
        <v>384</v>
      </c>
      <c r="B26" s="41" t="s">
        <v>385</v>
      </c>
      <c r="C26" s="42">
        <v>1760</v>
      </c>
    </row>
    <row r="27" spans="1:3" ht="28.8" x14ac:dyDescent="0.3">
      <c r="A27" s="43" t="s">
        <v>386</v>
      </c>
      <c r="B27" s="44" t="s">
        <v>387</v>
      </c>
      <c r="C27" s="45">
        <v>176</v>
      </c>
    </row>
    <row r="28" spans="1:3" ht="28.8" x14ac:dyDescent="0.3">
      <c r="A28" s="40" t="s">
        <v>388</v>
      </c>
      <c r="B28" s="41" t="s">
        <v>389</v>
      </c>
      <c r="C28" s="42">
        <v>352</v>
      </c>
    </row>
    <row r="29" spans="1:3" ht="72" x14ac:dyDescent="0.3">
      <c r="A29" s="43" t="s">
        <v>390</v>
      </c>
      <c r="B29" s="44" t="s">
        <v>391</v>
      </c>
      <c r="C29" s="45">
        <v>3652</v>
      </c>
    </row>
    <row r="30" spans="1:3" ht="28.8" x14ac:dyDescent="0.3">
      <c r="A30" s="40" t="s">
        <v>392</v>
      </c>
      <c r="B30" s="41" t="s">
        <v>393</v>
      </c>
      <c r="C30" s="42">
        <v>220</v>
      </c>
    </row>
    <row r="31" spans="1:3" ht="28.8" x14ac:dyDescent="0.3">
      <c r="A31" s="43" t="s">
        <v>394</v>
      </c>
      <c r="B31" s="44" t="s">
        <v>395</v>
      </c>
      <c r="C31" s="45">
        <v>825.46</v>
      </c>
    </row>
    <row r="32" spans="1:3" ht="28.8" x14ac:dyDescent="0.3">
      <c r="A32" s="40" t="s">
        <v>394</v>
      </c>
      <c r="B32" s="41" t="s">
        <v>396</v>
      </c>
      <c r="C32" s="42">
        <v>1172.6600000000001</v>
      </c>
    </row>
    <row r="33" spans="1:3" x14ac:dyDescent="0.3">
      <c r="A33" s="43" t="s">
        <v>397</v>
      </c>
      <c r="B33" s="44" t="s">
        <v>398</v>
      </c>
      <c r="C33" s="45">
        <v>505.04</v>
      </c>
    </row>
    <row r="34" spans="1:3" ht="43.2" x14ac:dyDescent="0.3">
      <c r="A34" s="40" t="s">
        <v>399</v>
      </c>
      <c r="B34" s="41" t="s">
        <v>400</v>
      </c>
      <c r="C34" s="42">
        <v>8905</v>
      </c>
    </row>
    <row r="35" spans="1:3" ht="15" thickBot="1" x14ac:dyDescent="0.35">
      <c r="A35" s="43" t="s">
        <v>401</v>
      </c>
      <c r="B35" s="44" t="s">
        <v>402</v>
      </c>
      <c r="C35" s="45">
        <v>94.6</v>
      </c>
    </row>
    <row r="36" spans="1:3" ht="15" thickTop="1" x14ac:dyDescent="0.3">
      <c r="A36" s="46"/>
      <c r="B36" s="46"/>
      <c r="C36" s="47">
        <v>49140.82</v>
      </c>
    </row>
    <row r="38" spans="1:3" x14ac:dyDescent="0.3">
      <c r="C38" s="48"/>
    </row>
    <row r="40" spans="1:3" x14ac:dyDescent="0.3">
      <c r="B40" s="62" t="s">
        <v>519</v>
      </c>
      <c r="C40" s="63">
        <f>C36+'Ingresos investigación 2020'!B51+'Ingresos investigación 2019'!B79</f>
        <v>158798.85</v>
      </c>
    </row>
  </sheetData>
  <pageMargins left="0.39370078740157483" right="0.39370078740157483"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3"/>
  <sheetViews>
    <sheetView zoomScaleNormal="100" workbookViewId="0">
      <selection activeCell="A13" sqref="A13:XFD13"/>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190</v>
      </c>
      <c r="B2" s="5"/>
    </row>
    <row r="3" spans="1:2" x14ac:dyDescent="0.2">
      <c r="A3" s="4" t="s">
        <v>191</v>
      </c>
      <c r="B3" s="5">
        <v>466.63</v>
      </c>
    </row>
    <row r="4" spans="1:2" x14ac:dyDescent="0.2">
      <c r="A4" s="4" t="s">
        <v>192</v>
      </c>
      <c r="B4" s="5"/>
    </row>
    <row r="5" spans="1:2" x14ac:dyDescent="0.2">
      <c r="A5" s="4" t="s">
        <v>193</v>
      </c>
      <c r="B5" s="5">
        <v>51.32</v>
      </c>
    </row>
    <row r="6" spans="1:2" x14ac:dyDescent="0.2">
      <c r="A6" s="4" t="s">
        <v>6</v>
      </c>
      <c r="B6" s="5"/>
    </row>
    <row r="7" spans="1:2" x14ac:dyDescent="0.2">
      <c r="A7" s="4" t="s">
        <v>194</v>
      </c>
      <c r="B7" s="5">
        <v>827.89</v>
      </c>
    </row>
    <row r="8" spans="1:2" x14ac:dyDescent="0.2">
      <c r="A8" s="4" t="s">
        <v>195</v>
      </c>
      <c r="B8" s="5">
        <v>819.82</v>
      </c>
    </row>
    <row r="9" spans="1:2" x14ac:dyDescent="0.2">
      <c r="A9" s="4" t="s">
        <v>196</v>
      </c>
      <c r="B9" s="5">
        <v>1144.72</v>
      </c>
    </row>
    <row r="10" spans="1:2" x14ac:dyDescent="0.2">
      <c r="A10" s="4" t="s">
        <v>197</v>
      </c>
      <c r="B10" s="5">
        <v>1061.21</v>
      </c>
    </row>
    <row r="11" spans="1:2" x14ac:dyDescent="0.2">
      <c r="A11" s="4" t="s">
        <v>198</v>
      </c>
      <c r="B11" s="5"/>
    </row>
    <row r="12" spans="1:2" x14ac:dyDescent="0.2">
      <c r="A12" s="4" t="s">
        <v>199</v>
      </c>
      <c r="B12" s="5">
        <v>280</v>
      </c>
    </row>
    <row r="13" spans="1:2" x14ac:dyDescent="0.2">
      <c r="A13" s="6" t="s">
        <v>2</v>
      </c>
      <c r="B13" s="7">
        <f>SUM(B3:B12)</f>
        <v>4651.59</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32245-D704-491F-AB6D-4A11C0579156}">
  <dimension ref="A1:B85"/>
  <sheetViews>
    <sheetView topLeftCell="A64" zoomScaleNormal="100" workbookViewId="0">
      <selection activeCell="A58" sqref="A58"/>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190</v>
      </c>
      <c r="B2" s="5"/>
    </row>
    <row r="3" spans="1:2" x14ac:dyDescent="0.2">
      <c r="A3" s="4" t="s">
        <v>259</v>
      </c>
      <c r="B3" s="5">
        <v>4.92</v>
      </c>
    </row>
    <row r="4" spans="1:2" x14ac:dyDescent="0.2">
      <c r="A4" s="4" t="s">
        <v>260</v>
      </c>
      <c r="B4" s="5">
        <v>11.86</v>
      </c>
    </row>
    <row r="5" spans="1:2" x14ac:dyDescent="0.2">
      <c r="A5" s="4" t="s">
        <v>261</v>
      </c>
      <c r="B5" s="5"/>
    </row>
    <row r="6" spans="1:2" x14ac:dyDescent="0.2">
      <c r="A6" s="4" t="s">
        <v>262</v>
      </c>
      <c r="B6" s="5">
        <v>8.8000000000000007</v>
      </c>
    </row>
    <row r="7" spans="1:2" x14ac:dyDescent="0.2">
      <c r="A7" s="4" t="s">
        <v>263</v>
      </c>
      <c r="B7" s="5">
        <v>10.220000000000001</v>
      </c>
    </row>
    <row r="8" spans="1:2" x14ac:dyDescent="0.2">
      <c r="A8" s="4" t="s">
        <v>264</v>
      </c>
      <c r="B8" s="5">
        <v>21.68</v>
      </c>
    </row>
    <row r="9" spans="1:2" x14ac:dyDescent="0.2">
      <c r="A9" s="4" t="s">
        <v>265</v>
      </c>
      <c r="B9" s="5">
        <v>24.8</v>
      </c>
    </row>
    <row r="10" spans="1:2" x14ac:dyDescent="0.2">
      <c r="A10" s="4" t="s">
        <v>266</v>
      </c>
      <c r="B10" s="5">
        <v>22.8</v>
      </c>
    </row>
    <row r="11" spans="1:2" x14ac:dyDescent="0.2">
      <c r="A11" s="4" t="s">
        <v>267</v>
      </c>
      <c r="B11" s="5">
        <v>6.66</v>
      </c>
    </row>
    <row r="12" spans="1:2" x14ac:dyDescent="0.2">
      <c r="A12" s="4" t="s">
        <v>268</v>
      </c>
      <c r="B12" s="5">
        <v>4.63</v>
      </c>
    </row>
    <row r="13" spans="1:2" x14ac:dyDescent="0.2">
      <c r="A13" s="4" t="s">
        <v>269</v>
      </c>
      <c r="B13" s="5">
        <v>16.68</v>
      </c>
    </row>
    <row r="14" spans="1:2" x14ac:dyDescent="0.2">
      <c r="A14" s="4" t="s">
        <v>270</v>
      </c>
      <c r="B14" s="5">
        <v>1.49</v>
      </c>
    </row>
    <row r="15" spans="1:2" x14ac:dyDescent="0.2">
      <c r="A15" s="4" t="s">
        <v>271</v>
      </c>
      <c r="B15" s="5">
        <v>25.84</v>
      </c>
    </row>
    <row r="16" spans="1:2" x14ac:dyDescent="0.2">
      <c r="A16" s="4" t="s">
        <v>272</v>
      </c>
      <c r="B16" s="5">
        <v>9.3800000000000008</v>
      </c>
    </row>
    <row r="17" spans="1:2" x14ac:dyDescent="0.2">
      <c r="A17" s="4" t="s">
        <v>273</v>
      </c>
      <c r="B17" s="5">
        <v>105.13</v>
      </c>
    </row>
    <row r="18" spans="1:2" x14ac:dyDescent="0.2">
      <c r="A18" s="4" t="s">
        <v>274</v>
      </c>
      <c r="B18" s="5">
        <v>1.36</v>
      </c>
    </row>
    <row r="19" spans="1:2" x14ac:dyDescent="0.2">
      <c r="A19" s="4" t="s">
        <v>275</v>
      </c>
      <c r="B19" s="5">
        <v>11.38</v>
      </c>
    </row>
    <row r="20" spans="1:2" x14ac:dyDescent="0.2">
      <c r="A20" s="4" t="s">
        <v>276</v>
      </c>
      <c r="B20" s="5">
        <v>0.74</v>
      </c>
    </row>
    <row r="21" spans="1:2" x14ac:dyDescent="0.2">
      <c r="A21" s="4" t="s">
        <v>277</v>
      </c>
      <c r="B21" s="5">
        <v>1.61</v>
      </c>
    </row>
    <row r="22" spans="1:2" x14ac:dyDescent="0.2">
      <c r="A22" s="4" t="s">
        <v>278</v>
      </c>
      <c r="B22" s="5">
        <v>1.61</v>
      </c>
    </row>
    <row r="23" spans="1:2" x14ac:dyDescent="0.2">
      <c r="A23" s="4" t="s">
        <v>279</v>
      </c>
      <c r="B23" s="5">
        <v>1.61</v>
      </c>
    </row>
    <row r="24" spans="1:2" x14ac:dyDescent="0.2">
      <c r="A24" s="4" t="s">
        <v>280</v>
      </c>
      <c r="B24" s="5">
        <v>0.62</v>
      </c>
    </row>
    <row r="25" spans="1:2" x14ac:dyDescent="0.2">
      <c r="A25" s="4" t="s">
        <v>281</v>
      </c>
      <c r="B25" s="5">
        <v>34.71</v>
      </c>
    </row>
    <row r="26" spans="1:2" x14ac:dyDescent="0.2">
      <c r="A26" s="4" t="s">
        <v>282</v>
      </c>
      <c r="B26" s="5">
        <v>9.92</v>
      </c>
    </row>
    <row r="27" spans="1:2" x14ac:dyDescent="0.2">
      <c r="A27" s="4" t="s">
        <v>283</v>
      </c>
      <c r="B27" s="5">
        <v>52.89</v>
      </c>
    </row>
    <row r="28" spans="1:2" x14ac:dyDescent="0.2">
      <c r="A28" s="4" t="s">
        <v>284</v>
      </c>
      <c r="B28" s="5">
        <v>19.84</v>
      </c>
    </row>
    <row r="29" spans="1:2" x14ac:dyDescent="0.2">
      <c r="A29" s="4" t="s">
        <v>285</v>
      </c>
      <c r="B29" s="5">
        <v>19.84</v>
      </c>
    </row>
    <row r="30" spans="1:2" x14ac:dyDescent="0.2">
      <c r="A30" s="4" t="s">
        <v>286</v>
      </c>
      <c r="B30" s="5">
        <v>13.22</v>
      </c>
    </row>
    <row r="31" spans="1:2" x14ac:dyDescent="0.2">
      <c r="A31" s="4" t="s">
        <v>287</v>
      </c>
      <c r="B31" s="5">
        <v>6.61</v>
      </c>
    </row>
    <row r="32" spans="1:2" x14ac:dyDescent="0.2">
      <c r="A32" s="4" t="s">
        <v>288</v>
      </c>
      <c r="B32" s="5">
        <v>14.88</v>
      </c>
    </row>
    <row r="33" spans="1:2" x14ac:dyDescent="0.2">
      <c r="A33" s="4" t="s">
        <v>289</v>
      </c>
      <c r="B33" s="5">
        <v>3.31</v>
      </c>
    </row>
    <row r="34" spans="1:2" x14ac:dyDescent="0.2">
      <c r="A34" s="4" t="s">
        <v>290</v>
      </c>
      <c r="B34" s="5">
        <v>23.14</v>
      </c>
    </row>
    <row r="35" spans="1:2" x14ac:dyDescent="0.2">
      <c r="A35" s="4" t="s">
        <v>291</v>
      </c>
      <c r="B35" s="5">
        <v>61.16</v>
      </c>
    </row>
    <row r="36" spans="1:2" x14ac:dyDescent="0.2">
      <c r="A36" s="4" t="s">
        <v>292</v>
      </c>
      <c r="B36" s="5">
        <v>19.84</v>
      </c>
    </row>
    <row r="37" spans="1:2" x14ac:dyDescent="0.2">
      <c r="A37" s="4" t="s">
        <v>293</v>
      </c>
      <c r="B37" s="5">
        <v>26.45</v>
      </c>
    </row>
    <row r="38" spans="1:2" x14ac:dyDescent="0.2">
      <c r="A38" s="4" t="s">
        <v>294</v>
      </c>
      <c r="B38" s="5">
        <v>8.26</v>
      </c>
    </row>
    <row r="39" spans="1:2" x14ac:dyDescent="0.2">
      <c r="A39" s="4" t="s">
        <v>295</v>
      </c>
      <c r="B39" s="5">
        <v>13.22</v>
      </c>
    </row>
    <row r="40" spans="1:2" x14ac:dyDescent="0.2">
      <c r="A40" s="4" t="s">
        <v>296</v>
      </c>
      <c r="B40" s="5">
        <v>6.61</v>
      </c>
    </row>
    <row r="41" spans="1:2" x14ac:dyDescent="0.2">
      <c r="A41" s="4" t="s">
        <v>297</v>
      </c>
      <c r="B41" s="5">
        <v>13.22</v>
      </c>
    </row>
    <row r="42" spans="1:2" x14ac:dyDescent="0.2">
      <c r="A42" s="4" t="s">
        <v>298</v>
      </c>
      <c r="B42" s="5">
        <v>8.26</v>
      </c>
    </row>
    <row r="43" spans="1:2" x14ac:dyDescent="0.2">
      <c r="A43" s="4" t="s">
        <v>299</v>
      </c>
      <c r="B43" s="5">
        <v>6.61</v>
      </c>
    </row>
    <row r="44" spans="1:2" x14ac:dyDescent="0.2">
      <c r="A44" s="4" t="s">
        <v>300</v>
      </c>
      <c r="B44" s="5">
        <v>8.26</v>
      </c>
    </row>
    <row r="45" spans="1:2" x14ac:dyDescent="0.2">
      <c r="A45" s="4" t="s">
        <v>301</v>
      </c>
      <c r="B45" s="5">
        <v>4.96</v>
      </c>
    </row>
    <row r="46" spans="1:2" x14ac:dyDescent="0.2">
      <c r="A46" s="4" t="s">
        <v>302</v>
      </c>
      <c r="B46" s="5">
        <v>10.74</v>
      </c>
    </row>
    <row r="47" spans="1:2" x14ac:dyDescent="0.2">
      <c r="A47" s="4" t="s">
        <v>303</v>
      </c>
      <c r="B47" s="5">
        <v>3.31</v>
      </c>
    </row>
    <row r="48" spans="1:2" x14ac:dyDescent="0.2">
      <c r="A48" s="4" t="s">
        <v>304</v>
      </c>
      <c r="B48" s="5">
        <v>13.68</v>
      </c>
    </row>
    <row r="49" spans="1:2" x14ac:dyDescent="0.2">
      <c r="A49" s="4" t="s">
        <v>305</v>
      </c>
      <c r="B49" s="5">
        <v>300.08</v>
      </c>
    </row>
    <row r="50" spans="1:2" x14ac:dyDescent="0.2">
      <c r="A50" s="4" t="s">
        <v>306</v>
      </c>
      <c r="B50" s="5">
        <v>22.12</v>
      </c>
    </row>
    <row r="51" spans="1:2" x14ac:dyDescent="0.2">
      <c r="A51" s="4" t="s">
        <v>307</v>
      </c>
      <c r="B51" s="5">
        <v>84.35</v>
      </c>
    </row>
    <row r="52" spans="1:2" x14ac:dyDescent="0.2">
      <c r="A52" s="4" t="s">
        <v>308</v>
      </c>
      <c r="B52" s="5">
        <v>12.07</v>
      </c>
    </row>
    <row r="53" spans="1:2" x14ac:dyDescent="0.2">
      <c r="A53" s="4" t="s">
        <v>309</v>
      </c>
      <c r="B53" s="5">
        <v>12.07</v>
      </c>
    </row>
    <row r="54" spans="1:2" x14ac:dyDescent="0.2">
      <c r="A54" s="4" t="s">
        <v>310</v>
      </c>
      <c r="B54" s="5">
        <v>12.25</v>
      </c>
    </row>
    <row r="55" spans="1:2" x14ac:dyDescent="0.2">
      <c r="A55" s="4" t="s">
        <v>311</v>
      </c>
      <c r="B55" s="5">
        <v>1.49</v>
      </c>
    </row>
    <row r="56" spans="1:2" x14ac:dyDescent="0.2">
      <c r="A56" s="4" t="s">
        <v>312</v>
      </c>
      <c r="B56" s="5">
        <v>3.22</v>
      </c>
    </row>
    <row r="57" spans="1:2" x14ac:dyDescent="0.2">
      <c r="A57" s="4" t="s">
        <v>313</v>
      </c>
      <c r="B57" s="5">
        <v>5</v>
      </c>
    </row>
    <row r="58" spans="1:2" x14ac:dyDescent="0.2">
      <c r="A58" s="4" t="s">
        <v>314</v>
      </c>
      <c r="B58" s="5">
        <v>0.62</v>
      </c>
    </row>
    <row r="59" spans="1:2" x14ac:dyDescent="0.2">
      <c r="A59" s="4" t="s">
        <v>315</v>
      </c>
      <c r="B59" s="5">
        <v>5.21</v>
      </c>
    </row>
    <row r="60" spans="1:2" x14ac:dyDescent="0.2">
      <c r="A60" s="4" t="s">
        <v>316</v>
      </c>
      <c r="B60" s="5">
        <v>5.25</v>
      </c>
    </row>
    <row r="61" spans="1:2" x14ac:dyDescent="0.2">
      <c r="A61" s="4" t="s">
        <v>317</v>
      </c>
      <c r="B61" s="5">
        <v>20.9</v>
      </c>
    </row>
    <row r="62" spans="1:2" x14ac:dyDescent="0.2">
      <c r="A62" s="4" t="s">
        <v>318</v>
      </c>
      <c r="B62" s="5">
        <v>0.74</v>
      </c>
    </row>
    <row r="63" spans="1:2" x14ac:dyDescent="0.2">
      <c r="A63" s="4" t="s">
        <v>319</v>
      </c>
      <c r="B63" s="5">
        <v>1.49</v>
      </c>
    </row>
    <row r="64" spans="1:2" x14ac:dyDescent="0.2">
      <c r="A64" s="4" t="s">
        <v>320</v>
      </c>
      <c r="B64" s="5">
        <v>22.91</v>
      </c>
    </row>
    <row r="65" spans="1:2" x14ac:dyDescent="0.2">
      <c r="A65" s="4" t="s">
        <v>321</v>
      </c>
      <c r="B65" s="5">
        <v>8.9499999999999993</v>
      </c>
    </row>
    <row r="66" spans="1:2" x14ac:dyDescent="0.2">
      <c r="A66" s="4" t="s">
        <v>322</v>
      </c>
      <c r="B66" s="5">
        <v>0.83</v>
      </c>
    </row>
    <row r="67" spans="1:2" x14ac:dyDescent="0.2">
      <c r="A67" s="4" t="s">
        <v>323</v>
      </c>
      <c r="B67" s="5">
        <v>13.95</v>
      </c>
    </row>
    <row r="68" spans="1:2" x14ac:dyDescent="0.2">
      <c r="A68" s="4" t="s">
        <v>324</v>
      </c>
      <c r="B68" s="5">
        <v>19.5</v>
      </c>
    </row>
    <row r="69" spans="1:2" x14ac:dyDescent="0.2">
      <c r="A69" s="4" t="s">
        <v>325</v>
      </c>
      <c r="B69" s="5">
        <v>3.18</v>
      </c>
    </row>
    <row r="70" spans="1:2" x14ac:dyDescent="0.2">
      <c r="A70" s="4" t="s">
        <v>326</v>
      </c>
      <c r="B70" s="5">
        <v>17.829999999999998</v>
      </c>
    </row>
    <row r="71" spans="1:2" x14ac:dyDescent="0.2">
      <c r="A71" s="4" t="s">
        <v>327</v>
      </c>
      <c r="B71" s="5">
        <v>22.5</v>
      </c>
    </row>
    <row r="72" spans="1:2" x14ac:dyDescent="0.2">
      <c r="A72" s="4" t="s">
        <v>328</v>
      </c>
      <c r="B72" s="5">
        <v>0.83</v>
      </c>
    </row>
    <row r="73" spans="1:2" x14ac:dyDescent="0.2">
      <c r="A73" s="4" t="s">
        <v>329</v>
      </c>
      <c r="B73" s="5">
        <v>7.36</v>
      </c>
    </row>
    <row r="74" spans="1:2" x14ac:dyDescent="0.2">
      <c r="A74" s="4" t="s">
        <v>330</v>
      </c>
      <c r="B74" s="5">
        <v>0.83</v>
      </c>
    </row>
    <row r="75" spans="1:2" x14ac:dyDescent="0.2">
      <c r="A75" s="4" t="s">
        <v>331</v>
      </c>
      <c r="B75" s="5">
        <v>1.61</v>
      </c>
    </row>
    <row r="76" spans="1:2" x14ac:dyDescent="0.2">
      <c r="A76" s="4" t="s">
        <v>332</v>
      </c>
      <c r="B76" s="5">
        <v>1.61</v>
      </c>
    </row>
    <row r="77" spans="1:2" x14ac:dyDescent="0.2">
      <c r="A77" s="4" t="s">
        <v>333</v>
      </c>
      <c r="B77" s="5">
        <v>1.61</v>
      </c>
    </row>
    <row r="78" spans="1:2" x14ac:dyDescent="0.2">
      <c r="A78" s="4" t="s">
        <v>334</v>
      </c>
      <c r="B78" s="5">
        <v>2.31</v>
      </c>
    </row>
    <row r="79" spans="1:2" x14ac:dyDescent="0.2">
      <c r="A79" s="4" t="s">
        <v>335</v>
      </c>
      <c r="B79" s="5">
        <v>1.61</v>
      </c>
    </row>
    <row r="80" spans="1:2" x14ac:dyDescent="0.2">
      <c r="A80" s="4" t="s">
        <v>336</v>
      </c>
      <c r="B80" s="5">
        <v>3.04</v>
      </c>
    </row>
    <row r="81" spans="1:2" x14ac:dyDescent="0.2">
      <c r="A81" s="4" t="s">
        <v>337</v>
      </c>
      <c r="B81" s="5"/>
    </row>
    <row r="82" spans="1:2" x14ac:dyDescent="0.2">
      <c r="A82" s="4" t="s">
        <v>338</v>
      </c>
      <c r="B82" s="5">
        <v>1120.5</v>
      </c>
    </row>
    <row r="83" spans="1:2" x14ac:dyDescent="0.2">
      <c r="A83" s="4" t="s">
        <v>339</v>
      </c>
      <c r="B83" s="5">
        <v>283.5</v>
      </c>
    </row>
    <row r="84" spans="1:2" x14ac:dyDescent="0.2">
      <c r="A84" s="4"/>
      <c r="B84" s="5"/>
    </row>
    <row r="85" spans="1:2" x14ac:dyDescent="0.2">
      <c r="A85" s="6" t="s">
        <v>2</v>
      </c>
      <c r="B85" s="7">
        <f>SUM(B2:B84)</f>
        <v>2718.0799999999995</v>
      </c>
    </row>
  </sheetData>
  <pageMargins left="0.39370078740157483" right="0.39370078740157483" top="0.74803149606299213" bottom="0.7480314960629921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3BC20-355B-46C2-BF53-238B0A6876FF}">
  <dimension ref="A1:C107"/>
  <sheetViews>
    <sheetView topLeftCell="A91" zoomScaleNormal="100" workbookViewId="0">
      <selection activeCell="C107" sqref="C107"/>
    </sheetView>
  </sheetViews>
  <sheetFormatPr baseColWidth="10" defaultColWidth="11.44140625" defaultRowHeight="14.4" x14ac:dyDescent="0.3"/>
  <cols>
    <col min="1" max="1" width="13.5546875" bestFit="1" customWidth="1"/>
    <col min="2" max="2" width="57.109375" customWidth="1"/>
  </cols>
  <sheetData>
    <row r="1" spans="1:3" x14ac:dyDescent="0.3">
      <c r="A1" s="49" t="s">
        <v>346</v>
      </c>
      <c r="B1" s="49" t="s">
        <v>347</v>
      </c>
      <c r="C1" s="50" t="s">
        <v>1</v>
      </c>
    </row>
    <row r="2" spans="1:3" x14ac:dyDescent="0.3">
      <c r="A2" s="51" t="s">
        <v>190</v>
      </c>
      <c r="B2" s="51" t="s">
        <v>403</v>
      </c>
      <c r="C2" s="52">
        <v>8.5</v>
      </c>
    </row>
    <row r="3" spans="1:3" x14ac:dyDescent="0.3">
      <c r="A3" s="53" t="s">
        <v>190</v>
      </c>
      <c r="B3" s="53" t="s">
        <v>404</v>
      </c>
      <c r="C3" s="54">
        <v>10.48</v>
      </c>
    </row>
    <row r="4" spans="1:3" x14ac:dyDescent="0.3">
      <c r="A4" s="51" t="s">
        <v>190</v>
      </c>
      <c r="B4" s="51" t="s">
        <v>405</v>
      </c>
      <c r="C4" s="52">
        <v>13.01</v>
      </c>
    </row>
    <row r="5" spans="1:3" x14ac:dyDescent="0.3">
      <c r="A5" s="53" t="s">
        <v>190</v>
      </c>
      <c r="B5" s="53" t="s">
        <v>406</v>
      </c>
      <c r="C5" s="54">
        <v>27.17</v>
      </c>
    </row>
    <row r="6" spans="1:3" x14ac:dyDescent="0.3">
      <c r="A6" s="51" t="s">
        <v>190</v>
      </c>
      <c r="B6" s="51" t="s">
        <v>407</v>
      </c>
      <c r="C6" s="52">
        <v>27.96</v>
      </c>
    </row>
    <row r="7" spans="1:3" x14ac:dyDescent="0.3">
      <c r="A7" s="53" t="s">
        <v>190</v>
      </c>
      <c r="B7" s="53" t="s">
        <v>408</v>
      </c>
      <c r="C7" s="54">
        <v>32.4</v>
      </c>
    </row>
    <row r="8" spans="1:3" x14ac:dyDescent="0.3">
      <c r="A8" s="51" t="s">
        <v>190</v>
      </c>
      <c r="B8" s="51" t="s">
        <v>409</v>
      </c>
      <c r="C8" s="52">
        <v>47.57</v>
      </c>
    </row>
    <row r="9" spans="1:3" x14ac:dyDescent="0.3">
      <c r="A9" s="53" t="s">
        <v>190</v>
      </c>
      <c r="B9" s="53" t="s">
        <v>410</v>
      </c>
      <c r="C9" s="54">
        <v>51.75</v>
      </c>
    </row>
    <row r="10" spans="1:3" x14ac:dyDescent="0.3">
      <c r="A10" s="51" t="s">
        <v>261</v>
      </c>
      <c r="B10" s="51" t="s">
        <v>411</v>
      </c>
      <c r="C10" s="52">
        <v>0.62</v>
      </c>
    </row>
    <row r="11" spans="1:3" x14ac:dyDescent="0.3">
      <c r="A11" s="53" t="s">
        <v>261</v>
      </c>
      <c r="B11" s="53" t="s">
        <v>412</v>
      </c>
      <c r="C11" s="54">
        <v>0.62</v>
      </c>
    </row>
    <row r="12" spans="1:3" x14ac:dyDescent="0.3">
      <c r="A12" s="51" t="s">
        <v>261</v>
      </c>
      <c r="B12" s="51" t="s">
        <v>413</v>
      </c>
      <c r="C12" s="52">
        <v>0.74</v>
      </c>
    </row>
    <row r="13" spans="1:3" x14ac:dyDescent="0.3">
      <c r="A13" s="53" t="s">
        <v>261</v>
      </c>
      <c r="B13" s="53" t="s">
        <v>414</v>
      </c>
      <c r="C13" s="54">
        <v>0.74</v>
      </c>
    </row>
    <row r="14" spans="1:3" x14ac:dyDescent="0.3">
      <c r="A14" s="51" t="s">
        <v>261</v>
      </c>
      <c r="B14" s="51" t="s">
        <v>415</v>
      </c>
      <c r="C14" s="52">
        <v>0.74</v>
      </c>
    </row>
    <row r="15" spans="1:3" x14ac:dyDescent="0.3">
      <c r="A15" s="53" t="s">
        <v>261</v>
      </c>
      <c r="B15" s="53" t="s">
        <v>416</v>
      </c>
      <c r="C15" s="54">
        <v>0.74</v>
      </c>
    </row>
    <row r="16" spans="1:3" x14ac:dyDescent="0.3">
      <c r="A16" s="51" t="s">
        <v>261</v>
      </c>
      <c r="B16" s="51" t="s">
        <v>417</v>
      </c>
      <c r="C16" s="52">
        <v>0.83</v>
      </c>
    </row>
    <row r="17" spans="1:3" x14ac:dyDescent="0.3">
      <c r="A17" s="53" t="s">
        <v>261</v>
      </c>
      <c r="B17" s="53" t="s">
        <v>418</v>
      </c>
      <c r="C17" s="54">
        <v>0.83</v>
      </c>
    </row>
    <row r="18" spans="1:3" x14ac:dyDescent="0.3">
      <c r="A18" s="51" t="s">
        <v>261</v>
      </c>
      <c r="B18" s="51" t="s">
        <v>419</v>
      </c>
      <c r="C18" s="52">
        <v>0.83</v>
      </c>
    </row>
    <row r="19" spans="1:3" x14ac:dyDescent="0.3">
      <c r="A19" s="53" t="s">
        <v>261</v>
      </c>
      <c r="B19" s="53" t="s">
        <v>420</v>
      </c>
      <c r="C19" s="54">
        <v>0.83</v>
      </c>
    </row>
    <row r="20" spans="1:3" x14ac:dyDescent="0.3">
      <c r="A20" s="51" t="s">
        <v>261</v>
      </c>
      <c r="B20" s="51" t="s">
        <v>421</v>
      </c>
      <c r="C20" s="52">
        <v>0.83</v>
      </c>
    </row>
    <row r="21" spans="1:3" x14ac:dyDescent="0.3">
      <c r="A21" s="53" t="s">
        <v>261</v>
      </c>
      <c r="B21" s="53" t="s">
        <v>422</v>
      </c>
      <c r="C21" s="54">
        <v>0.83</v>
      </c>
    </row>
    <row r="22" spans="1:3" x14ac:dyDescent="0.3">
      <c r="A22" s="51" t="s">
        <v>261</v>
      </c>
      <c r="B22" s="51" t="s">
        <v>423</v>
      </c>
      <c r="C22" s="52">
        <v>0.83</v>
      </c>
    </row>
    <row r="23" spans="1:3" x14ac:dyDescent="0.3">
      <c r="A23" s="53" t="s">
        <v>261</v>
      </c>
      <c r="B23" s="53" t="s">
        <v>424</v>
      </c>
      <c r="C23" s="54">
        <v>1.49</v>
      </c>
    </row>
    <row r="24" spans="1:3" x14ac:dyDescent="0.3">
      <c r="A24" s="51" t="s">
        <v>261</v>
      </c>
      <c r="B24" s="51" t="s">
        <v>425</v>
      </c>
      <c r="C24" s="52">
        <v>1.57</v>
      </c>
    </row>
    <row r="25" spans="1:3" x14ac:dyDescent="0.3">
      <c r="A25" s="53" t="s">
        <v>261</v>
      </c>
      <c r="B25" s="53" t="s">
        <v>426</v>
      </c>
      <c r="C25" s="54">
        <v>1.61</v>
      </c>
    </row>
    <row r="26" spans="1:3" x14ac:dyDescent="0.3">
      <c r="A26" s="51" t="s">
        <v>261</v>
      </c>
      <c r="B26" s="51" t="s">
        <v>427</v>
      </c>
      <c r="C26" s="52">
        <v>1.61</v>
      </c>
    </row>
    <row r="27" spans="1:3" x14ac:dyDescent="0.3">
      <c r="A27" s="53" t="s">
        <v>261</v>
      </c>
      <c r="B27" s="53" t="s">
        <v>428</v>
      </c>
      <c r="C27" s="54">
        <v>1.65</v>
      </c>
    </row>
    <row r="28" spans="1:3" x14ac:dyDescent="0.3">
      <c r="A28" s="51" t="s">
        <v>261</v>
      </c>
      <c r="B28" s="51" t="s">
        <v>429</v>
      </c>
      <c r="C28" s="52">
        <v>1.65</v>
      </c>
    </row>
    <row r="29" spans="1:3" x14ac:dyDescent="0.3">
      <c r="A29" s="53" t="s">
        <v>261</v>
      </c>
      <c r="B29" s="53" t="s">
        <v>430</v>
      </c>
      <c r="C29" s="54">
        <v>2.92</v>
      </c>
    </row>
    <row r="30" spans="1:3" x14ac:dyDescent="0.3">
      <c r="A30" s="51" t="s">
        <v>261</v>
      </c>
      <c r="B30" s="51" t="s">
        <v>431</v>
      </c>
      <c r="C30" s="52">
        <v>2.98</v>
      </c>
    </row>
    <row r="31" spans="1:3" x14ac:dyDescent="0.3">
      <c r="A31" s="53" t="s">
        <v>261</v>
      </c>
      <c r="B31" s="53" t="s">
        <v>432</v>
      </c>
      <c r="C31" s="54">
        <v>2.98</v>
      </c>
    </row>
    <row r="32" spans="1:3" x14ac:dyDescent="0.3">
      <c r="A32" s="51" t="s">
        <v>261</v>
      </c>
      <c r="B32" s="51" t="s">
        <v>433</v>
      </c>
      <c r="C32" s="52">
        <v>3.11</v>
      </c>
    </row>
    <row r="33" spans="1:3" x14ac:dyDescent="0.3">
      <c r="A33" s="53" t="s">
        <v>261</v>
      </c>
      <c r="B33" s="53" t="s">
        <v>434</v>
      </c>
      <c r="C33" s="54">
        <v>4.13</v>
      </c>
    </row>
    <row r="34" spans="1:3" x14ac:dyDescent="0.3">
      <c r="A34" s="51" t="s">
        <v>261</v>
      </c>
      <c r="B34" s="51" t="s">
        <v>435</v>
      </c>
      <c r="C34" s="52">
        <v>4.3</v>
      </c>
    </row>
    <row r="35" spans="1:3" x14ac:dyDescent="0.3">
      <c r="A35" s="53" t="s">
        <v>261</v>
      </c>
      <c r="B35" s="53" t="s">
        <v>436</v>
      </c>
      <c r="C35" s="54">
        <v>4.34</v>
      </c>
    </row>
    <row r="36" spans="1:3" x14ac:dyDescent="0.3">
      <c r="A36" s="51" t="s">
        <v>261</v>
      </c>
      <c r="B36" s="51" t="s">
        <v>437</v>
      </c>
      <c r="C36" s="52">
        <v>4.5199999999999996</v>
      </c>
    </row>
    <row r="37" spans="1:3" x14ac:dyDescent="0.3">
      <c r="A37" s="53" t="s">
        <v>261</v>
      </c>
      <c r="B37" s="53" t="s">
        <v>438</v>
      </c>
      <c r="C37" s="54">
        <v>4.68</v>
      </c>
    </row>
    <row r="38" spans="1:3" x14ac:dyDescent="0.3">
      <c r="A38" s="51" t="s">
        <v>261</v>
      </c>
      <c r="B38" s="51" t="s">
        <v>439</v>
      </c>
      <c r="C38" s="52">
        <v>5.25</v>
      </c>
    </row>
    <row r="39" spans="1:3" x14ac:dyDescent="0.3">
      <c r="A39" s="53" t="s">
        <v>261</v>
      </c>
      <c r="B39" s="53" t="s">
        <v>440</v>
      </c>
      <c r="C39" s="54">
        <v>5.57</v>
      </c>
    </row>
    <row r="40" spans="1:3" x14ac:dyDescent="0.3">
      <c r="A40" s="51" t="s">
        <v>261</v>
      </c>
      <c r="B40" s="51" t="s">
        <v>441</v>
      </c>
      <c r="C40" s="52">
        <v>5.75</v>
      </c>
    </row>
    <row r="41" spans="1:3" x14ac:dyDescent="0.3">
      <c r="A41" s="53" t="s">
        <v>261</v>
      </c>
      <c r="B41" s="53" t="s">
        <v>442</v>
      </c>
      <c r="C41" s="54">
        <v>5.78</v>
      </c>
    </row>
    <row r="42" spans="1:3" x14ac:dyDescent="0.3">
      <c r="A42" s="51" t="s">
        <v>261</v>
      </c>
      <c r="B42" s="51" t="s">
        <v>443</v>
      </c>
      <c r="C42" s="52">
        <v>6.28</v>
      </c>
    </row>
    <row r="43" spans="1:3" x14ac:dyDescent="0.3">
      <c r="A43" s="53" t="s">
        <v>261</v>
      </c>
      <c r="B43" s="53" t="s">
        <v>444</v>
      </c>
      <c r="C43" s="54">
        <v>6.45</v>
      </c>
    </row>
    <row r="44" spans="1:3" x14ac:dyDescent="0.3">
      <c r="A44" s="51" t="s">
        <v>261</v>
      </c>
      <c r="B44" s="51" t="s">
        <v>445</v>
      </c>
      <c r="C44" s="52">
        <v>6.86</v>
      </c>
    </row>
    <row r="45" spans="1:3" x14ac:dyDescent="0.3">
      <c r="A45" s="53" t="s">
        <v>261</v>
      </c>
      <c r="B45" s="53" t="s">
        <v>446</v>
      </c>
      <c r="C45" s="54">
        <v>6.88</v>
      </c>
    </row>
    <row r="46" spans="1:3" x14ac:dyDescent="0.3">
      <c r="A46" s="51" t="s">
        <v>261</v>
      </c>
      <c r="B46" s="51" t="s">
        <v>447</v>
      </c>
      <c r="C46" s="52">
        <v>7</v>
      </c>
    </row>
    <row r="47" spans="1:3" x14ac:dyDescent="0.3">
      <c r="A47" s="53" t="s">
        <v>261</v>
      </c>
      <c r="B47" s="53" t="s">
        <v>448</v>
      </c>
      <c r="C47" s="54">
        <v>7.4</v>
      </c>
    </row>
    <row r="48" spans="1:3" x14ac:dyDescent="0.3">
      <c r="A48" s="51" t="s">
        <v>261</v>
      </c>
      <c r="B48" s="51" t="s">
        <v>449</v>
      </c>
      <c r="C48" s="52">
        <v>7.5</v>
      </c>
    </row>
    <row r="49" spans="1:3" x14ac:dyDescent="0.3">
      <c r="A49" s="53" t="s">
        <v>261</v>
      </c>
      <c r="B49" s="53" t="s">
        <v>450</v>
      </c>
      <c r="C49" s="54">
        <v>8.5399999999999991</v>
      </c>
    </row>
    <row r="50" spans="1:3" x14ac:dyDescent="0.3">
      <c r="A50" s="51" t="s">
        <v>261</v>
      </c>
      <c r="B50" s="51" t="s">
        <v>451</v>
      </c>
      <c r="C50" s="52">
        <v>8.57</v>
      </c>
    </row>
    <row r="51" spans="1:3" x14ac:dyDescent="0.3">
      <c r="A51" s="53" t="s">
        <v>261</v>
      </c>
      <c r="B51" s="53" t="s">
        <v>452</v>
      </c>
      <c r="C51" s="54">
        <v>8.75</v>
      </c>
    </row>
    <row r="52" spans="1:3" x14ac:dyDescent="0.3">
      <c r="A52" s="51" t="s">
        <v>261</v>
      </c>
      <c r="B52" s="51" t="s">
        <v>453</v>
      </c>
      <c r="C52" s="52">
        <v>10.63</v>
      </c>
    </row>
    <row r="53" spans="1:3" x14ac:dyDescent="0.3">
      <c r="A53" s="53" t="s">
        <v>261</v>
      </c>
      <c r="B53" s="53" t="s">
        <v>454</v>
      </c>
      <c r="C53" s="54">
        <v>10.79</v>
      </c>
    </row>
    <row r="54" spans="1:3" x14ac:dyDescent="0.3">
      <c r="A54" s="51" t="s">
        <v>261</v>
      </c>
      <c r="B54" s="51" t="s">
        <v>455</v>
      </c>
      <c r="C54" s="52">
        <v>10.81</v>
      </c>
    </row>
    <row r="55" spans="1:3" x14ac:dyDescent="0.3">
      <c r="A55" s="53" t="s">
        <v>261</v>
      </c>
      <c r="B55" s="53" t="s">
        <v>456</v>
      </c>
      <c r="C55" s="54">
        <v>12.25</v>
      </c>
    </row>
    <row r="56" spans="1:3" x14ac:dyDescent="0.3">
      <c r="A56" s="51" t="s">
        <v>261</v>
      </c>
      <c r="B56" s="51" t="s">
        <v>457</v>
      </c>
      <c r="C56" s="52">
        <v>12.26</v>
      </c>
    </row>
    <row r="57" spans="1:3" x14ac:dyDescent="0.3">
      <c r="A57" s="53" t="s">
        <v>261</v>
      </c>
      <c r="B57" s="53" t="s">
        <v>458</v>
      </c>
      <c r="C57" s="54">
        <v>13.39</v>
      </c>
    </row>
    <row r="58" spans="1:3" x14ac:dyDescent="0.3">
      <c r="A58" s="51" t="s">
        <v>261</v>
      </c>
      <c r="B58" s="51" t="s">
        <v>459</v>
      </c>
      <c r="C58" s="52">
        <v>15.04</v>
      </c>
    </row>
    <row r="59" spans="1:3" x14ac:dyDescent="0.3">
      <c r="A59" s="53" t="s">
        <v>261</v>
      </c>
      <c r="B59" s="53" t="s">
        <v>460</v>
      </c>
      <c r="C59" s="54">
        <v>15.13</v>
      </c>
    </row>
    <row r="60" spans="1:3" x14ac:dyDescent="0.3">
      <c r="A60" s="51" t="s">
        <v>261</v>
      </c>
      <c r="B60" s="51" t="s">
        <v>461</v>
      </c>
      <c r="C60" s="52">
        <v>15.34</v>
      </c>
    </row>
    <row r="61" spans="1:3" x14ac:dyDescent="0.3">
      <c r="A61" s="53" t="s">
        <v>261</v>
      </c>
      <c r="B61" s="53" t="s">
        <v>462</v>
      </c>
      <c r="C61" s="54">
        <v>16.09</v>
      </c>
    </row>
    <row r="62" spans="1:3" x14ac:dyDescent="0.3">
      <c r="A62" s="51" t="s">
        <v>261</v>
      </c>
      <c r="B62" s="51" t="s">
        <v>463</v>
      </c>
      <c r="C62" s="52">
        <v>16.41</v>
      </c>
    </row>
    <row r="63" spans="1:3" x14ac:dyDescent="0.3">
      <c r="A63" s="53" t="s">
        <v>261</v>
      </c>
      <c r="B63" s="53" t="s">
        <v>464</v>
      </c>
      <c r="C63" s="54">
        <v>17.190000000000001</v>
      </c>
    </row>
    <row r="64" spans="1:3" x14ac:dyDescent="0.3">
      <c r="A64" s="51" t="s">
        <v>261</v>
      </c>
      <c r="B64" s="51" t="s">
        <v>465</v>
      </c>
      <c r="C64" s="52">
        <v>17.37</v>
      </c>
    </row>
    <row r="65" spans="1:3" x14ac:dyDescent="0.3">
      <c r="A65" s="53" t="s">
        <v>261</v>
      </c>
      <c r="B65" s="53" t="s">
        <v>466</v>
      </c>
      <c r="C65" s="54">
        <v>18.95</v>
      </c>
    </row>
    <row r="66" spans="1:3" x14ac:dyDescent="0.3">
      <c r="A66" s="51" t="s">
        <v>261</v>
      </c>
      <c r="B66" s="51" t="s">
        <v>467</v>
      </c>
      <c r="C66" s="52">
        <v>19.3</v>
      </c>
    </row>
    <row r="67" spans="1:3" x14ac:dyDescent="0.3">
      <c r="A67" s="53" t="s">
        <v>261</v>
      </c>
      <c r="B67" s="53" t="s">
        <v>468</v>
      </c>
      <c r="C67" s="54">
        <v>19.78</v>
      </c>
    </row>
    <row r="68" spans="1:3" x14ac:dyDescent="0.3">
      <c r="A68" s="51" t="s">
        <v>261</v>
      </c>
      <c r="B68" s="51" t="s">
        <v>469</v>
      </c>
      <c r="C68" s="52">
        <v>19.79</v>
      </c>
    </row>
    <row r="69" spans="1:3" x14ac:dyDescent="0.3">
      <c r="A69" s="53" t="s">
        <v>261</v>
      </c>
      <c r="B69" s="53" t="s">
        <v>470</v>
      </c>
      <c r="C69" s="54">
        <v>21.09</v>
      </c>
    </row>
    <row r="70" spans="1:3" x14ac:dyDescent="0.3">
      <c r="A70" s="51" t="s">
        <v>261</v>
      </c>
      <c r="B70" s="51" t="s">
        <v>471</v>
      </c>
      <c r="C70" s="52">
        <v>21.34</v>
      </c>
    </row>
    <row r="71" spans="1:3" x14ac:dyDescent="0.3">
      <c r="A71" s="53" t="s">
        <v>261</v>
      </c>
      <c r="B71" s="53" t="s">
        <v>472</v>
      </c>
      <c r="C71" s="54">
        <v>21.67</v>
      </c>
    </row>
    <row r="72" spans="1:3" x14ac:dyDescent="0.3">
      <c r="A72" s="51" t="s">
        <v>261</v>
      </c>
      <c r="B72" s="51" t="s">
        <v>473</v>
      </c>
      <c r="C72" s="52">
        <v>22.49</v>
      </c>
    </row>
    <row r="73" spans="1:3" x14ac:dyDescent="0.3">
      <c r="A73" s="53" t="s">
        <v>261</v>
      </c>
      <c r="B73" s="53" t="s">
        <v>474</v>
      </c>
      <c r="C73" s="54">
        <v>22.63</v>
      </c>
    </row>
    <row r="74" spans="1:3" x14ac:dyDescent="0.3">
      <c r="A74" s="51" t="s">
        <v>261</v>
      </c>
      <c r="B74" s="51" t="s">
        <v>475</v>
      </c>
      <c r="C74" s="52">
        <v>22.64</v>
      </c>
    </row>
    <row r="75" spans="1:3" x14ac:dyDescent="0.3">
      <c r="A75" s="53" t="s">
        <v>261</v>
      </c>
      <c r="B75" s="53" t="s">
        <v>476</v>
      </c>
      <c r="C75" s="54">
        <v>23.4</v>
      </c>
    </row>
    <row r="76" spans="1:3" x14ac:dyDescent="0.3">
      <c r="A76" s="51" t="s">
        <v>261</v>
      </c>
      <c r="B76" s="51" t="s">
        <v>477</v>
      </c>
      <c r="C76" s="52">
        <v>23.48</v>
      </c>
    </row>
    <row r="77" spans="1:3" x14ac:dyDescent="0.3">
      <c r="A77" s="53" t="s">
        <v>261</v>
      </c>
      <c r="B77" s="53" t="s">
        <v>478</v>
      </c>
      <c r="C77" s="54">
        <v>23.48</v>
      </c>
    </row>
    <row r="78" spans="1:3" x14ac:dyDescent="0.3">
      <c r="A78" s="51" t="s">
        <v>261</v>
      </c>
      <c r="B78" s="51" t="s">
        <v>479</v>
      </c>
      <c r="C78" s="52">
        <v>24.64</v>
      </c>
    </row>
    <row r="79" spans="1:3" x14ac:dyDescent="0.3">
      <c r="A79" s="53" t="s">
        <v>261</v>
      </c>
      <c r="B79" s="53" t="s">
        <v>480</v>
      </c>
      <c r="C79" s="54">
        <v>25</v>
      </c>
    </row>
    <row r="80" spans="1:3" x14ac:dyDescent="0.3">
      <c r="A80" s="51" t="s">
        <v>261</v>
      </c>
      <c r="B80" s="51" t="s">
        <v>481</v>
      </c>
      <c r="C80" s="52">
        <v>25.11</v>
      </c>
    </row>
    <row r="81" spans="1:3" x14ac:dyDescent="0.3">
      <c r="A81" s="53" t="s">
        <v>261</v>
      </c>
      <c r="B81" s="53" t="s">
        <v>482</v>
      </c>
      <c r="C81" s="54">
        <v>27.84</v>
      </c>
    </row>
    <row r="82" spans="1:3" x14ac:dyDescent="0.3">
      <c r="A82" s="51" t="s">
        <v>261</v>
      </c>
      <c r="B82" s="51" t="s">
        <v>483</v>
      </c>
      <c r="C82" s="52">
        <v>28.58</v>
      </c>
    </row>
    <row r="83" spans="1:3" x14ac:dyDescent="0.3">
      <c r="A83" s="53" t="s">
        <v>261</v>
      </c>
      <c r="B83" s="53" t="s">
        <v>484</v>
      </c>
      <c r="C83" s="54">
        <v>28.69</v>
      </c>
    </row>
    <row r="84" spans="1:3" x14ac:dyDescent="0.3">
      <c r="A84" s="51" t="s">
        <v>261</v>
      </c>
      <c r="B84" s="51" t="s">
        <v>485</v>
      </c>
      <c r="C84" s="52">
        <v>29.98</v>
      </c>
    </row>
    <row r="85" spans="1:3" x14ac:dyDescent="0.3">
      <c r="A85" s="53" t="s">
        <v>261</v>
      </c>
      <c r="B85" s="53" t="s">
        <v>486</v>
      </c>
      <c r="C85" s="54">
        <v>30.7</v>
      </c>
    </row>
    <row r="86" spans="1:3" x14ac:dyDescent="0.3">
      <c r="A86" s="51" t="s">
        <v>261</v>
      </c>
      <c r="B86" s="51" t="s">
        <v>487</v>
      </c>
      <c r="C86" s="52">
        <v>33.119999999999997</v>
      </c>
    </row>
    <row r="87" spans="1:3" x14ac:dyDescent="0.3">
      <c r="A87" s="53" t="s">
        <v>261</v>
      </c>
      <c r="B87" s="53" t="s">
        <v>488</v>
      </c>
      <c r="C87" s="54">
        <v>34.4</v>
      </c>
    </row>
    <row r="88" spans="1:3" x14ac:dyDescent="0.3">
      <c r="A88" s="51" t="s">
        <v>261</v>
      </c>
      <c r="B88" s="51" t="s">
        <v>489</v>
      </c>
      <c r="C88" s="52">
        <v>39</v>
      </c>
    </row>
    <row r="89" spans="1:3" x14ac:dyDescent="0.3">
      <c r="A89" s="53" t="s">
        <v>261</v>
      </c>
      <c r="B89" s="53" t="s">
        <v>490</v>
      </c>
      <c r="C89" s="54">
        <v>40.24</v>
      </c>
    </row>
    <row r="90" spans="1:3" x14ac:dyDescent="0.3">
      <c r="A90" s="51" t="s">
        <v>261</v>
      </c>
      <c r="B90" s="51" t="s">
        <v>491</v>
      </c>
      <c r="C90" s="52">
        <v>42.11</v>
      </c>
    </row>
    <row r="91" spans="1:3" x14ac:dyDescent="0.3">
      <c r="A91" s="53" t="s">
        <v>261</v>
      </c>
      <c r="B91" s="53" t="s">
        <v>492</v>
      </c>
      <c r="C91" s="54">
        <v>44.66</v>
      </c>
    </row>
    <row r="92" spans="1:3" x14ac:dyDescent="0.3">
      <c r="A92" s="51" t="s">
        <v>261</v>
      </c>
      <c r="B92" s="51" t="s">
        <v>493</v>
      </c>
      <c r="C92" s="52">
        <v>45.12</v>
      </c>
    </row>
    <row r="93" spans="1:3" x14ac:dyDescent="0.3">
      <c r="A93" s="53" t="s">
        <v>261</v>
      </c>
      <c r="B93" s="53" t="s">
        <v>494</v>
      </c>
      <c r="C93" s="54">
        <v>57.26</v>
      </c>
    </row>
    <row r="94" spans="1:3" x14ac:dyDescent="0.3">
      <c r="A94" s="51" t="s">
        <v>261</v>
      </c>
      <c r="B94" s="51" t="s">
        <v>495</v>
      </c>
      <c r="C94" s="52">
        <v>59.46</v>
      </c>
    </row>
    <row r="95" spans="1:3" x14ac:dyDescent="0.3">
      <c r="A95" s="53" t="s">
        <v>261</v>
      </c>
      <c r="B95" s="53" t="s">
        <v>496</v>
      </c>
      <c r="C95" s="54">
        <v>61.91</v>
      </c>
    </row>
    <row r="96" spans="1:3" x14ac:dyDescent="0.3">
      <c r="A96" s="51" t="s">
        <v>261</v>
      </c>
      <c r="B96" s="51" t="s">
        <v>497</v>
      </c>
      <c r="C96" s="52">
        <v>69.44</v>
      </c>
    </row>
    <row r="97" spans="1:3" x14ac:dyDescent="0.3">
      <c r="A97" s="53" t="s">
        <v>261</v>
      </c>
      <c r="B97" s="53" t="s">
        <v>498</v>
      </c>
      <c r="C97" s="54">
        <v>70.569999999999993</v>
      </c>
    </row>
    <row r="98" spans="1:3" x14ac:dyDescent="0.3">
      <c r="A98" s="51" t="s">
        <v>261</v>
      </c>
      <c r="B98" s="51" t="s">
        <v>499</v>
      </c>
      <c r="C98" s="52">
        <v>92.39</v>
      </c>
    </row>
    <row r="99" spans="1:3" x14ac:dyDescent="0.3">
      <c r="A99" s="53" t="s">
        <v>261</v>
      </c>
      <c r="B99" s="53" t="s">
        <v>500</v>
      </c>
      <c r="C99" s="54">
        <v>110.58</v>
      </c>
    </row>
    <row r="100" spans="1:3" x14ac:dyDescent="0.3">
      <c r="A100" s="51" t="s">
        <v>261</v>
      </c>
      <c r="B100" s="51" t="s">
        <v>501</v>
      </c>
      <c r="C100" s="52">
        <v>114.02</v>
      </c>
    </row>
    <row r="101" spans="1:3" x14ac:dyDescent="0.3">
      <c r="A101" s="53" t="s">
        <v>261</v>
      </c>
      <c r="B101" s="53" t="s">
        <v>502</v>
      </c>
      <c r="C101" s="54">
        <v>211.29</v>
      </c>
    </row>
    <row r="102" spans="1:3" x14ac:dyDescent="0.3">
      <c r="A102" s="51" t="s">
        <v>337</v>
      </c>
      <c r="B102" s="51" t="s">
        <v>503</v>
      </c>
      <c r="C102" s="52">
        <v>3591</v>
      </c>
    </row>
    <row r="103" spans="1:3" ht="15" thickBot="1" x14ac:dyDescent="0.35">
      <c r="A103" s="53" t="s">
        <v>337</v>
      </c>
      <c r="B103" s="53" t="s">
        <v>504</v>
      </c>
      <c r="C103" s="54">
        <v>5436</v>
      </c>
    </row>
    <row r="104" spans="1:3" ht="15" thickTop="1" x14ac:dyDescent="0.3">
      <c r="A104" s="55"/>
      <c r="B104" s="55"/>
      <c r="C104" s="56">
        <v>11204.82</v>
      </c>
    </row>
    <row r="106" spans="1:3" x14ac:dyDescent="0.3">
      <c r="C106" s="48"/>
    </row>
    <row r="107" spans="1:3" x14ac:dyDescent="0.3">
      <c r="B107" s="62" t="s">
        <v>520</v>
      </c>
      <c r="C107" s="63">
        <f>C104+'Ingresos formación 2020'!B85+'Ingresos formación 2019'!B13</f>
        <v>18574.489999999998</v>
      </c>
    </row>
  </sheetData>
  <pageMargins left="0.39370078740157483" right="0.39370078740157483"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2019</vt:lpstr>
      <vt:lpstr>Ingresos investigación 2020</vt:lpstr>
      <vt:lpstr>Ingresos investigación 2021</vt:lpstr>
      <vt:lpstr>Ingresos formación 2019</vt:lpstr>
      <vt:lpstr>Ingresos formación 2020</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dcterms:created xsi:type="dcterms:W3CDTF">2019-07-03T07:15:54Z</dcterms:created>
  <dcterms:modified xsi:type="dcterms:W3CDTF">2022-10-18T11:33:58Z</dcterms:modified>
</cp:coreProperties>
</file>