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53532BF3-176D-403C-8E78-843CB930E92A}" xr6:coauthVersionLast="47" xr6:coauthVersionMax="47" xr10:uidLastSave="{00000000-0000-0000-0000-000000000000}"/>
  <bookViews>
    <workbookView xWindow="22932" yWindow="-108" windowWidth="23256" windowHeight="12456" tabRatio="835" xr2:uid="{00000000-000D-0000-FFFF-FFFF00000000}"/>
  </bookViews>
  <sheets>
    <sheet name="Tesis" sheetId="12" r:id="rId1"/>
    <sheet name="Sexenios" sheetId="13" r:id="rId2"/>
    <sheet name="Ingresos investigación 2019" sheetId="16" r:id="rId3"/>
    <sheet name="Ingresos investigación 2020" sheetId="18" r:id="rId4"/>
    <sheet name="Ingresos investigación 2021" sheetId="20" r:id="rId5"/>
    <sheet name="Ingresos formación 2019" sheetId="17" r:id="rId6"/>
    <sheet name="Ingresos formación 2020" sheetId="19" r:id="rId7"/>
    <sheet name="Ingresos formación 2021" sheetId="22" r:id="rId8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2" l="1"/>
  <c r="B8" i="22" l="1"/>
  <c r="B8" i="19" l="1"/>
  <c r="B11" i="18"/>
  <c r="S12" i="13" l="1"/>
  <c r="B8" i="17" l="1"/>
  <c r="B12" i="22" s="1"/>
  <c r="B14" i="16"/>
  <c r="D10" i="20" s="1"/>
</calcChain>
</file>

<file path=xl/sharedStrings.xml><?xml version="1.0" encoding="utf-8"?>
<sst xmlns="http://schemas.openxmlformats.org/spreadsheetml/2006/main" count="293" uniqueCount="150">
  <si>
    <t>Orgánica
Descripción justificante</t>
  </si>
  <si>
    <t>Importe</t>
  </si>
  <si>
    <t>Total</t>
  </si>
  <si>
    <t>36.10.2T.00.01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</si>
  <si>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</si>
  <si>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</si>
  <si>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</si>
  <si>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</si>
  <si>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</si>
  <si>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</si>
  <si>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</si>
  <si>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</si>
  <si>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</si>
  <si>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</si>
  <si>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</si>
  <si>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</si>
  <si>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</si>
  <si>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</si>
  <si>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</si>
  <si>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</si>
  <si>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</si>
  <si>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</si>
  <si>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</si>
  <si>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</si>
  <si>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</si>
  <si>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</si>
  <si>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</si>
  <si>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</si>
  <si>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</si>
  <si>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U036 </t>
  </si>
  <si>
    <t>ADM. FACULTAD DE CIENCIAS ECONÓMICAS </t>
  </si>
  <si>
    <t>DOCTORADO EN EMPRESA, ECONOMÍA Y SOCIEDAD </t>
  </si>
  <si>
    <t>20</t>
  </si>
  <si>
    <t>80</t>
  </si>
  <si>
    <t>10.23</t>
  </si>
  <si>
    <t>B176 </t>
  </si>
  <si>
    <t>SOCIOLOGÍA II </t>
  </si>
  <si>
    <t>10.22</t>
  </si>
  <si>
    <t>10.06</t>
  </si>
  <si>
    <t>U044 </t>
  </si>
  <si>
    <t>ADM. FACULTAD DE CIENCIAS DE LA SALUD </t>
  </si>
  <si>
    <t>DOCTORADO EN CIENCIAS DE LA SALUD </t>
  </si>
  <si>
    <t>16/09/2019 </t>
  </si>
  <si>
    <t>Escudero Durán, María Lorena </t>
  </si>
  <si>
    <t>LA POLÍTICA MIGRATORIA ECUATORIANA EN EL CONTEXTO SURAMERICANO 2007-2013 </t>
  </si>
  <si>
    <t>06/03/2017 </t>
  </si>
  <si>
    <t>Mateos García, José Tomás </t>
  </si>
  <si>
    <t>MODELO DE SUSTENTADOR MASCULINO: APROXIMACIÓN CONCEPTUAL Y EMPÍRICA PARA LA SALUD </t>
  </si>
  <si>
    <t>B176</t>
  </si>
  <si>
    <t>05413313X </t>
  </si>
  <si>
    <t>21474040K </t>
  </si>
  <si>
    <t>21506571F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</si>
  <si>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</si>
  <si>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</si>
  <si>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</si>
  <si>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</si>
  <si>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</si>
  <si>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</si>
  <si>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</si>
  <si>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</si>
  <si>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</si>
  <si>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</si>
  <si>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</si>
  <si>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</si>
  <si>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</si>
  <si>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21471226J</t>
  </si>
  <si>
    <t>BAS AMOROS, JOSE ENRIQUE</t>
  </si>
  <si>
    <t>21516771H</t>
  </si>
  <si>
    <t>ESPINAR RUIZ, EVA</t>
  </si>
  <si>
    <t>22140300V</t>
  </si>
  <si>
    <t>FRANCES GARCIA, FRANCISCO JOSE</t>
  </si>
  <si>
    <t>52779604D</t>
  </si>
  <si>
    <t>LA PARRA CASADO, DANIEL</t>
  </si>
  <si>
    <t>21474040K</t>
  </si>
  <si>
    <t>PENALVA VERDU, CLEMENTE ANTONIO</t>
  </si>
  <si>
    <t>21506571F</t>
  </si>
  <si>
    <t>SANTACREU FERNANDEZ, OSCAR ANTONIO</t>
  </si>
  <si>
    <t>05413313X</t>
  </si>
  <si>
    <t>ULLAN DE LA ROSA, FRANCISCO JAVIER</t>
  </si>
  <si>
    <t>36.10.6C.00.09</t>
  </si>
  <si>
    <t>REALIZACIÓN DE LAS SIGUIENTES TAREAS Y SERVICIOS EN RELACIÓN CON EL PROYECTO DE ENCUESTA DELIBERATIVA SOBRE OCIO NOCTURNO EN ELCHE:  - DISEÑO MUESTRAL PARA LA ENCUESTA T0 (ENCUESTA PREVIA AL FORO DELIBERATIVO) - DISEÑO DE CUESTIONARIO MULTITEMÁTICO PARA T0, INCLUYENDO REDACCIÓN DE ENUNCIADOS Y CIERRES. - COLABORACIÓN Y ASESORAMIENTO TÉCNICO EN LA COMISIÓN TÉCNICA DEL PROYECTO.</t>
  </si>
  <si>
    <t>36.10.6C.00.12</t>
  </si>
  <si>
    <t xml:space="preserve">COLABORACIÓN EN EL ANÁLISIS E INFORME PARA ESTUDIO ELECTORAL EN EL MARCO DE LAS ELECCIONES MUNICIPALES 2019. </t>
  </si>
  <si>
    <t>36.10.6C.00.13</t>
  </si>
  <si>
    <t>INFORME METODOLÓGICO SOBRE ENCUESTA DE CONOCIMIENTO DE MARCA EN EL CONTEXTO DE UN LITIGIO POR EL DERECHO DE USO DE LA MARCA.</t>
  </si>
  <si>
    <t>36.10.6C.00.14</t>
  </si>
  <si>
    <t xml:space="preserve">ANÁLISIS ESTADÍSTICO DE ESTUDIOS DE OPINIÓN PÚBLICA REALIZADOS POR EL CENTRO DE INVESTIGACIONES SOCIOLÓGICAS. El plazo de ejecución del contrato será de 4 meses, cuyo cómputo se iniciará a partir de 25/07/2019 </t>
  </si>
  <si>
    <t>36.10.6P.00.04</t>
  </si>
  <si>
    <t xml:space="preserve">SUBVENCIONES REALIZACIÓN GRUPOS CONSOLIDABLES. AICO/2018.2ªANUALIDAD </t>
  </si>
  <si>
    <t>36.10.6P.00.05</t>
  </si>
  <si>
    <t>SUBVENCIÓ FOMENT TREBALLS D'INVESTIGACIÓ I ESTUDIS EN L'ÀMBIT DE LA  PLANIFICACIÓ LINGÜÍSTICA I LA LINGÜÍSTICA APLICADA (EDUCACIÓN,INVESTIGACIÓN,CULTURA Y DEPORT)</t>
  </si>
  <si>
    <t>Liquidación  PLAN 9303 curso ''MÁSTER EN INTERPRETACIÓN DE GUITARRA CLÁSICA'' ORDEN 5342</t>
  </si>
  <si>
    <t>Liquidación  PLAN 9304 curso ''EXPERTO EN INTERPRETACIÓN DE GUITARRA CLÁSICA'' ORDEN 5521</t>
  </si>
  <si>
    <t>Liquidación  PLAN 9305 curso ''MÁSTER EN INTERPRETACIÓN DE GUITARRA CLÁSICA'' ORDEN 5344</t>
  </si>
  <si>
    <t>REINTEGRO CUOTA PATRONAL CORRESPONDIENTE AL MES DE OCTUBRE DE 2019.</t>
  </si>
  <si>
    <t>Reintegro de Cuota Patronal del mes de diciembre 2019</t>
  </si>
  <si>
    <t>Alaminos Fernández, Antonio Francisco </t>
  </si>
  <si>
    <t>La realidad aumentada. Música y comunicación en la sociedad de consumo </t>
  </si>
  <si>
    <t>20/12/2019 </t>
  </si>
  <si>
    <t>11737095B</t>
  </si>
  <si>
    <t>GONZALEZ RIO, MARIA JOSE</t>
  </si>
  <si>
    <t>COD DEP</t>
  </si>
  <si>
    <t>52778850Z</t>
  </si>
  <si>
    <t>MARTINEZ GRAS, RODOLFO</t>
  </si>
  <si>
    <t>NO FUNCIONARIO</t>
  </si>
  <si>
    <t>Samaniego Dumas, Diego Oswaldo </t>
  </si>
  <si>
    <t>Análisis del discurso de Rafael Correa en relación al movimiento indígena ecuatoriano: Elucidación del racismo y la discriminación </t>
  </si>
  <si>
    <t>20/11/2020 </t>
  </si>
  <si>
    <t>Perea Crespo, Ignacia </t>
  </si>
  <si>
    <t>Sobre la inclusividad de las sociedades europeas: la distancia del otro nacional a través de la opinión pública </t>
  </si>
  <si>
    <t>22/12/2020 </t>
  </si>
  <si>
    <t>U073 </t>
  </si>
  <si>
    <t>ADM. I.U. INVESTIGACIÓN DE ESTUDIOS DE GÉNERO </t>
  </si>
  <si>
    <t>DOCTORADO EN ESTUDIOS INTERDISCIPLINARES DE GÉNERO </t>
  </si>
  <si>
    <t>¿Efectos de la transición demográfica en España como prototipo de la Europa del Sur¿ </t>
  </si>
  <si>
    <t>28/09/2021 </t>
  </si>
  <si>
    <t>17201624Q </t>
  </si>
  <si>
    <t>36.10.6C.00.15</t>
  </si>
  <si>
    <t>EL OBJETIVO TRONCAL CONSISTE EN DIAGNOSTICAR LA IMAGEN INSTITUCIONAL Y SIGNIFICACIÓN SOCIAL DE LA EUIPO.</t>
  </si>
  <si>
    <t>36.10.6C.00.16</t>
  </si>
  <si>
    <t>INFORME PROJECTE FULL DE RUTA PER A LA PARTICIPACIÓ CIUTADANA A TORRENT. DE L'ÀREA DE CIUTADANIA, SR. POTENCIANO. ESTE INFORME A CÀRREC DE LA UNIVERSITAT D'ALACANT INCLOU UN FULL DE RUTA PER ALS ANYS 2020-2024 PER A IMPLEMENTAR PROCESSOS DE PARTICIPACIÓ CIUTADANA A TORRENT. REF. AYTOTORRENT1-20TPA. RC. 220200041532.</t>
  </si>
  <si>
    <t>36.10.6M.00.01</t>
  </si>
  <si>
    <t>11290 S8050 CONVENI UA ACTIV. PARTICIPACIO CIUTADANA BESTRETA 30% (Consellería de Participación, Transparencia y Cooperación)</t>
  </si>
  <si>
    <t>11290 S8050 PAGO RESTO FOMENTO ACTIVID.UNIVERS. UNIVERSIDAD ALICANTE (PARTICIPACIÓN TRANSPAR.COOPERACIÓ YC.DEM)</t>
  </si>
  <si>
    <t>12110.S8333.EXPTE.UA-2020.PAGAMENT CONVENI FOMENT ACTIVITAT EN MATERIA TRANSPARENCIA I BON GOVERN 2020. UNIVERS. ALACANT (PARTICIPACIÓN TRANSPAR.COOPERACIÓ YC.DEM)</t>
  </si>
  <si>
    <t>REINTEGRO CUOTA PATRONAL CORRESPONDIENTE A DICIEMBRE DE 2020.</t>
  </si>
  <si>
    <t>No existen ingresos de formación en 2020</t>
  </si>
  <si>
    <t>Unidad</t>
  </si>
  <si>
    <t>Cód. org. aplic.</t>
  </si>
  <si>
    <t>Descripción justificante</t>
  </si>
  <si>
    <t>36.10</t>
  </si>
  <si>
    <t>REINTEGRO CUOTA PATRONAL CORRESPONDIENTE A AGOSTO DE 2021.</t>
  </si>
  <si>
    <t>INFORME PROJECTE FULL DE RUTA PER A LA PARTICIPACIÓ CIUTADANA A TORRENT. DE LÀREA DE DIUTADANIA. SR. POTENCIANO. ESTE INFORME A CÀRREC DE LA UNIVERSITAT D'ALACANT INCLOU UN FULL DE RUTA PER ALS ANYS 2020-2024 PER A IMPLEMENTAR PROCESSOS DE PARTICIPACIÓ CIUTADANA A TORRENT. REF. AYTOTORRENT1-20TPA. RC. 220200041532.</t>
  </si>
  <si>
    <t>36.10.6C.00.17</t>
  </si>
  <si>
    <t>ANÁLISIS DE PROSPECTIVA Y COMPORTAMIENTO ELECTORAL PARA EL MUNICIPIO DE CALPE.</t>
  </si>
  <si>
    <t>11290 S8050 30% CONVENIO FOM.ACTIVIDADUNIV.PUB.C.V EN MATERIA DE PARTICIPACIONUNIV. ALICANTE (PARTICIPACIÓN TRANSPAR.COOPERACIÓ YC.DEM)</t>
  </si>
  <si>
    <t>No existen ingresos de formación en 2021</t>
  </si>
  <si>
    <t>52814604D </t>
  </si>
  <si>
    <t>23814586R </t>
  </si>
  <si>
    <t>Martínez Verdú, Remedios </t>
  </si>
  <si>
    <t>U058 </t>
  </si>
  <si>
    <t>ADM. I.U. DE INVESTIGACIONES TURÍSTICAS </t>
  </si>
  <si>
    <t>DOCTORADO EN TURISMO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</si>
  <si>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</si>
  <si>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</si>
  <si>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</si>
  <si>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28995929J</t>
  </si>
  <si>
    <t>CATALA OLTRA, LUIS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</si>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</sst>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0" borderId="0" xfId="0" applyFont="1" applyAlignment="1">
      <alignment horizontal="justify" vertical="center"/>
    </xf>
    <xf numFmtId="0" fontId="13" fillId="6" borderId="4" xfId="0" applyNumberFormat="1" applyFont="1" applyFill="1" applyBorder="1"/>
    <xf numFmtId="0" fontId="13" fillId="6" borderId="5" xfId="0" applyNumberFormat="1" applyFont="1" applyFill="1" applyBorder="1"/>
    <xf numFmtId="0" fontId="13" fillId="6" borderId="6" xfId="0" applyFont="1" applyFill="1" applyBorder="1" applyAlignment="1">
      <alignment horizontal="right"/>
    </xf>
    <xf numFmtId="0" fontId="0" fillId="7" borderId="7" xfId="0" applyNumberFormat="1" applyFont="1" applyFill="1" applyBorder="1"/>
    <xf numFmtId="0" fontId="0" fillId="7" borderId="8" xfId="0" applyFont="1" applyFill="1" applyBorder="1"/>
    <xf numFmtId="4" fontId="0" fillId="7" borderId="9" xfId="0" applyNumberFormat="1" applyFont="1" applyFill="1" applyBorder="1"/>
    <xf numFmtId="0" fontId="0" fillId="8" borderId="7" xfId="0" applyNumberFormat="1" applyFont="1" applyFill="1" applyBorder="1"/>
    <xf numFmtId="0" fontId="0" fillId="8" borderId="8" xfId="0" applyFont="1" applyFill="1" applyBorder="1"/>
    <xf numFmtId="4" fontId="0" fillId="8" borderId="9" xfId="0" applyNumberFormat="1" applyFont="1" applyFill="1" applyBorder="1"/>
    <xf numFmtId="0" fontId="13" fillId="6" borderId="10" xfId="0" applyFont="1" applyFill="1" applyBorder="1"/>
    <xf numFmtId="0" fontId="13" fillId="6" borderId="11" xfId="0" applyFont="1" applyFill="1" applyBorder="1"/>
    <xf numFmtId="4" fontId="13" fillId="6" borderId="12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9" borderId="0" xfId="1" applyFont="1" applyFill="1" applyAlignment="1"/>
    <xf numFmtId="0" fontId="3" fillId="9" borderId="0" xfId="1" applyFont="1" applyFill="1" applyAlignment="1">
      <alignment horizontal="right"/>
    </xf>
    <xf numFmtId="164" fontId="11" fillId="9" borderId="1" xfId="5" applyNumberFormat="1" applyFont="1" applyFill="1" applyBorder="1"/>
    <xf numFmtId="0" fontId="10" fillId="9" borderId="13" xfId="5" applyFont="1" applyFill="1" applyBorder="1"/>
    <xf numFmtId="0" fontId="10" fillId="9" borderId="13" xfId="5" applyFont="1" applyFill="1" applyBorder="1" applyAlignment="1">
      <alignment horizontal="right"/>
    </xf>
    <xf numFmtId="0" fontId="0" fillId="9" borderId="14" xfId="0" applyFill="1" applyBorder="1" applyAlignment="1">
      <alignment horizontal="right"/>
    </xf>
    <xf numFmtId="4" fontId="0" fillId="9" borderId="14" xfId="0" applyNumberFormat="1" applyFill="1" applyBorder="1" applyAlignment="1">
      <alignment horizontal="right"/>
    </xf>
    <xf numFmtId="0" fontId="0" fillId="9" borderId="14" xfId="0" applyFill="1" applyBorder="1"/>
    <xf numFmtId="4" fontId="0" fillId="9" borderId="14" xfId="0" applyNumberFormat="1" applyFill="1" applyBorder="1"/>
    <xf numFmtId="164" fontId="4" fillId="9" borderId="0" xfId="1" applyNumberFormat="1" applyFont="1" applyFill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10" sqref="S10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1" x14ac:dyDescent="0.2">
      <c r="A2" s="25" t="s">
        <v>29</v>
      </c>
      <c r="B2" s="25" t="s">
        <v>30</v>
      </c>
      <c r="C2" s="25" t="s">
        <v>31</v>
      </c>
      <c r="D2" s="25" t="s">
        <v>43</v>
      </c>
      <c r="E2" s="25" t="s">
        <v>44</v>
      </c>
      <c r="F2" s="25" t="s">
        <v>45</v>
      </c>
      <c r="G2" s="25" t="s">
        <v>50</v>
      </c>
      <c r="H2" s="25" t="s">
        <v>25</v>
      </c>
      <c r="I2" s="25" t="s">
        <v>35</v>
      </c>
      <c r="J2" s="25" t="s">
        <v>36</v>
      </c>
      <c r="K2" s="28">
        <v>0.5</v>
      </c>
      <c r="L2" s="25" t="s">
        <v>48</v>
      </c>
      <c r="M2" s="25">
        <v>2016</v>
      </c>
      <c r="N2" s="25" t="s">
        <v>37</v>
      </c>
      <c r="O2" s="26" t="s">
        <v>28</v>
      </c>
      <c r="P2" s="25" t="s">
        <v>26</v>
      </c>
      <c r="Q2" s="26" t="s">
        <v>26</v>
      </c>
      <c r="R2" s="27">
        <v>90</v>
      </c>
      <c r="S2" s="28">
        <v>0.45</v>
      </c>
      <c r="T2" s="28">
        <v>0.05</v>
      </c>
      <c r="U2" s="28">
        <v>0</v>
      </c>
    </row>
    <row r="3" spans="1:21" x14ac:dyDescent="0.2">
      <c r="A3" s="25" t="s">
        <v>39</v>
      </c>
      <c r="B3" s="25" t="s">
        <v>40</v>
      </c>
      <c r="C3" s="25" t="s">
        <v>41</v>
      </c>
      <c r="D3" s="25" t="s">
        <v>46</v>
      </c>
      <c r="E3" s="25" t="s">
        <v>47</v>
      </c>
      <c r="F3" s="25" t="s">
        <v>42</v>
      </c>
      <c r="G3" s="25" t="s">
        <v>137</v>
      </c>
      <c r="H3" s="25" t="s">
        <v>25</v>
      </c>
      <c r="I3" s="25" t="s">
        <v>35</v>
      </c>
      <c r="J3" s="25" t="s">
        <v>36</v>
      </c>
      <c r="K3" s="48">
        <v>0.5</v>
      </c>
      <c r="L3" s="25" t="s">
        <v>48</v>
      </c>
      <c r="M3" s="25">
        <v>2018</v>
      </c>
      <c r="N3" s="25" t="s">
        <v>38</v>
      </c>
      <c r="O3" s="26" t="s">
        <v>28</v>
      </c>
      <c r="P3" s="25" t="s">
        <v>37</v>
      </c>
      <c r="Q3" s="26" t="s">
        <v>33</v>
      </c>
      <c r="R3" s="27">
        <v>10</v>
      </c>
      <c r="S3" s="28">
        <v>0.05</v>
      </c>
      <c r="T3" s="28">
        <v>0.05</v>
      </c>
      <c r="U3" s="28">
        <v>0.4</v>
      </c>
    </row>
    <row r="4" spans="1:21" x14ac:dyDescent="0.2">
      <c r="A4" s="29" t="s">
        <v>29</v>
      </c>
      <c r="B4" s="29" t="s">
        <v>30</v>
      </c>
      <c r="C4" s="29" t="s">
        <v>31</v>
      </c>
      <c r="D4" s="29" t="s">
        <v>96</v>
      </c>
      <c r="E4" s="29" t="s">
        <v>97</v>
      </c>
      <c r="F4" s="29" t="s">
        <v>98</v>
      </c>
      <c r="G4" s="29" t="s">
        <v>51</v>
      </c>
      <c r="H4" s="29" t="s">
        <v>27</v>
      </c>
      <c r="I4" s="29" t="s">
        <v>35</v>
      </c>
      <c r="J4" s="29" t="s">
        <v>36</v>
      </c>
      <c r="K4" s="49">
        <v>1</v>
      </c>
      <c r="L4" s="29" t="s">
        <v>48</v>
      </c>
      <c r="M4" s="29">
        <v>2019</v>
      </c>
      <c r="N4" s="29" t="s">
        <v>37</v>
      </c>
      <c r="O4" s="30" t="s">
        <v>28</v>
      </c>
      <c r="P4" s="29" t="s">
        <v>26</v>
      </c>
      <c r="Q4" s="30" t="s">
        <v>26</v>
      </c>
      <c r="R4" s="31">
        <v>90</v>
      </c>
      <c r="S4" s="32">
        <v>0.9</v>
      </c>
      <c r="T4" s="32">
        <v>0.1</v>
      </c>
      <c r="U4" s="32">
        <v>0</v>
      </c>
    </row>
    <row r="5" spans="1:21" x14ac:dyDescent="0.2">
      <c r="A5" s="25" t="s">
        <v>29</v>
      </c>
      <c r="B5" s="25" t="s">
        <v>30</v>
      </c>
      <c r="C5" s="25" t="s">
        <v>31</v>
      </c>
      <c r="D5" s="25" t="s">
        <v>105</v>
      </c>
      <c r="E5" s="25" t="s">
        <v>106</v>
      </c>
      <c r="F5" s="25" t="s">
        <v>107</v>
      </c>
      <c r="G5" s="25" t="s">
        <v>50</v>
      </c>
      <c r="H5" s="25" t="s">
        <v>27</v>
      </c>
      <c r="I5" s="25" t="s">
        <v>35</v>
      </c>
      <c r="J5" s="25" t="s">
        <v>36</v>
      </c>
      <c r="K5" s="33">
        <v>1</v>
      </c>
      <c r="L5" s="33" t="s">
        <v>48</v>
      </c>
      <c r="M5" s="34">
        <v>2019</v>
      </c>
      <c r="N5" s="25" t="s">
        <v>37</v>
      </c>
      <c r="O5" s="26" t="s">
        <v>33</v>
      </c>
      <c r="P5" s="25" t="s">
        <v>26</v>
      </c>
      <c r="Q5" s="26" t="s">
        <v>26</v>
      </c>
      <c r="R5" s="25">
        <v>20</v>
      </c>
      <c r="S5" s="25">
        <v>0.2</v>
      </c>
      <c r="T5" s="25">
        <v>0.8</v>
      </c>
      <c r="U5" s="25">
        <v>0</v>
      </c>
    </row>
    <row r="6" spans="1:21" x14ac:dyDescent="0.2">
      <c r="A6" s="25" t="s">
        <v>29</v>
      </c>
      <c r="B6" s="25" t="s">
        <v>30</v>
      </c>
      <c r="C6" s="25" t="s">
        <v>31</v>
      </c>
      <c r="D6" s="25" t="s">
        <v>108</v>
      </c>
      <c r="E6" s="25" t="s">
        <v>109</v>
      </c>
      <c r="F6" s="25" t="s">
        <v>110</v>
      </c>
      <c r="G6" s="25" t="s">
        <v>50</v>
      </c>
      <c r="H6" s="25" t="s">
        <v>25</v>
      </c>
      <c r="I6" s="25" t="s">
        <v>35</v>
      </c>
      <c r="J6" s="25" t="s">
        <v>36</v>
      </c>
      <c r="K6" s="33">
        <v>0.5</v>
      </c>
      <c r="L6" s="33" t="s">
        <v>48</v>
      </c>
      <c r="M6" s="34">
        <v>2019</v>
      </c>
      <c r="N6" s="25" t="s">
        <v>37</v>
      </c>
      <c r="O6" s="26" t="s">
        <v>33</v>
      </c>
      <c r="P6" s="25" t="s">
        <v>26</v>
      </c>
      <c r="Q6" s="26" t="s">
        <v>26</v>
      </c>
      <c r="R6" s="25">
        <v>20</v>
      </c>
      <c r="S6" s="25">
        <v>0.1</v>
      </c>
      <c r="T6" s="25">
        <v>0.4</v>
      </c>
      <c r="U6" s="25">
        <v>0</v>
      </c>
    </row>
    <row r="7" spans="1:21" x14ac:dyDescent="0.2">
      <c r="A7" s="25" t="s">
        <v>29</v>
      </c>
      <c r="B7" s="25" t="s">
        <v>30</v>
      </c>
      <c r="C7" s="25" t="s">
        <v>31</v>
      </c>
      <c r="D7" s="25" t="s">
        <v>108</v>
      </c>
      <c r="E7" s="25" t="s">
        <v>109</v>
      </c>
      <c r="F7" s="25" t="s">
        <v>110</v>
      </c>
      <c r="G7" s="25" t="s">
        <v>138</v>
      </c>
      <c r="H7" s="25" t="s">
        <v>25</v>
      </c>
      <c r="I7" s="25" t="s">
        <v>35</v>
      </c>
      <c r="J7" s="25" t="s">
        <v>36</v>
      </c>
      <c r="K7" s="33">
        <v>0.5</v>
      </c>
      <c r="L7" s="33" t="s">
        <v>48</v>
      </c>
      <c r="M7" s="34">
        <v>2019</v>
      </c>
      <c r="N7" s="25" t="s">
        <v>26</v>
      </c>
      <c r="O7" s="26" t="s">
        <v>26</v>
      </c>
      <c r="P7" s="25" t="s">
        <v>26</v>
      </c>
      <c r="Q7" s="26" t="s">
        <v>26</v>
      </c>
      <c r="R7" s="25">
        <v>100</v>
      </c>
      <c r="S7" s="25">
        <v>0.5</v>
      </c>
      <c r="T7" s="25">
        <v>0</v>
      </c>
      <c r="U7" s="25">
        <v>0</v>
      </c>
    </row>
    <row r="8" spans="1:21" x14ac:dyDescent="0.2">
      <c r="A8" s="25" t="s">
        <v>111</v>
      </c>
      <c r="B8" s="25" t="s">
        <v>112</v>
      </c>
      <c r="C8" s="25" t="s">
        <v>113</v>
      </c>
      <c r="D8" s="25" t="s">
        <v>139</v>
      </c>
      <c r="E8" s="25" t="s">
        <v>114</v>
      </c>
      <c r="F8" s="25" t="s">
        <v>115</v>
      </c>
      <c r="G8" s="25" t="s">
        <v>116</v>
      </c>
      <c r="H8" s="25" t="s">
        <v>25</v>
      </c>
      <c r="I8" s="25" t="s">
        <v>35</v>
      </c>
      <c r="J8" s="25" t="s">
        <v>36</v>
      </c>
      <c r="K8" s="33">
        <v>0.5</v>
      </c>
      <c r="L8" s="33" t="s">
        <v>48</v>
      </c>
      <c r="M8" s="25">
        <v>2020</v>
      </c>
      <c r="N8" s="25" t="s">
        <v>26</v>
      </c>
      <c r="O8" s="26" t="s">
        <v>26</v>
      </c>
      <c r="P8" s="25" t="s">
        <v>26</v>
      </c>
      <c r="Q8" s="26" t="s">
        <v>26</v>
      </c>
      <c r="R8" s="25">
        <v>100</v>
      </c>
      <c r="S8" s="25">
        <v>0.5</v>
      </c>
      <c r="T8" s="25">
        <v>0</v>
      </c>
      <c r="U8" s="25">
        <v>0</v>
      </c>
    </row>
    <row r="9" spans="1:21" x14ac:dyDescent="0.2">
      <c r="A9" s="25" t="s">
        <v>140</v>
      </c>
      <c r="B9" s="25" t="s">
        <v>141</v>
      </c>
      <c r="C9" s="25" t="s">
        <v>142</v>
      </c>
      <c r="D9" s="25" t="s">
        <v>143</v>
      </c>
      <c r="E9" s="25" t="s">
        <v>144</v>
      </c>
      <c r="F9" s="25" t="s">
        <v>145</v>
      </c>
      <c r="G9" s="25" t="s">
        <v>49</v>
      </c>
      <c r="H9" s="25" t="s">
        <v>25</v>
      </c>
      <c r="I9" s="25" t="s">
        <v>35</v>
      </c>
      <c r="J9" s="25" t="s">
        <v>36</v>
      </c>
      <c r="K9" s="33">
        <v>0.5</v>
      </c>
      <c r="L9" s="33" t="s">
        <v>48</v>
      </c>
      <c r="M9" s="25">
        <v>2021</v>
      </c>
      <c r="N9" s="25" t="s">
        <v>37</v>
      </c>
      <c r="O9" s="26" t="s">
        <v>28</v>
      </c>
      <c r="P9" s="25" t="s">
        <v>26</v>
      </c>
      <c r="Q9" s="26" t="s">
        <v>26</v>
      </c>
      <c r="R9" s="25">
        <v>90</v>
      </c>
      <c r="S9" s="25">
        <v>0.45</v>
      </c>
      <c r="T9" s="25">
        <v>0.05</v>
      </c>
      <c r="U9" s="25">
        <v>0</v>
      </c>
    </row>
    <row r="10" spans="1:2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1"/>
      <c r="R10" s="50"/>
      <c r="S10" s="59">
        <f>SUM(S2:S9)</f>
        <v>3.1500000000000004</v>
      </c>
      <c r="T10" s="50"/>
      <c r="U10" s="50"/>
    </row>
  </sheetData>
  <autoFilter ref="A1:U1" xr:uid="{00000000-0009-0000-0000-000000000000}">
    <sortState xmlns:xlrd2="http://schemas.microsoft.com/office/spreadsheetml/2017/richdata2" ref="A2:T1901">
      <sortCondition ref="K3:K1901"/>
      <sortCondition ref="L3:L1901"/>
      <sortCondition ref="D3:D190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"/>
  <sheetViews>
    <sheetView zoomScaleNormal="100" workbookViewId="0">
      <selection activeCell="L16" sqref="L16:M16"/>
    </sheetView>
  </sheetViews>
  <sheetFormatPr baseColWidth="10" defaultColWidth="11.44140625" defaultRowHeight="13.2" x14ac:dyDescent="0.25"/>
  <cols>
    <col min="1" max="1" width="10.33203125" style="18" bestFit="1" customWidth="1"/>
    <col min="2" max="2" width="41.1093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52</v>
      </c>
      <c r="B1" s="20" t="s">
        <v>53</v>
      </c>
      <c r="C1" s="20" t="s">
        <v>54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55</v>
      </c>
      <c r="K1" s="22" t="s">
        <v>101</v>
      </c>
      <c r="L1" s="15" t="s">
        <v>56</v>
      </c>
      <c r="M1" s="15" t="s">
        <v>57</v>
      </c>
      <c r="N1" s="15" t="s">
        <v>58</v>
      </c>
      <c r="O1" s="15" t="s">
        <v>59</v>
      </c>
      <c r="P1" s="16" t="s">
        <v>60</v>
      </c>
      <c r="Q1" s="16" t="s">
        <v>61</v>
      </c>
      <c r="R1" s="16" t="s">
        <v>62</v>
      </c>
      <c r="S1" s="16" t="s">
        <v>63</v>
      </c>
    </row>
    <row r="2" spans="1:19" ht="14.4" x14ac:dyDescent="0.3">
      <c r="A2" s="23" t="s">
        <v>77</v>
      </c>
      <c r="B2" s="23" t="s">
        <v>78</v>
      </c>
      <c r="C2" s="23" t="s">
        <v>64</v>
      </c>
      <c r="D2" s="23"/>
      <c r="E2" s="23"/>
      <c r="F2" s="23"/>
      <c r="G2" s="23"/>
      <c r="H2" s="23">
        <v>1</v>
      </c>
      <c r="I2" s="23"/>
      <c r="J2" s="23">
        <v>1</v>
      </c>
      <c r="K2" s="23" t="s">
        <v>48</v>
      </c>
      <c r="L2" s="24" t="s">
        <v>37</v>
      </c>
      <c r="M2" s="24" t="s">
        <v>28</v>
      </c>
      <c r="N2" s="24" t="s">
        <v>26</v>
      </c>
      <c r="O2" s="24" t="s">
        <v>26</v>
      </c>
      <c r="P2" s="24">
        <v>90</v>
      </c>
      <c r="Q2" s="24">
        <v>0.1</v>
      </c>
      <c r="R2" s="24">
        <v>0</v>
      </c>
      <c r="S2" s="24">
        <v>0.9</v>
      </c>
    </row>
    <row r="3" spans="1:19" ht="14.4" x14ac:dyDescent="0.3">
      <c r="A3" s="23" t="s">
        <v>99</v>
      </c>
      <c r="B3" s="23" t="s">
        <v>100</v>
      </c>
      <c r="C3" s="23" t="s">
        <v>64</v>
      </c>
      <c r="D3" s="23"/>
      <c r="E3" s="23"/>
      <c r="F3" s="23"/>
      <c r="G3" s="23">
        <v>1</v>
      </c>
      <c r="H3" s="23"/>
      <c r="I3" s="23"/>
      <c r="J3" s="23">
        <v>1</v>
      </c>
      <c r="K3" s="23" t="s">
        <v>48</v>
      </c>
      <c r="L3" s="24">
        <v>0</v>
      </c>
      <c r="M3" s="24">
        <v>0</v>
      </c>
      <c r="N3" s="24" t="s">
        <v>26</v>
      </c>
      <c r="O3" s="24" t="s">
        <v>26</v>
      </c>
      <c r="P3" s="24">
        <v>100</v>
      </c>
      <c r="Q3" s="24">
        <v>0</v>
      </c>
      <c r="R3" s="24">
        <v>0</v>
      </c>
      <c r="S3" s="24">
        <v>1</v>
      </c>
    </row>
    <row r="4" spans="1:19" ht="14.4" x14ac:dyDescent="0.3">
      <c r="A4" s="23" t="s">
        <v>65</v>
      </c>
      <c r="B4" s="23" t="s">
        <v>66</v>
      </c>
      <c r="C4" s="23" t="s">
        <v>64</v>
      </c>
      <c r="D4" s="23"/>
      <c r="E4" s="23">
        <v>1</v>
      </c>
      <c r="F4" s="23"/>
      <c r="G4" s="23"/>
      <c r="H4" s="23"/>
      <c r="I4" s="23"/>
      <c r="J4" s="23">
        <v>1</v>
      </c>
      <c r="K4" s="23" t="s">
        <v>48</v>
      </c>
      <c r="L4" s="24">
        <v>0</v>
      </c>
      <c r="M4" s="24">
        <v>0</v>
      </c>
      <c r="N4" s="24" t="s">
        <v>26</v>
      </c>
      <c r="O4" s="24" t="s">
        <v>26</v>
      </c>
      <c r="P4" s="24">
        <v>100</v>
      </c>
      <c r="Q4" s="24">
        <v>0</v>
      </c>
      <c r="R4" s="24">
        <v>0</v>
      </c>
      <c r="S4" s="24">
        <v>1</v>
      </c>
    </row>
    <row r="5" spans="1:19" ht="14.4" x14ac:dyDescent="0.3">
      <c r="A5" s="23" t="s">
        <v>73</v>
      </c>
      <c r="B5" s="23" t="s">
        <v>74</v>
      </c>
      <c r="C5" s="23" t="s">
        <v>64</v>
      </c>
      <c r="D5" s="23"/>
      <c r="E5" s="23">
        <v>1</v>
      </c>
      <c r="F5" s="23"/>
      <c r="G5" s="23"/>
      <c r="H5" s="23"/>
      <c r="I5" s="23"/>
      <c r="J5" s="23">
        <v>1</v>
      </c>
      <c r="K5" s="23" t="s">
        <v>48</v>
      </c>
      <c r="L5" s="24" t="s">
        <v>37</v>
      </c>
      <c r="M5" s="24" t="s">
        <v>33</v>
      </c>
      <c r="N5" s="24" t="s">
        <v>26</v>
      </c>
      <c r="O5" s="24" t="s">
        <v>26</v>
      </c>
      <c r="P5" s="24">
        <v>20</v>
      </c>
      <c r="Q5" s="24">
        <v>0.8</v>
      </c>
      <c r="R5" s="24">
        <v>0</v>
      </c>
      <c r="S5" s="24">
        <v>0.2</v>
      </c>
    </row>
    <row r="6" spans="1:19" ht="14.4" x14ac:dyDescent="0.3">
      <c r="A6" s="23" t="s">
        <v>75</v>
      </c>
      <c r="B6" s="23" t="s">
        <v>76</v>
      </c>
      <c r="C6" s="23" t="s">
        <v>64</v>
      </c>
      <c r="D6" s="23"/>
      <c r="E6" s="23">
        <v>1</v>
      </c>
      <c r="F6" s="23">
        <v>1</v>
      </c>
      <c r="G6" s="23"/>
      <c r="H6" s="23"/>
      <c r="I6" s="23"/>
      <c r="J6" s="23">
        <v>2</v>
      </c>
      <c r="K6" s="23" t="s">
        <v>48</v>
      </c>
      <c r="L6" s="24" t="s">
        <v>37</v>
      </c>
      <c r="M6" s="24" t="s">
        <v>28</v>
      </c>
      <c r="N6" s="24" t="s">
        <v>26</v>
      </c>
      <c r="O6" s="24" t="s">
        <v>26</v>
      </c>
      <c r="P6" s="24">
        <v>90</v>
      </c>
      <c r="Q6" s="24">
        <v>0.2</v>
      </c>
      <c r="R6" s="24">
        <v>0</v>
      </c>
      <c r="S6" s="24">
        <v>1.8</v>
      </c>
    </row>
    <row r="7" spans="1:19" ht="14.4" x14ac:dyDescent="0.3">
      <c r="A7" s="23" t="s">
        <v>67</v>
      </c>
      <c r="B7" s="23" t="s">
        <v>68</v>
      </c>
      <c r="C7" s="23" t="s">
        <v>64</v>
      </c>
      <c r="D7" s="23">
        <v>1</v>
      </c>
      <c r="E7" s="23">
        <v>1</v>
      </c>
      <c r="F7" s="23"/>
      <c r="G7" s="23"/>
      <c r="H7" s="23"/>
      <c r="I7" s="23"/>
      <c r="J7" s="23">
        <v>2</v>
      </c>
      <c r="K7" s="23" t="s">
        <v>48</v>
      </c>
      <c r="L7" s="24" t="s">
        <v>37</v>
      </c>
      <c r="M7" s="24" t="s">
        <v>32</v>
      </c>
      <c r="N7" s="24" t="s">
        <v>34</v>
      </c>
      <c r="O7" s="24" t="s">
        <v>32</v>
      </c>
      <c r="P7" s="24">
        <v>60</v>
      </c>
      <c r="Q7" s="24">
        <v>0.4</v>
      </c>
      <c r="R7" s="24">
        <v>0.4</v>
      </c>
      <c r="S7" s="24">
        <v>1.2</v>
      </c>
    </row>
    <row r="8" spans="1:19" ht="14.4" x14ac:dyDescent="0.3">
      <c r="A8" s="23" t="s">
        <v>69</v>
      </c>
      <c r="B8" s="23" t="s">
        <v>70</v>
      </c>
      <c r="C8" s="23" t="s">
        <v>64</v>
      </c>
      <c r="D8" s="23">
        <v>2</v>
      </c>
      <c r="E8" s="23"/>
      <c r="F8" s="23"/>
      <c r="G8" s="23"/>
      <c r="H8" s="23"/>
      <c r="I8" s="23"/>
      <c r="J8" s="23">
        <v>2</v>
      </c>
      <c r="K8" s="23" t="s">
        <v>48</v>
      </c>
      <c r="L8" s="24" t="s">
        <v>37</v>
      </c>
      <c r="M8" s="24" t="s">
        <v>28</v>
      </c>
      <c r="N8" s="24" t="s">
        <v>26</v>
      </c>
      <c r="O8" s="24" t="s">
        <v>26</v>
      </c>
      <c r="P8" s="24">
        <v>90</v>
      </c>
      <c r="Q8" s="24">
        <v>0.2</v>
      </c>
      <c r="R8" s="24">
        <v>0</v>
      </c>
      <c r="S8" s="24">
        <v>1.8</v>
      </c>
    </row>
    <row r="9" spans="1:19" ht="14.4" x14ac:dyDescent="0.3">
      <c r="A9" s="23" t="s">
        <v>146</v>
      </c>
      <c r="B9" s="23" t="s">
        <v>147</v>
      </c>
      <c r="C9" s="23" t="s">
        <v>104</v>
      </c>
      <c r="D9" s="23"/>
      <c r="E9" s="23"/>
      <c r="F9" s="23"/>
      <c r="G9" s="23"/>
      <c r="H9" s="23"/>
      <c r="I9" s="23">
        <v>1</v>
      </c>
      <c r="J9" s="23">
        <v>1</v>
      </c>
      <c r="K9" s="23" t="s">
        <v>48</v>
      </c>
      <c r="L9" s="24" t="s">
        <v>37</v>
      </c>
      <c r="M9" s="24" t="s">
        <v>28</v>
      </c>
      <c r="N9" s="24" t="s">
        <v>26</v>
      </c>
      <c r="O9" s="24" t="s">
        <v>26</v>
      </c>
      <c r="P9" s="24">
        <v>90</v>
      </c>
      <c r="Q9" s="24">
        <v>0.1</v>
      </c>
      <c r="R9" s="24">
        <v>0</v>
      </c>
      <c r="S9" s="24">
        <v>0.9</v>
      </c>
    </row>
    <row r="10" spans="1:19" ht="14.4" x14ac:dyDescent="0.3">
      <c r="A10" s="23" t="s">
        <v>102</v>
      </c>
      <c r="B10" s="23" t="s">
        <v>103</v>
      </c>
      <c r="C10" s="23" t="s">
        <v>104</v>
      </c>
      <c r="D10" s="23"/>
      <c r="E10" s="23"/>
      <c r="F10" s="23"/>
      <c r="G10" s="23">
        <v>1</v>
      </c>
      <c r="H10" s="23"/>
      <c r="I10" s="23"/>
      <c r="J10" s="23">
        <v>1</v>
      </c>
      <c r="K10" s="23" t="s">
        <v>48</v>
      </c>
      <c r="L10" s="24" t="s">
        <v>37</v>
      </c>
      <c r="M10" s="24" t="s">
        <v>28</v>
      </c>
      <c r="N10" s="24" t="s">
        <v>26</v>
      </c>
      <c r="O10" s="24" t="s">
        <v>26</v>
      </c>
      <c r="P10" s="24">
        <v>90</v>
      </c>
      <c r="Q10" s="24">
        <v>0.1</v>
      </c>
      <c r="R10" s="24">
        <v>0</v>
      </c>
      <c r="S10" s="24">
        <v>0.9</v>
      </c>
    </row>
    <row r="11" spans="1:19" ht="14.4" x14ac:dyDescent="0.3">
      <c r="A11" s="23" t="s">
        <v>71</v>
      </c>
      <c r="B11" s="23" t="s">
        <v>72</v>
      </c>
      <c r="C11" s="23" t="s">
        <v>64</v>
      </c>
      <c r="D11" s="23">
        <v>1</v>
      </c>
      <c r="E11" s="23"/>
      <c r="F11" s="23"/>
      <c r="G11" s="23"/>
      <c r="H11" s="23"/>
      <c r="I11" s="23"/>
      <c r="J11" s="23">
        <v>1</v>
      </c>
      <c r="K11" s="23" t="s">
        <v>48</v>
      </c>
      <c r="L11" s="24" t="s">
        <v>38</v>
      </c>
      <c r="M11" s="24" t="s">
        <v>28</v>
      </c>
      <c r="N11" s="24" t="s">
        <v>37</v>
      </c>
      <c r="O11" s="24" t="s">
        <v>33</v>
      </c>
      <c r="P11" s="24">
        <v>10</v>
      </c>
      <c r="Q11" s="24">
        <v>0.1</v>
      </c>
      <c r="R11" s="24">
        <v>0.8</v>
      </c>
      <c r="S11" s="24">
        <v>0.1</v>
      </c>
    </row>
    <row r="12" spans="1:19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/>
      <c r="O12" s="53"/>
      <c r="P12" s="54"/>
      <c r="Q12" s="53"/>
      <c r="R12" s="53"/>
      <c r="S12" s="52">
        <f>SUM(S2:S11)</f>
        <v>9.8000000000000007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zoomScaleNormal="100" workbookViewId="0">
      <selection activeCell="A14" sqref="A14:XFD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79</v>
      </c>
      <c r="B2" s="5"/>
    </row>
    <row r="3" spans="1:2" x14ac:dyDescent="0.2">
      <c r="A3" s="4" t="s">
        <v>80</v>
      </c>
      <c r="B3" s="5">
        <v>3000</v>
      </c>
    </row>
    <row r="4" spans="1:2" x14ac:dyDescent="0.2">
      <c r="A4" s="4" t="s">
        <v>81</v>
      </c>
      <c r="B4" s="5"/>
    </row>
    <row r="5" spans="1:2" x14ac:dyDescent="0.2">
      <c r="A5" s="4" t="s">
        <v>82</v>
      </c>
      <c r="B5" s="5">
        <v>1000</v>
      </c>
    </row>
    <row r="6" spans="1:2" x14ac:dyDescent="0.2">
      <c r="A6" s="4" t="s">
        <v>83</v>
      </c>
      <c r="B6" s="5"/>
    </row>
    <row r="7" spans="1:2" x14ac:dyDescent="0.2">
      <c r="A7" s="4" t="s">
        <v>84</v>
      </c>
      <c r="B7" s="5">
        <v>750</v>
      </c>
    </row>
    <row r="8" spans="1:2" x14ac:dyDescent="0.2">
      <c r="A8" s="4" t="s">
        <v>85</v>
      </c>
      <c r="B8" s="5"/>
    </row>
    <row r="9" spans="1:2" x14ac:dyDescent="0.2">
      <c r="A9" s="4" t="s">
        <v>86</v>
      </c>
      <c r="B9" s="5">
        <v>12000</v>
      </c>
    </row>
    <row r="10" spans="1:2" x14ac:dyDescent="0.2">
      <c r="A10" s="4" t="s">
        <v>87</v>
      </c>
      <c r="B10" s="5"/>
    </row>
    <row r="11" spans="1:2" x14ac:dyDescent="0.2">
      <c r="A11" s="4" t="s">
        <v>88</v>
      </c>
      <c r="B11" s="5">
        <v>19787.560000000001</v>
      </c>
    </row>
    <row r="12" spans="1:2" x14ac:dyDescent="0.2">
      <c r="A12" s="4" t="s">
        <v>89</v>
      </c>
      <c r="B12" s="5"/>
    </row>
    <row r="13" spans="1:2" x14ac:dyDescent="0.2">
      <c r="A13" s="4" t="s">
        <v>90</v>
      </c>
      <c r="B13" s="5">
        <v>14999.92</v>
      </c>
    </row>
    <row r="14" spans="1:2" x14ac:dyDescent="0.2">
      <c r="A14" s="6" t="s">
        <v>2</v>
      </c>
      <c r="B14" s="7">
        <f>SUM(B3:B13)</f>
        <v>51537.479999999996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E273-FE9C-4E04-A1A3-3325AB8656C4}">
  <dimension ref="A1:B11"/>
  <sheetViews>
    <sheetView zoomScaleNormal="100" workbookViewId="0">
      <selection activeCell="A24" sqref="A2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117</v>
      </c>
      <c r="B2" s="5"/>
    </row>
    <row r="3" spans="1:2" x14ac:dyDescent="0.2">
      <c r="A3" s="4" t="s">
        <v>118</v>
      </c>
      <c r="B3" s="5">
        <v>7040</v>
      </c>
    </row>
    <row r="4" spans="1:2" x14ac:dyDescent="0.2">
      <c r="A4" s="4" t="s">
        <v>119</v>
      </c>
      <c r="B4" s="5"/>
    </row>
    <row r="5" spans="1:2" x14ac:dyDescent="0.2">
      <c r="A5" s="4" t="s">
        <v>120</v>
      </c>
      <c r="B5" s="5">
        <v>3080</v>
      </c>
    </row>
    <row r="6" spans="1:2" x14ac:dyDescent="0.2">
      <c r="A6" s="4" t="s">
        <v>121</v>
      </c>
      <c r="B6" s="5"/>
    </row>
    <row r="7" spans="1:2" x14ac:dyDescent="0.2">
      <c r="A7" s="4" t="s">
        <v>122</v>
      </c>
      <c r="B7" s="5">
        <v>9000</v>
      </c>
    </row>
    <row r="8" spans="1:2" x14ac:dyDescent="0.2">
      <c r="A8" s="4" t="s">
        <v>123</v>
      </c>
      <c r="B8" s="5">
        <v>20860.34</v>
      </c>
    </row>
    <row r="9" spans="1:2" x14ac:dyDescent="0.2">
      <c r="A9" s="4" t="s">
        <v>124</v>
      </c>
      <c r="B9" s="5">
        <v>3787.08</v>
      </c>
    </row>
    <row r="10" spans="1:2" x14ac:dyDescent="0.2">
      <c r="A10" s="4" t="s">
        <v>125</v>
      </c>
      <c r="B10" s="5">
        <v>44.92</v>
      </c>
    </row>
    <row r="11" spans="1:2" x14ac:dyDescent="0.2">
      <c r="A11" s="6" t="s">
        <v>2</v>
      </c>
      <c r="B11" s="7">
        <f>SUM(B3:B10)</f>
        <v>43812.34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2A85-32F4-49A8-9388-7C49ED542E0E}">
  <dimension ref="A1:D10"/>
  <sheetViews>
    <sheetView zoomScale="85" zoomScaleNormal="85" workbookViewId="0">
      <selection activeCell="C16" sqref="C16"/>
    </sheetView>
  </sheetViews>
  <sheetFormatPr baseColWidth="10" defaultRowHeight="14.4" x14ac:dyDescent="0.3"/>
  <cols>
    <col min="2" max="2" width="14" bestFit="1" customWidth="1"/>
    <col min="3" max="3" width="139.5546875" customWidth="1"/>
  </cols>
  <sheetData>
    <row r="1" spans="1:4" ht="15" thickBot="1" x14ac:dyDescent="0.35">
      <c r="A1" s="36" t="s">
        <v>127</v>
      </c>
      <c r="B1" s="37" t="s">
        <v>128</v>
      </c>
      <c r="C1" s="37" t="s">
        <v>129</v>
      </c>
      <c r="D1" s="38" t="s">
        <v>1</v>
      </c>
    </row>
    <row r="2" spans="1:4" ht="15" thickTop="1" x14ac:dyDescent="0.3">
      <c r="A2" s="39" t="s">
        <v>130</v>
      </c>
      <c r="B2" s="40" t="s">
        <v>119</v>
      </c>
      <c r="C2" s="40" t="s">
        <v>131</v>
      </c>
      <c r="D2" s="41">
        <v>27.1</v>
      </c>
    </row>
    <row r="3" spans="1:4" x14ac:dyDescent="0.3">
      <c r="A3" s="42" t="s">
        <v>130</v>
      </c>
      <c r="B3" s="43" t="s">
        <v>119</v>
      </c>
      <c r="C3" s="43" t="s">
        <v>132</v>
      </c>
      <c r="D3" s="44">
        <v>3080</v>
      </c>
    </row>
    <row r="4" spans="1:4" x14ac:dyDescent="0.3">
      <c r="A4" s="39" t="s">
        <v>130</v>
      </c>
      <c r="B4" s="40" t="s">
        <v>133</v>
      </c>
      <c r="C4" s="40" t="s">
        <v>134</v>
      </c>
      <c r="D4" s="41">
        <v>880</v>
      </c>
    </row>
    <row r="5" spans="1:4" ht="15" thickBot="1" x14ac:dyDescent="0.35">
      <c r="A5" s="42" t="s">
        <v>130</v>
      </c>
      <c r="B5" s="43" t="s">
        <v>121</v>
      </c>
      <c r="C5" s="43" t="s">
        <v>135</v>
      </c>
      <c r="D5" s="44">
        <v>9000</v>
      </c>
    </row>
    <row r="6" spans="1:4" ht="15" thickTop="1" x14ac:dyDescent="0.3">
      <c r="A6" s="45" t="s">
        <v>2</v>
      </c>
      <c r="B6" s="46"/>
      <c r="C6" s="46"/>
      <c r="D6" s="47">
        <v>12987.1</v>
      </c>
    </row>
    <row r="10" spans="1:4" x14ac:dyDescent="0.3">
      <c r="C10" s="55" t="s">
        <v>148</v>
      </c>
      <c r="D10" s="56">
        <f>D6+'Ingresos investigación 2020'!B11+'Ingresos investigación 2019'!B14</f>
        <v>108336.91999999998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A16" sqref="A1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91</v>
      </c>
      <c r="B3" s="5">
        <v>97338.2</v>
      </c>
    </row>
    <row r="4" spans="1:2" x14ac:dyDescent="0.2">
      <c r="A4" s="4" t="s">
        <v>92</v>
      </c>
      <c r="B4" s="5">
        <v>4600</v>
      </c>
    </row>
    <row r="5" spans="1:2" x14ac:dyDescent="0.2">
      <c r="A5" s="4" t="s">
        <v>93</v>
      </c>
      <c r="B5" s="5">
        <v>3066.8</v>
      </c>
    </row>
    <row r="6" spans="1:2" x14ac:dyDescent="0.2">
      <c r="A6" s="4" t="s">
        <v>94</v>
      </c>
      <c r="B6" s="5">
        <v>81</v>
      </c>
    </row>
    <row r="7" spans="1:2" x14ac:dyDescent="0.2">
      <c r="A7" s="4" t="s">
        <v>95</v>
      </c>
      <c r="B7" s="5">
        <v>4.3899999999999997</v>
      </c>
    </row>
    <row r="8" spans="1:2" x14ac:dyDescent="0.2">
      <c r="A8" s="6" t="s">
        <v>2</v>
      </c>
      <c r="B8" s="7">
        <f>SUM(B3:B7)</f>
        <v>105090.39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6179-4A4D-49DB-BF6B-3C618C19ED87}">
  <dimension ref="A1:B8"/>
  <sheetViews>
    <sheetView zoomScaleNormal="100" workbookViewId="0">
      <selection activeCell="B8" sqref="A1:B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ht="13.8" x14ac:dyDescent="0.2">
      <c r="A2" s="35" t="s">
        <v>126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6" t="s">
        <v>2</v>
      </c>
      <c r="B8" s="7">
        <f>SUM(B3:B7)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4F61-A244-4249-9911-7A36DBE62306}">
  <dimension ref="A1:B12"/>
  <sheetViews>
    <sheetView workbookViewId="0">
      <selection activeCell="C25" sqref="C25"/>
    </sheetView>
  </sheetViews>
  <sheetFormatPr baseColWidth="10" defaultColWidth="54.44140625" defaultRowHeight="14.4" x14ac:dyDescent="0.3"/>
  <cols>
    <col min="2" max="2" width="13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5" t="s">
        <v>136</v>
      </c>
      <c r="B2" s="5"/>
    </row>
    <row r="3" spans="1:2" x14ac:dyDescent="0.3">
      <c r="A3" s="4"/>
      <c r="B3" s="5"/>
    </row>
    <row r="4" spans="1:2" x14ac:dyDescent="0.3">
      <c r="A4" s="4"/>
      <c r="B4" s="5"/>
    </row>
    <row r="5" spans="1:2" x14ac:dyDescent="0.3">
      <c r="A5" s="4"/>
      <c r="B5" s="5"/>
    </row>
    <row r="6" spans="1:2" x14ac:dyDescent="0.3">
      <c r="A6" s="4"/>
      <c r="B6" s="5"/>
    </row>
    <row r="7" spans="1:2" x14ac:dyDescent="0.3">
      <c r="A7" s="4"/>
      <c r="B7" s="5"/>
    </row>
    <row r="8" spans="1:2" x14ac:dyDescent="0.3">
      <c r="A8" s="6" t="s">
        <v>2</v>
      </c>
      <c r="B8" s="7">
        <f>SUM(B3:B7)</f>
        <v>0</v>
      </c>
    </row>
    <row r="12" spans="1:2" x14ac:dyDescent="0.3">
      <c r="A12" s="57" t="s">
        <v>149</v>
      </c>
      <c r="B12" s="58">
        <f>B8+'Ingresos formación 2020'!B8+'Ingresos formación 2019'!B8</f>
        <v>105090.39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2022-10-18T15:05:41Z</dcterms:modified>
</cp:coreProperties>
</file>