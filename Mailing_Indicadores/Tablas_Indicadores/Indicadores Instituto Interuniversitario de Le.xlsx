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1E9F1C39-A4BA-4595-A9BC-CECA8AE9CF8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  <sheet name="Ingresos formación 2021" sheetId="9" r:id="rId6"/>
  </sheets>
  <definedNames>
    <definedName name="_xlnm._FilterDatabase" localSheetId="1" hidden="1">Sexenios!$A$1:$S$30</definedName>
    <definedName name="_xlnm._FilterDatabase" localSheetId="0" hidden="1">Tesis!$A$1:$U$45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3" l="1"/>
  <c r="T46" i="2" l="1"/>
  <c r="B6" i="6" l="1"/>
  <c r="D87" i="8" s="1"/>
</calcChain>
</file>

<file path=xl/sharedStrings.xml><?xml version="1.0" encoding="utf-8"?>
<sst xmlns="http://schemas.openxmlformats.org/spreadsheetml/2006/main" count="1236" uniqueCount="408">
  <si>
    <t>Orgánica
Descripción justificante</t>
  </si>
  <si>
    <t>Importe</t>
  </si>
  <si>
    <t>Total</t>
  </si>
  <si>
    <t>41.20.6P.00.02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</si>
  <si>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</si>
  <si>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</si>
  <si>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</si>
  <si>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</si>
  <si>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</si>
  <si>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</si>
  <si>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</si>
  <si>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</si>
  <si>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</si>
  <si>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</si>
  <si>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</si>
  <si>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</si>
  <si>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</si>
  <si>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</si>
  <si>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</si>
  <si>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</si>
  <si>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</si>
  <si>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</si>
  <si>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</si>
  <si>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</si>
  <si>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</si>
  <si>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</si>
  <si>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</si>
  <si>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</si>
  <si>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28/09/2018 </t>
  </si>
  <si>
    <t>21/09/2018 </t>
  </si>
  <si>
    <t>50</t>
  </si>
  <si>
    <t>U025 </t>
  </si>
  <si>
    <t>ADM. FACULTAD DE DERECHO </t>
  </si>
  <si>
    <t>DOCTORADO EN DERECHO </t>
  </si>
  <si>
    <t>15/07/2019 </t>
  </si>
  <si>
    <t>20</t>
  </si>
  <si>
    <t>10</t>
  </si>
  <si>
    <t>U022 </t>
  </si>
  <si>
    <t>ADM. FACULTAD DE CIENCIAS </t>
  </si>
  <si>
    <t>DOCTORADO EN CIENCIAS EXPERIMENTALES Y BIOSANITARIAS </t>
  </si>
  <si>
    <t>B185 </t>
  </si>
  <si>
    <t>INGENIERÍA CIVIL </t>
  </si>
  <si>
    <t>DOCTORADO EN INGENIERÍA DE MATERIALES, ESTRUCTURAS Y TERRENO: CONSTR. SOST. </t>
  </si>
  <si>
    <t>B187</t>
  </si>
  <si>
    <t>30</t>
  </si>
  <si>
    <t>U023 </t>
  </si>
  <si>
    <t>ADM. FACULTAD DE FILOSOFIA Y LETRAS </t>
  </si>
  <si>
    <t>DOCTORADO EN FILOSOFÍA Y LETRAS </t>
  </si>
  <si>
    <t>11/07/2017 </t>
  </si>
  <si>
    <t>B152 </t>
  </si>
  <si>
    <t>FILOSOFÍA DEL DCHO .Y DCHO INTERNACIONAL PRIVADO </t>
  </si>
  <si>
    <t>B152</t>
  </si>
  <si>
    <t>10.23</t>
  </si>
  <si>
    <t>13/07/2017 </t>
  </si>
  <si>
    <t>25/09/2017 </t>
  </si>
  <si>
    <t>12/07/2017 </t>
  </si>
  <si>
    <t>12/04/2019 </t>
  </si>
  <si>
    <t>B115 </t>
  </si>
  <si>
    <t>FILOL. ESPAÑOLA, LINGÜÍSTICA GENERAL Y TEORIA DE LA LITERATURA </t>
  </si>
  <si>
    <t>B115</t>
  </si>
  <si>
    <t>10.15</t>
  </si>
  <si>
    <t>DOCTORADO EN ESPAÑOL E INGLÉS COMO SEGUNDAS LEN. (L2) / LEN. EXTRANJ. (LE) </t>
  </si>
  <si>
    <t>29008698V </t>
  </si>
  <si>
    <t>05150725J </t>
  </si>
  <si>
    <t>Gil del Moral, Ana María </t>
  </si>
  <si>
    <t>APRENDIZAJE DE ESPAÑOL ACADÉMICO POR ALUMNADO DE MOVILIDAD INTERNACIONAL EN LA UNIVERSIDAD DE ALICANTE </t>
  </si>
  <si>
    <t>Pandor , Jillian Michelle </t>
  </si>
  <si>
    <t>INTEGRACIÓN ACADÉMICA DEL ALUMNADO ESTADOUNIDENSE EN LA UNIVERSIDAD ESPAÑOLA: EL CHOQUE LINGÜÍSTICO Y CULTURAL </t>
  </si>
  <si>
    <t>B116 </t>
  </si>
  <si>
    <t>FILOLOGÍA INGLESA </t>
  </si>
  <si>
    <t>B116</t>
  </si>
  <si>
    <t>53214805G </t>
  </si>
  <si>
    <t>B172 </t>
  </si>
  <si>
    <t>TRADUCCIÓN E INTERPRETACIÓN </t>
  </si>
  <si>
    <t>Poveda Balbuena, Miguel Luis </t>
  </si>
  <si>
    <t>ORÍGENES Y TIPOLOGÍA DE LA TERMINOLOGÍA ARMAMENTÍSTICA EN INGLÉS MEDIO </t>
  </si>
  <si>
    <t>08/11/2016 </t>
  </si>
  <si>
    <t>22145079N </t>
  </si>
  <si>
    <t>Garay Collcutt, Evelina </t>
  </si>
  <si>
    <t>WOMEN WRITERS ON A WARTIME LIMINAL VOYAGE </t>
  </si>
  <si>
    <t>24/05/2018 </t>
  </si>
  <si>
    <t>34895192Y </t>
  </si>
  <si>
    <t>Clavijo Olmos, Sandra Bibiana </t>
  </si>
  <si>
    <t>EL TRADUCTOR ESPECIALIZADO EN LENGUAJE DE NEGOCIOS: NECESIDADES Y ESTRATEGIAS ACADÉMICAS PARA LA UNIVERSIDAD COLOMBIANA </t>
  </si>
  <si>
    <t>21378250A </t>
  </si>
  <si>
    <t>13051474D </t>
  </si>
  <si>
    <t>Torres Ortega, Ilsse Carolina </t>
  </si>
  <si>
    <t>LA JUSTIFICACIÓN DEL CASTIGO EN LA FILOSOFÍA DEL DERECHO CONTEMPORÁNEA </t>
  </si>
  <si>
    <t>Simoes Nascimento, Roberta </t>
  </si>
  <si>
    <t>TEORIA DA LEGISLAÇAO E ARGUMENTAÇAO LEGISLATIVA NA ESPANHA E NO BRASIL: ANÁLISE DOS CENÁRIOS DAS LEIS SOBRE A VIOLÊNCIA CONTRA A MULHER </t>
  </si>
  <si>
    <t>Ricaurte Herrera, María Catherine </t>
  </si>
  <si>
    <t>ARGUMENTACIÓN Y TEORÍA DE LA PRUEBA EN EL MUNDO LATINO. UN PUNTO DE PARTÍDA </t>
  </si>
  <si>
    <t>19/06/2019 </t>
  </si>
  <si>
    <t>Martínez Peinado, Pascual </t>
  </si>
  <si>
    <t>PERFIL FENOTÍPICO Y CAPACIDAD INMUNOMODULADORA DE DISTINTOS CLONES DE CÉLULAS TRONCALES MESENQUIMALES </t>
  </si>
  <si>
    <t>26/01/2017 </t>
  </si>
  <si>
    <t>21439023X </t>
  </si>
  <si>
    <t>B160 </t>
  </si>
  <si>
    <t>BIOTECNOLOGIA </t>
  </si>
  <si>
    <t>B160</t>
  </si>
  <si>
    <t>Martínez Cardona, Claudia </t>
  </si>
  <si>
    <t>FUNCIÓN DEL INFLAMASOMA AIM2 EN EL DESARROLLO DE CARCINOMA HEPATOCELULAR </t>
  </si>
  <si>
    <t>01/02/2019 </t>
  </si>
  <si>
    <t>B172</t>
  </si>
  <si>
    <t>48364398K </t>
  </si>
  <si>
    <t>Abad Colom, María </t>
  </si>
  <si>
    <t>LA INTERPRETACIÓN DE CONFERENCIAS EN EL ÁMBITO DE LAS CIENCIAS DE LA SALUD EN ESPAÑA: SITUACIÓN ACTUAL Y DESAFÍOS DERIVADOS DEL USO DEL INGLÉS COMO LINGUA FRANCA </t>
  </si>
  <si>
    <t>05/07/2019 </t>
  </si>
  <si>
    <t>Allepuz Pedreño, Ángel </t>
  </si>
  <si>
    <t>TRAZAS DEL PENSAMIENTO. PROCESOS GRÁFICOS EN LOS DIBUJOS AUTÓGRAFOS DE LOS ARQUITECTOS MODERNOS, DESDE SU INICIO EN BORROMINI HASTA EL FINAL DEL SIGLO XX. </t>
  </si>
  <si>
    <t>09306886M </t>
  </si>
  <si>
    <t>B187 </t>
  </si>
  <si>
    <t>EXPRESION GRAFICA, COMPOSICIÓN Y PROYECTOS </t>
  </si>
  <si>
    <t>Reos Llinares, Angela </t>
  </si>
  <si>
    <t>LOS CONJUNTOS HISTÓRICOS COMO ÁMBITOS URBANOS SOTENIBLES </t>
  </si>
  <si>
    <t>26/09/2019 </t>
  </si>
  <si>
    <t>B114 </t>
  </si>
  <si>
    <t>FILOLOGIAS INTEGRADAS </t>
  </si>
  <si>
    <t>B114</t>
  </si>
  <si>
    <t>48392661V </t>
  </si>
  <si>
    <t>U073 </t>
  </si>
  <si>
    <t>ADM. I.U. INVESTIGACIÓN DE ESTUDIOS DE GÉNERO </t>
  </si>
  <si>
    <t>DOCTORADO EN ESTUDIOS INTERDISCIPLINARES DE GÉNERO </t>
  </si>
  <si>
    <t>21442493F </t>
  </si>
  <si>
    <t>Dida Nopogwo, Baudelaire </t>
  </si>
  <si>
    <t>ANÁLISIS DE ERRORES EN LA ADQUISICIÓN DEL MODO SUBJUNTIVO POR LOS ESTUDIANTES FRANCÓFONOS DE ESPAÑOL COMO LENGUA EXTRANJERA </t>
  </si>
  <si>
    <t>18/07/2019 </t>
  </si>
  <si>
    <t>Moreno Sánchez, José Javier </t>
  </si>
  <si>
    <t>ANÁLISIS (CRÍTICO) DEL DISCURSO LEGISLATIVO EN MATERIA DE EDUCACIÓN EN EL ESTADO ESPAÑOL DESDE UNA PERSPECTIVA QUEER </t>
  </si>
  <si>
    <t>28/11/2018 </t>
  </si>
  <si>
    <t>Pomata García, Anna </t>
  </si>
  <si>
    <t>"LA PRONUNCIACIÓN DE LOS GRUPOS CONSONÁNTICOS DEL INGLÉS: ERRORES FONÉTICO-FONOLÓGICOS EN EL HABLA DE LOS ESTUDIANTES ESPAÑOLES" </t>
  </si>
  <si>
    <t>24/02/2017 </t>
  </si>
  <si>
    <t>74192819V </t>
  </si>
  <si>
    <t>10.25</t>
  </si>
  <si>
    <t>Ruiz García, MarÍa Isabel </t>
  </si>
  <si>
    <t>WORD STRESS PATTERNS IN THE ENGLISH OF SPANISH SPEAKERS: A PERCEPTUAL ANALYSIS </t>
  </si>
  <si>
    <t>19/12/2016 </t>
  </si>
  <si>
    <t>DOCTORADO EN ESTUDIOS LITERARIOS </t>
  </si>
  <si>
    <t>Lomas López, Enrique </t>
  </si>
  <si>
    <t>LAS LITERATURAS HISPÁNICAS DEL MAGREB. DEL CONTEXTO FRANCÓFONO A LA REALIDAD HISPANO-CATALANA </t>
  </si>
  <si>
    <t>06/07/2017 </t>
  </si>
  <si>
    <t>Paquet , Pierre-Luc </t>
  </si>
  <si>
    <t>INFLUENCIA DE LAS PROPIEDADES DE LA L1 Y DEL NIVEL DE COMPETENCIA EN LA ADQUISICIÓN DE LA CONCORDANCIA DE GÉNERO: UNA COMPARACIÓN ENTRE ESTUDIANTES FRANCÓFONOS Y ANGLÓFONOS DE ESPAÑOL L2 </t>
  </si>
  <si>
    <t>Li , Hui </t>
  </si>
  <si>
    <t>ANÁLISIS DE EXPRESIÓN ESCRITA DE LOS ESTUDIANTES CHINOS EN SU APRENDIZAJE DE ELE BASADO EN LA TEORÍA DE GÉNERO: ACTUALIDAD Y FUTURO </t>
  </si>
  <si>
    <t>76414567B </t>
  </si>
  <si>
    <t>26226014B </t>
  </si>
  <si>
    <t>Mykytka , Iryna </t>
  </si>
  <si>
    <t>UNA APROXIMACIÓN LEXICOLÓGICA AL INGLÉS DE LA FOTOGRAFÍA </t>
  </si>
  <si>
    <t>15/11/2018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</si>
  <si>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</si>
  <si>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</si>
  <si>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</si>
  <si>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</si>
  <si>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</si>
  <si>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</si>
  <si>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</si>
  <si>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</si>
  <si>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</si>
  <si>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</si>
  <si>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</si>
  <si>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</si>
  <si>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</si>
  <si>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13051474D</t>
  </si>
  <si>
    <t>ATIENZA RODRIGUEZ, MANUEL</t>
  </si>
  <si>
    <t>21375346C</t>
  </si>
  <si>
    <t>AZORIN FERNANDEZ, DOLORES</t>
  </si>
  <si>
    <t>21455766D</t>
  </si>
  <si>
    <t>CAMPOS PARDILLOS, MIGUEL ANGEL</t>
  </si>
  <si>
    <t>21446823J</t>
  </si>
  <si>
    <t>CONGOST MAESTRE, NEREIDA</t>
  </si>
  <si>
    <t>48351663M</t>
  </si>
  <si>
    <t>GALLEGO HERNANDEZ, DANIEL EMILIO</t>
  </si>
  <si>
    <t>21436412K</t>
  </si>
  <si>
    <t>GUILLEN NIETO, VICTORIA</t>
  </si>
  <si>
    <t>48364398K</t>
  </si>
  <si>
    <t>ILIESCU GHEORGHIU, CATALINA</t>
  </si>
  <si>
    <t>09306886M</t>
  </si>
  <si>
    <t>MARCOS ALBA, CARLOS LUIS</t>
  </si>
  <si>
    <t>22121930R</t>
  </si>
  <si>
    <t>MARTINEZ EGIDO, JOSE JOAQUIN</t>
  </si>
  <si>
    <t>21378697J</t>
  </si>
  <si>
    <t>MARTINEZ LINARES, MARIA ANTONIA</t>
  </si>
  <si>
    <t>21378250A</t>
  </si>
  <si>
    <t>MATEO MARTINEZ, JOSE</t>
  </si>
  <si>
    <t>29162329P</t>
  </si>
  <si>
    <t>PADILLA GARCIA, JOSE ANTONIO</t>
  </si>
  <si>
    <t>29008698V</t>
  </si>
  <si>
    <t>PASTOR CESTEROS, SUSANA</t>
  </si>
  <si>
    <t>21436895K</t>
  </si>
  <si>
    <t>PLANELLES IVAÑEZ, MONSERRAT JOSEFA</t>
  </si>
  <si>
    <t>48355574Y</t>
  </si>
  <si>
    <t>SANDERSON PASTOR, JOHN DOUGLAS</t>
  </si>
  <si>
    <t>25128914B</t>
  </si>
  <si>
    <t>SANTAMARIA PEREZ, MARIA ISABEL</t>
  </si>
  <si>
    <t>21439023X</t>
  </si>
  <si>
    <t>SEMPERE ORTELLS, JOSE MIGUEL</t>
  </si>
  <si>
    <t>21481015G</t>
  </si>
  <si>
    <t>VARGAS SIERRA, CHELO</t>
  </si>
  <si>
    <t>45273600D</t>
  </si>
  <si>
    <t>YUS RAMOS, FRANCISCO BENIGNO</t>
  </si>
  <si>
    <t>22128337Z</t>
  </si>
  <si>
    <t>CORBI SAEZ, MARIA ISABEL</t>
  </si>
  <si>
    <t>21442493F</t>
  </si>
  <si>
    <t>MARIMON LLORCA, MARIA DEL CARMEN</t>
  </si>
  <si>
    <t>26226014B</t>
  </si>
  <si>
    <t>MARTINEZ LIROLA, MARIA DOLORES</t>
  </si>
  <si>
    <t>52747327R</t>
  </si>
  <si>
    <t>RUIZ GURILLO, LEONOR</t>
  </si>
  <si>
    <t>21417486R</t>
  </si>
  <si>
    <t>SIRVENT RAMOS, ANGELES</t>
  </si>
  <si>
    <t>05150725J</t>
  </si>
  <si>
    <t>CIFUENTES HONRUBIA, JOSE LUIS</t>
  </si>
  <si>
    <t>76414567B</t>
  </si>
  <si>
    <t>BALTEIRO FERNANDEZ, MARIA ISABEL</t>
  </si>
  <si>
    <t>46085014Y</t>
  </si>
  <si>
    <t>TIMOFEEVA TIMOFEEV, LARISSA</t>
  </si>
  <si>
    <t>41.20.6C.00.02</t>
  </si>
  <si>
    <t>REVISIÓN DE TEXTOS CORPORATIVOS Y CONTENIDOS WEB EN EL IDIOMA ESPAÑOL Y SU TRADUCCIÓN AL INGLÉS. GENERACIÓN Y ACTUALIZACIÓN DE BASE DE DATOS BILINGÜE (EN-ES) CON LOS TÉRMINOS CORPORATIVOS</t>
  </si>
  <si>
    <t>LIBERADOS EL 23/04/2019, ANUALIDAD 2019 PROYECTOS I+D (PIA1) N EXPEDIENTE: PIA12015-1 -4 ANUALIDAD REFERENCIA: FFI2015-65917-P. REF. DEL ORDENANTE PARA EL BENEFICIARIO: 27402219310017413.</t>
  </si>
  <si>
    <t>Aramburo Calle, Maximiliano Alberto </t>
  </si>
  <si>
    <t>Decisión judicial y prueba en la obra de Michele Taruffo </t>
  </si>
  <si>
    <t>07/07/2020 </t>
  </si>
  <si>
    <t>Mateo Guillen, Copelia </t>
  </si>
  <si>
    <t>ONLINE STRATEGIES TO FOSTER AUTONOMOUS ENBLISH LANGUAGE LEARNING IN VIRUTAL ENVIRONMENTS: The case of teh COMALAT European Project </t>
  </si>
  <si>
    <t>29/07/2020 </t>
  </si>
  <si>
    <t>Aliaga Aguza, Laura María </t>
  </si>
  <si>
    <t>ANÁLISIS LINGÜÍSTICO DEL HUMOR EN EL MEDIO AUDIOVISUAL: LAS ESTRATEGIAS HUMORÍSTICAS DE LA COMEDIA DE SITUACIÓN </t>
  </si>
  <si>
    <t>29/01/2020 </t>
  </si>
  <si>
    <t>52747327R </t>
  </si>
  <si>
    <t>Linares Bernabeu, Esther </t>
  </si>
  <si>
    <t>La construcción discursiva de la identidad de género femenina en el monólogo humorístico subversivo </t>
  </si>
  <si>
    <t>05/02/2020 </t>
  </si>
  <si>
    <t>COD DEP</t>
  </si>
  <si>
    <t>74192819V</t>
  </si>
  <si>
    <t>LILLO BUADES, ANTONIO</t>
  </si>
  <si>
    <t>Vicente Alcalde, Nancy </t>
  </si>
  <si>
    <t>EVALUACIÓN DE LA COBERTURA VACUNAL EN LOS CENTROS PENITENCIARIOS ESPAÑOLES </t>
  </si>
  <si>
    <t>12/11/2020 </t>
  </si>
  <si>
    <t>Ciofalo Lagos, Kira </t>
  </si>
  <si>
    <t>Giovanni Tarello y la Escuela Genovesa. Un estudio de filosofía analítica del derecho </t>
  </si>
  <si>
    <t>17/12/2020 </t>
  </si>
  <si>
    <t>Pascual García, Sandra </t>
  </si>
  <si>
    <t>Biomarcadores predictivos de actividad, pronóstico y/o respuesta al tratamiento en pacientes con Artritis Reumatoide. Uso de las células madre mesenquimales como herramienta inmunomoduladora. </t>
  </si>
  <si>
    <t>18/12/2020 </t>
  </si>
  <si>
    <t>Monzó Jiménez, Luis Antonio </t>
  </si>
  <si>
    <t>EDUCACIÓN LITERARIA EN LOS ESTUDIOS UNIVERSITARIOS DE ESPAÑOL POR PARTE DE ALUMNADO NO NATIVO </t>
  </si>
  <si>
    <t>22/02/2021 </t>
  </si>
  <si>
    <t>Quevedo Atienza, María Ángeles </t>
  </si>
  <si>
    <t>NECESIDADES LINGÜÍSTICAS EN ESPAÑOL ACADÉMICO COMO L2 DE ESTUDIANTES INTERNACIONALES EN PROGRAMAS DE MOVILIDAD. ESTUDIO COMPARATIVO EN TRES UNIVERSIDADES PRIVADAS ESPAÑOLAS. </t>
  </si>
  <si>
    <t>23/07/2021 </t>
  </si>
  <si>
    <t>Misseri , Lucas Emmanuel </t>
  </si>
  <si>
    <t>El Derecho en la Utopía: Análisis de la evolución histórica de ambos conceptos desde su oposición hasta su complementariedad </t>
  </si>
  <si>
    <t>09/07/2021 </t>
  </si>
  <si>
    <t>41.20.6P.00.03</t>
  </si>
  <si>
    <t>PAGO CONVOVATORIA PROYECTOS 2019 ANUALIDAD 2020 PROYECTOS I+D (PIA1) EXPEDIENTE PIA12019-1-1 ANUALIDAD REFERENCIA: PID2019-105857G</t>
  </si>
  <si>
    <t>41.20.6P.00.04</t>
  </si>
  <si>
    <t>PAGO CONVOVATORIA PROYECTOS 2019 ANUALIDAD 2020 PROYECTOS I+D (PIA1) EXPEDIENTE PIA12019-1-1 ANUALIDAD REFERENCIA: PID2019-107265G</t>
  </si>
  <si>
    <t>41.20.6P.00.05</t>
  </si>
  <si>
    <t>SUBVENCIÓ TREBALLS D'INVESTIGACIÓ I ESTUDIS EN L'ÀMBIT DE LA PLANIFICACIÓ LINGÜÍSTICA I LA LINGÜÍSTICA APLICADA (EDUCACIÓN,CULTURA Y DEPORTE   )</t>
  </si>
  <si>
    <t>Unidad</t>
  </si>
  <si>
    <t>Cód. org. aplic.</t>
  </si>
  <si>
    <t>Descripción justificante</t>
  </si>
  <si>
    <t>41.20</t>
  </si>
  <si>
    <t>41.20.6C.00.03</t>
  </si>
  <si>
    <t>Revisión de textos corporativos y contenidos web en el idioma español y su traducción al inglés. Generación de Memoria de Traducción y actualización de base de datos bilingüe con los términos corporativos.</t>
  </si>
  <si>
    <t>41.20.6C.00.04</t>
  </si>
  <si>
    <t>Traducción del texto "Qué es Ethereum", de una longitud de 1018 palabras</t>
  </si>
  <si>
    <t>41.20.6C.00.05</t>
  </si>
  <si>
    <t>La traducción del texto "Coinmotion_Quarterly_Report_Q1_2021", de una longitud de 4394 palabras</t>
  </si>
  <si>
    <t>41.20.6G.00.06</t>
  </si>
  <si>
    <t>Inscripción de Francisca Suau Jiménez al III Congreso Entretextos on line</t>
  </si>
  <si>
    <t xml:space="preserve">Inscripción de Isabel García-Izquierdo  al III Congreso Internacional Entretextos celebrado 13-14mayo2021 de forma virtual. </t>
  </si>
  <si>
    <t xml:space="preserve"> Inscripción de Anabel Borja Albi con DNI 19995954F al III Congreso Internacional Entretextos celebrado 13-14mayo2021 de forma virtual.</t>
  </si>
  <si>
    <t>Inscripción de Patricia Bou Franch al III Congreso Internacional Entretextos, que se celebra de forma virtual los días 13-14mayo2021</t>
  </si>
  <si>
    <t xml:space="preserve">Inscripción de Ana Isabel Martínez-Hernández con DNI 45839914V  al III Congreso Internacional Entretextos que se celebra de forma virtual los días 13-14mayo2021 </t>
  </si>
  <si>
    <t>Inscripción de Maria Luisa Gea Valor del  Departament de Filologia Anglesa i Alemanya,  Facultat de Filologia, Traducció i Comunicació de Universitat de València, al III Congreso Internacional Entretextos días 13-14mayo2021 celebrado de forma virtual.</t>
  </si>
  <si>
    <t>Inscripción de Lucía Belles Calvera con DNI 53787388W al III Congreso Internacional Entretextos que se celebra de forma virtual 13-14 mayo de 2021</t>
  </si>
  <si>
    <t xml:space="preserve">Inscripción de Begoña Belles-Fortuño al III Congreso Internacional Entretextos que se celebrará de forma virtual los días 13-14mayo2021 </t>
  </si>
  <si>
    <t>Inscripción de Ricardo Casañ Pitarch con DNI 20462088T al III Congreso Internacional Entretextos celebrado 13-14mayo2021 de forma virtual.</t>
  </si>
  <si>
    <t>Inscripción de Ana Cristina Vivas Peraza con DNI 18056516K al III Congreso Internacional Entretextos celebrado 13-14mayo2021 de forma virtual.</t>
  </si>
  <si>
    <t>Inscripción de Eva Lucía Jiménez-Navarro con DNI 30960563X al III Congreso Internacional Entretextos celebrado 13-14mayo2021 de forma virtual.</t>
  </si>
  <si>
    <t>Inscripción de Mercedes López Santiago con DNI 24332092R al III Congreso Internacional Entretextos celebrado 13-14 mayo 2021 de forma virtual.</t>
  </si>
  <si>
    <t>Inscripción de José Manuel Ureña Gómez-Moreno con DNI 74720441L del Dpto. de Filología, al III Congreso Internacional Entretextos celebrado 13-14 mayo 2021 de forma virtual.</t>
  </si>
  <si>
    <t>Inscripción de Jorge Soto Almela con DNI 77718607C al III Congreso Internacional Entretextos celebrado 13-14mayo2021 de forma virtual.</t>
  </si>
  <si>
    <t>Inscripción de Maria Elena de La Cova Morillo-Velarde al III Congreso de Entretextos celebrado on line 13-14 mayo 2021. Unidad Tramitadora: U05800033, Área de Investigación  Órgano proponente: 20.09.10.21.60</t>
  </si>
  <si>
    <t xml:space="preserve">Inscripción de Alberto Ángel Vela Rodrigo con DNI 72987342Q  al III Congreso Internacional Entretextos que se celebra de forma virtual los días 13-14mayo2021 </t>
  </si>
  <si>
    <t xml:space="preserve">Inscripción de Marta Fernandez-Villanueva con DNI 46125080Y al III Congreso Internacional Entretextos que se celebra de forma virtual los días 13-14mayo2021 </t>
  </si>
  <si>
    <t xml:space="preserve">Inscripción de Aintzane Doiz con DNI 14602322J al III Congreso Internacional Entretextos que se celebra de forma virtual los días 13-14mayo2021 </t>
  </si>
  <si>
    <t>Inscripción de Rocio Caro Quintana al III Congreso Internacional Entretextos 2021 celebrado de forma virtual los días 13-14 de mayo de 2021</t>
  </si>
  <si>
    <t>Inscripción de Margarita Savchenkova al III Congreso Internacional Entretextos celebrado 13-14 mayo 2021 de forma virtual.</t>
  </si>
  <si>
    <t>Inscripción de Natividad Aguayo Arrabal al III Congreso Internacional Entretextos, que se celebra de forma virtual los días 13-14mayo2021</t>
  </si>
  <si>
    <t>Inscripción de Oliver Carreira Martínez al III Congreso Internacional Entretextos celebrado 13-14mayo2021 de forma virtual</t>
  </si>
  <si>
    <t>Inscripción de Maria del Mar Sánchez Ramos al III Congreso Internacional Entretextos celebrado 13-14mayo2021 de forma virtual</t>
  </si>
  <si>
    <t>Inscripción de Juana María Blanco Fernández al III Congreso Internacional Entretextos, que se celebra de forma virtual los días 13-14mayo2021</t>
  </si>
  <si>
    <t>Inscripción de Alfonso Ollero Gavín al III Congreso Internacional Entretextos de 13-14 mayo 2021</t>
  </si>
  <si>
    <t xml:space="preserve">Inscripción de Marián Morón Martín al III Congreso Internacional Entretextos fechas 13-14mayo2021 </t>
  </si>
  <si>
    <t>Inscripción de Elisa Calvo con DNI 03876908M al III Congreso Internacional Entretextos días 13-14mayo2021</t>
  </si>
  <si>
    <t>Inscripción de Juan Carlos Gil Berrozpe con al III Congreso Internacional Entretextos días 13-14mayo2021 celebrado de forma virtual</t>
  </si>
  <si>
    <t>Inscripción de Verónica Arnáiz Uzquiza con al III Congreso Internacional Entretextos días 13-14mayo2021 celebrado de forma virtual</t>
  </si>
  <si>
    <t>Inscripción de Eva Samaniego Fernández al III Congreso Internacional Entretextos que se celebra de forma virtual los días: 13-14mayo2021</t>
  </si>
  <si>
    <t>Inscripción de Arrate Aldama Epelde al III Congreso Internacional Entretextos celebrado de forma virtual 13-14 de mayo de 2021</t>
  </si>
  <si>
    <t>Inscripción de Macarena Palma Gutiérrez con DNI 26966772P al III Congreso Internacional Entretextos celebrado 13-14mayo2021 de forma virtual.</t>
  </si>
  <si>
    <t>Inscripción de Miguel Ruiz-Garrido con DNI 73385585Z al III Congreso Internacional Entretextos celebrado 13-14mayo2021 de forma virtual.</t>
  </si>
  <si>
    <t>Inscripción de Ana García Toro al III Congreso Internacional Entretextos, que se celebra de forma virtual los días 13-14mayo2021</t>
  </si>
  <si>
    <t>Inscripción de Mª Carmen López Ruiz al III Congreso Internacional Entretextos celebrado de forma virtual 13-14 mayo 2021</t>
  </si>
  <si>
    <t xml:space="preserve">Inscripción de María José Luzón (Proyecto núm: 245-259) al III Congreso Internacional Entretextos celebrado 13-14mayo2021 de forma virtual. </t>
  </si>
  <si>
    <t xml:space="preserve">Inscripción de Paula Cifuentes Férez al III Congreso Internacional Entretextos celebrado 13-14mayo2021 de forma virtual. </t>
  </si>
  <si>
    <t xml:space="preserve">Inscripción de Camino Rea Rizzo al III Congreso Internacional Entretextos celebrado 13-14mayo2021 de forma virtual. </t>
  </si>
  <si>
    <t>Inscripción de Noelia Estévez Rionegro con DNI 44483724E al III Congreso Internacional Entretextos celebrado 13-14 de mayo de 2021 de forma virtual.</t>
  </si>
  <si>
    <t>Inscripción  de Lorena Pérez Macías al III Congreso  de Entretextos celebrado on line 13-14 de mayo de 2021</t>
  </si>
  <si>
    <t>Inscripción de Miriam Pérez Carrasco al III Congreso Internacional Entretextos celebrado de forma virtual los días 13-14/05/2021</t>
  </si>
  <si>
    <t>inscripción  de  Susana Álvarez Álvarez al "III Congreso Internacional Entretextos" que se celebrará de forma virtual los días: 13-14/05/2021</t>
  </si>
  <si>
    <t xml:space="preserve">Inscripción   de Elena Ruiz Cortés al III Congreso Internacional Entretextos que se celebrará de forma virtual los días 13-14mayo 2021 </t>
  </si>
  <si>
    <t xml:space="preserve">Inscripción   de M.Teresa Ortego Antón al III Congreso Internacional Entretextos que se celebrará de forma virtual los días 13-14mayo 2021 </t>
  </si>
  <si>
    <t>Inscripción de Inmaculada Fortanet Gómez con DNI: 18938285Q al III Congreso Internacional Entretextos 13-14mayo2021 de forma virtual</t>
  </si>
  <si>
    <t>Inscripción de Melania Cabezas García con DNI 20066448Y al III Congreso Internacional Entretextos 13-14mayo2021 de forma virtual.</t>
  </si>
  <si>
    <t>Inscripción de Mª del Pilar Pérez Cañizares al III Congreso Internacional Entretextos celebrado 13-14 mayo de 2021 de forma virtual</t>
  </si>
  <si>
    <t xml:space="preserve">Inscripción de Fernando Lillo Fuentes NIE:Y5953993C  al III Congreso Internacional Entretextos celebrado 13-14 mayo 2021 de forma virtual.  </t>
  </si>
  <si>
    <t>Inscripción de Sara Sola Portillo con DNI 25734065D al III Congreso Internacional Entretextos celebrado 13-14mayo2021 de forma virtual.</t>
  </si>
  <si>
    <t>Inscripción de Cristina Plaza Lara con al III Congreso Internacional Entretextos días 13-14mayo2021 celebrado de forma virtual</t>
  </si>
  <si>
    <t>Inscripción de Marlén Izquierdo DNI: 71429929W, Proyecto ACTRES,  al III Congreso Internacional Entretextos celebrado 13-14 mayo de 2021 de forma virtual.</t>
  </si>
  <si>
    <t>Inscripción de Maria Elisa Fina con ID AU5166070 al III Congreso Internacional Entretextos celebrado 13-14 mayo de 2021 de forma virtual</t>
  </si>
  <si>
    <t>Inscripción de Johannes Schnitzer al III Congreso Internacional Entretextos celebrado los días 13-14 de mayo de 2021  de forma virtual</t>
  </si>
  <si>
    <t>Inscripción de Iria da Cunha Fanego DNI: 47352960P  al III Congreso Internacional Entretextos celebrado 13-14 de mayo de 2021 de forma virtual.</t>
  </si>
  <si>
    <t>Inscripción de Sara Pistola Grille DNI: 47375949C al III Congreso Internacional Entretextos celebrado 13-14 de mayo de 2021 de forma virtual.</t>
  </si>
  <si>
    <t xml:space="preserve">Inscripción de Miguel Sánchez Ibáñez al III Congreso Internacional Entretextos que se celebrará de forma virtual los días 13-14mayo2021 </t>
  </si>
  <si>
    <t xml:space="preserve">Inscripción de María Beatriz Pérez Cabello de Alba al III Congreso Internacional Entretextos que se celebra de forma virtual los días 13-14mayo2021 </t>
  </si>
  <si>
    <t xml:space="preserve">Inscripción de María de la Nava Maroto con DNI 45423076P al III Congreso Internacional Entretextos que se celebra de forma virtual los días 13-14mayo2021 </t>
  </si>
  <si>
    <t>Inscripción de Isabel Durán Muñoz al "III Congreso Internacional Entretextos" que se celebrará de forma virtual los días 13-14 de mayo de 2021</t>
  </si>
  <si>
    <t>Inscripción de Julia Lobato Patricio al "III Congreso Internacional Entretextos" que se celebrará de forma virtual los días 13-14 de mayo de 2021</t>
  </si>
  <si>
    <t>Inscripción de Miguel Ángel Candel Mora al III Congreso Internacional Entretextos 13-14 mayo 2021 de forma virtual.</t>
  </si>
  <si>
    <t>Inscripción de Ana Bocanegra-Valle con DNI 32858557K al III Congreso Internacional Entretextos días 13-14mayo2021</t>
  </si>
  <si>
    <t>Inscripción de Francisco Vigier Moreno al III Congreso Internacional Entretextos 13-14 mayo 2021 de forma virtual.</t>
  </si>
  <si>
    <t>Inscripción de  Ricardo María Jiménez Yáñez con DNI 43700221Z al III Congreso Internacional Entretextos celebrado 13-14 mayo 2021 de forma virtual.</t>
  </si>
  <si>
    <t>Inscripción de María Noelia Ruiz Madrid con DNI 18998579G al III Congreso Internacional Entretextos celebrado 13-14 mayo 2021 de forma virtual.</t>
  </si>
  <si>
    <t xml:space="preserve">Inscripción   de Teresa Molés-Cases al III Congreso Internacional Entretextos que se celebrará de forma virtual los días 13-14mayo 2021 </t>
  </si>
  <si>
    <t xml:space="preserve">Inscripción   de Juan Rojas García al III Congreso Internacional Entretextos que se celebrará de forma virtual los días 13-14mayo 2021 </t>
  </si>
  <si>
    <t>Inscripción de Miriam Seghiri Domínguez con DNI 74852628W al III Congreso Internacional Entretextos 13-14 mayo 2021 de forma virtual.</t>
  </si>
  <si>
    <t>Inscripción de Gianluca Pontrandolfo al III Congreso Internacional Entretextos 13-14 mayo 2021 de forma virtual</t>
  </si>
  <si>
    <t>Inscripción de Sofía Sánchez Mompeán con DNI 48652570A al III Congreso Internacional Entretextos 13-14 mayo 2021 de forma virtual.</t>
  </si>
  <si>
    <t xml:space="preserve">Liquidación: IULMA, III Congreso internacional Entretextos. JI 2021-1487, 2021EXPADM0582 </t>
  </si>
  <si>
    <t>PID2019-104980GB-I00</t>
  </si>
  <si>
    <t>PID2019-107265GB-I00</t>
  </si>
  <si>
    <t>41.20.6P.00.06</t>
  </si>
  <si>
    <t>PROMETEO/2021/079 2021 en 2021</t>
  </si>
  <si>
    <t>41.20.2T.00.02</t>
  </si>
  <si>
    <t xml:space="preserve">Plan 9346 curso 2021-22, EXPERTO/A EN ASISTENTE AL PACIENTE INTERNACIONAL - 41.20.2T.00.02 </t>
  </si>
  <si>
    <t>DOCTORADO EN TRADUCTOLOGÍA, TRADUCCIÓN PROFESIONAL Y AUDIOVISUAL </t>
  </si>
  <si>
    <t>López Medel, María </t>
  </si>
  <si>
    <t>Traducción no sexista en la Unión Europea. Recomendaciones, aplicación y propuesta de guía </t>
  </si>
  <si>
    <t>26/07/2021 </t>
  </si>
  <si>
    <t>34829970N </t>
  </si>
  <si>
    <t>15</t>
  </si>
  <si>
    <t>B166 </t>
  </si>
  <si>
    <t>INNOVACIÓN Y FORMACIÓN DIDÁCTICA </t>
  </si>
  <si>
    <t>DOCTORADO EN INVESTIGACIÓN EDUCATIVA 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</si>
  <si>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</si>
  <si>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</si>
  <si>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</si>
  <si>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</si>
  <si>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</si>
  <si>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</si>
  <si>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Pérez Estevan, Elena </t>
  </si>
  <si>
    <t>Interpretación en final de vida y duelo. Un modelo psicolingüístico de análisis aplicado a situaciones de malas noticias, últimos días y duelo. </t>
  </si>
  <si>
    <t>30/03/2022 </t>
  </si>
  <si>
    <t>Montoyo Pujol, Yoel Genaro </t>
  </si>
  <si>
    <t>¿Expresión génica de puntos de control inmunológicos y vías relacionadas en cáncer de mama: Estudio clínico-patológico e in vitro en líneas celulares, mamosferas y co-cultivos.¿ </t>
  </si>
  <si>
    <t>11/03/2022 </t>
  </si>
  <si>
    <t>Amador Solano, María Gabriela </t>
  </si>
  <si>
    <t>La competencia docente en la formación del profesorado de Español como Segunda Lengua en Costa Rica. Diseño de un plan curricular de capacitación profesional </t>
  </si>
  <si>
    <t>25/05/2022 </t>
  </si>
  <si>
    <t>Llorens Simón, Eva María </t>
  </si>
  <si>
    <t>"Emociones y polaridad en un corpus especializado sobre lenguaje turístico. Análisis contrastivo de elementos recurrentes y fundamentos cognitivos en inglés y en español" </t>
  </si>
  <si>
    <t>03/02/2022 </t>
  </si>
  <si>
    <t>21481015G </t>
  </si>
  <si>
    <t>Marrahi Gómez, Victor </t>
  </si>
  <si>
    <t>La Realidad Aumentada (RA) en el aprendizaje del inglés: análisis de la eficacia de su uso en el léxico y la gramática. </t>
  </si>
  <si>
    <t>22/07/2022 </t>
  </si>
  <si>
    <t>Fang Liu, Fang </t>
  </si>
  <si>
    <t>El certificado CCC en China y la consecución del KNOWHOW de la auditoría china: Características y análisis </t>
  </si>
  <si>
    <t>12/09/2022 </t>
  </si>
  <si>
    <t>22121930R </t>
  </si>
  <si>
    <t>Gariano , Elvira </t>
  </si>
  <si>
    <t>La transposición legislativa europea en materia de enseñanza de idiomas en Italia y su repercusión en el español como lengua extanjera </t>
  </si>
  <si>
    <t>11/05/2022 </t>
  </si>
  <si>
    <t>Ráez Domínguez, María </t>
  </si>
  <si>
    <t>"Análisis discursivo y violencias simbólicas en torno a la mujer subsahariana. Una comparación de los discursos de violencia en servicios públicos y organizaciones no gubernamentales". </t>
  </si>
  <si>
    <t>04/05/2022 </t>
  </si>
  <si>
    <t>Espinosa Zaragoza, Isabel </t>
  </si>
  <si>
    <t>A STUDY OF COLOUR NAMES IN THE COSMETIC INDUSTRY </t>
  </si>
  <si>
    <t>04/04/2022 </t>
  </si>
  <si>
    <t>Total ingresos investigación 2019, 2020 y 2021</t>
  </si>
  <si>
    <t>22145079N</t>
  </si>
  <si>
    <t>BELDA MEDINA, JOSE RAMON</t>
  </si>
  <si>
    <t>34895192Y</t>
  </si>
  <si>
    <t>LOPEZ ROPERO, MARIA LOURDES</t>
  </si>
  <si>
    <t>49625619Z</t>
  </si>
  <si>
    <t>SANCHEZ FAJARDO, JOSE ANTONIO</t>
  </si>
  <si>
    <t>NO FUNCIONARIO</t>
  </si>
  <si>
    <t>53240328C</t>
  </si>
  <si>
    <t>RODRIGUEZ LIFANTE, ALBERTO</t>
  </si>
  <si>
    <t>10.22</t>
  </si>
  <si>
    <t>77718607C</t>
  </si>
  <si>
    <t>SOTO ALMELA, JORGE</t>
  </si>
  <si>
    <t>X4438120V</t>
  </si>
  <si>
    <t>MARTIN, TANIA JOSEPHINE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</si>
</sst>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8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7" borderId="1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/>
    <xf numFmtId="0" fontId="0" fillId="0" borderId="0" xfId="0" applyAlignment="1">
      <alignment horizontal="left" indent="1"/>
    </xf>
    <xf numFmtId="0" fontId="11" fillId="8" borderId="8" xfId="0" applyFont="1" applyFill="1" applyBorder="1" applyAlignment="1">
      <alignment horizontal="left"/>
    </xf>
    <xf numFmtId="0" fontId="11" fillId="8" borderId="8" xfId="0" applyFont="1" applyFill="1" applyBorder="1"/>
    <xf numFmtId="0" fontId="13" fillId="9" borderId="9" xfId="0" applyNumberFormat="1" applyFont="1" applyFill="1" applyBorder="1"/>
    <xf numFmtId="0" fontId="13" fillId="9" borderId="10" xfId="0" applyNumberFormat="1" applyFont="1" applyFill="1" applyBorder="1"/>
    <xf numFmtId="0" fontId="13" fillId="9" borderId="11" xfId="0" applyFont="1" applyFill="1" applyBorder="1" applyAlignment="1">
      <alignment horizontal="right"/>
    </xf>
    <xf numFmtId="0" fontId="0" fillId="10" borderId="12" xfId="0" applyNumberFormat="1" applyFont="1" applyFill="1" applyBorder="1"/>
    <xf numFmtId="0" fontId="0" fillId="10" borderId="13" xfId="0" applyFont="1" applyFill="1" applyBorder="1"/>
    <xf numFmtId="4" fontId="0" fillId="10" borderId="14" xfId="0" applyNumberFormat="1" applyFont="1" applyFill="1" applyBorder="1"/>
    <xf numFmtId="0" fontId="0" fillId="8" borderId="12" xfId="0" applyNumberFormat="1" applyFont="1" applyFill="1" applyBorder="1"/>
    <xf numFmtId="0" fontId="0" fillId="8" borderId="13" xfId="0" applyFont="1" applyFill="1" applyBorder="1"/>
    <xf numFmtId="4" fontId="0" fillId="8" borderId="14" xfId="0" applyNumberFormat="1" applyFont="1" applyFill="1" applyBorder="1"/>
    <xf numFmtId="0" fontId="13" fillId="9" borderId="15" xfId="0" applyFont="1" applyFill="1" applyBorder="1"/>
    <xf numFmtId="0" fontId="13" fillId="9" borderId="16" xfId="0" applyFont="1" applyFill="1" applyBorder="1"/>
    <xf numFmtId="4" fontId="13" fillId="9" borderId="17" xfId="0" applyNumberFormat="1" applyFont="1" applyFill="1" applyBorder="1"/>
    <xf numFmtId="0" fontId="13" fillId="9" borderId="18" xfId="0" applyNumberFormat="1" applyFont="1" applyFill="1" applyBorder="1"/>
    <xf numFmtId="0" fontId="13" fillId="9" borderId="19" xfId="0" applyNumberFormat="1" applyFont="1" applyFill="1" applyBorder="1"/>
    <xf numFmtId="0" fontId="13" fillId="9" borderId="20" xfId="0" applyNumberFormat="1" applyFont="1" applyFill="1" applyBorder="1"/>
    <xf numFmtId="0" fontId="0" fillId="8" borderId="18" xfId="0" applyNumberFormat="1" applyFont="1" applyFill="1" applyBorder="1"/>
    <xf numFmtId="0" fontId="0" fillId="8" borderId="19" xfId="0" applyFont="1" applyFill="1" applyBorder="1"/>
    <xf numFmtId="4" fontId="0" fillId="8" borderId="20" xfId="0" applyNumberFormat="1" applyFont="1" applyFill="1" applyBorder="1"/>
    <xf numFmtId="0" fontId="14" fillId="0" borderId="21" xfId="0" applyFont="1" applyBorder="1"/>
    <xf numFmtId="0" fontId="14" fillId="0" borderId="22" xfId="0" applyFont="1" applyBorder="1"/>
    <xf numFmtId="4" fontId="14" fillId="0" borderId="23" xfId="0" applyNumberFormat="1" applyFont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2" fontId="3" fillId="4" borderId="1" xfId="1" applyNumberFormat="1" applyFill="1" applyBorder="1"/>
    <xf numFmtId="164" fontId="3" fillId="4" borderId="0" xfId="1" applyNumberFormat="1" applyFont="1" applyFill="1" applyAlignment="1"/>
    <xf numFmtId="0" fontId="3" fillId="4" borderId="0" xfId="1" applyFont="1" applyFill="1" applyAlignment="1">
      <alignment horizontal="center"/>
    </xf>
    <xf numFmtId="164" fontId="3" fillId="11" borderId="1" xfId="1" applyNumberFormat="1" applyFill="1" applyBorder="1"/>
    <xf numFmtId="0" fontId="3" fillId="11" borderId="1" xfId="1" applyFill="1" applyBorder="1"/>
    <xf numFmtId="164" fontId="3" fillId="11" borderId="2" xfId="1" applyNumberFormat="1" applyFill="1" applyBorder="1"/>
    <xf numFmtId="0" fontId="0" fillId="0" borderId="1" xfId="0" applyBorder="1" applyAlignment="1">
      <alignment horizontal="left"/>
    </xf>
    <xf numFmtId="164" fontId="4" fillId="6" borderId="1" xfId="1" applyNumberFormat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10" fillId="12" borderId="0" xfId="5" applyFont="1" applyFill="1"/>
    <xf numFmtId="0" fontId="10" fillId="12" borderId="0" xfId="5" applyFont="1" applyFill="1" applyAlignment="1">
      <alignment horizontal="right"/>
    </xf>
    <xf numFmtId="0" fontId="11" fillId="12" borderId="0" xfId="5" applyFont="1" applyFill="1" applyAlignment="1">
      <alignment horizontal="center"/>
    </xf>
    <xf numFmtId="0" fontId="14" fillId="0" borderId="1" xfId="0" applyFont="1" applyBorder="1" applyAlignment="1">
      <alignment horizontal="right"/>
    </xf>
    <xf numFmtId="4" fontId="14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6"/>
  <sheetViews>
    <sheetView showGridLines="0" tabSelected="1" topLeftCell="E25" zoomScale="125" zoomScaleNormal="125" workbookViewId="0">
      <selection activeCell="E49" sqref="E4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5.33203125" style="14" customWidth="1"/>
    <col min="14" max="14" width="4.88671875" style="13" customWidth="1"/>
    <col min="15" max="15" width="5.3320312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3" ht="45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3" x14ac:dyDescent="0.2">
      <c r="A2" s="26" t="s">
        <v>57</v>
      </c>
      <c r="B2" s="26" t="s">
        <v>58</v>
      </c>
      <c r="C2" s="26" t="s">
        <v>61</v>
      </c>
      <c r="D2" s="26" t="s">
        <v>64</v>
      </c>
      <c r="E2" s="26" t="s">
        <v>65</v>
      </c>
      <c r="F2" s="26" t="s">
        <v>53</v>
      </c>
      <c r="G2" s="26" t="s">
        <v>62</v>
      </c>
      <c r="H2" s="26" t="s">
        <v>27</v>
      </c>
      <c r="I2" s="26" t="s">
        <v>57</v>
      </c>
      <c r="J2" s="26" t="s">
        <v>58</v>
      </c>
      <c r="K2" s="29">
        <v>1</v>
      </c>
      <c r="L2" s="26" t="s">
        <v>59</v>
      </c>
      <c r="M2" s="26">
        <v>2016</v>
      </c>
      <c r="N2" s="26" t="s">
        <v>60</v>
      </c>
      <c r="O2" s="27" t="s">
        <v>36</v>
      </c>
      <c r="P2" s="26" t="s">
        <v>26</v>
      </c>
      <c r="Q2" s="27" t="s">
        <v>26</v>
      </c>
      <c r="R2" s="28">
        <v>90</v>
      </c>
      <c r="S2" s="29">
        <v>0.9</v>
      </c>
      <c r="T2" s="71">
        <v>0.1</v>
      </c>
      <c r="U2" s="29">
        <v>0</v>
      </c>
    </row>
    <row r="3" spans="1:23" x14ac:dyDescent="0.2">
      <c r="A3" s="26" t="s">
        <v>57</v>
      </c>
      <c r="B3" s="26" t="s">
        <v>58</v>
      </c>
      <c r="C3" s="26" t="s">
        <v>61</v>
      </c>
      <c r="D3" s="26" t="s">
        <v>130</v>
      </c>
      <c r="E3" s="26" t="s">
        <v>131</v>
      </c>
      <c r="F3" s="26" t="s">
        <v>132</v>
      </c>
      <c r="G3" s="26" t="s">
        <v>133</v>
      </c>
      <c r="H3" s="26" t="s">
        <v>27</v>
      </c>
      <c r="I3" s="26" t="s">
        <v>68</v>
      </c>
      <c r="J3" s="26" t="s">
        <v>69</v>
      </c>
      <c r="K3" s="29">
        <v>1</v>
      </c>
      <c r="L3" s="26" t="s">
        <v>70</v>
      </c>
      <c r="M3" s="26">
        <v>2016</v>
      </c>
      <c r="N3" s="26" t="s">
        <v>60</v>
      </c>
      <c r="O3" s="27" t="s">
        <v>44</v>
      </c>
      <c r="P3" s="26" t="s">
        <v>134</v>
      </c>
      <c r="Q3" s="27" t="s">
        <v>44</v>
      </c>
      <c r="R3" s="28">
        <v>40</v>
      </c>
      <c r="S3" s="29">
        <v>0.4</v>
      </c>
      <c r="T3" s="71">
        <v>0.3</v>
      </c>
      <c r="U3" s="29">
        <v>0.3</v>
      </c>
    </row>
    <row r="4" spans="1:23" x14ac:dyDescent="0.2">
      <c r="A4" s="26" t="s">
        <v>57</v>
      </c>
      <c r="B4" s="26" t="s">
        <v>58</v>
      </c>
      <c r="C4" s="26" t="s">
        <v>61</v>
      </c>
      <c r="D4" s="26" t="s">
        <v>66</v>
      </c>
      <c r="E4" s="26" t="s">
        <v>67</v>
      </c>
      <c r="F4" s="26" t="s">
        <v>48</v>
      </c>
      <c r="G4" s="26" t="s">
        <v>62</v>
      </c>
      <c r="H4" s="26" t="s">
        <v>27</v>
      </c>
      <c r="I4" s="26" t="s">
        <v>57</v>
      </c>
      <c r="J4" s="26" t="s">
        <v>58</v>
      </c>
      <c r="K4" s="29">
        <v>1</v>
      </c>
      <c r="L4" s="26" t="s">
        <v>59</v>
      </c>
      <c r="M4" s="26">
        <v>2016</v>
      </c>
      <c r="N4" s="26" t="s">
        <v>60</v>
      </c>
      <c r="O4" s="27" t="s">
        <v>36</v>
      </c>
      <c r="P4" s="26" t="s">
        <v>26</v>
      </c>
      <c r="Q4" s="27" t="s">
        <v>26</v>
      </c>
      <c r="R4" s="28">
        <v>90</v>
      </c>
      <c r="S4" s="29">
        <v>0.9</v>
      </c>
      <c r="T4" s="71">
        <v>0.1</v>
      </c>
      <c r="U4" s="29">
        <v>0</v>
      </c>
    </row>
    <row r="5" spans="1:23" x14ac:dyDescent="0.2">
      <c r="A5" s="26" t="s">
        <v>37</v>
      </c>
      <c r="B5" s="26" t="s">
        <v>38</v>
      </c>
      <c r="C5" s="26" t="s">
        <v>39</v>
      </c>
      <c r="D5" s="26" t="s">
        <v>93</v>
      </c>
      <c r="E5" s="26" t="s">
        <v>94</v>
      </c>
      <c r="F5" s="26" t="s">
        <v>95</v>
      </c>
      <c r="G5" s="26" t="s">
        <v>96</v>
      </c>
      <c r="H5" s="26" t="s">
        <v>27</v>
      </c>
      <c r="I5" s="26" t="s">
        <v>97</v>
      </c>
      <c r="J5" s="26" t="s">
        <v>98</v>
      </c>
      <c r="K5" s="29">
        <v>1</v>
      </c>
      <c r="L5" s="26" t="s">
        <v>99</v>
      </c>
      <c r="M5" s="26">
        <v>2016</v>
      </c>
      <c r="N5" s="26" t="s">
        <v>60</v>
      </c>
      <c r="O5" s="27" t="s">
        <v>36</v>
      </c>
      <c r="P5" s="26" t="s">
        <v>26</v>
      </c>
      <c r="Q5" s="27" t="s">
        <v>26</v>
      </c>
      <c r="R5" s="28">
        <v>90</v>
      </c>
      <c r="S5" s="29">
        <v>0.9</v>
      </c>
      <c r="T5" s="71">
        <v>0.1</v>
      </c>
      <c r="U5" s="29">
        <v>0</v>
      </c>
    </row>
    <row r="6" spans="1:23" x14ac:dyDescent="0.2">
      <c r="A6" s="26" t="s">
        <v>45</v>
      </c>
      <c r="B6" s="26" t="s">
        <v>46</v>
      </c>
      <c r="C6" s="26" t="s">
        <v>47</v>
      </c>
      <c r="D6" s="26" t="s">
        <v>74</v>
      </c>
      <c r="E6" s="26" t="s">
        <v>75</v>
      </c>
      <c r="F6" s="26" t="s">
        <v>76</v>
      </c>
      <c r="G6" s="26" t="s">
        <v>77</v>
      </c>
      <c r="H6" s="26" t="s">
        <v>27</v>
      </c>
      <c r="I6" s="26" t="s">
        <v>68</v>
      </c>
      <c r="J6" s="26" t="s">
        <v>69</v>
      </c>
      <c r="K6" s="29">
        <v>1</v>
      </c>
      <c r="L6" s="26" t="s">
        <v>70</v>
      </c>
      <c r="M6" s="26">
        <v>2016</v>
      </c>
      <c r="N6" s="26" t="s">
        <v>60</v>
      </c>
      <c r="O6" s="27" t="s">
        <v>36</v>
      </c>
      <c r="P6" s="26" t="s">
        <v>26</v>
      </c>
      <c r="Q6" s="27" t="s">
        <v>26</v>
      </c>
      <c r="R6" s="28">
        <v>90</v>
      </c>
      <c r="S6" s="29">
        <v>0.9</v>
      </c>
      <c r="T6" s="71">
        <v>0.1</v>
      </c>
      <c r="U6" s="29">
        <v>0</v>
      </c>
    </row>
    <row r="7" spans="1:23" x14ac:dyDescent="0.2">
      <c r="A7" s="26" t="s">
        <v>31</v>
      </c>
      <c r="B7" s="26" t="s">
        <v>32</v>
      </c>
      <c r="C7" s="26" t="s">
        <v>33</v>
      </c>
      <c r="D7" s="26" t="s">
        <v>86</v>
      </c>
      <c r="E7" s="26" t="s">
        <v>87</v>
      </c>
      <c r="F7" s="26" t="s">
        <v>54</v>
      </c>
      <c r="G7" s="26" t="s">
        <v>85</v>
      </c>
      <c r="H7" s="26" t="s">
        <v>25</v>
      </c>
      <c r="I7" s="26" t="s">
        <v>49</v>
      </c>
      <c r="J7" s="26" t="s">
        <v>50</v>
      </c>
      <c r="K7" s="29">
        <v>0.5</v>
      </c>
      <c r="L7" s="26" t="s">
        <v>51</v>
      </c>
      <c r="M7" s="26">
        <v>2016</v>
      </c>
      <c r="N7" s="26" t="s">
        <v>60</v>
      </c>
      <c r="O7" s="27" t="s">
        <v>36</v>
      </c>
      <c r="P7" s="26" t="s">
        <v>26</v>
      </c>
      <c r="Q7" s="27" t="s">
        <v>26</v>
      </c>
      <c r="R7" s="28">
        <v>90</v>
      </c>
      <c r="S7" s="29">
        <v>0.45</v>
      </c>
      <c r="T7" s="71">
        <v>0.05</v>
      </c>
      <c r="U7" s="29">
        <v>0</v>
      </c>
    </row>
    <row r="8" spans="1:23" x14ac:dyDescent="0.2">
      <c r="A8" s="26" t="s">
        <v>45</v>
      </c>
      <c r="B8" s="26" t="s">
        <v>46</v>
      </c>
      <c r="C8" s="26" t="s">
        <v>47</v>
      </c>
      <c r="D8" s="26" t="s">
        <v>78</v>
      </c>
      <c r="E8" s="26" t="s">
        <v>79</v>
      </c>
      <c r="F8" s="26" t="s">
        <v>80</v>
      </c>
      <c r="G8" s="26" t="s">
        <v>81</v>
      </c>
      <c r="H8" s="26" t="s">
        <v>27</v>
      </c>
      <c r="I8" s="26" t="s">
        <v>68</v>
      </c>
      <c r="J8" s="26" t="s">
        <v>69</v>
      </c>
      <c r="K8" s="29">
        <v>1</v>
      </c>
      <c r="L8" s="26" t="s">
        <v>70</v>
      </c>
      <c r="M8" s="26">
        <v>2017</v>
      </c>
      <c r="N8" s="26" t="s">
        <v>60</v>
      </c>
      <c r="O8" s="27" t="s">
        <v>36</v>
      </c>
      <c r="P8" s="26" t="s">
        <v>26</v>
      </c>
      <c r="Q8" s="27" t="s">
        <v>26</v>
      </c>
      <c r="R8" s="28">
        <v>90</v>
      </c>
      <c r="S8" s="29">
        <v>0.9</v>
      </c>
      <c r="T8" s="71">
        <v>0.1</v>
      </c>
      <c r="U8" s="29">
        <v>0</v>
      </c>
    </row>
    <row r="9" spans="1:23" x14ac:dyDescent="0.2">
      <c r="A9" s="26" t="s">
        <v>45</v>
      </c>
      <c r="B9" s="26" t="s">
        <v>46</v>
      </c>
      <c r="C9" s="26" t="s">
        <v>47</v>
      </c>
      <c r="D9" s="26" t="s">
        <v>135</v>
      </c>
      <c r="E9" s="26" t="s">
        <v>136</v>
      </c>
      <c r="F9" s="26" t="s">
        <v>28</v>
      </c>
      <c r="G9" s="26" t="s">
        <v>133</v>
      </c>
      <c r="H9" s="26" t="s">
        <v>27</v>
      </c>
      <c r="I9" s="26" t="s">
        <v>68</v>
      </c>
      <c r="J9" s="26" t="s">
        <v>69</v>
      </c>
      <c r="K9" s="29">
        <v>1</v>
      </c>
      <c r="L9" s="26" t="s">
        <v>70</v>
      </c>
      <c r="M9" s="26">
        <v>2017</v>
      </c>
      <c r="N9" s="26" t="s">
        <v>60</v>
      </c>
      <c r="O9" s="27" t="s">
        <v>44</v>
      </c>
      <c r="P9" s="26" t="s">
        <v>134</v>
      </c>
      <c r="Q9" s="27" t="s">
        <v>44</v>
      </c>
      <c r="R9" s="28">
        <v>40</v>
      </c>
      <c r="S9" s="29">
        <v>0.4</v>
      </c>
      <c r="T9" s="71">
        <v>0.3</v>
      </c>
      <c r="U9" s="29">
        <v>0.3</v>
      </c>
    </row>
    <row r="10" spans="1:23" x14ac:dyDescent="0.2">
      <c r="A10" s="26" t="s">
        <v>31</v>
      </c>
      <c r="B10" s="26" t="s">
        <v>32</v>
      </c>
      <c r="C10" s="26" t="s">
        <v>33</v>
      </c>
      <c r="D10" s="26" t="s">
        <v>88</v>
      </c>
      <c r="E10" s="26" t="s">
        <v>89</v>
      </c>
      <c r="F10" s="26" t="s">
        <v>29</v>
      </c>
      <c r="G10" s="26" t="s">
        <v>85</v>
      </c>
      <c r="H10" s="26" t="s">
        <v>25</v>
      </c>
      <c r="I10" s="26" t="s">
        <v>49</v>
      </c>
      <c r="J10" s="26" t="s">
        <v>50</v>
      </c>
      <c r="K10" s="29">
        <v>0.5</v>
      </c>
      <c r="L10" s="26" t="s">
        <v>51</v>
      </c>
      <c r="M10" s="26">
        <v>2017</v>
      </c>
      <c r="N10" s="26" t="s">
        <v>60</v>
      </c>
      <c r="O10" s="27" t="s">
        <v>36</v>
      </c>
      <c r="P10" s="26" t="s">
        <v>26</v>
      </c>
      <c r="Q10" s="27" t="s">
        <v>26</v>
      </c>
      <c r="R10" s="28">
        <v>90</v>
      </c>
      <c r="S10" s="29">
        <v>0.45</v>
      </c>
      <c r="T10" s="71">
        <v>0.05</v>
      </c>
      <c r="U10" s="29">
        <v>0</v>
      </c>
    </row>
    <row r="11" spans="1:23" x14ac:dyDescent="0.2">
      <c r="A11" s="26" t="s">
        <v>40</v>
      </c>
      <c r="B11" s="26" t="s">
        <v>41</v>
      </c>
      <c r="C11" s="26" t="s">
        <v>42</v>
      </c>
      <c r="D11" s="26" t="s">
        <v>108</v>
      </c>
      <c r="E11" s="26" t="s">
        <v>109</v>
      </c>
      <c r="F11" s="26" t="s">
        <v>56</v>
      </c>
      <c r="G11" s="26" t="s">
        <v>110</v>
      </c>
      <c r="H11" s="26" t="s">
        <v>27</v>
      </c>
      <c r="I11" s="26" t="s">
        <v>111</v>
      </c>
      <c r="J11" s="26" t="s">
        <v>112</v>
      </c>
      <c r="K11" s="66">
        <v>1</v>
      </c>
      <c r="L11" s="26" t="s">
        <v>43</v>
      </c>
      <c r="M11" s="26">
        <v>2018</v>
      </c>
      <c r="N11" s="26" t="s">
        <v>60</v>
      </c>
      <c r="O11" s="27" t="s">
        <v>36</v>
      </c>
      <c r="P11" s="26" t="s">
        <v>26</v>
      </c>
      <c r="Q11" s="27" t="s">
        <v>26</v>
      </c>
      <c r="R11" s="28">
        <v>90</v>
      </c>
      <c r="S11" s="29">
        <v>0.9</v>
      </c>
      <c r="T11" s="71">
        <v>0.1</v>
      </c>
      <c r="U11" s="29">
        <v>0</v>
      </c>
    </row>
    <row r="12" spans="1:23" x14ac:dyDescent="0.2">
      <c r="A12" s="26" t="s">
        <v>40</v>
      </c>
      <c r="B12" s="26" t="s">
        <v>41</v>
      </c>
      <c r="C12" s="26" t="s">
        <v>42</v>
      </c>
      <c r="D12" s="26" t="s">
        <v>113</v>
      </c>
      <c r="E12" s="26" t="s">
        <v>114</v>
      </c>
      <c r="F12" s="26" t="s">
        <v>115</v>
      </c>
      <c r="G12" s="26" t="s">
        <v>110</v>
      </c>
      <c r="H12" s="26" t="s">
        <v>25</v>
      </c>
      <c r="I12" s="26" t="s">
        <v>111</v>
      </c>
      <c r="J12" s="26" t="s">
        <v>112</v>
      </c>
      <c r="K12" s="66">
        <v>0.5</v>
      </c>
      <c r="L12" s="26" t="s">
        <v>43</v>
      </c>
      <c r="M12" s="26">
        <v>2018</v>
      </c>
      <c r="N12" s="26" t="s">
        <v>60</v>
      </c>
      <c r="O12" s="27" t="s">
        <v>36</v>
      </c>
      <c r="P12" s="26" t="s">
        <v>26</v>
      </c>
      <c r="Q12" s="27" t="s">
        <v>26</v>
      </c>
      <c r="R12" s="28">
        <v>90</v>
      </c>
      <c r="S12" s="29">
        <v>0.45</v>
      </c>
      <c r="T12" s="71">
        <v>0.05</v>
      </c>
      <c r="U12" s="29">
        <v>0</v>
      </c>
    </row>
    <row r="13" spans="1:23" x14ac:dyDescent="0.2">
      <c r="A13" s="26" t="s">
        <v>37</v>
      </c>
      <c r="B13" s="26" t="s">
        <v>38</v>
      </c>
      <c r="C13" s="26" t="s">
        <v>39</v>
      </c>
      <c r="D13" s="26" t="s">
        <v>100</v>
      </c>
      <c r="E13" s="26" t="s">
        <v>101</v>
      </c>
      <c r="F13" s="26" t="s">
        <v>102</v>
      </c>
      <c r="G13" s="26" t="s">
        <v>96</v>
      </c>
      <c r="H13" s="26" t="s">
        <v>25</v>
      </c>
      <c r="I13" s="26" t="s">
        <v>97</v>
      </c>
      <c r="J13" s="26" t="s">
        <v>98</v>
      </c>
      <c r="K13" s="66">
        <v>0.5</v>
      </c>
      <c r="L13" s="26" t="s">
        <v>99</v>
      </c>
      <c r="M13" s="26">
        <v>2018</v>
      </c>
      <c r="N13" s="26" t="s">
        <v>60</v>
      </c>
      <c r="O13" s="27" t="s">
        <v>36</v>
      </c>
      <c r="P13" s="26" t="s">
        <v>26</v>
      </c>
      <c r="Q13" s="27" t="s">
        <v>26</v>
      </c>
      <c r="R13" s="28">
        <v>90</v>
      </c>
      <c r="S13" s="29">
        <v>0.45</v>
      </c>
      <c r="T13" s="71">
        <v>0.05</v>
      </c>
      <c r="U13" s="29">
        <v>0</v>
      </c>
    </row>
    <row r="14" spans="1:23" x14ac:dyDescent="0.2">
      <c r="A14" s="26" t="s">
        <v>45</v>
      </c>
      <c r="B14" s="26" t="s">
        <v>46</v>
      </c>
      <c r="C14" s="26" t="s">
        <v>47</v>
      </c>
      <c r="D14" s="26" t="s">
        <v>124</v>
      </c>
      <c r="E14" s="26" t="s">
        <v>125</v>
      </c>
      <c r="F14" s="26" t="s">
        <v>126</v>
      </c>
      <c r="G14" s="26" t="s">
        <v>123</v>
      </c>
      <c r="H14" s="26" t="s">
        <v>27</v>
      </c>
      <c r="I14" s="26" t="s">
        <v>57</v>
      </c>
      <c r="J14" s="26" t="s">
        <v>58</v>
      </c>
      <c r="K14" s="66">
        <v>1</v>
      </c>
      <c r="L14" s="26" t="s">
        <v>59</v>
      </c>
      <c r="M14" s="26">
        <v>2018</v>
      </c>
      <c r="N14" s="26" t="s">
        <v>60</v>
      </c>
      <c r="O14" s="27" t="s">
        <v>36</v>
      </c>
      <c r="P14" s="26" t="s">
        <v>52</v>
      </c>
      <c r="Q14" s="27" t="s">
        <v>36</v>
      </c>
      <c r="R14" s="28">
        <v>80</v>
      </c>
      <c r="S14" s="29">
        <v>0.8</v>
      </c>
      <c r="T14" s="71">
        <v>0.1</v>
      </c>
      <c r="U14" s="29">
        <v>0.1</v>
      </c>
    </row>
    <row r="15" spans="1:23" x14ac:dyDescent="0.2">
      <c r="A15" s="26" t="s">
        <v>45</v>
      </c>
      <c r="B15" s="26" t="s">
        <v>46</v>
      </c>
      <c r="C15" s="26" t="s">
        <v>47</v>
      </c>
      <c r="D15" s="26" t="s">
        <v>127</v>
      </c>
      <c r="E15" s="26" t="s">
        <v>128</v>
      </c>
      <c r="F15" s="26" t="s">
        <v>129</v>
      </c>
      <c r="G15" s="26" t="s">
        <v>123</v>
      </c>
      <c r="H15" s="26" t="s">
        <v>27</v>
      </c>
      <c r="I15" s="26" t="s">
        <v>57</v>
      </c>
      <c r="J15" s="26" t="s">
        <v>58</v>
      </c>
      <c r="K15" s="66">
        <v>1</v>
      </c>
      <c r="L15" s="26" t="s">
        <v>59</v>
      </c>
      <c r="M15" s="26">
        <v>2018</v>
      </c>
      <c r="N15" s="26" t="s">
        <v>60</v>
      </c>
      <c r="O15" s="27" t="s">
        <v>36</v>
      </c>
      <c r="P15" s="26" t="s">
        <v>52</v>
      </c>
      <c r="Q15" s="27" t="s">
        <v>36</v>
      </c>
      <c r="R15" s="28">
        <v>80</v>
      </c>
      <c r="S15" s="29">
        <v>0.8</v>
      </c>
      <c r="T15" s="71">
        <v>0.1</v>
      </c>
      <c r="U15" s="29">
        <v>0.1</v>
      </c>
      <c r="W15" s="69"/>
    </row>
    <row r="16" spans="1:23" x14ac:dyDescent="0.2">
      <c r="A16" s="26" t="s">
        <v>45</v>
      </c>
      <c r="B16" s="26" t="s">
        <v>46</v>
      </c>
      <c r="C16" s="26" t="s">
        <v>47</v>
      </c>
      <c r="D16" s="26" t="s">
        <v>105</v>
      </c>
      <c r="E16" s="26" t="s">
        <v>106</v>
      </c>
      <c r="F16" s="26" t="s">
        <v>107</v>
      </c>
      <c r="G16" s="26" t="s">
        <v>104</v>
      </c>
      <c r="H16" s="26" t="s">
        <v>27</v>
      </c>
      <c r="I16" s="26" t="s">
        <v>72</v>
      </c>
      <c r="J16" s="26" t="s">
        <v>73</v>
      </c>
      <c r="K16" s="66">
        <v>1</v>
      </c>
      <c r="L16" s="26" t="s">
        <v>103</v>
      </c>
      <c r="M16" s="26">
        <v>2018</v>
      </c>
      <c r="N16" s="26" t="s">
        <v>60</v>
      </c>
      <c r="O16" s="27" t="s">
        <v>36</v>
      </c>
      <c r="P16" s="26" t="s">
        <v>26</v>
      </c>
      <c r="Q16" s="27" t="s">
        <v>26</v>
      </c>
      <c r="R16" s="28">
        <v>90</v>
      </c>
      <c r="S16" s="29">
        <v>0.9</v>
      </c>
      <c r="T16" s="71">
        <v>0.1</v>
      </c>
      <c r="U16" s="29">
        <v>0</v>
      </c>
    </row>
    <row r="17" spans="1:24" x14ac:dyDescent="0.2">
      <c r="A17" s="26" t="s">
        <v>45</v>
      </c>
      <c r="B17" s="26" t="s">
        <v>46</v>
      </c>
      <c r="C17" s="26" t="s">
        <v>47</v>
      </c>
      <c r="D17" s="26" t="s">
        <v>82</v>
      </c>
      <c r="E17" s="26" t="s">
        <v>83</v>
      </c>
      <c r="F17" s="26" t="s">
        <v>34</v>
      </c>
      <c r="G17" s="26" t="s">
        <v>84</v>
      </c>
      <c r="H17" s="26" t="s">
        <v>27</v>
      </c>
      <c r="I17" s="26" t="s">
        <v>68</v>
      </c>
      <c r="J17" s="26" t="s">
        <v>69</v>
      </c>
      <c r="K17" s="66">
        <v>1</v>
      </c>
      <c r="L17" s="26" t="s">
        <v>70</v>
      </c>
      <c r="M17" s="26">
        <v>2018</v>
      </c>
      <c r="N17" s="26" t="s">
        <v>60</v>
      </c>
      <c r="O17" s="27" t="s">
        <v>30</v>
      </c>
      <c r="P17" s="26" t="s">
        <v>26</v>
      </c>
      <c r="Q17" s="27" t="s">
        <v>26</v>
      </c>
      <c r="R17" s="28">
        <v>50</v>
      </c>
      <c r="S17" s="29">
        <v>0.5</v>
      </c>
      <c r="T17" s="71">
        <v>0.5</v>
      </c>
      <c r="U17" s="29">
        <v>0</v>
      </c>
    </row>
    <row r="18" spans="1:24" x14ac:dyDescent="0.2">
      <c r="A18" s="26" t="s">
        <v>31</v>
      </c>
      <c r="B18" s="26" t="s">
        <v>32</v>
      </c>
      <c r="C18" s="26" t="s">
        <v>33</v>
      </c>
      <c r="D18" s="26" t="s">
        <v>90</v>
      </c>
      <c r="E18" s="26" t="s">
        <v>91</v>
      </c>
      <c r="F18" s="26" t="s">
        <v>92</v>
      </c>
      <c r="G18" s="26" t="s">
        <v>85</v>
      </c>
      <c r="H18" s="26" t="s">
        <v>25</v>
      </c>
      <c r="I18" s="26" t="s">
        <v>49</v>
      </c>
      <c r="J18" s="26" t="s">
        <v>50</v>
      </c>
      <c r="K18" s="66">
        <v>0.5</v>
      </c>
      <c r="L18" s="26" t="s">
        <v>51</v>
      </c>
      <c r="M18" s="26">
        <v>2018</v>
      </c>
      <c r="N18" s="26" t="s">
        <v>60</v>
      </c>
      <c r="O18" s="27" t="s">
        <v>36</v>
      </c>
      <c r="P18" s="26" t="s">
        <v>26</v>
      </c>
      <c r="Q18" s="27" t="s">
        <v>26</v>
      </c>
      <c r="R18" s="28">
        <v>90</v>
      </c>
      <c r="S18" s="29">
        <v>0.45</v>
      </c>
      <c r="T18" s="71">
        <v>0.05</v>
      </c>
      <c r="U18" s="29">
        <v>0</v>
      </c>
    </row>
    <row r="19" spans="1:24" x14ac:dyDescent="0.2">
      <c r="A19" s="30" t="s">
        <v>45</v>
      </c>
      <c r="B19" s="30" t="s">
        <v>46</v>
      </c>
      <c r="C19" s="30" t="s">
        <v>47</v>
      </c>
      <c r="D19" s="30" t="s">
        <v>231</v>
      </c>
      <c r="E19" s="30" t="s">
        <v>232</v>
      </c>
      <c r="F19" s="30" t="s">
        <v>233</v>
      </c>
      <c r="G19" s="30" t="s">
        <v>230</v>
      </c>
      <c r="H19" s="30" t="s">
        <v>27</v>
      </c>
      <c r="I19" s="30" t="s">
        <v>57</v>
      </c>
      <c r="J19" s="30" t="s">
        <v>58</v>
      </c>
      <c r="K19" s="67">
        <v>1</v>
      </c>
      <c r="L19" s="30" t="s">
        <v>59</v>
      </c>
      <c r="M19" s="30">
        <v>2019</v>
      </c>
      <c r="N19" s="30" t="s">
        <v>60</v>
      </c>
      <c r="O19" s="31" t="s">
        <v>36</v>
      </c>
      <c r="P19" s="30" t="s">
        <v>52</v>
      </c>
      <c r="Q19" s="31" t="s">
        <v>35</v>
      </c>
      <c r="R19" s="32">
        <v>70</v>
      </c>
      <c r="S19" s="33">
        <v>0.7</v>
      </c>
      <c r="T19" s="73">
        <v>0.1</v>
      </c>
      <c r="U19" s="33">
        <v>0.2</v>
      </c>
    </row>
    <row r="20" spans="1:24" x14ac:dyDescent="0.2">
      <c r="A20" s="30" t="s">
        <v>45</v>
      </c>
      <c r="B20" s="30" t="s">
        <v>46</v>
      </c>
      <c r="C20" s="30" t="s">
        <v>47</v>
      </c>
      <c r="D20" s="30" t="s">
        <v>224</v>
      </c>
      <c r="E20" s="30" t="s">
        <v>225</v>
      </c>
      <c r="F20" s="30" t="s">
        <v>226</v>
      </c>
      <c r="G20" s="30" t="s">
        <v>71</v>
      </c>
      <c r="H20" s="30" t="s">
        <v>27</v>
      </c>
      <c r="I20" s="30" t="s">
        <v>68</v>
      </c>
      <c r="J20" s="30" t="s">
        <v>69</v>
      </c>
      <c r="K20" s="67">
        <v>1</v>
      </c>
      <c r="L20" s="30" t="s">
        <v>70</v>
      </c>
      <c r="M20" s="30">
        <v>2019</v>
      </c>
      <c r="N20" s="30" t="s">
        <v>60</v>
      </c>
      <c r="O20" s="31" t="s">
        <v>30</v>
      </c>
      <c r="P20" s="30" t="s">
        <v>26</v>
      </c>
      <c r="Q20" s="31" t="s">
        <v>26</v>
      </c>
      <c r="R20" s="32">
        <v>50</v>
      </c>
      <c r="S20" s="33">
        <v>0.5</v>
      </c>
      <c r="T20" s="73">
        <v>0.5</v>
      </c>
      <c r="U20" s="33">
        <v>0</v>
      </c>
      <c r="V20" s="69"/>
    </row>
    <row r="21" spans="1:24" x14ac:dyDescent="0.2">
      <c r="A21" s="30" t="s">
        <v>45</v>
      </c>
      <c r="B21" s="30" t="s">
        <v>46</v>
      </c>
      <c r="C21" s="30" t="s">
        <v>47</v>
      </c>
      <c r="D21" s="30" t="s">
        <v>227</v>
      </c>
      <c r="E21" s="30" t="s">
        <v>228</v>
      </c>
      <c r="F21" s="30" t="s">
        <v>229</v>
      </c>
      <c r="G21" s="30" t="s">
        <v>230</v>
      </c>
      <c r="H21" s="30" t="s">
        <v>25</v>
      </c>
      <c r="I21" s="30" t="s">
        <v>57</v>
      </c>
      <c r="J21" s="30" t="s">
        <v>58</v>
      </c>
      <c r="K21" s="67">
        <v>0.5</v>
      </c>
      <c r="L21" s="30" t="s">
        <v>59</v>
      </c>
      <c r="M21" s="30">
        <v>2019</v>
      </c>
      <c r="N21" s="30" t="s">
        <v>60</v>
      </c>
      <c r="O21" s="31" t="s">
        <v>36</v>
      </c>
      <c r="P21" s="30" t="s">
        <v>52</v>
      </c>
      <c r="Q21" s="31" t="s">
        <v>35</v>
      </c>
      <c r="R21" s="32">
        <v>70</v>
      </c>
      <c r="S21" s="33">
        <v>0.35</v>
      </c>
      <c r="T21" s="73">
        <v>0.05</v>
      </c>
      <c r="U21" s="33">
        <v>0.1</v>
      </c>
      <c r="V21" s="69"/>
    </row>
    <row r="22" spans="1:24" x14ac:dyDescent="0.2">
      <c r="A22" s="30" t="s">
        <v>31</v>
      </c>
      <c r="B22" s="30" t="s">
        <v>32</v>
      </c>
      <c r="C22" s="30" t="s">
        <v>33</v>
      </c>
      <c r="D22" s="30" t="s">
        <v>221</v>
      </c>
      <c r="E22" s="30" t="s">
        <v>222</v>
      </c>
      <c r="F22" s="30" t="s">
        <v>223</v>
      </c>
      <c r="G22" s="30" t="s">
        <v>85</v>
      </c>
      <c r="H22" s="30" t="s">
        <v>25</v>
      </c>
      <c r="I22" s="30" t="s">
        <v>49</v>
      </c>
      <c r="J22" s="30" t="s">
        <v>50</v>
      </c>
      <c r="K22" s="67">
        <v>0.5</v>
      </c>
      <c r="L22" s="30" t="s">
        <v>51</v>
      </c>
      <c r="M22" s="30">
        <v>2019</v>
      </c>
      <c r="N22" s="30" t="s">
        <v>60</v>
      </c>
      <c r="O22" s="31" t="s">
        <v>36</v>
      </c>
      <c r="P22" s="30" t="s">
        <v>26</v>
      </c>
      <c r="Q22" s="31" t="s">
        <v>26</v>
      </c>
      <c r="R22" s="32">
        <v>90</v>
      </c>
      <c r="S22" s="33">
        <v>0.45</v>
      </c>
      <c r="T22" s="73">
        <v>0.05</v>
      </c>
      <c r="U22" s="33">
        <v>0</v>
      </c>
    </row>
    <row r="23" spans="1:24" x14ac:dyDescent="0.2">
      <c r="A23" s="26" t="s">
        <v>37</v>
      </c>
      <c r="B23" s="26" t="s">
        <v>38</v>
      </c>
      <c r="C23" s="26" t="s">
        <v>39</v>
      </c>
      <c r="D23" s="26" t="s">
        <v>237</v>
      </c>
      <c r="E23" s="26" t="s">
        <v>238</v>
      </c>
      <c r="F23" s="26" t="s">
        <v>239</v>
      </c>
      <c r="G23" s="26" t="s">
        <v>96</v>
      </c>
      <c r="H23" s="26" t="s">
        <v>25</v>
      </c>
      <c r="I23" s="26" t="s">
        <v>97</v>
      </c>
      <c r="J23" s="26" t="s">
        <v>98</v>
      </c>
      <c r="K23" s="34">
        <v>0.5</v>
      </c>
      <c r="L23" s="34" t="s">
        <v>99</v>
      </c>
      <c r="M23" s="35">
        <v>2019</v>
      </c>
      <c r="N23" s="26" t="s">
        <v>60</v>
      </c>
      <c r="O23" s="27" t="s">
        <v>36</v>
      </c>
      <c r="P23" s="26" t="s">
        <v>26</v>
      </c>
      <c r="Q23" s="27" t="s">
        <v>26</v>
      </c>
      <c r="R23" s="26">
        <v>90</v>
      </c>
      <c r="S23" s="26">
        <v>0.45</v>
      </c>
      <c r="T23" s="72">
        <v>0.05</v>
      </c>
      <c r="U23" s="26">
        <v>0</v>
      </c>
    </row>
    <row r="24" spans="1:24" ht="10.8" thickBot="1" x14ac:dyDescent="0.25">
      <c r="A24" s="26" t="s">
        <v>31</v>
      </c>
      <c r="B24" s="26" t="s">
        <v>32</v>
      </c>
      <c r="C24" s="26" t="s">
        <v>33</v>
      </c>
      <c r="D24" s="26" t="s">
        <v>240</v>
      </c>
      <c r="E24" s="26" t="s">
        <v>241</v>
      </c>
      <c r="F24" s="26" t="s">
        <v>242</v>
      </c>
      <c r="G24" s="26" t="s">
        <v>85</v>
      </c>
      <c r="H24" s="26" t="s">
        <v>25</v>
      </c>
      <c r="I24" s="26" t="s">
        <v>49</v>
      </c>
      <c r="J24" s="26" t="s">
        <v>50</v>
      </c>
      <c r="K24" s="34">
        <v>0.5</v>
      </c>
      <c r="L24" s="34" t="s">
        <v>51</v>
      </c>
      <c r="M24" s="35">
        <v>2019</v>
      </c>
      <c r="N24" s="26" t="s">
        <v>60</v>
      </c>
      <c r="O24" s="27" t="s">
        <v>36</v>
      </c>
      <c r="P24" s="26" t="s">
        <v>26</v>
      </c>
      <c r="Q24" s="27" t="s">
        <v>26</v>
      </c>
      <c r="R24" s="26">
        <v>90</v>
      </c>
      <c r="S24" s="26">
        <v>0.45</v>
      </c>
      <c r="T24" s="72">
        <v>0.05</v>
      </c>
      <c r="U24" s="26">
        <v>0</v>
      </c>
    </row>
    <row r="25" spans="1:24" ht="10.8" thickBot="1" x14ac:dyDescent="0.25">
      <c r="A25" s="36" t="s">
        <v>72</v>
      </c>
      <c r="B25" s="36" t="s">
        <v>73</v>
      </c>
      <c r="C25" s="36" t="s">
        <v>349</v>
      </c>
      <c r="D25" s="36" t="s">
        <v>350</v>
      </c>
      <c r="E25" s="36" t="s">
        <v>351</v>
      </c>
      <c r="F25" s="36" t="s">
        <v>352</v>
      </c>
      <c r="G25" s="37" t="s">
        <v>353</v>
      </c>
      <c r="H25" s="38" t="s">
        <v>25</v>
      </c>
      <c r="I25" s="38" t="s">
        <v>72</v>
      </c>
      <c r="J25" s="39" t="s">
        <v>73</v>
      </c>
      <c r="K25" s="34">
        <v>0.5</v>
      </c>
      <c r="L25" s="34" t="s">
        <v>103</v>
      </c>
      <c r="M25" s="26">
        <v>2020</v>
      </c>
      <c r="N25" s="26" t="s">
        <v>60</v>
      </c>
      <c r="O25" s="27" t="s">
        <v>354</v>
      </c>
      <c r="P25" s="26" t="s">
        <v>26</v>
      </c>
      <c r="Q25" s="27" t="s">
        <v>26</v>
      </c>
      <c r="R25" s="26">
        <v>85</v>
      </c>
      <c r="S25" s="26">
        <v>0.42499999999999999</v>
      </c>
      <c r="T25" s="72">
        <v>7.4999999999999997E-2</v>
      </c>
      <c r="U25" s="26">
        <v>0</v>
      </c>
    </row>
    <row r="26" spans="1:24" ht="10.8" thickBot="1" x14ac:dyDescent="0.25">
      <c r="A26" s="36" t="s">
        <v>37</v>
      </c>
      <c r="B26" s="36" t="s">
        <v>38</v>
      </c>
      <c r="C26" s="36" t="s">
        <v>39</v>
      </c>
      <c r="D26" s="36" t="s">
        <v>243</v>
      </c>
      <c r="E26" s="36" t="s">
        <v>244</v>
      </c>
      <c r="F26" s="36" t="s">
        <v>245</v>
      </c>
      <c r="G26" s="37" t="s">
        <v>96</v>
      </c>
      <c r="H26" s="38" t="s">
        <v>25</v>
      </c>
      <c r="I26" s="38" t="s">
        <v>97</v>
      </c>
      <c r="J26" s="39" t="s">
        <v>98</v>
      </c>
      <c r="K26" s="34">
        <v>0.5</v>
      </c>
      <c r="L26" s="34" t="s">
        <v>99</v>
      </c>
      <c r="M26" s="26">
        <v>2020</v>
      </c>
      <c r="N26" s="26" t="s">
        <v>60</v>
      </c>
      <c r="O26" s="27" t="s">
        <v>36</v>
      </c>
      <c r="P26" s="26" t="s">
        <v>26</v>
      </c>
      <c r="Q26" s="27" t="s">
        <v>26</v>
      </c>
      <c r="R26" s="26">
        <v>90</v>
      </c>
      <c r="S26" s="26">
        <v>0.45</v>
      </c>
      <c r="T26" s="72">
        <v>0.05</v>
      </c>
      <c r="U26" s="26">
        <v>0</v>
      </c>
    </row>
    <row r="27" spans="1:24" ht="10.8" thickBot="1" x14ac:dyDescent="0.25">
      <c r="A27" s="36" t="s">
        <v>45</v>
      </c>
      <c r="B27" s="36" t="s">
        <v>46</v>
      </c>
      <c r="C27" s="36" t="s">
        <v>47</v>
      </c>
      <c r="D27" s="36" t="s">
        <v>246</v>
      </c>
      <c r="E27" s="36" t="s">
        <v>247</v>
      </c>
      <c r="F27" s="36" t="s">
        <v>248</v>
      </c>
      <c r="G27" s="37" t="s">
        <v>62</v>
      </c>
      <c r="H27" s="38" t="s">
        <v>25</v>
      </c>
      <c r="I27" s="38" t="s">
        <v>57</v>
      </c>
      <c r="J27" s="39" t="s">
        <v>58</v>
      </c>
      <c r="K27" s="34">
        <v>0.5</v>
      </c>
      <c r="L27" s="34" t="s">
        <v>59</v>
      </c>
      <c r="M27" s="26">
        <v>2020</v>
      </c>
      <c r="N27" s="26" t="s">
        <v>60</v>
      </c>
      <c r="O27" s="27" t="s">
        <v>36</v>
      </c>
      <c r="P27" s="26" t="s">
        <v>26</v>
      </c>
      <c r="Q27" s="27" t="s">
        <v>26</v>
      </c>
      <c r="R27" s="26">
        <v>90</v>
      </c>
      <c r="S27" s="26">
        <v>0.45</v>
      </c>
      <c r="T27" s="72">
        <v>0.05</v>
      </c>
      <c r="U27" s="26">
        <v>0</v>
      </c>
    </row>
    <row r="28" spans="1:24" ht="10.8" thickBot="1" x14ac:dyDescent="0.25">
      <c r="A28" s="36" t="s">
        <v>45</v>
      </c>
      <c r="B28" s="36" t="s">
        <v>46</v>
      </c>
      <c r="C28" s="36" t="s">
        <v>47</v>
      </c>
      <c r="D28" s="36" t="s">
        <v>249</v>
      </c>
      <c r="E28" s="36" t="s">
        <v>250</v>
      </c>
      <c r="F28" s="36" t="s">
        <v>251</v>
      </c>
      <c r="G28" s="37" t="s">
        <v>62</v>
      </c>
      <c r="H28" s="38" t="s">
        <v>25</v>
      </c>
      <c r="I28" s="38" t="s">
        <v>57</v>
      </c>
      <c r="J28" s="39" t="s">
        <v>58</v>
      </c>
      <c r="K28" s="34">
        <v>0.5</v>
      </c>
      <c r="L28" s="34" t="s">
        <v>59</v>
      </c>
      <c r="M28" s="26">
        <v>2020</v>
      </c>
      <c r="N28" s="26" t="s">
        <v>60</v>
      </c>
      <c r="O28" s="27" t="s">
        <v>36</v>
      </c>
      <c r="P28" s="26" t="s">
        <v>26</v>
      </c>
      <c r="Q28" s="27" t="s">
        <v>26</v>
      </c>
      <c r="R28" s="26">
        <v>90</v>
      </c>
      <c r="S28" s="68">
        <v>0.45</v>
      </c>
      <c r="T28" s="72">
        <v>0.05</v>
      </c>
      <c r="U28" s="26">
        <v>0</v>
      </c>
    </row>
    <row r="29" spans="1:24" ht="10.8" thickBot="1" x14ac:dyDescent="0.25">
      <c r="A29" s="36" t="s">
        <v>31</v>
      </c>
      <c r="B29" s="36" t="s">
        <v>32</v>
      </c>
      <c r="C29" s="36" t="s">
        <v>33</v>
      </c>
      <c r="D29" s="36" t="s">
        <v>252</v>
      </c>
      <c r="E29" s="36" t="s">
        <v>253</v>
      </c>
      <c r="F29" s="36" t="s">
        <v>254</v>
      </c>
      <c r="G29" s="37" t="s">
        <v>85</v>
      </c>
      <c r="H29" s="38" t="s">
        <v>25</v>
      </c>
      <c r="I29" s="38" t="s">
        <v>49</v>
      </c>
      <c r="J29" s="39" t="s">
        <v>50</v>
      </c>
      <c r="K29" s="34">
        <v>0.5</v>
      </c>
      <c r="L29" s="34" t="s">
        <v>51</v>
      </c>
      <c r="M29" s="26">
        <v>2020</v>
      </c>
      <c r="N29" s="26" t="s">
        <v>60</v>
      </c>
      <c r="O29" s="27" t="s">
        <v>36</v>
      </c>
      <c r="P29" s="26" t="s">
        <v>26</v>
      </c>
      <c r="Q29" s="27" t="s">
        <v>26</v>
      </c>
      <c r="R29" s="26">
        <v>90</v>
      </c>
      <c r="S29" s="26">
        <v>0.45</v>
      </c>
      <c r="T29" s="72">
        <v>0.05</v>
      </c>
      <c r="U29" s="26">
        <v>0</v>
      </c>
    </row>
    <row r="30" spans="1:24" x14ac:dyDescent="0.2">
      <c r="A30" s="26" t="s">
        <v>355</v>
      </c>
      <c r="B30" s="26" t="s">
        <v>356</v>
      </c>
      <c r="C30" s="26" t="s">
        <v>357</v>
      </c>
      <c r="D30" s="26" t="s">
        <v>358</v>
      </c>
      <c r="E30" s="26" t="s">
        <v>359</v>
      </c>
      <c r="F30" s="26" t="s">
        <v>360</v>
      </c>
      <c r="G30" s="26" t="s">
        <v>62</v>
      </c>
      <c r="H30" s="26" t="s">
        <v>25</v>
      </c>
      <c r="I30" s="26" t="s">
        <v>57</v>
      </c>
      <c r="J30" s="26" t="s">
        <v>58</v>
      </c>
      <c r="K30" s="34">
        <v>0.5</v>
      </c>
      <c r="L30" s="34" t="s">
        <v>59</v>
      </c>
      <c r="M30" s="26">
        <v>2021</v>
      </c>
      <c r="N30" s="26" t="s">
        <v>60</v>
      </c>
      <c r="O30" s="27" t="s">
        <v>36</v>
      </c>
      <c r="P30" s="26" t="s">
        <v>26</v>
      </c>
      <c r="Q30" s="27" t="s">
        <v>26</v>
      </c>
      <c r="R30" s="26">
        <v>90</v>
      </c>
      <c r="S30" s="26">
        <v>0.45</v>
      </c>
      <c r="T30" s="72">
        <v>0.05</v>
      </c>
      <c r="U30" s="26">
        <v>0</v>
      </c>
      <c r="X30" s="70"/>
    </row>
    <row r="31" spans="1:24" x14ac:dyDescent="0.2">
      <c r="A31" s="26" t="s">
        <v>355</v>
      </c>
      <c r="B31" s="26" t="s">
        <v>356</v>
      </c>
      <c r="C31" s="26" t="s">
        <v>357</v>
      </c>
      <c r="D31" s="26" t="s">
        <v>361</v>
      </c>
      <c r="E31" s="26" t="s">
        <v>362</v>
      </c>
      <c r="F31" s="26" t="s">
        <v>363</v>
      </c>
      <c r="G31" s="26" t="s">
        <v>62</v>
      </c>
      <c r="H31" s="26" t="s">
        <v>25</v>
      </c>
      <c r="I31" s="26" t="s">
        <v>57</v>
      </c>
      <c r="J31" s="26" t="s">
        <v>58</v>
      </c>
      <c r="K31" s="34">
        <v>0.5</v>
      </c>
      <c r="L31" s="34" t="s">
        <v>59</v>
      </c>
      <c r="M31" s="26">
        <v>2021</v>
      </c>
      <c r="N31" s="26" t="s">
        <v>60</v>
      </c>
      <c r="O31" s="27" t="s">
        <v>36</v>
      </c>
      <c r="P31" s="26" t="s">
        <v>26</v>
      </c>
      <c r="Q31" s="27" t="s">
        <v>26</v>
      </c>
      <c r="R31" s="26">
        <v>90</v>
      </c>
      <c r="S31" s="26">
        <v>0.45</v>
      </c>
      <c r="T31" s="72">
        <v>0.05</v>
      </c>
      <c r="U31" s="26">
        <v>0</v>
      </c>
    </row>
    <row r="32" spans="1:24" x14ac:dyDescent="0.2">
      <c r="A32" s="26" t="s">
        <v>72</v>
      </c>
      <c r="B32" s="26" t="s">
        <v>73</v>
      </c>
      <c r="C32" s="26" t="s">
        <v>349</v>
      </c>
      <c r="D32" s="26" t="s">
        <v>364</v>
      </c>
      <c r="E32" s="26" t="s">
        <v>365</v>
      </c>
      <c r="F32" s="26" t="s">
        <v>366</v>
      </c>
      <c r="G32" s="26" t="s">
        <v>104</v>
      </c>
      <c r="H32" s="26" t="s">
        <v>27</v>
      </c>
      <c r="I32" s="26" t="s">
        <v>72</v>
      </c>
      <c r="J32" s="26" t="s">
        <v>73</v>
      </c>
      <c r="K32" s="34">
        <v>1</v>
      </c>
      <c r="L32" s="34" t="s">
        <v>103</v>
      </c>
      <c r="M32" s="26">
        <v>2021</v>
      </c>
      <c r="N32" s="26" t="s">
        <v>60</v>
      </c>
      <c r="O32" s="27" t="s">
        <v>36</v>
      </c>
      <c r="P32" s="26" t="s">
        <v>26</v>
      </c>
      <c r="Q32" s="27" t="s">
        <v>26</v>
      </c>
      <c r="R32" s="26">
        <v>90</v>
      </c>
      <c r="S32" s="26">
        <v>0.9</v>
      </c>
      <c r="T32" s="72">
        <v>0.1</v>
      </c>
      <c r="U32" s="26">
        <v>0</v>
      </c>
    </row>
    <row r="33" spans="1:21" x14ac:dyDescent="0.2">
      <c r="A33" s="26" t="s">
        <v>37</v>
      </c>
      <c r="B33" s="26" t="s">
        <v>38</v>
      </c>
      <c r="C33" s="26" t="s">
        <v>39</v>
      </c>
      <c r="D33" s="26" t="s">
        <v>367</v>
      </c>
      <c r="E33" s="26" t="s">
        <v>368</v>
      </c>
      <c r="F33" s="26" t="s">
        <v>369</v>
      </c>
      <c r="G33" s="26" t="s">
        <v>96</v>
      </c>
      <c r="H33" s="26" t="s">
        <v>25</v>
      </c>
      <c r="I33" s="26" t="s">
        <v>97</v>
      </c>
      <c r="J33" s="26" t="s">
        <v>98</v>
      </c>
      <c r="K33" s="34">
        <v>0.5</v>
      </c>
      <c r="L33" s="34" t="s">
        <v>99</v>
      </c>
      <c r="M33" s="26">
        <v>2021</v>
      </c>
      <c r="N33" s="26" t="s">
        <v>60</v>
      </c>
      <c r="O33" s="27" t="s">
        <v>36</v>
      </c>
      <c r="P33" s="26" t="s">
        <v>26</v>
      </c>
      <c r="Q33" s="27" t="s">
        <v>26</v>
      </c>
      <c r="R33" s="26">
        <v>90</v>
      </c>
      <c r="S33" s="26">
        <v>0.45</v>
      </c>
      <c r="T33" s="72">
        <v>0.05</v>
      </c>
      <c r="U33" s="26">
        <v>0</v>
      </c>
    </row>
    <row r="34" spans="1:21" x14ac:dyDescent="0.2">
      <c r="A34" s="26" t="s">
        <v>45</v>
      </c>
      <c r="B34" s="26" t="s">
        <v>46</v>
      </c>
      <c r="C34" s="26" t="s">
        <v>47</v>
      </c>
      <c r="D34" s="26" t="s">
        <v>370</v>
      </c>
      <c r="E34" s="26" t="s">
        <v>371</v>
      </c>
      <c r="F34" s="26" t="s">
        <v>372</v>
      </c>
      <c r="G34" s="26" t="s">
        <v>62</v>
      </c>
      <c r="H34" s="26" t="s">
        <v>27</v>
      </c>
      <c r="I34" s="26" t="s">
        <v>57</v>
      </c>
      <c r="J34" s="26" t="s">
        <v>58</v>
      </c>
      <c r="K34" s="34">
        <v>1</v>
      </c>
      <c r="L34" s="34" t="s">
        <v>59</v>
      </c>
      <c r="M34" s="26">
        <v>2021</v>
      </c>
      <c r="N34" s="26" t="s">
        <v>60</v>
      </c>
      <c r="O34" s="27" t="s">
        <v>36</v>
      </c>
      <c r="P34" s="26" t="s">
        <v>26</v>
      </c>
      <c r="Q34" s="27" t="s">
        <v>26</v>
      </c>
      <c r="R34" s="26">
        <v>90</v>
      </c>
      <c r="S34" s="26">
        <v>0.9</v>
      </c>
      <c r="T34" s="72">
        <v>0.1</v>
      </c>
      <c r="U34" s="26">
        <v>0</v>
      </c>
    </row>
    <row r="35" spans="1:21" x14ac:dyDescent="0.2">
      <c r="A35" s="26" t="s">
        <v>45</v>
      </c>
      <c r="B35" s="26" t="s">
        <v>46</v>
      </c>
      <c r="C35" s="26" t="s">
        <v>47</v>
      </c>
      <c r="D35" s="26" t="s">
        <v>373</v>
      </c>
      <c r="E35" s="26" t="s">
        <v>374</v>
      </c>
      <c r="F35" s="26" t="s">
        <v>375</v>
      </c>
      <c r="G35" s="26" t="s">
        <v>376</v>
      </c>
      <c r="H35" s="26" t="s">
        <v>27</v>
      </c>
      <c r="I35" s="26" t="s">
        <v>68</v>
      </c>
      <c r="J35" s="26" t="s">
        <v>69</v>
      </c>
      <c r="K35" s="34">
        <v>1</v>
      </c>
      <c r="L35" s="34" t="s">
        <v>70</v>
      </c>
      <c r="M35" s="26">
        <v>2021</v>
      </c>
      <c r="N35" s="26" t="s">
        <v>60</v>
      </c>
      <c r="O35" s="27" t="s">
        <v>30</v>
      </c>
      <c r="P35" s="26" t="s">
        <v>26</v>
      </c>
      <c r="Q35" s="27" t="s">
        <v>26</v>
      </c>
      <c r="R35" s="26">
        <v>50</v>
      </c>
      <c r="S35" s="26">
        <v>0.5</v>
      </c>
      <c r="T35" s="72">
        <v>0.5</v>
      </c>
      <c r="U35" s="26">
        <v>0</v>
      </c>
    </row>
    <row r="36" spans="1:21" x14ac:dyDescent="0.2">
      <c r="A36" s="26" t="s">
        <v>45</v>
      </c>
      <c r="B36" s="26" t="s">
        <v>46</v>
      </c>
      <c r="C36" s="26" t="s">
        <v>47</v>
      </c>
      <c r="D36" s="26" t="s">
        <v>377</v>
      </c>
      <c r="E36" s="26" t="s">
        <v>378</v>
      </c>
      <c r="F36" s="26" t="s">
        <v>379</v>
      </c>
      <c r="G36" s="26" t="s">
        <v>77</v>
      </c>
      <c r="H36" s="26" t="s">
        <v>27</v>
      </c>
      <c r="I36" s="26" t="s">
        <v>68</v>
      </c>
      <c r="J36" s="26" t="s">
        <v>69</v>
      </c>
      <c r="K36" s="34">
        <v>1</v>
      </c>
      <c r="L36" s="34" t="s">
        <v>70</v>
      </c>
      <c r="M36" s="26">
        <v>2021</v>
      </c>
      <c r="N36" s="26" t="s">
        <v>60</v>
      </c>
      <c r="O36" s="27" t="s">
        <v>36</v>
      </c>
      <c r="P36" s="26" t="s">
        <v>26</v>
      </c>
      <c r="Q36" s="27" t="s">
        <v>26</v>
      </c>
      <c r="R36" s="26">
        <v>90</v>
      </c>
      <c r="S36" s="26">
        <v>0.9</v>
      </c>
      <c r="T36" s="72">
        <v>0.1</v>
      </c>
      <c r="U36" s="26">
        <v>0</v>
      </c>
    </row>
    <row r="37" spans="1:21" x14ac:dyDescent="0.2">
      <c r="A37" s="26" t="s">
        <v>45</v>
      </c>
      <c r="B37" s="26" t="s">
        <v>46</v>
      </c>
      <c r="C37" s="26" t="s">
        <v>47</v>
      </c>
      <c r="D37" s="26" t="s">
        <v>380</v>
      </c>
      <c r="E37" s="26" t="s">
        <v>381</v>
      </c>
      <c r="F37" s="26" t="s">
        <v>382</v>
      </c>
      <c r="G37" s="26" t="s">
        <v>383</v>
      </c>
      <c r="H37" s="26" t="s">
        <v>27</v>
      </c>
      <c r="I37" s="26" t="s">
        <v>57</v>
      </c>
      <c r="J37" s="26" t="s">
        <v>58</v>
      </c>
      <c r="K37" s="34">
        <v>1</v>
      </c>
      <c r="L37" s="34" t="s">
        <v>59</v>
      </c>
      <c r="M37" s="26">
        <v>2021</v>
      </c>
      <c r="N37" s="26" t="s">
        <v>60</v>
      </c>
      <c r="O37" s="27" t="s">
        <v>36</v>
      </c>
      <c r="P37" s="26" t="s">
        <v>26</v>
      </c>
      <c r="Q37" s="27" t="s">
        <v>26</v>
      </c>
      <c r="R37" s="26">
        <v>90</v>
      </c>
      <c r="S37" s="26">
        <v>0.9</v>
      </c>
      <c r="T37" s="72">
        <v>0.1</v>
      </c>
      <c r="U37" s="26">
        <v>0</v>
      </c>
    </row>
    <row r="38" spans="1:21" x14ac:dyDescent="0.2">
      <c r="A38" s="26" t="s">
        <v>45</v>
      </c>
      <c r="B38" s="26" t="s">
        <v>46</v>
      </c>
      <c r="C38" s="26" t="s">
        <v>47</v>
      </c>
      <c r="D38" s="26" t="s">
        <v>384</v>
      </c>
      <c r="E38" s="26" t="s">
        <v>385</v>
      </c>
      <c r="F38" s="26" t="s">
        <v>386</v>
      </c>
      <c r="G38" s="26" t="s">
        <v>63</v>
      </c>
      <c r="H38" s="26" t="s">
        <v>27</v>
      </c>
      <c r="I38" s="26" t="s">
        <v>57</v>
      </c>
      <c r="J38" s="26" t="s">
        <v>58</v>
      </c>
      <c r="K38" s="34">
        <v>1</v>
      </c>
      <c r="L38" s="34" t="s">
        <v>59</v>
      </c>
      <c r="M38" s="26">
        <v>2021</v>
      </c>
      <c r="N38" s="26" t="s">
        <v>60</v>
      </c>
      <c r="O38" s="27" t="s">
        <v>36</v>
      </c>
      <c r="P38" s="26" t="s">
        <v>134</v>
      </c>
      <c r="Q38" s="27" t="s">
        <v>44</v>
      </c>
      <c r="R38" s="26">
        <v>60</v>
      </c>
      <c r="S38" s="26">
        <v>0.6</v>
      </c>
      <c r="T38" s="72">
        <v>0.1</v>
      </c>
      <c r="U38" s="26">
        <v>0.3</v>
      </c>
    </row>
    <row r="39" spans="1:21" x14ac:dyDescent="0.2">
      <c r="A39" s="26" t="s">
        <v>120</v>
      </c>
      <c r="B39" s="26" t="s">
        <v>121</v>
      </c>
      <c r="C39" s="26" t="s">
        <v>122</v>
      </c>
      <c r="D39" s="26" t="s">
        <v>387</v>
      </c>
      <c r="E39" s="26" t="s">
        <v>388</v>
      </c>
      <c r="F39" s="26" t="s">
        <v>389</v>
      </c>
      <c r="G39" s="26" t="s">
        <v>147</v>
      </c>
      <c r="H39" s="26" t="s">
        <v>27</v>
      </c>
      <c r="I39" s="26" t="s">
        <v>68</v>
      </c>
      <c r="J39" s="26" t="s">
        <v>69</v>
      </c>
      <c r="K39" s="34">
        <v>1</v>
      </c>
      <c r="L39" s="34" t="s">
        <v>70</v>
      </c>
      <c r="M39" s="26">
        <v>2021</v>
      </c>
      <c r="N39" s="26" t="s">
        <v>60</v>
      </c>
      <c r="O39" s="27" t="s">
        <v>36</v>
      </c>
      <c r="P39" s="26" t="s">
        <v>52</v>
      </c>
      <c r="Q39" s="27" t="s">
        <v>35</v>
      </c>
      <c r="R39" s="26">
        <v>70</v>
      </c>
      <c r="S39" s="26">
        <v>0.7</v>
      </c>
      <c r="T39" s="72">
        <v>0.1</v>
      </c>
      <c r="U39" s="26">
        <v>0.2</v>
      </c>
    </row>
    <row r="40" spans="1:21" x14ac:dyDescent="0.2">
      <c r="A40" s="26" t="s">
        <v>57</v>
      </c>
      <c r="B40" s="26" t="s">
        <v>58</v>
      </c>
      <c r="C40" s="26" t="s">
        <v>61</v>
      </c>
      <c r="D40" s="26" t="s">
        <v>142</v>
      </c>
      <c r="E40" s="26" t="s">
        <v>143</v>
      </c>
      <c r="F40" s="26" t="s">
        <v>55</v>
      </c>
      <c r="G40" s="26" t="s">
        <v>123</v>
      </c>
      <c r="H40" s="26" t="s">
        <v>25</v>
      </c>
      <c r="I40" s="26" t="s">
        <v>57</v>
      </c>
      <c r="J40" s="26" t="s">
        <v>58</v>
      </c>
      <c r="K40" s="29">
        <v>0.5</v>
      </c>
      <c r="L40" s="26" t="s">
        <v>59</v>
      </c>
      <c r="M40" s="26">
        <v>2016</v>
      </c>
      <c r="N40" s="26" t="s">
        <v>52</v>
      </c>
      <c r="O40" s="27" t="s">
        <v>36</v>
      </c>
      <c r="P40" s="26" t="s">
        <v>60</v>
      </c>
      <c r="Q40" s="27" t="s">
        <v>36</v>
      </c>
      <c r="R40" s="28">
        <v>80</v>
      </c>
      <c r="S40" s="29">
        <v>0.4</v>
      </c>
      <c r="T40" s="29">
        <v>0.05</v>
      </c>
      <c r="U40" s="71">
        <v>0.05</v>
      </c>
    </row>
    <row r="41" spans="1:21" x14ac:dyDescent="0.2">
      <c r="A41" s="26" t="s">
        <v>57</v>
      </c>
      <c r="B41" s="26" t="s">
        <v>58</v>
      </c>
      <c r="C41" s="26" t="s">
        <v>61</v>
      </c>
      <c r="D41" s="26" t="s">
        <v>144</v>
      </c>
      <c r="E41" s="26" t="s">
        <v>145</v>
      </c>
      <c r="F41" s="26" t="s">
        <v>137</v>
      </c>
      <c r="G41" s="26" t="s">
        <v>147</v>
      </c>
      <c r="H41" s="26" t="s">
        <v>25</v>
      </c>
      <c r="I41" s="26" t="s">
        <v>68</v>
      </c>
      <c r="J41" s="26" t="s">
        <v>69</v>
      </c>
      <c r="K41" s="29">
        <v>0.5</v>
      </c>
      <c r="L41" s="26" t="s">
        <v>70</v>
      </c>
      <c r="M41" s="26">
        <v>2016</v>
      </c>
      <c r="N41" s="26" t="s">
        <v>52</v>
      </c>
      <c r="O41" s="27" t="s">
        <v>36</v>
      </c>
      <c r="P41" s="26" t="s">
        <v>60</v>
      </c>
      <c r="Q41" s="27" t="s">
        <v>36</v>
      </c>
      <c r="R41" s="28">
        <v>80</v>
      </c>
      <c r="S41" s="29">
        <v>0.4</v>
      </c>
      <c r="T41" s="29">
        <v>0.05</v>
      </c>
      <c r="U41" s="71">
        <v>0.05</v>
      </c>
    </row>
    <row r="42" spans="1:21" x14ac:dyDescent="0.2">
      <c r="A42" s="26" t="s">
        <v>57</v>
      </c>
      <c r="B42" s="26" t="s">
        <v>58</v>
      </c>
      <c r="C42" s="26" t="s">
        <v>61</v>
      </c>
      <c r="D42" s="26" t="s">
        <v>144</v>
      </c>
      <c r="E42" s="26" t="s">
        <v>145</v>
      </c>
      <c r="F42" s="26" t="s">
        <v>137</v>
      </c>
      <c r="G42" s="26" t="s">
        <v>123</v>
      </c>
      <c r="H42" s="26" t="s">
        <v>25</v>
      </c>
      <c r="I42" s="26" t="s">
        <v>57</v>
      </c>
      <c r="J42" s="26" t="s">
        <v>58</v>
      </c>
      <c r="K42" s="29">
        <v>0.5</v>
      </c>
      <c r="L42" s="26" t="s">
        <v>59</v>
      </c>
      <c r="M42" s="26">
        <v>2016</v>
      </c>
      <c r="N42" s="26" t="s">
        <v>52</v>
      </c>
      <c r="O42" s="27" t="s">
        <v>36</v>
      </c>
      <c r="P42" s="26" t="s">
        <v>60</v>
      </c>
      <c r="Q42" s="27" t="s">
        <v>36</v>
      </c>
      <c r="R42" s="28">
        <v>80</v>
      </c>
      <c r="S42" s="29">
        <v>0.4</v>
      </c>
      <c r="T42" s="29">
        <v>0.05</v>
      </c>
      <c r="U42" s="71">
        <v>0.05</v>
      </c>
    </row>
    <row r="43" spans="1:21" x14ac:dyDescent="0.2">
      <c r="A43" s="26" t="s">
        <v>57</v>
      </c>
      <c r="B43" s="26" t="s">
        <v>58</v>
      </c>
      <c r="C43" s="26" t="s">
        <v>138</v>
      </c>
      <c r="D43" s="26" t="s">
        <v>139</v>
      </c>
      <c r="E43" s="26" t="s">
        <v>140</v>
      </c>
      <c r="F43" s="26" t="s">
        <v>141</v>
      </c>
      <c r="G43" s="26" t="s">
        <v>119</v>
      </c>
      <c r="H43" s="26" t="s">
        <v>27</v>
      </c>
      <c r="I43" s="26" t="s">
        <v>116</v>
      </c>
      <c r="J43" s="26" t="s">
        <v>117</v>
      </c>
      <c r="K43" s="29">
        <v>1</v>
      </c>
      <c r="L43" s="26" t="s">
        <v>118</v>
      </c>
      <c r="M43" s="26">
        <v>2016</v>
      </c>
      <c r="N43" s="26" t="s">
        <v>52</v>
      </c>
      <c r="O43" s="27" t="s">
        <v>36</v>
      </c>
      <c r="P43" s="26" t="s">
        <v>60</v>
      </c>
      <c r="Q43" s="27" t="s">
        <v>36</v>
      </c>
      <c r="R43" s="28">
        <v>80</v>
      </c>
      <c r="S43" s="29">
        <v>0.8</v>
      </c>
      <c r="T43" s="29">
        <v>0.1</v>
      </c>
      <c r="U43" s="71">
        <v>0.1</v>
      </c>
    </row>
    <row r="44" spans="1:21" x14ac:dyDescent="0.2">
      <c r="A44" s="26" t="s">
        <v>45</v>
      </c>
      <c r="B44" s="26" t="s">
        <v>46</v>
      </c>
      <c r="C44" s="26" t="s">
        <v>47</v>
      </c>
      <c r="D44" s="26" t="s">
        <v>148</v>
      </c>
      <c r="E44" s="26" t="s">
        <v>149</v>
      </c>
      <c r="F44" s="26" t="s">
        <v>150</v>
      </c>
      <c r="G44" s="26" t="s">
        <v>146</v>
      </c>
      <c r="H44" s="26" t="s">
        <v>27</v>
      </c>
      <c r="I44" s="26" t="s">
        <v>68</v>
      </c>
      <c r="J44" s="26" t="s">
        <v>69</v>
      </c>
      <c r="K44" s="66">
        <v>1</v>
      </c>
      <c r="L44" s="26" t="s">
        <v>70</v>
      </c>
      <c r="M44" s="26">
        <v>2018</v>
      </c>
      <c r="N44" s="26" t="s">
        <v>52</v>
      </c>
      <c r="O44" s="27" t="s">
        <v>35</v>
      </c>
      <c r="P44" s="26" t="s">
        <v>60</v>
      </c>
      <c r="Q44" s="27" t="s">
        <v>35</v>
      </c>
      <c r="R44" s="28">
        <v>60</v>
      </c>
      <c r="S44" s="29">
        <v>0.6</v>
      </c>
      <c r="T44" s="29">
        <v>0.2</v>
      </c>
      <c r="U44" s="71">
        <v>0.2</v>
      </c>
    </row>
    <row r="45" spans="1:21" x14ac:dyDescent="0.2">
      <c r="A45" s="26" t="s">
        <v>45</v>
      </c>
      <c r="B45" s="26" t="s">
        <v>46</v>
      </c>
      <c r="C45" s="26" t="s">
        <v>47</v>
      </c>
      <c r="D45" s="26" t="s">
        <v>390</v>
      </c>
      <c r="E45" s="26" t="s">
        <v>391</v>
      </c>
      <c r="F45" s="26" t="s">
        <v>392</v>
      </c>
      <c r="G45" s="26" t="s">
        <v>146</v>
      </c>
      <c r="H45" s="26" t="s">
        <v>27</v>
      </c>
      <c r="I45" s="26" t="s">
        <v>68</v>
      </c>
      <c r="J45" s="26" t="s">
        <v>69</v>
      </c>
      <c r="K45" s="34">
        <v>1</v>
      </c>
      <c r="L45" s="34" t="s">
        <v>70</v>
      </c>
      <c r="M45" s="26">
        <v>2021</v>
      </c>
      <c r="N45" s="26" t="s">
        <v>52</v>
      </c>
      <c r="O45" s="27" t="s">
        <v>35</v>
      </c>
      <c r="P45" s="26" t="s">
        <v>60</v>
      </c>
      <c r="Q45" s="27" t="s">
        <v>35</v>
      </c>
      <c r="R45" s="26">
        <v>60</v>
      </c>
      <c r="S45" s="26">
        <v>0.6</v>
      </c>
      <c r="T45" s="26">
        <v>0.2</v>
      </c>
      <c r="U45" s="72">
        <v>0.2</v>
      </c>
    </row>
    <row r="46" spans="1:21" x14ac:dyDescent="0.2">
      <c r="T46" s="75">
        <f>SUM(U40:U45,T2:T39)</f>
        <v>5.224999999999997</v>
      </c>
      <c r="U46" s="76"/>
    </row>
  </sheetData>
  <autoFilter ref="A1:U45" xr:uid="{00000000-0009-0000-0000-000000000000}"/>
  <mergeCells count="1">
    <mergeCell ref="T46:U46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6"/>
  <sheetViews>
    <sheetView topLeftCell="A16" zoomScaleNormal="100" workbookViewId="0">
      <selection activeCell="A36" sqref="A36:S36"/>
    </sheetView>
  </sheetViews>
  <sheetFormatPr baseColWidth="10" defaultColWidth="11.44140625" defaultRowHeight="13.2" x14ac:dyDescent="0.25"/>
  <cols>
    <col min="1" max="1" width="10.5546875" style="18" bestFit="1" customWidth="1"/>
    <col min="2" max="2" width="40.3320312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2" width="5.6640625" style="18" bestFit="1" customWidth="1"/>
    <col min="13" max="14" width="5.6640625" style="20" bestFit="1" customWidth="1"/>
    <col min="15" max="15" width="5.6640625" style="18" bestFit="1" customWidth="1"/>
    <col min="16" max="16" width="5.6640625" style="20" bestFit="1" customWidth="1"/>
    <col min="17" max="19" width="5.6640625" style="18" bestFit="1" customWidth="1"/>
    <col min="20" max="16384" width="11.44140625" style="18"/>
  </cols>
  <sheetData>
    <row r="1" spans="1:19" s="17" customFormat="1" ht="65.099999999999994" customHeight="1" x14ac:dyDescent="0.25">
      <c r="A1" s="21" t="s">
        <v>151</v>
      </c>
      <c r="B1" s="21" t="s">
        <v>152</v>
      </c>
      <c r="C1" s="21" t="s">
        <v>153</v>
      </c>
      <c r="D1" s="22">
        <v>2017</v>
      </c>
      <c r="E1" s="22">
        <v>2018</v>
      </c>
      <c r="F1" s="22">
        <v>2019</v>
      </c>
      <c r="G1" s="22">
        <v>2020</v>
      </c>
      <c r="H1" s="22">
        <v>2021</v>
      </c>
      <c r="I1" s="22">
        <v>2022</v>
      </c>
      <c r="J1" s="21" t="s">
        <v>154</v>
      </c>
      <c r="K1" s="23" t="s">
        <v>234</v>
      </c>
      <c r="L1" s="15" t="s">
        <v>155</v>
      </c>
      <c r="M1" s="15" t="s">
        <v>156</v>
      </c>
      <c r="N1" s="15" t="s">
        <v>157</v>
      </c>
      <c r="O1" s="15" t="s">
        <v>158</v>
      </c>
      <c r="P1" s="16" t="s">
        <v>159</v>
      </c>
      <c r="Q1" s="16" t="s">
        <v>160</v>
      </c>
      <c r="R1" s="16" t="s">
        <v>161</v>
      </c>
      <c r="S1" s="16" t="s">
        <v>162</v>
      </c>
    </row>
    <row r="2" spans="1:19" ht="14.4" x14ac:dyDescent="0.3">
      <c r="A2" s="24" t="s">
        <v>212</v>
      </c>
      <c r="B2" s="24" t="s">
        <v>213</v>
      </c>
      <c r="C2" s="24" t="s">
        <v>163</v>
      </c>
      <c r="D2" s="24">
        <v>1</v>
      </c>
      <c r="E2" s="24"/>
      <c r="F2" s="24"/>
      <c r="G2" s="24"/>
      <c r="H2" s="24"/>
      <c r="I2" s="24"/>
      <c r="J2" s="24">
        <v>1</v>
      </c>
      <c r="K2" s="24" t="s">
        <v>59</v>
      </c>
      <c r="L2" s="25" t="s">
        <v>60</v>
      </c>
      <c r="M2" s="25" t="s">
        <v>36</v>
      </c>
      <c r="N2" s="25" t="s">
        <v>134</v>
      </c>
      <c r="O2" s="25" t="s">
        <v>44</v>
      </c>
      <c r="P2" s="25">
        <v>60</v>
      </c>
      <c r="Q2" s="25">
        <v>0.1</v>
      </c>
      <c r="R2" s="25">
        <v>0.3</v>
      </c>
      <c r="S2" s="25">
        <v>0.6</v>
      </c>
    </row>
    <row r="3" spans="1:19" ht="14.4" x14ac:dyDescent="0.3">
      <c r="A3" s="24" t="s">
        <v>178</v>
      </c>
      <c r="B3" s="24" t="s">
        <v>179</v>
      </c>
      <c r="C3" s="24" t="s">
        <v>163</v>
      </c>
      <c r="D3" s="24"/>
      <c r="E3" s="24">
        <v>2</v>
      </c>
      <c r="F3" s="24"/>
      <c r="G3" s="24"/>
      <c r="H3" s="24"/>
      <c r="I3" s="24"/>
      <c r="J3" s="24">
        <v>2</v>
      </c>
      <c r="K3" s="24" t="s">
        <v>43</v>
      </c>
      <c r="L3" s="25" t="s">
        <v>60</v>
      </c>
      <c r="M3" s="25" t="s">
        <v>36</v>
      </c>
      <c r="N3" s="25" t="s">
        <v>26</v>
      </c>
      <c r="O3" s="25" t="s">
        <v>26</v>
      </c>
      <c r="P3" s="25">
        <v>90</v>
      </c>
      <c r="Q3" s="25">
        <v>0.2</v>
      </c>
      <c r="R3" s="25">
        <v>0</v>
      </c>
      <c r="S3" s="25">
        <v>1.8</v>
      </c>
    </row>
    <row r="4" spans="1:19" ht="14.4" x14ac:dyDescent="0.3">
      <c r="A4" s="24" t="s">
        <v>164</v>
      </c>
      <c r="B4" s="24" t="s">
        <v>165</v>
      </c>
      <c r="C4" s="24" t="s">
        <v>163</v>
      </c>
      <c r="D4" s="24"/>
      <c r="E4" s="24"/>
      <c r="F4" s="24">
        <v>1</v>
      </c>
      <c r="G4" s="24"/>
      <c r="H4" s="24"/>
      <c r="I4" s="24"/>
      <c r="J4" s="24">
        <v>1</v>
      </c>
      <c r="K4" s="24" t="s">
        <v>51</v>
      </c>
      <c r="L4" s="25" t="s">
        <v>60</v>
      </c>
      <c r="M4" s="25" t="s">
        <v>36</v>
      </c>
      <c r="N4" s="25" t="s">
        <v>26</v>
      </c>
      <c r="O4" s="25" t="s">
        <v>26</v>
      </c>
      <c r="P4" s="25">
        <v>90</v>
      </c>
      <c r="Q4" s="25">
        <v>0.1</v>
      </c>
      <c r="R4" s="25">
        <v>0</v>
      </c>
      <c r="S4" s="25">
        <v>0.9</v>
      </c>
    </row>
    <row r="5" spans="1:19" ht="14.4" x14ac:dyDescent="0.3">
      <c r="A5" s="24" t="s">
        <v>166</v>
      </c>
      <c r="B5" s="24" t="s">
        <v>167</v>
      </c>
      <c r="C5" s="24" t="s">
        <v>163</v>
      </c>
      <c r="D5" s="24"/>
      <c r="E5" s="24"/>
      <c r="F5" s="24">
        <v>1</v>
      </c>
      <c r="G5" s="24"/>
      <c r="H5" s="24"/>
      <c r="I5" s="24"/>
      <c r="J5" s="24">
        <v>1</v>
      </c>
      <c r="K5" s="24" t="s">
        <v>59</v>
      </c>
      <c r="L5" s="25" t="s">
        <v>60</v>
      </c>
      <c r="M5" s="25" t="s">
        <v>36</v>
      </c>
      <c r="N5" s="25" t="s">
        <v>26</v>
      </c>
      <c r="O5" s="25" t="s">
        <v>26</v>
      </c>
      <c r="P5" s="25">
        <v>90</v>
      </c>
      <c r="Q5" s="25">
        <v>0.1</v>
      </c>
      <c r="R5" s="25">
        <v>0</v>
      </c>
      <c r="S5" s="25">
        <v>0.9</v>
      </c>
    </row>
    <row r="6" spans="1:19" ht="14.4" x14ac:dyDescent="0.3">
      <c r="A6" s="24" t="s">
        <v>184</v>
      </c>
      <c r="B6" s="24" t="s">
        <v>185</v>
      </c>
      <c r="C6" s="24" t="s">
        <v>163</v>
      </c>
      <c r="D6" s="24">
        <v>1</v>
      </c>
      <c r="E6" s="24"/>
      <c r="F6" s="24"/>
      <c r="G6" s="24"/>
      <c r="H6" s="24"/>
      <c r="I6" s="24"/>
      <c r="J6" s="24">
        <v>1</v>
      </c>
      <c r="K6" s="24" t="s">
        <v>70</v>
      </c>
      <c r="L6" s="25" t="s">
        <v>60</v>
      </c>
      <c r="M6" s="25" t="s">
        <v>30</v>
      </c>
      <c r="N6" s="25" t="s">
        <v>26</v>
      </c>
      <c r="O6" s="25" t="s">
        <v>26</v>
      </c>
      <c r="P6" s="25">
        <v>50</v>
      </c>
      <c r="Q6" s="25">
        <v>0.5</v>
      </c>
      <c r="R6" s="25">
        <v>0</v>
      </c>
      <c r="S6" s="25">
        <v>0.5</v>
      </c>
    </row>
    <row r="7" spans="1:19" ht="14.4" x14ac:dyDescent="0.3">
      <c r="A7" s="24" t="s">
        <v>182</v>
      </c>
      <c r="B7" s="24" t="s">
        <v>183</v>
      </c>
      <c r="C7" s="24" t="s">
        <v>163</v>
      </c>
      <c r="D7" s="24">
        <v>1</v>
      </c>
      <c r="E7" s="24"/>
      <c r="F7" s="24"/>
      <c r="G7" s="24"/>
      <c r="H7" s="24"/>
      <c r="I7" s="24"/>
      <c r="J7" s="24">
        <v>1</v>
      </c>
      <c r="K7" s="24" t="s">
        <v>59</v>
      </c>
      <c r="L7" s="25" t="s">
        <v>60</v>
      </c>
      <c r="M7" s="25" t="s">
        <v>36</v>
      </c>
      <c r="N7" s="25" t="s">
        <v>26</v>
      </c>
      <c r="O7" s="25" t="s">
        <v>26</v>
      </c>
      <c r="P7" s="25">
        <v>90</v>
      </c>
      <c r="Q7" s="25">
        <v>0.1</v>
      </c>
      <c r="R7" s="25">
        <v>0</v>
      </c>
      <c r="S7" s="25">
        <v>0.9</v>
      </c>
    </row>
    <row r="8" spans="1:19" ht="14.4" x14ac:dyDescent="0.3">
      <c r="A8" s="24" t="s">
        <v>210</v>
      </c>
      <c r="B8" s="24" t="s">
        <v>211</v>
      </c>
      <c r="C8" s="24" t="s">
        <v>163</v>
      </c>
      <c r="D8" s="24"/>
      <c r="E8" s="24"/>
      <c r="F8" s="24">
        <v>1</v>
      </c>
      <c r="G8" s="24"/>
      <c r="H8" s="24"/>
      <c r="I8" s="24"/>
      <c r="J8" s="24">
        <v>1</v>
      </c>
      <c r="K8" s="24" t="s">
        <v>118</v>
      </c>
      <c r="L8" s="25" t="s">
        <v>60</v>
      </c>
      <c r="M8" s="25" t="s">
        <v>36</v>
      </c>
      <c r="N8" s="25" t="s">
        <v>52</v>
      </c>
      <c r="O8" s="25" t="s">
        <v>35</v>
      </c>
      <c r="P8" s="25">
        <v>70</v>
      </c>
      <c r="Q8" s="25">
        <v>0.1</v>
      </c>
      <c r="R8" s="25">
        <v>0.2</v>
      </c>
      <c r="S8" s="25">
        <v>0.7</v>
      </c>
    </row>
    <row r="9" spans="1:19" ht="14.4" x14ac:dyDescent="0.3">
      <c r="A9" s="24" t="s">
        <v>174</v>
      </c>
      <c r="B9" s="24" t="s">
        <v>175</v>
      </c>
      <c r="C9" s="74" t="s">
        <v>163</v>
      </c>
      <c r="D9" s="24"/>
      <c r="E9" s="24"/>
      <c r="F9" s="24">
        <v>1</v>
      </c>
      <c r="G9" s="24"/>
      <c r="H9" s="24"/>
      <c r="I9" s="24">
        <v>1</v>
      </c>
      <c r="J9" s="24">
        <v>2</v>
      </c>
      <c r="K9" s="24" t="s">
        <v>70</v>
      </c>
      <c r="L9" s="25" t="s">
        <v>60</v>
      </c>
      <c r="M9" s="25" t="s">
        <v>30</v>
      </c>
      <c r="N9" s="25" t="s">
        <v>26</v>
      </c>
      <c r="O9" s="25" t="s">
        <v>26</v>
      </c>
      <c r="P9" s="25">
        <v>50</v>
      </c>
      <c r="Q9" s="25">
        <v>1</v>
      </c>
      <c r="R9" s="25">
        <v>0</v>
      </c>
      <c r="S9" s="25">
        <v>1</v>
      </c>
    </row>
    <row r="10" spans="1:19" ht="14.4" x14ac:dyDescent="0.3">
      <c r="A10" s="24" t="s">
        <v>190</v>
      </c>
      <c r="B10" s="24" t="s">
        <v>191</v>
      </c>
      <c r="C10" s="24" t="s">
        <v>163</v>
      </c>
      <c r="D10" s="24"/>
      <c r="E10" s="24"/>
      <c r="F10" s="24"/>
      <c r="G10" s="24"/>
      <c r="H10" s="24">
        <v>1</v>
      </c>
      <c r="I10" s="24"/>
      <c r="J10" s="24">
        <v>1</v>
      </c>
      <c r="K10" s="24" t="s">
        <v>118</v>
      </c>
      <c r="L10" s="25" t="s">
        <v>60</v>
      </c>
      <c r="M10" s="25" t="s">
        <v>35</v>
      </c>
      <c r="N10" s="25" t="s">
        <v>26</v>
      </c>
      <c r="O10" s="25" t="s">
        <v>26</v>
      </c>
      <c r="P10" s="25">
        <v>80</v>
      </c>
      <c r="Q10" s="25">
        <v>0.2</v>
      </c>
      <c r="R10" s="25">
        <v>0</v>
      </c>
      <c r="S10" s="25">
        <v>0.8</v>
      </c>
    </row>
    <row r="11" spans="1:19" ht="14.4" x14ac:dyDescent="0.3">
      <c r="A11" s="24" t="s">
        <v>196</v>
      </c>
      <c r="B11" s="24" t="s">
        <v>197</v>
      </c>
      <c r="C11" s="24" t="s">
        <v>163</v>
      </c>
      <c r="D11" s="24"/>
      <c r="E11" s="24"/>
      <c r="F11" s="24">
        <v>2</v>
      </c>
      <c r="G11" s="24"/>
      <c r="H11" s="24"/>
      <c r="I11" s="24"/>
      <c r="J11" s="24">
        <v>2</v>
      </c>
      <c r="K11" s="24" t="s">
        <v>99</v>
      </c>
      <c r="L11" s="25" t="s">
        <v>60</v>
      </c>
      <c r="M11" s="25" t="s">
        <v>36</v>
      </c>
      <c r="N11" s="25" t="s">
        <v>26</v>
      </c>
      <c r="O11" s="25" t="s">
        <v>26</v>
      </c>
      <c r="P11" s="25">
        <v>90</v>
      </c>
      <c r="Q11" s="25">
        <v>0.2</v>
      </c>
      <c r="R11" s="25">
        <v>0</v>
      </c>
      <c r="S11" s="25">
        <v>1.8</v>
      </c>
    </row>
    <row r="12" spans="1:19" ht="14.4" x14ac:dyDescent="0.3">
      <c r="A12" s="24" t="s">
        <v>204</v>
      </c>
      <c r="B12" s="24" t="s">
        <v>205</v>
      </c>
      <c r="C12" s="24" t="s">
        <v>163</v>
      </c>
      <c r="D12" s="24">
        <v>1</v>
      </c>
      <c r="E12" s="24"/>
      <c r="F12" s="24"/>
      <c r="G12" s="24"/>
      <c r="H12" s="24"/>
      <c r="I12" s="24"/>
      <c r="J12" s="24">
        <v>1</v>
      </c>
      <c r="K12" s="24" t="s">
        <v>59</v>
      </c>
      <c r="L12" s="25" t="s">
        <v>60</v>
      </c>
      <c r="M12" s="25" t="s">
        <v>36</v>
      </c>
      <c r="N12" s="25" t="s">
        <v>52</v>
      </c>
      <c r="O12" s="25" t="s">
        <v>36</v>
      </c>
      <c r="P12" s="25">
        <v>80</v>
      </c>
      <c r="Q12" s="25">
        <v>0.1</v>
      </c>
      <c r="R12" s="25">
        <v>0.1</v>
      </c>
      <c r="S12" s="25">
        <v>0.8</v>
      </c>
    </row>
    <row r="13" spans="1:19" ht="14.4" x14ac:dyDescent="0.3">
      <c r="A13" s="24" t="s">
        <v>170</v>
      </c>
      <c r="B13" s="24" t="s">
        <v>171</v>
      </c>
      <c r="C13" s="24" t="s">
        <v>163</v>
      </c>
      <c r="D13" s="24"/>
      <c r="E13" s="24"/>
      <c r="F13" s="24"/>
      <c r="G13" s="24"/>
      <c r="H13" s="24"/>
      <c r="I13" s="24">
        <v>1</v>
      </c>
      <c r="J13" s="24">
        <v>1</v>
      </c>
      <c r="K13" s="24" t="s">
        <v>70</v>
      </c>
      <c r="L13" s="25" t="s">
        <v>60</v>
      </c>
      <c r="M13" s="25" t="s">
        <v>30</v>
      </c>
      <c r="N13" s="25" t="s">
        <v>26</v>
      </c>
      <c r="O13" s="25" t="s">
        <v>26</v>
      </c>
      <c r="P13" s="25">
        <v>50</v>
      </c>
      <c r="Q13" s="25">
        <v>0.5</v>
      </c>
      <c r="R13" s="25">
        <v>0</v>
      </c>
      <c r="S13" s="25">
        <v>0.5</v>
      </c>
    </row>
    <row r="14" spans="1:19" ht="14.4" x14ac:dyDescent="0.3">
      <c r="A14" s="24" t="s">
        <v>168</v>
      </c>
      <c r="B14" s="24" t="s">
        <v>169</v>
      </c>
      <c r="C14" s="24" t="s">
        <v>163</v>
      </c>
      <c r="D14" s="24"/>
      <c r="E14" s="24">
        <v>1</v>
      </c>
      <c r="F14" s="24">
        <v>1</v>
      </c>
      <c r="G14" s="24"/>
      <c r="H14" s="24"/>
      <c r="I14" s="24"/>
      <c r="J14" s="24">
        <v>2</v>
      </c>
      <c r="K14" s="24" t="s">
        <v>70</v>
      </c>
      <c r="L14" s="25" t="s">
        <v>60</v>
      </c>
      <c r="M14" s="25" t="s">
        <v>30</v>
      </c>
      <c r="N14" s="25" t="s">
        <v>26</v>
      </c>
      <c r="O14" s="25" t="s">
        <v>26</v>
      </c>
      <c r="P14" s="25">
        <v>50</v>
      </c>
      <c r="Q14" s="25">
        <v>1</v>
      </c>
      <c r="R14" s="25">
        <v>0</v>
      </c>
      <c r="S14" s="25">
        <v>1</v>
      </c>
    </row>
    <row r="15" spans="1:19" ht="14.4" x14ac:dyDescent="0.3">
      <c r="A15" s="24" t="s">
        <v>198</v>
      </c>
      <c r="B15" s="24" t="s">
        <v>199</v>
      </c>
      <c r="C15" s="24" t="s">
        <v>163</v>
      </c>
      <c r="D15" s="24"/>
      <c r="E15" s="24"/>
      <c r="F15" s="24">
        <v>1</v>
      </c>
      <c r="G15" s="24"/>
      <c r="H15" s="24"/>
      <c r="I15" s="24">
        <v>1</v>
      </c>
      <c r="J15" s="24">
        <v>2</v>
      </c>
      <c r="K15" s="24" t="s">
        <v>70</v>
      </c>
      <c r="L15" s="25" t="s">
        <v>60</v>
      </c>
      <c r="M15" s="25" t="s">
        <v>30</v>
      </c>
      <c r="N15" s="25" t="s">
        <v>26</v>
      </c>
      <c r="O15" s="25" t="s">
        <v>26</v>
      </c>
      <c r="P15" s="25">
        <v>50</v>
      </c>
      <c r="Q15" s="25">
        <v>1</v>
      </c>
      <c r="R15" s="25">
        <v>0</v>
      </c>
      <c r="S15" s="25">
        <v>1</v>
      </c>
    </row>
    <row r="16" spans="1:19" ht="14.4" x14ac:dyDescent="0.3">
      <c r="A16" s="24" t="s">
        <v>180</v>
      </c>
      <c r="B16" s="24" t="s">
        <v>181</v>
      </c>
      <c r="C16" s="24" t="s">
        <v>163</v>
      </c>
      <c r="D16" s="24">
        <v>1</v>
      </c>
      <c r="E16" s="24"/>
      <c r="F16" s="24"/>
      <c r="G16" s="24"/>
      <c r="H16" s="24"/>
      <c r="I16" s="24"/>
      <c r="J16" s="24">
        <v>1</v>
      </c>
      <c r="K16" s="24" t="s">
        <v>59</v>
      </c>
      <c r="L16" s="25" t="s">
        <v>60</v>
      </c>
      <c r="M16" s="25" t="s">
        <v>36</v>
      </c>
      <c r="N16" s="25" t="s">
        <v>26</v>
      </c>
      <c r="O16" s="25" t="s">
        <v>26</v>
      </c>
      <c r="P16" s="25">
        <v>90</v>
      </c>
      <c r="Q16" s="25">
        <v>0.1</v>
      </c>
      <c r="R16" s="25">
        <v>0</v>
      </c>
      <c r="S16" s="25">
        <v>0.9</v>
      </c>
    </row>
    <row r="17" spans="1:19" ht="14.4" x14ac:dyDescent="0.3">
      <c r="A17" s="24" t="s">
        <v>202</v>
      </c>
      <c r="B17" s="24" t="s">
        <v>203</v>
      </c>
      <c r="C17" s="24" t="s">
        <v>163</v>
      </c>
      <c r="D17" s="24"/>
      <c r="E17" s="24"/>
      <c r="F17" s="24">
        <v>1</v>
      </c>
      <c r="G17" s="24"/>
      <c r="H17" s="24"/>
      <c r="I17" s="24"/>
      <c r="J17" s="24">
        <v>1</v>
      </c>
      <c r="K17" s="24" t="s">
        <v>118</v>
      </c>
      <c r="L17" s="25" t="s">
        <v>60</v>
      </c>
      <c r="M17" s="25" t="s">
        <v>36</v>
      </c>
      <c r="N17" s="25" t="s">
        <v>52</v>
      </c>
      <c r="O17" s="25" t="s">
        <v>35</v>
      </c>
      <c r="P17" s="25">
        <v>70</v>
      </c>
      <c r="Q17" s="25">
        <v>0.1</v>
      </c>
      <c r="R17" s="25">
        <v>0.2</v>
      </c>
      <c r="S17" s="25">
        <v>0.7</v>
      </c>
    </row>
    <row r="18" spans="1:19" ht="14.4" x14ac:dyDescent="0.3">
      <c r="A18" s="24" t="s">
        <v>394</v>
      </c>
      <c r="B18" s="24" t="s">
        <v>395</v>
      </c>
      <c r="C18" s="24" t="s">
        <v>163</v>
      </c>
      <c r="D18" s="24"/>
      <c r="E18" s="24"/>
      <c r="F18" s="24"/>
      <c r="G18" s="24"/>
      <c r="H18" s="24"/>
      <c r="I18" s="24">
        <v>1</v>
      </c>
      <c r="J18" s="24">
        <v>1</v>
      </c>
      <c r="K18" s="24" t="s">
        <v>70</v>
      </c>
      <c r="L18" s="25" t="s">
        <v>60</v>
      </c>
      <c r="M18" s="25" t="s">
        <v>36</v>
      </c>
      <c r="N18" s="25" t="s">
        <v>26</v>
      </c>
      <c r="O18" s="25" t="s">
        <v>26</v>
      </c>
      <c r="P18" s="25">
        <v>90</v>
      </c>
      <c r="Q18" s="25">
        <v>0.1</v>
      </c>
      <c r="R18" s="25">
        <v>0</v>
      </c>
      <c r="S18" s="25">
        <v>0.9</v>
      </c>
    </row>
    <row r="19" spans="1:19" ht="14.4" x14ac:dyDescent="0.3">
      <c r="A19" s="24" t="s">
        <v>194</v>
      </c>
      <c r="B19" s="24" t="s">
        <v>195</v>
      </c>
      <c r="C19" s="24" t="s">
        <v>163</v>
      </c>
      <c r="D19" s="24"/>
      <c r="E19" s="24"/>
      <c r="F19" s="24">
        <v>1</v>
      </c>
      <c r="G19" s="24"/>
      <c r="H19" s="24"/>
      <c r="I19" s="24"/>
      <c r="J19" s="24">
        <v>1</v>
      </c>
      <c r="K19" s="24" t="s">
        <v>59</v>
      </c>
      <c r="L19" s="25" t="s">
        <v>60</v>
      </c>
      <c r="M19" s="25" t="s">
        <v>36</v>
      </c>
      <c r="N19" s="25" t="s">
        <v>52</v>
      </c>
      <c r="O19" s="25" t="s">
        <v>35</v>
      </c>
      <c r="P19" s="25">
        <v>70</v>
      </c>
      <c r="Q19" s="25">
        <v>0.1</v>
      </c>
      <c r="R19" s="25">
        <v>0.2</v>
      </c>
      <c r="S19" s="25">
        <v>0.7</v>
      </c>
    </row>
    <row r="20" spans="1:19" ht="14.4" x14ac:dyDescent="0.3">
      <c r="A20" s="24" t="s">
        <v>206</v>
      </c>
      <c r="B20" s="24" t="s">
        <v>207</v>
      </c>
      <c r="C20" s="24" t="s">
        <v>163</v>
      </c>
      <c r="D20" s="24"/>
      <c r="E20" s="24"/>
      <c r="F20" s="24"/>
      <c r="G20" s="24"/>
      <c r="H20" s="24"/>
      <c r="I20" s="24">
        <v>1</v>
      </c>
      <c r="J20" s="24">
        <v>1</v>
      </c>
      <c r="K20" s="24" t="s">
        <v>70</v>
      </c>
      <c r="L20" s="25" t="s">
        <v>60</v>
      </c>
      <c r="M20" s="25" t="s">
        <v>36</v>
      </c>
      <c r="N20" s="25" t="s">
        <v>52</v>
      </c>
      <c r="O20" s="25" t="s">
        <v>35</v>
      </c>
      <c r="P20" s="25">
        <v>70</v>
      </c>
      <c r="Q20" s="25">
        <v>0.1</v>
      </c>
      <c r="R20" s="25">
        <v>0.2</v>
      </c>
      <c r="S20" s="25">
        <v>0.7</v>
      </c>
    </row>
    <row r="21" spans="1:19" ht="14.4" x14ac:dyDescent="0.3">
      <c r="A21" s="24" t="s">
        <v>188</v>
      </c>
      <c r="B21" s="24" t="s">
        <v>189</v>
      </c>
      <c r="C21" s="74" t="s">
        <v>163</v>
      </c>
      <c r="D21" s="24"/>
      <c r="E21" s="24"/>
      <c r="F21" s="24">
        <v>1</v>
      </c>
      <c r="G21" s="24"/>
      <c r="H21" s="24"/>
      <c r="I21" s="24"/>
      <c r="J21" s="24">
        <v>1</v>
      </c>
      <c r="K21" s="24" t="s">
        <v>59</v>
      </c>
      <c r="L21" s="25" t="s">
        <v>60</v>
      </c>
      <c r="M21" s="25" t="s">
        <v>36</v>
      </c>
      <c r="N21" s="25" t="s">
        <v>26</v>
      </c>
      <c r="O21" s="25" t="s">
        <v>26</v>
      </c>
      <c r="P21" s="25">
        <v>90</v>
      </c>
      <c r="Q21" s="25">
        <v>0.1</v>
      </c>
      <c r="R21" s="25">
        <v>0</v>
      </c>
      <c r="S21" s="25">
        <v>0.9</v>
      </c>
    </row>
    <row r="22" spans="1:19" s="19" customFormat="1" ht="14.4" x14ac:dyDescent="0.3">
      <c r="A22" s="24" t="s">
        <v>186</v>
      </c>
      <c r="B22" s="24" t="s">
        <v>187</v>
      </c>
      <c r="C22" s="24" t="s">
        <v>163</v>
      </c>
      <c r="D22" s="24"/>
      <c r="E22" s="24"/>
      <c r="F22" s="24"/>
      <c r="G22" s="24"/>
      <c r="H22" s="24">
        <v>1</v>
      </c>
      <c r="I22" s="24"/>
      <c r="J22" s="24">
        <v>1</v>
      </c>
      <c r="K22" s="24" t="s">
        <v>59</v>
      </c>
      <c r="L22" s="25" t="s">
        <v>60</v>
      </c>
      <c r="M22" s="25" t="s">
        <v>36</v>
      </c>
      <c r="N22" s="25" t="s">
        <v>26</v>
      </c>
      <c r="O22" s="25" t="s">
        <v>26</v>
      </c>
      <c r="P22" s="25">
        <v>90</v>
      </c>
      <c r="Q22" s="25">
        <v>0.1</v>
      </c>
      <c r="R22" s="25">
        <v>0</v>
      </c>
      <c r="S22" s="25">
        <v>0.9</v>
      </c>
    </row>
    <row r="23" spans="1:19" ht="14.4" x14ac:dyDescent="0.3">
      <c r="A23" s="24" t="s">
        <v>396</v>
      </c>
      <c r="B23" s="24" t="s">
        <v>397</v>
      </c>
      <c r="C23" s="24" t="s">
        <v>163</v>
      </c>
      <c r="D23" s="24"/>
      <c r="E23" s="24"/>
      <c r="F23" s="24"/>
      <c r="G23" s="24"/>
      <c r="H23" s="24"/>
      <c r="I23" s="24">
        <v>1</v>
      </c>
      <c r="J23" s="24">
        <v>1</v>
      </c>
      <c r="K23" s="24" t="s">
        <v>70</v>
      </c>
      <c r="L23" s="25" t="s">
        <v>60</v>
      </c>
      <c r="M23" s="25" t="s">
        <v>36</v>
      </c>
      <c r="N23" s="25" t="s">
        <v>26</v>
      </c>
      <c r="O23" s="25" t="s">
        <v>26</v>
      </c>
      <c r="P23" s="25">
        <v>90</v>
      </c>
      <c r="Q23" s="25">
        <v>0.1</v>
      </c>
      <c r="R23" s="25">
        <v>0</v>
      </c>
      <c r="S23" s="25">
        <v>0.9</v>
      </c>
    </row>
    <row r="24" spans="1:19" ht="14.4" x14ac:dyDescent="0.3">
      <c r="A24" s="24" t="s">
        <v>200</v>
      </c>
      <c r="B24" s="24" t="s">
        <v>201</v>
      </c>
      <c r="C24" s="24" t="s">
        <v>163</v>
      </c>
      <c r="D24" s="24"/>
      <c r="E24" s="24">
        <v>1</v>
      </c>
      <c r="F24" s="24"/>
      <c r="G24" s="24"/>
      <c r="H24" s="24"/>
      <c r="I24" s="24"/>
      <c r="J24" s="24">
        <v>1</v>
      </c>
      <c r="K24" s="24" t="s">
        <v>70</v>
      </c>
      <c r="L24" s="25" t="s">
        <v>60</v>
      </c>
      <c r="M24" s="25" t="s">
        <v>30</v>
      </c>
      <c r="N24" s="25" t="s">
        <v>26</v>
      </c>
      <c r="O24" s="25" t="s">
        <v>26</v>
      </c>
      <c r="P24" s="25">
        <v>50</v>
      </c>
      <c r="Q24" s="25">
        <v>0.5</v>
      </c>
      <c r="R24" s="25">
        <v>0</v>
      </c>
      <c r="S24" s="25">
        <v>0.5</v>
      </c>
    </row>
    <row r="25" spans="1:19" ht="14.4" x14ac:dyDescent="0.3">
      <c r="A25" s="24" t="s">
        <v>172</v>
      </c>
      <c r="B25" s="24" t="s">
        <v>173</v>
      </c>
      <c r="C25" s="24" t="s">
        <v>163</v>
      </c>
      <c r="D25" s="24"/>
      <c r="E25" s="24">
        <v>1</v>
      </c>
      <c r="F25" s="24"/>
      <c r="G25" s="24">
        <v>1</v>
      </c>
      <c r="H25" s="24"/>
      <c r="I25" s="24"/>
      <c r="J25" s="24">
        <v>2</v>
      </c>
      <c r="K25" s="24" t="s">
        <v>103</v>
      </c>
      <c r="L25" s="25" t="s">
        <v>60</v>
      </c>
      <c r="M25" s="25" t="s">
        <v>36</v>
      </c>
      <c r="N25" s="25" t="s">
        <v>26</v>
      </c>
      <c r="O25" s="25" t="s">
        <v>26</v>
      </c>
      <c r="P25" s="25">
        <v>90</v>
      </c>
      <c r="Q25" s="25">
        <v>0.2</v>
      </c>
      <c r="R25" s="25">
        <v>0</v>
      </c>
      <c r="S25" s="25">
        <v>1.8</v>
      </c>
    </row>
    <row r="26" spans="1:19" ht="14.4" x14ac:dyDescent="0.3">
      <c r="A26" s="24" t="s">
        <v>192</v>
      </c>
      <c r="B26" s="24" t="s">
        <v>193</v>
      </c>
      <c r="C26" s="24" t="s">
        <v>163</v>
      </c>
      <c r="D26" s="24"/>
      <c r="E26" s="24"/>
      <c r="F26" s="24">
        <v>1</v>
      </c>
      <c r="G26" s="24"/>
      <c r="H26" s="24"/>
      <c r="I26" s="24"/>
      <c r="J26" s="24">
        <v>1</v>
      </c>
      <c r="K26" s="24" t="s">
        <v>70</v>
      </c>
      <c r="L26" s="25" t="s">
        <v>60</v>
      </c>
      <c r="M26" s="25" t="s">
        <v>36</v>
      </c>
      <c r="N26" s="25" t="s">
        <v>26</v>
      </c>
      <c r="O26" s="25" t="s">
        <v>26</v>
      </c>
      <c r="P26" s="25">
        <v>90</v>
      </c>
      <c r="Q26" s="25">
        <v>0.1</v>
      </c>
      <c r="R26" s="25">
        <v>0</v>
      </c>
      <c r="S26" s="25">
        <v>0.9</v>
      </c>
    </row>
    <row r="27" spans="1:19" ht="14.4" x14ac:dyDescent="0.3">
      <c r="A27" s="24" t="s">
        <v>176</v>
      </c>
      <c r="B27" s="24" t="s">
        <v>177</v>
      </c>
      <c r="C27" s="24" t="s">
        <v>163</v>
      </c>
      <c r="D27" s="24"/>
      <c r="E27" s="24"/>
      <c r="F27" s="24">
        <v>2</v>
      </c>
      <c r="G27" s="24"/>
      <c r="H27" s="24"/>
      <c r="I27" s="24"/>
      <c r="J27" s="24">
        <v>2</v>
      </c>
      <c r="K27" s="24" t="s">
        <v>103</v>
      </c>
      <c r="L27" s="25" t="s">
        <v>60</v>
      </c>
      <c r="M27" s="25" t="s">
        <v>36</v>
      </c>
      <c r="N27" s="25" t="s">
        <v>26</v>
      </c>
      <c r="O27" s="25" t="s">
        <v>26</v>
      </c>
      <c r="P27" s="25">
        <v>90</v>
      </c>
      <c r="Q27" s="25">
        <v>0.2</v>
      </c>
      <c r="R27" s="25">
        <v>0</v>
      </c>
      <c r="S27" s="25">
        <v>1.8</v>
      </c>
    </row>
    <row r="28" spans="1:19" ht="14.4" x14ac:dyDescent="0.3">
      <c r="A28" s="24" t="s">
        <v>398</v>
      </c>
      <c r="B28" s="24" t="s">
        <v>399</v>
      </c>
      <c r="C28" s="24" t="s">
        <v>400</v>
      </c>
      <c r="D28" s="24"/>
      <c r="E28" s="24"/>
      <c r="F28" s="24"/>
      <c r="G28" s="24"/>
      <c r="H28" s="24"/>
      <c r="I28" s="24">
        <v>1</v>
      </c>
      <c r="J28" s="24">
        <v>1</v>
      </c>
      <c r="K28" s="24" t="s">
        <v>70</v>
      </c>
      <c r="L28" s="25" t="s">
        <v>60</v>
      </c>
      <c r="M28" s="25" t="s">
        <v>35</v>
      </c>
      <c r="N28" s="25" t="s">
        <v>134</v>
      </c>
      <c r="O28" s="25" t="s">
        <v>35</v>
      </c>
      <c r="P28" s="25">
        <v>60</v>
      </c>
      <c r="Q28" s="25">
        <v>0.2</v>
      </c>
      <c r="R28" s="25">
        <v>0.2</v>
      </c>
      <c r="S28" s="25">
        <v>0.6</v>
      </c>
    </row>
    <row r="29" spans="1:19" ht="14.4" x14ac:dyDescent="0.3">
      <c r="A29" s="24" t="s">
        <v>208</v>
      </c>
      <c r="B29" s="24" t="s">
        <v>209</v>
      </c>
      <c r="C29" s="24" t="s">
        <v>163</v>
      </c>
      <c r="D29" s="24">
        <v>1</v>
      </c>
      <c r="E29" s="24"/>
      <c r="F29" s="24"/>
      <c r="G29" s="24"/>
      <c r="H29" s="24"/>
      <c r="I29" s="24"/>
      <c r="J29" s="24">
        <v>1</v>
      </c>
      <c r="K29" s="24" t="s">
        <v>59</v>
      </c>
      <c r="L29" s="25" t="s">
        <v>60</v>
      </c>
      <c r="M29" s="25" t="s">
        <v>36</v>
      </c>
      <c r="N29" s="25" t="s">
        <v>52</v>
      </c>
      <c r="O29" s="25" t="s">
        <v>35</v>
      </c>
      <c r="P29" s="25">
        <v>70</v>
      </c>
      <c r="Q29" s="25">
        <v>0.1</v>
      </c>
      <c r="R29" s="25">
        <v>0.2</v>
      </c>
      <c r="S29" s="25">
        <v>0.7</v>
      </c>
    </row>
    <row r="30" spans="1:19" ht="14.4" x14ac:dyDescent="0.3">
      <c r="A30" s="24" t="s">
        <v>401</v>
      </c>
      <c r="B30" s="24" t="s">
        <v>402</v>
      </c>
      <c r="C30" s="24" t="s">
        <v>400</v>
      </c>
      <c r="D30" s="24"/>
      <c r="E30" s="24"/>
      <c r="F30" s="24"/>
      <c r="G30" s="24"/>
      <c r="H30" s="24"/>
      <c r="I30" s="24">
        <v>1</v>
      </c>
      <c r="J30" s="24">
        <v>1</v>
      </c>
      <c r="K30" s="24" t="s">
        <v>59</v>
      </c>
      <c r="L30" s="25" t="s">
        <v>60</v>
      </c>
      <c r="M30" s="25" t="s">
        <v>36</v>
      </c>
      <c r="N30" s="25" t="s">
        <v>403</v>
      </c>
      <c r="O30" s="25" t="s">
        <v>36</v>
      </c>
      <c r="P30" s="25">
        <v>80</v>
      </c>
      <c r="Q30" s="25">
        <v>0.1</v>
      </c>
      <c r="R30" s="25">
        <v>0.1</v>
      </c>
      <c r="S30" s="25">
        <v>0.8</v>
      </c>
    </row>
    <row r="31" spans="1:19" ht="14.4" x14ac:dyDescent="0.3">
      <c r="A31" s="24" t="s">
        <v>404</v>
      </c>
      <c r="B31" s="24" t="s">
        <v>405</v>
      </c>
      <c r="C31" s="74" t="s">
        <v>400</v>
      </c>
      <c r="D31" s="24"/>
      <c r="E31" s="24"/>
      <c r="F31" s="24"/>
      <c r="G31" s="24"/>
      <c r="H31" s="24">
        <v>1</v>
      </c>
      <c r="I31" s="24"/>
      <c r="J31" s="24">
        <v>1</v>
      </c>
      <c r="K31" s="24" t="s">
        <v>70</v>
      </c>
      <c r="L31" s="25" t="s">
        <v>60</v>
      </c>
      <c r="M31" s="25" t="s">
        <v>35</v>
      </c>
      <c r="N31" s="25" t="s">
        <v>26</v>
      </c>
      <c r="O31" s="25" t="s">
        <v>26</v>
      </c>
      <c r="P31" s="25">
        <v>80</v>
      </c>
      <c r="Q31" s="25">
        <v>0.2</v>
      </c>
      <c r="R31" s="25">
        <v>0</v>
      </c>
      <c r="S31" s="25">
        <v>0.8</v>
      </c>
    </row>
    <row r="32" spans="1:19" ht="14.4" x14ac:dyDescent="0.3">
      <c r="A32" s="24" t="s">
        <v>406</v>
      </c>
      <c r="B32" s="24" t="s">
        <v>407</v>
      </c>
      <c r="C32" s="74" t="s">
        <v>400</v>
      </c>
      <c r="D32" s="24"/>
      <c r="E32" s="24"/>
      <c r="F32" s="24"/>
      <c r="G32" s="24"/>
      <c r="H32" s="24"/>
      <c r="I32" s="24">
        <v>1</v>
      </c>
      <c r="J32" s="24">
        <v>1</v>
      </c>
      <c r="K32" s="24" t="s">
        <v>70</v>
      </c>
      <c r="L32" s="25" t="s">
        <v>60</v>
      </c>
      <c r="M32" s="25" t="s">
        <v>30</v>
      </c>
      <c r="N32" s="25" t="s">
        <v>26</v>
      </c>
      <c r="O32" s="25" t="s">
        <v>26</v>
      </c>
      <c r="P32" s="25">
        <v>50</v>
      </c>
      <c r="Q32" s="25">
        <v>0.5</v>
      </c>
      <c r="R32" s="25">
        <v>0</v>
      </c>
      <c r="S32" s="25">
        <v>0.5</v>
      </c>
    </row>
    <row r="33" spans="1:19" ht="14.4" x14ac:dyDescent="0.3">
      <c r="A33" s="24" t="s">
        <v>216</v>
      </c>
      <c r="B33" s="24" t="s">
        <v>217</v>
      </c>
      <c r="C33" s="24" t="s">
        <v>163</v>
      </c>
      <c r="D33" s="24"/>
      <c r="E33" s="24"/>
      <c r="F33" s="24">
        <v>1</v>
      </c>
      <c r="G33" s="24">
        <v>1</v>
      </c>
      <c r="H33" s="24"/>
      <c r="I33" s="24"/>
      <c r="J33" s="24">
        <v>2</v>
      </c>
      <c r="K33" s="24" t="s">
        <v>59</v>
      </c>
      <c r="L33" s="25" t="s">
        <v>52</v>
      </c>
      <c r="M33" s="25" t="s">
        <v>35</v>
      </c>
      <c r="N33" s="25" t="s">
        <v>60</v>
      </c>
      <c r="O33" s="25" t="s">
        <v>36</v>
      </c>
      <c r="P33" s="25">
        <v>70</v>
      </c>
      <c r="Q33" s="25">
        <v>0.4</v>
      </c>
      <c r="R33" s="25">
        <v>0.2</v>
      </c>
      <c r="S33" s="25">
        <v>1.4</v>
      </c>
    </row>
    <row r="34" spans="1:19" ht="14.4" x14ac:dyDescent="0.3">
      <c r="A34" s="24" t="s">
        <v>235</v>
      </c>
      <c r="B34" s="24" t="s">
        <v>236</v>
      </c>
      <c r="C34" s="24" t="s">
        <v>163</v>
      </c>
      <c r="D34" s="24"/>
      <c r="E34" s="24"/>
      <c r="F34" s="24"/>
      <c r="G34" s="24"/>
      <c r="H34" s="24">
        <v>1</v>
      </c>
      <c r="I34" s="24"/>
      <c r="J34" s="24">
        <v>1</v>
      </c>
      <c r="K34" s="24" t="s">
        <v>70</v>
      </c>
      <c r="L34" s="25" t="s">
        <v>134</v>
      </c>
      <c r="M34" s="25" t="s">
        <v>44</v>
      </c>
      <c r="N34" s="25" t="s">
        <v>60</v>
      </c>
      <c r="O34" s="25" t="s">
        <v>44</v>
      </c>
      <c r="P34" s="25">
        <v>40</v>
      </c>
      <c r="Q34" s="25">
        <v>0.3</v>
      </c>
      <c r="R34" s="25">
        <v>0.3</v>
      </c>
      <c r="S34" s="25">
        <v>0.4</v>
      </c>
    </row>
    <row r="35" spans="1:19" ht="14.4" x14ac:dyDescent="0.3">
      <c r="A35" s="24" t="s">
        <v>214</v>
      </c>
      <c r="B35" s="24" t="s">
        <v>215</v>
      </c>
      <c r="C35" s="74" t="s">
        <v>163</v>
      </c>
      <c r="D35" s="24"/>
      <c r="E35" s="24"/>
      <c r="F35" s="24"/>
      <c r="G35" s="24">
        <v>1</v>
      </c>
      <c r="H35" s="24"/>
      <c r="I35" s="24"/>
      <c r="J35" s="24">
        <v>1</v>
      </c>
      <c r="K35" s="24" t="s">
        <v>70</v>
      </c>
      <c r="L35" s="25" t="s">
        <v>52</v>
      </c>
      <c r="M35" s="25" t="s">
        <v>35</v>
      </c>
      <c r="N35" s="25" t="s">
        <v>60</v>
      </c>
      <c r="O35" s="25" t="s">
        <v>35</v>
      </c>
      <c r="P35" s="25">
        <v>60</v>
      </c>
      <c r="Q35" s="25">
        <v>0.2</v>
      </c>
      <c r="R35" s="25">
        <v>0.2</v>
      </c>
      <c r="S35" s="25">
        <v>0.6</v>
      </c>
    </row>
    <row r="36" spans="1:19" x14ac:dyDescent="0.2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8"/>
      <c r="N36" s="78"/>
      <c r="O36" s="77"/>
      <c r="P36" s="78"/>
      <c r="Q36" s="79">
        <f>SUM(R33:R35,Q2:Q32)</f>
        <v>8.7999999999999972</v>
      </c>
      <c r="R36" s="77"/>
      <c r="S36" s="77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218</v>
      </c>
      <c r="B2" s="5"/>
    </row>
    <row r="3" spans="1:2" x14ac:dyDescent="0.2">
      <c r="A3" s="4" t="s">
        <v>219</v>
      </c>
      <c r="B3" s="5">
        <v>659.52</v>
      </c>
    </row>
    <row r="4" spans="1:2" x14ac:dyDescent="0.2">
      <c r="A4" s="4" t="s">
        <v>3</v>
      </c>
      <c r="B4" s="5"/>
    </row>
    <row r="5" spans="1:2" x14ac:dyDescent="0.2">
      <c r="A5" s="4" t="s">
        <v>220</v>
      </c>
      <c r="B5" s="5">
        <v>7920</v>
      </c>
    </row>
    <row r="6" spans="1:2" x14ac:dyDescent="0.2">
      <c r="A6" s="6" t="s">
        <v>2</v>
      </c>
      <c r="B6" s="7">
        <f>SUM(B3:B5)</f>
        <v>8579.52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DDBE-035D-4F13-9662-D773F2DFCC65}">
  <dimension ref="A1:B8"/>
  <sheetViews>
    <sheetView workbookViewId="0">
      <selection activeCell="A10" sqref="A10"/>
    </sheetView>
  </sheetViews>
  <sheetFormatPr baseColWidth="10" defaultRowHeight="14.4" x14ac:dyDescent="0.3"/>
  <cols>
    <col min="1" max="1" width="141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0" t="s">
        <v>255</v>
      </c>
      <c r="B2" s="41"/>
    </row>
    <row r="3" spans="1:2" x14ac:dyDescent="0.3">
      <c r="A3" s="42" t="s">
        <v>256</v>
      </c>
      <c r="B3">
        <v>5356</v>
      </c>
    </row>
    <row r="4" spans="1:2" x14ac:dyDescent="0.3">
      <c r="A4" s="40" t="s">
        <v>257</v>
      </c>
      <c r="B4" s="41"/>
    </row>
    <row r="5" spans="1:2" x14ac:dyDescent="0.3">
      <c r="A5" s="42" t="s">
        <v>258</v>
      </c>
      <c r="B5">
        <v>5356</v>
      </c>
    </row>
    <row r="6" spans="1:2" x14ac:dyDescent="0.3">
      <c r="A6" s="40" t="s">
        <v>259</v>
      </c>
      <c r="B6" s="41"/>
    </row>
    <row r="7" spans="1:2" x14ac:dyDescent="0.3">
      <c r="A7" s="42" t="s">
        <v>260</v>
      </c>
      <c r="B7">
        <v>7750</v>
      </c>
    </row>
    <row r="8" spans="1:2" x14ac:dyDescent="0.3">
      <c r="A8" s="43" t="s">
        <v>154</v>
      </c>
      <c r="B8" s="44">
        <v>18462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4120-0CFF-47CE-AA92-1F0D1CC1BD55}">
  <dimension ref="A1:D87"/>
  <sheetViews>
    <sheetView topLeftCell="A70" workbookViewId="0">
      <selection activeCell="C87" sqref="C87"/>
    </sheetView>
  </sheetViews>
  <sheetFormatPr baseColWidth="10" defaultRowHeight="14.4" x14ac:dyDescent="0.3"/>
  <cols>
    <col min="2" max="2" width="12.88671875" customWidth="1"/>
    <col min="3" max="3" width="81" customWidth="1"/>
  </cols>
  <sheetData>
    <row r="1" spans="1:4" ht="15" thickBot="1" x14ac:dyDescent="0.35">
      <c r="A1" s="45" t="s">
        <v>261</v>
      </c>
      <c r="B1" s="46" t="s">
        <v>262</v>
      </c>
      <c r="C1" s="46" t="s">
        <v>263</v>
      </c>
      <c r="D1" s="47" t="s">
        <v>1</v>
      </c>
    </row>
    <row r="2" spans="1:4" ht="15" thickTop="1" x14ac:dyDescent="0.3">
      <c r="A2" s="48" t="s">
        <v>264</v>
      </c>
      <c r="B2" s="49" t="s">
        <v>265</v>
      </c>
      <c r="C2" s="49" t="s">
        <v>266</v>
      </c>
      <c r="D2" s="50">
        <v>484.37</v>
      </c>
    </row>
    <row r="3" spans="1:4" x14ac:dyDescent="0.3">
      <c r="A3" s="51" t="s">
        <v>264</v>
      </c>
      <c r="B3" s="52" t="s">
        <v>267</v>
      </c>
      <c r="C3" s="52" t="s">
        <v>268</v>
      </c>
      <c r="D3" s="53">
        <v>76.150000000000006</v>
      </c>
    </row>
    <row r="4" spans="1:4" x14ac:dyDescent="0.3">
      <c r="A4" s="48" t="s">
        <v>264</v>
      </c>
      <c r="B4" s="49" t="s">
        <v>269</v>
      </c>
      <c r="C4" s="49" t="s">
        <v>270</v>
      </c>
      <c r="D4" s="50">
        <v>328.67</v>
      </c>
    </row>
    <row r="5" spans="1:4" x14ac:dyDescent="0.3">
      <c r="A5" s="51" t="s">
        <v>264</v>
      </c>
      <c r="B5" s="52" t="s">
        <v>271</v>
      </c>
      <c r="C5" s="52" t="s">
        <v>272</v>
      </c>
      <c r="D5" s="53">
        <v>40</v>
      </c>
    </row>
    <row r="6" spans="1:4" x14ac:dyDescent="0.3">
      <c r="A6" s="48" t="s">
        <v>264</v>
      </c>
      <c r="B6" s="49" t="s">
        <v>271</v>
      </c>
      <c r="C6" s="49" t="s">
        <v>273</v>
      </c>
      <c r="D6" s="50">
        <v>40</v>
      </c>
    </row>
    <row r="7" spans="1:4" x14ac:dyDescent="0.3">
      <c r="A7" s="51" t="s">
        <v>264</v>
      </c>
      <c r="B7" s="52" t="s">
        <v>271</v>
      </c>
      <c r="C7" s="52" t="s">
        <v>274</v>
      </c>
      <c r="D7" s="53">
        <v>40</v>
      </c>
    </row>
    <row r="8" spans="1:4" x14ac:dyDescent="0.3">
      <c r="A8" s="48" t="s">
        <v>264</v>
      </c>
      <c r="B8" s="49" t="s">
        <v>271</v>
      </c>
      <c r="C8" s="49" t="s">
        <v>275</v>
      </c>
      <c r="D8" s="50">
        <v>40</v>
      </c>
    </row>
    <row r="9" spans="1:4" x14ac:dyDescent="0.3">
      <c r="A9" s="51" t="s">
        <v>264</v>
      </c>
      <c r="B9" s="52" t="s">
        <v>271</v>
      </c>
      <c r="C9" s="52" t="s">
        <v>276</v>
      </c>
      <c r="D9" s="53">
        <v>40</v>
      </c>
    </row>
    <row r="10" spans="1:4" x14ac:dyDescent="0.3">
      <c r="A10" s="48" t="s">
        <v>264</v>
      </c>
      <c r="B10" s="49" t="s">
        <v>271</v>
      </c>
      <c r="C10" s="49" t="s">
        <v>277</v>
      </c>
      <c r="D10" s="50">
        <v>40</v>
      </c>
    </row>
    <row r="11" spans="1:4" x14ac:dyDescent="0.3">
      <c r="A11" s="51" t="s">
        <v>264</v>
      </c>
      <c r="B11" s="52" t="s">
        <v>271</v>
      </c>
      <c r="C11" s="52" t="s">
        <v>278</v>
      </c>
      <c r="D11" s="53">
        <v>40</v>
      </c>
    </row>
    <row r="12" spans="1:4" x14ac:dyDescent="0.3">
      <c r="A12" s="48" t="s">
        <v>264</v>
      </c>
      <c r="B12" s="49" t="s">
        <v>271</v>
      </c>
      <c r="C12" s="49" t="s">
        <v>279</v>
      </c>
      <c r="D12" s="50">
        <v>40</v>
      </c>
    </row>
    <row r="13" spans="1:4" x14ac:dyDescent="0.3">
      <c r="A13" s="51" t="s">
        <v>264</v>
      </c>
      <c r="B13" s="52" t="s">
        <v>271</v>
      </c>
      <c r="C13" s="52" t="s">
        <v>280</v>
      </c>
      <c r="D13" s="53">
        <v>55</v>
      </c>
    </row>
    <row r="14" spans="1:4" x14ac:dyDescent="0.3">
      <c r="A14" s="48" t="s">
        <v>264</v>
      </c>
      <c r="B14" s="49" t="s">
        <v>271</v>
      </c>
      <c r="C14" s="49" t="s">
        <v>281</v>
      </c>
      <c r="D14" s="50">
        <v>55</v>
      </c>
    </row>
    <row r="15" spans="1:4" x14ac:dyDescent="0.3">
      <c r="A15" s="51" t="s">
        <v>264</v>
      </c>
      <c r="B15" s="52" t="s">
        <v>271</v>
      </c>
      <c r="C15" s="52" t="s">
        <v>282</v>
      </c>
      <c r="D15" s="53">
        <v>55</v>
      </c>
    </row>
    <row r="16" spans="1:4" x14ac:dyDescent="0.3">
      <c r="A16" s="48" t="s">
        <v>264</v>
      </c>
      <c r="B16" s="49" t="s">
        <v>271</v>
      </c>
      <c r="C16" s="49" t="s">
        <v>283</v>
      </c>
      <c r="D16" s="50">
        <v>55</v>
      </c>
    </row>
    <row r="17" spans="1:4" x14ac:dyDescent="0.3">
      <c r="A17" s="51" t="s">
        <v>264</v>
      </c>
      <c r="B17" s="52" t="s">
        <v>271</v>
      </c>
      <c r="C17" s="52" t="s">
        <v>284</v>
      </c>
      <c r="D17" s="53">
        <v>55</v>
      </c>
    </row>
    <row r="18" spans="1:4" x14ac:dyDescent="0.3">
      <c r="A18" s="48" t="s">
        <v>264</v>
      </c>
      <c r="B18" s="49" t="s">
        <v>271</v>
      </c>
      <c r="C18" s="49" t="s">
        <v>285</v>
      </c>
      <c r="D18" s="50">
        <v>55</v>
      </c>
    </row>
    <row r="19" spans="1:4" x14ac:dyDescent="0.3">
      <c r="A19" s="51" t="s">
        <v>264</v>
      </c>
      <c r="B19" s="52" t="s">
        <v>271</v>
      </c>
      <c r="C19" s="52" t="s">
        <v>286</v>
      </c>
      <c r="D19" s="53">
        <v>55</v>
      </c>
    </row>
    <row r="20" spans="1:4" x14ac:dyDescent="0.3">
      <c r="A20" s="48" t="s">
        <v>264</v>
      </c>
      <c r="B20" s="49" t="s">
        <v>271</v>
      </c>
      <c r="C20" s="49" t="s">
        <v>287</v>
      </c>
      <c r="D20" s="50">
        <v>55</v>
      </c>
    </row>
    <row r="21" spans="1:4" x14ac:dyDescent="0.3">
      <c r="A21" s="51" t="s">
        <v>264</v>
      </c>
      <c r="B21" s="52" t="s">
        <v>271</v>
      </c>
      <c r="C21" s="52" t="s">
        <v>288</v>
      </c>
      <c r="D21" s="53">
        <v>55</v>
      </c>
    </row>
    <row r="22" spans="1:4" x14ac:dyDescent="0.3">
      <c r="A22" s="48" t="s">
        <v>264</v>
      </c>
      <c r="B22" s="49" t="s">
        <v>271</v>
      </c>
      <c r="C22" s="49" t="s">
        <v>289</v>
      </c>
      <c r="D22" s="50">
        <v>55</v>
      </c>
    </row>
    <row r="23" spans="1:4" x14ac:dyDescent="0.3">
      <c r="A23" s="51" t="s">
        <v>264</v>
      </c>
      <c r="B23" s="52" t="s">
        <v>271</v>
      </c>
      <c r="C23" s="52" t="s">
        <v>290</v>
      </c>
      <c r="D23" s="53">
        <v>55</v>
      </c>
    </row>
    <row r="24" spans="1:4" x14ac:dyDescent="0.3">
      <c r="A24" s="48" t="s">
        <v>264</v>
      </c>
      <c r="B24" s="49" t="s">
        <v>271</v>
      </c>
      <c r="C24" s="49" t="s">
        <v>291</v>
      </c>
      <c r="D24" s="50">
        <v>55</v>
      </c>
    </row>
    <row r="25" spans="1:4" x14ac:dyDescent="0.3">
      <c r="A25" s="51" t="s">
        <v>264</v>
      </c>
      <c r="B25" s="52" t="s">
        <v>271</v>
      </c>
      <c r="C25" s="52" t="s">
        <v>292</v>
      </c>
      <c r="D25" s="53">
        <v>55</v>
      </c>
    </row>
    <row r="26" spans="1:4" x14ac:dyDescent="0.3">
      <c r="A26" s="48" t="s">
        <v>264</v>
      </c>
      <c r="B26" s="49" t="s">
        <v>271</v>
      </c>
      <c r="C26" s="49" t="s">
        <v>293</v>
      </c>
      <c r="D26" s="50">
        <v>55</v>
      </c>
    </row>
    <row r="27" spans="1:4" x14ac:dyDescent="0.3">
      <c r="A27" s="51" t="s">
        <v>264</v>
      </c>
      <c r="B27" s="52" t="s">
        <v>271</v>
      </c>
      <c r="C27" s="52" t="s">
        <v>294</v>
      </c>
      <c r="D27" s="53">
        <v>55</v>
      </c>
    </row>
    <row r="28" spans="1:4" x14ac:dyDescent="0.3">
      <c r="A28" s="48" t="s">
        <v>264</v>
      </c>
      <c r="B28" s="49" t="s">
        <v>271</v>
      </c>
      <c r="C28" s="49" t="s">
        <v>295</v>
      </c>
      <c r="D28" s="50">
        <v>55</v>
      </c>
    </row>
    <row r="29" spans="1:4" x14ac:dyDescent="0.3">
      <c r="A29" s="51" t="s">
        <v>264</v>
      </c>
      <c r="B29" s="52" t="s">
        <v>271</v>
      </c>
      <c r="C29" s="52" t="s">
        <v>296</v>
      </c>
      <c r="D29" s="53">
        <v>55</v>
      </c>
    </row>
    <row r="30" spans="1:4" x14ac:dyDescent="0.3">
      <c r="A30" s="48" t="s">
        <v>264</v>
      </c>
      <c r="B30" s="49" t="s">
        <v>271</v>
      </c>
      <c r="C30" s="49" t="s">
        <v>297</v>
      </c>
      <c r="D30" s="50">
        <v>55</v>
      </c>
    </row>
    <row r="31" spans="1:4" x14ac:dyDescent="0.3">
      <c r="A31" s="51" t="s">
        <v>264</v>
      </c>
      <c r="B31" s="52" t="s">
        <v>271</v>
      </c>
      <c r="C31" s="52" t="s">
        <v>298</v>
      </c>
      <c r="D31" s="53">
        <v>55</v>
      </c>
    </row>
    <row r="32" spans="1:4" x14ac:dyDescent="0.3">
      <c r="A32" s="48" t="s">
        <v>264</v>
      </c>
      <c r="B32" s="49" t="s">
        <v>271</v>
      </c>
      <c r="C32" s="49" t="s">
        <v>299</v>
      </c>
      <c r="D32" s="50">
        <v>55</v>
      </c>
    </row>
    <row r="33" spans="1:4" x14ac:dyDescent="0.3">
      <c r="A33" s="51" t="s">
        <v>264</v>
      </c>
      <c r="B33" s="52" t="s">
        <v>271</v>
      </c>
      <c r="C33" s="52" t="s">
        <v>300</v>
      </c>
      <c r="D33" s="53">
        <v>55</v>
      </c>
    </row>
    <row r="34" spans="1:4" x14ac:dyDescent="0.3">
      <c r="A34" s="48" t="s">
        <v>264</v>
      </c>
      <c r="B34" s="49" t="s">
        <v>271</v>
      </c>
      <c r="C34" s="49" t="s">
        <v>301</v>
      </c>
      <c r="D34" s="50">
        <v>55</v>
      </c>
    </row>
    <row r="35" spans="1:4" x14ac:dyDescent="0.3">
      <c r="A35" s="51" t="s">
        <v>264</v>
      </c>
      <c r="B35" s="52" t="s">
        <v>271</v>
      </c>
      <c r="C35" s="52" t="s">
        <v>302</v>
      </c>
      <c r="D35" s="53">
        <v>55</v>
      </c>
    </row>
    <row r="36" spans="1:4" x14ac:dyDescent="0.3">
      <c r="A36" s="48" t="s">
        <v>264</v>
      </c>
      <c r="B36" s="49" t="s">
        <v>271</v>
      </c>
      <c r="C36" s="49" t="s">
        <v>303</v>
      </c>
      <c r="D36" s="50">
        <v>55</v>
      </c>
    </row>
    <row r="37" spans="1:4" x14ac:dyDescent="0.3">
      <c r="A37" s="51" t="s">
        <v>264</v>
      </c>
      <c r="B37" s="52" t="s">
        <v>271</v>
      </c>
      <c r="C37" s="52" t="s">
        <v>304</v>
      </c>
      <c r="D37" s="53">
        <v>55</v>
      </c>
    </row>
    <row r="38" spans="1:4" x14ac:dyDescent="0.3">
      <c r="A38" s="48" t="s">
        <v>264</v>
      </c>
      <c r="B38" s="49" t="s">
        <v>271</v>
      </c>
      <c r="C38" s="49" t="s">
        <v>305</v>
      </c>
      <c r="D38" s="50">
        <v>55</v>
      </c>
    </row>
    <row r="39" spans="1:4" x14ac:dyDescent="0.3">
      <c r="A39" s="51" t="s">
        <v>264</v>
      </c>
      <c r="B39" s="52" t="s">
        <v>271</v>
      </c>
      <c r="C39" s="52" t="s">
        <v>306</v>
      </c>
      <c r="D39" s="53">
        <v>55</v>
      </c>
    </row>
    <row r="40" spans="1:4" x14ac:dyDescent="0.3">
      <c r="A40" s="48" t="s">
        <v>264</v>
      </c>
      <c r="B40" s="49" t="s">
        <v>271</v>
      </c>
      <c r="C40" s="49" t="s">
        <v>307</v>
      </c>
      <c r="D40" s="50">
        <v>55</v>
      </c>
    </row>
    <row r="41" spans="1:4" x14ac:dyDescent="0.3">
      <c r="A41" s="51" t="s">
        <v>264</v>
      </c>
      <c r="B41" s="52" t="s">
        <v>271</v>
      </c>
      <c r="C41" s="52" t="s">
        <v>308</v>
      </c>
      <c r="D41" s="53">
        <v>55</v>
      </c>
    </row>
    <row r="42" spans="1:4" x14ac:dyDescent="0.3">
      <c r="A42" s="48" t="s">
        <v>264</v>
      </c>
      <c r="B42" s="49" t="s">
        <v>271</v>
      </c>
      <c r="C42" s="49" t="s">
        <v>309</v>
      </c>
      <c r="D42" s="50">
        <v>55</v>
      </c>
    </row>
    <row r="43" spans="1:4" x14ac:dyDescent="0.3">
      <c r="A43" s="51" t="s">
        <v>264</v>
      </c>
      <c r="B43" s="52" t="s">
        <v>271</v>
      </c>
      <c r="C43" s="52" t="s">
        <v>310</v>
      </c>
      <c r="D43" s="53">
        <v>55</v>
      </c>
    </row>
    <row r="44" spans="1:4" x14ac:dyDescent="0.3">
      <c r="A44" s="48" t="s">
        <v>264</v>
      </c>
      <c r="B44" s="49" t="s">
        <v>271</v>
      </c>
      <c r="C44" s="49" t="s">
        <v>311</v>
      </c>
      <c r="D44" s="50">
        <v>55</v>
      </c>
    </row>
    <row r="45" spans="1:4" x14ac:dyDescent="0.3">
      <c r="A45" s="51" t="s">
        <v>264</v>
      </c>
      <c r="B45" s="52" t="s">
        <v>271</v>
      </c>
      <c r="C45" s="52" t="s">
        <v>312</v>
      </c>
      <c r="D45" s="53">
        <v>55</v>
      </c>
    </row>
    <row r="46" spans="1:4" x14ac:dyDescent="0.3">
      <c r="A46" s="48" t="s">
        <v>264</v>
      </c>
      <c r="B46" s="49" t="s">
        <v>271</v>
      </c>
      <c r="C46" s="49" t="s">
        <v>313</v>
      </c>
      <c r="D46" s="50">
        <v>55</v>
      </c>
    </row>
    <row r="47" spans="1:4" x14ac:dyDescent="0.3">
      <c r="A47" s="51" t="s">
        <v>264</v>
      </c>
      <c r="B47" s="52" t="s">
        <v>271</v>
      </c>
      <c r="C47" s="52" t="s">
        <v>314</v>
      </c>
      <c r="D47" s="53">
        <v>55</v>
      </c>
    </row>
    <row r="48" spans="1:4" x14ac:dyDescent="0.3">
      <c r="A48" s="48" t="s">
        <v>264</v>
      </c>
      <c r="B48" s="49" t="s">
        <v>271</v>
      </c>
      <c r="C48" s="49" t="s">
        <v>315</v>
      </c>
      <c r="D48" s="50">
        <v>55</v>
      </c>
    </row>
    <row r="49" spans="1:4" x14ac:dyDescent="0.3">
      <c r="A49" s="51" t="s">
        <v>264</v>
      </c>
      <c r="B49" s="52" t="s">
        <v>271</v>
      </c>
      <c r="C49" s="52" t="s">
        <v>316</v>
      </c>
      <c r="D49" s="53">
        <v>55</v>
      </c>
    </row>
    <row r="50" spans="1:4" x14ac:dyDescent="0.3">
      <c r="A50" s="48" t="s">
        <v>264</v>
      </c>
      <c r="B50" s="49" t="s">
        <v>271</v>
      </c>
      <c r="C50" s="49" t="s">
        <v>317</v>
      </c>
      <c r="D50" s="50">
        <v>55</v>
      </c>
    </row>
    <row r="51" spans="1:4" x14ac:dyDescent="0.3">
      <c r="A51" s="51" t="s">
        <v>264</v>
      </c>
      <c r="B51" s="52" t="s">
        <v>271</v>
      </c>
      <c r="C51" s="52" t="s">
        <v>318</v>
      </c>
      <c r="D51" s="53">
        <v>55</v>
      </c>
    </row>
    <row r="52" spans="1:4" x14ac:dyDescent="0.3">
      <c r="A52" s="48" t="s">
        <v>264</v>
      </c>
      <c r="B52" s="49" t="s">
        <v>271</v>
      </c>
      <c r="C52" s="49" t="s">
        <v>319</v>
      </c>
      <c r="D52" s="50">
        <v>55</v>
      </c>
    </row>
    <row r="53" spans="1:4" x14ac:dyDescent="0.3">
      <c r="A53" s="51" t="s">
        <v>264</v>
      </c>
      <c r="B53" s="52" t="s">
        <v>271</v>
      </c>
      <c r="C53" s="52" t="s">
        <v>320</v>
      </c>
      <c r="D53" s="53">
        <v>55</v>
      </c>
    </row>
    <row r="54" spans="1:4" x14ac:dyDescent="0.3">
      <c r="A54" s="48" t="s">
        <v>264</v>
      </c>
      <c r="B54" s="49" t="s">
        <v>271</v>
      </c>
      <c r="C54" s="49" t="s">
        <v>321</v>
      </c>
      <c r="D54" s="50">
        <v>55</v>
      </c>
    </row>
    <row r="55" spans="1:4" x14ac:dyDescent="0.3">
      <c r="A55" s="51" t="s">
        <v>264</v>
      </c>
      <c r="B55" s="52" t="s">
        <v>271</v>
      </c>
      <c r="C55" s="52" t="s">
        <v>322</v>
      </c>
      <c r="D55" s="53">
        <v>55</v>
      </c>
    </row>
    <row r="56" spans="1:4" x14ac:dyDescent="0.3">
      <c r="A56" s="48" t="s">
        <v>264</v>
      </c>
      <c r="B56" s="49" t="s">
        <v>271</v>
      </c>
      <c r="C56" s="49" t="s">
        <v>323</v>
      </c>
      <c r="D56" s="50">
        <v>55</v>
      </c>
    </row>
    <row r="57" spans="1:4" x14ac:dyDescent="0.3">
      <c r="A57" s="51" t="s">
        <v>264</v>
      </c>
      <c r="B57" s="52" t="s">
        <v>271</v>
      </c>
      <c r="C57" s="52" t="s">
        <v>324</v>
      </c>
      <c r="D57" s="53">
        <v>55</v>
      </c>
    </row>
    <row r="58" spans="1:4" x14ac:dyDescent="0.3">
      <c r="A58" s="48" t="s">
        <v>264</v>
      </c>
      <c r="B58" s="49" t="s">
        <v>271</v>
      </c>
      <c r="C58" s="49" t="s">
        <v>325</v>
      </c>
      <c r="D58" s="50">
        <v>55</v>
      </c>
    </row>
    <row r="59" spans="1:4" x14ac:dyDescent="0.3">
      <c r="A59" s="51" t="s">
        <v>264</v>
      </c>
      <c r="B59" s="52" t="s">
        <v>271</v>
      </c>
      <c r="C59" s="52" t="s">
        <v>326</v>
      </c>
      <c r="D59" s="53">
        <v>55</v>
      </c>
    </row>
    <row r="60" spans="1:4" x14ac:dyDescent="0.3">
      <c r="A60" s="48" t="s">
        <v>264</v>
      </c>
      <c r="B60" s="49" t="s">
        <v>271</v>
      </c>
      <c r="C60" s="49" t="s">
        <v>327</v>
      </c>
      <c r="D60" s="50">
        <v>55</v>
      </c>
    </row>
    <row r="61" spans="1:4" x14ac:dyDescent="0.3">
      <c r="A61" s="51" t="s">
        <v>264</v>
      </c>
      <c r="B61" s="52" t="s">
        <v>271</v>
      </c>
      <c r="C61" s="52" t="s">
        <v>328</v>
      </c>
      <c r="D61" s="53">
        <v>55</v>
      </c>
    </row>
    <row r="62" spans="1:4" x14ac:dyDescent="0.3">
      <c r="A62" s="48" t="s">
        <v>264</v>
      </c>
      <c r="B62" s="49" t="s">
        <v>271</v>
      </c>
      <c r="C62" s="49" t="s">
        <v>329</v>
      </c>
      <c r="D62" s="50">
        <v>55</v>
      </c>
    </row>
    <row r="63" spans="1:4" x14ac:dyDescent="0.3">
      <c r="A63" s="51" t="s">
        <v>264</v>
      </c>
      <c r="B63" s="52" t="s">
        <v>271</v>
      </c>
      <c r="C63" s="52" t="s">
        <v>330</v>
      </c>
      <c r="D63" s="53">
        <v>55</v>
      </c>
    </row>
    <row r="64" spans="1:4" x14ac:dyDescent="0.3">
      <c r="A64" s="48" t="s">
        <v>264</v>
      </c>
      <c r="B64" s="49" t="s">
        <v>271</v>
      </c>
      <c r="C64" s="49" t="s">
        <v>331</v>
      </c>
      <c r="D64" s="50">
        <v>55</v>
      </c>
    </row>
    <row r="65" spans="1:4" x14ac:dyDescent="0.3">
      <c r="A65" s="51" t="s">
        <v>264</v>
      </c>
      <c r="B65" s="52" t="s">
        <v>271</v>
      </c>
      <c r="C65" s="52" t="s">
        <v>332</v>
      </c>
      <c r="D65" s="53">
        <v>55</v>
      </c>
    </row>
    <row r="66" spans="1:4" x14ac:dyDescent="0.3">
      <c r="A66" s="48" t="s">
        <v>264</v>
      </c>
      <c r="B66" s="49" t="s">
        <v>271</v>
      </c>
      <c r="C66" s="49" t="s">
        <v>333</v>
      </c>
      <c r="D66" s="50">
        <v>55</v>
      </c>
    </row>
    <row r="67" spans="1:4" x14ac:dyDescent="0.3">
      <c r="A67" s="51" t="s">
        <v>264</v>
      </c>
      <c r="B67" s="52" t="s">
        <v>271</v>
      </c>
      <c r="C67" s="52" t="s">
        <v>334</v>
      </c>
      <c r="D67" s="53">
        <v>55</v>
      </c>
    </row>
    <row r="68" spans="1:4" x14ac:dyDescent="0.3">
      <c r="A68" s="48" t="s">
        <v>264</v>
      </c>
      <c r="B68" s="49" t="s">
        <v>271</v>
      </c>
      <c r="C68" s="49" t="s">
        <v>335</v>
      </c>
      <c r="D68" s="50">
        <v>55</v>
      </c>
    </row>
    <row r="69" spans="1:4" x14ac:dyDescent="0.3">
      <c r="A69" s="51" t="s">
        <v>264</v>
      </c>
      <c r="B69" s="52" t="s">
        <v>271</v>
      </c>
      <c r="C69" s="52" t="s">
        <v>336</v>
      </c>
      <c r="D69" s="53">
        <v>55</v>
      </c>
    </row>
    <row r="70" spans="1:4" x14ac:dyDescent="0.3">
      <c r="A70" s="48" t="s">
        <v>264</v>
      </c>
      <c r="B70" s="49" t="s">
        <v>271</v>
      </c>
      <c r="C70" s="49" t="s">
        <v>337</v>
      </c>
      <c r="D70" s="50">
        <v>55</v>
      </c>
    </row>
    <row r="71" spans="1:4" x14ac:dyDescent="0.3">
      <c r="A71" s="51" t="s">
        <v>264</v>
      </c>
      <c r="B71" s="52" t="s">
        <v>271</v>
      </c>
      <c r="C71" s="52" t="s">
        <v>338</v>
      </c>
      <c r="D71" s="53">
        <v>55</v>
      </c>
    </row>
    <row r="72" spans="1:4" x14ac:dyDescent="0.3">
      <c r="A72" s="48" t="s">
        <v>264</v>
      </c>
      <c r="B72" s="49" t="s">
        <v>271</v>
      </c>
      <c r="C72" s="49" t="s">
        <v>339</v>
      </c>
      <c r="D72" s="50">
        <v>55</v>
      </c>
    </row>
    <row r="73" spans="1:4" x14ac:dyDescent="0.3">
      <c r="A73" s="51" t="s">
        <v>264</v>
      </c>
      <c r="B73" s="52" t="s">
        <v>271</v>
      </c>
      <c r="C73" s="52" t="s">
        <v>340</v>
      </c>
      <c r="D73" s="53">
        <v>55</v>
      </c>
    </row>
    <row r="74" spans="1:4" x14ac:dyDescent="0.3">
      <c r="A74" s="48" t="s">
        <v>264</v>
      </c>
      <c r="B74" s="49" t="s">
        <v>271</v>
      </c>
      <c r="C74" s="49" t="s">
        <v>341</v>
      </c>
      <c r="D74" s="50">
        <v>55</v>
      </c>
    </row>
    <row r="75" spans="1:4" x14ac:dyDescent="0.3">
      <c r="A75" s="51" t="s">
        <v>264</v>
      </c>
      <c r="B75" s="52" t="s">
        <v>271</v>
      </c>
      <c r="C75" s="52" t="s">
        <v>342</v>
      </c>
      <c r="D75" s="53">
        <v>60</v>
      </c>
    </row>
    <row r="76" spans="1:4" x14ac:dyDescent="0.3">
      <c r="A76" s="48" t="s">
        <v>264</v>
      </c>
      <c r="B76" s="49" t="s">
        <v>271</v>
      </c>
      <c r="C76" s="49" t="s">
        <v>342</v>
      </c>
      <c r="D76" s="50">
        <v>605</v>
      </c>
    </row>
    <row r="77" spans="1:4" x14ac:dyDescent="0.3">
      <c r="A77" s="51" t="s">
        <v>264</v>
      </c>
      <c r="B77" s="52" t="s">
        <v>271</v>
      </c>
      <c r="C77" s="52" t="s">
        <v>342</v>
      </c>
      <c r="D77" s="53">
        <v>2205</v>
      </c>
    </row>
    <row r="78" spans="1:4" x14ac:dyDescent="0.3">
      <c r="A78" s="48" t="s">
        <v>264</v>
      </c>
      <c r="B78" s="49" t="s">
        <v>271</v>
      </c>
      <c r="C78" s="49" t="s">
        <v>342</v>
      </c>
      <c r="D78" s="50">
        <v>4678.41</v>
      </c>
    </row>
    <row r="79" spans="1:4" x14ac:dyDescent="0.3">
      <c r="A79" s="51" t="s">
        <v>264</v>
      </c>
      <c r="B79" s="52" t="s">
        <v>255</v>
      </c>
      <c r="C79" s="52" t="s">
        <v>343</v>
      </c>
      <c r="D79" s="53">
        <v>13184</v>
      </c>
    </row>
    <row r="80" spans="1:4" x14ac:dyDescent="0.3">
      <c r="A80" s="48" t="s">
        <v>264</v>
      </c>
      <c r="B80" s="49" t="s">
        <v>257</v>
      </c>
      <c r="C80" s="49" t="s">
        <v>344</v>
      </c>
      <c r="D80" s="50">
        <v>13184</v>
      </c>
    </row>
    <row r="81" spans="1:4" ht="15" thickBot="1" x14ac:dyDescent="0.35">
      <c r="A81" s="51" t="s">
        <v>264</v>
      </c>
      <c r="B81" s="52" t="s">
        <v>345</v>
      </c>
      <c r="C81" s="52" t="s">
        <v>346</v>
      </c>
      <c r="D81" s="53">
        <v>17000</v>
      </c>
    </row>
    <row r="82" spans="1:4" ht="15" thickTop="1" x14ac:dyDescent="0.3">
      <c r="A82" s="54" t="s">
        <v>2</v>
      </c>
      <c r="B82" s="55"/>
      <c r="C82" s="55"/>
      <c r="D82" s="56">
        <v>55535.6</v>
      </c>
    </row>
    <row r="87" spans="1:4" x14ac:dyDescent="0.3">
      <c r="C87" s="80" t="s">
        <v>393</v>
      </c>
      <c r="D87" s="81">
        <f>D82+'ingresos investigación 2020'!B8+'Ingresos investigación 2019'!B6</f>
        <v>82577.12000000001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5E8F-C9D9-4CA6-B251-E512385D5BB6}">
  <dimension ref="A1:D3"/>
  <sheetViews>
    <sheetView workbookViewId="0">
      <selection sqref="A1:D3"/>
    </sheetView>
  </sheetViews>
  <sheetFormatPr baseColWidth="10" defaultRowHeight="14.4" x14ac:dyDescent="0.3"/>
  <cols>
    <col min="2" max="2" width="12.5546875" customWidth="1"/>
    <col min="3" max="3" width="47.88671875" customWidth="1"/>
  </cols>
  <sheetData>
    <row r="1" spans="1:4" x14ac:dyDescent="0.3">
      <c r="A1" s="57" t="s">
        <v>261</v>
      </c>
      <c r="B1" s="58" t="s">
        <v>262</v>
      </c>
      <c r="C1" s="58" t="s">
        <v>263</v>
      </c>
      <c r="D1" s="59" t="s">
        <v>1</v>
      </c>
    </row>
    <row r="2" spans="1:4" ht="15" thickBot="1" x14ac:dyDescent="0.35">
      <c r="A2" s="60" t="s">
        <v>264</v>
      </c>
      <c r="B2" s="61" t="s">
        <v>347</v>
      </c>
      <c r="C2" s="61" t="s">
        <v>348</v>
      </c>
      <c r="D2" s="62">
        <v>1488.83</v>
      </c>
    </row>
    <row r="3" spans="1:4" ht="15" thickTop="1" x14ac:dyDescent="0.3">
      <c r="A3" s="63" t="s">
        <v>2</v>
      </c>
      <c r="B3" s="64"/>
      <c r="C3" s="64"/>
      <c r="D3" s="65">
        <v>1488.83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2022-10-18T15:42:52Z</dcterms:modified>
</cp:coreProperties>
</file>