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578CFCFC-C799-47F9-8CC6-CE5F85062746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Tesis" sheetId="2" r:id="rId1"/>
    <sheet name="Sexenios" sheetId="3" r:id="rId2"/>
    <sheet name="Ingresos investigación 2019" sheetId="5" r:id="rId3"/>
    <sheet name="Ingresos investigación 2020" sheetId="6" r:id="rId4"/>
    <sheet name="Ingresos investigación 2021" sheetId="7" r:id="rId5"/>
    <sheet name="Ingresos formación 2021" sheetId="8" r:id="rId6"/>
  </sheets>
  <definedNames>
    <definedName name="_xlnm._FilterDatabase" localSheetId="1" hidden="1">Sexenios!$A$1:$S$16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8" l="1"/>
  <c r="S29" i="2" l="1"/>
  <c r="B4" i="6" l="1"/>
  <c r="S19" i="3" l="1"/>
  <c r="B15" i="5" l="1"/>
  <c r="C8" i="7" s="1"/>
</calcChain>
</file>

<file path=xl/sharedStrings.xml><?xml version="1.0" encoding="utf-8"?>
<sst xmlns="http://schemas.openxmlformats.org/spreadsheetml/2006/main" count="599" uniqueCount="215">
  <si>
    <t>Orgánica
Descripción justificante</t>
  </si>
  <si>
    <t>Importe</t>
  </si>
  <si>
    <t>Total</t>
  </si>
  <si>
    <t>30.40.6P.00.03</t>
  </si>
  <si>
    <t>30.40.6P.00.04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</si>
  <si>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</si>
  <si>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</si>
  <si>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</si>
  <si>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</si>
  <si>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</si>
  <si>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</si>
  <si>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</si>
  <si>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</si>
  <si>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</si>
  <si>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</si>
  <si>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</si>
  <si>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</si>
  <si>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</si>
  <si>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</si>
  <si>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</si>
  <si>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</si>
  <si>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</si>
  <si>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</si>
  <si>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</si>
  <si>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</si>
  <si>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</si>
  <si>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</si>
  <si>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50</t>
  </si>
  <si>
    <t/>
  </si>
  <si>
    <t>Director de tesis </t>
  </si>
  <si>
    <t>10</t>
  </si>
  <si>
    <t>90</t>
  </si>
  <si>
    <t>10.25</t>
  </si>
  <si>
    <t>10.17</t>
  </si>
  <si>
    <t>U058 </t>
  </si>
  <si>
    <t>ADM. I.U. DE INVESTIGACIONES TURÍSTICAS </t>
  </si>
  <si>
    <t>DOCTORADO EN DIRECCIÓN Y PLANIFICACIÓN DEL TURISMO </t>
  </si>
  <si>
    <t>20</t>
  </si>
  <si>
    <t>80</t>
  </si>
  <si>
    <t>ZZ </t>
  </si>
  <si>
    <t>SIN ASIGNAR </t>
  </si>
  <si>
    <t>14/07/2017 </t>
  </si>
  <si>
    <t>U023 </t>
  </si>
  <si>
    <t>ADM. FACULTAD DE FILOSOFIA Y LETRAS </t>
  </si>
  <si>
    <t>10.23</t>
  </si>
  <si>
    <t>DOCTORADO EN FILOSOFÍA Y LETRAS </t>
  </si>
  <si>
    <t>30/09/2019 </t>
  </si>
  <si>
    <t>21634206S </t>
  </si>
  <si>
    <t>B122 </t>
  </si>
  <si>
    <t>HUMANIDADES CONTEMPORANEAS </t>
  </si>
  <si>
    <t>B122</t>
  </si>
  <si>
    <t>73525112T </t>
  </si>
  <si>
    <t>10.06</t>
  </si>
  <si>
    <t>21489543E </t>
  </si>
  <si>
    <t>51326460M </t>
  </si>
  <si>
    <t>Almarcha Martínez, Francisco </t>
  </si>
  <si>
    <t>OBSERVANDO AL LOBO. UN ESTUDIO ANTROPOLÓGICO SOBRE EL LOBO Y EL TURISMO DE LA SIERRA DE CULEBRA </t>
  </si>
  <si>
    <t>Cipollone Fernández, Alberto Javier </t>
  </si>
  <si>
    <t>MIGUEL VILLAR GONZÁLEZ (SAGUNTO 1913 - GANDÍA 1996) Y SU APORTACIÓN A LA MÚSICA DE LAS FIESTAS DE MOROS Y CRISTIANOS </t>
  </si>
  <si>
    <t>31/07/2017 </t>
  </si>
  <si>
    <t>B142 </t>
  </si>
  <si>
    <t>FILOLOGÍA CATALANA </t>
  </si>
  <si>
    <t>DOCTORADO EN FILOLOGÍA CATALANA </t>
  </si>
  <si>
    <t>Cruz Morente, Miquel Antoni </t>
  </si>
  <si>
    <t>LA REVISTA CANIGÓ (1954-1983), UN REFERENT CULTURAL I LITERARI DELS PAÏSOS CATALANS </t>
  </si>
  <si>
    <t>12/06/2017 </t>
  </si>
  <si>
    <t>Henales Salamanca, Jordi </t>
  </si>
  <si>
    <t>EL CALLEJERO HISTÓRICO DE ALICANTE: DE LA II REPÚBLICA A NUESTROS DÍAS. LUGARES DE HISTORIA Y DE MEMORIA </t>
  </si>
  <si>
    <t>10/04/2017 </t>
  </si>
  <si>
    <t>Domene Verdú, José Fernando </t>
  </si>
  <si>
    <t>LAS FIESTAS DE MOROS Y CRISTIANOS DE VILLENA </t>
  </si>
  <si>
    <t>20/04/2018 </t>
  </si>
  <si>
    <t>Jiménez Valiente, María Dolores </t>
  </si>
  <si>
    <t>LA ESCUELA PICTÓRICA DE TETUÁN: HISTORIA, DESARROLLO E IMPRONTA DEL ARTE MARROQUÍ CONTEMPORÁNEO </t>
  </si>
  <si>
    <t>18/06/2018 </t>
  </si>
  <si>
    <t>17695001C </t>
  </si>
  <si>
    <t>Sebastiá Alcaraz, Rafael </t>
  </si>
  <si>
    <t>LAS ESCUELAS NORMALES DE ALICANTE DESDE EL SIGLO XIX HASTA 1975 </t>
  </si>
  <si>
    <t>15/03/2018 </t>
  </si>
  <si>
    <t>Ruiz Núñez, Juan Boris </t>
  </si>
  <si>
    <t>LOS BOMBARDEOS AÉREOS REPUBLICANOS EN TERRITORIO SUBLEVADO DURANTE LA GUERRA CIVIL ESPAÑOLA (1936-1939)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</si>
  <si>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</si>
  <si>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</si>
  <si>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</si>
  <si>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</si>
  <si>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</si>
  <si>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</si>
  <si>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</si>
  <si>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</si>
  <si>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</si>
  <si>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</si>
  <si>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</si>
  <si>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FUNCIONARIO</t>
  </si>
  <si>
    <t>NO FUNCIONARIO</t>
  </si>
  <si>
    <t>27461670S</t>
  </si>
  <si>
    <t>BAYONA FERNANDEZ, GLORIA</t>
  </si>
  <si>
    <t>48316322S</t>
  </si>
  <si>
    <t>FERNANDEZ SIRVENT, RAFAEL</t>
  </si>
  <si>
    <t>21344603M</t>
  </si>
  <si>
    <t>FORNER MUÑOZ, SALVADOR</t>
  </si>
  <si>
    <t>21418660W</t>
  </si>
  <si>
    <t>GUTIERREZ LLORET, ROSA ANA</t>
  </si>
  <si>
    <t>17695001C</t>
  </si>
  <si>
    <t>MARTINEZ PRADES, JOSE ANTONIO</t>
  </si>
  <si>
    <t>21648517C</t>
  </si>
  <si>
    <t>MIRA ABAD, ALICIA VICTORIA</t>
  </si>
  <si>
    <t>21481385Y</t>
  </si>
  <si>
    <t>MORENO SECO, MONICA</t>
  </si>
  <si>
    <t>22146116Z</t>
  </si>
  <si>
    <t>NAJERA PEREZ, ELENA</t>
  </si>
  <si>
    <t>51326460M</t>
  </si>
  <si>
    <t>PASTOR ALFONSO, MARIA JOSEFA</t>
  </si>
  <si>
    <t>22133724L</t>
  </si>
  <si>
    <t>PAYA LOPEZ, PEDRO</t>
  </si>
  <si>
    <t>21634206S</t>
  </si>
  <si>
    <t>SANTACREU SOLER, JOSE MIGUEL</t>
  </si>
  <si>
    <t>21486627G</t>
  </si>
  <si>
    <t>21489543E</t>
  </si>
  <si>
    <t>SEVILLANO CALERO, FRANCISCO</t>
  </si>
  <si>
    <t>21451380Q</t>
  </si>
  <si>
    <t>ZURITA ALDEGUER, RAFAEL</t>
  </si>
  <si>
    <t>30.40.6C.00.02</t>
  </si>
  <si>
    <t>Jornadas de CONFERENCIAS "1812 Descubre la Guerra de la Independencia en Alicante" Creación de la Ruta Urbana "ALICANTE 1812. Descubre ALICANTE Conoce su HISTORIA"</t>
  </si>
  <si>
    <t>30.40.6C.00.03</t>
  </si>
  <si>
    <t>Conferencias Ayuntamiento Mutxamel "La Guerra de la Independencia española: patrimonio y turismo"</t>
  </si>
  <si>
    <t>LIBERADOS EL 23/04/2019, ANUALIDAD 2019 PROYECTOS I+D (PIA 1) N EXPEDIENTE: PIA12016-1 - 4 ANUALIDAD REFERENCIA:HAR2016-75954-P. REF. DEL ORDENANTE PARA EL BENFICIARIO: 27402219310018246.</t>
  </si>
  <si>
    <t>REINTEGRO CUOTA PATRONAL CORRESPONDIENTE AL MES DE DICIEMBRE DE 2019.</t>
  </si>
  <si>
    <t xml:space="preserve">SUBVENCIONES PARA GRUPOS DE INVESTIGACIÓN CONSOLIDABLES AICO/2017-3ª ANUALIDAD </t>
  </si>
  <si>
    <t>30.40.6P.00.05</t>
  </si>
  <si>
    <t>TRANSFERENCIA DE FUNDACIÓN BBVA, CONCEPTO PAGO 50 AYUDAS FUNDACIÓN BBVA A EQUIPOS DE INVESTIGACIÓN CIENTÍFICA 2018 - IP RAFAEL ZURITA ALDEGUER - FBBVA. EL DEPARTAMENTO DE HUMANIDADES CONTEMPORÁNEAS INFORMA QUE CORRESPONDE AL PROYECTO SELECCIONADO EN LA CONVOCATORIA 2018 DE AYUDAS FUNDACIÓN BBVA A EQUIPOS DE INVESTIGACIÓN CIENTÍFICA, "WEB SEMÁNTICA Y PATRIMONIO CULTURAL. LOS PAISAJES Y LUGARES DE LA GUERRA DE LA INDEPENDENCIA ESPAÑOLA" , DEL PROFESOR MENCIONADO.</t>
  </si>
  <si>
    <t>30.40.6X.00.01</t>
  </si>
  <si>
    <t>1984013389 610735-EPP-1-2019-1-ES-EPPJMO-CHAIR2019-1628/001/01 AVANCE UNIVERSIDAD DE ALICANTE. REF.ORDENANTE: 1993203435. REF.BENEFICIARIO: 3641601004021. LA OFICINA DE GESTIÓN DE PROYECTOS INTERNACIONALES INFORMA QUE SE TRATA DEL PRIMER INGRESO DEL PROYECTO ERASMUS+ JEAN MONNET, CÁTEDRA "HISTEU 19". DEPARTAMENTO DE HUMANIDADES CONTEMPORÁNEAS.</t>
  </si>
  <si>
    <t>Dominguez Villaverde, Mariana </t>
  </si>
  <si>
    <t>SER Y ESTAR. LES PIEDS-NOIRS D'ALICANTE ET DE SA RÉGION, D'UNE RIVE À L'AUTRE DE LA MÉDITERRANÉE (1962-ANNÉES 2000) </t>
  </si>
  <si>
    <t>02/12/2019 </t>
  </si>
  <si>
    <t>12381640G</t>
  </si>
  <si>
    <t>ESPESO MOLINERO, MARIA DEL PILAR</t>
  </si>
  <si>
    <t>SENANTE BERENDES, HEIDY CRISTINA</t>
  </si>
  <si>
    <t>COD DEP</t>
  </si>
  <si>
    <t>SEX
DEP</t>
  </si>
  <si>
    <t>21457927P</t>
  </si>
  <si>
    <t>MORENO FONSERET, ROQUE</t>
  </si>
  <si>
    <t>Poveda Jover, Jonatan </t>
  </si>
  <si>
    <t>EL AUTORITARISMO REGENERACIONISTA DE LA DICTADURA DE PRIMO DE RIVERA EN LA PROVINCIA DE ALICANTE </t>
  </si>
  <si>
    <t>08/10/2020 </t>
  </si>
  <si>
    <t>Segura Martínez, Vicente </t>
  </si>
  <si>
    <t>Cultura industrial, ludismo y proyección literaria </t>
  </si>
  <si>
    <t>23/10/2020 </t>
  </si>
  <si>
    <t>21418660W </t>
  </si>
  <si>
    <t>Martínez Cánovas, Gonzalo José </t>
  </si>
  <si>
    <t>LUIS JIMÉNEZ DE ASÚA. EL PENALISTA DE LA RETAGUARDIA IMPOSIBLE </t>
  </si>
  <si>
    <t>16/10/2020 </t>
  </si>
  <si>
    <t>22133724L </t>
  </si>
  <si>
    <t>Salinas Salinas, Carlos </t>
  </si>
  <si>
    <t>Pedro Zaragoza Orts, alcalde franquista i desenvolupista de Benidorm, 1951-1967" </t>
  </si>
  <si>
    <t>15/03/2021 </t>
  </si>
  <si>
    <t>Ferrero Punzano, Sara Milagros </t>
  </si>
  <si>
    <t>VICENTE FERRERO. ESCULTOR </t>
  </si>
  <si>
    <t>03/06/2021 </t>
  </si>
  <si>
    <t>San José Belda, Luis Carlos </t>
  </si>
  <si>
    <t>EL PROCESO DESCOLECTIVIZADOR DE LA INDUSTRIA TEXTIL ALCOYANA: LA COMISIÓN LIQUIDADORA (1939-1945) </t>
  </si>
  <si>
    <t>19/07/2021 </t>
  </si>
  <si>
    <t>Beneyto Gómez, Elisa </t>
  </si>
  <si>
    <t>ELS CEMENTERIS COM A REFLEX DE LA SOCIETAT INDUSTRIAL: EL CEMENTERI D'ALCOI </t>
  </si>
  <si>
    <t>23/07/2021 </t>
  </si>
  <si>
    <t>21648517C </t>
  </si>
  <si>
    <t>Ramos Altamira, Ignacio </t>
  </si>
  <si>
    <t>"Rafael Altamira y Crevea y su contribución a la educación popular y la escuela pública española" </t>
  </si>
  <si>
    <t>29/07/2021 </t>
  </si>
  <si>
    <t>DOCTORADO EN TURISMO </t>
  </si>
  <si>
    <t>González Domínguez, Irais </t>
  </si>
  <si>
    <t>Empoderamiento de actoras y actores locales en la gestión del Turismo Rural en el Estado de México </t>
  </si>
  <si>
    <t>01/02/2021 </t>
  </si>
  <si>
    <t>30.40.6P.00.06</t>
  </si>
  <si>
    <t>PAGO CONVOVATORIA PROYECTOS 2019 ANUALIDAD 2020 PROYECTOS I+D (PIA1) EXPEDIENTE PIA12019-1-1 ANUALIDAD REFERENCIA: PID2019-109627G</t>
  </si>
  <si>
    <t>Cód. org. aplic.</t>
  </si>
  <si>
    <t>Descripción justificante</t>
  </si>
  <si>
    <t>PROYECTO DE LA FUNDACIÓN BBVA "AYUDA EQUIPO 2018", INVESTIGADOR PRINCIPAL: RAFAEL ZURITA. INGRESO INFORMADO POR EL DPTO. DE HUMANIDADES CONTEMPORÁNEAS.</t>
  </si>
  <si>
    <t>PID2019-109627GB-I00</t>
  </si>
  <si>
    <t>30.40.2T.00.01</t>
  </si>
  <si>
    <t>Plan GF20_CURSO 2020-21_LA TRADUCCIÓN Y LA INTERPRETACIÓN EN EL CONTEXTO DE LAS INSTITUCIONES Y POLÍTICAS DE LA UNIÓN EUROPEA.</t>
  </si>
  <si>
    <t>B177 </t>
  </si>
  <si>
    <t>PSICOLOGÍA EVOLUTIVA Y DIDÁCTICA </t>
  </si>
  <si>
    <t>DOCTORADO EN INVESTIGACIÓN EDUCATIVA </t>
  </si>
  <si>
    <t>Martínez Rivera, Julio César </t>
  </si>
  <si>
    <t>LA FIESTA DE MOROS Y CRISTIANOS O "LOS HISTORIANTES" DE EL SALVADOR. UN CASO DE SINCRETISMO CULTURAL </t>
  </si>
  <si>
    <t>12/01/2022 </t>
  </si>
  <si>
    <t>21457927P </t>
  </si>
  <si>
    <t>González Magaña, Jose L. </t>
  </si>
  <si>
    <t>ELOY VAQUERO CANTILLO O EL OPTIMISMO TRÁGICO EN UN NACER QUE TUVO ANTICIPADO </t>
  </si>
  <si>
    <t>27/05/2022 </t>
  </si>
  <si>
    <t>Lalinde González, Luis Miguel </t>
  </si>
  <si>
    <t>Japón y China ante las islas Senkaku/Diaoyu (1945-2020): análisis geopolítico e histórico-cultural de un conflicto marítimo en Asia-Pacífico </t>
  </si>
  <si>
    <t>17/12/2021 </t>
  </si>
  <si>
    <t>Tenorio Macia, Jose Carlos </t>
  </si>
  <si>
    <t>Entre el vínculo y el compromiso: la relación de Reino Unido con el proyecto europeo (1945-2016). Una aproximación al brexit a través de la prensa española. </t>
  </si>
  <si>
    <t>28/02/2022 </t>
  </si>
  <si>
    <t>21486627G </t>
  </si>
  <si>
    <t>Menor Hernández, Andres </t>
  </si>
  <si>
    <t>Las Fiestas de Biar desde una perspectiva antropológica </t>
  </si>
  <si>
    <t>22/03/2022 </t>
  </si>
  <si>
    <t>Chontasi Morales, Fernando David </t>
  </si>
  <si>
    <t>Los efectos del turismo de base local sobre la resiliencia-socioecológica. Comunidad de Yunguilla. Quito-Ec. </t>
  </si>
  <si>
    <t>07/09/2022 </t>
  </si>
  <si>
    <t>12381640G </t>
  </si>
  <si>
    <t>U075 </t>
  </si>
  <si>
    <t>ADM. I.U.INVESTIGACIÓN DE ESTUDIOS SOCIALES DE AMÉRICA LATINA </t>
  </si>
  <si>
    <t>DOCTORADO EN HUMANIDADES Y ESTUDIOS SOCIALES DE AMÉRICA LATINA </t>
  </si>
  <si>
    <t>Cosh Pale, Manuel </t>
  </si>
  <si>
    <t>Contrademocracia en los Altos de Chiapas, México. Crisis de representación y respuestas sociales emergentes </t>
  </si>
  <si>
    <t>23/05/2022 </t>
  </si>
  <si>
    <t>22956742M</t>
  </si>
  <si>
    <t>DE MURCIA CONESA, ANTONIO</t>
  </si>
  <si>
    <t>Total ingresos investigación 2019-2020-2021</t>
  </si>
  <si>
    <t>Total ingresos formación 2019-2020-2021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</si>
</sst>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7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4" borderId="1" xfId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4" fontId="3" fillId="4" borderId="1" xfId="1" applyNumberFormat="1" applyFill="1" applyBorder="1"/>
    <xf numFmtId="0" fontId="3" fillId="4" borderId="2" xfId="1" applyFill="1" applyBorder="1"/>
    <xf numFmtId="0" fontId="3" fillId="4" borderId="2" xfId="1" applyFill="1" applyBorder="1" applyAlignment="1">
      <alignment horizontal="right"/>
    </xf>
    <xf numFmtId="1" fontId="3" fillId="4" borderId="2" xfId="1" applyNumberFormat="1" applyFill="1" applyBorder="1"/>
    <xf numFmtId="164" fontId="3" fillId="4" borderId="2" xfId="1" applyNumberFormat="1" applyFill="1" applyBorder="1"/>
    <xf numFmtId="0" fontId="3" fillId="0" borderId="1" xfId="1" applyBorder="1"/>
    <xf numFmtId="0" fontId="3" fillId="4" borderId="3" xfId="1" applyFill="1" applyBorder="1"/>
    <xf numFmtId="0" fontId="11" fillId="6" borderId="1" xfId="0" applyFont="1" applyFill="1" applyBorder="1" applyAlignment="1">
      <alignment horizontal="left" vertical="center"/>
    </xf>
    <xf numFmtId="0" fontId="11" fillId="6" borderId="4" xfId="0" applyFont="1" applyFill="1" applyBorder="1" applyAlignment="1">
      <alignment horizontal="left" vertical="center"/>
    </xf>
    <xf numFmtId="0" fontId="11" fillId="6" borderId="5" xfId="0" applyFont="1" applyFill="1" applyBorder="1" applyAlignment="1">
      <alignment horizontal="left" vertical="center"/>
    </xf>
    <xf numFmtId="0" fontId="11" fillId="6" borderId="6" xfId="0" applyFont="1" applyFill="1" applyBorder="1" applyAlignment="1">
      <alignment horizontal="left" vertical="center"/>
    </xf>
    <xf numFmtId="0" fontId="12" fillId="7" borderId="7" xfId="0" applyFont="1" applyFill="1" applyBorder="1"/>
    <xf numFmtId="0" fontId="12" fillId="7" borderId="8" xfId="0" applyFont="1" applyFill="1" applyBorder="1" applyAlignment="1">
      <alignment horizontal="right"/>
    </xf>
    <xf numFmtId="0" fontId="12" fillId="7" borderId="11" xfId="0" applyFont="1" applyFill="1" applyBorder="1"/>
    <xf numFmtId="4" fontId="12" fillId="7" borderId="12" xfId="0" applyNumberFormat="1" applyFont="1" applyFill="1" applyBorder="1"/>
    <xf numFmtId="0" fontId="0" fillId="8" borderId="9" xfId="0" applyFill="1" applyBorder="1" applyAlignment="1">
      <alignment vertical="center"/>
    </xf>
    <xf numFmtId="0" fontId="0" fillId="8" borderId="9" xfId="0" applyFill="1" applyBorder="1" applyAlignment="1">
      <alignment vertical="center" wrapText="1"/>
    </xf>
    <xf numFmtId="4" fontId="0" fillId="8" borderId="10" xfId="0" applyNumberFormat="1" applyFill="1" applyBorder="1" applyAlignment="1">
      <alignment vertical="center"/>
    </xf>
    <xf numFmtId="0" fontId="0" fillId="9" borderId="9" xfId="0" applyFill="1" applyBorder="1" applyAlignment="1">
      <alignment vertical="center"/>
    </xf>
    <xf numFmtId="0" fontId="0" fillId="9" borderId="9" xfId="0" applyFill="1" applyBorder="1" applyAlignment="1">
      <alignment vertical="center" wrapText="1"/>
    </xf>
    <xf numFmtId="4" fontId="0" fillId="9" borderId="10" xfId="0" applyNumberFormat="1" applyFill="1" applyBorder="1" applyAlignment="1">
      <alignment vertical="center"/>
    </xf>
    <xf numFmtId="4" fontId="0" fillId="0" borderId="0" xfId="0" applyNumberFormat="1"/>
    <xf numFmtId="0" fontId="12" fillId="7" borderId="13" xfId="0" applyFont="1" applyFill="1" applyBorder="1"/>
    <xf numFmtId="0" fontId="12" fillId="7" borderId="14" xfId="0" applyFont="1" applyFill="1" applyBorder="1"/>
    <xf numFmtId="0" fontId="13" fillId="0" borderId="15" xfId="0" applyFont="1" applyBorder="1"/>
    <xf numFmtId="4" fontId="13" fillId="0" borderId="16" xfId="0" applyNumberFormat="1" applyFont="1" applyBorder="1"/>
    <xf numFmtId="0" fontId="0" fillId="9" borderId="13" xfId="0" applyFill="1" applyBorder="1" applyAlignment="1">
      <alignment vertical="center"/>
    </xf>
    <xf numFmtId="0" fontId="0" fillId="9" borderId="13" xfId="0" applyFill="1" applyBorder="1" applyAlignment="1">
      <alignment vertical="center" wrapText="1"/>
    </xf>
    <xf numFmtId="4" fontId="0" fillId="9" borderId="14" xfId="0" applyNumberFormat="1" applyFill="1" applyBorder="1" applyAlignment="1">
      <alignment vertical="center"/>
    </xf>
    <xf numFmtId="165" fontId="3" fillId="4" borderId="1" xfId="1" applyNumberFormat="1" applyFill="1" applyBorder="1"/>
    <xf numFmtId="165" fontId="3" fillId="4" borderId="2" xfId="1" applyNumberFormat="1" applyFill="1" applyBorder="1"/>
    <xf numFmtId="0" fontId="3" fillId="10" borderId="0" xfId="1" applyFont="1" applyFill="1" applyAlignment="1"/>
    <xf numFmtId="0" fontId="3" fillId="10" borderId="0" xfId="1" applyFont="1" applyFill="1" applyAlignment="1">
      <alignment horizontal="right"/>
    </xf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10" borderId="17" xfId="0" applyFill="1" applyBorder="1"/>
    <xf numFmtId="0" fontId="0" fillId="10" borderId="17" xfId="0" applyFill="1" applyBorder="1" applyAlignment="1">
      <alignment horizontal="left"/>
    </xf>
    <xf numFmtId="0" fontId="0" fillId="10" borderId="17" xfId="0" applyNumberFormat="1" applyFill="1" applyBorder="1"/>
    <xf numFmtId="0" fontId="14" fillId="11" borderId="1" xfId="0" applyFont="1" applyFill="1" applyBorder="1" applyAlignment="1">
      <alignment horizontal="right"/>
    </xf>
    <xf numFmtId="4" fontId="0" fillId="10" borderId="1" xfId="0" applyNumberFormat="1" applyFill="1" applyBorder="1"/>
    <xf numFmtId="164" fontId="4" fillId="10" borderId="0" xfId="1" applyNumberFormat="1" applyFont="1" applyFill="1" applyAlignment="1"/>
    <xf numFmtId="0" fontId="13" fillId="10" borderId="17" xfId="0" applyFont="1" applyFill="1" applyBorder="1"/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9"/>
  <sheetViews>
    <sheetView showGridLines="0" tabSelected="1" zoomScale="120" zoomScaleNormal="120" workbookViewId="0">
      <pane xSplit="1" ySplit="1" topLeftCell="F14" activePane="bottomRight" state="frozen"/>
      <selection pane="topRight" activeCell="B1" sqref="B1"/>
      <selection pane="bottomLeft" activeCell="A2" sqref="A2"/>
      <selection pane="bottomRight" activeCell="S29" sqref="S29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4.44140625" style="13" customWidth="1"/>
    <col min="14" max="14" width="4.88671875" style="13" customWidth="1"/>
    <col min="15" max="15" width="4.88671875" style="14" customWidth="1"/>
    <col min="16" max="16" width="4.88671875" style="13" customWidth="1"/>
    <col min="17" max="17" width="3.5546875" style="14" customWidth="1"/>
    <col min="18" max="18" width="3.5546875" style="13" customWidth="1"/>
    <col min="19" max="21" width="5.109375" style="13" customWidth="1"/>
    <col min="22" max="16384" width="10.33203125" style="13"/>
  </cols>
  <sheetData>
    <row r="1" spans="1:21" ht="40.799999999999997" x14ac:dyDescent="0.2">
      <c r="A1" s="8" t="s">
        <v>5</v>
      </c>
      <c r="B1" s="9" t="s">
        <v>6</v>
      </c>
      <c r="C1" s="9" t="s">
        <v>7</v>
      </c>
      <c r="D1" s="9" t="s">
        <v>8</v>
      </c>
      <c r="E1" s="9" t="s">
        <v>9</v>
      </c>
      <c r="F1" s="9" t="s">
        <v>10</v>
      </c>
      <c r="G1" s="9" t="s">
        <v>11</v>
      </c>
      <c r="H1" s="9" t="s">
        <v>12</v>
      </c>
      <c r="I1" s="8" t="s">
        <v>13</v>
      </c>
      <c r="J1" s="9" t="s">
        <v>14</v>
      </c>
      <c r="K1" s="8" t="s">
        <v>15</v>
      </c>
      <c r="L1" s="9" t="s">
        <v>16</v>
      </c>
      <c r="M1" s="10" t="s">
        <v>17</v>
      </c>
      <c r="N1" s="11" t="s">
        <v>18</v>
      </c>
      <c r="O1" s="12" t="s">
        <v>19</v>
      </c>
      <c r="P1" s="11" t="s">
        <v>20</v>
      </c>
      <c r="Q1" s="12" t="s">
        <v>21</v>
      </c>
      <c r="R1" s="11" t="s">
        <v>22</v>
      </c>
      <c r="S1" s="11" t="s">
        <v>23</v>
      </c>
      <c r="T1" s="11" t="s">
        <v>24</v>
      </c>
      <c r="U1" s="11" t="s">
        <v>25</v>
      </c>
    </row>
    <row r="2" spans="1:21" x14ac:dyDescent="0.2">
      <c r="A2" s="25" t="s">
        <v>60</v>
      </c>
      <c r="B2" s="25" t="s">
        <v>61</v>
      </c>
      <c r="C2" s="25" t="s">
        <v>62</v>
      </c>
      <c r="D2" s="25" t="s">
        <v>63</v>
      </c>
      <c r="E2" s="25" t="s">
        <v>64</v>
      </c>
      <c r="F2" s="25" t="s">
        <v>65</v>
      </c>
      <c r="G2" s="25" t="s">
        <v>53</v>
      </c>
      <c r="H2" s="25" t="s">
        <v>26</v>
      </c>
      <c r="I2" s="25" t="s">
        <v>48</v>
      </c>
      <c r="J2" s="25" t="s">
        <v>49</v>
      </c>
      <c r="K2" s="28">
        <v>0.5</v>
      </c>
      <c r="L2" s="25" t="s">
        <v>50</v>
      </c>
      <c r="M2" s="25">
        <v>2016</v>
      </c>
      <c r="N2" s="25" t="s">
        <v>32</v>
      </c>
      <c r="O2" s="26" t="s">
        <v>38</v>
      </c>
      <c r="P2" s="25" t="s">
        <v>28</v>
      </c>
      <c r="Q2" s="26" t="s">
        <v>28</v>
      </c>
      <c r="R2" s="27">
        <v>20</v>
      </c>
      <c r="S2" s="28">
        <v>0.1</v>
      </c>
      <c r="T2" s="28">
        <v>0.4</v>
      </c>
      <c r="U2" s="28">
        <v>0</v>
      </c>
    </row>
    <row r="3" spans="1:21" x14ac:dyDescent="0.2">
      <c r="A3" s="25" t="s">
        <v>42</v>
      </c>
      <c r="B3" s="25" t="s">
        <v>43</v>
      </c>
      <c r="C3" s="25" t="s">
        <v>45</v>
      </c>
      <c r="D3" s="25" t="s">
        <v>57</v>
      </c>
      <c r="E3" s="25" t="s">
        <v>58</v>
      </c>
      <c r="F3" s="25" t="s">
        <v>59</v>
      </c>
      <c r="G3" s="25" t="s">
        <v>47</v>
      </c>
      <c r="H3" s="25" t="s">
        <v>29</v>
      </c>
      <c r="I3" s="25" t="s">
        <v>48</v>
      </c>
      <c r="J3" s="25" t="s">
        <v>49</v>
      </c>
      <c r="K3" s="28">
        <v>1</v>
      </c>
      <c r="L3" s="25" t="s">
        <v>50</v>
      </c>
      <c r="M3" s="25">
        <v>2016</v>
      </c>
      <c r="N3" s="25" t="s">
        <v>28</v>
      </c>
      <c r="O3" s="26" t="s">
        <v>28</v>
      </c>
      <c r="P3" s="25" t="s">
        <v>28</v>
      </c>
      <c r="Q3" s="26" t="s">
        <v>28</v>
      </c>
      <c r="R3" s="27">
        <v>100</v>
      </c>
      <c r="S3" s="28">
        <v>1</v>
      </c>
      <c r="T3" s="28">
        <v>0</v>
      </c>
      <c r="U3" s="28">
        <v>0</v>
      </c>
    </row>
    <row r="4" spans="1:21" x14ac:dyDescent="0.2">
      <c r="A4" s="25" t="s">
        <v>34</v>
      </c>
      <c r="B4" s="25" t="s">
        <v>35</v>
      </c>
      <c r="C4" s="25" t="s">
        <v>36</v>
      </c>
      <c r="D4" s="25" t="s">
        <v>55</v>
      </c>
      <c r="E4" s="25" t="s">
        <v>56</v>
      </c>
      <c r="F4" s="25" t="s">
        <v>41</v>
      </c>
      <c r="G4" s="25" t="s">
        <v>54</v>
      </c>
      <c r="H4" s="25" t="s">
        <v>26</v>
      </c>
      <c r="I4" s="25" t="s">
        <v>48</v>
      </c>
      <c r="J4" s="25" t="s">
        <v>49</v>
      </c>
      <c r="K4" s="28">
        <v>0.5</v>
      </c>
      <c r="L4" s="25" t="s">
        <v>50</v>
      </c>
      <c r="M4" s="25">
        <v>2016</v>
      </c>
      <c r="N4" s="25" t="s">
        <v>33</v>
      </c>
      <c r="O4" s="26" t="s">
        <v>27</v>
      </c>
      <c r="P4" s="25" t="s">
        <v>28</v>
      </c>
      <c r="Q4" s="26" t="s">
        <v>28</v>
      </c>
      <c r="R4" s="27">
        <v>50</v>
      </c>
      <c r="S4" s="28">
        <v>0.25</v>
      </c>
      <c r="T4" s="28">
        <v>0.25</v>
      </c>
      <c r="U4" s="28">
        <v>0</v>
      </c>
    </row>
    <row r="5" spans="1:21" x14ac:dyDescent="0.2">
      <c r="A5" s="25" t="s">
        <v>39</v>
      </c>
      <c r="B5" s="25" t="s">
        <v>40</v>
      </c>
      <c r="C5" s="25" t="s">
        <v>45</v>
      </c>
      <c r="D5" s="25" t="s">
        <v>66</v>
      </c>
      <c r="E5" s="25" t="s">
        <v>67</v>
      </c>
      <c r="F5" s="25" t="s">
        <v>68</v>
      </c>
      <c r="G5" s="25" t="s">
        <v>47</v>
      </c>
      <c r="H5" s="25" t="s">
        <v>29</v>
      </c>
      <c r="I5" s="25" t="s">
        <v>48</v>
      </c>
      <c r="J5" s="25" t="s">
        <v>49</v>
      </c>
      <c r="K5" s="28">
        <v>1</v>
      </c>
      <c r="L5" s="25" t="s">
        <v>50</v>
      </c>
      <c r="M5" s="25">
        <v>2016</v>
      </c>
      <c r="N5" s="25" t="s">
        <v>28</v>
      </c>
      <c r="O5" s="26" t="s">
        <v>28</v>
      </c>
      <c r="P5" s="25" t="s">
        <v>28</v>
      </c>
      <c r="Q5" s="26" t="s">
        <v>28</v>
      </c>
      <c r="R5" s="27">
        <v>100</v>
      </c>
      <c r="S5" s="28">
        <v>1</v>
      </c>
      <c r="T5" s="28">
        <v>0</v>
      </c>
      <c r="U5" s="28">
        <v>0</v>
      </c>
    </row>
    <row r="6" spans="1:21" x14ac:dyDescent="0.2">
      <c r="A6" s="25" t="s">
        <v>42</v>
      </c>
      <c r="B6" s="25" t="s">
        <v>43</v>
      </c>
      <c r="C6" s="25" t="s">
        <v>45</v>
      </c>
      <c r="D6" s="25" t="s">
        <v>76</v>
      </c>
      <c r="E6" s="25" t="s">
        <v>77</v>
      </c>
      <c r="F6" s="25" t="s">
        <v>78</v>
      </c>
      <c r="G6" s="25" t="s">
        <v>47</v>
      </c>
      <c r="H6" s="25" t="s">
        <v>29</v>
      </c>
      <c r="I6" s="25" t="s">
        <v>48</v>
      </c>
      <c r="J6" s="25" t="s">
        <v>49</v>
      </c>
      <c r="K6" s="28">
        <v>1</v>
      </c>
      <c r="L6" s="25" t="s">
        <v>50</v>
      </c>
      <c r="M6" s="25">
        <v>2017</v>
      </c>
      <c r="N6" s="25" t="s">
        <v>28</v>
      </c>
      <c r="O6" s="26" t="s">
        <v>28</v>
      </c>
      <c r="P6" s="25" t="s">
        <v>28</v>
      </c>
      <c r="Q6" s="26" t="s">
        <v>28</v>
      </c>
      <c r="R6" s="27">
        <v>100</v>
      </c>
      <c r="S6" s="28">
        <v>1</v>
      </c>
      <c r="T6" s="28">
        <v>0</v>
      </c>
      <c r="U6" s="28">
        <v>0</v>
      </c>
    </row>
    <row r="7" spans="1:21" x14ac:dyDescent="0.2">
      <c r="A7" s="25" t="s">
        <v>42</v>
      </c>
      <c r="B7" s="25" t="s">
        <v>43</v>
      </c>
      <c r="C7" s="25" t="s">
        <v>45</v>
      </c>
      <c r="D7" s="25" t="s">
        <v>72</v>
      </c>
      <c r="E7" s="25" t="s">
        <v>73</v>
      </c>
      <c r="F7" s="25" t="s">
        <v>74</v>
      </c>
      <c r="G7" s="25" t="s">
        <v>75</v>
      </c>
      <c r="H7" s="25" t="s">
        <v>26</v>
      </c>
      <c r="I7" s="25" t="s">
        <v>48</v>
      </c>
      <c r="J7" s="25" t="s">
        <v>49</v>
      </c>
      <c r="K7" s="28">
        <v>0.5</v>
      </c>
      <c r="L7" s="25" t="s">
        <v>50</v>
      </c>
      <c r="M7" s="25">
        <v>2017</v>
      </c>
      <c r="N7" s="25" t="s">
        <v>52</v>
      </c>
      <c r="O7" s="26" t="s">
        <v>30</v>
      </c>
      <c r="P7" s="25" t="s">
        <v>28</v>
      </c>
      <c r="Q7" s="26" t="s">
        <v>28</v>
      </c>
      <c r="R7" s="27">
        <v>90</v>
      </c>
      <c r="S7" s="28">
        <v>0.45</v>
      </c>
      <c r="T7" s="28">
        <v>0.05</v>
      </c>
      <c r="U7" s="28">
        <v>0</v>
      </c>
    </row>
    <row r="8" spans="1:21" x14ac:dyDescent="0.2">
      <c r="A8" s="25" t="s">
        <v>42</v>
      </c>
      <c r="B8" s="25" t="s">
        <v>43</v>
      </c>
      <c r="C8" s="25" t="s">
        <v>45</v>
      </c>
      <c r="D8" s="25" t="s">
        <v>72</v>
      </c>
      <c r="E8" s="25" t="s">
        <v>73</v>
      </c>
      <c r="F8" s="25" t="s">
        <v>74</v>
      </c>
      <c r="G8" s="25" t="s">
        <v>47</v>
      </c>
      <c r="H8" s="25" t="s">
        <v>26</v>
      </c>
      <c r="I8" s="25" t="s">
        <v>48</v>
      </c>
      <c r="J8" s="25" t="s">
        <v>49</v>
      </c>
      <c r="K8" s="28">
        <v>0.5</v>
      </c>
      <c r="L8" s="25" t="s">
        <v>50</v>
      </c>
      <c r="M8" s="25">
        <v>2017</v>
      </c>
      <c r="N8" s="25" t="s">
        <v>28</v>
      </c>
      <c r="O8" s="26" t="s">
        <v>28</v>
      </c>
      <c r="P8" s="25" t="s">
        <v>28</v>
      </c>
      <c r="Q8" s="26" t="s">
        <v>28</v>
      </c>
      <c r="R8" s="27">
        <v>100</v>
      </c>
      <c r="S8" s="28">
        <v>0.5</v>
      </c>
      <c r="T8" s="28">
        <v>0</v>
      </c>
      <c r="U8" s="28">
        <v>0</v>
      </c>
    </row>
    <row r="9" spans="1:21" x14ac:dyDescent="0.2">
      <c r="A9" s="25" t="s">
        <v>42</v>
      </c>
      <c r="B9" s="25" t="s">
        <v>43</v>
      </c>
      <c r="C9" s="25" t="s">
        <v>45</v>
      </c>
      <c r="D9" s="25" t="s">
        <v>69</v>
      </c>
      <c r="E9" s="25" t="s">
        <v>70</v>
      </c>
      <c r="F9" s="25" t="s">
        <v>71</v>
      </c>
      <c r="G9" s="25" t="s">
        <v>47</v>
      </c>
      <c r="H9" s="25" t="s">
        <v>29</v>
      </c>
      <c r="I9" s="25" t="s">
        <v>48</v>
      </c>
      <c r="J9" s="25" t="s">
        <v>49</v>
      </c>
      <c r="K9" s="28">
        <v>1</v>
      </c>
      <c r="L9" s="25" t="s">
        <v>50</v>
      </c>
      <c r="M9" s="25">
        <v>2017</v>
      </c>
      <c r="N9" s="25" t="s">
        <v>28</v>
      </c>
      <c r="O9" s="26" t="s">
        <v>28</v>
      </c>
      <c r="P9" s="25" t="s">
        <v>28</v>
      </c>
      <c r="Q9" s="26" t="s">
        <v>28</v>
      </c>
      <c r="R9" s="27">
        <v>100</v>
      </c>
      <c r="S9" s="28">
        <v>1</v>
      </c>
      <c r="T9" s="28">
        <v>0</v>
      </c>
      <c r="U9" s="28">
        <v>0</v>
      </c>
    </row>
    <row r="10" spans="1:21" x14ac:dyDescent="0.2">
      <c r="A10" s="25" t="s">
        <v>42</v>
      </c>
      <c r="B10" s="25" t="s">
        <v>43</v>
      </c>
      <c r="C10" s="25" t="s">
        <v>45</v>
      </c>
      <c r="D10" s="25" t="s">
        <v>79</v>
      </c>
      <c r="E10" s="25" t="s">
        <v>80</v>
      </c>
      <c r="F10" s="25" t="s">
        <v>46</v>
      </c>
      <c r="G10" s="25" t="s">
        <v>47</v>
      </c>
      <c r="H10" s="25" t="s">
        <v>29</v>
      </c>
      <c r="I10" s="25" t="s">
        <v>48</v>
      </c>
      <c r="J10" s="25" t="s">
        <v>49</v>
      </c>
      <c r="K10" s="57">
        <v>1</v>
      </c>
      <c r="L10" s="25" t="s">
        <v>50</v>
      </c>
      <c r="M10" s="25">
        <v>2018</v>
      </c>
      <c r="N10" s="25" t="s">
        <v>28</v>
      </c>
      <c r="O10" s="26" t="s">
        <v>28</v>
      </c>
      <c r="P10" s="25" t="s">
        <v>28</v>
      </c>
      <c r="Q10" s="26" t="s">
        <v>28</v>
      </c>
      <c r="R10" s="27">
        <v>100</v>
      </c>
      <c r="S10" s="28">
        <v>1</v>
      </c>
      <c r="T10" s="28">
        <v>0</v>
      </c>
      <c r="U10" s="28">
        <v>0</v>
      </c>
    </row>
    <row r="11" spans="1:21" x14ac:dyDescent="0.2">
      <c r="A11" s="29" t="s">
        <v>42</v>
      </c>
      <c r="B11" s="29" t="s">
        <v>43</v>
      </c>
      <c r="C11" s="29" t="s">
        <v>45</v>
      </c>
      <c r="D11" s="29" t="s">
        <v>132</v>
      </c>
      <c r="E11" s="29" t="s">
        <v>133</v>
      </c>
      <c r="F11" s="29" t="s">
        <v>134</v>
      </c>
      <c r="G11" s="29" t="s">
        <v>51</v>
      </c>
      <c r="H11" s="29" t="s">
        <v>26</v>
      </c>
      <c r="I11" s="29" t="s">
        <v>48</v>
      </c>
      <c r="J11" s="29" t="s">
        <v>49</v>
      </c>
      <c r="K11" s="58">
        <v>0.5</v>
      </c>
      <c r="L11" s="29" t="s">
        <v>50</v>
      </c>
      <c r="M11" s="29">
        <v>2019</v>
      </c>
      <c r="N11" s="29" t="s">
        <v>28</v>
      </c>
      <c r="O11" s="30" t="s">
        <v>28</v>
      </c>
      <c r="P11" s="29" t="s">
        <v>28</v>
      </c>
      <c r="Q11" s="30" t="s">
        <v>28</v>
      </c>
      <c r="R11" s="31">
        <v>100</v>
      </c>
      <c r="S11" s="32">
        <v>0.5</v>
      </c>
      <c r="T11" s="32">
        <v>0</v>
      </c>
      <c r="U11" s="32">
        <v>0</v>
      </c>
    </row>
    <row r="12" spans="1:21" x14ac:dyDescent="0.2">
      <c r="A12" s="25" t="s">
        <v>42</v>
      </c>
      <c r="B12" s="25" t="s">
        <v>43</v>
      </c>
      <c r="C12" s="25" t="s">
        <v>45</v>
      </c>
      <c r="D12" s="25" t="s">
        <v>142</v>
      </c>
      <c r="E12" s="25" t="s">
        <v>143</v>
      </c>
      <c r="F12" s="25" t="s">
        <v>144</v>
      </c>
      <c r="G12" s="25" t="s">
        <v>47</v>
      </c>
      <c r="H12" s="25" t="s">
        <v>29</v>
      </c>
      <c r="I12" s="25" t="s">
        <v>48</v>
      </c>
      <c r="J12" s="25" t="s">
        <v>49</v>
      </c>
      <c r="K12" s="33">
        <v>1</v>
      </c>
      <c r="L12" s="33" t="s">
        <v>50</v>
      </c>
      <c r="M12" s="34">
        <v>2019</v>
      </c>
      <c r="N12" s="25" t="s">
        <v>28</v>
      </c>
      <c r="O12" s="26" t="s">
        <v>28</v>
      </c>
      <c r="P12" s="25" t="s">
        <v>28</v>
      </c>
      <c r="Q12" s="26" t="s">
        <v>28</v>
      </c>
      <c r="R12" s="25">
        <v>100</v>
      </c>
      <c r="S12" s="25">
        <v>1</v>
      </c>
      <c r="T12" s="25">
        <v>0</v>
      </c>
      <c r="U12" s="25">
        <v>0</v>
      </c>
    </row>
    <row r="13" spans="1:21" x14ac:dyDescent="0.2">
      <c r="A13" s="25" t="s">
        <v>42</v>
      </c>
      <c r="B13" s="25" t="s">
        <v>43</v>
      </c>
      <c r="C13" s="25" t="s">
        <v>45</v>
      </c>
      <c r="D13" s="25" t="s">
        <v>145</v>
      </c>
      <c r="E13" s="25" t="s">
        <v>146</v>
      </c>
      <c r="F13" s="25" t="s">
        <v>147</v>
      </c>
      <c r="G13" s="25" t="s">
        <v>148</v>
      </c>
      <c r="H13" s="25" t="s">
        <v>26</v>
      </c>
      <c r="I13" s="25" t="s">
        <v>48</v>
      </c>
      <c r="J13" s="25" t="s">
        <v>49</v>
      </c>
      <c r="K13" s="33">
        <v>0.5</v>
      </c>
      <c r="L13" s="33" t="s">
        <v>50</v>
      </c>
      <c r="M13" s="34">
        <v>2019</v>
      </c>
      <c r="N13" s="25" t="s">
        <v>44</v>
      </c>
      <c r="O13" s="26" t="s">
        <v>37</v>
      </c>
      <c r="P13" s="25" t="s">
        <v>28</v>
      </c>
      <c r="Q13" s="26" t="s">
        <v>28</v>
      </c>
      <c r="R13" s="25">
        <v>80</v>
      </c>
      <c r="S13" s="25">
        <v>0.4</v>
      </c>
      <c r="T13" s="25">
        <v>0.1</v>
      </c>
      <c r="U13" s="25">
        <v>0</v>
      </c>
    </row>
    <row r="14" spans="1:21" ht="10.8" thickBot="1" x14ac:dyDescent="0.25">
      <c r="A14" s="25" t="s">
        <v>42</v>
      </c>
      <c r="B14" s="25" t="s">
        <v>43</v>
      </c>
      <c r="C14" s="25" t="s">
        <v>45</v>
      </c>
      <c r="D14" s="25" t="s">
        <v>149</v>
      </c>
      <c r="E14" s="25" t="s">
        <v>150</v>
      </c>
      <c r="F14" s="25" t="s">
        <v>151</v>
      </c>
      <c r="G14" s="25" t="s">
        <v>152</v>
      </c>
      <c r="H14" s="25" t="s">
        <v>29</v>
      </c>
      <c r="I14" s="25" t="s">
        <v>48</v>
      </c>
      <c r="J14" s="25" t="s">
        <v>49</v>
      </c>
      <c r="K14" s="33">
        <v>1</v>
      </c>
      <c r="L14" s="33" t="s">
        <v>50</v>
      </c>
      <c r="M14" s="34">
        <v>2019</v>
      </c>
      <c r="N14" s="25" t="s">
        <v>32</v>
      </c>
      <c r="O14" s="26" t="s">
        <v>27</v>
      </c>
      <c r="P14" s="25" t="s">
        <v>28</v>
      </c>
      <c r="Q14" s="26" t="s">
        <v>28</v>
      </c>
      <c r="R14" s="25">
        <v>50</v>
      </c>
      <c r="S14" s="25">
        <v>0.5</v>
      </c>
      <c r="T14" s="25">
        <v>0.5</v>
      </c>
      <c r="U14" s="25">
        <v>0</v>
      </c>
    </row>
    <row r="15" spans="1:21" ht="10.8" thickBot="1" x14ac:dyDescent="0.25">
      <c r="A15" s="35" t="s">
        <v>42</v>
      </c>
      <c r="B15" s="35" t="s">
        <v>43</v>
      </c>
      <c r="C15" s="35" t="s">
        <v>45</v>
      </c>
      <c r="D15" s="35" t="s">
        <v>153</v>
      </c>
      <c r="E15" s="35" t="s">
        <v>154</v>
      </c>
      <c r="F15" s="35" t="s">
        <v>155</v>
      </c>
      <c r="G15" s="36" t="s">
        <v>53</v>
      </c>
      <c r="H15" s="37" t="s">
        <v>29</v>
      </c>
      <c r="I15" s="37" t="s">
        <v>48</v>
      </c>
      <c r="J15" s="38" t="s">
        <v>49</v>
      </c>
      <c r="K15" s="33">
        <v>1</v>
      </c>
      <c r="L15" s="33" t="s">
        <v>50</v>
      </c>
      <c r="M15" s="25">
        <v>2020</v>
      </c>
      <c r="N15" s="25" t="s">
        <v>32</v>
      </c>
      <c r="O15" s="26" t="s">
        <v>38</v>
      </c>
      <c r="P15" s="25" t="s">
        <v>28</v>
      </c>
      <c r="Q15" s="26" t="s">
        <v>28</v>
      </c>
      <c r="R15" s="25">
        <v>20</v>
      </c>
      <c r="S15" s="25">
        <v>0.2</v>
      </c>
      <c r="T15" s="25">
        <v>0.8</v>
      </c>
      <c r="U15" s="25">
        <v>0</v>
      </c>
    </row>
    <row r="16" spans="1:21" ht="10.8" thickBot="1" x14ac:dyDescent="0.25">
      <c r="A16" s="35" t="s">
        <v>42</v>
      </c>
      <c r="B16" s="35" t="s">
        <v>43</v>
      </c>
      <c r="C16" s="35" t="s">
        <v>45</v>
      </c>
      <c r="D16" s="35" t="s">
        <v>156</v>
      </c>
      <c r="E16" s="35" t="s">
        <v>157</v>
      </c>
      <c r="F16" s="35" t="s">
        <v>158</v>
      </c>
      <c r="G16" s="36" t="s">
        <v>47</v>
      </c>
      <c r="H16" s="37" t="s">
        <v>29</v>
      </c>
      <c r="I16" s="37" t="s">
        <v>48</v>
      </c>
      <c r="J16" s="38" t="s">
        <v>49</v>
      </c>
      <c r="K16" s="33">
        <v>1</v>
      </c>
      <c r="L16" s="33" t="s">
        <v>50</v>
      </c>
      <c r="M16" s="25">
        <v>2020</v>
      </c>
      <c r="N16" s="25" t="s">
        <v>28</v>
      </c>
      <c r="O16" s="26" t="s">
        <v>28</v>
      </c>
      <c r="P16" s="25" t="s">
        <v>28</v>
      </c>
      <c r="Q16" s="26" t="s">
        <v>28</v>
      </c>
      <c r="R16" s="25">
        <v>100</v>
      </c>
      <c r="S16" s="25">
        <v>1</v>
      </c>
      <c r="T16" s="25">
        <v>0</v>
      </c>
      <c r="U16" s="25">
        <v>0</v>
      </c>
    </row>
    <row r="17" spans="1:21" ht="10.8" thickBot="1" x14ac:dyDescent="0.25">
      <c r="A17" s="35" t="s">
        <v>42</v>
      </c>
      <c r="B17" s="35" t="s">
        <v>43</v>
      </c>
      <c r="C17" s="35" t="s">
        <v>45</v>
      </c>
      <c r="D17" s="35" t="s">
        <v>159</v>
      </c>
      <c r="E17" s="35" t="s">
        <v>160</v>
      </c>
      <c r="F17" s="35" t="s">
        <v>161</v>
      </c>
      <c r="G17" s="36" t="s">
        <v>47</v>
      </c>
      <c r="H17" s="37" t="s">
        <v>29</v>
      </c>
      <c r="I17" s="37" t="s">
        <v>48</v>
      </c>
      <c r="J17" s="38" t="s">
        <v>49</v>
      </c>
      <c r="K17" s="33">
        <v>1</v>
      </c>
      <c r="L17" s="33" t="s">
        <v>50</v>
      </c>
      <c r="M17" s="25">
        <v>2020</v>
      </c>
      <c r="N17" s="25" t="s">
        <v>28</v>
      </c>
      <c r="O17" s="26" t="s">
        <v>28</v>
      </c>
      <c r="P17" s="25" t="s">
        <v>28</v>
      </c>
      <c r="Q17" s="26" t="s">
        <v>28</v>
      </c>
      <c r="R17" s="25">
        <v>100</v>
      </c>
      <c r="S17" s="25">
        <v>1</v>
      </c>
      <c r="T17" s="25">
        <v>0</v>
      </c>
      <c r="U17" s="25">
        <v>0</v>
      </c>
    </row>
    <row r="18" spans="1:21" ht="10.8" thickBot="1" x14ac:dyDescent="0.25">
      <c r="A18" s="35" t="s">
        <v>42</v>
      </c>
      <c r="B18" s="35" t="s">
        <v>43</v>
      </c>
      <c r="C18" s="35" t="s">
        <v>45</v>
      </c>
      <c r="D18" s="35" t="s">
        <v>162</v>
      </c>
      <c r="E18" s="35" t="s">
        <v>163</v>
      </c>
      <c r="F18" s="35" t="s">
        <v>164</v>
      </c>
      <c r="G18" s="36" t="s">
        <v>165</v>
      </c>
      <c r="H18" s="37" t="s">
        <v>29</v>
      </c>
      <c r="I18" s="37" t="s">
        <v>48</v>
      </c>
      <c r="J18" s="38" t="s">
        <v>49</v>
      </c>
      <c r="K18" s="33">
        <v>1</v>
      </c>
      <c r="L18" s="33" t="s">
        <v>50</v>
      </c>
      <c r="M18" s="25">
        <v>2020</v>
      </c>
      <c r="N18" s="25" t="s">
        <v>44</v>
      </c>
      <c r="O18" s="26" t="s">
        <v>37</v>
      </c>
      <c r="P18" s="25" t="s">
        <v>28</v>
      </c>
      <c r="Q18" s="26" t="s">
        <v>28</v>
      </c>
      <c r="R18" s="25">
        <v>80</v>
      </c>
      <c r="S18" s="25">
        <v>0.8</v>
      </c>
      <c r="T18" s="25">
        <v>0.2</v>
      </c>
      <c r="U18" s="25">
        <v>0</v>
      </c>
    </row>
    <row r="19" spans="1:21" ht="10.8" thickBot="1" x14ac:dyDescent="0.25">
      <c r="A19" s="35" t="s">
        <v>42</v>
      </c>
      <c r="B19" s="35" t="s">
        <v>43</v>
      </c>
      <c r="C19" s="35" t="s">
        <v>45</v>
      </c>
      <c r="D19" s="35" t="s">
        <v>166</v>
      </c>
      <c r="E19" s="35" t="s">
        <v>167</v>
      </c>
      <c r="F19" s="35" t="s">
        <v>168</v>
      </c>
      <c r="G19" s="36" t="s">
        <v>47</v>
      </c>
      <c r="H19" s="37" t="s">
        <v>26</v>
      </c>
      <c r="I19" s="37" t="s">
        <v>48</v>
      </c>
      <c r="J19" s="38" t="s">
        <v>49</v>
      </c>
      <c r="K19" s="33">
        <v>0.5</v>
      </c>
      <c r="L19" s="33" t="s">
        <v>50</v>
      </c>
      <c r="M19" s="25">
        <v>2020</v>
      </c>
      <c r="N19" s="25" t="s">
        <v>28</v>
      </c>
      <c r="O19" s="26" t="s">
        <v>28</v>
      </c>
      <c r="P19" s="25" t="s">
        <v>28</v>
      </c>
      <c r="Q19" s="26" t="s">
        <v>28</v>
      </c>
      <c r="R19" s="25">
        <v>100</v>
      </c>
      <c r="S19" s="25">
        <v>0.5</v>
      </c>
      <c r="T19" s="25">
        <v>0</v>
      </c>
      <c r="U19" s="25">
        <v>0</v>
      </c>
    </row>
    <row r="20" spans="1:21" ht="10.8" thickBot="1" x14ac:dyDescent="0.25">
      <c r="A20" s="35" t="s">
        <v>34</v>
      </c>
      <c r="B20" s="35" t="s">
        <v>35</v>
      </c>
      <c r="C20" s="35" t="s">
        <v>169</v>
      </c>
      <c r="D20" s="35" t="s">
        <v>170</v>
      </c>
      <c r="E20" s="35" t="s">
        <v>171</v>
      </c>
      <c r="F20" s="35" t="s">
        <v>172</v>
      </c>
      <c r="G20" s="36" t="s">
        <v>54</v>
      </c>
      <c r="H20" s="37" t="s">
        <v>26</v>
      </c>
      <c r="I20" s="37" t="s">
        <v>48</v>
      </c>
      <c r="J20" s="38" t="s">
        <v>49</v>
      </c>
      <c r="K20" s="33">
        <v>0.5</v>
      </c>
      <c r="L20" s="33" t="s">
        <v>50</v>
      </c>
      <c r="M20" s="25">
        <v>2020</v>
      </c>
      <c r="N20" s="25" t="s">
        <v>33</v>
      </c>
      <c r="O20" s="26" t="s">
        <v>27</v>
      </c>
      <c r="P20" s="25" t="s">
        <v>28</v>
      </c>
      <c r="Q20" s="26" t="s">
        <v>28</v>
      </c>
      <c r="R20" s="25">
        <v>50</v>
      </c>
      <c r="S20" s="25">
        <v>0.25</v>
      </c>
      <c r="T20" s="25">
        <v>0.25</v>
      </c>
      <c r="U20" s="25">
        <v>0</v>
      </c>
    </row>
    <row r="21" spans="1:21" x14ac:dyDescent="0.2">
      <c r="A21" s="25" t="s">
        <v>181</v>
      </c>
      <c r="B21" s="25" t="s">
        <v>182</v>
      </c>
      <c r="C21" s="25" t="s">
        <v>183</v>
      </c>
      <c r="D21" s="25" t="s">
        <v>184</v>
      </c>
      <c r="E21" s="25" t="s">
        <v>185</v>
      </c>
      <c r="F21" s="25" t="s">
        <v>186</v>
      </c>
      <c r="G21" s="25" t="s">
        <v>187</v>
      </c>
      <c r="H21" s="25" t="s">
        <v>29</v>
      </c>
      <c r="I21" s="25" t="s">
        <v>48</v>
      </c>
      <c r="J21" s="25" t="s">
        <v>49</v>
      </c>
      <c r="K21" s="33">
        <v>1</v>
      </c>
      <c r="L21" s="33" t="s">
        <v>50</v>
      </c>
      <c r="M21" s="25">
        <v>2021</v>
      </c>
      <c r="N21" s="25" t="s">
        <v>32</v>
      </c>
      <c r="O21" s="26" t="s">
        <v>38</v>
      </c>
      <c r="P21" s="25" t="s">
        <v>28</v>
      </c>
      <c r="Q21" s="26" t="s">
        <v>28</v>
      </c>
      <c r="R21" s="25">
        <v>20</v>
      </c>
      <c r="S21" s="25">
        <v>0.2</v>
      </c>
      <c r="T21" s="25">
        <v>0.8</v>
      </c>
      <c r="U21" s="25">
        <v>0</v>
      </c>
    </row>
    <row r="22" spans="1:21" x14ac:dyDescent="0.2">
      <c r="A22" s="25" t="s">
        <v>42</v>
      </c>
      <c r="B22" s="25" t="s">
        <v>43</v>
      </c>
      <c r="C22" s="25" t="s">
        <v>45</v>
      </c>
      <c r="D22" s="25" t="s">
        <v>188</v>
      </c>
      <c r="E22" s="25" t="s">
        <v>189</v>
      </c>
      <c r="F22" s="25" t="s">
        <v>190</v>
      </c>
      <c r="G22" s="25" t="s">
        <v>47</v>
      </c>
      <c r="H22" s="25" t="s">
        <v>26</v>
      </c>
      <c r="I22" s="25" t="s">
        <v>48</v>
      </c>
      <c r="J22" s="25" t="s">
        <v>49</v>
      </c>
      <c r="K22" s="33">
        <v>0.5</v>
      </c>
      <c r="L22" s="33" t="s">
        <v>50</v>
      </c>
      <c r="M22" s="25">
        <v>2021</v>
      </c>
      <c r="N22" s="25" t="s">
        <v>28</v>
      </c>
      <c r="O22" s="26" t="s">
        <v>28</v>
      </c>
      <c r="P22" s="25" t="s">
        <v>28</v>
      </c>
      <c r="Q22" s="26" t="s">
        <v>28</v>
      </c>
      <c r="R22" s="25">
        <v>100</v>
      </c>
      <c r="S22" s="25">
        <v>0.5</v>
      </c>
      <c r="T22" s="25">
        <v>0</v>
      </c>
      <c r="U22" s="25">
        <v>0</v>
      </c>
    </row>
    <row r="23" spans="1:21" x14ac:dyDescent="0.2">
      <c r="A23" s="25" t="s">
        <v>42</v>
      </c>
      <c r="B23" s="25" t="s">
        <v>43</v>
      </c>
      <c r="C23" s="25" t="s">
        <v>45</v>
      </c>
      <c r="D23" s="25" t="s">
        <v>191</v>
      </c>
      <c r="E23" s="25" t="s">
        <v>192</v>
      </c>
      <c r="F23" s="25" t="s">
        <v>193</v>
      </c>
      <c r="G23" s="25" t="s">
        <v>47</v>
      </c>
      <c r="H23" s="25" t="s">
        <v>26</v>
      </c>
      <c r="I23" s="25" t="s">
        <v>48</v>
      </c>
      <c r="J23" s="25" t="s">
        <v>49</v>
      </c>
      <c r="K23" s="33">
        <v>0.5</v>
      </c>
      <c r="L23" s="33" t="s">
        <v>50</v>
      </c>
      <c r="M23" s="25">
        <v>2021</v>
      </c>
      <c r="N23" s="25" t="s">
        <v>28</v>
      </c>
      <c r="O23" s="26" t="s">
        <v>28</v>
      </c>
      <c r="P23" s="25" t="s">
        <v>28</v>
      </c>
      <c r="Q23" s="26" t="s">
        <v>28</v>
      </c>
      <c r="R23" s="25">
        <v>100</v>
      </c>
      <c r="S23" s="25">
        <v>0.5</v>
      </c>
      <c r="T23" s="25">
        <v>0</v>
      </c>
      <c r="U23" s="25">
        <v>0</v>
      </c>
    </row>
    <row r="24" spans="1:21" x14ac:dyDescent="0.2">
      <c r="A24" s="25" t="s">
        <v>42</v>
      </c>
      <c r="B24" s="25" t="s">
        <v>43</v>
      </c>
      <c r="C24" s="25" t="s">
        <v>45</v>
      </c>
      <c r="D24" s="25" t="s">
        <v>194</v>
      </c>
      <c r="E24" s="25" t="s">
        <v>195</v>
      </c>
      <c r="F24" s="25" t="s">
        <v>196</v>
      </c>
      <c r="G24" s="25" t="s">
        <v>197</v>
      </c>
      <c r="H24" s="25" t="s">
        <v>29</v>
      </c>
      <c r="I24" s="25" t="s">
        <v>48</v>
      </c>
      <c r="J24" s="25" t="s">
        <v>49</v>
      </c>
      <c r="K24" s="33">
        <v>1</v>
      </c>
      <c r="L24" s="33" t="s">
        <v>50</v>
      </c>
      <c r="M24" s="25">
        <v>2021</v>
      </c>
      <c r="N24" s="25" t="s">
        <v>28</v>
      </c>
      <c r="O24" s="26" t="s">
        <v>28</v>
      </c>
      <c r="P24" s="25" t="s">
        <v>28</v>
      </c>
      <c r="Q24" s="26" t="s">
        <v>28</v>
      </c>
      <c r="R24" s="25">
        <v>100</v>
      </c>
      <c r="S24" s="25">
        <v>1</v>
      </c>
      <c r="T24" s="25">
        <v>0</v>
      </c>
      <c r="U24" s="25">
        <v>0</v>
      </c>
    </row>
    <row r="25" spans="1:21" x14ac:dyDescent="0.2">
      <c r="A25" s="25" t="s">
        <v>42</v>
      </c>
      <c r="B25" s="25" t="s">
        <v>43</v>
      </c>
      <c r="C25" s="25" t="s">
        <v>45</v>
      </c>
      <c r="D25" s="25" t="s">
        <v>198</v>
      </c>
      <c r="E25" s="25" t="s">
        <v>199</v>
      </c>
      <c r="F25" s="25" t="s">
        <v>200</v>
      </c>
      <c r="G25" s="25" t="s">
        <v>47</v>
      </c>
      <c r="H25" s="25" t="s">
        <v>29</v>
      </c>
      <c r="I25" s="25" t="s">
        <v>48</v>
      </c>
      <c r="J25" s="25" t="s">
        <v>49</v>
      </c>
      <c r="K25" s="33">
        <v>1</v>
      </c>
      <c r="L25" s="33" t="s">
        <v>50</v>
      </c>
      <c r="M25" s="25">
        <v>2021</v>
      </c>
      <c r="N25" s="25" t="s">
        <v>28</v>
      </c>
      <c r="O25" s="26" t="s">
        <v>28</v>
      </c>
      <c r="P25" s="25" t="s">
        <v>28</v>
      </c>
      <c r="Q25" s="26" t="s">
        <v>28</v>
      </c>
      <c r="R25" s="25">
        <v>100</v>
      </c>
      <c r="S25" s="25">
        <v>1</v>
      </c>
      <c r="T25" s="25">
        <v>0</v>
      </c>
      <c r="U25" s="25">
        <v>0</v>
      </c>
    </row>
    <row r="26" spans="1:21" x14ac:dyDescent="0.2">
      <c r="A26" s="25" t="s">
        <v>34</v>
      </c>
      <c r="B26" s="25" t="s">
        <v>35</v>
      </c>
      <c r="C26" s="25" t="s">
        <v>169</v>
      </c>
      <c r="D26" s="25" t="s">
        <v>201</v>
      </c>
      <c r="E26" s="25" t="s">
        <v>202</v>
      </c>
      <c r="F26" s="25" t="s">
        <v>203</v>
      </c>
      <c r="G26" s="25" t="s">
        <v>204</v>
      </c>
      <c r="H26" s="25" t="s">
        <v>26</v>
      </c>
      <c r="I26" s="25" t="s">
        <v>48</v>
      </c>
      <c r="J26" s="25" t="s">
        <v>49</v>
      </c>
      <c r="K26" s="33">
        <v>0.5</v>
      </c>
      <c r="L26" s="33" t="s">
        <v>50</v>
      </c>
      <c r="M26" s="25">
        <v>2021</v>
      </c>
      <c r="N26" s="25" t="s">
        <v>33</v>
      </c>
      <c r="O26" s="26" t="s">
        <v>27</v>
      </c>
      <c r="P26" s="25" t="s">
        <v>28</v>
      </c>
      <c r="Q26" s="26" t="s">
        <v>28</v>
      </c>
      <c r="R26" s="25">
        <v>50</v>
      </c>
      <c r="S26" s="25">
        <v>0.25</v>
      </c>
      <c r="T26" s="25">
        <v>0.25</v>
      </c>
      <c r="U26" s="25">
        <v>0</v>
      </c>
    </row>
    <row r="27" spans="1:21" x14ac:dyDescent="0.2">
      <c r="A27" s="25" t="s">
        <v>34</v>
      </c>
      <c r="B27" s="25" t="s">
        <v>35</v>
      </c>
      <c r="C27" s="25" t="s">
        <v>169</v>
      </c>
      <c r="D27" s="25" t="s">
        <v>201</v>
      </c>
      <c r="E27" s="25" t="s">
        <v>202</v>
      </c>
      <c r="F27" s="25" t="s">
        <v>203</v>
      </c>
      <c r="G27" s="25" t="s">
        <v>54</v>
      </c>
      <c r="H27" s="25" t="s">
        <v>26</v>
      </c>
      <c r="I27" s="25" t="s">
        <v>48</v>
      </c>
      <c r="J27" s="25" t="s">
        <v>49</v>
      </c>
      <c r="K27" s="33">
        <v>0.5</v>
      </c>
      <c r="L27" s="33" t="s">
        <v>50</v>
      </c>
      <c r="M27" s="25">
        <v>2021</v>
      </c>
      <c r="N27" s="25" t="s">
        <v>33</v>
      </c>
      <c r="O27" s="26" t="s">
        <v>27</v>
      </c>
      <c r="P27" s="25" t="s">
        <v>28</v>
      </c>
      <c r="Q27" s="26" t="s">
        <v>28</v>
      </c>
      <c r="R27" s="25">
        <v>50</v>
      </c>
      <c r="S27" s="25">
        <v>0.25</v>
      </c>
      <c r="T27" s="25">
        <v>0.25</v>
      </c>
      <c r="U27" s="25">
        <v>0</v>
      </c>
    </row>
    <row r="28" spans="1:21" x14ac:dyDescent="0.2">
      <c r="A28" s="25" t="s">
        <v>205</v>
      </c>
      <c r="B28" s="25" t="s">
        <v>206</v>
      </c>
      <c r="C28" s="25" t="s">
        <v>207</v>
      </c>
      <c r="D28" s="25" t="s">
        <v>208</v>
      </c>
      <c r="E28" s="25" t="s">
        <v>209</v>
      </c>
      <c r="F28" s="25" t="s">
        <v>210</v>
      </c>
      <c r="G28" s="25" t="s">
        <v>53</v>
      </c>
      <c r="H28" s="25" t="s">
        <v>26</v>
      </c>
      <c r="I28" s="25" t="s">
        <v>48</v>
      </c>
      <c r="J28" s="25" t="s">
        <v>49</v>
      </c>
      <c r="K28" s="33">
        <v>0.5</v>
      </c>
      <c r="L28" s="33" t="s">
        <v>50</v>
      </c>
      <c r="M28" s="25">
        <v>2021</v>
      </c>
      <c r="N28" s="25" t="s">
        <v>32</v>
      </c>
      <c r="O28" s="26" t="s">
        <v>38</v>
      </c>
      <c r="P28" s="25" t="s">
        <v>28</v>
      </c>
      <c r="Q28" s="26" t="s">
        <v>28</v>
      </c>
      <c r="R28" s="25">
        <v>20</v>
      </c>
      <c r="S28" s="25">
        <v>0.1</v>
      </c>
      <c r="T28" s="25">
        <v>0.4</v>
      </c>
      <c r="U28" s="25">
        <v>0</v>
      </c>
    </row>
    <row r="29" spans="1:21" x14ac:dyDescent="0.2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60"/>
      <c r="P29" s="59"/>
      <c r="Q29" s="60"/>
      <c r="R29" s="59"/>
      <c r="S29" s="69">
        <f>SUM(S2:S28)</f>
        <v>16.25</v>
      </c>
      <c r="T29" s="59"/>
      <c r="U29" s="59"/>
    </row>
  </sheetData>
  <autoFilter ref="A1:U1" xr:uid="{00000000-0009-0000-0000-000000000000}">
    <sortState xmlns:xlrd2="http://schemas.microsoft.com/office/spreadsheetml/2017/richdata2" ref="A2:T1875">
      <sortCondition ref="K2:K1875"/>
      <sortCondition ref="L2:L1875"/>
      <sortCondition ref="D2:D1875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9"/>
  <sheetViews>
    <sheetView zoomScaleNormal="100" workbookViewId="0">
      <selection activeCell="E22" sqref="E22"/>
    </sheetView>
  </sheetViews>
  <sheetFormatPr baseColWidth="10" defaultColWidth="11.44140625" defaultRowHeight="13.2" x14ac:dyDescent="0.25"/>
  <cols>
    <col min="1" max="1" width="10.88671875" style="18" bestFit="1" customWidth="1"/>
    <col min="2" max="2" width="36.88671875" style="18" bestFit="1" customWidth="1"/>
    <col min="3" max="3" width="17" style="18" bestFit="1" customWidth="1"/>
    <col min="4" max="9" width="3.33203125" style="18" bestFit="1" customWidth="1"/>
    <col min="10" max="10" width="13.109375" style="18" bestFit="1" customWidth="1"/>
    <col min="11" max="11" width="11.109375" style="18" bestFit="1" customWidth="1"/>
    <col min="12" max="12" width="5.5546875" style="18" bestFit="1" customWidth="1"/>
    <col min="13" max="13" width="5.6640625" style="18" bestFit="1" customWidth="1"/>
    <col min="14" max="14" width="5.6640625" style="19" bestFit="1" customWidth="1"/>
    <col min="15" max="15" width="5.6640625" style="18" bestFit="1" customWidth="1"/>
    <col min="16" max="16" width="5.6640625" style="19" bestFit="1" customWidth="1"/>
    <col min="17" max="19" width="5.6640625" style="18" bestFit="1" customWidth="1"/>
    <col min="20" max="16384" width="11.44140625" style="18"/>
  </cols>
  <sheetData>
    <row r="1" spans="1:19" s="17" customFormat="1" ht="60" customHeight="1" x14ac:dyDescent="0.25">
      <c r="A1" s="20" t="s">
        <v>81</v>
      </c>
      <c r="B1" s="20" t="s">
        <v>82</v>
      </c>
      <c r="C1" s="20" t="s">
        <v>83</v>
      </c>
      <c r="D1" s="21">
        <v>2017</v>
      </c>
      <c r="E1" s="21">
        <v>2018</v>
      </c>
      <c r="F1" s="21">
        <v>2019</v>
      </c>
      <c r="G1" s="21">
        <v>2020</v>
      </c>
      <c r="H1" s="21">
        <v>2021</v>
      </c>
      <c r="I1" s="21">
        <v>2022</v>
      </c>
      <c r="J1" s="20" t="s">
        <v>84</v>
      </c>
      <c r="K1" s="22" t="s">
        <v>138</v>
      </c>
      <c r="L1" s="15" t="s">
        <v>85</v>
      </c>
      <c r="M1" s="15" t="s">
        <v>86</v>
      </c>
      <c r="N1" s="15" t="s">
        <v>87</v>
      </c>
      <c r="O1" s="15" t="s">
        <v>88</v>
      </c>
      <c r="P1" s="16" t="s">
        <v>89</v>
      </c>
      <c r="Q1" s="16" t="s">
        <v>90</v>
      </c>
      <c r="R1" s="16" t="s">
        <v>91</v>
      </c>
      <c r="S1" s="16" t="s">
        <v>139</v>
      </c>
    </row>
    <row r="2" spans="1:19" ht="14.4" x14ac:dyDescent="0.3">
      <c r="A2" s="23" t="s">
        <v>135</v>
      </c>
      <c r="B2" s="23" t="s">
        <v>136</v>
      </c>
      <c r="C2" s="23" t="s">
        <v>93</v>
      </c>
      <c r="D2" s="23"/>
      <c r="E2" s="23"/>
      <c r="F2" s="23"/>
      <c r="G2" s="23"/>
      <c r="H2" s="23"/>
      <c r="I2" s="23">
        <v>1</v>
      </c>
      <c r="J2" s="23">
        <v>1</v>
      </c>
      <c r="K2" s="23" t="s">
        <v>50</v>
      </c>
      <c r="L2" s="24" t="s">
        <v>33</v>
      </c>
      <c r="M2" s="24" t="s">
        <v>27</v>
      </c>
      <c r="N2" s="24" t="s">
        <v>28</v>
      </c>
      <c r="O2" s="24" t="s">
        <v>28</v>
      </c>
      <c r="P2" s="24">
        <v>50</v>
      </c>
      <c r="Q2" s="24">
        <v>0.5</v>
      </c>
      <c r="R2" s="24">
        <v>0</v>
      </c>
      <c r="S2" s="24">
        <v>0.5</v>
      </c>
    </row>
    <row r="3" spans="1:19" ht="14.4" x14ac:dyDescent="0.3">
      <c r="A3" s="23" t="s">
        <v>102</v>
      </c>
      <c r="B3" s="23" t="s">
        <v>103</v>
      </c>
      <c r="C3" s="23" t="s">
        <v>93</v>
      </c>
      <c r="D3" s="23"/>
      <c r="E3" s="23"/>
      <c r="F3" s="23"/>
      <c r="G3" s="23"/>
      <c r="H3" s="23"/>
      <c r="I3" s="23">
        <v>2</v>
      </c>
      <c r="J3" s="23">
        <v>2</v>
      </c>
      <c r="K3" s="23" t="s">
        <v>50</v>
      </c>
      <c r="L3" s="24" t="s">
        <v>52</v>
      </c>
      <c r="M3" s="24" t="s">
        <v>30</v>
      </c>
      <c r="N3" s="24" t="s">
        <v>28</v>
      </c>
      <c r="O3" s="24" t="s">
        <v>28</v>
      </c>
      <c r="P3" s="24">
        <v>90</v>
      </c>
      <c r="Q3" s="24">
        <v>0.2</v>
      </c>
      <c r="R3" s="24">
        <v>0</v>
      </c>
      <c r="S3" s="24">
        <v>1.8</v>
      </c>
    </row>
    <row r="4" spans="1:19" ht="14.4" x14ac:dyDescent="0.3">
      <c r="A4" s="61" t="s">
        <v>98</v>
      </c>
      <c r="B4" s="61" t="s">
        <v>99</v>
      </c>
      <c r="C4" s="62" t="s">
        <v>92</v>
      </c>
      <c r="D4" s="61"/>
      <c r="E4" s="61">
        <v>1</v>
      </c>
      <c r="F4" s="61"/>
      <c r="G4" s="61"/>
      <c r="H4" s="61"/>
      <c r="I4" s="61"/>
      <c r="J4" s="23">
        <v>1</v>
      </c>
      <c r="K4" s="23" t="s">
        <v>50</v>
      </c>
      <c r="L4" s="24">
        <v>0</v>
      </c>
      <c r="M4" s="24">
        <v>0</v>
      </c>
      <c r="N4" s="24" t="s">
        <v>28</v>
      </c>
      <c r="O4" s="24" t="s">
        <v>28</v>
      </c>
      <c r="P4" s="24">
        <v>100</v>
      </c>
      <c r="Q4" s="24">
        <v>0</v>
      </c>
      <c r="R4" s="24">
        <v>0</v>
      </c>
      <c r="S4" s="24">
        <v>1</v>
      </c>
    </row>
    <row r="5" spans="1:19" ht="14.4" x14ac:dyDescent="0.3">
      <c r="A5" s="23" t="s">
        <v>100</v>
      </c>
      <c r="B5" s="23" t="s">
        <v>101</v>
      </c>
      <c r="C5" s="23" t="s">
        <v>92</v>
      </c>
      <c r="D5" s="23"/>
      <c r="E5" s="23"/>
      <c r="F5" s="23">
        <v>1</v>
      </c>
      <c r="G5" s="23"/>
      <c r="H5" s="23"/>
      <c r="I5" s="23"/>
      <c r="J5" s="23">
        <v>1</v>
      </c>
      <c r="K5" s="23" t="s">
        <v>50</v>
      </c>
      <c r="L5" s="24" t="s">
        <v>44</v>
      </c>
      <c r="M5" s="24" t="s">
        <v>37</v>
      </c>
      <c r="N5" s="24" t="s">
        <v>28</v>
      </c>
      <c r="O5" s="24" t="s">
        <v>28</v>
      </c>
      <c r="P5" s="24">
        <v>80</v>
      </c>
      <c r="Q5" s="24">
        <v>0.2</v>
      </c>
      <c r="R5" s="24">
        <v>0</v>
      </c>
      <c r="S5" s="24">
        <v>0.8</v>
      </c>
    </row>
    <row r="6" spans="1:19" ht="14.4" x14ac:dyDescent="0.3">
      <c r="A6" s="23" t="s">
        <v>119</v>
      </c>
      <c r="B6" s="23" t="s">
        <v>120</v>
      </c>
      <c r="C6" s="23" t="s">
        <v>92</v>
      </c>
      <c r="D6" s="23"/>
      <c r="E6" s="23"/>
      <c r="F6" s="23"/>
      <c r="G6" s="23"/>
      <c r="H6" s="23"/>
      <c r="I6" s="23">
        <v>1</v>
      </c>
      <c r="J6" s="23">
        <v>1</v>
      </c>
      <c r="K6" s="23" t="s">
        <v>50</v>
      </c>
      <c r="L6" s="24">
        <v>0</v>
      </c>
      <c r="M6" s="24">
        <v>0</v>
      </c>
      <c r="N6" s="24" t="s">
        <v>28</v>
      </c>
      <c r="O6" s="24" t="s">
        <v>28</v>
      </c>
      <c r="P6" s="24">
        <v>100</v>
      </c>
      <c r="Q6" s="24">
        <v>0</v>
      </c>
      <c r="R6" s="24">
        <v>0</v>
      </c>
      <c r="S6" s="24">
        <v>1</v>
      </c>
    </row>
    <row r="7" spans="1:19" ht="14.4" x14ac:dyDescent="0.3">
      <c r="A7" s="23" t="s">
        <v>140</v>
      </c>
      <c r="B7" s="23" t="s">
        <v>141</v>
      </c>
      <c r="C7" s="23" t="s">
        <v>92</v>
      </c>
      <c r="D7" s="23"/>
      <c r="E7" s="23"/>
      <c r="F7" s="23">
        <v>1</v>
      </c>
      <c r="G7" s="23"/>
      <c r="H7" s="23"/>
      <c r="I7" s="23"/>
      <c r="J7" s="23">
        <v>1</v>
      </c>
      <c r="K7" s="23" t="s">
        <v>50</v>
      </c>
      <c r="L7" s="24" t="s">
        <v>32</v>
      </c>
      <c r="M7" s="24" t="s">
        <v>38</v>
      </c>
      <c r="N7" s="24" t="s">
        <v>28</v>
      </c>
      <c r="O7" s="24" t="s">
        <v>28</v>
      </c>
      <c r="P7" s="24">
        <v>20</v>
      </c>
      <c r="Q7" s="24">
        <v>0.8</v>
      </c>
      <c r="R7" s="24">
        <v>0</v>
      </c>
      <c r="S7" s="24">
        <v>0.2</v>
      </c>
    </row>
    <row r="8" spans="1:19" ht="14.4" x14ac:dyDescent="0.3">
      <c r="A8" s="23" t="s">
        <v>106</v>
      </c>
      <c r="B8" s="23" t="s">
        <v>107</v>
      </c>
      <c r="C8" s="23" t="s">
        <v>92</v>
      </c>
      <c r="D8" s="23"/>
      <c r="E8" s="23"/>
      <c r="F8" s="23"/>
      <c r="G8" s="23">
        <v>1</v>
      </c>
      <c r="H8" s="23"/>
      <c r="I8" s="23"/>
      <c r="J8" s="23">
        <v>1</v>
      </c>
      <c r="K8" s="23" t="s">
        <v>50</v>
      </c>
      <c r="L8" s="24" t="s">
        <v>44</v>
      </c>
      <c r="M8" s="24" t="s">
        <v>31</v>
      </c>
      <c r="N8" s="24" t="s">
        <v>28</v>
      </c>
      <c r="O8" s="24" t="s">
        <v>28</v>
      </c>
      <c r="P8" s="24">
        <v>10</v>
      </c>
      <c r="Q8" s="24">
        <v>0.9</v>
      </c>
      <c r="R8" s="24">
        <v>0</v>
      </c>
      <c r="S8" s="24">
        <v>0.1</v>
      </c>
    </row>
    <row r="9" spans="1:19" ht="14.4" x14ac:dyDescent="0.3">
      <c r="A9" s="23" t="s">
        <v>116</v>
      </c>
      <c r="B9" s="23" t="s">
        <v>137</v>
      </c>
      <c r="C9" s="63" t="s">
        <v>92</v>
      </c>
      <c r="D9" s="23"/>
      <c r="E9" s="23"/>
      <c r="F9" s="23">
        <v>1</v>
      </c>
      <c r="G9" s="23"/>
      <c r="H9" s="23"/>
      <c r="I9" s="23"/>
      <c r="J9" s="23">
        <v>1</v>
      </c>
      <c r="K9" s="23" t="s">
        <v>50</v>
      </c>
      <c r="L9" s="24">
        <v>0</v>
      </c>
      <c r="M9" s="24">
        <v>0</v>
      </c>
      <c r="N9" s="24" t="s">
        <v>28</v>
      </c>
      <c r="O9" s="24" t="s">
        <v>28</v>
      </c>
      <c r="P9" s="24">
        <v>100</v>
      </c>
      <c r="Q9" s="24">
        <v>0</v>
      </c>
      <c r="R9" s="24">
        <v>0</v>
      </c>
      <c r="S9" s="24">
        <v>1</v>
      </c>
    </row>
    <row r="10" spans="1:19" ht="14.4" x14ac:dyDescent="0.3">
      <c r="A10" s="23" t="s">
        <v>117</v>
      </c>
      <c r="B10" s="23" t="s">
        <v>118</v>
      </c>
      <c r="C10" s="23" t="s">
        <v>92</v>
      </c>
      <c r="D10" s="23"/>
      <c r="E10" s="23">
        <v>1</v>
      </c>
      <c r="F10" s="23">
        <v>1</v>
      </c>
      <c r="G10" s="23"/>
      <c r="H10" s="23"/>
      <c r="I10" s="23"/>
      <c r="J10" s="23">
        <v>2</v>
      </c>
      <c r="K10" s="23" t="s">
        <v>50</v>
      </c>
      <c r="L10" s="24" t="s">
        <v>32</v>
      </c>
      <c r="M10" s="24" t="s">
        <v>38</v>
      </c>
      <c r="N10" s="24" t="s">
        <v>28</v>
      </c>
      <c r="O10" s="24" t="s">
        <v>28</v>
      </c>
      <c r="P10" s="24">
        <v>20</v>
      </c>
      <c r="Q10" s="24">
        <v>1.6</v>
      </c>
      <c r="R10" s="24">
        <v>0</v>
      </c>
      <c r="S10" s="24">
        <v>0.4</v>
      </c>
    </row>
    <row r="11" spans="1:19" ht="14.4" x14ac:dyDescent="0.3">
      <c r="A11" s="23" t="s">
        <v>114</v>
      </c>
      <c r="B11" s="23" t="s">
        <v>115</v>
      </c>
      <c r="C11" s="23">
        <v>6</v>
      </c>
      <c r="D11" s="23"/>
      <c r="E11" s="23"/>
      <c r="F11" s="23">
        <v>1</v>
      </c>
      <c r="G11" s="23"/>
      <c r="H11" s="23">
        <v>1</v>
      </c>
      <c r="I11" s="23"/>
      <c r="J11" s="23">
        <v>2</v>
      </c>
      <c r="K11" s="23" t="s">
        <v>50</v>
      </c>
      <c r="L11" s="24">
        <v>0</v>
      </c>
      <c r="M11" s="24">
        <v>0</v>
      </c>
      <c r="N11" s="24" t="s">
        <v>28</v>
      </c>
      <c r="O11" s="24" t="s">
        <v>28</v>
      </c>
      <c r="P11" s="24">
        <v>100</v>
      </c>
      <c r="Q11" s="24">
        <v>0</v>
      </c>
      <c r="R11" s="24">
        <v>0</v>
      </c>
      <c r="S11" s="24">
        <v>2</v>
      </c>
    </row>
    <row r="12" spans="1:19" ht="14.4" x14ac:dyDescent="0.3">
      <c r="A12" s="23" t="s">
        <v>104</v>
      </c>
      <c r="B12" s="23" t="s">
        <v>105</v>
      </c>
      <c r="C12" s="23" t="s">
        <v>92</v>
      </c>
      <c r="D12" s="23"/>
      <c r="E12" s="23"/>
      <c r="F12" s="23">
        <v>1</v>
      </c>
      <c r="G12" s="23"/>
      <c r="H12" s="23"/>
      <c r="I12" s="23"/>
      <c r="J12" s="23">
        <v>1</v>
      </c>
      <c r="K12" s="23" t="s">
        <v>50</v>
      </c>
      <c r="L12" s="24" t="s">
        <v>44</v>
      </c>
      <c r="M12" s="24" t="s">
        <v>37</v>
      </c>
      <c r="N12" s="24" t="s">
        <v>28</v>
      </c>
      <c r="O12" s="24" t="s">
        <v>28</v>
      </c>
      <c r="P12" s="24">
        <v>80</v>
      </c>
      <c r="Q12" s="24">
        <v>0.2</v>
      </c>
      <c r="R12" s="24">
        <v>0</v>
      </c>
      <c r="S12" s="24">
        <v>0.8</v>
      </c>
    </row>
    <row r="13" spans="1:19" ht="14.4" x14ac:dyDescent="0.3">
      <c r="A13" s="23" t="s">
        <v>112</v>
      </c>
      <c r="B13" s="23" t="s">
        <v>113</v>
      </c>
      <c r="C13" s="23" t="s">
        <v>93</v>
      </c>
      <c r="D13" s="23"/>
      <c r="E13" s="23">
        <v>1</v>
      </c>
      <c r="F13" s="23"/>
      <c r="G13" s="23"/>
      <c r="H13" s="23"/>
      <c r="I13" s="23"/>
      <c r="J13" s="23">
        <v>1</v>
      </c>
      <c r="K13" s="23" t="s">
        <v>50</v>
      </c>
      <c r="L13" s="24" t="s">
        <v>32</v>
      </c>
      <c r="M13" s="24" t="s">
        <v>27</v>
      </c>
      <c r="N13" s="24" t="s">
        <v>28</v>
      </c>
      <c r="O13" s="24" t="s">
        <v>28</v>
      </c>
      <c r="P13" s="24">
        <v>50</v>
      </c>
      <c r="Q13" s="24">
        <v>0.5</v>
      </c>
      <c r="R13" s="24">
        <v>0</v>
      </c>
      <c r="S13" s="24">
        <v>0.5</v>
      </c>
    </row>
    <row r="14" spans="1:19" ht="14.4" x14ac:dyDescent="0.3">
      <c r="A14" s="23" t="s">
        <v>108</v>
      </c>
      <c r="B14" s="23" t="s">
        <v>109</v>
      </c>
      <c r="C14" s="23" t="s">
        <v>92</v>
      </c>
      <c r="D14" s="23"/>
      <c r="E14" s="23"/>
      <c r="F14" s="23">
        <v>1</v>
      </c>
      <c r="G14" s="23"/>
      <c r="H14" s="23"/>
      <c r="I14" s="23"/>
      <c r="J14" s="23">
        <v>1</v>
      </c>
      <c r="K14" s="23" t="s">
        <v>50</v>
      </c>
      <c r="L14" s="24" t="s">
        <v>44</v>
      </c>
      <c r="M14" s="24" t="s">
        <v>37</v>
      </c>
      <c r="N14" s="24" t="s">
        <v>28</v>
      </c>
      <c r="O14" s="24" t="s">
        <v>28</v>
      </c>
      <c r="P14" s="24">
        <v>80</v>
      </c>
      <c r="Q14" s="24">
        <v>0.2</v>
      </c>
      <c r="R14" s="24">
        <v>0</v>
      </c>
      <c r="S14" s="24">
        <v>0.8</v>
      </c>
    </row>
    <row r="15" spans="1:19" ht="14.4" x14ac:dyDescent="0.3">
      <c r="A15" s="61" t="s">
        <v>211</v>
      </c>
      <c r="B15" s="61" t="s">
        <v>212</v>
      </c>
      <c r="C15" s="62" t="s">
        <v>93</v>
      </c>
      <c r="D15" s="61"/>
      <c r="E15" s="61"/>
      <c r="F15" s="61"/>
      <c r="G15" s="61"/>
      <c r="H15" s="61">
        <v>1</v>
      </c>
      <c r="I15" s="61"/>
      <c r="J15" s="23">
        <v>1</v>
      </c>
      <c r="K15" s="23" t="s">
        <v>50</v>
      </c>
      <c r="L15" s="24">
        <v>0</v>
      </c>
      <c r="M15" s="24">
        <v>0</v>
      </c>
      <c r="N15" s="24" t="s">
        <v>28</v>
      </c>
      <c r="O15" s="24" t="s">
        <v>28</v>
      </c>
      <c r="P15" s="24">
        <v>100</v>
      </c>
      <c r="Q15" s="24">
        <v>0</v>
      </c>
      <c r="R15" s="24">
        <v>0</v>
      </c>
      <c r="S15" s="24">
        <v>1</v>
      </c>
    </row>
    <row r="16" spans="1:19" ht="14.4" x14ac:dyDescent="0.3">
      <c r="A16" s="23" t="s">
        <v>94</v>
      </c>
      <c r="B16" s="23" t="s">
        <v>95</v>
      </c>
      <c r="C16" s="23" t="s">
        <v>92</v>
      </c>
      <c r="D16" s="23"/>
      <c r="E16" s="23">
        <v>1</v>
      </c>
      <c r="F16" s="23"/>
      <c r="G16" s="23"/>
      <c r="H16" s="23"/>
      <c r="I16" s="23"/>
      <c r="J16" s="23">
        <v>1</v>
      </c>
      <c r="K16" s="23" t="s">
        <v>50</v>
      </c>
      <c r="L16" s="24" t="s">
        <v>32</v>
      </c>
      <c r="M16" s="24" t="s">
        <v>27</v>
      </c>
      <c r="N16" s="24" t="s">
        <v>28</v>
      </c>
      <c r="O16" s="24" t="s">
        <v>28</v>
      </c>
      <c r="P16" s="24">
        <v>50</v>
      </c>
      <c r="Q16" s="24">
        <v>0.5</v>
      </c>
      <c r="R16" s="24">
        <v>0</v>
      </c>
      <c r="S16" s="24">
        <v>0.5</v>
      </c>
    </row>
    <row r="17" spans="1:19" ht="14.4" x14ac:dyDescent="0.3">
      <c r="A17" s="23" t="s">
        <v>96</v>
      </c>
      <c r="B17" s="23" t="s">
        <v>97</v>
      </c>
      <c r="C17" s="23" t="s">
        <v>92</v>
      </c>
      <c r="D17" s="23"/>
      <c r="E17" s="23"/>
      <c r="F17" s="23"/>
      <c r="G17" s="23">
        <v>1</v>
      </c>
      <c r="H17" s="23"/>
      <c r="I17" s="23"/>
      <c r="J17" s="23">
        <v>1</v>
      </c>
      <c r="K17" s="23" t="s">
        <v>50</v>
      </c>
      <c r="L17" s="24" t="s">
        <v>52</v>
      </c>
      <c r="M17" s="24" t="s">
        <v>30</v>
      </c>
      <c r="N17" s="24" t="s">
        <v>28</v>
      </c>
      <c r="O17" s="24" t="s">
        <v>28</v>
      </c>
      <c r="P17" s="24">
        <v>90</v>
      </c>
      <c r="Q17" s="24">
        <v>0.1</v>
      </c>
      <c r="R17" s="24">
        <v>0</v>
      </c>
      <c r="S17" s="24">
        <v>0.9</v>
      </c>
    </row>
    <row r="18" spans="1:19" ht="14.4" x14ac:dyDescent="0.3">
      <c r="A18" s="61" t="s">
        <v>110</v>
      </c>
      <c r="B18" s="61" t="s">
        <v>111</v>
      </c>
      <c r="C18" s="61" t="s">
        <v>92</v>
      </c>
      <c r="D18" s="61"/>
      <c r="E18" s="61"/>
      <c r="F18" s="61"/>
      <c r="G18" s="61"/>
      <c r="H18" s="61"/>
      <c r="I18" s="61">
        <v>1</v>
      </c>
      <c r="J18" s="61">
        <v>1</v>
      </c>
      <c r="K18" s="23" t="s">
        <v>50</v>
      </c>
      <c r="L18" s="24" t="s">
        <v>33</v>
      </c>
      <c r="M18" s="24" t="s">
        <v>27</v>
      </c>
      <c r="N18" s="24" t="s">
        <v>28</v>
      </c>
      <c r="O18" s="24" t="s">
        <v>28</v>
      </c>
      <c r="P18" s="24">
        <v>50</v>
      </c>
      <c r="Q18" s="24">
        <v>0.5</v>
      </c>
      <c r="R18" s="24">
        <v>0</v>
      </c>
      <c r="S18" s="24">
        <v>0.5</v>
      </c>
    </row>
    <row r="19" spans="1:19" ht="14.4" x14ac:dyDescent="0.3">
      <c r="A19" s="64"/>
      <c r="B19" s="64"/>
      <c r="C19" s="65"/>
      <c r="D19" s="64"/>
      <c r="E19" s="64"/>
      <c r="F19" s="64"/>
      <c r="G19" s="64"/>
      <c r="H19" s="64"/>
      <c r="I19" s="64"/>
      <c r="J19" s="66"/>
      <c r="K19" s="64"/>
      <c r="L19" s="64"/>
      <c r="M19" s="64"/>
      <c r="N19" s="64"/>
      <c r="O19" s="64"/>
      <c r="P19" s="64"/>
      <c r="Q19" s="64"/>
      <c r="R19" s="64"/>
      <c r="S19" s="70">
        <f t="shared" ref="S19" si="0">SUM(S2:S18)</f>
        <v>13.800000000000002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"/>
  <sheetViews>
    <sheetView zoomScaleNormal="100" workbookViewId="0">
      <selection activeCell="A23" sqref="A23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121</v>
      </c>
      <c r="B2" s="5"/>
    </row>
    <row r="3" spans="1:2" x14ac:dyDescent="0.2">
      <c r="A3" s="4" t="s">
        <v>122</v>
      </c>
      <c r="B3" s="5">
        <v>1534.08</v>
      </c>
    </row>
    <row r="4" spans="1:2" x14ac:dyDescent="0.2">
      <c r="A4" s="4" t="s">
        <v>123</v>
      </c>
      <c r="B4" s="5"/>
    </row>
    <row r="5" spans="1:2" x14ac:dyDescent="0.2">
      <c r="A5" s="4" t="s">
        <v>124</v>
      </c>
      <c r="B5" s="5">
        <v>2500</v>
      </c>
    </row>
    <row r="6" spans="1:2" x14ac:dyDescent="0.2">
      <c r="A6" s="4" t="s">
        <v>3</v>
      </c>
      <c r="B6" s="5"/>
    </row>
    <row r="7" spans="1:2" x14ac:dyDescent="0.2">
      <c r="A7" s="4" t="s">
        <v>125</v>
      </c>
      <c r="B7" s="5">
        <v>8550</v>
      </c>
    </row>
    <row r="8" spans="1:2" x14ac:dyDescent="0.2">
      <c r="A8" s="4" t="s">
        <v>4</v>
      </c>
      <c r="B8" s="5"/>
    </row>
    <row r="9" spans="1:2" x14ac:dyDescent="0.2">
      <c r="A9" s="4" t="s">
        <v>126</v>
      </c>
      <c r="B9" s="5">
        <v>252.53</v>
      </c>
    </row>
    <row r="10" spans="1:2" x14ac:dyDescent="0.2">
      <c r="A10" s="4" t="s">
        <v>127</v>
      </c>
      <c r="B10" s="5">
        <v>15200</v>
      </c>
    </row>
    <row r="11" spans="1:2" x14ac:dyDescent="0.2">
      <c r="A11" s="4" t="s">
        <v>128</v>
      </c>
      <c r="B11" s="5"/>
    </row>
    <row r="12" spans="1:2" x14ac:dyDescent="0.2">
      <c r="A12" s="4" t="s">
        <v>129</v>
      </c>
      <c r="B12" s="5">
        <v>36508.5</v>
      </c>
    </row>
    <row r="13" spans="1:2" x14ac:dyDescent="0.2">
      <c r="A13" s="4" t="s">
        <v>130</v>
      </c>
      <c r="B13" s="5"/>
    </row>
    <row r="14" spans="1:2" x14ac:dyDescent="0.2">
      <c r="A14" s="4" t="s">
        <v>131</v>
      </c>
      <c r="B14" s="5">
        <v>35000</v>
      </c>
    </row>
    <row r="15" spans="1:2" x14ac:dyDescent="0.2">
      <c r="A15" s="6" t="s">
        <v>2</v>
      </c>
      <c r="B15" s="7">
        <f>SUM(B3:B14)</f>
        <v>99545.11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4C374-1EDE-46DB-A199-9217ECEDA64D}">
  <dimension ref="A1:B4"/>
  <sheetViews>
    <sheetView zoomScaleNormal="100" workbookViewId="0">
      <selection activeCell="A20" sqref="A20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173</v>
      </c>
      <c r="B2" s="5"/>
    </row>
    <row r="3" spans="1:2" x14ac:dyDescent="0.2">
      <c r="A3" s="4" t="s">
        <v>174</v>
      </c>
      <c r="B3" s="5">
        <v>3640</v>
      </c>
    </row>
    <row r="4" spans="1:2" x14ac:dyDescent="0.2">
      <c r="A4" s="6" t="s">
        <v>2</v>
      </c>
      <c r="B4" s="7">
        <f>SUM(B3:B3)</f>
        <v>3640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72374-BEE3-4FD3-B561-9E135274783A}">
  <dimension ref="A1:C8"/>
  <sheetViews>
    <sheetView zoomScaleNormal="100" workbookViewId="0">
      <selection activeCell="C8" sqref="C8"/>
    </sheetView>
  </sheetViews>
  <sheetFormatPr baseColWidth="10" defaultColWidth="11.44140625" defaultRowHeight="14.4" x14ac:dyDescent="0.3"/>
  <cols>
    <col min="1" max="1" width="13.5546875" bestFit="1" customWidth="1"/>
    <col min="2" max="2" width="67.44140625" customWidth="1"/>
  </cols>
  <sheetData>
    <row r="1" spans="1:3" ht="15" thickBot="1" x14ac:dyDescent="0.35">
      <c r="A1" s="39" t="s">
        <v>175</v>
      </c>
      <c r="B1" s="39" t="s">
        <v>176</v>
      </c>
      <c r="C1" s="40" t="s">
        <v>1</v>
      </c>
    </row>
    <row r="2" spans="1:3" ht="43.8" thickTop="1" x14ac:dyDescent="0.3">
      <c r="A2" s="43" t="s">
        <v>128</v>
      </c>
      <c r="B2" s="44" t="s">
        <v>177</v>
      </c>
      <c r="C2" s="45">
        <v>25701.98</v>
      </c>
    </row>
    <row r="3" spans="1:3" ht="15" thickBot="1" x14ac:dyDescent="0.35">
      <c r="A3" s="46" t="s">
        <v>173</v>
      </c>
      <c r="B3" s="47" t="s">
        <v>178</v>
      </c>
      <c r="C3" s="48">
        <v>8960</v>
      </c>
    </row>
    <row r="4" spans="1:3" ht="15" thickTop="1" x14ac:dyDescent="0.3">
      <c r="A4" s="41"/>
      <c r="B4" s="41"/>
      <c r="C4" s="42">
        <v>34661.979999999996</v>
      </c>
    </row>
    <row r="6" spans="1:3" x14ac:dyDescent="0.3">
      <c r="C6" s="49"/>
    </row>
    <row r="8" spans="1:3" x14ac:dyDescent="0.3">
      <c r="B8" s="67" t="s">
        <v>213</v>
      </c>
      <c r="C8" s="68">
        <f>C4+'Ingresos investigación 2020'!B4+'Ingresos investigación 2019'!B15</f>
        <v>137847.09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40536-6A41-4E12-B22A-621281237DF5}">
  <dimension ref="A1:C6"/>
  <sheetViews>
    <sheetView zoomScaleNormal="100" workbookViewId="0">
      <selection activeCell="C6" sqref="C6"/>
    </sheetView>
  </sheetViews>
  <sheetFormatPr baseColWidth="10" defaultColWidth="11.44140625" defaultRowHeight="14.4" x14ac:dyDescent="0.3"/>
  <cols>
    <col min="1" max="1" width="13.5546875" bestFit="1" customWidth="1"/>
    <col min="2" max="2" width="67.44140625" customWidth="1"/>
  </cols>
  <sheetData>
    <row r="1" spans="1:3" x14ac:dyDescent="0.3">
      <c r="A1" s="50" t="s">
        <v>175</v>
      </c>
      <c r="B1" s="50" t="s">
        <v>176</v>
      </c>
      <c r="C1" s="51" t="s">
        <v>1</v>
      </c>
    </row>
    <row r="2" spans="1:3" ht="29.4" thickBot="1" x14ac:dyDescent="0.35">
      <c r="A2" s="54" t="s">
        <v>179</v>
      </c>
      <c r="B2" s="55" t="s">
        <v>180</v>
      </c>
      <c r="C2" s="56">
        <v>90</v>
      </c>
    </row>
    <row r="3" spans="1:3" ht="15" thickTop="1" x14ac:dyDescent="0.3">
      <c r="A3" s="52"/>
      <c r="B3" s="52"/>
      <c r="C3" s="53">
        <v>90</v>
      </c>
    </row>
    <row r="6" spans="1:3" x14ac:dyDescent="0.3">
      <c r="B6" s="67" t="s">
        <v>214</v>
      </c>
      <c r="C6" s="68">
        <f>C3</f>
        <v>90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Tesis</vt:lpstr>
      <vt:lpstr>Sexenios</vt:lpstr>
      <vt:lpstr>Ingresos investigación 2019</vt:lpstr>
      <vt:lpstr>Ingresos investigación 2020</vt:lpstr>
      <vt:lpstr>Ingresos investigación 2021</vt:lpstr>
      <vt:lpstr>Ingresos formación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2022-10-18T14:33:41Z</dcterms:modified>
</cp:coreProperties>
</file>