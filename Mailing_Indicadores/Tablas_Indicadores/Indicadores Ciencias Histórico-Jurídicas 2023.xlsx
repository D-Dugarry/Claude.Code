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/>
  <mc:AlternateContent xmlns:mc="http://schemas.openxmlformats.org/markup-compatibility/2006">
    <mc:Choice Requires="x15">
      <x15ac:absPath xmlns:x15ac="http://schemas.microsoft.com/office/spreadsheetml/2010/11/ac" url="I:\Mi unidad\Presupuestación\Presupuesto 2023\Departamentos\Departamentos\"/>
    </mc:Choice>
  </mc:AlternateContent>
  <xr:revisionPtr revIDLastSave="0" documentId="13_ncr:1_{096A8771-B850-4D91-B09C-21E4BA27BC16}" xr6:coauthVersionLast="36" xr6:coauthVersionMax="36" xr10:uidLastSave="{00000000-0000-0000-0000-000000000000}"/>
  <bookViews>
    <workbookView xWindow="0" yWindow="0" windowWidth="28800" windowHeight="12330" activeTab="1" xr2:uid="{00000000-000D-0000-FFFF-FFFF00000000}"/>
  </bookViews>
  <sheets>
    <sheet name="Tesis" sheetId="1" r:id="rId1"/>
    <sheet name="Sexenios" sheetId="2" r:id="rId2"/>
  </sheets>
  <definedNames>
    <definedName name="_xlnm._FilterDatabase" localSheetId="1" hidden="1">Sexenios!$A$1:$S$5</definedName>
    <definedName name="_xlnm._FilterDatabase" localSheetId="0" hidden="1">Tesis!$A$1:$U$7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" i="2" l="1"/>
  <c r="S8" i="1" l="1"/>
</calcChain>
</file>

<file path=xl/sharedStrings.xml><?xml version="1.0" encoding="utf-8"?>
<sst xmlns="http://schemas.openxmlformats.org/spreadsheetml/2006/main" count="158" uniqueCount="81">
  <si>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</si>
  <si>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</si>
  <si>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</si>
  <si>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</si>
  <si>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</si>
  <si>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</si>
  <si>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</si>
  <si>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</si>
  <si>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</si>
  <si>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</si>
  <si>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</si>
  <si>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</si>
  <si>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</si>
  <si>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</si>
  <si>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</si>
  <si>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</si>
  <si>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</si>
  <si>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</si>
  <si>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</si>
  <si>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</si>
  <si>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</si>
  <si>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</si>
  <si>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</si>
  <si>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</si>
  <si>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</si>
  <si>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U025 </t>
  </si>
  <si>
    <t>ADM. FACULTAD DE DERECHO </t>
  </si>
  <si>
    <t>DOCTORADO EN DERECHO </t>
  </si>
  <si>
    <t>21423896V </t>
  </si>
  <si>
    <t>B104 </t>
  </si>
  <si>
    <t>CIENCIAS HISTORICO-JURIDICAS </t>
  </si>
  <si>
    <t>B104</t>
  </si>
  <si>
    <t>21435704A </t>
  </si>
  <si>
    <t>10.05</t>
  </si>
  <si>
    <t>Muñoz Ferrera, José Manuel </t>
  </si>
  <si>
    <t>LA AVENENCIA Y MEDIACIÓN ARBITRAL EN EL DERECHO ANDALUSÍ EJE VERTEBRADOR EN MATERIA DE CONCILIACIÓN Y ARBITRAJE ENTRE COMUNIDADES Y SU CONTEMPORANEIDAD </t>
  </si>
  <si>
    <t>19/07/2017 </t>
  </si>
  <si>
    <t>Pizarro Medina, María del Pilar </t>
  </si>
  <si>
    <t>PROBLEMÁTICA DIETÉTICA RELIGIOSA ANTE LA LAICIDAD DEL ESTADO </t>
  </si>
  <si>
    <t>29/09/2017 </t>
  </si>
  <si>
    <t>Abellán Contreras, Francisco José </t>
  </si>
  <si>
    <t>REGULACIÓN NORMATIVA DE LAS ZONAS HÚMEDAS EN EL REINO DE VALENCIA. ESTUDIO HISTÓRICO JURÍDICO SOBRE LA DESECACIÓN Y COLONIZACIÓN DEL "SINUS ILLICITANUS" (XVII-XX) </t>
  </si>
  <si>
    <t>24/04/2018 </t>
  </si>
  <si>
    <t>Paya Selles, Enrique Jorge </t>
  </si>
  <si>
    <t>RÉGIMEN JURÍDICO DE LAS AGUAS DE LA CUENCA DEL RÍO VERDE-MONNEGRE (SS. XIII-XVIII) </t>
  </si>
  <si>
    <t>20/07/2018 </t>
  </si>
  <si>
    <t>DE CHIARA , GABRIELLA </t>
  </si>
  <si>
    <t>CUESTIONES JURÍDICAS Y ECONÓMICAS DE LAS COMUNIDADES ISLAMICAS EN ITALIA Y EN ESPAÑA </t>
  </si>
  <si>
    <t>15/07/2019 </t>
  </si>
  <si>
    <t>30</t>
  </si>
  <si>
    <t>10.23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</si>
  <si>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</si>
  <si>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</si>
  <si>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</si>
  <si>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</si>
  <si>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</si>
  <si>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</si>
  <si>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</si>
  <si>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</si>
  <si>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</si>
  <si>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</si>
  <si>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</si>
  <si>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</si>
  <si>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</si>
  <si>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21423896V</t>
  </si>
  <si>
    <t>ALENDA SALINAS, MANUEL</t>
  </si>
  <si>
    <t>13114561F</t>
  </si>
  <si>
    <t>CALZADA GONZALEZ, MARIA ARANZAZU</t>
  </si>
  <si>
    <t>21435704A</t>
  </si>
  <si>
    <t>MARTINEZ ALMIRA, MARIA MAGDALENA</t>
  </si>
  <si>
    <t>52987571X</t>
  </si>
  <si>
    <t>SOUTO GALVAN, BEATRIZ</t>
  </si>
  <si>
    <t>COD DEP</t>
  </si>
  <si>
    <t>Martínez Fernández, Álvaro </t>
  </si>
  <si>
    <t>Fundamentos históricos de la llamada Cautela Socini </t>
  </si>
  <si>
    <t>28/10/2020 </t>
  </si>
  <si>
    <t>13114561F </t>
  </si>
  <si>
    <t>21457967W</t>
  </si>
  <si>
    <t>PINEDA MARCOS, MATILDE</t>
  </si>
  <si>
    <t>NO FUNCIONARIO</t>
  </si>
  <si>
    <t>vivos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</si>
</sst>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4" fillId="0" borderId="0"/>
    <xf numFmtId="0" fontId="7" fillId="0" borderId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right" wrapText="1"/>
    </xf>
    <xf numFmtId="0" fontId="1" fillId="3" borderId="0" xfId="1" applyFont="1" applyFill="1" applyAlignment="1"/>
    <xf numFmtId="0" fontId="1" fillId="4" borderId="0" xfId="1" applyFont="1" applyFill="1" applyAlignment="1"/>
    <xf numFmtId="0" fontId="1" fillId="4" borderId="0" xfId="1" applyFont="1" applyFill="1" applyAlignment="1">
      <alignment horizontal="right"/>
    </xf>
    <xf numFmtId="164" fontId="2" fillId="4" borderId="1" xfId="1" applyNumberFormat="1" applyFont="1" applyFill="1" applyBorder="1" applyAlignment="1"/>
    <xf numFmtId="0" fontId="1" fillId="3" borderId="0" xfId="1" applyFont="1" applyFill="1" applyAlignment="1">
      <alignment horizontal="right"/>
    </xf>
    <xf numFmtId="0" fontId="6" fillId="5" borderId="1" xfId="3" applyFont="1" applyFill="1" applyBorder="1" applyAlignment="1">
      <alignment horizontal="center" textRotation="90" wrapText="1"/>
    </xf>
    <xf numFmtId="0" fontId="6" fillId="2" borderId="1" xfId="3" applyFont="1" applyFill="1" applyBorder="1" applyAlignment="1">
      <alignment horizontal="center" textRotation="90" wrapText="1"/>
    </xf>
    <xf numFmtId="0" fontId="4" fillId="0" borderId="0" xfId="4" applyFont="1"/>
    <xf numFmtId="0" fontId="8" fillId="0" borderId="0" xfId="4" applyFont="1"/>
    <xf numFmtId="0" fontId="8" fillId="0" borderId="0" xfId="4" applyFont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textRotation="90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1" xfId="1" applyFill="1" applyBorder="1"/>
    <xf numFmtId="164" fontId="1" fillId="3" borderId="1" xfId="1" applyNumberFormat="1" applyFill="1" applyBorder="1"/>
    <xf numFmtId="0" fontId="1" fillId="3" borderId="1" xfId="1" applyFill="1" applyBorder="1" applyAlignment="1">
      <alignment horizontal="right"/>
    </xf>
    <xf numFmtId="1" fontId="1" fillId="3" borderId="1" xfId="1" applyNumberFormat="1" applyFill="1" applyBorder="1"/>
    <xf numFmtId="165" fontId="1" fillId="3" borderId="1" xfId="1" applyNumberFormat="1" applyFill="1" applyBorder="1"/>
    <xf numFmtId="0" fontId="1" fillId="0" borderId="1" xfId="1" applyBorder="1"/>
    <xf numFmtId="0" fontId="1" fillId="3" borderId="2" xfId="1" applyFill="1" applyBorder="1"/>
    <xf numFmtId="0" fontId="0" fillId="0" borderId="1" xfId="0" applyBorder="1" applyAlignment="1">
      <alignment horizontal="left"/>
    </xf>
    <xf numFmtId="0" fontId="9" fillId="0" borderId="0" xfId="4" applyFont="1"/>
    <xf numFmtId="0" fontId="6" fillId="2" borderId="1" xfId="3" applyFont="1" applyFill="1" applyBorder="1" applyAlignment="1">
      <alignment horizontal="center" wrapText="1"/>
    </xf>
  </cellXfs>
  <cellStyles count="5">
    <cellStyle name="Normal" xfId="0" builtinId="0"/>
    <cellStyle name="Normal 3" xfId="4" xr:uid="{00000000-0005-0000-0000-000001000000}"/>
    <cellStyle name="Normal_Becas 14_9_2005" xfId="2" xr:uid="{00000000-0005-0000-0000-000002000000}"/>
    <cellStyle name="Normal_Ind.2010" xfId="1" xr:uid="{00000000-0005-0000-0000-000003000000}"/>
    <cellStyle name="Normal_PDI por Centro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8"/>
  <sheetViews>
    <sheetView showGridLines="0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S2" sqref="S2:S8"/>
    </sheetView>
  </sheetViews>
  <sheetFormatPr baseColWidth="10" defaultColWidth="10.28515625" defaultRowHeight="11.25" x14ac:dyDescent="0.2"/>
  <cols>
    <col min="1" max="1" width="5" style="6" customWidth="1"/>
    <col min="2" max="4" width="29.7109375" style="6" customWidth="1"/>
    <col min="5" max="5" width="40.7109375" style="6" customWidth="1"/>
    <col min="6" max="6" width="9.140625" style="6" customWidth="1"/>
    <col min="7" max="7" width="9.7109375" style="6" customWidth="1"/>
    <col min="8" max="8" width="14.42578125" style="6" customWidth="1"/>
    <col min="9" max="9" width="5.85546875" style="6" customWidth="1"/>
    <col min="10" max="10" width="25.7109375" style="6" customWidth="1"/>
    <col min="11" max="12" width="5.140625" style="6" customWidth="1"/>
    <col min="13" max="13" width="4.42578125" style="6" customWidth="1"/>
    <col min="14" max="14" width="4.85546875" style="6" customWidth="1"/>
    <col min="15" max="15" width="4.85546875" style="10" customWidth="1"/>
    <col min="16" max="16" width="4.85546875" style="6" customWidth="1"/>
    <col min="17" max="17" width="3.5703125" style="10" customWidth="1"/>
    <col min="18" max="18" width="3.5703125" style="6" customWidth="1"/>
    <col min="19" max="21" width="5.140625" style="6" customWidth="1"/>
    <col min="22" max="16384" width="10.28515625" style="6"/>
  </cols>
  <sheetData>
    <row r="1" spans="1:21" ht="4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">
      <c r="A2" s="20" t="s">
        <v>25</v>
      </c>
      <c r="B2" s="20" t="s">
        <v>26</v>
      </c>
      <c r="C2" s="20" t="s">
        <v>27</v>
      </c>
      <c r="D2" s="20" t="s">
        <v>34</v>
      </c>
      <c r="E2" s="20" t="s">
        <v>35</v>
      </c>
      <c r="F2" s="20" t="s">
        <v>36</v>
      </c>
      <c r="G2" s="20" t="s">
        <v>32</v>
      </c>
      <c r="H2" s="20" t="s">
        <v>24</v>
      </c>
      <c r="I2" s="20" t="s">
        <v>29</v>
      </c>
      <c r="J2" s="20" t="s">
        <v>30</v>
      </c>
      <c r="K2" s="21">
        <v>1</v>
      </c>
      <c r="L2" s="20" t="s">
        <v>31</v>
      </c>
      <c r="M2" s="20">
        <v>2016</v>
      </c>
      <c r="N2" s="20" t="s">
        <v>33</v>
      </c>
      <c r="O2" s="22" t="s">
        <v>22</v>
      </c>
      <c r="P2" s="20" t="s">
        <v>23</v>
      </c>
      <c r="Q2" s="22" t="s">
        <v>23</v>
      </c>
      <c r="R2" s="23">
        <v>50</v>
      </c>
      <c r="S2" s="21">
        <v>0.5</v>
      </c>
      <c r="T2" s="21">
        <v>0.5</v>
      </c>
      <c r="U2" s="21">
        <v>0</v>
      </c>
    </row>
    <row r="3" spans="1:21" x14ac:dyDescent="0.2">
      <c r="A3" s="20" t="s">
        <v>25</v>
      </c>
      <c r="B3" s="20" t="s">
        <v>26</v>
      </c>
      <c r="C3" s="20" t="s">
        <v>27</v>
      </c>
      <c r="D3" s="20" t="s">
        <v>37</v>
      </c>
      <c r="E3" s="20" t="s">
        <v>38</v>
      </c>
      <c r="F3" s="20" t="s">
        <v>39</v>
      </c>
      <c r="G3" s="20" t="s">
        <v>28</v>
      </c>
      <c r="H3" s="20" t="s">
        <v>24</v>
      </c>
      <c r="I3" s="20" t="s">
        <v>29</v>
      </c>
      <c r="J3" s="20" t="s">
        <v>30</v>
      </c>
      <c r="K3" s="21">
        <v>1</v>
      </c>
      <c r="L3" s="20" t="s">
        <v>31</v>
      </c>
      <c r="M3" s="20">
        <v>2016</v>
      </c>
      <c r="N3" s="20" t="s">
        <v>23</v>
      </c>
      <c r="O3" s="22" t="s">
        <v>23</v>
      </c>
      <c r="P3" s="20" t="s">
        <v>23</v>
      </c>
      <c r="Q3" s="22" t="s">
        <v>23</v>
      </c>
      <c r="R3" s="23">
        <v>100</v>
      </c>
      <c r="S3" s="21">
        <v>1</v>
      </c>
      <c r="T3" s="21">
        <v>0</v>
      </c>
      <c r="U3" s="21">
        <v>0</v>
      </c>
    </row>
    <row r="4" spans="1:21" x14ac:dyDescent="0.2">
      <c r="A4" s="20" t="s">
        <v>25</v>
      </c>
      <c r="B4" s="20" t="s">
        <v>26</v>
      </c>
      <c r="C4" s="20" t="s">
        <v>27</v>
      </c>
      <c r="D4" s="20" t="s">
        <v>43</v>
      </c>
      <c r="E4" s="20" t="s">
        <v>44</v>
      </c>
      <c r="F4" s="20" t="s">
        <v>45</v>
      </c>
      <c r="G4" s="20" t="s">
        <v>32</v>
      </c>
      <c r="H4" s="20" t="s">
        <v>24</v>
      </c>
      <c r="I4" s="20" t="s">
        <v>29</v>
      </c>
      <c r="J4" s="20" t="s">
        <v>30</v>
      </c>
      <c r="K4" s="21">
        <v>1</v>
      </c>
      <c r="L4" s="20" t="s">
        <v>31</v>
      </c>
      <c r="M4" s="20">
        <v>2017</v>
      </c>
      <c r="N4" s="20" t="s">
        <v>33</v>
      </c>
      <c r="O4" s="22" t="s">
        <v>22</v>
      </c>
      <c r="P4" s="20" t="s">
        <v>23</v>
      </c>
      <c r="Q4" s="22" t="s">
        <v>23</v>
      </c>
      <c r="R4" s="23">
        <v>50</v>
      </c>
      <c r="S4" s="21">
        <v>0.5</v>
      </c>
      <c r="T4" s="21">
        <v>0.5</v>
      </c>
      <c r="U4" s="21">
        <v>0</v>
      </c>
    </row>
    <row r="5" spans="1:21" x14ac:dyDescent="0.2">
      <c r="A5" s="20" t="s">
        <v>25</v>
      </c>
      <c r="B5" s="20" t="s">
        <v>26</v>
      </c>
      <c r="C5" s="20" t="s">
        <v>27</v>
      </c>
      <c r="D5" s="20" t="s">
        <v>40</v>
      </c>
      <c r="E5" s="20" t="s">
        <v>41</v>
      </c>
      <c r="F5" s="20" t="s">
        <v>42</v>
      </c>
      <c r="G5" s="20" t="s">
        <v>32</v>
      </c>
      <c r="H5" s="20" t="s">
        <v>24</v>
      </c>
      <c r="I5" s="20" t="s">
        <v>29</v>
      </c>
      <c r="J5" s="20" t="s">
        <v>30</v>
      </c>
      <c r="K5" s="21">
        <v>1</v>
      </c>
      <c r="L5" s="20" t="s">
        <v>31</v>
      </c>
      <c r="M5" s="20">
        <v>2017</v>
      </c>
      <c r="N5" s="20" t="s">
        <v>33</v>
      </c>
      <c r="O5" s="22" t="s">
        <v>22</v>
      </c>
      <c r="P5" s="20" t="s">
        <v>23</v>
      </c>
      <c r="Q5" s="22" t="s">
        <v>23</v>
      </c>
      <c r="R5" s="23">
        <v>50</v>
      </c>
      <c r="S5" s="21">
        <v>0.5</v>
      </c>
      <c r="T5" s="21">
        <v>0.5</v>
      </c>
      <c r="U5" s="21">
        <v>0</v>
      </c>
    </row>
    <row r="6" spans="1:21" x14ac:dyDescent="0.2">
      <c r="A6" s="20" t="s">
        <v>25</v>
      </c>
      <c r="B6" s="20" t="s">
        <v>26</v>
      </c>
      <c r="C6" s="20" t="s">
        <v>27</v>
      </c>
      <c r="D6" s="20" t="s">
        <v>46</v>
      </c>
      <c r="E6" s="20" t="s">
        <v>47</v>
      </c>
      <c r="F6" s="20" t="s">
        <v>48</v>
      </c>
      <c r="G6" s="20" t="s">
        <v>32</v>
      </c>
      <c r="H6" s="20" t="s">
        <v>21</v>
      </c>
      <c r="I6" s="20" t="s">
        <v>29</v>
      </c>
      <c r="J6" s="20" t="s">
        <v>30</v>
      </c>
      <c r="K6" s="24">
        <v>0.5</v>
      </c>
      <c r="L6" s="20" t="s">
        <v>31</v>
      </c>
      <c r="M6" s="20">
        <v>2018</v>
      </c>
      <c r="N6" s="20" t="s">
        <v>33</v>
      </c>
      <c r="O6" s="22" t="s">
        <v>22</v>
      </c>
      <c r="P6" s="20" t="s">
        <v>23</v>
      </c>
      <c r="Q6" s="22" t="s">
        <v>23</v>
      </c>
      <c r="R6" s="23">
        <v>50</v>
      </c>
      <c r="S6" s="21">
        <v>0.25</v>
      </c>
      <c r="T6" s="21">
        <v>0.25</v>
      </c>
      <c r="U6" s="21">
        <v>0</v>
      </c>
    </row>
    <row r="7" spans="1:21" x14ac:dyDescent="0.2">
      <c r="A7" s="20" t="s">
        <v>25</v>
      </c>
      <c r="B7" s="20" t="s">
        <v>26</v>
      </c>
      <c r="C7" s="20" t="s">
        <v>27</v>
      </c>
      <c r="D7" s="20" t="s">
        <v>73</v>
      </c>
      <c r="E7" s="20" t="s">
        <v>74</v>
      </c>
      <c r="F7" s="20" t="s">
        <v>75</v>
      </c>
      <c r="G7" s="20" t="s">
        <v>76</v>
      </c>
      <c r="H7" s="20" t="s">
        <v>21</v>
      </c>
      <c r="I7" s="20" t="s">
        <v>29</v>
      </c>
      <c r="J7" s="20" t="s">
        <v>30</v>
      </c>
      <c r="K7" s="25">
        <v>0.5</v>
      </c>
      <c r="L7" s="25" t="s">
        <v>31</v>
      </c>
      <c r="M7" s="26">
        <v>2019</v>
      </c>
      <c r="N7" s="20" t="s">
        <v>23</v>
      </c>
      <c r="O7" s="22" t="s">
        <v>23</v>
      </c>
      <c r="P7" s="20" t="s">
        <v>23</v>
      </c>
      <c r="Q7" s="22" t="s">
        <v>23</v>
      </c>
      <c r="R7" s="20">
        <v>100</v>
      </c>
      <c r="S7" s="20">
        <v>0.5</v>
      </c>
      <c r="T7" s="20">
        <v>0</v>
      </c>
      <c r="U7" s="20">
        <v>0</v>
      </c>
    </row>
    <row r="8" spans="1:21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/>
      <c r="P8" s="7"/>
      <c r="Q8" s="8"/>
      <c r="R8" s="7"/>
      <c r="S8" s="9">
        <f>SUM(S2:S7)</f>
        <v>3.25</v>
      </c>
      <c r="T8" s="7"/>
      <c r="U8" s="7"/>
    </row>
  </sheetData>
  <autoFilter ref="A1:U7" xr:uid="{00000000-0009-0000-0000-000000000000}">
    <sortState ref="A2:T1909">
      <sortCondition ref="K2:K1909"/>
      <sortCondition ref="L2:L1909"/>
      <sortCondition ref="D2:D1909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7"/>
  <sheetViews>
    <sheetView tabSelected="1" zoomScaleNormal="100" workbookViewId="0">
      <selection activeCell="K1" sqref="K1"/>
    </sheetView>
  </sheetViews>
  <sheetFormatPr baseColWidth="10" defaultRowHeight="12.75" x14ac:dyDescent="0.2"/>
  <cols>
    <col min="1" max="1" width="10.28515625" style="14" bestFit="1" customWidth="1"/>
    <col min="2" max="2" width="37.7109375" style="14" bestFit="1" customWidth="1"/>
    <col min="3" max="3" width="14.5703125" style="14" bestFit="1" customWidth="1"/>
    <col min="4" max="9" width="3.28515625" style="14" bestFit="1" customWidth="1"/>
    <col min="10" max="10" width="13.140625" style="14" bestFit="1" customWidth="1"/>
    <col min="11" max="11" width="5.28515625" style="14" bestFit="1" customWidth="1"/>
    <col min="12" max="13" width="5.7109375" style="14" bestFit="1" customWidth="1"/>
    <col min="14" max="14" width="5.7109375" style="15" bestFit="1" customWidth="1"/>
    <col min="15" max="15" width="5.7109375" style="14" bestFit="1" customWidth="1"/>
    <col min="16" max="16" width="5.7109375" style="15" bestFit="1" customWidth="1"/>
    <col min="17" max="19" width="5.7109375" style="14" bestFit="1" customWidth="1"/>
    <col min="20" max="16384" width="11.42578125" style="14"/>
  </cols>
  <sheetData>
    <row r="1" spans="1:19" s="13" customFormat="1" ht="60" customHeight="1" x14ac:dyDescent="0.2">
      <c r="A1" s="16" t="s">
        <v>51</v>
      </c>
      <c r="B1" s="16" t="s">
        <v>52</v>
      </c>
      <c r="C1" s="16" t="s">
        <v>53</v>
      </c>
      <c r="D1" s="17">
        <v>2017</v>
      </c>
      <c r="E1" s="17">
        <v>2018</v>
      </c>
      <c r="F1" s="17">
        <v>2019</v>
      </c>
      <c r="G1" s="17">
        <v>2020</v>
      </c>
      <c r="H1" s="17">
        <v>2021</v>
      </c>
      <c r="I1" s="17">
        <v>2022</v>
      </c>
      <c r="J1" s="16" t="s">
        <v>54</v>
      </c>
      <c r="K1" s="29" t="s">
        <v>72</v>
      </c>
      <c r="L1" s="11" t="s">
        <v>55</v>
      </c>
      <c r="M1" s="11" t="s">
        <v>56</v>
      </c>
      <c r="N1" s="11" t="s">
        <v>57</v>
      </c>
      <c r="O1" s="11" t="s">
        <v>58</v>
      </c>
      <c r="P1" s="12" t="s">
        <v>59</v>
      </c>
      <c r="Q1" s="12" t="s">
        <v>60</v>
      </c>
      <c r="R1" s="12" t="s">
        <v>61</v>
      </c>
      <c r="S1" s="12" t="s">
        <v>62</v>
      </c>
    </row>
    <row r="2" spans="1:19" x14ac:dyDescent="0.2">
      <c r="A2" s="18" t="s">
        <v>66</v>
      </c>
      <c r="B2" s="18" t="s">
        <v>67</v>
      </c>
      <c r="C2" s="18" t="s">
        <v>63</v>
      </c>
      <c r="D2" s="18"/>
      <c r="E2" s="18"/>
      <c r="F2" s="18">
        <v>1</v>
      </c>
      <c r="G2" s="18"/>
      <c r="H2" s="18"/>
      <c r="I2" s="18"/>
      <c r="J2" s="18">
        <v>1</v>
      </c>
      <c r="K2" s="18" t="s">
        <v>31</v>
      </c>
      <c r="L2" s="19">
        <v>0</v>
      </c>
      <c r="M2" s="19">
        <v>0</v>
      </c>
      <c r="N2" s="19" t="s">
        <v>23</v>
      </c>
      <c r="O2" s="19" t="s">
        <v>23</v>
      </c>
      <c r="P2" s="19">
        <v>100</v>
      </c>
      <c r="Q2" s="19">
        <v>0</v>
      </c>
      <c r="R2" s="19">
        <v>0</v>
      </c>
      <c r="S2" s="19">
        <v>1</v>
      </c>
    </row>
    <row r="3" spans="1:19" x14ac:dyDescent="0.2">
      <c r="A3" s="18" t="s">
        <v>64</v>
      </c>
      <c r="B3" s="18" t="s">
        <v>65</v>
      </c>
      <c r="C3" s="18" t="s">
        <v>63</v>
      </c>
      <c r="D3" s="18">
        <v>1</v>
      </c>
      <c r="E3" s="18"/>
      <c r="F3" s="18">
        <v>1</v>
      </c>
      <c r="G3" s="18"/>
      <c r="H3" s="18"/>
      <c r="I3" s="18"/>
      <c r="J3" s="18">
        <v>2</v>
      </c>
      <c r="K3" s="18" t="s">
        <v>31</v>
      </c>
      <c r="L3" s="19">
        <v>0</v>
      </c>
      <c r="M3" s="19">
        <v>0</v>
      </c>
      <c r="N3" s="19" t="s">
        <v>23</v>
      </c>
      <c r="O3" s="19" t="s">
        <v>23</v>
      </c>
      <c r="P3" s="19">
        <v>100</v>
      </c>
      <c r="Q3" s="19">
        <v>0</v>
      </c>
      <c r="R3" s="19">
        <v>0</v>
      </c>
      <c r="S3" s="19">
        <v>2</v>
      </c>
    </row>
    <row r="4" spans="1:19" x14ac:dyDescent="0.2">
      <c r="A4" s="18" t="s">
        <v>68</v>
      </c>
      <c r="B4" s="18" t="s">
        <v>69</v>
      </c>
      <c r="C4" s="18" t="s">
        <v>63</v>
      </c>
      <c r="D4" s="18"/>
      <c r="E4" s="18"/>
      <c r="F4" s="18">
        <v>1</v>
      </c>
      <c r="G4" s="18"/>
      <c r="H4" s="18"/>
      <c r="I4" s="18"/>
      <c r="J4" s="18">
        <v>1</v>
      </c>
      <c r="K4" s="18" t="s">
        <v>31</v>
      </c>
      <c r="L4" s="19" t="s">
        <v>33</v>
      </c>
      <c r="M4" s="19" t="s">
        <v>22</v>
      </c>
      <c r="N4" s="19" t="s">
        <v>23</v>
      </c>
      <c r="O4" s="19" t="s">
        <v>23</v>
      </c>
      <c r="P4" s="19">
        <v>50</v>
      </c>
      <c r="Q4" s="19">
        <v>0.5</v>
      </c>
      <c r="R4" s="19">
        <v>0</v>
      </c>
      <c r="S4" s="19">
        <v>0.5</v>
      </c>
    </row>
    <row r="5" spans="1:19" x14ac:dyDescent="0.2">
      <c r="A5" s="18" t="s">
        <v>77</v>
      </c>
      <c r="B5" s="18" t="s">
        <v>78</v>
      </c>
      <c r="C5" s="18" t="s">
        <v>79</v>
      </c>
      <c r="D5" s="18"/>
      <c r="E5" s="18"/>
      <c r="F5" s="18"/>
      <c r="G5" s="18"/>
      <c r="H5" s="18">
        <v>1</v>
      </c>
      <c r="I5" s="18"/>
      <c r="J5" s="18">
        <v>1</v>
      </c>
      <c r="K5" s="18" t="s">
        <v>31</v>
      </c>
      <c r="L5" s="19">
        <v>0</v>
      </c>
      <c r="M5" s="19">
        <v>0</v>
      </c>
      <c r="N5" s="19" t="s">
        <v>23</v>
      </c>
      <c r="O5" s="19" t="s">
        <v>23</v>
      </c>
      <c r="P5" s="19">
        <v>100</v>
      </c>
      <c r="Q5" s="19">
        <v>0</v>
      </c>
      <c r="R5" s="19">
        <v>0</v>
      </c>
      <c r="S5" s="19">
        <v>1</v>
      </c>
    </row>
    <row r="6" spans="1:19" x14ac:dyDescent="0.2">
      <c r="A6" s="18" t="s">
        <v>70</v>
      </c>
      <c r="B6" s="18" t="s">
        <v>71</v>
      </c>
      <c r="C6" s="27" t="s">
        <v>80</v>
      </c>
      <c r="D6" s="18"/>
      <c r="E6" s="18"/>
      <c r="F6" s="18"/>
      <c r="G6" s="18"/>
      <c r="H6" s="18"/>
      <c r="I6" s="18">
        <v>1</v>
      </c>
      <c r="J6" s="18">
        <v>1</v>
      </c>
      <c r="K6" s="18" t="s">
        <v>31</v>
      </c>
      <c r="L6" s="19" t="s">
        <v>50</v>
      </c>
      <c r="M6" s="19" t="s">
        <v>49</v>
      </c>
      <c r="N6" s="19" t="s">
        <v>23</v>
      </c>
      <c r="O6" s="19" t="s">
        <v>23</v>
      </c>
      <c r="P6" s="19">
        <v>70</v>
      </c>
      <c r="Q6" s="19">
        <v>0.3</v>
      </c>
      <c r="R6" s="19">
        <v>0</v>
      </c>
      <c r="S6" s="19">
        <v>0.7</v>
      </c>
    </row>
    <row r="7" spans="1:19" x14ac:dyDescent="0.2">
      <c r="S7" s="28">
        <f>SUM(S2:S6)</f>
        <v>5.2</v>
      </c>
    </row>
  </sheetData>
  <pageMargins left="0.39370078740157483" right="0.39370078740157483" top="0.39370078740157483" bottom="0.39370078740157483" header="0.31496062992125984" footer="0.31496062992125984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Tesis</vt:lpstr>
      <vt:lpstr>Sexenios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fanny.reus</cp:lastModifiedBy>
  <cp:lastPrinted>2019-10-14T10:44:28Z</cp:lastPrinted>
  <dcterms:created xsi:type="dcterms:W3CDTF">2019-10-14T10:43:09Z</dcterms:created>
  <dcterms:modified xsi:type="dcterms:W3CDTF">2022-10-17T11:50:10Z</dcterms:modified>
</cp:coreProperties>
</file>