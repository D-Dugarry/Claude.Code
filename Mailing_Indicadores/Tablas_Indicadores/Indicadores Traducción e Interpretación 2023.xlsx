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2EB295FB-73E9-4F0B-B122-C6CC47E1C84F}" xr6:coauthVersionLast="47" xr6:coauthVersionMax="47" xr10:uidLastSave="{00000000-0000-0000-0000-000000000000}"/>
  <bookViews>
    <workbookView xWindow="22932" yWindow="-108" windowWidth="23256" windowHeight="12456" tabRatio="768" xr2:uid="{00000000-000D-0000-FFFF-FFFF00000000}"/>
  </bookViews>
  <sheets>
    <sheet name="Tesis" sheetId="13" r:id="rId1"/>
    <sheet name="Sexenios" sheetId="14" r:id="rId2"/>
    <sheet name="Ingresos investigación 2019" sheetId="17" r:id="rId3"/>
    <sheet name="Ingresos investigación 2020" sheetId="23" r:id="rId4"/>
    <sheet name="Ingresos investigación 2021" sheetId="24" r:id="rId5"/>
    <sheet name="Ingresos formación 2019" sheetId="18" r:id="rId6"/>
    <sheet name="Ingresos formación 2020" sheetId="22" r:id="rId7"/>
    <sheet name="Ingresos formación 2021" sheetId="25" r:id="rId8"/>
  </sheets>
  <definedNames>
    <definedName name="_xlnm._FilterDatabase" localSheetId="1" hidden="1">Sexenios!$A$1:$S$12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14" l="1"/>
  <c r="S28" i="13" l="1"/>
  <c r="B8" i="25" l="1"/>
  <c r="B9" i="23" l="1"/>
  <c r="B8" i="22" l="1"/>
  <c r="B7" i="18" l="1"/>
  <c r="B11" i="25" s="1"/>
  <c r="B63" i="17"/>
  <c r="D7" i="24" s="1"/>
</calcChain>
</file>

<file path=xl/sharedStrings.xml><?xml version="1.0" encoding="utf-8"?>
<sst xmlns="http://schemas.openxmlformats.org/spreadsheetml/2006/main" count="611" uniqueCount="221">
  <si>
    <t>Orgánica
Descripción justificante</t>
  </si>
  <si>
    <t>Importe</t>
  </si>
  <si>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</si>
  <si>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</si>
  <si>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</si>
  <si>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</si>
  <si>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</si>
  <si>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</si>
  <si>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</si>
  <si>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</si>
  <si>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</si>
  <si>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</si>
  <si>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</si>
  <si>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</si>
  <si>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</si>
  <si>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</si>
  <si>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</si>
  <si>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</si>
  <si>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</si>
  <si>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</si>
  <si>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</si>
  <si>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</si>
  <si>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</si>
  <si>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</si>
  <si>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</si>
  <si>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</si>
  <si>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</si>
  <si>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</si>
  <si>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- </t>
  </si>
  <si>
    <t>10.25</t>
  </si>
  <si>
    <t>05/07/2019 </t>
  </si>
  <si>
    <t>30</t>
  </si>
  <si>
    <t>10.15</t>
  </si>
  <si>
    <t>U023 </t>
  </si>
  <si>
    <t>ADM. FACULTAD DE FILOSOFIA Y LETRAS </t>
  </si>
  <si>
    <t>DOCTORADO EN FILOSOFÍA Y LETRAS </t>
  </si>
  <si>
    <t>26/09/2019 </t>
  </si>
  <si>
    <t>B172 </t>
  </si>
  <si>
    <t>TRADUCCIÓN E INTERPRETACIÓN </t>
  </si>
  <si>
    <t>17/01/2019 </t>
  </si>
  <si>
    <t>13/09/2018 </t>
  </si>
  <si>
    <t>21435102E </t>
  </si>
  <si>
    <t>B172</t>
  </si>
  <si>
    <t>19851817B </t>
  </si>
  <si>
    <t>48364398K </t>
  </si>
  <si>
    <t>DOCTORADO EN TRADUCTOLOGÍA, TRADUCCIÓN PROFESIONAL Y AUDIOVISUAL </t>
  </si>
  <si>
    <t>Alemán , Vanessa </t>
  </si>
  <si>
    <t>ANÁLISIS Y ESTUDIO FRASEOLÓGICO, TRADUCTOLÓGICO Y TERMINOLÓGICO DEL VOCABULARIO DE LA PROPIEDAD INTELECTUAL E INDUSTRIAL EN ESPAÑOL, FRANCÉS E INGLÉS </t>
  </si>
  <si>
    <t>Abad Colom, María </t>
  </si>
  <si>
    <t>LA INTERPRETACIÓN DE CONFERENCIAS EN EL ÁMBITO DE LAS CIENCIAS DE LA SALUD EN ESPAÑA: SITUACIÓN ACTUAL Y DESAFÍOS DERIVADOS DEL USO DEL INGLÉS COMO LINGUA FRANCA </t>
  </si>
  <si>
    <t>Cataldo , Silvia </t>
  </si>
  <si>
    <t>"LINGUAGGI FIGURATI IN ITALIANO, TEDESCO E SPAGNOLO: UN'ANALISI LINGUISTICA, CONTRASTIVA E TRADUTTIVA" </t>
  </si>
  <si>
    <t>18918951W </t>
  </si>
  <si>
    <t>04589672E </t>
  </si>
  <si>
    <t>Laraiche Ferrag, Karima </t>
  </si>
  <si>
    <t>PRESENCIA DEL ESPAÑOL Y DEL VALENCIANO EN EL HABLA COTIDIANA DE ORÁN: ANÁLISIS LINGÜÍSTICO DEL LÉXICO A TRAVÉS DEL USO ORAL Y ESCRITO </t>
  </si>
  <si>
    <t>Serrano Bertos, Elena </t>
  </si>
  <si>
    <t>RECEPCIÓN DEL TEATRO AUSTRIACO EN ESPAÑA: LA TRADUCCIÓN ESCÉNICA Y EDITORIAL DE DRAMATURGOS AUSTRIACOS EN ESPAÑA ENTRE 1975 Y 2015. UN ANÁLISIS CUANTITATIVO Y CUALITATIVO </t>
  </si>
  <si>
    <t>05/12/2018 </t>
  </si>
  <si>
    <t>21461853R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</si>
  <si>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</si>
  <si>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</si>
  <si>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</si>
  <si>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</si>
  <si>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</si>
  <si>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</si>
  <si>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</si>
  <si>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</si>
  <si>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</si>
  <si>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</si>
  <si>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</si>
  <si>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</si>
  <si>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</si>
  <si>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04589672E</t>
  </si>
  <si>
    <t>ALBALADEJO MARTINEZ, JUAN ANTONIO</t>
  </si>
  <si>
    <t>21435102E</t>
  </si>
  <si>
    <t>FRANCO AIXELA, JAVIER</t>
  </si>
  <si>
    <t>48351663M</t>
  </si>
  <si>
    <t>GALLEGO HERNANDEZ, DANIEL EMILIO</t>
  </si>
  <si>
    <t>18918951W</t>
  </si>
  <si>
    <t>GONZALEZ ROYO, CARMEN</t>
  </si>
  <si>
    <t>48364398K</t>
  </si>
  <si>
    <t>ILIESCU GHEORGHIU, CATALINA</t>
  </si>
  <si>
    <t>X5550095B</t>
  </si>
  <si>
    <t>19851817B</t>
  </si>
  <si>
    <t>MOGORRON HUERTA, PEDRO JOAQUIN</t>
  </si>
  <si>
    <t>08922282F</t>
  </si>
  <si>
    <t>ORTEGA HERRAEZ, JUAN MIGUEL</t>
  </si>
  <si>
    <t>53223751A</t>
  </si>
  <si>
    <t>TOLOSA IGUALADA, MIGUEL</t>
  </si>
  <si>
    <t>21461853R</t>
  </si>
  <si>
    <t>VALERO CUADRA, MARIA DEL PINO</t>
  </si>
  <si>
    <t>36.60.6G.00.01</t>
  </si>
  <si>
    <t>36.60.6C.00.01</t>
  </si>
  <si>
    <t>Servicio de formación y material audiovisual de divulgación y sensibilización sobre diversidad cultural y lingüistica. Formación personal municipal- Curso "Mediación Intercultural en contextos multiétnicos". 21 alumnos. 20 horas. Fecha realización. 8-10 julio 2019 Programa: https://web.ua.es/es/verano/2019/campus/mediacion-intercultural-en-contextos-multietnicos.html</t>
  </si>
  <si>
    <t>Servicio de formación y material audiovisual de divulgación y sensibilización sobre diversidad cultural y lingüistica. Material audiovisual "Interpretación lingüistica aplicada a contextos de crisis y duelo en personas migrantes".</t>
  </si>
  <si>
    <t>AIETI 9 INSCRIPTION FEE FOR  Ewa Gumul (INGRESO 3, NUM ORD 18)</t>
  </si>
  <si>
    <t>IX CONGRESO INTERNACIONAL DE LA ASOCIACIÓN IBÉRICA DE ESTUDIOS DE TRADUCCIÓN E INTERPRETACIÓN (AIETI).</t>
  </si>
  <si>
    <t>PAGO TASA CONGRESO AIETI 2019 DE LUPE ROMERO 43413814A. (INGRESO 3 NUM. ORDEN 31)</t>
  </si>
  <si>
    <t>PAGO TASA CONGRESO AIETI 2019 DE Marta García González - 34972199D (INGRESO 3 NUM. ORD. 30)</t>
  </si>
  <si>
    <t xml:space="preserve">PAGO TASA CONGRESO AIETI 2019 DE OLGA CASTRO VAZQUEZ 33997845G (INGRESO 3 NUM.ORD 25) </t>
  </si>
  <si>
    <t>PAGO TASA INSCRICIÓN CONGRESO AIETI 9 DE FABIO ALVES DA SILVA (INGRESO 2 NUM. ORD. 85)</t>
  </si>
  <si>
    <t>PAGO TASA INSCRICIÓN CONGRESO AIETI 9 DE FERNANDO PRIETO RAMOS (INGRESO 2 NUM. ORD. 91)</t>
  </si>
  <si>
    <t>PAGO TASA INSCRICIÓN CONGRESO AIETI 9 DE Fruela Fernández  (INGRESO 3 NUM. ORD. 23)  UNIVERSIDAD COMPLUTENSE DE MADRID  "Facultad de Filología"</t>
  </si>
  <si>
    <t>PAGO TASA INSCRICIÓN CONGRESO AIETI 9 DE HEND GHIDHAOUI (INGRESO 2 NUM. ORD. 73)</t>
  </si>
  <si>
    <t>PAGO TASA INSCRICIÓN CONGRESO AIETI 9 DE MARIA CANDIDA FIGUEIREDO MOURA DA SILVA (INGRESO 3 NUM. ORD. 3)</t>
  </si>
  <si>
    <t>PAGO TASA INSCRICIÓN CONGRESO AIETI 9 DE MESEGUER CUTILLAS, PURIFI (INGRESO 2 NUM. ORD. 83)</t>
  </si>
  <si>
    <t>PAGO TASA INSCRICIÓN CONGRESO AIETI 9 DE PATRICIA RODRÍGUEZ-INÉS (INGRESO 3 NUM. ORD. 15)</t>
  </si>
  <si>
    <t>PAGO TASA INSCRICIÓN CONGRESO AIETI 9 DE PILAR SANCHEZ GIJÓN (INGRESO 3 NUM. ORD. 21)</t>
  </si>
  <si>
    <t>PAGO TASA INSCRICIÓN CONGRESO AIETI 9 DE SANCHEZ MOMPEAN, SOFIA (INGRESO 2 NUM. ORD. 90)</t>
  </si>
  <si>
    <t>PAGO TASA INSCRICIÓN CONGRESO AIETI 9 DE TERESA ORTEGO ANTÓN (INGRESO 2 NUM. ORD. 39)</t>
  </si>
  <si>
    <t xml:space="preserve">PAGO TASA INSCRIPCIÓN CONGRESO AIETI 9 DE ANNA HATZIDAKI   (INGRESO 3 NUM. ORD. 26) REGISTRATION FEE CONFERENCE AIETI. Anna Hatzidaki. Passport:AP1762107 University of Athens Department of English Language and Literature </t>
  </si>
  <si>
    <t>PAGO TASA INSCRIPCIÓN CONGRESO AIETI 9 DE ANTONIO PABLO ZAMORA MUÑOZ   (INGRESO 2 NUM. ORD. 70)</t>
  </si>
  <si>
    <t>PAGO TASA INSCRIPCIÓN CONGRESO AIETI 9 DE BLANCA ARIAS (INGRESO 2 NUM. ORD. 75)</t>
  </si>
  <si>
    <t>PAGO TASA INSCRIPCIÓN CONGRESO AIETI 9 DE CRISTINA GOMEZ CASTRO  (INGRESO 2 NUM. ORD. 79)</t>
  </si>
  <si>
    <t>PAGO TASA INSCRIPCIÓN CONGRESO AIETI 9 DE ISABEL GALAN   (INGRESO 2 NUM. ORD. 82)</t>
  </si>
  <si>
    <t xml:space="preserve">PAGO TASA INSCRIPCIÓN CONGRESO AIETI 9 DE MARIA DEL CARMEN ESPÍN  GARCÍA (INGRESO 3 NUM. ORD. 34) </t>
  </si>
  <si>
    <t>PAGO TASA INSCRIPCIÓN CONGRESO AIETI 9 DE  ALEJANDRO GONZALEZ VILLAR (INGRESO 2 NUM. ORD. 78)</t>
  </si>
  <si>
    <t>PAGO TASA INSCRIPCIÓN CONGRESO AIETI 9 DE  ARIANNA ALESSANDRO (INGRESO 2 NUM. ORD. 65)</t>
  </si>
  <si>
    <t>PAGO TASA INSCRIPCIÓN CONGRESO AIETI 9 DE  PAULA CIFUENTES (INGRESO 2 NUM. ORD. 14)</t>
  </si>
  <si>
    <t xml:space="preserve">TASA INSCRIPCIÓN CONGRESO AIETI. Aitziber Elejalde Sáenz.DNI 44687979Z, Ingreso 2 nº orden 26 </t>
  </si>
  <si>
    <t>TASA INSCRIPCIÓN CONGRESO AIETI. Alejandro López Lapeña. DNI 44969852E. Ingreso 2 nº orden 9</t>
  </si>
  <si>
    <t xml:space="preserve">TASA INSCRIPCIÓN CONGRESO AIETI. Amalia Bosch Benítez. DNI 02513827 L. Ingreso 2. nº orden 19 </t>
  </si>
  <si>
    <t xml:space="preserve">TASA INSCRIPCIÓN CONGRESO AIETI. Amparo Hurtado Albir. DNI 22518034E. Ingreso 2 nº orden 72 </t>
  </si>
  <si>
    <t>TASA INSCRIPCIÓN CONGRESO AIETI. Ana Isabel Foulquié Rubio. DNI 34.813.442 K. Ingreso 2 nº orden 71</t>
  </si>
  <si>
    <t>TASA INSCRIPCIÓN CONGRESO AIETI. Anna Dot Verdaguer. DNI 33956043Q. Ingreso 2 nº orden 5</t>
  </si>
  <si>
    <t xml:space="preserve">TASA INSCRIPCIÓN CONGRESO AIETI. Carme Sanmartí Roset. DNI 37718434K. Ingreso 2 nº orden 11 </t>
  </si>
  <si>
    <t>TASA INSCRIPCIÓN CONGRESO AIETI. Caterina Riba Sanmartí. DNI 46818343A.Ingreso 2 nº orden 8</t>
  </si>
  <si>
    <t xml:space="preserve">TASA INSCRIPCIÓN CONGRESO AIETI. Francisca Suau Jiménez. DNI 45061620C.Departamento de Filología Inglesa y Alemana. Ingreso 2 nº orden 40". </t>
  </si>
  <si>
    <t>TASA INSCRIPCIÓN CONGRESO AIETI. Hanan Saleh Hussein. DNI 78974356S . Ingreso 2 nº orden 27</t>
  </si>
  <si>
    <t>TASA INSCRIPCIÓN CONGRESO AIETI. Irene Tor Carroggio. DNI 46148582W. Ingreso 2 nº orden 12</t>
  </si>
  <si>
    <t>TASA INSCRIPCIÓN CONGRESO AIETI. José Antonio Sabio Pinilla. Ingreso nº2 orden 33</t>
  </si>
  <si>
    <t xml:space="preserve">TASA INSCRIPCIÓN CONGRESO AIETI. Keren Manzano González. DNI 45881674D. Ingreso nº 2 nº orden 60  </t>
  </si>
  <si>
    <t>TASA INSCRIPCIÓN CONGRESO AIETI. María Bakti NIE BH8272286 Ingreso 2 nº orden 24</t>
  </si>
  <si>
    <t>TASA INSCRIPCIÓN CONGRESO AIETI. Maria del Carmen Bestué. DNI 46225978A. Ingreso 2. nº orden 2</t>
  </si>
  <si>
    <t>TASA INSCRIPCIÓN CONGRESO AIETI. María Nieves Fluet Sánchez. DNI 77.712.489C. Ingreso 2 nº orden 59</t>
  </si>
  <si>
    <t>TASA INSCRIPCIÓN CONGRESO AIETI. Nuria Molines Galarza. DNI 21010287V Ingreso 2 orden nº 45</t>
  </si>
  <si>
    <t>TASA INSCRIPCIÓN CONGRESO AIETI. Pilar Godayol Nogué. DNI 33938220H Ingreso 2 nº orden 3</t>
  </si>
  <si>
    <t>TASA INSCRIPCIÓN CONGRESO AIETI. Purificación Fernández Nistal. DNI 10176184H. Ingreso nº 2 orden 38</t>
  </si>
  <si>
    <t>TASA INSCRIPCIÓN CONGRESO AIETI. Stella Linn. NIE 130079017. Ingreso 2. nº orden 34</t>
  </si>
  <si>
    <t>TASA INSCRIPCIÓN CONGRESO AIETI.Anna Kuznik ED 8250927.  Ingreso 2 nº orden 52</t>
  </si>
  <si>
    <t>TASA INSCRIPCIÓN CONGRESO AIETI.Christian Olalla Soler. DNI 43459171G. Ingreso . nº orden 37</t>
  </si>
  <si>
    <t>TASA INSCRIPCIÓN CONGRESO AIETI.Diana María González Pástor. DNI .48344872E. Ingreso nº 2 orden 40 Universitat de València Departament de Filologia Anglesa i Alemanya</t>
  </si>
  <si>
    <t>TASA INSCRIPCIÓN CONGRESO AIETI.Oliver Carreira Martínez.. DNI 30981644T.  . Ingreso 2 nº orden 54   .</t>
  </si>
  <si>
    <t>TASA INSCRIPCIÓN CONGRESO AIETI.Xus Ugarte Ballester. DNI 77108223X. Ingreso 2 nº orden 63</t>
  </si>
  <si>
    <t>36.60.6G.00.02</t>
  </si>
  <si>
    <t>LIQUIDACIÓN VII COLOQUIO LUCENTINO-DPTO. TRADUCCIÓN E INTERPRETACIÓN</t>
  </si>
  <si>
    <t>PAGO TASA INSCRIPCIÓN COLOQUIO LUCENTINO VII Dariusz Kozbial (Ingresos2 num. ord. 3)</t>
  </si>
  <si>
    <t>PAGO TASA INSCRIPCIÓN COLOQUIO LUCENTINO VII. ELENA RUÍZ CORTÉS. (INGRESO 1 NUM. ORD. 1)</t>
  </si>
  <si>
    <t>PAGO TASA INSCRIPCIÓN COLOQUIO LUCENTINO VII. MARIA DEL CARMEN TOLEDANO BUENDIA (Ingresos1 num. ord. 13)</t>
  </si>
  <si>
    <t>PAGO TASA INSCRIPCIÓN COLOQUIO LUCENTINO VII.  Flavia de Camillis (Ingreso 1  num. ord. 7)</t>
  </si>
  <si>
    <t>VII COLOQUIO LUCENTINO  (DEPARTAMENTO DE TRADUCCIÓN E INTERPRETACIÓN)</t>
  </si>
  <si>
    <t xml:space="preserve">VII CONGRESO LUCENTINO-DPTO. TRADUCCIÓN E INTERPRETACIÓN </t>
  </si>
  <si>
    <t>36.60.2T.00.04</t>
  </si>
  <si>
    <t>Liquidación  PLAN GD72 curso ''TEORÍA, TÉCNICAS Y NOVEDADES EN SUBTITULACIÓN'' ORDEN 5494</t>
  </si>
  <si>
    <t>36.60.2T.00.05</t>
  </si>
  <si>
    <t>Aroutiounova, Cristina. EXPERTO/A EN SUBTITULACIÓN</t>
  </si>
  <si>
    <t>Liquidación PLAN 9315 "Experto en subtitulación"</t>
  </si>
  <si>
    <t>09/01/2020 </t>
  </si>
  <si>
    <t>ESTUDIO CONTRASTIVO Y SEMÁNTICO DE REFRANES EN LENGUA CHINA Y LENGUA ESPAÑOLA. PROBLEMAS DE TRADUCCIÓN Y DE EQUIVALENCIA </t>
  </si>
  <si>
    <t>Qin , Jian </t>
  </si>
  <si>
    <t>28/09/2020 </t>
  </si>
  <si>
    <t>TRANSFERENCIA DE LOS REFERENTES CULTURALES EN LAS PELÍCULAS DE SHREK: UN ESTUDIO DE CASO SOBRE LAS VERSIONES SUBTITULADAS Y DOBLADAS DEL INGLÉS AL ESPAÑOL, FRANCÉS Y ÁRABE </t>
  </si>
  <si>
    <t>Bouabdellah , Omar </t>
  </si>
  <si>
    <t>MASSEAU, PAOLA CONCEPTION GINETTE</t>
  </si>
  <si>
    <t>COD DEP</t>
  </si>
  <si>
    <t>44772347H</t>
  </si>
  <si>
    <t>NAVARRO BROTONS, MARIA LUCIA</t>
  </si>
  <si>
    <t>NO FUNCIONARIO</t>
  </si>
  <si>
    <t>Picazo Millán, Elena </t>
  </si>
  <si>
    <t>Los manuales de español y francés lengua extranjera y su contenido en unidades fraseológicas. Estudio contrastivo español-francés. </t>
  </si>
  <si>
    <t>23/02/2021 </t>
  </si>
  <si>
    <t>X5550095B </t>
  </si>
  <si>
    <t>Rodrigues Barbosa, Edilene </t>
  </si>
  <si>
    <t>LA AUDIODESCRIPCIÓN DE LOS GESTOS EN LAS PELÍCULAS ESPAÑOLAS: CATEGORÍAS, ESTRATEGIAS Y GRADO DE EXPLICITACIÓN </t>
  </si>
  <si>
    <t>16/03/2021 </t>
  </si>
  <si>
    <t>21676265F </t>
  </si>
  <si>
    <t>36.60.2T.00.03</t>
  </si>
  <si>
    <t>IX JORNADAS DE DOBLAJE Y SUBTITULACIÓN ORGANIZADO POR EL DTO. DE TRADUCCIÓN E INTERPRETACIÓN</t>
  </si>
  <si>
    <t>PAGO TASAS INSCRIPCIÓN JORNADAS DE DOBLAJE Y SUBTITULACIÓN, a favor de María del Mar Ogea Pozo. (Ingreso 1 Orden 34)</t>
  </si>
  <si>
    <t>Cristina Amorós Domenech. EXPERTO/A EN SUBTITULACIÓN</t>
  </si>
  <si>
    <t>No existen ingresos de investigación en 2020</t>
  </si>
  <si>
    <t>Unidad</t>
  </si>
  <si>
    <t>Cód. org. aplic.</t>
  </si>
  <si>
    <t>Descripción justificante</t>
  </si>
  <si>
    <t>36.60</t>
  </si>
  <si>
    <t>36.60.6P.00.10</t>
  </si>
  <si>
    <t>PID2020-112930GB-I00</t>
  </si>
  <si>
    <t>no tiene formación este año</t>
  </si>
  <si>
    <t>López Medel, María </t>
  </si>
  <si>
    <t>Traducción no sexista en la Unión Europea. Recomendaciones, aplicación y propuesta de guía </t>
  </si>
  <si>
    <t>26/07/2021 </t>
  </si>
  <si>
    <t>34829970N </t>
  </si>
  <si>
    <t>Djabri , Souhila </t>
  </si>
  <si>
    <t>¿Traducción asistida por ordenador: Análisis contrastivo de las coincidencias parciales fuzzy matches en los pares de lenguas español-francés, francés-español y árabe-español mediante transformaciones semántico-sintácticas.¿ </t>
  </si>
  <si>
    <t>26/04/2022 </t>
  </si>
  <si>
    <t>Pérez Estevan, Elena </t>
  </si>
  <si>
    <t>Interpretación en final de vida y duelo. Un modelo psicolingüístico de análisis aplicado a situaciones de malas noticias, últimos días y duelo. </t>
  </si>
  <si>
    <t>30/03/2022 </t>
  </si>
  <si>
    <t>Pérez Escudero, Francisco </t>
  </si>
  <si>
    <t>Panorámica de la investigación en traducción audiovisual. Análisis histórico, bibliométrico y webmétrico </t>
  </si>
  <si>
    <t>29/10/2021 </t>
  </si>
  <si>
    <t>Hein , Milton Ariel </t>
  </si>
  <si>
    <t>La competencia fraseológica y la enseñanza de fraseología en las carreras universitarias de traducción en la república Argentina </t>
  </si>
  <si>
    <t>12/04/2022 </t>
  </si>
  <si>
    <t>46080159G </t>
  </si>
  <si>
    <t>Rivarola , Romina Noelia </t>
  </si>
  <si>
    <t>LA ENSEÑANZA DE LAS UNIDADES FRASEOLÓGICAS EN LA CLASE DE ELE PARA ALUMNOS DE HABLA INGLESA, LA INCLUSIÓN DE VARIEDADES DIATÓPICAS EN LOS MANUALES DE ELE Y EL USO DE LA TRADUCCIÓN COMO ESTRATEGIA DE ENSEÑANZA </t>
  </si>
  <si>
    <t>Sulzer , Christof Thomas </t>
  </si>
  <si>
    <t>A Journey into the Reader's Mind: Towards a Critical-Reflective Development of Rational Empathy in Translator Education </t>
  </si>
  <si>
    <t>19/07/2022 </t>
  </si>
  <si>
    <t>15</t>
  </si>
  <si>
    <t>46080159G</t>
  </si>
  <si>
    <t>CUADRADO REY, ANALIA ROSA</t>
  </si>
  <si>
    <t>48531929C</t>
  </si>
  <si>
    <t>BOTELLA TEJERA, CARLA MARIA</t>
  </si>
  <si>
    <t>74242314Q</t>
  </si>
  <si>
    <t>SERRANO BERTOS, ELENA</t>
  </si>
  <si>
    <t>vivos</t>
  </si>
  <si>
    <t>Total ingresos formación 2019, 2020 y 2021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</si>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</sst>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3" fillId="0" borderId="1" xfId="1" applyBorder="1"/>
    <xf numFmtId="4" fontId="2" fillId="2" borderId="1" xfId="0" applyNumberFormat="1" applyFont="1" applyFill="1" applyBorder="1" applyAlignment="1">
      <alignment horizontal="center"/>
    </xf>
    <xf numFmtId="4" fontId="1" fillId="0" borderId="0" xfId="0" applyNumberFormat="1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indent="1"/>
    </xf>
    <xf numFmtId="0" fontId="12" fillId="7" borderId="6" xfId="0" applyNumberFormat="1" applyFont="1" applyFill="1" applyBorder="1"/>
    <xf numFmtId="0" fontId="12" fillId="7" borderId="7" xfId="0" applyNumberFormat="1" applyFont="1" applyFill="1" applyBorder="1"/>
    <xf numFmtId="0" fontId="12" fillId="7" borderId="8" xfId="0" applyFont="1" applyFill="1" applyBorder="1" applyAlignment="1">
      <alignment horizontal="right"/>
    </xf>
    <xf numFmtId="0" fontId="0" fillId="8" borderId="9" xfId="0" applyNumberFormat="1" applyFont="1" applyFill="1" applyBorder="1"/>
    <xf numFmtId="0" fontId="0" fillId="8" borderId="10" xfId="0" applyFont="1" applyFill="1" applyBorder="1"/>
    <xf numFmtId="4" fontId="0" fillId="8" borderId="11" xfId="0" applyNumberFormat="1" applyFont="1" applyFill="1" applyBorder="1"/>
    <xf numFmtId="0" fontId="12" fillId="7" borderId="12" xfId="0" applyFont="1" applyFill="1" applyBorder="1"/>
    <xf numFmtId="0" fontId="12" fillId="7" borderId="13" xfId="0" applyFont="1" applyFill="1" applyBorder="1"/>
    <xf numFmtId="4" fontId="12" fillId="7" borderId="14" xfId="0" applyNumberFormat="1" applyFont="1" applyFill="1" applyBorder="1"/>
    <xf numFmtId="4" fontId="0" fillId="0" borderId="0" xfId="0" applyNumberFormat="1"/>
    <xf numFmtId="165" fontId="3" fillId="4" borderId="1" xfId="1" applyNumberFormat="1" applyFill="1" applyBorder="1"/>
    <xf numFmtId="165" fontId="3" fillId="4" borderId="2" xfId="1" applyNumberFormat="1" applyFill="1" applyBorder="1"/>
    <xf numFmtId="164" fontId="3" fillId="4" borderId="0" xfId="1" applyNumberFormat="1" applyFont="1" applyFill="1" applyAlignment="1"/>
    <xf numFmtId="0" fontId="3" fillId="9" borderId="0" xfId="1" applyFont="1" applyFill="1" applyAlignment="1"/>
    <xf numFmtId="0" fontId="3" fillId="9" borderId="0" xfId="1" applyFont="1" applyFill="1" applyAlignment="1">
      <alignment horizontal="right"/>
    </xf>
    <xf numFmtId="0" fontId="0" fillId="0" borderId="1" xfId="0" applyBorder="1" applyAlignment="1">
      <alignment horizontal="left"/>
    </xf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0" fontId="2" fillId="11" borderId="1" xfId="0" applyFont="1" applyFill="1" applyBorder="1" applyAlignment="1">
      <alignment horizontal="right"/>
    </xf>
    <xf numFmtId="4" fontId="2" fillId="11" borderId="1" xfId="0" applyNumberFormat="1" applyFont="1" applyFill="1" applyBorder="1"/>
    <xf numFmtId="0" fontId="0" fillId="11" borderId="1" xfId="0" applyFill="1" applyBorder="1"/>
    <xf numFmtId="4" fontId="0" fillId="11" borderId="1" xfId="0" applyNumberFormat="1" applyFill="1" applyBorder="1"/>
    <xf numFmtId="164" fontId="4" fillId="9" borderId="15" xfId="1" applyNumberFormat="1" applyFont="1" applyFill="1" applyBorder="1" applyAlignment="1"/>
    <xf numFmtId="0" fontId="13" fillId="10" borderId="15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9"/>
  <sheetViews>
    <sheetView showGridLines="0" tabSelected="1" zoomScale="120" zoomScaleNormal="12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S28" sqref="S28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1" width="6.6640625" style="13" customWidth="1"/>
    <col min="12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5.4414062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8" t="s">
        <v>11</v>
      </c>
      <c r="J1" s="9" t="s">
        <v>12</v>
      </c>
      <c r="K1" s="8" t="s">
        <v>13</v>
      </c>
      <c r="L1" s="9" t="s">
        <v>14</v>
      </c>
      <c r="M1" s="10" t="s">
        <v>15</v>
      </c>
      <c r="N1" s="11" t="s">
        <v>16</v>
      </c>
      <c r="O1" s="12" t="s">
        <v>17</v>
      </c>
      <c r="P1" s="11" t="s">
        <v>18</v>
      </c>
      <c r="Q1" s="12" t="s">
        <v>19</v>
      </c>
      <c r="R1" s="11" t="s">
        <v>20</v>
      </c>
      <c r="S1" s="11" t="s">
        <v>21</v>
      </c>
      <c r="T1" s="11" t="s">
        <v>22</v>
      </c>
      <c r="U1" s="11" t="s">
        <v>23</v>
      </c>
    </row>
    <row r="2" spans="1:21" x14ac:dyDescent="0.2">
      <c r="A2" s="25" t="s">
        <v>37</v>
      </c>
      <c r="B2" s="25" t="s">
        <v>38</v>
      </c>
      <c r="C2" s="25" t="s">
        <v>45</v>
      </c>
      <c r="D2" s="25" t="s">
        <v>46</v>
      </c>
      <c r="E2" s="25" t="s">
        <v>47</v>
      </c>
      <c r="F2" s="25" t="s">
        <v>40</v>
      </c>
      <c r="G2" s="25" t="s">
        <v>43</v>
      </c>
      <c r="H2" s="25" t="s">
        <v>24</v>
      </c>
      <c r="I2" s="25" t="s">
        <v>37</v>
      </c>
      <c r="J2" s="25" t="s">
        <v>38</v>
      </c>
      <c r="K2" s="28">
        <v>0.5</v>
      </c>
      <c r="L2" s="25" t="s">
        <v>42</v>
      </c>
      <c r="M2" s="25">
        <v>2017</v>
      </c>
      <c r="N2" s="25" t="s">
        <v>29</v>
      </c>
      <c r="O2" s="26" t="s">
        <v>31</v>
      </c>
      <c r="P2" s="25" t="s">
        <v>25</v>
      </c>
      <c r="Q2" s="26" t="s">
        <v>25</v>
      </c>
      <c r="R2" s="27">
        <v>70</v>
      </c>
      <c r="S2" s="28">
        <v>0.35</v>
      </c>
      <c r="T2" s="28">
        <v>0.15</v>
      </c>
      <c r="U2" s="28">
        <v>0</v>
      </c>
    </row>
    <row r="3" spans="1:21" x14ac:dyDescent="0.2">
      <c r="A3" s="25" t="s">
        <v>37</v>
      </c>
      <c r="B3" s="25" t="s">
        <v>38</v>
      </c>
      <c r="C3" s="25" t="s">
        <v>45</v>
      </c>
      <c r="D3" s="25" t="s">
        <v>46</v>
      </c>
      <c r="E3" s="25" t="s">
        <v>47</v>
      </c>
      <c r="F3" s="25" t="s">
        <v>40</v>
      </c>
      <c r="G3" s="25" t="s">
        <v>28</v>
      </c>
      <c r="H3" s="25" t="s">
        <v>24</v>
      </c>
      <c r="I3" s="25" t="s">
        <v>37</v>
      </c>
      <c r="J3" s="25" t="s">
        <v>38</v>
      </c>
      <c r="K3" s="28">
        <v>0.5</v>
      </c>
      <c r="L3" s="25" t="s">
        <v>42</v>
      </c>
      <c r="M3" s="25">
        <v>2017</v>
      </c>
      <c r="N3" s="25" t="s">
        <v>25</v>
      </c>
      <c r="O3" s="26" t="s">
        <v>25</v>
      </c>
      <c r="P3" s="25" t="s">
        <v>25</v>
      </c>
      <c r="Q3" s="26" t="s">
        <v>25</v>
      </c>
      <c r="R3" s="27">
        <v>100</v>
      </c>
      <c r="S3" s="28">
        <v>0.5</v>
      </c>
      <c r="T3" s="28">
        <v>0</v>
      </c>
      <c r="U3" s="28">
        <v>0</v>
      </c>
    </row>
    <row r="4" spans="1:21" x14ac:dyDescent="0.2">
      <c r="A4" s="25" t="s">
        <v>37</v>
      </c>
      <c r="B4" s="25" t="s">
        <v>38</v>
      </c>
      <c r="C4" s="25" t="s">
        <v>45</v>
      </c>
      <c r="D4" s="25" t="s">
        <v>54</v>
      </c>
      <c r="E4" s="25" t="s">
        <v>55</v>
      </c>
      <c r="F4" s="25" t="s">
        <v>39</v>
      </c>
      <c r="G4" s="25" t="s">
        <v>43</v>
      </c>
      <c r="H4" s="25" t="s">
        <v>26</v>
      </c>
      <c r="I4" s="25" t="s">
        <v>37</v>
      </c>
      <c r="J4" s="25" t="s">
        <v>38</v>
      </c>
      <c r="K4" s="52">
        <v>1</v>
      </c>
      <c r="L4" s="25" t="s">
        <v>42</v>
      </c>
      <c r="M4" s="25">
        <v>2018</v>
      </c>
      <c r="N4" s="25" t="s">
        <v>29</v>
      </c>
      <c r="O4" s="26" t="s">
        <v>31</v>
      </c>
      <c r="P4" s="25" t="s">
        <v>25</v>
      </c>
      <c r="Q4" s="26" t="s">
        <v>25</v>
      </c>
      <c r="R4" s="27">
        <v>70</v>
      </c>
      <c r="S4" s="28">
        <v>0.7</v>
      </c>
      <c r="T4" s="28">
        <v>0.3</v>
      </c>
      <c r="U4" s="28">
        <v>0</v>
      </c>
    </row>
    <row r="5" spans="1:21" x14ac:dyDescent="0.2">
      <c r="A5" s="25" t="s">
        <v>37</v>
      </c>
      <c r="B5" s="25" t="s">
        <v>38</v>
      </c>
      <c r="C5" s="25" t="s">
        <v>45</v>
      </c>
      <c r="D5" s="25" t="s">
        <v>56</v>
      </c>
      <c r="E5" s="25" t="s">
        <v>57</v>
      </c>
      <c r="F5" s="25" t="s">
        <v>58</v>
      </c>
      <c r="G5" s="25" t="s">
        <v>53</v>
      </c>
      <c r="H5" s="25" t="s">
        <v>24</v>
      </c>
      <c r="I5" s="25" t="s">
        <v>37</v>
      </c>
      <c r="J5" s="25" t="s">
        <v>38</v>
      </c>
      <c r="K5" s="52">
        <v>0.5</v>
      </c>
      <c r="L5" s="25" t="s">
        <v>42</v>
      </c>
      <c r="M5" s="25">
        <v>2018</v>
      </c>
      <c r="N5" s="25" t="s">
        <v>25</v>
      </c>
      <c r="O5" s="26" t="s">
        <v>25</v>
      </c>
      <c r="P5" s="25" t="s">
        <v>25</v>
      </c>
      <c r="Q5" s="26" t="s">
        <v>25</v>
      </c>
      <c r="R5" s="27">
        <v>100</v>
      </c>
      <c r="S5" s="28">
        <v>0.5</v>
      </c>
      <c r="T5" s="28">
        <v>0</v>
      </c>
      <c r="U5" s="28">
        <v>0</v>
      </c>
    </row>
    <row r="6" spans="1:21" x14ac:dyDescent="0.2">
      <c r="A6" s="25" t="s">
        <v>37</v>
      </c>
      <c r="B6" s="25" t="s">
        <v>38</v>
      </c>
      <c r="C6" s="25" t="s">
        <v>45</v>
      </c>
      <c r="D6" s="25" t="s">
        <v>56</v>
      </c>
      <c r="E6" s="25" t="s">
        <v>57</v>
      </c>
      <c r="F6" s="25" t="s">
        <v>58</v>
      </c>
      <c r="G6" s="25" t="s">
        <v>59</v>
      </c>
      <c r="H6" s="25" t="s">
        <v>24</v>
      </c>
      <c r="I6" s="25" t="s">
        <v>37</v>
      </c>
      <c r="J6" s="25" t="s">
        <v>38</v>
      </c>
      <c r="K6" s="52">
        <v>0.5</v>
      </c>
      <c r="L6" s="25" t="s">
        <v>42</v>
      </c>
      <c r="M6" s="25">
        <v>2018</v>
      </c>
      <c r="N6" s="25" t="s">
        <v>25</v>
      </c>
      <c r="O6" s="26" t="s">
        <v>25</v>
      </c>
      <c r="P6" s="25" t="s">
        <v>25</v>
      </c>
      <c r="Q6" s="26" t="s">
        <v>25</v>
      </c>
      <c r="R6" s="27">
        <v>100</v>
      </c>
      <c r="S6" s="28">
        <v>0.5</v>
      </c>
      <c r="T6" s="28">
        <v>0</v>
      </c>
      <c r="U6" s="28">
        <v>0</v>
      </c>
    </row>
    <row r="7" spans="1:21" x14ac:dyDescent="0.2">
      <c r="A7" s="25" t="s">
        <v>37</v>
      </c>
      <c r="B7" s="25" t="s">
        <v>38</v>
      </c>
      <c r="C7" s="25" t="s">
        <v>45</v>
      </c>
      <c r="D7" s="25" t="s">
        <v>50</v>
      </c>
      <c r="E7" s="25" t="s">
        <v>51</v>
      </c>
      <c r="F7" s="25" t="s">
        <v>36</v>
      </c>
      <c r="G7" s="25" t="s">
        <v>52</v>
      </c>
      <c r="H7" s="25" t="s">
        <v>24</v>
      </c>
      <c r="I7" s="25" t="s">
        <v>37</v>
      </c>
      <c r="J7" s="25" t="s">
        <v>38</v>
      </c>
      <c r="K7" s="52">
        <v>0.5</v>
      </c>
      <c r="L7" s="25" t="s">
        <v>42</v>
      </c>
      <c r="M7" s="25">
        <v>2018</v>
      </c>
      <c r="N7" s="25" t="s">
        <v>25</v>
      </c>
      <c r="O7" s="26" t="s">
        <v>25</v>
      </c>
      <c r="P7" s="25" t="s">
        <v>25</v>
      </c>
      <c r="Q7" s="26" t="s">
        <v>25</v>
      </c>
      <c r="R7" s="27">
        <v>100</v>
      </c>
      <c r="S7" s="28">
        <v>0.5</v>
      </c>
      <c r="T7" s="28">
        <v>0</v>
      </c>
      <c r="U7" s="28">
        <v>0</v>
      </c>
    </row>
    <row r="8" spans="1:21" x14ac:dyDescent="0.2">
      <c r="A8" s="25" t="s">
        <v>37</v>
      </c>
      <c r="B8" s="25" t="s">
        <v>38</v>
      </c>
      <c r="C8" s="25" t="s">
        <v>45</v>
      </c>
      <c r="D8" s="25" t="s">
        <v>50</v>
      </c>
      <c r="E8" s="25" t="s">
        <v>51</v>
      </c>
      <c r="F8" s="25" t="s">
        <v>36</v>
      </c>
      <c r="G8" s="25" t="s">
        <v>53</v>
      </c>
      <c r="H8" s="25" t="s">
        <v>24</v>
      </c>
      <c r="I8" s="25" t="s">
        <v>37</v>
      </c>
      <c r="J8" s="25" t="s">
        <v>38</v>
      </c>
      <c r="K8" s="52">
        <v>0.5</v>
      </c>
      <c r="L8" s="25" t="s">
        <v>42</v>
      </c>
      <c r="M8" s="25">
        <v>2018</v>
      </c>
      <c r="N8" s="25" t="s">
        <v>25</v>
      </c>
      <c r="O8" s="26" t="s">
        <v>25</v>
      </c>
      <c r="P8" s="25" t="s">
        <v>25</v>
      </c>
      <c r="Q8" s="26" t="s">
        <v>25</v>
      </c>
      <c r="R8" s="27">
        <v>100</v>
      </c>
      <c r="S8" s="28">
        <v>0.5</v>
      </c>
      <c r="T8" s="28">
        <v>0</v>
      </c>
      <c r="U8" s="28">
        <v>0</v>
      </c>
    </row>
    <row r="9" spans="1:21" x14ac:dyDescent="0.2">
      <c r="A9" s="25" t="s">
        <v>33</v>
      </c>
      <c r="B9" s="25" t="s">
        <v>34</v>
      </c>
      <c r="C9" s="25" t="s">
        <v>35</v>
      </c>
      <c r="D9" s="25" t="s">
        <v>48</v>
      </c>
      <c r="E9" s="25" t="s">
        <v>49</v>
      </c>
      <c r="F9" s="25" t="s">
        <v>30</v>
      </c>
      <c r="G9" s="25" t="s">
        <v>44</v>
      </c>
      <c r="H9" s="25" t="s">
        <v>26</v>
      </c>
      <c r="I9" s="25" t="s">
        <v>37</v>
      </c>
      <c r="J9" s="25" t="s">
        <v>38</v>
      </c>
      <c r="K9" s="52">
        <v>1</v>
      </c>
      <c r="L9" s="25" t="s">
        <v>42</v>
      </c>
      <c r="M9" s="25">
        <v>2018</v>
      </c>
      <c r="N9" s="25" t="s">
        <v>32</v>
      </c>
      <c r="O9" s="26" t="s">
        <v>27</v>
      </c>
      <c r="P9" s="25" t="s">
        <v>25</v>
      </c>
      <c r="Q9" s="26" t="s">
        <v>25</v>
      </c>
      <c r="R9" s="27">
        <v>90</v>
      </c>
      <c r="S9" s="28">
        <v>0.9</v>
      </c>
      <c r="T9" s="28">
        <v>0.1</v>
      </c>
      <c r="U9" s="28">
        <v>0</v>
      </c>
    </row>
    <row r="10" spans="1:21" x14ac:dyDescent="0.2">
      <c r="A10" s="29" t="s">
        <v>37</v>
      </c>
      <c r="B10" s="29" t="s">
        <v>38</v>
      </c>
      <c r="C10" s="29" t="s">
        <v>45</v>
      </c>
      <c r="D10" s="29" t="s">
        <v>160</v>
      </c>
      <c r="E10" s="29" t="s">
        <v>159</v>
      </c>
      <c r="F10" s="29" t="s">
        <v>158</v>
      </c>
      <c r="G10" s="29" t="s">
        <v>43</v>
      </c>
      <c r="H10" s="29" t="s">
        <v>26</v>
      </c>
      <c r="I10" s="29" t="s">
        <v>37</v>
      </c>
      <c r="J10" s="29" t="s">
        <v>38</v>
      </c>
      <c r="K10" s="53">
        <v>1</v>
      </c>
      <c r="L10" s="29" t="s">
        <v>42</v>
      </c>
      <c r="M10" s="29">
        <v>2019</v>
      </c>
      <c r="N10" s="29" t="s">
        <v>25</v>
      </c>
      <c r="O10" s="30" t="s">
        <v>25</v>
      </c>
      <c r="P10" s="29" t="s">
        <v>25</v>
      </c>
      <c r="Q10" s="30" t="s">
        <v>25</v>
      </c>
      <c r="R10" s="31">
        <v>100</v>
      </c>
      <c r="S10" s="32">
        <v>1</v>
      </c>
      <c r="T10" s="32">
        <v>0</v>
      </c>
      <c r="U10" s="32">
        <v>0</v>
      </c>
    </row>
    <row r="11" spans="1:21" ht="10.8" thickBot="1" x14ac:dyDescent="0.25">
      <c r="A11" s="29" t="s">
        <v>33</v>
      </c>
      <c r="B11" s="29" t="s">
        <v>34</v>
      </c>
      <c r="C11" s="29" t="s">
        <v>35</v>
      </c>
      <c r="D11" s="29" t="s">
        <v>163</v>
      </c>
      <c r="E11" s="29" t="s">
        <v>162</v>
      </c>
      <c r="F11" s="29" t="s">
        <v>161</v>
      </c>
      <c r="G11" s="29" t="s">
        <v>43</v>
      </c>
      <c r="H11" s="29" t="s">
        <v>26</v>
      </c>
      <c r="I11" s="29" t="s">
        <v>37</v>
      </c>
      <c r="J11" s="29" t="s">
        <v>38</v>
      </c>
      <c r="K11" s="53">
        <v>1</v>
      </c>
      <c r="L11" s="29" t="s">
        <v>42</v>
      </c>
      <c r="M11" s="29">
        <v>2019</v>
      </c>
      <c r="N11" s="29" t="s">
        <v>25</v>
      </c>
      <c r="O11" s="30" t="s">
        <v>25</v>
      </c>
      <c r="P11" s="29" t="s">
        <v>25</v>
      </c>
      <c r="Q11" s="30" t="s">
        <v>25</v>
      </c>
      <c r="R11" s="31">
        <v>100</v>
      </c>
      <c r="S11" s="32">
        <v>1</v>
      </c>
      <c r="T11" s="32">
        <v>0</v>
      </c>
      <c r="U11" s="32">
        <v>0</v>
      </c>
    </row>
    <row r="12" spans="1:21" ht="10.8" thickBot="1" x14ac:dyDescent="0.25">
      <c r="A12" s="33" t="s">
        <v>37</v>
      </c>
      <c r="B12" s="33" t="s">
        <v>38</v>
      </c>
      <c r="C12" s="33" t="s">
        <v>45</v>
      </c>
      <c r="D12" s="33" t="s">
        <v>189</v>
      </c>
      <c r="E12" s="33" t="s">
        <v>190</v>
      </c>
      <c r="F12" s="33" t="s">
        <v>191</v>
      </c>
      <c r="G12" s="34" t="s">
        <v>192</v>
      </c>
      <c r="H12" s="35" t="s">
        <v>24</v>
      </c>
      <c r="I12" s="35" t="s">
        <v>37</v>
      </c>
      <c r="J12" s="36" t="s">
        <v>38</v>
      </c>
      <c r="K12" s="37">
        <v>0.5</v>
      </c>
      <c r="L12" s="37" t="s">
        <v>42</v>
      </c>
      <c r="M12" s="25">
        <v>2020</v>
      </c>
      <c r="N12" s="25" t="s">
        <v>32</v>
      </c>
      <c r="O12" s="26" t="s">
        <v>211</v>
      </c>
      <c r="P12" s="25" t="s">
        <v>25</v>
      </c>
      <c r="Q12" s="26" t="s">
        <v>25</v>
      </c>
      <c r="R12" s="25">
        <v>85</v>
      </c>
      <c r="S12" s="25">
        <v>0.42499999999999999</v>
      </c>
      <c r="T12" s="25">
        <v>7.4999999999999997E-2</v>
      </c>
      <c r="U12" s="25">
        <v>0</v>
      </c>
    </row>
    <row r="13" spans="1:21" ht="10.8" thickBot="1" x14ac:dyDescent="0.25">
      <c r="A13" s="33" t="s">
        <v>37</v>
      </c>
      <c r="B13" s="33" t="s">
        <v>38</v>
      </c>
      <c r="C13" s="33" t="s">
        <v>45</v>
      </c>
      <c r="D13" s="33" t="s">
        <v>189</v>
      </c>
      <c r="E13" s="33" t="s">
        <v>190</v>
      </c>
      <c r="F13" s="33" t="s">
        <v>191</v>
      </c>
      <c r="G13" s="34" t="s">
        <v>41</v>
      </c>
      <c r="H13" s="35" t="s">
        <v>24</v>
      </c>
      <c r="I13" s="35" t="s">
        <v>37</v>
      </c>
      <c r="J13" s="36" t="s">
        <v>38</v>
      </c>
      <c r="K13" s="37">
        <v>0.5</v>
      </c>
      <c r="L13" s="37" t="s">
        <v>42</v>
      </c>
      <c r="M13" s="25">
        <v>2020</v>
      </c>
      <c r="N13" s="25" t="s">
        <v>25</v>
      </c>
      <c r="O13" s="26" t="s">
        <v>25</v>
      </c>
      <c r="P13" s="25" t="s">
        <v>25</v>
      </c>
      <c r="Q13" s="26" t="s">
        <v>25</v>
      </c>
      <c r="R13" s="25">
        <v>100</v>
      </c>
      <c r="S13" s="25">
        <v>0.5</v>
      </c>
      <c r="T13" s="25">
        <v>0</v>
      </c>
      <c r="U13" s="25">
        <v>0</v>
      </c>
    </row>
    <row r="14" spans="1:21" ht="10.8" thickBot="1" x14ac:dyDescent="0.25">
      <c r="A14" s="33" t="s">
        <v>37</v>
      </c>
      <c r="B14" s="33" t="s">
        <v>38</v>
      </c>
      <c r="C14" s="33" t="s">
        <v>45</v>
      </c>
      <c r="D14" s="33" t="s">
        <v>169</v>
      </c>
      <c r="E14" s="33" t="s">
        <v>170</v>
      </c>
      <c r="F14" s="33" t="s">
        <v>171</v>
      </c>
      <c r="G14" s="34" t="s">
        <v>172</v>
      </c>
      <c r="H14" s="35" t="s">
        <v>24</v>
      </c>
      <c r="I14" s="35" t="s">
        <v>37</v>
      </c>
      <c r="J14" s="36" t="s">
        <v>38</v>
      </c>
      <c r="K14" s="37">
        <v>0.5</v>
      </c>
      <c r="L14" s="37" t="s">
        <v>42</v>
      </c>
      <c r="M14" s="25">
        <v>2020</v>
      </c>
      <c r="N14" s="25" t="s">
        <v>25</v>
      </c>
      <c r="O14" s="26" t="s">
        <v>25</v>
      </c>
      <c r="P14" s="25" t="s">
        <v>25</v>
      </c>
      <c r="Q14" s="26" t="s">
        <v>25</v>
      </c>
      <c r="R14" s="25">
        <v>100</v>
      </c>
      <c r="S14" s="25">
        <v>0.5</v>
      </c>
      <c r="T14" s="25">
        <v>0</v>
      </c>
      <c r="U14" s="25">
        <v>0</v>
      </c>
    </row>
    <row r="15" spans="1:21" ht="10.8" thickBot="1" x14ac:dyDescent="0.25">
      <c r="A15" s="33" t="s">
        <v>37</v>
      </c>
      <c r="B15" s="33" t="s">
        <v>38</v>
      </c>
      <c r="C15" s="33" t="s">
        <v>45</v>
      </c>
      <c r="D15" s="33" t="s">
        <v>169</v>
      </c>
      <c r="E15" s="33" t="s">
        <v>170</v>
      </c>
      <c r="F15" s="33" t="s">
        <v>171</v>
      </c>
      <c r="G15" s="34" t="s">
        <v>43</v>
      </c>
      <c r="H15" s="35" t="s">
        <v>24</v>
      </c>
      <c r="I15" s="35" t="s">
        <v>37</v>
      </c>
      <c r="J15" s="36" t="s">
        <v>38</v>
      </c>
      <c r="K15" s="37">
        <v>0.5</v>
      </c>
      <c r="L15" s="37" t="s">
        <v>42</v>
      </c>
      <c r="M15" s="25">
        <v>2020</v>
      </c>
      <c r="N15" s="25" t="s">
        <v>25</v>
      </c>
      <c r="O15" s="26" t="s">
        <v>25</v>
      </c>
      <c r="P15" s="25" t="s">
        <v>25</v>
      </c>
      <c r="Q15" s="26" t="s">
        <v>25</v>
      </c>
      <c r="R15" s="25">
        <v>100</v>
      </c>
      <c r="S15" s="25">
        <v>0.5</v>
      </c>
      <c r="T15" s="25">
        <v>0</v>
      </c>
      <c r="U15" s="25">
        <v>0</v>
      </c>
    </row>
    <row r="16" spans="1:21" ht="10.8" thickBot="1" x14ac:dyDescent="0.25">
      <c r="A16" s="33" t="s">
        <v>33</v>
      </c>
      <c r="B16" s="33" t="s">
        <v>34</v>
      </c>
      <c r="C16" s="33" t="s">
        <v>35</v>
      </c>
      <c r="D16" s="33" t="s">
        <v>173</v>
      </c>
      <c r="E16" s="33" t="s">
        <v>174</v>
      </c>
      <c r="F16" s="33" t="s">
        <v>175</v>
      </c>
      <c r="G16" s="34" t="s">
        <v>53</v>
      </c>
      <c r="H16" s="35" t="s">
        <v>24</v>
      </c>
      <c r="I16" s="35" t="s">
        <v>37</v>
      </c>
      <c r="J16" s="36" t="s">
        <v>38</v>
      </c>
      <c r="K16" s="37">
        <v>0.5</v>
      </c>
      <c r="L16" s="37" t="s">
        <v>42</v>
      </c>
      <c r="M16" s="25">
        <v>2020</v>
      </c>
      <c r="N16" s="25" t="s">
        <v>25</v>
      </c>
      <c r="O16" s="26" t="s">
        <v>25</v>
      </c>
      <c r="P16" s="25" t="s">
        <v>25</v>
      </c>
      <c r="Q16" s="26" t="s">
        <v>25</v>
      </c>
      <c r="R16" s="25">
        <v>100</v>
      </c>
      <c r="S16" s="25">
        <v>0.5</v>
      </c>
      <c r="T16" s="25">
        <v>0</v>
      </c>
      <c r="U16" s="25">
        <v>0</v>
      </c>
    </row>
    <row r="17" spans="1:21" ht="10.8" thickBot="1" x14ac:dyDescent="0.25">
      <c r="A17" s="33" t="s">
        <v>33</v>
      </c>
      <c r="B17" s="33" t="s">
        <v>34</v>
      </c>
      <c r="C17" s="33" t="s">
        <v>35</v>
      </c>
      <c r="D17" s="33" t="s">
        <v>173</v>
      </c>
      <c r="E17" s="33" t="s">
        <v>174</v>
      </c>
      <c r="F17" s="33" t="s">
        <v>175</v>
      </c>
      <c r="G17" s="34" t="s">
        <v>176</v>
      </c>
      <c r="H17" s="35" t="s">
        <v>24</v>
      </c>
      <c r="I17" s="35" t="s">
        <v>37</v>
      </c>
      <c r="J17" s="36" t="s">
        <v>38</v>
      </c>
      <c r="K17" s="37">
        <v>0.5</v>
      </c>
      <c r="L17" s="37" t="s">
        <v>42</v>
      </c>
      <c r="M17" s="25">
        <v>2020</v>
      </c>
      <c r="N17" s="25" t="s">
        <v>25</v>
      </c>
      <c r="O17" s="26" t="s">
        <v>25</v>
      </c>
      <c r="P17" s="25" t="s">
        <v>25</v>
      </c>
      <c r="Q17" s="26" t="s">
        <v>25</v>
      </c>
      <c r="R17" s="25">
        <v>100</v>
      </c>
      <c r="S17" s="25">
        <v>0.5</v>
      </c>
      <c r="T17" s="25">
        <v>0</v>
      </c>
      <c r="U17" s="25">
        <v>0</v>
      </c>
    </row>
    <row r="18" spans="1:21" x14ac:dyDescent="0.2">
      <c r="A18" s="25" t="s">
        <v>37</v>
      </c>
      <c r="B18" s="25" t="s">
        <v>38</v>
      </c>
      <c r="C18" s="25" t="s">
        <v>45</v>
      </c>
      <c r="D18" s="25" t="s">
        <v>193</v>
      </c>
      <c r="E18" s="25" t="s">
        <v>194</v>
      </c>
      <c r="F18" s="25" t="s">
        <v>195</v>
      </c>
      <c r="G18" s="25" t="s">
        <v>28</v>
      </c>
      <c r="H18" s="25" t="s">
        <v>24</v>
      </c>
      <c r="I18" s="25" t="s">
        <v>37</v>
      </c>
      <c r="J18" s="25" t="s">
        <v>38</v>
      </c>
      <c r="K18" s="37">
        <v>1</v>
      </c>
      <c r="L18" s="37" t="s">
        <v>42</v>
      </c>
      <c r="M18" s="25">
        <v>2021</v>
      </c>
      <c r="N18" s="25" t="s">
        <v>25</v>
      </c>
      <c r="O18" s="26" t="s">
        <v>25</v>
      </c>
      <c r="P18" s="25" t="s">
        <v>25</v>
      </c>
      <c r="Q18" s="26" t="s">
        <v>25</v>
      </c>
      <c r="R18" s="25">
        <v>100</v>
      </c>
      <c r="S18" s="25">
        <v>1</v>
      </c>
      <c r="T18" s="25">
        <v>0</v>
      </c>
      <c r="U18" s="25">
        <v>0</v>
      </c>
    </row>
    <row r="19" spans="1:21" x14ac:dyDescent="0.2">
      <c r="A19" s="25" t="s">
        <v>37</v>
      </c>
      <c r="B19" s="25" t="s">
        <v>38</v>
      </c>
      <c r="C19" s="25" t="s">
        <v>45</v>
      </c>
      <c r="D19" s="25" t="s">
        <v>196</v>
      </c>
      <c r="E19" s="25" t="s">
        <v>197</v>
      </c>
      <c r="F19" s="25" t="s">
        <v>198</v>
      </c>
      <c r="G19" s="25" t="s">
        <v>44</v>
      </c>
      <c r="H19" s="25" t="s">
        <v>26</v>
      </c>
      <c r="I19" s="25" t="s">
        <v>37</v>
      </c>
      <c r="J19" s="25" t="s">
        <v>38</v>
      </c>
      <c r="K19" s="37">
        <v>1</v>
      </c>
      <c r="L19" s="37" t="s">
        <v>42</v>
      </c>
      <c r="M19" s="25">
        <v>2021</v>
      </c>
      <c r="N19" s="25" t="s">
        <v>32</v>
      </c>
      <c r="O19" s="26" t="s">
        <v>27</v>
      </c>
      <c r="P19" s="25" t="s">
        <v>25</v>
      </c>
      <c r="Q19" s="26" t="s">
        <v>25</v>
      </c>
      <c r="R19" s="25">
        <v>90</v>
      </c>
      <c r="S19" s="25">
        <v>0.9</v>
      </c>
      <c r="T19" s="25">
        <v>0.1</v>
      </c>
      <c r="U19" s="25">
        <v>0</v>
      </c>
    </row>
    <row r="20" spans="1:21" x14ac:dyDescent="0.2">
      <c r="A20" s="25" t="s">
        <v>37</v>
      </c>
      <c r="B20" s="25" t="s">
        <v>38</v>
      </c>
      <c r="C20" s="25" t="s">
        <v>45</v>
      </c>
      <c r="D20" s="25" t="s">
        <v>199</v>
      </c>
      <c r="E20" s="25" t="s">
        <v>200</v>
      </c>
      <c r="F20" s="25" t="s">
        <v>201</v>
      </c>
      <c r="G20" s="25" t="s">
        <v>41</v>
      </c>
      <c r="H20" s="25" t="s">
        <v>24</v>
      </c>
      <c r="I20" s="25" t="s">
        <v>37</v>
      </c>
      <c r="J20" s="25" t="s">
        <v>38</v>
      </c>
      <c r="K20" s="37">
        <v>0.5</v>
      </c>
      <c r="L20" s="37" t="s">
        <v>42</v>
      </c>
      <c r="M20" s="25">
        <v>2021</v>
      </c>
      <c r="N20" s="25" t="s">
        <v>25</v>
      </c>
      <c r="O20" s="26" t="s">
        <v>25</v>
      </c>
      <c r="P20" s="25" t="s">
        <v>25</v>
      </c>
      <c r="Q20" s="26" t="s">
        <v>25</v>
      </c>
      <c r="R20" s="25">
        <v>100</v>
      </c>
      <c r="S20" s="25">
        <v>0.5</v>
      </c>
      <c r="T20" s="25">
        <v>0</v>
      </c>
      <c r="U20" s="25">
        <v>0</v>
      </c>
    </row>
    <row r="21" spans="1:21" x14ac:dyDescent="0.2">
      <c r="A21" s="25" t="s">
        <v>37</v>
      </c>
      <c r="B21" s="25" t="s">
        <v>38</v>
      </c>
      <c r="C21" s="25" t="s">
        <v>45</v>
      </c>
      <c r="D21" s="25" t="s">
        <v>199</v>
      </c>
      <c r="E21" s="25" t="s">
        <v>200</v>
      </c>
      <c r="F21" s="25" t="s">
        <v>201</v>
      </c>
      <c r="G21" s="25" t="s">
        <v>28</v>
      </c>
      <c r="H21" s="25" t="s">
        <v>24</v>
      </c>
      <c r="I21" s="25" t="s">
        <v>37</v>
      </c>
      <c r="J21" s="25" t="s">
        <v>38</v>
      </c>
      <c r="K21" s="37">
        <v>0.5</v>
      </c>
      <c r="L21" s="37" t="s">
        <v>42</v>
      </c>
      <c r="M21" s="25">
        <v>2021</v>
      </c>
      <c r="N21" s="25" t="s">
        <v>25</v>
      </c>
      <c r="O21" s="26" t="s">
        <v>25</v>
      </c>
      <c r="P21" s="25" t="s">
        <v>25</v>
      </c>
      <c r="Q21" s="26" t="s">
        <v>25</v>
      </c>
      <c r="R21" s="25">
        <v>100</v>
      </c>
      <c r="S21" s="25">
        <v>0.5</v>
      </c>
      <c r="T21" s="25">
        <v>0</v>
      </c>
      <c r="U21" s="25">
        <v>0</v>
      </c>
    </row>
    <row r="22" spans="1:21" x14ac:dyDescent="0.2">
      <c r="A22" s="25" t="s">
        <v>37</v>
      </c>
      <c r="B22" s="25" t="s">
        <v>38</v>
      </c>
      <c r="C22" s="25" t="s">
        <v>45</v>
      </c>
      <c r="D22" s="25" t="s">
        <v>202</v>
      </c>
      <c r="E22" s="25" t="s">
        <v>203</v>
      </c>
      <c r="F22" s="25" t="s">
        <v>204</v>
      </c>
      <c r="G22" s="25" t="s">
        <v>205</v>
      </c>
      <c r="H22" s="25" t="s">
        <v>24</v>
      </c>
      <c r="I22" s="25" t="s">
        <v>37</v>
      </c>
      <c r="J22" s="25" t="s">
        <v>38</v>
      </c>
      <c r="K22" s="37">
        <v>0.5</v>
      </c>
      <c r="L22" s="37" t="s">
        <v>42</v>
      </c>
      <c r="M22" s="25">
        <v>2021</v>
      </c>
      <c r="N22" s="25" t="s">
        <v>25</v>
      </c>
      <c r="O22" s="26" t="s">
        <v>25</v>
      </c>
      <c r="P22" s="25" t="s">
        <v>25</v>
      </c>
      <c r="Q22" s="26" t="s">
        <v>25</v>
      </c>
      <c r="R22" s="25">
        <v>100</v>
      </c>
      <c r="S22" s="25">
        <v>0.5</v>
      </c>
      <c r="T22" s="25">
        <v>0</v>
      </c>
      <c r="U22" s="25">
        <v>0</v>
      </c>
    </row>
    <row r="23" spans="1:21" x14ac:dyDescent="0.2">
      <c r="A23" s="25" t="s">
        <v>37</v>
      </c>
      <c r="B23" s="25" t="s">
        <v>38</v>
      </c>
      <c r="C23" s="25" t="s">
        <v>45</v>
      </c>
      <c r="D23" s="25" t="s">
        <v>202</v>
      </c>
      <c r="E23" s="25" t="s">
        <v>203</v>
      </c>
      <c r="F23" s="25" t="s">
        <v>204</v>
      </c>
      <c r="G23" s="25" t="s">
        <v>43</v>
      </c>
      <c r="H23" s="25" t="s">
        <v>24</v>
      </c>
      <c r="I23" s="25" t="s">
        <v>37</v>
      </c>
      <c r="J23" s="25" t="s">
        <v>38</v>
      </c>
      <c r="K23" s="37">
        <v>0.5</v>
      </c>
      <c r="L23" s="37" t="s">
        <v>42</v>
      </c>
      <c r="M23" s="25">
        <v>2021</v>
      </c>
      <c r="N23" s="25" t="s">
        <v>25</v>
      </c>
      <c r="O23" s="26" t="s">
        <v>25</v>
      </c>
      <c r="P23" s="25" t="s">
        <v>25</v>
      </c>
      <c r="Q23" s="26" t="s">
        <v>25</v>
      </c>
      <c r="R23" s="25">
        <v>100</v>
      </c>
      <c r="S23" s="25">
        <v>0.5</v>
      </c>
      <c r="T23" s="25">
        <v>0</v>
      </c>
      <c r="U23" s="25">
        <v>0</v>
      </c>
    </row>
    <row r="24" spans="1:21" x14ac:dyDescent="0.2">
      <c r="A24" s="25" t="s">
        <v>37</v>
      </c>
      <c r="B24" s="25" t="s">
        <v>38</v>
      </c>
      <c r="C24" s="25" t="s">
        <v>45</v>
      </c>
      <c r="D24" s="25" t="s">
        <v>206</v>
      </c>
      <c r="E24" s="25" t="s">
        <v>207</v>
      </c>
      <c r="F24" s="25" t="s">
        <v>204</v>
      </c>
      <c r="G24" s="25" t="s">
        <v>205</v>
      </c>
      <c r="H24" s="25" t="s">
        <v>24</v>
      </c>
      <c r="I24" s="25" t="s">
        <v>37</v>
      </c>
      <c r="J24" s="25" t="s">
        <v>38</v>
      </c>
      <c r="K24" s="37">
        <v>0.5</v>
      </c>
      <c r="L24" s="37" t="s">
        <v>42</v>
      </c>
      <c r="M24" s="25">
        <v>2021</v>
      </c>
      <c r="N24" s="25" t="s">
        <v>25</v>
      </c>
      <c r="O24" s="26" t="s">
        <v>25</v>
      </c>
      <c r="P24" s="25" t="s">
        <v>25</v>
      </c>
      <c r="Q24" s="26" t="s">
        <v>25</v>
      </c>
      <c r="R24" s="25">
        <v>100</v>
      </c>
      <c r="S24" s="25">
        <v>0.5</v>
      </c>
      <c r="T24" s="25">
        <v>0</v>
      </c>
      <c r="U24" s="25">
        <v>0</v>
      </c>
    </row>
    <row r="25" spans="1:21" x14ac:dyDescent="0.2">
      <c r="A25" s="25" t="s">
        <v>37</v>
      </c>
      <c r="B25" s="25" t="s">
        <v>38</v>
      </c>
      <c r="C25" s="25" t="s">
        <v>45</v>
      </c>
      <c r="D25" s="25" t="s">
        <v>206</v>
      </c>
      <c r="E25" s="25" t="s">
        <v>207</v>
      </c>
      <c r="F25" s="25" t="s">
        <v>204</v>
      </c>
      <c r="G25" s="25" t="s">
        <v>43</v>
      </c>
      <c r="H25" s="25" t="s">
        <v>24</v>
      </c>
      <c r="I25" s="25" t="s">
        <v>37</v>
      </c>
      <c r="J25" s="25" t="s">
        <v>38</v>
      </c>
      <c r="K25" s="37">
        <v>0.5</v>
      </c>
      <c r="L25" s="37" t="s">
        <v>42</v>
      </c>
      <c r="M25" s="25">
        <v>2021</v>
      </c>
      <c r="N25" s="25" t="s">
        <v>25</v>
      </c>
      <c r="O25" s="26" t="s">
        <v>25</v>
      </c>
      <c r="P25" s="25" t="s">
        <v>25</v>
      </c>
      <c r="Q25" s="26" t="s">
        <v>25</v>
      </c>
      <c r="R25" s="25">
        <v>100</v>
      </c>
      <c r="S25" s="25">
        <v>0.5</v>
      </c>
      <c r="T25" s="25">
        <v>0</v>
      </c>
      <c r="U25" s="25">
        <v>0</v>
      </c>
    </row>
    <row r="26" spans="1:21" x14ac:dyDescent="0.2">
      <c r="A26" s="25" t="s">
        <v>37</v>
      </c>
      <c r="B26" s="25" t="s">
        <v>38</v>
      </c>
      <c r="C26" s="25" t="s">
        <v>45</v>
      </c>
      <c r="D26" s="25" t="s">
        <v>208</v>
      </c>
      <c r="E26" s="25" t="s">
        <v>209</v>
      </c>
      <c r="F26" s="25" t="s">
        <v>210</v>
      </c>
      <c r="G26" s="25" t="s">
        <v>53</v>
      </c>
      <c r="H26" s="25" t="s">
        <v>24</v>
      </c>
      <c r="I26" s="25" t="s">
        <v>37</v>
      </c>
      <c r="J26" s="25" t="s">
        <v>38</v>
      </c>
      <c r="K26" s="37">
        <v>0.5</v>
      </c>
      <c r="L26" s="37" t="s">
        <v>42</v>
      </c>
      <c r="M26" s="25">
        <v>2021</v>
      </c>
      <c r="N26" s="25" t="s">
        <v>25</v>
      </c>
      <c r="O26" s="26" t="s">
        <v>25</v>
      </c>
      <c r="P26" s="25" t="s">
        <v>25</v>
      </c>
      <c r="Q26" s="26" t="s">
        <v>25</v>
      </c>
      <c r="R26" s="25">
        <v>100</v>
      </c>
      <c r="S26" s="25">
        <v>0.5</v>
      </c>
      <c r="T26" s="25">
        <v>0</v>
      </c>
      <c r="U26" s="25">
        <v>0</v>
      </c>
    </row>
    <row r="27" spans="1:21" x14ac:dyDescent="0.2">
      <c r="A27" s="25" t="s">
        <v>37</v>
      </c>
      <c r="B27" s="25" t="s">
        <v>38</v>
      </c>
      <c r="C27" s="25" t="s">
        <v>45</v>
      </c>
      <c r="D27" s="25" t="s">
        <v>208</v>
      </c>
      <c r="E27" s="25" t="s">
        <v>209</v>
      </c>
      <c r="F27" s="25" t="s">
        <v>210</v>
      </c>
      <c r="G27" s="25" t="s">
        <v>28</v>
      </c>
      <c r="H27" s="25" t="s">
        <v>24</v>
      </c>
      <c r="I27" s="25" t="s">
        <v>37</v>
      </c>
      <c r="J27" s="25" t="s">
        <v>38</v>
      </c>
      <c r="K27" s="37">
        <v>0.5</v>
      </c>
      <c r="L27" s="37" t="s">
        <v>42</v>
      </c>
      <c r="M27" s="25">
        <v>2021</v>
      </c>
      <c r="N27" s="25" t="s">
        <v>25</v>
      </c>
      <c r="O27" s="26" t="s">
        <v>25</v>
      </c>
      <c r="P27" s="25" t="s">
        <v>25</v>
      </c>
      <c r="Q27" s="26" t="s">
        <v>25</v>
      </c>
      <c r="R27" s="25">
        <v>100</v>
      </c>
      <c r="S27" s="25">
        <v>0.5</v>
      </c>
      <c r="T27" s="25">
        <v>0</v>
      </c>
      <c r="U27" s="25">
        <v>0</v>
      </c>
    </row>
    <row r="28" spans="1:21" x14ac:dyDescent="0.2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5"/>
      <c r="Q28" s="56"/>
      <c r="R28" s="55"/>
      <c r="S28" s="64">
        <f>SUM(S2:S27)</f>
        <v>15.275</v>
      </c>
      <c r="T28" s="55"/>
      <c r="U28" s="55"/>
    </row>
    <row r="29" spans="1:21" x14ac:dyDescent="0.2">
      <c r="K29" s="54"/>
      <c r="S29" s="54"/>
    </row>
  </sheetData>
  <autoFilter ref="A1:U1" xr:uid="{00000000-0009-0000-0000-000000000000}">
    <sortState xmlns:xlrd2="http://schemas.microsoft.com/office/spreadsheetml/2017/richdata2" ref="A2:U1887">
      <sortCondition ref="L2:L1887"/>
      <sortCondition ref="M2:M1887"/>
      <sortCondition ref="D2:D1887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6"/>
  <sheetViews>
    <sheetView zoomScaleNormal="100" workbookViewId="0">
      <selection activeCell="S16" sqref="S16"/>
    </sheetView>
  </sheetViews>
  <sheetFormatPr baseColWidth="10" defaultColWidth="11.44140625" defaultRowHeight="13.2" x14ac:dyDescent="0.25"/>
  <cols>
    <col min="1" max="1" width="10.88671875" style="18" bestFit="1" customWidth="1"/>
    <col min="2" max="2" width="39.3320312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60</v>
      </c>
      <c r="B1" s="20" t="s">
        <v>61</v>
      </c>
      <c r="C1" s="20" t="s">
        <v>62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63</v>
      </c>
      <c r="K1" s="22" t="s">
        <v>165</v>
      </c>
      <c r="L1" s="15" t="s">
        <v>64</v>
      </c>
      <c r="M1" s="15" t="s">
        <v>65</v>
      </c>
      <c r="N1" s="15" t="s">
        <v>66</v>
      </c>
      <c r="O1" s="15" t="s">
        <v>67</v>
      </c>
      <c r="P1" s="16" t="s">
        <v>68</v>
      </c>
      <c r="Q1" s="16" t="s">
        <v>69</v>
      </c>
      <c r="R1" s="16" t="s">
        <v>70</v>
      </c>
      <c r="S1" s="16" t="s">
        <v>71</v>
      </c>
    </row>
    <row r="2" spans="1:19" ht="14.4" x14ac:dyDescent="0.3">
      <c r="A2" s="23" t="s">
        <v>73</v>
      </c>
      <c r="B2" s="23" t="s">
        <v>74</v>
      </c>
      <c r="C2" s="23" t="s">
        <v>72</v>
      </c>
      <c r="D2" s="23"/>
      <c r="E2" s="23"/>
      <c r="F2" s="23">
        <v>1</v>
      </c>
      <c r="G2" s="23"/>
      <c r="H2" s="23"/>
      <c r="I2" s="23">
        <v>1</v>
      </c>
      <c r="J2" s="23">
        <v>2</v>
      </c>
      <c r="K2" s="23" t="s">
        <v>42</v>
      </c>
      <c r="L2" s="24">
        <v>0</v>
      </c>
      <c r="M2" s="24">
        <v>0</v>
      </c>
      <c r="N2" s="24" t="s">
        <v>25</v>
      </c>
      <c r="O2" s="24" t="s">
        <v>25</v>
      </c>
      <c r="P2" s="24">
        <v>100</v>
      </c>
      <c r="Q2" s="24">
        <v>0</v>
      </c>
      <c r="R2" s="24">
        <v>0</v>
      </c>
      <c r="S2" s="24">
        <v>2</v>
      </c>
    </row>
    <row r="3" spans="1:19" ht="14.4" x14ac:dyDescent="0.3">
      <c r="A3" s="23" t="s">
        <v>86</v>
      </c>
      <c r="B3" s="23" t="s">
        <v>87</v>
      </c>
      <c r="C3" s="23" t="s">
        <v>72</v>
      </c>
      <c r="D3" s="23"/>
      <c r="E3" s="23"/>
      <c r="F3" s="23">
        <v>2</v>
      </c>
      <c r="G3" s="23"/>
      <c r="H3" s="23"/>
      <c r="I3" s="23">
        <v>1</v>
      </c>
      <c r="J3" s="23">
        <v>3</v>
      </c>
      <c r="K3" s="23" t="s">
        <v>42</v>
      </c>
      <c r="L3" s="24">
        <v>0</v>
      </c>
      <c r="M3" s="24">
        <v>0</v>
      </c>
      <c r="N3" s="24" t="s">
        <v>25</v>
      </c>
      <c r="O3" s="24" t="s">
        <v>25</v>
      </c>
      <c r="P3" s="24">
        <v>100</v>
      </c>
      <c r="Q3" s="24">
        <v>0</v>
      </c>
      <c r="R3" s="24">
        <v>0</v>
      </c>
      <c r="S3" s="24">
        <v>3</v>
      </c>
    </row>
    <row r="4" spans="1:19" ht="14.4" x14ac:dyDescent="0.3">
      <c r="A4" s="23" t="s">
        <v>84</v>
      </c>
      <c r="B4" s="23" t="s">
        <v>85</v>
      </c>
      <c r="C4" s="23" t="s">
        <v>72</v>
      </c>
      <c r="D4" s="23"/>
      <c r="E4" s="23"/>
      <c r="F4" s="23"/>
      <c r="G4" s="23"/>
      <c r="H4" s="23"/>
      <c r="I4" s="23">
        <v>1</v>
      </c>
      <c r="J4" s="23">
        <v>1</v>
      </c>
      <c r="K4" s="23" t="s">
        <v>42</v>
      </c>
      <c r="L4" s="24">
        <v>0</v>
      </c>
      <c r="M4" s="24">
        <v>0</v>
      </c>
      <c r="N4" s="24" t="s">
        <v>25</v>
      </c>
      <c r="O4" s="24" t="s">
        <v>25</v>
      </c>
      <c r="P4" s="24">
        <v>100</v>
      </c>
      <c r="Q4" s="24">
        <v>0</v>
      </c>
      <c r="R4" s="24">
        <v>0</v>
      </c>
      <c r="S4" s="24">
        <v>1</v>
      </c>
    </row>
    <row r="5" spans="1:19" ht="14.4" x14ac:dyDescent="0.3">
      <c r="A5" s="23" t="s">
        <v>75</v>
      </c>
      <c r="B5" s="23" t="s">
        <v>76</v>
      </c>
      <c r="C5" s="23" t="s">
        <v>72</v>
      </c>
      <c r="D5" s="23"/>
      <c r="E5" s="23"/>
      <c r="F5" s="23"/>
      <c r="G5" s="23"/>
      <c r="H5" s="23"/>
      <c r="I5" s="23">
        <v>1</v>
      </c>
      <c r="J5" s="23">
        <v>1</v>
      </c>
      <c r="K5" s="23" t="s">
        <v>42</v>
      </c>
      <c r="L5" s="24">
        <v>0</v>
      </c>
      <c r="M5" s="24">
        <v>0</v>
      </c>
      <c r="N5" s="24" t="s">
        <v>25</v>
      </c>
      <c r="O5" s="24" t="s">
        <v>25</v>
      </c>
      <c r="P5" s="24">
        <v>100</v>
      </c>
      <c r="Q5" s="24">
        <v>0</v>
      </c>
      <c r="R5" s="24">
        <v>0</v>
      </c>
      <c r="S5" s="24">
        <v>1</v>
      </c>
    </row>
    <row r="6" spans="1:19" ht="14.4" x14ac:dyDescent="0.3">
      <c r="A6" s="23" t="s">
        <v>90</v>
      </c>
      <c r="B6" s="23" t="s">
        <v>91</v>
      </c>
      <c r="C6" s="23" t="s">
        <v>72</v>
      </c>
      <c r="D6" s="23"/>
      <c r="E6" s="23">
        <v>1</v>
      </c>
      <c r="F6" s="23"/>
      <c r="G6" s="23"/>
      <c r="H6" s="23"/>
      <c r="I6" s="23"/>
      <c r="J6" s="23">
        <v>1</v>
      </c>
      <c r="K6" s="23" t="s">
        <v>42</v>
      </c>
      <c r="L6" s="24">
        <v>0</v>
      </c>
      <c r="M6" s="24">
        <v>0</v>
      </c>
      <c r="N6" s="24" t="s">
        <v>25</v>
      </c>
      <c r="O6" s="24" t="s">
        <v>25</v>
      </c>
      <c r="P6" s="24">
        <v>100</v>
      </c>
      <c r="Q6" s="24">
        <v>0</v>
      </c>
      <c r="R6" s="24">
        <v>0</v>
      </c>
      <c r="S6" s="24">
        <v>1</v>
      </c>
    </row>
    <row r="7" spans="1:19" ht="14.4" x14ac:dyDescent="0.3">
      <c r="A7" s="23" t="s">
        <v>166</v>
      </c>
      <c r="B7" s="23" t="s">
        <v>167</v>
      </c>
      <c r="C7" s="23" t="s">
        <v>168</v>
      </c>
      <c r="D7" s="23"/>
      <c r="E7" s="23"/>
      <c r="F7" s="23"/>
      <c r="G7" s="23"/>
      <c r="H7" s="23">
        <v>1</v>
      </c>
      <c r="I7" s="23"/>
      <c r="J7" s="23">
        <v>1</v>
      </c>
      <c r="K7" s="23" t="s">
        <v>42</v>
      </c>
      <c r="L7" s="24">
        <v>0</v>
      </c>
      <c r="M7" s="24">
        <v>0</v>
      </c>
      <c r="N7" s="24" t="s">
        <v>25</v>
      </c>
      <c r="O7" s="24" t="s">
        <v>25</v>
      </c>
      <c r="P7" s="24">
        <v>100</v>
      </c>
      <c r="Q7" s="24">
        <v>0</v>
      </c>
      <c r="R7" s="24">
        <v>0</v>
      </c>
      <c r="S7" s="24">
        <v>1</v>
      </c>
    </row>
    <row r="8" spans="1:19" ht="14.4" x14ac:dyDescent="0.3">
      <c r="A8" s="23" t="s">
        <v>212</v>
      </c>
      <c r="B8" s="23" t="s">
        <v>213</v>
      </c>
      <c r="C8" s="23" t="s">
        <v>168</v>
      </c>
      <c r="D8" s="23"/>
      <c r="E8" s="23"/>
      <c r="F8" s="23"/>
      <c r="G8" s="23"/>
      <c r="H8" s="23"/>
      <c r="I8" s="23">
        <v>1</v>
      </c>
      <c r="J8" s="23">
        <v>1</v>
      </c>
      <c r="K8" s="23" t="s">
        <v>42</v>
      </c>
      <c r="L8" s="24">
        <v>0</v>
      </c>
      <c r="M8" s="24">
        <v>0</v>
      </c>
      <c r="N8" s="24" t="s">
        <v>25</v>
      </c>
      <c r="O8" s="24" t="s">
        <v>25</v>
      </c>
      <c r="P8" s="24">
        <v>100</v>
      </c>
      <c r="Q8" s="24">
        <v>0</v>
      </c>
      <c r="R8" s="24">
        <v>0</v>
      </c>
      <c r="S8" s="24">
        <v>1</v>
      </c>
    </row>
    <row r="9" spans="1:19" ht="14.4" x14ac:dyDescent="0.3">
      <c r="A9" s="23" t="s">
        <v>77</v>
      </c>
      <c r="B9" s="23" t="s">
        <v>78</v>
      </c>
      <c r="C9" s="23" t="s">
        <v>72</v>
      </c>
      <c r="D9" s="23"/>
      <c r="E9" s="23">
        <v>1</v>
      </c>
      <c r="F9" s="23"/>
      <c r="G9" s="23">
        <v>1</v>
      </c>
      <c r="H9" s="23"/>
      <c r="I9" s="23"/>
      <c r="J9" s="23">
        <v>2</v>
      </c>
      <c r="K9" s="23" t="s">
        <v>42</v>
      </c>
      <c r="L9" s="24" t="s">
        <v>32</v>
      </c>
      <c r="M9" s="24" t="s">
        <v>27</v>
      </c>
      <c r="N9" s="24" t="s">
        <v>25</v>
      </c>
      <c r="O9" s="24" t="s">
        <v>25</v>
      </c>
      <c r="P9" s="24">
        <v>90</v>
      </c>
      <c r="Q9" s="24">
        <v>0.2</v>
      </c>
      <c r="R9" s="24">
        <v>0</v>
      </c>
      <c r="S9" s="24">
        <v>1.8</v>
      </c>
    </row>
    <row r="10" spans="1:19" ht="14.4" x14ac:dyDescent="0.3">
      <c r="A10" s="23" t="s">
        <v>81</v>
      </c>
      <c r="B10" s="23" t="s">
        <v>82</v>
      </c>
      <c r="C10" s="23" t="s">
        <v>72</v>
      </c>
      <c r="D10" s="23"/>
      <c r="E10" s="23"/>
      <c r="F10" s="23">
        <v>2</v>
      </c>
      <c r="G10" s="23"/>
      <c r="H10" s="23"/>
      <c r="I10" s="23"/>
      <c r="J10" s="23">
        <v>2</v>
      </c>
      <c r="K10" s="23" t="s">
        <v>42</v>
      </c>
      <c r="L10" s="24" t="s">
        <v>32</v>
      </c>
      <c r="M10" s="24" t="s">
        <v>27</v>
      </c>
      <c r="N10" s="24" t="s">
        <v>25</v>
      </c>
      <c r="O10" s="24" t="s">
        <v>25</v>
      </c>
      <c r="P10" s="24">
        <v>90</v>
      </c>
      <c r="Q10" s="24">
        <v>0.2</v>
      </c>
      <c r="R10" s="24">
        <v>0</v>
      </c>
      <c r="S10" s="24">
        <v>1.8</v>
      </c>
    </row>
    <row r="11" spans="1:19" ht="14.4" x14ac:dyDescent="0.3">
      <c r="A11" s="23" t="s">
        <v>214</v>
      </c>
      <c r="B11" s="23" t="s">
        <v>215</v>
      </c>
      <c r="C11" s="23" t="s">
        <v>168</v>
      </c>
      <c r="D11" s="23"/>
      <c r="E11" s="23"/>
      <c r="F11" s="23"/>
      <c r="G11" s="23"/>
      <c r="H11" s="23"/>
      <c r="I11" s="23">
        <v>1</v>
      </c>
      <c r="J11" s="23">
        <v>1</v>
      </c>
      <c r="K11" s="23" t="s">
        <v>42</v>
      </c>
      <c r="L11" s="24">
        <v>0</v>
      </c>
      <c r="M11" s="24">
        <v>0</v>
      </c>
      <c r="N11" s="24" t="s">
        <v>25</v>
      </c>
      <c r="O11" s="24" t="s">
        <v>25</v>
      </c>
      <c r="P11" s="24">
        <v>100</v>
      </c>
      <c r="Q11" s="24">
        <v>0</v>
      </c>
      <c r="R11" s="24">
        <v>0</v>
      </c>
      <c r="S11" s="24">
        <v>1</v>
      </c>
    </row>
    <row r="12" spans="1:19" ht="14.4" x14ac:dyDescent="0.3">
      <c r="A12" s="23" t="s">
        <v>88</v>
      </c>
      <c r="B12" s="23" t="s">
        <v>89</v>
      </c>
      <c r="C12" s="23" t="s">
        <v>72</v>
      </c>
      <c r="D12" s="23"/>
      <c r="E12" s="23"/>
      <c r="F12" s="23">
        <v>1</v>
      </c>
      <c r="G12" s="23"/>
      <c r="H12" s="23"/>
      <c r="I12" s="23"/>
      <c r="J12" s="23">
        <v>1</v>
      </c>
      <c r="K12" s="23" t="s">
        <v>42</v>
      </c>
      <c r="L12" s="24">
        <v>0</v>
      </c>
      <c r="M12" s="24">
        <v>0</v>
      </c>
      <c r="N12" s="24" t="s">
        <v>25</v>
      </c>
      <c r="O12" s="24" t="s">
        <v>25</v>
      </c>
      <c r="P12" s="24">
        <v>100</v>
      </c>
      <c r="Q12" s="24">
        <v>0</v>
      </c>
      <c r="R12" s="24">
        <v>0</v>
      </c>
      <c r="S12" s="24">
        <v>1</v>
      </c>
    </row>
    <row r="13" spans="1:19" ht="14.4" x14ac:dyDescent="0.3">
      <c r="A13" s="23" t="s">
        <v>216</v>
      </c>
      <c r="B13" s="23" t="s">
        <v>217</v>
      </c>
      <c r="C13" s="23" t="s">
        <v>168</v>
      </c>
      <c r="D13" s="23"/>
      <c r="E13" s="23"/>
      <c r="F13" s="23"/>
      <c r="G13" s="23"/>
      <c r="H13" s="23"/>
      <c r="I13" s="23">
        <v>1</v>
      </c>
      <c r="J13" s="23">
        <v>1</v>
      </c>
      <c r="K13" s="23" t="s">
        <v>42</v>
      </c>
      <c r="L13" s="24">
        <v>0</v>
      </c>
      <c r="M13" s="24">
        <v>0</v>
      </c>
      <c r="N13" s="24" t="s">
        <v>25</v>
      </c>
      <c r="O13" s="24" t="s">
        <v>25</v>
      </c>
      <c r="P13" s="24">
        <v>100</v>
      </c>
      <c r="Q13" s="24">
        <v>0</v>
      </c>
      <c r="R13" s="24">
        <v>0</v>
      </c>
      <c r="S13" s="24">
        <v>1</v>
      </c>
    </row>
    <row r="14" spans="1:19" ht="14.4" x14ac:dyDescent="0.3">
      <c r="A14" s="23" t="s">
        <v>83</v>
      </c>
      <c r="B14" s="23" t="s">
        <v>164</v>
      </c>
      <c r="C14" s="57" t="s">
        <v>72</v>
      </c>
      <c r="D14" s="23"/>
      <c r="E14" s="23"/>
      <c r="F14" s="23">
        <v>1</v>
      </c>
      <c r="G14" s="23"/>
      <c r="H14" s="23"/>
      <c r="I14" s="23"/>
      <c r="J14" s="23">
        <v>1</v>
      </c>
      <c r="K14" s="23" t="s">
        <v>42</v>
      </c>
      <c r="L14" s="24">
        <v>0</v>
      </c>
      <c r="M14" s="24">
        <v>0</v>
      </c>
      <c r="N14" s="24" t="s">
        <v>25</v>
      </c>
      <c r="O14" s="24" t="s">
        <v>25</v>
      </c>
      <c r="P14" s="24">
        <v>100</v>
      </c>
      <c r="Q14" s="24">
        <v>0</v>
      </c>
      <c r="R14" s="24">
        <v>0</v>
      </c>
      <c r="S14" s="24">
        <v>1</v>
      </c>
    </row>
    <row r="15" spans="1:19" ht="14.4" x14ac:dyDescent="0.3">
      <c r="A15" s="23" t="s">
        <v>79</v>
      </c>
      <c r="B15" s="23" t="s">
        <v>80</v>
      </c>
      <c r="C15" s="57" t="s">
        <v>218</v>
      </c>
      <c r="D15" s="23"/>
      <c r="E15" s="23"/>
      <c r="F15" s="23"/>
      <c r="G15" s="23"/>
      <c r="H15" s="23"/>
      <c r="I15" s="23">
        <v>1</v>
      </c>
      <c r="J15" s="23">
        <v>1</v>
      </c>
      <c r="K15" s="23" t="s">
        <v>42</v>
      </c>
      <c r="L15" s="24">
        <v>0</v>
      </c>
      <c r="M15" s="24">
        <v>0</v>
      </c>
      <c r="N15" s="24" t="s">
        <v>25</v>
      </c>
      <c r="O15" s="24" t="s">
        <v>25</v>
      </c>
      <c r="P15" s="24">
        <v>100</v>
      </c>
      <c r="Q15" s="24">
        <v>0</v>
      </c>
      <c r="R15" s="24">
        <v>0</v>
      </c>
      <c r="S15" s="24">
        <v>1</v>
      </c>
    </row>
    <row r="16" spans="1:19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9"/>
      <c r="O16" s="58"/>
      <c r="P16" s="59"/>
      <c r="Q16" s="58"/>
      <c r="R16" s="58"/>
      <c r="S16" s="65">
        <f>SUM(S2:S15)</f>
        <v>18.600000000000001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"/>
  <sheetViews>
    <sheetView topLeftCell="A49" zoomScaleNormal="100" workbookViewId="0">
      <selection activeCell="A8" sqref="A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93</v>
      </c>
      <c r="B2" s="5"/>
    </row>
    <row r="3" spans="1:2" x14ac:dyDescent="0.2">
      <c r="A3" s="4" t="s">
        <v>94</v>
      </c>
      <c r="B3" s="5">
        <v>2940</v>
      </c>
    </row>
    <row r="4" spans="1:2" x14ac:dyDescent="0.2">
      <c r="A4" s="4" t="s">
        <v>95</v>
      </c>
      <c r="B4" s="5">
        <v>5800</v>
      </c>
    </row>
    <row r="5" spans="1:2" x14ac:dyDescent="0.2">
      <c r="A5" s="4" t="s">
        <v>92</v>
      </c>
      <c r="B5" s="5"/>
    </row>
    <row r="6" spans="1:2" x14ac:dyDescent="0.2">
      <c r="A6" s="4" t="s">
        <v>96</v>
      </c>
      <c r="B6" s="5">
        <v>200</v>
      </c>
    </row>
    <row r="7" spans="1:2" x14ac:dyDescent="0.2">
      <c r="A7" s="4" t="s">
        <v>97</v>
      </c>
      <c r="B7" s="5">
        <v>6120</v>
      </c>
    </row>
    <row r="8" spans="1:2" x14ac:dyDescent="0.2">
      <c r="A8" s="4" t="s">
        <v>98</v>
      </c>
      <c r="B8" s="5">
        <v>200</v>
      </c>
    </row>
    <row r="9" spans="1:2" x14ac:dyDescent="0.2">
      <c r="A9" s="4" t="s">
        <v>99</v>
      </c>
      <c r="B9" s="5">
        <v>200</v>
      </c>
    </row>
    <row r="10" spans="1:2" x14ac:dyDescent="0.2">
      <c r="A10" s="4" t="s">
        <v>100</v>
      </c>
      <c r="B10" s="5">
        <v>200</v>
      </c>
    </row>
    <row r="11" spans="1:2" x14ac:dyDescent="0.2">
      <c r="A11" s="4" t="s">
        <v>101</v>
      </c>
      <c r="B11" s="5">
        <v>75</v>
      </c>
    </row>
    <row r="12" spans="1:2" x14ac:dyDescent="0.2">
      <c r="A12" s="4" t="s">
        <v>102</v>
      </c>
      <c r="B12" s="5">
        <v>75</v>
      </c>
    </row>
    <row r="13" spans="1:2" x14ac:dyDescent="0.2">
      <c r="A13" s="4" t="s">
        <v>103</v>
      </c>
      <c r="B13" s="5">
        <v>200</v>
      </c>
    </row>
    <row r="14" spans="1:2" x14ac:dyDescent="0.2">
      <c r="A14" s="4" t="s">
        <v>104</v>
      </c>
      <c r="B14" s="5">
        <v>180</v>
      </c>
    </row>
    <row r="15" spans="1:2" x14ac:dyDescent="0.2">
      <c r="A15" s="4" t="s">
        <v>105</v>
      </c>
      <c r="B15" s="5">
        <v>200</v>
      </c>
    </row>
    <row r="16" spans="1:2" x14ac:dyDescent="0.2">
      <c r="A16" s="4" t="s">
        <v>106</v>
      </c>
      <c r="B16" s="5">
        <v>160</v>
      </c>
    </row>
    <row r="17" spans="1:2" x14ac:dyDescent="0.2">
      <c r="A17" s="4" t="s">
        <v>107</v>
      </c>
      <c r="B17" s="5">
        <v>180</v>
      </c>
    </row>
    <row r="18" spans="1:2" x14ac:dyDescent="0.2">
      <c r="A18" s="4" t="s">
        <v>108</v>
      </c>
      <c r="B18" s="5">
        <v>180</v>
      </c>
    </row>
    <row r="19" spans="1:2" x14ac:dyDescent="0.2">
      <c r="A19" s="4" t="s">
        <v>109</v>
      </c>
      <c r="B19" s="5">
        <v>160</v>
      </c>
    </row>
    <row r="20" spans="1:2" x14ac:dyDescent="0.2">
      <c r="A20" s="4" t="s">
        <v>110</v>
      </c>
      <c r="B20" s="5">
        <v>160</v>
      </c>
    </row>
    <row r="21" spans="1:2" x14ac:dyDescent="0.2">
      <c r="A21" s="4" t="s">
        <v>111</v>
      </c>
      <c r="B21" s="5">
        <v>200</v>
      </c>
    </row>
    <row r="22" spans="1:2" x14ac:dyDescent="0.2">
      <c r="A22" s="4" t="s">
        <v>112</v>
      </c>
      <c r="B22" s="5">
        <v>180</v>
      </c>
    </row>
    <row r="23" spans="1:2" x14ac:dyDescent="0.2">
      <c r="A23" s="4" t="s">
        <v>113</v>
      </c>
      <c r="B23" s="5">
        <v>160</v>
      </c>
    </row>
    <row r="24" spans="1:2" x14ac:dyDescent="0.2">
      <c r="A24" s="4" t="s">
        <v>114</v>
      </c>
      <c r="B24" s="5">
        <v>180</v>
      </c>
    </row>
    <row r="25" spans="1:2" x14ac:dyDescent="0.2">
      <c r="A25" s="4" t="s">
        <v>115</v>
      </c>
      <c r="B25" s="5">
        <v>180</v>
      </c>
    </row>
    <row r="26" spans="1:2" x14ac:dyDescent="0.2">
      <c r="A26" s="4" t="s">
        <v>116</v>
      </c>
      <c r="B26" s="5">
        <v>200</v>
      </c>
    </row>
    <row r="27" spans="1:2" x14ac:dyDescent="0.2">
      <c r="A27" s="4" t="s">
        <v>117</v>
      </c>
      <c r="B27" s="5">
        <v>180</v>
      </c>
    </row>
    <row r="28" spans="1:2" x14ac:dyDescent="0.2">
      <c r="A28" s="4" t="s">
        <v>118</v>
      </c>
      <c r="B28" s="5">
        <v>160</v>
      </c>
    </row>
    <row r="29" spans="1:2" x14ac:dyDescent="0.2">
      <c r="A29" s="4" t="s">
        <v>119</v>
      </c>
      <c r="B29" s="5">
        <v>180</v>
      </c>
    </row>
    <row r="30" spans="1:2" x14ac:dyDescent="0.2">
      <c r="A30" s="4" t="s">
        <v>120</v>
      </c>
      <c r="B30" s="5">
        <v>180</v>
      </c>
    </row>
    <row r="31" spans="1:2" x14ac:dyDescent="0.2">
      <c r="A31" s="4" t="s">
        <v>121</v>
      </c>
      <c r="B31" s="5">
        <v>180</v>
      </c>
    </row>
    <row r="32" spans="1:2" x14ac:dyDescent="0.2">
      <c r="A32" s="4" t="s">
        <v>122</v>
      </c>
      <c r="B32" s="5">
        <v>160</v>
      </c>
    </row>
    <row r="33" spans="1:2" x14ac:dyDescent="0.2">
      <c r="A33" s="4" t="s">
        <v>123</v>
      </c>
      <c r="B33" s="5">
        <v>120</v>
      </c>
    </row>
    <row r="34" spans="1:2" x14ac:dyDescent="0.2">
      <c r="A34" s="4" t="s">
        <v>124</v>
      </c>
      <c r="B34" s="5">
        <v>180</v>
      </c>
    </row>
    <row r="35" spans="1:2" x14ac:dyDescent="0.2">
      <c r="A35" s="4" t="s">
        <v>125</v>
      </c>
      <c r="B35" s="5">
        <v>180</v>
      </c>
    </row>
    <row r="36" spans="1:2" x14ac:dyDescent="0.2">
      <c r="A36" s="4" t="s">
        <v>126</v>
      </c>
      <c r="B36" s="5">
        <v>180</v>
      </c>
    </row>
    <row r="37" spans="1:2" x14ac:dyDescent="0.2">
      <c r="A37" s="4" t="s">
        <v>127</v>
      </c>
      <c r="B37" s="5">
        <v>180</v>
      </c>
    </row>
    <row r="38" spans="1:2" x14ac:dyDescent="0.2">
      <c r="A38" s="4" t="s">
        <v>128</v>
      </c>
      <c r="B38" s="5">
        <v>180</v>
      </c>
    </row>
    <row r="39" spans="1:2" x14ac:dyDescent="0.2">
      <c r="A39" s="4" t="s">
        <v>129</v>
      </c>
      <c r="B39" s="5">
        <v>180</v>
      </c>
    </row>
    <row r="40" spans="1:2" x14ac:dyDescent="0.2">
      <c r="A40" s="4" t="s">
        <v>130</v>
      </c>
      <c r="B40" s="5">
        <v>180</v>
      </c>
    </row>
    <row r="41" spans="1:2" x14ac:dyDescent="0.2">
      <c r="A41" s="4" t="s">
        <v>131</v>
      </c>
      <c r="B41" s="5">
        <v>120</v>
      </c>
    </row>
    <row r="42" spans="1:2" x14ac:dyDescent="0.2">
      <c r="A42" s="4" t="s">
        <v>132</v>
      </c>
      <c r="B42" s="5">
        <v>180</v>
      </c>
    </row>
    <row r="43" spans="1:2" x14ac:dyDescent="0.2">
      <c r="A43" s="4" t="s">
        <v>133</v>
      </c>
      <c r="B43" s="5">
        <v>180</v>
      </c>
    </row>
    <row r="44" spans="1:2" x14ac:dyDescent="0.2">
      <c r="A44" s="4" t="s">
        <v>134</v>
      </c>
      <c r="B44" s="5">
        <v>160</v>
      </c>
    </row>
    <row r="45" spans="1:2" x14ac:dyDescent="0.2">
      <c r="A45" s="4" t="s">
        <v>135</v>
      </c>
      <c r="B45" s="5">
        <v>180</v>
      </c>
    </row>
    <row r="46" spans="1:2" x14ac:dyDescent="0.2">
      <c r="A46" s="4" t="s">
        <v>136</v>
      </c>
      <c r="B46" s="5">
        <v>180</v>
      </c>
    </row>
    <row r="47" spans="1:2" x14ac:dyDescent="0.2">
      <c r="A47" s="4" t="s">
        <v>137</v>
      </c>
      <c r="B47" s="5">
        <v>160</v>
      </c>
    </row>
    <row r="48" spans="1:2" x14ac:dyDescent="0.2">
      <c r="A48" s="4" t="s">
        <v>138</v>
      </c>
      <c r="B48" s="5">
        <v>160</v>
      </c>
    </row>
    <row r="49" spans="1:2" x14ac:dyDescent="0.2">
      <c r="A49" s="4" t="s">
        <v>139</v>
      </c>
      <c r="B49" s="5">
        <v>180</v>
      </c>
    </row>
    <row r="50" spans="1:2" x14ac:dyDescent="0.2">
      <c r="A50" s="4" t="s">
        <v>140</v>
      </c>
      <c r="B50" s="5">
        <v>180</v>
      </c>
    </row>
    <row r="51" spans="1:2" x14ac:dyDescent="0.2">
      <c r="A51" s="4" t="s">
        <v>141</v>
      </c>
      <c r="B51" s="5">
        <v>160</v>
      </c>
    </row>
    <row r="52" spans="1:2" x14ac:dyDescent="0.2">
      <c r="A52" s="4" t="s">
        <v>142</v>
      </c>
      <c r="B52" s="5">
        <v>180</v>
      </c>
    </row>
    <row r="53" spans="1:2" x14ac:dyDescent="0.2">
      <c r="A53" s="4" t="s">
        <v>143</v>
      </c>
      <c r="B53" s="5">
        <v>180</v>
      </c>
    </row>
    <row r="54" spans="1:2" x14ac:dyDescent="0.2">
      <c r="A54" s="4" t="s">
        <v>144</v>
      </c>
      <c r="B54" s="5">
        <v>180</v>
      </c>
    </row>
    <row r="55" spans="1:2" x14ac:dyDescent="0.2">
      <c r="A55" s="4" t="s">
        <v>145</v>
      </c>
      <c r="B55" s="5"/>
    </row>
    <row r="56" spans="1:2" x14ac:dyDescent="0.2">
      <c r="A56" s="4" t="s">
        <v>146</v>
      </c>
      <c r="B56" s="5">
        <v>340</v>
      </c>
    </row>
    <row r="57" spans="1:2" x14ac:dyDescent="0.2">
      <c r="A57" s="4" t="s">
        <v>147</v>
      </c>
      <c r="B57" s="5">
        <v>150</v>
      </c>
    </row>
    <row r="58" spans="1:2" x14ac:dyDescent="0.2">
      <c r="A58" s="4" t="s">
        <v>148</v>
      </c>
      <c r="B58" s="5">
        <v>100</v>
      </c>
    </row>
    <row r="59" spans="1:2" x14ac:dyDescent="0.2">
      <c r="A59" s="4" t="s">
        <v>149</v>
      </c>
      <c r="B59" s="5">
        <v>90</v>
      </c>
    </row>
    <row r="60" spans="1:2" x14ac:dyDescent="0.2">
      <c r="A60" s="4" t="s">
        <v>150</v>
      </c>
      <c r="B60" s="5">
        <v>100</v>
      </c>
    </row>
    <row r="61" spans="1:2" x14ac:dyDescent="0.2">
      <c r="A61" s="4" t="s">
        <v>151</v>
      </c>
      <c r="B61" s="5">
        <v>1450</v>
      </c>
    </row>
    <row r="62" spans="1:2" x14ac:dyDescent="0.2">
      <c r="A62" s="4" t="s">
        <v>152</v>
      </c>
      <c r="B62" s="5">
        <v>210</v>
      </c>
    </row>
    <row r="63" spans="1:2" x14ac:dyDescent="0.2">
      <c r="A63" s="6" t="s">
        <v>2</v>
      </c>
      <c r="B63" s="7">
        <f>SUM(B3:B62)</f>
        <v>25570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599E-CA8E-408A-A5DE-754202AA42F1}">
  <dimension ref="A1:B9"/>
  <sheetViews>
    <sheetView zoomScaleNormal="100" workbookViewId="0">
      <selection activeCell="A3" sqref="A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181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4"/>
      <c r="B6" s="5"/>
    </row>
    <row r="7" spans="1:2" x14ac:dyDescent="0.2">
      <c r="A7" s="4"/>
      <c r="B7" s="5"/>
    </row>
    <row r="8" spans="1:2" x14ac:dyDescent="0.2">
      <c r="A8" s="4"/>
      <c r="B8" s="5"/>
    </row>
    <row r="9" spans="1:2" x14ac:dyDescent="0.2">
      <c r="A9" s="6" t="s">
        <v>2</v>
      </c>
      <c r="B9" s="7">
        <f>SUM(B2:B8)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432A-9B19-40A1-8B32-9AF2D66D94D4}">
  <dimension ref="A1:D7"/>
  <sheetViews>
    <sheetView workbookViewId="0">
      <selection activeCell="C11" sqref="C11"/>
    </sheetView>
  </sheetViews>
  <sheetFormatPr baseColWidth="10" defaultRowHeight="14.4" x14ac:dyDescent="0.3"/>
  <cols>
    <col min="1" max="1" width="7.44140625" bestFit="1" customWidth="1"/>
    <col min="2" max="2" width="14" bestFit="1" customWidth="1"/>
    <col min="3" max="3" width="55.6640625" customWidth="1"/>
    <col min="4" max="4" width="9.109375" bestFit="1" customWidth="1"/>
  </cols>
  <sheetData>
    <row r="1" spans="1:4" ht="15" thickBot="1" x14ac:dyDescent="0.35">
      <c r="A1" s="42" t="s">
        <v>182</v>
      </c>
      <c r="B1" s="43" t="s">
        <v>183</v>
      </c>
      <c r="C1" s="43" t="s">
        <v>184</v>
      </c>
      <c r="D1" s="44" t="s">
        <v>1</v>
      </c>
    </row>
    <row r="2" spans="1:4" ht="15.6" thickTop="1" thickBot="1" x14ac:dyDescent="0.35">
      <c r="A2" s="45" t="s">
        <v>185</v>
      </c>
      <c r="B2" s="46" t="s">
        <v>186</v>
      </c>
      <c r="C2" s="46" t="s">
        <v>187</v>
      </c>
      <c r="D2" s="47">
        <v>4692</v>
      </c>
    </row>
    <row r="3" spans="1:4" ht="15" thickTop="1" x14ac:dyDescent="0.3">
      <c r="A3" s="48" t="s">
        <v>2</v>
      </c>
      <c r="B3" s="49"/>
      <c r="C3" s="49"/>
      <c r="D3" s="50">
        <v>4692</v>
      </c>
    </row>
    <row r="6" spans="1:4" x14ac:dyDescent="0.3">
      <c r="B6" s="51"/>
    </row>
    <row r="7" spans="1:4" x14ac:dyDescent="0.3">
      <c r="C7" s="62" t="s">
        <v>220</v>
      </c>
      <c r="D7" s="63">
        <f>D3+'Ingresos investigación 2019'!B63</f>
        <v>30262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zoomScaleNormal="100" workbookViewId="0">
      <selection activeCell="B11" sqref="B1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153</v>
      </c>
      <c r="B2" s="5"/>
    </row>
    <row r="3" spans="1:2" x14ac:dyDescent="0.2">
      <c r="A3" s="4" t="s">
        <v>154</v>
      </c>
      <c r="B3" s="5">
        <v>1020</v>
      </c>
    </row>
    <row r="4" spans="1:2" x14ac:dyDescent="0.2">
      <c r="A4" s="4" t="s">
        <v>155</v>
      </c>
      <c r="B4" s="5"/>
    </row>
    <row r="5" spans="1:2" x14ac:dyDescent="0.2">
      <c r="A5" s="4" t="s">
        <v>156</v>
      </c>
      <c r="B5" s="5">
        <v>758.23</v>
      </c>
    </row>
    <row r="6" spans="1:2" x14ac:dyDescent="0.2">
      <c r="A6" s="4" t="s">
        <v>157</v>
      </c>
      <c r="B6" s="5">
        <v>3520.44</v>
      </c>
    </row>
    <row r="7" spans="1:2" x14ac:dyDescent="0.2">
      <c r="A7" s="6" t="s">
        <v>2</v>
      </c>
      <c r="B7" s="7">
        <f>SUM(B3:B6)</f>
        <v>5298.67</v>
      </c>
    </row>
    <row r="11" spans="1:2" x14ac:dyDescent="0.2">
      <c r="B11" s="39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A1FF-33E4-4A34-ABF6-10F8980E3111}">
  <dimension ref="A1:B8"/>
  <sheetViews>
    <sheetView zoomScaleNormal="100" workbookViewId="0">
      <selection activeCell="B12" sqref="B12"/>
    </sheetView>
  </sheetViews>
  <sheetFormatPr baseColWidth="10" defaultColWidth="11.44140625" defaultRowHeight="10.199999999999999" x14ac:dyDescent="0.2"/>
  <cols>
    <col min="1" max="1" width="100.6640625" style="1" customWidth="1"/>
    <col min="2" max="2" width="11.44140625" style="39"/>
    <col min="3" max="16384" width="11.44140625" style="1"/>
  </cols>
  <sheetData>
    <row r="1" spans="1:2" ht="20.399999999999999" x14ac:dyDescent="0.2">
      <c r="A1" s="2" t="s">
        <v>0</v>
      </c>
      <c r="B1" s="38" t="s">
        <v>1</v>
      </c>
    </row>
    <row r="2" spans="1:2" x14ac:dyDescent="0.2">
      <c r="A2" s="40" t="s">
        <v>177</v>
      </c>
      <c r="B2" s="7"/>
    </row>
    <row r="3" spans="1:2" x14ac:dyDescent="0.2">
      <c r="A3" s="41" t="s">
        <v>178</v>
      </c>
      <c r="B3" s="5">
        <v>2330</v>
      </c>
    </row>
    <row r="4" spans="1:2" x14ac:dyDescent="0.2">
      <c r="A4" s="41" t="s">
        <v>179</v>
      </c>
      <c r="B4" s="5">
        <v>100</v>
      </c>
    </row>
    <row r="5" spans="1:2" x14ac:dyDescent="0.2">
      <c r="A5" s="40" t="s">
        <v>155</v>
      </c>
      <c r="B5" s="7"/>
    </row>
    <row r="6" spans="1:2" x14ac:dyDescent="0.2">
      <c r="A6" s="41" t="s">
        <v>180</v>
      </c>
      <c r="B6" s="5">
        <v>1232.3699999999999</v>
      </c>
    </row>
    <row r="7" spans="1:2" x14ac:dyDescent="0.2">
      <c r="A7" s="41" t="s">
        <v>157</v>
      </c>
      <c r="B7" s="5">
        <v>12960.039999999999</v>
      </c>
    </row>
    <row r="8" spans="1:2" x14ac:dyDescent="0.2">
      <c r="A8" s="6" t="s">
        <v>2</v>
      </c>
      <c r="B8" s="7">
        <f>SUM(B2:B7)</f>
        <v>16622.41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4715-0DE7-4142-A2F5-7EF8A7138751}">
  <dimension ref="A1:B11"/>
  <sheetViews>
    <sheetView workbookViewId="0">
      <selection activeCell="A17" sqref="A17"/>
    </sheetView>
  </sheetViews>
  <sheetFormatPr baseColWidth="10" defaultRowHeight="14.4" x14ac:dyDescent="0.3"/>
  <cols>
    <col min="1" max="1" width="96" bestFit="1" customWidth="1"/>
  </cols>
  <sheetData>
    <row r="1" spans="1:2" ht="21.6" x14ac:dyDescent="0.3">
      <c r="A1" s="2" t="s">
        <v>0</v>
      </c>
      <c r="B1" s="38" t="s">
        <v>1</v>
      </c>
    </row>
    <row r="2" spans="1:2" x14ac:dyDescent="0.3">
      <c r="A2" s="40" t="s">
        <v>188</v>
      </c>
      <c r="B2" s="7"/>
    </row>
    <row r="3" spans="1:2" x14ac:dyDescent="0.3">
      <c r="A3" s="41"/>
      <c r="B3" s="5"/>
    </row>
    <row r="4" spans="1:2" x14ac:dyDescent="0.3">
      <c r="A4" s="41"/>
      <c r="B4" s="5"/>
    </row>
    <row r="5" spans="1:2" x14ac:dyDescent="0.3">
      <c r="A5" s="40"/>
      <c r="B5" s="7"/>
    </row>
    <row r="6" spans="1:2" x14ac:dyDescent="0.3">
      <c r="A6" s="41"/>
      <c r="B6" s="5"/>
    </row>
    <row r="7" spans="1:2" x14ac:dyDescent="0.3">
      <c r="A7" s="41"/>
      <c r="B7" s="5"/>
    </row>
    <row r="8" spans="1:2" x14ac:dyDescent="0.3">
      <c r="A8" s="6" t="s">
        <v>2</v>
      </c>
      <c r="B8" s="7">
        <f>SUM(B2:B7)</f>
        <v>0</v>
      </c>
    </row>
    <row r="11" spans="1:2" x14ac:dyDescent="0.3">
      <c r="A11" s="60" t="s">
        <v>219</v>
      </c>
      <c r="B11" s="61">
        <f>B8+'Ingresos formación 2020'!B8+'Ingresos formación 2019'!B7</f>
        <v>21921.08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2022-10-18T15:11:54Z</dcterms:modified>
</cp:coreProperties>
</file>