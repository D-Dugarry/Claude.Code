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H:\Mi unidad\Presupuestación\Presupuesto 2023\Departamentos\Departamentos\"/>
    </mc:Choice>
  </mc:AlternateContent>
  <xr:revisionPtr revIDLastSave="0" documentId="13_ncr:1_{B2F3E501-5FA3-4323-91C2-A5E00DFBE5B5}" xr6:coauthVersionLast="47" xr6:coauthVersionMax="47" xr10:uidLastSave="{00000000-0000-0000-0000-000000000000}"/>
  <bookViews>
    <workbookView xWindow="22932" yWindow="-108" windowWidth="23256" windowHeight="12456" xr2:uid="{00000000-000D-0000-FFFF-FFFF00000000}"/>
  </bookViews>
  <sheets>
    <sheet name="Tesis" sheetId="5" r:id="rId1"/>
    <sheet name="Sexenios" sheetId="6" r:id="rId2"/>
    <sheet name="Ingresos investigación 2019" sheetId="9" r:id="rId3"/>
    <sheet name="Ingresos investigación 2020" sheetId="12" r:id="rId4"/>
    <sheet name="Ingresos investigación 2021" sheetId="13" r:id="rId5"/>
    <sheet name="Ingresos formación 2019" sheetId="10" r:id="rId6"/>
    <sheet name="Ingresos formación 2020" sheetId="11" r:id="rId7"/>
    <sheet name="Ingresos formación 2021" sheetId="14" r:id="rId8"/>
  </sheets>
  <definedNames>
    <definedName name="_xlnm._FilterDatabase" localSheetId="1" hidden="1">Sexenios!$A$1:$S$31</definedName>
    <definedName name="_xlnm._FilterDatabase" localSheetId="0" hidden="1">Tesis!$A$1:$U$1</definedName>
    <definedName name="_xlnm.Print_Titles" localSheetId="1">Sexenios!$1:$1</definedName>
    <definedName name="_xlnm.Print_Titles" localSheetId="0">Tesis!$D:$D,Tesis!$1:$1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6" i="6" l="1"/>
  <c r="S58" i="5" l="1"/>
  <c r="B8" i="11" l="1"/>
  <c r="B8" i="12"/>
  <c r="B6" i="10" l="1"/>
  <c r="C11" i="14" s="1"/>
  <c r="B14" i="9"/>
  <c r="C6" i="13" s="1"/>
</calcChain>
</file>

<file path=xl/sharedStrings.xml><?xml version="1.0" encoding="utf-8"?>
<sst xmlns="http://schemas.openxmlformats.org/spreadsheetml/2006/main" count="1180" uniqueCount="326">
  <si>
    <t>Orgánica
Descripción justificante</t>
  </si>
  <si>
    <t>Importe</t>
  </si>
  <si>
    <t>Total</t>
  </si>
  <si>
    <t>30.70.6P.00.10</t>
  </si>
  <si>
    <t>30.70.6P.00.14</t>
  </si>
  <si>
    <t>30.70.6P.00.15</t>
  </si>
  <si>
    <t>C.D.</t>
  </si>
  <si>
    <t>Departamento</t>
  </si>
  <si>
    <t>Plan</t>
  </si>
  <si>
    <t>Alumno</t>
  </si>
  <si>
    <t>Tesis</t>
  </si>
  <si>
    <t>Fecha</t>
  </si>
  <si>
    <t>Tutor</t>
  </si>
  <si>
    <t>Rol</t>
  </si>
  <si>
    <t>C.DEP.</t>
  </si>
  <si>
    <t>Departamento Tutor</t>
  </si>
  <si>
    <t>ASIGNACIÓN</t>
  </si>
  <si>
    <t>DEP.ASIG.</t>
  </si>
  <si>
    <t>EJERCICIO</t>
  </si>
  <si>
    <t>INS 1</t>
  </si>
  <si>
    <t>DED INS 1</t>
  </si>
  <si>
    <t>INS 2</t>
  </si>
  <si>
    <t>DED INS 2</t>
  </si>
  <si>
    <t>DED DEP</t>
  </si>
  <si>
    <t>TDOC DEP</t>
  </si>
  <si>
    <t>TDOC INST 1</t>
  </si>
  <si>
    <t>TDOC INST 2</t>
  </si>
  <si>
    <t>Codirector de tesis </t>
  </si>
  <si>
    <t>50</t>
  </si>
  <si>
    <t/>
  </si>
  <si>
    <t>Director de tesis </t>
  </si>
  <si>
    <t>10</t>
  </si>
  <si>
    <t>28/06/2019 </t>
  </si>
  <si>
    <t>90</t>
  </si>
  <si>
    <t>- </t>
  </si>
  <si>
    <t>26/09/2017 </t>
  </si>
  <si>
    <t>12/07/2017 </t>
  </si>
  <si>
    <t>19/07/2017 </t>
  </si>
  <si>
    <t>20/07/2018 </t>
  </si>
  <si>
    <t>28/03/2017 </t>
  </si>
  <si>
    <t>10.25</t>
  </si>
  <si>
    <t>30</t>
  </si>
  <si>
    <t>20</t>
  </si>
  <si>
    <t>11/07/2017 </t>
  </si>
  <si>
    <t>21/07/2017 </t>
  </si>
  <si>
    <t>14/07/2017 </t>
  </si>
  <si>
    <t>10.15</t>
  </si>
  <si>
    <t>U023 </t>
  </si>
  <si>
    <t>ADM. FACULTAD DE FILOSOFIA Y LETRAS </t>
  </si>
  <si>
    <t>DOCTORADO EN METODOLOGÍAS HUMANÍSTICAS EN LA ERA DIGITAL </t>
  </si>
  <si>
    <t>10.23</t>
  </si>
  <si>
    <t>B115 </t>
  </si>
  <si>
    <t>FILOL. ESPAÑOLA, LINGÜÍSTICA GENERAL Y TEORIA DE LA LITERATURA </t>
  </si>
  <si>
    <t>DOCTORADO EN FILOSOFÍA Y LETRAS </t>
  </si>
  <si>
    <t>DOCTORADO EN ESTUDIOS LITERARIOS </t>
  </si>
  <si>
    <t>Sánchez Lozano, Carlos </t>
  </si>
  <si>
    <t>EL TRATAMIENTO DE LA ENFERMEDAD Y DE LA SALUD COMO PARADIGMA EN LA NOVELA ESPAÑOLA Y ALEMANA MODERNA: PÍO BAROJA (1872-1956) Y THOMAS MANN (1875-1955) </t>
  </si>
  <si>
    <t>11/09/2017 </t>
  </si>
  <si>
    <t>Ramírez Munuera, Francisco </t>
  </si>
  <si>
    <t>GEOGRAFÍA CULTURAL Y LENGUAJE: ESTUDIO DEL SURESTE DE ESPAÑA </t>
  </si>
  <si>
    <t>17/09/2019 </t>
  </si>
  <si>
    <t>21352118E </t>
  </si>
  <si>
    <t>B115</t>
  </si>
  <si>
    <t>22440772V </t>
  </si>
  <si>
    <t>79100521W </t>
  </si>
  <si>
    <t>74084767L </t>
  </si>
  <si>
    <t>21354984J </t>
  </si>
  <si>
    <t>21410603H </t>
  </si>
  <si>
    <t>DOCTORADO EN ESPAÑOL E INGLÉS COMO SEGUNDAS LEN. (L2) / LEN. EXTRANJ. (LE) </t>
  </si>
  <si>
    <t>29008698V </t>
  </si>
  <si>
    <t>21442493F </t>
  </si>
  <si>
    <t>21332614E </t>
  </si>
  <si>
    <t>05150725J </t>
  </si>
  <si>
    <t>Ballester Pardo, Ignacio </t>
  </si>
  <si>
    <t>LA DIMENSIÓN CÍVICA EN LA POESÍA MEXICANA DESDE 1960: HERENCIA, TRADICIÓN Y RENOVACIÓN EN LA OBRA DE VICENTE QUIRARTE </t>
  </si>
  <si>
    <t>Bejarano Garzón, Hugo De Jesús </t>
  </si>
  <si>
    <t>ANÁLISIS SOCIOLINGÜÍSTICO SOBRE EL MULTILINGÜISMO SOCIAL EN LA COMUNIDAD DE HABLA INDÍGENA TICUNA (BRASIL) </t>
  </si>
  <si>
    <t>30/06/2017 </t>
  </si>
  <si>
    <t>21493564H </t>
  </si>
  <si>
    <t>De Torres Bustos, Francisco Javier </t>
  </si>
  <si>
    <t>INQUISICIÓN Y MESIANISMO EN LA DECLARACIÓN DE APOCALIPSI DE FRAY FRANCISCO DE LA CRUZ: GÉNESIS DE UNA UTOPÍA ANDIONAMERICANA EN EL PERÚ DEL S. XVI </t>
  </si>
  <si>
    <t>Fernández Muñoz, Demetrio </t>
  </si>
  <si>
    <t>CLAVES DE LA AFORÍSTICA ESPAÑOLA: CONCEPCIÓN DEL GÉNERO, TRADICIÓN LITERARIA Y ECLOSIÓN EN LA POSMODERNIDAD </t>
  </si>
  <si>
    <t>07809701M </t>
  </si>
  <si>
    <t>Gallor Guarin, Jorge Orlando </t>
  </si>
  <si>
    <t>JUAN DE VALDÉS Y EL "DIÁLOGO DE DOCTRINA CRISTIANA". UN ESTUDIO DE RETÓRICA CULTURAL </t>
  </si>
  <si>
    <t>10/01/2017 </t>
  </si>
  <si>
    <t>33475941Q </t>
  </si>
  <si>
    <t>22119425A </t>
  </si>
  <si>
    <t>Gil del Moral, Ana María </t>
  </si>
  <si>
    <t>APRENDIZAJE DE ESPAÑOL ACADÉMICO POR ALUMNADO DE MOVILIDAD INTERNACIONAL EN LA UNIVERSIDAD DE ALICANTE </t>
  </si>
  <si>
    <t>13/07/2017 </t>
  </si>
  <si>
    <t>Jacobo Egea, Alejandro </t>
  </si>
  <si>
    <t>POESÍA SATÍRICO-BURLESCA BARROCA EN NUEVA ESPAÑA (1582-1695) ESTUDIO Y EDICIÓN CRÍTICA </t>
  </si>
  <si>
    <t>Li , Hui </t>
  </si>
  <si>
    <t>ANÁLISIS DE EXPRESIÓN ESCRITA DE LOS ESTUDIANTES CHINOS EN SU APRENDIZAJE DE ELE BASADO EN LA TEORÍA DE GÉNERO: ACTUALIDAD Y FUTURO </t>
  </si>
  <si>
    <t>19/12/2016 </t>
  </si>
  <si>
    <t>Mendoza Gamiño, Alejandro Silvestre </t>
  </si>
  <si>
    <t>LOS SABERES DE LA ERA DIGITAL: APRENDIZAJE, NUEVAS TECNOLOGÍAS Y ARTES EXPRESIVAS (ESTUIDO TEÓRICO Y APLICACIÓN PRÁCTICA) </t>
  </si>
  <si>
    <t>Pandor , Jillian Michelle </t>
  </si>
  <si>
    <t>INTEGRACIÓN ACADÉMICA DEL ALUMNADO ESTADOUNIDENSE EN LA UNIVERSIDAD ESPAÑOLA: EL CHOQUE LINGÜÍSTICO Y CULTURAL </t>
  </si>
  <si>
    <t>Paquet , Pierre-Luc </t>
  </si>
  <si>
    <t>INFLUENCIA DE LAS PROPIEDADES DE LA L1 Y DEL NIVEL DE COMPETENCIA EN LA ADQUISICIÓN DE LA CONCORDANCIA DE GÉNERO: UNA COMPARACIÓN ENTRE ESTUDIANTES FRANCÓFONOS Y ANGLÓFONOS DE ESPAÑOL L2 </t>
  </si>
  <si>
    <t>Quirante Amores, Gabriela </t>
  </si>
  <si>
    <t>LA NOVELA HISTÓRICA ESCRITA POR MUJERES EN CENTROAMÉRICA DURANTE LA PRIMERA MITAD DEL SIGLO XX </t>
  </si>
  <si>
    <t>21473357M </t>
  </si>
  <si>
    <t>Trigueros Martínez, Marcelino </t>
  </si>
  <si>
    <t>PERSECUCIÓN INQUISITORIAL DEL LIBRO EN EL XVIII NOVOHISPANO: EL CASO DEL CORONEL AGUSTÍN BEVEN (1767-1797) </t>
  </si>
  <si>
    <t>27/01/2017 </t>
  </si>
  <si>
    <t>Gerbino , Lucia </t>
  </si>
  <si>
    <t>LA MEDIACIÓN EDUCATIVA DE JUAN LUIS VIVES. UN ESTUDIO COMPARATIVO DE LAS RELACIONES ENTRE HUMANISMO Y FILOSOFÍA DESDE LA SEGUNDA MITAD DEL SIGLO XV HASTA LA PRIMERA MITAD DEL SIGLO XVI EN EUROPA </t>
  </si>
  <si>
    <t>13/04/2018 </t>
  </si>
  <si>
    <t>Moreno Alcaraz, Rosa </t>
  </si>
  <si>
    <t>JUAN BAUTISTA ALBERDI EN LA ENCRUCIJADA DEL ROMANTICISMO ESPAÑOL E HISPANOAMERICANO: LAS HUELLAS DE MARIANO JOSÉ DE LARRA EN LA OBRA PERIODÍSTICA DE FIGARILLO </t>
  </si>
  <si>
    <t>10/07/2018 </t>
  </si>
  <si>
    <t>Payá Rico, Juan José </t>
  </si>
  <si>
    <t>LA FORJA DE UN PERIODISTA. AZORÍN (1891-1906) </t>
  </si>
  <si>
    <t>28/06/2018 </t>
  </si>
  <si>
    <t>Ramírez Sepúlveda, Daniela Soledad </t>
  </si>
  <si>
    <t>LA VOZ DE LAS MUJERES Y SU SIGNIFICADO EN LA OBRA POÉTIVA DE LUDWIG ZELLER </t>
  </si>
  <si>
    <t>Ruiz Cáceres, Rocío Del Mar </t>
  </si>
  <si>
    <t>LITERATURA Y MODA EN LA ESPAÑA FINISECULAR DEL SIGLO XVIII Y CENTURIA DEL XIX </t>
  </si>
  <si>
    <t>04/07/2018 </t>
  </si>
  <si>
    <t>Cacciola , Anna </t>
  </si>
  <si>
    <t>LENGUAJES BÍBLICO E IDENTIDAD DE MUJER EN CARMEN CONDE. MIENTRAS LOS HOMBRES MUEREN Y MUJER SIN EDÉN EN LA POESÍA FEMENINA ESPAÑOLA DE LA PRIMERA MITAD DEL SIGLO XX </t>
  </si>
  <si>
    <t>26/09/2019 </t>
  </si>
  <si>
    <t>Dida Nopogwo, Baudelaire </t>
  </si>
  <si>
    <t>ANÁLISIS DE ERRORES EN LA ADQUISICIÓN DEL MODO SUBJUNTIVO POR LOS ESTUDIANTES FRANCÓFONOS DE ESPAÑOL COMO LENGUA EXTRANJERA </t>
  </si>
  <si>
    <t>18/07/2019 </t>
  </si>
  <si>
    <t>Mombelli , Davide </t>
  </si>
  <si>
    <t>LA TRADICIÓN HISPANO-ITALIANA MODERNA, LA ESTÉTICA Y BENEDETTO CROCE </t>
  </si>
  <si>
    <t>05/09/2019 </t>
  </si>
  <si>
    <t>Moreno Sánchez, José Javier </t>
  </si>
  <si>
    <t>ANÁLISIS (CRÍTICO) DEL DISCURSO LEGISLATIVO EN MATERIA DE EDUCACIÓN EN EL ESTADO ESPAÑOL DESDE UNA PERSPECTIVA QUEER </t>
  </si>
  <si>
    <t>28/11/2018 </t>
  </si>
  <si>
    <t>Rodríguez García, Maria Rita </t>
  </si>
  <si>
    <t>CATALOGACIÓN Y ANÁLISIS DE LA COLECCIÓN EL CLUB DE LA SONRISA (1955-1960), DE LA EDITORIAL TAURUS </t>
  </si>
  <si>
    <t>26/02/2019 </t>
  </si>
  <si>
    <t>ZURRÓN RODRÍGUEZ, Mª ELENA </t>
  </si>
  <si>
    <t>POETAS PERUANOS DE LA GENERACIÓN DEL 60. POESÍA DE CORTE DEMOCRÁTICO Y SOCIAL Y SU EVOLUCIÓN A LA NEO-VANGUARDIA </t>
  </si>
  <si>
    <t>NIF</t>
  </si>
  <si>
    <t>NOMBRE_COMPLETO</t>
  </si>
  <si>
    <t>TIPO_SEXENIO</t>
  </si>
  <si>
    <t>Total general</t>
  </si>
  <si>
    <t>INS
1</t>
  </si>
  <si>
    <t>DED
INS 1</t>
  </si>
  <si>
    <t>INS
2</t>
  </si>
  <si>
    <t>DED
INS 2</t>
  </si>
  <si>
    <t>DED
DEP</t>
  </si>
  <si>
    <t>SEX
INS 1</t>
  </si>
  <si>
    <t>SEX
INS 2</t>
  </si>
  <si>
    <t>SEX
DEP</t>
  </si>
  <si>
    <t>FUNCIONARIO</t>
  </si>
  <si>
    <t>NO FUNCIONARIO</t>
  </si>
  <si>
    <t>74084767L</t>
  </si>
  <si>
    <t>ALEMANY BAY, CARMEN</t>
  </si>
  <si>
    <t>44752168X</t>
  </si>
  <si>
    <t>ALVARADO ORTEGA, MARIA BELEN</t>
  </si>
  <si>
    <t>21485505D</t>
  </si>
  <si>
    <t>ARACIL VARON, BEATRIZ</t>
  </si>
  <si>
    <t>22440772V</t>
  </si>
  <si>
    <t>AULLON DE HARO, PEDRO</t>
  </si>
  <si>
    <t>21375346C</t>
  </si>
  <si>
    <t>AZORIN FERNANDEZ, DOLORES</t>
  </si>
  <si>
    <t>09351665A</t>
  </si>
  <si>
    <t>BAÑOS VALLEJO, FERNANDO JUAN</t>
  </si>
  <si>
    <t>48341145K</t>
  </si>
  <si>
    <t>BARRAJON LOPEZ, ELISA</t>
  </si>
  <si>
    <t>22119425A</t>
  </si>
  <si>
    <t>CHICO RICO, FRANCISCO</t>
  </si>
  <si>
    <t>05150725J</t>
  </si>
  <si>
    <t>CIFUENTES HONRUBIA, JOSE LUIS</t>
  </si>
  <si>
    <t>21473357M</t>
  </si>
  <si>
    <t>ESTABLIER PEREZ, HELENA</t>
  </si>
  <si>
    <t>33496411Q</t>
  </si>
  <si>
    <t>33475941Q</t>
  </si>
  <si>
    <t>FERRI COLL, JOSE MARIA</t>
  </si>
  <si>
    <t>53145504W</t>
  </si>
  <si>
    <t>GALINDO MERINO, MARIA DEL MAR</t>
  </si>
  <si>
    <t>48561783C</t>
  </si>
  <si>
    <t>LAVALE ORTIZ, RUTH MARIA</t>
  </si>
  <si>
    <t>21442493F</t>
  </si>
  <si>
    <t>MARIMON LLORCA, MARIA DEL CARMEN</t>
  </si>
  <si>
    <t>22121930R</t>
  </si>
  <si>
    <t>MARTINEZ EGIDO, JOSE JOAQUIN</t>
  </si>
  <si>
    <t>21378697J</t>
  </si>
  <si>
    <t>MARTINEZ LINARES, MARIA ANTONIA</t>
  </si>
  <si>
    <t>21478328P</t>
  </si>
  <si>
    <t>MATAIX AZUAR, REMEDIOS</t>
  </si>
  <si>
    <t>27325285C</t>
  </si>
  <si>
    <t>NAVARRO CARRASCO, ANA ISABEL</t>
  </si>
  <si>
    <t>29162329P</t>
  </si>
  <si>
    <t>PADILLA GARCIA, JOSE ANTONIO</t>
  </si>
  <si>
    <t>29008698V</t>
  </si>
  <si>
    <t>PASTOR CESTEROS, SUSANA</t>
  </si>
  <si>
    <t>07809701M</t>
  </si>
  <si>
    <t>PRIETO DE PAULA, ANGEL LUIS</t>
  </si>
  <si>
    <t>21410603H</t>
  </si>
  <si>
    <t>RIOS CARRATALA, JUAN ANTONIO</t>
  </si>
  <si>
    <t>45568488Z</t>
  </si>
  <si>
    <t>RODRIGUEZ ROSIQUE, SUSANA</t>
  </si>
  <si>
    <t>52747327R</t>
  </si>
  <si>
    <t>RUIZ GURILLO, LEONOR</t>
  </si>
  <si>
    <t>25128914B</t>
  </si>
  <si>
    <t>SANTAMARIA PEREZ, MARIA ISABEL</t>
  </si>
  <si>
    <t>46085014Y</t>
  </si>
  <si>
    <t>TIMOFEEVA TIMOFEEV, LARISSA</t>
  </si>
  <si>
    <t>20418903D</t>
  </si>
  <si>
    <t>TORTOSA GARRIGOS, VIRGILIO ALBERTO</t>
  </si>
  <si>
    <t>79100521W</t>
  </si>
  <si>
    <t>VALERO JUAN, EVA MARIA</t>
  </si>
  <si>
    <t>EJERCICIOS CERRADOS . ABONO PARCIAL DE LA FACTURA 09180252634C DEL 2018 POR RECLAMACION DE LA USUARIA LARISSA TIMOFEEVA jte 47086/2018</t>
  </si>
  <si>
    <t>FLIB 30/08/19. PROYECTOS EXCELENCIA I+D+I 2016. ANUAL 2019 PROYECTOS I+D (PIA 1)  N EXPEDIENTE: PIA 12016 - 1 - 4 ANUALIDAD REFERENCIA: FFI2016. REFERENCIA DEL ORDENANTE PARA EL BENEFICIARIO: 27402219310028526.</t>
  </si>
  <si>
    <t>FLIB 18/03/19. PROYECTOS I+D+I RETOS 2017. ANUAL 2019. UNIV2 PROYECTOS I+D RETOS (PIA13) N EXPEDIENTE: PIA132017-1 - 2 ANUALIDAD REFERENCI. REF. ORDENANTE: 27402219310014391.</t>
  </si>
  <si>
    <t>LIBERADOS EL 18/03/19, ANUALIDAD 2019 PROYECTOS I+D (PIA1) N EXPEDIENTE: PIA12017-1 -2 ANUALIDAD REFERENCIA: FFI2017-88310-P. REF. ORDENANTE: 27402219310015474.</t>
  </si>
  <si>
    <t>30.70.6P.00.16</t>
  </si>
  <si>
    <t xml:space="preserve">SUBVENCIONES REALIZACIÓN PROYECTOS I+D+I GRUPOS EMERGENTES GV/2018.2ªANUALIDAD </t>
  </si>
  <si>
    <t>30.70.6P.00.18</t>
  </si>
  <si>
    <t>PARA EL PAGO DE LA ANUALIDAD 2019. PROYECTOS I+D (PIA 1) N EXPEDIENTE: PIA12018 - 1 - 1 ANUALIDAD REFERENCIA: PGC2018 - 098126 - B I00. REFERENCIA DEL ORDENANTE PARA EL BENEFICIARIO: 00173219310010727 - 2019/009182</t>
  </si>
  <si>
    <t>PARA PAGO ANUALIDAD 2019 CONVOCATORIA PGC 2018 PROYECTOS I+D (PIA1) N EXPEDIENTE: PIA 12018-1 -1 ANUALIDAD REFERENCIA: PGC2018 - 098126 - B- 10. REFERENCIA DEL ORDENANTE PARA EL BENEFICIARIO:27402219310024878</t>
  </si>
  <si>
    <t>30.70.2T.00.04</t>
  </si>
  <si>
    <t>Liquidación  PLAN G546 curso ''CURS DE LINGÜÍSTICA UNIVERSITAT D'ALACANT. LA DIACRONIA'' ORDEN 5380</t>
  </si>
  <si>
    <t>30.70.2T.00.08</t>
  </si>
  <si>
    <t>Liquidación  PLAN GE31 curso ''FUNDAMENTOS DE METODOLOGÍA CIENTÍFICA Y REDACCIÓN EN EL ÁMBITO DEL GRADO UNIVERSITARIO'' ORDEN 5543</t>
  </si>
  <si>
    <t>Bernal Ferriz, Julia María </t>
  </si>
  <si>
    <t>LOS RELATOS CORTOS EN LA PRENSA ILUSTRADA MADRILEÑA (1835-1838): PENSAMIENTO Y FORMA EN EL ARTISTA, OBSERVATORIO PINTORESCO Y NO ME OLVIDES </t>
  </si>
  <si>
    <t>27/09/2019 </t>
  </si>
  <si>
    <t>Aliaga Aguza, Laura María </t>
  </si>
  <si>
    <t>ANÁLISIS LINGÜÍSTICO DEL HUMOR EN EL MEDIO AUDIOVISUAL: LAS ESTRATEGIAS HUMORÍSTICAS DE LA COMEDIA DE SITUACIÓN </t>
  </si>
  <si>
    <t>29/01/2020 </t>
  </si>
  <si>
    <t>52747327R </t>
  </si>
  <si>
    <t>44752168X </t>
  </si>
  <si>
    <t>Linares Bernabeu, Esther </t>
  </si>
  <si>
    <t>La construcción discursiva de la identidad de género femenina en el monólogo humorístico subversivo </t>
  </si>
  <si>
    <t>05/02/2020 </t>
  </si>
  <si>
    <t>Riesgo Martínez, Ferran </t>
  </si>
  <si>
    <t>Música y narrativa en el Río de la Plata: Felisberto Hernández, Daniel Moyano y el surco del tango en las letras argentinas </t>
  </si>
  <si>
    <t>27/11/2019 </t>
  </si>
  <si>
    <t>31832747B</t>
  </si>
  <si>
    <t>JIMENEZ RUIZ, JUAN LUIS</t>
  </si>
  <si>
    <t>COD DEP</t>
  </si>
  <si>
    <t>FERNANDEZ JAEN, JORGE</t>
  </si>
  <si>
    <t>Rodes Biosca, Juan Ignacio </t>
  </si>
  <si>
    <t>TEORÍA Y PRAXIS DE UN PARADIGMA DE LA INTERPRETACIÓN MUSICAL: LA TÉCNICA GUITARRÍSTICA (1500-1900) </t>
  </si>
  <si>
    <t>23/12/2020 </t>
  </si>
  <si>
    <t>Mares Aliaga, Francisco </t>
  </si>
  <si>
    <t>LA TEORÍA DE LO GROTESCO </t>
  </si>
  <si>
    <t>04/12/2020 </t>
  </si>
  <si>
    <t>Santacruz Antón, Alberto </t>
  </si>
  <si>
    <t>Las exploraciones por el Pacífico novohispano (1522-1543). Elaboración y estudio de un corpus textual </t>
  </si>
  <si>
    <t>17/11/2020 </t>
  </si>
  <si>
    <t>21485505D </t>
  </si>
  <si>
    <t>Munizza , Elisa Teresa </t>
  </si>
  <si>
    <t>RAÚL ZURITA Y EL MUNDO ITALIANO. LA CREACIÓN DE UNA POÉTICA A TRAVÉS DE DANTE, MIGUEL ÁNGEL Y LOS CREADORES DE LA MODERNIDAD </t>
  </si>
  <si>
    <t>05/11/2020 </t>
  </si>
  <si>
    <t>Mussó Mujica, Luis Carlos </t>
  </si>
  <si>
    <t>LA POESÍA ECUATORIANA ENTRE FINALES DEL SIGLO XX Y EL SIGLO XXI </t>
  </si>
  <si>
    <t>14/06/2021 </t>
  </si>
  <si>
    <t>Puma Torres, Paúl Fernando </t>
  </si>
  <si>
    <t>El juego de la imagen/acto poético liberador en Pluma y la tempestad, La casa de Rigoberta mira al sur y Foto de señoritas y esclusas, de Arístides Vargas" </t>
  </si>
  <si>
    <t>12/03/2021 </t>
  </si>
  <si>
    <t>Monzó Jiménez, Luis Antonio </t>
  </si>
  <si>
    <t>EDUCACIÓN LITERARIA EN LOS ESTUDIOS UNIVERSITARIOS DE ESPAÑOL POR PARTE DE ALUMNADO NO NATIVO </t>
  </si>
  <si>
    <t>22/02/2021 </t>
  </si>
  <si>
    <t>Quevedo Atienza, María Ángeles </t>
  </si>
  <si>
    <t>NECESIDADES LINGÜÍSTICAS EN ESPAÑOL ACADÉMICO COMO L2 DE ESTUDIANTES INTERNACIONALES EN PROGRAMAS DE MOVILIDAD. ESTUDIO COMPARATIVO EN TRES UNIVERSIDADES PRIVADAS ESPAÑOLAS. </t>
  </si>
  <si>
    <t>23/07/2021 </t>
  </si>
  <si>
    <t>FLIB. 18/02/2020. PROYECTOS RETOS INVESTIGACIÓN 2017. ANUAL 2020 PROYECTOS I+D RETOS (PIA13) N EXPEDIENTE: PIA 132017-1-3 ANUALIDAD REFERENCIA:FFI2017-85441-R.</t>
  </si>
  <si>
    <t xml:space="preserve">LIBERADOS EL 29/09/2020, ANUALIDAD 2020 PROYECTOS I+D (PIA1) N EXPEDIENTE: PIA12017-1 - 3 ANUALIDAD REFERENCIA: FFI2017-88310-P   </t>
  </si>
  <si>
    <t xml:space="preserve">LIBERADOS EL 30/06/2020, ANUALIDAD 2020 PROYECTOS / I+D (PIA1) N EXPEDIENTE: PIA12018-1 - 2 ANUAL / IDAD REFERENCIA: PGC2018-098126-B-I00 / GOVT / </t>
  </si>
  <si>
    <t>30.70.2T.00.09</t>
  </si>
  <si>
    <t>Liquidación PLAN 9303 "Master en Interpretacion de Guitarra Clasica"</t>
  </si>
  <si>
    <t>Liquidacion PLAN 9305 "Experto/a en Interpretacion de Guitarra Clasica"</t>
  </si>
  <si>
    <t>Plan 9304 2019/20 Especialista en interpretación de guitarrá clásica</t>
  </si>
  <si>
    <t>30.70.2T.00.10</t>
  </si>
  <si>
    <t xml:space="preserve">Plan GF38 2020-2021 FUNDAMENTOS DE METODOLOGÍA CIENTÍFICA PARA LA REDACCIÓN EN EL ÁMBITO DEL GRADO </t>
  </si>
  <si>
    <t>Cód. org. aplic.</t>
  </si>
  <si>
    <t>Descripción justificante</t>
  </si>
  <si>
    <t>Plan 9303 Curso 2020-21 Master en Interpretacion de Guitarra Clasica</t>
  </si>
  <si>
    <t>Plan 9304, TRASPASO DE RECIBOS PLAN 9304 "Especialista en Interpretacion de Guitarra Clasica" DEL CURSO 2019-20 AL 2020-21 POR MOTIVOS COVID.  JI2020/2312 - DI2021/3047 - PMP21315</t>
  </si>
  <si>
    <t>Plan 9303, TRASPASO DE RECIBOS PLAN 9303 "Master en Interpretacion de Guitarra Clasica" DEL CURSO 2019-20 AL 2020-21 POR MOTIVOS DE EMERGENCIA SANITARIA.  JI2020/1488 - DI2021/2519 - PMP33768</t>
  </si>
  <si>
    <t xml:space="preserve">Plan GF38 curso 2021-22, FUNDAMENTOS DE METODOLOGÍA CIENTÍFICA PARA LA REDACCION EN EL AMBITO DEL - 30.70.2T.00.10 </t>
  </si>
  <si>
    <t>30.70.2T.00.11</t>
  </si>
  <si>
    <t>Plan GF73- 2021-METODOLOGÍES AVANÇADES E INVESTIGACIÓ ACTIVA EN UN MÓN INCERT</t>
  </si>
  <si>
    <t>LIBERADOS EL 15/06/2021, ANUALIDAD 2021 PROYECTOS I+D (PIA1) N EXPEDIENTE: PIA12018-1 3 ANUALIDAD REFERENCIA: PGC2018-098126-B-100</t>
  </si>
  <si>
    <t>22088149W </t>
  </si>
  <si>
    <t>B166 </t>
  </si>
  <si>
    <t>INNOVACIÓN Y FORMACIÓN DIDÁCTICA </t>
  </si>
  <si>
    <t>DOCTORADO EN INVESTIGACIÓN EDUCATIVA </t>
  </si>
  <si>
    <t>Contreras de la Llave, Natalia </t>
  </si>
  <si>
    <t>Cine y prespetiva de género como herramientas de transformación social en la didáctica del Español como Lengua Extranjera </t>
  </si>
  <si>
    <t>18/02/2022 </t>
  </si>
  <si>
    <t>López Medina, Julián </t>
  </si>
  <si>
    <t>La dimensión intercultural en una pedagogía crítica de lenguas adicionales: creencias del profesorado en formación </t>
  </si>
  <si>
    <t>14/02/2022 </t>
  </si>
  <si>
    <t>Amador Solano, María Gabriela </t>
  </si>
  <si>
    <t>La competencia docente en la formación del profesorado de Español como Segunda Lengua en Costa Rica. Diseño de un plan curricular de capacitación profesional </t>
  </si>
  <si>
    <t>25/05/2022 </t>
  </si>
  <si>
    <t>Gómez Soriano, Miguel Ángel </t>
  </si>
  <si>
    <t>El viaje épico-lírico en Los cuadernos de la Tierra de Jorge Enrique Adoum. Génesis y caracterización de una poesía histórica </t>
  </si>
  <si>
    <t>04/07/2022 </t>
  </si>
  <si>
    <t>Pons Dominguis, Jesús </t>
  </si>
  <si>
    <t>LOS PELIGROS DE LA POESÍA MIMÉTICA EN PLATÓN Y CERVANTES: (EU)TROPELÍA TRAGICÓMICA EN EL CURIOSO IMPERTINENTE </t>
  </si>
  <si>
    <t>17/06/2022 </t>
  </si>
  <si>
    <t>Corachán Swidzinská, Irene </t>
  </si>
  <si>
    <t>La literatura checa en España: recepción y traductografía </t>
  </si>
  <si>
    <t>16/03/2022 </t>
  </si>
  <si>
    <t>Fang Liu, Fang </t>
  </si>
  <si>
    <t>El certificado CCC en China y la consecución del KNOWHOW de la auditoría china: Características y análisis </t>
  </si>
  <si>
    <t>12/09/2022 </t>
  </si>
  <si>
    <t>22121930R </t>
  </si>
  <si>
    <t>Gariano , Elvira </t>
  </si>
  <si>
    <t>La transposición legislativa europea en materia de enseñanza de idiomas en Italia y su repercusión en el español como lengua extanjera </t>
  </si>
  <si>
    <t>11/05/2022 </t>
  </si>
  <si>
    <t>36112704J</t>
  </si>
  <si>
    <t>MENDEZ SANTOS, MARIA DEL CARMEN</t>
  </si>
  <si>
    <t>47082357T</t>
  </si>
  <si>
    <t>GARCIA VALERO, BENITO ELIAS</t>
  </si>
  <si>
    <t>48574813D</t>
  </si>
  <si>
    <t>PALOMO ALEPUZ, LAURA CRISTINA</t>
  </si>
  <si>
    <t>53240328C</t>
  </si>
  <si>
    <t>RODRIGUEZ LIFANTE, ALBERTO</t>
  </si>
  <si>
    <t>10.22</t>
  </si>
  <si>
    <t>vivos</t>
  </si>
  <si>
    <t>Total ingresos investigación 2019, 2020 y 2021</t>
  </si>
  <si>
    <t>Total ingresos formación  2019, 2020 y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</si>
</sst>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15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8"/>
      <color indexed="8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rgb="FFFFFFFF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double">
        <color theme="4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double">
        <color theme="4"/>
      </top>
      <bottom style="thin">
        <color theme="4" tint="0.39997558519241921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ck">
        <color theme="0"/>
      </top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 style="medium">
        <color rgb="FF878787"/>
      </right>
      <top style="medium">
        <color rgb="FF878787"/>
      </top>
      <bottom style="medium">
        <color rgb="FF878787"/>
      </bottom>
      <diagonal/>
    </border>
    <border>
      <left style="medium">
        <color rgb="FF878787"/>
      </left>
      <right style="medium">
        <color rgb="FF878787"/>
      </right>
      <top style="medium">
        <color rgb="FF878787"/>
      </top>
      <bottom style="medium">
        <color rgb="FF878787"/>
      </bottom>
      <diagonal/>
    </border>
    <border>
      <left style="medium">
        <color rgb="FF878787"/>
      </left>
      <right/>
      <top style="medium">
        <color rgb="FF878787"/>
      </top>
      <bottom style="medium">
        <color rgb="FF878787"/>
      </bottom>
      <diagonal/>
    </border>
  </borders>
  <cellStyleXfs count="6">
    <xf numFmtId="0" fontId="0" fillId="0" borderId="0"/>
    <xf numFmtId="0" fontId="3" fillId="0" borderId="0"/>
    <xf numFmtId="0" fontId="6" fillId="0" borderId="0"/>
    <xf numFmtId="0" fontId="6" fillId="0" borderId="0"/>
    <xf numFmtId="0" fontId="7" fillId="0" borderId="0"/>
    <xf numFmtId="0" fontId="1" fillId="0" borderId="0"/>
  </cellStyleXfs>
  <cellXfs count="68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left" wrapText="1"/>
    </xf>
    <xf numFmtId="0" fontId="2" fillId="2" borderId="1" xfId="0" applyFont="1" applyFill="1" applyBorder="1" applyAlignment="1">
      <alignment horizontal="center"/>
    </xf>
    <xf numFmtId="0" fontId="1" fillId="0" borderId="1" xfId="0" applyFont="1" applyBorder="1"/>
    <xf numFmtId="4" fontId="1" fillId="0" borderId="1" xfId="0" applyNumberFormat="1" applyFont="1" applyBorder="1"/>
    <xf numFmtId="0" fontId="2" fillId="0" borderId="1" xfId="0" applyFont="1" applyBorder="1"/>
    <xf numFmtId="4" fontId="2" fillId="0" borderId="1" xfId="0" applyNumberFormat="1" applyFont="1" applyBorder="1"/>
    <xf numFmtId="0" fontId="4" fillId="3" borderId="1" xfId="1" applyFont="1" applyFill="1" applyBorder="1" applyAlignment="1">
      <alignment horizontal="center"/>
    </xf>
    <xf numFmtId="0" fontId="5" fillId="3" borderId="1" xfId="1" applyFont="1" applyFill="1" applyBorder="1" applyAlignment="1">
      <alignment horizontal="center"/>
    </xf>
    <xf numFmtId="0" fontId="5" fillId="3" borderId="1" xfId="2" applyFont="1" applyFill="1" applyBorder="1" applyAlignment="1">
      <alignment horizontal="center"/>
    </xf>
    <xf numFmtId="0" fontId="5" fillId="3" borderId="1" xfId="3" applyFont="1" applyFill="1" applyBorder="1" applyAlignment="1">
      <alignment horizontal="center" wrapText="1"/>
    </xf>
    <xf numFmtId="0" fontId="5" fillId="3" borderId="1" xfId="3" applyFont="1" applyFill="1" applyBorder="1" applyAlignment="1">
      <alignment horizontal="right" wrapText="1"/>
    </xf>
    <xf numFmtId="0" fontId="3" fillId="4" borderId="0" xfId="1" applyFont="1" applyFill="1" applyAlignment="1"/>
    <xf numFmtId="0" fontId="3" fillId="2" borderId="0" xfId="1" applyFont="1" applyFill="1" applyAlignment="1"/>
    <xf numFmtId="0" fontId="3" fillId="2" borderId="0" xfId="1" applyFont="1" applyFill="1" applyAlignment="1">
      <alignment horizontal="right"/>
    </xf>
    <xf numFmtId="0" fontId="3" fillId="4" borderId="0" xfId="1" applyFont="1" applyFill="1" applyAlignment="1">
      <alignment horizontal="right"/>
    </xf>
    <xf numFmtId="0" fontId="9" fillId="5" borderId="1" xfId="3" applyFont="1" applyFill="1" applyBorder="1" applyAlignment="1">
      <alignment horizontal="center" textRotation="90" wrapText="1"/>
    </xf>
    <xf numFmtId="0" fontId="9" fillId="3" borderId="1" xfId="3" applyFont="1" applyFill="1" applyBorder="1" applyAlignment="1">
      <alignment horizontal="center" textRotation="90" wrapText="1"/>
    </xf>
    <xf numFmtId="0" fontId="6" fillId="0" borderId="0" xfId="5" applyFont="1"/>
    <xf numFmtId="0" fontId="10" fillId="0" borderId="0" xfId="5" applyFont="1"/>
    <xf numFmtId="0" fontId="10" fillId="0" borderId="0" xfId="5" applyFont="1" applyAlignment="1">
      <alignment horizontal="right"/>
    </xf>
    <xf numFmtId="0" fontId="8" fillId="2" borderId="1" xfId="0" applyFont="1" applyFill="1" applyBorder="1"/>
    <xf numFmtId="0" fontId="8" fillId="2" borderId="1" xfId="0" applyFont="1" applyFill="1" applyBorder="1" applyAlignment="1">
      <alignment textRotation="90"/>
    </xf>
    <xf numFmtId="0" fontId="9" fillId="3" borderId="1" xfId="3" applyFont="1" applyFill="1" applyBorder="1" applyAlignment="1">
      <alignment horizont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12" fillId="6" borderId="2" xfId="0" applyFont="1" applyFill="1" applyBorder="1"/>
    <xf numFmtId="0" fontId="12" fillId="6" borderId="3" xfId="0" applyFont="1" applyFill="1" applyBorder="1"/>
    <xf numFmtId="0" fontId="13" fillId="0" borderId="4" xfId="0" applyFont="1" applyBorder="1"/>
    <xf numFmtId="4" fontId="13" fillId="0" borderId="5" xfId="0" applyNumberFormat="1" applyFont="1" applyBorder="1"/>
    <xf numFmtId="4" fontId="0" fillId="0" borderId="0" xfId="0" applyNumberFormat="1"/>
    <xf numFmtId="0" fontId="12" fillId="6" borderId="6" xfId="0" applyFont="1" applyFill="1" applyBorder="1"/>
    <xf numFmtId="0" fontId="12" fillId="6" borderId="7" xfId="0" applyFont="1" applyFill="1" applyBorder="1" applyAlignment="1">
      <alignment horizontal="right"/>
    </xf>
    <xf numFmtId="0" fontId="0" fillId="8" borderId="8" xfId="0" applyFill="1" applyBorder="1"/>
    <xf numFmtId="4" fontId="0" fillId="8" borderId="9" xfId="0" applyNumberFormat="1" applyFill="1" applyBorder="1"/>
    <xf numFmtId="0" fontId="12" fillId="6" borderId="10" xfId="0" applyFont="1" applyFill="1" applyBorder="1"/>
    <xf numFmtId="4" fontId="12" fillId="6" borderId="11" xfId="0" applyNumberFormat="1" applyFont="1" applyFill="1" applyBorder="1"/>
    <xf numFmtId="0" fontId="0" fillId="7" borderId="2" xfId="0" applyFill="1" applyBorder="1" applyAlignment="1">
      <alignment vertical="top"/>
    </xf>
    <xf numFmtId="0" fontId="0" fillId="7" borderId="2" xfId="0" applyFill="1" applyBorder="1" applyAlignment="1">
      <alignment vertical="top" wrapText="1"/>
    </xf>
    <xf numFmtId="4" fontId="0" fillId="7" borderId="3" xfId="0" applyNumberFormat="1" applyFill="1" applyBorder="1" applyAlignment="1">
      <alignment vertical="top"/>
    </xf>
    <xf numFmtId="0" fontId="0" fillId="0" borderId="2" xfId="0" applyBorder="1" applyAlignment="1">
      <alignment vertical="top"/>
    </xf>
    <xf numFmtId="0" fontId="0" fillId="0" borderId="2" xfId="0" applyBorder="1" applyAlignment="1">
      <alignment vertical="top" wrapText="1"/>
    </xf>
    <xf numFmtId="4" fontId="0" fillId="0" borderId="3" xfId="0" applyNumberFormat="1" applyBorder="1" applyAlignment="1">
      <alignment vertical="top"/>
    </xf>
    <xf numFmtId="0" fontId="3" fillId="4" borderId="1" xfId="1" applyFill="1" applyBorder="1"/>
    <xf numFmtId="164" fontId="3" fillId="4" borderId="1" xfId="1" applyNumberFormat="1" applyFill="1" applyBorder="1"/>
    <xf numFmtId="0" fontId="3" fillId="4" borderId="1" xfId="1" applyFill="1" applyBorder="1" applyAlignment="1">
      <alignment horizontal="right"/>
    </xf>
    <xf numFmtId="1" fontId="3" fillId="4" borderId="1" xfId="1" applyNumberFormat="1" applyFill="1" applyBorder="1"/>
    <xf numFmtId="165" fontId="3" fillId="4" borderId="1" xfId="1" applyNumberFormat="1" applyFill="1" applyBorder="1"/>
    <xf numFmtId="0" fontId="3" fillId="4" borderId="12" xfId="1" applyFill="1" applyBorder="1"/>
    <xf numFmtId="165" fontId="3" fillId="4" borderId="12" xfId="1" applyNumberFormat="1" applyFill="1" applyBorder="1"/>
    <xf numFmtId="0" fontId="3" fillId="4" borderId="12" xfId="1" applyFill="1" applyBorder="1" applyAlignment="1">
      <alignment horizontal="right"/>
    </xf>
    <xf numFmtId="1" fontId="3" fillId="4" borderId="12" xfId="1" applyNumberFormat="1" applyFill="1" applyBorder="1"/>
    <xf numFmtId="164" fontId="3" fillId="4" borderId="12" xfId="1" applyNumberFormat="1" applyFill="1" applyBorder="1"/>
    <xf numFmtId="0" fontId="3" fillId="0" borderId="1" xfId="1" applyBorder="1"/>
    <xf numFmtId="0" fontId="3" fillId="4" borderId="13" xfId="1" applyFill="1" applyBorder="1"/>
    <xf numFmtId="0" fontId="14" fillId="9" borderId="1" xfId="0" applyFont="1" applyFill="1" applyBorder="1" applyAlignment="1">
      <alignment horizontal="left" vertical="center"/>
    </xf>
    <xf numFmtId="0" fontId="14" fillId="9" borderId="14" xfId="0" applyFont="1" applyFill="1" applyBorder="1" applyAlignment="1">
      <alignment horizontal="left" vertical="center"/>
    </xf>
    <xf numFmtId="0" fontId="14" fillId="9" borderId="15" xfId="0" applyFont="1" applyFill="1" applyBorder="1" applyAlignment="1">
      <alignment horizontal="left" vertical="center"/>
    </xf>
    <xf numFmtId="0" fontId="14" fillId="9" borderId="16" xfId="0" applyFont="1" applyFill="1" applyBorder="1" applyAlignment="1">
      <alignment horizontal="left" vertical="center"/>
    </xf>
    <xf numFmtId="2" fontId="3" fillId="4" borderId="1" xfId="1" applyNumberFormat="1" applyFill="1" applyBorder="1"/>
    <xf numFmtId="2" fontId="4" fillId="2" borderId="0" xfId="1" applyNumberFormat="1" applyFont="1" applyFill="1" applyAlignment="1"/>
    <xf numFmtId="0" fontId="0" fillId="0" borderId="1" xfId="0" applyBorder="1" applyAlignment="1">
      <alignment horizontal="left"/>
    </xf>
    <xf numFmtId="0" fontId="10" fillId="10" borderId="0" xfId="5" applyFont="1" applyFill="1"/>
    <xf numFmtId="0" fontId="10" fillId="10" borderId="0" xfId="5" applyFont="1" applyFill="1" applyAlignment="1">
      <alignment horizontal="right"/>
    </xf>
    <xf numFmtId="0" fontId="11" fillId="10" borderId="0" xfId="5" applyFont="1" applyFill="1"/>
    <xf numFmtId="0" fontId="13" fillId="0" borderId="1" xfId="0" applyFont="1" applyBorder="1" applyAlignment="1">
      <alignment horizontal="right"/>
    </xf>
    <xf numFmtId="4" fontId="13" fillId="0" borderId="1" xfId="0" applyNumberFormat="1" applyFont="1" applyBorder="1"/>
  </cellXfs>
  <cellStyles count="6">
    <cellStyle name="Normal" xfId="0" builtinId="0"/>
    <cellStyle name="Normal 2" xfId="4" xr:uid="{00000000-0005-0000-0000-000001000000}"/>
    <cellStyle name="Normal 3" xfId="5" xr:uid="{00000000-0005-0000-0000-000002000000}"/>
    <cellStyle name="Normal_Becas 14_9_2005" xfId="2" xr:uid="{00000000-0005-0000-0000-000003000000}"/>
    <cellStyle name="Normal_Ind.2010" xfId="1" xr:uid="{00000000-0005-0000-0000-000004000000}"/>
    <cellStyle name="Normal_PDI por Centro" xfId="3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58"/>
  <sheetViews>
    <sheetView showGridLines="0" tabSelected="1" zoomScale="120" zoomScaleNormal="120" workbookViewId="0">
      <pane xSplit="1" ySplit="1" topLeftCell="H2" activePane="bottomRight" state="frozen"/>
      <selection pane="topRight" activeCell="B1" sqref="B1"/>
      <selection pane="bottomLeft" activeCell="A2" sqref="A2"/>
      <selection pane="bottomRight" activeCell="S58" sqref="S58"/>
    </sheetView>
  </sheetViews>
  <sheetFormatPr baseColWidth="10" defaultColWidth="10.33203125" defaultRowHeight="10.199999999999999" x14ac:dyDescent="0.2"/>
  <cols>
    <col min="1" max="1" width="5" style="13" customWidth="1"/>
    <col min="2" max="4" width="29.6640625" style="13" customWidth="1"/>
    <col min="5" max="5" width="40.6640625" style="13" customWidth="1"/>
    <col min="6" max="6" width="9.109375" style="13" customWidth="1"/>
    <col min="7" max="7" width="9.6640625" style="13" customWidth="1"/>
    <col min="8" max="8" width="14.44140625" style="13" customWidth="1"/>
    <col min="9" max="9" width="5.88671875" style="13" customWidth="1"/>
    <col min="10" max="10" width="25.6640625" style="13" customWidth="1"/>
    <col min="11" max="12" width="5.109375" style="13" customWidth="1"/>
    <col min="13" max="13" width="4.44140625" style="13" customWidth="1"/>
    <col min="14" max="14" width="4.88671875" style="13" customWidth="1"/>
    <col min="15" max="15" width="4.88671875" style="16" customWidth="1"/>
    <col min="16" max="16" width="4.88671875" style="13" customWidth="1"/>
    <col min="17" max="17" width="3.5546875" style="16" customWidth="1"/>
    <col min="18" max="18" width="3.5546875" style="13" customWidth="1"/>
    <col min="19" max="21" width="5.109375" style="13" customWidth="1"/>
    <col min="22" max="16384" width="10.33203125" style="13"/>
  </cols>
  <sheetData>
    <row r="1" spans="1:21" ht="40.799999999999997" x14ac:dyDescent="0.2">
      <c r="A1" s="8" t="s">
        <v>6</v>
      </c>
      <c r="B1" s="9" t="s">
        <v>7</v>
      </c>
      <c r="C1" s="9" t="s">
        <v>8</v>
      </c>
      <c r="D1" s="9" t="s">
        <v>9</v>
      </c>
      <c r="E1" s="9" t="s">
        <v>10</v>
      </c>
      <c r="F1" s="9" t="s">
        <v>11</v>
      </c>
      <c r="G1" s="9" t="s">
        <v>12</v>
      </c>
      <c r="H1" s="9" t="s">
        <v>13</v>
      </c>
      <c r="I1" s="8" t="s">
        <v>14</v>
      </c>
      <c r="J1" s="9" t="s">
        <v>15</v>
      </c>
      <c r="K1" s="8" t="s">
        <v>16</v>
      </c>
      <c r="L1" s="9" t="s">
        <v>17</v>
      </c>
      <c r="M1" s="10" t="s">
        <v>18</v>
      </c>
      <c r="N1" s="11" t="s">
        <v>19</v>
      </c>
      <c r="O1" s="12" t="s">
        <v>20</v>
      </c>
      <c r="P1" s="11" t="s">
        <v>21</v>
      </c>
      <c r="Q1" s="12" t="s">
        <v>22</v>
      </c>
      <c r="R1" s="11" t="s">
        <v>23</v>
      </c>
      <c r="S1" s="11" t="s">
        <v>24</v>
      </c>
      <c r="T1" s="11" t="s">
        <v>25</v>
      </c>
      <c r="U1" s="11" t="s">
        <v>26</v>
      </c>
    </row>
    <row r="2" spans="1:21" x14ac:dyDescent="0.2">
      <c r="A2" s="44" t="s">
        <v>51</v>
      </c>
      <c r="B2" s="44" t="s">
        <v>52</v>
      </c>
      <c r="C2" s="44" t="s">
        <v>68</v>
      </c>
      <c r="D2" s="44" t="s">
        <v>89</v>
      </c>
      <c r="E2" s="44" t="s">
        <v>90</v>
      </c>
      <c r="F2" s="44" t="s">
        <v>91</v>
      </c>
      <c r="G2" s="44" t="s">
        <v>69</v>
      </c>
      <c r="H2" s="44" t="s">
        <v>30</v>
      </c>
      <c r="I2" s="44" t="s">
        <v>51</v>
      </c>
      <c r="J2" s="44" t="s">
        <v>52</v>
      </c>
      <c r="K2" s="45">
        <v>1</v>
      </c>
      <c r="L2" s="44" t="s">
        <v>62</v>
      </c>
      <c r="M2" s="44">
        <v>2016</v>
      </c>
      <c r="N2" s="44" t="s">
        <v>46</v>
      </c>
      <c r="O2" s="46" t="s">
        <v>31</v>
      </c>
      <c r="P2" s="44" t="s">
        <v>29</v>
      </c>
      <c r="Q2" s="46" t="s">
        <v>29</v>
      </c>
      <c r="R2" s="47">
        <v>90</v>
      </c>
      <c r="S2" s="45">
        <v>0.9</v>
      </c>
      <c r="T2" s="45">
        <v>0.1</v>
      </c>
      <c r="U2" s="45">
        <v>0</v>
      </c>
    </row>
    <row r="3" spans="1:21" x14ac:dyDescent="0.2">
      <c r="A3" s="44" t="s">
        <v>51</v>
      </c>
      <c r="B3" s="44" t="s">
        <v>52</v>
      </c>
      <c r="C3" s="44" t="s">
        <v>68</v>
      </c>
      <c r="D3" s="44" t="s">
        <v>99</v>
      </c>
      <c r="E3" s="44" t="s">
        <v>100</v>
      </c>
      <c r="F3" s="44" t="s">
        <v>43</v>
      </c>
      <c r="G3" s="44" t="s">
        <v>69</v>
      </c>
      <c r="H3" s="44" t="s">
        <v>30</v>
      </c>
      <c r="I3" s="44" t="s">
        <v>51</v>
      </c>
      <c r="J3" s="44" t="s">
        <v>52</v>
      </c>
      <c r="K3" s="45">
        <v>1</v>
      </c>
      <c r="L3" s="44" t="s">
        <v>62</v>
      </c>
      <c r="M3" s="44">
        <v>2016</v>
      </c>
      <c r="N3" s="44" t="s">
        <v>46</v>
      </c>
      <c r="O3" s="46" t="s">
        <v>31</v>
      </c>
      <c r="P3" s="44" t="s">
        <v>29</v>
      </c>
      <c r="Q3" s="46" t="s">
        <v>29</v>
      </c>
      <c r="R3" s="47">
        <v>90</v>
      </c>
      <c r="S3" s="45">
        <v>0.9</v>
      </c>
      <c r="T3" s="45">
        <v>0.1</v>
      </c>
      <c r="U3" s="45">
        <v>0</v>
      </c>
    </row>
    <row r="4" spans="1:21" x14ac:dyDescent="0.2">
      <c r="A4" s="44" t="s">
        <v>51</v>
      </c>
      <c r="B4" s="44" t="s">
        <v>52</v>
      </c>
      <c r="C4" s="44" t="s">
        <v>68</v>
      </c>
      <c r="D4" s="44" t="s">
        <v>75</v>
      </c>
      <c r="E4" s="44" t="s">
        <v>76</v>
      </c>
      <c r="F4" s="44" t="s">
        <v>77</v>
      </c>
      <c r="G4" s="44" t="s">
        <v>78</v>
      </c>
      <c r="H4" s="44" t="s">
        <v>27</v>
      </c>
      <c r="I4" s="44" t="s">
        <v>51</v>
      </c>
      <c r="J4" s="44" t="s">
        <v>52</v>
      </c>
      <c r="K4" s="45">
        <v>0.5</v>
      </c>
      <c r="L4" s="44" t="s">
        <v>62</v>
      </c>
      <c r="M4" s="44">
        <v>2016</v>
      </c>
      <c r="N4" s="44" t="s">
        <v>29</v>
      </c>
      <c r="O4" s="46" t="s">
        <v>29</v>
      </c>
      <c r="P4" s="44" t="s">
        <v>29</v>
      </c>
      <c r="Q4" s="46" t="s">
        <v>29</v>
      </c>
      <c r="R4" s="47">
        <v>100</v>
      </c>
      <c r="S4" s="45">
        <v>0.5</v>
      </c>
      <c r="T4" s="45">
        <v>0</v>
      </c>
      <c r="U4" s="45">
        <v>0</v>
      </c>
    </row>
    <row r="5" spans="1:21" x14ac:dyDescent="0.2">
      <c r="A5" s="44" t="s">
        <v>51</v>
      </c>
      <c r="B5" s="44" t="s">
        <v>52</v>
      </c>
      <c r="C5" s="44" t="s">
        <v>68</v>
      </c>
      <c r="D5" s="44" t="s">
        <v>75</v>
      </c>
      <c r="E5" s="44" t="s">
        <v>76</v>
      </c>
      <c r="F5" s="44" t="s">
        <v>77</v>
      </c>
      <c r="G5" s="44" t="s">
        <v>285</v>
      </c>
      <c r="H5" s="44" t="s">
        <v>27</v>
      </c>
      <c r="I5" s="44" t="s">
        <v>51</v>
      </c>
      <c r="J5" s="44" t="s">
        <v>52</v>
      </c>
      <c r="K5" s="45">
        <v>0.5</v>
      </c>
      <c r="L5" s="44" t="s">
        <v>62</v>
      </c>
      <c r="M5" s="44">
        <v>2016</v>
      </c>
      <c r="N5" s="44" t="s">
        <v>29</v>
      </c>
      <c r="O5" s="46" t="s">
        <v>29</v>
      </c>
      <c r="P5" s="44" t="s">
        <v>29</v>
      </c>
      <c r="Q5" s="46" t="s">
        <v>29</v>
      </c>
      <c r="R5" s="47">
        <v>100</v>
      </c>
      <c r="S5" s="45">
        <v>0.5</v>
      </c>
      <c r="T5" s="45">
        <v>0</v>
      </c>
      <c r="U5" s="45">
        <v>0</v>
      </c>
    </row>
    <row r="6" spans="1:21" x14ac:dyDescent="0.2">
      <c r="A6" s="44" t="s">
        <v>51</v>
      </c>
      <c r="B6" s="44" t="s">
        <v>52</v>
      </c>
      <c r="C6" s="44" t="s">
        <v>68</v>
      </c>
      <c r="D6" s="44" t="s">
        <v>101</v>
      </c>
      <c r="E6" s="44" t="s">
        <v>102</v>
      </c>
      <c r="F6" s="44" t="s">
        <v>36</v>
      </c>
      <c r="G6" s="44" t="s">
        <v>70</v>
      </c>
      <c r="H6" s="44" t="s">
        <v>27</v>
      </c>
      <c r="I6" s="44" t="s">
        <v>51</v>
      </c>
      <c r="J6" s="44" t="s">
        <v>52</v>
      </c>
      <c r="K6" s="45">
        <v>0.5</v>
      </c>
      <c r="L6" s="44" t="s">
        <v>62</v>
      </c>
      <c r="M6" s="44">
        <v>2016</v>
      </c>
      <c r="N6" s="44" t="s">
        <v>50</v>
      </c>
      <c r="O6" s="46" t="s">
        <v>31</v>
      </c>
      <c r="P6" s="44" t="s">
        <v>46</v>
      </c>
      <c r="Q6" s="46" t="s">
        <v>31</v>
      </c>
      <c r="R6" s="47">
        <v>80</v>
      </c>
      <c r="S6" s="45">
        <v>0.4</v>
      </c>
      <c r="T6" s="45">
        <v>0.05</v>
      </c>
      <c r="U6" s="45">
        <v>0.05</v>
      </c>
    </row>
    <row r="7" spans="1:21" x14ac:dyDescent="0.2">
      <c r="A7" s="44" t="s">
        <v>51</v>
      </c>
      <c r="B7" s="44" t="s">
        <v>52</v>
      </c>
      <c r="C7" s="44" t="s">
        <v>68</v>
      </c>
      <c r="D7" s="44" t="s">
        <v>101</v>
      </c>
      <c r="E7" s="44" t="s">
        <v>102</v>
      </c>
      <c r="F7" s="44" t="s">
        <v>36</v>
      </c>
      <c r="G7" s="44" t="s">
        <v>34</v>
      </c>
      <c r="H7" s="44" t="s">
        <v>27</v>
      </c>
      <c r="I7" s="44" t="s">
        <v>51</v>
      </c>
      <c r="J7" s="44" t="s">
        <v>52</v>
      </c>
      <c r="K7" s="45">
        <v>0.5</v>
      </c>
      <c r="L7" s="44" t="s">
        <v>62</v>
      </c>
      <c r="M7" s="44">
        <v>2016</v>
      </c>
      <c r="N7" s="44" t="s">
        <v>29</v>
      </c>
      <c r="O7" s="46" t="s">
        <v>29</v>
      </c>
      <c r="P7" s="44" t="s">
        <v>29</v>
      </c>
      <c r="Q7" s="46" t="s">
        <v>29</v>
      </c>
      <c r="R7" s="47">
        <v>100</v>
      </c>
      <c r="S7" s="45">
        <v>0.5</v>
      </c>
      <c r="T7" s="45">
        <v>0</v>
      </c>
      <c r="U7" s="45">
        <v>0</v>
      </c>
    </row>
    <row r="8" spans="1:21" x14ac:dyDescent="0.2">
      <c r="A8" s="44" t="s">
        <v>51</v>
      </c>
      <c r="B8" s="44" t="s">
        <v>52</v>
      </c>
      <c r="C8" s="44" t="s">
        <v>68</v>
      </c>
      <c r="D8" s="44" t="s">
        <v>94</v>
      </c>
      <c r="E8" s="44" t="s">
        <v>95</v>
      </c>
      <c r="F8" s="44" t="s">
        <v>96</v>
      </c>
      <c r="G8" s="44" t="s">
        <v>70</v>
      </c>
      <c r="H8" s="44" t="s">
        <v>27</v>
      </c>
      <c r="I8" s="44" t="s">
        <v>51</v>
      </c>
      <c r="J8" s="44" t="s">
        <v>52</v>
      </c>
      <c r="K8" s="45">
        <v>0.5</v>
      </c>
      <c r="L8" s="44" t="s">
        <v>62</v>
      </c>
      <c r="M8" s="44">
        <v>2016</v>
      </c>
      <c r="N8" s="44" t="s">
        <v>50</v>
      </c>
      <c r="O8" s="46" t="s">
        <v>31</v>
      </c>
      <c r="P8" s="44" t="s">
        <v>46</v>
      </c>
      <c r="Q8" s="46" t="s">
        <v>31</v>
      </c>
      <c r="R8" s="47">
        <v>80</v>
      </c>
      <c r="S8" s="45">
        <v>0.4</v>
      </c>
      <c r="T8" s="45">
        <v>0.05</v>
      </c>
      <c r="U8" s="45">
        <v>0.05</v>
      </c>
    </row>
    <row r="9" spans="1:21" x14ac:dyDescent="0.2">
      <c r="A9" s="44" t="s">
        <v>51</v>
      </c>
      <c r="B9" s="44" t="s">
        <v>52</v>
      </c>
      <c r="C9" s="44" t="s">
        <v>54</v>
      </c>
      <c r="D9" s="44" t="s">
        <v>79</v>
      </c>
      <c r="E9" s="44" t="s">
        <v>80</v>
      </c>
      <c r="F9" s="44" t="s">
        <v>39</v>
      </c>
      <c r="G9" s="44" t="s">
        <v>66</v>
      </c>
      <c r="H9" s="44" t="s">
        <v>27</v>
      </c>
      <c r="I9" s="44" t="s">
        <v>51</v>
      </c>
      <c r="J9" s="44" t="s">
        <v>52</v>
      </c>
      <c r="K9" s="45">
        <v>0.5</v>
      </c>
      <c r="L9" s="44" t="s">
        <v>62</v>
      </c>
      <c r="M9" s="44">
        <v>2016</v>
      </c>
      <c r="N9" s="44" t="s">
        <v>29</v>
      </c>
      <c r="O9" s="46" t="s">
        <v>29</v>
      </c>
      <c r="P9" s="44" t="s">
        <v>29</v>
      </c>
      <c r="Q9" s="46" t="s">
        <v>29</v>
      </c>
      <c r="R9" s="47">
        <v>100</v>
      </c>
      <c r="S9" s="45">
        <v>0.5</v>
      </c>
      <c r="T9" s="45">
        <v>0</v>
      </c>
      <c r="U9" s="45">
        <v>0</v>
      </c>
    </row>
    <row r="10" spans="1:21" x14ac:dyDescent="0.2">
      <c r="A10" s="44" t="s">
        <v>51</v>
      </c>
      <c r="B10" s="44" t="s">
        <v>52</v>
      </c>
      <c r="C10" s="44" t="s">
        <v>54</v>
      </c>
      <c r="D10" s="44" t="s">
        <v>79</v>
      </c>
      <c r="E10" s="44" t="s">
        <v>80</v>
      </c>
      <c r="F10" s="44" t="s">
        <v>39</v>
      </c>
      <c r="G10" s="44" t="s">
        <v>34</v>
      </c>
      <c r="H10" s="44" t="s">
        <v>27</v>
      </c>
      <c r="I10" s="44" t="s">
        <v>51</v>
      </c>
      <c r="J10" s="44" t="s">
        <v>52</v>
      </c>
      <c r="K10" s="45">
        <v>0.5</v>
      </c>
      <c r="L10" s="44" t="s">
        <v>62</v>
      </c>
      <c r="M10" s="44">
        <v>2016</v>
      </c>
      <c r="N10" s="44" t="s">
        <v>29</v>
      </c>
      <c r="O10" s="46" t="s">
        <v>29</v>
      </c>
      <c r="P10" s="44" t="s">
        <v>29</v>
      </c>
      <c r="Q10" s="46" t="s">
        <v>29</v>
      </c>
      <c r="R10" s="47">
        <v>100</v>
      </c>
      <c r="S10" s="45">
        <v>0.5</v>
      </c>
      <c r="T10" s="45">
        <v>0</v>
      </c>
      <c r="U10" s="45">
        <v>0</v>
      </c>
    </row>
    <row r="11" spans="1:21" x14ac:dyDescent="0.2">
      <c r="A11" s="44" t="s">
        <v>51</v>
      </c>
      <c r="B11" s="44" t="s">
        <v>52</v>
      </c>
      <c r="C11" s="44" t="s">
        <v>54</v>
      </c>
      <c r="D11" s="44" t="s">
        <v>103</v>
      </c>
      <c r="E11" s="44" t="s">
        <v>104</v>
      </c>
      <c r="F11" s="44" t="s">
        <v>45</v>
      </c>
      <c r="G11" s="44" t="s">
        <v>105</v>
      </c>
      <c r="H11" s="44" t="s">
        <v>27</v>
      </c>
      <c r="I11" s="44" t="s">
        <v>51</v>
      </c>
      <c r="J11" s="44" t="s">
        <v>52</v>
      </c>
      <c r="K11" s="45">
        <v>0.5</v>
      </c>
      <c r="L11" s="44" t="s">
        <v>62</v>
      </c>
      <c r="M11" s="44">
        <v>2016</v>
      </c>
      <c r="N11" s="44" t="s">
        <v>50</v>
      </c>
      <c r="O11" s="46" t="s">
        <v>33</v>
      </c>
      <c r="P11" s="44" t="s">
        <v>29</v>
      </c>
      <c r="Q11" s="46" t="s">
        <v>29</v>
      </c>
      <c r="R11" s="47">
        <v>10</v>
      </c>
      <c r="S11" s="45">
        <v>0.05</v>
      </c>
      <c r="T11" s="45">
        <v>0.45</v>
      </c>
      <c r="U11" s="45">
        <v>0</v>
      </c>
    </row>
    <row r="12" spans="1:21" x14ac:dyDescent="0.2">
      <c r="A12" s="44" t="s">
        <v>51</v>
      </c>
      <c r="B12" s="44" t="s">
        <v>52</v>
      </c>
      <c r="C12" s="44" t="s">
        <v>54</v>
      </c>
      <c r="D12" s="44" t="s">
        <v>103</v>
      </c>
      <c r="E12" s="44" t="s">
        <v>104</v>
      </c>
      <c r="F12" s="44" t="s">
        <v>45</v>
      </c>
      <c r="G12" s="44" t="s">
        <v>64</v>
      </c>
      <c r="H12" s="44" t="s">
        <v>27</v>
      </c>
      <c r="I12" s="44" t="s">
        <v>51</v>
      </c>
      <c r="J12" s="44" t="s">
        <v>52</v>
      </c>
      <c r="K12" s="45">
        <v>0.5</v>
      </c>
      <c r="L12" s="44" t="s">
        <v>62</v>
      </c>
      <c r="M12" s="44">
        <v>2016</v>
      </c>
      <c r="N12" s="44" t="s">
        <v>29</v>
      </c>
      <c r="O12" s="46" t="s">
        <v>29</v>
      </c>
      <c r="P12" s="44" t="s">
        <v>29</v>
      </c>
      <c r="Q12" s="46" t="s">
        <v>29</v>
      </c>
      <c r="R12" s="47">
        <v>100</v>
      </c>
      <c r="S12" s="45">
        <v>0.5</v>
      </c>
      <c r="T12" s="45">
        <v>0</v>
      </c>
      <c r="U12" s="45">
        <v>0</v>
      </c>
    </row>
    <row r="13" spans="1:21" x14ac:dyDescent="0.2">
      <c r="A13" s="44" t="s">
        <v>51</v>
      </c>
      <c r="B13" s="44" t="s">
        <v>52</v>
      </c>
      <c r="C13" s="44" t="s">
        <v>54</v>
      </c>
      <c r="D13" s="44" t="s">
        <v>92</v>
      </c>
      <c r="E13" s="44" t="s">
        <v>93</v>
      </c>
      <c r="F13" s="44" t="s">
        <v>44</v>
      </c>
      <c r="G13" s="44" t="s">
        <v>66</v>
      </c>
      <c r="H13" s="44" t="s">
        <v>27</v>
      </c>
      <c r="I13" s="44" t="s">
        <v>51</v>
      </c>
      <c r="J13" s="44" t="s">
        <v>52</v>
      </c>
      <c r="K13" s="45">
        <v>0.5</v>
      </c>
      <c r="L13" s="44" t="s">
        <v>62</v>
      </c>
      <c r="M13" s="44">
        <v>2016</v>
      </c>
      <c r="N13" s="44" t="s">
        <v>29</v>
      </c>
      <c r="O13" s="46" t="s">
        <v>29</v>
      </c>
      <c r="P13" s="44" t="s">
        <v>29</v>
      </c>
      <c r="Q13" s="46" t="s">
        <v>29</v>
      </c>
      <c r="R13" s="47">
        <v>100</v>
      </c>
      <c r="S13" s="45">
        <v>0.5</v>
      </c>
      <c r="T13" s="45">
        <v>0</v>
      </c>
      <c r="U13" s="45">
        <v>0</v>
      </c>
    </row>
    <row r="14" spans="1:21" x14ac:dyDescent="0.2">
      <c r="A14" s="44" t="s">
        <v>51</v>
      </c>
      <c r="B14" s="44" t="s">
        <v>52</v>
      </c>
      <c r="C14" s="44" t="s">
        <v>54</v>
      </c>
      <c r="D14" s="44" t="s">
        <v>92</v>
      </c>
      <c r="E14" s="44" t="s">
        <v>93</v>
      </c>
      <c r="F14" s="44" t="s">
        <v>44</v>
      </c>
      <c r="G14" s="44" t="s">
        <v>88</v>
      </c>
      <c r="H14" s="44" t="s">
        <v>27</v>
      </c>
      <c r="I14" s="44" t="s">
        <v>51</v>
      </c>
      <c r="J14" s="44" t="s">
        <v>52</v>
      </c>
      <c r="K14" s="45">
        <v>0.5</v>
      </c>
      <c r="L14" s="44" t="s">
        <v>62</v>
      </c>
      <c r="M14" s="44">
        <v>2016</v>
      </c>
      <c r="N14" s="44" t="s">
        <v>29</v>
      </c>
      <c r="O14" s="46" t="s">
        <v>29</v>
      </c>
      <c r="P14" s="44" t="s">
        <v>29</v>
      </c>
      <c r="Q14" s="46" t="s">
        <v>29</v>
      </c>
      <c r="R14" s="47">
        <v>100</v>
      </c>
      <c r="S14" s="45">
        <v>0.5</v>
      </c>
      <c r="T14" s="45">
        <v>0</v>
      </c>
      <c r="U14" s="45">
        <v>0</v>
      </c>
    </row>
    <row r="15" spans="1:21" x14ac:dyDescent="0.2">
      <c r="A15" s="44" t="s">
        <v>51</v>
      </c>
      <c r="B15" s="44" t="s">
        <v>52</v>
      </c>
      <c r="C15" s="44" t="s">
        <v>54</v>
      </c>
      <c r="D15" s="44" t="s">
        <v>81</v>
      </c>
      <c r="E15" s="44" t="s">
        <v>82</v>
      </c>
      <c r="F15" s="44" t="s">
        <v>36</v>
      </c>
      <c r="G15" s="44" t="s">
        <v>83</v>
      </c>
      <c r="H15" s="44" t="s">
        <v>30</v>
      </c>
      <c r="I15" s="44" t="s">
        <v>51</v>
      </c>
      <c r="J15" s="44" t="s">
        <v>52</v>
      </c>
      <c r="K15" s="45">
        <v>1</v>
      </c>
      <c r="L15" s="44" t="s">
        <v>62</v>
      </c>
      <c r="M15" s="44">
        <v>2016</v>
      </c>
      <c r="N15" s="44" t="s">
        <v>29</v>
      </c>
      <c r="O15" s="46" t="s">
        <v>29</v>
      </c>
      <c r="P15" s="44" t="s">
        <v>29</v>
      </c>
      <c r="Q15" s="46" t="s">
        <v>29</v>
      </c>
      <c r="R15" s="47">
        <v>100</v>
      </c>
      <c r="S15" s="45">
        <v>1</v>
      </c>
      <c r="T15" s="45">
        <v>0</v>
      </c>
      <c r="U15" s="45">
        <v>0</v>
      </c>
    </row>
    <row r="16" spans="1:21" x14ac:dyDescent="0.2">
      <c r="A16" s="44" t="s">
        <v>51</v>
      </c>
      <c r="B16" s="44" t="s">
        <v>52</v>
      </c>
      <c r="C16" s="44" t="s">
        <v>54</v>
      </c>
      <c r="D16" s="44" t="s">
        <v>84</v>
      </c>
      <c r="E16" s="44" t="s">
        <v>85</v>
      </c>
      <c r="F16" s="44" t="s">
        <v>86</v>
      </c>
      <c r="G16" s="44" t="s">
        <v>87</v>
      </c>
      <c r="H16" s="44" t="s">
        <v>27</v>
      </c>
      <c r="I16" s="44" t="s">
        <v>51</v>
      </c>
      <c r="J16" s="44" t="s">
        <v>52</v>
      </c>
      <c r="K16" s="45">
        <v>0.5</v>
      </c>
      <c r="L16" s="44" t="s">
        <v>62</v>
      </c>
      <c r="M16" s="44">
        <v>2016</v>
      </c>
      <c r="N16" s="44" t="s">
        <v>29</v>
      </c>
      <c r="O16" s="46" t="s">
        <v>29</v>
      </c>
      <c r="P16" s="44" t="s">
        <v>29</v>
      </c>
      <c r="Q16" s="46" t="s">
        <v>29</v>
      </c>
      <c r="R16" s="47">
        <v>100</v>
      </c>
      <c r="S16" s="45">
        <v>0.5</v>
      </c>
      <c r="T16" s="45">
        <v>0</v>
      </c>
      <c r="U16" s="45">
        <v>0</v>
      </c>
    </row>
    <row r="17" spans="1:21" x14ac:dyDescent="0.2">
      <c r="A17" s="44" t="s">
        <v>51</v>
      </c>
      <c r="B17" s="44" t="s">
        <v>52</v>
      </c>
      <c r="C17" s="44" t="s">
        <v>54</v>
      </c>
      <c r="D17" s="44" t="s">
        <v>84</v>
      </c>
      <c r="E17" s="44" t="s">
        <v>85</v>
      </c>
      <c r="F17" s="44" t="s">
        <v>86</v>
      </c>
      <c r="G17" s="44" t="s">
        <v>88</v>
      </c>
      <c r="H17" s="44" t="s">
        <v>27</v>
      </c>
      <c r="I17" s="44" t="s">
        <v>51</v>
      </c>
      <c r="J17" s="44" t="s">
        <v>52</v>
      </c>
      <c r="K17" s="45">
        <v>0.5</v>
      </c>
      <c r="L17" s="44" t="s">
        <v>62</v>
      </c>
      <c r="M17" s="44">
        <v>2016</v>
      </c>
      <c r="N17" s="44" t="s">
        <v>29</v>
      </c>
      <c r="O17" s="46" t="s">
        <v>29</v>
      </c>
      <c r="P17" s="44" t="s">
        <v>29</v>
      </c>
      <c r="Q17" s="46" t="s">
        <v>29</v>
      </c>
      <c r="R17" s="47">
        <v>100</v>
      </c>
      <c r="S17" s="45">
        <v>0.5</v>
      </c>
      <c r="T17" s="45">
        <v>0</v>
      </c>
      <c r="U17" s="45">
        <v>0</v>
      </c>
    </row>
    <row r="18" spans="1:21" x14ac:dyDescent="0.2">
      <c r="A18" s="44" t="s">
        <v>47</v>
      </c>
      <c r="B18" s="44" t="s">
        <v>48</v>
      </c>
      <c r="C18" s="44" t="s">
        <v>53</v>
      </c>
      <c r="D18" s="44" t="s">
        <v>73</v>
      </c>
      <c r="E18" s="44" t="s">
        <v>74</v>
      </c>
      <c r="F18" s="44" t="s">
        <v>37</v>
      </c>
      <c r="G18" s="44" t="s">
        <v>65</v>
      </c>
      <c r="H18" s="44" t="s">
        <v>30</v>
      </c>
      <c r="I18" s="44" t="s">
        <v>51</v>
      </c>
      <c r="J18" s="44" t="s">
        <v>52</v>
      </c>
      <c r="K18" s="45">
        <v>1</v>
      </c>
      <c r="L18" s="44" t="s">
        <v>62</v>
      </c>
      <c r="M18" s="44">
        <v>2016</v>
      </c>
      <c r="N18" s="44" t="s">
        <v>50</v>
      </c>
      <c r="O18" s="46" t="s">
        <v>28</v>
      </c>
      <c r="P18" s="44" t="s">
        <v>29</v>
      </c>
      <c r="Q18" s="46" t="s">
        <v>29</v>
      </c>
      <c r="R18" s="47">
        <v>50</v>
      </c>
      <c r="S18" s="45">
        <v>0.5</v>
      </c>
      <c r="T18" s="45">
        <v>0.5</v>
      </c>
      <c r="U18" s="45">
        <v>0</v>
      </c>
    </row>
    <row r="19" spans="1:21" x14ac:dyDescent="0.2">
      <c r="A19" s="44" t="s">
        <v>47</v>
      </c>
      <c r="B19" s="44" t="s">
        <v>48</v>
      </c>
      <c r="C19" s="44" t="s">
        <v>53</v>
      </c>
      <c r="D19" s="44" t="s">
        <v>106</v>
      </c>
      <c r="E19" s="44" t="s">
        <v>107</v>
      </c>
      <c r="F19" s="44" t="s">
        <v>108</v>
      </c>
      <c r="G19" s="44" t="s">
        <v>66</v>
      </c>
      <c r="H19" s="44" t="s">
        <v>30</v>
      </c>
      <c r="I19" s="44" t="s">
        <v>51</v>
      </c>
      <c r="J19" s="44" t="s">
        <v>52</v>
      </c>
      <c r="K19" s="45">
        <v>1</v>
      </c>
      <c r="L19" s="44" t="s">
        <v>62</v>
      </c>
      <c r="M19" s="44">
        <v>2016</v>
      </c>
      <c r="N19" s="44" t="s">
        <v>29</v>
      </c>
      <c r="O19" s="46" t="s">
        <v>29</v>
      </c>
      <c r="P19" s="44" t="s">
        <v>29</v>
      </c>
      <c r="Q19" s="46" t="s">
        <v>29</v>
      </c>
      <c r="R19" s="47">
        <v>100</v>
      </c>
      <c r="S19" s="45">
        <v>1</v>
      </c>
      <c r="T19" s="45">
        <v>0</v>
      </c>
      <c r="U19" s="45">
        <v>0</v>
      </c>
    </row>
    <row r="20" spans="1:21" x14ac:dyDescent="0.2">
      <c r="A20" s="44" t="s">
        <v>47</v>
      </c>
      <c r="B20" s="44" t="s">
        <v>48</v>
      </c>
      <c r="C20" s="44" t="s">
        <v>49</v>
      </c>
      <c r="D20" s="44" t="s">
        <v>55</v>
      </c>
      <c r="E20" s="44" t="s">
        <v>56</v>
      </c>
      <c r="F20" s="44" t="s">
        <v>57</v>
      </c>
      <c r="G20" s="44" t="s">
        <v>63</v>
      </c>
      <c r="H20" s="44" t="s">
        <v>27</v>
      </c>
      <c r="I20" s="44" t="s">
        <v>51</v>
      </c>
      <c r="J20" s="44" t="s">
        <v>52</v>
      </c>
      <c r="K20" s="45">
        <v>0.5</v>
      </c>
      <c r="L20" s="44" t="s">
        <v>62</v>
      </c>
      <c r="M20" s="44">
        <v>2016</v>
      </c>
      <c r="N20" s="44" t="s">
        <v>29</v>
      </c>
      <c r="O20" s="46" t="s">
        <v>29</v>
      </c>
      <c r="P20" s="44" t="s">
        <v>29</v>
      </c>
      <c r="Q20" s="46" t="s">
        <v>29</v>
      </c>
      <c r="R20" s="47">
        <v>100</v>
      </c>
      <c r="S20" s="45">
        <v>0.5</v>
      </c>
      <c r="T20" s="45">
        <v>0</v>
      </c>
      <c r="U20" s="45">
        <v>0</v>
      </c>
    </row>
    <row r="21" spans="1:21" x14ac:dyDescent="0.2">
      <c r="A21" s="44" t="s">
        <v>47</v>
      </c>
      <c r="B21" s="44" t="s">
        <v>48</v>
      </c>
      <c r="C21" s="44" t="s">
        <v>49</v>
      </c>
      <c r="D21" s="44" t="s">
        <v>97</v>
      </c>
      <c r="E21" s="44" t="s">
        <v>98</v>
      </c>
      <c r="F21" s="44" t="s">
        <v>35</v>
      </c>
      <c r="G21" s="44" t="s">
        <v>63</v>
      </c>
      <c r="H21" s="44" t="s">
        <v>30</v>
      </c>
      <c r="I21" s="44" t="s">
        <v>51</v>
      </c>
      <c r="J21" s="44" t="s">
        <v>52</v>
      </c>
      <c r="K21" s="45">
        <v>1</v>
      </c>
      <c r="L21" s="44" t="s">
        <v>62</v>
      </c>
      <c r="M21" s="44">
        <v>2016</v>
      </c>
      <c r="N21" s="44" t="s">
        <v>29</v>
      </c>
      <c r="O21" s="46" t="s">
        <v>29</v>
      </c>
      <c r="P21" s="44" t="s">
        <v>29</v>
      </c>
      <c r="Q21" s="46" t="s">
        <v>29</v>
      </c>
      <c r="R21" s="47">
        <v>100</v>
      </c>
      <c r="S21" s="45">
        <v>1</v>
      </c>
      <c r="T21" s="45">
        <v>0</v>
      </c>
      <c r="U21" s="45">
        <v>0</v>
      </c>
    </row>
    <row r="22" spans="1:21" x14ac:dyDescent="0.2">
      <c r="A22" s="44" t="s">
        <v>47</v>
      </c>
      <c r="B22" s="44" t="s">
        <v>48</v>
      </c>
      <c r="C22" s="44" t="s">
        <v>53</v>
      </c>
      <c r="D22" s="44" t="s">
        <v>112</v>
      </c>
      <c r="E22" s="44" t="s">
        <v>113</v>
      </c>
      <c r="F22" s="44" t="s">
        <v>114</v>
      </c>
      <c r="G22" s="44" t="s">
        <v>71</v>
      </c>
      <c r="H22" s="44" t="s">
        <v>30</v>
      </c>
      <c r="I22" s="44" t="s">
        <v>51</v>
      </c>
      <c r="J22" s="44" t="s">
        <v>52</v>
      </c>
      <c r="K22" s="45">
        <v>1</v>
      </c>
      <c r="L22" s="44" t="s">
        <v>62</v>
      </c>
      <c r="M22" s="44">
        <v>2017</v>
      </c>
      <c r="N22" s="44" t="s">
        <v>29</v>
      </c>
      <c r="O22" s="46" t="s">
        <v>29</v>
      </c>
      <c r="P22" s="44" t="s">
        <v>29</v>
      </c>
      <c r="Q22" s="46" t="s">
        <v>29</v>
      </c>
      <c r="R22" s="47">
        <v>100</v>
      </c>
      <c r="S22" s="45">
        <v>1</v>
      </c>
      <c r="T22" s="45">
        <v>0</v>
      </c>
      <c r="U22" s="45">
        <v>0</v>
      </c>
    </row>
    <row r="23" spans="1:21" x14ac:dyDescent="0.2">
      <c r="A23" s="44" t="s">
        <v>47</v>
      </c>
      <c r="B23" s="44" t="s">
        <v>48</v>
      </c>
      <c r="C23" s="44" t="s">
        <v>53</v>
      </c>
      <c r="D23" s="44" t="s">
        <v>118</v>
      </c>
      <c r="E23" s="44" t="s">
        <v>119</v>
      </c>
      <c r="F23" s="44" t="s">
        <v>38</v>
      </c>
      <c r="G23" s="44" t="s">
        <v>66</v>
      </c>
      <c r="H23" s="44" t="s">
        <v>27</v>
      </c>
      <c r="I23" s="44" t="s">
        <v>51</v>
      </c>
      <c r="J23" s="44" t="s">
        <v>52</v>
      </c>
      <c r="K23" s="45">
        <v>0.5</v>
      </c>
      <c r="L23" s="44" t="s">
        <v>62</v>
      </c>
      <c r="M23" s="44">
        <v>2017</v>
      </c>
      <c r="N23" s="44" t="s">
        <v>29</v>
      </c>
      <c r="O23" s="46" t="s">
        <v>29</v>
      </c>
      <c r="P23" s="44" t="s">
        <v>29</v>
      </c>
      <c r="Q23" s="46" t="s">
        <v>29</v>
      </c>
      <c r="R23" s="47">
        <v>100</v>
      </c>
      <c r="S23" s="45">
        <v>0.5</v>
      </c>
      <c r="T23" s="45">
        <v>0</v>
      </c>
      <c r="U23" s="45">
        <v>0</v>
      </c>
    </row>
    <row r="24" spans="1:21" x14ac:dyDescent="0.2">
      <c r="A24" s="44" t="s">
        <v>47</v>
      </c>
      <c r="B24" s="44" t="s">
        <v>48</v>
      </c>
      <c r="C24" s="44" t="s">
        <v>53</v>
      </c>
      <c r="D24" s="44" t="s">
        <v>120</v>
      </c>
      <c r="E24" s="44" t="s">
        <v>121</v>
      </c>
      <c r="F24" s="44" t="s">
        <v>122</v>
      </c>
      <c r="G24" s="44" t="s">
        <v>71</v>
      </c>
      <c r="H24" s="44" t="s">
        <v>30</v>
      </c>
      <c r="I24" s="44" t="s">
        <v>51</v>
      </c>
      <c r="J24" s="44" t="s">
        <v>52</v>
      </c>
      <c r="K24" s="45">
        <v>1</v>
      </c>
      <c r="L24" s="44" t="s">
        <v>62</v>
      </c>
      <c r="M24" s="44">
        <v>2017</v>
      </c>
      <c r="N24" s="44" t="s">
        <v>29</v>
      </c>
      <c r="O24" s="46" t="s">
        <v>29</v>
      </c>
      <c r="P24" s="44" t="s">
        <v>29</v>
      </c>
      <c r="Q24" s="46" t="s">
        <v>29</v>
      </c>
      <c r="R24" s="47">
        <v>100</v>
      </c>
      <c r="S24" s="45">
        <v>1</v>
      </c>
      <c r="T24" s="45">
        <v>0</v>
      </c>
      <c r="U24" s="45">
        <v>0</v>
      </c>
    </row>
    <row r="25" spans="1:21" x14ac:dyDescent="0.2">
      <c r="A25" s="44" t="s">
        <v>47</v>
      </c>
      <c r="B25" s="44" t="s">
        <v>48</v>
      </c>
      <c r="C25" s="44" t="s">
        <v>53</v>
      </c>
      <c r="D25" s="44" t="s">
        <v>115</v>
      </c>
      <c r="E25" s="44" t="s">
        <v>116</v>
      </c>
      <c r="F25" s="44" t="s">
        <v>117</v>
      </c>
      <c r="G25" s="44" t="s">
        <v>61</v>
      </c>
      <c r="H25" s="44" t="s">
        <v>30</v>
      </c>
      <c r="I25" s="44" t="s">
        <v>51</v>
      </c>
      <c r="J25" s="44" t="s">
        <v>52</v>
      </c>
      <c r="K25" s="45">
        <v>1</v>
      </c>
      <c r="L25" s="44" t="s">
        <v>62</v>
      </c>
      <c r="M25" s="44">
        <v>2017</v>
      </c>
      <c r="N25" s="44" t="s">
        <v>29</v>
      </c>
      <c r="O25" s="46" t="s">
        <v>29</v>
      </c>
      <c r="P25" s="44" t="s">
        <v>29</v>
      </c>
      <c r="Q25" s="46" t="s">
        <v>29</v>
      </c>
      <c r="R25" s="47">
        <v>100</v>
      </c>
      <c r="S25" s="45">
        <v>1</v>
      </c>
      <c r="T25" s="45">
        <v>0</v>
      </c>
      <c r="U25" s="45">
        <v>0</v>
      </c>
    </row>
    <row r="26" spans="1:21" x14ac:dyDescent="0.2">
      <c r="A26" s="44" t="s">
        <v>47</v>
      </c>
      <c r="B26" s="44" t="s">
        <v>48</v>
      </c>
      <c r="C26" s="44" t="s">
        <v>53</v>
      </c>
      <c r="D26" s="44" t="s">
        <v>109</v>
      </c>
      <c r="E26" s="44" t="s">
        <v>110</v>
      </c>
      <c r="F26" s="44" t="s">
        <v>111</v>
      </c>
      <c r="G26" s="44" t="s">
        <v>63</v>
      </c>
      <c r="H26" s="44" t="s">
        <v>27</v>
      </c>
      <c r="I26" s="44" t="s">
        <v>51</v>
      </c>
      <c r="J26" s="44" t="s">
        <v>52</v>
      </c>
      <c r="K26" s="45">
        <v>0.5</v>
      </c>
      <c r="L26" s="44" t="s">
        <v>62</v>
      </c>
      <c r="M26" s="44">
        <v>2017</v>
      </c>
      <c r="N26" s="44" t="s">
        <v>29</v>
      </c>
      <c r="O26" s="46" t="s">
        <v>29</v>
      </c>
      <c r="P26" s="44" t="s">
        <v>29</v>
      </c>
      <c r="Q26" s="46" t="s">
        <v>29</v>
      </c>
      <c r="R26" s="47">
        <v>100</v>
      </c>
      <c r="S26" s="45">
        <v>0.5</v>
      </c>
      <c r="T26" s="45">
        <v>0</v>
      </c>
      <c r="U26" s="45">
        <v>0</v>
      </c>
    </row>
    <row r="27" spans="1:21" x14ac:dyDescent="0.2">
      <c r="A27" s="44" t="s">
        <v>47</v>
      </c>
      <c r="B27" s="44" t="s">
        <v>48</v>
      </c>
      <c r="C27" s="44" t="s">
        <v>53</v>
      </c>
      <c r="D27" s="44" t="s">
        <v>58</v>
      </c>
      <c r="E27" s="44" t="s">
        <v>59</v>
      </c>
      <c r="F27" s="44" t="s">
        <v>60</v>
      </c>
      <c r="G27" s="44" t="s">
        <v>63</v>
      </c>
      <c r="H27" s="44" t="s">
        <v>27</v>
      </c>
      <c r="I27" s="44" t="s">
        <v>51</v>
      </c>
      <c r="J27" s="44" t="s">
        <v>52</v>
      </c>
      <c r="K27" s="48">
        <v>0.5</v>
      </c>
      <c r="L27" s="44" t="s">
        <v>62</v>
      </c>
      <c r="M27" s="44">
        <v>2018</v>
      </c>
      <c r="N27" s="44" t="s">
        <v>29</v>
      </c>
      <c r="O27" s="46" t="s">
        <v>29</v>
      </c>
      <c r="P27" s="44" t="s">
        <v>29</v>
      </c>
      <c r="Q27" s="46" t="s">
        <v>29</v>
      </c>
      <c r="R27" s="47">
        <v>100</v>
      </c>
      <c r="S27" s="45">
        <v>0.5</v>
      </c>
      <c r="T27" s="45">
        <v>0</v>
      </c>
      <c r="U27" s="45">
        <v>0</v>
      </c>
    </row>
    <row r="28" spans="1:21" x14ac:dyDescent="0.2">
      <c r="A28" s="44" t="s">
        <v>47</v>
      </c>
      <c r="B28" s="44" t="s">
        <v>48</v>
      </c>
      <c r="C28" s="44" t="s">
        <v>53</v>
      </c>
      <c r="D28" s="44" t="s">
        <v>126</v>
      </c>
      <c r="E28" s="44" t="s">
        <v>127</v>
      </c>
      <c r="F28" s="44" t="s">
        <v>128</v>
      </c>
      <c r="G28" s="44" t="s">
        <v>70</v>
      </c>
      <c r="H28" s="44" t="s">
        <v>30</v>
      </c>
      <c r="I28" s="44" t="s">
        <v>51</v>
      </c>
      <c r="J28" s="44" t="s">
        <v>52</v>
      </c>
      <c r="K28" s="48">
        <v>1</v>
      </c>
      <c r="L28" s="44" t="s">
        <v>62</v>
      </c>
      <c r="M28" s="44">
        <v>2018</v>
      </c>
      <c r="N28" s="44" t="s">
        <v>46</v>
      </c>
      <c r="O28" s="46" t="s">
        <v>31</v>
      </c>
      <c r="P28" s="44" t="s">
        <v>50</v>
      </c>
      <c r="Q28" s="46" t="s">
        <v>31</v>
      </c>
      <c r="R28" s="47">
        <v>80</v>
      </c>
      <c r="S28" s="45">
        <v>0.8</v>
      </c>
      <c r="T28" s="45">
        <v>0.1</v>
      </c>
      <c r="U28" s="45">
        <v>0.1</v>
      </c>
    </row>
    <row r="29" spans="1:21" x14ac:dyDescent="0.2">
      <c r="A29" s="44" t="s">
        <v>47</v>
      </c>
      <c r="B29" s="44" t="s">
        <v>48</v>
      </c>
      <c r="C29" s="44" t="s">
        <v>53</v>
      </c>
      <c r="D29" s="44" t="s">
        <v>132</v>
      </c>
      <c r="E29" s="44" t="s">
        <v>133</v>
      </c>
      <c r="F29" s="44" t="s">
        <v>134</v>
      </c>
      <c r="G29" s="44" t="s">
        <v>70</v>
      </c>
      <c r="H29" s="44" t="s">
        <v>30</v>
      </c>
      <c r="I29" s="44" t="s">
        <v>51</v>
      </c>
      <c r="J29" s="44" t="s">
        <v>52</v>
      </c>
      <c r="K29" s="48">
        <v>1</v>
      </c>
      <c r="L29" s="44" t="s">
        <v>62</v>
      </c>
      <c r="M29" s="44">
        <v>2018</v>
      </c>
      <c r="N29" s="44" t="s">
        <v>46</v>
      </c>
      <c r="O29" s="46" t="s">
        <v>31</v>
      </c>
      <c r="P29" s="44" t="s">
        <v>50</v>
      </c>
      <c r="Q29" s="46" t="s">
        <v>31</v>
      </c>
      <c r="R29" s="47">
        <v>80</v>
      </c>
      <c r="S29" s="45">
        <v>0.8</v>
      </c>
      <c r="T29" s="45">
        <v>0.1</v>
      </c>
      <c r="U29" s="45">
        <v>0.1</v>
      </c>
    </row>
    <row r="30" spans="1:21" x14ac:dyDescent="0.2">
      <c r="A30" s="44" t="s">
        <v>47</v>
      </c>
      <c r="B30" s="44" t="s">
        <v>48</v>
      </c>
      <c r="C30" s="44" t="s">
        <v>53</v>
      </c>
      <c r="D30" s="44" t="s">
        <v>135</v>
      </c>
      <c r="E30" s="44" t="s">
        <v>136</v>
      </c>
      <c r="F30" s="44" t="s">
        <v>137</v>
      </c>
      <c r="G30" s="44" t="s">
        <v>67</v>
      </c>
      <c r="H30" s="44" t="s">
        <v>30</v>
      </c>
      <c r="I30" s="44" t="s">
        <v>51</v>
      </c>
      <c r="J30" s="44" t="s">
        <v>52</v>
      </c>
      <c r="K30" s="48">
        <v>1</v>
      </c>
      <c r="L30" s="44" t="s">
        <v>62</v>
      </c>
      <c r="M30" s="44">
        <v>2018</v>
      </c>
      <c r="N30" s="44" t="s">
        <v>29</v>
      </c>
      <c r="O30" s="46" t="s">
        <v>29</v>
      </c>
      <c r="P30" s="44" t="s">
        <v>29</v>
      </c>
      <c r="Q30" s="46" t="s">
        <v>29</v>
      </c>
      <c r="R30" s="47">
        <v>100</v>
      </c>
      <c r="S30" s="45">
        <v>1</v>
      </c>
      <c r="T30" s="45">
        <v>0</v>
      </c>
      <c r="U30" s="45">
        <v>0</v>
      </c>
    </row>
    <row r="31" spans="1:21" x14ac:dyDescent="0.2">
      <c r="A31" s="44" t="s">
        <v>47</v>
      </c>
      <c r="B31" s="44" t="s">
        <v>48</v>
      </c>
      <c r="C31" s="44" t="s">
        <v>53</v>
      </c>
      <c r="D31" s="44" t="s">
        <v>138</v>
      </c>
      <c r="E31" s="44" t="s">
        <v>139</v>
      </c>
      <c r="F31" s="44" t="s">
        <v>32</v>
      </c>
      <c r="G31" s="44" t="s">
        <v>64</v>
      </c>
      <c r="H31" s="44" t="s">
        <v>30</v>
      </c>
      <c r="I31" s="44" t="s">
        <v>51</v>
      </c>
      <c r="J31" s="44" t="s">
        <v>52</v>
      </c>
      <c r="K31" s="48">
        <v>1</v>
      </c>
      <c r="L31" s="44" t="s">
        <v>62</v>
      </c>
      <c r="M31" s="44">
        <v>2018</v>
      </c>
      <c r="N31" s="44" t="s">
        <v>29</v>
      </c>
      <c r="O31" s="46" t="s">
        <v>29</v>
      </c>
      <c r="P31" s="44" t="s">
        <v>29</v>
      </c>
      <c r="Q31" s="46" t="s">
        <v>29</v>
      </c>
      <c r="R31" s="47">
        <v>100</v>
      </c>
      <c r="S31" s="45">
        <v>1</v>
      </c>
      <c r="T31" s="45">
        <v>0</v>
      </c>
      <c r="U31" s="45">
        <v>0</v>
      </c>
    </row>
    <row r="32" spans="1:21" x14ac:dyDescent="0.2">
      <c r="A32" s="44" t="s">
        <v>47</v>
      </c>
      <c r="B32" s="44" t="s">
        <v>48</v>
      </c>
      <c r="C32" s="44" t="s">
        <v>53</v>
      </c>
      <c r="D32" s="44" t="s">
        <v>129</v>
      </c>
      <c r="E32" s="44" t="s">
        <v>130</v>
      </c>
      <c r="F32" s="44" t="s">
        <v>131</v>
      </c>
      <c r="G32" s="44" t="s">
        <v>63</v>
      </c>
      <c r="H32" s="44" t="s">
        <v>30</v>
      </c>
      <c r="I32" s="44" t="s">
        <v>51</v>
      </c>
      <c r="J32" s="44" t="s">
        <v>52</v>
      </c>
      <c r="K32" s="48">
        <v>1</v>
      </c>
      <c r="L32" s="44" t="s">
        <v>62</v>
      </c>
      <c r="M32" s="44">
        <v>2018</v>
      </c>
      <c r="N32" s="44" t="s">
        <v>29</v>
      </c>
      <c r="O32" s="46" t="s">
        <v>29</v>
      </c>
      <c r="P32" s="44" t="s">
        <v>29</v>
      </c>
      <c r="Q32" s="46" t="s">
        <v>29</v>
      </c>
      <c r="R32" s="47">
        <v>100</v>
      </c>
      <c r="S32" s="45">
        <v>1</v>
      </c>
      <c r="T32" s="45">
        <v>0</v>
      </c>
      <c r="U32" s="45">
        <v>0</v>
      </c>
    </row>
    <row r="33" spans="1:21" x14ac:dyDescent="0.2">
      <c r="A33" s="44" t="s">
        <v>47</v>
      </c>
      <c r="B33" s="44" t="s">
        <v>48</v>
      </c>
      <c r="C33" s="44" t="s">
        <v>53</v>
      </c>
      <c r="D33" s="44" t="s">
        <v>123</v>
      </c>
      <c r="E33" s="44" t="s">
        <v>124</v>
      </c>
      <c r="F33" s="44" t="s">
        <v>125</v>
      </c>
      <c r="G33" s="44" t="s">
        <v>105</v>
      </c>
      <c r="H33" s="44" t="s">
        <v>27</v>
      </c>
      <c r="I33" s="44" t="s">
        <v>51</v>
      </c>
      <c r="J33" s="44" t="s">
        <v>52</v>
      </c>
      <c r="K33" s="48">
        <v>0.5</v>
      </c>
      <c r="L33" s="44" t="s">
        <v>62</v>
      </c>
      <c r="M33" s="44">
        <v>2018</v>
      </c>
      <c r="N33" s="44" t="s">
        <v>50</v>
      </c>
      <c r="O33" s="46" t="s">
        <v>33</v>
      </c>
      <c r="P33" s="44" t="s">
        <v>29</v>
      </c>
      <c r="Q33" s="46" t="s">
        <v>29</v>
      </c>
      <c r="R33" s="47">
        <v>10</v>
      </c>
      <c r="S33" s="45">
        <v>0.05</v>
      </c>
      <c r="T33" s="45">
        <v>0.45</v>
      </c>
      <c r="U33" s="45">
        <v>0</v>
      </c>
    </row>
    <row r="34" spans="1:21" x14ac:dyDescent="0.2">
      <c r="A34" s="44" t="s">
        <v>47</v>
      </c>
      <c r="B34" s="44" t="s">
        <v>48</v>
      </c>
      <c r="C34" s="44" t="s">
        <v>53</v>
      </c>
      <c r="D34" s="44" t="s">
        <v>123</v>
      </c>
      <c r="E34" s="44" t="s">
        <v>124</v>
      </c>
      <c r="F34" s="44" t="s">
        <v>125</v>
      </c>
      <c r="G34" s="44" t="s">
        <v>83</v>
      </c>
      <c r="H34" s="44" t="s">
        <v>27</v>
      </c>
      <c r="I34" s="44" t="s">
        <v>51</v>
      </c>
      <c r="J34" s="44" t="s">
        <v>52</v>
      </c>
      <c r="K34" s="48">
        <v>0.5</v>
      </c>
      <c r="L34" s="44" t="s">
        <v>62</v>
      </c>
      <c r="M34" s="44">
        <v>2018</v>
      </c>
      <c r="N34" s="44" t="s">
        <v>29</v>
      </c>
      <c r="O34" s="46" t="s">
        <v>29</v>
      </c>
      <c r="P34" s="44" t="s">
        <v>29</v>
      </c>
      <c r="Q34" s="46" t="s">
        <v>29</v>
      </c>
      <c r="R34" s="47">
        <v>100</v>
      </c>
      <c r="S34" s="45">
        <v>0.5</v>
      </c>
      <c r="T34" s="45">
        <v>0</v>
      </c>
      <c r="U34" s="45">
        <v>0</v>
      </c>
    </row>
    <row r="35" spans="1:21" x14ac:dyDescent="0.2">
      <c r="A35" s="44" t="s">
        <v>47</v>
      </c>
      <c r="B35" s="44" t="s">
        <v>48</v>
      </c>
      <c r="C35" s="44" t="s">
        <v>53</v>
      </c>
      <c r="D35" s="44" t="s">
        <v>224</v>
      </c>
      <c r="E35" s="44" t="s">
        <v>225</v>
      </c>
      <c r="F35" s="44" t="s">
        <v>226</v>
      </c>
      <c r="G35" s="44" t="s">
        <v>71</v>
      </c>
      <c r="H35" s="44" t="s">
        <v>30</v>
      </c>
      <c r="I35" s="44" t="s">
        <v>51</v>
      </c>
      <c r="J35" s="44" t="s">
        <v>52</v>
      </c>
      <c r="K35" s="48">
        <v>1</v>
      </c>
      <c r="L35" s="44" t="s">
        <v>62</v>
      </c>
      <c r="M35" s="44">
        <v>2018</v>
      </c>
      <c r="N35" s="44" t="s">
        <v>29</v>
      </c>
      <c r="O35" s="46" t="s">
        <v>29</v>
      </c>
      <c r="P35" s="44" t="s">
        <v>29</v>
      </c>
      <c r="Q35" s="46" t="s">
        <v>29</v>
      </c>
      <c r="R35" s="47">
        <v>100</v>
      </c>
      <c r="S35" s="45">
        <v>1</v>
      </c>
      <c r="T35" s="45">
        <v>0</v>
      </c>
      <c r="U35" s="45">
        <v>0</v>
      </c>
    </row>
    <row r="36" spans="1:21" x14ac:dyDescent="0.2">
      <c r="A36" s="49" t="s">
        <v>47</v>
      </c>
      <c r="B36" s="49" t="s">
        <v>48</v>
      </c>
      <c r="C36" s="49" t="s">
        <v>53</v>
      </c>
      <c r="D36" s="49" t="s">
        <v>232</v>
      </c>
      <c r="E36" s="49" t="s">
        <v>233</v>
      </c>
      <c r="F36" s="49" t="s">
        <v>234</v>
      </c>
      <c r="G36" s="49" t="s">
        <v>230</v>
      </c>
      <c r="H36" s="49" t="s">
        <v>30</v>
      </c>
      <c r="I36" s="49" t="s">
        <v>51</v>
      </c>
      <c r="J36" s="49" t="s">
        <v>52</v>
      </c>
      <c r="K36" s="50">
        <v>1</v>
      </c>
      <c r="L36" s="49" t="s">
        <v>62</v>
      </c>
      <c r="M36" s="49">
        <v>2019</v>
      </c>
      <c r="N36" s="49" t="s">
        <v>46</v>
      </c>
      <c r="O36" s="51" t="s">
        <v>31</v>
      </c>
      <c r="P36" s="49" t="s">
        <v>50</v>
      </c>
      <c r="Q36" s="51" t="s">
        <v>42</v>
      </c>
      <c r="R36" s="52">
        <v>70</v>
      </c>
      <c r="S36" s="53">
        <v>0.7</v>
      </c>
      <c r="T36" s="53">
        <v>0.1</v>
      </c>
      <c r="U36" s="53">
        <v>0.2</v>
      </c>
    </row>
    <row r="37" spans="1:21" x14ac:dyDescent="0.2">
      <c r="A37" s="49" t="s">
        <v>47</v>
      </c>
      <c r="B37" s="49" t="s">
        <v>48</v>
      </c>
      <c r="C37" s="49" t="s">
        <v>53</v>
      </c>
      <c r="D37" s="49" t="s">
        <v>235</v>
      </c>
      <c r="E37" s="49" t="s">
        <v>236</v>
      </c>
      <c r="F37" s="49" t="s">
        <v>237</v>
      </c>
      <c r="G37" s="49" t="s">
        <v>65</v>
      </c>
      <c r="H37" s="49" t="s">
        <v>30</v>
      </c>
      <c r="I37" s="49" t="s">
        <v>51</v>
      </c>
      <c r="J37" s="49" t="s">
        <v>52</v>
      </c>
      <c r="K37" s="50">
        <v>1</v>
      </c>
      <c r="L37" s="49" t="s">
        <v>62</v>
      </c>
      <c r="M37" s="49">
        <v>2019</v>
      </c>
      <c r="N37" s="49" t="s">
        <v>50</v>
      </c>
      <c r="O37" s="51" t="s">
        <v>28</v>
      </c>
      <c r="P37" s="49" t="s">
        <v>29</v>
      </c>
      <c r="Q37" s="51" t="s">
        <v>29</v>
      </c>
      <c r="R37" s="52">
        <v>50</v>
      </c>
      <c r="S37" s="53">
        <v>0.5</v>
      </c>
      <c r="T37" s="53">
        <v>0.5</v>
      </c>
      <c r="U37" s="53">
        <v>0</v>
      </c>
    </row>
    <row r="38" spans="1:21" x14ac:dyDescent="0.2">
      <c r="A38" s="49" t="s">
        <v>47</v>
      </c>
      <c r="B38" s="49" t="s">
        <v>48</v>
      </c>
      <c r="C38" s="49" t="s">
        <v>53</v>
      </c>
      <c r="D38" s="49" t="s">
        <v>227</v>
      </c>
      <c r="E38" s="49" t="s">
        <v>228</v>
      </c>
      <c r="F38" s="49" t="s">
        <v>229</v>
      </c>
      <c r="G38" s="49" t="s">
        <v>230</v>
      </c>
      <c r="H38" s="49" t="s">
        <v>27</v>
      </c>
      <c r="I38" s="49" t="s">
        <v>51</v>
      </c>
      <c r="J38" s="49" t="s">
        <v>52</v>
      </c>
      <c r="K38" s="50">
        <v>0.5</v>
      </c>
      <c r="L38" s="49" t="s">
        <v>62</v>
      </c>
      <c r="M38" s="49">
        <v>2019</v>
      </c>
      <c r="N38" s="49" t="s">
        <v>46</v>
      </c>
      <c r="O38" s="51" t="s">
        <v>31</v>
      </c>
      <c r="P38" s="49" t="s">
        <v>50</v>
      </c>
      <c r="Q38" s="51" t="s">
        <v>42</v>
      </c>
      <c r="R38" s="52">
        <v>70</v>
      </c>
      <c r="S38" s="53">
        <v>0.35</v>
      </c>
      <c r="T38" s="53">
        <v>0.05</v>
      </c>
      <c r="U38" s="53">
        <v>0.1</v>
      </c>
    </row>
    <row r="39" spans="1:21" x14ac:dyDescent="0.2">
      <c r="A39" s="49" t="s">
        <v>47</v>
      </c>
      <c r="B39" s="49" t="s">
        <v>48</v>
      </c>
      <c r="C39" s="49" t="s">
        <v>53</v>
      </c>
      <c r="D39" s="49" t="s">
        <v>227</v>
      </c>
      <c r="E39" s="49" t="s">
        <v>228</v>
      </c>
      <c r="F39" s="49" t="s">
        <v>229</v>
      </c>
      <c r="G39" s="49" t="s">
        <v>231</v>
      </c>
      <c r="H39" s="49" t="s">
        <v>27</v>
      </c>
      <c r="I39" s="49" t="s">
        <v>51</v>
      </c>
      <c r="J39" s="49" t="s">
        <v>52</v>
      </c>
      <c r="K39" s="50">
        <v>0.5</v>
      </c>
      <c r="L39" s="49" t="s">
        <v>62</v>
      </c>
      <c r="M39" s="49">
        <v>2019</v>
      </c>
      <c r="N39" s="49" t="s">
        <v>40</v>
      </c>
      <c r="O39" s="51" t="s">
        <v>31</v>
      </c>
      <c r="P39" s="49" t="s">
        <v>50</v>
      </c>
      <c r="Q39" s="51" t="s">
        <v>42</v>
      </c>
      <c r="R39" s="52">
        <v>70</v>
      </c>
      <c r="S39" s="53">
        <v>0.35</v>
      </c>
      <c r="T39" s="53">
        <v>0.05</v>
      </c>
      <c r="U39" s="53">
        <v>0.1</v>
      </c>
    </row>
    <row r="40" spans="1:21" x14ac:dyDescent="0.2">
      <c r="A40" s="44" t="s">
        <v>47</v>
      </c>
      <c r="B40" s="44" t="s">
        <v>48</v>
      </c>
      <c r="C40" s="44" t="s">
        <v>53</v>
      </c>
      <c r="D40" s="44" t="s">
        <v>242</v>
      </c>
      <c r="E40" s="44" t="s">
        <v>243</v>
      </c>
      <c r="F40" s="44" t="s">
        <v>244</v>
      </c>
      <c r="G40" s="44" t="s">
        <v>63</v>
      </c>
      <c r="H40" s="44" t="s">
        <v>27</v>
      </c>
      <c r="I40" s="44" t="s">
        <v>51</v>
      </c>
      <c r="J40" s="44" t="s">
        <v>52</v>
      </c>
      <c r="K40" s="54">
        <v>0.5</v>
      </c>
      <c r="L40" s="54" t="s">
        <v>62</v>
      </c>
      <c r="M40" s="55">
        <v>2019</v>
      </c>
      <c r="N40" s="44" t="s">
        <v>29</v>
      </c>
      <c r="O40" s="46" t="s">
        <v>29</v>
      </c>
      <c r="P40" s="44" t="s">
        <v>29</v>
      </c>
      <c r="Q40" s="46" t="s">
        <v>29</v>
      </c>
      <c r="R40" s="44">
        <v>100</v>
      </c>
      <c r="S40" s="44">
        <v>0.5</v>
      </c>
      <c r="T40" s="44">
        <v>0</v>
      </c>
      <c r="U40" s="44">
        <v>0</v>
      </c>
    </row>
    <row r="41" spans="1:21" x14ac:dyDescent="0.2">
      <c r="A41" s="44" t="s">
        <v>47</v>
      </c>
      <c r="B41" s="44" t="s">
        <v>48</v>
      </c>
      <c r="C41" s="44" t="s">
        <v>53</v>
      </c>
      <c r="D41" s="44" t="s">
        <v>245</v>
      </c>
      <c r="E41" s="44" t="s">
        <v>246</v>
      </c>
      <c r="F41" s="44" t="s">
        <v>247</v>
      </c>
      <c r="G41" s="44" t="s">
        <v>63</v>
      </c>
      <c r="H41" s="44" t="s">
        <v>30</v>
      </c>
      <c r="I41" s="44" t="s">
        <v>51</v>
      </c>
      <c r="J41" s="44" t="s">
        <v>52</v>
      </c>
      <c r="K41" s="54">
        <v>1</v>
      </c>
      <c r="L41" s="54" t="s">
        <v>62</v>
      </c>
      <c r="M41" s="55">
        <v>2019</v>
      </c>
      <c r="N41" s="44" t="s">
        <v>29</v>
      </c>
      <c r="O41" s="46" t="s">
        <v>29</v>
      </c>
      <c r="P41" s="44" t="s">
        <v>29</v>
      </c>
      <c r="Q41" s="46" t="s">
        <v>29</v>
      </c>
      <c r="R41" s="44">
        <v>100</v>
      </c>
      <c r="S41" s="44">
        <v>1</v>
      </c>
      <c r="T41" s="44">
        <v>0</v>
      </c>
      <c r="U41" s="44">
        <v>0</v>
      </c>
    </row>
    <row r="42" spans="1:21" x14ac:dyDescent="0.2">
      <c r="A42" s="44" t="s">
        <v>47</v>
      </c>
      <c r="B42" s="44" t="s">
        <v>48</v>
      </c>
      <c r="C42" s="44" t="s">
        <v>53</v>
      </c>
      <c r="D42" s="44" t="s">
        <v>248</v>
      </c>
      <c r="E42" s="44" t="s">
        <v>249</v>
      </c>
      <c r="F42" s="44" t="s">
        <v>250</v>
      </c>
      <c r="G42" s="44" t="s">
        <v>251</v>
      </c>
      <c r="H42" s="44" t="s">
        <v>30</v>
      </c>
      <c r="I42" s="44" t="s">
        <v>51</v>
      </c>
      <c r="J42" s="44" t="s">
        <v>52</v>
      </c>
      <c r="K42" s="54">
        <v>1</v>
      </c>
      <c r="L42" s="54" t="s">
        <v>62</v>
      </c>
      <c r="M42" s="55">
        <v>2019</v>
      </c>
      <c r="N42" s="44" t="s">
        <v>29</v>
      </c>
      <c r="O42" s="46" t="s">
        <v>29</v>
      </c>
      <c r="P42" s="44" t="s">
        <v>29</v>
      </c>
      <c r="Q42" s="46" t="s">
        <v>29</v>
      </c>
      <c r="R42" s="44">
        <v>100</v>
      </c>
      <c r="S42" s="44">
        <v>1</v>
      </c>
      <c r="T42" s="44">
        <v>0</v>
      </c>
      <c r="U42" s="44">
        <v>0</v>
      </c>
    </row>
    <row r="43" spans="1:21" ht="10.8" thickBot="1" x14ac:dyDescent="0.25">
      <c r="A43" s="44" t="s">
        <v>47</v>
      </c>
      <c r="B43" s="44" t="s">
        <v>48</v>
      </c>
      <c r="C43" s="44" t="s">
        <v>53</v>
      </c>
      <c r="D43" s="44" t="s">
        <v>252</v>
      </c>
      <c r="E43" s="44" t="s">
        <v>253</v>
      </c>
      <c r="F43" s="44" t="s">
        <v>254</v>
      </c>
      <c r="G43" s="44" t="s">
        <v>66</v>
      </c>
      <c r="H43" s="44" t="s">
        <v>27</v>
      </c>
      <c r="I43" s="44" t="s">
        <v>51</v>
      </c>
      <c r="J43" s="44" t="s">
        <v>52</v>
      </c>
      <c r="K43" s="54">
        <v>0.5</v>
      </c>
      <c r="L43" s="54" t="s">
        <v>62</v>
      </c>
      <c r="M43" s="55">
        <v>2019</v>
      </c>
      <c r="N43" s="44" t="s">
        <v>29</v>
      </c>
      <c r="O43" s="46" t="s">
        <v>29</v>
      </c>
      <c r="P43" s="44" t="s">
        <v>29</v>
      </c>
      <c r="Q43" s="46" t="s">
        <v>29</v>
      </c>
      <c r="R43" s="44">
        <v>100</v>
      </c>
      <c r="S43" s="44">
        <v>0.5</v>
      </c>
      <c r="T43" s="44">
        <v>0</v>
      </c>
      <c r="U43" s="44">
        <v>0</v>
      </c>
    </row>
    <row r="44" spans="1:21" ht="10.8" thickBot="1" x14ac:dyDescent="0.25">
      <c r="A44" s="56" t="s">
        <v>47</v>
      </c>
      <c r="B44" s="56" t="s">
        <v>48</v>
      </c>
      <c r="C44" s="56" t="s">
        <v>53</v>
      </c>
      <c r="D44" s="56" t="s">
        <v>255</v>
      </c>
      <c r="E44" s="56" t="s">
        <v>256</v>
      </c>
      <c r="F44" s="56" t="s">
        <v>257</v>
      </c>
      <c r="G44" s="57" t="s">
        <v>65</v>
      </c>
      <c r="H44" s="58" t="s">
        <v>30</v>
      </c>
      <c r="I44" s="58" t="s">
        <v>51</v>
      </c>
      <c r="J44" s="59" t="s">
        <v>52</v>
      </c>
      <c r="K44" s="54">
        <v>1</v>
      </c>
      <c r="L44" s="54" t="s">
        <v>62</v>
      </c>
      <c r="M44" s="44">
        <v>2020</v>
      </c>
      <c r="N44" s="44" t="s">
        <v>50</v>
      </c>
      <c r="O44" s="46" t="s">
        <v>28</v>
      </c>
      <c r="P44" s="44" t="s">
        <v>29</v>
      </c>
      <c r="Q44" s="46" t="s">
        <v>29</v>
      </c>
      <c r="R44" s="44">
        <v>50</v>
      </c>
      <c r="S44" s="44">
        <v>0.5</v>
      </c>
      <c r="T44" s="44">
        <v>0.5</v>
      </c>
      <c r="U44" s="44">
        <v>0</v>
      </c>
    </row>
    <row r="45" spans="1:21" ht="10.8" thickBot="1" x14ac:dyDescent="0.25">
      <c r="A45" s="56" t="s">
        <v>47</v>
      </c>
      <c r="B45" s="56" t="s">
        <v>48</v>
      </c>
      <c r="C45" s="56" t="s">
        <v>53</v>
      </c>
      <c r="D45" s="56" t="s">
        <v>258</v>
      </c>
      <c r="E45" s="56" t="s">
        <v>259</v>
      </c>
      <c r="F45" s="56" t="s">
        <v>260</v>
      </c>
      <c r="G45" s="57" t="s">
        <v>251</v>
      </c>
      <c r="H45" s="58" t="s">
        <v>27</v>
      </c>
      <c r="I45" s="58" t="s">
        <v>51</v>
      </c>
      <c r="J45" s="59" t="s">
        <v>52</v>
      </c>
      <c r="K45" s="54">
        <v>0.5</v>
      </c>
      <c r="L45" s="54" t="s">
        <v>62</v>
      </c>
      <c r="M45" s="44">
        <v>2020</v>
      </c>
      <c r="N45" s="44" t="s">
        <v>29</v>
      </c>
      <c r="O45" s="46" t="s">
        <v>29</v>
      </c>
      <c r="P45" s="44" t="s">
        <v>29</v>
      </c>
      <c r="Q45" s="46" t="s">
        <v>29</v>
      </c>
      <c r="R45" s="44">
        <v>100</v>
      </c>
      <c r="S45" s="44">
        <v>0.5</v>
      </c>
      <c r="T45" s="44">
        <v>0</v>
      </c>
      <c r="U45" s="44">
        <v>0</v>
      </c>
    </row>
    <row r="46" spans="1:21" ht="10.8" thickBot="1" x14ac:dyDescent="0.25">
      <c r="A46" s="56" t="s">
        <v>47</v>
      </c>
      <c r="B46" s="56" t="s">
        <v>48</v>
      </c>
      <c r="C46" s="56" t="s">
        <v>53</v>
      </c>
      <c r="D46" s="56" t="s">
        <v>261</v>
      </c>
      <c r="E46" s="56" t="s">
        <v>262</v>
      </c>
      <c r="F46" s="56" t="s">
        <v>263</v>
      </c>
      <c r="G46" s="57" t="s">
        <v>105</v>
      </c>
      <c r="H46" s="58" t="s">
        <v>27</v>
      </c>
      <c r="I46" s="58" t="s">
        <v>51</v>
      </c>
      <c r="J46" s="59" t="s">
        <v>52</v>
      </c>
      <c r="K46" s="54">
        <v>0.5</v>
      </c>
      <c r="L46" s="54" t="s">
        <v>62</v>
      </c>
      <c r="M46" s="44">
        <v>2020</v>
      </c>
      <c r="N46" s="44" t="s">
        <v>50</v>
      </c>
      <c r="O46" s="46" t="s">
        <v>33</v>
      </c>
      <c r="P46" s="44" t="s">
        <v>29</v>
      </c>
      <c r="Q46" s="46" t="s">
        <v>29</v>
      </c>
      <c r="R46" s="44">
        <v>10</v>
      </c>
      <c r="S46" s="44">
        <v>0.05</v>
      </c>
      <c r="T46" s="44">
        <v>0.45</v>
      </c>
      <c r="U46" s="44">
        <v>0</v>
      </c>
    </row>
    <row r="47" spans="1:21" ht="10.8" thickBot="1" x14ac:dyDescent="0.25">
      <c r="A47" s="56" t="s">
        <v>47</v>
      </c>
      <c r="B47" s="56" t="s">
        <v>48</v>
      </c>
      <c r="C47" s="56" t="s">
        <v>53</v>
      </c>
      <c r="D47" s="56" t="s">
        <v>261</v>
      </c>
      <c r="E47" s="56" t="s">
        <v>262</v>
      </c>
      <c r="F47" s="56" t="s">
        <v>263</v>
      </c>
      <c r="G47" s="57" t="s">
        <v>69</v>
      </c>
      <c r="H47" s="58" t="s">
        <v>27</v>
      </c>
      <c r="I47" s="58" t="s">
        <v>51</v>
      </c>
      <c r="J47" s="59" t="s">
        <v>52</v>
      </c>
      <c r="K47" s="54">
        <v>0.5</v>
      </c>
      <c r="L47" s="54" t="s">
        <v>62</v>
      </c>
      <c r="M47" s="44">
        <v>2020</v>
      </c>
      <c r="N47" s="44" t="s">
        <v>46</v>
      </c>
      <c r="O47" s="46" t="s">
        <v>31</v>
      </c>
      <c r="P47" s="44" t="s">
        <v>29</v>
      </c>
      <c r="Q47" s="46" t="s">
        <v>29</v>
      </c>
      <c r="R47" s="44">
        <v>90</v>
      </c>
      <c r="S47" s="44">
        <v>0.45</v>
      </c>
      <c r="T47" s="44">
        <v>0.05</v>
      </c>
      <c r="U47" s="44">
        <v>0</v>
      </c>
    </row>
    <row r="48" spans="1:21" ht="10.8" thickBot="1" x14ac:dyDescent="0.25">
      <c r="A48" s="56" t="s">
        <v>47</v>
      </c>
      <c r="B48" s="56" t="s">
        <v>48</v>
      </c>
      <c r="C48" s="56" t="s">
        <v>53</v>
      </c>
      <c r="D48" s="56" t="s">
        <v>264</v>
      </c>
      <c r="E48" s="56" t="s">
        <v>265</v>
      </c>
      <c r="F48" s="56" t="s">
        <v>266</v>
      </c>
      <c r="G48" s="57" t="s">
        <v>69</v>
      </c>
      <c r="H48" s="58" t="s">
        <v>27</v>
      </c>
      <c r="I48" s="58" t="s">
        <v>51</v>
      </c>
      <c r="J48" s="59" t="s">
        <v>52</v>
      </c>
      <c r="K48" s="54">
        <v>0.5</v>
      </c>
      <c r="L48" s="54" t="s">
        <v>62</v>
      </c>
      <c r="M48" s="44">
        <v>2020</v>
      </c>
      <c r="N48" s="44" t="s">
        <v>46</v>
      </c>
      <c r="O48" s="46" t="s">
        <v>31</v>
      </c>
      <c r="P48" s="44" t="s">
        <v>29</v>
      </c>
      <c r="Q48" s="46" t="s">
        <v>29</v>
      </c>
      <c r="R48" s="44">
        <v>90</v>
      </c>
      <c r="S48" s="60">
        <v>0.45</v>
      </c>
      <c r="T48" s="44">
        <v>0.05</v>
      </c>
      <c r="U48" s="44">
        <v>0</v>
      </c>
    </row>
    <row r="49" spans="1:21" x14ac:dyDescent="0.2">
      <c r="A49" s="44" t="s">
        <v>286</v>
      </c>
      <c r="B49" s="44" t="s">
        <v>287</v>
      </c>
      <c r="C49" s="44" t="s">
        <v>288</v>
      </c>
      <c r="D49" s="44" t="s">
        <v>289</v>
      </c>
      <c r="E49" s="44" t="s">
        <v>290</v>
      </c>
      <c r="F49" s="44" t="s">
        <v>291</v>
      </c>
      <c r="G49" s="44" t="s">
        <v>69</v>
      </c>
      <c r="H49" s="44" t="s">
        <v>27</v>
      </c>
      <c r="I49" s="44" t="s">
        <v>51</v>
      </c>
      <c r="J49" s="44" t="s">
        <v>52</v>
      </c>
      <c r="K49" s="54">
        <v>0.5</v>
      </c>
      <c r="L49" s="54" t="s">
        <v>62</v>
      </c>
      <c r="M49" s="44">
        <v>2021</v>
      </c>
      <c r="N49" s="44" t="s">
        <v>46</v>
      </c>
      <c r="O49" s="46" t="s">
        <v>31</v>
      </c>
      <c r="P49" s="44" t="s">
        <v>29</v>
      </c>
      <c r="Q49" s="46" t="s">
        <v>29</v>
      </c>
      <c r="R49" s="44">
        <v>90</v>
      </c>
      <c r="S49" s="44">
        <v>0.45</v>
      </c>
      <c r="T49" s="44">
        <v>0.05</v>
      </c>
      <c r="U49" s="44">
        <v>0</v>
      </c>
    </row>
    <row r="50" spans="1:21" x14ac:dyDescent="0.2">
      <c r="A50" s="44" t="s">
        <v>286</v>
      </c>
      <c r="B50" s="44" t="s">
        <v>287</v>
      </c>
      <c r="C50" s="44" t="s">
        <v>288</v>
      </c>
      <c r="D50" s="44" t="s">
        <v>292</v>
      </c>
      <c r="E50" s="44" t="s">
        <v>293</v>
      </c>
      <c r="F50" s="44" t="s">
        <v>294</v>
      </c>
      <c r="G50" s="44" t="s">
        <v>69</v>
      </c>
      <c r="H50" s="44" t="s">
        <v>27</v>
      </c>
      <c r="I50" s="44" t="s">
        <v>51</v>
      </c>
      <c r="J50" s="44" t="s">
        <v>52</v>
      </c>
      <c r="K50" s="54">
        <v>0.5</v>
      </c>
      <c r="L50" s="54" t="s">
        <v>62</v>
      </c>
      <c r="M50" s="44">
        <v>2021</v>
      </c>
      <c r="N50" s="44" t="s">
        <v>46</v>
      </c>
      <c r="O50" s="46" t="s">
        <v>31</v>
      </c>
      <c r="P50" s="44" t="s">
        <v>29</v>
      </c>
      <c r="Q50" s="46" t="s">
        <v>29</v>
      </c>
      <c r="R50" s="44">
        <v>90</v>
      </c>
      <c r="S50" s="44">
        <v>0.45</v>
      </c>
      <c r="T50" s="44">
        <v>0.05</v>
      </c>
      <c r="U50" s="44">
        <v>0</v>
      </c>
    </row>
    <row r="51" spans="1:21" x14ac:dyDescent="0.2">
      <c r="A51" s="44" t="s">
        <v>47</v>
      </c>
      <c r="B51" s="44" t="s">
        <v>48</v>
      </c>
      <c r="C51" s="44" t="s">
        <v>53</v>
      </c>
      <c r="D51" s="44" t="s">
        <v>295</v>
      </c>
      <c r="E51" s="44" t="s">
        <v>296</v>
      </c>
      <c r="F51" s="44" t="s">
        <v>297</v>
      </c>
      <c r="G51" s="44" t="s">
        <v>69</v>
      </c>
      <c r="H51" s="44" t="s">
        <v>30</v>
      </c>
      <c r="I51" s="44" t="s">
        <v>51</v>
      </c>
      <c r="J51" s="44" t="s">
        <v>52</v>
      </c>
      <c r="K51" s="54">
        <v>1</v>
      </c>
      <c r="L51" s="54" t="s">
        <v>62</v>
      </c>
      <c r="M51" s="44">
        <v>2021</v>
      </c>
      <c r="N51" s="44" t="s">
        <v>46</v>
      </c>
      <c r="O51" s="46" t="s">
        <v>31</v>
      </c>
      <c r="P51" s="44" t="s">
        <v>29</v>
      </c>
      <c r="Q51" s="46" t="s">
        <v>29</v>
      </c>
      <c r="R51" s="44">
        <v>90</v>
      </c>
      <c r="S51" s="44">
        <v>0.9</v>
      </c>
      <c r="T51" s="44">
        <v>0.1</v>
      </c>
      <c r="U51" s="44">
        <v>0</v>
      </c>
    </row>
    <row r="52" spans="1:21" x14ac:dyDescent="0.2">
      <c r="A52" s="44" t="s">
        <v>47</v>
      </c>
      <c r="B52" s="44" t="s">
        <v>48</v>
      </c>
      <c r="C52" s="44" t="s">
        <v>53</v>
      </c>
      <c r="D52" s="44" t="s">
        <v>298</v>
      </c>
      <c r="E52" s="44" t="s">
        <v>299</v>
      </c>
      <c r="F52" s="44" t="s">
        <v>300</v>
      </c>
      <c r="G52" s="44" t="s">
        <v>251</v>
      </c>
      <c r="H52" s="44" t="s">
        <v>27</v>
      </c>
      <c r="I52" s="44" t="s">
        <v>51</v>
      </c>
      <c r="J52" s="44" t="s">
        <v>52</v>
      </c>
      <c r="K52" s="54">
        <v>0.5</v>
      </c>
      <c r="L52" s="54" t="s">
        <v>62</v>
      </c>
      <c r="M52" s="44">
        <v>2021</v>
      </c>
      <c r="N52" s="44" t="s">
        <v>29</v>
      </c>
      <c r="O52" s="46" t="s">
        <v>29</v>
      </c>
      <c r="P52" s="44" t="s">
        <v>29</v>
      </c>
      <c r="Q52" s="46" t="s">
        <v>29</v>
      </c>
      <c r="R52" s="44">
        <v>100</v>
      </c>
      <c r="S52" s="44">
        <v>0.5</v>
      </c>
      <c r="T52" s="44">
        <v>0</v>
      </c>
      <c r="U52" s="44">
        <v>0</v>
      </c>
    </row>
    <row r="53" spans="1:21" x14ac:dyDescent="0.2">
      <c r="A53" s="44" t="s">
        <v>47</v>
      </c>
      <c r="B53" s="44" t="s">
        <v>48</v>
      </c>
      <c r="C53" s="44" t="s">
        <v>53</v>
      </c>
      <c r="D53" s="44" t="s">
        <v>298</v>
      </c>
      <c r="E53" s="44" t="s">
        <v>299</v>
      </c>
      <c r="F53" s="44" t="s">
        <v>300</v>
      </c>
      <c r="G53" s="44" t="s">
        <v>65</v>
      </c>
      <c r="H53" s="44" t="s">
        <v>27</v>
      </c>
      <c r="I53" s="44" t="s">
        <v>51</v>
      </c>
      <c r="J53" s="44" t="s">
        <v>52</v>
      </c>
      <c r="K53" s="54">
        <v>0.5</v>
      </c>
      <c r="L53" s="54" t="s">
        <v>62</v>
      </c>
      <c r="M53" s="44">
        <v>2021</v>
      </c>
      <c r="N53" s="44" t="s">
        <v>50</v>
      </c>
      <c r="O53" s="46" t="s">
        <v>28</v>
      </c>
      <c r="P53" s="44" t="s">
        <v>29</v>
      </c>
      <c r="Q53" s="46" t="s">
        <v>29</v>
      </c>
      <c r="R53" s="44">
        <v>50</v>
      </c>
      <c r="S53" s="44">
        <v>0.25</v>
      </c>
      <c r="T53" s="44">
        <v>0.25</v>
      </c>
      <c r="U53" s="44">
        <v>0</v>
      </c>
    </row>
    <row r="54" spans="1:21" x14ac:dyDescent="0.2">
      <c r="A54" s="44" t="s">
        <v>47</v>
      </c>
      <c r="B54" s="44" t="s">
        <v>48</v>
      </c>
      <c r="C54" s="44" t="s">
        <v>53</v>
      </c>
      <c r="D54" s="44" t="s">
        <v>301</v>
      </c>
      <c r="E54" s="44" t="s">
        <v>302</v>
      </c>
      <c r="F54" s="44" t="s">
        <v>303</v>
      </c>
      <c r="G54" s="44" t="s">
        <v>63</v>
      </c>
      <c r="H54" s="44" t="s">
        <v>30</v>
      </c>
      <c r="I54" s="44" t="s">
        <v>51</v>
      </c>
      <c r="J54" s="44" t="s">
        <v>52</v>
      </c>
      <c r="K54" s="54">
        <v>1</v>
      </c>
      <c r="L54" s="54" t="s">
        <v>62</v>
      </c>
      <c r="M54" s="44">
        <v>2021</v>
      </c>
      <c r="N54" s="44" t="s">
        <v>29</v>
      </c>
      <c r="O54" s="46" t="s">
        <v>29</v>
      </c>
      <c r="P54" s="44" t="s">
        <v>29</v>
      </c>
      <c r="Q54" s="46" t="s">
        <v>29</v>
      </c>
      <c r="R54" s="44">
        <v>100</v>
      </c>
      <c r="S54" s="44">
        <v>1</v>
      </c>
      <c r="T54" s="44">
        <v>0</v>
      </c>
      <c r="U54" s="44">
        <v>0</v>
      </c>
    </row>
    <row r="55" spans="1:21" x14ac:dyDescent="0.2">
      <c r="A55" s="44" t="s">
        <v>47</v>
      </c>
      <c r="B55" s="44" t="s">
        <v>48</v>
      </c>
      <c r="C55" s="44" t="s">
        <v>53</v>
      </c>
      <c r="D55" s="44" t="s">
        <v>304</v>
      </c>
      <c r="E55" s="44" t="s">
        <v>305</v>
      </c>
      <c r="F55" s="44" t="s">
        <v>306</v>
      </c>
      <c r="G55" s="44" t="s">
        <v>63</v>
      </c>
      <c r="H55" s="44" t="s">
        <v>30</v>
      </c>
      <c r="I55" s="44" t="s">
        <v>51</v>
      </c>
      <c r="J55" s="44" t="s">
        <v>52</v>
      </c>
      <c r="K55" s="54">
        <v>1</v>
      </c>
      <c r="L55" s="54" t="s">
        <v>62</v>
      </c>
      <c r="M55" s="44">
        <v>2021</v>
      </c>
      <c r="N55" s="44" t="s">
        <v>29</v>
      </c>
      <c r="O55" s="46" t="s">
        <v>29</v>
      </c>
      <c r="P55" s="44" t="s">
        <v>29</v>
      </c>
      <c r="Q55" s="46" t="s">
        <v>29</v>
      </c>
      <c r="R55" s="44">
        <v>100</v>
      </c>
      <c r="S55" s="44">
        <v>1</v>
      </c>
      <c r="T55" s="44">
        <v>0</v>
      </c>
      <c r="U55" s="44">
        <v>0</v>
      </c>
    </row>
    <row r="56" spans="1:21" x14ac:dyDescent="0.2">
      <c r="A56" s="44" t="s">
        <v>47</v>
      </c>
      <c r="B56" s="44" t="s">
        <v>48</v>
      </c>
      <c r="C56" s="44" t="s">
        <v>53</v>
      </c>
      <c r="D56" s="44" t="s">
        <v>307</v>
      </c>
      <c r="E56" s="44" t="s">
        <v>308</v>
      </c>
      <c r="F56" s="44" t="s">
        <v>309</v>
      </c>
      <c r="G56" s="44" t="s">
        <v>310</v>
      </c>
      <c r="H56" s="44" t="s">
        <v>30</v>
      </c>
      <c r="I56" s="44" t="s">
        <v>51</v>
      </c>
      <c r="J56" s="44" t="s">
        <v>52</v>
      </c>
      <c r="K56" s="54">
        <v>1</v>
      </c>
      <c r="L56" s="54" t="s">
        <v>62</v>
      </c>
      <c r="M56" s="44">
        <v>2021</v>
      </c>
      <c r="N56" s="44" t="s">
        <v>46</v>
      </c>
      <c r="O56" s="46" t="s">
        <v>31</v>
      </c>
      <c r="P56" s="44" t="s">
        <v>29</v>
      </c>
      <c r="Q56" s="46" t="s">
        <v>29</v>
      </c>
      <c r="R56" s="44">
        <v>90</v>
      </c>
      <c r="S56" s="44">
        <v>0.9</v>
      </c>
      <c r="T56" s="44">
        <v>0.1</v>
      </c>
      <c r="U56" s="44">
        <v>0</v>
      </c>
    </row>
    <row r="57" spans="1:21" x14ac:dyDescent="0.2">
      <c r="A57" s="44" t="s">
        <v>47</v>
      </c>
      <c r="B57" s="44" t="s">
        <v>48</v>
      </c>
      <c r="C57" s="44" t="s">
        <v>53</v>
      </c>
      <c r="D57" s="44" t="s">
        <v>311</v>
      </c>
      <c r="E57" s="44" t="s">
        <v>312</v>
      </c>
      <c r="F57" s="44" t="s">
        <v>313</v>
      </c>
      <c r="G57" s="44" t="s">
        <v>72</v>
      </c>
      <c r="H57" s="44" t="s">
        <v>30</v>
      </c>
      <c r="I57" s="44" t="s">
        <v>51</v>
      </c>
      <c r="J57" s="44" t="s">
        <v>52</v>
      </c>
      <c r="K57" s="54">
        <v>1</v>
      </c>
      <c r="L57" s="54" t="s">
        <v>62</v>
      </c>
      <c r="M57" s="44">
        <v>2021</v>
      </c>
      <c r="N57" s="44" t="s">
        <v>46</v>
      </c>
      <c r="O57" s="46" t="s">
        <v>31</v>
      </c>
      <c r="P57" s="44" t="s">
        <v>40</v>
      </c>
      <c r="Q57" s="46" t="s">
        <v>41</v>
      </c>
      <c r="R57" s="44">
        <v>60</v>
      </c>
      <c r="S57" s="44">
        <v>0.6</v>
      </c>
      <c r="T57" s="44">
        <v>0.1</v>
      </c>
      <c r="U57" s="44">
        <v>0.3</v>
      </c>
    </row>
    <row r="58" spans="1:21" x14ac:dyDescent="0.2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5"/>
      <c r="P58" s="14"/>
      <c r="Q58" s="15"/>
      <c r="R58" s="14"/>
      <c r="S58" s="61">
        <f>SUM(S2:S57)</f>
        <v>35.200000000000003</v>
      </c>
      <c r="T58" s="14"/>
      <c r="U58" s="14"/>
    </row>
  </sheetData>
  <autoFilter ref="A1:U1" xr:uid="{00000000-0009-0000-0000-000000000000}">
    <sortState xmlns:xlrd2="http://schemas.microsoft.com/office/spreadsheetml/2017/richdata2" ref="A2:R1844">
      <sortCondition ref="D2:D1844"/>
    </sortState>
  </autoFilter>
  <printOptions horizontalCentered="1"/>
  <pageMargins left="0.19685039370078741" right="0.19685039370078741" top="0.39370078740157483" bottom="0.39370078740157483" header="0.78740157480314965" footer="0"/>
  <pageSetup paperSize="9" scale="93" fitToWidth="2" fitToHeight="5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S36"/>
  <sheetViews>
    <sheetView topLeftCell="A13" zoomScaleNormal="100" workbookViewId="0">
      <selection activeCell="A36" sqref="A36:S36"/>
    </sheetView>
  </sheetViews>
  <sheetFormatPr baseColWidth="10" defaultColWidth="11.44140625" defaultRowHeight="13.2" x14ac:dyDescent="0.25"/>
  <cols>
    <col min="1" max="1" width="10.88671875" style="20" bestFit="1" customWidth="1"/>
    <col min="2" max="2" width="38.88671875" style="20" bestFit="1" customWidth="1"/>
    <col min="3" max="3" width="17" style="20" bestFit="1" customWidth="1"/>
    <col min="4" max="9" width="3.33203125" style="20" bestFit="1" customWidth="1"/>
    <col min="10" max="10" width="13.109375" style="20" bestFit="1" customWidth="1"/>
    <col min="11" max="11" width="5.33203125" style="20" bestFit="1" customWidth="1"/>
    <col min="12" max="13" width="5.6640625" style="20" bestFit="1" customWidth="1"/>
    <col min="14" max="14" width="5.6640625" style="21" bestFit="1" customWidth="1"/>
    <col min="15" max="15" width="5.6640625" style="20" bestFit="1" customWidth="1"/>
    <col min="16" max="16" width="5.6640625" style="21" bestFit="1" customWidth="1"/>
    <col min="17" max="19" width="5.6640625" style="20" bestFit="1" customWidth="1"/>
    <col min="20" max="16384" width="11.44140625" style="20"/>
  </cols>
  <sheetData>
    <row r="1" spans="1:19" s="19" customFormat="1" ht="60" customHeight="1" x14ac:dyDescent="0.25">
      <c r="A1" s="22" t="s">
        <v>140</v>
      </c>
      <c r="B1" s="22" t="s">
        <v>141</v>
      </c>
      <c r="C1" s="22" t="s">
        <v>142</v>
      </c>
      <c r="D1" s="23">
        <v>2017</v>
      </c>
      <c r="E1" s="23">
        <v>2018</v>
      </c>
      <c r="F1" s="23">
        <v>2019</v>
      </c>
      <c r="G1" s="23">
        <v>2020</v>
      </c>
      <c r="H1" s="23">
        <v>2021</v>
      </c>
      <c r="I1" s="23">
        <v>2022</v>
      </c>
      <c r="J1" s="22" t="s">
        <v>143</v>
      </c>
      <c r="K1" s="24" t="s">
        <v>240</v>
      </c>
      <c r="L1" s="17" t="s">
        <v>144</v>
      </c>
      <c r="M1" s="17" t="s">
        <v>145</v>
      </c>
      <c r="N1" s="17" t="s">
        <v>146</v>
      </c>
      <c r="O1" s="17" t="s">
        <v>147</v>
      </c>
      <c r="P1" s="18" t="s">
        <v>148</v>
      </c>
      <c r="Q1" s="18" t="s">
        <v>149</v>
      </c>
      <c r="R1" s="18" t="s">
        <v>150</v>
      </c>
      <c r="S1" s="18" t="s">
        <v>151</v>
      </c>
    </row>
    <row r="2" spans="1:19" ht="14.4" x14ac:dyDescent="0.3">
      <c r="A2" s="25" t="s">
        <v>170</v>
      </c>
      <c r="B2" s="25" t="s">
        <v>171</v>
      </c>
      <c r="C2" s="25" t="s">
        <v>152</v>
      </c>
      <c r="D2" s="25">
        <v>1</v>
      </c>
      <c r="E2" s="25"/>
      <c r="F2" s="25"/>
      <c r="G2" s="25"/>
      <c r="H2" s="25"/>
      <c r="I2" s="25"/>
      <c r="J2" s="25">
        <v>1</v>
      </c>
      <c r="K2" s="25" t="s">
        <v>62</v>
      </c>
      <c r="L2" s="26" t="s">
        <v>46</v>
      </c>
      <c r="M2" s="26" t="s">
        <v>31</v>
      </c>
      <c r="N2" s="26" t="s">
        <v>40</v>
      </c>
      <c r="O2" s="26" t="s">
        <v>41</v>
      </c>
      <c r="P2" s="26">
        <v>60</v>
      </c>
      <c r="Q2" s="26">
        <v>0.1</v>
      </c>
      <c r="R2" s="26">
        <v>0.3</v>
      </c>
      <c r="S2" s="26">
        <v>0.6</v>
      </c>
    </row>
    <row r="3" spans="1:19" ht="14.4" x14ac:dyDescent="0.3">
      <c r="A3" s="25" t="s">
        <v>195</v>
      </c>
      <c r="B3" s="25" t="s">
        <v>196</v>
      </c>
      <c r="C3" s="25" t="s">
        <v>152</v>
      </c>
      <c r="D3" s="25"/>
      <c r="E3" s="25"/>
      <c r="F3" s="25">
        <v>1</v>
      </c>
      <c r="G3" s="25"/>
      <c r="H3" s="25"/>
      <c r="I3" s="25"/>
      <c r="J3" s="25">
        <v>1</v>
      </c>
      <c r="K3" s="25" t="s">
        <v>62</v>
      </c>
      <c r="L3" s="26">
        <v>0</v>
      </c>
      <c r="M3" s="26">
        <v>0</v>
      </c>
      <c r="N3" s="26" t="s">
        <v>29</v>
      </c>
      <c r="O3" s="26" t="s">
        <v>29</v>
      </c>
      <c r="P3" s="26">
        <v>100</v>
      </c>
      <c r="Q3" s="26">
        <v>0</v>
      </c>
      <c r="R3" s="26">
        <v>0</v>
      </c>
      <c r="S3" s="26">
        <v>1</v>
      </c>
    </row>
    <row r="4" spans="1:19" ht="14.4" x14ac:dyDescent="0.3">
      <c r="A4" s="25" t="s">
        <v>164</v>
      </c>
      <c r="B4" s="25" t="s">
        <v>165</v>
      </c>
      <c r="C4" s="25" t="s">
        <v>152</v>
      </c>
      <c r="D4" s="25">
        <v>1</v>
      </c>
      <c r="E4" s="25"/>
      <c r="F4" s="25"/>
      <c r="G4" s="25"/>
      <c r="H4" s="25"/>
      <c r="I4" s="25"/>
      <c r="J4" s="25">
        <v>1</v>
      </c>
      <c r="K4" s="25" t="s">
        <v>62</v>
      </c>
      <c r="L4" s="26">
        <v>0</v>
      </c>
      <c r="M4" s="26">
        <v>0</v>
      </c>
      <c r="N4" s="26" t="s">
        <v>29</v>
      </c>
      <c r="O4" s="26" t="s">
        <v>29</v>
      </c>
      <c r="P4" s="26">
        <v>100</v>
      </c>
      <c r="Q4" s="26">
        <v>0</v>
      </c>
      <c r="R4" s="26">
        <v>0</v>
      </c>
      <c r="S4" s="26">
        <v>1</v>
      </c>
    </row>
    <row r="5" spans="1:19" ht="14.4" x14ac:dyDescent="0.3">
      <c r="A5" s="25" t="s">
        <v>207</v>
      </c>
      <c r="B5" s="25" t="s">
        <v>208</v>
      </c>
      <c r="C5" s="25" t="s">
        <v>152</v>
      </c>
      <c r="D5" s="25"/>
      <c r="E5" s="25"/>
      <c r="F5" s="25"/>
      <c r="G5" s="25">
        <v>1</v>
      </c>
      <c r="H5" s="25"/>
      <c r="I5" s="25"/>
      <c r="J5" s="25">
        <v>1</v>
      </c>
      <c r="K5" s="25" t="s">
        <v>62</v>
      </c>
      <c r="L5" s="26">
        <v>0</v>
      </c>
      <c r="M5" s="26">
        <v>0</v>
      </c>
      <c r="N5" s="26" t="s">
        <v>29</v>
      </c>
      <c r="O5" s="26" t="s">
        <v>29</v>
      </c>
      <c r="P5" s="26">
        <v>100</v>
      </c>
      <c r="Q5" s="26">
        <v>0</v>
      </c>
      <c r="R5" s="26">
        <v>0</v>
      </c>
      <c r="S5" s="26">
        <v>1</v>
      </c>
    </row>
    <row r="6" spans="1:19" ht="14.4" x14ac:dyDescent="0.3">
      <c r="A6" s="25" t="s">
        <v>162</v>
      </c>
      <c r="B6" s="25" t="s">
        <v>163</v>
      </c>
      <c r="C6" s="25" t="s">
        <v>152</v>
      </c>
      <c r="D6" s="25"/>
      <c r="E6" s="25"/>
      <c r="F6" s="25">
        <v>1</v>
      </c>
      <c r="G6" s="25"/>
      <c r="H6" s="25"/>
      <c r="I6" s="25"/>
      <c r="J6" s="25">
        <v>1</v>
      </c>
      <c r="K6" s="25" t="s">
        <v>62</v>
      </c>
      <c r="L6" s="26" t="s">
        <v>46</v>
      </c>
      <c r="M6" s="26" t="s">
        <v>31</v>
      </c>
      <c r="N6" s="26" t="s">
        <v>29</v>
      </c>
      <c r="O6" s="26" t="s">
        <v>29</v>
      </c>
      <c r="P6" s="26">
        <v>90</v>
      </c>
      <c r="Q6" s="26">
        <v>0.1</v>
      </c>
      <c r="R6" s="26">
        <v>0</v>
      </c>
      <c r="S6" s="26">
        <v>0.9</v>
      </c>
    </row>
    <row r="7" spans="1:19" ht="14.4" x14ac:dyDescent="0.3">
      <c r="A7" s="25" t="s">
        <v>185</v>
      </c>
      <c r="B7" s="25" t="s">
        <v>186</v>
      </c>
      <c r="C7" s="25" t="s">
        <v>152</v>
      </c>
      <c r="D7" s="25">
        <v>1</v>
      </c>
      <c r="E7" s="25"/>
      <c r="F7" s="25"/>
      <c r="G7" s="25"/>
      <c r="H7" s="25"/>
      <c r="I7" s="25"/>
      <c r="J7" s="25">
        <v>1</v>
      </c>
      <c r="K7" s="25" t="s">
        <v>62</v>
      </c>
      <c r="L7" s="26" t="s">
        <v>46</v>
      </c>
      <c r="M7" s="26" t="s">
        <v>31</v>
      </c>
      <c r="N7" s="26" t="s">
        <v>29</v>
      </c>
      <c r="O7" s="26" t="s">
        <v>29</v>
      </c>
      <c r="P7" s="26">
        <v>90</v>
      </c>
      <c r="Q7" s="26">
        <v>0.1</v>
      </c>
      <c r="R7" s="26">
        <v>0</v>
      </c>
      <c r="S7" s="26">
        <v>0.9</v>
      </c>
    </row>
    <row r="8" spans="1:19" ht="14.4" x14ac:dyDescent="0.3">
      <c r="A8" s="25" t="s">
        <v>197</v>
      </c>
      <c r="B8" s="25" t="s">
        <v>198</v>
      </c>
      <c r="C8" s="25" t="s">
        <v>152</v>
      </c>
      <c r="D8" s="25"/>
      <c r="E8" s="25">
        <v>1</v>
      </c>
      <c r="F8" s="25"/>
      <c r="G8" s="25"/>
      <c r="H8" s="25"/>
      <c r="I8" s="25"/>
      <c r="J8" s="25">
        <v>1</v>
      </c>
      <c r="K8" s="25" t="s">
        <v>62</v>
      </c>
      <c r="L8" s="26">
        <v>0</v>
      </c>
      <c r="M8" s="26">
        <v>0</v>
      </c>
      <c r="N8" s="26" t="s">
        <v>29</v>
      </c>
      <c r="O8" s="26" t="s">
        <v>29</v>
      </c>
      <c r="P8" s="26">
        <v>100</v>
      </c>
      <c r="Q8" s="26">
        <v>0</v>
      </c>
      <c r="R8" s="26">
        <v>0</v>
      </c>
      <c r="S8" s="26">
        <v>1</v>
      </c>
    </row>
    <row r="9" spans="1:19" ht="14.4" x14ac:dyDescent="0.3">
      <c r="A9" s="25" t="s">
        <v>181</v>
      </c>
      <c r="B9" s="25" t="s">
        <v>182</v>
      </c>
      <c r="C9" s="25" t="s">
        <v>152</v>
      </c>
      <c r="D9" s="25">
        <v>1</v>
      </c>
      <c r="E9" s="25"/>
      <c r="F9" s="25"/>
      <c r="G9" s="25"/>
      <c r="H9" s="25"/>
      <c r="I9" s="25"/>
      <c r="J9" s="25">
        <v>1</v>
      </c>
      <c r="K9" s="25" t="s">
        <v>62</v>
      </c>
      <c r="L9" s="26" t="s">
        <v>46</v>
      </c>
      <c r="M9" s="26" t="s">
        <v>31</v>
      </c>
      <c r="N9" s="26" t="s">
        <v>50</v>
      </c>
      <c r="O9" s="26" t="s">
        <v>31</v>
      </c>
      <c r="P9" s="26">
        <v>80</v>
      </c>
      <c r="Q9" s="26">
        <v>0.1</v>
      </c>
      <c r="R9" s="26">
        <v>0.1</v>
      </c>
      <c r="S9" s="26">
        <v>0.8</v>
      </c>
    </row>
    <row r="10" spans="1:19" ht="14.4" x14ac:dyDescent="0.3">
      <c r="A10" s="25" t="s">
        <v>172</v>
      </c>
      <c r="B10" s="25" t="s">
        <v>173</v>
      </c>
      <c r="C10" s="25" t="s">
        <v>152</v>
      </c>
      <c r="D10" s="25"/>
      <c r="E10" s="25"/>
      <c r="F10" s="25">
        <v>1</v>
      </c>
      <c r="G10" s="25"/>
      <c r="H10" s="25"/>
      <c r="I10" s="25">
        <v>1</v>
      </c>
      <c r="J10" s="25">
        <v>2</v>
      </c>
      <c r="K10" s="25" t="s">
        <v>62</v>
      </c>
      <c r="L10" s="26" t="s">
        <v>50</v>
      </c>
      <c r="M10" s="26" t="s">
        <v>33</v>
      </c>
      <c r="N10" s="26" t="s">
        <v>29</v>
      </c>
      <c r="O10" s="26" t="s">
        <v>29</v>
      </c>
      <c r="P10" s="26">
        <v>10</v>
      </c>
      <c r="Q10" s="26">
        <v>1.8</v>
      </c>
      <c r="R10" s="26">
        <v>0</v>
      </c>
      <c r="S10" s="26">
        <v>0.2</v>
      </c>
    </row>
    <row r="11" spans="1:19" ht="14.4" x14ac:dyDescent="0.3">
      <c r="A11" s="25" t="s">
        <v>158</v>
      </c>
      <c r="B11" s="25" t="s">
        <v>159</v>
      </c>
      <c r="C11" s="25" t="s">
        <v>152</v>
      </c>
      <c r="D11" s="25">
        <v>1</v>
      </c>
      <c r="E11" s="25"/>
      <c r="F11" s="25">
        <v>1</v>
      </c>
      <c r="G11" s="25"/>
      <c r="H11" s="25"/>
      <c r="I11" s="25"/>
      <c r="J11" s="25">
        <v>2</v>
      </c>
      <c r="K11" s="25" t="s">
        <v>62</v>
      </c>
      <c r="L11" s="26">
        <v>0</v>
      </c>
      <c r="M11" s="26">
        <v>0</v>
      </c>
      <c r="N11" s="26" t="s">
        <v>29</v>
      </c>
      <c r="O11" s="26" t="s">
        <v>29</v>
      </c>
      <c r="P11" s="26">
        <v>100</v>
      </c>
      <c r="Q11" s="26">
        <v>0</v>
      </c>
      <c r="R11" s="26">
        <v>0</v>
      </c>
      <c r="S11" s="26">
        <v>2</v>
      </c>
    </row>
    <row r="12" spans="1:19" ht="14.4" x14ac:dyDescent="0.3">
      <c r="A12" s="25" t="s">
        <v>168</v>
      </c>
      <c r="B12" s="25" t="s">
        <v>169</v>
      </c>
      <c r="C12" s="25">
        <v>6</v>
      </c>
      <c r="D12" s="25"/>
      <c r="E12" s="25"/>
      <c r="F12" s="25"/>
      <c r="G12" s="25"/>
      <c r="H12" s="25"/>
      <c r="I12" s="25">
        <v>1</v>
      </c>
      <c r="J12" s="25">
        <v>1</v>
      </c>
      <c r="K12" s="25" t="s">
        <v>62</v>
      </c>
      <c r="L12" s="26">
        <v>0</v>
      </c>
      <c r="M12" s="26">
        <v>0</v>
      </c>
      <c r="N12" s="26" t="s">
        <v>29</v>
      </c>
      <c r="O12" s="26" t="s">
        <v>29</v>
      </c>
      <c r="P12" s="26">
        <v>100</v>
      </c>
      <c r="Q12" s="26">
        <v>0</v>
      </c>
      <c r="R12" s="26">
        <v>0</v>
      </c>
      <c r="S12" s="26">
        <v>1</v>
      </c>
    </row>
    <row r="13" spans="1:19" ht="14.4" x14ac:dyDescent="0.3">
      <c r="A13" s="25" t="s">
        <v>183</v>
      </c>
      <c r="B13" s="25" t="s">
        <v>184</v>
      </c>
      <c r="C13" s="25" t="s">
        <v>152</v>
      </c>
      <c r="D13" s="25">
        <v>1</v>
      </c>
      <c r="E13" s="25"/>
      <c r="F13" s="25"/>
      <c r="G13" s="25"/>
      <c r="H13" s="25"/>
      <c r="I13" s="25"/>
      <c r="J13" s="25">
        <v>1</v>
      </c>
      <c r="K13" s="25" t="s">
        <v>62</v>
      </c>
      <c r="L13" s="26" t="s">
        <v>46</v>
      </c>
      <c r="M13" s="26" t="s">
        <v>31</v>
      </c>
      <c r="N13" s="26" t="s">
        <v>29</v>
      </c>
      <c r="O13" s="26" t="s">
        <v>29</v>
      </c>
      <c r="P13" s="26">
        <v>90</v>
      </c>
      <c r="Q13" s="26">
        <v>0.1</v>
      </c>
      <c r="R13" s="26">
        <v>0</v>
      </c>
      <c r="S13" s="26">
        <v>0.9</v>
      </c>
    </row>
    <row r="14" spans="1:19" ht="14.4" x14ac:dyDescent="0.3">
      <c r="A14" s="25" t="s">
        <v>203</v>
      </c>
      <c r="B14" s="25" t="s">
        <v>204</v>
      </c>
      <c r="C14" s="25" t="s">
        <v>152</v>
      </c>
      <c r="D14" s="25"/>
      <c r="E14" s="25"/>
      <c r="F14" s="25">
        <v>1</v>
      </c>
      <c r="G14" s="25"/>
      <c r="H14" s="25"/>
      <c r="I14" s="25"/>
      <c r="J14" s="25">
        <v>1</v>
      </c>
      <c r="K14" s="25" t="s">
        <v>62</v>
      </c>
      <c r="L14" s="26" t="s">
        <v>46</v>
      </c>
      <c r="M14" s="26" t="s">
        <v>31</v>
      </c>
      <c r="N14" s="26" t="s">
        <v>50</v>
      </c>
      <c r="O14" s="26" t="s">
        <v>42</v>
      </c>
      <c r="P14" s="26">
        <v>70</v>
      </c>
      <c r="Q14" s="26">
        <v>0.1</v>
      </c>
      <c r="R14" s="26">
        <v>0.2</v>
      </c>
      <c r="S14" s="26">
        <v>0.7</v>
      </c>
    </row>
    <row r="15" spans="1:19" ht="14.4" x14ac:dyDescent="0.3">
      <c r="A15" s="25" t="s">
        <v>189</v>
      </c>
      <c r="B15" s="25" t="s">
        <v>190</v>
      </c>
      <c r="C15" s="25" t="s">
        <v>152</v>
      </c>
      <c r="D15" s="25"/>
      <c r="E15" s="25">
        <v>1</v>
      </c>
      <c r="F15" s="25"/>
      <c r="G15" s="25"/>
      <c r="H15" s="25"/>
      <c r="I15" s="25"/>
      <c r="J15" s="25">
        <v>1</v>
      </c>
      <c r="K15" s="25" t="s">
        <v>62</v>
      </c>
      <c r="L15" s="26">
        <v>0</v>
      </c>
      <c r="M15" s="26">
        <v>0</v>
      </c>
      <c r="N15" s="26" t="s">
        <v>29</v>
      </c>
      <c r="O15" s="26" t="s">
        <v>29</v>
      </c>
      <c r="P15" s="26">
        <v>100</v>
      </c>
      <c r="Q15" s="26">
        <v>0</v>
      </c>
      <c r="R15" s="26">
        <v>0</v>
      </c>
      <c r="S15" s="26">
        <v>1</v>
      </c>
    </row>
    <row r="16" spans="1:19" ht="14.4" x14ac:dyDescent="0.3">
      <c r="A16" s="25" t="s">
        <v>193</v>
      </c>
      <c r="B16" s="25" t="s">
        <v>194</v>
      </c>
      <c r="C16" s="62" t="s">
        <v>152</v>
      </c>
      <c r="D16" s="25"/>
      <c r="E16" s="25"/>
      <c r="F16" s="25">
        <v>1</v>
      </c>
      <c r="G16" s="25"/>
      <c r="H16" s="25"/>
      <c r="I16" s="25"/>
      <c r="J16" s="25">
        <v>1</v>
      </c>
      <c r="K16" s="25" t="s">
        <v>62</v>
      </c>
      <c r="L16" s="26" t="s">
        <v>46</v>
      </c>
      <c r="M16" s="26" t="s">
        <v>31</v>
      </c>
      <c r="N16" s="26" t="s">
        <v>29</v>
      </c>
      <c r="O16" s="26" t="s">
        <v>29</v>
      </c>
      <c r="P16" s="26">
        <v>90</v>
      </c>
      <c r="Q16" s="26">
        <v>0.1</v>
      </c>
      <c r="R16" s="26">
        <v>0</v>
      </c>
      <c r="S16" s="26">
        <v>0.9</v>
      </c>
    </row>
    <row r="17" spans="1:19" ht="14.4" x14ac:dyDescent="0.3">
      <c r="A17" s="25" t="s">
        <v>191</v>
      </c>
      <c r="B17" s="25" t="s">
        <v>192</v>
      </c>
      <c r="C17" s="25" t="s">
        <v>152</v>
      </c>
      <c r="D17" s="25"/>
      <c r="E17" s="25"/>
      <c r="F17" s="25"/>
      <c r="G17" s="25"/>
      <c r="H17" s="25">
        <v>1</v>
      </c>
      <c r="I17" s="25"/>
      <c r="J17" s="25">
        <v>1</v>
      </c>
      <c r="K17" s="25" t="s">
        <v>62</v>
      </c>
      <c r="L17" s="26" t="s">
        <v>46</v>
      </c>
      <c r="M17" s="26" t="s">
        <v>31</v>
      </c>
      <c r="N17" s="26" t="s">
        <v>29</v>
      </c>
      <c r="O17" s="26" t="s">
        <v>29</v>
      </c>
      <c r="P17" s="26">
        <v>90</v>
      </c>
      <c r="Q17" s="26">
        <v>0.1</v>
      </c>
      <c r="R17" s="26">
        <v>0</v>
      </c>
      <c r="S17" s="26">
        <v>0.9</v>
      </c>
    </row>
    <row r="18" spans="1:19" ht="14.4" x14ac:dyDescent="0.3">
      <c r="A18" s="25" t="s">
        <v>238</v>
      </c>
      <c r="B18" s="25" t="s">
        <v>239</v>
      </c>
      <c r="C18" s="25" t="s">
        <v>152</v>
      </c>
      <c r="D18" s="25"/>
      <c r="E18" s="25"/>
      <c r="F18" s="25"/>
      <c r="G18" s="25">
        <v>1</v>
      </c>
      <c r="H18" s="25"/>
      <c r="I18" s="25"/>
      <c r="J18" s="25">
        <v>1</v>
      </c>
      <c r="K18" s="25" t="s">
        <v>62</v>
      </c>
      <c r="L18" s="26">
        <v>0</v>
      </c>
      <c r="M18" s="26">
        <v>0</v>
      </c>
      <c r="N18" s="26" t="s">
        <v>29</v>
      </c>
      <c r="O18" s="26" t="s">
        <v>29</v>
      </c>
      <c r="P18" s="26">
        <v>100</v>
      </c>
      <c r="Q18" s="26">
        <v>0</v>
      </c>
      <c r="R18" s="26">
        <v>0</v>
      </c>
      <c r="S18" s="26">
        <v>1</v>
      </c>
    </row>
    <row r="19" spans="1:19" ht="14.4" x14ac:dyDescent="0.3">
      <c r="A19" s="25" t="s">
        <v>175</v>
      </c>
      <c r="B19" s="25" t="s">
        <v>176</v>
      </c>
      <c r="C19" s="25" t="s">
        <v>152</v>
      </c>
      <c r="D19" s="25"/>
      <c r="E19" s="25">
        <v>1</v>
      </c>
      <c r="F19" s="25">
        <v>1</v>
      </c>
      <c r="G19" s="25"/>
      <c r="H19" s="25"/>
      <c r="I19" s="25"/>
      <c r="J19" s="25">
        <v>2</v>
      </c>
      <c r="K19" s="25" t="s">
        <v>62</v>
      </c>
      <c r="L19" s="26">
        <v>0</v>
      </c>
      <c r="M19" s="26">
        <v>0</v>
      </c>
      <c r="N19" s="26" t="s">
        <v>29</v>
      </c>
      <c r="O19" s="26" t="s">
        <v>29</v>
      </c>
      <c r="P19" s="26">
        <v>100</v>
      </c>
      <c r="Q19" s="26">
        <v>0</v>
      </c>
      <c r="R19" s="26">
        <v>0</v>
      </c>
      <c r="S19" s="26">
        <v>2</v>
      </c>
    </row>
    <row r="20" spans="1:19" ht="14.4" x14ac:dyDescent="0.3">
      <c r="A20" s="25" t="s">
        <v>174</v>
      </c>
      <c r="B20" s="25" t="s">
        <v>241</v>
      </c>
      <c r="C20" s="25" t="s">
        <v>152</v>
      </c>
      <c r="D20" s="25"/>
      <c r="E20" s="25"/>
      <c r="F20" s="25"/>
      <c r="G20" s="25">
        <v>1</v>
      </c>
      <c r="H20" s="25"/>
      <c r="I20" s="25"/>
      <c r="J20" s="25">
        <v>1</v>
      </c>
      <c r="K20" s="25" t="s">
        <v>62</v>
      </c>
      <c r="L20" s="26" t="s">
        <v>40</v>
      </c>
      <c r="M20" s="26" t="s">
        <v>41</v>
      </c>
      <c r="N20" s="26" t="s">
        <v>29</v>
      </c>
      <c r="O20" s="26" t="s">
        <v>29</v>
      </c>
      <c r="P20" s="26">
        <v>70</v>
      </c>
      <c r="Q20" s="26">
        <v>0.3</v>
      </c>
      <c r="R20" s="26">
        <v>0</v>
      </c>
      <c r="S20" s="26">
        <v>0.7</v>
      </c>
    </row>
    <row r="21" spans="1:19" ht="14.4" x14ac:dyDescent="0.3">
      <c r="A21" s="25" t="s">
        <v>314</v>
      </c>
      <c r="B21" s="25" t="s">
        <v>315</v>
      </c>
      <c r="C21" s="25" t="s">
        <v>153</v>
      </c>
      <c r="D21" s="25"/>
      <c r="E21" s="25"/>
      <c r="F21" s="25"/>
      <c r="G21" s="25"/>
      <c r="H21" s="25"/>
      <c r="I21" s="25">
        <v>1</v>
      </c>
      <c r="J21" s="25">
        <v>1</v>
      </c>
      <c r="K21" s="25" t="s">
        <v>62</v>
      </c>
      <c r="L21" s="26">
        <v>0</v>
      </c>
      <c r="M21" s="26">
        <v>0</v>
      </c>
      <c r="N21" s="26" t="s">
        <v>29</v>
      </c>
      <c r="O21" s="26" t="s">
        <v>29</v>
      </c>
      <c r="P21" s="26">
        <v>100</v>
      </c>
      <c r="Q21" s="26">
        <v>0</v>
      </c>
      <c r="R21" s="26">
        <v>0</v>
      </c>
      <c r="S21" s="26">
        <v>1</v>
      </c>
    </row>
    <row r="22" spans="1:19" ht="14.4" x14ac:dyDescent="0.3">
      <c r="A22" s="25" t="s">
        <v>156</v>
      </c>
      <c r="B22" s="25" t="s">
        <v>157</v>
      </c>
      <c r="C22" s="25" t="s">
        <v>152</v>
      </c>
      <c r="D22" s="25"/>
      <c r="E22" s="25"/>
      <c r="F22" s="25"/>
      <c r="G22" s="25"/>
      <c r="H22" s="25">
        <v>1</v>
      </c>
      <c r="I22" s="25"/>
      <c r="J22" s="25">
        <v>1</v>
      </c>
      <c r="K22" s="25" t="s">
        <v>62</v>
      </c>
      <c r="L22" s="26" t="s">
        <v>40</v>
      </c>
      <c r="M22" s="26" t="s">
        <v>31</v>
      </c>
      <c r="N22" s="26" t="s">
        <v>50</v>
      </c>
      <c r="O22" s="26" t="s">
        <v>42</v>
      </c>
      <c r="P22" s="26">
        <v>70</v>
      </c>
      <c r="Q22" s="26">
        <v>0.1</v>
      </c>
      <c r="R22" s="26">
        <v>0.2</v>
      </c>
      <c r="S22" s="26">
        <v>0.7</v>
      </c>
    </row>
    <row r="23" spans="1:19" ht="14.4" x14ac:dyDescent="0.3">
      <c r="A23" s="25" t="s">
        <v>199</v>
      </c>
      <c r="B23" s="25" t="s">
        <v>200</v>
      </c>
      <c r="C23" s="25" t="s">
        <v>152</v>
      </c>
      <c r="D23" s="25"/>
      <c r="E23" s="25">
        <v>2</v>
      </c>
      <c r="F23" s="25"/>
      <c r="G23" s="25"/>
      <c r="H23" s="25"/>
      <c r="I23" s="25">
        <v>1</v>
      </c>
      <c r="J23" s="25">
        <v>3</v>
      </c>
      <c r="K23" s="25" t="s">
        <v>62</v>
      </c>
      <c r="L23" s="26" t="s">
        <v>40</v>
      </c>
      <c r="M23" s="26" t="s">
        <v>41</v>
      </c>
      <c r="N23" s="26" t="s">
        <v>29</v>
      </c>
      <c r="O23" s="26" t="s">
        <v>29</v>
      </c>
      <c r="P23" s="26">
        <v>70</v>
      </c>
      <c r="Q23" s="26">
        <v>0.9</v>
      </c>
      <c r="R23" s="26">
        <v>0</v>
      </c>
      <c r="S23" s="26">
        <v>2.1</v>
      </c>
    </row>
    <row r="24" spans="1:19" ht="14.4" x14ac:dyDescent="0.3">
      <c r="A24" s="25" t="s">
        <v>205</v>
      </c>
      <c r="B24" s="25" t="s">
        <v>206</v>
      </c>
      <c r="C24" s="25" t="s">
        <v>152</v>
      </c>
      <c r="D24" s="25"/>
      <c r="E24" s="25"/>
      <c r="F24" s="25">
        <v>1</v>
      </c>
      <c r="G24" s="25">
        <v>1</v>
      </c>
      <c r="H24" s="25"/>
      <c r="I24" s="25"/>
      <c r="J24" s="25">
        <v>2</v>
      </c>
      <c r="K24" s="25" t="s">
        <v>62</v>
      </c>
      <c r="L24" s="26" t="s">
        <v>50</v>
      </c>
      <c r="M24" s="26" t="s">
        <v>42</v>
      </c>
      <c r="N24" s="26" t="s">
        <v>46</v>
      </c>
      <c r="O24" s="26" t="s">
        <v>31</v>
      </c>
      <c r="P24" s="26">
        <v>70</v>
      </c>
      <c r="Q24" s="26">
        <v>0.4</v>
      </c>
      <c r="R24" s="26">
        <v>0.2</v>
      </c>
      <c r="S24" s="26">
        <v>1.4</v>
      </c>
    </row>
    <row r="25" spans="1:19" ht="14.4" x14ac:dyDescent="0.3">
      <c r="A25" s="25" t="s">
        <v>316</v>
      </c>
      <c r="B25" s="25" t="s">
        <v>317</v>
      </c>
      <c r="C25" s="25" t="s">
        <v>153</v>
      </c>
      <c r="D25" s="25"/>
      <c r="E25" s="25"/>
      <c r="F25" s="25"/>
      <c r="G25" s="25"/>
      <c r="H25" s="25">
        <v>1</v>
      </c>
      <c r="I25" s="25"/>
      <c r="J25" s="25">
        <v>1</v>
      </c>
      <c r="K25" s="25" t="s">
        <v>62</v>
      </c>
      <c r="L25" s="26">
        <v>0</v>
      </c>
      <c r="M25" s="26">
        <v>0</v>
      </c>
      <c r="N25" s="26" t="s">
        <v>29</v>
      </c>
      <c r="O25" s="26" t="s">
        <v>29</v>
      </c>
      <c r="P25" s="26">
        <v>100</v>
      </c>
      <c r="Q25" s="26">
        <v>0</v>
      </c>
      <c r="R25" s="26">
        <v>0</v>
      </c>
      <c r="S25" s="26">
        <v>1</v>
      </c>
    </row>
    <row r="26" spans="1:19" ht="14.4" x14ac:dyDescent="0.3">
      <c r="A26" s="25" t="s">
        <v>166</v>
      </c>
      <c r="B26" s="25" t="s">
        <v>167</v>
      </c>
      <c r="C26" s="25" t="s">
        <v>153</v>
      </c>
      <c r="D26" s="25"/>
      <c r="E26" s="25"/>
      <c r="F26" s="25"/>
      <c r="G26" s="25"/>
      <c r="H26" s="25">
        <v>1</v>
      </c>
      <c r="I26" s="25"/>
      <c r="J26" s="25">
        <v>1</v>
      </c>
      <c r="K26" s="25" t="s">
        <v>62</v>
      </c>
      <c r="L26" s="26" t="s">
        <v>40</v>
      </c>
      <c r="M26" s="26" t="s">
        <v>41</v>
      </c>
      <c r="N26" s="26" t="s">
        <v>29</v>
      </c>
      <c r="O26" s="26" t="s">
        <v>29</v>
      </c>
      <c r="P26" s="26">
        <v>70</v>
      </c>
      <c r="Q26" s="26">
        <v>0.3</v>
      </c>
      <c r="R26" s="26">
        <v>0</v>
      </c>
      <c r="S26" s="26">
        <v>0.7</v>
      </c>
    </row>
    <row r="27" spans="1:19" ht="14.4" x14ac:dyDescent="0.3">
      <c r="A27" s="25" t="s">
        <v>179</v>
      </c>
      <c r="B27" s="25" t="s">
        <v>180</v>
      </c>
      <c r="C27" s="25" t="s">
        <v>153</v>
      </c>
      <c r="D27" s="25"/>
      <c r="E27" s="25">
        <v>1</v>
      </c>
      <c r="F27" s="25"/>
      <c r="G27" s="25"/>
      <c r="H27" s="25"/>
      <c r="I27" s="25"/>
      <c r="J27" s="25">
        <v>1</v>
      </c>
      <c r="K27" s="25" t="s">
        <v>62</v>
      </c>
      <c r="L27" s="26" t="s">
        <v>40</v>
      </c>
      <c r="M27" s="26" t="s">
        <v>41</v>
      </c>
      <c r="N27" s="26" t="s">
        <v>29</v>
      </c>
      <c r="O27" s="26" t="s">
        <v>29</v>
      </c>
      <c r="P27" s="26">
        <v>70</v>
      </c>
      <c r="Q27" s="26">
        <v>0.3</v>
      </c>
      <c r="R27" s="26">
        <v>0</v>
      </c>
      <c r="S27" s="26">
        <v>0.7</v>
      </c>
    </row>
    <row r="28" spans="1:19" ht="14.4" x14ac:dyDescent="0.3">
      <c r="A28" s="25" t="s">
        <v>318</v>
      </c>
      <c r="B28" s="25" t="s">
        <v>319</v>
      </c>
      <c r="C28" s="25" t="s">
        <v>153</v>
      </c>
      <c r="D28" s="25"/>
      <c r="E28" s="25"/>
      <c r="F28" s="25"/>
      <c r="G28" s="25"/>
      <c r="H28" s="25"/>
      <c r="I28" s="25">
        <v>1</v>
      </c>
      <c r="J28" s="25">
        <v>1</v>
      </c>
      <c r="K28" s="25" t="s">
        <v>62</v>
      </c>
      <c r="L28" s="26" t="s">
        <v>50</v>
      </c>
      <c r="M28" s="26" t="s">
        <v>42</v>
      </c>
      <c r="N28" s="26" t="s">
        <v>29</v>
      </c>
      <c r="O28" s="26" t="s">
        <v>29</v>
      </c>
      <c r="P28" s="26">
        <v>80</v>
      </c>
      <c r="Q28" s="26">
        <v>0.2</v>
      </c>
      <c r="R28" s="26">
        <v>0</v>
      </c>
      <c r="S28" s="26">
        <v>0.8</v>
      </c>
    </row>
    <row r="29" spans="1:19" ht="14.4" x14ac:dyDescent="0.3">
      <c r="A29" s="25" t="s">
        <v>201</v>
      </c>
      <c r="B29" s="25" t="s">
        <v>202</v>
      </c>
      <c r="C29" s="25" t="s">
        <v>152</v>
      </c>
      <c r="D29" s="25">
        <v>1</v>
      </c>
      <c r="E29" s="25"/>
      <c r="F29" s="25"/>
      <c r="G29" s="25"/>
      <c r="H29" s="25"/>
      <c r="I29" s="25"/>
      <c r="J29" s="25">
        <v>1</v>
      </c>
      <c r="K29" s="25" t="s">
        <v>62</v>
      </c>
      <c r="L29" s="26" t="s">
        <v>46</v>
      </c>
      <c r="M29" s="26" t="s">
        <v>31</v>
      </c>
      <c r="N29" s="26" t="s">
        <v>50</v>
      </c>
      <c r="O29" s="26" t="s">
        <v>42</v>
      </c>
      <c r="P29" s="26">
        <v>70</v>
      </c>
      <c r="Q29" s="26">
        <v>0.1</v>
      </c>
      <c r="R29" s="26">
        <v>0.2</v>
      </c>
      <c r="S29" s="26">
        <v>0.7</v>
      </c>
    </row>
    <row r="30" spans="1:19" ht="14.4" x14ac:dyDescent="0.3">
      <c r="A30" s="25" t="s">
        <v>177</v>
      </c>
      <c r="B30" s="25" t="s">
        <v>178</v>
      </c>
      <c r="C30" s="25" t="s">
        <v>153</v>
      </c>
      <c r="D30" s="25"/>
      <c r="E30" s="25">
        <v>1</v>
      </c>
      <c r="F30" s="25"/>
      <c r="G30" s="25"/>
      <c r="H30" s="25"/>
      <c r="I30" s="25"/>
      <c r="J30" s="25">
        <v>1</v>
      </c>
      <c r="K30" s="25" t="s">
        <v>62</v>
      </c>
      <c r="L30" s="26" t="s">
        <v>50</v>
      </c>
      <c r="M30" s="26" t="s">
        <v>42</v>
      </c>
      <c r="N30" s="26" t="s">
        <v>29</v>
      </c>
      <c r="O30" s="26" t="s">
        <v>29</v>
      </c>
      <c r="P30" s="26">
        <v>80</v>
      </c>
      <c r="Q30" s="26">
        <v>0.2</v>
      </c>
      <c r="R30" s="26">
        <v>0</v>
      </c>
      <c r="S30" s="26">
        <v>0.8</v>
      </c>
    </row>
    <row r="31" spans="1:19" ht="14.4" x14ac:dyDescent="0.3">
      <c r="A31" s="25" t="s">
        <v>320</v>
      </c>
      <c r="B31" s="25" t="s">
        <v>321</v>
      </c>
      <c r="C31" s="25" t="s">
        <v>153</v>
      </c>
      <c r="D31" s="25"/>
      <c r="E31" s="25"/>
      <c r="F31" s="25"/>
      <c r="G31" s="25"/>
      <c r="H31" s="25"/>
      <c r="I31" s="25">
        <v>1</v>
      </c>
      <c r="J31" s="25">
        <v>1</v>
      </c>
      <c r="K31" s="25" t="s">
        <v>62</v>
      </c>
      <c r="L31" s="26" t="s">
        <v>46</v>
      </c>
      <c r="M31" s="26" t="s">
        <v>31</v>
      </c>
      <c r="N31" s="26" t="s">
        <v>322</v>
      </c>
      <c r="O31" s="26" t="s">
        <v>31</v>
      </c>
      <c r="P31" s="26">
        <v>80</v>
      </c>
      <c r="Q31" s="26">
        <v>0.1</v>
      </c>
      <c r="R31" s="26">
        <v>0.1</v>
      </c>
      <c r="S31" s="26">
        <v>0.8</v>
      </c>
    </row>
    <row r="32" spans="1:19" ht="14.4" x14ac:dyDescent="0.3">
      <c r="A32" s="25" t="s">
        <v>154</v>
      </c>
      <c r="B32" s="25" t="s">
        <v>155</v>
      </c>
      <c r="C32" s="25" t="s">
        <v>152</v>
      </c>
      <c r="D32" s="25"/>
      <c r="E32" s="25"/>
      <c r="F32" s="25"/>
      <c r="G32" s="25"/>
      <c r="H32" s="25"/>
      <c r="I32" s="25">
        <v>1</v>
      </c>
      <c r="J32" s="25">
        <v>1</v>
      </c>
      <c r="K32" s="25" t="s">
        <v>62</v>
      </c>
      <c r="L32" s="26" t="s">
        <v>50</v>
      </c>
      <c r="M32" s="26" t="s">
        <v>28</v>
      </c>
      <c r="N32" s="26" t="s">
        <v>29</v>
      </c>
      <c r="O32" s="26" t="s">
        <v>29</v>
      </c>
      <c r="P32" s="26">
        <v>50</v>
      </c>
      <c r="Q32" s="26">
        <v>0.5</v>
      </c>
      <c r="R32" s="26">
        <v>0</v>
      </c>
      <c r="S32" s="26">
        <v>0.5</v>
      </c>
    </row>
    <row r="33" spans="1:19" ht="14.4" x14ac:dyDescent="0.3">
      <c r="A33" s="25" t="s">
        <v>209</v>
      </c>
      <c r="B33" s="25" t="s">
        <v>210</v>
      </c>
      <c r="C33" s="62" t="s">
        <v>152</v>
      </c>
      <c r="D33" s="25"/>
      <c r="E33" s="25">
        <v>1</v>
      </c>
      <c r="F33" s="25">
        <v>1</v>
      </c>
      <c r="G33" s="25"/>
      <c r="H33" s="25"/>
      <c r="I33" s="25"/>
      <c r="J33" s="25">
        <v>2</v>
      </c>
      <c r="K33" s="25" t="s">
        <v>62</v>
      </c>
      <c r="L33" s="26">
        <v>0</v>
      </c>
      <c r="M33" s="26">
        <v>0</v>
      </c>
      <c r="N33" s="26" t="s">
        <v>29</v>
      </c>
      <c r="O33" s="26" t="s">
        <v>29</v>
      </c>
      <c r="P33" s="26">
        <v>100</v>
      </c>
      <c r="Q33" s="26">
        <v>0</v>
      </c>
      <c r="R33" s="26">
        <v>0</v>
      </c>
      <c r="S33" s="26">
        <v>2</v>
      </c>
    </row>
    <row r="34" spans="1:19" ht="14.4" x14ac:dyDescent="0.3">
      <c r="A34" s="25" t="s">
        <v>160</v>
      </c>
      <c r="B34" s="25" t="s">
        <v>161</v>
      </c>
      <c r="C34" s="62">
        <v>6</v>
      </c>
      <c r="D34" s="25"/>
      <c r="E34" s="25"/>
      <c r="F34" s="25"/>
      <c r="G34" s="25"/>
      <c r="H34" s="25"/>
      <c r="I34" s="25"/>
      <c r="J34" s="25">
        <v>1</v>
      </c>
      <c r="K34" s="25" t="s">
        <v>62</v>
      </c>
      <c r="L34" s="26">
        <v>0</v>
      </c>
      <c r="M34" s="26">
        <v>0</v>
      </c>
      <c r="N34" s="26" t="s">
        <v>29</v>
      </c>
      <c r="O34" s="26" t="s">
        <v>29</v>
      </c>
      <c r="P34" s="26">
        <v>100</v>
      </c>
      <c r="Q34" s="26">
        <v>0</v>
      </c>
      <c r="R34" s="26">
        <v>0</v>
      </c>
      <c r="S34" s="26">
        <v>1</v>
      </c>
    </row>
    <row r="35" spans="1:19" ht="14.4" x14ac:dyDescent="0.3">
      <c r="A35" s="25" t="s">
        <v>187</v>
      </c>
      <c r="B35" s="25" t="s">
        <v>188</v>
      </c>
      <c r="C35" s="62" t="s">
        <v>323</v>
      </c>
      <c r="D35" s="25"/>
      <c r="E35" s="25"/>
      <c r="F35" s="25"/>
      <c r="G35" s="25"/>
      <c r="H35" s="25"/>
      <c r="I35" s="25">
        <v>1</v>
      </c>
      <c r="J35" s="25">
        <v>1</v>
      </c>
      <c r="K35" s="25" t="s">
        <v>62</v>
      </c>
      <c r="L35" s="26">
        <v>0</v>
      </c>
      <c r="M35" s="26">
        <v>0</v>
      </c>
      <c r="N35" s="26" t="s">
        <v>29</v>
      </c>
      <c r="O35" s="26" t="s">
        <v>29</v>
      </c>
      <c r="P35" s="26">
        <v>100</v>
      </c>
      <c r="Q35" s="26">
        <v>0</v>
      </c>
      <c r="R35" s="26">
        <v>0</v>
      </c>
      <c r="S35" s="26">
        <v>1</v>
      </c>
    </row>
    <row r="36" spans="1:19" x14ac:dyDescent="0.25">
      <c r="A36" s="63"/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4"/>
      <c r="O36" s="63"/>
      <c r="P36" s="64"/>
      <c r="Q36" s="63"/>
      <c r="R36" s="63"/>
      <c r="S36" s="65">
        <f>SUM(S2:S35)</f>
        <v>33.700000000000003</v>
      </c>
    </row>
  </sheetData>
  <pageMargins left="0.39370078740157483" right="0.39370078740157483" top="0.39370078740157483" bottom="0.39370078740157483" header="0.31496062992125984" footer="0.31496062992125984"/>
  <pageSetup paperSize="9" scale="1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4"/>
  <sheetViews>
    <sheetView zoomScaleNormal="100" workbookViewId="0">
      <selection activeCell="A28" sqref="A28"/>
    </sheetView>
  </sheetViews>
  <sheetFormatPr baseColWidth="10" defaultColWidth="11.44140625" defaultRowHeight="10.199999999999999" x14ac:dyDescent="0.2"/>
  <cols>
    <col min="1" max="1" width="100.6640625" style="1" customWidth="1"/>
    <col min="2" max="16384" width="11.44140625" style="1"/>
  </cols>
  <sheetData>
    <row r="1" spans="1:2" ht="20.399999999999999" x14ac:dyDescent="0.2">
      <c r="A1" s="2" t="s">
        <v>0</v>
      </c>
      <c r="B1" s="3" t="s">
        <v>1</v>
      </c>
    </row>
    <row r="2" spans="1:2" x14ac:dyDescent="0.2">
      <c r="A2" s="4" t="s">
        <v>3</v>
      </c>
      <c r="B2" s="5"/>
    </row>
    <row r="3" spans="1:2" x14ac:dyDescent="0.2">
      <c r="A3" s="4" t="s">
        <v>211</v>
      </c>
      <c r="B3" s="5">
        <v>874.2</v>
      </c>
    </row>
    <row r="4" spans="1:2" x14ac:dyDescent="0.2">
      <c r="A4" s="4" t="s">
        <v>212</v>
      </c>
      <c r="B4" s="5">
        <v>12375</v>
      </c>
    </row>
    <row r="5" spans="1:2" x14ac:dyDescent="0.2">
      <c r="A5" s="4" t="s">
        <v>4</v>
      </c>
      <c r="B5" s="5"/>
    </row>
    <row r="6" spans="1:2" x14ac:dyDescent="0.2">
      <c r="A6" s="4" t="s">
        <v>213</v>
      </c>
      <c r="B6" s="5">
        <v>6000</v>
      </c>
    </row>
    <row r="7" spans="1:2" x14ac:dyDescent="0.2">
      <c r="A7" s="4" t="s">
        <v>5</v>
      </c>
      <c r="B7" s="5"/>
    </row>
    <row r="8" spans="1:2" x14ac:dyDescent="0.2">
      <c r="A8" s="4" t="s">
        <v>214</v>
      </c>
      <c r="B8" s="5">
        <v>5625</v>
      </c>
    </row>
    <row r="9" spans="1:2" x14ac:dyDescent="0.2">
      <c r="A9" s="4" t="s">
        <v>215</v>
      </c>
      <c r="B9" s="5"/>
    </row>
    <row r="10" spans="1:2" x14ac:dyDescent="0.2">
      <c r="A10" s="4" t="s">
        <v>216</v>
      </c>
      <c r="B10" s="5">
        <v>5600</v>
      </c>
    </row>
    <row r="11" spans="1:2" x14ac:dyDescent="0.2">
      <c r="A11" s="4" t="s">
        <v>217</v>
      </c>
      <c r="B11" s="5"/>
    </row>
    <row r="12" spans="1:2" x14ac:dyDescent="0.2">
      <c r="A12" s="4" t="s">
        <v>218</v>
      </c>
      <c r="B12" s="5">
        <v>4500</v>
      </c>
    </row>
    <row r="13" spans="1:2" x14ac:dyDescent="0.2">
      <c r="A13" s="4" t="s">
        <v>219</v>
      </c>
      <c r="B13" s="5">
        <v>2160</v>
      </c>
    </row>
    <row r="14" spans="1:2" x14ac:dyDescent="0.2">
      <c r="A14" s="6" t="s">
        <v>2</v>
      </c>
      <c r="B14" s="7">
        <f>SUM(B3:B13)</f>
        <v>37134.199999999997</v>
      </c>
    </row>
  </sheetData>
  <pageMargins left="0.39370078740157483" right="0.39370078740157483" top="0.74803149606299213" bottom="0.74803149606299213" header="0.31496062992125984" footer="0.31496062992125984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43C09-4176-4EEA-80C8-8C7626A8756B}">
  <dimension ref="A1:B8"/>
  <sheetViews>
    <sheetView zoomScaleNormal="100" workbookViewId="0">
      <selection activeCell="A12" sqref="A12"/>
    </sheetView>
  </sheetViews>
  <sheetFormatPr baseColWidth="10" defaultColWidth="11.44140625" defaultRowHeight="10.199999999999999" x14ac:dyDescent="0.2"/>
  <cols>
    <col min="1" max="1" width="100.6640625" style="1" customWidth="1"/>
    <col min="2" max="16384" width="11.44140625" style="1"/>
  </cols>
  <sheetData>
    <row r="1" spans="1:2" ht="20.399999999999999" x14ac:dyDescent="0.2">
      <c r="A1" s="2" t="s">
        <v>0</v>
      </c>
      <c r="B1" s="3" t="s">
        <v>1</v>
      </c>
    </row>
    <row r="2" spans="1:2" x14ac:dyDescent="0.2">
      <c r="A2" s="4" t="s">
        <v>4</v>
      </c>
      <c r="B2" s="5"/>
    </row>
    <row r="3" spans="1:2" x14ac:dyDescent="0.2">
      <c r="A3" s="4" t="s">
        <v>267</v>
      </c>
      <c r="B3" s="5">
        <v>12000</v>
      </c>
    </row>
    <row r="4" spans="1:2" x14ac:dyDescent="0.2">
      <c r="A4" s="4" t="s">
        <v>5</v>
      </c>
      <c r="B4" s="5"/>
    </row>
    <row r="5" spans="1:2" x14ac:dyDescent="0.2">
      <c r="A5" s="4" t="s">
        <v>268</v>
      </c>
      <c r="B5" s="5">
        <v>11250</v>
      </c>
    </row>
    <row r="6" spans="1:2" x14ac:dyDescent="0.2">
      <c r="A6" s="4" t="s">
        <v>217</v>
      </c>
      <c r="B6" s="5"/>
    </row>
    <row r="7" spans="1:2" x14ac:dyDescent="0.2">
      <c r="A7" s="4" t="s">
        <v>269</v>
      </c>
      <c r="B7" s="5">
        <v>450</v>
      </c>
    </row>
    <row r="8" spans="1:2" x14ac:dyDescent="0.2">
      <c r="A8" s="6" t="s">
        <v>2</v>
      </c>
      <c r="B8" s="7">
        <f>SUM(B3:B7)</f>
        <v>23700</v>
      </c>
    </row>
  </sheetData>
  <pageMargins left="0.39370078740157483" right="0.39370078740157483" top="0.74803149606299213" bottom="0.74803149606299213" header="0.31496062992125984" footer="0.31496062992125984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A1E7F-DBFF-4409-BF04-FDEFC484A33D}">
  <dimension ref="A1:C6"/>
  <sheetViews>
    <sheetView zoomScaleNormal="100" workbookViewId="0">
      <selection activeCell="B13" sqref="B13"/>
    </sheetView>
  </sheetViews>
  <sheetFormatPr baseColWidth="10" defaultColWidth="11.44140625" defaultRowHeight="14.4" x14ac:dyDescent="0.3"/>
  <cols>
    <col min="1" max="1" width="13.5546875" bestFit="1" customWidth="1"/>
    <col min="2" max="2" width="61.6640625" customWidth="1"/>
  </cols>
  <sheetData>
    <row r="1" spans="1:3" ht="15" thickBot="1" x14ac:dyDescent="0.35">
      <c r="A1" s="32" t="s">
        <v>276</v>
      </c>
      <c r="B1" s="32" t="s">
        <v>277</v>
      </c>
      <c r="C1" s="33" t="s">
        <v>1</v>
      </c>
    </row>
    <row r="2" spans="1:3" ht="15.6" thickTop="1" thickBot="1" x14ac:dyDescent="0.35">
      <c r="A2" s="34" t="s">
        <v>217</v>
      </c>
      <c r="B2" s="34" t="s">
        <v>284</v>
      </c>
      <c r="C2" s="35">
        <v>1890</v>
      </c>
    </row>
    <row r="3" spans="1:3" ht="15" thickTop="1" x14ac:dyDescent="0.3">
      <c r="A3" s="36"/>
      <c r="B3" s="36"/>
      <c r="C3" s="37">
        <v>1890</v>
      </c>
    </row>
    <row r="5" spans="1:3" x14ac:dyDescent="0.3">
      <c r="C5" s="31"/>
    </row>
    <row r="6" spans="1:3" x14ac:dyDescent="0.3">
      <c r="B6" s="66" t="s">
        <v>324</v>
      </c>
      <c r="C6" s="67">
        <f>C3+'Ingresos investigación 2020'!B8+'Ingresos investigación 2019'!B14</f>
        <v>62724.2</v>
      </c>
    </row>
  </sheetData>
  <pageMargins left="0.39370078740157483" right="0.39370078740157483" top="0.74803149606299213" bottom="0.74803149606299213" header="0.31496062992125984" footer="0.31496062992125984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6"/>
  <sheetViews>
    <sheetView zoomScaleNormal="100" workbookViewId="0">
      <selection activeCell="A2" sqref="A2:B5"/>
    </sheetView>
  </sheetViews>
  <sheetFormatPr baseColWidth="10" defaultColWidth="11.44140625" defaultRowHeight="10.199999999999999" x14ac:dyDescent="0.2"/>
  <cols>
    <col min="1" max="1" width="100.6640625" style="1" customWidth="1"/>
    <col min="2" max="16384" width="11.44140625" style="1"/>
  </cols>
  <sheetData>
    <row r="1" spans="1:2" ht="20.399999999999999" x14ac:dyDescent="0.2">
      <c r="A1" s="2" t="s">
        <v>0</v>
      </c>
      <c r="B1" s="3" t="s">
        <v>1</v>
      </c>
    </row>
    <row r="2" spans="1:2" x14ac:dyDescent="0.2">
      <c r="A2" s="4" t="s">
        <v>220</v>
      </c>
      <c r="B2" s="5"/>
    </row>
    <row r="3" spans="1:2" x14ac:dyDescent="0.2">
      <c r="A3" s="4" t="s">
        <v>221</v>
      </c>
      <c r="B3" s="5">
        <v>105</v>
      </c>
    </row>
    <row r="4" spans="1:2" x14ac:dyDescent="0.2">
      <c r="A4" s="4" t="s">
        <v>222</v>
      </c>
      <c r="B4" s="7"/>
    </row>
    <row r="5" spans="1:2" x14ac:dyDescent="0.2">
      <c r="A5" s="4" t="s">
        <v>223</v>
      </c>
      <c r="B5" s="5">
        <v>1035</v>
      </c>
    </row>
    <row r="6" spans="1:2" x14ac:dyDescent="0.2">
      <c r="A6" s="6" t="s">
        <v>2</v>
      </c>
      <c r="B6" s="7">
        <f>SUM(B3:B5)</f>
        <v>1140</v>
      </c>
    </row>
  </sheetData>
  <pageMargins left="0.39370078740157483" right="0.39370078740157483" top="0.74803149606299213" bottom="0.74803149606299213" header="0.31496062992125984" footer="0.31496062992125984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C2216-4F79-42E0-AE27-FDF9E0B30421}">
  <dimension ref="A1:B8"/>
  <sheetViews>
    <sheetView zoomScaleNormal="100" workbookViewId="0">
      <selection activeCell="A5" sqref="A5"/>
    </sheetView>
  </sheetViews>
  <sheetFormatPr baseColWidth="10" defaultColWidth="11.44140625" defaultRowHeight="10.199999999999999" x14ac:dyDescent="0.2"/>
  <cols>
    <col min="1" max="1" width="100.6640625" style="1" customWidth="1"/>
    <col min="2" max="16384" width="11.44140625" style="1"/>
  </cols>
  <sheetData>
    <row r="1" spans="1:2" ht="20.399999999999999" x14ac:dyDescent="0.2">
      <c r="A1" s="2" t="s">
        <v>0</v>
      </c>
      <c r="B1" s="3" t="s">
        <v>1</v>
      </c>
    </row>
    <row r="2" spans="1:2" x14ac:dyDescent="0.2">
      <c r="A2" s="4" t="s">
        <v>270</v>
      </c>
      <c r="B2" s="5"/>
    </row>
    <row r="3" spans="1:2" x14ac:dyDescent="0.2">
      <c r="A3" s="4" t="s">
        <v>271</v>
      </c>
      <c r="B3" s="5">
        <v>61194.600000000006</v>
      </c>
    </row>
    <row r="4" spans="1:2" x14ac:dyDescent="0.2">
      <c r="A4" s="4" t="s">
        <v>272</v>
      </c>
      <c r="B4" s="5">
        <v>5209.3099999999995</v>
      </c>
    </row>
    <row r="5" spans="1:2" x14ac:dyDescent="0.2">
      <c r="A5" s="4" t="s">
        <v>273</v>
      </c>
      <c r="B5" s="5">
        <v>7820.34</v>
      </c>
    </row>
    <row r="6" spans="1:2" x14ac:dyDescent="0.2">
      <c r="A6" s="4" t="s">
        <v>274</v>
      </c>
      <c r="B6" s="5"/>
    </row>
    <row r="7" spans="1:2" x14ac:dyDescent="0.2">
      <c r="A7" s="4" t="s">
        <v>275</v>
      </c>
      <c r="B7" s="5">
        <v>508.5</v>
      </c>
    </row>
    <row r="8" spans="1:2" x14ac:dyDescent="0.2">
      <c r="A8" s="6" t="s">
        <v>2</v>
      </c>
      <c r="B8" s="7">
        <f>SUM(B2:B7)</f>
        <v>74732.75</v>
      </c>
    </row>
  </sheetData>
  <pageMargins left="0.39370078740157483" right="0.39370078740157483" top="0.74803149606299213" bottom="0.74803149606299213" header="0.31496062992125984" footer="0.31496062992125984"/>
  <pageSetup paperSize="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064DF-9E99-4C4A-9380-C2DAB492C1AB}">
  <dimension ref="A1:C11"/>
  <sheetViews>
    <sheetView zoomScaleNormal="100" workbookViewId="0">
      <selection activeCell="B16" sqref="B16"/>
    </sheetView>
  </sheetViews>
  <sheetFormatPr baseColWidth="10" defaultColWidth="11.44140625" defaultRowHeight="14.4" x14ac:dyDescent="0.3"/>
  <cols>
    <col min="1" max="1" width="13.5546875" bestFit="1" customWidth="1"/>
    <col min="2" max="2" width="64.5546875" customWidth="1"/>
  </cols>
  <sheetData>
    <row r="1" spans="1:3" x14ac:dyDescent="0.3">
      <c r="A1" s="27" t="s">
        <v>276</v>
      </c>
      <c r="B1" s="27" t="s">
        <v>277</v>
      </c>
      <c r="C1" s="28" t="s">
        <v>1</v>
      </c>
    </row>
    <row r="2" spans="1:3" x14ac:dyDescent="0.3">
      <c r="A2" s="38" t="s">
        <v>270</v>
      </c>
      <c r="B2" s="39" t="s">
        <v>278</v>
      </c>
      <c r="C2" s="40">
        <v>24.92</v>
      </c>
    </row>
    <row r="3" spans="1:3" ht="43.2" x14ac:dyDescent="0.3">
      <c r="A3" s="41" t="s">
        <v>270</v>
      </c>
      <c r="B3" s="42" t="s">
        <v>279</v>
      </c>
      <c r="C3" s="43">
        <v>5474.24</v>
      </c>
    </row>
    <row r="4" spans="1:3" x14ac:dyDescent="0.3">
      <c r="A4" s="38" t="s">
        <v>270</v>
      </c>
      <c r="B4" s="39" t="s">
        <v>278</v>
      </c>
      <c r="C4" s="40">
        <v>6813.67</v>
      </c>
    </row>
    <row r="5" spans="1:3" x14ac:dyDescent="0.3">
      <c r="A5" s="41" t="s">
        <v>270</v>
      </c>
      <c r="B5" s="42" t="s">
        <v>278</v>
      </c>
      <c r="C5" s="43">
        <v>27254.68</v>
      </c>
    </row>
    <row r="6" spans="1:3" ht="43.2" x14ac:dyDescent="0.3">
      <c r="A6" s="38" t="s">
        <v>270</v>
      </c>
      <c r="B6" s="39" t="s">
        <v>280</v>
      </c>
      <c r="C6" s="40">
        <v>40991.56</v>
      </c>
    </row>
    <row r="7" spans="1:3" ht="28.8" x14ac:dyDescent="0.3">
      <c r="A7" s="41" t="s">
        <v>274</v>
      </c>
      <c r="B7" s="42" t="s">
        <v>281</v>
      </c>
      <c r="C7" s="43">
        <v>103.5</v>
      </c>
    </row>
    <row r="8" spans="1:3" ht="29.4" thickBot="1" x14ac:dyDescent="0.35">
      <c r="A8" s="38" t="s">
        <v>282</v>
      </c>
      <c r="B8" s="39" t="s">
        <v>283</v>
      </c>
      <c r="C8" s="40">
        <v>284.39999999999998</v>
      </c>
    </row>
    <row r="9" spans="1:3" ht="15" thickTop="1" x14ac:dyDescent="0.3">
      <c r="A9" s="29"/>
      <c r="B9" s="29"/>
      <c r="C9" s="30">
        <v>80946.97</v>
      </c>
    </row>
    <row r="11" spans="1:3" x14ac:dyDescent="0.3">
      <c r="B11" s="66" t="s">
        <v>325</v>
      </c>
      <c r="C11" s="67">
        <f>C9+'Ingresos formación 2020'!B8+'Ingresos formación 2019'!B6</f>
        <v>156819.72</v>
      </c>
    </row>
  </sheetData>
  <pageMargins left="0.39370078740157483" right="0.39370078740157483" top="0.74803149606299213" bottom="0.7480314960629921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2</vt:i4>
      </vt:variant>
    </vt:vector>
  </HeadingPairs>
  <TitlesOfParts>
    <vt:vector size="10" baseType="lpstr">
      <vt:lpstr>Tesis</vt:lpstr>
      <vt:lpstr>Sexenios</vt:lpstr>
      <vt:lpstr>Ingresos investigación 2019</vt:lpstr>
      <vt:lpstr>Ingresos investigación 2020</vt:lpstr>
      <vt:lpstr>Ingresos investigación 2021</vt:lpstr>
      <vt:lpstr>Ingresos formación 2019</vt:lpstr>
      <vt:lpstr>Ingresos formación 2020</vt:lpstr>
      <vt:lpstr>Ingresos formación 2021</vt:lpstr>
      <vt:lpstr>Sexenios!Títulos_a_imprimir</vt:lpstr>
      <vt:lpstr>Tesis!Títulos_a_imprimir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21387280V</dc:creator>
  <cp:lastModifiedBy>21511974M</cp:lastModifiedBy>
  <dcterms:created xsi:type="dcterms:W3CDTF">2019-07-03T07:15:54Z</dcterms:created>
  <dcterms:modified xsi:type="dcterms:W3CDTF">2022-10-18T14:12:01Z</dcterms:modified>
</cp:coreProperties>
</file>