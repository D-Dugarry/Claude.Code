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54ABF5B7-DE3C-4AB8-B259-B5C2E913B8E8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5" r:id="rId3"/>
    <sheet name="Ingresos investigación 2020" sheetId="6" r:id="rId4"/>
    <sheet name="Ingresos investigación 2021" sheetId="8" r:id="rId5"/>
    <sheet name="Ingresos formación 2020" sheetId="7" r:id="rId6"/>
  </sheets>
  <definedNames>
    <definedName name="_xlnm._FilterDatabase" localSheetId="1" hidden="1">Sexenios!$A$1:$S$20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2" i="3" l="1"/>
  <c r="S9" i="2" l="1"/>
  <c r="B6" i="7" l="1"/>
  <c r="B11" i="7" s="1"/>
  <c r="B6" i="6"/>
  <c r="B6" i="5" l="1"/>
  <c r="D12" i="8" s="1"/>
</calcChain>
</file>

<file path=xl/sharedStrings.xml><?xml version="1.0" encoding="utf-8"?>
<sst xmlns="http://schemas.openxmlformats.org/spreadsheetml/2006/main" count="288" uniqueCount="124">
  <si>
    <t>Orgánica
Descripción justificante</t>
  </si>
  <si>
    <t>Importe</t>
  </si>
  <si>
    <t>Total</t>
  </si>
  <si>
    <t>36.40.6P.00.08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</si>
  <si>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</si>
  <si>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</si>
  <si>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</si>
  <si>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</si>
  <si>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</si>
  <si>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</si>
  <si>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</si>
  <si>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</si>
  <si>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</si>
  <si>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</si>
  <si>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</si>
  <si>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</si>
  <si>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</si>
  <si>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</si>
  <si>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</si>
  <si>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</si>
  <si>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</si>
  <si>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</si>
  <si>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</si>
  <si>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</si>
  <si>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</si>
  <si>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</si>
  <si>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</si>
  <si>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10.16</t>
  </si>
  <si>
    <t>Director de tesis </t>
  </si>
  <si>
    <t>- </t>
  </si>
  <si>
    <t>06/07/2018 </t>
  </si>
  <si>
    <t>30</t>
  </si>
  <si>
    <t>12/07/2018 </t>
  </si>
  <si>
    <t>24/11/2017 </t>
  </si>
  <si>
    <t>B167 </t>
  </si>
  <si>
    <t>MATEMÁTICA APLICADA </t>
  </si>
  <si>
    <t>B167</t>
  </si>
  <si>
    <t>21384653N </t>
  </si>
  <si>
    <t>DOCTORADO EN MÉTODOS MATEMÁTICOS Y MODELIZACIÓN EN CIENCIAS E INGENIERÍA </t>
  </si>
  <si>
    <t>48764226V </t>
  </si>
  <si>
    <t>21417952F </t>
  </si>
  <si>
    <t>Belmonte Requena, Mónica </t>
  </si>
  <si>
    <t>ANALISIS EPISTEMOLÓGICO SOBRE EL CONCEPTO MATEMÁTICO DEL INFINITO. UNA VISIÓN DESDE EL REALISMO MATEMÁTICO </t>
  </si>
  <si>
    <t>Saban Cuño, Mario Javier </t>
  </si>
  <si>
    <t>EL INFINITO Y EL LENGUAJE EN LA KABBALAH JUDÍA: UN ENFOQUE MATEMÁTICO, LINGÜÍSTICO Y FILOSÓFICO </t>
  </si>
  <si>
    <t>Segura Abad, Lorena </t>
  </si>
  <si>
    <t>CONSIDERACIONES EPISTEMOLÓGICAS SOBRE ALGUNOS ÍTEMS DE LOS FUNDAMENTOS DE LAS MATEMÁTICAS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</si>
  <si>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</si>
  <si>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</si>
  <si>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</si>
  <si>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</si>
  <si>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</si>
  <si>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</si>
  <si>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</si>
  <si>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</si>
  <si>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</si>
  <si>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</si>
  <si>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</si>
  <si>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</si>
  <si>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</si>
  <si>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</si>
  <si>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24251881Z</t>
  </si>
  <si>
    <t>CASTRO LOPEZ, MARIA ANGELES</t>
  </si>
  <si>
    <t>21384653N</t>
  </si>
  <si>
    <t>FERRANDIZ LEAL, JOSE MANUEL</t>
  </si>
  <si>
    <t>52771007Z</t>
  </si>
  <si>
    <t>GARCIA CASTAÑO, FERNANDO</t>
  </si>
  <si>
    <t>44761785J</t>
  </si>
  <si>
    <t>GARCIA GARCIA, DAVID</t>
  </si>
  <si>
    <t>21417952F</t>
  </si>
  <si>
    <t>LLORET CLIMENT, MIGUEL</t>
  </si>
  <si>
    <t>48379135S</t>
  </si>
  <si>
    <t>MARTINEZ BELDA, MARIA DEL CARMEN</t>
  </si>
  <si>
    <t>22143601Y</t>
  </si>
  <si>
    <t>NAVARRO GONZALEZ, FRANCISCO JOSE</t>
  </si>
  <si>
    <t>21507544Z</t>
  </si>
  <si>
    <t>NAVARRO LLINARES, JUAN FRANCISCO</t>
  </si>
  <si>
    <t>48764226V</t>
  </si>
  <si>
    <t>NESCOLARDE SELVA, JOSUE ANTONIO</t>
  </si>
  <si>
    <t>74213843L</t>
  </si>
  <si>
    <t>PUJOL LOPEZ, MARIA JOSE</t>
  </si>
  <si>
    <t>31829328L</t>
  </si>
  <si>
    <t>RODRIGUEZ MATEO, FRANCISCO</t>
  </si>
  <si>
    <t>07976905E</t>
  </si>
  <si>
    <t>VIGO AGUIAR, ISABEL</t>
  </si>
  <si>
    <t>21402086B</t>
  </si>
  <si>
    <t>VILLACAMPA ESTEVE, YOLANDA</t>
  </si>
  <si>
    <t>LIBERADOS EL 23/04/2019, ANUALIDAD 2019 PROYECTOS I+D (PIA1) N EXPEDIENTE: PIA12016-1 - 4 ANUALIDAD REFERENCIA: AYA2016-79775-P. REF. DEL ORDENANTE PARA EL BENEFICIARIO: 27402219310018244.</t>
  </si>
  <si>
    <t>36.40.6P.00.11</t>
  </si>
  <si>
    <t xml:space="preserve">SUBVENCIONES REALIZACIÓN PROYECTOS I+D+I GRUPOS EMERGENTES GV/2018.2ªANUALIDAD </t>
  </si>
  <si>
    <t>Al Koudsi Benyahia, Dhygham </t>
  </si>
  <si>
    <t>ANÁLISIS DE LOS EFECTOS DE LA INSUFICIENTE CONSISTENCIA DINÁMICA DE LAS TEORÍAS DE PRECESIÓN Y NUTACIÓN IUA2006 E IAU2000 </t>
  </si>
  <si>
    <t>23/09/2019 </t>
  </si>
  <si>
    <t>Alonso Stenberg, Kristian </t>
  </si>
  <si>
    <t>DISEÑO E IMPLEMENTACIÓN DE UN SIMULADOR DE ANÁLISIS CAUSAL </t>
  </si>
  <si>
    <t>15/07/2020 </t>
  </si>
  <si>
    <t>21376778A</t>
  </si>
  <si>
    <t>GARCIA FERRANDEZ, MIGUEL ANTONIO</t>
  </si>
  <si>
    <t>21403377Z</t>
  </si>
  <si>
    <t>REYES PERALES, JOSE ANTONIO</t>
  </si>
  <si>
    <t>09786245K</t>
  </si>
  <si>
    <t>ESCAPA GARCIA, LUIS ALBERTO</t>
  </si>
  <si>
    <t>21375903W</t>
  </si>
  <si>
    <t>GARCIA ALONSO, FERNANDO LUIS</t>
  </si>
  <si>
    <t>21661251N</t>
  </si>
  <si>
    <t>CORTES MOLINA, MONICA</t>
  </si>
  <si>
    <t>vivos</t>
  </si>
  <si>
    <t>No existen ingresos de investigación en 2020</t>
  </si>
  <si>
    <t>No existen ingresos de formación en 2020</t>
  </si>
  <si>
    <t>29202941W</t>
  </si>
  <si>
    <t>BELDA PALAZON, SANTIAGO</t>
  </si>
  <si>
    <t>Unidad</t>
  </si>
  <si>
    <t>Cód. org. aplic.</t>
  </si>
  <si>
    <t>Descripción justificante</t>
  </si>
  <si>
    <t>36.40</t>
  </si>
  <si>
    <t>36.40.6P.00.15</t>
  </si>
  <si>
    <t>PID2020-119383GB-I00</t>
  </si>
  <si>
    <t>36.40.6P.00.16</t>
  </si>
  <si>
    <t xml:space="preserve">PROMETEO/2021/030 2021 en 2021 </t>
  </si>
  <si>
    <t>COD DEP</t>
  </si>
  <si>
    <t>20845326N</t>
  </si>
  <si>
    <t>SAYOL ESPAÑA, JUAN MANUEL</t>
  </si>
  <si>
    <t>Total ingresos investigación 2019-2020-2021</t>
  </si>
  <si>
    <t>Total ingresos formación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</si>
</sst>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7" tint="0.79998168889431442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5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Fill="1"/>
    <xf numFmtId="0" fontId="10" fillId="0" borderId="0" xfId="5" applyFont="1" applyAlignment="1">
      <alignment horizontal="right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11" fillId="6" borderId="3" xfId="0" applyNumberFormat="1" applyFont="1" applyFill="1" applyBorder="1"/>
    <xf numFmtId="0" fontId="11" fillId="6" borderId="4" xfId="0" applyNumberFormat="1" applyFont="1" applyFill="1" applyBorder="1"/>
    <xf numFmtId="0" fontId="11" fillId="6" borderId="5" xfId="0" applyFont="1" applyFill="1" applyBorder="1" applyAlignment="1">
      <alignment horizontal="right"/>
    </xf>
    <xf numFmtId="0" fontId="0" fillId="7" borderId="6" xfId="0" applyNumberFormat="1" applyFont="1" applyFill="1" applyBorder="1"/>
    <xf numFmtId="0" fontId="0" fillId="7" borderId="7" xfId="0" applyFont="1" applyFill="1" applyBorder="1"/>
    <xf numFmtId="4" fontId="0" fillId="7" borderId="8" xfId="0" applyNumberFormat="1" applyFont="1" applyFill="1" applyBorder="1"/>
    <xf numFmtId="0" fontId="0" fillId="8" borderId="6" xfId="0" applyNumberFormat="1" applyFont="1" applyFill="1" applyBorder="1"/>
    <xf numFmtId="0" fontId="0" fillId="8" borderId="7" xfId="0" applyFont="1" applyFill="1" applyBorder="1"/>
    <xf numFmtId="4" fontId="0" fillId="8" borderId="8" xfId="0" applyNumberFormat="1" applyFont="1" applyFill="1" applyBorder="1"/>
    <xf numFmtId="0" fontId="11" fillId="6" borderId="9" xfId="0" applyFont="1" applyFill="1" applyBorder="1"/>
    <xf numFmtId="0" fontId="11" fillId="6" borderId="10" xfId="0" applyFont="1" applyFill="1" applyBorder="1"/>
    <xf numFmtId="4" fontId="11" fillId="6" borderId="11" xfId="0" applyNumberFormat="1" applyFont="1" applyFill="1" applyBorder="1"/>
    <xf numFmtId="165" fontId="3" fillId="4" borderId="1" xfId="1" applyNumberFormat="1" applyFill="1" applyBorder="1"/>
    <xf numFmtId="165" fontId="3" fillId="4" borderId="2" xfId="1" applyNumberFormat="1" applyFill="1" applyBorder="1"/>
    <xf numFmtId="0" fontId="3" fillId="9" borderId="0" xfId="1" applyFont="1" applyFill="1" applyAlignment="1"/>
    <xf numFmtId="0" fontId="3" fillId="9" borderId="0" xfId="1" applyFont="1" applyFill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0" fillId="9" borderId="12" xfId="5" applyFont="1" applyFill="1" applyBorder="1"/>
    <xf numFmtId="0" fontId="10" fillId="9" borderId="12" xfId="5" applyFont="1" applyFill="1" applyBorder="1" applyAlignment="1">
      <alignment horizontal="right"/>
    </xf>
    <xf numFmtId="0" fontId="12" fillId="10" borderId="1" xfId="0" applyFont="1" applyFill="1" applyBorder="1" applyAlignment="1">
      <alignment horizontal="right"/>
    </xf>
    <xf numFmtId="4" fontId="0" fillId="9" borderId="1" xfId="0" applyNumberFormat="1" applyFill="1" applyBorder="1"/>
    <xf numFmtId="0" fontId="12" fillId="11" borderId="1" xfId="0" applyFont="1" applyFill="1" applyBorder="1" applyAlignment="1">
      <alignment horizontal="right"/>
    </xf>
    <xf numFmtId="4" fontId="1" fillId="9" borderId="1" xfId="0" applyNumberFormat="1" applyFont="1" applyFill="1" applyBorder="1"/>
    <xf numFmtId="164" fontId="4" fillId="9" borderId="0" xfId="1" applyNumberFormat="1" applyFont="1" applyFill="1" applyAlignment="1"/>
    <xf numFmtId="0" fontId="13" fillId="9" borderId="12" xfId="5" applyFont="1" applyFill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9"/>
  <sheetViews>
    <sheetView showGridLines="0" tabSelected="1" zoomScale="120" zoomScaleNormal="120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S9" sqref="S9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8" t="s">
        <v>12</v>
      </c>
      <c r="J1" s="9" t="s">
        <v>13</v>
      </c>
      <c r="K1" s="8" t="s">
        <v>14</v>
      </c>
      <c r="L1" s="9" t="s">
        <v>15</v>
      </c>
      <c r="M1" s="10" t="s">
        <v>16</v>
      </c>
      <c r="N1" s="11" t="s">
        <v>17</v>
      </c>
      <c r="O1" s="12" t="s">
        <v>18</v>
      </c>
      <c r="P1" s="11" t="s">
        <v>19</v>
      </c>
      <c r="Q1" s="12" t="s">
        <v>20</v>
      </c>
      <c r="R1" s="11" t="s">
        <v>21</v>
      </c>
      <c r="S1" s="11" t="s">
        <v>22</v>
      </c>
      <c r="T1" s="11" t="s">
        <v>23</v>
      </c>
      <c r="U1" s="11" t="s">
        <v>24</v>
      </c>
    </row>
    <row r="2" spans="1:21" x14ac:dyDescent="0.2">
      <c r="A2" s="21" t="s">
        <v>34</v>
      </c>
      <c r="B2" s="21" t="s">
        <v>35</v>
      </c>
      <c r="C2" s="21" t="s">
        <v>38</v>
      </c>
      <c r="D2" s="21" t="s">
        <v>45</v>
      </c>
      <c r="E2" s="21" t="s">
        <v>46</v>
      </c>
      <c r="F2" s="21" t="s">
        <v>32</v>
      </c>
      <c r="G2" s="21" t="s">
        <v>39</v>
      </c>
      <c r="H2" s="21" t="s">
        <v>28</v>
      </c>
      <c r="I2" s="21" t="s">
        <v>34</v>
      </c>
      <c r="J2" s="21" t="s">
        <v>35</v>
      </c>
      <c r="K2" s="24">
        <v>1</v>
      </c>
      <c r="L2" s="21" t="s">
        <v>36</v>
      </c>
      <c r="M2" s="21">
        <v>2017</v>
      </c>
      <c r="N2" s="21" t="s">
        <v>26</v>
      </c>
      <c r="O2" s="22" t="s">
        <v>26</v>
      </c>
      <c r="P2" s="21" t="s">
        <v>26</v>
      </c>
      <c r="Q2" s="22" t="s">
        <v>26</v>
      </c>
      <c r="R2" s="23">
        <v>100</v>
      </c>
      <c r="S2" s="24">
        <v>1</v>
      </c>
      <c r="T2" s="24">
        <v>0</v>
      </c>
      <c r="U2" s="24">
        <v>0</v>
      </c>
    </row>
    <row r="3" spans="1:21" x14ac:dyDescent="0.2">
      <c r="A3" s="21" t="s">
        <v>34</v>
      </c>
      <c r="B3" s="21" t="s">
        <v>35</v>
      </c>
      <c r="C3" s="21" t="s">
        <v>38</v>
      </c>
      <c r="D3" s="21" t="s">
        <v>43</v>
      </c>
      <c r="E3" s="21" t="s">
        <v>44</v>
      </c>
      <c r="F3" s="21" t="s">
        <v>30</v>
      </c>
      <c r="G3" s="21" t="s">
        <v>39</v>
      </c>
      <c r="H3" s="21" t="s">
        <v>28</v>
      </c>
      <c r="I3" s="21" t="s">
        <v>34</v>
      </c>
      <c r="J3" s="21" t="s">
        <v>35</v>
      </c>
      <c r="K3" s="24">
        <v>1</v>
      </c>
      <c r="L3" s="21" t="s">
        <v>36</v>
      </c>
      <c r="M3" s="21">
        <v>2017</v>
      </c>
      <c r="N3" s="21" t="s">
        <v>26</v>
      </c>
      <c r="O3" s="22" t="s">
        <v>26</v>
      </c>
      <c r="P3" s="21" t="s">
        <v>26</v>
      </c>
      <c r="Q3" s="22" t="s">
        <v>26</v>
      </c>
      <c r="R3" s="23">
        <v>100</v>
      </c>
      <c r="S3" s="24">
        <v>1</v>
      </c>
      <c r="T3" s="24">
        <v>0</v>
      </c>
      <c r="U3" s="24">
        <v>0</v>
      </c>
    </row>
    <row r="4" spans="1:21" x14ac:dyDescent="0.2">
      <c r="A4" s="21" t="s">
        <v>34</v>
      </c>
      <c r="B4" s="21" t="s">
        <v>35</v>
      </c>
      <c r="C4" s="21" t="s">
        <v>38</v>
      </c>
      <c r="D4" s="21" t="s">
        <v>41</v>
      </c>
      <c r="E4" s="21" t="s">
        <v>42</v>
      </c>
      <c r="F4" s="21" t="s">
        <v>33</v>
      </c>
      <c r="G4" s="21" t="s">
        <v>39</v>
      </c>
      <c r="H4" s="21" t="s">
        <v>25</v>
      </c>
      <c r="I4" s="21" t="s">
        <v>34</v>
      </c>
      <c r="J4" s="21" t="s">
        <v>35</v>
      </c>
      <c r="K4" s="24">
        <v>0.5</v>
      </c>
      <c r="L4" s="21" t="s">
        <v>36</v>
      </c>
      <c r="M4" s="21">
        <v>2017</v>
      </c>
      <c r="N4" s="21" t="s">
        <v>26</v>
      </c>
      <c r="O4" s="22" t="s">
        <v>26</v>
      </c>
      <c r="P4" s="21" t="s">
        <v>26</v>
      </c>
      <c r="Q4" s="22" t="s">
        <v>26</v>
      </c>
      <c r="R4" s="23">
        <v>100</v>
      </c>
      <c r="S4" s="24">
        <v>0.5</v>
      </c>
      <c r="T4" s="24">
        <v>0</v>
      </c>
      <c r="U4" s="24">
        <v>0</v>
      </c>
    </row>
    <row r="5" spans="1:21" x14ac:dyDescent="0.2">
      <c r="A5" s="21" t="s">
        <v>34</v>
      </c>
      <c r="B5" s="21" t="s">
        <v>35</v>
      </c>
      <c r="C5" s="21" t="s">
        <v>38</v>
      </c>
      <c r="D5" s="21" t="s">
        <v>41</v>
      </c>
      <c r="E5" s="21" t="s">
        <v>42</v>
      </c>
      <c r="F5" s="21" t="s">
        <v>33</v>
      </c>
      <c r="G5" s="21" t="s">
        <v>29</v>
      </c>
      <c r="H5" s="21" t="s">
        <v>25</v>
      </c>
      <c r="I5" s="21" t="s">
        <v>34</v>
      </c>
      <c r="J5" s="21" t="s">
        <v>35</v>
      </c>
      <c r="K5" s="24">
        <v>0.5</v>
      </c>
      <c r="L5" s="21" t="s">
        <v>36</v>
      </c>
      <c r="M5" s="21">
        <v>2017</v>
      </c>
      <c r="N5" s="21" t="s">
        <v>26</v>
      </c>
      <c r="O5" s="22" t="s">
        <v>26</v>
      </c>
      <c r="P5" s="21" t="s">
        <v>26</v>
      </c>
      <c r="Q5" s="22" t="s">
        <v>26</v>
      </c>
      <c r="R5" s="23">
        <v>100</v>
      </c>
      <c r="S5" s="24">
        <v>0.5</v>
      </c>
      <c r="T5" s="24">
        <v>0</v>
      </c>
      <c r="U5" s="24">
        <v>0</v>
      </c>
    </row>
    <row r="6" spans="1:21" x14ac:dyDescent="0.2">
      <c r="A6" s="21" t="s">
        <v>34</v>
      </c>
      <c r="B6" s="21" t="s">
        <v>35</v>
      </c>
      <c r="C6" s="21" t="s">
        <v>38</v>
      </c>
      <c r="D6" s="21" t="s">
        <v>90</v>
      </c>
      <c r="E6" s="21" t="s">
        <v>91</v>
      </c>
      <c r="F6" s="21" t="s">
        <v>92</v>
      </c>
      <c r="G6" s="21" t="s">
        <v>37</v>
      </c>
      <c r="H6" s="21" t="s">
        <v>28</v>
      </c>
      <c r="I6" s="21" t="s">
        <v>34</v>
      </c>
      <c r="J6" s="21" t="s">
        <v>35</v>
      </c>
      <c r="K6" s="41">
        <v>1</v>
      </c>
      <c r="L6" s="21" t="s">
        <v>36</v>
      </c>
      <c r="M6" s="21">
        <v>2018</v>
      </c>
      <c r="N6" s="21" t="s">
        <v>26</v>
      </c>
      <c r="O6" s="22" t="s">
        <v>26</v>
      </c>
      <c r="P6" s="21" t="s">
        <v>26</v>
      </c>
      <c r="Q6" s="22" t="s">
        <v>26</v>
      </c>
      <c r="R6" s="23">
        <v>100</v>
      </c>
      <c r="S6" s="24">
        <v>1</v>
      </c>
      <c r="T6" s="24">
        <v>0</v>
      </c>
      <c r="U6" s="24">
        <v>0</v>
      </c>
    </row>
    <row r="7" spans="1:21" x14ac:dyDescent="0.2">
      <c r="A7" s="25" t="s">
        <v>34</v>
      </c>
      <c r="B7" s="25" t="s">
        <v>35</v>
      </c>
      <c r="C7" s="25" t="s">
        <v>38</v>
      </c>
      <c r="D7" s="25" t="s">
        <v>93</v>
      </c>
      <c r="E7" s="25" t="s">
        <v>94</v>
      </c>
      <c r="F7" s="25" t="s">
        <v>95</v>
      </c>
      <c r="G7" s="25" t="s">
        <v>39</v>
      </c>
      <c r="H7" s="25" t="s">
        <v>25</v>
      </c>
      <c r="I7" s="25" t="s">
        <v>34</v>
      </c>
      <c r="J7" s="25" t="s">
        <v>35</v>
      </c>
      <c r="K7" s="42">
        <v>0.5</v>
      </c>
      <c r="L7" s="25" t="s">
        <v>36</v>
      </c>
      <c r="M7" s="25">
        <v>2019</v>
      </c>
      <c r="N7" s="25" t="s">
        <v>26</v>
      </c>
      <c r="O7" s="26" t="s">
        <v>26</v>
      </c>
      <c r="P7" s="25" t="s">
        <v>26</v>
      </c>
      <c r="Q7" s="26" t="s">
        <v>26</v>
      </c>
      <c r="R7" s="27">
        <v>100</v>
      </c>
      <c r="S7" s="28">
        <v>0.5</v>
      </c>
      <c r="T7" s="28">
        <v>0</v>
      </c>
      <c r="U7" s="28">
        <v>0</v>
      </c>
    </row>
    <row r="8" spans="1:21" x14ac:dyDescent="0.2">
      <c r="A8" s="25" t="s">
        <v>34</v>
      </c>
      <c r="B8" s="25" t="s">
        <v>35</v>
      </c>
      <c r="C8" s="25" t="s">
        <v>38</v>
      </c>
      <c r="D8" s="25" t="s">
        <v>93</v>
      </c>
      <c r="E8" s="25" t="s">
        <v>94</v>
      </c>
      <c r="F8" s="25" t="s">
        <v>95</v>
      </c>
      <c r="G8" s="25" t="s">
        <v>40</v>
      </c>
      <c r="H8" s="25" t="s">
        <v>25</v>
      </c>
      <c r="I8" s="25" t="s">
        <v>34</v>
      </c>
      <c r="J8" s="25" t="s">
        <v>35</v>
      </c>
      <c r="K8" s="42">
        <v>0.5</v>
      </c>
      <c r="L8" s="25" t="s">
        <v>36</v>
      </c>
      <c r="M8" s="25">
        <v>2019</v>
      </c>
      <c r="N8" s="25" t="s">
        <v>26</v>
      </c>
      <c r="O8" s="26" t="s">
        <v>26</v>
      </c>
      <c r="P8" s="25" t="s">
        <v>26</v>
      </c>
      <c r="Q8" s="26" t="s">
        <v>26</v>
      </c>
      <c r="R8" s="27">
        <v>100</v>
      </c>
      <c r="S8" s="28">
        <v>0.5</v>
      </c>
      <c r="T8" s="28">
        <v>0</v>
      </c>
      <c r="U8" s="28">
        <v>0</v>
      </c>
    </row>
    <row r="9" spans="1:21" x14ac:dyDescent="0.2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4"/>
      <c r="P9" s="43"/>
      <c r="Q9" s="44"/>
      <c r="R9" s="43"/>
      <c r="S9" s="57">
        <f>SUM(S2:S8)</f>
        <v>5</v>
      </c>
      <c r="T9" s="43"/>
      <c r="U9" s="43"/>
    </row>
  </sheetData>
  <autoFilter ref="A1:U1" xr:uid="{00000000-0009-0000-0000-000000000000}">
    <sortState xmlns:xlrd2="http://schemas.microsoft.com/office/spreadsheetml/2017/richdata2" ref="A2:S1890">
      <sortCondition ref="K2:K1890"/>
      <sortCondition ref="D2:D1890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2"/>
  <sheetViews>
    <sheetView topLeftCell="A4" zoomScaleNormal="100" workbookViewId="0">
      <selection activeCell="S22" sqref="S22"/>
    </sheetView>
  </sheetViews>
  <sheetFormatPr baseColWidth="10" defaultColWidth="11.44140625" defaultRowHeight="13.2" x14ac:dyDescent="0.25"/>
  <cols>
    <col min="1" max="1" width="10.33203125" style="18" bestFit="1" customWidth="1"/>
    <col min="2" max="2" width="38.44140625" style="18" bestFit="1" customWidth="1"/>
    <col min="3" max="3" width="17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20" bestFit="1" customWidth="1"/>
    <col min="15" max="15" width="5.6640625" style="18" bestFit="1" customWidth="1"/>
    <col min="16" max="16" width="5.6640625" style="20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45" t="s">
        <v>47</v>
      </c>
      <c r="B1" s="45" t="s">
        <v>48</v>
      </c>
      <c r="C1" s="45" t="s">
        <v>49</v>
      </c>
      <c r="D1" s="46">
        <v>2017</v>
      </c>
      <c r="E1" s="46">
        <v>2018</v>
      </c>
      <c r="F1" s="46">
        <v>2019</v>
      </c>
      <c r="G1" s="46">
        <v>2020</v>
      </c>
      <c r="H1" s="46">
        <v>2021</v>
      </c>
      <c r="I1" s="46">
        <v>2022</v>
      </c>
      <c r="J1" s="45" t="s">
        <v>50</v>
      </c>
      <c r="K1" s="47" t="s">
        <v>119</v>
      </c>
      <c r="L1" s="15" t="s">
        <v>51</v>
      </c>
      <c r="M1" s="15" t="s">
        <v>52</v>
      </c>
      <c r="N1" s="15" t="s">
        <v>53</v>
      </c>
      <c r="O1" s="15" t="s">
        <v>54</v>
      </c>
      <c r="P1" s="16" t="s">
        <v>55</v>
      </c>
      <c r="Q1" s="16" t="s">
        <v>56</v>
      </c>
      <c r="R1" s="16" t="s">
        <v>57</v>
      </c>
      <c r="S1" s="16" t="s">
        <v>58</v>
      </c>
    </row>
    <row r="2" spans="1:19" ht="14.4" x14ac:dyDescent="0.3">
      <c r="A2" s="48" t="s">
        <v>83</v>
      </c>
      <c r="B2" s="48" t="s">
        <v>84</v>
      </c>
      <c r="C2" s="48" t="s">
        <v>59</v>
      </c>
      <c r="D2" s="48"/>
      <c r="E2" s="48"/>
      <c r="F2" s="48"/>
      <c r="G2" s="48"/>
      <c r="H2" s="48"/>
      <c r="I2" s="48">
        <v>1</v>
      </c>
      <c r="J2" s="48">
        <v>1</v>
      </c>
      <c r="K2" s="48" t="s">
        <v>36</v>
      </c>
      <c r="L2" s="49">
        <v>0</v>
      </c>
      <c r="M2" s="49">
        <v>0</v>
      </c>
      <c r="N2" s="49" t="s">
        <v>26</v>
      </c>
      <c r="O2" s="49" t="s">
        <v>26</v>
      </c>
      <c r="P2" s="49">
        <v>100</v>
      </c>
      <c r="Q2" s="49">
        <v>0</v>
      </c>
      <c r="R2" s="49">
        <v>0</v>
      </c>
      <c r="S2" s="49">
        <v>1</v>
      </c>
    </row>
    <row r="3" spans="1:19" ht="14.4" x14ac:dyDescent="0.3">
      <c r="A3" s="48" t="s">
        <v>100</v>
      </c>
      <c r="B3" s="48" t="s">
        <v>101</v>
      </c>
      <c r="C3" s="48" t="s">
        <v>59</v>
      </c>
      <c r="D3" s="48"/>
      <c r="E3" s="48">
        <v>1</v>
      </c>
      <c r="F3" s="48"/>
      <c r="G3" s="48"/>
      <c r="H3" s="48"/>
      <c r="I3" s="48"/>
      <c r="J3" s="48">
        <v>1</v>
      </c>
      <c r="K3" s="48" t="s">
        <v>36</v>
      </c>
      <c r="L3" s="49">
        <v>0</v>
      </c>
      <c r="M3" s="49">
        <v>0</v>
      </c>
      <c r="N3" s="49" t="s">
        <v>26</v>
      </c>
      <c r="O3" s="49" t="s">
        <v>26</v>
      </c>
      <c r="P3" s="49">
        <v>100</v>
      </c>
      <c r="Q3" s="49">
        <v>0</v>
      </c>
      <c r="R3" s="49">
        <v>0</v>
      </c>
      <c r="S3" s="49">
        <v>1</v>
      </c>
    </row>
    <row r="4" spans="1:19" s="19" customFormat="1" ht="14.4" x14ac:dyDescent="0.3">
      <c r="A4" s="48" t="s">
        <v>120</v>
      </c>
      <c r="B4" s="48" t="s">
        <v>121</v>
      </c>
      <c r="C4" s="48" t="s">
        <v>60</v>
      </c>
      <c r="D4" s="48"/>
      <c r="E4" s="48"/>
      <c r="F4" s="48"/>
      <c r="G4" s="48"/>
      <c r="H4" s="48"/>
      <c r="I4" s="48">
        <v>1</v>
      </c>
      <c r="J4" s="48">
        <v>1</v>
      </c>
      <c r="K4" s="48" t="s">
        <v>36</v>
      </c>
      <c r="L4" s="49">
        <v>0</v>
      </c>
      <c r="M4" s="49">
        <v>0</v>
      </c>
      <c r="N4" s="49" t="s">
        <v>26</v>
      </c>
      <c r="O4" s="49" t="s">
        <v>26</v>
      </c>
      <c r="P4" s="49">
        <v>100</v>
      </c>
      <c r="Q4" s="49">
        <v>0</v>
      </c>
      <c r="R4" s="49">
        <v>0</v>
      </c>
      <c r="S4" s="49">
        <v>1</v>
      </c>
    </row>
    <row r="5" spans="1:19" ht="14.4" x14ac:dyDescent="0.3">
      <c r="A5" s="48" t="s">
        <v>102</v>
      </c>
      <c r="B5" s="48" t="s">
        <v>103</v>
      </c>
      <c r="C5" s="48" t="s">
        <v>59</v>
      </c>
      <c r="D5" s="48"/>
      <c r="E5" s="48"/>
      <c r="F5" s="48"/>
      <c r="G5" s="48"/>
      <c r="H5" s="48">
        <v>1</v>
      </c>
      <c r="I5" s="48"/>
      <c r="J5" s="48">
        <v>1</v>
      </c>
      <c r="K5" s="48" t="s">
        <v>36</v>
      </c>
      <c r="L5" s="49">
        <v>0</v>
      </c>
      <c r="M5" s="49">
        <v>0</v>
      </c>
      <c r="N5" s="49" t="s">
        <v>26</v>
      </c>
      <c r="O5" s="49" t="s">
        <v>26</v>
      </c>
      <c r="P5" s="49">
        <v>100</v>
      </c>
      <c r="Q5" s="49">
        <v>0</v>
      </c>
      <c r="R5" s="49">
        <v>0</v>
      </c>
      <c r="S5" s="49">
        <v>1</v>
      </c>
    </row>
    <row r="6" spans="1:19" ht="14.4" x14ac:dyDescent="0.3">
      <c r="A6" s="48" t="s">
        <v>96</v>
      </c>
      <c r="B6" s="48" t="s">
        <v>97</v>
      </c>
      <c r="C6" s="48" t="s">
        <v>59</v>
      </c>
      <c r="D6" s="48"/>
      <c r="E6" s="48"/>
      <c r="F6" s="48"/>
      <c r="G6" s="48">
        <v>1</v>
      </c>
      <c r="H6" s="48"/>
      <c r="I6" s="48"/>
      <c r="J6" s="48">
        <v>1</v>
      </c>
      <c r="K6" s="48" t="s">
        <v>36</v>
      </c>
      <c r="L6" s="49">
        <v>0</v>
      </c>
      <c r="M6" s="49">
        <v>0</v>
      </c>
      <c r="N6" s="49" t="s">
        <v>26</v>
      </c>
      <c r="O6" s="49" t="s">
        <v>26</v>
      </c>
      <c r="P6" s="49">
        <v>100</v>
      </c>
      <c r="Q6" s="49">
        <v>0</v>
      </c>
      <c r="R6" s="49">
        <v>0</v>
      </c>
      <c r="S6" s="49">
        <v>1</v>
      </c>
    </row>
    <row r="7" spans="1:19" ht="14.4" x14ac:dyDescent="0.3">
      <c r="A7" s="48" t="s">
        <v>63</v>
      </c>
      <c r="B7" s="48" t="s">
        <v>64</v>
      </c>
      <c r="C7" s="48">
        <v>6</v>
      </c>
      <c r="D7" s="48"/>
      <c r="E7" s="48"/>
      <c r="F7" s="48">
        <v>1</v>
      </c>
      <c r="G7" s="48"/>
      <c r="H7" s="48"/>
      <c r="I7" s="48"/>
      <c r="J7" s="48">
        <v>1</v>
      </c>
      <c r="K7" s="48" t="s">
        <v>36</v>
      </c>
      <c r="L7" s="49">
        <v>0</v>
      </c>
      <c r="M7" s="49">
        <v>0</v>
      </c>
      <c r="N7" s="49" t="s">
        <v>26</v>
      </c>
      <c r="O7" s="49" t="s">
        <v>26</v>
      </c>
      <c r="P7" s="49">
        <v>100</v>
      </c>
      <c r="Q7" s="49">
        <v>0</v>
      </c>
      <c r="R7" s="49">
        <v>0</v>
      </c>
      <c r="S7" s="49">
        <v>1</v>
      </c>
    </row>
    <row r="8" spans="1:19" ht="14.4" x14ac:dyDescent="0.3">
      <c r="A8" s="48" t="s">
        <v>85</v>
      </c>
      <c r="B8" s="48" t="s">
        <v>86</v>
      </c>
      <c r="C8" s="48" t="s">
        <v>59</v>
      </c>
      <c r="D8" s="48"/>
      <c r="E8" s="48">
        <v>1</v>
      </c>
      <c r="F8" s="48"/>
      <c r="G8" s="48"/>
      <c r="H8" s="48"/>
      <c r="I8" s="48"/>
      <c r="J8" s="48">
        <v>1</v>
      </c>
      <c r="K8" s="48" t="s">
        <v>36</v>
      </c>
      <c r="L8" s="49">
        <v>0</v>
      </c>
      <c r="M8" s="49">
        <v>0</v>
      </c>
      <c r="N8" s="49" t="s">
        <v>26</v>
      </c>
      <c r="O8" s="49" t="s">
        <v>26</v>
      </c>
      <c r="P8" s="49">
        <v>100</v>
      </c>
      <c r="Q8" s="49">
        <v>0</v>
      </c>
      <c r="R8" s="49">
        <v>0</v>
      </c>
      <c r="S8" s="49">
        <v>1</v>
      </c>
    </row>
    <row r="9" spans="1:19" ht="14.4" x14ac:dyDescent="0.3">
      <c r="A9" s="48" t="s">
        <v>98</v>
      </c>
      <c r="B9" s="48" t="s">
        <v>99</v>
      </c>
      <c r="C9" s="48" t="s">
        <v>59</v>
      </c>
      <c r="D9" s="48"/>
      <c r="E9" s="48"/>
      <c r="F9" s="48"/>
      <c r="G9" s="48"/>
      <c r="H9" s="48">
        <v>1</v>
      </c>
      <c r="I9" s="48"/>
      <c r="J9" s="48">
        <v>1</v>
      </c>
      <c r="K9" s="48" t="s">
        <v>36</v>
      </c>
      <c r="L9" s="49">
        <v>0</v>
      </c>
      <c r="M9" s="49">
        <v>0</v>
      </c>
      <c r="N9" s="49" t="s">
        <v>26</v>
      </c>
      <c r="O9" s="49" t="s">
        <v>26</v>
      </c>
      <c r="P9" s="49">
        <v>100</v>
      </c>
      <c r="Q9" s="49">
        <v>0</v>
      </c>
      <c r="R9" s="49">
        <v>0</v>
      </c>
      <c r="S9" s="49">
        <v>1</v>
      </c>
    </row>
    <row r="10" spans="1:19" ht="14.4" x14ac:dyDescent="0.3">
      <c r="A10" s="48" t="s">
        <v>69</v>
      </c>
      <c r="B10" s="48" t="s">
        <v>70</v>
      </c>
      <c r="C10" s="48" t="s">
        <v>59</v>
      </c>
      <c r="D10" s="48"/>
      <c r="E10" s="48"/>
      <c r="F10" s="48"/>
      <c r="G10" s="48"/>
      <c r="H10" s="48"/>
      <c r="I10" s="48">
        <v>1</v>
      </c>
      <c r="J10" s="48">
        <v>1</v>
      </c>
      <c r="K10" s="48" t="s">
        <v>36</v>
      </c>
      <c r="L10" s="49">
        <v>0</v>
      </c>
      <c r="M10" s="49">
        <v>0</v>
      </c>
      <c r="N10" s="49" t="s">
        <v>26</v>
      </c>
      <c r="O10" s="49" t="s">
        <v>26</v>
      </c>
      <c r="P10" s="49">
        <v>100</v>
      </c>
      <c r="Q10" s="49">
        <v>0</v>
      </c>
      <c r="R10" s="49">
        <v>0</v>
      </c>
      <c r="S10" s="49">
        <v>1</v>
      </c>
    </row>
    <row r="11" spans="1:19" ht="14.4" x14ac:dyDescent="0.3">
      <c r="A11" s="48" t="s">
        <v>75</v>
      </c>
      <c r="B11" s="48" t="s">
        <v>76</v>
      </c>
      <c r="C11" s="48" t="s">
        <v>59</v>
      </c>
      <c r="D11" s="48"/>
      <c r="E11" s="48"/>
      <c r="F11" s="48">
        <v>1</v>
      </c>
      <c r="G11" s="48"/>
      <c r="H11" s="48"/>
      <c r="I11" s="48"/>
      <c r="J11" s="48">
        <v>1</v>
      </c>
      <c r="K11" s="48" t="s">
        <v>36</v>
      </c>
      <c r="L11" s="49">
        <v>0</v>
      </c>
      <c r="M11" s="49">
        <v>0</v>
      </c>
      <c r="N11" s="49" t="s">
        <v>26</v>
      </c>
      <c r="O11" s="49" t="s">
        <v>26</v>
      </c>
      <c r="P11" s="49">
        <v>100</v>
      </c>
      <c r="Q11" s="49">
        <v>0</v>
      </c>
      <c r="R11" s="49">
        <v>0</v>
      </c>
      <c r="S11" s="49">
        <v>1</v>
      </c>
    </row>
    <row r="12" spans="1:19" ht="14.4" x14ac:dyDescent="0.3">
      <c r="A12" s="48" t="s">
        <v>104</v>
      </c>
      <c r="B12" s="48" t="s">
        <v>105</v>
      </c>
      <c r="C12" s="48" t="s">
        <v>59</v>
      </c>
      <c r="D12" s="48"/>
      <c r="E12" s="48"/>
      <c r="F12" s="48"/>
      <c r="G12" s="48"/>
      <c r="H12" s="48">
        <v>1</v>
      </c>
      <c r="I12" s="48"/>
      <c r="J12" s="48">
        <v>1</v>
      </c>
      <c r="K12" s="48" t="s">
        <v>36</v>
      </c>
      <c r="L12" s="49">
        <v>0</v>
      </c>
      <c r="M12" s="49">
        <v>0</v>
      </c>
      <c r="N12" s="49" t="s">
        <v>26</v>
      </c>
      <c r="O12" s="49" t="s">
        <v>26</v>
      </c>
      <c r="P12" s="49">
        <v>100</v>
      </c>
      <c r="Q12" s="49">
        <v>0</v>
      </c>
      <c r="R12" s="49">
        <v>0</v>
      </c>
      <c r="S12" s="49">
        <v>1</v>
      </c>
    </row>
    <row r="13" spans="1:19" ht="14.4" x14ac:dyDescent="0.3">
      <c r="A13" s="48" t="s">
        <v>73</v>
      </c>
      <c r="B13" s="48" t="s">
        <v>74</v>
      </c>
      <c r="C13" s="48" t="s">
        <v>59</v>
      </c>
      <c r="D13" s="48"/>
      <c r="E13" s="48"/>
      <c r="F13" s="48"/>
      <c r="G13" s="48"/>
      <c r="H13" s="48"/>
      <c r="I13" s="48">
        <v>1</v>
      </c>
      <c r="J13" s="48">
        <v>1</v>
      </c>
      <c r="K13" s="48" t="s">
        <v>36</v>
      </c>
      <c r="L13" s="49">
        <v>0</v>
      </c>
      <c r="M13" s="49">
        <v>0</v>
      </c>
      <c r="N13" s="49" t="s">
        <v>26</v>
      </c>
      <c r="O13" s="49" t="s">
        <v>26</v>
      </c>
      <c r="P13" s="49">
        <v>100</v>
      </c>
      <c r="Q13" s="49">
        <v>0</v>
      </c>
      <c r="R13" s="49">
        <v>0</v>
      </c>
      <c r="S13" s="49">
        <v>1</v>
      </c>
    </row>
    <row r="14" spans="1:19" ht="14.4" x14ac:dyDescent="0.3">
      <c r="A14" s="48" t="s">
        <v>61</v>
      </c>
      <c r="B14" s="48" t="s">
        <v>62</v>
      </c>
      <c r="C14" s="48" t="s">
        <v>59</v>
      </c>
      <c r="D14" s="48"/>
      <c r="E14" s="48">
        <v>1</v>
      </c>
      <c r="F14" s="48"/>
      <c r="G14" s="48"/>
      <c r="H14" s="48"/>
      <c r="I14" s="48"/>
      <c r="J14" s="48">
        <v>1</v>
      </c>
      <c r="K14" s="48" t="s">
        <v>36</v>
      </c>
      <c r="L14" s="49">
        <v>0</v>
      </c>
      <c r="M14" s="49">
        <v>0</v>
      </c>
      <c r="N14" s="49" t="s">
        <v>26</v>
      </c>
      <c r="O14" s="49" t="s">
        <v>26</v>
      </c>
      <c r="P14" s="49">
        <v>100</v>
      </c>
      <c r="Q14" s="49">
        <v>0</v>
      </c>
      <c r="R14" s="49">
        <v>0</v>
      </c>
      <c r="S14" s="49">
        <v>1</v>
      </c>
    </row>
    <row r="15" spans="1:19" ht="14.4" x14ac:dyDescent="0.3">
      <c r="A15" s="48" t="s">
        <v>109</v>
      </c>
      <c r="B15" s="48" t="s">
        <v>110</v>
      </c>
      <c r="C15" s="48" t="s">
        <v>60</v>
      </c>
      <c r="D15" s="48"/>
      <c r="E15" s="48">
        <v>1</v>
      </c>
      <c r="F15" s="48"/>
      <c r="G15" s="48"/>
      <c r="H15" s="48"/>
      <c r="I15" s="48"/>
      <c r="J15" s="48">
        <v>1</v>
      </c>
      <c r="K15" s="48" t="s">
        <v>36</v>
      </c>
      <c r="L15" s="49">
        <v>0</v>
      </c>
      <c r="M15" s="49">
        <v>0</v>
      </c>
      <c r="N15" s="49" t="s">
        <v>26</v>
      </c>
      <c r="O15" s="49" t="s">
        <v>26</v>
      </c>
      <c r="P15" s="49">
        <v>100</v>
      </c>
      <c r="Q15" s="49">
        <v>0</v>
      </c>
      <c r="R15" s="49">
        <v>0</v>
      </c>
      <c r="S15" s="49">
        <v>1</v>
      </c>
    </row>
    <row r="16" spans="1:19" ht="14.4" x14ac:dyDescent="0.3">
      <c r="A16" s="48" t="s">
        <v>81</v>
      </c>
      <c r="B16" s="48" t="s">
        <v>82</v>
      </c>
      <c r="C16" s="48" t="s">
        <v>59</v>
      </c>
      <c r="D16" s="48"/>
      <c r="E16" s="48"/>
      <c r="F16" s="48">
        <v>1</v>
      </c>
      <c r="G16" s="48"/>
      <c r="H16" s="48"/>
      <c r="I16" s="48"/>
      <c r="J16" s="48">
        <v>1</v>
      </c>
      <c r="K16" s="48" t="s">
        <v>36</v>
      </c>
      <c r="L16" s="49" t="s">
        <v>27</v>
      </c>
      <c r="M16" s="49" t="s">
        <v>31</v>
      </c>
      <c r="N16" s="49" t="s">
        <v>26</v>
      </c>
      <c r="O16" s="49" t="s">
        <v>26</v>
      </c>
      <c r="P16" s="49">
        <v>70</v>
      </c>
      <c r="Q16" s="49">
        <v>0.3</v>
      </c>
      <c r="R16" s="49">
        <v>0</v>
      </c>
      <c r="S16" s="49">
        <v>0.7</v>
      </c>
    </row>
    <row r="17" spans="1:19" ht="14.4" x14ac:dyDescent="0.3">
      <c r="A17" s="48" t="s">
        <v>67</v>
      </c>
      <c r="B17" s="48" t="s">
        <v>68</v>
      </c>
      <c r="C17" s="48" t="s">
        <v>59</v>
      </c>
      <c r="D17" s="48"/>
      <c r="E17" s="48"/>
      <c r="F17" s="48"/>
      <c r="G17" s="48"/>
      <c r="H17" s="48"/>
      <c r="I17" s="48">
        <v>1</v>
      </c>
      <c r="J17" s="48">
        <v>1</v>
      </c>
      <c r="K17" s="48" t="s">
        <v>36</v>
      </c>
      <c r="L17" s="49">
        <v>0</v>
      </c>
      <c r="M17" s="49">
        <v>0</v>
      </c>
      <c r="N17" s="49" t="s">
        <v>26</v>
      </c>
      <c r="O17" s="49" t="s">
        <v>26</v>
      </c>
      <c r="P17" s="49">
        <v>100</v>
      </c>
      <c r="Q17" s="49">
        <v>0</v>
      </c>
      <c r="R17" s="49">
        <v>0</v>
      </c>
      <c r="S17" s="49">
        <v>1</v>
      </c>
    </row>
    <row r="18" spans="1:19" ht="14.4" x14ac:dyDescent="0.3">
      <c r="A18" s="48" t="s">
        <v>71</v>
      </c>
      <c r="B18" s="48" t="s">
        <v>72</v>
      </c>
      <c r="C18" s="48" t="s">
        <v>60</v>
      </c>
      <c r="D18" s="48"/>
      <c r="E18" s="48">
        <v>1</v>
      </c>
      <c r="F18" s="48"/>
      <c r="G18" s="48"/>
      <c r="H18" s="48"/>
      <c r="I18" s="48"/>
      <c r="J18" s="48">
        <v>1</v>
      </c>
      <c r="K18" s="48" t="s">
        <v>36</v>
      </c>
      <c r="L18" s="49">
        <v>0</v>
      </c>
      <c r="M18" s="49">
        <v>0</v>
      </c>
      <c r="N18" s="49" t="s">
        <v>26</v>
      </c>
      <c r="O18" s="49" t="s">
        <v>26</v>
      </c>
      <c r="P18" s="49">
        <v>100</v>
      </c>
      <c r="Q18" s="49">
        <v>0</v>
      </c>
      <c r="R18" s="49">
        <v>0</v>
      </c>
      <c r="S18" s="49">
        <v>1</v>
      </c>
    </row>
    <row r="19" spans="1:19" ht="14.4" x14ac:dyDescent="0.3">
      <c r="A19" s="48" t="s">
        <v>77</v>
      </c>
      <c r="B19" s="48" t="s">
        <v>78</v>
      </c>
      <c r="C19" s="48" t="s">
        <v>59</v>
      </c>
      <c r="D19" s="48"/>
      <c r="E19" s="48"/>
      <c r="F19" s="48">
        <v>1</v>
      </c>
      <c r="G19" s="48">
        <v>1</v>
      </c>
      <c r="H19" s="48"/>
      <c r="I19" s="48"/>
      <c r="J19" s="48">
        <v>2</v>
      </c>
      <c r="K19" s="48" t="s">
        <v>36</v>
      </c>
      <c r="L19" s="49">
        <v>0</v>
      </c>
      <c r="M19" s="49">
        <v>0</v>
      </c>
      <c r="N19" s="49" t="s">
        <v>26</v>
      </c>
      <c r="O19" s="49" t="s">
        <v>26</v>
      </c>
      <c r="P19" s="49">
        <v>100</v>
      </c>
      <c r="Q19" s="49">
        <v>0</v>
      </c>
      <c r="R19" s="49">
        <v>0</v>
      </c>
      <c r="S19" s="49">
        <v>2</v>
      </c>
    </row>
    <row r="20" spans="1:19" ht="14.4" x14ac:dyDescent="0.3">
      <c r="A20" s="48" t="s">
        <v>65</v>
      </c>
      <c r="B20" s="48" t="s">
        <v>66</v>
      </c>
      <c r="C20" s="48" t="s">
        <v>59</v>
      </c>
      <c r="D20" s="48"/>
      <c r="E20" s="48"/>
      <c r="F20" s="48">
        <v>2</v>
      </c>
      <c r="G20" s="48"/>
      <c r="H20" s="48"/>
      <c r="I20" s="48"/>
      <c r="J20" s="48">
        <v>2</v>
      </c>
      <c r="K20" s="48" t="s">
        <v>36</v>
      </c>
      <c r="L20" s="49">
        <v>0</v>
      </c>
      <c r="M20" s="49">
        <v>0</v>
      </c>
      <c r="N20" s="49" t="s">
        <v>26</v>
      </c>
      <c r="O20" s="49" t="s">
        <v>26</v>
      </c>
      <c r="P20" s="49">
        <v>100</v>
      </c>
      <c r="Q20" s="49">
        <v>0</v>
      </c>
      <c r="R20" s="49">
        <v>0</v>
      </c>
      <c r="S20" s="49">
        <v>2</v>
      </c>
    </row>
    <row r="21" spans="1:19" ht="14.4" x14ac:dyDescent="0.3">
      <c r="A21" s="48" t="s">
        <v>79</v>
      </c>
      <c r="B21" s="48" t="s">
        <v>80</v>
      </c>
      <c r="C21" s="50" t="s">
        <v>106</v>
      </c>
      <c r="D21" s="48"/>
      <c r="E21" s="48"/>
      <c r="F21" s="48"/>
      <c r="G21" s="48"/>
      <c r="H21" s="48"/>
      <c r="I21" s="48">
        <v>1</v>
      </c>
      <c r="J21" s="48">
        <v>1</v>
      </c>
      <c r="K21" s="48" t="s">
        <v>36</v>
      </c>
      <c r="L21" s="49">
        <v>0</v>
      </c>
      <c r="M21" s="49">
        <v>0</v>
      </c>
      <c r="N21" s="49" t="s">
        <v>26</v>
      </c>
      <c r="O21" s="49" t="s">
        <v>26</v>
      </c>
      <c r="P21" s="49">
        <v>100</v>
      </c>
      <c r="Q21" s="49">
        <v>0</v>
      </c>
      <c r="R21" s="49">
        <v>0</v>
      </c>
      <c r="S21" s="49">
        <v>1</v>
      </c>
    </row>
    <row r="22" spans="1:19" x14ac:dyDescent="0.2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2"/>
      <c r="O22" s="51"/>
      <c r="P22" s="52"/>
      <c r="Q22" s="51"/>
      <c r="R22" s="51"/>
      <c r="S22" s="58">
        <f>SUM(S2:S21)</f>
        <v>21.7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zoomScaleNormal="100" workbookViewId="0">
      <selection activeCell="A5" sqref="A5:B6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87</v>
      </c>
      <c r="B3" s="5">
        <v>7875</v>
      </c>
    </row>
    <row r="4" spans="1:2" x14ac:dyDescent="0.2">
      <c r="A4" s="4" t="s">
        <v>88</v>
      </c>
      <c r="B4" s="5"/>
    </row>
    <row r="5" spans="1:2" x14ac:dyDescent="0.2">
      <c r="A5" s="4" t="s">
        <v>89</v>
      </c>
      <c r="B5" s="5">
        <v>8000</v>
      </c>
    </row>
    <row r="6" spans="1:2" x14ac:dyDescent="0.2">
      <c r="A6" s="6" t="s">
        <v>2</v>
      </c>
      <c r="B6" s="7">
        <f>SUM(B3:B5)</f>
        <v>15875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721A-E72A-4885-85B4-5F5BA404ED44}">
  <dimension ref="A1:B6"/>
  <sheetViews>
    <sheetView zoomScaleNormal="100" workbookViewId="0">
      <selection activeCell="A8" sqref="A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107</v>
      </c>
      <c r="B2" s="5"/>
    </row>
    <row r="3" spans="1:2" x14ac:dyDescent="0.2">
      <c r="A3" s="4"/>
      <c r="B3" s="5"/>
    </row>
    <row r="4" spans="1:2" x14ac:dyDescent="0.2">
      <c r="A4" s="4"/>
      <c r="B4" s="5"/>
    </row>
    <row r="5" spans="1:2" x14ac:dyDescent="0.2">
      <c r="A5" s="4"/>
      <c r="B5" s="5"/>
    </row>
    <row r="6" spans="1:2" x14ac:dyDescent="0.2">
      <c r="A6" s="6" t="s">
        <v>2</v>
      </c>
      <c r="B6" s="7">
        <f>SUM(B3:B5)</f>
        <v>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F9C5-6D62-4AC5-B2A4-6B5296590344}">
  <dimension ref="A1:D12"/>
  <sheetViews>
    <sheetView workbookViewId="0">
      <selection activeCell="D12" sqref="D12"/>
    </sheetView>
  </sheetViews>
  <sheetFormatPr baseColWidth="10" defaultRowHeight="14.4" x14ac:dyDescent="0.3"/>
  <cols>
    <col min="2" max="2" width="18.109375" customWidth="1"/>
    <col min="3" max="3" width="47.5546875" customWidth="1"/>
  </cols>
  <sheetData>
    <row r="1" spans="1:4" ht="15" thickBot="1" x14ac:dyDescent="0.35">
      <c r="A1" s="29" t="s">
        <v>111</v>
      </c>
      <c r="B1" s="30" t="s">
        <v>112</v>
      </c>
      <c r="C1" s="30" t="s">
        <v>113</v>
      </c>
      <c r="D1" s="31" t="s">
        <v>1</v>
      </c>
    </row>
    <row r="2" spans="1:4" ht="15" thickTop="1" x14ac:dyDescent="0.3">
      <c r="A2" s="32" t="s">
        <v>114</v>
      </c>
      <c r="B2" s="33" t="s">
        <v>115</v>
      </c>
      <c r="C2" s="33" t="s">
        <v>116</v>
      </c>
      <c r="D2" s="34">
        <v>14688</v>
      </c>
    </row>
    <row r="3" spans="1:4" ht="15" thickBot="1" x14ac:dyDescent="0.35">
      <c r="A3" s="35" t="s">
        <v>114</v>
      </c>
      <c r="B3" s="36" t="s">
        <v>117</v>
      </c>
      <c r="C3" s="36" t="s">
        <v>118</v>
      </c>
      <c r="D3" s="37">
        <v>119726.95</v>
      </c>
    </row>
    <row r="4" spans="1:4" ht="15" thickTop="1" x14ac:dyDescent="0.3">
      <c r="A4" s="38" t="s">
        <v>2</v>
      </c>
      <c r="B4" s="39"/>
      <c r="C4" s="39"/>
      <c r="D4" s="40">
        <v>134414.95000000001</v>
      </c>
    </row>
    <row r="12" spans="1:4" x14ac:dyDescent="0.3">
      <c r="C12" s="53" t="s">
        <v>122</v>
      </c>
      <c r="D12" s="54">
        <f>D4+'Ingresos investigación 2019'!B6</f>
        <v>150289.95000000001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0412-F491-40B2-9121-0482EF790D49}">
  <dimension ref="A1:B11"/>
  <sheetViews>
    <sheetView zoomScaleNormal="100" workbookViewId="0">
      <selection activeCell="A20" sqref="A20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108</v>
      </c>
      <c r="B2" s="5"/>
    </row>
    <row r="3" spans="1:2" x14ac:dyDescent="0.2">
      <c r="A3" s="4"/>
      <c r="B3" s="5"/>
    </row>
    <row r="4" spans="1:2" x14ac:dyDescent="0.2">
      <c r="A4" s="4"/>
      <c r="B4" s="5"/>
    </row>
    <row r="5" spans="1:2" x14ac:dyDescent="0.2">
      <c r="A5" s="4"/>
      <c r="B5" s="5"/>
    </row>
    <row r="6" spans="1:2" x14ac:dyDescent="0.2">
      <c r="A6" s="6" t="s">
        <v>2</v>
      </c>
      <c r="B6" s="7">
        <f>SUM(B3:B5)</f>
        <v>0</v>
      </c>
    </row>
    <row r="11" spans="1:2" ht="14.4" x14ac:dyDescent="0.3">
      <c r="A11" s="55" t="s">
        <v>123</v>
      </c>
      <c r="B11" s="56">
        <f>B6</f>
        <v>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2020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2022-10-18T14:43:40Z</dcterms:modified>
</cp:coreProperties>
</file>