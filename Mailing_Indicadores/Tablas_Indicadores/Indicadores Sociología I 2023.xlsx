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6117C8BF-55D8-444B-9B83-CE81B279BB47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2" r:id="rId1"/>
    <sheet name="Sexenios" sheetId="3" r:id="rId2"/>
    <sheet name="Ingresos investigación 2019" sheetId="6" r:id="rId3"/>
    <sheet name="Ingresos investigación 2020" sheetId="7" r:id="rId4"/>
    <sheet name="Ingresos investigación 2021" sheetId="8" r:id="rId5"/>
  </sheets>
  <definedNames>
    <definedName name="_xlnm._FilterDatabase" localSheetId="1" hidden="1">Sexenios!$A$1:$S$11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2" i="2" l="1"/>
  <c r="B10" i="7" l="1"/>
  <c r="S12" i="3" l="1"/>
  <c r="B10" i="6" l="1"/>
  <c r="D11" i="8" s="1"/>
</calcChain>
</file>

<file path=xl/sharedStrings.xml><?xml version="1.0" encoding="utf-8"?>
<sst xmlns="http://schemas.openxmlformats.org/spreadsheetml/2006/main" count="594" uniqueCount="191">
  <si>
    <t>Orgánica
Descripción justificante</t>
  </si>
  <si>
    <t>Importe</t>
  </si>
  <si>
    <t>Total</t>
  </si>
  <si>
    <t>32.70.6P.00.05</t>
  </si>
  <si>
    <t>32.70.6P.00.06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</si>
  <si>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</si>
  <si>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</si>
  <si>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</si>
  <si>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</si>
  <si>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</si>
  <si>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</si>
  <si>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</si>
  <si>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</si>
  <si>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</si>
  <si>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</si>
  <si>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</si>
  <si>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</si>
  <si>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</si>
  <si>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</si>
  <si>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</si>
  <si>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</si>
  <si>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</si>
  <si>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</si>
  <si>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</si>
  <si>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</si>
  <si>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</si>
  <si>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</si>
  <si>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</si>
  <si>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</si>
  <si>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</si>
  <si>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10</t>
  </si>
  <si>
    <t>10.05</t>
  </si>
  <si>
    <t>06/07/2018 </t>
  </si>
  <si>
    <t>12/07/2019 </t>
  </si>
  <si>
    <t>10.17</t>
  </si>
  <si>
    <t>U036 </t>
  </si>
  <si>
    <t>ADM. FACULTAD DE CIENCIAS ECONÓMICAS </t>
  </si>
  <si>
    <t>DOCTORADO EN EMPRESA, ECONOMÍA Y SOCIEDAD </t>
  </si>
  <si>
    <t>U058 </t>
  </si>
  <si>
    <t>ADM. I.U. DE INVESTIGACIONES TURÍSTICAS </t>
  </si>
  <si>
    <t>DOCTORADO EN TURISMO </t>
  </si>
  <si>
    <t>23/09/2019 </t>
  </si>
  <si>
    <t>Sigüenza Poveda, Maria Carmen </t>
  </si>
  <si>
    <t>ESTEREOTIPOS Y ROLES DE GÉNERO EN EL ALUMNADO DE LOS CICLOS FORMATIVOS DE TURISMO ANTE SU INCORPORACIÓN AL MERCADO LABORAL </t>
  </si>
  <si>
    <t>22/07/2019 </t>
  </si>
  <si>
    <t>20</t>
  </si>
  <si>
    <t>80</t>
  </si>
  <si>
    <t>U020 </t>
  </si>
  <si>
    <t>ADM. I.U. DEL AGUA Y DE LAS CIENCIAS AMBIENTALES </t>
  </si>
  <si>
    <t>DOCTORADO EN AGUA Y DESARROLLO SOSTENIBLE </t>
  </si>
  <si>
    <t>10.23</t>
  </si>
  <si>
    <t>24/05/2018 </t>
  </si>
  <si>
    <t>25/09/2017 </t>
  </si>
  <si>
    <t>U044 </t>
  </si>
  <si>
    <t>ADM. FACULTAD DE CIENCIAS DE LA SALUD </t>
  </si>
  <si>
    <t>DOCTORADO EN CIENCIAS DE LA SALUD </t>
  </si>
  <si>
    <t>Fernandes Augusto, Eryka Eugênia </t>
  </si>
  <si>
    <t>"EL IMPACTO DE LA COLABORACIÓN Y COOPERACIÓN EN LA IMPLEMENTACIÓN DE LOS MODELOS DE LI DE RAEE: LOS CASOS BRASILEÑO Y EUROPEOS / O IMPACTO DA COLABORAÇAO E COOPERAÇAO NA IMPLEMETAÇAO DOS MODELOS DE LOGÍSTICA REVERSA DE REEE: OS CASOS BRASILEIRO E EU </t>
  </si>
  <si>
    <t>23/11/2018 </t>
  </si>
  <si>
    <t>25/09/2018 </t>
  </si>
  <si>
    <t>08/03/2019 </t>
  </si>
  <si>
    <t>B179 </t>
  </si>
  <si>
    <t>SOCIOLOGÍA I </t>
  </si>
  <si>
    <t>05/12/2016 </t>
  </si>
  <si>
    <t>25128440C </t>
  </si>
  <si>
    <t>B179</t>
  </si>
  <si>
    <t>21439172K </t>
  </si>
  <si>
    <t>21420390F </t>
  </si>
  <si>
    <t>21349967X </t>
  </si>
  <si>
    <t>Frezzatti Santiago, Ana Lúcia </t>
  </si>
  <si>
    <t>LICENCIA SOCIAL PARA OPERAR. RELACIÓN DE LA EMPRESA CON LA COMUNIDAD SOCIAL. CRITERIOS DE INFLUENCIA PARA LA CONCESIÓN DE LA LSO. UN ESTUDIO DE CASO DE LA MINERÍA BRASILEÑA" </t>
  </si>
  <si>
    <t>44766559A </t>
  </si>
  <si>
    <t>Martínez Cia, Maria Nieves </t>
  </si>
  <si>
    <t>INTERVENCIÓN SOCIO-COMUNITARIA PARA LA MEJORA DE LA SALUD Y LA CALIDAD DE VIDA. UN ESTUDIO DE CASO DESDE LA SOCIOLOGÍA DE LA SALUD </t>
  </si>
  <si>
    <t>21669765Q </t>
  </si>
  <si>
    <t>El Habib Draoui, Brahim </t>
  </si>
  <si>
    <t>EL BINOMIO "SEGREGACIÓN RESIDENCIAL-SEGREGACIÓN ESCOLAR" FRENTE A LAS LIMITACIONES DE LAS ESTADÍSTICAS OFICIALES. APLICACIONES DESDE LA MORFOLOGÍA SOCIAL A LA CIUDAD DE ALICANTE </t>
  </si>
  <si>
    <t>21475002V </t>
  </si>
  <si>
    <t>Navalón Mira, Alba </t>
  </si>
  <si>
    <t>PRÁCTICAS SEXUALES DE RIESGO EN JÓVENES UNIVERSITARIOS. UNA INVESTIGACIÓN DESDE LA SOCIOLOGÍA DE LA SALUD </t>
  </si>
  <si>
    <t>Sempere Ruiz, Francisco Jose </t>
  </si>
  <si>
    <t>LOS CONSUMOS DE LOS BIENES CULTURALES PÚBLICOS EN LA CIUDAD DE SANTA FE </t>
  </si>
  <si>
    <t>Boragnio , Aldana </t>
  </si>
  <si>
    <t>COMER EN LA OFICINA: PRÁCTICAS DEL COMER Y EMOCIONES DE MUJERES TRABAJADORAS EN EL ÁMBITO DE LA ADMINISTRACIÓN PÚBLICA NACIONAL ARGENTINA </t>
  </si>
  <si>
    <t>07/03/2019 </t>
  </si>
  <si>
    <t>Cano Molina, Paola Andrea </t>
  </si>
  <si>
    <t>BALSADAS Y ARRULLOS. RITUALES DE INTERACCIÓN Y ENERGÍAS EMOCIONALES EN LAS FIESTAS PATRONALES DE LAS COLONIAS DEL PACÍFICO SUR EN CALI, COLOMBIA </t>
  </si>
  <si>
    <t>De Freitas Silva, Marília Natacha </t>
  </si>
  <si>
    <t>"TURISMO E DESENVOLVIMENTO: UMA PROPOSTA PARA MEDIÇAO E AVALIAÇAO DE VULNERABILIDADE SOCIAL NOS TERRITÓRIOS TURÍSTICOS" </t>
  </si>
  <si>
    <t>Dettano , Andrea </t>
  </si>
  <si>
    <t>POLÍTICAS SOCIALES Y CONSUMO: UNA LECTURA DESDE LAS EMOCIONES </t>
  </si>
  <si>
    <t>05658630D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</si>
  <si>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</si>
  <si>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</si>
  <si>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</si>
  <si>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</si>
  <si>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</si>
  <si>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</si>
  <si>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</si>
  <si>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</si>
  <si>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</si>
  <si>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</si>
  <si>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</si>
  <si>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</si>
  <si>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</si>
  <si>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</si>
  <si>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21439172K</t>
  </si>
  <si>
    <t>ALEDO TUR, ANTONIO JOSE</t>
  </si>
  <si>
    <t>52764800V</t>
  </si>
  <si>
    <t>GARCIA ANDREU, HUGO</t>
  </si>
  <si>
    <t>05658630D</t>
  </si>
  <si>
    <t>HUETE NIEVES, RAQUEL</t>
  </si>
  <si>
    <t>72128548L</t>
  </si>
  <si>
    <t>MANTECON TERAN, ALEJANDRO</t>
  </si>
  <si>
    <t>44766559A</t>
  </si>
  <si>
    <t>ORTIZ NOGUERA, GUADALUPE</t>
  </si>
  <si>
    <t>21420390F</t>
  </si>
  <si>
    <t>ROCHE CARCEL, JUAN ANTONIO</t>
  </si>
  <si>
    <t>25128440C</t>
  </si>
  <si>
    <t>RODRIGUEZ JAUME, MARIA JOSE</t>
  </si>
  <si>
    <t>21669765Q</t>
  </si>
  <si>
    <t>RUIZ CALLADO, RAUL</t>
  </si>
  <si>
    <t>32.70.6C.00.11</t>
  </si>
  <si>
    <t>Elaboració del Plà de Joventut  Ontiyent 2019 -23 i Organització i realització del Fòrum Jove dels dies 13 de abril i 1 de juny de 2019.  Expedient 2772/2019</t>
  </si>
  <si>
    <t>FLIB 23/04/19. PROYECTOS RETOS I+D+I 2015. ANUAL 2019 PROYECTOS I+D RETOS (PIA13) N EXPEDIENTE: PIA132015-1 - 4 ANUALIDAD REFERENCIA: CSO2. REF. DEL ORDENANTE PARA EL BENEFICIARIO: 27402219310017737.</t>
  </si>
  <si>
    <t xml:space="preserve">SUBVENCIONES PARA LA REALIZACIÓN DE PROYECTOS DE I+D+I DESARROLLADOS POR GRUPOS DE INVESTIGACIÓN EMERGENTES GV/2017-3ªA. </t>
  </si>
  <si>
    <t>32.70.6P.00.08</t>
  </si>
  <si>
    <t xml:space="preserve">11180 S7251 TSPUNI/2019/03/8  PAGAMENT SUBV. DESENVOLUPAMENT ESTATUTARI I PROMOCIO AUTOGOVERN. UNIV. ALACANT. (TRANSPARENCIA RESPONSAB.SOCIAL,PART.Y CO) </t>
  </si>
  <si>
    <t>Borlea , Cristina </t>
  </si>
  <si>
    <t>ESTUDIO SOCIO-ICONOGRÁFICO SOBRE LA ADQUISICIÓN DE CAPITAL SOCIAL EN LA FORMACIÓN IDENTITARIA DE UN GRUPO DE AFICIONADOS AL TANGO ARGENTINO EN RUMANÍA </t>
  </si>
  <si>
    <t>17/07/2020 </t>
  </si>
  <si>
    <t>21475002V</t>
  </si>
  <si>
    <t>JIMENEZ DELGADO, MARIA</t>
  </si>
  <si>
    <t>COD DEP</t>
  </si>
  <si>
    <t>04616118H</t>
  </si>
  <si>
    <t>JAREÑO RUIZ, DIANA</t>
  </si>
  <si>
    <t>Climent Gil, Emilio </t>
  </si>
  <si>
    <t>Abordando la complejidad. Vulnerabilidad y riesgo en la gestión de impactos sociales de las intervenciones sobre el medio </t>
  </si>
  <si>
    <t>24/11/2020 </t>
  </si>
  <si>
    <t>Alcázar Ruiz, Rafael </t>
  </si>
  <si>
    <t>Custodia compartida y cambio social. La construcción social de la custodia compartida </t>
  </si>
  <si>
    <t>20/11/2020 </t>
  </si>
  <si>
    <t>U073 </t>
  </si>
  <si>
    <t>ADM. I.U. INVESTIGACIÓN DE ESTUDIOS DE GÉNERO </t>
  </si>
  <si>
    <t>DOCTORADO EN ESTUDIOS INTERDISCIPLINARES DE GÉNERO </t>
  </si>
  <si>
    <t>Guzmán Raya, Nancy </t>
  </si>
  <si>
    <t>FUGA DE CEREBROS DE LAS MUJERES AL HOGAR: ANÁLISIS Y PROPUESTA DE INTERVENCIÓN DESDE LAS POLÍTICAS PÚBLICAS LABORALES MEXICANAS </t>
  </si>
  <si>
    <t>30/11/2020 </t>
  </si>
  <si>
    <t>Aznar Crespo, Pablo </t>
  </si>
  <si>
    <t>Procesos generativos de vulnerabilidad social ante riesgos ambientales: retos y oportunidades para una nueva gobernanza </t>
  </si>
  <si>
    <t>10/09/2021 </t>
  </si>
  <si>
    <t>Seco Sauces, María Olga </t>
  </si>
  <si>
    <t>La salud en la red: de la información al conocimiento. Un estudio de las decisiones relacionadas con la salud en las personas afectadas por las enfermedades raras (ER) desde la sociología </t>
  </si>
  <si>
    <t>04/02/2021 </t>
  </si>
  <si>
    <t>Infesta Domínguez, Graciela </t>
  </si>
  <si>
    <t>Salud sexual y reproductiva desde una perspectiva de género: problemáticas, logros y desafíos en Argentina </t>
  </si>
  <si>
    <t>21/04/2021 </t>
  </si>
  <si>
    <t>Brotons Martínez, Matilde </t>
  </si>
  <si>
    <t>La gestión del conocimiento para la innovación en hoteles: la influencia de las prácticas de Recursos Humanos </t>
  </si>
  <si>
    <t>25/03/2021 </t>
  </si>
  <si>
    <t>No existen ingresos de investigación en 2020</t>
  </si>
  <si>
    <t>Unidad</t>
  </si>
  <si>
    <t>Cód. org. aplic.</t>
  </si>
  <si>
    <t>Descripción justificante</t>
  </si>
  <si>
    <t>32.70</t>
  </si>
  <si>
    <t xml:space="preserve">Nºexp. 10.469/2020. Plan director diseño de políticas púb. innovadoras infancia y adolescencia, en marco de un diagnóstico propositivo de carácter participativo, municipio Ontinyent (2020-2023). </t>
  </si>
  <si>
    <t>32.70.6C.00.13</t>
  </si>
  <si>
    <t>Elaboración del Estudio de Diagnóstico y del Mapa Estratégico para el Plan de Juventud del Ayuntamiento de Alicante.</t>
  </si>
  <si>
    <t>32.70.6C.00.14</t>
  </si>
  <si>
    <t xml:space="preserve">Inicio del Estudio del Plan de Inclusión y Cohesión Social de Monóvar, y desarrollo del diseño del proyecto de IAP. </t>
  </si>
  <si>
    <t>Desarrollo del proyecto IAP y elaboración, análisis y diseño del I Plan de Inclusión y Cohesión Social de Monóvar. Javier Ortega (Dpto. Sociología I)</t>
  </si>
  <si>
    <t>32.70.6C.00.16</t>
  </si>
  <si>
    <t>Exp.2021/CMS/00045. ACCIÓN PARTICIPATIVA SOBRE IGUALDAD Y PERCEPCIÓN DE LA VIOLENCIA DE  GÉNERO EN IBI, 2021 (AYTOIBI1-21TPA). Dirección Diana Jareño Ruiz. Decreto Alcaldia nº265/2021. RC2021.2.0004165.000/Coord.Servicios Sociales-Nieves Cantó Pascual.</t>
  </si>
  <si>
    <t>Pisano Motta Gemignani, Viviane </t>
  </si>
  <si>
    <t>MAPAS CAUSAIS COLABORATIVOS COMO FERRAMENTA DA AVALIAÇÃO DE IMPACTO SOCIAL EM TERRITÓRIOS DE MINERAÇÃO: contribuições para a gestão dos impactos sociais </t>
  </si>
  <si>
    <t>06/09/2022 </t>
  </si>
  <si>
    <t>Punset Bannel, Carolina Clara </t>
  </si>
  <si>
    <t>LA TRANSICIÓN ENERGÉTICA HACIA UN MODELO DESCARBONIZADO DESDE LA PERSPECTIVA DE LOS LOBBIES EN LA UNIÓN EUROPEA </t>
  </si>
  <si>
    <t>08/04/2022 </t>
  </si>
  <si>
    <t>Llorca Asensi, Elena </t>
  </si>
  <si>
    <t>CONFLICTO DE INTERPRETACIONES SOBRE EL DERECHO DE AUTODETERMINACIÓN EN EL CASO CATALÁN. ESTUDIO DESDE LA SOCIOLOGÍA </t>
  </si>
  <si>
    <t>21/06/2022 </t>
  </si>
  <si>
    <t>74088138D </t>
  </si>
  <si>
    <t>Sancha Vidal, Maria Jose </t>
  </si>
  <si>
    <t>Las familias adoptivas transraciales en España: un estudio sociológico con documentos personales </t>
  </si>
  <si>
    <t>09/06/2022 </t>
  </si>
  <si>
    <t>Rubio Escuderos, Lucía </t>
  </si>
  <si>
    <t>EL MOSAICO DEL TURISMO ACCESIBLE: DIAGNÓSTICO DE IMPULSOS Y FRENOS A LA ACCESIBILIDAD EN LOS DESTINOS TURÍSTICOS DESDE LA PERSPECTIVA DE LAS PARTES INTERESADAS </t>
  </si>
  <si>
    <t>20/12/2021 </t>
  </si>
  <si>
    <t>52764800V </t>
  </si>
  <si>
    <t>ingresos investigacion 2019-2020-2021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</si>
</sst>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6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3" fillId="4" borderId="2" xfId="1" applyFill="1" applyBorder="1"/>
    <xf numFmtId="0" fontId="3" fillId="4" borderId="2" xfId="1" applyFill="1" applyBorder="1" applyAlignment="1">
      <alignment horizontal="right"/>
    </xf>
    <xf numFmtId="1" fontId="3" fillId="4" borderId="2" xfId="1" applyNumberFormat="1" applyFill="1" applyBorder="1"/>
    <xf numFmtId="164" fontId="3" fillId="4" borderId="2" xfId="1" applyNumberFormat="1" applyFill="1" applyBorder="1"/>
    <xf numFmtId="0" fontId="3" fillId="0" borderId="1" xfId="1" applyBorder="1"/>
    <xf numFmtId="0" fontId="3" fillId="4" borderId="3" xfId="1" applyFill="1" applyBorder="1"/>
    <xf numFmtId="0" fontId="12" fillId="6" borderId="1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12" fillId="6" borderId="6" xfId="0" applyFont="1" applyFill="1" applyBorder="1" applyAlignment="1">
      <alignment horizontal="left" vertical="center"/>
    </xf>
    <xf numFmtId="0" fontId="13" fillId="7" borderId="7" xfId="0" applyNumberFormat="1" applyFont="1" applyFill="1" applyBorder="1"/>
    <xf numFmtId="0" fontId="13" fillId="7" borderId="8" xfId="0" applyNumberFormat="1" applyFont="1" applyFill="1" applyBorder="1"/>
    <xf numFmtId="0" fontId="13" fillId="7" borderId="9" xfId="0" applyFont="1" applyFill="1" applyBorder="1" applyAlignment="1">
      <alignment horizontal="right"/>
    </xf>
    <xf numFmtId="0" fontId="0" fillId="8" borderId="10" xfId="0" applyNumberFormat="1" applyFont="1" applyFill="1" applyBorder="1"/>
    <xf numFmtId="0" fontId="0" fillId="8" borderId="11" xfId="0" applyFont="1" applyFill="1" applyBorder="1"/>
    <xf numFmtId="4" fontId="0" fillId="8" borderId="12" xfId="0" applyNumberFormat="1" applyFont="1" applyFill="1" applyBorder="1"/>
    <xf numFmtId="0" fontId="0" fillId="9" borderId="10" xfId="0" applyNumberFormat="1" applyFont="1" applyFill="1" applyBorder="1"/>
    <xf numFmtId="0" fontId="0" fillId="9" borderId="11" xfId="0" applyFont="1" applyFill="1" applyBorder="1"/>
    <xf numFmtId="4" fontId="0" fillId="9" borderId="12" xfId="0" applyNumberFormat="1" applyFont="1" applyFill="1" applyBorder="1"/>
    <xf numFmtId="0" fontId="13" fillId="7" borderId="13" xfId="0" applyFont="1" applyFill="1" applyBorder="1"/>
    <xf numFmtId="0" fontId="13" fillId="7" borderId="14" xfId="0" applyFont="1" applyFill="1" applyBorder="1"/>
    <xf numFmtId="4" fontId="13" fillId="7" borderId="15" xfId="0" applyNumberFormat="1" applyFont="1" applyFill="1" applyBorder="1"/>
    <xf numFmtId="165" fontId="3" fillId="4" borderId="1" xfId="1" applyNumberFormat="1" applyFill="1" applyBorder="1"/>
    <xf numFmtId="165" fontId="3" fillId="4" borderId="2" xfId="1" applyNumberFormat="1" applyFill="1" applyBorder="1"/>
    <xf numFmtId="0" fontId="3" fillId="10" borderId="0" xfId="1" applyFont="1" applyFill="1" applyAlignment="1"/>
    <xf numFmtId="0" fontId="3" fillId="10" borderId="0" xfId="1" applyFont="1" applyFill="1" applyAlignment="1">
      <alignment horizontal="right"/>
    </xf>
    <xf numFmtId="0" fontId="0" fillId="0" borderId="1" xfId="0" applyBorder="1" applyAlignment="1">
      <alignment horizontal="left"/>
    </xf>
    <xf numFmtId="0" fontId="10" fillId="10" borderId="0" xfId="5" applyFont="1" applyFill="1"/>
    <xf numFmtId="0" fontId="10" fillId="10" borderId="0" xfId="5" applyFont="1" applyFill="1" applyAlignment="1">
      <alignment horizontal="right"/>
    </xf>
    <xf numFmtId="164" fontId="11" fillId="10" borderId="1" xfId="5" applyNumberFormat="1" applyFont="1" applyFill="1" applyBorder="1"/>
    <xf numFmtId="0" fontId="0" fillId="10" borderId="17" xfId="0" applyFill="1" applyBorder="1" applyAlignment="1">
      <alignment horizontal="right"/>
    </xf>
    <xf numFmtId="4" fontId="0" fillId="10" borderId="17" xfId="0" applyNumberFormat="1" applyFill="1" applyBorder="1" applyAlignment="1">
      <alignment horizontal="right"/>
    </xf>
    <xf numFmtId="164" fontId="4" fillId="10" borderId="16" xfId="1" applyNumberFormat="1" applyFont="1" applyFill="1" applyBorder="1" applyAlignment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2"/>
  <sheetViews>
    <sheetView showGridLines="0" tabSelected="1" zoomScale="120" zoomScaleNormal="120" workbookViewId="0">
      <pane xSplit="1" ySplit="1" topLeftCell="F14" activePane="bottomRight" state="frozen"/>
      <selection pane="topRight" activeCell="B1" sqref="B1"/>
      <selection pane="bottomLeft" activeCell="A2" sqref="A2"/>
      <selection pane="bottomRight" activeCell="S32" sqref="S32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4" customWidth="1"/>
    <col min="16" max="16" width="4.88671875" style="13" customWidth="1"/>
    <col min="17" max="17" width="3.5546875" style="14" customWidth="1"/>
    <col min="18" max="18" width="5.4414062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5</v>
      </c>
      <c r="B1" s="9" t="s">
        <v>6</v>
      </c>
      <c r="C1" s="9" t="s">
        <v>7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8" t="s">
        <v>13</v>
      </c>
      <c r="J1" s="9" t="s">
        <v>14</v>
      </c>
      <c r="K1" s="8" t="s">
        <v>15</v>
      </c>
      <c r="L1" s="9" t="s">
        <v>16</v>
      </c>
      <c r="M1" s="10" t="s">
        <v>17</v>
      </c>
      <c r="N1" s="11" t="s">
        <v>18</v>
      </c>
      <c r="O1" s="12" t="s">
        <v>19</v>
      </c>
      <c r="P1" s="11" t="s">
        <v>20</v>
      </c>
      <c r="Q1" s="12" t="s">
        <v>21</v>
      </c>
      <c r="R1" s="11" t="s">
        <v>22</v>
      </c>
      <c r="S1" s="11" t="s">
        <v>23</v>
      </c>
      <c r="T1" s="11" t="s">
        <v>24</v>
      </c>
      <c r="U1" s="11" t="s">
        <v>25</v>
      </c>
    </row>
    <row r="2" spans="1:21" x14ac:dyDescent="0.2">
      <c r="A2" s="25" t="s">
        <v>35</v>
      </c>
      <c r="B2" s="25" t="s">
        <v>36</v>
      </c>
      <c r="C2" s="25" t="s">
        <v>37</v>
      </c>
      <c r="D2" s="25" t="s">
        <v>69</v>
      </c>
      <c r="E2" s="25" t="s">
        <v>70</v>
      </c>
      <c r="F2" s="25" t="s">
        <v>63</v>
      </c>
      <c r="G2" s="25" t="s">
        <v>71</v>
      </c>
      <c r="H2" s="25" t="s">
        <v>26</v>
      </c>
      <c r="I2" s="25" t="s">
        <v>61</v>
      </c>
      <c r="J2" s="25" t="s">
        <v>62</v>
      </c>
      <c r="K2" s="28">
        <v>0.33333333333333331</v>
      </c>
      <c r="L2" s="25" t="s">
        <v>65</v>
      </c>
      <c r="M2" s="25">
        <v>2016</v>
      </c>
      <c r="N2" s="25" t="s">
        <v>34</v>
      </c>
      <c r="O2" s="26" t="s">
        <v>45</v>
      </c>
      <c r="P2" s="25" t="s">
        <v>28</v>
      </c>
      <c r="Q2" s="26" t="s">
        <v>28</v>
      </c>
      <c r="R2" s="27">
        <v>80</v>
      </c>
      <c r="S2" s="28">
        <v>0.26666666666666666</v>
      </c>
      <c r="T2" s="28">
        <v>6.6666666666666666E-2</v>
      </c>
      <c r="U2" s="28">
        <v>0</v>
      </c>
    </row>
    <row r="3" spans="1:21" x14ac:dyDescent="0.2">
      <c r="A3" s="25" t="s">
        <v>35</v>
      </c>
      <c r="B3" s="25" t="s">
        <v>36</v>
      </c>
      <c r="C3" s="25" t="s">
        <v>37</v>
      </c>
      <c r="D3" s="25" t="s">
        <v>69</v>
      </c>
      <c r="E3" s="25" t="s">
        <v>70</v>
      </c>
      <c r="F3" s="25" t="s">
        <v>63</v>
      </c>
      <c r="G3" s="25" t="s">
        <v>66</v>
      </c>
      <c r="H3" s="25" t="s">
        <v>26</v>
      </c>
      <c r="I3" s="25" t="s">
        <v>61</v>
      </c>
      <c r="J3" s="25" t="s">
        <v>62</v>
      </c>
      <c r="K3" s="28">
        <v>0.33333333333333331</v>
      </c>
      <c r="L3" s="25" t="s">
        <v>65</v>
      </c>
      <c r="M3" s="25">
        <v>2016</v>
      </c>
      <c r="N3" s="25" t="s">
        <v>31</v>
      </c>
      <c r="O3" s="26" t="s">
        <v>27</v>
      </c>
      <c r="P3" s="25" t="s">
        <v>34</v>
      </c>
      <c r="Q3" s="26" t="s">
        <v>45</v>
      </c>
      <c r="R3" s="27">
        <v>30</v>
      </c>
      <c r="S3" s="28">
        <v>0.1</v>
      </c>
      <c r="T3" s="28">
        <v>0.16666666666666663</v>
      </c>
      <c r="U3" s="28">
        <v>6.6666666666666666E-2</v>
      </c>
    </row>
    <row r="4" spans="1:21" x14ac:dyDescent="0.2">
      <c r="A4" s="25" t="s">
        <v>53</v>
      </c>
      <c r="B4" s="25" t="s">
        <v>54</v>
      </c>
      <c r="C4" s="25" t="s">
        <v>55</v>
      </c>
      <c r="D4" s="25" t="s">
        <v>72</v>
      </c>
      <c r="E4" s="25" t="s">
        <v>73</v>
      </c>
      <c r="F4" s="25" t="s">
        <v>52</v>
      </c>
      <c r="G4" s="25" t="s">
        <v>74</v>
      </c>
      <c r="H4" s="25" t="s">
        <v>26</v>
      </c>
      <c r="I4" s="25" t="s">
        <v>61</v>
      </c>
      <c r="J4" s="25" t="s">
        <v>62</v>
      </c>
      <c r="K4" s="28">
        <v>0.5</v>
      </c>
      <c r="L4" s="25" t="s">
        <v>65</v>
      </c>
      <c r="M4" s="25">
        <v>2016</v>
      </c>
      <c r="N4" s="25" t="s">
        <v>28</v>
      </c>
      <c r="O4" s="26" t="s">
        <v>28</v>
      </c>
      <c r="P4" s="25" t="s">
        <v>28</v>
      </c>
      <c r="Q4" s="26" t="s">
        <v>28</v>
      </c>
      <c r="R4" s="27">
        <v>100</v>
      </c>
      <c r="S4" s="28">
        <v>0.5</v>
      </c>
      <c r="T4" s="28">
        <v>0</v>
      </c>
      <c r="U4" s="28">
        <v>0</v>
      </c>
    </row>
    <row r="5" spans="1:21" x14ac:dyDescent="0.2">
      <c r="A5" s="25" t="s">
        <v>53</v>
      </c>
      <c r="B5" s="25" t="s">
        <v>54</v>
      </c>
      <c r="C5" s="25" t="s">
        <v>55</v>
      </c>
      <c r="D5" s="25" t="s">
        <v>72</v>
      </c>
      <c r="E5" s="25" t="s">
        <v>73</v>
      </c>
      <c r="F5" s="25" t="s">
        <v>52</v>
      </c>
      <c r="G5" s="25" t="s">
        <v>68</v>
      </c>
      <c r="H5" s="25" t="s">
        <v>26</v>
      </c>
      <c r="I5" s="25" t="s">
        <v>61</v>
      </c>
      <c r="J5" s="25" t="s">
        <v>62</v>
      </c>
      <c r="K5" s="28">
        <v>0.5</v>
      </c>
      <c r="L5" s="25" t="s">
        <v>65</v>
      </c>
      <c r="M5" s="25">
        <v>2016</v>
      </c>
      <c r="N5" s="25" t="s">
        <v>28</v>
      </c>
      <c r="O5" s="26" t="s">
        <v>28</v>
      </c>
      <c r="P5" s="25" t="s">
        <v>28</v>
      </c>
      <c r="Q5" s="26" t="s">
        <v>28</v>
      </c>
      <c r="R5" s="27">
        <v>100</v>
      </c>
      <c r="S5" s="28">
        <v>0.5</v>
      </c>
      <c r="T5" s="28">
        <v>0</v>
      </c>
      <c r="U5" s="28">
        <v>0</v>
      </c>
    </row>
    <row r="6" spans="1:21" x14ac:dyDescent="0.2">
      <c r="A6" s="25" t="s">
        <v>35</v>
      </c>
      <c r="B6" s="25" t="s">
        <v>36</v>
      </c>
      <c r="C6" s="25" t="s">
        <v>37</v>
      </c>
      <c r="D6" s="25" t="s">
        <v>80</v>
      </c>
      <c r="E6" s="25" t="s">
        <v>81</v>
      </c>
      <c r="F6" s="25" t="s">
        <v>32</v>
      </c>
      <c r="G6" s="25" t="s">
        <v>67</v>
      </c>
      <c r="H6" s="25" t="s">
        <v>29</v>
      </c>
      <c r="I6" s="25" t="s">
        <v>61</v>
      </c>
      <c r="J6" s="25" t="s">
        <v>62</v>
      </c>
      <c r="K6" s="28">
        <v>1</v>
      </c>
      <c r="L6" s="25" t="s">
        <v>65</v>
      </c>
      <c r="M6" s="25">
        <v>2017</v>
      </c>
      <c r="N6" s="25" t="s">
        <v>28</v>
      </c>
      <c r="O6" s="26" t="s">
        <v>28</v>
      </c>
      <c r="P6" s="25" t="s">
        <v>28</v>
      </c>
      <c r="Q6" s="26" t="s">
        <v>28</v>
      </c>
      <c r="R6" s="27">
        <v>100</v>
      </c>
      <c r="S6" s="28">
        <v>1</v>
      </c>
      <c r="T6" s="28">
        <v>0</v>
      </c>
      <c r="U6" s="28">
        <v>0</v>
      </c>
    </row>
    <row r="7" spans="1:21" x14ac:dyDescent="0.2">
      <c r="A7" s="25" t="s">
        <v>35</v>
      </c>
      <c r="B7" s="25" t="s">
        <v>36</v>
      </c>
      <c r="C7" s="25" t="s">
        <v>37</v>
      </c>
      <c r="D7" s="25" t="s">
        <v>78</v>
      </c>
      <c r="E7" s="25" t="s">
        <v>79</v>
      </c>
      <c r="F7" s="25" t="s">
        <v>59</v>
      </c>
      <c r="G7" s="25" t="s">
        <v>74</v>
      </c>
      <c r="H7" s="25" t="s">
        <v>29</v>
      </c>
      <c r="I7" s="25" t="s">
        <v>61</v>
      </c>
      <c r="J7" s="25" t="s">
        <v>62</v>
      </c>
      <c r="K7" s="28">
        <v>1</v>
      </c>
      <c r="L7" s="25" t="s">
        <v>65</v>
      </c>
      <c r="M7" s="25">
        <v>2017</v>
      </c>
      <c r="N7" s="25" t="s">
        <v>28</v>
      </c>
      <c r="O7" s="26" t="s">
        <v>28</v>
      </c>
      <c r="P7" s="25" t="s">
        <v>28</v>
      </c>
      <c r="Q7" s="26" t="s">
        <v>28</v>
      </c>
      <c r="R7" s="27">
        <v>100</v>
      </c>
      <c r="S7" s="28">
        <v>1</v>
      </c>
      <c r="T7" s="28">
        <v>0</v>
      </c>
      <c r="U7" s="28">
        <v>0</v>
      </c>
    </row>
    <row r="8" spans="1:21" x14ac:dyDescent="0.2">
      <c r="A8" s="25" t="s">
        <v>35</v>
      </c>
      <c r="B8" s="25" t="s">
        <v>36</v>
      </c>
      <c r="C8" s="25" t="s">
        <v>37</v>
      </c>
      <c r="D8" s="25" t="s">
        <v>75</v>
      </c>
      <c r="E8" s="25" t="s">
        <v>76</v>
      </c>
      <c r="F8" s="25" t="s">
        <v>51</v>
      </c>
      <c r="G8" s="25" t="s">
        <v>77</v>
      </c>
      <c r="H8" s="25" t="s">
        <v>26</v>
      </c>
      <c r="I8" s="25" t="s">
        <v>61</v>
      </c>
      <c r="J8" s="25" t="s">
        <v>62</v>
      </c>
      <c r="K8" s="28">
        <v>0.5</v>
      </c>
      <c r="L8" s="25" t="s">
        <v>65</v>
      </c>
      <c r="M8" s="25">
        <v>2017</v>
      </c>
      <c r="N8" s="25" t="s">
        <v>50</v>
      </c>
      <c r="O8" s="26" t="s">
        <v>45</v>
      </c>
      <c r="P8" s="25" t="s">
        <v>28</v>
      </c>
      <c r="Q8" s="26" t="s">
        <v>28</v>
      </c>
      <c r="R8" s="27">
        <v>80</v>
      </c>
      <c r="S8" s="28">
        <v>0.4</v>
      </c>
      <c r="T8" s="28">
        <v>0.1</v>
      </c>
      <c r="U8" s="28">
        <v>0</v>
      </c>
    </row>
    <row r="9" spans="1:21" x14ac:dyDescent="0.2">
      <c r="A9" s="25" t="s">
        <v>35</v>
      </c>
      <c r="B9" s="25" t="s">
        <v>36</v>
      </c>
      <c r="C9" s="25" t="s">
        <v>37</v>
      </c>
      <c r="D9" s="25" t="s">
        <v>75</v>
      </c>
      <c r="E9" s="25" t="s">
        <v>76</v>
      </c>
      <c r="F9" s="25" t="s">
        <v>51</v>
      </c>
      <c r="G9" s="25" t="s">
        <v>74</v>
      </c>
      <c r="H9" s="25" t="s">
        <v>26</v>
      </c>
      <c r="I9" s="25" t="s">
        <v>61</v>
      </c>
      <c r="J9" s="25" t="s">
        <v>62</v>
      </c>
      <c r="K9" s="28">
        <v>0.5</v>
      </c>
      <c r="L9" s="25" t="s">
        <v>65</v>
      </c>
      <c r="M9" s="25">
        <v>2017</v>
      </c>
      <c r="N9" s="25" t="s">
        <v>28</v>
      </c>
      <c r="O9" s="26" t="s">
        <v>28</v>
      </c>
      <c r="P9" s="25" t="s">
        <v>28</v>
      </c>
      <c r="Q9" s="26" t="s">
        <v>28</v>
      </c>
      <c r="R9" s="27">
        <v>100</v>
      </c>
      <c r="S9" s="28">
        <v>0.5</v>
      </c>
      <c r="T9" s="28">
        <v>0</v>
      </c>
      <c r="U9" s="28">
        <v>0</v>
      </c>
    </row>
    <row r="10" spans="1:21" x14ac:dyDescent="0.2">
      <c r="A10" s="25" t="s">
        <v>47</v>
      </c>
      <c r="B10" s="25" t="s">
        <v>48</v>
      </c>
      <c r="C10" s="25" t="s">
        <v>49</v>
      </c>
      <c r="D10" s="25" t="s">
        <v>56</v>
      </c>
      <c r="E10" s="25" t="s">
        <v>57</v>
      </c>
      <c r="F10" s="25" t="s">
        <v>58</v>
      </c>
      <c r="G10" s="25" t="s">
        <v>66</v>
      </c>
      <c r="H10" s="25" t="s">
        <v>26</v>
      </c>
      <c r="I10" s="25" t="s">
        <v>61</v>
      </c>
      <c r="J10" s="25" t="s">
        <v>62</v>
      </c>
      <c r="K10" s="51">
        <v>0.33333333333333331</v>
      </c>
      <c r="L10" s="25" t="s">
        <v>65</v>
      </c>
      <c r="M10" s="25">
        <v>2018</v>
      </c>
      <c r="N10" s="25" t="s">
        <v>31</v>
      </c>
      <c r="O10" s="26" t="s">
        <v>27</v>
      </c>
      <c r="P10" s="25" t="s">
        <v>34</v>
      </c>
      <c r="Q10" s="26" t="s">
        <v>30</v>
      </c>
      <c r="R10" s="27">
        <v>40</v>
      </c>
      <c r="S10" s="28">
        <v>0.13333333333333333</v>
      </c>
      <c r="T10" s="28">
        <v>0.16666666666666663</v>
      </c>
      <c r="U10" s="28">
        <v>3.3333333333333333E-2</v>
      </c>
    </row>
    <row r="11" spans="1:21" x14ac:dyDescent="0.2">
      <c r="A11" s="25" t="s">
        <v>35</v>
      </c>
      <c r="B11" s="25" t="s">
        <v>36</v>
      </c>
      <c r="C11" s="25" t="s">
        <v>37</v>
      </c>
      <c r="D11" s="25" t="s">
        <v>82</v>
      </c>
      <c r="E11" s="25" t="s">
        <v>83</v>
      </c>
      <c r="F11" s="25" t="s">
        <v>84</v>
      </c>
      <c r="G11" s="25" t="s">
        <v>67</v>
      </c>
      <c r="H11" s="25" t="s">
        <v>26</v>
      </c>
      <c r="I11" s="25" t="s">
        <v>61</v>
      </c>
      <c r="J11" s="25" t="s">
        <v>62</v>
      </c>
      <c r="K11" s="51">
        <v>0.5</v>
      </c>
      <c r="L11" s="25" t="s">
        <v>65</v>
      </c>
      <c r="M11" s="25">
        <v>2018</v>
      </c>
      <c r="N11" s="25" t="s">
        <v>28</v>
      </c>
      <c r="O11" s="26" t="s">
        <v>28</v>
      </c>
      <c r="P11" s="25" t="s">
        <v>28</v>
      </c>
      <c r="Q11" s="26" t="s">
        <v>28</v>
      </c>
      <c r="R11" s="27">
        <v>100</v>
      </c>
      <c r="S11" s="28">
        <v>0.5</v>
      </c>
      <c r="T11" s="28">
        <v>0</v>
      </c>
      <c r="U11" s="28">
        <v>0</v>
      </c>
    </row>
    <row r="12" spans="1:21" x14ac:dyDescent="0.2">
      <c r="A12" s="25" t="s">
        <v>35</v>
      </c>
      <c r="B12" s="25" t="s">
        <v>36</v>
      </c>
      <c r="C12" s="25" t="s">
        <v>37</v>
      </c>
      <c r="D12" s="25" t="s">
        <v>89</v>
      </c>
      <c r="E12" s="25" t="s">
        <v>90</v>
      </c>
      <c r="F12" s="25" t="s">
        <v>60</v>
      </c>
      <c r="G12" s="25" t="s">
        <v>67</v>
      </c>
      <c r="H12" s="25" t="s">
        <v>26</v>
      </c>
      <c r="I12" s="25" t="s">
        <v>61</v>
      </c>
      <c r="J12" s="25" t="s">
        <v>62</v>
      </c>
      <c r="K12" s="51">
        <v>0.5</v>
      </c>
      <c r="L12" s="25" t="s">
        <v>65</v>
      </c>
      <c r="M12" s="25">
        <v>2018</v>
      </c>
      <c r="N12" s="25" t="s">
        <v>28</v>
      </c>
      <c r="O12" s="26" t="s">
        <v>28</v>
      </c>
      <c r="P12" s="25" t="s">
        <v>28</v>
      </c>
      <c r="Q12" s="26" t="s">
        <v>28</v>
      </c>
      <c r="R12" s="27">
        <v>100</v>
      </c>
      <c r="S12" s="28">
        <v>0.5</v>
      </c>
      <c r="T12" s="28">
        <v>0</v>
      </c>
      <c r="U12" s="28">
        <v>0</v>
      </c>
    </row>
    <row r="13" spans="1:21" x14ac:dyDescent="0.2">
      <c r="A13" s="25" t="s">
        <v>35</v>
      </c>
      <c r="B13" s="25" t="s">
        <v>36</v>
      </c>
      <c r="C13" s="25" t="s">
        <v>37</v>
      </c>
      <c r="D13" s="25" t="s">
        <v>85</v>
      </c>
      <c r="E13" s="25" t="s">
        <v>86</v>
      </c>
      <c r="F13" s="25" t="s">
        <v>33</v>
      </c>
      <c r="G13" s="25" t="s">
        <v>67</v>
      </c>
      <c r="H13" s="25" t="s">
        <v>29</v>
      </c>
      <c r="I13" s="25" t="s">
        <v>61</v>
      </c>
      <c r="J13" s="25" t="s">
        <v>62</v>
      </c>
      <c r="K13" s="51">
        <v>1</v>
      </c>
      <c r="L13" s="25" t="s">
        <v>65</v>
      </c>
      <c r="M13" s="25">
        <v>2018</v>
      </c>
      <c r="N13" s="25" t="s">
        <v>28</v>
      </c>
      <c r="O13" s="26" t="s">
        <v>28</v>
      </c>
      <c r="P13" s="25" t="s">
        <v>28</v>
      </c>
      <c r="Q13" s="26" t="s">
        <v>28</v>
      </c>
      <c r="R13" s="27">
        <v>100</v>
      </c>
      <c r="S13" s="28">
        <v>1</v>
      </c>
      <c r="T13" s="28">
        <v>0</v>
      </c>
      <c r="U13" s="28">
        <v>0</v>
      </c>
    </row>
    <row r="14" spans="1:21" x14ac:dyDescent="0.2">
      <c r="A14" s="25" t="s">
        <v>38</v>
      </c>
      <c r="B14" s="25" t="s">
        <v>39</v>
      </c>
      <c r="C14" s="25" t="s">
        <v>40</v>
      </c>
      <c r="D14" s="25" t="s">
        <v>42</v>
      </c>
      <c r="E14" s="25" t="s">
        <v>43</v>
      </c>
      <c r="F14" s="25" t="s">
        <v>44</v>
      </c>
      <c r="G14" s="25" t="s">
        <v>91</v>
      </c>
      <c r="H14" s="25" t="s">
        <v>26</v>
      </c>
      <c r="I14" s="25" t="s">
        <v>61</v>
      </c>
      <c r="J14" s="25" t="s">
        <v>62</v>
      </c>
      <c r="K14" s="51">
        <v>0.5</v>
      </c>
      <c r="L14" s="25" t="s">
        <v>65</v>
      </c>
      <c r="M14" s="25">
        <v>2018</v>
      </c>
      <c r="N14" s="25" t="s">
        <v>34</v>
      </c>
      <c r="O14" s="26" t="s">
        <v>46</v>
      </c>
      <c r="P14" s="25" t="s">
        <v>28</v>
      </c>
      <c r="Q14" s="26" t="s">
        <v>28</v>
      </c>
      <c r="R14" s="27">
        <v>20</v>
      </c>
      <c r="S14" s="28">
        <v>0.1</v>
      </c>
      <c r="T14" s="28">
        <v>0.4</v>
      </c>
      <c r="U14" s="28">
        <v>0</v>
      </c>
    </row>
    <row r="15" spans="1:21" x14ac:dyDescent="0.2">
      <c r="A15" s="25" t="s">
        <v>38</v>
      </c>
      <c r="B15" s="25" t="s">
        <v>39</v>
      </c>
      <c r="C15" s="25" t="s">
        <v>40</v>
      </c>
      <c r="D15" s="25" t="s">
        <v>87</v>
      </c>
      <c r="E15" s="25" t="s">
        <v>88</v>
      </c>
      <c r="F15" s="25" t="s">
        <v>41</v>
      </c>
      <c r="G15" s="25" t="s">
        <v>66</v>
      </c>
      <c r="H15" s="25" t="s">
        <v>26</v>
      </c>
      <c r="I15" s="25" t="s">
        <v>61</v>
      </c>
      <c r="J15" s="25" t="s">
        <v>62</v>
      </c>
      <c r="K15" s="51">
        <v>0.5</v>
      </c>
      <c r="L15" s="25" t="s">
        <v>65</v>
      </c>
      <c r="M15" s="25">
        <v>2018</v>
      </c>
      <c r="N15" s="25" t="s">
        <v>31</v>
      </c>
      <c r="O15" s="26" t="s">
        <v>27</v>
      </c>
      <c r="P15" s="25" t="s">
        <v>34</v>
      </c>
      <c r="Q15" s="26" t="s">
        <v>30</v>
      </c>
      <c r="R15" s="27">
        <v>40</v>
      </c>
      <c r="S15" s="28">
        <v>0.2</v>
      </c>
      <c r="T15" s="28">
        <v>0.25</v>
      </c>
      <c r="U15" s="28">
        <v>0.05</v>
      </c>
    </row>
    <row r="16" spans="1:21" x14ac:dyDescent="0.2">
      <c r="A16" s="29" t="s">
        <v>35</v>
      </c>
      <c r="B16" s="29" t="s">
        <v>36</v>
      </c>
      <c r="C16" s="29" t="s">
        <v>37</v>
      </c>
      <c r="D16" s="29" t="s">
        <v>128</v>
      </c>
      <c r="E16" s="29" t="s">
        <v>129</v>
      </c>
      <c r="F16" s="29" t="s">
        <v>130</v>
      </c>
      <c r="G16" s="29" t="s">
        <v>67</v>
      </c>
      <c r="H16" s="29" t="s">
        <v>29</v>
      </c>
      <c r="I16" s="29" t="s">
        <v>61</v>
      </c>
      <c r="J16" s="29" t="s">
        <v>62</v>
      </c>
      <c r="K16" s="52">
        <v>1</v>
      </c>
      <c r="L16" s="29" t="s">
        <v>65</v>
      </c>
      <c r="M16" s="29">
        <v>2019</v>
      </c>
      <c r="N16" s="29" t="s">
        <v>28</v>
      </c>
      <c r="O16" s="30" t="s">
        <v>28</v>
      </c>
      <c r="P16" s="29" t="s">
        <v>28</v>
      </c>
      <c r="Q16" s="30" t="s">
        <v>28</v>
      </c>
      <c r="R16" s="31">
        <v>100</v>
      </c>
      <c r="S16" s="32">
        <v>1</v>
      </c>
      <c r="T16" s="32">
        <v>0</v>
      </c>
      <c r="U16" s="32">
        <v>0</v>
      </c>
    </row>
    <row r="17" spans="1:21" x14ac:dyDescent="0.2">
      <c r="A17" s="25" t="s">
        <v>35</v>
      </c>
      <c r="B17" s="25" t="s">
        <v>36</v>
      </c>
      <c r="C17" s="25" t="s">
        <v>37</v>
      </c>
      <c r="D17" s="25" t="s">
        <v>136</v>
      </c>
      <c r="E17" s="25" t="s">
        <v>137</v>
      </c>
      <c r="F17" s="25" t="s">
        <v>138</v>
      </c>
      <c r="G17" s="25" t="s">
        <v>71</v>
      </c>
      <c r="H17" s="25" t="s">
        <v>26</v>
      </c>
      <c r="I17" s="25" t="s">
        <v>61</v>
      </c>
      <c r="J17" s="25" t="s">
        <v>62</v>
      </c>
      <c r="K17" s="33">
        <v>0.5</v>
      </c>
      <c r="L17" s="33" t="s">
        <v>65</v>
      </c>
      <c r="M17" s="34">
        <v>2019</v>
      </c>
      <c r="N17" s="25" t="s">
        <v>31</v>
      </c>
      <c r="O17" s="26" t="s">
        <v>45</v>
      </c>
      <c r="P17" s="25" t="s">
        <v>34</v>
      </c>
      <c r="Q17" s="26" t="s">
        <v>30</v>
      </c>
      <c r="R17" s="25">
        <v>70</v>
      </c>
      <c r="S17" s="25">
        <v>0.35</v>
      </c>
      <c r="T17" s="25">
        <v>0.1</v>
      </c>
      <c r="U17" s="25">
        <v>0.05</v>
      </c>
    </row>
    <row r="18" spans="1:21" x14ac:dyDescent="0.2">
      <c r="A18" s="25" t="s">
        <v>35</v>
      </c>
      <c r="B18" s="25" t="s">
        <v>36</v>
      </c>
      <c r="C18" s="25" t="s">
        <v>37</v>
      </c>
      <c r="D18" s="25" t="s">
        <v>136</v>
      </c>
      <c r="E18" s="25" t="s">
        <v>137</v>
      </c>
      <c r="F18" s="25" t="s">
        <v>138</v>
      </c>
      <c r="G18" s="25" t="s">
        <v>66</v>
      </c>
      <c r="H18" s="25" t="s">
        <v>26</v>
      </c>
      <c r="I18" s="25" t="s">
        <v>61</v>
      </c>
      <c r="J18" s="25" t="s">
        <v>62</v>
      </c>
      <c r="K18" s="33">
        <v>0.5</v>
      </c>
      <c r="L18" s="33" t="s">
        <v>65</v>
      </c>
      <c r="M18" s="34">
        <v>2019</v>
      </c>
      <c r="N18" s="25" t="s">
        <v>31</v>
      </c>
      <c r="O18" s="26" t="s">
        <v>27</v>
      </c>
      <c r="P18" s="25" t="s">
        <v>34</v>
      </c>
      <c r="Q18" s="26" t="s">
        <v>30</v>
      </c>
      <c r="R18" s="25">
        <v>40</v>
      </c>
      <c r="S18" s="25">
        <v>0.2</v>
      </c>
      <c r="T18" s="25">
        <v>0.25</v>
      </c>
      <c r="U18" s="25">
        <v>0.05</v>
      </c>
    </row>
    <row r="19" spans="1:21" x14ac:dyDescent="0.2">
      <c r="A19" s="25" t="s">
        <v>35</v>
      </c>
      <c r="B19" s="25" t="s">
        <v>36</v>
      </c>
      <c r="C19" s="25" t="s">
        <v>37</v>
      </c>
      <c r="D19" s="25" t="s">
        <v>139</v>
      </c>
      <c r="E19" s="25" t="s">
        <v>140</v>
      </c>
      <c r="F19" s="25" t="s">
        <v>141</v>
      </c>
      <c r="G19" s="25" t="s">
        <v>74</v>
      </c>
      <c r="H19" s="25" t="s">
        <v>29</v>
      </c>
      <c r="I19" s="25" t="s">
        <v>61</v>
      </c>
      <c r="J19" s="25" t="s">
        <v>62</v>
      </c>
      <c r="K19" s="33">
        <v>1</v>
      </c>
      <c r="L19" s="33" t="s">
        <v>65</v>
      </c>
      <c r="M19" s="34">
        <v>2019</v>
      </c>
      <c r="N19" s="25" t="s">
        <v>28</v>
      </c>
      <c r="O19" s="26" t="s">
        <v>28</v>
      </c>
      <c r="P19" s="25" t="s">
        <v>28</v>
      </c>
      <c r="Q19" s="26" t="s">
        <v>28</v>
      </c>
      <c r="R19" s="25">
        <v>100</v>
      </c>
      <c r="S19" s="25">
        <v>1</v>
      </c>
      <c r="T19" s="25">
        <v>0</v>
      </c>
      <c r="U19" s="25">
        <v>0</v>
      </c>
    </row>
    <row r="20" spans="1:21" ht="10.8" thickBot="1" x14ac:dyDescent="0.25">
      <c r="A20" s="25" t="s">
        <v>142</v>
      </c>
      <c r="B20" s="25" t="s">
        <v>143</v>
      </c>
      <c r="C20" s="25" t="s">
        <v>144</v>
      </c>
      <c r="D20" s="25" t="s">
        <v>145</v>
      </c>
      <c r="E20" s="25" t="s">
        <v>146</v>
      </c>
      <c r="F20" s="25" t="s">
        <v>147</v>
      </c>
      <c r="G20" s="25" t="s">
        <v>77</v>
      </c>
      <c r="H20" s="25" t="s">
        <v>26</v>
      </c>
      <c r="I20" s="25" t="s">
        <v>61</v>
      </c>
      <c r="J20" s="25" t="s">
        <v>62</v>
      </c>
      <c r="K20" s="33">
        <v>0.5</v>
      </c>
      <c r="L20" s="33" t="s">
        <v>65</v>
      </c>
      <c r="M20" s="34">
        <v>2019</v>
      </c>
      <c r="N20" s="25" t="s">
        <v>50</v>
      </c>
      <c r="O20" s="26" t="s">
        <v>45</v>
      </c>
      <c r="P20" s="25" t="s">
        <v>28</v>
      </c>
      <c r="Q20" s="26" t="s">
        <v>28</v>
      </c>
      <c r="R20" s="25">
        <v>80</v>
      </c>
      <c r="S20" s="25">
        <v>0.4</v>
      </c>
      <c r="T20" s="25">
        <v>0.1</v>
      </c>
      <c r="U20" s="25">
        <v>0</v>
      </c>
    </row>
    <row r="21" spans="1:21" ht="10.8" thickBot="1" x14ac:dyDescent="0.25">
      <c r="A21" s="35" t="s">
        <v>47</v>
      </c>
      <c r="B21" s="35" t="s">
        <v>48</v>
      </c>
      <c r="C21" s="35" t="s">
        <v>49</v>
      </c>
      <c r="D21" s="35" t="s">
        <v>148</v>
      </c>
      <c r="E21" s="35" t="s">
        <v>149</v>
      </c>
      <c r="F21" s="35" t="s">
        <v>150</v>
      </c>
      <c r="G21" s="36" t="s">
        <v>66</v>
      </c>
      <c r="H21" s="37" t="s">
        <v>26</v>
      </c>
      <c r="I21" s="37" t="s">
        <v>61</v>
      </c>
      <c r="J21" s="38" t="s">
        <v>62</v>
      </c>
      <c r="K21" s="33">
        <v>0.5</v>
      </c>
      <c r="L21" s="33" t="s">
        <v>65</v>
      </c>
      <c r="M21" s="25">
        <v>2020</v>
      </c>
      <c r="N21" s="25" t="s">
        <v>31</v>
      </c>
      <c r="O21" s="26" t="s">
        <v>27</v>
      </c>
      <c r="P21" s="25" t="s">
        <v>34</v>
      </c>
      <c r="Q21" s="26" t="s">
        <v>30</v>
      </c>
      <c r="R21" s="25">
        <v>40</v>
      </c>
      <c r="S21" s="25">
        <v>0.2</v>
      </c>
      <c r="T21" s="25">
        <v>0.25</v>
      </c>
      <c r="U21" s="25">
        <v>0.05</v>
      </c>
    </row>
    <row r="22" spans="1:21" ht="10.8" thickBot="1" x14ac:dyDescent="0.25">
      <c r="A22" s="35" t="s">
        <v>35</v>
      </c>
      <c r="B22" s="35" t="s">
        <v>36</v>
      </c>
      <c r="C22" s="35" t="s">
        <v>37</v>
      </c>
      <c r="D22" s="35" t="s">
        <v>151</v>
      </c>
      <c r="E22" s="35" t="s">
        <v>152</v>
      </c>
      <c r="F22" s="35" t="s">
        <v>153</v>
      </c>
      <c r="G22" s="36" t="s">
        <v>74</v>
      </c>
      <c r="H22" s="37" t="s">
        <v>29</v>
      </c>
      <c r="I22" s="37" t="s">
        <v>61</v>
      </c>
      <c r="J22" s="38" t="s">
        <v>62</v>
      </c>
      <c r="K22" s="33">
        <v>1</v>
      </c>
      <c r="L22" s="33" t="s">
        <v>65</v>
      </c>
      <c r="M22" s="25">
        <v>2020</v>
      </c>
      <c r="N22" s="25" t="s">
        <v>28</v>
      </c>
      <c r="O22" s="26" t="s">
        <v>28</v>
      </c>
      <c r="P22" s="25" t="s">
        <v>28</v>
      </c>
      <c r="Q22" s="26" t="s">
        <v>28</v>
      </c>
      <c r="R22" s="25">
        <v>100</v>
      </c>
      <c r="S22" s="25">
        <v>1</v>
      </c>
      <c r="T22" s="25">
        <v>0</v>
      </c>
      <c r="U22" s="25">
        <v>0</v>
      </c>
    </row>
    <row r="23" spans="1:21" ht="10.8" thickBot="1" x14ac:dyDescent="0.25">
      <c r="A23" s="35" t="s">
        <v>35</v>
      </c>
      <c r="B23" s="35" t="s">
        <v>36</v>
      </c>
      <c r="C23" s="35" t="s">
        <v>37</v>
      </c>
      <c r="D23" s="35" t="s">
        <v>154</v>
      </c>
      <c r="E23" s="35" t="s">
        <v>155</v>
      </c>
      <c r="F23" s="35" t="s">
        <v>156</v>
      </c>
      <c r="G23" s="36" t="s">
        <v>64</v>
      </c>
      <c r="H23" s="37" t="s">
        <v>29</v>
      </c>
      <c r="I23" s="37" t="s">
        <v>61</v>
      </c>
      <c r="J23" s="38" t="s">
        <v>62</v>
      </c>
      <c r="K23" s="33">
        <v>1</v>
      </c>
      <c r="L23" s="33" t="s">
        <v>65</v>
      </c>
      <c r="M23" s="25">
        <v>2020</v>
      </c>
      <c r="N23" s="25" t="s">
        <v>50</v>
      </c>
      <c r="O23" s="26" t="s">
        <v>45</v>
      </c>
      <c r="P23" s="25" t="s">
        <v>28</v>
      </c>
      <c r="Q23" s="26" t="s">
        <v>28</v>
      </c>
      <c r="R23" s="25">
        <v>80</v>
      </c>
      <c r="S23" s="25">
        <v>0.8</v>
      </c>
      <c r="T23" s="25">
        <v>0.2</v>
      </c>
      <c r="U23" s="25">
        <v>0</v>
      </c>
    </row>
    <row r="24" spans="1:21" ht="10.8" thickBot="1" x14ac:dyDescent="0.25">
      <c r="A24" s="35" t="s">
        <v>38</v>
      </c>
      <c r="B24" s="35" t="s">
        <v>39</v>
      </c>
      <c r="C24" s="35" t="s">
        <v>40</v>
      </c>
      <c r="D24" s="35" t="s">
        <v>157</v>
      </c>
      <c r="E24" s="35" t="s">
        <v>158</v>
      </c>
      <c r="F24" s="35" t="s">
        <v>159</v>
      </c>
      <c r="G24" s="36" t="s">
        <v>91</v>
      </c>
      <c r="H24" s="37" t="s">
        <v>26</v>
      </c>
      <c r="I24" s="37" t="s">
        <v>61</v>
      </c>
      <c r="J24" s="38" t="s">
        <v>62</v>
      </c>
      <c r="K24" s="33">
        <v>0.5</v>
      </c>
      <c r="L24" s="33" t="s">
        <v>65</v>
      </c>
      <c r="M24" s="25">
        <v>2020</v>
      </c>
      <c r="N24" s="25" t="s">
        <v>34</v>
      </c>
      <c r="O24" s="26" t="s">
        <v>27</v>
      </c>
      <c r="P24" s="25" t="s">
        <v>28</v>
      </c>
      <c r="Q24" s="26" t="s">
        <v>28</v>
      </c>
      <c r="R24" s="25">
        <v>50</v>
      </c>
      <c r="S24" s="25">
        <v>0.25</v>
      </c>
      <c r="T24" s="25">
        <v>0.25</v>
      </c>
      <c r="U24" s="25">
        <v>0</v>
      </c>
    </row>
    <row r="25" spans="1:21" x14ac:dyDescent="0.2">
      <c r="A25" s="25" t="s">
        <v>47</v>
      </c>
      <c r="B25" s="25" t="s">
        <v>48</v>
      </c>
      <c r="C25" s="25" t="s">
        <v>49</v>
      </c>
      <c r="D25" s="25" t="s">
        <v>173</v>
      </c>
      <c r="E25" s="25" t="s">
        <v>174</v>
      </c>
      <c r="F25" s="25" t="s">
        <v>175</v>
      </c>
      <c r="G25" s="25" t="s">
        <v>66</v>
      </c>
      <c r="H25" s="25" t="s">
        <v>26</v>
      </c>
      <c r="I25" s="25" t="s">
        <v>61</v>
      </c>
      <c r="J25" s="25" t="s">
        <v>62</v>
      </c>
      <c r="K25" s="33">
        <v>0.5</v>
      </c>
      <c r="L25" s="33" t="s">
        <v>65</v>
      </c>
      <c r="M25" s="25">
        <v>2021</v>
      </c>
      <c r="N25" s="25" t="s">
        <v>31</v>
      </c>
      <c r="O25" s="26" t="s">
        <v>27</v>
      </c>
      <c r="P25" s="25" t="s">
        <v>34</v>
      </c>
      <c r="Q25" s="26" t="s">
        <v>30</v>
      </c>
      <c r="R25" s="25">
        <v>40</v>
      </c>
      <c r="S25" s="25">
        <v>0.2</v>
      </c>
      <c r="T25" s="25">
        <v>0.25</v>
      </c>
      <c r="U25" s="25">
        <v>0.05</v>
      </c>
    </row>
    <row r="26" spans="1:21" x14ac:dyDescent="0.2">
      <c r="A26" s="25" t="s">
        <v>35</v>
      </c>
      <c r="B26" s="25" t="s">
        <v>36</v>
      </c>
      <c r="C26" s="25" t="s">
        <v>37</v>
      </c>
      <c r="D26" s="25" t="s">
        <v>176</v>
      </c>
      <c r="E26" s="25" t="s">
        <v>177</v>
      </c>
      <c r="F26" s="25" t="s">
        <v>178</v>
      </c>
      <c r="G26" s="25" t="s">
        <v>71</v>
      </c>
      <c r="H26" s="25" t="s">
        <v>26</v>
      </c>
      <c r="I26" s="25" t="s">
        <v>61</v>
      </c>
      <c r="J26" s="25" t="s">
        <v>62</v>
      </c>
      <c r="K26" s="33">
        <v>0.5</v>
      </c>
      <c r="L26" s="33" t="s">
        <v>65</v>
      </c>
      <c r="M26" s="25">
        <v>2021</v>
      </c>
      <c r="N26" s="25" t="s">
        <v>31</v>
      </c>
      <c r="O26" s="26" t="s">
        <v>45</v>
      </c>
      <c r="P26" s="25" t="s">
        <v>34</v>
      </c>
      <c r="Q26" s="26" t="s">
        <v>30</v>
      </c>
      <c r="R26" s="25">
        <v>70</v>
      </c>
      <c r="S26" s="25">
        <v>0.35</v>
      </c>
      <c r="T26" s="25">
        <v>0.1</v>
      </c>
      <c r="U26" s="25">
        <v>0.05</v>
      </c>
    </row>
    <row r="27" spans="1:21" x14ac:dyDescent="0.2">
      <c r="A27" s="25" t="s">
        <v>35</v>
      </c>
      <c r="B27" s="25" t="s">
        <v>36</v>
      </c>
      <c r="C27" s="25" t="s">
        <v>37</v>
      </c>
      <c r="D27" s="25" t="s">
        <v>176</v>
      </c>
      <c r="E27" s="25" t="s">
        <v>177</v>
      </c>
      <c r="F27" s="25" t="s">
        <v>178</v>
      </c>
      <c r="G27" s="25" t="s">
        <v>66</v>
      </c>
      <c r="H27" s="25" t="s">
        <v>26</v>
      </c>
      <c r="I27" s="25" t="s">
        <v>61</v>
      </c>
      <c r="J27" s="25" t="s">
        <v>62</v>
      </c>
      <c r="K27" s="33">
        <v>0.5</v>
      </c>
      <c r="L27" s="33" t="s">
        <v>65</v>
      </c>
      <c r="M27" s="25">
        <v>2021</v>
      </c>
      <c r="N27" s="25" t="s">
        <v>31</v>
      </c>
      <c r="O27" s="26" t="s">
        <v>27</v>
      </c>
      <c r="P27" s="25" t="s">
        <v>34</v>
      </c>
      <c r="Q27" s="26" t="s">
        <v>30</v>
      </c>
      <c r="R27" s="25">
        <v>40</v>
      </c>
      <c r="S27" s="25">
        <v>0.2</v>
      </c>
      <c r="T27" s="25">
        <v>0.25</v>
      </c>
      <c r="U27" s="25">
        <v>0.05</v>
      </c>
    </row>
    <row r="28" spans="1:21" x14ac:dyDescent="0.2">
      <c r="A28" s="25" t="s">
        <v>35</v>
      </c>
      <c r="B28" s="25" t="s">
        <v>36</v>
      </c>
      <c r="C28" s="25" t="s">
        <v>37</v>
      </c>
      <c r="D28" s="25" t="s">
        <v>179</v>
      </c>
      <c r="E28" s="25" t="s">
        <v>180</v>
      </c>
      <c r="F28" s="25" t="s">
        <v>181</v>
      </c>
      <c r="G28" s="25" t="s">
        <v>74</v>
      </c>
      <c r="H28" s="25" t="s">
        <v>26</v>
      </c>
      <c r="I28" s="25" t="s">
        <v>61</v>
      </c>
      <c r="J28" s="25" t="s">
        <v>62</v>
      </c>
      <c r="K28" s="33">
        <v>0.5</v>
      </c>
      <c r="L28" s="33" t="s">
        <v>65</v>
      </c>
      <c r="M28" s="25">
        <v>2021</v>
      </c>
      <c r="N28" s="25" t="s">
        <v>28</v>
      </c>
      <c r="O28" s="26" t="s">
        <v>28</v>
      </c>
      <c r="P28" s="25" t="s">
        <v>28</v>
      </c>
      <c r="Q28" s="26" t="s">
        <v>28</v>
      </c>
      <c r="R28" s="25">
        <v>100</v>
      </c>
      <c r="S28" s="25">
        <v>0.5</v>
      </c>
      <c r="T28" s="25">
        <v>0</v>
      </c>
      <c r="U28" s="25">
        <v>0</v>
      </c>
    </row>
    <row r="29" spans="1:21" x14ac:dyDescent="0.2">
      <c r="A29" s="25" t="s">
        <v>35</v>
      </c>
      <c r="B29" s="25" t="s">
        <v>36</v>
      </c>
      <c r="C29" s="25" t="s">
        <v>37</v>
      </c>
      <c r="D29" s="25" t="s">
        <v>179</v>
      </c>
      <c r="E29" s="25" t="s">
        <v>180</v>
      </c>
      <c r="F29" s="25" t="s">
        <v>181</v>
      </c>
      <c r="G29" s="25" t="s">
        <v>182</v>
      </c>
      <c r="H29" s="25" t="s">
        <v>26</v>
      </c>
      <c r="I29" s="25" t="s">
        <v>61</v>
      </c>
      <c r="J29" s="25" t="s">
        <v>62</v>
      </c>
      <c r="K29" s="33">
        <v>0.5</v>
      </c>
      <c r="L29" s="33" t="s">
        <v>65</v>
      </c>
      <c r="M29" s="25">
        <v>2021</v>
      </c>
      <c r="N29" s="25" t="s">
        <v>28</v>
      </c>
      <c r="O29" s="26" t="s">
        <v>28</v>
      </c>
      <c r="P29" s="25" t="s">
        <v>28</v>
      </c>
      <c r="Q29" s="26" t="s">
        <v>28</v>
      </c>
      <c r="R29" s="25">
        <v>100</v>
      </c>
      <c r="S29" s="25">
        <v>0.5</v>
      </c>
      <c r="T29" s="25">
        <v>0</v>
      </c>
      <c r="U29" s="25">
        <v>0</v>
      </c>
    </row>
    <row r="30" spans="1:21" x14ac:dyDescent="0.2">
      <c r="A30" s="25" t="s">
        <v>35</v>
      </c>
      <c r="B30" s="25" t="s">
        <v>36</v>
      </c>
      <c r="C30" s="25" t="s">
        <v>37</v>
      </c>
      <c r="D30" s="25" t="s">
        <v>183</v>
      </c>
      <c r="E30" s="25" t="s">
        <v>184</v>
      </c>
      <c r="F30" s="25" t="s">
        <v>185</v>
      </c>
      <c r="G30" s="25" t="s">
        <v>64</v>
      </c>
      <c r="H30" s="25" t="s">
        <v>29</v>
      </c>
      <c r="I30" s="25" t="s">
        <v>61</v>
      </c>
      <c r="J30" s="25" t="s">
        <v>62</v>
      </c>
      <c r="K30" s="33">
        <v>1</v>
      </c>
      <c r="L30" s="33" t="s">
        <v>65</v>
      </c>
      <c r="M30" s="25">
        <v>2021</v>
      </c>
      <c r="N30" s="25" t="s">
        <v>50</v>
      </c>
      <c r="O30" s="26" t="s">
        <v>45</v>
      </c>
      <c r="P30" s="25" t="s">
        <v>28</v>
      </c>
      <c r="Q30" s="26" t="s">
        <v>28</v>
      </c>
      <c r="R30" s="25">
        <v>80</v>
      </c>
      <c r="S30" s="25">
        <v>0.8</v>
      </c>
      <c r="T30" s="25">
        <v>0.2</v>
      </c>
      <c r="U30" s="25">
        <v>0</v>
      </c>
    </row>
    <row r="31" spans="1:21" x14ac:dyDescent="0.2">
      <c r="A31" s="25" t="s">
        <v>38</v>
      </c>
      <c r="B31" s="25" t="s">
        <v>39</v>
      </c>
      <c r="C31" s="25" t="s">
        <v>40</v>
      </c>
      <c r="D31" s="25" t="s">
        <v>186</v>
      </c>
      <c r="E31" s="25" t="s">
        <v>187</v>
      </c>
      <c r="F31" s="25" t="s">
        <v>188</v>
      </c>
      <c r="G31" s="25" t="s">
        <v>189</v>
      </c>
      <c r="H31" s="25" t="s">
        <v>26</v>
      </c>
      <c r="I31" s="25" t="s">
        <v>61</v>
      </c>
      <c r="J31" s="25" t="s">
        <v>62</v>
      </c>
      <c r="K31" s="33">
        <v>0.5</v>
      </c>
      <c r="L31" s="33" t="s">
        <v>65</v>
      </c>
      <c r="M31" s="25">
        <v>2021</v>
      </c>
      <c r="N31" s="25" t="s">
        <v>34</v>
      </c>
      <c r="O31" s="26" t="s">
        <v>45</v>
      </c>
      <c r="P31" s="25" t="s">
        <v>28</v>
      </c>
      <c r="Q31" s="26" t="s">
        <v>28</v>
      </c>
      <c r="R31" s="25">
        <v>80</v>
      </c>
      <c r="S31" s="25">
        <v>0.4</v>
      </c>
      <c r="T31" s="25">
        <v>0.1</v>
      </c>
      <c r="U31" s="25">
        <v>0</v>
      </c>
    </row>
    <row r="32" spans="1:21" x14ac:dyDescent="0.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53"/>
      <c r="Q32" s="54"/>
      <c r="R32" s="53"/>
      <c r="S32" s="61">
        <f>SUM(S2:S31)</f>
        <v>14.85</v>
      </c>
      <c r="T32" s="53"/>
      <c r="U32" s="53"/>
    </row>
  </sheetData>
  <autoFilter ref="A1:U1" xr:uid="{00000000-0009-0000-0000-000000000000}">
    <sortState xmlns:xlrd2="http://schemas.microsoft.com/office/spreadsheetml/2017/richdata2" ref="A2:S1853">
      <sortCondition ref="K2:K1853"/>
      <sortCondition ref="D2:D1853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2"/>
  <sheetViews>
    <sheetView zoomScaleNormal="100" workbookViewId="0">
      <selection activeCell="R15" sqref="R15"/>
    </sheetView>
  </sheetViews>
  <sheetFormatPr baseColWidth="10" defaultColWidth="11.44140625" defaultRowHeight="13.2" x14ac:dyDescent="0.25"/>
  <cols>
    <col min="1" max="1" width="10.44140625" style="18" bestFit="1" customWidth="1"/>
    <col min="2" max="2" width="34.88671875" style="18" bestFit="1" customWidth="1"/>
    <col min="3" max="3" width="17" style="18" bestFit="1" customWidth="1"/>
    <col min="4" max="9" width="3.33203125" style="18" bestFit="1" customWidth="1"/>
    <col min="10" max="10" width="13.109375" style="18" bestFit="1" customWidth="1"/>
    <col min="11" max="11" width="5.33203125" style="18" bestFit="1" customWidth="1"/>
    <col min="12" max="13" width="5.6640625" style="18" bestFit="1" customWidth="1"/>
    <col min="14" max="14" width="5.6640625" style="19" bestFit="1" customWidth="1"/>
    <col min="15" max="15" width="5.6640625" style="18" bestFit="1" customWidth="1"/>
    <col min="16" max="16" width="5.6640625" style="19" bestFit="1" customWidth="1"/>
    <col min="17" max="19" width="5.6640625" style="18" bestFit="1" customWidth="1"/>
    <col min="20" max="16384" width="11.44140625" style="18"/>
  </cols>
  <sheetData>
    <row r="1" spans="1:19" s="17" customFormat="1" ht="60" customHeight="1" x14ac:dyDescent="0.25">
      <c r="A1" s="20" t="s">
        <v>92</v>
      </c>
      <c r="B1" s="20" t="s">
        <v>93</v>
      </c>
      <c r="C1" s="20" t="s">
        <v>94</v>
      </c>
      <c r="D1" s="21">
        <v>2017</v>
      </c>
      <c r="E1" s="21">
        <v>2018</v>
      </c>
      <c r="F1" s="21">
        <v>2019</v>
      </c>
      <c r="G1" s="21">
        <v>2020</v>
      </c>
      <c r="H1" s="21">
        <v>2021</v>
      </c>
      <c r="I1" s="21">
        <v>2022</v>
      </c>
      <c r="J1" s="20" t="s">
        <v>95</v>
      </c>
      <c r="K1" s="22" t="s">
        <v>133</v>
      </c>
      <c r="L1" s="15" t="s">
        <v>96</v>
      </c>
      <c r="M1" s="15" t="s">
        <v>97</v>
      </c>
      <c r="N1" s="15" t="s">
        <v>98</v>
      </c>
      <c r="O1" s="15" t="s">
        <v>99</v>
      </c>
      <c r="P1" s="16" t="s">
        <v>100</v>
      </c>
      <c r="Q1" s="16" t="s">
        <v>101</v>
      </c>
      <c r="R1" s="16" t="s">
        <v>102</v>
      </c>
      <c r="S1" s="16" t="s">
        <v>103</v>
      </c>
    </row>
    <row r="2" spans="1:19" ht="14.4" x14ac:dyDescent="0.3">
      <c r="A2" s="23" t="s">
        <v>134</v>
      </c>
      <c r="B2" s="23" t="s">
        <v>135</v>
      </c>
      <c r="C2" s="23" t="s">
        <v>105</v>
      </c>
      <c r="D2" s="23"/>
      <c r="E2" s="23"/>
      <c r="F2" s="23"/>
      <c r="G2" s="23">
        <v>1</v>
      </c>
      <c r="H2" s="23"/>
      <c r="I2" s="23"/>
      <c r="J2" s="23">
        <v>1</v>
      </c>
      <c r="K2" s="23" t="s">
        <v>65</v>
      </c>
      <c r="L2" s="24">
        <v>0</v>
      </c>
      <c r="M2" s="24">
        <v>0</v>
      </c>
      <c r="N2" s="24" t="s">
        <v>28</v>
      </c>
      <c r="O2" s="24" t="s">
        <v>28</v>
      </c>
      <c r="P2" s="24">
        <v>100</v>
      </c>
      <c r="Q2" s="24">
        <v>0</v>
      </c>
      <c r="R2" s="24">
        <v>0</v>
      </c>
      <c r="S2" s="24">
        <v>1</v>
      </c>
    </row>
    <row r="3" spans="1:19" ht="14.4" x14ac:dyDescent="0.3">
      <c r="A3" s="23" t="s">
        <v>110</v>
      </c>
      <c r="B3" s="23" t="s">
        <v>111</v>
      </c>
      <c r="C3" s="23" t="s">
        <v>104</v>
      </c>
      <c r="D3" s="23"/>
      <c r="E3" s="23"/>
      <c r="F3" s="23"/>
      <c r="G3" s="23"/>
      <c r="H3" s="23"/>
      <c r="I3" s="23">
        <v>1</v>
      </c>
      <c r="J3" s="23">
        <v>1</v>
      </c>
      <c r="K3" s="23" t="s">
        <v>65</v>
      </c>
      <c r="L3" s="24" t="s">
        <v>34</v>
      </c>
      <c r="M3" s="24" t="s">
        <v>27</v>
      </c>
      <c r="N3" s="24" t="s">
        <v>28</v>
      </c>
      <c r="O3" s="24" t="s">
        <v>28</v>
      </c>
      <c r="P3" s="24">
        <v>50</v>
      </c>
      <c r="Q3" s="24">
        <v>0.5</v>
      </c>
      <c r="R3" s="24">
        <v>0</v>
      </c>
      <c r="S3" s="24">
        <v>0.5</v>
      </c>
    </row>
    <row r="4" spans="1:19" ht="14.4" x14ac:dyDescent="0.3">
      <c r="A4" s="23" t="s">
        <v>116</v>
      </c>
      <c r="B4" s="23" t="s">
        <v>117</v>
      </c>
      <c r="C4" s="23" t="s">
        <v>104</v>
      </c>
      <c r="D4" s="23">
        <v>1</v>
      </c>
      <c r="E4" s="23"/>
      <c r="F4" s="23"/>
      <c r="G4" s="23"/>
      <c r="H4" s="23"/>
      <c r="I4" s="23"/>
      <c r="J4" s="23">
        <v>1</v>
      </c>
      <c r="K4" s="23" t="s">
        <v>65</v>
      </c>
      <c r="L4" s="24">
        <v>0</v>
      </c>
      <c r="M4" s="24">
        <v>0</v>
      </c>
      <c r="N4" s="24" t="s">
        <v>28</v>
      </c>
      <c r="O4" s="24" t="s">
        <v>28</v>
      </c>
      <c r="P4" s="24">
        <v>100</v>
      </c>
      <c r="Q4" s="24">
        <v>0</v>
      </c>
      <c r="R4" s="24">
        <v>0</v>
      </c>
      <c r="S4" s="24">
        <v>1</v>
      </c>
    </row>
    <row r="5" spans="1:19" ht="14.4" x14ac:dyDescent="0.3">
      <c r="A5" s="23" t="s">
        <v>106</v>
      </c>
      <c r="B5" s="23" t="s">
        <v>107</v>
      </c>
      <c r="C5" s="23" t="s">
        <v>104</v>
      </c>
      <c r="D5" s="23"/>
      <c r="E5" s="23"/>
      <c r="F5" s="23">
        <v>1</v>
      </c>
      <c r="G5" s="23"/>
      <c r="H5" s="23">
        <v>1</v>
      </c>
      <c r="I5" s="23"/>
      <c r="J5" s="23">
        <v>2</v>
      </c>
      <c r="K5" s="23" t="s">
        <v>65</v>
      </c>
      <c r="L5" s="24" t="s">
        <v>31</v>
      </c>
      <c r="M5" s="24" t="s">
        <v>27</v>
      </c>
      <c r="N5" s="24" t="s">
        <v>34</v>
      </c>
      <c r="O5" s="24" t="s">
        <v>30</v>
      </c>
      <c r="P5" s="24">
        <v>40</v>
      </c>
      <c r="Q5" s="24">
        <v>1</v>
      </c>
      <c r="R5" s="24">
        <v>0.2</v>
      </c>
      <c r="S5" s="24">
        <v>0.8</v>
      </c>
    </row>
    <row r="6" spans="1:19" ht="14.4" x14ac:dyDescent="0.3">
      <c r="A6" s="23" t="s">
        <v>131</v>
      </c>
      <c r="B6" s="23" t="s">
        <v>132</v>
      </c>
      <c r="C6" s="23" t="s">
        <v>105</v>
      </c>
      <c r="D6" s="23"/>
      <c r="E6" s="23"/>
      <c r="F6" s="23"/>
      <c r="G6" s="23">
        <v>1</v>
      </c>
      <c r="H6" s="23"/>
      <c r="I6" s="23"/>
      <c r="J6" s="23">
        <v>1</v>
      </c>
      <c r="K6" s="23" t="s">
        <v>65</v>
      </c>
      <c r="L6" s="24" t="s">
        <v>50</v>
      </c>
      <c r="M6" s="24" t="s">
        <v>45</v>
      </c>
      <c r="N6" s="24" t="s">
        <v>28</v>
      </c>
      <c r="O6" s="24" t="s">
        <v>28</v>
      </c>
      <c r="P6" s="24">
        <v>80</v>
      </c>
      <c r="Q6" s="24">
        <v>0.2</v>
      </c>
      <c r="R6" s="24">
        <v>0</v>
      </c>
      <c r="S6" s="24">
        <v>0.8</v>
      </c>
    </row>
    <row r="7" spans="1:19" ht="14.4" x14ac:dyDescent="0.3">
      <c r="A7" s="23" t="s">
        <v>120</v>
      </c>
      <c r="B7" s="23" t="s">
        <v>121</v>
      </c>
      <c r="C7" s="23" t="s">
        <v>104</v>
      </c>
      <c r="D7" s="23">
        <v>1</v>
      </c>
      <c r="E7" s="23"/>
      <c r="F7" s="23">
        <v>1</v>
      </c>
      <c r="G7" s="23"/>
      <c r="H7" s="23"/>
      <c r="I7" s="23"/>
      <c r="J7" s="23">
        <v>2</v>
      </c>
      <c r="K7" s="23" t="s">
        <v>65</v>
      </c>
      <c r="L7" s="24">
        <v>0</v>
      </c>
      <c r="M7" s="24">
        <v>0</v>
      </c>
      <c r="N7" s="24" t="s">
        <v>28</v>
      </c>
      <c r="O7" s="24" t="s">
        <v>28</v>
      </c>
      <c r="P7" s="24">
        <v>100</v>
      </c>
      <c r="Q7" s="24">
        <v>0</v>
      </c>
      <c r="R7" s="24">
        <v>0</v>
      </c>
      <c r="S7" s="24">
        <v>2</v>
      </c>
    </row>
    <row r="8" spans="1:19" ht="14.4" x14ac:dyDescent="0.3">
      <c r="A8" s="23" t="s">
        <v>118</v>
      </c>
      <c r="B8" s="23" t="s">
        <v>119</v>
      </c>
      <c r="C8" s="23" t="s">
        <v>104</v>
      </c>
      <c r="D8" s="23"/>
      <c r="E8" s="23"/>
      <c r="F8" s="23">
        <v>1</v>
      </c>
      <c r="G8" s="23"/>
      <c r="H8" s="23"/>
      <c r="I8" s="23">
        <v>1</v>
      </c>
      <c r="J8" s="23">
        <v>2</v>
      </c>
      <c r="K8" s="23" t="s">
        <v>65</v>
      </c>
      <c r="L8" s="24" t="s">
        <v>50</v>
      </c>
      <c r="M8" s="24" t="s">
        <v>45</v>
      </c>
      <c r="N8" s="24" t="s">
        <v>28</v>
      </c>
      <c r="O8" s="24" t="s">
        <v>28</v>
      </c>
      <c r="P8" s="24">
        <v>80</v>
      </c>
      <c r="Q8" s="24">
        <v>0.4</v>
      </c>
      <c r="R8" s="24">
        <v>0</v>
      </c>
      <c r="S8" s="24">
        <v>1.6</v>
      </c>
    </row>
    <row r="9" spans="1:19" ht="14.4" x14ac:dyDescent="0.3">
      <c r="A9" s="23" t="s">
        <v>114</v>
      </c>
      <c r="B9" s="23" t="s">
        <v>115</v>
      </c>
      <c r="C9" s="23" t="s">
        <v>104</v>
      </c>
      <c r="D9" s="23"/>
      <c r="E9" s="23"/>
      <c r="F9" s="23"/>
      <c r="G9" s="23"/>
      <c r="H9" s="23">
        <v>2</v>
      </c>
      <c r="I9" s="23"/>
      <c r="J9" s="23">
        <v>2</v>
      </c>
      <c r="K9" s="23" t="s">
        <v>65</v>
      </c>
      <c r="L9" s="24" t="s">
        <v>31</v>
      </c>
      <c r="M9" s="24" t="s">
        <v>45</v>
      </c>
      <c r="N9" s="24" t="s">
        <v>34</v>
      </c>
      <c r="O9" s="24" t="s">
        <v>30</v>
      </c>
      <c r="P9" s="24">
        <v>70</v>
      </c>
      <c r="Q9" s="24">
        <v>0.4</v>
      </c>
      <c r="R9" s="24">
        <v>0.2</v>
      </c>
      <c r="S9" s="24">
        <v>1.4</v>
      </c>
    </row>
    <row r="10" spans="1:19" ht="14.4" x14ac:dyDescent="0.3">
      <c r="A10" s="23" t="s">
        <v>108</v>
      </c>
      <c r="B10" s="23" t="s">
        <v>109</v>
      </c>
      <c r="C10" s="23" t="s">
        <v>104</v>
      </c>
      <c r="D10" s="23"/>
      <c r="E10" s="23"/>
      <c r="F10" s="23"/>
      <c r="G10" s="23"/>
      <c r="H10" s="23"/>
      <c r="I10" s="23">
        <v>2</v>
      </c>
      <c r="J10" s="23">
        <v>2</v>
      </c>
      <c r="K10" s="23" t="s">
        <v>65</v>
      </c>
      <c r="L10" s="24" t="s">
        <v>34</v>
      </c>
      <c r="M10" s="24" t="s">
        <v>45</v>
      </c>
      <c r="N10" s="24" t="s">
        <v>28</v>
      </c>
      <c r="O10" s="24" t="s">
        <v>28</v>
      </c>
      <c r="P10" s="24">
        <v>80</v>
      </c>
      <c r="Q10" s="24">
        <v>0.4</v>
      </c>
      <c r="R10" s="24">
        <v>0</v>
      </c>
      <c r="S10" s="24">
        <v>1.6</v>
      </c>
    </row>
    <row r="11" spans="1:19" ht="14.4" x14ac:dyDescent="0.3">
      <c r="A11" s="23" t="s">
        <v>112</v>
      </c>
      <c r="B11" s="23" t="s">
        <v>113</v>
      </c>
      <c r="C11" s="55" t="s">
        <v>104</v>
      </c>
      <c r="D11" s="23">
        <v>2</v>
      </c>
      <c r="E11" s="23"/>
      <c r="F11" s="23"/>
      <c r="G11" s="23"/>
      <c r="H11" s="23">
        <v>1</v>
      </c>
      <c r="I11" s="23"/>
      <c r="J11" s="23">
        <v>3</v>
      </c>
      <c r="K11" s="23" t="s">
        <v>65</v>
      </c>
      <c r="L11" s="24" t="s">
        <v>34</v>
      </c>
      <c r="M11" s="24" t="s">
        <v>45</v>
      </c>
      <c r="N11" s="24" t="s">
        <v>28</v>
      </c>
      <c r="O11" s="24" t="s">
        <v>28</v>
      </c>
      <c r="P11" s="24">
        <v>80</v>
      </c>
      <c r="Q11" s="24">
        <v>0.6</v>
      </c>
      <c r="R11" s="24">
        <v>0</v>
      </c>
      <c r="S11" s="24">
        <v>2.4</v>
      </c>
    </row>
    <row r="12" spans="1:19" x14ac:dyDescent="0.25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7"/>
      <c r="O12" s="56"/>
      <c r="P12" s="57"/>
      <c r="Q12" s="56"/>
      <c r="R12" s="56"/>
      <c r="S12" s="58">
        <f>SUM(S2:S11)</f>
        <v>13.1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zoomScaleNormal="100" workbookViewId="0">
      <selection activeCell="A10" sqref="A10:XFD12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122</v>
      </c>
      <c r="B2" s="5"/>
    </row>
    <row r="3" spans="1:2" x14ac:dyDescent="0.2">
      <c r="A3" s="4" t="s">
        <v>123</v>
      </c>
      <c r="B3" s="5">
        <v>3305.78</v>
      </c>
    </row>
    <row r="4" spans="1:2" x14ac:dyDescent="0.2">
      <c r="A4" s="4" t="s">
        <v>3</v>
      </c>
      <c r="B4" s="5"/>
    </row>
    <row r="5" spans="1:2" x14ac:dyDescent="0.2">
      <c r="A5" s="4" t="s">
        <v>124</v>
      </c>
      <c r="B5" s="5">
        <v>16500</v>
      </c>
    </row>
    <row r="6" spans="1:2" x14ac:dyDescent="0.2">
      <c r="A6" s="4" t="s">
        <v>4</v>
      </c>
      <c r="B6" s="5"/>
    </row>
    <row r="7" spans="1:2" x14ac:dyDescent="0.2">
      <c r="A7" s="4" t="s">
        <v>125</v>
      </c>
      <c r="B7" s="5">
        <v>6390.4</v>
      </c>
    </row>
    <row r="8" spans="1:2" x14ac:dyDescent="0.2">
      <c r="A8" s="4" t="s">
        <v>126</v>
      </c>
      <c r="B8" s="5"/>
    </row>
    <row r="9" spans="1:2" x14ac:dyDescent="0.2">
      <c r="A9" s="4" t="s">
        <v>127</v>
      </c>
      <c r="B9" s="5">
        <v>1600</v>
      </c>
    </row>
    <row r="10" spans="1:2" x14ac:dyDescent="0.2">
      <c r="A10" s="6" t="s">
        <v>2</v>
      </c>
      <c r="B10" s="7">
        <f>SUM(B3:B9)</f>
        <v>27796.18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78D8E-98DB-4C0E-8B3A-A8CE2D284CF7}">
  <dimension ref="A1:B10"/>
  <sheetViews>
    <sheetView zoomScaleNormal="100" workbookViewId="0">
      <selection activeCell="A8" sqref="A8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160</v>
      </c>
      <c r="B2" s="5"/>
    </row>
    <row r="3" spans="1:2" x14ac:dyDescent="0.2">
      <c r="A3" s="4"/>
      <c r="B3" s="5"/>
    </row>
    <row r="4" spans="1:2" x14ac:dyDescent="0.2">
      <c r="A4" s="4"/>
      <c r="B4" s="5"/>
    </row>
    <row r="5" spans="1:2" x14ac:dyDescent="0.2">
      <c r="A5" s="4"/>
      <c r="B5" s="5"/>
    </row>
    <row r="6" spans="1:2" x14ac:dyDescent="0.2">
      <c r="A6" s="4"/>
      <c r="B6" s="5"/>
    </row>
    <row r="7" spans="1:2" x14ac:dyDescent="0.2">
      <c r="A7" s="4"/>
      <c r="B7" s="5"/>
    </row>
    <row r="8" spans="1:2" x14ac:dyDescent="0.2">
      <c r="A8" s="4"/>
      <c r="B8" s="5"/>
    </row>
    <row r="9" spans="1:2" x14ac:dyDescent="0.2">
      <c r="A9" s="4"/>
      <c r="B9" s="5"/>
    </row>
    <row r="10" spans="1:2" x14ac:dyDescent="0.2">
      <c r="A10" s="6" t="s">
        <v>2</v>
      </c>
      <c r="B10" s="7">
        <f>SUM(B3:B9)</f>
        <v>0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00BA-7869-4E79-BC56-1EA1CF0AD5AE}">
  <dimension ref="A1:D11"/>
  <sheetViews>
    <sheetView topLeftCell="A4" workbookViewId="0">
      <selection activeCell="C18" sqref="C18"/>
    </sheetView>
  </sheetViews>
  <sheetFormatPr baseColWidth="10" defaultRowHeight="14.4" x14ac:dyDescent="0.3"/>
  <cols>
    <col min="2" max="2" width="14" bestFit="1" customWidth="1"/>
    <col min="3" max="3" width="56.5546875" customWidth="1"/>
  </cols>
  <sheetData>
    <row r="1" spans="1:4" ht="15" thickBot="1" x14ac:dyDescent="0.35">
      <c r="A1" s="39" t="s">
        <v>161</v>
      </c>
      <c r="B1" s="40" t="s">
        <v>162</v>
      </c>
      <c r="C1" s="40" t="s">
        <v>163</v>
      </c>
      <c r="D1" s="41" t="s">
        <v>1</v>
      </c>
    </row>
    <row r="2" spans="1:4" ht="15" thickTop="1" x14ac:dyDescent="0.3">
      <c r="A2" s="42" t="s">
        <v>164</v>
      </c>
      <c r="B2" s="43" t="s">
        <v>122</v>
      </c>
      <c r="C2" s="43" t="s">
        <v>165</v>
      </c>
      <c r="D2" s="44">
        <v>2909.1</v>
      </c>
    </row>
    <row r="3" spans="1:4" x14ac:dyDescent="0.3">
      <c r="A3" s="45" t="s">
        <v>164</v>
      </c>
      <c r="B3" s="46" t="s">
        <v>166</v>
      </c>
      <c r="C3" s="46" t="s">
        <v>167</v>
      </c>
      <c r="D3" s="47">
        <v>5090.91</v>
      </c>
    </row>
    <row r="4" spans="1:4" x14ac:dyDescent="0.3">
      <c r="A4" s="42" t="s">
        <v>164</v>
      </c>
      <c r="B4" s="43" t="s">
        <v>168</v>
      </c>
      <c r="C4" s="43" t="s">
        <v>169</v>
      </c>
      <c r="D4" s="44">
        <v>3054.54</v>
      </c>
    </row>
    <row r="5" spans="1:4" x14ac:dyDescent="0.3">
      <c r="A5" s="45" t="s">
        <v>164</v>
      </c>
      <c r="B5" s="46" t="s">
        <v>168</v>
      </c>
      <c r="C5" s="46" t="s">
        <v>170</v>
      </c>
      <c r="D5" s="47">
        <v>5672.73</v>
      </c>
    </row>
    <row r="6" spans="1:4" ht="15" thickBot="1" x14ac:dyDescent="0.35">
      <c r="A6" s="42" t="s">
        <v>164</v>
      </c>
      <c r="B6" s="43" t="s">
        <v>171</v>
      </c>
      <c r="C6" s="43" t="s">
        <v>172</v>
      </c>
      <c r="D6" s="44">
        <v>5227.2</v>
      </c>
    </row>
    <row r="7" spans="1:4" ht="15" thickTop="1" x14ac:dyDescent="0.3">
      <c r="A7" s="48" t="s">
        <v>2</v>
      </c>
      <c r="B7" s="49"/>
      <c r="C7" s="49"/>
      <c r="D7" s="50">
        <v>21954.48</v>
      </c>
    </row>
    <row r="11" spans="1:4" x14ac:dyDescent="0.3">
      <c r="C11" s="59" t="s">
        <v>190</v>
      </c>
      <c r="D11" s="60">
        <f>D7+'Ingresos investigación 2019'!B10</f>
        <v>49750.66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2019</vt:lpstr>
      <vt:lpstr>Ingresos investigación 2020</vt:lpstr>
      <vt:lpstr>Ingresos investigación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2022-10-18T15:04:17Z</dcterms:modified>
</cp:coreProperties>
</file>