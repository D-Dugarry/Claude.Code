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H:\Mi unidad\Presupuestación\Presupuesto 2023\Departamentos\Departamentos\"/>
    </mc:Choice>
  </mc:AlternateContent>
  <xr:revisionPtr revIDLastSave="0" documentId="13_ncr:1_{1F18DA48-BBE4-478F-92FF-7A3248A770AE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Tesis" sheetId="2" r:id="rId1"/>
    <sheet name="Sexenios" sheetId="3" r:id="rId2"/>
    <sheet name="Ingresos investigación 2019" sheetId="5" r:id="rId3"/>
    <sheet name="Ingresos investigación 2020" sheetId="6" r:id="rId4"/>
    <sheet name="Ingresos investigación 2021" sheetId="7" r:id="rId5"/>
    <sheet name="Ingresos formación 2021" sheetId="8" r:id="rId6"/>
  </sheets>
  <definedNames>
    <definedName name="_xlnm._FilterDatabase" localSheetId="1" hidden="1">Sexenios!$A$1:$S$1</definedName>
    <definedName name="_xlnm._FilterDatabase" localSheetId="0" hidden="1">Tesis!$A$1:$U$1</definedName>
    <definedName name="_xlnm.Print_Titles" localSheetId="1">Sexenios!$1:$1</definedName>
    <definedName name="_xlnm.Print_Titles" localSheetId="0">Tesis!$D:$D,Tesis!$1:$1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8" l="1"/>
  <c r="S8" i="3" l="1"/>
  <c r="U2" i="2" l="1"/>
  <c r="T2" i="2"/>
  <c r="R2" i="2"/>
  <c r="S2" i="2" s="1"/>
  <c r="S3" i="2" s="1"/>
  <c r="B8" i="6" l="1"/>
  <c r="B10" i="5" l="1"/>
  <c r="D7" i="7" s="1"/>
</calcChain>
</file>

<file path=xl/sharedStrings.xml><?xml version="1.0" encoding="utf-8"?>
<sst xmlns="http://schemas.openxmlformats.org/spreadsheetml/2006/main" count="129" uniqueCount="89">
  <si>
    <t>Orgánica
Descripción justificante</t>
  </si>
  <si>
    <t>Importe</t>
  </si>
  <si>
    <t>Total</t>
  </si>
  <si>
    <t>35.80.6C.00.08</t>
  </si>
  <si>
    <t>C.D.</t>
  </si>
  <si>
    <t>Departamento</t>
  </si>
  <si>
    <t>Plan</t>
  </si>
  <si>
    <t>Alumno</t>
  </si>
  <si>
    <t>Tesis</t>
  </si>
  <si>
    <t>Fecha</t>
  </si>
  <si>
    <t>Tutor</t>
  </si>
  <si>
    <t>Rol</t>
  </si>
  <si>
    <t>C.DEP.</t>
  </si>
  <si>
    <t>Departamento Tutor</t>
  </si>
  <si>
    <t>ASIGNACIÓN</t>
  </si>
  <si>
    <t>DEP.ASIG.</t>
  </si>
  <si>
    <t>EJERCICIO</t>
  </si>
  <si>
    <t>INS 1</t>
  </si>
  <si>
    <t>DED INS 1</t>
  </si>
  <si>
    <t>INS 2</t>
  </si>
  <si>
    <t>DED INS 2</t>
  </si>
  <si>
    <t>DED DEP</t>
  </si>
  <si>
    <t>TDOC DEP</t>
  </si>
  <si>
    <t>TDOC INST 1</t>
  </si>
  <si>
    <t>TDOC INST 2</t>
  </si>
  <si>
    <t>Codirector de tesis </t>
  </si>
  <si>
    <t>50</t>
  </si>
  <si>
    <t/>
  </si>
  <si>
    <t>90</t>
  </si>
  <si>
    <t>U036 </t>
  </si>
  <si>
    <t>ADM. FACULTAD DE CIENCIAS ECONÓMICAS </t>
  </si>
  <si>
    <t>DOCTORADO EN EMPRESA, ECONOMÍA Y SOCIEDAD </t>
  </si>
  <si>
    <t>10.23</t>
  </si>
  <si>
    <t>10.22</t>
  </si>
  <si>
    <t>21515828H </t>
  </si>
  <si>
    <t>B159 </t>
  </si>
  <si>
    <t>TRABAJO SOCIAL Y SERVICIOS SOCIALES </t>
  </si>
  <si>
    <t>B159</t>
  </si>
  <si>
    <t>Escudero Durán, María Lorena </t>
  </si>
  <si>
    <t>LA POLÍTICA MIGRATORIA ECUATORIANA EN EL CONTEXTO SURAMERICANO 2007-2013 </t>
  </si>
  <si>
    <t>06/03/2017 </t>
  </si>
  <si>
    <t>NIF</t>
  </si>
  <si>
    <t>NOMBRE_COMPLETO</t>
  </si>
  <si>
    <t>TIPO_SEXENIO</t>
  </si>
  <si>
    <t>Total general</t>
  </si>
  <si>
    <t>INS
1</t>
  </si>
  <si>
    <t>DED
INS 1</t>
  </si>
  <si>
    <t>INS
2</t>
  </si>
  <si>
    <t>DED
INS 2</t>
  </si>
  <si>
    <t>DED
DEP</t>
  </si>
  <si>
    <t>SEX
INS 1</t>
  </si>
  <si>
    <t>SEX
INS 2</t>
  </si>
  <si>
    <t>SEX
DEP</t>
  </si>
  <si>
    <t>FUNCIONARIO</t>
  </si>
  <si>
    <t>07223951L</t>
  </si>
  <si>
    <t>DE LUCAS MURILLO DE LA CUEVA, FERNANDO</t>
  </si>
  <si>
    <t>21661002Q</t>
  </si>
  <si>
    <t>DOMENECH LOPEZ, YOLANDA DE LOS ANGELES</t>
  </si>
  <si>
    <t>21473810K</t>
  </si>
  <si>
    <t>GIMENEZ BERTOMEU, VICTOR MANUEL</t>
  </si>
  <si>
    <t>21515828H</t>
  </si>
  <si>
    <t>MATEO PEREZ, MIGUEL ANGEL</t>
  </si>
  <si>
    <t>Realització de les activitats 2 a 6 del Pla de Treball i lliurament de la memòria d'activitats del treball de camp i de la base de dades d'ús de la DS-DIBA</t>
  </si>
  <si>
    <t>35.80.6C.00.09</t>
  </si>
  <si>
    <t xml:space="preserve">Disseny de l'estudi de validesa i fiabilitat de l'escala DS-DIBA. </t>
  </si>
  <si>
    <t>35.80.6M.00.02</t>
  </si>
  <si>
    <t xml:space="preserve">R.9229/1 S5178 PAGO ANTICIPADO 30% CONVENIO FOMENTO INVESTIGACIÓN. (IGUALDAD Y POLÍTICAS INCLUSIVAS )     </t>
  </si>
  <si>
    <t>R.9229/2 S5178 PAGO UNIVERSITAT D'ALACANT (IGUALDAD Y POLÍTICAS INCLUSIVAS)</t>
  </si>
  <si>
    <t>Reintegro de Cuota Patronal del mes de diciembre 2019</t>
  </si>
  <si>
    <t>RAMOS FEIJOO, CLARISA</t>
  </si>
  <si>
    <t>51091750X</t>
  </si>
  <si>
    <t>COD DEP</t>
  </si>
  <si>
    <t>Informe de resultats de l'estudi empíric de validesa i fiabilitat + Versió definitiva de la DS-DIBA (propostes de millora) + Manual d'ús (propostes de millora) + Sessió final de formació als professionals usuaris finals de l'escala (resultats + escala + manual + programari) (*).             (*) "Degut a l'excepcionalitat relacionada amb l'epidèmia de SARS-Cov-2 a Catalunya, la sessió final de formació als professionals usuaris finals de l'escala es va haver de suspendre. La Diputació de Barcelona i la Universitat d'Alacant (Grup d'Investigació sobre Treball Social i Serveis Socials - GITSS) han acordat posposar-la fins que la situació d'emergència social i càrregues de feina dels serveis socials municipals permetin assumir-la".</t>
  </si>
  <si>
    <t>35.80.6C.00.10</t>
  </si>
  <si>
    <t>Entrega del informe final de resultados de la evaluación de la dimensión comunitaria del PROYECTO DE INTERVENCIÓN COMUNITARIA INTERCULTURAL</t>
  </si>
  <si>
    <t>(1001)R.9145 D.77/19. 2019.1.299063 CONVENIO UNIVERSIDAD DE ALICANTE (IGUALDAD Y POLÍTICAS INCLUSIVAS). DESDE EL DEP. TRABAJO SOCIAL Y SERVICIOS SOCIALES NOS DICEN QUE CORRESPONDE AL PROYECTO LABORATORIO DE SERVICIOS SOCIALES DE LOS INDICADORES SOCIALES EN LOS SERVICIOS SOCIALES DE LA COMUNITAT VALENCIANA 2019</t>
  </si>
  <si>
    <t>Unidad</t>
  </si>
  <si>
    <t>Cód. org. aplic.</t>
  </si>
  <si>
    <t>Descripción justificante</t>
  </si>
  <si>
    <t>35.80</t>
  </si>
  <si>
    <t>35.80.6C.00.12</t>
  </si>
  <si>
    <t>SERVICIO DE ASISTENCIA CIENTIFICO-TÉCNICA PARA LA ELABORACIÓN DE LA EVALUACIÓN DEL PLAN DE ACOGIDA Y COHESION SOCIAL DE LA CIUDAD</t>
  </si>
  <si>
    <t>35.80.2G.00.01</t>
  </si>
  <si>
    <t>Reintegro de cerrado de la inscripción de la profesora Asunción Lillo Beneyto en Encuentro Científico y Profesional de Trabajo Social en Panticosa. JG:2020/7424. ADO:20200000008975.  Cta. justificativa:2020/00000230</t>
  </si>
  <si>
    <t>48612147Z</t>
  </si>
  <si>
    <t>CARAVACA LLAMAS, CARMEN</t>
  </si>
  <si>
    <t>NO FUNCIONARIO</t>
  </si>
  <si>
    <t>Total ingresos investigación 2019, 2020 y 2021</t>
  </si>
  <si>
    <t>total ingresos formación 2019-2020-2021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</si>
</sst>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4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8"/>
      <color indexed="8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ck">
        <color theme="0"/>
      </top>
      <bottom/>
      <diagonal/>
    </border>
    <border>
      <left style="thin">
        <color theme="0"/>
      </left>
      <right style="thin">
        <color theme="0"/>
      </right>
      <top style="thick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double">
        <color theme="4"/>
      </top>
      <bottom style="thin">
        <color theme="4" tint="0.39997558519241921"/>
      </bottom>
      <diagonal/>
    </border>
    <border>
      <left/>
      <right/>
      <top style="double">
        <color theme="4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double">
        <color theme="4"/>
      </top>
      <bottom style="thin">
        <color theme="4" tint="0.39997558519241921"/>
      </bottom>
      <diagonal/>
    </border>
  </borders>
  <cellStyleXfs count="6">
    <xf numFmtId="0" fontId="0" fillId="0" borderId="0"/>
    <xf numFmtId="0" fontId="3" fillId="0" borderId="0"/>
    <xf numFmtId="0" fontId="6" fillId="0" borderId="0"/>
    <xf numFmtId="0" fontId="6" fillId="0" borderId="0"/>
    <xf numFmtId="0" fontId="7" fillId="0" borderId="0"/>
    <xf numFmtId="0" fontId="1" fillId="0" borderId="0"/>
  </cellStyleXfs>
  <cellXfs count="57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center"/>
    </xf>
    <xf numFmtId="0" fontId="1" fillId="0" borderId="1" xfId="0" applyFont="1" applyBorder="1"/>
    <xf numFmtId="4" fontId="1" fillId="0" borderId="1" xfId="0" applyNumberFormat="1" applyFont="1" applyBorder="1"/>
    <xf numFmtId="0" fontId="2" fillId="0" borderId="1" xfId="0" applyFont="1" applyBorder="1"/>
    <xf numFmtId="4" fontId="2" fillId="0" borderId="1" xfId="0" applyNumberFormat="1" applyFont="1" applyBorder="1"/>
    <xf numFmtId="0" fontId="4" fillId="3" borderId="1" xfId="1" applyFont="1" applyFill="1" applyBorder="1" applyAlignment="1">
      <alignment horizontal="center"/>
    </xf>
    <xf numFmtId="0" fontId="5" fillId="3" borderId="1" xfId="1" applyFont="1" applyFill="1" applyBorder="1" applyAlignment="1">
      <alignment horizontal="center"/>
    </xf>
    <xf numFmtId="0" fontId="5" fillId="3" borderId="1" xfId="2" applyFont="1" applyFill="1" applyBorder="1" applyAlignment="1">
      <alignment horizontal="center"/>
    </xf>
    <xf numFmtId="0" fontId="5" fillId="3" borderId="1" xfId="3" applyFont="1" applyFill="1" applyBorder="1" applyAlignment="1">
      <alignment horizontal="center" wrapText="1"/>
    </xf>
    <xf numFmtId="0" fontId="5" fillId="3" borderId="1" xfId="3" applyFont="1" applyFill="1" applyBorder="1" applyAlignment="1">
      <alignment horizontal="right" wrapText="1"/>
    </xf>
    <xf numFmtId="0" fontId="3" fillId="4" borderId="0" xfId="1" applyFont="1" applyFill="1" applyAlignment="1"/>
    <xf numFmtId="0" fontId="3" fillId="4" borderId="0" xfId="1" applyFont="1" applyFill="1" applyAlignment="1">
      <alignment horizontal="right"/>
    </xf>
    <xf numFmtId="0" fontId="9" fillId="5" borderId="1" xfId="3" applyFont="1" applyFill="1" applyBorder="1" applyAlignment="1">
      <alignment horizontal="center" textRotation="90" wrapText="1"/>
    </xf>
    <xf numFmtId="0" fontId="9" fillId="3" borderId="1" xfId="3" applyFont="1" applyFill="1" applyBorder="1" applyAlignment="1">
      <alignment horizontal="center" textRotation="90" wrapText="1"/>
    </xf>
    <xf numFmtId="0" fontId="6" fillId="0" borderId="0" xfId="5" applyFont="1"/>
    <xf numFmtId="0" fontId="10" fillId="0" borderId="0" xfId="5" applyFont="1"/>
    <xf numFmtId="0" fontId="10" fillId="0" borderId="0" xfId="5" applyFont="1" applyAlignment="1">
      <alignment horizontal="right"/>
    </xf>
    <xf numFmtId="0" fontId="8" fillId="2" borderId="1" xfId="0" applyFont="1" applyFill="1" applyBorder="1"/>
    <xf numFmtId="0" fontId="8" fillId="2" borderId="1" xfId="0" applyFont="1" applyFill="1" applyBorder="1" applyAlignment="1">
      <alignment textRotation="90"/>
    </xf>
    <xf numFmtId="0" fontId="9" fillId="3" borderId="1" xfId="3" applyFont="1" applyFill="1" applyBorder="1" applyAlignment="1">
      <alignment horizont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3" fillId="4" borderId="1" xfId="1" applyFill="1" applyBorder="1"/>
    <xf numFmtId="0" fontId="3" fillId="4" borderId="1" xfId="1" applyFill="1" applyBorder="1" applyAlignment="1">
      <alignment horizontal="right"/>
    </xf>
    <xf numFmtId="1" fontId="3" fillId="4" borderId="1" xfId="1" applyNumberFormat="1" applyFill="1" applyBorder="1"/>
    <xf numFmtId="164" fontId="3" fillId="4" borderId="1" xfId="1" applyNumberFormat="1" applyFill="1" applyBorder="1"/>
    <xf numFmtId="0" fontId="11" fillId="6" borderId="2" xfId="0" applyNumberFormat="1" applyFont="1" applyFill="1" applyBorder="1"/>
    <xf numFmtId="0" fontId="11" fillId="6" borderId="3" xfId="0" applyNumberFormat="1" applyFont="1" applyFill="1" applyBorder="1"/>
    <xf numFmtId="0" fontId="11" fillId="6" borderId="4" xfId="0" applyFont="1" applyFill="1" applyBorder="1" applyAlignment="1">
      <alignment horizontal="right"/>
    </xf>
    <xf numFmtId="0" fontId="0" fillId="7" borderId="5" xfId="0" applyNumberFormat="1" applyFont="1" applyFill="1" applyBorder="1"/>
    <xf numFmtId="0" fontId="0" fillId="7" borderId="6" xfId="0" applyFont="1" applyFill="1" applyBorder="1"/>
    <xf numFmtId="4" fontId="0" fillId="7" borderId="7" xfId="0" applyNumberFormat="1" applyFont="1" applyFill="1" applyBorder="1"/>
    <xf numFmtId="0" fontId="11" fillId="6" borderId="8" xfId="0" applyFont="1" applyFill="1" applyBorder="1"/>
    <xf numFmtId="0" fontId="11" fillId="6" borderId="9" xfId="0" applyFont="1" applyFill="1" applyBorder="1"/>
    <xf numFmtId="4" fontId="11" fillId="6" borderId="10" xfId="0" applyNumberFormat="1" applyFont="1" applyFill="1" applyBorder="1"/>
    <xf numFmtId="0" fontId="11" fillId="6" borderId="11" xfId="0" applyNumberFormat="1" applyFont="1" applyFill="1" applyBorder="1"/>
    <xf numFmtId="0" fontId="11" fillId="6" borderId="12" xfId="0" applyNumberFormat="1" applyFont="1" applyFill="1" applyBorder="1"/>
    <xf numFmtId="0" fontId="11" fillId="6" borderId="13" xfId="0" applyNumberFormat="1" applyFont="1" applyFill="1" applyBorder="1"/>
    <xf numFmtId="0" fontId="0" fillId="8" borderId="11" xfId="0" applyNumberFormat="1" applyFont="1" applyFill="1" applyBorder="1"/>
    <xf numFmtId="0" fontId="0" fillId="8" borderId="12" xfId="0" applyFont="1" applyFill="1" applyBorder="1"/>
    <xf numFmtId="4" fontId="0" fillId="8" borderId="13" xfId="0" applyNumberFormat="1" applyFont="1" applyFill="1" applyBorder="1"/>
    <xf numFmtId="0" fontId="12" fillId="0" borderId="14" xfId="0" applyFont="1" applyBorder="1"/>
    <xf numFmtId="0" fontId="12" fillId="0" borderId="15" xfId="0" applyFont="1" applyBorder="1"/>
    <xf numFmtId="4" fontId="12" fillId="0" borderId="16" xfId="0" applyNumberFormat="1" applyFont="1" applyBorder="1"/>
    <xf numFmtId="0" fontId="3" fillId="4" borderId="0" xfId="1" applyFill="1"/>
    <xf numFmtId="0" fontId="10" fillId="9" borderId="1" xfId="5" applyFont="1" applyFill="1" applyBorder="1"/>
    <xf numFmtId="0" fontId="10" fillId="9" borderId="1" xfId="5" applyFont="1" applyFill="1" applyBorder="1" applyAlignment="1">
      <alignment horizontal="right"/>
    </xf>
    <xf numFmtId="0" fontId="3" fillId="9" borderId="0" xfId="1" applyFont="1" applyFill="1" applyAlignment="1"/>
    <xf numFmtId="0" fontId="3" fillId="9" borderId="0" xfId="1" applyFont="1" applyFill="1" applyAlignment="1">
      <alignment horizontal="right"/>
    </xf>
    <xf numFmtId="0" fontId="2" fillId="9" borderId="1" xfId="0" applyFont="1" applyFill="1" applyBorder="1" applyAlignment="1">
      <alignment horizontal="right"/>
    </xf>
    <xf numFmtId="4" fontId="0" fillId="9" borderId="1" xfId="0" applyNumberFormat="1" applyFill="1" applyBorder="1"/>
    <xf numFmtId="0" fontId="0" fillId="9" borderId="1" xfId="0" applyFill="1" applyBorder="1"/>
    <xf numFmtId="164" fontId="4" fillId="9" borderId="1" xfId="1" applyNumberFormat="1" applyFont="1" applyFill="1" applyBorder="1" applyAlignment="1"/>
    <xf numFmtId="0" fontId="13" fillId="9" borderId="1" xfId="5" applyFont="1" applyFill="1" applyBorder="1"/>
  </cellXfs>
  <cellStyles count="6">
    <cellStyle name="Normal" xfId="0" builtinId="0"/>
    <cellStyle name="Normal 2" xfId="4" xr:uid="{00000000-0005-0000-0000-000001000000}"/>
    <cellStyle name="Normal 3" xfId="5" xr:uid="{00000000-0005-0000-0000-000002000000}"/>
    <cellStyle name="Normal_Becas 14_9_2005" xfId="2" xr:uid="{00000000-0005-0000-0000-000003000000}"/>
    <cellStyle name="Normal_Ind.2010" xfId="1" xr:uid="{00000000-0005-0000-0000-000004000000}"/>
    <cellStyle name="Normal_PDI por Centro" xfId="3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3"/>
  <sheetViews>
    <sheetView showGridLines="0" tabSelected="1" zoomScale="120" zoomScaleNormal="120" workbookViewId="0">
      <pane xSplit="1" ySplit="1" topLeftCell="G2" activePane="bottomRight" state="frozen"/>
      <selection pane="topRight" activeCell="B1" sqref="B1"/>
      <selection pane="bottomLeft" activeCell="A2" sqref="A2"/>
      <selection pane="bottomRight" activeCell="S3" sqref="S3"/>
    </sheetView>
  </sheetViews>
  <sheetFormatPr baseColWidth="10" defaultColWidth="10.33203125" defaultRowHeight="10.199999999999999" x14ac:dyDescent="0.2"/>
  <cols>
    <col min="1" max="1" width="5" style="13" customWidth="1"/>
    <col min="2" max="4" width="29.6640625" style="13" customWidth="1"/>
    <col min="5" max="5" width="40.6640625" style="13" customWidth="1"/>
    <col min="6" max="6" width="9.109375" style="13" customWidth="1"/>
    <col min="7" max="7" width="9.6640625" style="13" customWidth="1"/>
    <col min="8" max="8" width="14.44140625" style="13" customWidth="1"/>
    <col min="9" max="9" width="5.88671875" style="13" customWidth="1"/>
    <col min="10" max="10" width="25.6640625" style="13" customWidth="1"/>
    <col min="11" max="11" width="10.6640625" style="13" customWidth="1"/>
    <col min="12" max="12" width="5.109375" style="13" customWidth="1"/>
    <col min="13" max="13" width="4.44140625" style="13" customWidth="1"/>
    <col min="14" max="14" width="4.88671875" style="13" customWidth="1"/>
    <col min="15" max="15" width="4.88671875" style="14" customWidth="1"/>
    <col min="16" max="16" width="4.88671875" style="13" customWidth="1"/>
    <col min="17" max="17" width="3.5546875" style="14" customWidth="1"/>
    <col min="18" max="18" width="3.5546875" style="13" customWidth="1"/>
    <col min="19" max="21" width="5.109375" style="13" customWidth="1"/>
    <col min="22" max="16384" width="10.33203125" style="13"/>
  </cols>
  <sheetData>
    <row r="1" spans="1:21" ht="40.799999999999997" x14ac:dyDescent="0.2">
      <c r="A1" s="8" t="s">
        <v>4</v>
      </c>
      <c r="B1" s="9" t="s">
        <v>5</v>
      </c>
      <c r="C1" s="9" t="s">
        <v>6</v>
      </c>
      <c r="D1" s="9" t="s">
        <v>7</v>
      </c>
      <c r="E1" s="9" t="s">
        <v>8</v>
      </c>
      <c r="F1" s="9" t="s">
        <v>9</v>
      </c>
      <c r="G1" s="9" t="s">
        <v>10</v>
      </c>
      <c r="H1" s="9" t="s">
        <v>11</v>
      </c>
      <c r="I1" s="8" t="s">
        <v>12</v>
      </c>
      <c r="J1" s="9" t="s">
        <v>13</v>
      </c>
      <c r="K1" s="8" t="s">
        <v>14</v>
      </c>
      <c r="L1" s="9" t="s">
        <v>15</v>
      </c>
      <c r="M1" s="10" t="s">
        <v>16</v>
      </c>
      <c r="N1" s="11" t="s">
        <v>17</v>
      </c>
      <c r="O1" s="12" t="s">
        <v>18</v>
      </c>
      <c r="P1" s="11" t="s">
        <v>19</v>
      </c>
      <c r="Q1" s="12" t="s">
        <v>20</v>
      </c>
      <c r="R1" s="11" t="s">
        <v>21</v>
      </c>
      <c r="S1" s="11" t="s">
        <v>22</v>
      </c>
      <c r="T1" s="11" t="s">
        <v>23</v>
      </c>
      <c r="U1" s="11" t="s">
        <v>24</v>
      </c>
    </row>
    <row r="2" spans="1:21" s="47" customFormat="1" x14ac:dyDescent="0.2">
      <c r="A2" s="25" t="s">
        <v>29</v>
      </c>
      <c r="B2" s="25" t="s">
        <v>30</v>
      </c>
      <c r="C2" s="25" t="s">
        <v>31</v>
      </c>
      <c r="D2" s="25" t="s">
        <v>38</v>
      </c>
      <c r="E2" s="25" t="s">
        <v>39</v>
      </c>
      <c r="F2" s="25" t="s">
        <v>40</v>
      </c>
      <c r="G2" s="25" t="s">
        <v>34</v>
      </c>
      <c r="H2" s="25" t="s">
        <v>25</v>
      </c>
      <c r="I2" s="25" t="s">
        <v>35</v>
      </c>
      <c r="J2" s="25" t="s">
        <v>36</v>
      </c>
      <c r="K2" s="28">
        <v>0.5</v>
      </c>
      <c r="L2" s="25" t="s">
        <v>37</v>
      </c>
      <c r="M2" s="25">
        <v>2016</v>
      </c>
      <c r="N2" s="25" t="s">
        <v>33</v>
      </c>
      <c r="O2" s="26" t="s">
        <v>28</v>
      </c>
      <c r="P2" s="25" t="s">
        <v>27</v>
      </c>
      <c r="Q2" s="26" t="s">
        <v>27</v>
      </c>
      <c r="R2" s="27">
        <f t="shared" ref="R2" si="0">IF(Q2&lt;&gt;"",100-O2-Q2,IF(O2&lt;&gt;"",100-O2,100))</f>
        <v>10</v>
      </c>
      <c r="S2" s="28">
        <f t="shared" ref="S2" si="1">K2*R2/100</f>
        <v>0.05</v>
      </c>
      <c r="T2" s="28">
        <f t="shared" ref="T2" si="2">IF(O2="",0,K2*O2/100)</f>
        <v>0.45</v>
      </c>
      <c r="U2" s="28">
        <f t="shared" ref="U2" si="3">IF(Q2="",0,K2*Q2/100)</f>
        <v>0</v>
      </c>
    </row>
    <row r="3" spans="1:21" x14ac:dyDescent="0.2">
      <c r="A3" s="50"/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1"/>
      <c r="P3" s="50"/>
      <c r="Q3" s="51"/>
      <c r="R3" s="50"/>
      <c r="S3" s="55">
        <f>SUM(S2)</f>
        <v>0.05</v>
      </c>
      <c r="T3" s="50"/>
      <c r="U3" s="50"/>
    </row>
  </sheetData>
  <autoFilter ref="A1:U1" xr:uid="{00000000-0009-0000-0000-000000000000}">
    <sortState xmlns:xlrd2="http://schemas.microsoft.com/office/spreadsheetml/2017/richdata2" ref="A2:T1905">
      <sortCondition ref="K2:K1905"/>
      <sortCondition ref="L2:L1905"/>
      <sortCondition ref="D2:D1905"/>
    </sortState>
  </autoFilter>
  <printOptions horizontalCentered="1"/>
  <pageMargins left="0.19685039370078741" right="0.19685039370078741" top="0.39370078740157483" bottom="0.39370078740157483" header="0.78740157480314965" footer="0"/>
  <pageSetup paperSize="9" scale="93" fitToWidth="2" fitToHeight="5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S8"/>
  <sheetViews>
    <sheetView zoomScaleNormal="100" workbookViewId="0">
      <selection activeCell="S8" sqref="S8"/>
    </sheetView>
  </sheetViews>
  <sheetFormatPr baseColWidth="10" defaultColWidth="11.44140625" defaultRowHeight="13.2" x14ac:dyDescent="0.25"/>
  <cols>
    <col min="1" max="1" width="10.44140625" style="18" bestFit="1" customWidth="1"/>
    <col min="2" max="2" width="46" style="18" bestFit="1" customWidth="1"/>
    <col min="3" max="3" width="14.5546875" style="18" bestFit="1" customWidth="1"/>
    <col min="4" max="9" width="3.33203125" style="18" bestFit="1" customWidth="1"/>
    <col min="10" max="10" width="13.109375" style="18" bestFit="1" customWidth="1"/>
    <col min="11" max="11" width="5.33203125" style="18" bestFit="1" customWidth="1"/>
    <col min="12" max="13" width="5.6640625" style="18" bestFit="1" customWidth="1"/>
    <col min="14" max="14" width="5.6640625" style="19" bestFit="1" customWidth="1"/>
    <col min="15" max="15" width="5.6640625" style="18" bestFit="1" customWidth="1"/>
    <col min="16" max="16" width="5.6640625" style="19" bestFit="1" customWidth="1"/>
    <col min="17" max="19" width="5.6640625" style="18" bestFit="1" customWidth="1"/>
    <col min="20" max="16384" width="11.44140625" style="18"/>
  </cols>
  <sheetData>
    <row r="1" spans="1:19" s="17" customFormat="1" ht="60" customHeight="1" x14ac:dyDescent="0.25">
      <c r="A1" s="20" t="s">
        <v>41</v>
      </c>
      <c r="B1" s="20" t="s">
        <v>42</v>
      </c>
      <c r="C1" s="20" t="s">
        <v>43</v>
      </c>
      <c r="D1" s="21">
        <v>2017</v>
      </c>
      <c r="E1" s="21">
        <v>2018</v>
      </c>
      <c r="F1" s="21">
        <v>2019</v>
      </c>
      <c r="G1" s="21">
        <v>2020</v>
      </c>
      <c r="H1" s="21">
        <v>2021</v>
      </c>
      <c r="I1" s="21">
        <v>2022</v>
      </c>
      <c r="J1" s="20" t="s">
        <v>44</v>
      </c>
      <c r="K1" s="22" t="s">
        <v>71</v>
      </c>
      <c r="L1" s="15" t="s">
        <v>45</v>
      </c>
      <c r="M1" s="15" t="s">
        <v>46</v>
      </c>
      <c r="N1" s="15" t="s">
        <v>47</v>
      </c>
      <c r="O1" s="15" t="s">
        <v>48</v>
      </c>
      <c r="P1" s="16" t="s">
        <v>49</v>
      </c>
      <c r="Q1" s="16" t="s">
        <v>50</v>
      </c>
      <c r="R1" s="16" t="s">
        <v>51</v>
      </c>
      <c r="S1" s="16" t="s">
        <v>52</v>
      </c>
    </row>
    <row r="2" spans="1:19" ht="14.4" x14ac:dyDescent="0.3">
      <c r="A2" s="23" t="s">
        <v>54</v>
      </c>
      <c r="B2" s="23" t="s">
        <v>55</v>
      </c>
      <c r="C2" s="23" t="s">
        <v>53</v>
      </c>
      <c r="D2" s="23"/>
      <c r="E2" s="23"/>
      <c r="F2" s="23">
        <v>1</v>
      </c>
      <c r="G2" s="23">
        <v>1</v>
      </c>
      <c r="H2" s="23"/>
      <c r="I2" s="23"/>
      <c r="J2" s="23">
        <v>2</v>
      </c>
      <c r="K2" s="23" t="s">
        <v>37</v>
      </c>
      <c r="L2" s="24">
        <v>0</v>
      </c>
      <c r="M2" s="24">
        <v>0</v>
      </c>
      <c r="N2" s="24" t="s">
        <v>27</v>
      </c>
      <c r="O2" s="24" t="s">
        <v>27</v>
      </c>
      <c r="P2" s="24">
        <v>100</v>
      </c>
      <c r="Q2" s="24">
        <v>0</v>
      </c>
      <c r="R2" s="24">
        <v>0</v>
      </c>
      <c r="S2" s="24">
        <v>2</v>
      </c>
    </row>
    <row r="3" spans="1:19" ht="14.4" x14ac:dyDescent="0.3">
      <c r="A3" s="23" t="s">
        <v>58</v>
      </c>
      <c r="B3" s="23" t="s">
        <v>59</v>
      </c>
      <c r="C3" s="23" t="s">
        <v>53</v>
      </c>
      <c r="D3" s="23"/>
      <c r="E3" s="23"/>
      <c r="F3" s="23">
        <v>1</v>
      </c>
      <c r="G3" s="23"/>
      <c r="H3" s="23">
        <v>1</v>
      </c>
      <c r="I3" s="23"/>
      <c r="J3" s="23">
        <v>2</v>
      </c>
      <c r="K3" s="23" t="s">
        <v>37</v>
      </c>
      <c r="L3" s="24">
        <v>0</v>
      </c>
      <c r="M3" s="24">
        <v>0</v>
      </c>
      <c r="N3" s="24" t="s">
        <v>27</v>
      </c>
      <c r="O3" s="24" t="s">
        <v>27</v>
      </c>
      <c r="P3" s="24">
        <v>100</v>
      </c>
      <c r="Q3" s="24">
        <v>0</v>
      </c>
      <c r="R3" s="24">
        <v>0</v>
      </c>
      <c r="S3" s="24">
        <v>2</v>
      </c>
    </row>
    <row r="4" spans="1:19" ht="14.4" x14ac:dyDescent="0.3">
      <c r="A4" s="23" t="s">
        <v>60</v>
      </c>
      <c r="B4" s="23" t="s">
        <v>61</v>
      </c>
      <c r="C4" s="23" t="s">
        <v>53</v>
      </c>
      <c r="D4" s="23"/>
      <c r="E4" s="23"/>
      <c r="F4" s="23"/>
      <c r="G4" s="23"/>
      <c r="H4" s="23">
        <v>1</v>
      </c>
      <c r="I4" s="23"/>
      <c r="J4" s="23">
        <v>1</v>
      </c>
      <c r="K4" s="23" t="s">
        <v>37</v>
      </c>
      <c r="L4" s="24" t="s">
        <v>33</v>
      </c>
      <c r="M4" s="24" t="s">
        <v>28</v>
      </c>
      <c r="N4" s="24" t="s">
        <v>27</v>
      </c>
      <c r="O4" s="24" t="s">
        <v>27</v>
      </c>
      <c r="P4" s="24">
        <v>10</v>
      </c>
      <c r="Q4" s="24">
        <v>0.9</v>
      </c>
      <c r="R4" s="24">
        <v>0</v>
      </c>
      <c r="S4" s="24">
        <v>0.1</v>
      </c>
    </row>
    <row r="5" spans="1:19" ht="14.4" x14ac:dyDescent="0.3">
      <c r="A5" s="23" t="s">
        <v>56</v>
      </c>
      <c r="B5" s="23" t="s">
        <v>57</v>
      </c>
      <c r="C5" s="23" t="s">
        <v>53</v>
      </c>
      <c r="D5" s="23">
        <v>1</v>
      </c>
      <c r="E5" s="23"/>
      <c r="F5" s="23"/>
      <c r="G5" s="23"/>
      <c r="H5" s="23"/>
      <c r="I5" s="23"/>
      <c r="J5" s="23">
        <v>1</v>
      </c>
      <c r="K5" s="23" t="s">
        <v>37</v>
      </c>
      <c r="L5" s="24" t="s">
        <v>33</v>
      </c>
      <c r="M5" s="24" t="s">
        <v>26</v>
      </c>
      <c r="N5" s="24" t="s">
        <v>27</v>
      </c>
      <c r="O5" s="24" t="s">
        <v>27</v>
      </c>
      <c r="P5" s="24">
        <v>50</v>
      </c>
      <c r="Q5" s="24">
        <v>0.5</v>
      </c>
      <c r="R5" s="24">
        <v>0</v>
      </c>
      <c r="S5" s="24">
        <v>0.5</v>
      </c>
    </row>
    <row r="6" spans="1:19" ht="14.4" x14ac:dyDescent="0.3">
      <c r="A6" s="23" t="s">
        <v>84</v>
      </c>
      <c r="B6" s="23" t="s">
        <v>85</v>
      </c>
      <c r="C6" s="23" t="s">
        <v>86</v>
      </c>
      <c r="D6" s="23"/>
      <c r="E6" s="23"/>
      <c r="F6" s="23"/>
      <c r="G6" s="23"/>
      <c r="H6" s="23"/>
      <c r="I6" s="23">
        <v>1</v>
      </c>
      <c r="J6" s="23">
        <v>1</v>
      </c>
      <c r="K6" s="23" t="s">
        <v>37</v>
      </c>
      <c r="L6" s="24">
        <v>0</v>
      </c>
      <c r="M6" s="24">
        <v>0</v>
      </c>
      <c r="N6" s="24" t="s">
        <v>27</v>
      </c>
      <c r="O6" s="24" t="s">
        <v>27</v>
      </c>
      <c r="P6" s="24">
        <v>100</v>
      </c>
      <c r="Q6" s="24">
        <v>0</v>
      </c>
      <c r="R6" s="24">
        <v>0</v>
      </c>
      <c r="S6" s="24">
        <v>1</v>
      </c>
    </row>
    <row r="7" spans="1:19" ht="14.4" x14ac:dyDescent="0.3">
      <c r="A7" s="23" t="s">
        <v>70</v>
      </c>
      <c r="B7" s="23" t="s">
        <v>69</v>
      </c>
      <c r="C7" s="23" t="s">
        <v>53</v>
      </c>
      <c r="D7" s="23"/>
      <c r="E7" s="23"/>
      <c r="F7" s="23"/>
      <c r="G7" s="23">
        <v>1</v>
      </c>
      <c r="H7" s="23"/>
      <c r="I7" s="23"/>
      <c r="J7" s="23">
        <v>1</v>
      </c>
      <c r="K7" s="23" t="s">
        <v>37</v>
      </c>
      <c r="L7" s="24" t="s">
        <v>32</v>
      </c>
      <c r="M7" s="24" t="s">
        <v>26</v>
      </c>
      <c r="N7" s="24" t="s">
        <v>27</v>
      </c>
      <c r="O7" s="24" t="s">
        <v>27</v>
      </c>
      <c r="P7" s="24">
        <v>50</v>
      </c>
      <c r="Q7" s="24">
        <v>0.5</v>
      </c>
      <c r="R7" s="24">
        <v>0</v>
      </c>
      <c r="S7" s="24">
        <v>0.5</v>
      </c>
    </row>
    <row r="8" spans="1:19" x14ac:dyDescent="0.25">
      <c r="A8" s="48"/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9"/>
      <c r="O8" s="48"/>
      <c r="P8" s="49"/>
      <c r="Q8" s="48"/>
      <c r="R8" s="48"/>
      <c r="S8" s="56">
        <f>SUM(S2:S7)</f>
        <v>6.1</v>
      </c>
    </row>
  </sheetData>
  <pageMargins left="0.39370078740157483" right="0.39370078740157483" top="0.39370078740157483" bottom="0.39370078740157483" header="0.31496062992125984" footer="0.31496062992125984"/>
  <pageSetup paperSize="9" scale="1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"/>
  <sheetViews>
    <sheetView zoomScaleNormal="100" workbookViewId="0">
      <selection activeCell="A10" sqref="A10:XFD13"/>
    </sheetView>
  </sheetViews>
  <sheetFormatPr baseColWidth="10" defaultColWidth="11.44140625" defaultRowHeight="10.199999999999999" x14ac:dyDescent="0.2"/>
  <cols>
    <col min="1" max="1" width="100.6640625" style="1" customWidth="1"/>
    <col min="2" max="16384" width="11.44140625" style="1"/>
  </cols>
  <sheetData>
    <row r="1" spans="1:2" ht="20.399999999999999" x14ac:dyDescent="0.2">
      <c r="A1" s="2" t="s">
        <v>0</v>
      </c>
      <c r="B1" s="3" t="s">
        <v>1</v>
      </c>
    </row>
    <row r="2" spans="1:2" x14ac:dyDescent="0.2">
      <c r="A2" s="4" t="s">
        <v>3</v>
      </c>
      <c r="B2" s="5"/>
    </row>
    <row r="3" spans="1:2" x14ac:dyDescent="0.2">
      <c r="A3" s="4" t="s">
        <v>62</v>
      </c>
      <c r="B3" s="5">
        <v>6000</v>
      </c>
    </row>
    <row r="4" spans="1:2" x14ac:dyDescent="0.2">
      <c r="A4" s="4" t="s">
        <v>63</v>
      </c>
      <c r="B4" s="5"/>
    </row>
    <row r="5" spans="1:2" x14ac:dyDescent="0.2">
      <c r="A5" s="4" t="s">
        <v>64</v>
      </c>
      <c r="B5" s="5">
        <v>1487.6</v>
      </c>
    </row>
    <row r="6" spans="1:2" x14ac:dyDescent="0.2">
      <c r="A6" s="4" t="s">
        <v>65</v>
      </c>
      <c r="B6" s="5"/>
    </row>
    <row r="7" spans="1:2" x14ac:dyDescent="0.2">
      <c r="A7" s="4" t="s">
        <v>66</v>
      </c>
      <c r="B7" s="5">
        <v>14100</v>
      </c>
    </row>
    <row r="8" spans="1:2" x14ac:dyDescent="0.2">
      <c r="A8" s="4" t="s">
        <v>67</v>
      </c>
      <c r="B8" s="5">
        <v>30376.9</v>
      </c>
    </row>
    <row r="9" spans="1:2" x14ac:dyDescent="0.2">
      <c r="A9" s="4" t="s">
        <v>68</v>
      </c>
      <c r="B9" s="5">
        <v>481.41</v>
      </c>
    </row>
    <row r="10" spans="1:2" x14ac:dyDescent="0.2">
      <c r="A10" s="6" t="s">
        <v>2</v>
      </c>
      <c r="B10" s="7">
        <f>SUM(B3:B9)</f>
        <v>52445.91</v>
      </c>
    </row>
  </sheetData>
  <pageMargins left="0.39370078740157483" right="0.39370078740157483" top="0.74803149606299213" bottom="0.74803149606299213" header="0.31496062992125984" footer="0.31496062992125984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2BACB-CB55-4DC6-8E10-70C6072448AB}">
  <dimension ref="A1:B8"/>
  <sheetViews>
    <sheetView zoomScaleNormal="100" workbookViewId="0">
      <selection activeCell="A15" sqref="A15"/>
    </sheetView>
  </sheetViews>
  <sheetFormatPr baseColWidth="10" defaultColWidth="11.44140625" defaultRowHeight="10.199999999999999" x14ac:dyDescent="0.2"/>
  <cols>
    <col min="1" max="1" width="100.6640625" style="1" customWidth="1"/>
    <col min="2" max="16384" width="11.44140625" style="1"/>
  </cols>
  <sheetData>
    <row r="1" spans="1:2" ht="20.399999999999999" x14ac:dyDescent="0.2">
      <c r="A1" s="2" t="s">
        <v>0</v>
      </c>
      <c r="B1" s="3" t="s">
        <v>1</v>
      </c>
    </row>
    <row r="2" spans="1:2" x14ac:dyDescent="0.2">
      <c r="A2" s="4" t="s">
        <v>63</v>
      </c>
      <c r="B2" s="5"/>
    </row>
    <row r="3" spans="1:2" x14ac:dyDescent="0.2">
      <c r="A3" s="4" t="s">
        <v>72</v>
      </c>
      <c r="B3" s="5">
        <v>1963.63</v>
      </c>
    </row>
    <row r="4" spans="1:2" x14ac:dyDescent="0.2">
      <c r="A4" s="4" t="s">
        <v>73</v>
      </c>
      <c r="B4" s="5"/>
    </row>
    <row r="5" spans="1:2" x14ac:dyDescent="0.2">
      <c r="A5" s="4" t="s">
        <v>74</v>
      </c>
      <c r="B5" s="5">
        <v>1760</v>
      </c>
    </row>
    <row r="6" spans="1:2" x14ac:dyDescent="0.2">
      <c r="A6" s="4" t="s">
        <v>65</v>
      </c>
      <c r="B6" s="5"/>
    </row>
    <row r="7" spans="1:2" x14ac:dyDescent="0.2">
      <c r="A7" s="4" t="s">
        <v>75</v>
      </c>
      <c r="B7" s="5">
        <v>1211.8800000000001</v>
      </c>
    </row>
    <row r="8" spans="1:2" x14ac:dyDescent="0.2">
      <c r="A8" s="6" t="s">
        <v>2</v>
      </c>
      <c r="B8" s="7">
        <f>SUM(B3:B7)</f>
        <v>4935.51</v>
      </c>
    </row>
  </sheetData>
  <pageMargins left="0.39370078740157483" right="0.39370078740157483" top="0.74803149606299213" bottom="0.74803149606299213" header="0.31496062992125984" footer="0.31496062992125984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33DFE-265A-41C1-8A4C-66059BC2A9D8}">
  <dimension ref="A1:D7"/>
  <sheetViews>
    <sheetView workbookViewId="0">
      <selection activeCell="C7" sqref="C7:D7"/>
    </sheetView>
  </sheetViews>
  <sheetFormatPr baseColWidth="10" defaultRowHeight="14.4" x14ac:dyDescent="0.3"/>
  <cols>
    <col min="2" max="2" width="14" bestFit="1" customWidth="1"/>
    <col min="3" max="3" width="68.33203125" customWidth="1"/>
  </cols>
  <sheetData>
    <row r="1" spans="1:4" ht="15" thickBot="1" x14ac:dyDescent="0.35">
      <c r="A1" s="29" t="s">
        <v>76</v>
      </c>
      <c r="B1" s="30" t="s">
        <v>77</v>
      </c>
      <c r="C1" s="30" t="s">
        <v>78</v>
      </c>
      <c r="D1" s="31" t="s">
        <v>1</v>
      </c>
    </row>
    <row r="2" spans="1:4" ht="15.6" thickTop="1" thickBot="1" x14ac:dyDescent="0.35">
      <c r="A2" s="32" t="s">
        <v>79</v>
      </c>
      <c r="B2" s="33" t="s">
        <v>80</v>
      </c>
      <c r="C2" s="33" t="s">
        <v>81</v>
      </c>
      <c r="D2" s="34">
        <v>5728.8</v>
      </c>
    </row>
    <row r="3" spans="1:4" ht="15" thickTop="1" x14ac:dyDescent="0.3">
      <c r="A3" s="35" t="s">
        <v>2</v>
      </c>
      <c r="B3" s="36"/>
      <c r="C3" s="36"/>
      <c r="D3" s="37">
        <v>5728.8</v>
      </c>
    </row>
    <row r="7" spans="1:4" x14ac:dyDescent="0.3">
      <c r="C7" s="52" t="s">
        <v>87</v>
      </c>
      <c r="D7" s="53">
        <f>D3+'Ingresos investigación 2020'!B8+'Ingresos investigación 2019'!B10</f>
        <v>63110.22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861B0-B040-43FE-BD8D-C7EB87A5722C}">
  <dimension ref="A1:D6"/>
  <sheetViews>
    <sheetView workbookViewId="0">
      <selection activeCell="C18" sqref="C18"/>
    </sheetView>
  </sheetViews>
  <sheetFormatPr baseColWidth="10" defaultRowHeight="14.4" x14ac:dyDescent="0.3"/>
  <cols>
    <col min="2" max="2" width="26.44140625" customWidth="1"/>
    <col min="3" max="3" width="60.6640625" customWidth="1"/>
  </cols>
  <sheetData>
    <row r="1" spans="1:4" x14ac:dyDescent="0.3">
      <c r="A1" s="38" t="s">
        <v>76</v>
      </c>
      <c r="B1" s="39" t="s">
        <v>77</v>
      </c>
      <c r="C1" s="39" t="s">
        <v>78</v>
      </c>
      <c r="D1" s="40" t="s">
        <v>1</v>
      </c>
    </row>
    <row r="2" spans="1:4" ht="15" thickBot="1" x14ac:dyDescent="0.35">
      <c r="A2" s="41" t="s">
        <v>79</v>
      </c>
      <c r="B2" s="42" t="s">
        <v>82</v>
      </c>
      <c r="C2" s="42" t="s">
        <v>83</v>
      </c>
      <c r="D2" s="43">
        <v>390</v>
      </c>
    </row>
    <row r="3" spans="1:4" ht="15" thickTop="1" x14ac:dyDescent="0.3">
      <c r="A3" s="44" t="s">
        <v>2</v>
      </c>
      <c r="B3" s="45"/>
      <c r="C3" s="45"/>
      <c r="D3" s="46">
        <v>390</v>
      </c>
    </row>
    <row r="6" spans="1:4" x14ac:dyDescent="0.3">
      <c r="C6" s="54" t="s">
        <v>88</v>
      </c>
      <c r="D6" s="53">
        <f>D3</f>
        <v>390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2</vt:i4>
      </vt:variant>
    </vt:vector>
  </HeadingPairs>
  <TitlesOfParts>
    <vt:vector size="8" baseType="lpstr">
      <vt:lpstr>Tesis</vt:lpstr>
      <vt:lpstr>Sexenios</vt:lpstr>
      <vt:lpstr>Ingresos investigación 2019</vt:lpstr>
      <vt:lpstr>Ingresos investigación 2020</vt:lpstr>
      <vt:lpstr>Ingresos investigación 2021</vt:lpstr>
      <vt:lpstr>Ingresos formación 2021</vt:lpstr>
      <vt:lpstr>Sexenios!Títulos_a_imprimir</vt:lpstr>
      <vt:lpstr>Tesis!Títulos_a_imprimir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21387280V</dc:creator>
  <cp:lastModifiedBy>21511974M</cp:lastModifiedBy>
  <dcterms:created xsi:type="dcterms:W3CDTF">2019-07-03T07:15:54Z</dcterms:created>
  <dcterms:modified xsi:type="dcterms:W3CDTF">2022-10-18T15:09:55Z</dcterms:modified>
</cp:coreProperties>
</file>