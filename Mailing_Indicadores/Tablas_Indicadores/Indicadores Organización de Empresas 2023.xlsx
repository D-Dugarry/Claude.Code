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H:\Mi unidad\Presupuestación\Presupuesto 2023\Departamentos\Departamentos\"/>
    </mc:Choice>
  </mc:AlternateContent>
  <xr:revisionPtr revIDLastSave="0" documentId="13_ncr:1_{CDA4BB04-4E8E-42F5-BCE8-63078FA7B300}" xr6:coauthVersionLast="47" xr6:coauthVersionMax="47" xr10:uidLastSave="{00000000-0000-0000-0000-000000000000}"/>
  <bookViews>
    <workbookView xWindow="22932" yWindow="-108" windowWidth="23256" windowHeight="12456" tabRatio="822" xr2:uid="{00000000-000D-0000-FFFF-FFFF00000000}"/>
  </bookViews>
  <sheets>
    <sheet name="Tesis" sheetId="7" r:id="rId1"/>
    <sheet name="Sexenios" sheetId="8" r:id="rId2"/>
    <sheet name="Ingresos investigación 2019" sheetId="11" r:id="rId3"/>
    <sheet name="Ingresos investigación 2020" sheetId="13" r:id="rId4"/>
    <sheet name="ingresos investigación 2021" sheetId="15" r:id="rId5"/>
    <sheet name="Ingresos formación 2019" sheetId="12" r:id="rId6"/>
    <sheet name="Ingresos formación 2020" sheetId="14" r:id="rId7"/>
    <sheet name="ingresos formación 2021" sheetId="16" r:id="rId8"/>
  </sheets>
  <definedNames>
    <definedName name="_xlnm._FilterDatabase" localSheetId="1" hidden="1">Sexenios!$A$1:$S$17</definedName>
    <definedName name="_xlnm._FilterDatabase" localSheetId="0" hidden="1">Tesis!$A$1:$U$1</definedName>
    <definedName name="_xlnm.Print_Titles" localSheetId="1">Sexenios!$1:$1</definedName>
    <definedName name="_xlnm.Print_Titles" localSheetId="0">Tesis!$D:$D,Tesis!$1:$1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46" i="7" l="1"/>
  <c r="B29" i="14" l="1"/>
  <c r="B14" i="13"/>
  <c r="S18" i="8" l="1"/>
  <c r="B26" i="12" l="1"/>
  <c r="D10" i="16" s="1"/>
  <c r="B18" i="11"/>
  <c r="D14" i="15" s="1"/>
</calcChain>
</file>

<file path=xl/sharedStrings.xml><?xml version="1.0" encoding="utf-8"?>
<sst xmlns="http://schemas.openxmlformats.org/spreadsheetml/2006/main" count="959" uniqueCount="273">
  <si>
    <t>Orgánica
Descripción justificante</t>
  </si>
  <si>
    <t>Importe</t>
  </si>
  <si>
    <t>Total</t>
  </si>
  <si>
    <t>32.80.6P.00.03</t>
  </si>
  <si>
    <t>32.80.6Q.00.02</t>
  </si>
  <si>
    <t>32.80.6X.00.01</t>
  </si>
  <si>
    <t>32.80.2T.00.01</t>
  </si>
  <si>
    <t>32.80.2T.00.02</t>
  </si>
  <si>
    <t>C.D.</t>
  </si>
  <si>
    <t>Departamento</t>
  </si>
  <si>
    <t>Plan</t>
  </si>
  <si>
    <t>Alumno</t>
  </si>
  <si>
    <t>Tesis</t>
  </si>
  <si>
    <t>Fecha</t>
  </si>
  <si>
    <t>Tutor</t>
  </si>
  <si>
    <t>Rol</t>
  </si>
  <si>
    <t>C.DEP.</t>
  </si>
  <si>
    <t>Departamento Tutor</t>
  </si>
  <si>
    <t>ASIGNACIÓN</t>
  </si>
  <si>
    <t>DEP.ASIG.</t>
  </si>
  <si>
    <t>EJERCICIO</t>
  </si>
  <si>
    <t>INS 1</t>
  </si>
  <si>
    <t>DED INS 1</t>
  </si>
  <si>
    <t>INS 2</t>
  </si>
  <si>
    <t>DED INS 2</t>
  </si>
  <si>
    <t>DED DEP</t>
  </si>
  <si>
    <t>TDOC DEP</t>
  </si>
  <si>
    <t>TDOC INST 1</t>
  </si>
  <si>
    <t>TDOC INST 2</t>
  </si>
  <si>
    <t>Codirector de tesis </t>
  </si>
  <si>
    <t>50</t>
  </si>
  <si>
    <t/>
  </si>
  <si>
    <t>Director de tesis </t>
  </si>
  <si>
    <t>10</t>
  </si>
  <si>
    <t>74218489L </t>
  </si>
  <si>
    <t>B110 </t>
  </si>
  <si>
    <t>ORGANIZACIÓN DE EMPRESAS </t>
  </si>
  <si>
    <t>B110</t>
  </si>
  <si>
    <t>10.17</t>
  </si>
  <si>
    <t>21360018X </t>
  </si>
  <si>
    <t>33481428Y </t>
  </si>
  <si>
    <t>U036 </t>
  </si>
  <si>
    <t>ADM. FACULTAD DE CIENCIAS ECONÓMICAS </t>
  </si>
  <si>
    <t>DOCTORADO EN EMPRESA, ECONOMÍA Y SOCIEDAD </t>
  </si>
  <si>
    <t>21470393P </t>
  </si>
  <si>
    <t>U058 </t>
  </si>
  <si>
    <t>ADM. I.U. DE INVESTIGACIONES TURÍSTICAS </t>
  </si>
  <si>
    <t>DOCTORADO EN DIRECCIÓN Y PLANIFICACIÓN DEL TURISMO </t>
  </si>
  <si>
    <t>Peng , Xing </t>
  </si>
  <si>
    <t>EVOLUCIÓN E INTERNACIONALIZACIÓN DEL TURISMO CHINO: SITUACIÓN ACTUAL Y POSIBILIDADES ESPAÑOLAS </t>
  </si>
  <si>
    <t>07/06/2017 </t>
  </si>
  <si>
    <t>29020457T </t>
  </si>
  <si>
    <t>DOCTORADO EN TURISMO </t>
  </si>
  <si>
    <t>Portela Maquieira, Silvia </t>
  </si>
  <si>
    <t>EL LIDERAZGO TRANSFORMADOR EN LA GESTIÓN DE LA CALIDAD. UN ESTUDIO BASADO EN EL MODELO EFQM </t>
  </si>
  <si>
    <t>15/12/2016 </t>
  </si>
  <si>
    <t>74087347T </t>
  </si>
  <si>
    <t>Melo Hernández, Myriam Eugenia </t>
  </si>
  <si>
    <t>LA INTEGRACIÓN DE LAS TIC COMO VÍA PARA OPTIMIZAR EL PROCESO ENSEÑANZA-APRENDIZAJE EN LA EDUCACIÓN SUPERIOR EN COLOMBIA </t>
  </si>
  <si>
    <t>05/07/2018 </t>
  </si>
  <si>
    <t>21645764G </t>
  </si>
  <si>
    <t>53210892R </t>
  </si>
  <si>
    <t>Rios Pérez, Manuel </t>
  </si>
  <si>
    <t>"GASTOS DE PERSONAL, COSTES LABORALES Y FINANCIACIÓN DEL SECTOR DE TRANSPORTE URBANO DE VIAJEROS EN AUTOBÚS EN ESPAÑA EN EL PERIODO 2000-2015" </t>
  </si>
  <si>
    <t>18/01/2018 </t>
  </si>
  <si>
    <t>González Illescas, Mayiya Lisbeth </t>
  </si>
  <si>
    <t>LA DIRECCIÓN DEL CONOCIMIENTO Y EL APRENDIZAJE ORGANIZACIONAL EN LAS EMPRESAS PRODUCTORAS DE CAMARÓN DE LA PROVÍNCIA DE EL ORO, ECUADOR </t>
  </si>
  <si>
    <t>10/05/2019 </t>
  </si>
  <si>
    <t>45561686C </t>
  </si>
  <si>
    <t>Medina Serrano, Ruben </t>
  </si>
  <si>
    <t>STRATEGIC SOURCING MANAGEMENT - A MULTIPLE CRITERIA DECISION SUPPORT METHODOLOGY WITH TOPSIS </t>
  </si>
  <si>
    <t>23/09/2019 </t>
  </si>
  <si>
    <t>Mendoza Arteaga, Geovanny Xavier </t>
  </si>
  <si>
    <t>PROPUESTA DE PROGRAMA INTEGRAL DE ACOMPAÑAMIENTO A EMPRENDEDORES, COMO ALTERNATIVA PARA EL DESARROLLO DE COMPETENCIAS PROACTIVAS Y LA DISMINUCIÓN DEL DESEMPLEO EN ECUADOR </t>
  </si>
  <si>
    <t>05/07/2019 </t>
  </si>
  <si>
    <t>Sigüenza Poveda, Maria Carmen </t>
  </si>
  <si>
    <t>ESTEREOTIPOS Y ROLES DE GÉNERO EN EL ALUMNADO DE LOS CICLOS FORMATIVOS DE TURISMO ANTE SU INCORPORACIÓN AL MERCADO LABORAL </t>
  </si>
  <si>
    <t>22/07/2019 </t>
  </si>
  <si>
    <t>48457726S </t>
  </si>
  <si>
    <t>30</t>
  </si>
  <si>
    <t>15</t>
  </si>
  <si>
    <t>NIF</t>
  </si>
  <si>
    <t>NOMBRE_COMPLETO</t>
  </si>
  <si>
    <t>TIPO_SEXENIO</t>
  </si>
  <si>
    <t>Total general</t>
  </si>
  <si>
    <t>INS
1</t>
  </si>
  <si>
    <t>DED
INS 1</t>
  </si>
  <si>
    <t>INS
2</t>
  </si>
  <si>
    <t>DED
INS 2</t>
  </si>
  <si>
    <t>DED
DEP</t>
  </si>
  <si>
    <t>SEX
INS 1</t>
  </si>
  <si>
    <t>SEX
INS 2</t>
  </si>
  <si>
    <t>SEX
DEP</t>
  </si>
  <si>
    <t>FUNCIONARIO</t>
  </si>
  <si>
    <t>48457726S</t>
  </si>
  <si>
    <t>ANDREU GUERRERO, MARIA ROSARIO</t>
  </si>
  <si>
    <t>74087122M</t>
  </si>
  <si>
    <t>GARCIA LILLO, FRANCISCO</t>
  </si>
  <si>
    <t>21645764G</t>
  </si>
  <si>
    <t>GASCO GASCO, JOSE LUIS</t>
  </si>
  <si>
    <t>21470393P</t>
  </si>
  <si>
    <t>GONZALEZ RAMIREZ, MARIA REYES</t>
  </si>
  <si>
    <t>53210892R</t>
  </si>
  <si>
    <t>LLOPIS TAVERNER, JUAN</t>
  </si>
  <si>
    <t>48300176S</t>
  </si>
  <si>
    <t>LOPEZ GAMERO, MARIA DOLORES</t>
  </si>
  <si>
    <t>74218489L</t>
  </si>
  <si>
    <t>MARCO LAJARA, BARTOLOME</t>
  </si>
  <si>
    <t>74087347T</t>
  </si>
  <si>
    <t>MOLINA AZORIN, JOSE FRANCISCO</t>
  </si>
  <si>
    <t>48350547Q</t>
  </si>
  <si>
    <t>PEREIRA MOLINER, JORGE</t>
  </si>
  <si>
    <t>33495335K</t>
  </si>
  <si>
    <t>PERTUSA ORTEGA, EVA MARIA</t>
  </si>
  <si>
    <t>29020457T</t>
  </si>
  <si>
    <t>QUER RAMON, DIEGO FRANCISCO</t>
  </si>
  <si>
    <t>48378289C</t>
  </si>
  <si>
    <t>RIENDA GARCIA, LAURA</t>
  </si>
  <si>
    <t>33481428Y</t>
  </si>
  <si>
    <t>TARI GUILLO, JUAN JOSE</t>
  </si>
  <si>
    <t>29015181Z</t>
  </si>
  <si>
    <t>UBEDA GARCIA, MARIA MERCEDES</t>
  </si>
  <si>
    <t>45561686C</t>
  </si>
  <si>
    <t>ZARAGOZA SAEZ, PATROCINIO DEL CARMEN</t>
  </si>
  <si>
    <t>32.80.6C.00.04</t>
  </si>
  <si>
    <t>PAGO A LA FIRMA DEL CONTRATO DE LA PRESTACIÓN DE SERVICIOS PARA: IMPACTO ECONÓMICO DE LA ACTIVIDAD DESARROLLADA EN MERCALICANTE.</t>
  </si>
  <si>
    <t>32.80.6C.00.05</t>
  </si>
  <si>
    <t>PRIMER PAGO DEL CONTRATO DE PRESTACIÓN DE SERVICIO DENOMINADO: FORTALEZAS SOCIOECONOMICAS Y TRANSFORMACIÓN DIGITAL DE LA PROVINCIA DE ALICANTE. DE LA U.A. CON INECA.</t>
  </si>
  <si>
    <t>SEGUNDO Y ÚLTIMO PAGO DEL CONTRATO DE PRESTACIÓN DE SERVICIOS DENOMINADO: FORTALEZAS SOCIOECONÓMICAS Y TRANSFORMACIÓN DIGITAL DE LA PROVINCIA DE ALICANTE. DE LA U.A. CON INECA.</t>
  </si>
  <si>
    <t>32.80.6C.00.06</t>
  </si>
  <si>
    <t>PAGO TRAS  RECEPCIÓN DE INFORME DE RESULTADOS DEL PROYECTO: INNOVACIÓN TECNOLÓGICA PARA LA MEJORA LOGÍSTICA EN LA GESTIÓN DEL ALMACÉN DE PIKOLINOS</t>
  </si>
  <si>
    <t>LIBERADOS EL 23/04/2019, ANUALIDAD 2019 PROYECTOS I+D (PIA1) N EXPEDIENTE: PIA12015-1 -4 ANUALIDAD REFERENCIA: ECO2015-67310-P. REF. DEL ORDENANTE PARA EL BENEFICIARIO: 27402219310017416.</t>
  </si>
  <si>
    <t>1º plazo de la financiación de los gastos de funcionamiento de la Cátedra Empresa Familiar para el curso 2018/2019.</t>
  </si>
  <si>
    <t>2º PLAZO DE LA FINANCIACIÓN DE LOS GASTOS DE FUNCIONAMIENTO DE LA CÁTEDRA EMPRESA FAMILIAR PARA EL CURSO2018/2019.</t>
  </si>
  <si>
    <t>Financiación de los gastos de funcionamiento de la Cátedra de la Empresa Familiar de Alicante para el curso 2018/2019</t>
  </si>
  <si>
    <t>REINTEGRO CUOTA PATRONAL CORRESPONDIENTE AL MES DE DICIEMBRE DE 2019</t>
  </si>
  <si>
    <t>NTG PROJECT - PAYMENT BALANCE INSTALLMENT 2018. REF.ORENANTE: 114723233. REF.BENEFICIARIO: 2.  LA OFICINA DE GESTIÓN DE PROYECTOS INTERNACINALES INFORMA QUE SE TRATA DEL SEGUNDO PAGO DEL PROYECTO NTG. DEPARTAMENTO DE ORGANIZACIÓN DE EMPRESAS.</t>
  </si>
  <si>
    <t>Liquidación PLAN GA84 "Programa de gestión empresarial: marketing internacional"</t>
  </si>
  <si>
    <t>Liquidación  PLAN GA53 curso ''PROGRAMA DE GESTIÓN EMPRESARIAL. LA ECONOMÍA DE LA UNIÓN EUROPEA'' ORDEN 5310</t>
  </si>
  <si>
    <t>Liquidación  PLAN GA53 curso ''PROGRAMA DE GESTIÓN EMPRESARIAL. LA ECONOMÍA DE LA UNIÓN EUROPEA'' ORDEN 5406</t>
  </si>
  <si>
    <t>Liquidación  PLAN GA58 curso ''PROGRAMA DE GESTIÓN EMPRESARIAL. DIRECCIÓN DE RECURSOS HUMANOS'' ORDEN 5311</t>
  </si>
  <si>
    <t>Liquidación  PLAN GA58 curso ''PROGRAMA DE GESTIÓN EMPRESARIAL. DIRECCIÓN DE RECURSOS HUMANOS.'' ORDEN 5416</t>
  </si>
  <si>
    <t>Liquidación  PLAN GA83 curso ''PROGRAMA DE GESTIÓN EMPRESARIAL. EXPERIENCIA EMPRENDEDORA EN LA UNIÓN EUROPEA'' ORDEN 5312</t>
  </si>
  <si>
    <t>Liquidación  PLAN GA83 curso ''PROGRAMA DE GESTIÓN EMPRESARIAL. EXPERIENCIA EMPRENDEDORA EN LA UNIÓN EUROPEA.'' ORDEN 5417</t>
  </si>
  <si>
    <t>Liquidación  PLAN GA84 curso ''PROGRAMA DE GESTIÓN EMPRESARIAL. MÁRKETING INTERNACIONAL'' ORDEN 5418</t>
  </si>
  <si>
    <t>Liquidación  PLAN GA84 curso ''PROGRAMA DE GESTIÓN EMPRESARIAL. MÀRQUETING INTERNACIONAL'' ORDEN 5313</t>
  </si>
  <si>
    <t>Liquidación PLAN GC20 "Inteligencia Estratégica para organizaciones innovadoras"</t>
  </si>
  <si>
    <t>Liquidación  PLAN GC20 curso ''INTELIGENCIA ESTRATÉGICA PARA ORGANIZACIONES INNOVADORAS'' ORDEN 5314</t>
  </si>
  <si>
    <t>MATRICULA DE ADAIL SARIEGO MAZPULE CON DOCUMENTO E275736 AL CURSO INTELIGENCIA ESTRATÉGICA PARA ORGANIZACIONES INNOVADORAS</t>
  </si>
  <si>
    <t>MATRICULA DE ALBERTO JAVIER SANTANA PÉREZ CON DNI 45454243 AL CURSO INTELIGENCIA ESTRATÉGICA PARA ORGANIZACIONES INNOVADORAS</t>
  </si>
  <si>
    <t>MATRICULA DE ANGEL MANUEL GONZÁLEZ PÉREZ CON DOCUMENTO E278603 AL CURSO INTELIGENCIA ESTRATÉGICA PARA ORGANIZACIONES INNOVADORAS</t>
  </si>
  <si>
    <t>MATRICULA DE BENALIA SOFIA PLASENCIA FELIPE DNI 42221585 AL CURSO INTELIGENCIA ESTRATÉGICA PARA ORGANIZACIONES INNOVADORAS</t>
  </si>
  <si>
    <t>MATRÍCULA DE BLANCA PUCHE GARCÍA CON DNI 48473324 AL CURSO INTELIGENCIA ESTRATÉGICA PARA ORGANIZACIONES INNOVADORAS</t>
  </si>
  <si>
    <t>MATRICULA DE ENRIQUE GUILLAMÓN AYALA CON DNI 48.423.361 AL CURSO INTELIGENCIA ESTRATÉGICA PARA ORGANIZACIONES INNOVADORAS</t>
  </si>
  <si>
    <t>MATRÍCULA DE GUADALUPE SANTA CARVAJAL CON DNI 48468054 AL CURSO INTELIGENCIA ESTRATÉGICA PARA ORGANIZACIONES INNOVADORAS</t>
  </si>
  <si>
    <t>MATRICULA DE JACOBO ALEJANDRO GOMEZ RICO CON DOCUMENTO MEX1138429936 AL CURSO INTELIGENCIA ESTRATÉGICA PARA ORGANIZACIONES INNOVADORAS</t>
  </si>
  <si>
    <t>MATRICULA DE KARLA MARIELA RODRIGUEZ MATA CON DOCUMENTO MEX2981114340 AL CURSO INTELIGENCIA ESTRATÉGICA PARA ORGANIZACIONES INNOVADORAS</t>
  </si>
  <si>
    <t>MATRICULA DE LÁZARO DAVID ROQUE MOLINA CON DOCUMENTO E341347 AL CURSO INTELIGENCIA ESTRATÉGICA PARA ORGANIZACIONES INNOVADORAS</t>
  </si>
  <si>
    <t>MATRÍCULA DE ROBERTO PASCUAL MARTÍNEZ CON DNI 52766969, AL CURSO INTELIGENCIA ESTRATÉGICA PARA ORGANIZACIONES INNOVADORAS</t>
  </si>
  <si>
    <t>20/11/2019 </t>
  </si>
  <si>
    <t>DISTRITOS INDUSTRIALES Y COMPETITIVIDAD EMPRESARIAL: UN ANÁLISIS APLICADO A LOS DISTRITOS INDUSTRIALES ALIMENTARIOS (DIA) EN ESPAÑA </t>
  </si>
  <si>
    <t>Seva Larrosa, Pedro </t>
  </si>
  <si>
    <t>27/07/2020 </t>
  </si>
  <si>
    <t>Análisis de las capacidades dinámicas y su efecto sobre el rendimiento empresarial: Un estudio aplicado al sector hotelero en España </t>
  </si>
  <si>
    <t>Ruiz Fernandez, Lorena </t>
  </si>
  <si>
    <t>24/01/2020 </t>
  </si>
  <si>
    <t>La influencia de las agencias de desarrollo local en la atención y formación a emprendedores. El caso de la província de Alicante </t>
  </si>
  <si>
    <t>González Herreros, Ester </t>
  </si>
  <si>
    <t>30/09/2020 </t>
  </si>
  <si>
    <t>Valoración de empresas y riesgo país en Ecuador </t>
  </si>
  <si>
    <t>FARFAN PACHECO, GALO ADOLFO </t>
  </si>
  <si>
    <t>NO FUNCIONARIO</t>
  </si>
  <si>
    <t>16809134K</t>
  </si>
  <si>
    <t>DE JUANA ESPINOSA, SUSANA AMALIA</t>
  </si>
  <si>
    <t>Quizhpe Salinas, Luis Alcivar </t>
  </si>
  <si>
    <t>"Estrategias competitivas para el desarrollo de las PYMES, en el corredor turístico ferroviario del Ecuador, con enfoque sistémico." </t>
  </si>
  <si>
    <t>30/07/2020 </t>
  </si>
  <si>
    <t>ZZ </t>
  </si>
  <si>
    <t>SIN ASIGNAR </t>
  </si>
  <si>
    <t>Navarro Berbegal, Francisco Javier </t>
  </si>
  <si>
    <t>CULTURA DE CALIDAD: PARADIGMA DE DESARROLLO PARA LA EXCELENCIA. EVIDENCIA DEL CASO EN EMPRESAS DE LA PROVINCIA DE ALICANTE </t>
  </si>
  <si>
    <t>19/11/2020 </t>
  </si>
  <si>
    <t>21494583W </t>
  </si>
  <si>
    <t>MODELO DE ESTRATEGIAS PARA GESTIONAR EL CONOCIMENTO INSTITUCIONAL(Caso de Universidades Públicas Categoría A de Ecuador) </t>
  </si>
  <si>
    <t>30/09/2021 </t>
  </si>
  <si>
    <t>29015181Z </t>
  </si>
  <si>
    <t>Sánchez García, Eduardo </t>
  </si>
  <si>
    <t>Aglomeración industrial, capital social y capacidad de absorción como impulsores del desempeño innovador y empresarial: Una aplicación al sector de suministro de energía eléctrica, gas, vapor y aire acondicionado en España </t>
  </si>
  <si>
    <t>22/07/2021 </t>
  </si>
  <si>
    <t>74087122M </t>
  </si>
  <si>
    <t>Pedro De Blas, Jennifer </t>
  </si>
  <si>
    <t>La competitividad internacional en el fútbol: Un análisis comparativo entre España y China </t>
  </si>
  <si>
    <t>28/07/2021 </t>
  </si>
  <si>
    <t>Brotons Martínez, Matilde </t>
  </si>
  <si>
    <t>La gestión del conocimiento para la innovación en hoteles: la influencia de las prácticas de Recursos Humanos </t>
  </si>
  <si>
    <t>25/03/2021 </t>
  </si>
  <si>
    <t>PRIMER PAGO DEL CONTRATO DE ASISTENCIA TÉCNICA CON REFERENCIA "ASOCIACIONINSTITUT01-20TD" CON EL PROFESOR FRANCISCO LLOPIS VAÑO.</t>
  </si>
  <si>
    <t>SEGUNDO Y ÚLTIMO PAGO DEL CONTRATO DE ASISTENCIA TÉCNICA CON REFERENCIA "ASOCIACIONINSTITUTO1-20TD" CON EL FROFESOR FRANCISCO LLOPIS VAÑO</t>
  </si>
  <si>
    <t>32.80.6C.00.07</t>
  </si>
  <si>
    <t>Prestación servicios en el proyecto titulado "Propuesta para estudiar y acceder a nuevos mercados por las empresas textiles-OTR2020-20899INVES" de las profesoras Laura Rienda García y Lorena Ruiz Fernández. (2020 0282-76 se-cm)</t>
  </si>
  <si>
    <t>Pago único del año 2020, para financiación de los gastos de funcionamiento de la Cátedra Empresa Familiar del curso 2019/2020.</t>
  </si>
  <si>
    <t>Pago único del año 2020. Para financiación de los gastos de funcionamiento de la Cátedra Empresa Familiar del curso 2019/2020.</t>
  </si>
  <si>
    <t>Pago único del año 2020. Para la financiación de los gastos de funcionamiento de la Cátedra de Empresa Familiar para el curso 2019/2020.</t>
  </si>
  <si>
    <t>PAGO 3º DEL PROYECTO NTG. DEPARTAMENTO DE ORGANIZACIÓN DE EMPRESA</t>
  </si>
  <si>
    <t>PAGO 4º DEL PROYECTO NTG. DEPARTAMENTO ORGANIZACIÓN DE EMPRESAS</t>
  </si>
  <si>
    <t>32.80.2G.00.01</t>
  </si>
  <si>
    <t>REINTEGRO DE CERRADO DE LA INSCRIPCIÓN DE FRANCISCO GARCÍA LILLO AL CURSO ADVANCED MULTILEVEL ANALYSIS 2020 DE LA UNIVERSIDAD DE UTRECHT, ANULADA DEBIDO AL COVID-19. 2019/000000045908 y tramitado con la cuenta justificativa 2019/2547. ADO:2019000054780</t>
  </si>
  <si>
    <t>Liquidación PLAN GA53 "Programa de Gestión Empresarial. La Economía de la UE"</t>
  </si>
  <si>
    <t>Liquidación PLAN GA58 "Programa de Gestión Empresarial. Dirección de Recursos Humanos"</t>
  </si>
  <si>
    <t>Matrícula de Alfredo Pérez Luna con DNI 21472145, al curso Inteligencia Estratégica para Organizaciones Innnovadoras.</t>
  </si>
  <si>
    <t>Matrícula de Andrea Molina Azcona, con DNI 33449823, al curso Inteligencia Estratégica para Organizaciones Innovadoras.</t>
  </si>
  <si>
    <t>MATRÍCULA DE ELOY LOPEZ GRANDAL , CON DNI 32670749 AL CURSO "INTELIGENCIA ESTRATÉGICA PARA ORGANIZACIONES INNOVADORAS"</t>
  </si>
  <si>
    <t>Matrícula de Enrique Díaz-Guemes Formetí, con DNI 24342944, al curso "Inteligencia Estratégica para Organizaciones innovadoras".</t>
  </si>
  <si>
    <t xml:space="preserve">Matrícula de Jonathan Torres Guerrero, con DNI 06648963 al curso Inteligencia Estratégica para Organizaciones Innovadoras. </t>
  </si>
  <si>
    <t>Matrícula de Laura del Carmen Santana Martín, con DNI 44743483 al curso "Inteligencia Estratégica para Organizaciones Innovadoras"</t>
  </si>
  <si>
    <t>Matrícula de Laura Sánchez Ruiz con DNI 74716855-K al curso "Inteligencia Estratégica para Organizaciones Innovadoras" curso 2019/2020</t>
  </si>
  <si>
    <t>Matrícula de Leovigilda Ortiz Medina, con DNI 30537825, al curso Inteligencia Estratégica para Organizaciones Innovadoras.</t>
  </si>
  <si>
    <t>MATRÍCULA DE LORENA VELA PÉREZ , CON DNI 43162285 AL CURSO "INTELIGENCIA ESTRATÉGICA PARA ORGANIZACIONES INNOVADORAS"</t>
  </si>
  <si>
    <t>Matrícula de Loreto Andrea Alarcón Fuenzalida, con Doc. CHL 128615245, al Curso "Inteligencia Estratégica para Organizaciones Innovadoras".</t>
  </si>
  <si>
    <t>Matrícula de Mª Angeles García con DNI 22998058 al curso "Inteligencia Estratégica para Organizaciones Innovadoras"</t>
  </si>
  <si>
    <t xml:space="preserve">Matrícula de Mª Brígida Tristante López con DNI 52526272-E al curso "Inteligencia Estratégica para Organizaciones Innovadoras" </t>
  </si>
  <si>
    <t>Matrícula de María Cebriá Derqui, con DNI 70263944, al curso Inteligencia Estratégica para Organizaciones Innovadoras</t>
  </si>
  <si>
    <t>Matrícula de Merche Carod Ceperuelo, con DNI 47763657, al curso "Inteligencia Estratégica para Organizaciones Innovadoras".</t>
  </si>
  <si>
    <t>MATRÍCULA DE MIQUEL VILLANUEVA MARGALEF, CON DNI 29190581AL CURSO "INTELIGENCIA ESTRATÉGICA PARA ORGANIZACIONES INNOVADORAS"</t>
  </si>
  <si>
    <t>MATRÍCULA DE NICOLÁS ZORNOZA MILLÁN , CON DNI 44889763 AL CURSO "INTELIGENCIA ESTRATÉGICA PARA ORGANIZACIONES INNOVADORAS"</t>
  </si>
  <si>
    <t>MATRÍCULA DE PEDRO LUIS SALAZAR DIAZ-MARTA CON DNI 47076096 DEL CURSO INTELIGENCIA ESTRATÉGICA PARA ORGANIZACIONES INNOVADORAS.</t>
  </si>
  <si>
    <t>Matrícula de Rocío Schettini del Moral con DNI 50892594, al curso "Inteligencia Estratégica para Organizaciones Innovadoras"</t>
  </si>
  <si>
    <t>MATRÍCULA DE SALVADOR CAMPO MAZARICO, CON DNI 37387343, AL CURSO "INTELIGENCIA ESTRATÉGICA PARA ORGANIZACIONES INNOVADORAS</t>
  </si>
  <si>
    <t>Matrícula  de Alicia Ortega Rodríguez con DNI 77360822, al curso "Inteligencia Estratégica para Organizaciones Innovadoras"</t>
  </si>
  <si>
    <t>Plan GC20 CURSO 2020-21 INTELIGENCIA ESTRATÉGICA PARA ORGANIZACIONES INNOVADORAS</t>
  </si>
  <si>
    <t>Unidad</t>
  </si>
  <si>
    <t>Cód. org. aplic.</t>
  </si>
  <si>
    <t>Descripción justificante</t>
  </si>
  <si>
    <t>32.80</t>
  </si>
  <si>
    <t>PRIMER PAGO DEL CONTRATO DE AISTENCIA TÉCNICA CON REFERENCIA "ASOCIACIONINSTITUTO1-21TD" CON EL PROFESOR FRANCISCO LLOPIS VAÑO</t>
  </si>
  <si>
    <t>SEGUNDO PAGO DEL CONTRATO DE ASISTENCIA TÉCNICA CON REFERENCIA "ASOCIACIONINSTITUTO1-21TD" CON EL PROF. D. FRANCISCO LLOPIS VAÑO.</t>
  </si>
  <si>
    <t>32.80.6C.00.08</t>
  </si>
  <si>
    <t>Segundo pago (mes septiembre) por "Asistencia Técnica para la elaboración de un plan Estratégico".</t>
  </si>
  <si>
    <t xml:space="preserve">Primer pago (mes marzo) por "Asistencia técnica para la elaboración de un plan Estratégico" . </t>
  </si>
  <si>
    <t>32.80.6C.00.10</t>
  </si>
  <si>
    <t>PAGO ÚNICO POR REALIZACIÓN DE UN ESTUDIO SOBRE LOS AUDIT DE NECESIDADES Y RETOS DE LAS EMPRESAS DEL SECTOR TURÍSTICO DE LA PROVINCIA DE ALICANTE EN LA IMPLANTACIÓN DE MODELOS DE ECONOMÍA CIRCULAR.</t>
  </si>
  <si>
    <t>COLABORACIÓN CAJA RURAL CENTRAL</t>
  </si>
  <si>
    <t>QUINTO INGRESO DEL PROYECTO NTG, COORDINA BARTOLOMÉ MARCO, SEGÚN INFORMA OGPI</t>
  </si>
  <si>
    <t>32.80.2M.00.01</t>
  </si>
  <si>
    <t>78.748.234-Y SARA VILAS SANTIAGO - MÁSTER UNIVERSITARIO EN ADMINISTRACIÓN Y DIRECCIÓN DE EMPRESAS - REF 2021810844578</t>
  </si>
  <si>
    <t>Matrícula de Cynthia María Montaudon Tomás con documento  08012992 al curso "Inteligencia Estratégica para Organizaciones Innovadoras"</t>
  </si>
  <si>
    <t>MATRÍCULA DE JUAN CARLOS MORENO GARCIA  CON DNI. 48816546 AL CURSO "INTELIGENCIA ESTRATÉGICA PARA ORGANIZACIONES INNOVADORAS"</t>
  </si>
  <si>
    <t>Matrícula de Ricardo Suay Cortés con DNI 73764486 al curso "Inteligencia Estratégica para Organizaciones Innovadoras"</t>
  </si>
  <si>
    <t>Matrícula de Ingrid Nineth Pinto López con documento G26605606 al curso "Inteligencia Estratégica para Organizaciones Innovadoras"</t>
  </si>
  <si>
    <t>López Mayorga, Rosa Magdalena </t>
  </si>
  <si>
    <t>Poveda Pareja, Esther </t>
  </si>
  <si>
    <t>LOCALIZACIO¿N, RESPONSABILIDAD SOCIAL CORPORATIVA Y CREACIO¿N DE VALOR EN LOS HOTELES DE LA COSTA ESPAN¿OLA: INFLUENCIA DEL CAPITAL SOCIAL, LA AMBIDESTREZA INTERORGANIZATIVA, LA INNOVACIO¿N Y LA RESILIENCIA </t>
  </si>
  <si>
    <t>27/06/2022 </t>
  </si>
  <si>
    <t>Martínez Falcó, Javier </t>
  </si>
  <si>
    <t>EL CAPITAL INTELECTUAL SOSTENIBLE COMO ELEMENTO VERTEBRADOR DE LA PERFORMANCE ECONÓMICA, SOCIAL Y MEDIOAMBIENTAL: UN ANÁLISIS APLICADO A LA INDUSTRIA VINÍCOLA ESPAÑOLA </t>
  </si>
  <si>
    <t>19/07/2022 </t>
  </si>
  <si>
    <t>Fernández Vidal, Jorge </t>
  </si>
  <si>
    <t>15/07/2022 </t>
  </si>
  <si>
    <t>PARASKEVAS , THEODOROS </t>
  </si>
  <si>
    <t>The impact of suspending labor status on organizational culture of uniformed personnel outside the central government administration in Greece. The case study of Municipal Polic </t>
  </si>
  <si>
    <t>22/07/2022 </t>
  </si>
  <si>
    <t>Baliouskas , Petros </t>
  </si>
  <si>
    <t>TOURNAROUND STRATEGY DURING A DEPRESSED ECONOMY-CORRELATION WITH SUCCESSFUL TACTICS. A TOTAL TURNAROUND RESEARCH FOR THE GREEK COMPANIES (INDUSTRIAL AND TRADING SECTOR </t>
  </si>
  <si>
    <t>Yang , Yang </t>
  </si>
  <si>
    <t>LA INTENCIÓN DE INTERNACIONALIZACIÓN DE LAS PYMES ESPAÑOLAS HACIA CHINA EN LA ERA DE LA NUEVA RUTA DE LA SEDA- UN ESTUDIO DESDE EL ENFOQUE DE LAS REDES SOCIALES </t>
  </si>
  <si>
    <t>48378289C </t>
  </si>
  <si>
    <t>Rivas Tello, Augusta Carolina </t>
  </si>
  <si>
    <t>Gestión de calidad turística en los parques nacionales del Ecuador </t>
  </si>
  <si>
    <t>29/03/2022 </t>
  </si>
  <si>
    <t>48350547Q </t>
  </si>
  <si>
    <t>COD DEP</t>
  </si>
  <si>
    <t>Total ingresos investigación 2019-2020-2021</t>
  </si>
  <si>
    <t>Total ingresos formación 2019-2020-2021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</si>
</sst>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,##0.0"/>
  </numFmts>
  <fonts count="16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8"/>
      <color rgb="FF000000"/>
      <name val="Arial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 style="thin">
        <color theme="0"/>
      </left>
      <right style="thin">
        <color theme="0"/>
      </right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double">
        <color theme="4"/>
      </top>
      <bottom style="thin">
        <color theme="4" tint="0.39997558519241921"/>
      </bottom>
      <diagonal/>
    </border>
    <border>
      <left/>
      <right/>
      <top style="double">
        <color theme="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double">
        <color theme="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3" fillId="0" borderId="0"/>
    <xf numFmtId="0" fontId="6" fillId="0" borderId="0"/>
    <xf numFmtId="0" fontId="6" fillId="0" borderId="0"/>
    <xf numFmtId="0" fontId="7" fillId="0" borderId="0"/>
    <xf numFmtId="0" fontId="1" fillId="0" borderId="0"/>
  </cellStyleXfs>
  <cellXfs count="7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left" wrapText="1"/>
    </xf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4" fontId="1" fillId="0" borderId="1" xfId="0" applyNumberFormat="1" applyFont="1" applyBorder="1"/>
    <xf numFmtId="0" fontId="2" fillId="0" borderId="1" xfId="0" applyFont="1" applyBorder="1"/>
    <xf numFmtId="4" fontId="2" fillId="0" borderId="1" xfId="0" applyNumberFormat="1" applyFont="1" applyBorder="1"/>
    <xf numFmtId="0" fontId="4" fillId="3" borderId="1" xfId="1" applyFont="1" applyFill="1" applyBorder="1" applyAlignment="1">
      <alignment horizontal="center"/>
    </xf>
    <xf numFmtId="0" fontId="5" fillId="3" borderId="1" xfId="1" applyFont="1" applyFill="1" applyBorder="1" applyAlignment="1">
      <alignment horizontal="center"/>
    </xf>
    <xf numFmtId="0" fontId="5" fillId="3" borderId="1" xfId="2" applyFont="1" applyFill="1" applyBorder="1" applyAlignment="1">
      <alignment horizontal="center"/>
    </xf>
    <xf numFmtId="0" fontId="5" fillId="3" borderId="1" xfId="3" applyFont="1" applyFill="1" applyBorder="1" applyAlignment="1">
      <alignment horizontal="center" wrapText="1"/>
    </xf>
    <xf numFmtId="0" fontId="5" fillId="3" borderId="1" xfId="3" applyFont="1" applyFill="1" applyBorder="1" applyAlignment="1">
      <alignment horizontal="right" wrapText="1"/>
    </xf>
    <xf numFmtId="0" fontId="3" fillId="4" borderId="0" xfId="1" applyFont="1" applyFill="1" applyAlignment="1"/>
    <xf numFmtId="0" fontId="3" fillId="4" borderId="0" xfId="1" applyFont="1" applyFill="1" applyAlignment="1">
      <alignment horizontal="right"/>
    </xf>
    <xf numFmtId="0" fontId="9" fillId="5" borderId="1" xfId="3" applyFont="1" applyFill="1" applyBorder="1" applyAlignment="1">
      <alignment horizontal="center" textRotation="90" wrapText="1"/>
    </xf>
    <xf numFmtId="0" fontId="9" fillId="3" borderId="1" xfId="3" applyFont="1" applyFill="1" applyBorder="1" applyAlignment="1">
      <alignment horizontal="center" textRotation="90" wrapText="1"/>
    </xf>
    <xf numFmtId="0" fontId="6" fillId="0" borderId="0" xfId="5" applyFont="1"/>
    <xf numFmtId="0" fontId="10" fillId="0" borderId="0" xfId="5" applyFont="1"/>
    <xf numFmtId="0" fontId="10" fillId="0" borderId="0" xfId="5" applyFont="1" applyAlignment="1">
      <alignment horizontal="right"/>
    </xf>
    <xf numFmtId="0" fontId="7" fillId="0" borderId="1" xfId="0" applyFont="1" applyBorder="1"/>
    <xf numFmtId="0" fontId="7" fillId="0" borderId="1" xfId="0" applyFont="1" applyBorder="1" applyAlignment="1">
      <alignment horizontal="left"/>
    </xf>
    <xf numFmtId="0" fontId="3" fillId="4" borderId="1" xfId="1" applyFill="1" applyBorder="1"/>
    <xf numFmtId="0" fontId="3" fillId="4" borderId="1" xfId="1" applyFill="1" applyBorder="1" applyAlignment="1">
      <alignment horizontal="right"/>
    </xf>
    <xf numFmtId="1" fontId="3" fillId="4" borderId="1" xfId="1" applyNumberFormat="1" applyFill="1" applyBorder="1"/>
    <xf numFmtId="164" fontId="3" fillId="4" borderId="1" xfId="1" applyNumberFormat="1" applyFill="1" applyBorder="1"/>
    <xf numFmtId="0" fontId="3" fillId="4" borderId="2" xfId="1" applyFill="1" applyBorder="1"/>
    <xf numFmtId="0" fontId="3" fillId="4" borderId="2" xfId="1" applyFill="1" applyBorder="1" applyAlignment="1">
      <alignment horizontal="right"/>
    </xf>
    <xf numFmtId="1" fontId="3" fillId="4" borderId="2" xfId="1" applyNumberFormat="1" applyFill="1" applyBorder="1"/>
    <xf numFmtId="164" fontId="3" fillId="4" borderId="2" xfId="1" applyNumberFormat="1" applyFill="1" applyBorder="1"/>
    <xf numFmtId="0" fontId="3" fillId="0" borderId="1" xfId="1" applyBorder="1"/>
    <xf numFmtId="0" fontId="3" fillId="4" borderId="3" xfId="1" applyFill="1" applyBorder="1"/>
    <xf numFmtId="0" fontId="12" fillId="6" borderId="1" xfId="0" applyFont="1" applyFill="1" applyBorder="1" applyAlignment="1">
      <alignment horizontal="left" vertical="center"/>
    </xf>
    <xf numFmtId="0" fontId="12" fillId="6" borderId="4" xfId="0" applyFont="1" applyFill="1" applyBorder="1" applyAlignment="1">
      <alignment horizontal="left" vertical="center"/>
    </xf>
    <xf numFmtId="0" fontId="12" fillId="6" borderId="5" xfId="0" applyFont="1" applyFill="1" applyBorder="1" applyAlignment="1">
      <alignment horizontal="left" vertical="center"/>
    </xf>
    <xf numFmtId="0" fontId="12" fillId="6" borderId="6" xfId="0" applyFont="1" applyFill="1" applyBorder="1" applyAlignment="1">
      <alignment horizontal="left" vertical="center"/>
    </xf>
    <xf numFmtId="0" fontId="13" fillId="7" borderId="7" xfId="0" applyNumberFormat="1" applyFont="1" applyFill="1" applyBorder="1"/>
    <xf numFmtId="0" fontId="13" fillId="7" borderId="8" xfId="0" applyNumberFormat="1" applyFont="1" applyFill="1" applyBorder="1"/>
    <xf numFmtId="0" fontId="13" fillId="7" borderId="9" xfId="0" applyFont="1" applyFill="1" applyBorder="1" applyAlignment="1">
      <alignment horizontal="right"/>
    </xf>
    <xf numFmtId="0" fontId="0" fillId="8" borderId="10" xfId="0" applyNumberFormat="1" applyFont="1" applyFill="1" applyBorder="1"/>
    <xf numFmtId="0" fontId="0" fillId="8" borderId="11" xfId="0" applyFont="1" applyFill="1" applyBorder="1"/>
    <xf numFmtId="4" fontId="0" fillId="8" borderId="12" xfId="0" applyNumberFormat="1" applyFont="1" applyFill="1" applyBorder="1"/>
    <xf numFmtId="0" fontId="0" fillId="9" borderId="10" xfId="0" applyNumberFormat="1" applyFont="1" applyFill="1" applyBorder="1"/>
    <xf numFmtId="0" fontId="0" fillId="9" borderId="11" xfId="0" applyFont="1" applyFill="1" applyBorder="1"/>
    <xf numFmtId="4" fontId="0" fillId="9" borderId="12" xfId="0" applyNumberFormat="1" applyFont="1" applyFill="1" applyBorder="1"/>
    <xf numFmtId="0" fontId="13" fillId="7" borderId="13" xfId="0" applyFont="1" applyFill="1" applyBorder="1"/>
    <xf numFmtId="0" fontId="13" fillId="7" borderId="14" xfId="0" applyFont="1" applyFill="1" applyBorder="1"/>
    <xf numFmtId="4" fontId="13" fillId="7" borderId="15" xfId="0" applyNumberFormat="1" applyFont="1" applyFill="1" applyBorder="1"/>
    <xf numFmtId="0" fontId="13" fillId="7" borderId="16" xfId="0" applyNumberFormat="1" applyFont="1" applyFill="1" applyBorder="1"/>
    <xf numFmtId="0" fontId="13" fillId="7" borderId="17" xfId="0" applyNumberFormat="1" applyFont="1" applyFill="1" applyBorder="1"/>
    <xf numFmtId="0" fontId="13" fillId="7" borderId="18" xfId="0" applyNumberFormat="1" applyFont="1" applyFill="1" applyBorder="1"/>
    <xf numFmtId="0" fontId="0" fillId="9" borderId="16" xfId="0" applyNumberFormat="1" applyFont="1" applyFill="1" applyBorder="1"/>
    <xf numFmtId="0" fontId="0" fillId="9" borderId="17" xfId="0" applyNumberFormat="1" applyFont="1" applyFill="1" applyBorder="1"/>
    <xf numFmtId="4" fontId="0" fillId="9" borderId="18" xfId="0" applyNumberFormat="1" applyFont="1" applyFill="1" applyBorder="1"/>
    <xf numFmtId="0" fontId="0" fillId="0" borderId="16" xfId="0" applyNumberFormat="1" applyFont="1" applyBorder="1"/>
    <xf numFmtId="0" fontId="0" fillId="0" borderId="17" xfId="0" applyNumberFormat="1" applyFont="1" applyBorder="1"/>
    <xf numFmtId="4" fontId="0" fillId="0" borderId="18" xfId="0" applyNumberFormat="1" applyFont="1" applyBorder="1"/>
    <xf numFmtId="0" fontId="0" fillId="9" borderId="17" xfId="0" applyFont="1" applyFill="1" applyBorder="1"/>
    <xf numFmtId="0" fontId="14" fillId="0" borderId="19" xfId="0" applyFont="1" applyBorder="1"/>
    <xf numFmtId="0" fontId="14" fillId="0" borderId="20" xfId="0" applyFont="1" applyBorder="1"/>
    <xf numFmtId="4" fontId="14" fillId="0" borderId="21" xfId="0" applyNumberFormat="1" applyFont="1" applyBorder="1"/>
    <xf numFmtId="165" fontId="3" fillId="4" borderId="1" xfId="1" applyNumberFormat="1" applyFill="1" applyBorder="1"/>
    <xf numFmtId="165" fontId="3" fillId="4" borderId="2" xfId="1" applyNumberFormat="1" applyFill="1" applyBorder="1"/>
    <xf numFmtId="0" fontId="3" fillId="10" borderId="22" xfId="1" applyFont="1" applyFill="1" applyBorder="1" applyAlignment="1"/>
    <xf numFmtId="0" fontId="3" fillId="10" borderId="22" xfId="1" applyFont="1" applyFill="1" applyBorder="1" applyAlignment="1">
      <alignment horizontal="right"/>
    </xf>
    <xf numFmtId="0" fontId="8" fillId="2" borderId="1" xfId="0" applyFont="1" applyFill="1" applyBorder="1"/>
    <xf numFmtId="0" fontId="8" fillId="2" borderId="1" xfId="0" applyFont="1" applyFill="1" applyBorder="1" applyAlignment="1">
      <alignment textRotation="90"/>
    </xf>
    <xf numFmtId="0" fontId="9" fillId="3" borderId="1" xfId="3" applyFont="1" applyFill="1" applyBorder="1" applyAlignment="1">
      <alignment horizont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164" fontId="11" fillId="10" borderId="1" xfId="5" applyNumberFormat="1" applyFont="1" applyFill="1" applyBorder="1"/>
    <xf numFmtId="0" fontId="10" fillId="10" borderId="22" xfId="5" applyFont="1" applyFill="1" applyBorder="1"/>
    <xf numFmtId="0" fontId="10" fillId="10" borderId="22" xfId="5" applyFont="1" applyFill="1" applyBorder="1" applyAlignment="1">
      <alignment horizontal="right"/>
    </xf>
    <xf numFmtId="0" fontId="15" fillId="11" borderId="1" xfId="0" applyFont="1" applyFill="1" applyBorder="1" applyAlignment="1">
      <alignment horizontal="right"/>
    </xf>
    <xf numFmtId="4" fontId="0" fillId="10" borderId="1" xfId="0" applyNumberFormat="1" applyFill="1" applyBorder="1"/>
    <xf numFmtId="164" fontId="4" fillId="10" borderId="22" xfId="1" applyNumberFormat="1" applyFont="1" applyFill="1" applyBorder="1" applyAlignment="1"/>
  </cellXfs>
  <cellStyles count="6">
    <cellStyle name="Normal" xfId="0" builtinId="0"/>
    <cellStyle name="Normal 2" xfId="4" xr:uid="{00000000-0005-0000-0000-000001000000}"/>
    <cellStyle name="Normal 3" xfId="5" xr:uid="{00000000-0005-0000-0000-000002000000}"/>
    <cellStyle name="Normal_Becas 14_9_2005" xfId="2" xr:uid="{00000000-0005-0000-0000-000003000000}"/>
    <cellStyle name="Normal_Ind.2010" xfId="1" xr:uid="{00000000-0005-0000-0000-000004000000}"/>
    <cellStyle name="Normal_PDI por Centro" xfId="3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U46"/>
  <sheetViews>
    <sheetView showGridLines="0" tabSelected="1" zoomScale="120" zoomScaleNormal="120" workbookViewId="0">
      <pane xSplit="1" ySplit="1" topLeftCell="F20" activePane="bottomRight" state="frozen"/>
      <selection pane="topRight" activeCell="B1" sqref="B1"/>
      <selection pane="bottomLeft" activeCell="A2" sqref="A2"/>
      <selection pane="bottomRight" activeCell="S46" sqref="S46"/>
    </sheetView>
  </sheetViews>
  <sheetFormatPr baseColWidth="10" defaultColWidth="10.33203125" defaultRowHeight="10.199999999999999" x14ac:dyDescent="0.2"/>
  <cols>
    <col min="1" max="1" width="5" style="13" customWidth="1"/>
    <col min="2" max="4" width="29.6640625" style="13" customWidth="1"/>
    <col min="5" max="5" width="40.6640625" style="13" customWidth="1"/>
    <col min="6" max="6" width="9.109375" style="13" customWidth="1"/>
    <col min="7" max="7" width="9.6640625" style="13" customWidth="1"/>
    <col min="8" max="8" width="14.44140625" style="13" customWidth="1"/>
    <col min="9" max="9" width="5.88671875" style="13" customWidth="1"/>
    <col min="10" max="10" width="25.6640625" style="13" customWidth="1"/>
    <col min="11" max="12" width="5.109375" style="13" customWidth="1"/>
    <col min="13" max="13" width="4.44140625" style="13" customWidth="1"/>
    <col min="14" max="14" width="4.88671875" style="13" customWidth="1"/>
    <col min="15" max="15" width="4.88671875" style="14" customWidth="1"/>
    <col min="16" max="16" width="4.88671875" style="13" customWidth="1"/>
    <col min="17" max="17" width="3.5546875" style="14" customWidth="1"/>
    <col min="18" max="18" width="3.5546875" style="13" customWidth="1"/>
    <col min="19" max="21" width="5.109375" style="13" customWidth="1"/>
    <col min="22" max="16384" width="10.33203125" style="13"/>
  </cols>
  <sheetData>
    <row r="1" spans="1:21" ht="40.799999999999997" x14ac:dyDescent="0.2">
      <c r="A1" s="8" t="s">
        <v>8</v>
      </c>
      <c r="B1" s="9" t="s">
        <v>9</v>
      </c>
      <c r="C1" s="9" t="s">
        <v>10</v>
      </c>
      <c r="D1" s="9" t="s">
        <v>11</v>
      </c>
      <c r="E1" s="9" t="s">
        <v>12</v>
      </c>
      <c r="F1" s="9" t="s">
        <v>13</v>
      </c>
      <c r="G1" s="9" t="s">
        <v>14</v>
      </c>
      <c r="H1" s="9" t="s">
        <v>15</v>
      </c>
      <c r="I1" s="8" t="s">
        <v>16</v>
      </c>
      <c r="J1" s="9" t="s">
        <v>17</v>
      </c>
      <c r="K1" s="8" t="s">
        <v>18</v>
      </c>
      <c r="L1" s="9" t="s">
        <v>19</v>
      </c>
      <c r="M1" s="10" t="s">
        <v>20</v>
      </c>
      <c r="N1" s="11" t="s">
        <v>21</v>
      </c>
      <c r="O1" s="12" t="s">
        <v>22</v>
      </c>
      <c r="P1" s="11" t="s">
        <v>23</v>
      </c>
      <c r="Q1" s="12" t="s">
        <v>24</v>
      </c>
      <c r="R1" s="11" t="s">
        <v>25</v>
      </c>
      <c r="S1" s="11" t="s">
        <v>26</v>
      </c>
      <c r="T1" s="11" t="s">
        <v>27</v>
      </c>
      <c r="U1" s="11" t="s">
        <v>28</v>
      </c>
    </row>
    <row r="2" spans="1:21" x14ac:dyDescent="0.2">
      <c r="A2" s="22" t="s">
        <v>45</v>
      </c>
      <c r="B2" s="22" t="s">
        <v>46</v>
      </c>
      <c r="C2" s="22" t="s">
        <v>47</v>
      </c>
      <c r="D2" s="22" t="s">
        <v>48</v>
      </c>
      <c r="E2" s="22" t="s">
        <v>49</v>
      </c>
      <c r="F2" s="22" t="s">
        <v>50</v>
      </c>
      <c r="G2" s="22" t="s">
        <v>51</v>
      </c>
      <c r="H2" s="22" t="s">
        <v>32</v>
      </c>
      <c r="I2" s="22" t="s">
        <v>35</v>
      </c>
      <c r="J2" s="22" t="s">
        <v>36</v>
      </c>
      <c r="K2" s="25">
        <v>1</v>
      </c>
      <c r="L2" s="22" t="s">
        <v>37</v>
      </c>
      <c r="M2" s="22">
        <v>2016</v>
      </c>
      <c r="N2" s="22" t="s">
        <v>31</v>
      </c>
      <c r="O2" s="23" t="s">
        <v>31</v>
      </c>
      <c r="P2" s="22" t="s">
        <v>31</v>
      </c>
      <c r="Q2" s="23" t="s">
        <v>31</v>
      </c>
      <c r="R2" s="24">
        <v>100</v>
      </c>
      <c r="S2" s="25">
        <v>1</v>
      </c>
      <c r="T2" s="25">
        <v>0</v>
      </c>
      <c r="U2" s="25">
        <v>0</v>
      </c>
    </row>
    <row r="3" spans="1:21" x14ac:dyDescent="0.2">
      <c r="A3" s="22" t="s">
        <v>45</v>
      </c>
      <c r="B3" s="22" t="s">
        <v>46</v>
      </c>
      <c r="C3" s="22" t="s">
        <v>52</v>
      </c>
      <c r="D3" s="22" t="s">
        <v>53</v>
      </c>
      <c r="E3" s="22" t="s">
        <v>54</v>
      </c>
      <c r="F3" s="22" t="s">
        <v>55</v>
      </c>
      <c r="G3" s="22" t="s">
        <v>40</v>
      </c>
      <c r="H3" s="22" t="s">
        <v>29</v>
      </c>
      <c r="I3" s="22" t="s">
        <v>35</v>
      </c>
      <c r="J3" s="22" t="s">
        <v>36</v>
      </c>
      <c r="K3" s="25">
        <v>0.5</v>
      </c>
      <c r="L3" s="22" t="s">
        <v>37</v>
      </c>
      <c r="M3" s="22">
        <v>2016</v>
      </c>
      <c r="N3" s="22" t="s">
        <v>38</v>
      </c>
      <c r="O3" s="23" t="s">
        <v>33</v>
      </c>
      <c r="P3" s="22" t="s">
        <v>31</v>
      </c>
      <c r="Q3" s="23" t="s">
        <v>31</v>
      </c>
      <c r="R3" s="24">
        <v>90</v>
      </c>
      <c r="S3" s="25">
        <v>0.45</v>
      </c>
      <c r="T3" s="25">
        <v>0.05</v>
      </c>
      <c r="U3" s="25">
        <v>0</v>
      </c>
    </row>
    <row r="4" spans="1:21" x14ac:dyDescent="0.2">
      <c r="A4" s="22" t="s">
        <v>45</v>
      </c>
      <c r="B4" s="22" t="s">
        <v>46</v>
      </c>
      <c r="C4" s="22" t="s">
        <v>52</v>
      </c>
      <c r="D4" s="22" t="s">
        <v>53</v>
      </c>
      <c r="E4" s="22" t="s">
        <v>54</v>
      </c>
      <c r="F4" s="22" t="s">
        <v>55</v>
      </c>
      <c r="G4" s="22" t="s">
        <v>56</v>
      </c>
      <c r="H4" s="22" t="s">
        <v>29</v>
      </c>
      <c r="I4" s="22" t="s">
        <v>35</v>
      </c>
      <c r="J4" s="22" t="s">
        <v>36</v>
      </c>
      <c r="K4" s="25">
        <v>0.5</v>
      </c>
      <c r="L4" s="22" t="s">
        <v>37</v>
      </c>
      <c r="M4" s="22">
        <v>2016</v>
      </c>
      <c r="N4" s="22" t="s">
        <v>31</v>
      </c>
      <c r="O4" s="23" t="s">
        <v>31</v>
      </c>
      <c r="P4" s="22" t="s">
        <v>31</v>
      </c>
      <c r="Q4" s="23" t="s">
        <v>31</v>
      </c>
      <c r="R4" s="24">
        <v>100</v>
      </c>
      <c r="S4" s="25">
        <v>0.5</v>
      </c>
      <c r="T4" s="25">
        <v>0</v>
      </c>
      <c r="U4" s="25">
        <v>0</v>
      </c>
    </row>
    <row r="5" spans="1:21" x14ac:dyDescent="0.2">
      <c r="A5" s="22" t="s">
        <v>41</v>
      </c>
      <c r="B5" s="22" t="s">
        <v>42</v>
      </c>
      <c r="C5" s="22" t="s">
        <v>43</v>
      </c>
      <c r="D5" s="22" t="s">
        <v>62</v>
      </c>
      <c r="E5" s="22" t="s">
        <v>63</v>
      </c>
      <c r="F5" s="22" t="s">
        <v>64</v>
      </c>
      <c r="G5" s="22" t="s">
        <v>60</v>
      </c>
      <c r="H5" s="22" t="s">
        <v>29</v>
      </c>
      <c r="I5" s="22" t="s">
        <v>35</v>
      </c>
      <c r="J5" s="22" t="s">
        <v>36</v>
      </c>
      <c r="K5" s="25">
        <v>0.5</v>
      </c>
      <c r="L5" s="22" t="s">
        <v>37</v>
      </c>
      <c r="M5" s="22">
        <v>2017</v>
      </c>
      <c r="N5" s="22" t="s">
        <v>38</v>
      </c>
      <c r="O5" s="23" t="s">
        <v>30</v>
      </c>
      <c r="P5" s="22" t="s">
        <v>31</v>
      </c>
      <c r="Q5" s="23" t="s">
        <v>31</v>
      </c>
      <c r="R5" s="24">
        <v>50</v>
      </c>
      <c r="S5" s="25">
        <v>0.25</v>
      </c>
      <c r="T5" s="25">
        <v>0.25</v>
      </c>
      <c r="U5" s="25">
        <v>0</v>
      </c>
    </row>
    <row r="6" spans="1:21" x14ac:dyDescent="0.2">
      <c r="A6" s="22" t="s">
        <v>41</v>
      </c>
      <c r="B6" s="22" t="s">
        <v>42</v>
      </c>
      <c r="C6" s="22" t="s">
        <v>43</v>
      </c>
      <c r="D6" s="22" t="s">
        <v>57</v>
      </c>
      <c r="E6" s="22" t="s">
        <v>58</v>
      </c>
      <c r="F6" s="22" t="s">
        <v>59</v>
      </c>
      <c r="G6" s="22" t="s">
        <v>60</v>
      </c>
      <c r="H6" s="22" t="s">
        <v>29</v>
      </c>
      <c r="I6" s="22" t="s">
        <v>35</v>
      </c>
      <c r="J6" s="22" t="s">
        <v>36</v>
      </c>
      <c r="K6" s="25">
        <v>0.5</v>
      </c>
      <c r="L6" s="22" t="s">
        <v>37</v>
      </c>
      <c r="M6" s="22">
        <v>2017</v>
      </c>
      <c r="N6" s="22" t="s">
        <v>38</v>
      </c>
      <c r="O6" s="23" t="s">
        <v>30</v>
      </c>
      <c r="P6" s="22" t="s">
        <v>31</v>
      </c>
      <c r="Q6" s="23" t="s">
        <v>31</v>
      </c>
      <c r="R6" s="24">
        <v>50</v>
      </c>
      <c r="S6" s="25">
        <v>0.25</v>
      </c>
      <c r="T6" s="25">
        <v>0.25</v>
      </c>
      <c r="U6" s="25">
        <v>0</v>
      </c>
    </row>
    <row r="7" spans="1:21" x14ac:dyDescent="0.2">
      <c r="A7" s="22" t="s">
        <v>41</v>
      </c>
      <c r="B7" s="22" t="s">
        <v>42</v>
      </c>
      <c r="C7" s="22" t="s">
        <v>43</v>
      </c>
      <c r="D7" s="22" t="s">
        <v>57</v>
      </c>
      <c r="E7" s="22" t="s">
        <v>58</v>
      </c>
      <c r="F7" s="22" t="s">
        <v>59</v>
      </c>
      <c r="G7" s="22" t="s">
        <v>61</v>
      </c>
      <c r="H7" s="22" t="s">
        <v>29</v>
      </c>
      <c r="I7" s="22" t="s">
        <v>35</v>
      </c>
      <c r="J7" s="22" t="s">
        <v>36</v>
      </c>
      <c r="K7" s="25">
        <v>0.5</v>
      </c>
      <c r="L7" s="22" t="s">
        <v>37</v>
      </c>
      <c r="M7" s="22">
        <v>2017</v>
      </c>
      <c r="N7" s="22" t="s">
        <v>38</v>
      </c>
      <c r="O7" s="23" t="s">
        <v>30</v>
      </c>
      <c r="P7" s="22" t="s">
        <v>31</v>
      </c>
      <c r="Q7" s="23" t="s">
        <v>31</v>
      </c>
      <c r="R7" s="24">
        <v>50</v>
      </c>
      <c r="S7" s="25">
        <v>0.25</v>
      </c>
      <c r="T7" s="25">
        <v>0.25</v>
      </c>
      <c r="U7" s="25">
        <v>0</v>
      </c>
    </row>
    <row r="8" spans="1:21" x14ac:dyDescent="0.2">
      <c r="A8" s="22" t="s">
        <v>41</v>
      </c>
      <c r="B8" s="22" t="s">
        <v>42</v>
      </c>
      <c r="C8" s="22" t="s">
        <v>43</v>
      </c>
      <c r="D8" s="22" t="s">
        <v>65</v>
      </c>
      <c r="E8" s="22" t="s">
        <v>66</v>
      </c>
      <c r="F8" s="22" t="s">
        <v>67</v>
      </c>
      <c r="G8" s="22" t="s">
        <v>68</v>
      </c>
      <c r="H8" s="22" t="s">
        <v>29</v>
      </c>
      <c r="I8" s="22" t="s">
        <v>35</v>
      </c>
      <c r="J8" s="22" t="s">
        <v>36</v>
      </c>
      <c r="K8" s="61">
        <v>0.5</v>
      </c>
      <c r="L8" s="22" t="s">
        <v>37</v>
      </c>
      <c r="M8" s="22">
        <v>2018</v>
      </c>
      <c r="N8" s="22" t="s">
        <v>31</v>
      </c>
      <c r="O8" s="23" t="s">
        <v>31</v>
      </c>
      <c r="P8" s="22" t="s">
        <v>31</v>
      </c>
      <c r="Q8" s="23" t="s">
        <v>31</v>
      </c>
      <c r="R8" s="24">
        <v>100</v>
      </c>
      <c r="S8" s="25">
        <v>0.5</v>
      </c>
      <c r="T8" s="25">
        <v>0</v>
      </c>
      <c r="U8" s="25">
        <v>0</v>
      </c>
    </row>
    <row r="9" spans="1:21" x14ac:dyDescent="0.2">
      <c r="A9" s="22" t="s">
        <v>41</v>
      </c>
      <c r="B9" s="22" t="s">
        <v>42</v>
      </c>
      <c r="C9" s="22" t="s">
        <v>43</v>
      </c>
      <c r="D9" s="22" t="s">
        <v>65</v>
      </c>
      <c r="E9" s="22" t="s">
        <v>66</v>
      </c>
      <c r="F9" s="22" t="s">
        <v>67</v>
      </c>
      <c r="G9" s="22" t="s">
        <v>39</v>
      </c>
      <c r="H9" s="22" t="s">
        <v>29</v>
      </c>
      <c r="I9" s="22" t="s">
        <v>35</v>
      </c>
      <c r="J9" s="22" t="s">
        <v>36</v>
      </c>
      <c r="K9" s="61">
        <v>0.5</v>
      </c>
      <c r="L9" s="22" t="s">
        <v>37</v>
      </c>
      <c r="M9" s="22">
        <v>2018</v>
      </c>
      <c r="N9" s="22" t="s">
        <v>38</v>
      </c>
      <c r="O9" s="23" t="s">
        <v>33</v>
      </c>
      <c r="P9" s="22" t="s">
        <v>31</v>
      </c>
      <c r="Q9" s="23" t="s">
        <v>31</v>
      </c>
      <c r="R9" s="24">
        <v>90</v>
      </c>
      <c r="S9" s="25">
        <v>0.45</v>
      </c>
      <c r="T9" s="25">
        <v>0.05</v>
      </c>
      <c r="U9" s="25">
        <v>0</v>
      </c>
    </row>
    <row r="10" spans="1:21" x14ac:dyDescent="0.2">
      <c r="A10" s="22" t="s">
        <v>41</v>
      </c>
      <c r="B10" s="22" t="s">
        <v>42</v>
      </c>
      <c r="C10" s="22" t="s">
        <v>43</v>
      </c>
      <c r="D10" s="22" t="s">
        <v>72</v>
      </c>
      <c r="E10" s="22" t="s">
        <v>73</v>
      </c>
      <c r="F10" s="22" t="s">
        <v>74</v>
      </c>
      <c r="G10" s="22" t="s">
        <v>60</v>
      </c>
      <c r="H10" s="22" t="s">
        <v>29</v>
      </c>
      <c r="I10" s="22" t="s">
        <v>35</v>
      </c>
      <c r="J10" s="22" t="s">
        <v>36</v>
      </c>
      <c r="K10" s="61">
        <v>0.5</v>
      </c>
      <c r="L10" s="22" t="s">
        <v>37</v>
      </c>
      <c r="M10" s="22">
        <v>2018</v>
      </c>
      <c r="N10" s="22" t="s">
        <v>38</v>
      </c>
      <c r="O10" s="23" t="s">
        <v>30</v>
      </c>
      <c r="P10" s="22" t="s">
        <v>31</v>
      </c>
      <c r="Q10" s="23" t="s">
        <v>31</v>
      </c>
      <c r="R10" s="24">
        <v>50</v>
      </c>
      <c r="S10" s="25">
        <v>0.25</v>
      </c>
      <c r="T10" s="25">
        <v>0.25</v>
      </c>
      <c r="U10" s="25">
        <v>0</v>
      </c>
    </row>
    <row r="11" spans="1:21" x14ac:dyDescent="0.2">
      <c r="A11" s="22" t="s">
        <v>41</v>
      </c>
      <c r="B11" s="22" t="s">
        <v>42</v>
      </c>
      <c r="C11" s="22" t="s">
        <v>43</v>
      </c>
      <c r="D11" s="22" t="s">
        <v>72</v>
      </c>
      <c r="E11" s="22" t="s">
        <v>73</v>
      </c>
      <c r="F11" s="22" t="s">
        <v>74</v>
      </c>
      <c r="G11" s="22" t="s">
        <v>61</v>
      </c>
      <c r="H11" s="22" t="s">
        <v>29</v>
      </c>
      <c r="I11" s="22" t="s">
        <v>35</v>
      </c>
      <c r="J11" s="22" t="s">
        <v>36</v>
      </c>
      <c r="K11" s="61">
        <v>0.5</v>
      </c>
      <c r="L11" s="22" t="s">
        <v>37</v>
      </c>
      <c r="M11" s="22">
        <v>2018</v>
      </c>
      <c r="N11" s="22" t="s">
        <v>38</v>
      </c>
      <c r="O11" s="23" t="s">
        <v>30</v>
      </c>
      <c r="P11" s="22" t="s">
        <v>31</v>
      </c>
      <c r="Q11" s="23" t="s">
        <v>31</v>
      </c>
      <c r="R11" s="24">
        <v>50</v>
      </c>
      <c r="S11" s="25">
        <v>0.25</v>
      </c>
      <c r="T11" s="25">
        <v>0.25</v>
      </c>
      <c r="U11" s="25">
        <v>0</v>
      </c>
    </row>
    <row r="12" spans="1:21" x14ac:dyDescent="0.2">
      <c r="A12" s="22" t="s">
        <v>41</v>
      </c>
      <c r="B12" s="22" t="s">
        <v>42</v>
      </c>
      <c r="C12" s="22" t="s">
        <v>43</v>
      </c>
      <c r="D12" s="22" t="s">
        <v>69</v>
      </c>
      <c r="E12" s="22" t="s">
        <v>70</v>
      </c>
      <c r="F12" s="22" t="s">
        <v>71</v>
      </c>
      <c r="G12" s="22" t="s">
        <v>44</v>
      </c>
      <c r="H12" s="22" t="s">
        <v>29</v>
      </c>
      <c r="I12" s="22" t="s">
        <v>35</v>
      </c>
      <c r="J12" s="22" t="s">
        <v>36</v>
      </c>
      <c r="K12" s="61">
        <v>0.5</v>
      </c>
      <c r="L12" s="22" t="s">
        <v>37</v>
      </c>
      <c r="M12" s="22">
        <v>2018</v>
      </c>
      <c r="N12" s="22" t="s">
        <v>38</v>
      </c>
      <c r="O12" s="23" t="s">
        <v>30</v>
      </c>
      <c r="P12" s="22" t="s">
        <v>31</v>
      </c>
      <c r="Q12" s="23" t="s">
        <v>31</v>
      </c>
      <c r="R12" s="24">
        <v>50</v>
      </c>
      <c r="S12" s="25">
        <v>0.25</v>
      </c>
      <c r="T12" s="25">
        <v>0.25</v>
      </c>
      <c r="U12" s="25">
        <v>0</v>
      </c>
    </row>
    <row r="13" spans="1:21" x14ac:dyDescent="0.2">
      <c r="A13" s="22" t="s">
        <v>41</v>
      </c>
      <c r="B13" s="22" t="s">
        <v>42</v>
      </c>
      <c r="C13" s="22" t="s">
        <v>43</v>
      </c>
      <c r="D13" s="22" t="s">
        <v>69</v>
      </c>
      <c r="E13" s="22" t="s">
        <v>70</v>
      </c>
      <c r="F13" s="22" t="s">
        <v>71</v>
      </c>
      <c r="G13" s="22" t="s">
        <v>60</v>
      </c>
      <c r="H13" s="22" t="s">
        <v>29</v>
      </c>
      <c r="I13" s="22" t="s">
        <v>35</v>
      </c>
      <c r="J13" s="22" t="s">
        <v>36</v>
      </c>
      <c r="K13" s="61">
        <v>0.5</v>
      </c>
      <c r="L13" s="22" t="s">
        <v>37</v>
      </c>
      <c r="M13" s="22">
        <v>2018</v>
      </c>
      <c r="N13" s="22" t="s">
        <v>38</v>
      </c>
      <c r="O13" s="23" t="s">
        <v>30</v>
      </c>
      <c r="P13" s="22" t="s">
        <v>31</v>
      </c>
      <c r="Q13" s="23" t="s">
        <v>31</v>
      </c>
      <c r="R13" s="24">
        <v>50</v>
      </c>
      <c r="S13" s="25">
        <v>0.25</v>
      </c>
      <c r="T13" s="25">
        <v>0.25</v>
      </c>
      <c r="U13" s="25">
        <v>0</v>
      </c>
    </row>
    <row r="14" spans="1:21" x14ac:dyDescent="0.2">
      <c r="A14" s="22" t="s">
        <v>45</v>
      </c>
      <c r="B14" s="22" t="s">
        <v>46</v>
      </c>
      <c r="C14" s="22" t="s">
        <v>52</v>
      </c>
      <c r="D14" s="22" t="s">
        <v>75</v>
      </c>
      <c r="E14" s="22" t="s">
        <v>76</v>
      </c>
      <c r="F14" s="22" t="s">
        <v>77</v>
      </c>
      <c r="G14" s="22" t="s">
        <v>78</v>
      </c>
      <c r="H14" s="22" t="s">
        <v>29</v>
      </c>
      <c r="I14" s="22" t="s">
        <v>35</v>
      </c>
      <c r="J14" s="22" t="s">
        <v>36</v>
      </c>
      <c r="K14" s="61">
        <v>0.5</v>
      </c>
      <c r="L14" s="22" t="s">
        <v>37</v>
      </c>
      <c r="M14" s="22">
        <v>2018</v>
      </c>
      <c r="N14" s="22" t="s">
        <v>38</v>
      </c>
      <c r="O14" s="23" t="s">
        <v>79</v>
      </c>
      <c r="P14" s="22" t="s">
        <v>31</v>
      </c>
      <c r="Q14" s="23" t="s">
        <v>31</v>
      </c>
      <c r="R14" s="24">
        <v>70</v>
      </c>
      <c r="S14" s="25">
        <v>0.35</v>
      </c>
      <c r="T14" s="25">
        <v>0.15</v>
      </c>
      <c r="U14" s="25">
        <v>0</v>
      </c>
    </row>
    <row r="15" spans="1:21" x14ac:dyDescent="0.2">
      <c r="A15" s="26" t="s">
        <v>41</v>
      </c>
      <c r="B15" s="26" t="s">
        <v>42</v>
      </c>
      <c r="C15" s="26" t="s">
        <v>43</v>
      </c>
      <c r="D15" s="26" t="s">
        <v>170</v>
      </c>
      <c r="E15" s="26" t="s">
        <v>169</v>
      </c>
      <c r="F15" s="26" t="s">
        <v>168</v>
      </c>
      <c r="G15" s="26" t="s">
        <v>60</v>
      </c>
      <c r="H15" s="26" t="s">
        <v>29</v>
      </c>
      <c r="I15" s="26" t="s">
        <v>35</v>
      </c>
      <c r="J15" s="26" t="s">
        <v>36</v>
      </c>
      <c r="K15" s="62">
        <v>0.5</v>
      </c>
      <c r="L15" s="26" t="s">
        <v>37</v>
      </c>
      <c r="M15" s="26">
        <v>2019</v>
      </c>
      <c r="N15" s="26" t="s">
        <v>38</v>
      </c>
      <c r="O15" s="27" t="s">
        <v>30</v>
      </c>
      <c r="P15" s="26" t="s">
        <v>31</v>
      </c>
      <c r="Q15" s="27" t="s">
        <v>31</v>
      </c>
      <c r="R15" s="28">
        <v>50</v>
      </c>
      <c r="S15" s="29">
        <v>0.25</v>
      </c>
      <c r="T15" s="29">
        <v>0.25</v>
      </c>
      <c r="U15" s="29">
        <v>0</v>
      </c>
    </row>
    <row r="16" spans="1:21" x14ac:dyDescent="0.2">
      <c r="A16" s="26" t="s">
        <v>41</v>
      </c>
      <c r="B16" s="26" t="s">
        <v>42</v>
      </c>
      <c r="C16" s="26" t="s">
        <v>43</v>
      </c>
      <c r="D16" s="26" t="s">
        <v>170</v>
      </c>
      <c r="E16" s="26" t="s">
        <v>169</v>
      </c>
      <c r="F16" s="26" t="s">
        <v>168</v>
      </c>
      <c r="G16" s="26" t="s">
        <v>61</v>
      </c>
      <c r="H16" s="26" t="s">
        <v>29</v>
      </c>
      <c r="I16" s="26" t="s">
        <v>35</v>
      </c>
      <c r="J16" s="26" t="s">
        <v>36</v>
      </c>
      <c r="K16" s="62">
        <v>0.5</v>
      </c>
      <c r="L16" s="26" t="s">
        <v>37</v>
      </c>
      <c r="M16" s="26">
        <v>2019</v>
      </c>
      <c r="N16" s="26" t="s">
        <v>38</v>
      </c>
      <c r="O16" s="27" t="s">
        <v>30</v>
      </c>
      <c r="P16" s="26" t="s">
        <v>31</v>
      </c>
      <c r="Q16" s="27" t="s">
        <v>31</v>
      </c>
      <c r="R16" s="28">
        <v>50</v>
      </c>
      <c r="S16" s="29">
        <v>0.25</v>
      </c>
      <c r="T16" s="29">
        <v>0.25</v>
      </c>
      <c r="U16" s="29">
        <v>0</v>
      </c>
    </row>
    <row r="17" spans="1:21" x14ac:dyDescent="0.2">
      <c r="A17" s="26" t="s">
        <v>41</v>
      </c>
      <c r="B17" s="26" t="s">
        <v>42</v>
      </c>
      <c r="C17" s="26" t="s">
        <v>43</v>
      </c>
      <c r="D17" s="26" t="s">
        <v>167</v>
      </c>
      <c r="E17" s="26" t="s">
        <v>166</v>
      </c>
      <c r="F17" s="26" t="s">
        <v>165</v>
      </c>
      <c r="G17" s="26" t="s">
        <v>44</v>
      </c>
      <c r="H17" s="26" t="s">
        <v>29</v>
      </c>
      <c r="I17" s="26" t="s">
        <v>35</v>
      </c>
      <c r="J17" s="26" t="s">
        <v>36</v>
      </c>
      <c r="K17" s="62">
        <v>0.5</v>
      </c>
      <c r="L17" s="26" t="s">
        <v>37</v>
      </c>
      <c r="M17" s="26">
        <v>2019</v>
      </c>
      <c r="N17" s="26" t="s">
        <v>38</v>
      </c>
      <c r="O17" s="27" t="s">
        <v>30</v>
      </c>
      <c r="P17" s="26" t="s">
        <v>31</v>
      </c>
      <c r="Q17" s="27" t="s">
        <v>31</v>
      </c>
      <c r="R17" s="28">
        <v>50</v>
      </c>
      <c r="S17" s="29">
        <v>0.25</v>
      </c>
      <c r="T17" s="29">
        <v>0.25</v>
      </c>
      <c r="U17" s="29">
        <v>0</v>
      </c>
    </row>
    <row r="18" spans="1:21" x14ac:dyDescent="0.2">
      <c r="A18" s="26" t="s">
        <v>41</v>
      </c>
      <c r="B18" s="26" t="s">
        <v>42</v>
      </c>
      <c r="C18" s="26" t="s">
        <v>43</v>
      </c>
      <c r="D18" s="26" t="s">
        <v>167</v>
      </c>
      <c r="E18" s="26" t="s">
        <v>166</v>
      </c>
      <c r="F18" s="26" t="s">
        <v>165</v>
      </c>
      <c r="G18" s="26" t="s">
        <v>61</v>
      </c>
      <c r="H18" s="26" t="s">
        <v>29</v>
      </c>
      <c r="I18" s="26" t="s">
        <v>35</v>
      </c>
      <c r="J18" s="26" t="s">
        <v>36</v>
      </c>
      <c r="K18" s="62">
        <v>0.5</v>
      </c>
      <c r="L18" s="26" t="s">
        <v>37</v>
      </c>
      <c r="M18" s="26">
        <v>2019</v>
      </c>
      <c r="N18" s="26" t="s">
        <v>38</v>
      </c>
      <c r="O18" s="27" t="s">
        <v>30</v>
      </c>
      <c r="P18" s="26" t="s">
        <v>31</v>
      </c>
      <c r="Q18" s="27" t="s">
        <v>31</v>
      </c>
      <c r="R18" s="28">
        <v>50</v>
      </c>
      <c r="S18" s="29">
        <v>0.25</v>
      </c>
      <c r="T18" s="29">
        <v>0.25</v>
      </c>
      <c r="U18" s="29">
        <v>0</v>
      </c>
    </row>
    <row r="19" spans="1:21" x14ac:dyDescent="0.2">
      <c r="A19" s="26" t="s">
        <v>41</v>
      </c>
      <c r="B19" s="26" t="s">
        <v>42</v>
      </c>
      <c r="C19" s="26" t="s">
        <v>43</v>
      </c>
      <c r="D19" s="26" t="s">
        <v>161</v>
      </c>
      <c r="E19" s="26" t="s">
        <v>160</v>
      </c>
      <c r="F19" s="26" t="s">
        <v>159</v>
      </c>
      <c r="G19" s="26" t="s">
        <v>39</v>
      </c>
      <c r="H19" s="26" t="s">
        <v>29</v>
      </c>
      <c r="I19" s="26" t="s">
        <v>35</v>
      </c>
      <c r="J19" s="26" t="s">
        <v>36</v>
      </c>
      <c r="K19" s="62">
        <v>0.5</v>
      </c>
      <c r="L19" s="26" t="s">
        <v>37</v>
      </c>
      <c r="M19" s="26">
        <v>2019</v>
      </c>
      <c r="N19" s="26" t="s">
        <v>31</v>
      </c>
      <c r="O19" s="27" t="s">
        <v>31</v>
      </c>
      <c r="P19" s="26" t="s">
        <v>31</v>
      </c>
      <c r="Q19" s="27" t="s">
        <v>31</v>
      </c>
      <c r="R19" s="28">
        <v>100</v>
      </c>
      <c r="S19" s="29">
        <v>0.5</v>
      </c>
      <c r="T19" s="29">
        <v>0</v>
      </c>
      <c r="U19" s="29">
        <v>0</v>
      </c>
    </row>
    <row r="20" spans="1:21" x14ac:dyDescent="0.2">
      <c r="A20" s="26" t="s">
        <v>41</v>
      </c>
      <c r="B20" s="26" t="s">
        <v>42</v>
      </c>
      <c r="C20" s="26" t="s">
        <v>43</v>
      </c>
      <c r="D20" s="26" t="s">
        <v>161</v>
      </c>
      <c r="E20" s="26" t="s">
        <v>160</v>
      </c>
      <c r="F20" s="26" t="s">
        <v>159</v>
      </c>
      <c r="G20" s="26" t="s">
        <v>34</v>
      </c>
      <c r="H20" s="26" t="s">
        <v>29</v>
      </c>
      <c r="I20" s="26" t="s">
        <v>35</v>
      </c>
      <c r="J20" s="26" t="s">
        <v>36</v>
      </c>
      <c r="K20" s="62">
        <v>0.5</v>
      </c>
      <c r="L20" s="26" t="s">
        <v>37</v>
      </c>
      <c r="M20" s="26">
        <v>2019</v>
      </c>
      <c r="N20" s="26" t="s">
        <v>38</v>
      </c>
      <c r="O20" s="27" t="s">
        <v>33</v>
      </c>
      <c r="P20" s="26" t="s">
        <v>31</v>
      </c>
      <c r="Q20" s="27" t="s">
        <v>31</v>
      </c>
      <c r="R20" s="28">
        <v>90</v>
      </c>
      <c r="S20" s="29">
        <v>0.45</v>
      </c>
      <c r="T20" s="29">
        <v>0.05</v>
      </c>
      <c r="U20" s="29">
        <v>0</v>
      </c>
    </row>
    <row r="21" spans="1:21" x14ac:dyDescent="0.2">
      <c r="A21" s="26" t="s">
        <v>41</v>
      </c>
      <c r="B21" s="26" t="s">
        <v>42</v>
      </c>
      <c r="C21" s="26" t="s">
        <v>43</v>
      </c>
      <c r="D21" s="26" t="s">
        <v>164</v>
      </c>
      <c r="E21" s="26" t="s">
        <v>163</v>
      </c>
      <c r="F21" s="26" t="s">
        <v>162</v>
      </c>
      <c r="G21" s="26" t="s">
        <v>39</v>
      </c>
      <c r="H21" s="26" t="s">
        <v>29</v>
      </c>
      <c r="I21" s="26" t="s">
        <v>35</v>
      </c>
      <c r="J21" s="26" t="s">
        <v>36</v>
      </c>
      <c r="K21" s="62">
        <v>0.5</v>
      </c>
      <c r="L21" s="26" t="s">
        <v>37</v>
      </c>
      <c r="M21" s="26">
        <v>2019</v>
      </c>
      <c r="N21" s="26" t="s">
        <v>31</v>
      </c>
      <c r="O21" s="27" t="s">
        <v>31</v>
      </c>
      <c r="P21" s="26" t="s">
        <v>31</v>
      </c>
      <c r="Q21" s="27" t="s">
        <v>31</v>
      </c>
      <c r="R21" s="28">
        <v>100</v>
      </c>
      <c r="S21" s="29">
        <v>0.5</v>
      </c>
      <c r="T21" s="29">
        <v>0</v>
      </c>
      <c r="U21" s="29">
        <v>0</v>
      </c>
    </row>
    <row r="22" spans="1:21" x14ac:dyDescent="0.2">
      <c r="A22" s="26" t="s">
        <v>41</v>
      </c>
      <c r="B22" s="26" t="s">
        <v>42</v>
      </c>
      <c r="C22" s="26" t="s">
        <v>43</v>
      </c>
      <c r="D22" s="26" t="s">
        <v>164</v>
      </c>
      <c r="E22" s="26" t="s">
        <v>163</v>
      </c>
      <c r="F22" s="26" t="s">
        <v>162</v>
      </c>
      <c r="G22" s="26" t="s">
        <v>34</v>
      </c>
      <c r="H22" s="26" t="s">
        <v>29</v>
      </c>
      <c r="I22" s="26" t="s">
        <v>35</v>
      </c>
      <c r="J22" s="26" t="s">
        <v>36</v>
      </c>
      <c r="K22" s="62">
        <v>0.5</v>
      </c>
      <c r="L22" s="26" t="s">
        <v>37</v>
      </c>
      <c r="M22" s="26">
        <v>2019</v>
      </c>
      <c r="N22" s="26" t="s">
        <v>38</v>
      </c>
      <c r="O22" s="27" t="s">
        <v>33</v>
      </c>
      <c r="P22" s="26" t="s">
        <v>31</v>
      </c>
      <c r="Q22" s="27" t="s">
        <v>31</v>
      </c>
      <c r="R22" s="28">
        <v>90</v>
      </c>
      <c r="S22" s="29">
        <v>0.45</v>
      </c>
      <c r="T22" s="29">
        <v>0.05</v>
      </c>
      <c r="U22" s="29">
        <v>0</v>
      </c>
    </row>
    <row r="23" spans="1:21" x14ac:dyDescent="0.2">
      <c r="A23" s="22" t="s">
        <v>41</v>
      </c>
      <c r="B23" s="22" t="s">
        <v>42</v>
      </c>
      <c r="C23" s="22" t="s">
        <v>43</v>
      </c>
      <c r="D23" s="22" t="s">
        <v>174</v>
      </c>
      <c r="E23" s="22" t="s">
        <v>175</v>
      </c>
      <c r="F23" s="22" t="s">
        <v>176</v>
      </c>
      <c r="G23" s="22" t="s">
        <v>39</v>
      </c>
      <c r="H23" s="22" t="s">
        <v>29</v>
      </c>
      <c r="I23" s="22" t="s">
        <v>35</v>
      </c>
      <c r="J23" s="22" t="s">
        <v>36</v>
      </c>
      <c r="K23" s="30">
        <v>0.5</v>
      </c>
      <c r="L23" s="30" t="s">
        <v>37</v>
      </c>
      <c r="M23" s="31">
        <v>2019</v>
      </c>
      <c r="N23" s="22" t="s">
        <v>31</v>
      </c>
      <c r="O23" s="23" t="s">
        <v>31</v>
      </c>
      <c r="P23" s="22" t="s">
        <v>31</v>
      </c>
      <c r="Q23" s="23" t="s">
        <v>31</v>
      </c>
      <c r="R23" s="22">
        <v>100</v>
      </c>
      <c r="S23" s="22">
        <v>0.5</v>
      </c>
      <c r="T23" s="22">
        <v>0</v>
      </c>
      <c r="U23" s="22">
        <v>0</v>
      </c>
    </row>
    <row r="24" spans="1:21" x14ac:dyDescent="0.2">
      <c r="A24" s="22" t="s">
        <v>41</v>
      </c>
      <c r="B24" s="22" t="s">
        <v>42</v>
      </c>
      <c r="C24" s="22" t="s">
        <v>43</v>
      </c>
      <c r="D24" s="22" t="s">
        <v>174</v>
      </c>
      <c r="E24" s="22" t="s">
        <v>175</v>
      </c>
      <c r="F24" s="22" t="s">
        <v>176</v>
      </c>
      <c r="G24" s="22" t="s">
        <v>34</v>
      </c>
      <c r="H24" s="22" t="s">
        <v>29</v>
      </c>
      <c r="I24" s="22" t="s">
        <v>35</v>
      </c>
      <c r="J24" s="22" t="s">
        <v>36</v>
      </c>
      <c r="K24" s="30">
        <v>0.5</v>
      </c>
      <c r="L24" s="30" t="s">
        <v>37</v>
      </c>
      <c r="M24" s="31">
        <v>2019</v>
      </c>
      <c r="N24" s="22" t="s">
        <v>38</v>
      </c>
      <c r="O24" s="23" t="s">
        <v>33</v>
      </c>
      <c r="P24" s="22" t="s">
        <v>31</v>
      </c>
      <c r="Q24" s="23" t="s">
        <v>31</v>
      </c>
      <c r="R24" s="22">
        <v>90</v>
      </c>
      <c r="S24" s="22">
        <v>0.45</v>
      </c>
      <c r="T24" s="22">
        <v>0.05</v>
      </c>
      <c r="U24" s="22">
        <v>0</v>
      </c>
    </row>
    <row r="25" spans="1:21" ht="10.8" thickBot="1" x14ac:dyDescent="0.25">
      <c r="A25" s="22" t="s">
        <v>177</v>
      </c>
      <c r="B25" s="22" t="s">
        <v>178</v>
      </c>
      <c r="C25" s="22" t="s">
        <v>43</v>
      </c>
      <c r="D25" s="22" t="s">
        <v>179</v>
      </c>
      <c r="E25" s="22" t="s">
        <v>180</v>
      </c>
      <c r="F25" s="22" t="s">
        <v>181</v>
      </c>
      <c r="G25" s="22" t="s">
        <v>182</v>
      </c>
      <c r="H25" s="22" t="s">
        <v>32</v>
      </c>
      <c r="I25" s="22" t="s">
        <v>35</v>
      </c>
      <c r="J25" s="22" t="s">
        <v>36</v>
      </c>
      <c r="K25" s="30">
        <v>1</v>
      </c>
      <c r="L25" s="30" t="s">
        <v>37</v>
      </c>
      <c r="M25" s="22">
        <v>2019</v>
      </c>
      <c r="N25" s="22" t="s">
        <v>38</v>
      </c>
      <c r="O25" s="23" t="s">
        <v>33</v>
      </c>
      <c r="P25" s="22" t="s">
        <v>31</v>
      </c>
      <c r="Q25" s="23" t="s">
        <v>31</v>
      </c>
      <c r="R25" s="22">
        <v>90</v>
      </c>
      <c r="S25" s="22">
        <v>0.9</v>
      </c>
      <c r="T25" s="22">
        <v>0.1</v>
      </c>
      <c r="U25" s="22">
        <v>0</v>
      </c>
    </row>
    <row r="26" spans="1:21" ht="10.8" thickBot="1" x14ac:dyDescent="0.25">
      <c r="A26" s="32" t="s">
        <v>41</v>
      </c>
      <c r="B26" s="32" t="s">
        <v>42</v>
      </c>
      <c r="C26" s="32" t="s">
        <v>43</v>
      </c>
      <c r="D26" s="32" t="s">
        <v>249</v>
      </c>
      <c r="E26" s="32" t="s">
        <v>183</v>
      </c>
      <c r="F26" s="32" t="s">
        <v>184</v>
      </c>
      <c r="G26" s="33" t="s">
        <v>185</v>
      </c>
      <c r="H26" s="34" t="s">
        <v>29</v>
      </c>
      <c r="I26" s="34" t="s">
        <v>35</v>
      </c>
      <c r="J26" s="35" t="s">
        <v>36</v>
      </c>
      <c r="K26" s="30">
        <v>0.5</v>
      </c>
      <c r="L26" s="30" t="s">
        <v>37</v>
      </c>
      <c r="M26" s="22">
        <v>2020</v>
      </c>
      <c r="N26" s="22" t="s">
        <v>38</v>
      </c>
      <c r="O26" s="23" t="s">
        <v>33</v>
      </c>
      <c r="P26" s="22" t="s">
        <v>31</v>
      </c>
      <c r="Q26" s="23" t="s">
        <v>31</v>
      </c>
      <c r="R26" s="22">
        <v>90</v>
      </c>
      <c r="S26" s="22">
        <v>0.45</v>
      </c>
      <c r="T26" s="22">
        <v>0.05</v>
      </c>
      <c r="U26" s="22">
        <v>0</v>
      </c>
    </row>
    <row r="27" spans="1:21" ht="10.8" thickBot="1" x14ac:dyDescent="0.25">
      <c r="A27" s="32" t="s">
        <v>41</v>
      </c>
      <c r="B27" s="32" t="s">
        <v>42</v>
      </c>
      <c r="C27" s="32" t="s">
        <v>43</v>
      </c>
      <c r="D27" s="32" t="s">
        <v>249</v>
      </c>
      <c r="E27" s="32" t="s">
        <v>183</v>
      </c>
      <c r="F27" s="32" t="s">
        <v>184</v>
      </c>
      <c r="G27" s="33" t="s">
        <v>34</v>
      </c>
      <c r="H27" s="34" t="s">
        <v>29</v>
      </c>
      <c r="I27" s="34" t="s">
        <v>35</v>
      </c>
      <c r="J27" s="35" t="s">
        <v>36</v>
      </c>
      <c r="K27" s="30">
        <v>0.5</v>
      </c>
      <c r="L27" s="30" t="s">
        <v>37</v>
      </c>
      <c r="M27" s="22">
        <v>2020</v>
      </c>
      <c r="N27" s="22" t="s">
        <v>38</v>
      </c>
      <c r="O27" s="23" t="s">
        <v>33</v>
      </c>
      <c r="P27" s="22" t="s">
        <v>31</v>
      </c>
      <c r="Q27" s="23" t="s">
        <v>31</v>
      </c>
      <c r="R27" s="22">
        <v>90</v>
      </c>
      <c r="S27" s="22">
        <v>0.45</v>
      </c>
      <c r="T27" s="22">
        <v>0.05</v>
      </c>
      <c r="U27" s="22">
        <v>0</v>
      </c>
    </row>
    <row r="28" spans="1:21" ht="10.8" thickBot="1" x14ac:dyDescent="0.25">
      <c r="A28" s="32" t="s">
        <v>41</v>
      </c>
      <c r="B28" s="32" t="s">
        <v>42</v>
      </c>
      <c r="C28" s="32" t="s">
        <v>43</v>
      </c>
      <c r="D28" s="32" t="s">
        <v>186</v>
      </c>
      <c r="E28" s="32" t="s">
        <v>187</v>
      </c>
      <c r="F28" s="32" t="s">
        <v>188</v>
      </c>
      <c r="G28" s="33" t="s">
        <v>189</v>
      </c>
      <c r="H28" s="34" t="s">
        <v>29</v>
      </c>
      <c r="I28" s="34" t="s">
        <v>35</v>
      </c>
      <c r="J28" s="35" t="s">
        <v>36</v>
      </c>
      <c r="K28" s="30">
        <v>0.5</v>
      </c>
      <c r="L28" s="30" t="s">
        <v>37</v>
      </c>
      <c r="M28" s="22">
        <v>2020</v>
      </c>
      <c r="N28" s="22" t="s">
        <v>38</v>
      </c>
      <c r="O28" s="23" t="s">
        <v>33</v>
      </c>
      <c r="P28" s="22" t="s">
        <v>31</v>
      </c>
      <c r="Q28" s="23" t="s">
        <v>31</v>
      </c>
      <c r="R28" s="22">
        <v>90</v>
      </c>
      <c r="S28" s="22">
        <v>0.45</v>
      </c>
      <c r="T28" s="22">
        <v>0.05</v>
      </c>
      <c r="U28" s="22">
        <v>0</v>
      </c>
    </row>
    <row r="29" spans="1:21" ht="10.8" thickBot="1" x14ac:dyDescent="0.25">
      <c r="A29" s="32" t="s">
        <v>41</v>
      </c>
      <c r="B29" s="32" t="s">
        <v>42</v>
      </c>
      <c r="C29" s="32" t="s">
        <v>43</v>
      </c>
      <c r="D29" s="32" t="s">
        <v>186</v>
      </c>
      <c r="E29" s="32" t="s">
        <v>187</v>
      </c>
      <c r="F29" s="32" t="s">
        <v>188</v>
      </c>
      <c r="G29" s="33" t="s">
        <v>34</v>
      </c>
      <c r="H29" s="34" t="s">
        <v>29</v>
      </c>
      <c r="I29" s="34" t="s">
        <v>35</v>
      </c>
      <c r="J29" s="35" t="s">
        <v>36</v>
      </c>
      <c r="K29" s="30">
        <v>0.5</v>
      </c>
      <c r="L29" s="30" t="s">
        <v>37</v>
      </c>
      <c r="M29" s="22">
        <v>2020</v>
      </c>
      <c r="N29" s="22" t="s">
        <v>38</v>
      </c>
      <c r="O29" s="23" t="s">
        <v>33</v>
      </c>
      <c r="P29" s="22" t="s">
        <v>31</v>
      </c>
      <c r="Q29" s="23" t="s">
        <v>31</v>
      </c>
      <c r="R29" s="22">
        <v>90</v>
      </c>
      <c r="S29" s="22">
        <v>0.45</v>
      </c>
      <c r="T29" s="22">
        <v>0.05</v>
      </c>
      <c r="U29" s="22">
        <v>0</v>
      </c>
    </row>
    <row r="30" spans="1:21" ht="10.8" thickBot="1" x14ac:dyDescent="0.25">
      <c r="A30" s="32" t="s">
        <v>41</v>
      </c>
      <c r="B30" s="32" t="s">
        <v>42</v>
      </c>
      <c r="C30" s="32" t="s">
        <v>43</v>
      </c>
      <c r="D30" s="32" t="s">
        <v>190</v>
      </c>
      <c r="E30" s="32" t="s">
        <v>191</v>
      </c>
      <c r="F30" s="32" t="s">
        <v>192</v>
      </c>
      <c r="G30" s="33" t="s">
        <v>51</v>
      </c>
      <c r="H30" s="34" t="s">
        <v>32</v>
      </c>
      <c r="I30" s="34" t="s">
        <v>35</v>
      </c>
      <c r="J30" s="35" t="s">
        <v>36</v>
      </c>
      <c r="K30" s="30">
        <v>1</v>
      </c>
      <c r="L30" s="30" t="s">
        <v>37</v>
      </c>
      <c r="M30" s="22">
        <v>2020</v>
      </c>
      <c r="N30" s="22" t="s">
        <v>38</v>
      </c>
      <c r="O30" s="23" t="s">
        <v>33</v>
      </c>
      <c r="P30" s="22" t="s">
        <v>31</v>
      </c>
      <c r="Q30" s="23" t="s">
        <v>31</v>
      </c>
      <c r="R30" s="22">
        <v>90</v>
      </c>
      <c r="S30" s="22">
        <v>0.9</v>
      </c>
      <c r="T30" s="22">
        <v>0.1</v>
      </c>
      <c r="U30" s="22">
        <v>0</v>
      </c>
    </row>
    <row r="31" spans="1:21" ht="10.8" thickBot="1" x14ac:dyDescent="0.25">
      <c r="A31" s="32" t="s">
        <v>45</v>
      </c>
      <c r="B31" s="32" t="s">
        <v>46</v>
      </c>
      <c r="C31" s="32" t="s">
        <v>52</v>
      </c>
      <c r="D31" s="32" t="s">
        <v>193</v>
      </c>
      <c r="E31" s="32" t="s">
        <v>194</v>
      </c>
      <c r="F31" s="32" t="s">
        <v>195</v>
      </c>
      <c r="G31" s="33" t="s">
        <v>182</v>
      </c>
      <c r="H31" s="34" t="s">
        <v>29</v>
      </c>
      <c r="I31" s="34" t="s">
        <v>35</v>
      </c>
      <c r="J31" s="35" t="s">
        <v>36</v>
      </c>
      <c r="K31" s="30">
        <v>0.5</v>
      </c>
      <c r="L31" s="30" t="s">
        <v>37</v>
      </c>
      <c r="M31" s="22">
        <v>2020</v>
      </c>
      <c r="N31" s="22" t="s">
        <v>38</v>
      </c>
      <c r="O31" s="23" t="s">
        <v>33</v>
      </c>
      <c r="P31" s="22" t="s">
        <v>31</v>
      </c>
      <c r="Q31" s="23" t="s">
        <v>31</v>
      </c>
      <c r="R31" s="22">
        <v>90</v>
      </c>
      <c r="S31" s="22">
        <v>0.45</v>
      </c>
      <c r="T31" s="22">
        <v>0.05</v>
      </c>
      <c r="U31" s="22">
        <v>0</v>
      </c>
    </row>
    <row r="32" spans="1:21" x14ac:dyDescent="0.2">
      <c r="A32" s="22" t="s">
        <v>41</v>
      </c>
      <c r="B32" s="22" t="s">
        <v>42</v>
      </c>
      <c r="C32" s="22" t="s">
        <v>43</v>
      </c>
      <c r="D32" s="22" t="s">
        <v>250</v>
      </c>
      <c r="E32" s="22" t="s">
        <v>251</v>
      </c>
      <c r="F32" s="22" t="s">
        <v>252</v>
      </c>
      <c r="G32" s="22" t="s">
        <v>185</v>
      </c>
      <c r="H32" s="22" t="s">
        <v>29</v>
      </c>
      <c r="I32" s="22" t="s">
        <v>35</v>
      </c>
      <c r="J32" s="22" t="s">
        <v>36</v>
      </c>
      <c r="K32" s="30">
        <v>0.5</v>
      </c>
      <c r="L32" s="30" t="s">
        <v>37</v>
      </c>
      <c r="M32" s="22">
        <v>2021</v>
      </c>
      <c r="N32" s="22" t="s">
        <v>38</v>
      </c>
      <c r="O32" s="23" t="s">
        <v>33</v>
      </c>
      <c r="P32" s="22" t="s">
        <v>31</v>
      </c>
      <c r="Q32" s="23" t="s">
        <v>31</v>
      </c>
      <c r="R32" s="22">
        <v>90</v>
      </c>
      <c r="S32" s="22">
        <v>0.45</v>
      </c>
      <c r="T32" s="22">
        <v>0.05</v>
      </c>
      <c r="U32" s="22">
        <v>0</v>
      </c>
    </row>
    <row r="33" spans="1:21" x14ac:dyDescent="0.2">
      <c r="A33" s="22" t="s">
        <v>41</v>
      </c>
      <c r="B33" s="22" t="s">
        <v>42</v>
      </c>
      <c r="C33" s="22" t="s">
        <v>43</v>
      </c>
      <c r="D33" s="22" t="s">
        <v>250</v>
      </c>
      <c r="E33" s="22" t="s">
        <v>251</v>
      </c>
      <c r="F33" s="22" t="s">
        <v>252</v>
      </c>
      <c r="G33" s="22" t="s">
        <v>34</v>
      </c>
      <c r="H33" s="22" t="s">
        <v>29</v>
      </c>
      <c r="I33" s="22" t="s">
        <v>35</v>
      </c>
      <c r="J33" s="22" t="s">
        <v>36</v>
      </c>
      <c r="K33" s="30">
        <v>0.5</v>
      </c>
      <c r="L33" s="30" t="s">
        <v>37</v>
      </c>
      <c r="M33" s="22">
        <v>2021</v>
      </c>
      <c r="N33" s="22" t="s">
        <v>38</v>
      </c>
      <c r="O33" s="23" t="s">
        <v>33</v>
      </c>
      <c r="P33" s="22" t="s">
        <v>31</v>
      </c>
      <c r="Q33" s="23" t="s">
        <v>31</v>
      </c>
      <c r="R33" s="22">
        <v>90</v>
      </c>
      <c r="S33" s="22">
        <v>0.45</v>
      </c>
      <c r="T33" s="22">
        <v>0.05</v>
      </c>
      <c r="U33" s="22">
        <v>0</v>
      </c>
    </row>
    <row r="34" spans="1:21" x14ac:dyDescent="0.2">
      <c r="A34" s="22" t="s">
        <v>41</v>
      </c>
      <c r="B34" s="22" t="s">
        <v>42</v>
      </c>
      <c r="C34" s="22" t="s">
        <v>43</v>
      </c>
      <c r="D34" s="22" t="s">
        <v>253</v>
      </c>
      <c r="E34" s="22" t="s">
        <v>254</v>
      </c>
      <c r="F34" s="22" t="s">
        <v>255</v>
      </c>
      <c r="G34" s="22" t="s">
        <v>68</v>
      </c>
      <c r="H34" s="22" t="s">
        <v>29</v>
      </c>
      <c r="I34" s="22" t="s">
        <v>35</v>
      </c>
      <c r="J34" s="22" t="s">
        <v>36</v>
      </c>
      <c r="K34" s="30">
        <v>0.5</v>
      </c>
      <c r="L34" s="30" t="s">
        <v>37</v>
      </c>
      <c r="M34" s="22">
        <v>2021</v>
      </c>
      <c r="N34" s="22" t="s">
        <v>38</v>
      </c>
      <c r="O34" s="23" t="s">
        <v>33</v>
      </c>
      <c r="P34" s="22" t="s">
        <v>31</v>
      </c>
      <c r="Q34" s="23" t="s">
        <v>31</v>
      </c>
      <c r="R34" s="22">
        <v>90</v>
      </c>
      <c r="S34" s="22">
        <v>0.45</v>
      </c>
      <c r="T34" s="22">
        <v>0.05</v>
      </c>
      <c r="U34" s="22">
        <v>0</v>
      </c>
    </row>
    <row r="35" spans="1:21" x14ac:dyDescent="0.2">
      <c r="A35" s="22" t="s">
        <v>41</v>
      </c>
      <c r="B35" s="22" t="s">
        <v>42</v>
      </c>
      <c r="C35" s="22" t="s">
        <v>43</v>
      </c>
      <c r="D35" s="22" t="s">
        <v>253</v>
      </c>
      <c r="E35" s="22" t="s">
        <v>254</v>
      </c>
      <c r="F35" s="22" t="s">
        <v>255</v>
      </c>
      <c r="G35" s="22" t="s">
        <v>34</v>
      </c>
      <c r="H35" s="22" t="s">
        <v>29</v>
      </c>
      <c r="I35" s="22" t="s">
        <v>35</v>
      </c>
      <c r="J35" s="22" t="s">
        <v>36</v>
      </c>
      <c r="K35" s="30">
        <v>0.5</v>
      </c>
      <c r="L35" s="30" t="s">
        <v>37</v>
      </c>
      <c r="M35" s="22">
        <v>2021</v>
      </c>
      <c r="N35" s="22" t="s">
        <v>38</v>
      </c>
      <c r="O35" s="23" t="s">
        <v>33</v>
      </c>
      <c r="P35" s="22" t="s">
        <v>31</v>
      </c>
      <c r="Q35" s="23" t="s">
        <v>31</v>
      </c>
      <c r="R35" s="22">
        <v>90</v>
      </c>
      <c r="S35" s="22">
        <v>0.45</v>
      </c>
      <c r="T35" s="22">
        <v>0.05</v>
      </c>
      <c r="U35" s="22">
        <v>0</v>
      </c>
    </row>
    <row r="36" spans="1:21" x14ac:dyDescent="0.2">
      <c r="A36" s="22" t="s">
        <v>41</v>
      </c>
      <c r="B36" s="22" t="s">
        <v>42</v>
      </c>
      <c r="C36" s="22" t="s">
        <v>43</v>
      </c>
      <c r="D36" s="22" t="s">
        <v>256</v>
      </c>
      <c r="E36" s="22" t="s">
        <v>254</v>
      </c>
      <c r="F36" s="22" t="s">
        <v>257</v>
      </c>
      <c r="G36" s="22" t="s">
        <v>44</v>
      </c>
      <c r="H36" s="22" t="s">
        <v>29</v>
      </c>
      <c r="I36" s="22" t="s">
        <v>35</v>
      </c>
      <c r="J36" s="22" t="s">
        <v>36</v>
      </c>
      <c r="K36" s="30">
        <v>0.5</v>
      </c>
      <c r="L36" s="30" t="s">
        <v>37</v>
      </c>
      <c r="M36" s="22">
        <v>2021</v>
      </c>
      <c r="N36" s="22" t="s">
        <v>38</v>
      </c>
      <c r="O36" s="23" t="s">
        <v>30</v>
      </c>
      <c r="P36" s="22" t="s">
        <v>31</v>
      </c>
      <c r="Q36" s="23" t="s">
        <v>31</v>
      </c>
      <c r="R36" s="22">
        <v>50</v>
      </c>
      <c r="S36" s="22">
        <v>0.25</v>
      </c>
      <c r="T36" s="22">
        <v>0.25</v>
      </c>
      <c r="U36" s="22">
        <v>0</v>
      </c>
    </row>
    <row r="37" spans="1:21" x14ac:dyDescent="0.2">
      <c r="A37" s="22" t="s">
        <v>41</v>
      </c>
      <c r="B37" s="22" t="s">
        <v>42</v>
      </c>
      <c r="C37" s="22" t="s">
        <v>43</v>
      </c>
      <c r="D37" s="22" t="s">
        <v>256</v>
      </c>
      <c r="E37" s="22" t="s">
        <v>254</v>
      </c>
      <c r="F37" s="22" t="s">
        <v>257</v>
      </c>
      <c r="G37" s="22" t="s">
        <v>60</v>
      </c>
      <c r="H37" s="22" t="s">
        <v>29</v>
      </c>
      <c r="I37" s="22" t="s">
        <v>35</v>
      </c>
      <c r="J37" s="22" t="s">
        <v>36</v>
      </c>
      <c r="K37" s="30">
        <v>0.5</v>
      </c>
      <c r="L37" s="30" t="s">
        <v>37</v>
      </c>
      <c r="M37" s="22">
        <v>2021</v>
      </c>
      <c r="N37" s="22" t="s">
        <v>38</v>
      </c>
      <c r="O37" s="23" t="s">
        <v>30</v>
      </c>
      <c r="P37" s="22" t="s">
        <v>31</v>
      </c>
      <c r="Q37" s="23" t="s">
        <v>31</v>
      </c>
      <c r="R37" s="22">
        <v>50</v>
      </c>
      <c r="S37" s="22">
        <v>0.25</v>
      </c>
      <c r="T37" s="22">
        <v>0.25</v>
      </c>
      <c r="U37" s="22">
        <v>0</v>
      </c>
    </row>
    <row r="38" spans="1:21" x14ac:dyDescent="0.2">
      <c r="A38" s="22" t="s">
        <v>41</v>
      </c>
      <c r="B38" s="22" t="s">
        <v>42</v>
      </c>
      <c r="C38" s="22" t="s">
        <v>43</v>
      </c>
      <c r="D38" s="22" t="s">
        <v>258</v>
      </c>
      <c r="E38" s="22" t="s">
        <v>259</v>
      </c>
      <c r="F38" s="22" t="s">
        <v>260</v>
      </c>
      <c r="G38" s="22" t="s">
        <v>182</v>
      </c>
      <c r="H38" s="22" t="s">
        <v>29</v>
      </c>
      <c r="I38" s="22" t="s">
        <v>35</v>
      </c>
      <c r="J38" s="22" t="s">
        <v>36</v>
      </c>
      <c r="K38" s="30">
        <v>0.5</v>
      </c>
      <c r="L38" s="30" t="s">
        <v>37</v>
      </c>
      <c r="M38" s="22">
        <v>2021</v>
      </c>
      <c r="N38" s="22" t="s">
        <v>38</v>
      </c>
      <c r="O38" s="23" t="s">
        <v>33</v>
      </c>
      <c r="P38" s="22" t="s">
        <v>31</v>
      </c>
      <c r="Q38" s="23" t="s">
        <v>31</v>
      </c>
      <c r="R38" s="22">
        <v>90</v>
      </c>
      <c r="S38" s="22">
        <v>0.45</v>
      </c>
      <c r="T38" s="22">
        <v>0.05</v>
      </c>
      <c r="U38" s="22">
        <v>0</v>
      </c>
    </row>
    <row r="39" spans="1:21" x14ac:dyDescent="0.2">
      <c r="A39" s="22" t="s">
        <v>41</v>
      </c>
      <c r="B39" s="22" t="s">
        <v>42</v>
      </c>
      <c r="C39" s="22" t="s">
        <v>43</v>
      </c>
      <c r="D39" s="22" t="s">
        <v>258</v>
      </c>
      <c r="E39" s="22" t="s">
        <v>259</v>
      </c>
      <c r="F39" s="22" t="s">
        <v>260</v>
      </c>
      <c r="G39" s="22" t="s">
        <v>185</v>
      </c>
      <c r="H39" s="22" t="s">
        <v>29</v>
      </c>
      <c r="I39" s="22" t="s">
        <v>35</v>
      </c>
      <c r="J39" s="22" t="s">
        <v>36</v>
      </c>
      <c r="K39" s="30">
        <v>0.5</v>
      </c>
      <c r="L39" s="30" t="s">
        <v>37</v>
      </c>
      <c r="M39" s="22">
        <v>2021</v>
      </c>
      <c r="N39" s="22" t="s">
        <v>38</v>
      </c>
      <c r="O39" s="23" t="s">
        <v>33</v>
      </c>
      <c r="P39" s="22" t="s">
        <v>31</v>
      </c>
      <c r="Q39" s="23" t="s">
        <v>31</v>
      </c>
      <c r="R39" s="22">
        <v>90</v>
      </c>
      <c r="S39" s="22">
        <v>0.45</v>
      </c>
      <c r="T39" s="22">
        <v>0.05</v>
      </c>
      <c r="U39" s="22">
        <v>0</v>
      </c>
    </row>
    <row r="40" spans="1:21" x14ac:dyDescent="0.2">
      <c r="A40" s="22" t="s">
        <v>41</v>
      </c>
      <c r="B40" s="22" t="s">
        <v>42</v>
      </c>
      <c r="C40" s="22" t="s">
        <v>43</v>
      </c>
      <c r="D40" s="22" t="s">
        <v>261</v>
      </c>
      <c r="E40" s="22" t="s">
        <v>262</v>
      </c>
      <c r="F40" s="22" t="s">
        <v>260</v>
      </c>
      <c r="G40" s="22" t="s">
        <v>60</v>
      </c>
      <c r="H40" s="22" t="s">
        <v>29</v>
      </c>
      <c r="I40" s="22" t="s">
        <v>35</v>
      </c>
      <c r="J40" s="22" t="s">
        <v>36</v>
      </c>
      <c r="K40" s="30">
        <v>0.5</v>
      </c>
      <c r="L40" s="30" t="s">
        <v>37</v>
      </c>
      <c r="M40" s="22">
        <v>2021</v>
      </c>
      <c r="N40" s="22" t="s">
        <v>38</v>
      </c>
      <c r="O40" s="23" t="s">
        <v>30</v>
      </c>
      <c r="P40" s="22" t="s">
        <v>31</v>
      </c>
      <c r="Q40" s="23" t="s">
        <v>31</v>
      </c>
      <c r="R40" s="22">
        <v>50</v>
      </c>
      <c r="S40" s="22">
        <v>0.25</v>
      </c>
      <c r="T40" s="22">
        <v>0.25</v>
      </c>
      <c r="U40" s="22">
        <v>0</v>
      </c>
    </row>
    <row r="41" spans="1:21" x14ac:dyDescent="0.2">
      <c r="A41" s="22" t="s">
        <v>41</v>
      </c>
      <c r="B41" s="22" t="s">
        <v>42</v>
      </c>
      <c r="C41" s="22" t="s">
        <v>43</v>
      </c>
      <c r="D41" s="22" t="s">
        <v>261</v>
      </c>
      <c r="E41" s="22" t="s">
        <v>262</v>
      </c>
      <c r="F41" s="22" t="s">
        <v>260</v>
      </c>
      <c r="G41" s="22" t="s">
        <v>61</v>
      </c>
      <c r="H41" s="22" t="s">
        <v>29</v>
      </c>
      <c r="I41" s="22" t="s">
        <v>35</v>
      </c>
      <c r="J41" s="22" t="s">
        <v>36</v>
      </c>
      <c r="K41" s="30">
        <v>0.5</v>
      </c>
      <c r="L41" s="30" t="s">
        <v>37</v>
      </c>
      <c r="M41" s="22">
        <v>2021</v>
      </c>
      <c r="N41" s="22" t="s">
        <v>38</v>
      </c>
      <c r="O41" s="23" t="s">
        <v>30</v>
      </c>
      <c r="P41" s="22" t="s">
        <v>31</v>
      </c>
      <c r="Q41" s="23" t="s">
        <v>31</v>
      </c>
      <c r="R41" s="22">
        <v>50</v>
      </c>
      <c r="S41" s="22">
        <v>0.25</v>
      </c>
      <c r="T41" s="22">
        <v>0.25</v>
      </c>
      <c r="U41" s="22">
        <v>0</v>
      </c>
    </row>
    <row r="42" spans="1:21" x14ac:dyDescent="0.2">
      <c r="A42" s="22" t="s">
        <v>41</v>
      </c>
      <c r="B42" s="22" t="s">
        <v>42</v>
      </c>
      <c r="C42" s="22" t="s">
        <v>43</v>
      </c>
      <c r="D42" s="22" t="s">
        <v>263</v>
      </c>
      <c r="E42" s="22" t="s">
        <v>264</v>
      </c>
      <c r="F42" s="22" t="s">
        <v>257</v>
      </c>
      <c r="G42" s="22" t="s">
        <v>265</v>
      </c>
      <c r="H42" s="22" t="s">
        <v>29</v>
      </c>
      <c r="I42" s="22" t="s">
        <v>35</v>
      </c>
      <c r="J42" s="22" t="s">
        <v>36</v>
      </c>
      <c r="K42" s="30">
        <v>0.5</v>
      </c>
      <c r="L42" s="30" t="s">
        <v>37</v>
      </c>
      <c r="M42" s="22">
        <v>2021</v>
      </c>
      <c r="N42" s="22" t="s">
        <v>31</v>
      </c>
      <c r="O42" s="23" t="s">
        <v>31</v>
      </c>
      <c r="P42" s="22" t="s">
        <v>31</v>
      </c>
      <c r="Q42" s="23" t="s">
        <v>31</v>
      </c>
      <c r="R42" s="22">
        <v>100</v>
      </c>
      <c r="S42" s="22">
        <v>0.5</v>
      </c>
      <c r="T42" s="22">
        <v>0</v>
      </c>
      <c r="U42" s="22">
        <v>0</v>
      </c>
    </row>
    <row r="43" spans="1:21" x14ac:dyDescent="0.2">
      <c r="A43" s="22" t="s">
        <v>41</v>
      </c>
      <c r="B43" s="22" t="s">
        <v>42</v>
      </c>
      <c r="C43" s="22" t="s">
        <v>43</v>
      </c>
      <c r="D43" s="22" t="s">
        <v>263</v>
      </c>
      <c r="E43" s="22" t="s">
        <v>264</v>
      </c>
      <c r="F43" s="22" t="s">
        <v>257</v>
      </c>
      <c r="G43" s="22" t="s">
        <v>78</v>
      </c>
      <c r="H43" s="22" t="s">
        <v>29</v>
      </c>
      <c r="I43" s="22" t="s">
        <v>35</v>
      </c>
      <c r="J43" s="22" t="s">
        <v>36</v>
      </c>
      <c r="K43" s="30">
        <v>0.5</v>
      </c>
      <c r="L43" s="30" t="s">
        <v>37</v>
      </c>
      <c r="M43" s="22">
        <v>2021</v>
      </c>
      <c r="N43" s="22" t="s">
        <v>38</v>
      </c>
      <c r="O43" s="23" t="s">
        <v>79</v>
      </c>
      <c r="P43" s="22" t="s">
        <v>31</v>
      </c>
      <c r="Q43" s="23" t="s">
        <v>31</v>
      </c>
      <c r="R43" s="22">
        <v>70</v>
      </c>
      <c r="S43" s="22">
        <v>0.35</v>
      </c>
      <c r="T43" s="22">
        <v>0.15</v>
      </c>
      <c r="U43" s="22">
        <v>0</v>
      </c>
    </row>
    <row r="44" spans="1:21" x14ac:dyDescent="0.2">
      <c r="A44" s="22" t="s">
        <v>45</v>
      </c>
      <c r="B44" s="22" t="s">
        <v>46</v>
      </c>
      <c r="C44" s="22" t="s">
        <v>52</v>
      </c>
      <c r="D44" s="22" t="s">
        <v>266</v>
      </c>
      <c r="E44" s="22" t="s">
        <v>267</v>
      </c>
      <c r="F44" s="22" t="s">
        <v>268</v>
      </c>
      <c r="G44" s="22" t="s">
        <v>269</v>
      </c>
      <c r="H44" s="22" t="s">
        <v>29</v>
      </c>
      <c r="I44" s="22" t="s">
        <v>35</v>
      </c>
      <c r="J44" s="22" t="s">
        <v>36</v>
      </c>
      <c r="K44" s="30">
        <v>0.5</v>
      </c>
      <c r="L44" s="30" t="s">
        <v>37</v>
      </c>
      <c r="M44" s="22">
        <v>2021</v>
      </c>
      <c r="N44" s="22" t="s">
        <v>38</v>
      </c>
      <c r="O44" s="23" t="s">
        <v>80</v>
      </c>
      <c r="P44" s="22" t="s">
        <v>31</v>
      </c>
      <c r="Q44" s="23" t="s">
        <v>31</v>
      </c>
      <c r="R44" s="22">
        <v>85</v>
      </c>
      <c r="S44" s="22">
        <v>0.42499999999999999</v>
      </c>
      <c r="T44" s="22">
        <v>7.4999999999999997E-2</v>
      </c>
      <c r="U44" s="22">
        <v>0</v>
      </c>
    </row>
    <row r="45" spans="1:21" x14ac:dyDescent="0.2">
      <c r="A45" s="22" t="s">
        <v>45</v>
      </c>
      <c r="B45" s="22" t="s">
        <v>46</v>
      </c>
      <c r="C45" s="22" t="s">
        <v>52</v>
      </c>
      <c r="D45" s="22" t="s">
        <v>266</v>
      </c>
      <c r="E45" s="22" t="s">
        <v>267</v>
      </c>
      <c r="F45" s="22" t="s">
        <v>268</v>
      </c>
      <c r="G45" s="22" t="s">
        <v>40</v>
      </c>
      <c r="H45" s="22" t="s">
        <v>29</v>
      </c>
      <c r="I45" s="22" t="s">
        <v>35</v>
      </c>
      <c r="J45" s="22" t="s">
        <v>36</v>
      </c>
      <c r="K45" s="30">
        <v>0.5</v>
      </c>
      <c r="L45" s="30" t="s">
        <v>37</v>
      </c>
      <c r="M45" s="22">
        <v>2021</v>
      </c>
      <c r="N45" s="22" t="s">
        <v>38</v>
      </c>
      <c r="O45" s="23" t="s">
        <v>33</v>
      </c>
      <c r="P45" s="22" t="s">
        <v>31</v>
      </c>
      <c r="Q45" s="23" t="s">
        <v>31</v>
      </c>
      <c r="R45" s="22">
        <v>90</v>
      </c>
      <c r="S45" s="22">
        <v>0.45</v>
      </c>
      <c r="T45" s="22">
        <v>0.05</v>
      </c>
      <c r="U45" s="22">
        <v>0</v>
      </c>
    </row>
    <row r="46" spans="1:21" x14ac:dyDescent="0.2">
      <c r="A46" s="63"/>
      <c r="B46" s="63"/>
      <c r="C46" s="63"/>
      <c r="D46" s="63"/>
      <c r="E46" s="63"/>
      <c r="F46" s="63"/>
      <c r="G46" s="63"/>
      <c r="H46" s="63"/>
      <c r="I46" s="63"/>
      <c r="J46" s="63"/>
      <c r="K46" s="63"/>
      <c r="L46" s="63"/>
      <c r="M46" s="63"/>
      <c r="N46" s="63"/>
      <c r="O46" s="64"/>
      <c r="P46" s="63"/>
      <c r="Q46" s="64"/>
      <c r="R46" s="63"/>
      <c r="S46" s="75">
        <f>SUM(S2:S45)</f>
        <v>18.324999999999996</v>
      </c>
      <c r="T46" s="63"/>
      <c r="U46" s="63"/>
    </row>
  </sheetData>
  <autoFilter ref="A1:U1" xr:uid="{00000000-0009-0000-0000-000000000000}">
    <sortState xmlns:xlrd2="http://schemas.microsoft.com/office/spreadsheetml/2017/richdata2" ref="A2:T1884">
      <sortCondition ref="K2:K1884"/>
      <sortCondition ref="L2:L1884"/>
      <sortCondition ref="D2:D1884"/>
    </sortState>
  </autoFilter>
  <printOptions horizontalCentered="1"/>
  <pageMargins left="0.19685039370078741" right="0.19685039370078741" top="0.39370078740157483" bottom="0.39370078740157483" header="0.78740157480314965" footer="0"/>
  <pageSetup paperSize="9" scale="93" fitToWidth="2" fitToHeight="50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18"/>
  <sheetViews>
    <sheetView zoomScaleNormal="100" workbookViewId="0">
      <selection activeCell="S18" sqref="A18:S18"/>
    </sheetView>
  </sheetViews>
  <sheetFormatPr baseColWidth="10" defaultColWidth="11.44140625" defaultRowHeight="13.2" x14ac:dyDescent="0.25"/>
  <cols>
    <col min="1" max="1" width="9.33203125" style="18" customWidth="1"/>
    <col min="2" max="2" width="39" style="18" bestFit="1" customWidth="1"/>
    <col min="3" max="3" width="17" style="18" bestFit="1" customWidth="1"/>
    <col min="4" max="9" width="3" style="18" customWidth="1"/>
    <col min="10" max="10" width="5.109375" style="18" customWidth="1"/>
    <col min="11" max="11" width="31.88671875" style="18" customWidth="1"/>
    <col min="12" max="12" width="5.33203125" style="18" customWidth="1"/>
    <col min="13" max="13" width="4.88671875" style="18" customWidth="1"/>
    <col min="14" max="14" width="4.6640625" style="19" customWidth="1"/>
    <col min="15" max="15" width="4.88671875" style="18" customWidth="1"/>
    <col min="16" max="16" width="4.6640625" style="19" customWidth="1"/>
    <col min="17" max="19" width="4.88671875" style="18" customWidth="1"/>
    <col min="20" max="16384" width="11.44140625" style="18"/>
  </cols>
  <sheetData>
    <row r="1" spans="1:19" s="17" customFormat="1" ht="60" customHeight="1" x14ac:dyDescent="0.25">
      <c r="A1" s="65" t="s">
        <v>81</v>
      </c>
      <c r="B1" s="65" t="s">
        <v>82</v>
      </c>
      <c r="C1" s="65" t="s">
        <v>83</v>
      </c>
      <c r="D1" s="66">
        <v>2017</v>
      </c>
      <c r="E1" s="66">
        <v>2018</v>
      </c>
      <c r="F1" s="66">
        <v>2019</v>
      </c>
      <c r="G1" s="66">
        <v>2020</v>
      </c>
      <c r="H1" s="66">
        <v>2021</v>
      </c>
      <c r="I1" s="66">
        <v>2022</v>
      </c>
      <c r="J1" s="65" t="s">
        <v>84</v>
      </c>
      <c r="K1" s="67" t="s">
        <v>270</v>
      </c>
      <c r="L1" s="15" t="s">
        <v>85</v>
      </c>
      <c r="M1" s="15" t="s">
        <v>86</v>
      </c>
      <c r="N1" s="15" t="s">
        <v>87</v>
      </c>
      <c r="O1" s="15" t="s">
        <v>88</v>
      </c>
      <c r="P1" s="16" t="s">
        <v>89</v>
      </c>
      <c r="Q1" s="16" t="s">
        <v>90</v>
      </c>
      <c r="R1" s="16" t="s">
        <v>91</v>
      </c>
      <c r="S1" s="16" t="s">
        <v>92</v>
      </c>
    </row>
    <row r="2" spans="1:19" ht="14.4" x14ac:dyDescent="0.3">
      <c r="A2" s="68" t="s">
        <v>172</v>
      </c>
      <c r="B2" s="68" t="s">
        <v>173</v>
      </c>
      <c r="C2" s="68" t="s">
        <v>171</v>
      </c>
      <c r="D2" s="68"/>
      <c r="E2" s="68"/>
      <c r="F2" s="68"/>
      <c r="G2" s="68"/>
      <c r="H2" s="68">
        <v>1</v>
      </c>
      <c r="I2" s="68"/>
      <c r="J2" s="68">
        <v>1</v>
      </c>
      <c r="K2" s="68" t="s">
        <v>37</v>
      </c>
      <c r="L2" s="69" t="s">
        <v>38</v>
      </c>
      <c r="M2" s="69" t="s">
        <v>33</v>
      </c>
      <c r="N2" s="69" t="s">
        <v>31</v>
      </c>
      <c r="O2" s="69" t="s">
        <v>31</v>
      </c>
      <c r="P2" s="69">
        <v>90</v>
      </c>
      <c r="Q2" s="69">
        <v>0.1</v>
      </c>
      <c r="R2" s="69">
        <v>0</v>
      </c>
      <c r="S2" s="69">
        <v>0.9</v>
      </c>
    </row>
    <row r="3" spans="1:19" ht="14.4" x14ac:dyDescent="0.3">
      <c r="A3" s="68" t="s">
        <v>100</v>
      </c>
      <c r="B3" s="68" t="s">
        <v>101</v>
      </c>
      <c r="C3" s="68" t="s">
        <v>93</v>
      </c>
      <c r="D3" s="68"/>
      <c r="E3" s="68"/>
      <c r="F3" s="68"/>
      <c r="G3" s="68"/>
      <c r="H3" s="68"/>
      <c r="I3" s="68">
        <v>1</v>
      </c>
      <c r="J3" s="68">
        <v>1</v>
      </c>
      <c r="K3" s="68" t="s">
        <v>37</v>
      </c>
      <c r="L3" s="69" t="s">
        <v>38</v>
      </c>
      <c r="M3" s="69" t="s">
        <v>30</v>
      </c>
      <c r="N3" s="69" t="s">
        <v>31</v>
      </c>
      <c r="O3" s="69" t="s">
        <v>31</v>
      </c>
      <c r="P3" s="69">
        <v>50</v>
      </c>
      <c r="Q3" s="69">
        <v>0.5</v>
      </c>
      <c r="R3" s="69">
        <v>0</v>
      </c>
      <c r="S3" s="69">
        <v>0.5</v>
      </c>
    </row>
    <row r="4" spans="1:19" ht="14.4" x14ac:dyDescent="0.3">
      <c r="A4" s="68" t="s">
        <v>98</v>
      </c>
      <c r="B4" s="68" t="s">
        <v>99</v>
      </c>
      <c r="C4" s="68" t="s">
        <v>93</v>
      </c>
      <c r="D4" s="68"/>
      <c r="E4" s="68"/>
      <c r="F4" s="68"/>
      <c r="G4" s="68"/>
      <c r="H4" s="68">
        <v>1</v>
      </c>
      <c r="I4" s="68"/>
      <c r="J4" s="68">
        <v>1</v>
      </c>
      <c r="K4" s="68" t="s">
        <v>37</v>
      </c>
      <c r="L4" s="69" t="s">
        <v>38</v>
      </c>
      <c r="M4" s="69" t="s">
        <v>30</v>
      </c>
      <c r="N4" s="69" t="s">
        <v>31</v>
      </c>
      <c r="O4" s="69" t="s">
        <v>31</v>
      </c>
      <c r="P4" s="69">
        <v>50</v>
      </c>
      <c r="Q4" s="69">
        <v>0.5</v>
      </c>
      <c r="R4" s="69">
        <v>0</v>
      </c>
      <c r="S4" s="69">
        <v>0.5</v>
      </c>
    </row>
    <row r="5" spans="1:19" ht="14.4" x14ac:dyDescent="0.3">
      <c r="A5" s="68" t="s">
        <v>120</v>
      </c>
      <c r="B5" s="68" t="s">
        <v>121</v>
      </c>
      <c r="C5" s="68" t="s">
        <v>93</v>
      </c>
      <c r="D5" s="68"/>
      <c r="E5" s="68"/>
      <c r="F5" s="68"/>
      <c r="G5" s="68">
        <v>1</v>
      </c>
      <c r="H5" s="68"/>
      <c r="I5" s="68"/>
      <c r="J5" s="68">
        <v>1</v>
      </c>
      <c r="K5" s="68" t="s">
        <v>37</v>
      </c>
      <c r="L5" s="69" t="s">
        <v>38</v>
      </c>
      <c r="M5" s="69" t="s">
        <v>33</v>
      </c>
      <c r="N5" s="69" t="s">
        <v>31</v>
      </c>
      <c r="O5" s="69" t="s">
        <v>31</v>
      </c>
      <c r="P5" s="69">
        <v>90</v>
      </c>
      <c r="Q5" s="69">
        <v>0.1</v>
      </c>
      <c r="R5" s="69">
        <v>0</v>
      </c>
      <c r="S5" s="69">
        <v>0.9</v>
      </c>
    </row>
    <row r="6" spans="1:19" ht="14.4" x14ac:dyDescent="0.3">
      <c r="A6" s="68" t="s">
        <v>114</v>
      </c>
      <c r="B6" s="68" t="s">
        <v>115</v>
      </c>
      <c r="C6" s="68" t="s">
        <v>93</v>
      </c>
      <c r="D6" s="68"/>
      <c r="E6" s="68"/>
      <c r="F6" s="68"/>
      <c r="G6" s="68"/>
      <c r="H6" s="68">
        <v>1</v>
      </c>
      <c r="I6" s="68"/>
      <c r="J6" s="68">
        <v>1</v>
      </c>
      <c r="K6" s="68" t="s">
        <v>37</v>
      </c>
      <c r="L6" s="69" t="s">
        <v>38</v>
      </c>
      <c r="M6" s="69" t="s">
        <v>33</v>
      </c>
      <c r="N6" s="69" t="s">
        <v>31</v>
      </c>
      <c r="O6" s="69" t="s">
        <v>31</v>
      </c>
      <c r="P6" s="69">
        <v>90</v>
      </c>
      <c r="Q6" s="69">
        <v>0.1</v>
      </c>
      <c r="R6" s="69">
        <v>0</v>
      </c>
      <c r="S6" s="69">
        <v>0.9</v>
      </c>
    </row>
    <row r="7" spans="1:19" ht="14.4" x14ac:dyDescent="0.3">
      <c r="A7" s="68" t="s">
        <v>118</v>
      </c>
      <c r="B7" s="68" t="s">
        <v>119</v>
      </c>
      <c r="C7" s="68" t="s">
        <v>93</v>
      </c>
      <c r="D7" s="68">
        <v>1</v>
      </c>
      <c r="E7" s="68"/>
      <c r="F7" s="68">
        <v>1</v>
      </c>
      <c r="G7" s="68"/>
      <c r="H7" s="68"/>
      <c r="I7" s="68"/>
      <c r="J7" s="68">
        <v>2</v>
      </c>
      <c r="K7" s="68" t="s">
        <v>37</v>
      </c>
      <c r="L7" s="69" t="s">
        <v>38</v>
      </c>
      <c r="M7" s="69" t="s">
        <v>33</v>
      </c>
      <c r="N7" s="69" t="s">
        <v>31</v>
      </c>
      <c r="O7" s="69" t="s">
        <v>31</v>
      </c>
      <c r="P7" s="69">
        <v>90</v>
      </c>
      <c r="Q7" s="69">
        <v>0.2</v>
      </c>
      <c r="R7" s="69">
        <v>0</v>
      </c>
      <c r="S7" s="69">
        <v>1.8</v>
      </c>
    </row>
    <row r="8" spans="1:19" ht="14.4" x14ac:dyDescent="0.3">
      <c r="A8" s="68" t="s">
        <v>112</v>
      </c>
      <c r="B8" s="68" t="s">
        <v>113</v>
      </c>
      <c r="C8" s="68" t="s">
        <v>93</v>
      </c>
      <c r="D8" s="68"/>
      <c r="E8" s="68"/>
      <c r="F8" s="68"/>
      <c r="G8" s="68"/>
      <c r="H8" s="68"/>
      <c r="I8" s="68">
        <v>1</v>
      </c>
      <c r="J8" s="68">
        <v>1</v>
      </c>
      <c r="K8" s="68" t="s">
        <v>37</v>
      </c>
      <c r="L8" s="69" t="s">
        <v>38</v>
      </c>
      <c r="M8" s="69" t="s">
        <v>33</v>
      </c>
      <c r="N8" s="69" t="s">
        <v>31</v>
      </c>
      <c r="O8" s="69" t="s">
        <v>31</v>
      </c>
      <c r="P8" s="69">
        <v>90</v>
      </c>
      <c r="Q8" s="69">
        <v>0.1</v>
      </c>
      <c r="R8" s="69">
        <v>0</v>
      </c>
      <c r="S8" s="69">
        <v>0.9</v>
      </c>
    </row>
    <row r="9" spans="1:19" ht="14.4" x14ac:dyDescent="0.3">
      <c r="A9" s="20" t="s">
        <v>122</v>
      </c>
      <c r="B9" s="20" t="s">
        <v>123</v>
      </c>
      <c r="C9" s="21" t="s">
        <v>93</v>
      </c>
      <c r="D9" s="20"/>
      <c r="E9" s="20">
        <v>2</v>
      </c>
      <c r="F9" s="20"/>
      <c r="G9" s="20"/>
      <c r="H9" s="20"/>
      <c r="I9" s="20"/>
      <c r="J9" s="68">
        <v>2</v>
      </c>
      <c r="K9" s="68" t="s">
        <v>37</v>
      </c>
      <c r="L9" s="69" t="s">
        <v>38</v>
      </c>
      <c r="M9" s="69" t="s">
        <v>33</v>
      </c>
      <c r="N9" s="69" t="s">
        <v>31</v>
      </c>
      <c r="O9" s="69" t="s">
        <v>31</v>
      </c>
      <c r="P9" s="69">
        <v>90</v>
      </c>
      <c r="Q9" s="69">
        <v>0.2</v>
      </c>
      <c r="R9" s="69">
        <v>0</v>
      </c>
      <c r="S9" s="69">
        <v>1.8</v>
      </c>
    </row>
    <row r="10" spans="1:19" ht="14.4" x14ac:dyDescent="0.3">
      <c r="A10" s="68" t="s">
        <v>104</v>
      </c>
      <c r="B10" s="68" t="s">
        <v>105</v>
      </c>
      <c r="C10" s="68" t="s">
        <v>93</v>
      </c>
      <c r="D10" s="68"/>
      <c r="E10" s="68"/>
      <c r="F10" s="68"/>
      <c r="G10" s="68"/>
      <c r="H10" s="68"/>
      <c r="I10" s="68">
        <v>1</v>
      </c>
      <c r="J10" s="68">
        <v>1</v>
      </c>
      <c r="K10" s="68" t="s">
        <v>37</v>
      </c>
      <c r="L10" s="69" t="s">
        <v>38</v>
      </c>
      <c r="M10" s="69" t="s">
        <v>33</v>
      </c>
      <c r="N10" s="69" t="s">
        <v>31</v>
      </c>
      <c r="O10" s="69" t="s">
        <v>31</v>
      </c>
      <c r="P10" s="69">
        <v>90</v>
      </c>
      <c r="Q10" s="69">
        <v>0.1</v>
      </c>
      <c r="R10" s="69">
        <v>0</v>
      </c>
      <c r="S10" s="69">
        <v>0.9</v>
      </c>
    </row>
    <row r="11" spans="1:19" ht="14.4" x14ac:dyDescent="0.3">
      <c r="A11" s="68" t="s">
        <v>110</v>
      </c>
      <c r="B11" s="68" t="s">
        <v>111</v>
      </c>
      <c r="C11" s="68" t="s">
        <v>93</v>
      </c>
      <c r="D11" s="68"/>
      <c r="E11" s="68"/>
      <c r="F11" s="68">
        <v>1</v>
      </c>
      <c r="G11" s="68"/>
      <c r="H11" s="68"/>
      <c r="I11" s="68">
        <v>1</v>
      </c>
      <c r="J11" s="68">
        <v>2</v>
      </c>
      <c r="K11" s="68" t="s">
        <v>37</v>
      </c>
      <c r="L11" s="69" t="s">
        <v>38</v>
      </c>
      <c r="M11" s="69" t="s">
        <v>80</v>
      </c>
      <c r="N11" s="69" t="s">
        <v>31</v>
      </c>
      <c r="O11" s="69" t="s">
        <v>31</v>
      </c>
      <c r="P11" s="69">
        <v>85</v>
      </c>
      <c r="Q11" s="69">
        <v>0.3</v>
      </c>
      <c r="R11" s="69">
        <v>0</v>
      </c>
      <c r="S11" s="69">
        <v>1.7</v>
      </c>
    </row>
    <row r="12" spans="1:19" ht="14.4" x14ac:dyDescent="0.3">
      <c r="A12" s="68" t="s">
        <v>116</v>
      </c>
      <c r="B12" s="68" t="s">
        <v>117</v>
      </c>
      <c r="C12" s="68" t="s">
        <v>93</v>
      </c>
      <c r="D12" s="68"/>
      <c r="E12" s="68">
        <v>2</v>
      </c>
      <c r="F12" s="68"/>
      <c r="G12" s="68"/>
      <c r="H12" s="68"/>
      <c r="I12" s="68">
        <v>1</v>
      </c>
      <c r="J12" s="68">
        <v>3</v>
      </c>
      <c r="K12" s="68" t="s">
        <v>37</v>
      </c>
      <c r="L12" s="69">
        <v>0</v>
      </c>
      <c r="M12" s="69">
        <v>0</v>
      </c>
      <c r="N12" s="69" t="s">
        <v>31</v>
      </c>
      <c r="O12" s="69" t="s">
        <v>31</v>
      </c>
      <c r="P12" s="69">
        <v>100</v>
      </c>
      <c r="Q12" s="69">
        <v>0</v>
      </c>
      <c r="R12" s="69">
        <v>0</v>
      </c>
      <c r="S12" s="69">
        <v>3</v>
      </c>
    </row>
    <row r="13" spans="1:19" ht="14.4" x14ac:dyDescent="0.3">
      <c r="A13" s="68" t="s">
        <v>94</v>
      </c>
      <c r="B13" s="68" t="s">
        <v>95</v>
      </c>
      <c r="C13" s="68" t="s">
        <v>93</v>
      </c>
      <c r="D13" s="68"/>
      <c r="E13" s="68"/>
      <c r="F13" s="68"/>
      <c r="G13" s="68"/>
      <c r="H13" s="68">
        <v>2</v>
      </c>
      <c r="I13" s="68"/>
      <c r="J13" s="68">
        <v>2</v>
      </c>
      <c r="K13" s="68" t="s">
        <v>37</v>
      </c>
      <c r="L13" s="69" t="s">
        <v>38</v>
      </c>
      <c r="M13" s="69" t="s">
        <v>79</v>
      </c>
      <c r="N13" s="69" t="s">
        <v>31</v>
      </c>
      <c r="O13" s="69" t="s">
        <v>31</v>
      </c>
      <c r="P13" s="69">
        <v>70</v>
      </c>
      <c r="Q13" s="69">
        <v>0.6</v>
      </c>
      <c r="R13" s="69">
        <v>0</v>
      </c>
      <c r="S13" s="69">
        <v>1.4</v>
      </c>
    </row>
    <row r="14" spans="1:19" ht="14.4" x14ac:dyDescent="0.3">
      <c r="A14" s="68" t="s">
        <v>102</v>
      </c>
      <c r="B14" s="68" t="s">
        <v>103</v>
      </c>
      <c r="C14" s="68" t="s">
        <v>93</v>
      </c>
      <c r="D14" s="68"/>
      <c r="E14" s="68"/>
      <c r="F14" s="68">
        <v>2</v>
      </c>
      <c r="G14" s="68"/>
      <c r="H14" s="68"/>
      <c r="I14" s="68"/>
      <c r="J14" s="68">
        <v>2</v>
      </c>
      <c r="K14" s="68" t="s">
        <v>37</v>
      </c>
      <c r="L14" s="69" t="s">
        <v>38</v>
      </c>
      <c r="M14" s="69" t="s">
        <v>30</v>
      </c>
      <c r="N14" s="69" t="s">
        <v>31</v>
      </c>
      <c r="O14" s="69" t="s">
        <v>31</v>
      </c>
      <c r="P14" s="69">
        <v>50</v>
      </c>
      <c r="Q14" s="69">
        <v>1</v>
      </c>
      <c r="R14" s="69">
        <v>0</v>
      </c>
      <c r="S14" s="69">
        <v>1</v>
      </c>
    </row>
    <row r="15" spans="1:19" ht="14.4" x14ac:dyDescent="0.3">
      <c r="A15" s="68" t="s">
        <v>96</v>
      </c>
      <c r="B15" s="68" t="s">
        <v>97</v>
      </c>
      <c r="C15" s="68" t="s">
        <v>93</v>
      </c>
      <c r="D15" s="68">
        <v>1</v>
      </c>
      <c r="E15" s="68"/>
      <c r="F15" s="68">
        <v>1</v>
      </c>
      <c r="G15" s="68"/>
      <c r="H15" s="68"/>
      <c r="I15" s="68"/>
      <c r="J15" s="68">
        <v>2</v>
      </c>
      <c r="K15" s="68" t="s">
        <v>37</v>
      </c>
      <c r="L15" s="69" t="s">
        <v>38</v>
      </c>
      <c r="M15" s="69" t="s">
        <v>33</v>
      </c>
      <c r="N15" s="69" t="s">
        <v>31</v>
      </c>
      <c r="O15" s="69" t="s">
        <v>31</v>
      </c>
      <c r="P15" s="69">
        <v>90</v>
      </c>
      <c r="Q15" s="69">
        <v>0.2</v>
      </c>
      <c r="R15" s="69">
        <v>0</v>
      </c>
      <c r="S15" s="69">
        <v>1.8</v>
      </c>
    </row>
    <row r="16" spans="1:19" ht="14.4" x14ac:dyDescent="0.3">
      <c r="A16" s="68" t="s">
        <v>108</v>
      </c>
      <c r="B16" s="68" t="s">
        <v>109</v>
      </c>
      <c r="C16" s="68" t="s">
        <v>93</v>
      </c>
      <c r="D16" s="68"/>
      <c r="E16" s="68"/>
      <c r="F16" s="68"/>
      <c r="G16" s="68">
        <v>1</v>
      </c>
      <c r="H16" s="68"/>
      <c r="I16" s="68"/>
      <c r="J16" s="68">
        <v>1</v>
      </c>
      <c r="K16" s="68" t="s">
        <v>37</v>
      </c>
      <c r="L16" s="69" t="s">
        <v>38</v>
      </c>
      <c r="M16" s="69" t="s">
        <v>33</v>
      </c>
      <c r="N16" s="69" t="s">
        <v>31</v>
      </c>
      <c r="O16" s="69" t="s">
        <v>31</v>
      </c>
      <c r="P16" s="69">
        <v>90</v>
      </c>
      <c r="Q16" s="69">
        <v>0.1</v>
      </c>
      <c r="R16" s="69">
        <v>0</v>
      </c>
      <c r="S16" s="69">
        <v>0.9</v>
      </c>
    </row>
    <row r="17" spans="1:19" ht="14.4" x14ac:dyDescent="0.3">
      <c r="A17" s="68" t="s">
        <v>106</v>
      </c>
      <c r="B17" s="68" t="s">
        <v>107</v>
      </c>
      <c r="C17" s="68" t="s">
        <v>93</v>
      </c>
      <c r="D17" s="68"/>
      <c r="E17" s="68"/>
      <c r="F17" s="68">
        <v>1</v>
      </c>
      <c r="G17" s="68"/>
      <c r="H17" s="68">
        <v>1</v>
      </c>
      <c r="I17" s="68"/>
      <c r="J17" s="68">
        <v>2</v>
      </c>
      <c r="K17" s="68" t="s">
        <v>37</v>
      </c>
      <c r="L17" s="69" t="s">
        <v>38</v>
      </c>
      <c r="M17" s="69" t="s">
        <v>33</v>
      </c>
      <c r="N17" s="69" t="s">
        <v>31</v>
      </c>
      <c r="O17" s="69" t="s">
        <v>31</v>
      </c>
      <c r="P17" s="69">
        <v>90</v>
      </c>
      <c r="Q17" s="69">
        <v>0.2</v>
      </c>
      <c r="R17" s="69">
        <v>0</v>
      </c>
      <c r="S17" s="69">
        <v>1.8</v>
      </c>
    </row>
    <row r="18" spans="1:19" x14ac:dyDescent="0.25">
      <c r="A18" s="71"/>
      <c r="B18" s="71"/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N18" s="72"/>
      <c r="O18" s="71"/>
      <c r="P18" s="72"/>
      <c r="Q18" s="71"/>
      <c r="R18" s="71"/>
      <c r="S18" s="70">
        <f>SUM(S2:S17)</f>
        <v>20.700000000000003</v>
      </c>
    </row>
  </sheetData>
  <pageMargins left="0.39370078740157483" right="0.39370078740157483" top="0.39370078740157483" bottom="0.39370078740157483" header="0.31496062992125984" footer="0.31496062992125984"/>
  <pageSetup paperSize="9" scale="1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8"/>
  <sheetViews>
    <sheetView zoomScaleNormal="100" workbookViewId="0">
      <selection activeCell="A27" sqref="A27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124</v>
      </c>
      <c r="B2" s="5"/>
    </row>
    <row r="3" spans="1:2" x14ac:dyDescent="0.2">
      <c r="A3" s="4" t="s">
        <v>125</v>
      </c>
      <c r="B3" s="5">
        <v>7200</v>
      </c>
    </row>
    <row r="4" spans="1:2" x14ac:dyDescent="0.2">
      <c r="A4" s="4" t="s">
        <v>126</v>
      </c>
      <c r="B4" s="5"/>
    </row>
    <row r="5" spans="1:2" x14ac:dyDescent="0.2">
      <c r="A5" s="4" t="s">
        <v>127</v>
      </c>
      <c r="B5" s="5">
        <v>4000</v>
      </c>
    </row>
    <row r="6" spans="1:2" x14ac:dyDescent="0.2">
      <c r="A6" s="4" t="s">
        <v>128</v>
      </c>
      <c r="B6" s="5">
        <v>4000</v>
      </c>
    </row>
    <row r="7" spans="1:2" x14ac:dyDescent="0.2">
      <c r="A7" s="4" t="s">
        <v>129</v>
      </c>
      <c r="B7" s="5"/>
    </row>
    <row r="8" spans="1:2" x14ac:dyDescent="0.2">
      <c r="A8" s="4" t="s">
        <v>130</v>
      </c>
      <c r="B8" s="5">
        <v>250</v>
      </c>
    </row>
    <row r="9" spans="1:2" x14ac:dyDescent="0.2">
      <c r="A9" s="4" t="s">
        <v>3</v>
      </c>
      <c r="B9" s="5"/>
    </row>
    <row r="10" spans="1:2" x14ac:dyDescent="0.2">
      <c r="A10" s="4" t="s">
        <v>131</v>
      </c>
      <c r="B10" s="5">
        <v>6270</v>
      </c>
    </row>
    <row r="11" spans="1:2" x14ac:dyDescent="0.2">
      <c r="A11" s="4" t="s">
        <v>4</v>
      </c>
      <c r="B11" s="5"/>
    </row>
    <row r="12" spans="1:2" x14ac:dyDescent="0.2">
      <c r="A12" s="4" t="s">
        <v>132</v>
      </c>
      <c r="B12" s="5">
        <v>5000</v>
      </c>
    </row>
    <row r="13" spans="1:2" x14ac:dyDescent="0.2">
      <c r="A13" s="4" t="s">
        <v>133</v>
      </c>
      <c r="B13" s="5">
        <v>5000</v>
      </c>
    </row>
    <row r="14" spans="1:2" x14ac:dyDescent="0.2">
      <c r="A14" s="4" t="s">
        <v>134</v>
      </c>
      <c r="B14" s="5">
        <v>5000</v>
      </c>
    </row>
    <row r="15" spans="1:2" x14ac:dyDescent="0.2">
      <c r="A15" s="4" t="s">
        <v>135</v>
      </c>
      <c r="B15" s="5">
        <v>9.7799999999999994</v>
      </c>
    </row>
    <row r="16" spans="1:2" x14ac:dyDescent="0.2">
      <c r="A16" s="4" t="s">
        <v>5</v>
      </c>
      <c r="B16" s="5"/>
    </row>
    <row r="17" spans="1:2" x14ac:dyDescent="0.2">
      <c r="A17" s="4" t="s">
        <v>136</v>
      </c>
      <c r="B17" s="5">
        <v>23301.8</v>
      </c>
    </row>
    <row r="18" spans="1:2" x14ac:dyDescent="0.2">
      <c r="A18" s="6" t="s">
        <v>2</v>
      </c>
      <c r="B18" s="7">
        <f>SUM(B3:B17)</f>
        <v>60031.58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A5577-3BA2-4CDA-9253-B755D7F11A60}">
  <dimension ref="A1:B14"/>
  <sheetViews>
    <sheetView zoomScaleNormal="100" workbookViewId="0">
      <selection activeCell="A22" sqref="A22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126</v>
      </c>
      <c r="B2" s="5"/>
    </row>
    <row r="3" spans="1:2" x14ac:dyDescent="0.2">
      <c r="A3" s="4" t="s">
        <v>196</v>
      </c>
      <c r="B3" s="5">
        <v>3520</v>
      </c>
    </row>
    <row r="4" spans="1:2" x14ac:dyDescent="0.2">
      <c r="A4" s="4" t="s">
        <v>197</v>
      </c>
      <c r="B4" s="5">
        <v>3520</v>
      </c>
    </row>
    <row r="5" spans="1:2" x14ac:dyDescent="0.2">
      <c r="A5" s="4" t="s">
        <v>198</v>
      </c>
      <c r="B5" s="5"/>
    </row>
    <row r="6" spans="1:2" x14ac:dyDescent="0.2">
      <c r="A6" s="4" t="s">
        <v>199</v>
      </c>
      <c r="B6" s="5">
        <v>3520</v>
      </c>
    </row>
    <row r="7" spans="1:2" x14ac:dyDescent="0.2">
      <c r="A7" s="4" t="s">
        <v>4</v>
      </c>
      <c r="B7" s="5"/>
    </row>
    <row r="8" spans="1:2" x14ac:dyDescent="0.2">
      <c r="A8" s="4" t="s">
        <v>200</v>
      </c>
      <c r="B8" s="5">
        <v>7000</v>
      </c>
    </row>
    <row r="9" spans="1:2" x14ac:dyDescent="0.2">
      <c r="A9" s="4" t="s">
        <v>201</v>
      </c>
      <c r="B9" s="5">
        <v>5000</v>
      </c>
    </row>
    <row r="10" spans="1:2" x14ac:dyDescent="0.2">
      <c r="A10" s="4" t="s">
        <v>202</v>
      </c>
      <c r="B10" s="5">
        <v>3000</v>
      </c>
    </row>
    <row r="11" spans="1:2" x14ac:dyDescent="0.2">
      <c r="A11" s="4" t="s">
        <v>5</v>
      </c>
      <c r="B11" s="5"/>
    </row>
    <row r="12" spans="1:2" x14ac:dyDescent="0.2">
      <c r="A12" s="4" t="s">
        <v>203</v>
      </c>
      <c r="B12" s="5">
        <v>29127.200000000001</v>
      </c>
    </row>
    <row r="13" spans="1:2" x14ac:dyDescent="0.2">
      <c r="A13" s="4" t="s">
        <v>204</v>
      </c>
      <c r="B13" s="5">
        <v>14563.62</v>
      </c>
    </row>
    <row r="14" spans="1:2" x14ac:dyDescent="0.2">
      <c r="A14" s="6" t="s">
        <v>2</v>
      </c>
      <c r="B14" s="7">
        <f>SUM(B3:B13)</f>
        <v>69250.819999999992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24C5CC-61A9-4AE7-9759-738FD1117351}">
  <dimension ref="A1:D14"/>
  <sheetViews>
    <sheetView workbookViewId="0">
      <selection activeCell="D14" sqref="D14"/>
    </sheetView>
  </sheetViews>
  <sheetFormatPr baseColWidth="10" defaultRowHeight="14.4" x14ac:dyDescent="0.3"/>
  <cols>
    <col min="2" max="2" width="13.6640625" customWidth="1"/>
    <col min="3" max="3" width="56.44140625" customWidth="1"/>
  </cols>
  <sheetData>
    <row r="1" spans="1:4" ht="15" thickBot="1" x14ac:dyDescent="0.35">
      <c r="A1" s="36" t="s">
        <v>230</v>
      </c>
      <c r="B1" s="37" t="s">
        <v>231</v>
      </c>
      <c r="C1" s="37" t="s">
        <v>232</v>
      </c>
      <c r="D1" s="38" t="s">
        <v>1</v>
      </c>
    </row>
    <row r="2" spans="1:4" ht="15" thickTop="1" x14ac:dyDescent="0.3">
      <c r="A2" s="39" t="s">
        <v>233</v>
      </c>
      <c r="B2" s="40" t="s">
        <v>126</v>
      </c>
      <c r="C2" s="40" t="s">
        <v>234</v>
      </c>
      <c r="D2" s="41">
        <v>3520</v>
      </c>
    </row>
    <row r="3" spans="1:4" x14ac:dyDescent="0.3">
      <c r="A3" s="42" t="s">
        <v>233</v>
      </c>
      <c r="B3" s="43" t="s">
        <v>126</v>
      </c>
      <c r="C3" s="43" t="s">
        <v>235</v>
      </c>
      <c r="D3" s="44">
        <v>3520</v>
      </c>
    </row>
    <row r="4" spans="1:4" x14ac:dyDescent="0.3">
      <c r="A4" s="39" t="s">
        <v>233</v>
      </c>
      <c r="B4" s="40" t="s">
        <v>236</v>
      </c>
      <c r="C4" s="40" t="s">
        <v>237</v>
      </c>
      <c r="D4" s="41">
        <v>1320</v>
      </c>
    </row>
    <row r="5" spans="1:4" x14ac:dyDescent="0.3">
      <c r="A5" s="42" t="s">
        <v>233</v>
      </c>
      <c r="B5" s="43" t="s">
        <v>236</v>
      </c>
      <c r="C5" s="43" t="s">
        <v>238</v>
      </c>
      <c r="D5" s="44">
        <v>1320</v>
      </c>
    </row>
    <row r="6" spans="1:4" x14ac:dyDescent="0.3">
      <c r="A6" s="39" t="s">
        <v>233</v>
      </c>
      <c r="B6" s="40" t="s">
        <v>239</v>
      </c>
      <c r="C6" s="40" t="s">
        <v>240</v>
      </c>
      <c r="D6" s="41">
        <v>2376</v>
      </c>
    </row>
    <row r="7" spans="1:4" x14ac:dyDescent="0.3">
      <c r="A7" s="42" t="s">
        <v>233</v>
      </c>
      <c r="B7" s="43" t="s">
        <v>4</v>
      </c>
      <c r="C7" s="43" t="s">
        <v>241</v>
      </c>
      <c r="D7" s="44">
        <v>2000</v>
      </c>
    </row>
    <row r="8" spans="1:4" ht="15" thickBot="1" x14ac:dyDescent="0.35">
      <c r="A8" s="39" t="s">
        <v>233</v>
      </c>
      <c r="B8" s="40" t="s">
        <v>5</v>
      </c>
      <c r="C8" s="40" t="s">
        <v>242</v>
      </c>
      <c r="D8" s="41">
        <v>14563.62</v>
      </c>
    </row>
    <row r="9" spans="1:4" ht="15" thickTop="1" x14ac:dyDescent="0.3">
      <c r="A9" s="45" t="s">
        <v>2</v>
      </c>
      <c r="B9" s="46"/>
      <c r="C9" s="46"/>
      <c r="D9" s="47">
        <v>28619.620000000003</v>
      </c>
    </row>
    <row r="14" spans="1:4" x14ac:dyDescent="0.3">
      <c r="C14" s="73" t="s">
        <v>271</v>
      </c>
      <c r="D14" s="74">
        <f>D9+'Ingresos investigación 2020'!B14+'Ingresos investigación 2019'!B18</f>
        <v>157902.02000000002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26"/>
  <sheetViews>
    <sheetView zoomScaleNormal="100" workbookViewId="0">
      <selection activeCell="A8" sqref="A8:B26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6</v>
      </c>
      <c r="B2" s="5"/>
    </row>
    <row r="3" spans="1:2" x14ac:dyDescent="0.2">
      <c r="A3" s="4" t="s">
        <v>137</v>
      </c>
      <c r="B3" s="5">
        <v>1800</v>
      </c>
    </row>
    <row r="4" spans="1:2" x14ac:dyDescent="0.2">
      <c r="A4" s="4" t="s">
        <v>138</v>
      </c>
      <c r="B4" s="5">
        <v>600</v>
      </c>
    </row>
    <row r="5" spans="1:2" x14ac:dyDescent="0.2">
      <c r="A5" s="4" t="s">
        <v>139</v>
      </c>
      <c r="B5" s="5">
        <v>1800</v>
      </c>
    </row>
    <row r="6" spans="1:2" x14ac:dyDescent="0.2">
      <c r="A6" s="4" t="s">
        <v>140</v>
      </c>
      <c r="B6" s="5">
        <v>1200</v>
      </c>
    </row>
    <row r="7" spans="1:2" x14ac:dyDescent="0.2">
      <c r="A7" s="4" t="s">
        <v>141</v>
      </c>
      <c r="B7" s="5">
        <v>2400</v>
      </c>
    </row>
    <row r="8" spans="1:2" x14ac:dyDescent="0.2">
      <c r="A8" s="4" t="s">
        <v>142</v>
      </c>
      <c r="B8" s="5">
        <v>1800</v>
      </c>
    </row>
    <row r="9" spans="1:2" x14ac:dyDescent="0.2">
      <c r="A9" s="4" t="s">
        <v>143</v>
      </c>
      <c r="B9" s="5">
        <v>600</v>
      </c>
    </row>
    <row r="10" spans="1:2" x14ac:dyDescent="0.2">
      <c r="A10" s="4" t="s">
        <v>144</v>
      </c>
      <c r="B10" s="5">
        <v>4200</v>
      </c>
    </row>
    <row r="11" spans="1:2" x14ac:dyDescent="0.2">
      <c r="A11" s="4" t="s">
        <v>145</v>
      </c>
      <c r="B11" s="5">
        <v>2400</v>
      </c>
    </row>
    <row r="12" spans="1:2" x14ac:dyDescent="0.2">
      <c r="A12" s="4" t="s">
        <v>7</v>
      </c>
      <c r="B12" s="5"/>
    </row>
    <row r="13" spans="1:2" x14ac:dyDescent="0.2">
      <c r="A13" s="4" t="s">
        <v>146</v>
      </c>
      <c r="B13" s="5">
        <v>5399.4</v>
      </c>
    </row>
    <row r="14" spans="1:2" x14ac:dyDescent="0.2">
      <c r="A14" s="4" t="s">
        <v>147</v>
      </c>
      <c r="B14" s="5">
        <v>12600</v>
      </c>
    </row>
    <row r="15" spans="1:2" x14ac:dyDescent="0.2">
      <c r="A15" s="4" t="s">
        <v>148</v>
      </c>
      <c r="B15" s="5">
        <v>450</v>
      </c>
    </row>
    <row r="16" spans="1:2" x14ac:dyDescent="0.2">
      <c r="A16" s="4" t="s">
        <v>149</v>
      </c>
      <c r="B16" s="5">
        <v>450</v>
      </c>
    </row>
    <row r="17" spans="1:2" x14ac:dyDescent="0.2">
      <c r="A17" s="4" t="s">
        <v>150</v>
      </c>
      <c r="B17" s="5">
        <v>450</v>
      </c>
    </row>
    <row r="18" spans="1:2" x14ac:dyDescent="0.2">
      <c r="A18" s="4" t="s">
        <v>151</v>
      </c>
      <c r="B18" s="5">
        <v>450</v>
      </c>
    </row>
    <row r="19" spans="1:2" x14ac:dyDescent="0.2">
      <c r="A19" s="4" t="s">
        <v>152</v>
      </c>
      <c r="B19" s="5">
        <v>450</v>
      </c>
    </row>
    <row r="20" spans="1:2" x14ac:dyDescent="0.2">
      <c r="A20" s="4" t="s">
        <v>153</v>
      </c>
      <c r="B20" s="5">
        <v>450</v>
      </c>
    </row>
    <row r="21" spans="1:2" x14ac:dyDescent="0.2">
      <c r="A21" s="4" t="s">
        <v>154</v>
      </c>
      <c r="B21" s="5">
        <v>450</v>
      </c>
    </row>
    <row r="22" spans="1:2" x14ac:dyDescent="0.2">
      <c r="A22" s="4" t="s">
        <v>155</v>
      </c>
      <c r="B22" s="5">
        <v>450</v>
      </c>
    </row>
    <row r="23" spans="1:2" x14ac:dyDescent="0.2">
      <c r="A23" s="4" t="s">
        <v>156</v>
      </c>
      <c r="B23" s="5">
        <v>450</v>
      </c>
    </row>
    <row r="24" spans="1:2" x14ac:dyDescent="0.2">
      <c r="A24" s="4" t="s">
        <v>157</v>
      </c>
      <c r="B24" s="5">
        <v>450</v>
      </c>
    </row>
    <row r="25" spans="1:2" x14ac:dyDescent="0.2">
      <c r="A25" s="4" t="s">
        <v>158</v>
      </c>
      <c r="B25" s="5">
        <v>450</v>
      </c>
    </row>
    <row r="26" spans="1:2" x14ac:dyDescent="0.2">
      <c r="A26" s="6" t="s">
        <v>2</v>
      </c>
      <c r="B26" s="7">
        <f>SUM(B3:B25)</f>
        <v>39749.4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84005-5DDF-4549-AA2E-DFF1060667BD}">
  <dimension ref="A1:B29"/>
  <sheetViews>
    <sheetView zoomScaleNormal="100" workbookViewId="0">
      <selection activeCell="A30" sqref="A30"/>
    </sheetView>
  </sheetViews>
  <sheetFormatPr baseColWidth="10" defaultColWidth="11.44140625" defaultRowHeight="10.199999999999999" x14ac:dyDescent="0.2"/>
  <cols>
    <col min="1" max="1" width="100.6640625" style="1" customWidth="1"/>
    <col min="2" max="16384" width="11.44140625" style="1"/>
  </cols>
  <sheetData>
    <row r="1" spans="1:2" ht="20.399999999999999" x14ac:dyDescent="0.2">
      <c r="A1" s="2" t="s">
        <v>0</v>
      </c>
      <c r="B1" s="3" t="s">
        <v>1</v>
      </c>
    </row>
    <row r="2" spans="1:2" x14ac:dyDescent="0.2">
      <c r="A2" s="4" t="s">
        <v>205</v>
      </c>
      <c r="B2" s="5"/>
    </row>
    <row r="3" spans="1:2" x14ac:dyDescent="0.2">
      <c r="A3" s="4" t="s">
        <v>206</v>
      </c>
      <c r="B3" s="5">
        <v>500</v>
      </c>
    </row>
    <row r="4" spans="1:2" x14ac:dyDescent="0.2">
      <c r="A4" s="4" t="s">
        <v>6</v>
      </c>
      <c r="B4" s="5"/>
    </row>
    <row r="5" spans="1:2" x14ac:dyDescent="0.2">
      <c r="A5" s="4" t="s">
        <v>207</v>
      </c>
      <c r="B5" s="5">
        <v>6480</v>
      </c>
    </row>
    <row r="6" spans="1:2" x14ac:dyDescent="0.2">
      <c r="A6" s="4" t="s">
        <v>208</v>
      </c>
      <c r="B6" s="5">
        <v>2160</v>
      </c>
    </row>
    <row r="7" spans="1:2" x14ac:dyDescent="0.2">
      <c r="A7" s="4" t="s">
        <v>7</v>
      </c>
      <c r="B7" s="5"/>
    </row>
    <row r="8" spans="1:2" x14ac:dyDescent="0.2">
      <c r="A8" s="4" t="s">
        <v>209</v>
      </c>
      <c r="B8" s="5">
        <v>450</v>
      </c>
    </row>
    <row r="9" spans="1:2" x14ac:dyDescent="0.2">
      <c r="A9" s="4" t="s">
        <v>210</v>
      </c>
      <c r="B9" s="5">
        <v>450</v>
      </c>
    </row>
    <row r="10" spans="1:2" x14ac:dyDescent="0.2">
      <c r="A10" s="4" t="s">
        <v>211</v>
      </c>
      <c r="B10" s="5">
        <v>450</v>
      </c>
    </row>
    <row r="11" spans="1:2" x14ac:dyDescent="0.2">
      <c r="A11" s="4" t="s">
        <v>212</v>
      </c>
      <c r="B11" s="5">
        <v>450</v>
      </c>
    </row>
    <row r="12" spans="1:2" x14ac:dyDescent="0.2">
      <c r="A12" s="4" t="s">
        <v>213</v>
      </c>
      <c r="B12" s="5">
        <v>450</v>
      </c>
    </row>
    <row r="13" spans="1:2" x14ac:dyDescent="0.2">
      <c r="A13" s="4" t="s">
        <v>214</v>
      </c>
      <c r="B13" s="5">
        <v>450</v>
      </c>
    </row>
    <row r="14" spans="1:2" x14ac:dyDescent="0.2">
      <c r="A14" s="4" t="s">
        <v>215</v>
      </c>
      <c r="B14" s="5">
        <v>450</v>
      </c>
    </row>
    <row r="15" spans="1:2" x14ac:dyDescent="0.2">
      <c r="A15" s="4" t="s">
        <v>216</v>
      </c>
      <c r="B15" s="5">
        <v>450</v>
      </c>
    </row>
    <row r="16" spans="1:2" x14ac:dyDescent="0.2">
      <c r="A16" s="4" t="s">
        <v>217</v>
      </c>
      <c r="B16" s="5">
        <v>450</v>
      </c>
    </row>
    <row r="17" spans="1:2" x14ac:dyDescent="0.2">
      <c r="A17" s="4" t="s">
        <v>218</v>
      </c>
      <c r="B17" s="5">
        <v>450</v>
      </c>
    </row>
    <row r="18" spans="1:2" x14ac:dyDescent="0.2">
      <c r="A18" s="4" t="s">
        <v>219</v>
      </c>
      <c r="B18" s="5">
        <v>450</v>
      </c>
    </row>
    <row r="19" spans="1:2" x14ac:dyDescent="0.2">
      <c r="A19" s="4" t="s">
        <v>220</v>
      </c>
      <c r="B19" s="5">
        <v>450</v>
      </c>
    </row>
    <row r="20" spans="1:2" x14ac:dyDescent="0.2">
      <c r="A20" s="4" t="s">
        <v>221</v>
      </c>
      <c r="B20" s="5">
        <v>450</v>
      </c>
    </row>
    <row r="21" spans="1:2" x14ac:dyDescent="0.2">
      <c r="A21" s="4" t="s">
        <v>222</v>
      </c>
      <c r="B21" s="5">
        <v>450</v>
      </c>
    </row>
    <row r="22" spans="1:2" x14ac:dyDescent="0.2">
      <c r="A22" s="4" t="s">
        <v>223</v>
      </c>
      <c r="B22" s="5">
        <v>450</v>
      </c>
    </row>
    <row r="23" spans="1:2" x14ac:dyDescent="0.2">
      <c r="A23" s="4" t="s">
        <v>224</v>
      </c>
      <c r="B23" s="5">
        <v>450</v>
      </c>
    </row>
    <row r="24" spans="1:2" x14ac:dyDescent="0.2">
      <c r="A24" s="4" t="s">
        <v>225</v>
      </c>
      <c r="B24" s="5">
        <v>450</v>
      </c>
    </row>
    <row r="25" spans="1:2" x14ac:dyDescent="0.2">
      <c r="A25" s="4" t="s">
        <v>226</v>
      </c>
      <c r="B25" s="5">
        <v>450</v>
      </c>
    </row>
    <row r="26" spans="1:2" x14ac:dyDescent="0.2">
      <c r="A26" s="4" t="s">
        <v>227</v>
      </c>
      <c r="B26" s="5">
        <v>450</v>
      </c>
    </row>
    <row r="27" spans="1:2" x14ac:dyDescent="0.2">
      <c r="A27" s="4" t="s">
        <v>228</v>
      </c>
      <c r="B27" s="5">
        <v>450</v>
      </c>
    </row>
    <row r="28" spans="1:2" x14ac:dyDescent="0.2">
      <c r="A28" s="4" t="s">
        <v>229</v>
      </c>
      <c r="B28" s="5">
        <v>10935</v>
      </c>
    </row>
    <row r="29" spans="1:2" x14ac:dyDescent="0.2">
      <c r="A29" s="6" t="s">
        <v>2</v>
      </c>
      <c r="B29" s="7">
        <f>SUM(B3:B28)</f>
        <v>29075</v>
      </c>
    </row>
  </sheetData>
  <pageMargins left="0.39370078740157483" right="0.39370078740157483" top="0.74803149606299213" bottom="0.74803149606299213" header="0.31496062992125984" footer="0.31496062992125984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E865C-73A0-408B-9A89-69C3969EE40D}">
  <dimension ref="A1:D10"/>
  <sheetViews>
    <sheetView workbookViewId="0">
      <selection activeCell="D10" sqref="D10"/>
    </sheetView>
  </sheetViews>
  <sheetFormatPr baseColWidth="10" defaultRowHeight="14.4" x14ac:dyDescent="0.3"/>
  <cols>
    <col min="2" max="2" width="13.44140625" customWidth="1"/>
    <col min="3" max="3" width="63.109375" customWidth="1"/>
  </cols>
  <sheetData>
    <row r="1" spans="1:4" x14ac:dyDescent="0.3">
      <c r="A1" s="48" t="s">
        <v>230</v>
      </c>
      <c r="B1" s="49" t="s">
        <v>231</v>
      </c>
      <c r="C1" s="49" t="s">
        <v>232</v>
      </c>
      <c r="D1" s="50" t="s">
        <v>1</v>
      </c>
    </row>
    <row r="2" spans="1:4" x14ac:dyDescent="0.3">
      <c r="A2" s="51" t="s">
        <v>233</v>
      </c>
      <c r="B2" s="52" t="s">
        <v>243</v>
      </c>
      <c r="C2" s="52" t="s">
        <v>244</v>
      </c>
      <c r="D2" s="53">
        <v>480.75</v>
      </c>
    </row>
    <row r="3" spans="1:4" x14ac:dyDescent="0.3">
      <c r="A3" s="54" t="s">
        <v>233</v>
      </c>
      <c r="B3" s="55" t="s">
        <v>7</v>
      </c>
      <c r="C3" s="55" t="s">
        <v>245</v>
      </c>
      <c r="D3" s="56">
        <v>450</v>
      </c>
    </row>
    <row r="4" spans="1:4" x14ac:dyDescent="0.3">
      <c r="A4" s="51" t="s">
        <v>233</v>
      </c>
      <c r="B4" s="52" t="s">
        <v>7</v>
      </c>
      <c r="C4" s="52" t="s">
        <v>246</v>
      </c>
      <c r="D4" s="53">
        <v>450</v>
      </c>
    </row>
    <row r="5" spans="1:4" x14ac:dyDescent="0.3">
      <c r="A5" s="54" t="s">
        <v>233</v>
      </c>
      <c r="B5" s="55" t="s">
        <v>7</v>
      </c>
      <c r="C5" s="55" t="s">
        <v>247</v>
      </c>
      <c r="D5" s="56">
        <v>450</v>
      </c>
    </row>
    <row r="6" spans="1:4" ht="15" thickBot="1" x14ac:dyDescent="0.35">
      <c r="A6" s="51" t="s">
        <v>233</v>
      </c>
      <c r="B6" s="57" t="s">
        <v>7</v>
      </c>
      <c r="C6" s="57" t="s">
        <v>248</v>
      </c>
      <c r="D6" s="53">
        <v>450</v>
      </c>
    </row>
    <row r="7" spans="1:4" ht="15" thickTop="1" x14ac:dyDescent="0.3">
      <c r="A7" s="58" t="s">
        <v>2</v>
      </c>
      <c r="B7" s="59"/>
      <c r="C7" s="59"/>
      <c r="D7" s="60">
        <v>2280.75</v>
      </c>
    </row>
    <row r="10" spans="1:4" x14ac:dyDescent="0.3">
      <c r="C10" s="73" t="s">
        <v>272</v>
      </c>
      <c r="D10" s="74">
        <f>'ingresos formación 2021'!D7+'Ingresos formación 2020'!B29+'Ingresos formación 2019'!B26</f>
        <v>71105.149999999994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2</vt:i4>
      </vt:variant>
    </vt:vector>
  </HeadingPairs>
  <TitlesOfParts>
    <vt:vector size="10" baseType="lpstr">
      <vt:lpstr>Tesis</vt:lpstr>
      <vt:lpstr>Sexenios</vt:lpstr>
      <vt:lpstr>Ingresos investigación 2019</vt:lpstr>
      <vt:lpstr>Ingresos investigación 2020</vt:lpstr>
      <vt:lpstr>ingresos investigación 2021</vt:lpstr>
      <vt:lpstr>Ingresos formación 2019</vt:lpstr>
      <vt:lpstr>Ingresos formación 2020</vt:lpstr>
      <vt:lpstr>ingresos formación 2021</vt:lpstr>
      <vt:lpstr>Sexenios!Títulos_a_imprimir</vt:lpstr>
      <vt:lpstr>Tesis!Títulos_a_imprimir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21387280V</dc:creator>
  <cp:lastModifiedBy>21511974M</cp:lastModifiedBy>
  <dcterms:created xsi:type="dcterms:W3CDTF">2019-07-03T07:15:54Z</dcterms:created>
  <dcterms:modified xsi:type="dcterms:W3CDTF">2022-10-18T14:47:51Z</dcterms:modified>
</cp:coreProperties>
</file>