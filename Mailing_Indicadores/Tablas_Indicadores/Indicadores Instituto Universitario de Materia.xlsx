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Institutos\"/>
    </mc:Choice>
  </mc:AlternateContent>
  <xr:revisionPtr revIDLastSave="0" documentId="13_ncr:1_{C068479E-DC6B-4FD1-8124-B689E00B926D}" xr6:coauthVersionLast="47" xr6:coauthVersionMax="47" xr10:uidLastSave="{00000000-0000-0000-0000-000000000000}"/>
  <bookViews>
    <workbookView xWindow="22932" yWindow="-108" windowWidth="23256" windowHeight="12456" activeTab="5" xr2:uid="{00000000-000D-0000-FFFF-FFFF00000000}"/>
  </bookViews>
  <sheets>
    <sheet name="Tesis" sheetId="2" r:id="rId1"/>
    <sheet name="Sexenios" sheetId="3" r:id="rId2"/>
    <sheet name="Ingresos investigación 2018" sheetId="1" r:id="rId3"/>
    <sheet name="Ingresos investigación 2019" sheetId="5" r:id="rId4"/>
    <sheet name="ingresos investigación 2020" sheetId="6" r:id="rId5"/>
    <sheet name="ingresos investigación 2021" sheetId="7" r:id="rId6"/>
  </sheets>
  <definedNames>
    <definedName name="_xlnm._FilterDatabase" localSheetId="1" hidden="1">Sexenios!$A$1:$S$38</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8" i="3" l="1"/>
  <c r="S89" i="2" l="1"/>
  <c r="B78" i="5" l="1"/>
  <c r="D50" i="7" s="1"/>
  <c r="B91" i="1" l="1"/>
</calcChain>
</file>

<file path=xl/sharedStrings.xml><?xml version="1.0" encoding="utf-8"?>
<sst xmlns="http://schemas.openxmlformats.org/spreadsheetml/2006/main" count="2038" uniqueCount="606">
  <si>
    <t>Orgánica
Descripción justificante</t>
  </si>
  <si>
    <t>Importe</t>
  </si>
  <si>
    <t>Total</t>
  </si>
  <si>
    <t>LIBERADOS EL 17/05/2018, ANUDALIDAD 2018. JUSTIFICACIÓN EN EXPEDIENTES RESOL. 2018 Y FICALES PROYECTOS I+D (PIA1) EXPEDIENTE: PIA12016-1 REF. REF. DEL ORDENANTE PARA EL BENEFICIARIO: 27402218310017739.</t>
  </si>
  <si>
    <t>LIBERADOS EL 21/05/2018, ANUALIDAD 2018. JUSTIFICACIÓN EN EXPEDIENTES RESOL. 2018 Y FISCALES PROYECTOS I+D RETOS (PIA13) EXPEDIENTE: PIA1320. REF. DEL ORDENANTE PARA EL BENEFICIARIO: 27402218310017864.</t>
  </si>
  <si>
    <t>LIBERADOS EL 21/05/2018, ANUALIDAD 2018. JUSTIFICACIÓN EN EXPEDIENTES RESOL. 2018 Y FISCALES PROYECTOS I+D RETOS (PIA13) EXPEDIENTE: PIA1320. REF. DEL ORDENANTE PARA EL BENEFICIARIO: 27402218310018046.</t>
  </si>
  <si>
    <t>41.10.6C.00.02</t>
  </si>
  <si>
    <t>FACTURA GRAPHENANO GRAPHENANO1-16I</t>
  </si>
  <si>
    <t>41.10.6C.00.04</t>
  </si>
  <si>
    <t>COBRO FRA. 509/2017-I</t>
  </si>
  <si>
    <t>41.10.6C.00.07</t>
  </si>
  <si>
    <t>3ª FACTURA CONTRATO "ADSORCIÓN DE ETILENO EN ENVASES DE FRUTA" ENTREGA INFORMA FINAL Y FINALIZACIÓN DEL CONTRATO REYENVAS2-16Y</t>
  </si>
  <si>
    <t>REYENVAS-16Y FACTURA ADSORCIÓN DE ETILENO EN ENVASES DE FRUTA</t>
  </si>
  <si>
    <t>41.10.6C.00.10</t>
  </si>
  <si>
    <t xml:space="preserve">ADDENDA AL CONTRATO DE INVESTIGACIÓN "ESTUDIO DE LA RESPUESTA DE SENSORES ELECTROQUÍMICOS¿ primera factura GRAPHENANO1-18ID  </t>
  </si>
  <si>
    <t>COBRO FRA. 758/2017-I</t>
  </si>
  <si>
    <t>ESTUDIO DE LA RESPUESTA DE SENSORES ELECTROQUÍMICOS GRAPHENANO 1-17I</t>
  </si>
  <si>
    <t>41.10.6C.00.12</t>
  </si>
  <si>
    <t>CETAQUA2-17TPA</t>
  </si>
  <si>
    <t>41.10.6C.00.13</t>
  </si>
  <si>
    <t>ARSAM3-17TPA ANALISIS CONDUCTIVIDAD TÉRMICA E INFORME</t>
  </si>
  <si>
    <t>41.10.6C.00.14</t>
  </si>
  <si>
    <t>EVALUACIÓN DEL PROYECTO HMPESPUMA() ANUALIDAD 2016 SGS4-18TPA</t>
  </si>
  <si>
    <t>41.10.6C.00.15</t>
  </si>
  <si>
    <t>EVALUACIÓN PROYECTO I+D+I METALFACE () ANUALIDAD 2014 SGS5-18TPA</t>
  </si>
  <si>
    <t>41.10.6C.00.16</t>
  </si>
  <si>
    <t>EVALUACIÓN DEL PROYECTO ADVABIPV15 ANUALIDAD 2016 SGS6-18TPA</t>
  </si>
  <si>
    <t>41.10.6C.00.17</t>
  </si>
  <si>
    <t>EVALUACIÓN PROYECTO I+D+I INMOULDETI (ANUALIDAD 2016) SGS7-18TPA</t>
  </si>
  <si>
    <t>41.10.6C.00.18</t>
  </si>
  <si>
    <t>EVALUACIÓN PROYECTO I+D+I  MAPMIT ANUALIDAD 2016 SGS8-18TPA</t>
  </si>
  <si>
    <t>41.10.6C.00.20</t>
  </si>
  <si>
    <t>2 ª factura CONDENSADORES DE ION Li E ION Na. SELECCIÓN Y CARACTERIZACIÓN DE MATERIALES CARBONOSOS CON DISTINTA ESTRUCTURA Y TEXTURA POROSA</t>
  </si>
  <si>
    <t>3ª factura contrato "CONDENSADORES DE ION Li E ION Na. SELECCIÓN Y CARACTERIZACIÓN DE MATERIALES CARBONOSOS CON DISTINTA ESTRUCTURA Y TEXTURA POROSA" MINDTECH1-18I</t>
  </si>
  <si>
    <t>MINDTECH1-18I 1ª FACTURA INICIO  LABORES PROYECTO CONDENSADORES DE ION Li E ION Na. SELECCIÓN Y CARACTERIZACIÓN DE MATERIALES CARBONOSOS CON DISTINTA ESTRUCTURA Y TEXTURA POROSA REFERENCIA MINDTECH1-18I</t>
  </si>
  <si>
    <t>41.10.6C.00.21</t>
  </si>
  <si>
    <t>EVALUACIÓN DEL PROYECTO I+D+I 952IPNAFFI (ANUALIDAD 2016) SGS15-18TPA</t>
  </si>
  <si>
    <t>41.10.6C.00.22</t>
  </si>
  <si>
    <t>EVALUACIÓN PROYECTO DE INVESTIGACIÓM I+D+I ZSCHIMMER4 (2015) SGS16-18TPA</t>
  </si>
  <si>
    <t>41.10.6C.00.23</t>
  </si>
  <si>
    <t>EVALUACIÓN PROYECTO I+D+I INNOPLASMD (2016) SGS17-18TPA</t>
  </si>
  <si>
    <t>41.10.6C.00.24</t>
  </si>
  <si>
    <t>EVALUACIÓN PROYECTO I+D+I NANOINTECH (ANUALIDAD 2016) SGS18-18TPA</t>
  </si>
  <si>
    <t>41.10.6C.00.25</t>
  </si>
  <si>
    <t>EVALUACIÓN DEL PROYECTO I+D+I BIPVSITE 16 ANUALIDAD 2016 SGS22-18TPA</t>
  </si>
  <si>
    <t>41.10.6C.00.26</t>
  </si>
  <si>
    <t>EVALUACÓN POR EXPERTO PROYECTO 2014/1108/PIV/04 CENTRO DE INVESTIGACIÓN COOPERATIVA EN  ENERGÍAS ALTERNATIVAS CIC ENERGIGUNE. AENOR4-18TPA</t>
  </si>
  <si>
    <t>41.10.6C.00.27</t>
  </si>
  <si>
    <t>EVALUACIÓN DEL PROYECTO METALFACE 0(ANUALIDAD 2015) SGS23-18TPA</t>
  </si>
  <si>
    <t>41.10.6C.00.28</t>
  </si>
  <si>
    <t>1ª factura a la firma del contrato  ESTUDIO DE VIABILIDAD: APLICACIÓN DE LA TECNOLOGÍA DE REGENERACIÓN ELECTROQUÍMICA CAASA1-18I</t>
  </si>
  <si>
    <t>41.10.6C.00.30</t>
  </si>
  <si>
    <t>EVALUACIÓN DEL PROYECTO I+D+I CALBRIDA1 (ANUALIDAD 2017) NÚMERO DE PEDIDO 6027360</t>
  </si>
  <si>
    <t>41.10.6C.00.31</t>
  </si>
  <si>
    <t>Evaluación de Proyecto I+D +I  CAZATUNES 4(anualidad 2014) número de pedido 6028068. SGS27-18TPA</t>
  </si>
  <si>
    <t>41.10.6C.00.32</t>
  </si>
  <si>
    <t xml:space="preserve">EVALUACIÓN DEL  PROYECTO I+D+i AQUACOLORZ (ANUALIDAD 2017) EXPERTO EMILIA MORALLÓN SGS28-18TPA NÚMERO DE PEDIDO 6028461 </t>
  </si>
  <si>
    <t>41.10.6C.00.33</t>
  </si>
  <si>
    <t>EVALUACIÓN PROYECTO I+D+I PASTEPAPER ANUALIDAD 2017 NÚMERO DE PEDIDO 6029745 SGS30-18TPA</t>
  </si>
  <si>
    <t>41.10.6C.00.34</t>
  </si>
  <si>
    <t xml:space="preserve">EVALUACIÓN PROYECTO I+D+I HMPESPUMA0 (ANUALIDAD 2017) NÚMERO DE PEDIDO 6029374 SGS 31/18TPA </t>
  </si>
  <si>
    <t>41.10.6M.00.01</t>
  </si>
  <si>
    <t>  MECENAZGO 18 INTERNATIONAL CONFERENCE ON DENSITIY FUNCTIONAL  THEORY AND ITS APLICATIONS. UNIVERSIDADVIENA1-17XPA</t>
  </si>
  <si>
    <t>41.10.6M.00.02</t>
  </si>
  <si>
    <t>MECENAZGO 18 INTERNATIONAL CONFERENCE DENSITY</t>
  </si>
  <si>
    <t>41.10.6M.00.03</t>
  </si>
  <si>
    <t>MECENAZGO COGRESO DFT JULIO 2019   REF. SCM1-18XPA</t>
  </si>
  <si>
    <t>41.10.6P.00.05</t>
  </si>
  <si>
    <t>FLIB. 31/07/18 PROYECTOS RETOS 2015 (ANUAL 2018). JUSTIFICACIÓN EXPEDIENTE PIA132015 Y FISCALES PROYECTOS I+D RETOS (PIA13) EXPEDIENTE: PIA1. REF. DEL ORDENANTE PARA EL BENEFICIARIO 27402218310020476.</t>
  </si>
  <si>
    <t>41.10.6P.00.06</t>
  </si>
  <si>
    <t>41.10.6P.00.07</t>
  </si>
  <si>
    <t>LIBERADOS EL 31/07/2018, ANUALIDAD 2018. JUSTIFICACIÓN EN EXPEDIENTES RESOL. 2018 Y FISCLAES PROYECTOS I+D (PIA1) EXPEDIENTE: PIA12015-1 REF. REF. DEL ORDENANTE PARA EL BENEFICIARIO  27402218310020406.</t>
  </si>
  <si>
    <t>41.10.6P.00.08</t>
  </si>
  <si>
    <t>41.10.6P.00.10</t>
  </si>
  <si>
    <t>41.10.6P.00.11</t>
  </si>
  <si>
    <t>41.10.6P.00.12</t>
  </si>
  <si>
    <t>41.10.6P.00.13</t>
  </si>
  <si>
    <t>41.10.6P.00.16</t>
  </si>
  <si>
    <t>PAGO FRAS. CONFIRMING  GENERALITAT VALENCIANA.  013167938. EDUCACIÓN, INVESTIGACIÓN. APE/2017 SUBVECIÓN CAPTACIÓN DE PROYECTOS EUROPEOS U OTROS PROGRAMAS DE CARÁCTER INTER. O. 86/2016. R. 17/11/2017.</t>
  </si>
  <si>
    <t>41.10.6P.00.29</t>
  </si>
  <si>
    <t>1ER PAGO CONVOCATORIA PROYECTOS RETOS 2017. AUAL 2018. (A). JUSTIFICACIÓN EXPEDIENTE PIA132017 PROYECTOS I+D RETOS (PIA13) N EXPEDIENTE: P. REF. DEL ORDENANTE PARA EL BENEFICIARIO 00175218310048878-2018/007613.</t>
  </si>
  <si>
    <t>PARA EL PAGO DE LA 1 ANUALIDAD CONVOCATORIA DE PROYECTOS RETOS 2017. ANUAL 2018. JUSTIFICACIÓN PIA132017 Y FISCALES PROYECTOS I+D RETOS (PI. REF. DEL ORDENANTE PARA EL BENEFICIARIO 27402218310019450.</t>
  </si>
  <si>
    <t>41.10.6X.00.01</t>
  </si>
  <si>
    <t>PORTABLECRAC. PREFINAN 3. LA OFICINA DE GESTIÓN DE PROYECTOS INTERNACIONALES INFORMA QUE SE TRATA DEL TERCER INGRESO DEL PROYECTO PORTABLECRAC. DEPARTAMENTO DE QUÍMICA FÍSICA.</t>
  </si>
  <si>
    <t xml:space="preserve">PORTABLECRAC. PREFINAN2. LA OFICINA DE GETIÓN DE PROYECTOS INTERNACIONALES INFORMA QUE SE TRATA DEL SEGUNDO INGRESO DEL PROYECTO PORTABLECRAC. DEPARTAMENTO DE QUÍMICA FÍSICA. </t>
  </si>
  <si>
    <t>41.10.6X.00.02</t>
  </si>
  <si>
    <t>PRE - FINANCING EFORFUEL GA763911. LA OFICINA DE GESTIÓN DE PROYECTOS INTERNACIONALES INFORMA QUE SE TRATA DEL PRIMER PAGO DEL PROYECTO EUROPEO EFORFUEL. INSTITUTO UNIVERSITARIO DE MATERIALES.</t>
  </si>
  <si>
    <t>41.10.6P.00.31</t>
  </si>
  <si>
    <t>TRASPASO EN CONCEPTO DE INGRESO DOTACION ADICIONAL. EN CLAVE 51136H0234 SE INGRESO LA TOTALIDAD (29.000 MÁS 6000 EUROS)</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</si>
  <si>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</si>
  <si>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</si>
  <si>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</si>
  <si>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</si>
  <si>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</si>
  <si>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</si>
  <si>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</si>
  <si>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</si>
  <si>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</si>
  <si>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</si>
  <si>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</si>
  <si>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</si>
  <si>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</si>
  <si>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</si>
  <si>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</si>
  <si>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</si>
  <si>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</si>
  <si>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</si>
  <si>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</si>
  <si>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</si>
  <si>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</si>
  <si>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 </t>
  </si>
  <si>
    <t>Codirector de tesis </t>
  </si>
  <si>
    <t/>
  </si>
  <si>
    <t>20/07/2017 </t>
  </si>
  <si>
    <t>Director de tesis </t>
  </si>
  <si>
    <t>28/09/2018 </t>
  </si>
  <si>
    <t>U052 </t>
  </si>
  <si>
    <t>ADM. I.U. DE MATERIALES </t>
  </si>
  <si>
    <t>DOCTORADO EN CIENCIA DE MATERIALES </t>
  </si>
  <si>
    <t>10.14</t>
  </si>
  <si>
    <t>QUÍMICA INORGÁNICA </t>
  </si>
  <si>
    <t>Rojas Mayorga, Cintia Karina </t>
  </si>
  <si>
    <t>OPTIMIZACIÓN DE LAS CONDICIONES DE SÍNTESIS Y PROPIEDADES DE ADSORCIÓN DEL CARBÓN DE HUESO PARA PROCESOS DE DEFLUORACIÓN DEL AGUA </t>
  </si>
  <si>
    <t>06/04/2017 </t>
  </si>
  <si>
    <t>Abidi , Maali </t>
  </si>
  <si>
    <t>CHEMICAL AND ELECTROCHEMICAL SYNTHESIS OF POLYMERS OBTAINED FROM SUSTITUTED PHENOLS </t>
  </si>
  <si>
    <t>07/09/2017 </t>
  </si>
  <si>
    <t>Sancho Querol, Sara </t>
  </si>
  <si>
    <t>NUEVOS ADHESIVOS TERMOFUSIBLES SENSIBLES A LA PRESIÓN DE COPOLÍMEROS DE ETILENO CON PROPIEDADES INTELIGENTES </t>
  </si>
  <si>
    <t>09/02/2018 </t>
  </si>
  <si>
    <t>Llorens Esteve, Juan </t>
  </si>
  <si>
    <t>DISEÑO DE LAS PROPIEDADES DE DISPERSIONES DE POLIURETANO COMO ADHESIVOS MEDIANTE EL CONTROL DEL PROCESO DE SÍNTESIS </t>
  </si>
  <si>
    <t>Dednam , Wynand </t>
  </si>
  <si>
    <t>ATOMISTIC SIMULATIONS OF COMPETING INFLUENCES ON ELECTRON TRANSPORT ACROSS METAL NANOCONTACTS </t>
  </si>
  <si>
    <t>06/09/2019 </t>
  </si>
  <si>
    <t>29/09/2017 </t>
  </si>
  <si>
    <t>50</t>
  </si>
  <si>
    <t>20</t>
  </si>
  <si>
    <t>ZZ </t>
  </si>
  <si>
    <t>SIN ASIGNAR </t>
  </si>
  <si>
    <t>10</t>
  </si>
  <si>
    <t>B169 </t>
  </si>
  <si>
    <t>QUÍMICA ANALÍTICA, NUTRICIÓN Y BROMATOLOGÍA </t>
  </si>
  <si>
    <t>B169</t>
  </si>
  <si>
    <t>40</t>
  </si>
  <si>
    <t>30</t>
  </si>
  <si>
    <t>28/07/2017 </t>
  </si>
  <si>
    <t>23/11/2016 </t>
  </si>
  <si>
    <t>100</t>
  </si>
  <si>
    <t>B128 </t>
  </si>
  <si>
    <t>QUÍMICA FÍSICA </t>
  </si>
  <si>
    <t>B128</t>
  </si>
  <si>
    <t>17/07/2017 </t>
  </si>
  <si>
    <t>05/04/2019 </t>
  </si>
  <si>
    <t>52776283T </t>
  </si>
  <si>
    <t>García Aguilar, Jaime </t>
  </si>
  <si>
    <t>PROCESOS MÁS EFICIENTES EN CATÁLISIS MEDIANTE LA SÍNTESIS DE NUEVOS RECUBRIMIENTOS Y RELLENOS </t>
  </si>
  <si>
    <t>B117 </t>
  </si>
  <si>
    <t>FISICA APLICADA </t>
  </si>
  <si>
    <t>DOCTORADO EN NANOCIENCIA Y NANOTECNOLOGÍA </t>
  </si>
  <si>
    <t>B117</t>
  </si>
  <si>
    <t>51396407D </t>
  </si>
  <si>
    <t>07495796G </t>
  </si>
  <si>
    <t>21475467E </t>
  </si>
  <si>
    <t>Olivera Esteve, Bernat Josep </t>
  </si>
  <si>
    <t>ELECTRONIC TRANSPORT IN METALS AT THE ATOMIC SCALE: CAPACITANCE, EMERGENT MAGNETISM AND F-ELECTRONS INFLUENCE </t>
  </si>
  <si>
    <t>22/09/2017 </t>
  </si>
  <si>
    <t>Martínez Asencio, Jesús </t>
  </si>
  <si>
    <t>SIMULACIÓN ATOMÍSTICA DE MANIPULACIÓN E IRRADIACIÓN DE GRAFITO Y GRAFENO </t>
  </si>
  <si>
    <t>26/01/2018 </t>
  </si>
  <si>
    <t>33492585P </t>
  </si>
  <si>
    <t>21462156M </t>
  </si>
  <si>
    <t>López Bernabeu, Sara </t>
  </si>
  <si>
    <t>TRANSFERENCIA ELECTRÓNICA DIRECTA A CITOCROMO C INMOVILIZADO SOBRE ELECTRODOS MODIFICADOS. APLICACIÓN EN SENSORES AMPEROMÉTRICOS </t>
  </si>
  <si>
    <t>Abellán Llobregat, Alejandra </t>
  </si>
  <si>
    <t>DEVELOPMENT OF ELECTROCHEMICAL SENSORS BASED ON NANOSTRUCTURED CARBON MATERIALS FOR HEALTH-CARE APPLICATIONS </t>
  </si>
  <si>
    <t>08/03/2017 </t>
  </si>
  <si>
    <t>Mostazo López, María José </t>
  </si>
  <si>
    <t>FUNCIONALIZACIÓN QUÍMICA DE MATERIALES CARBONOSOS PARA ALMACENAMIENTO Y GENERACIÓN DE ENERGÍA </t>
  </si>
  <si>
    <t>Gabe , Atsushi </t>
  </si>
  <si>
    <t>UNDERSTANDING OF CARBON ACTIVE SITES FOR OXYGEN REDUCTION REACTION </t>
  </si>
  <si>
    <t>11/10/2018 </t>
  </si>
  <si>
    <t>B129 </t>
  </si>
  <si>
    <t>B129</t>
  </si>
  <si>
    <t>21994647T </t>
  </si>
  <si>
    <t>48318313M </t>
  </si>
  <si>
    <t>21516469S </t>
  </si>
  <si>
    <t>22131716N </t>
  </si>
  <si>
    <t>21462916Y </t>
  </si>
  <si>
    <t>21996705B </t>
  </si>
  <si>
    <t>52775130C </t>
  </si>
  <si>
    <t>21445209D </t>
  </si>
  <si>
    <t>Adsuar García, María Dolores </t>
  </si>
  <si>
    <t>CATALIZADORES BIFUNCIONALES PARA LA HIDROGENACIÓN HIDROLÍTICA DE LA CELULOSA </t>
  </si>
  <si>
    <t>Leyva García, Sarai </t>
  </si>
  <si>
    <t>ADVANCED NANOSTRUCTURED CARBON MATERIALS FOR ELECTROCHEMICAL ENERGY STORAGE DEVICES: SUPERCAPACITORS AND MICRO-CAPACITORS </t>
  </si>
  <si>
    <t>Giménez Mañogil, Javier Antonio </t>
  </si>
  <si>
    <t>DESARROLLO DE CATALIZADORES BASADOS EN CU/CERIA-ZIRCONIA PARA LA COMBUSTIÓN DE CARBONILLA Y ELIMINACIÓN DE NOX EN MOTORES DIESEL </t>
  </si>
  <si>
    <t>19/09/2017 </t>
  </si>
  <si>
    <t>22138935D </t>
  </si>
  <si>
    <t>Albaladejo Fuentes, Vicente </t>
  </si>
  <si>
    <t>CATALIZADORES CU-PEROVSKITA PARA LA ELIMINACIÓN DE NOX PROCEDENTE DE MOTERES DIÉSEL </t>
  </si>
  <si>
    <t>22008854Q </t>
  </si>
  <si>
    <t>Caccia , Mario Raul </t>
  </si>
  <si>
    <t>SYNTHESIS AND PROCESSING OF SIC-BASED COMPOSITE MATERIALS BY REACTIVE INFILTRATION </t>
  </si>
  <si>
    <t>20/10/2016 </t>
  </si>
  <si>
    <t>Cano Casanova, Laura </t>
  </si>
  <si>
    <t>SÍNTESIS Y CARACTERIZACIÓN DE FOTOCATALIZADORES NANOESTRUCTURADOS TIO2 Y TIO2-C PARA SU APLICACIÓN EN LA OXIDACIÓN DE COVS </t>
  </si>
  <si>
    <t>Camarano Cestona, Antonio Daniel </t>
  </si>
  <si>
    <t>SÍNTESIS Y CARACTERIZACIÓN DE MATERIALES COMPUESTOS BASADOS EN SIC E IR </t>
  </si>
  <si>
    <t>Amorós Pérez, Ana </t>
  </si>
  <si>
    <t>TIO2 BASED PHOTOCATALYSTS FOR ENVIRONMENTAL REMEDIATION REACTIONS </t>
  </si>
  <si>
    <t>12/04/2019 </t>
  </si>
  <si>
    <t>Alcalde Santiago, Virginia </t>
  </si>
  <si>
    <t>MACROPOROUS INORGANIC OXIDES FOR NOX ABATEMENT AND CATALYTIC SOOT COMBUSTION IN DIESEL ENGINES </t>
  </si>
  <si>
    <t>10/05/2019 </t>
  </si>
  <si>
    <t>21507611N </t>
  </si>
  <si>
    <t>Davó Quiñonero, Arantxa María </t>
  </si>
  <si>
    <t>COPPER-BASED CATALYSTS FOR THE PREFERENTIAL CO OXIDATION IN H2-RICH STREAMS (CO-PROX REACTION) </t>
  </si>
  <si>
    <t>26/07/2019 </t>
  </si>
  <si>
    <t>Azar ., Fatima-Zahra </t>
  </si>
  <si>
    <t>CATALYTIC CONVERSION OF CELLULOSE AND BIOMASS INTO HIGH ADDED-VALUE CHEMICALS USING CARBON MATERIALS AND RU CATALYSTS </t>
  </si>
  <si>
    <t>01/03/2019 </t>
  </si>
  <si>
    <t>33364292D </t>
  </si>
  <si>
    <t>21415868Q </t>
  </si>
  <si>
    <t>Fernández Martínez, Elena </t>
  </si>
  <si>
    <t>NUEVOS AVANCES EN METODOLOGÍAS ANALÍTICAS BASADAS EN TÉCNICAS MINIATURIZADAS DE EXTRACCIÓN EN FASE SÓLIDA Y EN FASE LÍQUIDA </t>
  </si>
  <si>
    <t>44766117K </t>
  </si>
  <si>
    <t>Costa Dos Reis Cruz, Luciana </t>
  </si>
  <si>
    <t>METODOLOGÍAS ANALÍTICAS RESPETUOSAS CON EL MEDIO AMBIENTE PARA LA DETERMINACIÓN DE MICROCONTAMINANTES ORGÁNICOS EN AGUAS </t>
  </si>
  <si>
    <t>25/09/2018 </t>
  </si>
  <si>
    <t>B178</t>
  </si>
  <si>
    <t>NIF</t>
  </si>
  <si>
    <t>NOMBRE_COMPLETO</t>
  </si>
  <si>
    <t>TIPO_SEXENIO</t>
  </si>
  <si>
    <t>Total general</t>
  </si>
  <si>
    <t>INS
1</t>
  </si>
  <si>
    <t>DED
INS 1</t>
  </si>
  <si>
    <t>INS
2</t>
  </si>
  <si>
    <t>DED
INS 2</t>
  </si>
  <si>
    <t>DED
DEP</t>
  </si>
  <si>
    <t>SEX
INS 1</t>
  </si>
  <si>
    <t>SEX
INS 2</t>
  </si>
  <si>
    <t>SEX
DEP</t>
  </si>
  <si>
    <t>FUNCIONARIO</t>
  </si>
  <si>
    <t>23213158V</t>
  </si>
  <si>
    <t>ABRIL SANCHEZ, ISABEL</t>
  </si>
  <si>
    <t>25127766J</t>
  </si>
  <si>
    <t>ALCAÑIZ MONGE, JUAN ANTONIO</t>
  </si>
  <si>
    <t>52776283T</t>
  </si>
  <si>
    <t>BERENGUER MURCIA, ANGEL</t>
  </si>
  <si>
    <t>21396421G</t>
  </si>
  <si>
    <t>BOJ GIMENEZ, PEDRO JOSE</t>
  </si>
  <si>
    <t>21507611N</t>
  </si>
  <si>
    <t>BUENO LOPEZ, AGUSTIN</t>
  </si>
  <si>
    <t>21415868Q</t>
  </si>
  <si>
    <t>CANALS HERNANDEZ, ANTONIO</t>
  </si>
  <si>
    <t>21475467E</t>
  </si>
  <si>
    <t>CATURLA TEROL, MARIA JOSE</t>
  </si>
  <si>
    <t>21994647T</t>
  </si>
  <si>
    <t>CAZORLA AMOROS, DIEGO</t>
  </si>
  <si>
    <t>48765309L</t>
  </si>
  <si>
    <t>CHIAPPE ACOSTA, GUILLERMO</t>
  </si>
  <si>
    <t>51396407D</t>
  </si>
  <si>
    <t>DIAZ GARCIA, MARIA ANGELES</t>
  </si>
  <si>
    <t>22138935D</t>
  </si>
  <si>
    <t>GARCIA GARCIA, AVELINA ANTONIA</t>
  </si>
  <si>
    <t>33364292D</t>
  </si>
  <si>
    <t>HIDALGO NUÑEZ, MARIA MONTSERRAT</t>
  </si>
  <si>
    <t>21462916Y</t>
  </si>
  <si>
    <t>ILLAN GOMEZ, MARIA JOSE</t>
  </si>
  <si>
    <t>48318313M</t>
  </si>
  <si>
    <t>LILLO RODENAS, MARIA ANGELES</t>
  </si>
  <si>
    <t>52775130C</t>
  </si>
  <si>
    <t>LOZANO CASTELLO, DOLORES</t>
  </si>
  <si>
    <t>22131716N</t>
  </si>
  <si>
    <t>MARTINEZ ESCANDELL, MANUEL</t>
  </si>
  <si>
    <t>21669783B</t>
  </si>
  <si>
    <t>MOLINA JORDA, JOSE MIGUEL</t>
  </si>
  <si>
    <t>24115903N</t>
  </si>
  <si>
    <t>MOLINA SABIO, MIGUEL</t>
  </si>
  <si>
    <t>33492585P</t>
  </si>
  <si>
    <t>MONTILLA JIMENEZ, FRANCISCO</t>
  </si>
  <si>
    <t>21462156M</t>
  </si>
  <si>
    <t>MORALLON NUÑEZ, EMILIA</t>
  </si>
  <si>
    <t>21445209D</t>
  </si>
  <si>
    <t>NARCISO ROMERO, FRANCISCO JAVIER</t>
  </si>
  <si>
    <t>21477076K</t>
  </si>
  <si>
    <t>PASTOR BLAS, MARIA DE LAS MERCEDES</t>
  </si>
  <si>
    <t>21996705B</t>
  </si>
  <si>
    <t>ROMAN MARTINEZ, MARIA DEL CARMEN</t>
  </si>
  <si>
    <t>03418555L</t>
  </si>
  <si>
    <t>SAN FABIAN MAROTO, EMILIO</t>
  </si>
  <si>
    <t>52770995W</t>
  </si>
  <si>
    <t>SANCHO GARCIA, JUAN CARLOS</t>
  </si>
  <si>
    <t>21980176L</t>
  </si>
  <si>
    <t>SEPULVEDA ESCRIBANO, ANTONIO</t>
  </si>
  <si>
    <t>21516469S</t>
  </si>
  <si>
    <t>SILVESTRE ALBERO, JOAQUIN</t>
  </si>
  <si>
    <t>07495796G</t>
  </si>
  <si>
    <t>UNTIEDT LECUONA, CARLOS</t>
  </si>
  <si>
    <t>44766117K</t>
  </si>
  <si>
    <t>VIDAL MARTINEZ, LORENA</t>
  </si>
  <si>
    <t>04567901D</t>
  </si>
  <si>
    <t>VILLALVILLA SORIA, JOSE MOISES</t>
  </si>
  <si>
    <t>Djelad , Halima </t>
  </si>
  <si>
    <t>"SYNTESIS OF HYBRID SILICA-ORGANIC MATERIALS FOR THE DEVELOPMENT OF ELECTROCHEMICAL BIOSENSING APPLICATIONS" </t>
  </si>
  <si>
    <t>27/09/2019 </t>
  </si>
  <si>
    <t>41.10.6C.00.01</t>
  </si>
  <si>
    <t>REGALIAS POR TRANSFERENCIA DE TECNOLOGÍA CONTRATO G2MTI1 (EBT)-110</t>
  </si>
  <si>
    <t>REINTEGRO CUOTA PATRONAL CORRESPONDIENTE AL MES DE DICIEMBRE DE 2019.</t>
  </si>
  <si>
    <t>4ª FACTURA  9 MESES DE AL FIRMA DE LA ADENDA CONTRATO "ESTUDIO DE LA RESPUESTA DE SENSORES ELECTRÓQUÍMICOS"</t>
  </si>
  <si>
    <t>4 factura proyecto ¿CONDENSADORES DE ION Li E ION Na. SELECCIÓN Y CARACTERIZACIÓN DE MATERIALES CARBONOSOS CON DISTINTA ESTRUCTURA Y TEXTURA POROSA?</t>
  </si>
  <si>
    <t>2ª y ÚLTIMA FACTURA PROYECTO:ESTUDIO DE VIABILIDAD: APLICACIÓN DE LA TECNOLOGÍA DE REGENERACIÓN ELECTROQUÍMICA</t>
  </si>
  <si>
    <t>41.10.6C.00.29</t>
  </si>
  <si>
    <t>1ª factura "Estudio de la naturaleza de los diferentes componentes de una célula  de electrolisis suministrada por la empresa, así como de los productos formados en dicha electrolsis utilizando las condiciones  indicadas por la empresa" conforme a modificación tramitada marzo 2019</t>
  </si>
  <si>
    <t xml:space="preserve">2º factura proyecto   "Estudio de la naturaleza de los diferentes componentes de una célula de elctrolisis suministrada por la empresa, así como de los productos formados en dicha electrolisis utilizando las condicione  indicadas por la empresa" </t>
  </si>
  <si>
    <t>3ª factura proyecto "Estudio de la naturaleza  de los diferentes componentes de una célula  de electrólisis suministrada por la empresa, así como  de los productos formados  en dicha eletrólisis utilizando  las condiciones indicadas por la empresa"</t>
  </si>
  <si>
    <t>41.10.6C.00.35</t>
  </si>
  <si>
    <t>FACTURA CORRESPONDIENTE AL "ESTUDIO DE LA MOLIENDA DEL PRODUCTO HIDROXIDO DE MAGNESIO DE ACUERDO  A LA PROPUESTA DEL PLAN DETALLADO" IP JOSÉ MIGUEL MOLINA JORDA "PROYECTO HIDROMAGNE"</t>
  </si>
  <si>
    <t>41.10.6C.00.36</t>
  </si>
  <si>
    <t>FACTURA PRESTACIÓN SERVICIOS ILUKA1-19TPA UNIVERSIDAD ALICANTE JOAQUÍN SILVESTRE ALBERO</t>
  </si>
  <si>
    <t>41.10.6C.00.37</t>
  </si>
  <si>
    <t>Ref. Pedido 6030687 Evaluación de Proyecto I+D +I  HIGHAGUA18. Experto 4D: Emilia Morallón Núñez</t>
  </si>
  <si>
    <t>41.10.6C.00.38</t>
  </si>
  <si>
    <t>Evaluación de Proyecto I+D +I  MULTILAYER(anualidad 2017). Número de pedido 6030694 Experto 4D: Emilia Morallón Núñez</t>
  </si>
  <si>
    <t>41.10.6C.00.39</t>
  </si>
  <si>
    <t>Evaluación de Proyecto I+D +I  DCUONCENT(anualidad 2017). Número de pedido 6031450 Experto 4D: Emilia Morallón Núñez</t>
  </si>
  <si>
    <t>41.10.6C.00.40</t>
  </si>
  <si>
    <t>FACTURA "EVALUACIÓN DEL PROYECTO I+D+I NEWPREFORM (ANUALIDAD 2017)" REFERENCIA DE PEDIDO. 6032168 EXPERTO 4D: EMILIA MORALLON NUÑEZ</t>
  </si>
  <si>
    <t>41.10.6C.00.41</t>
  </si>
  <si>
    <t>3º FACTURA 1- CONSULTANCY SERVICES IN THE DEVELOPMENT OF A HIGH PERFORMANCE, RELIABLE AND INEXPENSIVE POROUS MATERIAL FOR THE STORAGE OS NATURAL GAS FOR STORAGE/TRANSPORTATION APPLICATIONS ( ABSORBED NATURAL GAS TECHNOLOGY) 3500048831</t>
  </si>
  <si>
    <t>FACTURA 1-CONSULTANCY SERVICES IN THE DEVELOPMENT OF A HIGH PERFORMANCE, RELIABLE AND INEXPENSIVE POROUS MATERIAL FOR THE STORAGE OF NATURAL GAS FOR STORAGE/TRANSPORTATION APPLICATIONS (ADSORBED NATURAL GAS TECHNOLOGY).3500048831</t>
  </si>
  <si>
    <t>FACTURA 2-CONSULTANCY SERVICES IN THE DEVELOPMENT OF A HIGH PERFORMANCE, RELIABLE AND INEXPENSIVE POROUS MATERIAL FOR THE STORAGE OF NATURAL GAS FOR STORAGE/TRANSPORTATION APPLICATIONS (ADSORBED NATURAL GAS TECHNOLOGY)  3500048831</t>
  </si>
  <si>
    <t>41.10.6C.00.42</t>
  </si>
  <si>
    <t>EVALUACIÓN PROYECTO I+D+I " FUNDACÓN CENTRO DE INVESTIGACIÓN COOPERATIVA EN ENERGÍAS ALTERNATIVAS CIC ENERGIGUNE 2014/1108/PIV/05</t>
  </si>
  <si>
    <t>41.10.6C.00.44</t>
  </si>
  <si>
    <t>1ª FACTURA INICIO TRABAJOS DE INVESTIGACIÓN RELACIONADOS CON EL PROYECTO "CONDENSADORES DE ION Li E ION Na. SELECCIÓN Y CARACTERIZACIÓN DE MATERIALES CARBONOSOS CON DISTINTA ESTRUCTURA Y TEXTURA POROSA- FASE II</t>
  </si>
  <si>
    <t>41.10.6C.00.45</t>
  </si>
  <si>
    <t>CARACTERIZACIÓN DE LA POROSIDAD DE 18 MUESTRAS DE CARBÓN ACTIVADO MEDIANTE LA REALIZACIÓN DE ISOTERMAS DE ADSORCIÓN DE NITRÓGENO A 77K NÚMERO DE PEDIDO 4500238744</t>
  </si>
  <si>
    <t>41.10.6C.00.46</t>
  </si>
  <si>
    <t>EVALUACIÓN DEL PROYECTO I+D+I  RECIPETAPA (ANUALIDAD 2018) Experto 4D: Emilia Morallón Núñez Ref. pedido. 6034079</t>
  </si>
  <si>
    <t>41.10.6C.00.47</t>
  </si>
  <si>
    <t xml:space="preserve">EVALUACIÓN DEL PROYECTO DE I+D+i ENVAGRESIV (ANUALIDAD 2018)  Experto 4D: Emilia Morallón Núñez Nº 6034080 </t>
  </si>
  <si>
    <t>41.10.6C.00.48</t>
  </si>
  <si>
    <t>CARACTERIZACIÓN 3 MUESTRAS CARBON ACTIVADO. Analíticas avanzadas carbones activos. COMRDI15-1-0037 L'objecte d'aquesta oferta es podria cofinançar pel Fons Europeu de Desenvolupament Regional (FEDER) de la Unió Europea, en el marc del Programa operatiu FEDER de Catalunya 2014- 2020.     Objectiu d'inversió en creixement i ocupació.</t>
  </si>
  <si>
    <t>41.10.6C.00.49</t>
  </si>
  <si>
    <t>CARACTERIZACIÓN DE 6 MUESTRAS CARBÓN ACTIVADO. COMRDI15-1-0037 Combustibles Sintètics (CoSin) L¿objecte d¿aquesta oferta es podria cofinançar pel Fons Europeu de Desenvolupament Regional (FEDER) de la Unió Europea</t>
  </si>
  <si>
    <t>41.10.6C.00.50</t>
  </si>
  <si>
    <t xml:space="preserve">EVALUACIÓN DEL PROYECTO I+D+I METALSILIC  NÚMERO DE PEDIDO 6036133 EXPERTO 4D: EMILIA MORALLON NUÑEZ </t>
  </si>
  <si>
    <t>41.10.6F.00.04</t>
  </si>
  <si>
    <t>INGRESO REALIZADO POR ERROR A LA CUENTA DE LA UA EN LUGAR DE REALIZARLA A LA CUENTA DE VIAJES HISPANIA (GRUPO DE INVESTIGACIÓN DEL IUMA EN CONGRESO DEL DFT 19).</t>
  </si>
  <si>
    <t>41.10.6M.00.04</t>
  </si>
  <si>
    <t>MECENAZGO DE ACTIVIDADES DE LA ORGANIZACIÓN Y REALIZACIÓN DEL CONGRESO" EIGHTH INTERNATIONAL CONFERENCE ON CARBON FOR ENERGY  STORAGE AND ENVIROMENT PROTECTION CESEP19" POR LA UNIVERSIDAD DE ALICANTE</t>
  </si>
  <si>
    <t>41.10.6M.00.05</t>
  </si>
  <si>
    <t>FLIB 23/04/2019. PROYECTOS RETOS I+D+I 2015. ANUAL 2019 PROYECTOS I+D RETOS (PIA13) N EXPEDIENTE: PIA132015-1 -4 ANUALIDAD REFERENCIA: CTQ2. REF. DEL ORDENANTE PARA EL BENEFICIARIO: 27402219310017735.</t>
  </si>
  <si>
    <t>LIBERADOS 23/05/2019, ANUALIDAD 2019 PROYECTOS I+D RETOS (PIA 13) N EXPEDIENTE: PIA132016-1-4 ANUALIDAD REFERENCIA: CTQ2016-79991-R. REF. DEL ORDENANTE PARA EL BENEFICIARIO: 27402219310019222.</t>
  </si>
  <si>
    <t>LIBERADOS EL 23/04/2019, ANUALIDAD 2019 PROYECTOS I+D (PIA1) N EXPEDIENTE: PIA12016-1 - 4 ANUALIDAD REFERENCIA: MAT2016-77742-C2-2-P. REF. DEL ORDENANTE PARA EL BENEFICIARIO: 27402219310018250.</t>
  </si>
  <si>
    <t>LIBERADOS EL 02/07/2019, ANUALIDAD 2019 PROYECTOS I+D (PIA1) N EXPEDIENTE: PIA12016-1 - 4 ANUALIDAD REFERENCIA: MAT2016-80285-P. REF. DEL ORDENANTE PARA EL BENEFICIARIO 27402219310020625.</t>
  </si>
  <si>
    <t>FLIB 23/04/19. PROYECTOS RETOS I+D+I 2016. ANUAL 2019 PROYECTOS I+D RETOS (PIA13) N EXPEDIENTE: PIA132016-1 - 4 ANUALIDAD REFERENCIA: MAT2. REF. DEL ORDENANTE PARA EL BENEFICIARIO: 27402219310017866.</t>
  </si>
  <si>
    <t>FLIB 18/03/19. PROYECTOS I+D+I RETOS 2017. ANUAL 2019. UNIV2 PROYECTOS I+D RETOS (PIA13) N EXPEDIENTE: PIA132017-1 -2 ANUALIDAD. REFERENCI. REF. ORDENANTE: 27402219310014399.</t>
  </si>
  <si>
    <t>41.10.6P.00.32</t>
  </si>
  <si>
    <t xml:space="preserve">PROMETEO 2018 EN 2019 </t>
  </si>
  <si>
    <t>41.10.6P.00.34</t>
  </si>
  <si>
    <t>RAMÓN Y CAJAL EXPEDIENTE: RYC-2017-1 SOLICITUDES: RYC-2017-23618 - 1 ANUALIDAD. REF. DEL ORDENANTE PARA EL BENEFICIARIO: 27402219310018086.</t>
  </si>
  <si>
    <t>41.10.6P.00.35</t>
  </si>
  <si>
    <t>PAGO 1 ANUALIDAD PROYECTOS RETOS I+D+I 2018. ANUAL 2019 PROYECTOS I+D RETOS (PIA 13) N EXPEDIENTE: PIA 132018 - 1- 1 ANUALIDAD REFERENCIA: R. REFERENCIA DEL ORDENANTE PARA EL BENEFICIARIO: 00173219310010845 - 2019/009666</t>
  </si>
  <si>
    <t>PARA EL PAGO DE LA ANUALIDAD 2019 DE LA CONVOCATORIA RTI 2018 PROYECTOS I+D RETOS (PIA 13) N EXPEDIENTE: PIA 132018-1 - 1 ANUALIDAD REFERENC. REFERENCIA DEL ORDENANTE PARA EL BENEFICIARIO: 27402219310025833.</t>
  </si>
  <si>
    <t>PORTABLECRAC. FINANCING5. LA OFICINA DE GESTIÓN DE PROYECTOS INTERNACIONALES INFORMA QUE SE TRATA DEL QUINTO INGRESO DEL PROYECTO PORTABLECRAC. DEPARTAMENTO DE QUÍMICA FÍSICA.</t>
  </si>
  <si>
    <t>PORTABLECRAC. PREFINAN4. M20. LA OFICINA DE GESTIÓN DE PROYECTOS INTERNACIONALES INFORMA QUE SE TRATA DEL CUARTO INGRESO DEL PROYECTO PORTABLECRAC. DEPARTAMENTO DE QUÍMICA FÍSICA.</t>
  </si>
  <si>
    <t>Murillo Acevedo, Yesid Sneider </t>
  </si>
  <si>
    <t>Estudio del efecto de las propiedades fisicoquímicas del carbón activado como soporte catálitico y fotocatalizador para la degradación de fenol desde solución acuosa </t>
  </si>
  <si>
    <t>13/08/2020 </t>
  </si>
  <si>
    <t>B164 </t>
  </si>
  <si>
    <t>FISIOLOGÍA, GENÉTICA Y MICROBIOLOGÍA </t>
  </si>
  <si>
    <t>DOCTORADO EN BIOLOGÍA EXPERIMENTAL Y APLICADA </t>
  </si>
  <si>
    <t>Alustiza Fernandez, Miren </t>
  </si>
  <si>
    <t>Búsqueda de biomarcadores para la detección de enfermedades gastrointestinales </t>
  </si>
  <si>
    <t>18/09/2020 </t>
  </si>
  <si>
    <t>Baile Pomares, Paola </t>
  </si>
  <si>
    <t>DESARROLLO DE NUEVAS METODOLOGÍAS ECOLÓGICAS APLICADAS AL ANÁLISIS CLÍNICO </t>
  </si>
  <si>
    <t>18/11/2019 </t>
  </si>
  <si>
    <t>Campello Gómez, Ignacio </t>
  </si>
  <si>
    <t>Estudio de los mecanismos de activación y aplicabilidad de materiales carbonosos derivados de espumas de poliuretano en procesos de adsorción, separación de gases y biomedicina </t>
  </si>
  <si>
    <t>20/12/2019 </t>
  </si>
  <si>
    <t>Fernández Catalá, Javier </t>
  </si>
  <si>
    <t>Catalizadores micro- y nanoestructurados para la oxidación de hidrocarburos y producción de hidrógeno </t>
  </si>
  <si>
    <t>20/03/2020 </t>
  </si>
  <si>
    <t>Quílez Bermejo, Javier </t>
  </si>
  <si>
    <t>Design of N-doped carbon materials for ORR electrocatalysts through the combination of computational modelling and chemical synthesis </t>
  </si>
  <si>
    <t>04/09/2020 </t>
  </si>
  <si>
    <t>Quintero Jaime, Andrés Felipe </t>
  </si>
  <si>
    <t>Electrochemical functionalization of nanostructured carbon materials for bioelectrochemical applications </t>
  </si>
  <si>
    <t>22/07/2020 </t>
  </si>
  <si>
    <t>COD DEP</t>
  </si>
  <si>
    <t>74663636R</t>
  </si>
  <si>
    <t>RAMOS FERNANDEZ, ENRIQUE VICENTE</t>
  </si>
  <si>
    <t>Gandara Loe, Jesus </t>
  </si>
  <si>
    <t>LARGE VERSATILITY OF METAL-ORGANIC FRAMEWORKS (MOFS) IN GAS/LIQUID ADSORPTION PROCESSES </t>
  </si>
  <si>
    <t>08/10/2020 </t>
  </si>
  <si>
    <t>Ripoll Seguer, Laura </t>
  </si>
  <si>
    <t>Sensibilización de la técnica Espectroscopía de Plasmas Producidos por Laser para el análisis de muestras líquidas mediante el uso de procedimientos de preparación de la muestra eficientes y fácilmente automatizables </t>
  </si>
  <si>
    <t>28/10/2020 </t>
  </si>
  <si>
    <t>Cuadrado Collados, Carlos </t>
  </si>
  <si>
    <t>FORMATION AND GROWTH OF CH4 HYDRATES IN THE CONFINED SPACE OF POROUS MATERIALS </t>
  </si>
  <si>
    <t>20/10/2020 </t>
  </si>
  <si>
    <t>García Martínez, Noel Alberto </t>
  </si>
  <si>
    <t>Functionalized Bilayer Graphene For Quantum Technologies </t>
  </si>
  <si>
    <t>28/09/2021 </t>
  </si>
  <si>
    <t>00832982Z </t>
  </si>
  <si>
    <t>Merino González, Camilo </t>
  </si>
  <si>
    <t>Diseño y prototipo de supercondensador asimétrico en electrolito acuoso basado en materiales carbonosos </t>
  </si>
  <si>
    <t>18/01/2021 </t>
  </si>
  <si>
    <t>García Martínez, Miriam </t>
  </si>
  <si>
    <t>Diseño, construcción y evaluación de un nuevo nebulizador multiconducto como estrategia innovadora para mejorar los parámetros analíticos de calidad en los análisis de muestras de matriz compleja mediante técnicas basadas en plasma: (ICP OES e ICP-MS </t>
  </si>
  <si>
    <t>10/05/2021 </t>
  </si>
  <si>
    <t>Ortiz Cano, Ricardo </t>
  </si>
  <si>
    <t>Electronic and spin properties of open-shell nanographenes </t>
  </si>
  <si>
    <t>29/09/2021 </t>
  </si>
  <si>
    <t>52770995W </t>
  </si>
  <si>
    <t>Ortega Murcia, Alejandro </t>
  </si>
  <si>
    <t>Preparación y caracterización de (electro)catalizadores basados en nanopartículas de paladio soportadas sobre materiales de carbón </t>
  </si>
  <si>
    <t>22/03/2021 </t>
  </si>
  <si>
    <t>Torregrosa Rivero, Verónica </t>
  </si>
  <si>
    <t>BaMnO3 perovskite-based catalysts for pollution control generated by higlhy efficient automotive engines </t>
  </si>
  <si>
    <t>17/09/2021 </t>
  </si>
  <si>
    <t>Ferrández Gómez, Borja </t>
  </si>
  <si>
    <t>Regeneración electroquímica de carbón activado usado en plantas potabilizadoras de agua: escalado, optimización y validación de prototipos </t>
  </si>
  <si>
    <t>Flores Lasluisa, Jhony Xavier </t>
  </si>
  <si>
    <t>Síntesis de electrocatalizadores basados en perovskitas, espinelas y materiales carbonosos para reacciones de almacenamiento y producción de energía </t>
  </si>
  <si>
    <t>11/06/2021 </t>
  </si>
  <si>
    <t>Chaparro Garnica, Cristian Yesid </t>
  </si>
  <si>
    <t>Design of monolithic supports by 3D printing for its application in catalysis </t>
  </si>
  <si>
    <t>05/02/2021 </t>
  </si>
  <si>
    <t>Cárdenas Arenas, Liliana Andrea </t>
  </si>
  <si>
    <t>Ni-based catalysts supported on CeO2 for CO2 valorisation </t>
  </si>
  <si>
    <t>02/02/2021 </t>
  </si>
  <si>
    <t>75483529J </t>
  </si>
  <si>
    <t>Pago de regalías por transferencia de tecnología 2019</t>
  </si>
  <si>
    <t>QUINTA Y ÚLTIMA FACTURA ADDENDA DEL CONTRATO " ESTUDIOS DE LA RESPUESTA DE SENSORES ELECTROQUÍMICOS".</t>
  </si>
  <si>
    <t>4º factura " Consultancy services in the development of a High performance, reliable and inexpensive porous material for the storage os natural gas for storage/ transportation applications absorbed natural gas technology) 3500048831</t>
  </si>
  <si>
    <t>FACTURA FINAL PROYECTO "CONSULTANCY SERVICES IN THE DEVELOPMENT OF A HIGH PERFORMANCE RELIABLE AND INEXPENSIVE  POROUS MATERIAL FOR THE STORAGE OS NATURAL GAS FOR STORAGE/ TRANSPORTATION APPLICATIONS (ABSORBED NATURAL GAS TECNOLOGY" 3500048831</t>
  </si>
  <si>
    <t>2 PAGO PROYECTO "CONDENSADORES DE ION Li E ION Na. SELECCIÓN Y CARACTERIZACIÓN DE MATERIALES CARBONOSOS CON DISTINTA ESTRUCTURA Y TEXTURA POROSA- FASE II</t>
  </si>
  <si>
    <t>4 pago final proyecto ¿CONDENSADORES DE ION Li E ION Na. SELECCIÓN Y CARACTERIZACIÓN DE MATERIALES CARBONOSOS CON DISTINTA ESTRUCTURA Y TEXTURA POROSA- FASE II¿</t>
  </si>
  <si>
    <t>PAGO 3 "CONDENSADORES DE ION Li E ION Na. SELECCIÓN Y CARACTERIZACIÓN DE MATERIALES CARBONOSOS CON DISTINTA ESTRUCTURA Y TEXTURA POROSA- FASE II</t>
  </si>
  <si>
    <t>41.10.6C.00.52</t>
  </si>
  <si>
    <t xml:space="preserve">EVALUACIÓN POR PARTE DEL EXPERTO INVESTIGADOR DEL PROYECTO DE I+D+i TALENTE+ CALBRIDA EXPERTO EMILIA MORALLON NÚMERO DE PEDIDO 6036914 </t>
  </si>
  <si>
    <t>41.10.6C.00.53</t>
  </si>
  <si>
    <t>EVALUACIÓN POR PARTE DEL EXPERTO INVESTIGADOR DEL PROYECTO DE I+D+i TALENTE+ INNOVEN16 EXPERTO EMILIA MORALLÓN NÚÑEZ NÚMERO DE PEDIDO 6037085</t>
  </si>
  <si>
    <t>41.10.6C.00.54</t>
  </si>
  <si>
    <t>EVALUACIÓN DEL PROYECTO DE I+D+i VANANOGLAS (ANUALIDAD 2018)  EXPERTO EMILIA MORALLON NUÑEZ NÚMERO DE PEDIDO 6037603</t>
  </si>
  <si>
    <t>41.10.6C.00.55</t>
  </si>
  <si>
    <t>EVALUACIÓN DEL PROYECTO DE I+D+i TALENT REVESTRIPO (ANUALIDAD 2018)  EXPERTO EMILIA MORALLÓN NÚÑEZ nÚMERO DE PEDIDO 6037359</t>
  </si>
  <si>
    <t>41.10.6C.00.56</t>
  </si>
  <si>
    <t xml:space="preserve">CARACTERIZACIÓN DE LA POROSIDAD DE 12 MUESTRAS DE CARBÓN ACTIVADO MEDIANTE LA REALIZACIÓN DE ISOTERMAS DE ADSORCIÓN DE NITRÓGENO A 77K </t>
  </si>
  <si>
    <t>41.10.6C.00.57</t>
  </si>
  <si>
    <t>EVALUACIÓN DEL PROYECTO DE I+D+i TALENT+ MONGEOLINT. NÚMERO DE PEDIDO: 6038691 EXPERTO EMILIA MORALLON</t>
  </si>
  <si>
    <t>41.10.6C.00.58</t>
  </si>
  <si>
    <t>EVALUACIÓN DEL PROYECTO DE I+D+i TALENT+ INUPIPE NÚMERO DE PEDIDO: 6038530 EXPERTO EMILIA MORALLÓN</t>
  </si>
  <si>
    <t>41.10.6C.00.59</t>
  </si>
  <si>
    <t>EVALUACIÓN DEL PROYECTO DE I+D+i TALENT+ INNOVEN016(2017) NÚMERO DE PEDIDO: 6038885 EXPERTO EMILIA MORALLÓN</t>
  </si>
  <si>
    <t>41.10.6C.00.60</t>
  </si>
  <si>
    <t>EVALUACIÓN DEL PROYECTO DE I+D+i TALENT+ INNOVEN016(2018) INDICAR EN FACTURA NÚMERO DE PEDIDO: 6038886 EXPERTO EMILIA MORALLON</t>
  </si>
  <si>
    <t>41.10.6C.00.61</t>
  </si>
  <si>
    <t xml:space="preserve">SUPERVISIÓN TÉCNICA POR PARTE DE LA EXPERTA INVESTIGADORA  EMILIA MORALLÓN NÚÑEZ DEL PROYECTO 2014/1108/PIV/06 </t>
  </si>
  <si>
    <t>41.10.6C.00.62</t>
  </si>
  <si>
    <t>FACTURA CORRESPONDIENTE A PROYECTO "DESIGN OF A GAS ADSORPTION SYSTEM FOR H2S, BREAKTHROUGH COLUMN ANALYSIS OF 6 SAMPLES OF ACTIVATED CARBON PROVIDED BY THE COMPANY AND PROVIDING THE REPOST AND COMPARISON BETWEEN SAMPLES "</t>
  </si>
  <si>
    <t>41.10.6C.00.63</t>
  </si>
  <si>
    <t xml:space="preserve">DETERMINATION OF THE WATER VAPOR ISOTHERMS FOR SIX SAMPLES </t>
  </si>
  <si>
    <t>41.10.6C.00.64</t>
  </si>
  <si>
    <t>EVALUATION OF THE TEMPERATURE PROGRAMMED DECOMPOSITION (TDP) OF SIX SAMPLES</t>
  </si>
  <si>
    <t>41.10.6C.00.65</t>
  </si>
  <si>
    <t>EVALUACIÓN POR PARTE DE LA EXPERTA INVESTIGADORA EMILIA MORALLÓN NÚÑEZ DEL EXPEDIENTE 2020/0630/PIDI/01  CUPRONIQEL de ALFAMETAL</t>
  </si>
  <si>
    <t>41.10.6C.00.66</t>
  </si>
  <si>
    <t>EVALUACIÓN DEL PROYECTO DE I+D+i CUSSIONUPP EXPERTO EMILIA MORALLÓN NUÑEZ NÚMERO PEDIDO 6039623</t>
  </si>
  <si>
    <t>41.10.6C.00.69</t>
  </si>
  <si>
    <t>Caracterización de 15 muestras de óxido metálico mediante adsorción de agua a 25ºC.</t>
  </si>
  <si>
    <t>FLIB. 14/04/20. PROYECTOS RETOS INVESTIGACION 2017. ANUAL 2020 PROYECTOS I+D RETOS (PIA13) N EXPEDIENTE: PIA132017-1 - 3 ANUALIDAD REFEREN</t>
  </si>
  <si>
    <t>PROMETEO 2018 EN 2020 (CONSELLERÍA INNOVACIÓN,UNIVERSIDADES,CIENCIA SOC.DIG)</t>
  </si>
  <si>
    <t>RAMON Y CAJAL. N EXPEDIENTE: RYC-2017-1-2 ANUALIDAD REFERENCIA:RYC-2017-23618.</t>
  </si>
  <si>
    <t>FLIB 30/06/2020. PROYECTOS RETOS INVESTIGACION 201 / 8. ANUAL 2020 PROYECTOS I+D RETOS (PIA13) N E / XPEDIENTE: PIA132018-1 - 2 ANUALIDAD REFERE / GOVT / 27402220310030566</t>
  </si>
  <si>
    <t>41.10.6P.00.40</t>
  </si>
  <si>
    <t xml:space="preserve">PAGO CONVOCATORIA PROYECTOS 2019 1ANUALIDAD 2020 PROYECTOS I+D (PIA 1)N EXPEDIENTE: PIA 1 2019-1-1. ANUALIDAD REFERENCIA: PID2019-105923RB-I00 </t>
  </si>
  <si>
    <t>41.10.6P.00.41</t>
  </si>
  <si>
    <t>PAGO CONVOVATORIA PROYECTOS 2019 ANUALIDAD 2020 PROYECTOS I+D (PIA1) EXPEDIENTE PIA12019-1-1 ANUALIDAD REFERENCIA: PID2019-106114G</t>
  </si>
  <si>
    <t>41.10.6P.00.42</t>
  </si>
  <si>
    <t>PAGO CONVOVATORIA PROYECTOS 2019 ANUALIDAD 2020 PROYECTOS I+D (PIA1) EXPEDIENTE PIA12019-1-1 ANUALIDAD REFERENCIA: PID2019-108453G</t>
  </si>
  <si>
    <t>6º pago proyecto PORTABLECRAC (investigador ppal. Emilia MORALLÓN)</t>
  </si>
  <si>
    <t>2º pago del proyecto EFORFUEL , investigador ppal. Antonio Sepúlveda.</t>
  </si>
  <si>
    <t>41.10.6X.00.03</t>
  </si>
  <si>
    <t>Primer pago del proyecto NATO SPS, que coordina en la UA el profesor Joaquín Silvestre</t>
  </si>
  <si>
    <t>Unidad</t>
  </si>
  <si>
    <t>Cód. org. aplic.</t>
  </si>
  <si>
    <t>Descripción justificante</t>
  </si>
  <si>
    <t>41.10</t>
  </si>
  <si>
    <t>PAGO DE REGALÍAS POR TRANSFERENCIA DE TECNOLOGÍA 2020. Ref. Contrato: G2MT1 (EBT)-11O</t>
  </si>
  <si>
    <t>Experto 4D: Emilia Morallón Núñez - Ref. pedido 6044420</t>
  </si>
  <si>
    <t>41.10.6C.00.67</t>
  </si>
  <si>
    <t>Caracterización de los carbones activos (isotermas de adsorción de N2 y CO2, índice de iodo, cenizas, rendimientos, densidad)</t>
  </si>
  <si>
    <t>41.10.6C.00.68</t>
  </si>
  <si>
    <t>Caracterización de 2 muestras MP de carbón activo.</t>
  </si>
  <si>
    <t>41.10.6C.00.71</t>
  </si>
  <si>
    <t>Regular la colaboración de la Universidad en el Proyecto de Investigación "Fabricación de materiales de carbón aditivados con silicio¿, a solicitud de la Empresa. Primer pago tras la entrada en vigor del contrato.</t>
  </si>
  <si>
    <t>FABRICACIÓN DE MATERIALES DE CARBÓN ADITIVADOS CON SILICIO. SEGUNDO PAGO</t>
  </si>
  <si>
    <t>41.10.6C.00.72</t>
  </si>
  <si>
    <t>Asesoramiento en relación con la preparación y caracterización de (bio)sensores electroquímicos. Evaluación de las técnicas electroquímicas adecuadas para el análisis de los biosensores electroquímicos preparados. Determinación de parámetros de relevancia en la caracterización de los biosensores electroquímicos. Entrega de Informe Final con los resultados.</t>
  </si>
  <si>
    <t>41.10.6C.00.74</t>
  </si>
  <si>
    <t>Se aportarán al Profesor José Miguel Molina Jordá unas formulaciones novedosas SUJETAS A CONFIDENCIALIDAD, que permiten la purificación de aceites minerales usados sin necesidad de ningún tipo de destilación, filtración o centrifugación. Estas formulaciones presentan un alto grado de desarrollo a excepción de que carecen de propiedades de desmoralización, dicho profesor, nos ha hecho saber que podría quizás complementar la formula con el objetivo de conseguir la mencionada capacidad desmetalizadora.</t>
  </si>
  <si>
    <t>41.10.6C.00.75</t>
  </si>
  <si>
    <t>Evaluación del proyecto de I+D+I INUPIPE (Anualidad 2019)</t>
  </si>
  <si>
    <t>41.10.6C.00.76</t>
  </si>
  <si>
    <t>EVALUACIÓN DEL PROYECTO DE I+D+i ALCORMACHO (ANUALIDAD 2019) - EXPERTO 4D: Emilia Morallón Núñez - Nº pedido: 6044283</t>
  </si>
  <si>
    <t>41.10.6C.00.77</t>
  </si>
  <si>
    <t>Evaluación del proyecto de I+D+I METALSILIC (anualidad 2019) - Experto 4D: Emilia Morallón Núñez - Número de pedido 6043385</t>
  </si>
  <si>
    <t>41.10.6C.00.78</t>
  </si>
  <si>
    <t>EVALUACIÓN DEL PROYECTO DE I+D+i CESPEDFREE (ANUALIDAD 2019) - EXPERTO 4D: Emilia Morallón Núñez - Nº pedido: 6043396</t>
  </si>
  <si>
    <t>41.10.6C.00.79</t>
  </si>
  <si>
    <t>Evaluación del proyecto de I+D+I Perfoam (anualidad 2019) - Experto 4D: Emilia Morallón Núñez - Número de pedido 6043419</t>
  </si>
  <si>
    <t>41.10.6C.00.81</t>
  </si>
  <si>
    <t>Caracterització de 2 mostres de carbó activat utilitzant les següents tècniques: Index de iode, Blau de metilé, Superficie BET, pH, Cendres, Granulometria, Humitat, Duresa, Densitat, Densitat després de drenatge, Coeficient uniformitat</t>
  </si>
  <si>
    <t>41.10.6C.00.82</t>
  </si>
  <si>
    <t>Evaluación del proyecto de I+D+I VIDRIONUEV (ANUALIDAD 2019) - Experto 4D: Emilia Morallón Núñez - Número de pedido: 6044401</t>
  </si>
  <si>
    <t>41.10.6C.00.83</t>
  </si>
  <si>
    <t xml:space="preserve">EVALUACIÓN DEL PROYECTO DE I+D+i CAJATERM19 (2019). Ref. pdo. 6046324. Experto 4D: Emilia Morallón Núñez. Importe: 200+ IVA    </t>
  </si>
  <si>
    <t>41.10.6C.00.84</t>
  </si>
  <si>
    <t>Evaluación de la capacidad de adsorción de H2S de 8 muestras pellitizadas suministradas por la empresa Promindsa Análisis de de difracción de rayos X de 2 muestras micronizadas antes y despueés de tratamiento con H2S Análisis de adsorción de nitrógeno de 2  muestras micronizadas antes y después de tratamiento con H2S</t>
  </si>
  <si>
    <t>41.10.6C.00.85</t>
  </si>
  <si>
    <t>EVALUACIÓN POR PARTE DE LA SUPERVISORA TÉCNICA DE LOS PROYECTOS Y DE LAS ACTIVIDACES RELACIONADAS EN ELLOS DEL EXP. 2014/1108/PIV/07</t>
  </si>
  <si>
    <t>41.10.6C.00.86</t>
  </si>
  <si>
    <t xml:space="preserve">REALIZACIÓN EN UNA MUESTRA DE MATERIAL CARBONOSO PROPORCIONADA POR LA EMPRESA DE UNA ISOTERMA DE ADSORCIÓN DE H2 A 25º Y HASTA 200 ATMOSFERAS DE PRESIÓN </t>
  </si>
  <si>
    <t>41.10.6C.00.87</t>
  </si>
  <si>
    <t xml:space="preserve">EVALUACIÓN DEL PROYECTO DE I+D+i POLIGNIABS. Ref. pdo. 6046823. Experto 4D: Emilia Morallón Núñez. Importe: 200+ IVA   </t>
  </si>
  <si>
    <t>41.10.6C.00.88</t>
  </si>
  <si>
    <t xml:space="preserve">2ª factura del proyecto de investigación y desarrollo tecnológico BATERÍAS Y CONDENSADORES DE ION Li. SÍNTESIS DE ELECTRODOS POSITIVOS BASADOS EN LiFePO4 Y DE MATERIALES CARBOSOS POROSOS A PARTIR DE RESIDUOS BIOMÁSICOS  </t>
  </si>
  <si>
    <t>1º FACTURA DE BATERÍAS Y CONDENSADORES DE ION Li. SÍNTESIS DE ELECTRODOS POSITIVOS BASADOS EN LiFePO4 Y DE MATERIALES CARBOSOS POROSOS A PARTIR DE RESIDUOS BIOMÁSICOS</t>
  </si>
  <si>
    <t>41.10.6C.00.89</t>
  </si>
  <si>
    <t>EVALUACIÓN DE LAS PROPIEDADES TEXTURALES DE UNA MUESTRA DE CARBÓN ACTIVADO DE LA EMPRESA CHIEMIVALL</t>
  </si>
  <si>
    <t>41.10.6C.00.90</t>
  </si>
  <si>
    <t xml:space="preserve">Actividades y trabajos dentro del Proyecto TITANTEX: Desarrollo de prendas de ropa auto desinfectantes basadas en el dióxido de titanio para la protección del personal sanitario. </t>
  </si>
  <si>
    <t>41.10.6C.00.91</t>
  </si>
  <si>
    <t>Actividades y trabajos dentro del Proyecto TITANTEX: Desarrollo de prendas de ropa auto desinfectantes basadas en el dióxido de titanio para la protección del personal sanitario.</t>
  </si>
  <si>
    <t>41.10.6C.00.92</t>
  </si>
  <si>
    <t>REALIZACIÓN DE 6 ENSAYOS EN ESTACIÓN DE PILA DE COMBUSTIBLE SEGÚN CONDICIONES ESPECIFICADOS Y MEAS SUMINISTRADOS POR LA EMPRESA</t>
  </si>
  <si>
    <t>41.10.6C.00.94</t>
  </si>
  <si>
    <t xml:space="preserve">CARACTERIZACIÓN DE MATERIALES DE CARBÓN ACTIVO, EVALUANDO LA TEXTURA POROSA Y LA DETERMINACIÓN DE Ar Y Sb </t>
  </si>
  <si>
    <t>41.10.6C.00.96</t>
  </si>
  <si>
    <t>ANÁLISIS Y EVALUACIÓN DE MUESTRAS DE CARBONO. Evaluation of the butane activity for 13 activated carbons Evaluation of the caramel test for 13 activated carbons Evaluation of the N2 adsorption isotherms for 23 samples Purchase molecular sieves.</t>
  </si>
  <si>
    <t>41.10.6C.00.97</t>
  </si>
  <si>
    <t>CARACTERIZACIÓN DE MATERIALES DE CARBÓN ACTIVO, EVALUANDO LA TEXTURA POROSA DE VARIAS MUESTRAS DE CARBÓN ACTIVO</t>
  </si>
  <si>
    <t>41.10.6C.00.98</t>
  </si>
  <si>
    <t>Referencia pedido: 6047260. Proyecto EVALUACIÓN DEL PROYECTO DE I+D+i VIDRIONUEV (ANUALIDAD 2020). Experto 4D: Emilia Morallón Núñez. Importe 100€ + IVA</t>
  </si>
  <si>
    <t>41.10.6C.00.99</t>
  </si>
  <si>
    <t>Referencia pedido: 6048356. Proyecto EVALUACIÓN DEL PROYECTO DE I+D+i PURFILLERS (ANUALIDAD 2020). Experto 4D: Emilia Morallón Núñez. Importe 200€ + IVA</t>
  </si>
  <si>
    <t>41.10.6C.01.00</t>
  </si>
  <si>
    <t>Ref. pdo. 6050264 Proyecto: NEWCCBCOLO (ANUALIDAD 2020) Experto 4D: Emilia Morallón Núñez Importe: 200€ + IVA</t>
  </si>
  <si>
    <t>41.10.6C.01.01</t>
  </si>
  <si>
    <t>Ref. pdo: 6049090  EVALUACIÓN DEL PROYECTO DE I+D+i INUPIPES18 (2020) Experto 4D: Emilia Morallón Núñez. Importe 100 euros + IVA</t>
  </si>
  <si>
    <t>PROMETEO 2018 EN 2021 (INNOVACIÓN,UNIVERSIDADES,CIENCIA SOC.DIG)</t>
  </si>
  <si>
    <t xml:space="preserve">RTI2018-095291-B-I00 </t>
  </si>
  <si>
    <t>PID2019-105923RB-I00</t>
  </si>
  <si>
    <t>PID2019-106114GB-I00</t>
  </si>
  <si>
    <t xml:space="preserve">PID2019-108453GB-C21 </t>
  </si>
  <si>
    <t>41.10.6P.00.48</t>
  </si>
  <si>
    <t>PCI2020-111968 PIA102020-1 -2ANUALIDAD LIBERADOS 23/11/2021 ANUALIDAD 2021 AC.PROG .CONJUNTA INTERNACIONAL (PI A10)</t>
  </si>
  <si>
    <t>1ER PAGO CONVOCATORIA ACC PROG. CONJUNTA INTERNCIONAL 2020. ANUAL 2020 AC. PROG. CONJUNTA INTERNACIONAL (PI A10) N EXPEDIENTE: PIA102020-1</t>
  </si>
  <si>
    <t>41.10.6P.00.49</t>
  </si>
  <si>
    <t>PID2020-116998RB-I00</t>
  </si>
  <si>
    <t>41.10.6P.00.52</t>
  </si>
  <si>
    <t>PDC2021-120884-I00 PDC-2021 1 ANUALIDAD PARA EL PAGO DE LA ANUALIDAD 2021 PROYECTOS DE PRUEBAS DE CONCEPTO (PDC)</t>
  </si>
  <si>
    <t>41.10.6P.00.53</t>
  </si>
  <si>
    <t>PDC2021-121617-C21 PDC-2021 1 1ANAULIDAD PARA EL PAGO DE LA ANUALIDAD 2021 PROYECTOS PRUEBAS DE CONCEPTO (PDC)</t>
  </si>
  <si>
    <t>ÚLTIMO PAGO DEL PROYECTO PORTABLECRAC, SEGÚN INFORMAN DESDE LA OGPI</t>
  </si>
  <si>
    <t>PROYECTO NATO SPS, SEGÚN INFORMAN DESDE LA OGPI</t>
  </si>
  <si>
    <t>S</t>
  </si>
  <si>
    <t>Ramírez Arias, Aida Mireya </t>
  </si>
  <si>
    <t>Síntesis de materiales adsorbentes obtenidos a partir de desechos para la eliminación de surfactantes vertidos en aguas residuales </t>
  </si>
  <si>
    <t>02/08/2021 </t>
  </si>
  <si>
    <t>Kedir , Chahineze Nawel </t>
  </si>
  <si>
    <t>Synthesis of polyaniline-based conducting polymer and their hydrogels. Electrochemical applications </t>
  </si>
  <si>
    <t>17/01/2022 </t>
  </si>
  <si>
    <t>Chaparro Garnica, Jessica Alejandra </t>
  </si>
  <si>
    <t>Diseño de materiales carbonosos porosos de alta durabilidad y bajo coste para el almacenamiento y producción de energía </t>
  </si>
  <si>
    <t>17/12/2021 </t>
  </si>
  <si>
    <t>73571968M </t>
  </si>
  <si>
    <t>Muñoz Mármol, Rafael </t>
  </si>
  <si>
    <t>Photophysical and Laser Studies on Perylenediimides and Nanographenes </t>
  </si>
  <si>
    <t>19/11/2021 </t>
  </si>
  <si>
    <t>Maiorano Lauria, Lucila Paola </t>
  </si>
  <si>
    <t>Materiales espumados metálicos con inclusiones térmicas de base carbono y nanoingeniería interfacial </t>
  </si>
  <si>
    <t>24/03/2022 </t>
  </si>
  <si>
    <t>21669783B </t>
  </si>
  <si>
    <t>Durmus ., Fatma Cagla </t>
  </si>
  <si>
    <t>DEVELOPMENT OF NEW APPROACHES FOR THE FABRICATION OF MULTIPOROUS METALLIC FOAMS </t>
  </si>
  <si>
    <t>23/12/2021 </t>
  </si>
  <si>
    <t>52762689E</t>
  </si>
  <si>
    <t>BERENGUER BETRIAN, RAUL</t>
  </si>
  <si>
    <t>NO FUNCIONARIO</t>
  </si>
  <si>
    <t>05683727J</t>
  </si>
  <si>
    <t>CALVO URBINA, MARIA REYES</t>
  </si>
  <si>
    <t>48790125H</t>
  </si>
  <si>
    <t>DENTON ZANELLO, CRISTIAN DIEGO</t>
  </si>
  <si>
    <t>73995007M</t>
  </si>
  <si>
    <t>SABATER PIQUERES, CARLOS</t>
  </si>
  <si>
    <t>74005750F</t>
  </si>
  <si>
    <t>NAVLANI GARCIA, MIRIAM</t>
  </si>
  <si>
    <t>Total ingresos investigación 2019-2020-2021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</si>
</sst>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0"/>
      <color theme="1"/>
      <name val="Arial"/>
      <family val="2"/>
    </font>
    <font>
      <b/>
      <sz val="11"/>
      <color theme="0"/>
      <name val="Calibri"/>
      <family val="2"/>
      <scheme val="minor"/>
    </font>
    <font>
      <sz val="11"/>
      <color rgb="FF000000"/>
      <name val="Calibri"/>
      <family val="2"/>
      <scheme val="minor"/>
    </font>
  </fonts>
  <fills count="12">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5" tint="0.79998168889431442"/>
        <bgColor indexed="64"/>
      </patternFill>
    </fill>
    <fill>
      <patternFill patternType="solid">
        <fgColor theme="5" tint="0.79998168889431442"/>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bottom style="thin">
        <color theme="4" tint="0.39997558519241921"/>
      </bottom>
      <diagonal/>
    </border>
    <border>
      <left/>
      <right/>
      <top style="thin">
        <color theme="4" tint="0.39997558519241921"/>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ck">
        <color theme="0"/>
      </top>
      <bottom/>
      <diagonal/>
    </border>
    <border>
      <left style="thin">
        <color theme="0"/>
      </left>
      <right style="thin">
        <color theme="0"/>
      </right>
      <top style="thick">
        <color theme="0"/>
      </top>
      <bottom/>
      <diagonal/>
    </border>
    <border>
      <left style="thin">
        <color theme="0"/>
      </left>
      <right/>
      <top style="thick">
        <color theme="0"/>
      </top>
      <bottom/>
      <diagonal/>
    </border>
    <border>
      <left/>
      <right/>
      <top style="thin">
        <color indexed="64"/>
      </top>
      <bottom style="thin">
        <color indexed="64"/>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75">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textRotation="90" wrapText="1"/>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applyAlignment="1">
      <alignment horizontal="center"/>
    </xf>
    <xf numFmtId="0" fontId="0" fillId="0" borderId="1" xfId="0" applyBorder="1"/>
    <xf numFmtId="0" fontId="3" fillId="4" borderId="1" xfId="1" applyFill="1" applyBorder="1"/>
    <xf numFmtId="0" fontId="3" fillId="4" borderId="1" xfId="1" applyFill="1" applyBorder="1" applyAlignment="1">
      <alignment horizontal="right"/>
    </xf>
    <xf numFmtId="1" fontId="3" fillId="4" borderId="1" xfId="1" applyNumberFormat="1" applyFill="1" applyBorder="1"/>
    <xf numFmtId="164" fontId="3" fillId="4" borderId="1" xfId="1" applyNumberFormat="1" applyFill="1" applyBorder="1"/>
    <xf numFmtId="0" fontId="3" fillId="4" borderId="2" xfId="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3" fillId="0" borderId="1" xfId="1" applyBorder="1"/>
    <xf numFmtId="0" fontId="3" fillId="4" borderId="3" xfId="1" applyFill="1" applyBorder="1"/>
    <xf numFmtId="0" fontId="11" fillId="6" borderId="1" xfId="0" applyFont="1" applyFill="1" applyBorder="1" applyAlignment="1">
      <alignment horizontal="left" vertical="center"/>
    </xf>
    <xf numFmtId="0" fontId="11" fillId="6" borderId="4" xfId="0" applyFont="1" applyFill="1" applyBorder="1" applyAlignment="1">
      <alignment horizontal="left" vertical="center"/>
    </xf>
    <xf numFmtId="0" fontId="11" fillId="6" borderId="5" xfId="0" applyFont="1" applyFill="1" applyBorder="1" applyAlignment="1">
      <alignment horizontal="left" vertical="center"/>
    </xf>
    <xf numFmtId="0" fontId="11" fillId="6" borderId="6" xfId="0" applyFont="1" applyFill="1" applyBorder="1" applyAlignment="1">
      <alignment horizontal="left" vertical="center"/>
    </xf>
    <xf numFmtId="0" fontId="12" fillId="0" borderId="7" xfId="0" applyFont="1" applyBorder="1" applyAlignment="1">
      <alignment horizontal="left"/>
    </xf>
    <xf numFmtId="0" fontId="12" fillId="0" borderId="7" xfId="0" applyFont="1" applyBorder="1"/>
    <xf numFmtId="0" fontId="0" fillId="0" borderId="0" xfId="0" applyAlignment="1">
      <alignment horizontal="left" indent="1"/>
    </xf>
    <xf numFmtId="0" fontId="12" fillId="7" borderId="8" xfId="0" applyFont="1" applyFill="1" applyBorder="1" applyAlignment="1">
      <alignment horizontal="left"/>
    </xf>
    <xf numFmtId="0" fontId="12" fillId="7" borderId="8" xfId="0" applyFont="1" applyFill="1" applyBorder="1"/>
    <xf numFmtId="4" fontId="1" fillId="0" borderId="0" xfId="0" applyNumberFormat="1" applyFont="1"/>
    <xf numFmtId="0" fontId="13" fillId="8" borderId="9" xfId="0" applyNumberFormat="1" applyFont="1" applyFill="1" applyBorder="1"/>
    <xf numFmtId="0" fontId="13" fillId="8" borderId="10" xfId="0" applyNumberFormat="1" applyFont="1" applyFill="1" applyBorder="1"/>
    <xf numFmtId="0" fontId="13" fillId="8" borderId="11" xfId="0" applyFont="1" applyFill="1" applyBorder="1" applyAlignment="1">
      <alignment horizontal="right"/>
    </xf>
    <xf numFmtId="0" fontId="0" fillId="9" borderId="12" xfId="0" applyNumberFormat="1" applyFont="1" applyFill="1" applyBorder="1"/>
    <xf numFmtId="0" fontId="0" fillId="9" borderId="13" xfId="0" applyFont="1" applyFill="1" applyBorder="1"/>
    <xf numFmtId="4" fontId="0" fillId="9" borderId="14" xfId="0" applyNumberFormat="1" applyFont="1" applyFill="1" applyBorder="1"/>
    <xf numFmtId="0" fontId="0" fillId="7" borderId="12" xfId="0" applyNumberFormat="1" applyFont="1" applyFill="1" applyBorder="1"/>
    <xf numFmtId="0" fontId="0" fillId="7" borderId="13" xfId="0" applyFont="1" applyFill="1" applyBorder="1"/>
    <xf numFmtId="4" fontId="0" fillId="7" borderId="14" xfId="0" applyNumberFormat="1" applyFont="1" applyFill="1" applyBorder="1"/>
    <xf numFmtId="0" fontId="13" fillId="8" borderId="15" xfId="0" applyFont="1" applyFill="1" applyBorder="1"/>
    <xf numFmtId="0" fontId="13" fillId="8" borderId="16" xfId="0" applyFont="1" applyFill="1" applyBorder="1"/>
    <xf numFmtId="4" fontId="13" fillId="8" borderId="17" xfId="0" applyNumberFormat="1" applyFont="1" applyFill="1" applyBorder="1"/>
    <xf numFmtId="0" fontId="3" fillId="4" borderId="0" xfId="1" applyFill="1"/>
    <xf numFmtId="165" fontId="3" fillId="4" borderId="1" xfId="1" applyNumberFormat="1" applyFill="1" applyBorder="1"/>
    <xf numFmtId="165" fontId="3" fillId="4" borderId="2" xfId="1" applyNumberFormat="1" applyFill="1" applyBorder="1"/>
    <xf numFmtId="165" fontId="3" fillId="4" borderId="3" xfId="1" applyNumberFormat="1" applyFill="1" applyBorder="1"/>
    <xf numFmtId="0" fontId="3" fillId="4" borderId="3" xfId="1" applyFill="1" applyBorder="1" applyAlignment="1">
      <alignment horizontal="right"/>
    </xf>
    <xf numFmtId="1" fontId="3" fillId="4" borderId="3" xfId="1" applyNumberFormat="1" applyFill="1" applyBorder="1"/>
    <xf numFmtId="164" fontId="3" fillId="4" borderId="3" xfId="1" applyNumberFormat="1" applyFill="1" applyBorder="1"/>
    <xf numFmtId="2" fontId="3" fillId="4" borderId="1" xfId="1" applyNumberFormat="1" applyFill="1" applyBorder="1"/>
    <xf numFmtId="0" fontId="3" fillId="4" borderId="0" xfId="1" applyFill="1" applyAlignment="1">
      <alignment horizontal="right"/>
    </xf>
    <xf numFmtId="164" fontId="3" fillId="10" borderId="1" xfId="1" applyNumberFormat="1" applyFill="1" applyBorder="1"/>
    <xf numFmtId="164" fontId="3" fillId="10" borderId="2" xfId="1" applyNumberFormat="1" applyFill="1" applyBorder="1"/>
    <xf numFmtId="164" fontId="3" fillId="10" borderId="3" xfId="1" applyNumberFormat="1" applyFill="1" applyBorder="1"/>
    <xf numFmtId="0" fontId="3" fillId="10" borderId="1" xfId="1" applyFill="1" applyBorder="1"/>
    <xf numFmtId="0" fontId="0" fillId="0" borderId="1" xfId="0" applyBorder="1" applyAlignment="1">
      <alignment horizontal="left"/>
    </xf>
    <xf numFmtId="0" fontId="14" fillId="11" borderId="1" xfId="0" applyFont="1" applyFill="1" applyBorder="1" applyAlignment="1">
      <alignment horizontal="right"/>
    </xf>
    <xf numFmtId="4" fontId="0" fillId="10" borderId="1" xfId="0" applyNumberFormat="1" applyFill="1" applyBorder="1"/>
    <xf numFmtId="164" fontId="4" fillId="10" borderId="18" xfId="1" applyNumberFormat="1" applyFont="1" applyFill="1" applyBorder="1" applyAlignment="1">
      <alignment horizontal="center"/>
    </xf>
    <xf numFmtId="0" fontId="12" fillId="10" borderId="0" xfId="5" applyFont="1" applyFill="1"/>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89"/>
  <sheetViews>
    <sheetView showGridLines="0" topLeftCell="G70" zoomScale="120" zoomScaleNormal="120" workbookViewId="0">
      <selection activeCell="S89" sqref="S89:T89"/>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5.33203125" style="14" customWidth="1"/>
    <col min="14" max="14" width="4.88671875" style="13" customWidth="1"/>
    <col min="15" max="15" width="5.33203125" style="14" customWidth="1"/>
    <col min="16" max="16" width="4.88671875" style="13" customWidth="1"/>
    <col min="17" max="17" width="3.5546875" style="14" customWidth="1"/>
    <col min="18" max="18" width="7.109375" style="13" bestFit="1" customWidth="1"/>
    <col min="19" max="21" width="5.109375" style="13" customWidth="1"/>
    <col min="22" max="16384" width="10.33203125" style="13"/>
  </cols>
  <sheetData>
    <row r="1" spans="1:22" ht="40.799999999999997" x14ac:dyDescent="0.2">
      <c r="A1" s="8" t="s">
        <v>89</v>
      </c>
      <c r="B1" s="9" t="s">
        <v>90</v>
      </c>
      <c r="C1" s="9" t="s">
        <v>91</v>
      </c>
      <c r="D1" s="9" t="s">
        <v>92</v>
      </c>
      <c r="E1" s="9" t="s">
        <v>93</v>
      </c>
      <c r="F1" s="9" t="s">
        <v>94</v>
      </c>
      <c r="G1" s="9" t="s">
        <v>95</v>
      </c>
      <c r="H1" s="9" t="s">
        <v>96</v>
      </c>
      <c r="I1" s="8" t="s">
        <v>97</v>
      </c>
      <c r="J1" s="9" t="s">
        <v>98</v>
      </c>
      <c r="K1" s="8" t="s">
        <v>99</v>
      </c>
      <c r="L1" s="9" t="s">
        <v>100</v>
      </c>
      <c r="M1" s="10" t="s">
        <v>101</v>
      </c>
      <c r="N1" s="11" t="s">
        <v>102</v>
      </c>
      <c r="O1" s="12" t="s">
        <v>103</v>
      </c>
      <c r="P1" s="11" t="s">
        <v>104</v>
      </c>
      <c r="Q1" s="12" t="s">
        <v>105</v>
      </c>
      <c r="R1" s="11" t="s">
        <v>106</v>
      </c>
      <c r="S1" s="11" t="s">
        <v>107</v>
      </c>
      <c r="T1" s="11" t="s">
        <v>108</v>
      </c>
      <c r="U1" s="11" t="s">
        <v>109</v>
      </c>
    </row>
    <row r="2" spans="1:22" s="57" customFormat="1" x14ac:dyDescent="0.2">
      <c r="A2" s="25" t="s">
        <v>116</v>
      </c>
      <c r="B2" s="25" t="s">
        <v>117</v>
      </c>
      <c r="C2" s="25" t="s">
        <v>118</v>
      </c>
      <c r="D2" s="25" t="s">
        <v>155</v>
      </c>
      <c r="E2" s="25" t="s">
        <v>156</v>
      </c>
      <c r="F2" s="25" t="s">
        <v>113</v>
      </c>
      <c r="G2" s="25" t="s">
        <v>154</v>
      </c>
      <c r="H2" s="25" t="s">
        <v>111</v>
      </c>
      <c r="I2" s="25" t="s">
        <v>116</v>
      </c>
      <c r="J2" s="25" t="s">
        <v>117</v>
      </c>
      <c r="K2" s="28">
        <v>0.5</v>
      </c>
      <c r="L2" s="25" t="s">
        <v>119</v>
      </c>
      <c r="M2" s="25">
        <v>2016</v>
      </c>
      <c r="N2" s="25" t="s">
        <v>119</v>
      </c>
      <c r="O2" s="26" t="s">
        <v>148</v>
      </c>
      <c r="P2" s="25" t="s">
        <v>112</v>
      </c>
      <c r="Q2" s="26" t="s">
        <v>112</v>
      </c>
      <c r="R2" s="27">
        <v>0</v>
      </c>
      <c r="S2" s="66">
        <v>0</v>
      </c>
      <c r="T2" s="28">
        <v>0.5</v>
      </c>
      <c r="U2" s="28">
        <v>0</v>
      </c>
    </row>
    <row r="3" spans="1:22" s="57" customFormat="1" x14ac:dyDescent="0.2">
      <c r="A3" s="25" t="s">
        <v>116</v>
      </c>
      <c r="B3" s="25" t="s">
        <v>117</v>
      </c>
      <c r="C3" s="25" t="s">
        <v>118</v>
      </c>
      <c r="D3" s="25" t="s">
        <v>121</v>
      </c>
      <c r="E3" s="25" t="s">
        <v>122</v>
      </c>
      <c r="F3" s="25" t="s">
        <v>123</v>
      </c>
      <c r="G3" s="25" t="s">
        <v>110</v>
      </c>
      <c r="H3" s="25" t="s">
        <v>111</v>
      </c>
      <c r="I3" s="25" t="s">
        <v>116</v>
      </c>
      <c r="J3" s="25" t="s">
        <v>117</v>
      </c>
      <c r="K3" s="28">
        <v>0.5</v>
      </c>
      <c r="L3" s="25" t="s">
        <v>119</v>
      </c>
      <c r="M3" s="25">
        <v>2016</v>
      </c>
      <c r="N3" s="25" t="s">
        <v>112</v>
      </c>
      <c r="O3" s="26" t="s">
        <v>112</v>
      </c>
      <c r="P3" s="25" t="s">
        <v>112</v>
      </c>
      <c r="Q3" s="26" t="s">
        <v>112</v>
      </c>
      <c r="R3" s="27">
        <v>100</v>
      </c>
      <c r="S3" s="66">
        <v>0.5</v>
      </c>
      <c r="T3" s="28">
        <v>0</v>
      </c>
      <c r="U3" s="28">
        <v>0</v>
      </c>
    </row>
    <row r="4" spans="1:22" s="57" customFormat="1" x14ac:dyDescent="0.2">
      <c r="A4" s="25" t="s">
        <v>116</v>
      </c>
      <c r="B4" s="25" t="s">
        <v>117</v>
      </c>
      <c r="C4" s="25" t="s">
        <v>118</v>
      </c>
      <c r="D4" s="25" t="s">
        <v>124</v>
      </c>
      <c r="E4" s="25" t="s">
        <v>125</v>
      </c>
      <c r="F4" s="25" t="s">
        <v>126</v>
      </c>
      <c r="G4" s="25" t="s">
        <v>110</v>
      </c>
      <c r="H4" s="25" t="s">
        <v>111</v>
      </c>
      <c r="I4" s="25" t="s">
        <v>116</v>
      </c>
      <c r="J4" s="25" t="s">
        <v>117</v>
      </c>
      <c r="K4" s="28">
        <v>0.5</v>
      </c>
      <c r="L4" s="25" t="s">
        <v>119</v>
      </c>
      <c r="M4" s="25">
        <v>2016</v>
      </c>
      <c r="N4" s="25" t="s">
        <v>112</v>
      </c>
      <c r="O4" s="26" t="s">
        <v>112</v>
      </c>
      <c r="P4" s="25" t="s">
        <v>112</v>
      </c>
      <c r="Q4" s="26" t="s">
        <v>112</v>
      </c>
      <c r="R4" s="27">
        <v>100</v>
      </c>
      <c r="S4" s="66">
        <v>0.5</v>
      </c>
      <c r="T4" s="28">
        <v>0</v>
      </c>
      <c r="U4" s="28">
        <v>0</v>
      </c>
    </row>
    <row r="5" spans="1:22" s="57" customFormat="1" x14ac:dyDescent="0.2">
      <c r="A5" s="25" t="s">
        <v>116</v>
      </c>
      <c r="B5" s="25" t="s">
        <v>117</v>
      </c>
      <c r="C5" s="25" t="s">
        <v>118</v>
      </c>
      <c r="D5" s="25" t="s">
        <v>127</v>
      </c>
      <c r="E5" s="25" t="s">
        <v>128</v>
      </c>
      <c r="F5" s="25" t="s">
        <v>129</v>
      </c>
      <c r="G5" s="25" t="s">
        <v>110</v>
      </c>
      <c r="H5" s="25" t="s">
        <v>111</v>
      </c>
      <c r="I5" s="25" t="s">
        <v>116</v>
      </c>
      <c r="J5" s="25" t="s">
        <v>117</v>
      </c>
      <c r="K5" s="28">
        <v>0.5</v>
      </c>
      <c r="L5" s="25" t="s">
        <v>119</v>
      </c>
      <c r="M5" s="25">
        <v>2017</v>
      </c>
      <c r="N5" s="25" t="s">
        <v>112</v>
      </c>
      <c r="O5" s="26" t="s">
        <v>112</v>
      </c>
      <c r="P5" s="25" t="s">
        <v>112</v>
      </c>
      <c r="Q5" s="26" t="s">
        <v>112</v>
      </c>
      <c r="R5" s="27">
        <v>100</v>
      </c>
      <c r="S5" s="66">
        <v>0.5</v>
      </c>
      <c r="T5" s="28">
        <v>0</v>
      </c>
      <c r="U5" s="28">
        <v>0</v>
      </c>
    </row>
    <row r="6" spans="1:22" s="57" customFormat="1" x14ac:dyDescent="0.2">
      <c r="A6" s="25" t="s">
        <v>116</v>
      </c>
      <c r="B6" s="25" t="s">
        <v>117</v>
      </c>
      <c r="C6" s="25" t="s">
        <v>118</v>
      </c>
      <c r="D6" s="25" t="s">
        <v>130</v>
      </c>
      <c r="E6" s="25" t="s">
        <v>131</v>
      </c>
      <c r="F6" s="25" t="s">
        <v>129</v>
      </c>
      <c r="G6" s="25" t="s">
        <v>110</v>
      </c>
      <c r="H6" s="25" t="s">
        <v>111</v>
      </c>
      <c r="I6" s="25" t="s">
        <v>116</v>
      </c>
      <c r="J6" s="25" t="s">
        <v>117</v>
      </c>
      <c r="K6" s="28">
        <v>0.5</v>
      </c>
      <c r="L6" s="25" t="s">
        <v>119</v>
      </c>
      <c r="M6" s="25">
        <v>2017</v>
      </c>
      <c r="N6" s="25" t="s">
        <v>112</v>
      </c>
      <c r="O6" s="26" t="s">
        <v>112</v>
      </c>
      <c r="P6" s="25" t="s">
        <v>112</v>
      </c>
      <c r="Q6" s="26" t="s">
        <v>112</v>
      </c>
      <c r="R6" s="27">
        <v>100</v>
      </c>
      <c r="S6" s="66">
        <v>0.5</v>
      </c>
      <c r="T6" s="28">
        <v>0</v>
      </c>
      <c r="U6" s="28">
        <v>0</v>
      </c>
    </row>
    <row r="7" spans="1:22" s="57" customFormat="1" x14ac:dyDescent="0.2">
      <c r="A7" s="25" t="s">
        <v>116</v>
      </c>
      <c r="B7" s="25" t="s">
        <v>117</v>
      </c>
      <c r="C7" s="25" t="s">
        <v>118</v>
      </c>
      <c r="D7" s="25" t="s">
        <v>132</v>
      </c>
      <c r="E7" s="25" t="s">
        <v>133</v>
      </c>
      <c r="F7" s="25" t="s">
        <v>134</v>
      </c>
      <c r="G7" s="25" t="s">
        <v>110</v>
      </c>
      <c r="H7" s="25" t="s">
        <v>111</v>
      </c>
      <c r="I7" s="25" t="s">
        <v>116</v>
      </c>
      <c r="J7" s="25" t="s">
        <v>117</v>
      </c>
      <c r="K7" s="58">
        <v>0.5</v>
      </c>
      <c r="L7" s="25" t="s">
        <v>119</v>
      </c>
      <c r="M7" s="25">
        <v>2018</v>
      </c>
      <c r="N7" s="25" t="s">
        <v>112</v>
      </c>
      <c r="O7" s="26" t="s">
        <v>112</v>
      </c>
      <c r="P7" s="25" t="s">
        <v>112</v>
      </c>
      <c r="Q7" s="26" t="s">
        <v>112</v>
      </c>
      <c r="R7" s="27">
        <v>100</v>
      </c>
      <c r="S7" s="66">
        <v>0.5</v>
      </c>
      <c r="T7" s="28">
        <v>0</v>
      </c>
      <c r="U7" s="28">
        <v>0</v>
      </c>
    </row>
    <row r="8" spans="1:22" s="57" customFormat="1" x14ac:dyDescent="0.2">
      <c r="A8" s="25" t="s">
        <v>116</v>
      </c>
      <c r="B8" s="25" t="s">
        <v>117</v>
      </c>
      <c r="C8" s="25" t="s">
        <v>118</v>
      </c>
      <c r="D8" s="25" t="s">
        <v>305</v>
      </c>
      <c r="E8" s="25" t="s">
        <v>306</v>
      </c>
      <c r="F8" s="25" t="s">
        <v>307</v>
      </c>
      <c r="G8" s="25" t="s">
        <v>110</v>
      </c>
      <c r="H8" s="25" t="s">
        <v>111</v>
      </c>
      <c r="I8" s="25" t="s">
        <v>116</v>
      </c>
      <c r="J8" s="25" t="s">
        <v>117</v>
      </c>
      <c r="K8" s="58">
        <v>0.5</v>
      </c>
      <c r="L8" s="25" t="s">
        <v>119</v>
      </c>
      <c r="M8" s="25">
        <v>2018</v>
      </c>
      <c r="N8" s="25" t="s">
        <v>112</v>
      </c>
      <c r="O8" s="26" t="s">
        <v>112</v>
      </c>
      <c r="P8" s="25" t="s">
        <v>112</v>
      </c>
      <c r="Q8" s="26" t="s">
        <v>112</v>
      </c>
      <c r="R8" s="27">
        <v>100</v>
      </c>
      <c r="S8" s="66">
        <v>0.5</v>
      </c>
      <c r="T8" s="28">
        <v>0</v>
      </c>
      <c r="U8" s="28">
        <v>0</v>
      </c>
    </row>
    <row r="9" spans="1:22" s="57" customFormat="1" ht="10.8" thickBot="1" x14ac:dyDescent="0.25">
      <c r="A9" s="29" t="s">
        <v>116</v>
      </c>
      <c r="B9" s="29" t="s">
        <v>117</v>
      </c>
      <c r="C9" s="29" t="s">
        <v>118</v>
      </c>
      <c r="D9" s="29" t="s">
        <v>370</v>
      </c>
      <c r="E9" s="29" t="s">
        <v>371</v>
      </c>
      <c r="F9" s="29" t="s">
        <v>372</v>
      </c>
      <c r="G9" s="29" t="s">
        <v>110</v>
      </c>
      <c r="H9" s="29" t="s">
        <v>111</v>
      </c>
      <c r="I9" s="29" t="s">
        <v>116</v>
      </c>
      <c r="J9" s="29" t="s">
        <v>117</v>
      </c>
      <c r="K9" s="59">
        <v>0.5</v>
      </c>
      <c r="L9" s="29" t="s">
        <v>119</v>
      </c>
      <c r="M9" s="29">
        <v>2019</v>
      </c>
      <c r="N9" s="29" t="s">
        <v>112</v>
      </c>
      <c r="O9" s="30" t="s">
        <v>112</v>
      </c>
      <c r="P9" s="29" t="s">
        <v>112</v>
      </c>
      <c r="Q9" s="30" t="s">
        <v>112</v>
      </c>
      <c r="R9" s="31">
        <v>100</v>
      </c>
      <c r="S9" s="67">
        <v>0.5</v>
      </c>
      <c r="T9" s="32">
        <v>0</v>
      </c>
      <c r="U9" s="32">
        <v>0</v>
      </c>
      <c r="V9" s="57" t="s">
        <v>573</v>
      </c>
    </row>
    <row r="10" spans="1:22" s="57" customFormat="1" ht="10.8" thickBot="1" x14ac:dyDescent="0.25">
      <c r="A10" s="35" t="s">
        <v>116</v>
      </c>
      <c r="B10" s="35" t="s">
        <v>117</v>
      </c>
      <c r="C10" s="35" t="s">
        <v>118</v>
      </c>
      <c r="D10" s="35" t="s">
        <v>428</v>
      </c>
      <c r="E10" s="35" t="s">
        <v>429</v>
      </c>
      <c r="F10" s="35" t="s">
        <v>430</v>
      </c>
      <c r="G10" s="36" t="s">
        <v>110</v>
      </c>
      <c r="H10" s="37" t="s">
        <v>111</v>
      </c>
      <c r="I10" s="37" t="s">
        <v>116</v>
      </c>
      <c r="J10" s="38" t="s">
        <v>117</v>
      </c>
      <c r="K10" s="33">
        <v>0.5</v>
      </c>
      <c r="L10" s="33" t="s">
        <v>119</v>
      </c>
      <c r="M10" s="25">
        <v>2020</v>
      </c>
      <c r="N10" s="25" t="s">
        <v>112</v>
      </c>
      <c r="O10" s="26" t="s">
        <v>112</v>
      </c>
      <c r="P10" s="25" t="s">
        <v>112</v>
      </c>
      <c r="Q10" s="26" t="s">
        <v>112</v>
      </c>
      <c r="R10" s="25">
        <v>100</v>
      </c>
      <c r="S10" s="69">
        <v>0.5</v>
      </c>
      <c r="T10" s="25">
        <v>0</v>
      </c>
      <c r="U10" s="25">
        <v>0</v>
      </c>
      <c r="V10" s="57" t="s">
        <v>573</v>
      </c>
    </row>
    <row r="11" spans="1:22" s="57" customFormat="1" ht="10.8" thickBot="1" x14ac:dyDescent="0.25">
      <c r="A11" s="35" t="s">
        <v>116</v>
      </c>
      <c r="B11" s="35" t="s">
        <v>117</v>
      </c>
      <c r="C11" s="35" t="s">
        <v>118</v>
      </c>
      <c r="D11" s="35" t="s">
        <v>574</v>
      </c>
      <c r="E11" s="35" t="s">
        <v>575</v>
      </c>
      <c r="F11" s="35" t="s">
        <v>576</v>
      </c>
      <c r="G11" s="36" t="s">
        <v>110</v>
      </c>
      <c r="H11" s="37" t="s">
        <v>111</v>
      </c>
      <c r="I11" s="37" t="s">
        <v>116</v>
      </c>
      <c r="J11" s="38" t="s">
        <v>117</v>
      </c>
      <c r="K11" s="33">
        <v>0.5</v>
      </c>
      <c r="L11" s="33" t="s">
        <v>119</v>
      </c>
      <c r="M11" s="25">
        <v>2020</v>
      </c>
      <c r="N11" s="25" t="s">
        <v>112</v>
      </c>
      <c r="O11" s="26" t="s">
        <v>112</v>
      </c>
      <c r="P11" s="25" t="s">
        <v>112</v>
      </c>
      <c r="Q11" s="26" t="s">
        <v>112</v>
      </c>
      <c r="R11" s="25">
        <v>100</v>
      </c>
      <c r="S11" s="69">
        <v>0.5</v>
      </c>
      <c r="T11" s="25">
        <v>0</v>
      </c>
      <c r="U11" s="25">
        <v>0</v>
      </c>
      <c r="V11" s="57" t="s">
        <v>573</v>
      </c>
    </row>
    <row r="12" spans="1:22" s="57" customFormat="1" ht="10.8" thickBot="1" x14ac:dyDescent="0.25">
      <c r="A12" s="35" t="s">
        <v>116</v>
      </c>
      <c r="B12" s="35" t="s">
        <v>117</v>
      </c>
      <c r="C12" s="35" t="s">
        <v>118</v>
      </c>
      <c r="D12" s="35" t="s">
        <v>431</v>
      </c>
      <c r="E12" s="35" t="s">
        <v>432</v>
      </c>
      <c r="F12" s="35" t="s">
        <v>433</v>
      </c>
      <c r="G12" s="36" t="s">
        <v>437</v>
      </c>
      <c r="H12" s="37" t="s">
        <v>111</v>
      </c>
      <c r="I12" s="37" t="s">
        <v>116</v>
      </c>
      <c r="J12" s="38" t="s">
        <v>117</v>
      </c>
      <c r="K12" s="33">
        <v>0.5</v>
      </c>
      <c r="L12" s="33" t="s">
        <v>119</v>
      </c>
      <c r="M12" s="25">
        <v>2020</v>
      </c>
      <c r="N12" s="25" t="s">
        <v>112</v>
      </c>
      <c r="O12" s="26" t="s">
        <v>112</v>
      </c>
      <c r="P12" s="25" t="s">
        <v>112</v>
      </c>
      <c r="Q12" s="26" t="s">
        <v>112</v>
      </c>
      <c r="R12" s="25">
        <v>100</v>
      </c>
      <c r="S12" s="69">
        <v>0.5</v>
      </c>
      <c r="T12" s="25">
        <v>0</v>
      </c>
      <c r="U12" s="25">
        <v>0</v>
      </c>
      <c r="V12" s="57" t="s">
        <v>573</v>
      </c>
    </row>
    <row r="13" spans="1:22" s="57" customFormat="1" x14ac:dyDescent="0.2">
      <c r="A13" s="25" t="s">
        <v>116</v>
      </c>
      <c r="B13" s="25" t="s">
        <v>117</v>
      </c>
      <c r="C13" s="25" t="s">
        <v>118</v>
      </c>
      <c r="D13" s="25" t="s">
        <v>577</v>
      </c>
      <c r="E13" s="25" t="s">
        <v>578</v>
      </c>
      <c r="F13" s="25" t="s">
        <v>579</v>
      </c>
      <c r="G13" s="25" t="s">
        <v>110</v>
      </c>
      <c r="H13" s="25" t="s">
        <v>111</v>
      </c>
      <c r="I13" s="25" t="s">
        <v>116</v>
      </c>
      <c r="J13" s="25" t="s">
        <v>117</v>
      </c>
      <c r="K13" s="33">
        <v>0.5</v>
      </c>
      <c r="L13" s="33" t="s">
        <v>119</v>
      </c>
      <c r="M13" s="25">
        <v>2021</v>
      </c>
      <c r="N13" s="25" t="s">
        <v>112</v>
      </c>
      <c r="O13" s="26" t="s">
        <v>112</v>
      </c>
      <c r="P13" s="25" t="s">
        <v>112</v>
      </c>
      <c r="Q13" s="26" t="s">
        <v>112</v>
      </c>
      <c r="R13" s="25">
        <v>100</v>
      </c>
      <c r="S13" s="69">
        <v>0.5</v>
      </c>
      <c r="T13" s="25">
        <v>0</v>
      </c>
      <c r="U13" s="25">
        <v>0</v>
      </c>
      <c r="V13" s="57" t="s">
        <v>573</v>
      </c>
    </row>
    <row r="14" spans="1:22" s="57" customFormat="1" x14ac:dyDescent="0.2">
      <c r="A14" s="25" t="s">
        <v>116</v>
      </c>
      <c r="B14" s="25" t="s">
        <v>117</v>
      </c>
      <c r="C14" s="25" t="s">
        <v>118</v>
      </c>
      <c r="D14" s="25" t="s">
        <v>580</v>
      </c>
      <c r="E14" s="25" t="s">
        <v>581</v>
      </c>
      <c r="F14" s="25" t="s">
        <v>582</v>
      </c>
      <c r="G14" s="25" t="s">
        <v>583</v>
      </c>
      <c r="H14" s="25" t="s">
        <v>111</v>
      </c>
      <c r="I14" s="25" t="s">
        <v>116</v>
      </c>
      <c r="J14" s="25" t="s">
        <v>117</v>
      </c>
      <c r="K14" s="33">
        <v>0.5</v>
      </c>
      <c r="L14" s="33" t="s">
        <v>119</v>
      </c>
      <c r="M14" s="25">
        <v>2021</v>
      </c>
      <c r="N14" s="25" t="s">
        <v>112</v>
      </c>
      <c r="O14" s="26" t="s">
        <v>112</v>
      </c>
      <c r="P14" s="25" t="s">
        <v>112</v>
      </c>
      <c r="Q14" s="26" t="s">
        <v>112</v>
      </c>
      <c r="R14" s="25">
        <v>100</v>
      </c>
      <c r="S14" s="69">
        <v>0.5</v>
      </c>
      <c r="T14" s="25">
        <v>0</v>
      </c>
      <c r="U14" s="25">
        <v>0</v>
      </c>
      <c r="V14" s="57" t="s">
        <v>573</v>
      </c>
    </row>
    <row r="15" spans="1:22" s="57" customFormat="1" x14ac:dyDescent="0.2">
      <c r="A15" s="25" t="s">
        <v>157</v>
      </c>
      <c r="B15" s="25" t="s">
        <v>158</v>
      </c>
      <c r="C15" s="25" t="s">
        <v>159</v>
      </c>
      <c r="D15" s="25" t="s">
        <v>164</v>
      </c>
      <c r="E15" s="25" t="s">
        <v>165</v>
      </c>
      <c r="F15" s="25" t="s">
        <v>166</v>
      </c>
      <c r="G15" s="25" t="s">
        <v>162</v>
      </c>
      <c r="H15" s="25" t="s">
        <v>114</v>
      </c>
      <c r="I15" s="25" t="s">
        <v>157</v>
      </c>
      <c r="J15" s="25" t="s">
        <v>158</v>
      </c>
      <c r="K15" s="28">
        <v>1</v>
      </c>
      <c r="L15" s="25" t="s">
        <v>160</v>
      </c>
      <c r="M15" s="25">
        <v>2016</v>
      </c>
      <c r="N15" s="25" t="s">
        <v>119</v>
      </c>
      <c r="O15" s="26" t="s">
        <v>140</v>
      </c>
      <c r="P15" s="25" t="s">
        <v>112</v>
      </c>
      <c r="Q15" s="26" t="s">
        <v>112</v>
      </c>
      <c r="R15" s="27">
        <v>90</v>
      </c>
      <c r="S15" s="28">
        <v>0.9</v>
      </c>
      <c r="T15" s="66">
        <v>0.1</v>
      </c>
      <c r="U15" s="28">
        <v>0</v>
      </c>
    </row>
    <row r="16" spans="1:22" s="57" customFormat="1" x14ac:dyDescent="0.2">
      <c r="A16" s="25" t="s">
        <v>116</v>
      </c>
      <c r="B16" s="25" t="s">
        <v>117</v>
      </c>
      <c r="C16" s="25" t="s">
        <v>118</v>
      </c>
      <c r="D16" s="25" t="s">
        <v>192</v>
      </c>
      <c r="E16" s="25" t="s">
        <v>193</v>
      </c>
      <c r="F16" s="25" t="s">
        <v>146</v>
      </c>
      <c r="G16" s="25" t="s">
        <v>189</v>
      </c>
      <c r="H16" s="25" t="s">
        <v>114</v>
      </c>
      <c r="I16" s="25" t="s">
        <v>182</v>
      </c>
      <c r="J16" s="25" t="s">
        <v>120</v>
      </c>
      <c r="K16" s="28">
        <v>1</v>
      </c>
      <c r="L16" s="25" t="s">
        <v>183</v>
      </c>
      <c r="M16" s="25">
        <v>2016</v>
      </c>
      <c r="N16" s="25" t="s">
        <v>119</v>
      </c>
      <c r="O16" s="26" t="s">
        <v>144</v>
      </c>
      <c r="P16" s="25" t="s">
        <v>112</v>
      </c>
      <c r="Q16" s="26" t="s">
        <v>112</v>
      </c>
      <c r="R16" s="27">
        <v>60</v>
      </c>
      <c r="S16" s="28">
        <v>0.6</v>
      </c>
      <c r="T16" s="66">
        <v>0.4</v>
      </c>
      <c r="U16" s="28">
        <v>0</v>
      </c>
    </row>
    <row r="17" spans="1:21" s="57" customFormat="1" x14ac:dyDescent="0.2">
      <c r="A17" s="25" t="s">
        <v>116</v>
      </c>
      <c r="B17" s="25" t="s">
        <v>117</v>
      </c>
      <c r="C17" s="25" t="s">
        <v>118</v>
      </c>
      <c r="D17" s="25" t="s">
        <v>172</v>
      </c>
      <c r="E17" s="25" t="s">
        <v>173</v>
      </c>
      <c r="F17" s="25" t="s">
        <v>166</v>
      </c>
      <c r="G17" s="25" t="s">
        <v>170</v>
      </c>
      <c r="H17" s="25" t="s">
        <v>111</v>
      </c>
      <c r="I17" s="25" t="s">
        <v>149</v>
      </c>
      <c r="J17" s="25" t="s">
        <v>150</v>
      </c>
      <c r="K17" s="28">
        <v>0.5</v>
      </c>
      <c r="L17" s="25" t="s">
        <v>151</v>
      </c>
      <c r="M17" s="25">
        <v>2016</v>
      </c>
      <c r="N17" s="25" t="s">
        <v>119</v>
      </c>
      <c r="O17" s="26" t="s">
        <v>136</v>
      </c>
      <c r="P17" s="25" t="s">
        <v>112</v>
      </c>
      <c r="Q17" s="26" t="s">
        <v>112</v>
      </c>
      <c r="R17" s="27">
        <v>50</v>
      </c>
      <c r="S17" s="28">
        <v>0.25</v>
      </c>
      <c r="T17" s="66">
        <v>0.25</v>
      </c>
      <c r="U17" s="28">
        <v>0</v>
      </c>
    </row>
    <row r="18" spans="1:21" s="57" customFormat="1" x14ac:dyDescent="0.2">
      <c r="A18" s="25" t="s">
        <v>116</v>
      </c>
      <c r="B18" s="25" t="s">
        <v>117</v>
      </c>
      <c r="C18" s="25" t="s">
        <v>118</v>
      </c>
      <c r="D18" s="25" t="s">
        <v>172</v>
      </c>
      <c r="E18" s="25" t="s">
        <v>173</v>
      </c>
      <c r="F18" s="25" t="s">
        <v>166</v>
      </c>
      <c r="G18" s="25" t="s">
        <v>171</v>
      </c>
      <c r="H18" s="25" t="s">
        <v>111</v>
      </c>
      <c r="I18" s="25" t="s">
        <v>149</v>
      </c>
      <c r="J18" s="25" t="s">
        <v>150</v>
      </c>
      <c r="K18" s="28">
        <v>0.5</v>
      </c>
      <c r="L18" s="25" t="s">
        <v>151</v>
      </c>
      <c r="M18" s="25">
        <v>2016</v>
      </c>
      <c r="N18" s="25" t="s">
        <v>119</v>
      </c>
      <c r="O18" s="26" t="s">
        <v>136</v>
      </c>
      <c r="P18" s="25" t="s">
        <v>112</v>
      </c>
      <c r="Q18" s="26" t="s">
        <v>112</v>
      </c>
      <c r="R18" s="27">
        <v>50</v>
      </c>
      <c r="S18" s="28">
        <v>0.25</v>
      </c>
      <c r="T18" s="66">
        <v>0.25</v>
      </c>
      <c r="U18" s="28">
        <v>0</v>
      </c>
    </row>
    <row r="19" spans="1:21" s="57" customFormat="1" x14ac:dyDescent="0.2">
      <c r="A19" s="25" t="s">
        <v>116</v>
      </c>
      <c r="B19" s="25" t="s">
        <v>117</v>
      </c>
      <c r="C19" s="25" t="s">
        <v>118</v>
      </c>
      <c r="D19" s="25" t="s">
        <v>225</v>
      </c>
      <c r="E19" s="25" t="s">
        <v>226</v>
      </c>
      <c r="F19" s="25" t="s">
        <v>152</v>
      </c>
      <c r="G19" s="25" t="s">
        <v>227</v>
      </c>
      <c r="H19" s="25" t="s">
        <v>111</v>
      </c>
      <c r="I19" s="25" t="s">
        <v>141</v>
      </c>
      <c r="J19" s="25" t="s">
        <v>142</v>
      </c>
      <c r="K19" s="28">
        <v>0.5</v>
      </c>
      <c r="L19" s="25" t="s">
        <v>143</v>
      </c>
      <c r="M19" s="25">
        <v>2016</v>
      </c>
      <c r="N19" s="25" t="s">
        <v>119</v>
      </c>
      <c r="O19" s="26" t="s">
        <v>137</v>
      </c>
      <c r="P19" s="25" t="s">
        <v>112</v>
      </c>
      <c r="Q19" s="26" t="s">
        <v>112</v>
      </c>
      <c r="R19" s="27">
        <v>80</v>
      </c>
      <c r="S19" s="28">
        <v>0.4</v>
      </c>
      <c r="T19" s="66">
        <v>0.1</v>
      </c>
      <c r="U19" s="28">
        <v>0</v>
      </c>
    </row>
    <row r="20" spans="1:21" s="57" customFormat="1" x14ac:dyDescent="0.2">
      <c r="A20" s="25" t="s">
        <v>116</v>
      </c>
      <c r="B20" s="25" t="s">
        <v>117</v>
      </c>
      <c r="C20" s="25" t="s">
        <v>118</v>
      </c>
      <c r="D20" s="25" t="s">
        <v>225</v>
      </c>
      <c r="E20" s="25" t="s">
        <v>226</v>
      </c>
      <c r="F20" s="25" t="s">
        <v>152</v>
      </c>
      <c r="G20" s="25" t="s">
        <v>224</v>
      </c>
      <c r="H20" s="25" t="s">
        <v>111</v>
      </c>
      <c r="I20" s="25" t="s">
        <v>141</v>
      </c>
      <c r="J20" s="25" t="s">
        <v>142</v>
      </c>
      <c r="K20" s="28">
        <v>0.5</v>
      </c>
      <c r="L20" s="25" t="s">
        <v>143</v>
      </c>
      <c r="M20" s="25">
        <v>2016</v>
      </c>
      <c r="N20" s="25" t="s">
        <v>119</v>
      </c>
      <c r="O20" s="26" t="s">
        <v>136</v>
      </c>
      <c r="P20" s="25" t="s">
        <v>112</v>
      </c>
      <c r="Q20" s="26" t="s">
        <v>112</v>
      </c>
      <c r="R20" s="27">
        <v>50</v>
      </c>
      <c r="S20" s="28">
        <v>0.25</v>
      </c>
      <c r="T20" s="66">
        <v>0.25</v>
      </c>
      <c r="U20" s="28">
        <v>0</v>
      </c>
    </row>
    <row r="21" spans="1:21" s="57" customFormat="1" x14ac:dyDescent="0.2">
      <c r="A21" s="25" t="s">
        <v>116</v>
      </c>
      <c r="B21" s="25" t="s">
        <v>117</v>
      </c>
      <c r="C21" s="25" t="s">
        <v>118</v>
      </c>
      <c r="D21" s="25" t="s">
        <v>194</v>
      </c>
      <c r="E21" s="25" t="s">
        <v>195</v>
      </c>
      <c r="F21" s="25" t="s">
        <v>147</v>
      </c>
      <c r="G21" s="25" t="s">
        <v>184</v>
      </c>
      <c r="H21" s="25" t="s">
        <v>111</v>
      </c>
      <c r="I21" s="25" t="s">
        <v>182</v>
      </c>
      <c r="J21" s="25" t="s">
        <v>120</v>
      </c>
      <c r="K21" s="28">
        <v>0.5</v>
      </c>
      <c r="L21" s="25" t="s">
        <v>183</v>
      </c>
      <c r="M21" s="25">
        <v>2016</v>
      </c>
      <c r="N21" s="25" t="s">
        <v>119</v>
      </c>
      <c r="O21" s="26" t="s">
        <v>136</v>
      </c>
      <c r="P21" s="25" t="s">
        <v>112</v>
      </c>
      <c r="Q21" s="26" t="s">
        <v>112</v>
      </c>
      <c r="R21" s="27">
        <v>50</v>
      </c>
      <c r="S21" s="28">
        <v>0.25</v>
      </c>
      <c r="T21" s="66">
        <v>0.25</v>
      </c>
      <c r="U21" s="28">
        <v>0</v>
      </c>
    </row>
    <row r="22" spans="1:21" s="57" customFormat="1" x14ac:dyDescent="0.2">
      <c r="A22" s="25" t="s">
        <v>116</v>
      </c>
      <c r="B22" s="25" t="s">
        <v>117</v>
      </c>
      <c r="C22" s="25" t="s">
        <v>118</v>
      </c>
      <c r="D22" s="25" t="s">
        <v>194</v>
      </c>
      <c r="E22" s="25" t="s">
        <v>195</v>
      </c>
      <c r="F22" s="25" t="s">
        <v>147</v>
      </c>
      <c r="G22" s="25" t="s">
        <v>190</v>
      </c>
      <c r="H22" s="25" t="s">
        <v>111</v>
      </c>
      <c r="I22" s="25" t="s">
        <v>182</v>
      </c>
      <c r="J22" s="25" t="s">
        <v>120</v>
      </c>
      <c r="K22" s="28">
        <v>0.5</v>
      </c>
      <c r="L22" s="25" t="s">
        <v>183</v>
      </c>
      <c r="M22" s="25">
        <v>2016</v>
      </c>
      <c r="N22" s="25" t="s">
        <v>119</v>
      </c>
      <c r="O22" s="26" t="s">
        <v>136</v>
      </c>
      <c r="P22" s="25" t="s">
        <v>112</v>
      </c>
      <c r="Q22" s="26" t="s">
        <v>112</v>
      </c>
      <c r="R22" s="27">
        <v>50</v>
      </c>
      <c r="S22" s="28">
        <v>0.25</v>
      </c>
      <c r="T22" s="66">
        <v>0.25</v>
      </c>
      <c r="U22" s="28">
        <v>0</v>
      </c>
    </row>
    <row r="23" spans="1:21" s="57" customFormat="1" x14ac:dyDescent="0.2">
      <c r="A23" s="25" t="s">
        <v>116</v>
      </c>
      <c r="B23" s="25" t="s">
        <v>117</v>
      </c>
      <c r="C23" s="25" t="s">
        <v>118</v>
      </c>
      <c r="D23" s="25" t="s">
        <v>174</v>
      </c>
      <c r="E23" s="25" t="s">
        <v>175</v>
      </c>
      <c r="F23" s="25" t="s">
        <v>176</v>
      </c>
      <c r="G23" s="25" t="s">
        <v>227</v>
      </c>
      <c r="H23" s="25" t="s">
        <v>111</v>
      </c>
      <c r="I23" s="25" t="s">
        <v>141</v>
      </c>
      <c r="J23" s="25" t="s">
        <v>142</v>
      </c>
      <c r="K23" s="28">
        <v>0.5</v>
      </c>
      <c r="L23" s="25" t="s">
        <v>143</v>
      </c>
      <c r="M23" s="25">
        <v>2016</v>
      </c>
      <c r="N23" s="25" t="s">
        <v>119</v>
      </c>
      <c r="O23" s="26" t="s">
        <v>137</v>
      </c>
      <c r="P23" s="25" t="s">
        <v>112</v>
      </c>
      <c r="Q23" s="26" t="s">
        <v>112</v>
      </c>
      <c r="R23" s="27">
        <v>80</v>
      </c>
      <c r="S23" s="28">
        <v>0.4</v>
      </c>
      <c r="T23" s="66">
        <v>0.1</v>
      </c>
      <c r="U23" s="28">
        <v>0</v>
      </c>
    </row>
    <row r="24" spans="1:21" s="57" customFormat="1" x14ac:dyDescent="0.2">
      <c r="A24" s="25" t="s">
        <v>116</v>
      </c>
      <c r="B24" s="25" t="s">
        <v>117</v>
      </c>
      <c r="C24" s="25" t="s">
        <v>118</v>
      </c>
      <c r="D24" s="25" t="s">
        <v>174</v>
      </c>
      <c r="E24" s="25" t="s">
        <v>175</v>
      </c>
      <c r="F24" s="25" t="s">
        <v>176</v>
      </c>
      <c r="G24" s="25" t="s">
        <v>171</v>
      </c>
      <c r="H24" s="25" t="s">
        <v>111</v>
      </c>
      <c r="I24" s="25" t="s">
        <v>149</v>
      </c>
      <c r="J24" s="25" t="s">
        <v>150</v>
      </c>
      <c r="K24" s="28">
        <v>0.5</v>
      </c>
      <c r="L24" s="25" t="s">
        <v>151</v>
      </c>
      <c r="M24" s="25">
        <v>2016</v>
      </c>
      <c r="N24" s="25" t="s">
        <v>119</v>
      </c>
      <c r="O24" s="26" t="s">
        <v>136</v>
      </c>
      <c r="P24" s="25" t="s">
        <v>112</v>
      </c>
      <c r="Q24" s="26" t="s">
        <v>112</v>
      </c>
      <c r="R24" s="27">
        <v>50</v>
      </c>
      <c r="S24" s="28">
        <v>0.25</v>
      </c>
      <c r="T24" s="66">
        <v>0.25</v>
      </c>
      <c r="U24" s="28">
        <v>0</v>
      </c>
    </row>
    <row r="25" spans="1:21" s="57" customFormat="1" x14ac:dyDescent="0.2">
      <c r="A25" s="25" t="s">
        <v>116</v>
      </c>
      <c r="B25" s="25" t="s">
        <v>117</v>
      </c>
      <c r="C25" s="25" t="s">
        <v>118</v>
      </c>
      <c r="D25" s="25" t="s">
        <v>196</v>
      </c>
      <c r="E25" s="25" t="s">
        <v>197</v>
      </c>
      <c r="F25" s="25" t="s">
        <v>198</v>
      </c>
      <c r="G25" s="25" t="s">
        <v>199</v>
      </c>
      <c r="H25" s="25" t="s">
        <v>114</v>
      </c>
      <c r="I25" s="25" t="s">
        <v>182</v>
      </c>
      <c r="J25" s="25" t="s">
        <v>120</v>
      </c>
      <c r="K25" s="28">
        <v>1</v>
      </c>
      <c r="L25" s="25" t="s">
        <v>183</v>
      </c>
      <c r="M25" s="25">
        <v>2016</v>
      </c>
      <c r="N25" s="25" t="s">
        <v>119</v>
      </c>
      <c r="O25" s="26" t="s">
        <v>144</v>
      </c>
      <c r="P25" s="25" t="s">
        <v>112</v>
      </c>
      <c r="Q25" s="26" t="s">
        <v>112</v>
      </c>
      <c r="R25" s="27">
        <v>60</v>
      </c>
      <c r="S25" s="28">
        <v>0.6</v>
      </c>
      <c r="T25" s="66">
        <v>0.4</v>
      </c>
      <c r="U25" s="28">
        <v>0</v>
      </c>
    </row>
    <row r="26" spans="1:21" s="57" customFormat="1" x14ac:dyDescent="0.2">
      <c r="A26" s="25" t="s">
        <v>116</v>
      </c>
      <c r="B26" s="25" t="s">
        <v>117</v>
      </c>
      <c r="C26" s="25" t="s">
        <v>118</v>
      </c>
      <c r="D26" s="25" t="s">
        <v>155</v>
      </c>
      <c r="E26" s="25" t="s">
        <v>156</v>
      </c>
      <c r="F26" s="25" t="s">
        <v>113</v>
      </c>
      <c r="G26" s="25" t="s">
        <v>154</v>
      </c>
      <c r="H26" s="25" t="s">
        <v>111</v>
      </c>
      <c r="I26" s="25" t="s">
        <v>116</v>
      </c>
      <c r="J26" s="25" t="s">
        <v>117</v>
      </c>
      <c r="K26" s="28">
        <v>0.5</v>
      </c>
      <c r="L26" s="25" t="s">
        <v>119</v>
      </c>
      <c r="M26" s="25">
        <v>2016</v>
      </c>
      <c r="N26" s="25" t="s">
        <v>119</v>
      </c>
      <c r="O26" s="26" t="s">
        <v>148</v>
      </c>
      <c r="P26" s="25" t="s">
        <v>112</v>
      </c>
      <c r="Q26" s="26" t="s">
        <v>112</v>
      </c>
      <c r="R26" s="27">
        <v>0</v>
      </c>
      <c r="S26" s="28">
        <v>0</v>
      </c>
      <c r="T26" s="66">
        <v>0.5</v>
      </c>
      <c r="U26" s="28">
        <v>0</v>
      </c>
    </row>
    <row r="27" spans="1:21" s="57" customFormat="1" x14ac:dyDescent="0.2">
      <c r="A27" s="25" t="s">
        <v>116</v>
      </c>
      <c r="B27" s="25" t="s">
        <v>117</v>
      </c>
      <c r="C27" s="25" t="s">
        <v>118</v>
      </c>
      <c r="D27" s="25" t="s">
        <v>155</v>
      </c>
      <c r="E27" s="25" t="s">
        <v>156</v>
      </c>
      <c r="F27" s="25" t="s">
        <v>113</v>
      </c>
      <c r="G27" s="25" t="s">
        <v>184</v>
      </c>
      <c r="H27" s="25" t="s">
        <v>111</v>
      </c>
      <c r="I27" s="25" t="s">
        <v>182</v>
      </c>
      <c r="J27" s="25" t="s">
        <v>120</v>
      </c>
      <c r="K27" s="28">
        <v>0.5</v>
      </c>
      <c r="L27" s="25" t="s">
        <v>183</v>
      </c>
      <c r="M27" s="25">
        <v>2016</v>
      </c>
      <c r="N27" s="25" t="s">
        <v>119</v>
      </c>
      <c r="O27" s="26" t="s">
        <v>136</v>
      </c>
      <c r="P27" s="25" t="s">
        <v>112</v>
      </c>
      <c r="Q27" s="26" t="s">
        <v>112</v>
      </c>
      <c r="R27" s="27">
        <v>50</v>
      </c>
      <c r="S27" s="28">
        <v>0.25</v>
      </c>
      <c r="T27" s="66">
        <v>0.25</v>
      </c>
      <c r="U27" s="28">
        <v>0</v>
      </c>
    </row>
    <row r="28" spans="1:21" s="57" customFormat="1" x14ac:dyDescent="0.2">
      <c r="A28" s="25" t="s">
        <v>116</v>
      </c>
      <c r="B28" s="25" t="s">
        <v>117</v>
      </c>
      <c r="C28" s="25" t="s">
        <v>118</v>
      </c>
      <c r="D28" s="25" t="s">
        <v>200</v>
      </c>
      <c r="E28" s="25" t="s">
        <v>201</v>
      </c>
      <c r="F28" s="25" t="s">
        <v>135</v>
      </c>
      <c r="G28" s="25" t="s">
        <v>188</v>
      </c>
      <c r="H28" s="25" t="s">
        <v>111</v>
      </c>
      <c r="I28" s="25" t="s">
        <v>182</v>
      </c>
      <c r="J28" s="25" t="s">
        <v>120</v>
      </c>
      <c r="K28" s="28">
        <v>0.5</v>
      </c>
      <c r="L28" s="25" t="s">
        <v>183</v>
      </c>
      <c r="M28" s="25">
        <v>2016</v>
      </c>
      <c r="N28" s="25" t="s">
        <v>119</v>
      </c>
      <c r="O28" s="26" t="s">
        <v>144</v>
      </c>
      <c r="P28" s="25" t="s">
        <v>112</v>
      </c>
      <c r="Q28" s="26" t="s">
        <v>112</v>
      </c>
      <c r="R28" s="27">
        <v>60</v>
      </c>
      <c r="S28" s="28">
        <v>0.3</v>
      </c>
      <c r="T28" s="66">
        <v>0.2</v>
      </c>
      <c r="U28" s="28">
        <v>0</v>
      </c>
    </row>
    <row r="29" spans="1:21" s="57" customFormat="1" x14ac:dyDescent="0.2">
      <c r="A29" s="25" t="s">
        <v>116</v>
      </c>
      <c r="B29" s="25" t="s">
        <v>117</v>
      </c>
      <c r="C29" s="25" t="s">
        <v>118</v>
      </c>
      <c r="D29" s="25" t="s">
        <v>200</v>
      </c>
      <c r="E29" s="25" t="s">
        <v>201</v>
      </c>
      <c r="F29" s="25" t="s">
        <v>135</v>
      </c>
      <c r="G29" s="25" t="s">
        <v>202</v>
      </c>
      <c r="H29" s="25" t="s">
        <v>111</v>
      </c>
      <c r="I29" s="25" t="s">
        <v>182</v>
      </c>
      <c r="J29" s="25" t="s">
        <v>120</v>
      </c>
      <c r="K29" s="28">
        <v>0.5</v>
      </c>
      <c r="L29" s="25" t="s">
        <v>183</v>
      </c>
      <c r="M29" s="25">
        <v>2016</v>
      </c>
      <c r="N29" s="25" t="s">
        <v>119</v>
      </c>
      <c r="O29" s="26" t="s">
        <v>144</v>
      </c>
      <c r="P29" s="25" t="s">
        <v>112</v>
      </c>
      <c r="Q29" s="26" t="s">
        <v>112</v>
      </c>
      <c r="R29" s="27">
        <v>60</v>
      </c>
      <c r="S29" s="28">
        <v>0.3</v>
      </c>
      <c r="T29" s="66">
        <v>0.2</v>
      </c>
      <c r="U29" s="28">
        <v>0</v>
      </c>
    </row>
    <row r="30" spans="1:21" s="57" customFormat="1" x14ac:dyDescent="0.2">
      <c r="A30" s="25" t="s">
        <v>116</v>
      </c>
      <c r="B30" s="25" t="s">
        <v>117</v>
      </c>
      <c r="C30" s="25" t="s">
        <v>118</v>
      </c>
      <c r="D30" s="25" t="s">
        <v>121</v>
      </c>
      <c r="E30" s="25" t="s">
        <v>122</v>
      </c>
      <c r="F30" s="25" t="s">
        <v>123</v>
      </c>
      <c r="G30" s="25" t="s">
        <v>186</v>
      </c>
      <c r="H30" s="25" t="s">
        <v>111</v>
      </c>
      <c r="I30" s="25" t="s">
        <v>182</v>
      </c>
      <c r="J30" s="25" t="s">
        <v>120</v>
      </c>
      <c r="K30" s="28">
        <v>0.5</v>
      </c>
      <c r="L30" s="25" t="s">
        <v>183</v>
      </c>
      <c r="M30" s="25">
        <v>2016</v>
      </c>
      <c r="N30" s="25" t="s">
        <v>119</v>
      </c>
      <c r="O30" s="26" t="s">
        <v>137</v>
      </c>
      <c r="P30" s="25" t="s">
        <v>112</v>
      </c>
      <c r="Q30" s="26" t="s">
        <v>112</v>
      </c>
      <c r="R30" s="27">
        <v>80</v>
      </c>
      <c r="S30" s="28">
        <v>0.4</v>
      </c>
      <c r="T30" s="66">
        <v>0.1</v>
      </c>
      <c r="U30" s="28">
        <v>0</v>
      </c>
    </row>
    <row r="31" spans="1:21" s="57" customFormat="1" x14ac:dyDescent="0.2">
      <c r="A31" s="25" t="s">
        <v>116</v>
      </c>
      <c r="B31" s="25" t="s">
        <v>117</v>
      </c>
      <c r="C31" s="25" t="s">
        <v>118</v>
      </c>
      <c r="D31" s="25" t="s">
        <v>124</v>
      </c>
      <c r="E31" s="25" t="s">
        <v>125</v>
      </c>
      <c r="F31" s="25" t="s">
        <v>126</v>
      </c>
      <c r="G31" s="25" t="s">
        <v>171</v>
      </c>
      <c r="H31" s="25" t="s">
        <v>111</v>
      </c>
      <c r="I31" s="25" t="s">
        <v>149</v>
      </c>
      <c r="J31" s="25" t="s">
        <v>150</v>
      </c>
      <c r="K31" s="28">
        <v>0.5</v>
      </c>
      <c r="L31" s="25" t="s">
        <v>151</v>
      </c>
      <c r="M31" s="25">
        <v>2016</v>
      </c>
      <c r="N31" s="25" t="s">
        <v>119</v>
      </c>
      <c r="O31" s="26" t="s">
        <v>136</v>
      </c>
      <c r="P31" s="25" t="s">
        <v>112</v>
      </c>
      <c r="Q31" s="26" t="s">
        <v>112</v>
      </c>
      <c r="R31" s="27">
        <v>50</v>
      </c>
      <c r="S31" s="28">
        <v>0.25</v>
      </c>
      <c r="T31" s="66">
        <v>0.25</v>
      </c>
      <c r="U31" s="28">
        <v>0</v>
      </c>
    </row>
    <row r="32" spans="1:21" s="57" customFormat="1" x14ac:dyDescent="0.2">
      <c r="A32" s="25" t="s">
        <v>116</v>
      </c>
      <c r="B32" s="25" t="s">
        <v>117</v>
      </c>
      <c r="C32" s="25" t="s">
        <v>118</v>
      </c>
      <c r="D32" s="25" t="s">
        <v>203</v>
      </c>
      <c r="E32" s="25" t="s">
        <v>204</v>
      </c>
      <c r="F32" s="25" t="s">
        <v>205</v>
      </c>
      <c r="G32" s="25" t="s">
        <v>191</v>
      </c>
      <c r="H32" s="25" t="s">
        <v>114</v>
      </c>
      <c r="I32" s="25" t="s">
        <v>182</v>
      </c>
      <c r="J32" s="25" t="s">
        <v>120</v>
      </c>
      <c r="K32" s="28">
        <v>1</v>
      </c>
      <c r="L32" s="25" t="s">
        <v>183</v>
      </c>
      <c r="M32" s="25">
        <v>2016</v>
      </c>
      <c r="N32" s="25" t="s">
        <v>119</v>
      </c>
      <c r="O32" s="26" t="s">
        <v>137</v>
      </c>
      <c r="P32" s="25" t="s">
        <v>112</v>
      </c>
      <c r="Q32" s="26" t="s">
        <v>112</v>
      </c>
      <c r="R32" s="27">
        <v>80</v>
      </c>
      <c r="S32" s="28">
        <v>0.8</v>
      </c>
      <c r="T32" s="66">
        <v>0.2</v>
      </c>
      <c r="U32" s="28">
        <v>0</v>
      </c>
    </row>
    <row r="33" spans="1:21" s="57" customFormat="1" x14ac:dyDescent="0.2">
      <c r="A33" s="25" t="s">
        <v>157</v>
      </c>
      <c r="B33" s="25" t="s">
        <v>158</v>
      </c>
      <c r="C33" s="25" t="s">
        <v>159</v>
      </c>
      <c r="D33" s="25" t="s">
        <v>167</v>
      </c>
      <c r="E33" s="25" t="s">
        <v>168</v>
      </c>
      <c r="F33" s="25" t="s">
        <v>169</v>
      </c>
      <c r="G33" s="25" t="s">
        <v>163</v>
      </c>
      <c r="H33" s="25" t="s">
        <v>114</v>
      </c>
      <c r="I33" s="25" t="s">
        <v>157</v>
      </c>
      <c r="J33" s="25" t="s">
        <v>158</v>
      </c>
      <c r="K33" s="28">
        <v>1</v>
      </c>
      <c r="L33" s="25" t="s">
        <v>160</v>
      </c>
      <c r="M33" s="25">
        <v>2017</v>
      </c>
      <c r="N33" s="25" t="s">
        <v>119</v>
      </c>
      <c r="O33" s="26" t="s">
        <v>140</v>
      </c>
      <c r="P33" s="25" t="s">
        <v>112</v>
      </c>
      <c r="Q33" s="26" t="s">
        <v>112</v>
      </c>
      <c r="R33" s="27">
        <v>90</v>
      </c>
      <c r="S33" s="28">
        <v>0.9</v>
      </c>
      <c r="T33" s="66">
        <v>0.1</v>
      </c>
      <c r="U33" s="28">
        <v>0</v>
      </c>
    </row>
    <row r="34" spans="1:21" s="57" customFormat="1" x14ac:dyDescent="0.2">
      <c r="A34" s="25" t="s">
        <v>116</v>
      </c>
      <c r="B34" s="25" t="s">
        <v>117</v>
      </c>
      <c r="C34" s="25" t="s">
        <v>118</v>
      </c>
      <c r="D34" s="25" t="s">
        <v>206</v>
      </c>
      <c r="E34" s="25" t="s">
        <v>207</v>
      </c>
      <c r="F34" s="25" t="s">
        <v>169</v>
      </c>
      <c r="G34" s="25" t="s">
        <v>185</v>
      </c>
      <c r="H34" s="25" t="s">
        <v>111</v>
      </c>
      <c r="I34" s="25" t="s">
        <v>182</v>
      </c>
      <c r="J34" s="25" t="s">
        <v>120</v>
      </c>
      <c r="K34" s="28">
        <v>0.5</v>
      </c>
      <c r="L34" s="25" t="s">
        <v>183</v>
      </c>
      <c r="M34" s="25">
        <v>2017</v>
      </c>
      <c r="N34" s="25" t="s">
        <v>119</v>
      </c>
      <c r="O34" s="26" t="s">
        <v>144</v>
      </c>
      <c r="P34" s="25" t="s">
        <v>112</v>
      </c>
      <c r="Q34" s="26" t="s">
        <v>112</v>
      </c>
      <c r="R34" s="27">
        <v>60</v>
      </c>
      <c r="S34" s="28">
        <v>0.3</v>
      </c>
      <c r="T34" s="66">
        <v>0.2</v>
      </c>
      <c r="U34" s="28">
        <v>0</v>
      </c>
    </row>
    <row r="35" spans="1:21" s="57" customFormat="1" x14ac:dyDescent="0.2">
      <c r="A35" s="25" t="s">
        <v>116</v>
      </c>
      <c r="B35" s="25" t="s">
        <v>117</v>
      </c>
      <c r="C35" s="25" t="s">
        <v>118</v>
      </c>
      <c r="D35" s="25" t="s">
        <v>206</v>
      </c>
      <c r="E35" s="25" t="s">
        <v>207</v>
      </c>
      <c r="F35" s="25" t="s">
        <v>169</v>
      </c>
      <c r="G35" s="25" t="s">
        <v>189</v>
      </c>
      <c r="H35" s="25" t="s">
        <v>111</v>
      </c>
      <c r="I35" s="25" t="s">
        <v>182</v>
      </c>
      <c r="J35" s="25" t="s">
        <v>120</v>
      </c>
      <c r="K35" s="28">
        <v>0.5</v>
      </c>
      <c r="L35" s="25" t="s">
        <v>183</v>
      </c>
      <c r="M35" s="25">
        <v>2017</v>
      </c>
      <c r="N35" s="25" t="s">
        <v>119</v>
      </c>
      <c r="O35" s="26" t="s">
        <v>144</v>
      </c>
      <c r="P35" s="25" t="s">
        <v>112</v>
      </c>
      <c r="Q35" s="26" t="s">
        <v>112</v>
      </c>
      <c r="R35" s="27">
        <v>60</v>
      </c>
      <c r="S35" s="28">
        <v>0.3</v>
      </c>
      <c r="T35" s="66">
        <v>0.2</v>
      </c>
      <c r="U35" s="28">
        <v>0</v>
      </c>
    </row>
    <row r="36" spans="1:21" s="57" customFormat="1" x14ac:dyDescent="0.2">
      <c r="A36" s="25" t="s">
        <v>116</v>
      </c>
      <c r="B36" s="25" t="s">
        <v>117</v>
      </c>
      <c r="C36" s="25" t="s">
        <v>118</v>
      </c>
      <c r="D36" s="25" t="s">
        <v>228</v>
      </c>
      <c r="E36" s="25" t="s">
        <v>229</v>
      </c>
      <c r="F36" s="25" t="s">
        <v>230</v>
      </c>
      <c r="G36" s="25" t="s">
        <v>227</v>
      </c>
      <c r="H36" s="25" t="s">
        <v>111</v>
      </c>
      <c r="I36" s="25" t="s">
        <v>141</v>
      </c>
      <c r="J36" s="25" t="s">
        <v>142</v>
      </c>
      <c r="K36" s="28">
        <v>0.5</v>
      </c>
      <c r="L36" s="25" t="s">
        <v>143</v>
      </c>
      <c r="M36" s="25">
        <v>2017</v>
      </c>
      <c r="N36" s="25" t="s">
        <v>119</v>
      </c>
      <c r="O36" s="26" t="s">
        <v>137</v>
      </c>
      <c r="P36" s="25" t="s">
        <v>112</v>
      </c>
      <c r="Q36" s="26" t="s">
        <v>112</v>
      </c>
      <c r="R36" s="27">
        <v>80</v>
      </c>
      <c r="S36" s="28">
        <v>0.4</v>
      </c>
      <c r="T36" s="66">
        <v>0.1</v>
      </c>
      <c r="U36" s="28">
        <v>0</v>
      </c>
    </row>
    <row r="37" spans="1:21" s="57" customFormat="1" x14ac:dyDescent="0.2">
      <c r="A37" s="25" t="s">
        <v>116</v>
      </c>
      <c r="B37" s="25" t="s">
        <v>117</v>
      </c>
      <c r="C37" s="25" t="s">
        <v>118</v>
      </c>
      <c r="D37" s="25" t="s">
        <v>228</v>
      </c>
      <c r="E37" s="25" t="s">
        <v>229</v>
      </c>
      <c r="F37" s="25" t="s">
        <v>230</v>
      </c>
      <c r="G37" s="25" t="s">
        <v>224</v>
      </c>
      <c r="H37" s="25" t="s">
        <v>111</v>
      </c>
      <c r="I37" s="25" t="s">
        <v>141</v>
      </c>
      <c r="J37" s="25" t="s">
        <v>142</v>
      </c>
      <c r="K37" s="28">
        <v>0.5</v>
      </c>
      <c r="L37" s="25" t="s">
        <v>143</v>
      </c>
      <c r="M37" s="25">
        <v>2017</v>
      </c>
      <c r="N37" s="25" t="s">
        <v>119</v>
      </c>
      <c r="O37" s="26" t="s">
        <v>136</v>
      </c>
      <c r="P37" s="25" t="s">
        <v>112</v>
      </c>
      <c r="Q37" s="26" t="s">
        <v>112</v>
      </c>
      <c r="R37" s="27">
        <v>50</v>
      </c>
      <c r="S37" s="28">
        <v>0.25</v>
      </c>
      <c r="T37" s="66">
        <v>0.25</v>
      </c>
      <c r="U37" s="28">
        <v>0</v>
      </c>
    </row>
    <row r="38" spans="1:21" s="57" customFormat="1" x14ac:dyDescent="0.2">
      <c r="A38" s="25" t="s">
        <v>138</v>
      </c>
      <c r="B38" s="25" t="s">
        <v>139</v>
      </c>
      <c r="C38" s="25" t="s">
        <v>118</v>
      </c>
      <c r="D38" s="25" t="s">
        <v>208</v>
      </c>
      <c r="E38" s="25" t="s">
        <v>209</v>
      </c>
      <c r="F38" s="25" t="s">
        <v>115</v>
      </c>
      <c r="G38" s="25" t="s">
        <v>191</v>
      </c>
      <c r="H38" s="25" t="s">
        <v>114</v>
      </c>
      <c r="I38" s="25" t="s">
        <v>182</v>
      </c>
      <c r="J38" s="25" t="s">
        <v>120</v>
      </c>
      <c r="K38" s="28">
        <v>1</v>
      </c>
      <c r="L38" s="25" t="s">
        <v>183</v>
      </c>
      <c r="M38" s="25">
        <v>2017</v>
      </c>
      <c r="N38" s="25" t="s">
        <v>119</v>
      </c>
      <c r="O38" s="26" t="s">
        <v>137</v>
      </c>
      <c r="P38" s="25" t="s">
        <v>112</v>
      </c>
      <c r="Q38" s="26" t="s">
        <v>112</v>
      </c>
      <c r="R38" s="27">
        <v>80</v>
      </c>
      <c r="S38" s="28">
        <v>0.8</v>
      </c>
      <c r="T38" s="66">
        <v>0.2</v>
      </c>
      <c r="U38" s="28">
        <v>0</v>
      </c>
    </row>
    <row r="39" spans="1:21" s="57" customFormat="1" x14ac:dyDescent="0.2">
      <c r="A39" s="25" t="s">
        <v>116</v>
      </c>
      <c r="B39" s="25" t="s">
        <v>117</v>
      </c>
      <c r="C39" s="25" t="s">
        <v>118</v>
      </c>
      <c r="D39" s="25" t="s">
        <v>210</v>
      </c>
      <c r="E39" s="25" t="s">
        <v>211</v>
      </c>
      <c r="F39" s="25" t="s">
        <v>212</v>
      </c>
      <c r="G39" s="25" t="s">
        <v>185</v>
      </c>
      <c r="H39" s="25" t="s">
        <v>111</v>
      </c>
      <c r="I39" s="25" t="s">
        <v>182</v>
      </c>
      <c r="J39" s="25" t="s">
        <v>120</v>
      </c>
      <c r="K39" s="58">
        <v>0.5</v>
      </c>
      <c r="L39" s="25" t="s">
        <v>183</v>
      </c>
      <c r="M39" s="25">
        <v>2018</v>
      </c>
      <c r="N39" s="25" t="s">
        <v>119</v>
      </c>
      <c r="O39" s="26" t="s">
        <v>144</v>
      </c>
      <c r="P39" s="25" t="s">
        <v>112</v>
      </c>
      <c r="Q39" s="26" t="s">
        <v>112</v>
      </c>
      <c r="R39" s="27">
        <v>60</v>
      </c>
      <c r="S39" s="28">
        <v>0.3</v>
      </c>
      <c r="T39" s="66">
        <v>0.2</v>
      </c>
      <c r="U39" s="28">
        <v>0</v>
      </c>
    </row>
    <row r="40" spans="1:21" s="57" customFormat="1" x14ac:dyDescent="0.2">
      <c r="A40" s="25" t="s">
        <v>116</v>
      </c>
      <c r="B40" s="25" t="s">
        <v>117</v>
      </c>
      <c r="C40" s="25" t="s">
        <v>118</v>
      </c>
      <c r="D40" s="25" t="s">
        <v>210</v>
      </c>
      <c r="E40" s="25" t="s">
        <v>211</v>
      </c>
      <c r="F40" s="25" t="s">
        <v>212</v>
      </c>
      <c r="G40" s="25" t="s">
        <v>189</v>
      </c>
      <c r="H40" s="25" t="s">
        <v>111</v>
      </c>
      <c r="I40" s="25" t="s">
        <v>182</v>
      </c>
      <c r="J40" s="25" t="s">
        <v>120</v>
      </c>
      <c r="K40" s="58">
        <v>0.5</v>
      </c>
      <c r="L40" s="25" t="s">
        <v>183</v>
      </c>
      <c r="M40" s="25">
        <v>2018</v>
      </c>
      <c r="N40" s="25" t="s">
        <v>119</v>
      </c>
      <c r="O40" s="26" t="s">
        <v>144</v>
      </c>
      <c r="P40" s="25" t="s">
        <v>112</v>
      </c>
      <c r="Q40" s="26" t="s">
        <v>112</v>
      </c>
      <c r="R40" s="27">
        <v>60</v>
      </c>
      <c r="S40" s="28">
        <v>0.3</v>
      </c>
      <c r="T40" s="66">
        <v>0.2</v>
      </c>
      <c r="U40" s="28">
        <v>0</v>
      </c>
    </row>
    <row r="41" spans="1:21" s="57" customFormat="1" x14ac:dyDescent="0.2">
      <c r="A41" s="25" t="s">
        <v>116</v>
      </c>
      <c r="B41" s="25" t="s">
        <v>117</v>
      </c>
      <c r="C41" s="25" t="s">
        <v>118</v>
      </c>
      <c r="D41" s="25" t="s">
        <v>213</v>
      </c>
      <c r="E41" s="25" t="s">
        <v>214</v>
      </c>
      <c r="F41" s="25" t="s">
        <v>215</v>
      </c>
      <c r="G41" s="25" t="s">
        <v>216</v>
      </c>
      <c r="H41" s="25" t="s">
        <v>111</v>
      </c>
      <c r="I41" s="25" t="s">
        <v>182</v>
      </c>
      <c r="J41" s="25" t="s">
        <v>120</v>
      </c>
      <c r="K41" s="58">
        <v>0.5</v>
      </c>
      <c r="L41" s="25" t="s">
        <v>183</v>
      </c>
      <c r="M41" s="25">
        <v>2018</v>
      </c>
      <c r="N41" s="25" t="s">
        <v>119</v>
      </c>
      <c r="O41" s="26" t="s">
        <v>136</v>
      </c>
      <c r="P41" s="25" t="s">
        <v>112</v>
      </c>
      <c r="Q41" s="26" t="s">
        <v>112</v>
      </c>
      <c r="R41" s="27">
        <v>50</v>
      </c>
      <c r="S41" s="28">
        <v>0.25</v>
      </c>
      <c r="T41" s="66">
        <v>0.25</v>
      </c>
      <c r="U41" s="28">
        <v>0</v>
      </c>
    </row>
    <row r="42" spans="1:21" s="57" customFormat="1" x14ac:dyDescent="0.2">
      <c r="A42" s="25" t="s">
        <v>116</v>
      </c>
      <c r="B42" s="25" t="s">
        <v>117</v>
      </c>
      <c r="C42" s="25" t="s">
        <v>118</v>
      </c>
      <c r="D42" s="25" t="s">
        <v>213</v>
      </c>
      <c r="E42" s="25" t="s">
        <v>214</v>
      </c>
      <c r="F42" s="25" t="s">
        <v>215</v>
      </c>
      <c r="G42" s="25" t="s">
        <v>190</v>
      </c>
      <c r="H42" s="25" t="s">
        <v>111</v>
      </c>
      <c r="I42" s="25" t="s">
        <v>182</v>
      </c>
      <c r="J42" s="25" t="s">
        <v>120</v>
      </c>
      <c r="K42" s="58">
        <v>0.5</v>
      </c>
      <c r="L42" s="25" t="s">
        <v>183</v>
      </c>
      <c r="M42" s="25">
        <v>2018</v>
      </c>
      <c r="N42" s="25" t="s">
        <v>119</v>
      </c>
      <c r="O42" s="26" t="s">
        <v>136</v>
      </c>
      <c r="P42" s="25" t="s">
        <v>112</v>
      </c>
      <c r="Q42" s="26" t="s">
        <v>112</v>
      </c>
      <c r="R42" s="27">
        <v>50</v>
      </c>
      <c r="S42" s="28">
        <v>0.25</v>
      </c>
      <c r="T42" s="66">
        <v>0.25</v>
      </c>
      <c r="U42" s="28">
        <v>0</v>
      </c>
    </row>
    <row r="43" spans="1:21" s="57" customFormat="1" x14ac:dyDescent="0.2">
      <c r="A43" s="25" t="s">
        <v>116</v>
      </c>
      <c r="B43" s="25" t="s">
        <v>117</v>
      </c>
      <c r="C43" s="25" t="s">
        <v>118</v>
      </c>
      <c r="D43" s="25" t="s">
        <v>217</v>
      </c>
      <c r="E43" s="25" t="s">
        <v>218</v>
      </c>
      <c r="F43" s="25" t="s">
        <v>219</v>
      </c>
      <c r="G43" s="25" t="s">
        <v>216</v>
      </c>
      <c r="H43" s="25" t="s">
        <v>111</v>
      </c>
      <c r="I43" s="25" t="s">
        <v>182</v>
      </c>
      <c r="J43" s="25" t="s">
        <v>120</v>
      </c>
      <c r="K43" s="58">
        <v>0.5</v>
      </c>
      <c r="L43" s="25" t="s">
        <v>183</v>
      </c>
      <c r="M43" s="25">
        <v>2018</v>
      </c>
      <c r="N43" s="25" t="s">
        <v>119</v>
      </c>
      <c r="O43" s="26" t="s">
        <v>136</v>
      </c>
      <c r="P43" s="25" t="s">
        <v>112</v>
      </c>
      <c r="Q43" s="26" t="s">
        <v>112</v>
      </c>
      <c r="R43" s="27">
        <v>50</v>
      </c>
      <c r="S43" s="28">
        <v>0.25</v>
      </c>
      <c r="T43" s="66">
        <v>0.25</v>
      </c>
      <c r="U43" s="28">
        <v>0</v>
      </c>
    </row>
    <row r="44" spans="1:21" s="57" customFormat="1" x14ac:dyDescent="0.2">
      <c r="A44" s="25" t="s">
        <v>116</v>
      </c>
      <c r="B44" s="25" t="s">
        <v>117</v>
      </c>
      <c r="C44" s="25" t="s">
        <v>118</v>
      </c>
      <c r="D44" s="25" t="s">
        <v>217</v>
      </c>
      <c r="E44" s="25" t="s">
        <v>218</v>
      </c>
      <c r="F44" s="25" t="s">
        <v>219</v>
      </c>
      <c r="G44" s="25" t="s">
        <v>190</v>
      </c>
      <c r="H44" s="25" t="s">
        <v>111</v>
      </c>
      <c r="I44" s="25" t="s">
        <v>182</v>
      </c>
      <c r="J44" s="25" t="s">
        <v>120</v>
      </c>
      <c r="K44" s="58">
        <v>0.5</v>
      </c>
      <c r="L44" s="25" t="s">
        <v>183</v>
      </c>
      <c r="M44" s="25">
        <v>2018</v>
      </c>
      <c r="N44" s="25" t="s">
        <v>119</v>
      </c>
      <c r="O44" s="26" t="s">
        <v>136</v>
      </c>
      <c r="P44" s="25" t="s">
        <v>112</v>
      </c>
      <c r="Q44" s="26" t="s">
        <v>112</v>
      </c>
      <c r="R44" s="27">
        <v>50</v>
      </c>
      <c r="S44" s="28">
        <v>0.25</v>
      </c>
      <c r="T44" s="66">
        <v>0.25</v>
      </c>
      <c r="U44" s="28">
        <v>0</v>
      </c>
    </row>
    <row r="45" spans="1:21" s="57" customFormat="1" x14ac:dyDescent="0.2">
      <c r="A45" s="25" t="s">
        <v>116</v>
      </c>
      <c r="B45" s="25" t="s">
        <v>117</v>
      </c>
      <c r="C45" s="25" t="s">
        <v>118</v>
      </c>
      <c r="D45" s="25" t="s">
        <v>177</v>
      </c>
      <c r="E45" s="25" t="s">
        <v>178</v>
      </c>
      <c r="F45" s="25" t="s">
        <v>153</v>
      </c>
      <c r="G45" s="25" t="s">
        <v>171</v>
      </c>
      <c r="H45" s="25" t="s">
        <v>111</v>
      </c>
      <c r="I45" s="25" t="s">
        <v>149</v>
      </c>
      <c r="J45" s="25" t="s">
        <v>150</v>
      </c>
      <c r="K45" s="58">
        <v>0.5</v>
      </c>
      <c r="L45" s="25" t="s">
        <v>151</v>
      </c>
      <c r="M45" s="25">
        <v>2018</v>
      </c>
      <c r="N45" s="25" t="s">
        <v>119</v>
      </c>
      <c r="O45" s="26" t="s">
        <v>136</v>
      </c>
      <c r="P45" s="25" t="s">
        <v>112</v>
      </c>
      <c r="Q45" s="26" t="s">
        <v>112</v>
      </c>
      <c r="R45" s="27">
        <v>50</v>
      </c>
      <c r="S45" s="28">
        <v>0.25</v>
      </c>
      <c r="T45" s="66">
        <v>0.25</v>
      </c>
      <c r="U45" s="28">
        <v>0</v>
      </c>
    </row>
    <row r="46" spans="1:21" s="57" customFormat="1" x14ac:dyDescent="0.2">
      <c r="A46" s="25" t="s">
        <v>116</v>
      </c>
      <c r="B46" s="25" t="s">
        <v>117</v>
      </c>
      <c r="C46" s="25" t="s">
        <v>118</v>
      </c>
      <c r="D46" s="25" t="s">
        <v>177</v>
      </c>
      <c r="E46" s="25" t="s">
        <v>178</v>
      </c>
      <c r="F46" s="25" t="s">
        <v>153</v>
      </c>
      <c r="G46" s="25" t="s">
        <v>184</v>
      </c>
      <c r="H46" s="25" t="s">
        <v>111</v>
      </c>
      <c r="I46" s="25" t="s">
        <v>182</v>
      </c>
      <c r="J46" s="25" t="s">
        <v>120</v>
      </c>
      <c r="K46" s="58">
        <v>0.5</v>
      </c>
      <c r="L46" s="25" t="s">
        <v>183</v>
      </c>
      <c r="M46" s="25">
        <v>2018</v>
      </c>
      <c r="N46" s="25" t="s">
        <v>119</v>
      </c>
      <c r="O46" s="26" t="s">
        <v>136</v>
      </c>
      <c r="P46" s="25" t="s">
        <v>112</v>
      </c>
      <c r="Q46" s="26" t="s">
        <v>112</v>
      </c>
      <c r="R46" s="27">
        <v>50</v>
      </c>
      <c r="S46" s="28">
        <v>0.25</v>
      </c>
      <c r="T46" s="66">
        <v>0.25</v>
      </c>
      <c r="U46" s="28">
        <v>0</v>
      </c>
    </row>
    <row r="47" spans="1:21" s="57" customFormat="1" x14ac:dyDescent="0.2">
      <c r="A47" s="25" t="s">
        <v>116</v>
      </c>
      <c r="B47" s="25" t="s">
        <v>117</v>
      </c>
      <c r="C47" s="25" t="s">
        <v>118</v>
      </c>
      <c r="D47" s="25" t="s">
        <v>179</v>
      </c>
      <c r="E47" s="25" t="s">
        <v>180</v>
      </c>
      <c r="F47" s="25" t="s">
        <v>181</v>
      </c>
      <c r="G47" s="25" t="s">
        <v>171</v>
      </c>
      <c r="H47" s="25" t="s">
        <v>111</v>
      </c>
      <c r="I47" s="25" t="s">
        <v>149</v>
      </c>
      <c r="J47" s="25" t="s">
        <v>150</v>
      </c>
      <c r="K47" s="58">
        <v>0.5</v>
      </c>
      <c r="L47" s="25" t="s">
        <v>151</v>
      </c>
      <c r="M47" s="25">
        <v>2018</v>
      </c>
      <c r="N47" s="25" t="s">
        <v>119</v>
      </c>
      <c r="O47" s="26" t="s">
        <v>136</v>
      </c>
      <c r="P47" s="25" t="s">
        <v>112</v>
      </c>
      <c r="Q47" s="26" t="s">
        <v>112</v>
      </c>
      <c r="R47" s="27">
        <v>50</v>
      </c>
      <c r="S47" s="28">
        <v>0.25</v>
      </c>
      <c r="T47" s="66">
        <v>0.25</v>
      </c>
      <c r="U47" s="28">
        <v>0</v>
      </c>
    </row>
    <row r="48" spans="1:21" s="57" customFormat="1" x14ac:dyDescent="0.2">
      <c r="A48" s="25" t="s">
        <v>116</v>
      </c>
      <c r="B48" s="25" t="s">
        <v>117</v>
      </c>
      <c r="C48" s="25" t="s">
        <v>118</v>
      </c>
      <c r="D48" s="25" t="s">
        <v>179</v>
      </c>
      <c r="E48" s="25" t="s">
        <v>180</v>
      </c>
      <c r="F48" s="25" t="s">
        <v>181</v>
      </c>
      <c r="G48" s="25" t="s">
        <v>184</v>
      </c>
      <c r="H48" s="25" t="s">
        <v>111</v>
      </c>
      <c r="I48" s="25" t="s">
        <v>182</v>
      </c>
      <c r="J48" s="25" t="s">
        <v>120</v>
      </c>
      <c r="K48" s="58">
        <v>0.5</v>
      </c>
      <c r="L48" s="25" t="s">
        <v>183</v>
      </c>
      <c r="M48" s="25">
        <v>2018</v>
      </c>
      <c r="N48" s="25" t="s">
        <v>119</v>
      </c>
      <c r="O48" s="26" t="s">
        <v>136</v>
      </c>
      <c r="P48" s="25" t="s">
        <v>112</v>
      </c>
      <c r="Q48" s="26" t="s">
        <v>112</v>
      </c>
      <c r="R48" s="27">
        <v>50</v>
      </c>
      <c r="S48" s="28">
        <v>0.25</v>
      </c>
      <c r="T48" s="66">
        <v>0.25</v>
      </c>
      <c r="U48" s="28">
        <v>0</v>
      </c>
    </row>
    <row r="49" spans="1:22" s="57" customFormat="1" x14ac:dyDescent="0.2">
      <c r="A49" s="25" t="s">
        <v>116</v>
      </c>
      <c r="B49" s="25" t="s">
        <v>117</v>
      </c>
      <c r="C49" s="25" t="s">
        <v>118</v>
      </c>
      <c r="D49" s="25" t="s">
        <v>132</v>
      </c>
      <c r="E49" s="25" t="s">
        <v>133</v>
      </c>
      <c r="F49" s="25" t="s">
        <v>134</v>
      </c>
      <c r="G49" s="25" t="s">
        <v>163</v>
      </c>
      <c r="H49" s="25" t="s">
        <v>111</v>
      </c>
      <c r="I49" s="25" t="s">
        <v>157</v>
      </c>
      <c r="J49" s="25" t="s">
        <v>158</v>
      </c>
      <c r="K49" s="58">
        <v>0.5</v>
      </c>
      <c r="L49" s="25" t="s">
        <v>160</v>
      </c>
      <c r="M49" s="25">
        <v>2018</v>
      </c>
      <c r="N49" s="25" t="s">
        <v>119</v>
      </c>
      <c r="O49" s="26" t="s">
        <v>140</v>
      </c>
      <c r="P49" s="25" t="s">
        <v>112</v>
      </c>
      <c r="Q49" s="26" t="s">
        <v>112</v>
      </c>
      <c r="R49" s="27">
        <v>90</v>
      </c>
      <c r="S49" s="28">
        <v>0.45</v>
      </c>
      <c r="T49" s="66">
        <v>0.05</v>
      </c>
      <c r="U49" s="28">
        <v>0</v>
      </c>
    </row>
    <row r="50" spans="1:22" s="57" customFormat="1" x14ac:dyDescent="0.2">
      <c r="A50" s="25" t="s">
        <v>116</v>
      </c>
      <c r="B50" s="25" t="s">
        <v>117</v>
      </c>
      <c r="C50" s="25" t="s">
        <v>118</v>
      </c>
      <c r="D50" s="25" t="s">
        <v>305</v>
      </c>
      <c r="E50" s="25" t="s">
        <v>306</v>
      </c>
      <c r="F50" s="25" t="s">
        <v>307</v>
      </c>
      <c r="G50" s="25" t="s">
        <v>170</v>
      </c>
      <c r="H50" s="25" t="s">
        <v>111</v>
      </c>
      <c r="I50" s="25" t="s">
        <v>149</v>
      </c>
      <c r="J50" s="25" t="s">
        <v>150</v>
      </c>
      <c r="K50" s="58">
        <v>0.5</v>
      </c>
      <c r="L50" s="25" t="s">
        <v>151</v>
      </c>
      <c r="M50" s="25">
        <v>2018</v>
      </c>
      <c r="N50" s="25" t="s">
        <v>119</v>
      </c>
      <c r="O50" s="26" t="s">
        <v>136</v>
      </c>
      <c r="P50" s="25" t="s">
        <v>112</v>
      </c>
      <c r="Q50" s="26" t="s">
        <v>112</v>
      </c>
      <c r="R50" s="27">
        <v>50</v>
      </c>
      <c r="S50" s="28">
        <v>0.25</v>
      </c>
      <c r="T50" s="66">
        <v>0.25</v>
      </c>
      <c r="U50" s="28">
        <v>0</v>
      </c>
    </row>
    <row r="51" spans="1:22" s="57" customFormat="1" x14ac:dyDescent="0.2">
      <c r="A51" s="25" t="s">
        <v>116</v>
      </c>
      <c r="B51" s="25" t="s">
        <v>117</v>
      </c>
      <c r="C51" s="25" t="s">
        <v>118</v>
      </c>
      <c r="D51" s="25" t="s">
        <v>220</v>
      </c>
      <c r="E51" s="25" t="s">
        <v>221</v>
      </c>
      <c r="F51" s="25" t="s">
        <v>222</v>
      </c>
      <c r="G51" s="25" t="s">
        <v>185</v>
      </c>
      <c r="H51" s="25" t="s">
        <v>111</v>
      </c>
      <c r="I51" s="25" t="s">
        <v>182</v>
      </c>
      <c r="J51" s="25" t="s">
        <v>120</v>
      </c>
      <c r="K51" s="58">
        <v>0.5</v>
      </c>
      <c r="L51" s="25" t="s">
        <v>183</v>
      </c>
      <c r="M51" s="25">
        <v>2018</v>
      </c>
      <c r="N51" s="25" t="s">
        <v>119</v>
      </c>
      <c r="O51" s="26" t="s">
        <v>144</v>
      </c>
      <c r="P51" s="25" t="s">
        <v>112</v>
      </c>
      <c r="Q51" s="26" t="s">
        <v>112</v>
      </c>
      <c r="R51" s="27">
        <v>60</v>
      </c>
      <c r="S51" s="28">
        <v>0.3</v>
      </c>
      <c r="T51" s="66">
        <v>0.2</v>
      </c>
      <c r="U51" s="28">
        <v>0</v>
      </c>
    </row>
    <row r="52" spans="1:22" s="57" customFormat="1" x14ac:dyDescent="0.2">
      <c r="A52" s="25" t="s">
        <v>116</v>
      </c>
      <c r="B52" s="25" t="s">
        <v>117</v>
      </c>
      <c r="C52" s="25" t="s">
        <v>118</v>
      </c>
      <c r="D52" s="25" t="s">
        <v>220</v>
      </c>
      <c r="E52" s="25" t="s">
        <v>221</v>
      </c>
      <c r="F52" s="25" t="s">
        <v>222</v>
      </c>
      <c r="G52" s="25" t="s">
        <v>189</v>
      </c>
      <c r="H52" s="25" t="s">
        <v>111</v>
      </c>
      <c r="I52" s="25" t="s">
        <v>182</v>
      </c>
      <c r="J52" s="25" t="s">
        <v>120</v>
      </c>
      <c r="K52" s="58">
        <v>0.5</v>
      </c>
      <c r="L52" s="25" t="s">
        <v>183</v>
      </c>
      <c r="M52" s="25">
        <v>2018</v>
      </c>
      <c r="N52" s="25" t="s">
        <v>119</v>
      </c>
      <c r="O52" s="26" t="s">
        <v>144</v>
      </c>
      <c r="P52" s="25" t="s">
        <v>112</v>
      </c>
      <c r="Q52" s="26" t="s">
        <v>112</v>
      </c>
      <c r="R52" s="27">
        <v>60</v>
      </c>
      <c r="S52" s="28">
        <v>0.3</v>
      </c>
      <c r="T52" s="66">
        <v>0.2</v>
      </c>
      <c r="U52" s="28">
        <v>0</v>
      </c>
    </row>
    <row r="53" spans="1:22" s="57" customFormat="1" x14ac:dyDescent="0.2">
      <c r="A53" s="29" t="s">
        <v>373</v>
      </c>
      <c r="B53" s="29" t="s">
        <v>374</v>
      </c>
      <c r="C53" s="29" t="s">
        <v>375</v>
      </c>
      <c r="D53" s="29" t="s">
        <v>376</v>
      </c>
      <c r="E53" s="29" t="s">
        <v>377</v>
      </c>
      <c r="F53" s="29" t="s">
        <v>378</v>
      </c>
      <c r="G53" s="29" t="s">
        <v>227</v>
      </c>
      <c r="H53" s="29" t="s">
        <v>111</v>
      </c>
      <c r="I53" s="29" t="s">
        <v>141</v>
      </c>
      <c r="J53" s="29" t="s">
        <v>142</v>
      </c>
      <c r="K53" s="59">
        <v>0.5</v>
      </c>
      <c r="L53" s="29" t="s">
        <v>143</v>
      </c>
      <c r="M53" s="29">
        <v>2019</v>
      </c>
      <c r="N53" s="29" t="s">
        <v>119</v>
      </c>
      <c r="O53" s="30" t="s">
        <v>137</v>
      </c>
      <c r="P53" s="29" t="s">
        <v>112</v>
      </c>
      <c r="Q53" s="30" t="s">
        <v>112</v>
      </c>
      <c r="R53" s="31">
        <v>80</v>
      </c>
      <c r="S53" s="32">
        <v>0.4</v>
      </c>
      <c r="T53" s="67">
        <v>0.1</v>
      </c>
      <c r="U53" s="32">
        <v>0</v>
      </c>
      <c r="V53" s="57" t="s">
        <v>573</v>
      </c>
    </row>
    <row r="54" spans="1:22" s="57" customFormat="1" x14ac:dyDescent="0.2">
      <c r="A54" s="29" t="s">
        <v>116</v>
      </c>
      <c r="B54" s="29" t="s">
        <v>117</v>
      </c>
      <c r="C54" s="29" t="s">
        <v>118</v>
      </c>
      <c r="D54" s="29" t="s">
        <v>391</v>
      </c>
      <c r="E54" s="29" t="s">
        <v>392</v>
      </c>
      <c r="F54" s="29" t="s">
        <v>393</v>
      </c>
      <c r="G54" s="29" t="s">
        <v>171</v>
      </c>
      <c r="H54" s="29" t="s">
        <v>111</v>
      </c>
      <c r="I54" s="29" t="s">
        <v>149</v>
      </c>
      <c r="J54" s="29" t="s">
        <v>150</v>
      </c>
      <c r="K54" s="59">
        <v>0.5</v>
      </c>
      <c r="L54" s="29" t="s">
        <v>151</v>
      </c>
      <c r="M54" s="29">
        <v>2019</v>
      </c>
      <c r="N54" s="29" t="s">
        <v>119</v>
      </c>
      <c r="O54" s="30" t="s">
        <v>136</v>
      </c>
      <c r="P54" s="29" t="s">
        <v>112</v>
      </c>
      <c r="Q54" s="30" t="s">
        <v>112</v>
      </c>
      <c r="R54" s="31">
        <v>50</v>
      </c>
      <c r="S54" s="32">
        <v>0.25</v>
      </c>
      <c r="T54" s="67">
        <v>0.25</v>
      </c>
      <c r="U54" s="32">
        <v>0</v>
      </c>
      <c r="V54" s="57" t="s">
        <v>573</v>
      </c>
    </row>
    <row r="55" spans="1:22" s="57" customFormat="1" x14ac:dyDescent="0.2">
      <c r="A55" s="29" t="s">
        <v>116</v>
      </c>
      <c r="B55" s="29" t="s">
        <v>117</v>
      </c>
      <c r="C55" s="29" t="s">
        <v>118</v>
      </c>
      <c r="D55" s="29" t="s">
        <v>391</v>
      </c>
      <c r="E55" s="29" t="s">
        <v>392</v>
      </c>
      <c r="F55" s="29" t="s">
        <v>393</v>
      </c>
      <c r="G55" s="29" t="s">
        <v>184</v>
      </c>
      <c r="H55" s="29" t="s">
        <v>111</v>
      </c>
      <c r="I55" s="29" t="s">
        <v>182</v>
      </c>
      <c r="J55" s="29" t="s">
        <v>120</v>
      </c>
      <c r="K55" s="59">
        <v>0.5</v>
      </c>
      <c r="L55" s="29" t="s">
        <v>183</v>
      </c>
      <c r="M55" s="29">
        <v>2019</v>
      </c>
      <c r="N55" s="29" t="s">
        <v>119</v>
      </c>
      <c r="O55" s="30" t="s">
        <v>136</v>
      </c>
      <c r="P55" s="29" t="s">
        <v>112</v>
      </c>
      <c r="Q55" s="30" t="s">
        <v>112</v>
      </c>
      <c r="R55" s="31">
        <v>50</v>
      </c>
      <c r="S55" s="32">
        <v>0.25</v>
      </c>
      <c r="T55" s="67">
        <v>0.25</v>
      </c>
      <c r="U55" s="32">
        <v>0</v>
      </c>
      <c r="V55" s="57" t="s">
        <v>573</v>
      </c>
    </row>
    <row r="56" spans="1:22" s="57" customFormat="1" x14ac:dyDescent="0.2">
      <c r="A56" s="29" t="s">
        <v>116</v>
      </c>
      <c r="B56" s="29" t="s">
        <v>117</v>
      </c>
      <c r="C56" s="29" t="s">
        <v>118</v>
      </c>
      <c r="D56" s="29" t="s">
        <v>385</v>
      </c>
      <c r="E56" s="29" t="s">
        <v>386</v>
      </c>
      <c r="F56" s="29" t="s">
        <v>387</v>
      </c>
      <c r="G56" s="29" t="s">
        <v>154</v>
      </c>
      <c r="H56" s="29" t="s">
        <v>111</v>
      </c>
      <c r="I56" s="29" t="s">
        <v>182</v>
      </c>
      <c r="J56" s="29" t="s">
        <v>120</v>
      </c>
      <c r="K56" s="59">
        <v>0.5</v>
      </c>
      <c r="L56" s="29" t="s">
        <v>183</v>
      </c>
      <c r="M56" s="29">
        <v>2019</v>
      </c>
      <c r="N56" s="29" t="s">
        <v>119</v>
      </c>
      <c r="O56" s="30" t="s">
        <v>136</v>
      </c>
      <c r="P56" s="29" t="s">
        <v>112</v>
      </c>
      <c r="Q56" s="30" t="s">
        <v>112</v>
      </c>
      <c r="R56" s="31">
        <v>50</v>
      </c>
      <c r="S56" s="32">
        <v>0.25</v>
      </c>
      <c r="T56" s="67">
        <v>0.25</v>
      </c>
      <c r="U56" s="32">
        <v>0</v>
      </c>
      <c r="V56" s="57" t="s">
        <v>573</v>
      </c>
    </row>
    <row r="57" spans="1:22" s="57" customFormat="1" x14ac:dyDescent="0.2">
      <c r="A57" s="29" t="s">
        <v>116</v>
      </c>
      <c r="B57" s="29" t="s">
        <v>117</v>
      </c>
      <c r="C57" s="29" t="s">
        <v>118</v>
      </c>
      <c r="D57" s="29" t="s">
        <v>385</v>
      </c>
      <c r="E57" s="29" t="s">
        <v>386</v>
      </c>
      <c r="F57" s="29" t="s">
        <v>387</v>
      </c>
      <c r="G57" s="29" t="s">
        <v>184</v>
      </c>
      <c r="H57" s="29" t="s">
        <v>111</v>
      </c>
      <c r="I57" s="29" t="s">
        <v>182</v>
      </c>
      <c r="J57" s="29" t="s">
        <v>120</v>
      </c>
      <c r="K57" s="59">
        <v>0.5</v>
      </c>
      <c r="L57" s="29" t="s">
        <v>183</v>
      </c>
      <c r="M57" s="29">
        <v>2019</v>
      </c>
      <c r="N57" s="29" t="s">
        <v>119</v>
      </c>
      <c r="O57" s="30" t="s">
        <v>136</v>
      </c>
      <c r="P57" s="29" t="s">
        <v>112</v>
      </c>
      <c r="Q57" s="30" t="s">
        <v>112</v>
      </c>
      <c r="R57" s="31">
        <v>50</v>
      </c>
      <c r="S57" s="32">
        <v>0.25</v>
      </c>
      <c r="T57" s="67">
        <v>0.25</v>
      </c>
      <c r="U57" s="32">
        <v>0</v>
      </c>
      <c r="V57" s="57" t="s">
        <v>573</v>
      </c>
    </row>
    <row r="58" spans="1:22" s="57" customFormat="1" x14ac:dyDescent="0.2">
      <c r="A58" s="29" t="s">
        <v>116</v>
      </c>
      <c r="B58" s="29" t="s">
        <v>117</v>
      </c>
      <c r="C58" s="29" t="s">
        <v>118</v>
      </c>
      <c r="D58" s="29" t="s">
        <v>388</v>
      </c>
      <c r="E58" s="29" t="s">
        <v>389</v>
      </c>
      <c r="F58" s="29" t="s">
        <v>390</v>
      </c>
      <c r="G58" s="29" t="s">
        <v>171</v>
      </c>
      <c r="H58" s="29" t="s">
        <v>111</v>
      </c>
      <c r="I58" s="29" t="s">
        <v>149</v>
      </c>
      <c r="J58" s="29" t="s">
        <v>150</v>
      </c>
      <c r="K58" s="59">
        <v>0.5</v>
      </c>
      <c r="L58" s="29" t="s">
        <v>151</v>
      </c>
      <c r="M58" s="29">
        <v>2019</v>
      </c>
      <c r="N58" s="29" t="s">
        <v>119</v>
      </c>
      <c r="O58" s="30" t="s">
        <v>136</v>
      </c>
      <c r="P58" s="29" t="s">
        <v>112</v>
      </c>
      <c r="Q58" s="30" t="s">
        <v>112</v>
      </c>
      <c r="R58" s="31">
        <v>50</v>
      </c>
      <c r="S58" s="32">
        <v>0.25</v>
      </c>
      <c r="T58" s="67">
        <v>0.25</v>
      </c>
      <c r="U58" s="32">
        <v>0</v>
      </c>
      <c r="V58" s="57" t="s">
        <v>573</v>
      </c>
    </row>
    <row r="59" spans="1:22" s="57" customFormat="1" x14ac:dyDescent="0.2">
      <c r="A59" s="29" t="s">
        <v>116</v>
      </c>
      <c r="B59" s="29" t="s">
        <v>117</v>
      </c>
      <c r="C59" s="29" t="s">
        <v>118</v>
      </c>
      <c r="D59" s="29" t="s">
        <v>388</v>
      </c>
      <c r="E59" s="29" t="s">
        <v>389</v>
      </c>
      <c r="F59" s="29" t="s">
        <v>390</v>
      </c>
      <c r="G59" s="29" t="s">
        <v>184</v>
      </c>
      <c r="H59" s="29" t="s">
        <v>111</v>
      </c>
      <c r="I59" s="29" t="s">
        <v>182</v>
      </c>
      <c r="J59" s="29" t="s">
        <v>120</v>
      </c>
      <c r="K59" s="59">
        <v>0.5</v>
      </c>
      <c r="L59" s="29" t="s">
        <v>183</v>
      </c>
      <c r="M59" s="29">
        <v>2019</v>
      </c>
      <c r="N59" s="29" t="s">
        <v>119</v>
      </c>
      <c r="O59" s="30" t="s">
        <v>136</v>
      </c>
      <c r="P59" s="29" t="s">
        <v>112</v>
      </c>
      <c r="Q59" s="30" t="s">
        <v>112</v>
      </c>
      <c r="R59" s="31">
        <v>50</v>
      </c>
      <c r="S59" s="32">
        <v>0.25</v>
      </c>
      <c r="T59" s="67">
        <v>0.25</v>
      </c>
      <c r="U59" s="32">
        <v>0</v>
      </c>
      <c r="V59" s="57" t="s">
        <v>573</v>
      </c>
    </row>
    <row r="60" spans="1:22" s="57" customFormat="1" x14ac:dyDescent="0.2">
      <c r="A60" s="29" t="s">
        <v>116</v>
      </c>
      <c r="B60" s="29" t="s">
        <v>117</v>
      </c>
      <c r="C60" s="29" t="s">
        <v>118</v>
      </c>
      <c r="D60" s="29" t="s">
        <v>379</v>
      </c>
      <c r="E60" s="29" t="s">
        <v>380</v>
      </c>
      <c r="F60" s="29" t="s">
        <v>381</v>
      </c>
      <c r="G60" s="29" t="s">
        <v>227</v>
      </c>
      <c r="H60" s="29" t="s">
        <v>111</v>
      </c>
      <c r="I60" s="29" t="s">
        <v>141</v>
      </c>
      <c r="J60" s="29" t="s">
        <v>142</v>
      </c>
      <c r="K60" s="59">
        <v>0.5</v>
      </c>
      <c r="L60" s="29" t="s">
        <v>143</v>
      </c>
      <c r="M60" s="29">
        <v>2019</v>
      </c>
      <c r="N60" s="29" t="s">
        <v>119</v>
      </c>
      <c r="O60" s="30" t="s">
        <v>137</v>
      </c>
      <c r="P60" s="29" t="s">
        <v>112</v>
      </c>
      <c r="Q60" s="30" t="s">
        <v>112</v>
      </c>
      <c r="R60" s="31">
        <v>80</v>
      </c>
      <c r="S60" s="32">
        <v>0.4</v>
      </c>
      <c r="T60" s="67">
        <v>0.1</v>
      </c>
      <c r="U60" s="32">
        <v>0</v>
      </c>
      <c r="V60" s="57" t="s">
        <v>573</v>
      </c>
    </row>
    <row r="61" spans="1:22" s="57" customFormat="1" x14ac:dyDescent="0.2">
      <c r="A61" s="29" t="s">
        <v>116</v>
      </c>
      <c r="B61" s="29" t="s">
        <v>117</v>
      </c>
      <c r="C61" s="29" t="s">
        <v>118</v>
      </c>
      <c r="D61" s="29" t="s">
        <v>379</v>
      </c>
      <c r="E61" s="29" t="s">
        <v>380</v>
      </c>
      <c r="F61" s="29" t="s">
        <v>381</v>
      </c>
      <c r="G61" s="29" t="s">
        <v>224</v>
      </c>
      <c r="H61" s="29" t="s">
        <v>111</v>
      </c>
      <c r="I61" s="29" t="s">
        <v>141</v>
      </c>
      <c r="J61" s="29" t="s">
        <v>142</v>
      </c>
      <c r="K61" s="59">
        <v>0.5</v>
      </c>
      <c r="L61" s="29" t="s">
        <v>143</v>
      </c>
      <c r="M61" s="29">
        <v>2019</v>
      </c>
      <c r="N61" s="29" t="s">
        <v>119</v>
      </c>
      <c r="O61" s="30" t="s">
        <v>136</v>
      </c>
      <c r="P61" s="29" t="s">
        <v>112</v>
      </c>
      <c r="Q61" s="30" t="s">
        <v>112</v>
      </c>
      <c r="R61" s="31">
        <v>50</v>
      </c>
      <c r="S61" s="32">
        <v>0.25</v>
      </c>
      <c r="T61" s="67">
        <v>0.25</v>
      </c>
      <c r="U61" s="32">
        <v>0</v>
      </c>
      <c r="V61" s="57" t="s">
        <v>573</v>
      </c>
    </row>
    <row r="62" spans="1:22" s="57" customFormat="1" x14ac:dyDescent="0.2">
      <c r="A62" s="29" t="s">
        <v>116</v>
      </c>
      <c r="B62" s="29" t="s">
        <v>117</v>
      </c>
      <c r="C62" s="29" t="s">
        <v>118</v>
      </c>
      <c r="D62" s="29" t="s">
        <v>370</v>
      </c>
      <c r="E62" s="29" t="s">
        <v>371</v>
      </c>
      <c r="F62" s="29" t="s">
        <v>372</v>
      </c>
      <c r="G62" s="29" t="s">
        <v>186</v>
      </c>
      <c r="H62" s="29" t="s">
        <v>111</v>
      </c>
      <c r="I62" s="29" t="s">
        <v>182</v>
      </c>
      <c r="J62" s="29" t="s">
        <v>120</v>
      </c>
      <c r="K62" s="59">
        <v>0.5</v>
      </c>
      <c r="L62" s="29" t="s">
        <v>183</v>
      </c>
      <c r="M62" s="29">
        <v>2019</v>
      </c>
      <c r="N62" s="29" t="s">
        <v>119</v>
      </c>
      <c r="O62" s="30" t="s">
        <v>137</v>
      </c>
      <c r="P62" s="29" t="s">
        <v>112</v>
      </c>
      <c r="Q62" s="30" t="s">
        <v>112</v>
      </c>
      <c r="R62" s="31">
        <v>80</v>
      </c>
      <c r="S62" s="32">
        <v>0.4</v>
      </c>
      <c r="T62" s="67">
        <v>0.1</v>
      </c>
      <c r="U62" s="32">
        <v>0</v>
      </c>
      <c r="V62" s="57" t="s">
        <v>573</v>
      </c>
    </row>
    <row r="63" spans="1:22" s="57" customFormat="1" x14ac:dyDescent="0.2">
      <c r="A63" s="29" t="s">
        <v>138</v>
      </c>
      <c r="B63" s="29" t="s">
        <v>139</v>
      </c>
      <c r="C63" s="29" t="s">
        <v>118</v>
      </c>
      <c r="D63" s="29" t="s">
        <v>382</v>
      </c>
      <c r="E63" s="29" t="s">
        <v>383</v>
      </c>
      <c r="F63" s="29" t="s">
        <v>384</v>
      </c>
      <c r="G63" s="29" t="s">
        <v>186</v>
      </c>
      <c r="H63" s="29" t="s">
        <v>111</v>
      </c>
      <c r="I63" s="29" t="s">
        <v>182</v>
      </c>
      <c r="J63" s="29" t="s">
        <v>120</v>
      </c>
      <c r="K63" s="59">
        <v>0.5</v>
      </c>
      <c r="L63" s="29" t="s">
        <v>183</v>
      </c>
      <c r="M63" s="29">
        <v>2019</v>
      </c>
      <c r="N63" s="29" t="s">
        <v>119</v>
      </c>
      <c r="O63" s="30" t="s">
        <v>137</v>
      </c>
      <c r="P63" s="29" t="s">
        <v>112</v>
      </c>
      <c r="Q63" s="30" t="s">
        <v>112</v>
      </c>
      <c r="R63" s="31">
        <v>80</v>
      </c>
      <c r="S63" s="32">
        <v>0.4</v>
      </c>
      <c r="T63" s="67">
        <v>0.1</v>
      </c>
      <c r="U63" s="32">
        <v>0</v>
      </c>
      <c r="V63" s="57" t="s">
        <v>573</v>
      </c>
    </row>
    <row r="64" spans="1:22" s="57" customFormat="1" x14ac:dyDescent="0.2">
      <c r="A64" s="34" t="s">
        <v>138</v>
      </c>
      <c r="B64" s="34" t="s">
        <v>139</v>
      </c>
      <c r="C64" s="34" t="s">
        <v>118</v>
      </c>
      <c r="D64" s="34" t="s">
        <v>382</v>
      </c>
      <c r="E64" s="34" t="s">
        <v>383</v>
      </c>
      <c r="F64" s="34" t="s">
        <v>384</v>
      </c>
      <c r="G64" s="34" t="s">
        <v>187</v>
      </c>
      <c r="H64" s="34" t="s">
        <v>111</v>
      </c>
      <c r="I64" s="34" t="s">
        <v>182</v>
      </c>
      <c r="J64" s="34" t="s">
        <v>120</v>
      </c>
      <c r="K64" s="60">
        <v>0.5</v>
      </c>
      <c r="L64" s="34" t="s">
        <v>183</v>
      </c>
      <c r="M64" s="34">
        <v>2019</v>
      </c>
      <c r="N64" s="34" t="s">
        <v>119</v>
      </c>
      <c r="O64" s="61" t="s">
        <v>137</v>
      </c>
      <c r="P64" s="34" t="s">
        <v>112</v>
      </c>
      <c r="Q64" s="61" t="s">
        <v>112</v>
      </c>
      <c r="R64" s="62">
        <v>80</v>
      </c>
      <c r="S64" s="63">
        <v>0.4</v>
      </c>
      <c r="T64" s="68">
        <v>0.1</v>
      </c>
      <c r="U64" s="63">
        <v>0</v>
      </c>
      <c r="V64" s="57" t="s">
        <v>573</v>
      </c>
    </row>
    <row r="65" spans="1:22" s="57" customFormat="1" x14ac:dyDescent="0.2">
      <c r="A65" s="25" t="s">
        <v>116</v>
      </c>
      <c r="B65" s="25" t="s">
        <v>117</v>
      </c>
      <c r="C65" s="25" t="s">
        <v>118</v>
      </c>
      <c r="D65" s="25" t="s">
        <v>397</v>
      </c>
      <c r="E65" s="25" t="s">
        <v>398</v>
      </c>
      <c r="F65" s="25" t="s">
        <v>399</v>
      </c>
      <c r="G65" s="25" t="s">
        <v>186</v>
      </c>
      <c r="H65" s="25" t="s">
        <v>114</v>
      </c>
      <c r="I65" s="25" t="s">
        <v>182</v>
      </c>
      <c r="J65" s="25" t="s">
        <v>120</v>
      </c>
      <c r="K65" s="33">
        <v>1</v>
      </c>
      <c r="L65" s="33" t="s">
        <v>183</v>
      </c>
      <c r="M65" s="34">
        <v>2019</v>
      </c>
      <c r="N65" s="25" t="s">
        <v>119</v>
      </c>
      <c r="O65" s="26" t="s">
        <v>137</v>
      </c>
      <c r="P65" s="25" t="s">
        <v>112</v>
      </c>
      <c r="Q65" s="26" t="s">
        <v>112</v>
      </c>
      <c r="R65" s="25">
        <v>80</v>
      </c>
      <c r="S65" s="25">
        <v>0.8</v>
      </c>
      <c r="T65" s="69">
        <v>0.2</v>
      </c>
      <c r="U65" s="25">
        <v>0</v>
      </c>
      <c r="V65" s="57" t="s">
        <v>573</v>
      </c>
    </row>
    <row r="66" spans="1:22" s="57" customFormat="1" x14ac:dyDescent="0.2">
      <c r="A66" s="25" t="s">
        <v>116</v>
      </c>
      <c r="B66" s="25" t="s">
        <v>117</v>
      </c>
      <c r="C66" s="25" t="s">
        <v>118</v>
      </c>
      <c r="D66" s="25" t="s">
        <v>400</v>
      </c>
      <c r="E66" s="25" t="s">
        <v>401</v>
      </c>
      <c r="F66" s="25" t="s">
        <v>402</v>
      </c>
      <c r="G66" s="25" t="s">
        <v>223</v>
      </c>
      <c r="H66" s="25" t="s">
        <v>114</v>
      </c>
      <c r="I66" s="25" t="s">
        <v>141</v>
      </c>
      <c r="J66" s="25" t="s">
        <v>142</v>
      </c>
      <c r="K66" s="33">
        <v>1</v>
      </c>
      <c r="L66" s="33" t="s">
        <v>143</v>
      </c>
      <c r="M66" s="34">
        <v>2019</v>
      </c>
      <c r="N66" s="25" t="s">
        <v>119</v>
      </c>
      <c r="O66" s="26" t="s">
        <v>136</v>
      </c>
      <c r="P66" s="25" t="s">
        <v>112</v>
      </c>
      <c r="Q66" s="26" t="s">
        <v>112</v>
      </c>
      <c r="R66" s="25">
        <v>50</v>
      </c>
      <c r="S66" s="25">
        <v>0.5</v>
      </c>
      <c r="T66" s="69">
        <v>0.5</v>
      </c>
      <c r="U66" s="25">
        <v>0</v>
      </c>
      <c r="V66" s="57" t="s">
        <v>573</v>
      </c>
    </row>
    <row r="67" spans="1:22" s="57" customFormat="1" ht="10.8" thickBot="1" x14ac:dyDescent="0.25">
      <c r="A67" s="25" t="s">
        <v>116</v>
      </c>
      <c r="B67" s="25" t="s">
        <v>117</v>
      </c>
      <c r="C67" s="25" t="s">
        <v>118</v>
      </c>
      <c r="D67" s="25" t="s">
        <v>403</v>
      </c>
      <c r="E67" s="25" t="s">
        <v>404</v>
      </c>
      <c r="F67" s="25" t="s">
        <v>405</v>
      </c>
      <c r="G67" s="25" t="s">
        <v>186</v>
      </c>
      <c r="H67" s="25" t="s">
        <v>114</v>
      </c>
      <c r="I67" s="25" t="s">
        <v>182</v>
      </c>
      <c r="J67" s="25" t="s">
        <v>120</v>
      </c>
      <c r="K67" s="33">
        <v>1</v>
      </c>
      <c r="L67" s="33" t="s">
        <v>183</v>
      </c>
      <c r="M67" s="34">
        <v>2019</v>
      </c>
      <c r="N67" s="25" t="s">
        <v>119</v>
      </c>
      <c r="O67" s="26" t="s">
        <v>137</v>
      </c>
      <c r="P67" s="25" t="s">
        <v>112</v>
      </c>
      <c r="Q67" s="26" t="s">
        <v>112</v>
      </c>
      <c r="R67" s="25">
        <v>80</v>
      </c>
      <c r="S67" s="25">
        <v>0.8</v>
      </c>
      <c r="T67" s="69">
        <v>0.2</v>
      </c>
      <c r="U67" s="25">
        <v>0</v>
      </c>
      <c r="V67" s="57" t="s">
        <v>573</v>
      </c>
    </row>
    <row r="68" spans="1:22" s="57" customFormat="1" ht="10.8" thickBot="1" x14ac:dyDescent="0.25">
      <c r="A68" s="35" t="s">
        <v>157</v>
      </c>
      <c r="B68" s="35" t="s">
        <v>158</v>
      </c>
      <c r="C68" s="35" t="s">
        <v>159</v>
      </c>
      <c r="D68" s="35" t="s">
        <v>406</v>
      </c>
      <c r="E68" s="35" t="s">
        <v>407</v>
      </c>
      <c r="F68" s="35" t="s">
        <v>408</v>
      </c>
      <c r="G68" s="36" t="s">
        <v>409</v>
      </c>
      <c r="H68" s="37" t="s">
        <v>114</v>
      </c>
      <c r="I68" s="37" t="s">
        <v>157</v>
      </c>
      <c r="J68" s="38" t="s">
        <v>158</v>
      </c>
      <c r="K68" s="33">
        <v>1</v>
      </c>
      <c r="L68" s="33" t="s">
        <v>160</v>
      </c>
      <c r="M68" s="25">
        <v>2020</v>
      </c>
      <c r="N68" s="25" t="s">
        <v>119</v>
      </c>
      <c r="O68" s="26" t="s">
        <v>140</v>
      </c>
      <c r="P68" s="25" t="s">
        <v>112</v>
      </c>
      <c r="Q68" s="26" t="s">
        <v>112</v>
      </c>
      <c r="R68" s="25">
        <v>90</v>
      </c>
      <c r="S68" s="25">
        <v>0.9</v>
      </c>
      <c r="T68" s="69">
        <v>0.1</v>
      </c>
      <c r="U68" s="25">
        <v>0</v>
      </c>
      <c r="V68" s="57" t="s">
        <v>573</v>
      </c>
    </row>
    <row r="69" spans="1:22" s="57" customFormat="1" ht="10.8" thickBot="1" x14ac:dyDescent="0.25">
      <c r="A69" s="35" t="s">
        <v>116</v>
      </c>
      <c r="B69" s="35" t="s">
        <v>117</v>
      </c>
      <c r="C69" s="35" t="s">
        <v>118</v>
      </c>
      <c r="D69" s="35" t="s">
        <v>410</v>
      </c>
      <c r="E69" s="35" t="s">
        <v>411</v>
      </c>
      <c r="F69" s="35" t="s">
        <v>412</v>
      </c>
      <c r="G69" s="36" t="s">
        <v>171</v>
      </c>
      <c r="H69" s="37" t="s">
        <v>111</v>
      </c>
      <c r="I69" s="37" t="s">
        <v>149</v>
      </c>
      <c r="J69" s="38" t="s">
        <v>150</v>
      </c>
      <c r="K69" s="33">
        <v>0.5</v>
      </c>
      <c r="L69" s="33" t="s">
        <v>151</v>
      </c>
      <c r="M69" s="25">
        <v>2020</v>
      </c>
      <c r="N69" s="25" t="s">
        <v>119</v>
      </c>
      <c r="O69" s="26" t="s">
        <v>136</v>
      </c>
      <c r="P69" s="25" t="s">
        <v>112</v>
      </c>
      <c r="Q69" s="26" t="s">
        <v>112</v>
      </c>
      <c r="R69" s="25">
        <v>50</v>
      </c>
      <c r="S69" s="25">
        <v>0.25</v>
      </c>
      <c r="T69" s="69">
        <v>0.25</v>
      </c>
      <c r="U69" s="25">
        <v>0</v>
      </c>
      <c r="V69" s="57" t="s">
        <v>573</v>
      </c>
    </row>
    <row r="70" spans="1:22" s="57" customFormat="1" ht="10.8" thickBot="1" x14ac:dyDescent="0.25">
      <c r="A70" s="35" t="s">
        <v>116</v>
      </c>
      <c r="B70" s="35" t="s">
        <v>117</v>
      </c>
      <c r="C70" s="35" t="s">
        <v>118</v>
      </c>
      <c r="D70" s="35" t="s">
        <v>410</v>
      </c>
      <c r="E70" s="35" t="s">
        <v>411</v>
      </c>
      <c r="F70" s="35" t="s">
        <v>412</v>
      </c>
      <c r="G70" s="36" t="s">
        <v>184</v>
      </c>
      <c r="H70" s="37" t="s">
        <v>111</v>
      </c>
      <c r="I70" s="37" t="s">
        <v>182</v>
      </c>
      <c r="J70" s="38" t="s">
        <v>120</v>
      </c>
      <c r="K70" s="33">
        <v>0.5</v>
      </c>
      <c r="L70" s="33" t="s">
        <v>183</v>
      </c>
      <c r="M70" s="25">
        <v>2020</v>
      </c>
      <c r="N70" s="25" t="s">
        <v>119</v>
      </c>
      <c r="O70" s="26" t="s">
        <v>136</v>
      </c>
      <c r="P70" s="25" t="s">
        <v>112</v>
      </c>
      <c r="Q70" s="26" t="s">
        <v>112</v>
      </c>
      <c r="R70" s="25">
        <v>50</v>
      </c>
      <c r="S70" s="25">
        <v>0.25</v>
      </c>
      <c r="T70" s="69">
        <v>0.25</v>
      </c>
      <c r="U70" s="25">
        <v>0</v>
      </c>
      <c r="V70" s="57" t="s">
        <v>573</v>
      </c>
    </row>
    <row r="71" spans="1:22" s="57" customFormat="1" ht="10.8" thickBot="1" x14ac:dyDescent="0.25">
      <c r="A71" s="35" t="s">
        <v>116</v>
      </c>
      <c r="B71" s="35" t="s">
        <v>117</v>
      </c>
      <c r="C71" s="35" t="s">
        <v>118</v>
      </c>
      <c r="D71" s="35" t="s">
        <v>413</v>
      </c>
      <c r="E71" s="35" t="s">
        <v>414</v>
      </c>
      <c r="F71" s="35" t="s">
        <v>415</v>
      </c>
      <c r="G71" s="36" t="s">
        <v>224</v>
      </c>
      <c r="H71" s="37" t="s">
        <v>111</v>
      </c>
      <c r="I71" s="37" t="s">
        <v>141</v>
      </c>
      <c r="J71" s="38" t="s">
        <v>142</v>
      </c>
      <c r="K71" s="33">
        <v>0.5</v>
      </c>
      <c r="L71" s="33" t="s">
        <v>143</v>
      </c>
      <c r="M71" s="25">
        <v>2020</v>
      </c>
      <c r="N71" s="25" t="s">
        <v>119</v>
      </c>
      <c r="O71" s="26" t="s">
        <v>136</v>
      </c>
      <c r="P71" s="25" t="s">
        <v>112</v>
      </c>
      <c r="Q71" s="26" t="s">
        <v>112</v>
      </c>
      <c r="R71" s="25">
        <v>50</v>
      </c>
      <c r="S71" s="25">
        <v>0.25</v>
      </c>
      <c r="T71" s="69">
        <v>0.25</v>
      </c>
      <c r="U71" s="25">
        <v>0</v>
      </c>
      <c r="V71" s="57" t="s">
        <v>573</v>
      </c>
    </row>
    <row r="72" spans="1:22" s="57" customFormat="1" ht="10.8" thickBot="1" x14ac:dyDescent="0.25">
      <c r="A72" s="35" t="s">
        <v>116</v>
      </c>
      <c r="B72" s="35" t="s">
        <v>117</v>
      </c>
      <c r="C72" s="35" t="s">
        <v>118</v>
      </c>
      <c r="D72" s="35" t="s">
        <v>416</v>
      </c>
      <c r="E72" s="35" t="s">
        <v>417</v>
      </c>
      <c r="F72" s="35" t="s">
        <v>418</v>
      </c>
      <c r="G72" s="36" t="s">
        <v>419</v>
      </c>
      <c r="H72" s="37" t="s">
        <v>111</v>
      </c>
      <c r="I72" s="37" t="s">
        <v>149</v>
      </c>
      <c r="J72" s="38" t="s">
        <v>150</v>
      </c>
      <c r="K72" s="33">
        <v>0.5</v>
      </c>
      <c r="L72" s="33" t="s">
        <v>151</v>
      </c>
      <c r="M72" s="25">
        <v>2020</v>
      </c>
      <c r="N72" s="25" t="s">
        <v>119</v>
      </c>
      <c r="O72" s="26" t="s">
        <v>136</v>
      </c>
      <c r="P72" s="25" t="s">
        <v>112</v>
      </c>
      <c r="Q72" s="26" t="s">
        <v>112</v>
      </c>
      <c r="R72" s="25">
        <v>50</v>
      </c>
      <c r="S72" s="25">
        <v>0.25</v>
      </c>
      <c r="T72" s="69">
        <v>0.25</v>
      </c>
      <c r="U72" s="25">
        <v>0</v>
      </c>
      <c r="V72" s="57" t="s">
        <v>573</v>
      </c>
    </row>
    <row r="73" spans="1:22" s="57" customFormat="1" ht="10.8" thickBot="1" x14ac:dyDescent="0.25">
      <c r="A73" s="35" t="s">
        <v>116</v>
      </c>
      <c r="B73" s="35" t="s">
        <v>117</v>
      </c>
      <c r="C73" s="35" t="s">
        <v>118</v>
      </c>
      <c r="D73" s="35" t="s">
        <v>416</v>
      </c>
      <c r="E73" s="35" t="s">
        <v>417</v>
      </c>
      <c r="F73" s="35" t="s">
        <v>418</v>
      </c>
      <c r="G73" s="36" t="s">
        <v>409</v>
      </c>
      <c r="H73" s="37" t="s">
        <v>111</v>
      </c>
      <c r="I73" s="37" t="s">
        <v>157</v>
      </c>
      <c r="J73" s="38" t="s">
        <v>158</v>
      </c>
      <c r="K73" s="33">
        <v>0.5</v>
      </c>
      <c r="L73" s="33" t="s">
        <v>160</v>
      </c>
      <c r="M73" s="25">
        <v>2020</v>
      </c>
      <c r="N73" s="25" t="s">
        <v>119</v>
      </c>
      <c r="O73" s="26" t="s">
        <v>140</v>
      </c>
      <c r="P73" s="25" t="s">
        <v>112</v>
      </c>
      <c r="Q73" s="26" t="s">
        <v>112</v>
      </c>
      <c r="R73" s="25">
        <v>90</v>
      </c>
      <c r="S73" s="25">
        <v>0.45</v>
      </c>
      <c r="T73" s="69">
        <v>0.05</v>
      </c>
      <c r="U73" s="25">
        <v>0</v>
      </c>
      <c r="V73" s="57" t="s">
        <v>573</v>
      </c>
    </row>
    <row r="74" spans="1:22" s="57" customFormat="1" ht="10.8" thickBot="1" x14ac:dyDescent="0.25">
      <c r="A74" s="35" t="s">
        <v>116</v>
      </c>
      <c r="B74" s="35" t="s">
        <v>117</v>
      </c>
      <c r="C74" s="35" t="s">
        <v>118</v>
      </c>
      <c r="D74" s="35" t="s">
        <v>420</v>
      </c>
      <c r="E74" s="35" t="s">
        <v>421</v>
      </c>
      <c r="F74" s="35" t="s">
        <v>422</v>
      </c>
      <c r="G74" s="36" t="s">
        <v>171</v>
      </c>
      <c r="H74" s="37" t="s">
        <v>111</v>
      </c>
      <c r="I74" s="37" t="s">
        <v>149</v>
      </c>
      <c r="J74" s="38" t="s">
        <v>150</v>
      </c>
      <c r="K74" s="33">
        <v>0.5</v>
      </c>
      <c r="L74" s="33" t="s">
        <v>151</v>
      </c>
      <c r="M74" s="25">
        <v>2020</v>
      </c>
      <c r="N74" s="25" t="s">
        <v>119</v>
      </c>
      <c r="O74" s="26" t="s">
        <v>136</v>
      </c>
      <c r="P74" s="25" t="s">
        <v>112</v>
      </c>
      <c r="Q74" s="26" t="s">
        <v>112</v>
      </c>
      <c r="R74" s="25">
        <v>50</v>
      </c>
      <c r="S74" s="25">
        <v>0.25</v>
      </c>
      <c r="T74" s="69">
        <v>0.25</v>
      </c>
      <c r="U74" s="25">
        <v>0</v>
      </c>
      <c r="V74" s="57" t="s">
        <v>573</v>
      </c>
    </row>
    <row r="75" spans="1:22" s="57" customFormat="1" ht="10.8" thickBot="1" x14ac:dyDescent="0.25">
      <c r="A75" s="35" t="s">
        <v>116</v>
      </c>
      <c r="B75" s="35" t="s">
        <v>117</v>
      </c>
      <c r="C75" s="35" t="s">
        <v>118</v>
      </c>
      <c r="D75" s="35" t="s">
        <v>420</v>
      </c>
      <c r="E75" s="35" t="s">
        <v>421</v>
      </c>
      <c r="F75" s="35" t="s">
        <v>422</v>
      </c>
      <c r="G75" s="36" t="s">
        <v>184</v>
      </c>
      <c r="H75" s="37" t="s">
        <v>111</v>
      </c>
      <c r="I75" s="37" t="s">
        <v>182</v>
      </c>
      <c r="J75" s="38" t="s">
        <v>120</v>
      </c>
      <c r="K75" s="33">
        <v>0.5</v>
      </c>
      <c r="L75" s="33" t="s">
        <v>183</v>
      </c>
      <c r="M75" s="25">
        <v>2020</v>
      </c>
      <c r="N75" s="25" t="s">
        <v>119</v>
      </c>
      <c r="O75" s="26" t="s">
        <v>136</v>
      </c>
      <c r="P75" s="25" t="s">
        <v>112</v>
      </c>
      <c r="Q75" s="26" t="s">
        <v>112</v>
      </c>
      <c r="R75" s="25">
        <v>50</v>
      </c>
      <c r="S75" s="64">
        <v>0.25</v>
      </c>
      <c r="T75" s="69">
        <v>0.25</v>
      </c>
      <c r="U75" s="25">
        <v>0</v>
      </c>
      <c r="V75" s="57" t="s">
        <v>573</v>
      </c>
    </row>
    <row r="76" spans="1:22" s="57" customFormat="1" ht="10.8" thickBot="1" x14ac:dyDescent="0.25">
      <c r="A76" s="35" t="s">
        <v>116</v>
      </c>
      <c r="B76" s="35" t="s">
        <v>117</v>
      </c>
      <c r="C76" s="35" t="s">
        <v>118</v>
      </c>
      <c r="D76" s="35" t="s">
        <v>423</v>
      </c>
      <c r="E76" s="35" t="s">
        <v>424</v>
      </c>
      <c r="F76" s="35" t="s">
        <v>425</v>
      </c>
      <c r="G76" s="36" t="s">
        <v>188</v>
      </c>
      <c r="H76" s="37" t="s">
        <v>114</v>
      </c>
      <c r="I76" s="37" t="s">
        <v>182</v>
      </c>
      <c r="J76" s="38" t="s">
        <v>120</v>
      </c>
      <c r="K76" s="33">
        <v>1</v>
      </c>
      <c r="L76" s="33" t="s">
        <v>183</v>
      </c>
      <c r="M76" s="25">
        <v>2020</v>
      </c>
      <c r="N76" s="25" t="s">
        <v>119</v>
      </c>
      <c r="O76" s="26" t="s">
        <v>144</v>
      </c>
      <c r="P76" s="25" t="s">
        <v>112</v>
      </c>
      <c r="Q76" s="26" t="s">
        <v>112</v>
      </c>
      <c r="R76" s="25">
        <v>60</v>
      </c>
      <c r="S76" s="25">
        <v>0.6</v>
      </c>
      <c r="T76" s="69">
        <v>0.4</v>
      </c>
      <c r="U76" s="25">
        <v>0</v>
      </c>
      <c r="V76" s="57" t="s">
        <v>573</v>
      </c>
    </row>
    <row r="77" spans="1:22" s="57" customFormat="1" ht="10.8" thickBot="1" x14ac:dyDescent="0.25">
      <c r="A77" s="35" t="s">
        <v>116</v>
      </c>
      <c r="B77" s="35" t="s">
        <v>117</v>
      </c>
      <c r="C77" s="35" t="s">
        <v>118</v>
      </c>
      <c r="D77" s="35" t="s">
        <v>426</v>
      </c>
      <c r="E77" s="35" t="s">
        <v>427</v>
      </c>
      <c r="F77" s="35" t="s">
        <v>425</v>
      </c>
      <c r="G77" s="36" t="s">
        <v>171</v>
      </c>
      <c r="H77" s="37" t="s">
        <v>111</v>
      </c>
      <c r="I77" s="37" t="s">
        <v>149</v>
      </c>
      <c r="J77" s="38" t="s">
        <v>150</v>
      </c>
      <c r="K77" s="33">
        <v>0.5</v>
      </c>
      <c r="L77" s="33" t="s">
        <v>151</v>
      </c>
      <c r="M77" s="25">
        <v>2020</v>
      </c>
      <c r="N77" s="25" t="s">
        <v>119</v>
      </c>
      <c r="O77" s="26" t="s">
        <v>136</v>
      </c>
      <c r="P77" s="25" t="s">
        <v>112</v>
      </c>
      <c r="Q77" s="26" t="s">
        <v>112</v>
      </c>
      <c r="R77" s="25">
        <v>50</v>
      </c>
      <c r="S77" s="25">
        <v>0.25</v>
      </c>
      <c r="T77" s="69">
        <v>0.25</v>
      </c>
      <c r="U77" s="25">
        <v>0</v>
      </c>
      <c r="V77" s="57" t="s">
        <v>573</v>
      </c>
    </row>
    <row r="78" spans="1:22" s="57" customFormat="1" ht="10.8" thickBot="1" x14ac:dyDescent="0.25">
      <c r="A78" s="35" t="s">
        <v>116</v>
      </c>
      <c r="B78" s="35" t="s">
        <v>117</v>
      </c>
      <c r="C78" s="35" t="s">
        <v>118</v>
      </c>
      <c r="D78" s="35" t="s">
        <v>426</v>
      </c>
      <c r="E78" s="35" t="s">
        <v>427</v>
      </c>
      <c r="F78" s="35" t="s">
        <v>425</v>
      </c>
      <c r="G78" s="36" t="s">
        <v>184</v>
      </c>
      <c r="H78" s="37" t="s">
        <v>111</v>
      </c>
      <c r="I78" s="37" t="s">
        <v>182</v>
      </c>
      <c r="J78" s="38" t="s">
        <v>120</v>
      </c>
      <c r="K78" s="33">
        <v>0.5</v>
      </c>
      <c r="L78" s="33" t="s">
        <v>183</v>
      </c>
      <c r="M78" s="25">
        <v>2020</v>
      </c>
      <c r="N78" s="25" t="s">
        <v>119</v>
      </c>
      <c r="O78" s="26" t="s">
        <v>136</v>
      </c>
      <c r="P78" s="25" t="s">
        <v>112</v>
      </c>
      <c r="Q78" s="26" t="s">
        <v>112</v>
      </c>
      <c r="R78" s="25">
        <v>50</v>
      </c>
      <c r="S78" s="64">
        <v>0.25</v>
      </c>
      <c r="T78" s="69">
        <v>0.25</v>
      </c>
      <c r="U78" s="25">
        <v>0</v>
      </c>
      <c r="V78" s="57" t="s">
        <v>573</v>
      </c>
    </row>
    <row r="79" spans="1:22" s="57" customFormat="1" ht="10.8" thickBot="1" x14ac:dyDescent="0.25">
      <c r="A79" s="35" t="s">
        <v>116</v>
      </c>
      <c r="B79" s="35" t="s">
        <v>117</v>
      </c>
      <c r="C79" s="35" t="s">
        <v>118</v>
      </c>
      <c r="D79" s="35" t="s">
        <v>428</v>
      </c>
      <c r="E79" s="35" t="s">
        <v>429</v>
      </c>
      <c r="F79" s="35" t="s">
        <v>430</v>
      </c>
      <c r="G79" s="36" t="s">
        <v>171</v>
      </c>
      <c r="H79" s="37" t="s">
        <v>111</v>
      </c>
      <c r="I79" s="37" t="s">
        <v>149</v>
      </c>
      <c r="J79" s="38" t="s">
        <v>150</v>
      </c>
      <c r="K79" s="33">
        <v>0.5</v>
      </c>
      <c r="L79" s="33" t="s">
        <v>151</v>
      </c>
      <c r="M79" s="25">
        <v>2020</v>
      </c>
      <c r="N79" s="25" t="s">
        <v>119</v>
      </c>
      <c r="O79" s="26" t="s">
        <v>136</v>
      </c>
      <c r="P79" s="25" t="s">
        <v>112</v>
      </c>
      <c r="Q79" s="26" t="s">
        <v>112</v>
      </c>
      <c r="R79" s="25">
        <v>50</v>
      </c>
      <c r="S79" s="25">
        <v>0.25</v>
      </c>
      <c r="T79" s="69">
        <v>0.25</v>
      </c>
      <c r="U79" s="25">
        <v>0</v>
      </c>
      <c r="V79" s="57" t="s">
        <v>573</v>
      </c>
    </row>
    <row r="80" spans="1:22" s="57" customFormat="1" ht="10.8" thickBot="1" x14ac:dyDescent="0.25">
      <c r="A80" s="35" t="s">
        <v>116</v>
      </c>
      <c r="B80" s="35" t="s">
        <v>117</v>
      </c>
      <c r="C80" s="35" t="s">
        <v>118</v>
      </c>
      <c r="D80" s="35" t="s">
        <v>574</v>
      </c>
      <c r="E80" s="35" t="s">
        <v>575</v>
      </c>
      <c r="F80" s="35" t="s">
        <v>576</v>
      </c>
      <c r="G80" s="36" t="s">
        <v>186</v>
      </c>
      <c r="H80" s="37" t="s">
        <v>111</v>
      </c>
      <c r="I80" s="37" t="s">
        <v>182</v>
      </c>
      <c r="J80" s="38" t="s">
        <v>120</v>
      </c>
      <c r="K80" s="33">
        <v>0.5</v>
      </c>
      <c r="L80" s="33" t="s">
        <v>183</v>
      </c>
      <c r="M80" s="25">
        <v>2020</v>
      </c>
      <c r="N80" s="25" t="s">
        <v>119</v>
      </c>
      <c r="O80" s="26" t="s">
        <v>137</v>
      </c>
      <c r="P80" s="25" t="s">
        <v>112</v>
      </c>
      <c r="Q80" s="26" t="s">
        <v>112</v>
      </c>
      <c r="R80" s="25">
        <v>80</v>
      </c>
      <c r="S80" s="25">
        <v>0.4</v>
      </c>
      <c r="T80" s="69">
        <v>0.1</v>
      </c>
      <c r="U80" s="25">
        <v>0</v>
      </c>
      <c r="V80" s="57" t="s">
        <v>573</v>
      </c>
    </row>
    <row r="81" spans="1:22" s="57" customFormat="1" ht="10.8" thickBot="1" x14ac:dyDescent="0.25">
      <c r="A81" s="35" t="s">
        <v>116</v>
      </c>
      <c r="B81" s="35" t="s">
        <v>117</v>
      </c>
      <c r="C81" s="35" t="s">
        <v>118</v>
      </c>
      <c r="D81" s="35" t="s">
        <v>431</v>
      </c>
      <c r="E81" s="35" t="s">
        <v>432</v>
      </c>
      <c r="F81" s="35" t="s">
        <v>433</v>
      </c>
      <c r="G81" s="36" t="s">
        <v>216</v>
      </c>
      <c r="H81" s="37" t="s">
        <v>111</v>
      </c>
      <c r="I81" s="37" t="s">
        <v>182</v>
      </c>
      <c r="J81" s="38" t="s">
        <v>120</v>
      </c>
      <c r="K81" s="33">
        <v>0.5</v>
      </c>
      <c r="L81" s="33" t="s">
        <v>183</v>
      </c>
      <c r="M81" s="25">
        <v>2020</v>
      </c>
      <c r="N81" s="25" t="s">
        <v>119</v>
      </c>
      <c r="O81" s="26" t="s">
        <v>136</v>
      </c>
      <c r="P81" s="25" t="s">
        <v>112</v>
      </c>
      <c r="Q81" s="26" t="s">
        <v>112</v>
      </c>
      <c r="R81" s="25">
        <v>50</v>
      </c>
      <c r="S81" s="25">
        <v>0.25</v>
      </c>
      <c r="T81" s="69">
        <v>0.25</v>
      </c>
      <c r="U81" s="25">
        <v>0</v>
      </c>
      <c r="V81" s="57" t="s">
        <v>573</v>
      </c>
    </row>
    <row r="82" spans="1:22" s="57" customFormat="1" ht="10.8" thickBot="1" x14ac:dyDescent="0.25">
      <c r="A82" s="35" t="s">
        <v>116</v>
      </c>
      <c r="B82" s="35" t="s">
        <v>117</v>
      </c>
      <c r="C82" s="35" t="s">
        <v>118</v>
      </c>
      <c r="D82" s="35" t="s">
        <v>434</v>
      </c>
      <c r="E82" s="35" t="s">
        <v>435</v>
      </c>
      <c r="F82" s="35" t="s">
        <v>436</v>
      </c>
      <c r="G82" s="36" t="s">
        <v>216</v>
      </c>
      <c r="H82" s="37" t="s">
        <v>111</v>
      </c>
      <c r="I82" s="37" t="s">
        <v>182</v>
      </c>
      <c r="J82" s="38" t="s">
        <v>120</v>
      </c>
      <c r="K82" s="33">
        <v>0.5</v>
      </c>
      <c r="L82" s="33" t="s">
        <v>183</v>
      </c>
      <c r="M82" s="25">
        <v>2020</v>
      </c>
      <c r="N82" s="25" t="s">
        <v>119</v>
      </c>
      <c r="O82" s="26" t="s">
        <v>136</v>
      </c>
      <c r="P82" s="25" t="s">
        <v>112</v>
      </c>
      <c r="Q82" s="26" t="s">
        <v>112</v>
      </c>
      <c r="R82" s="25">
        <v>50</v>
      </c>
      <c r="S82" s="25">
        <v>0.25</v>
      </c>
      <c r="T82" s="69">
        <v>0.25</v>
      </c>
      <c r="U82" s="25">
        <v>0</v>
      </c>
      <c r="V82" s="57" t="s">
        <v>573</v>
      </c>
    </row>
    <row r="83" spans="1:22" s="57" customFormat="1" ht="10.8" thickBot="1" x14ac:dyDescent="0.25">
      <c r="A83" s="35" t="s">
        <v>116</v>
      </c>
      <c r="B83" s="35" t="s">
        <v>117</v>
      </c>
      <c r="C83" s="35" t="s">
        <v>118</v>
      </c>
      <c r="D83" s="35" t="s">
        <v>434</v>
      </c>
      <c r="E83" s="35" t="s">
        <v>435</v>
      </c>
      <c r="F83" s="35" t="s">
        <v>436</v>
      </c>
      <c r="G83" s="36" t="s">
        <v>190</v>
      </c>
      <c r="H83" s="37" t="s">
        <v>111</v>
      </c>
      <c r="I83" s="37" t="s">
        <v>182</v>
      </c>
      <c r="J83" s="38" t="s">
        <v>120</v>
      </c>
      <c r="K83" s="33">
        <v>0.5</v>
      </c>
      <c r="L83" s="33" t="s">
        <v>183</v>
      </c>
      <c r="M83" s="25">
        <v>2020</v>
      </c>
      <c r="N83" s="25" t="s">
        <v>119</v>
      </c>
      <c r="O83" s="26" t="s">
        <v>136</v>
      </c>
      <c r="P83" s="25" t="s">
        <v>112</v>
      </c>
      <c r="Q83" s="26" t="s">
        <v>112</v>
      </c>
      <c r="R83" s="25">
        <v>50</v>
      </c>
      <c r="S83" s="25">
        <v>0.25</v>
      </c>
      <c r="T83" s="69">
        <v>0.25</v>
      </c>
      <c r="U83" s="25">
        <v>0</v>
      </c>
      <c r="V83" s="57" t="s">
        <v>573</v>
      </c>
    </row>
    <row r="84" spans="1:22" s="57" customFormat="1" x14ac:dyDescent="0.2">
      <c r="A84" s="25" t="s">
        <v>116</v>
      </c>
      <c r="B84" s="25" t="s">
        <v>117</v>
      </c>
      <c r="C84" s="25" t="s">
        <v>118</v>
      </c>
      <c r="D84" s="25" t="s">
        <v>577</v>
      </c>
      <c r="E84" s="25" t="s">
        <v>578</v>
      </c>
      <c r="F84" s="25" t="s">
        <v>579</v>
      </c>
      <c r="G84" s="25" t="s">
        <v>171</v>
      </c>
      <c r="H84" s="25" t="s">
        <v>111</v>
      </c>
      <c r="I84" s="25" t="s">
        <v>149</v>
      </c>
      <c r="J84" s="25" t="s">
        <v>150</v>
      </c>
      <c r="K84" s="33">
        <v>0.5</v>
      </c>
      <c r="L84" s="33" t="s">
        <v>151</v>
      </c>
      <c r="M84" s="25">
        <v>2021</v>
      </c>
      <c r="N84" s="25" t="s">
        <v>119</v>
      </c>
      <c r="O84" s="26" t="s">
        <v>136</v>
      </c>
      <c r="P84" s="25" t="s">
        <v>112</v>
      </c>
      <c r="Q84" s="26" t="s">
        <v>112</v>
      </c>
      <c r="R84" s="25">
        <v>50</v>
      </c>
      <c r="S84" s="25">
        <v>0.25</v>
      </c>
      <c r="T84" s="69">
        <v>0.25</v>
      </c>
      <c r="U84" s="25">
        <v>0</v>
      </c>
      <c r="V84" s="57" t="s">
        <v>573</v>
      </c>
    </row>
    <row r="85" spans="1:22" s="57" customFormat="1" x14ac:dyDescent="0.2">
      <c r="A85" s="25" t="s">
        <v>116</v>
      </c>
      <c r="B85" s="25" t="s">
        <v>117</v>
      </c>
      <c r="C85" s="25" t="s">
        <v>118</v>
      </c>
      <c r="D85" s="25" t="s">
        <v>584</v>
      </c>
      <c r="E85" s="25" t="s">
        <v>585</v>
      </c>
      <c r="F85" s="25" t="s">
        <v>586</v>
      </c>
      <c r="G85" s="25" t="s">
        <v>161</v>
      </c>
      <c r="H85" s="25" t="s">
        <v>114</v>
      </c>
      <c r="I85" s="25" t="s">
        <v>157</v>
      </c>
      <c r="J85" s="25" t="s">
        <v>158</v>
      </c>
      <c r="K85" s="33">
        <v>1</v>
      </c>
      <c r="L85" s="33" t="s">
        <v>160</v>
      </c>
      <c r="M85" s="25">
        <v>2021</v>
      </c>
      <c r="N85" s="25" t="s">
        <v>119</v>
      </c>
      <c r="O85" s="26" t="s">
        <v>136</v>
      </c>
      <c r="P85" s="25" t="s">
        <v>112</v>
      </c>
      <c r="Q85" s="26" t="s">
        <v>112</v>
      </c>
      <c r="R85" s="25">
        <v>50</v>
      </c>
      <c r="S85" s="25">
        <v>0.5</v>
      </c>
      <c r="T85" s="69">
        <v>0.5</v>
      </c>
      <c r="U85" s="25">
        <v>0</v>
      </c>
      <c r="V85" s="57" t="s">
        <v>573</v>
      </c>
    </row>
    <row r="86" spans="1:22" s="57" customFormat="1" x14ac:dyDescent="0.2">
      <c r="A86" s="25" t="s">
        <v>116</v>
      </c>
      <c r="B86" s="25" t="s">
        <v>117</v>
      </c>
      <c r="C86" s="25" t="s">
        <v>118</v>
      </c>
      <c r="D86" s="25" t="s">
        <v>587</v>
      </c>
      <c r="E86" s="25" t="s">
        <v>588</v>
      </c>
      <c r="F86" s="25" t="s">
        <v>589</v>
      </c>
      <c r="G86" s="25" t="s">
        <v>590</v>
      </c>
      <c r="H86" s="25" t="s">
        <v>114</v>
      </c>
      <c r="I86" s="25" t="s">
        <v>182</v>
      </c>
      <c r="J86" s="25" t="s">
        <v>120</v>
      </c>
      <c r="K86" s="33">
        <v>1</v>
      </c>
      <c r="L86" s="33" t="s">
        <v>183</v>
      </c>
      <c r="M86" s="25">
        <v>2021</v>
      </c>
      <c r="N86" s="25" t="s">
        <v>119</v>
      </c>
      <c r="O86" s="26" t="s">
        <v>137</v>
      </c>
      <c r="P86" s="25" t="s">
        <v>112</v>
      </c>
      <c r="Q86" s="26" t="s">
        <v>112</v>
      </c>
      <c r="R86" s="25">
        <v>80</v>
      </c>
      <c r="S86" s="25">
        <v>0.8</v>
      </c>
      <c r="T86" s="69">
        <v>0.2</v>
      </c>
      <c r="U86" s="25">
        <v>0</v>
      </c>
      <c r="V86" s="57" t="s">
        <v>573</v>
      </c>
    </row>
    <row r="87" spans="1:22" s="57" customFormat="1" x14ac:dyDescent="0.2">
      <c r="A87" s="25" t="s">
        <v>116</v>
      </c>
      <c r="B87" s="25" t="s">
        <v>117</v>
      </c>
      <c r="C87" s="25" t="s">
        <v>118</v>
      </c>
      <c r="D87" s="25" t="s">
        <v>591</v>
      </c>
      <c r="E87" s="25" t="s">
        <v>592</v>
      </c>
      <c r="F87" s="25" t="s">
        <v>593</v>
      </c>
      <c r="G87" s="25" t="s">
        <v>590</v>
      </c>
      <c r="H87" s="25" t="s">
        <v>114</v>
      </c>
      <c r="I87" s="25" t="s">
        <v>182</v>
      </c>
      <c r="J87" s="25" t="s">
        <v>120</v>
      </c>
      <c r="K87" s="33">
        <v>1</v>
      </c>
      <c r="L87" s="33" t="s">
        <v>183</v>
      </c>
      <c r="M87" s="25">
        <v>2021</v>
      </c>
      <c r="N87" s="25" t="s">
        <v>119</v>
      </c>
      <c r="O87" s="26" t="s">
        <v>137</v>
      </c>
      <c r="P87" s="25" t="s">
        <v>112</v>
      </c>
      <c r="Q87" s="26" t="s">
        <v>112</v>
      </c>
      <c r="R87" s="25">
        <v>80</v>
      </c>
      <c r="S87" s="25">
        <v>0.8</v>
      </c>
      <c r="T87" s="69">
        <v>0.2</v>
      </c>
      <c r="U87" s="25">
        <v>0</v>
      </c>
      <c r="V87" s="57" t="s">
        <v>573</v>
      </c>
    </row>
    <row r="88" spans="1:22" s="57" customFormat="1" x14ac:dyDescent="0.2">
      <c r="A88" s="25" t="s">
        <v>116</v>
      </c>
      <c r="B88" s="25" t="s">
        <v>117</v>
      </c>
      <c r="C88" s="25" t="s">
        <v>118</v>
      </c>
      <c r="D88" s="25" t="s">
        <v>580</v>
      </c>
      <c r="E88" s="25" t="s">
        <v>581</v>
      </c>
      <c r="F88" s="25" t="s">
        <v>582</v>
      </c>
      <c r="G88" s="25" t="s">
        <v>184</v>
      </c>
      <c r="H88" s="25" t="s">
        <v>111</v>
      </c>
      <c r="I88" s="25" t="s">
        <v>182</v>
      </c>
      <c r="J88" s="25" t="s">
        <v>120</v>
      </c>
      <c r="K88" s="33">
        <v>0.5</v>
      </c>
      <c r="L88" s="33" t="s">
        <v>183</v>
      </c>
      <c r="M88" s="25">
        <v>2021</v>
      </c>
      <c r="N88" s="25" t="s">
        <v>119</v>
      </c>
      <c r="O88" s="26" t="s">
        <v>136</v>
      </c>
      <c r="P88" s="25" t="s">
        <v>112</v>
      </c>
      <c r="Q88" s="26" t="s">
        <v>112</v>
      </c>
      <c r="R88" s="25">
        <v>50</v>
      </c>
      <c r="S88" s="25">
        <v>0.25</v>
      </c>
      <c r="T88" s="69">
        <v>0.25</v>
      </c>
      <c r="U88" s="25">
        <v>0</v>
      </c>
      <c r="V88" s="57" t="s">
        <v>573</v>
      </c>
    </row>
    <row r="89" spans="1:22" s="57" customFormat="1" ht="14.4" customHeight="1" x14ac:dyDescent="0.2">
      <c r="P89" s="65"/>
      <c r="R89" s="65"/>
      <c r="S89" s="73">
        <f>SUM(T15:T88,S2:S14)</f>
        <v>22.649999999999995</v>
      </c>
      <c r="T89" s="73"/>
    </row>
  </sheetData>
  <autoFilter ref="A1:U1" xr:uid="{00000000-0009-0000-0000-000000000000}"/>
  <mergeCells count="1">
    <mergeCell ref="S89:T89"/>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38"/>
  <sheetViews>
    <sheetView topLeftCell="A19" zoomScaleNormal="100" workbookViewId="0">
      <selection activeCell="R38" sqref="R38"/>
    </sheetView>
  </sheetViews>
  <sheetFormatPr baseColWidth="10" defaultColWidth="11.44140625" defaultRowHeight="13.2" x14ac:dyDescent="0.25"/>
  <cols>
    <col min="1" max="1" width="10.88671875" style="18" bestFit="1" customWidth="1"/>
    <col min="2" max="2" width="40.109375" style="18" bestFit="1" customWidth="1"/>
    <col min="3" max="3" width="14.5546875" style="18" bestFit="1" customWidth="1"/>
    <col min="4" max="9" width="3.33203125" style="18" bestFit="1" customWidth="1"/>
    <col min="10" max="10" width="13.109375" style="18" bestFit="1" customWidth="1"/>
    <col min="11" max="11" width="5.33203125" style="18" bestFit="1" customWidth="1"/>
    <col min="12" max="12" width="5.6640625" style="18" bestFit="1" customWidth="1"/>
    <col min="13" max="14" width="5.6640625" style="19" bestFit="1" customWidth="1"/>
    <col min="15" max="15" width="5.6640625" style="18" bestFit="1" customWidth="1"/>
    <col min="16" max="16" width="5.6640625" style="19" bestFit="1" customWidth="1"/>
    <col min="17" max="19" width="5.6640625" style="18" bestFit="1" customWidth="1"/>
    <col min="20" max="16384" width="11.44140625" style="18"/>
  </cols>
  <sheetData>
    <row r="1" spans="1:19" s="17" customFormat="1" ht="65.099999999999994" customHeight="1" x14ac:dyDescent="0.25">
      <c r="A1" s="20" t="s">
        <v>232</v>
      </c>
      <c r="B1" s="20" t="s">
        <v>233</v>
      </c>
      <c r="C1" s="20" t="s">
        <v>234</v>
      </c>
      <c r="D1" s="21">
        <v>2017</v>
      </c>
      <c r="E1" s="21">
        <v>2018</v>
      </c>
      <c r="F1" s="21">
        <v>2019</v>
      </c>
      <c r="G1" s="21">
        <v>2020</v>
      </c>
      <c r="H1" s="21">
        <v>2021</v>
      </c>
      <c r="I1" s="21">
        <v>2022</v>
      </c>
      <c r="J1" s="20" t="s">
        <v>235</v>
      </c>
      <c r="K1" s="22" t="s">
        <v>394</v>
      </c>
      <c r="L1" s="15" t="s">
        <v>236</v>
      </c>
      <c r="M1" s="15" t="s">
        <v>237</v>
      </c>
      <c r="N1" s="15" t="s">
        <v>238</v>
      </c>
      <c r="O1" s="15" t="s">
        <v>239</v>
      </c>
      <c r="P1" s="16" t="s">
        <v>240</v>
      </c>
      <c r="Q1" s="16" t="s">
        <v>241</v>
      </c>
      <c r="R1" s="16" t="s">
        <v>242</v>
      </c>
      <c r="S1" s="16" t="s">
        <v>243</v>
      </c>
    </row>
    <row r="2" spans="1:19" ht="14.4" x14ac:dyDescent="0.3">
      <c r="A2" s="24" t="s">
        <v>303</v>
      </c>
      <c r="B2" s="24" t="s">
        <v>304</v>
      </c>
      <c r="C2" s="24" t="s">
        <v>244</v>
      </c>
      <c r="D2" s="24"/>
      <c r="E2" s="24">
        <v>1</v>
      </c>
      <c r="F2" s="24"/>
      <c r="G2" s="24"/>
      <c r="H2" s="24"/>
      <c r="I2" s="24"/>
      <c r="J2" s="24">
        <v>1</v>
      </c>
      <c r="K2" s="24" t="s">
        <v>160</v>
      </c>
      <c r="L2" s="23" t="s">
        <v>119</v>
      </c>
      <c r="M2" s="23">
        <v>20</v>
      </c>
      <c r="N2" s="23"/>
      <c r="O2" s="23"/>
      <c r="P2" s="23">
        <v>80</v>
      </c>
      <c r="Q2" s="23">
        <v>0.2</v>
      </c>
      <c r="R2" s="23">
        <v>0</v>
      </c>
      <c r="S2" s="23">
        <v>0.8</v>
      </c>
    </row>
    <row r="3" spans="1:19" ht="14.4" x14ac:dyDescent="0.3">
      <c r="A3" s="24" t="s">
        <v>597</v>
      </c>
      <c r="B3" s="24" t="s">
        <v>598</v>
      </c>
      <c r="C3" s="24" t="s">
        <v>596</v>
      </c>
      <c r="D3" s="24"/>
      <c r="E3" s="24"/>
      <c r="F3" s="24"/>
      <c r="G3" s="24"/>
      <c r="H3" s="24"/>
      <c r="I3" s="24">
        <v>2</v>
      </c>
      <c r="J3" s="24">
        <v>2</v>
      </c>
      <c r="K3" s="24" t="s">
        <v>160</v>
      </c>
      <c r="L3" s="23" t="s">
        <v>119</v>
      </c>
      <c r="M3" s="23" t="s">
        <v>136</v>
      </c>
      <c r="N3" s="23" t="s">
        <v>112</v>
      </c>
      <c r="O3" s="23" t="s">
        <v>112</v>
      </c>
      <c r="P3" s="23">
        <v>50</v>
      </c>
      <c r="Q3" s="23">
        <v>1</v>
      </c>
      <c r="R3" s="23">
        <v>0</v>
      </c>
      <c r="S3" s="23">
        <v>1</v>
      </c>
    </row>
    <row r="4" spans="1:19" ht="14.4" x14ac:dyDescent="0.3">
      <c r="A4" s="24" t="s">
        <v>299</v>
      </c>
      <c r="B4" s="24" t="s">
        <v>300</v>
      </c>
      <c r="C4" s="24" t="s">
        <v>244</v>
      </c>
      <c r="D4" s="24"/>
      <c r="E4" s="24"/>
      <c r="F4" s="24"/>
      <c r="G4" s="24">
        <v>1</v>
      </c>
      <c r="H4" s="24"/>
      <c r="I4" s="24"/>
      <c r="J4" s="24">
        <v>1</v>
      </c>
      <c r="K4" s="24" t="s">
        <v>160</v>
      </c>
      <c r="L4" s="23" t="s">
        <v>119</v>
      </c>
      <c r="M4" s="23" t="s">
        <v>140</v>
      </c>
      <c r="N4" s="23" t="s">
        <v>112</v>
      </c>
      <c r="O4" s="23" t="s">
        <v>112</v>
      </c>
      <c r="P4" s="23">
        <v>90</v>
      </c>
      <c r="Q4" s="23">
        <v>0.1</v>
      </c>
      <c r="R4" s="23">
        <v>0</v>
      </c>
      <c r="S4" s="23">
        <v>0.9</v>
      </c>
    </row>
    <row r="5" spans="1:19" ht="14.4" x14ac:dyDescent="0.3">
      <c r="A5" s="24" t="s">
        <v>251</v>
      </c>
      <c r="B5" s="24" t="s">
        <v>252</v>
      </c>
      <c r="C5" s="24" t="s">
        <v>244</v>
      </c>
      <c r="D5" s="24"/>
      <c r="E5" s="24">
        <v>1</v>
      </c>
      <c r="F5" s="24"/>
      <c r="G5" s="24"/>
      <c r="H5" s="24"/>
      <c r="I5" s="24"/>
      <c r="J5" s="24">
        <v>1</v>
      </c>
      <c r="K5" s="24" t="s">
        <v>231</v>
      </c>
      <c r="L5" s="23" t="s">
        <v>119</v>
      </c>
      <c r="M5" s="23" t="s">
        <v>140</v>
      </c>
      <c r="N5" s="23" t="s">
        <v>112</v>
      </c>
      <c r="O5" s="23" t="s">
        <v>112</v>
      </c>
      <c r="P5" s="23">
        <v>90</v>
      </c>
      <c r="Q5" s="23">
        <v>0.1</v>
      </c>
      <c r="R5" s="23">
        <v>0</v>
      </c>
      <c r="S5" s="23">
        <v>0.9</v>
      </c>
    </row>
    <row r="6" spans="1:19" ht="14.4" x14ac:dyDescent="0.3">
      <c r="A6" s="24" t="s">
        <v>255</v>
      </c>
      <c r="B6" s="24" t="s">
        <v>256</v>
      </c>
      <c r="C6" s="24">
        <v>6</v>
      </c>
      <c r="D6" s="24"/>
      <c r="E6" s="24"/>
      <c r="F6" s="24">
        <v>1</v>
      </c>
      <c r="G6" s="24"/>
      <c r="H6" s="24"/>
      <c r="I6" s="24"/>
      <c r="J6" s="24">
        <v>1</v>
      </c>
      <c r="K6" s="24" t="s">
        <v>143</v>
      </c>
      <c r="L6" s="23" t="s">
        <v>119</v>
      </c>
      <c r="M6" s="23" t="s">
        <v>136</v>
      </c>
      <c r="N6" s="23" t="s">
        <v>112</v>
      </c>
      <c r="O6" s="23" t="s">
        <v>112</v>
      </c>
      <c r="P6" s="23">
        <v>50</v>
      </c>
      <c r="Q6" s="23">
        <v>0.5</v>
      </c>
      <c r="R6" s="23">
        <v>0</v>
      </c>
      <c r="S6" s="23">
        <v>0.5</v>
      </c>
    </row>
    <row r="7" spans="1:19" ht="14.4" x14ac:dyDescent="0.3">
      <c r="A7" s="24" t="s">
        <v>285</v>
      </c>
      <c r="B7" s="24" t="s">
        <v>286</v>
      </c>
      <c r="C7" s="24" t="s">
        <v>244</v>
      </c>
      <c r="D7" s="24"/>
      <c r="E7" s="24"/>
      <c r="F7" s="24">
        <v>1</v>
      </c>
      <c r="G7" s="24"/>
      <c r="H7" s="24"/>
      <c r="I7" s="24"/>
      <c r="J7" s="24">
        <v>1</v>
      </c>
      <c r="K7" s="24" t="s">
        <v>183</v>
      </c>
      <c r="L7" s="23" t="s">
        <v>119</v>
      </c>
      <c r="M7" s="23" t="s">
        <v>137</v>
      </c>
      <c r="N7" s="23" t="s">
        <v>112</v>
      </c>
      <c r="O7" s="23" t="s">
        <v>112</v>
      </c>
      <c r="P7" s="23">
        <v>80</v>
      </c>
      <c r="Q7" s="23">
        <v>0.2</v>
      </c>
      <c r="R7" s="23">
        <v>0</v>
      </c>
      <c r="S7" s="23">
        <v>0.8</v>
      </c>
    </row>
    <row r="8" spans="1:19" ht="14.4" x14ac:dyDescent="0.3">
      <c r="A8" s="24" t="s">
        <v>283</v>
      </c>
      <c r="B8" s="24" t="s">
        <v>284</v>
      </c>
      <c r="C8" s="24">
        <v>6</v>
      </c>
      <c r="D8" s="24"/>
      <c r="E8" s="24"/>
      <c r="F8" s="24">
        <v>1</v>
      </c>
      <c r="G8" s="24">
        <v>1</v>
      </c>
      <c r="H8" s="24"/>
      <c r="I8" s="24"/>
      <c r="J8" s="24">
        <v>2</v>
      </c>
      <c r="K8" s="24" t="s">
        <v>151</v>
      </c>
      <c r="L8" s="23" t="s">
        <v>119</v>
      </c>
      <c r="M8" s="23" t="s">
        <v>136</v>
      </c>
      <c r="N8" s="23" t="s">
        <v>112</v>
      </c>
      <c r="O8" s="23" t="s">
        <v>112</v>
      </c>
      <c r="P8" s="23">
        <v>50</v>
      </c>
      <c r="Q8" s="23">
        <v>1</v>
      </c>
      <c r="R8" s="23">
        <v>0</v>
      </c>
      <c r="S8" s="23">
        <v>1</v>
      </c>
    </row>
    <row r="9" spans="1:19" ht="14.4" x14ac:dyDescent="0.3">
      <c r="A9" s="24" t="s">
        <v>269</v>
      </c>
      <c r="B9" s="24" t="s">
        <v>270</v>
      </c>
      <c r="C9" s="24" t="s">
        <v>244</v>
      </c>
      <c r="D9" s="24"/>
      <c r="E9" s="24"/>
      <c r="F9" s="24"/>
      <c r="G9" s="24">
        <v>1</v>
      </c>
      <c r="H9" s="24"/>
      <c r="I9" s="24"/>
      <c r="J9" s="24">
        <v>1</v>
      </c>
      <c r="K9" s="24" t="s">
        <v>183</v>
      </c>
      <c r="L9" s="23" t="s">
        <v>119</v>
      </c>
      <c r="M9" s="23" t="s">
        <v>144</v>
      </c>
      <c r="N9" s="23" t="s">
        <v>112</v>
      </c>
      <c r="O9" s="23" t="s">
        <v>112</v>
      </c>
      <c r="P9" s="23">
        <v>60</v>
      </c>
      <c r="Q9" s="23">
        <v>0.4</v>
      </c>
      <c r="R9" s="23">
        <v>0</v>
      </c>
      <c r="S9" s="23">
        <v>0.6</v>
      </c>
    </row>
    <row r="10" spans="1:19" ht="14.4" x14ac:dyDescent="0.3">
      <c r="A10" s="24" t="s">
        <v>257</v>
      </c>
      <c r="B10" s="24" t="s">
        <v>258</v>
      </c>
      <c r="C10" s="24" t="s">
        <v>244</v>
      </c>
      <c r="D10" s="24">
        <v>1</v>
      </c>
      <c r="E10" s="24"/>
      <c r="F10" s="24"/>
      <c r="G10" s="24"/>
      <c r="H10" s="24"/>
      <c r="I10" s="24"/>
      <c r="J10" s="24">
        <v>1</v>
      </c>
      <c r="K10" s="24" t="s">
        <v>160</v>
      </c>
      <c r="L10" s="23" t="s">
        <v>119</v>
      </c>
      <c r="M10" s="23" t="s">
        <v>140</v>
      </c>
      <c r="N10" s="23" t="s">
        <v>112</v>
      </c>
      <c r="O10" s="23" t="s">
        <v>112</v>
      </c>
      <c r="P10" s="23">
        <v>90</v>
      </c>
      <c r="Q10" s="23">
        <v>0.1</v>
      </c>
      <c r="R10" s="23">
        <v>0</v>
      </c>
      <c r="S10" s="23">
        <v>0.9</v>
      </c>
    </row>
    <row r="11" spans="1:19" ht="14.4" x14ac:dyDescent="0.3">
      <c r="A11" s="24" t="s">
        <v>287</v>
      </c>
      <c r="B11" s="24" t="s">
        <v>288</v>
      </c>
      <c r="C11" s="24" t="s">
        <v>244</v>
      </c>
      <c r="D11" s="24"/>
      <c r="E11" s="24"/>
      <c r="F11" s="24">
        <v>2</v>
      </c>
      <c r="G11" s="24"/>
      <c r="H11" s="24"/>
      <c r="I11" s="24"/>
      <c r="J11" s="24">
        <v>2</v>
      </c>
      <c r="K11" s="24" t="s">
        <v>183</v>
      </c>
      <c r="L11" s="23" t="s">
        <v>119</v>
      </c>
      <c r="M11" s="23" t="s">
        <v>137</v>
      </c>
      <c r="N11" s="23" t="s">
        <v>112</v>
      </c>
      <c r="O11" s="23" t="s">
        <v>112</v>
      </c>
      <c r="P11" s="23">
        <v>80</v>
      </c>
      <c r="Q11" s="23">
        <v>0.4</v>
      </c>
      <c r="R11" s="23">
        <v>0</v>
      </c>
      <c r="S11" s="23">
        <v>1.6</v>
      </c>
    </row>
    <row r="12" spans="1:19" ht="14.4" x14ac:dyDescent="0.3">
      <c r="A12" s="24" t="s">
        <v>253</v>
      </c>
      <c r="B12" s="24" t="s">
        <v>254</v>
      </c>
      <c r="C12" s="24" t="s">
        <v>244</v>
      </c>
      <c r="D12" s="24"/>
      <c r="E12" s="24"/>
      <c r="F12" s="24"/>
      <c r="G12" s="24"/>
      <c r="H12" s="24"/>
      <c r="I12" s="24">
        <v>1</v>
      </c>
      <c r="J12" s="24">
        <v>1</v>
      </c>
      <c r="K12" s="24" t="s">
        <v>183</v>
      </c>
      <c r="L12" s="23" t="s">
        <v>119</v>
      </c>
      <c r="M12" s="23" t="s">
        <v>136</v>
      </c>
      <c r="N12" s="23" t="s">
        <v>112</v>
      </c>
      <c r="O12" s="23" t="s">
        <v>112</v>
      </c>
      <c r="P12" s="23">
        <v>50</v>
      </c>
      <c r="Q12" s="23">
        <v>0.5</v>
      </c>
      <c r="R12" s="23">
        <v>0</v>
      </c>
      <c r="S12" s="23">
        <v>0.5</v>
      </c>
    </row>
    <row r="13" spans="1:19" ht="14.4" x14ac:dyDescent="0.3">
      <c r="A13" s="24" t="s">
        <v>297</v>
      </c>
      <c r="B13" s="24" t="s">
        <v>298</v>
      </c>
      <c r="C13" s="24" t="s">
        <v>244</v>
      </c>
      <c r="D13" s="24">
        <v>1</v>
      </c>
      <c r="E13" s="24"/>
      <c r="F13" s="24"/>
      <c r="G13" s="24"/>
      <c r="H13" s="24"/>
      <c r="I13" s="24"/>
      <c r="J13" s="24">
        <v>1</v>
      </c>
      <c r="K13" s="24" t="s">
        <v>183</v>
      </c>
      <c r="L13" s="23" t="s">
        <v>119</v>
      </c>
      <c r="M13" s="23" t="s">
        <v>137</v>
      </c>
      <c r="N13" s="23" t="s">
        <v>112</v>
      </c>
      <c r="O13" s="23" t="s">
        <v>112</v>
      </c>
      <c r="P13" s="23">
        <v>80</v>
      </c>
      <c r="Q13" s="23">
        <v>0.2</v>
      </c>
      <c r="R13" s="23">
        <v>0</v>
      </c>
      <c r="S13" s="23">
        <v>0.8</v>
      </c>
    </row>
    <row r="14" spans="1:19" ht="14.4" x14ac:dyDescent="0.3">
      <c r="A14" s="24" t="s">
        <v>277</v>
      </c>
      <c r="B14" s="24" t="s">
        <v>278</v>
      </c>
      <c r="C14" s="24" t="s">
        <v>244</v>
      </c>
      <c r="D14" s="24"/>
      <c r="E14" s="24"/>
      <c r="F14" s="24"/>
      <c r="G14" s="24">
        <v>3</v>
      </c>
      <c r="H14" s="24"/>
      <c r="I14" s="24"/>
      <c r="J14" s="24">
        <v>3</v>
      </c>
      <c r="K14" s="24" t="s">
        <v>183</v>
      </c>
      <c r="L14" s="23" t="s">
        <v>119</v>
      </c>
      <c r="M14" s="23" t="s">
        <v>137</v>
      </c>
      <c r="N14" s="23" t="s">
        <v>112</v>
      </c>
      <c r="O14" s="23" t="s">
        <v>112</v>
      </c>
      <c r="P14" s="23">
        <v>80</v>
      </c>
      <c r="Q14" s="23">
        <v>0.6</v>
      </c>
      <c r="R14" s="23">
        <v>0</v>
      </c>
      <c r="S14" s="23">
        <v>2.4</v>
      </c>
    </row>
    <row r="15" spans="1:19" ht="14.4" x14ac:dyDescent="0.3">
      <c r="A15" s="24" t="s">
        <v>295</v>
      </c>
      <c r="B15" s="24" t="s">
        <v>296</v>
      </c>
      <c r="C15" s="24" t="s">
        <v>244</v>
      </c>
      <c r="D15" s="24">
        <v>1</v>
      </c>
      <c r="E15" s="24"/>
      <c r="F15" s="24"/>
      <c r="G15" s="24"/>
      <c r="H15" s="24"/>
      <c r="I15" s="24"/>
      <c r="J15" s="24">
        <v>1</v>
      </c>
      <c r="K15" s="24" t="s">
        <v>183</v>
      </c>
      <c r="L15" s="23" t="s">
        <v>119</v>
      </c>
      <c r="M15" s="23" t="s">
        <v>137</v>
      </c>
      <c r="N15" s="23" t="s">
        <v>112</v>
      </c>
      <c r="O15" s="23" t="s">
        <v>112</v>
      </c>
      <c r="P15" s="23">
        <v>80</v>
      </c>
      <c r="Q15" s="23">
        <v>0.2</v>
      </c>
      <c r="R15" s="23">
        <v>0</v>
      </c>
      <c r="S15" s="23">
        <v>0.8</v>
      </c>
    </row>
    <row r="16" spans="1:19" ht="14.4" x14ac:dyDescent="0.3">
      <c r="A16" s="24" t="s">
        <v>259</v>
      </c>
      <c r="B16" s="24" t="s">
        <v>260</v>
      </c>
      <c r="C16" s="24">
        <v>6</v>
      </c>
      <c r="D16" s="24"/>
      <c r="E16" s="24"/>
      <c r="F16" s="24">
        <v>2</v>
      </c>
      <c r="G16" s="24"/>
      <c r="H16" s="24"/>
      <c r="I16" s="24"/>
      <c r="J16" s="24">
        <v>2</v>
      </c>
      <c r="K16" s="24" t="s">
        <v>183</v>
      </c>
      <c r="L16" s="23" t="s">
        <v>119</v>
      </c>
      <c r="M16" s="23" t="s">
        <v>136</v>
      </c>
      <c r="N16" s="23" t="s">
        <v>112</v>
      </c>
      <c r="O16" s="23" t="s">
        <v>112</v>
      </c>
      <c r="P16" s="23">
        <v>50</v>
      </c>
      <c r="Q16" s="23">
        <v>1</v>
      </c>
      <c r="R16" s="23">
        <v>0</v>
      </c>
      <c r="S16" s="23">
        <v>1</v>
      </c>
    </row>
    <row r="17" spans="1:19" ht="14.4" x14ac:dyDescent="0.3">
      <c r="A17" s="24" t="s">
        <v>289</v>
      </c>
      <c r="B17" s="24" t="s">
        <v>290</v>
      </c>
      <c r="C17" s="24" t="s">
        <v>244</v>
      </c>
      <c r="D17" s="24"/>
      <c r="E17" s="24"/>
      <c r="F17" s="24"/>
      <c r="G17" s="24"/>
      <c r="H17" s="24">
        <v>1</v>
      </c>
      <c r="I17" s="24"/>
      <c r="J17" s="24">
        <v>1</v>
      </c>
      <c r="K17" s="24" t="s">
        <v>183</v>
      </c>
      <c r="L17" s="23" t="s">
        <v>119</v>
      </c>
      <c r="M17" s="23" t="s">
        <v>136</v>
      </c>
      <c r="N17" s="23" t="s">
        <v>112</v>
      </c>
      <c r="O17" s="23" t="s">
        <v>112</v>
      </c>
      <c r="P17" s="23">
        <v>50</v>
      </c>
      <c r="Q17" s="23">
        <v>0.5</v>
      </c>
      <c r="R17" s="23">
        <v>0</v>
      </c>
      <c r="S17" s="23">
        <v>0.5</v>
      </c>
    </row>
    <row r="18" spans="1:19" ht="14.4" x14ac:dyDescent="0.3">
      <c r="A18" s="24" t="s">
        <v>275</v>
      </c>
      <c r="B18" s="24" t="s">
        <v>276</v>
      </c>
      <c r="C18" s="24" t="s">
        <v>244</v>
      </c>
      <c r="D18" s="24"/>
      <c r="E18" s="24">
        <v>1</v>
      </c>
      <c r="F18" s="24"/>
      <c r="G18" s="24"/>
      <c r="H18" s="24"/>
      <c r="I18" s="24"/>
      <c r="J18" s="24">
        <v>1</v>
      </c>
      <c r="K18" s="24" t="s">
        <v>183</v>
      </c>
      <c r="L18" s="23" t="s">
        <v>119</v>
      </c>
      <c r="M18" s="23" t="s">
        <v>137</v>
      </c>
      <c r="N18" s="23" t="s">
        <v>112</v>
      </c>
      <c r="O18" s="23" t="s">
        <v>112</v>
      </c>
      <c r="P18" s="23">
        <v>80</v>
      </c>
      <c r="Q18" s="23">
        <v>0.2</v>
      </c>
      <c r="R18" s="23">
        <v>0</v>
      </c>
      <c r="S18" s="23">
        <v>0.8</v>
      </c>
    </row>
    <row r="19" spans="1:19" ht="14.4" x14ac:dyDescent="0.3">
      <c r="A19" s="24" t="s">
        <v>265</v>
      </c>
      <c r="B19" s="24" t="s">
        <v>266</v>
      </c>
      <c r="C19" s="24" t="s">
        <v>244</v>
      </c>
      <c r="D19" s="24"/>
      <c r="E19" s="24">
        <v>1</v>
      </c>
      <c r="F19" s="24">
        <v>1</v>
      </c>
      <c r="G19" s="24"/>
      <c r="H19" s="24"/>
      <c r="I19" s="24"/>
      <c r="J19" s="24">
        <v>2</v>
      </c>
      <c r="K19" s="24" t="s">
        <v>183</v>
      </c>
      <c r="L19" s="23" t="s">
        <v>119</v>
      </c>
      <c r="M19" s="23" t="s">
        <v>144</v>
      </c>
      <c r="N19" s="23" t="s">
        <v>112</v>
      </c>
      <c r="O19" s="23" t="s">
        <v>112</v>
      </c>
      <c r="P19" s="23">
        <v>60</v>
      </c>
      <c r="Q19" s="23">
        <v>0.8</v>
      </c>
      <c r="R19" s="23">
        <v>0</v>
      </c>
      <c r="S19" s="23">
        <v>1.2</v>
      </c>
    </row>
    <row r="20" spans="1:19" ht="14.4" x14ac:dyDescent="0.3">
      <c r="A20" s="24" t="s">
        <v>245</v>
      </c>
      <c r="B20" s="24" t="s">
        <v>246</v>
      </c>
      <c r="C20" s="24">
        <v>6</v>
      </c>
      <c r="D20" s="24"/>
      <c r="E20" s="24">
        <v>1</v>
      </c>
      <c r="F20" s="24"/>
      <c r="G20" s="24"/>
      <c r="H20" s="24"/>
      <c r="I20" s="24"/>
      <c r="J20" s="24">
        <v>1</v>
      </c>
      <c r="K20" s="24" t="s">
        <v>160</v>
      </c>
      <c r="L20" s="23" t="s">
        <v>119</v>
      </c>
      <c r="M20" s="23" t="s">
        <v>136</v>
      </c>
      <c r="N20" s="23" t="s">
        <v>112</v>
      </c>
      <c r="O20" s="23" t="s">
        <v>112</v>
      </c>
      <c r="P20" s="23">
        <v>50</v>
      </c>
      <c r="Q20" s="23">
        <v>0.5</v>
      </c>
      <c r="R20" s="23">
        <v>0</v>
      </c>
      <c r="S20" s="23">
        <v>0.5</v>
      </c>
    </row>
    <row r="21" spans="1:19" ht="14.4" x14ac:dyDescent="0.3">
      <c r="A21" s="24" t="s">
        <v>247</v>
      </c>
      <c r="B21" s="24" t="s">
        <v>248</v>
      </c>
      <c r="C21" s="24" t="s">
        <v>244</v>
      </c>
      <c r="D21" s="24">
        <v>1</v>
      </c>
      <c r="E21" s="24"/>
      <c r="F21" s="24"/>
      <c r="G21" s="24"/>
      <c r="H21" s="24"/>
      <c r="I21" s="24"/>
      <c r="J21" s="24">
        <v>1</v>
      </c>
      <c r="K21" s="24" t="s">
        <v>183</v>
      </c>
      <c r="L21" s="23" t="s">
        <v>119</v>
      </c>
      <c r="M21" s="23" t="s">
        <v>145</v>
      </c>
      <c r="N21" s="23" t="s">
        <v>112</v>
      </c>
      <c r="O21" s="23" t="s">
        <v>112</v>
      </c>
      <c r="P21" s="23">
        <v>70</v>
      </c>
      <c r="Q21" s="23">
        <v>0.3</v>
      </c>
      <c r="R21" s="23">
        <v>0</v>
      </c>
      <c r="S21" s="23">
        <v>0.7</v>
      </c>
    </row>
    <row r="22" spans="1:19" ht="14.4" x14ac:dyDescent="0.3">
      <c r="A22" s="24" t="s">
        <v>267</v>
      </c>
      <c r="B22" s="24" t="s">
        <v>268</v>
      </c>
      <c r="C22" s="24" t="s">
        <v>244</v>
      </c>
      <c r="D22" s="24"/>
      <c r="E22" s="24"/>
      <c r="F22" s="24">
        <v>3</v>
      </c>
      <c r="G22" s="24"/>
      <c r="H22" s="24"/>
      <c r="I22" s="24"/>
      <c r="J22" s="24">
        <v>3</v>
      </c>
      <c r="K22" s="24" t="s">
        <v>143</v>
      </c>
      <c r="L22" s="23" t="s">
        <v>119</v>
      </c>
      <c r="M22" s="23" t="s">
        <v>136</v>
      </c>
      <c r="N22" s="23" t="s">
        <v>112</v>
      </c>
      <c r="O22" s="23" t="s">
        <v>112</v>
      </c>
      <c r="P22" s="23">
        <v>50</v>
      </c>
      <c r="Q22" s="23">
        <v>1.5</v>
      </c>
      <c r="R22" s="23">
        <v>0</v>
      </c>
      <c r="S22" s="23">
        <v>1.5</v>
      </c>
    </row>
    <row r="23" spans="1:19" ht="14.4" x14ac:dyDescent="0.3">
      <c r="A23" s="24" t="s">
        <v>281</v>
      </c>
      <c r="B23" s="24" t="s">
        <v>282</v>
      </c>
      <c r="C23" s="24" t="s">
        <v>244</v>
      </c>
      <c r="D23" s="24">
        <v>1</v>
      </c>
      <c r="E23" s="24"/>
      <c r="F23" s="24"/>
      <c r="G23" s="24"/>
      <c r="H23" s="24"/>
      <c r="I23" s="24"/>
      <c r="J23" s="24">
        <v>1</v>
      </c>
      <c r="K23" s="24" t="s">
        <v>151</v>
      </c>
      <c r="L23" s="23" t="s">
        <v>119</v>
      </c>
      <c r="M23" s="23" t="s">
        <v>137</v>
      </c>
      <c r="N23" s="23" t="s">
        <v>112</v>
      </c>
      <c r="O23" s="23" t="s">
        <v>112</v>
      </c>
      <c r="P23" s="23">
        <v>80</v>
      </c>
      <c r="Q23" s="23">
        <v>0.2</v>
      </c>
      <c r="R23" s="23">
        <v>0</v>
      </c>
      <c r="S23" s="23">
        <v>0.8</v>
      </c>
    </row>
    <row r="24" spans="1:19" ht="14.4" x14ac:dyDescent="0.3">
      <c r="A24" s="24" t="s">
        <v>301</v>
      </c>
      <c r="B24" s="24" t="s">
        <v>302</v>
      </c>
      <c r="C24" s="24" t="s">
        <v>244</v>
      </c>
      <c r="D24" s="24"/>
      <c r="E24" s="24"/>
      <c r="F24" s="24">
        <v>2</v>
      </c>
      <c r="G24" s="24"/>
      <c r="H24" s="24"/>
      <c r="I24" s="24"/>
      <c r="J24" s="24">
        <v>2</v>
      </c>
      <c r="K24" s="24" t="s">
        <v>143</v>
      </c>
      <c r="L24" s="23" t="s">
        <v>119</v>
      </c>
      <c r="M24" s="23" t="s">
        <v>137</v>
      </c>
      <c r="N24" s="23" t="s">
        <v>112</v>
      </c>
      <c r="O24" s="23" t="s">
        <v>112</v>
      </c>
      <c r="P24" s="23">
        <v>80</v>
      </c>
      <c r="Q24" s="23">
        <v>0.4</v>
      </c>
      <c r="R24" s="23">
        <v>0</v>
      </c>
      <c r="S24" s="23">
        <v>1.6</v>
      </c>
    </row>
    <row r="25" spans="1:19" ht="14.4" x14ac:dyDescent="0.3">
      <c r="A25" s="24" t="s">
        <v>271</v>
      </c>
      <c r="B25" s="24" t="s">
        <v>272</v>
      </c>
      <c r="C25" s="24" t="s">
        <v>244</v>
      </c>
      <c r="D25" s="24">
        <v>1</v>
      </c>
      <c r="E25" s="24"/>
      <c r="F25" s="24">
        <v>1</v>
      </c>
      <c r="G25" s="24"/>
      <c r="H25" s="24"/>
      <c r="I25" s="24"/>
      <c r="J25" s="24">
        <v>2</v>
      </c>
      <c r="K25" s="24" t="s">
        <v>183</v>
      </c>
      <c r="L25" s="23" t="s">
        <v>119</v>
      </c>
      <c r="M25" s="23" t="s">
        <v>136</v>
      </c>
      <c r="N25" s="23" t="s">
        <v>112</v>
      </c>
      <c r="O25" s="23" t="s">
        <v>112</v>
      </c>
      <c r="P25" s="23">
        <v>50</v>
      </c>
      <c r="Q25" s="23">
        <v>1</v>
      </c>
      <c r="R25" s="23">
        <v>0</v>
      </c>
      <c r="S25" s="23">
        <v>1</v>
      </c>
    </row>
    <row r="26" spans="1:19" ht="14.4" x14ac:dyDescent="0.3">
      <c r="A26" s="24" t="s">
        <v>261</v>
      </c>
      <c r="B26" s="24" t="s">
        <v>262</v>
      </c>
      <c r="C26" s="24" t="s">
        <v>244</v>
      </c>
      <c r="D26" s="24">
        <v>1</v>
      </c>
      <c r="E26" s="24"/>
      <c r="F26" s="24"/>
      <c r="G26" s="24"/>
      <c r="H26" s="24"/>
      <c r="I26" s="24"/>
      <c r="J26" s="24">
        <v>1</v>
      </c>
      <c r="K26" s="24" t="s">
        <v>160</v>
      </c>
      <c r="L26" s="23" t="s">
        <v>119</v>
      </c>
      <c r="M26" s="23" t="s">
        <v>136</v>
      </c>
      <c r="N26" s="23" t="s">
        <v>112</v>
      </c>
      <c r="O26" s="23" t="s">
        <v>112</v>
      </c>
      <c r="P26" s="23">
        <v>50</v>
      </c>
      <c r="Q26" s="23">
        <v>0.5</v>
      </c>
      <c r="R26" s="23">
        <v>0</v>
      </c>
      <c r="S26" s="23">
        <v>0.5</v>
      </c>
    </row>
    <row r="27" spans="1:19" ht="14.4" x14ac:dyDescent="0.3">
      <c r="A27" s="24" t="s">
        <v>599</v>
      </c>
      <c r="B27" s="24" t="s">
        <v>600</v>
      </c>
      <c r="C27" s="24" t="s">
        <v>244</v>
      </c>
      <c r="D27" s="24"/>
      <c r="E27" s="24"/>
      <c r="F27" s="24"/>
      <c r="G27" s="24"/>
      <c r="H27" s="24"/>
      <c r="I27" s="24">
        <v>1</v>
      </c>
      <c r="J27" s="24">
        <v>1</v>
      </c>
      <c r="K27" s="24" t="s">
        <v>160</v>
      </c>
      <c r="L27" s="23" t="s">
        <v>119</v>
      </c>
      <c r="M27" s="23" t="s">
        <v>140</v>
      </c>
      <c r="N27" s="23" t="s">
        <v>112</v>
      </c>
      <c r="O27" s="23" t="s">
        <v>112</v>
      </c>
      <c r="P27" s="23">
        <v>90</v>
      </c>
      <c r="Q27" s="23">
        <v>0.1</v>
      </c>
      <c r="R27" s="23">
        <v>0</v>
      </c>
      <c r="S27" s="23">
        <v>0.9</v>
      </c>
    </row>
    <row r="28" spans="1:19" ht="14.4" x14ac:dyDescent="0.3">
      <c r="A28" s="24" t="s">
        <v>263</v>
      </c>
      <c r="B28" s="24" t="s">
        <v>264</v>
      </c>
      <c r="C28" s="24" t="s">
        <v>244</v>
      </c>
      <c r="D28" s="24"/>
      <c r="E28" s="24"/>
      <c r="F28" s="24"/>
      <c r="G28" s="24"/>
      <c r="H28" s="24"/>
      <c r="I28" s="24">
        <v>1</v>
      </c>
      <c r="J28" s="24">
        <v>1</v>
      </c>
      <c r="K28" s="24" t="s">
        <v>160</v>
      </c>
      <c r="L28" s="23" t="s">
        <v>119</v>
      </c>
      <c r="M28" s="23" t="s">
        <v>136</v>
      </c>
      <c r="N28" s="23" t="s">
        <v>112</v>
      </c>
      <c r="O28" s="23" t="s">
        <v>112</v>
      </c>
      <c r="P28" s="23">
        <v>50</v>
      </c>
      <c r="Q28" s="23">
        <v>0.5</v>
      </c>
      <c r="R28" s="23">
        <v>0</v>
      </c>
      <c r="S28" s="23">
        <v>0.5</v>
      </c>
    </row>
    <row r="29" spans="1:19" ht="14.4" x14ac:dyDescent="0.3">
      <c r="A29" s="24" t="s">
        <v>594</v>
      </c>
      <c r="B29" s="24" t="s">
        <v>595</v>
      </c>
      <c r="C29" s="24" t="s">
        <v>596</v>
      </c>
      <c r="D29" s="24">
        <v>2</v>
      </c>
      <c r="E29" s="24"/>
      <c r="F29" s="24"/>
      <c r="G29" s="24"/>
      <c r="H29" s="24"/>
      <c r="I29" s="24"/>
      <c r="J29" s="24">
        <v>2</v>
      </c>
      <c r="K29" s="24" t="s">
        <v>119</v>
      </c>
      <c r="L29" s="23" t="s">
        <v>119</v>
      </c>
      <c r="M29" s="23" t="s">
        <v>148</v>
      </c>
      <c r="N29" s="23" t="s">
        <v>112</v>
      </c>
      <c r="O29" s="23" t="s">
        <v>112</v>
      </c>
      <c r="P29" s="23">
        <v>0</v>
      </c>
      <c r="Q29" s="23">
        <v>2</v>
      </c>
      <c r="R29" s="23">
        <v>0</v>
      </c>
      <c r="S29" s="23">
        <v>0</v>
      </c>
    </row>
    <row r="30" spans="1:19" ht="14.4" x14ac:dyDescent="0.3">
      <c r="A30" s="24" t="s">
        <v>293</v>
      </c>
      <c r="B30" s="24" t="s">
        <v>294</v>
      </c>
      <c r="C30" s="24" t="s">
        <v>244</v>
      </c>
      <c r="D30" s="24"/>
      <c r="E30" s="24">
        <v>1</v>
      </c>
      <c r="F30" s="24"/>
      <c r="G30" s="24"/>
      <c r="H30" s="24"/>
      <c r="I30" s="24"/>
      <c r="J30" s="24">
        <v>1</v>
      </c>
      <c r="K30" s="24" t="s">
        <v>151</v>
      </c>
      <c r="L30" s="23" t="s">
        <v>119</v>
      </c>
      <c r="M30" s="23" t="s">
        <v>136</v>
      </c>
      <c r="N30" s="23" t="s">
        <v>112</v>
      </c>
      <c r="O30" s="23" t="s">
        <v>112</v>
      </c>
      <c r="P30" s="23">
        <v>50</v>
      </c>
      <c r="Q30" s="23">
        <v>0.5</v>
      </c>
      <c r="R30" s="23">
        <v>0</v>
      </c>
      <c r="S30" s="23">
        <v>0.5</v>
      </c>
    </row>
    <row r="31" spans="1:19" ht="14.4" x14ac:dyDescent="0.3">
      <c r="A31" s="24" t="s">
        <v>273</v>
      </c>
      <c r="B31" s="24" t="s">
        <v>274</v>
      </c>
      <c r="C31" s="24" t="s">
        <v>244</v>
      </c>
      <c r="D31" s="24"/>
      <c r="E31" s="24"/>
      <c r="F31" s="24">
        <v>1</v>
      </c>
      <c r="G31" s="24"/>
      <c r="H31" s="24"/>
      <c r="I31" s="24">
        <v>1</v>
      </c>
      <c r="J31" s="24">
        <v>2</v>
      </c>
      <c r="K31" s="24" t="s">
        <v>183</v>
      </c>
      <c r="L31" s="23" t="s">
        <v>119</v>
      </c>
      <c r="M31" s="23" t="s">
        <v>136</v>
      </c>
      <c r="N31" s="23" t="s">
        <v>112</v>
      </c>
      <c r="O31" s="23" t="s">
        <v>112</v>
      </c>
      <c r="P31" s="23">
        <v>50</v>
      </c>
      <c r="Q31" s="23">
        <v>1</v>
      </c>
      <c r="R31" s="23">
        <v>0</v>
      </c>
      <c r="S31" s="23">
        <v>1</v>
      </c>
    </row>
    <row r="32" spans="1:19" ht="14.4" x14ac:dyDescent="0.3">
      <c r="A32" s="24" t="s">
        <v>249</v>
      </c>
      <c r="B32" s="24" t="s">
        <v>250</v>
      </c>
      <c r="C32" s="24" t="s">
        <v>244</v>
      </c>
      <c r="D32" s="24"/>
      <c r="E32" s="24"/>
      <c r="F32" s="24">
        <v>3</v>
      </c>
      <c r="G32" s="24"/>
      <c r="H32" s="24"/>
      <c r="I32" s="24"/>
      <c r="J32" s="24">
        <v>3</v>
      </c>
      <c r="K32" s="24" t="s">
        <v>183</v>
      </c>
      <c r="L32" s="23" t="s">
        <v>119</v>
      </c>
      <c r="M32" s="23" t="s">
        <v>136</v>
      </c>
      <c r="N32" s="23" t="s">
        <v>112</v>
      </c>
      <c r="O32" s="23" t="s">
        <v>112</v>
      </c>
      <c r="P32" s="23">
        <v>50</v>
      </c>
      <c r="Q32" s="23">
        <v>1.5</v>
      </c>
      <c r="R32" s="23">
        <v>0</v>
      </c>
      <c r="S32" s="23">
        <v>1.5</v>
      </c>
    </row>
    <row r="33" spans="1:19" ht="14.4" x14ac:dyDescent="0.3">
      <c r="A33" s="24" t="s">
        <v>601</v>
      </c>
      <c r="B33" s="24" t="s">
        <v>602</v>
      </c>
      <c r="C33" s="24" t="s">
        <v>596</v>
      </c>
      <c r="D33" s="24"/>
      <c r="E33" s="24"/>
      <c r="F33" s="24"/>
      <c r="G33" s="24"/>
      <c r="H33" s="24"/>
      <c r="I33" s="24">
        <v>2</v>
      </c>
      <c r="J33" s="24">
        <v>2</v>
      </c>
      <c r="K33" s="24" t="s">
        <v>160</v>
      </c>
      <c r="L33" s="23" t="s">
        <v>119</v>
      </c>
      <c r="M33" s="23" t="s">
        <v>140</v>
      </c>
      <c r="N33" s="23" t="s">
        <v>112</v>
      </c>
      <c r="O33" s="23" t="s">
        <v>112</v>
      </c>
      <c r="P33" s="23">
        <v>90</v>
      </c>
      <c r="Q33" s="23">
        <v>0.2</v>
      </c>
      <c r="R33" s="23">
        <v>0</v>
      </c>
      <c r="S33" s="23">
        <v>1.8</v>
      </c>
    </row>
    <row r="34" spans="1:19" ht="14.4" x14ac:dyDescent="0.3">
      <c r="A34" s="24" t="s">
        <v>603</v>
      </c>
      <c r="B34" s="24" t="s">
        <v>604</v>
      </c>
      <c r="C34" s="24" t="s">
        <v>596</v>
      </c>
      <c r="D34" s="24"/>
      <c r="E34" s="24"/>
      <c r="F34" s="24"/>
      <c r="G34" s="24">
        <v>1</v>
      </c>
      <c r="H34" s="24">
        <v>1</v>
      </c>
      <c r="I34" s="24"/>
      <c r="J34" s="24">
        <v>2</v>
      </c>
      <c r="K34" s="24" t="s">
        <v>183</v>
      </c>
      <c r="L34" s="23" t="s">
        <v>119</v>
      </c>
      <c r="M34" s="23" t="s">
        <v>136</v>
      </c>
      <c r="N34" s="23" t="s">
        <v>112</v>
      </c>
      <c r="O34" s="23" t="s">
        <v>112</v>
      </c>
      <c r="P34" s="23">
        <v>50</v>
      </c>
      <c r="Q34" s="23">
        <v>1</v>
      </c>
      <c r="R34" s="23">
        <v>0</v>
      </c>
      <c r="S34" s="23">
        <v>1</v>
      </c>
    </row>
    <row r="35" spans="1:19" ht="14.4" x14ac:dyDescent="0.3">
      <c r="A35" s="24" t="s">
        <v>395</v>
      </c>
      <c r="B35" s="24" t="s">
        <v>396</v>
      </c>
      <c r="C35" s="70" t="s">
        <v>244</v>
      </c>
      <c r="D35" s="24"/>
      <c r="E35" s="24"/>
      <c r="F35" s="24"/>
      <c r="G35" s="24">
        <v>2</v>
      </c>
      <c r="H35" s="24"/>
      <c r="I35" s="24"/>
      <c r="J35" s="24">
        <v>2</v>
      </c>
      <c r="K35" s="24" t="s">
        <v>183</v>
      </c>
      <c r="L35" s="23" t="s">
        <v>119</v>
      </c>
      <c r="M35" s="23" t="s">
        <v>137</v>
      </c>
      <c r="N35" s="23" t="s">
        <v>112</v>
      </c>
      <c r="O35" s="23" t="s">
        <v>112</v>
      </c>
      <c r="P35" s="23">
        <v>80</v>
      </c>
      <c r="Q35" s="23">
        <v>0.4</v>
      </c>
      <c r="R35" s="23">
        <v>0</v>
      </c>
      <c r="S35" s="23">
        <v>1.6</v>
      </c>
    </row>
    <row r="36" spans="1:19" ht="14.4" x14ac:dyDescent="0.3">
      <c r="A36" s="24" t="s">
        <v>279</v>
      </c>
      <c r="B36" s="24" t="s">
        <v>280</v>
      </c>
      <c r="C36" s="70">
        <v>6</v>
      </c>
      <c r="D36" s="24"/>
      <c r="E36" s="24"/>
      <c r="F36" s="24"/>
      <c r="G36" s="24"/>
      <c r="H36" s="24"/>
      <c r="I36" s="24"/>
      <c r="J36" s="24">
        <v>1</v>
      </c>
      <c r="K36" s="24" t="s">
        <v>183</v>
      </c>
      <c r="L36" s="23" t="s">
        <v>119</v>
      </c>
      <c r="M36" s="23" t="s">
        <v>137</v>
      </c>
      <c r="N36" s="23" t="s">
        <v>112</v>
      </c>
      <c r="O36" s="23" t="s">
        <v>112</v>
      </c>
      <c r="P36" s="23">
        <v>80</v>
      </c>
      <c r="Q36" s="23">
        <v>0.2</v>
      </c>
      <c r="R36" s="23">
        <v>0</v>
      </c>
      <c r="S36" s="23">
        <v>0.8</v>
      </c>
    </row>
    <row r="37" spans="1:19" ht="14.4" x14ac:dyDescent="0.3">
      <c r="A37" s="24" t="s">
        <v>291</v>
      </c>
      <c r="B37" s="24" t="s">
        <v>292</v>
      </c>
      <c r="C37" s="70">
        <v>6</v>
      </c>
      <c r="D37" s="24"/>
      <c r="E37" s="24"/>
      <c r="F37" s="24"/>
      <c r="G37" s="24"/>
      <c r="H37" s="24"/>
      <c r="I37" s="24"/>
      <c r="J37" s="24">
        <v>1</v>
      </c>
      <c r="K37" s="24" t="s">
        <v>151</v>
      </c>
      <c r="L37" s="23" t="s">
        <v>119</v>
      </c>
      <c r="M37" s="23" t="s">
        <v>136</v>
      </c>
      <c r="N37" s="23" t="s">
        <v>112</v>
      </c>
      <c r="O37" s="23" t="s">
        <v>112</v>
      </c>
      <c r="P37" s="23">
        <v>50</v>
      </c>
      <c r="Q37" s="23">
        <v>0.5</v>
      </c>
      <c r="R37" s="23">
        <v>0</v>
      </c>
      <c r="S37" s="23">
        <v>0.5</v>
      </c>
    </row>
    <row r="38" spans="1:19" x14ac:dyDescent="0.25">
      <c r="R38" s="74">
        <f>SUM(Q2:Q37)</f>
        <v>20.299999999999997</v>
      </c>
    </row>
  </sheetData>
  <sortState xmlns:xlrd2="http://schemas.microsoft.com/office/spreadsheetml/2017/richdata2" ref="A2:S32">
    <sortCondition ref="B2:B32"/>
  </sortState>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2"/>
  <sheetViews>
    <sheetView topLeftCell="A59" zoomScaleNormal="100" workbookViewId="0">
      <selection activeCell="B92" sqref="B92"/>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6</v>
      </c>
      <c r="B2" s="5"/>
    </row>
    <row r="3" spans="1:2" x14ac:dyDescent="0.2">
      <c r="A3" s="4" t="s">
        <v>7</v>
      </c>
      <c r="B3" s="5">
        <v>6000</v>
      </c>
    </row>
    <row r="4" spans="1:2" x14ac:dyDescent="0.2">
      <c r="A4" s="4" t="s">
        <v>8</v>
      </c>
      <c r="B4" s="5"/>
    </row>
    <row r="5" spans="1:2" x14ac:dyDescent="0.2">
      <c r="A5" s="4" t="s">
        <v>9</v>
      </c>
      <c r="B5" s="5">
        <v>7287.28</v>
      </c>
    </row>
    <row r="6" spans="1:2" x14ac:dyDescent="0.2">
      <c r="A6" s="4" t="s">
        <v>10</v>
      </c>
      <c r="B6" s="5"/>
    </row>
    <row r="7" spans="1:2" x14ac:dyDescent="0.2">
      <c r="A7" s="4" t="s">
        <v>11</v>
      </c>
      <c r="B7" s="5">
        <v>32000</v>
      </c>
    </row>
    <row r="8" spans="1:2" x14ac:dyDescent="0.2">
      <c r="A8" s="4" t="s">
        <v>12</v>
      </c>
      <c r="B8" s="5">
        <v>24000</v>
      </c>
    </row>
    <row r="9" spans="1:2" x14ac:dyDescent="0.2">
      <c r="A9" s="4" t="s">
        <v>13</v>
      </c>
      <c r="B9" s="5"/>
    </row>
    <row r="10" spans="1:2" x14ac:dyDescent="0.2">
      <c r="A10" s="4" t="s">
        <v>14</v>
      </c>
      <c r="B10" s="5">
        <v>4000</v>
      </c>
    </row>
    <row r="11" spans="1:2" x14ac:dyDescent="0.2">
      <c r="A11" s="4" t="s">
        <v>15</v>
      </c>
      <c r="B11" s="5">
        <v>4000</v>
      </c>
    </row>
    <row r="12" spans="1:2" x14ac:dyDescent="0.2">
      <c r="A12" s="4" t="s">
        <v>16</v>
      </c>
      <c r="B12" s="5">
        <v>4000</v>
      </c>
    </row>
    <row r="13" spans="1:2" x14ac:dyDescent="0.2">
      <c r="A13" s="4" t="s">
        <v>17</v>
      </c>
      <c r="B13" s="5"/>
    </row>
    <row r="14" spans="1:2" x14ac:dyDescent="0.2">
      <c r="A14" s="4" t="s">
        <v>18</v>
      </c>
      <c r="B14" s="5">
        <v>1500</v>
      </c>
    </row>
    <row r="15" spans="1:2" x14ac:dyDescent="0.2">
      <c r="A15" s="4" t="s">
        <v>19</v>
      </c>
      <c r="B15" s="5"/>
    </row>
    <row r="16" spans="1:2" x14ac:dyDescent="0.2">
      <c r="A16" s="4" t="s">
        <v>20</v>
      </c>
      <c r="B16" s="5">
        <v>750</v>
      </c>
    </row>
    <row r="17" spans="1:2" x14ac:dyDescent="0.2">
      <c r="A17" s="4" t="s">
        <v>21</v>
      </c>
      <c r="B17" s="5"/>
    </row>
    <row r="18" spans="1:2" x14ac:dyDescent="0.2">
      <c r="A18" s="4" t="s">
        <v>22</v>
      </c>
      <c r="B18" s="5">
        <v>200</v>
      </c>
    </row>
    <row r="19" spans="1:2" x14ac:dyDescent="0.2">
      <c r="A19" s="4" t="s">
        <v>23</v>
      </c>
      <c r="B19" s="5"/>
    </row>
    <row r="20" spans="1:2" x14ac:dyDescent="0.2">
      <c r="A20" s="4" t="s">
        <v>24</v>
      </c>
      <c r="B20" s="5">
        <v>200</v>
      </c>
    </row>
    <row r="21" spans="1:2" x14ac:dyDescent="0.2">
      <c r="A21" s="4" t="s">
        <v>25</v>
      </c>
      <c r="B21" s="5"/>
    </row>
    <row r="22" spans="1:2" x14ac:dyDescent="0.2">
      <c r="A22" s="4" t="s">
        <v>26</v>
      </c>
      <c r="B22" s="5">
        <v>100</v>
      </c>
    </row>
    <row r="23" spans="1:2" x14ac:dyDescent="0.2">
      <c r="A23" s="4" t="s">
        <v>27</v>
      </c>
      <c r="B23" s="5"/>
    </row>
    <row r="24" spans="1:2" x14ac:dyDescent="0.2">
      <c r="A24" s="4" t="s">
        <v>28</v>
      </c>
      <c r="B24" s="5">
        <v>200</v>
      </c>
    </row>
    <row r="25" spans="1:2" x14ac:dyDescent="0.2">
      <c r="A25" s="4" t="s">
        <v>29</v>
      </c>
      <c r="B25" s="5"/>
    </row>
    <row r="26" spans="1:2" x14ac:dyDescent="0.2">
      <c r="A26" s="4" t="s">
        <v>30</v>
      </c>
      <c r="B26" s="5">
        <v>200</v>
      </c>
    </row>
    <row r="27" spans="1:2" x14ac:dyDescent="0.2">
      <c r="A27" s="4" t="s">
        <v>31</v>
      </c>
      <c r="B27" s="5"/>
    </row>
    <row r="28" spans="1:2" x14ac:dyDescent="0.2">
      <c r="A28" s="4" t="s">
        <v>32</v>
      </c>
      <c r="B28" s="5">
        <v>10000</v>
      </c>
    </row>
    <row r="29" spans="1:2" x14ac:dyDescent="0.2">
      <c r="A29" s="4" t="s">
        <v>33</v>
      </c>
      <c r="B29" s="5">
        <v>10000</v>
      </c>
    </row>
    <row r="30" spans="1:2" x14ac:dyDescent="0.2">
      <c r="A30" s="4" t="s">
        <v>34</v>
      </c>
      <c r="B30" s="5">
        <v>10000</v>
      </c>
    </row>
    <row r="31" spans="1:2" x14ac:dyDescent="0.2">
      <c r="A31" s="4" t="s">
        <v>35</v>
      </c>
      <c r="B31" s="5"/>
    </row>
    <row r="32" spans="1:2" x14ac:dyDescent="0.2">
      <c r="A32" s="4" t="s">
        <v>36</v>
      </c>
      <c r="B32" s="5">
        <v>100</v>
      </c>
    </row>
    <row r="33" spans="1:2" x14ac:dyDescent="0.2">
      <c r="A33" s="4" t="s">
        <v>37</v>
      </c>
      <c r="B33" s="5"/>
    </row>
    <row r="34" spans="1:2" x14ac:dyDescent="0.2">
      <c r="A34" s="4" t="s">
        <v>38</v>
      </c>
      <c r="B34" s="5">
        <v>100</v>
      </c>
    </row>
    <row r="35" spans="1:2" x14ac:dyDescent="0.2">
      <c r="A35" s="4" t="s">
        <v>39</v>
      </c>
      <c r="B35" s="5"/>
    </row>
    <row r="36" spans="1:2" x14ac:dyDescent="0.2">
      <c r="A36" s="4" t="s">
        <v>40</v>
      </c>
      <c r="B36" s="5">
        <v>200</v>
      </c>
    </row>
    <row r="37" spans="1:2" x14ac:dyDescent="0.2">
      <c r="A37" s="4" t="s">
        <v>41</v>
      </c>
      <c r="B37" s="5"/>
    </row>
    <row r="38" spans="1:2" x14ac:dyDescent="0.2">
      <c r="A38" s="4" t="s">
        <v>42</v>
      </c>
      <c r="B38" s="5">
        <v>200</v>
      </c>
    </row>
    <row r="39" spans="1:2" x14ac:dyDescent="0.2">
      <c r="A39" s="4" t="s">
        <v>43</v>
      </c>
      <c r="B39" s="5"/>
    </row>
    <row r="40" spans="1:2" x14ac:dyDescent="0.2">
      <c r="A40" s="4" t="s">
        <v>44</v>
      </c>
      <c r="B40" s="5">
        <v>200</v>
      </c>
    </row>
    <row r="41" spans="1:2" x14ac:dyDescent="0.2">
      <c r="A41" s="4" t="s">
        <v>45</v>
      </c>
      <c r="B41" s="5"/>
    </row>
    <row r="42" spans="1:2" x14ac:dyDescent="0.2">
      <c r="A42" s="4" t="s">
        <v>46</v>
      </c>
      <c r="B42" s="5">
        <v>600</v>
      </c>
    </row>
    <row r="43" spans="1:2" x14ac:dyDescent="0.2">
      <c r="A43" s="4" t="s">
        <v>47</v>
      </c>
      <c r="B43" s="5"/>
    </row>
    <row r="44" spans="1:2" x14ac:dyDescent="0.2">
      <c r="A44" s="4" t="s">
        <v>48</v>
      </c>
      <c r="B44" s="5">
        <v>100</v>
      </c>
    </row>
    <row r="45" spans="1:2" x14ac:dyDescent="0.2">
      <c r="A45" s="4" t="s">
        <v>49</v>
      </c>
      <c r="B45" s="5"/>
    </row>
    <row r="46" spans="1:2" x14ac:dyDescent="0.2">
      <c r="A46" s="4" t="s">
        <v>50</v>
      </c>
      <c r="B46" s="5">
        <v>10227.280000000001</v>
      </c>
    </row>
    <row r="47" spans="1:2" x14ac:dyDescent="0.2">
      <c r="A47" s="4" t="s">
        <v>51</v>
      </c>
      <c r="B47" s="5"/>
    </row>
    <row r="48" spans="1:2" x14ac:dyDescent="0.2">
      <c r="A48" s="4" t="s">
        <v>52</v>
      </c>
      <c r="B48" s="5">
        <v>200</v>
      </c>
    </row>
    <row r="49" spans="1:2" x14ac:dyDescent="0.2">
      <c r="A49" s="4" t="s">
        <v>53</v>
      </c>
      <c r="B49" s="5"/>
    </row>
    <row r="50" spans="1:2" x14ac:dyDescent="0.2">
      <c r="A50" s="4" t="s">
        <v>54</v>
      </c>
      <c r="B50" s="5">
        <v>200</v>
      </c>
    </row>
    <row r="51" spans="1:2" x14ac:dyDescent="0.2">
      <c r="A51" s="4" t="s">
        <v>55</v>
      </c>
      <c r="B51" s="5"/>
    </row>
    <row r="52" spans="1:2" x14ac:dyDescent="0.2">
      <c r="A52" s="4" t="s">
        <v>56</v>
      </c>
      <c r="B52" s="5">
        <v>200</v>
      </c>
    </row>
    <row r="53" spans="1:2" x14ac:dyDescent="0.2">
      <c r="A53" s="4" t="s">
        <v>57</v>
      </c>
      <c r="B53" s="5"/>
    </row>
    <row r="54" spans="1:2" x14ac:dyDescent="0.2">
      <c r="A54" s="4" t="s">
        <v>58</v>
      </c>
      <c r="B54" s="5">
        <v>100</v>
      </c>
    </row>
    <row r="55" spans="1:2" x14ac:dyDescent="0.2">
      <c r="A55" s="4" t="s">
        <v>59</v>
      </c>
      <c r="B55" s="5"/>
    </row>
    <row r="56" spans="1:2" x14ac:dyDescent="0.2">
      <c r="A56" s="4" t="s">
        <v>60</v>
      </c>
      <c r="B56" s="5">
        <v>100</v>
      </c>
    </row>
    <row r="57" spans="1:2" x14ac:dyDescent="0.2">
      <c r="A57" s="4" t="s">
        <v>61</v>
      </c>
      <c r="B57" s="5"/>
    </row>
    <row r="58" spans="1:2" x14ac:dyDescent="0.2">
      <c r="A58" s="4" t="s">
        <v>62</v>
      </c>
      <c r="B58" s="5">
        <v>1000</v>
      </c>
    </row>
    <row r="59" spans="1:2" x14ac:dyDescent="0.2">
      <c r="A59" s="4" t="s">
        <v>63</v>
      </c>
      <c r="B59" s="5"/>
    </row>
    <row r="60" spans="1:2" x14ac:dyDescent="0.2">
      <c r="A60" s="4" t="s">
        <v>64</v>
      </c>
      <c r="B60" s="5">
        <v>500</v>
      </c>
    </row>
    <row r="61" spans="1:2" x14ac:dyDescent="0.2">
      <c r="A61" s="4" t="s">
        <v>65</v>
      </c>
      <c r="B61" s="5"/>
    </row>
    <row r="62" spans="1:2" x14ac:dyDescent="0.2">
      <c r="A62" s="4" t="s">
        <v>66</v>
      </c>
      <c r="B62" s="5">
        <v>3000</v>
      </c>
    </row>
    <row r="63" spans="1:2" x14ac:dyDescent="0.2">
      <c r="A63" s="4" t="s">
        <v>67</v>
      </c>
      <c r="B63" s="5"/>
    </row>
    <row r="64" spans="1:2" x14ac:dyDescent="0.2">
      <c r="A64" s="4" t="s">
        <v>68</v>
      </c>
      <c r="B64" s="5">
        <v>52850</v>
      </c>
    </row>
    <row r="65" spans="1:2" x14ac:dyDescent="0.2">
      <c r="A65" s="4" t="s">
        <v>69</v>
      </c>
      <c r="B65" s="5"/>
    </row>
    <row r="66" spans="1:2" x14ac:dyDescent="0.2">
      <c r="A66" s="4" t="s">
        <v>5</v>
      </c>
      <c r="B66" s="5">
        <v>8850</v>
      </c>
    </row>
    <row r="67" spans="1:2" x14ac:dyDescent="0.2">
      <c r="A67" s="4" t="s">
        <v>70</v>
      </c>
      <c r="B67" s="5"/>
    </row>
    <row r="68" spans="1:2" x14ac:dyDescent="0.2">
      <c r="A68" s="4" t="s">
        <v>71</v>
      </c>
      <c r="B68" s="5">
        <v>19110</v>
      </c>
    </row>
    <row r="69" spans="1:2" x14ac:dyDescent="0.2">
      <c r="A69" s="4" t="s">
        <v>72</v>
      </c>
      <c r="B69" s="5"/>
    </row>
    <row r="70" spans="1:2" x14ac:dyDescent="0.2">
      <c r="A70" s="4" t="s">
        <v>5</v>
      </c>
      <c r="B70" s="5">
        <v>70000</v>
      </c>
    </row>
    <row r="71" spans="1:2" x14ac:dyDescent="0.2">
      <c r="A71" s="4" t="s">
        <v>73</v>
      </c>
      <c r="B71" s="5"/>
    </row>
    <row r="72" spans="1:2" x14ac:dyDescent="0.2">
      <c r="A72" s="4" t="s">
        <v>4</v>
      </c>
      <c r="B72" s="5">
        <v>7650</v>
      </c>
    </row>
    <row r="73" spans="1:2" x14ac:dyDescent="0.2">
      <c r="A73" s="4" t="s">
        <v>74</v>
      </c>
      <c r="B73" s="5"/>
    </row>
    <row r="74" spans="1:2" x14ac:dyDescent="0.2">
      <c r="A74" s="4" t="s">
        <v>3</v>
      </c>
      <c r="B74" s="5">
        <v>5000</v>
      </c>
    </row>
    <row r="75" spans="1:2" x14ac:dyDescent="0.2">
      <c r="A75" s="4" t="s">
        <v>75</v>
      </c>
      <c r="B75" s="5"/>
    </row>
    <row r="76" spans="1:2" x14ac:dyDescent="0.2">
      <c r="A76" s="4" t="s">
        <v>3</v>
      </c>
      <c r="B76" s="5">
        <v>15000</v>
      </c>
    </row>
    <row r="77" spans="1:2" x14ac:dyDescent="0.2">
      <c r="A77" s="4" t="s">
        <v>76</v>
      </c>
      <c r="B77" s="5"/>
    </row>
    <row r="78" spans="1:2" x14ac:dyDescent="0.2">
      <c r="A78" s="4" t="s">
        <v>4</v>
      </c>
      <c r="B78" s="5">
        <v>15000</v>
      </c>
    </row>
    <row r="79" spans="1:2" x14ac:dyDescent="0.2">
      <c r="A79" s="4" t="s">
        <v>77</v>
      </c>
      <c r="B79" s="5"/>
    </row>
    <row r="80" spans="1:2" x14ac:dyDescent="0.2">
      <c r="A80" s="4" t="s">
        <v>78</v>
      </c>
      <c r="B80" s="5">
        <v>6000</v>
      </c>
    </row>
    <row r="81" spans="1:2" x14ac:dyDescent="0.2">
      <c r="A81" s="4" t="s">
        <v>79</v>
      </c>
      <c r="B81" s="5"/>
    </row>
    <row r="82" spans="1:2" x14ac:dyDescent="0.2">
      <c r="A82" s="4" t="s">
        <v>80</v>
      </c>
      <c r="B82" s="5">
        <v>45000</v>
      </c>
    </row>
    <row r="83" spans="1:2" x14ac:dyDescent="0.2">
      <c r="A83" s="4" t="s">
        <v>81</v>
      </c>
      <c r="B83" s="5">
        <v>4500</v>
      </c>
    </row>
    <row r="84" spans="1:2" x14ac:dyDescent="0.2">
      <c r="A84" s="4" t="s">
        <v>87</v>
      </c>
      <c r="B84" s="5"/>
    </row>
    <row r="85" spans="1:2" x14ac:dyDescent="0.2">
      <c r="A85" s="4" t="s">
        <v>88</v>
      </c>
      <c r="B85" s="5">
        <v>6000</v>
      </c>
    </row>
    <row r="86" spans="1:2" x14ac:dyDescent="0.2">
      <c r="A86" s="4" t="s">
        <v>82</v>
      </c>
      <c r="B86" s="5"/>
    </row>
    <row r="87" spans="1:2" x14ac:dyDescent="0.2">
      <c r="A87" s="4" t="s">
        <v>83</v>
      </c>
      <c r="B87" s="5">
        <v>76292</v>
      </c>
    </row>
    <row r="88" spans="1:2" x14ac:dyDescent="0.2">
      <c r="A88" s="4" t="s">
        <v>84</v>
      </c>
      <c r="B88" s="5">
        <v>77549</v>
      </c>
    </row>
    <row r="89" spans="1:2" x14ac:dyDescent="0.2">
      <c r="A89" s="4" t="s">
        <v>85</v>
      </c>
      <c r="B89" s="5"/>
    </row>
    <row r="90" spans="1:2" x14ac:dyDescent="0.2">
      <c r="A90" s="4" t="s">
        <v>86</v>
      </c>
      <c r="B90" s="5">
        <v>144661.06</v>
      </c>
    </row>
    <row r="91" spans="1:2" x14ac:dyDescent="0.2">
      <c r="A91" s="6" t="s">
        <v>2</v>
      </c>
      <c r="B91" s="7">
        <f>SUM(B3:B90)</f>
        <v>684926.62000000011</v>
      </c>
    </row>
    <row r="92" spans="1:2" x14ac:dyDescent="0.2">
      <c r="B92" s="44"/>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8"/>
  <sheetViews>
    <sheetView topLeftCell="A49" zoomScaleNormal="100" workbookViewId="0">
      <selection activeCell="B1" sqref="A1:B1"/>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308</v>
      </c>
      <c r="B2" s="5"/>
    </row>
    <row r="3" spans="1:2" x14ac:dyDescent="0.2">
      <c r="A3" s="4" t="s">
        <v>309</v>
      </c>
      <c r="B3" s="5">
        <v>18150.169999999998</v>
      </c>
    </row>
    <row r="4" spans="1:2" x14ac:dyDescent="0.2">
      <c r="A4" s="4" t="s">
        <v>10</v>
      </c>
      <c r="B4" s="5"/>
    </row>
    <row r="5" spans="1:2" x14ac:dyDescent="0.2">
      <c r="A5" s="4" t="s">
        <v>310</v>
      </c>
      <c r="B5" s="5">
        <v>24.67</v>
      </c>
    </row>
    <row r="6" spans="1:2" x14ac:dyDescent="0.2">
      <c r="A6" s="4" t="s">
        <v>13</v>
      </c>
      <c r="B6" s="5"/>
    </row>
    <row r="7" spans="1:2" x14ac:dyDescent="0.2">
      <c r="A7" s="4" t="s">
        <v>311</v>
      </c>
      <c r="B7" s="5">
        <v>4000</v>
      </c>
    </row>
    <row r="8" spans="1:2" x14ac:dyDescent="0.2">
      <c r="A8" s="4" t="s">
        <v>31</v>
      </c>
      <c r="B8" s="5"/>
    </row>
    <row r="9" spans="1:2" x14ac:dyDescent="0.2">
      <c r="A9" s="4" t="s">
        <v>312</v>
      </c>
      <c r="B9" s="5">
        <v>10000</v>
      </c>
    </row>
    <row r="10" spans="1:2" x14ac:dyDescent="0.2">
      <c r="A10" s="4" t="s">
        <v>49</v>
      </c>
      <c r="B10" s="5"/>
    </row>
    <row r="11" spans="1:2" x14ac:dyDescent="0.2">
      <c r="A11" s="4" t="s">
        <v>313</v>
      </c>
      <c r="B11" s="5">
        <v>10227.280000000001</v>
      </c>
    </row>
    <row r="12" spans="1:2" x14ac:dyDescent="0.2">
      <c r="A12" s="4" t="s">
        <v>314</v>
      </c>
      <c r="B12" s="5"/>
    </row>
    <row r="13" spans="1:2" x14ac:dyDescent="0.2">
      <c r="A13" s="4" t="s">
        <v>315</v>
      </c>
      <c r="B13" s="5">
        <v>2272.73</v>
      </c>
    </row>
    <row r="14" spans="1:2" x14ac:dyDescent="0.2">
      <c r="A14" s="4" t="s">
        <v>316</v>
      </c>
      <c r="B14" s="5">
        <v>2272.7199999999998</v>
      </c>
    </row>
    <row r="15" spans="1:2" x14ac:dyDescent="0.2">
      <c r="A15" s="4" t="s">
        <v>317</v>
      </c>
      <c r="B15" s="5">
        <v>2272.73</v>
      </c>
    </row>
    <row r="16" spans="1:2" x14ac:dyDescent="0.2">
      <c r="A16" s="4" t="s">
        <v>318</v>
      </c>
      <c r="B16" s="5"/>
    </row>
    <row r="17" spans="1:2" x14ac:dyDescent="0.2">
      <c r="A17" s="4" t="s">
        <v>319</v>
      </c>
      <c r="B17" s="5">
        <v>1182</v>
      </c>
    </row>
    <row r="18" spans="1:2" x14ac:dyDescent="0.2">
      <c r="A18" s="4" t="s">
        <v>320</v>
      </c>
      <c r="B18" s="5"/>
    </row>
    <row r="19" spans="1:2" x14ac:dyDescent="0.2">
      <c r="A19" s="4" t="s">
        <v>321</v>
      </c>
      <c r="B19" s="5">
        <v>9600</v>
      </c>
    </row>
    <row r="20" spans="1:2" x14ac:dyDescent="0.2">
      <c r="A20" s="4" t="s">
        <v>322</v>
      </c>
      <c r="B20" s="5"/>
    </row>
    <row r="21" spans="1:2" x14ac:dyDescent="0.2">
      <c r="A21" s="4" t="s">
        <v>323</v>
      </c>
      <c r="B21" s="5">
        <v>200</v>
      </c>
    </row>
    <row r="22" spans="1:2" x14ac:dyDescent="0.2">
      <c r="A22" s="4" t="s">
        <v>324</v>
      </c>
      <c r="B22" s="5"/>
    </row>
    <row r="23" spans="1:2" x14ac:dyDescent="0.2">
      <c r="A23" s="4" t="s">
        <v>325</v>
      </c>
      <c r="B23" s="5">
        <v>200</v>
      </c>
    </row>
    <row r="24" spans="1:2" x14ac:dyDescent="0.2">
      <c r="A24" s="4" t="s">
        <v>326</v>
      </c>
      <c r="B24" s="5"/>
    </row>
    <row r="25" spans="1:2" x14ac:dyDescent="0.2">
      <c r="A25" s="4" t="s">
        <v>327</v>
      </c>
      <c r="B25" s="5">
        <v>200</v>
      </c>
    </row>
    <row r="26" spans="1:2" x14ac:dyDescent="0.2">
      <c r="A26" s="4" t="s">
        <v>328</v>
      </c>
      <c r="B26" s="5"/>
    </row>
    <row r="27" spans="1:2" x14ac:dyDescent="0.2">
      <c r="A27" s="4" t="s">
        <v>329</v>
      </c>
      <c r="B27" s="5">
        <v>200</v>
      </c>
    </row>
    <row r="28" spans="1:2" x14ac:dyDescent="0.2">
      <c r="A28" s="4" t="s">
        <v>330</v>
      </c>
      <c r="B28" s="5"/>
    </row>
    <row r="29" spans="1:2" x14ac:dyDescent="0.2">
      <c r="A29" s="4" t="s">
        <v>331</v>
      </c>
      <c r="B29" s="5">
        <v>10000</v>
      </c>
    </row>
    <row r="30" spans="1:2" x14ac:dyDescent="0.2">
      <c r="A30" s="4" t="s">
        <v>332</v>
      </c>
      <c r="B30" s="5">
        <v>23086.09</v>
      </c>
    </row>
    <row r="31" spans="1:2" x14ac:dyDescent="0.2">
      <c r="A31" s="4" t="s">
        <v>333</v>
      </c>
      <c r="B31" s="5">
        <v>10000</v>
      </c>
    </row>
    <row r="32" spans="1:2" x14ac:dyDescent="0.2">
      <c r="A32" s="4" t="s">
        <v>334</v>
      </c>
      <c r="B32" s="5"/>
    </row>
    <row r="33" spans="1:2" x14ac:dyDescent="0.2">
      <c r="A33" s="4" t="s">
        <v>335</v>
      </c>
      <c r="B33" s="5">
        <v>525</v>
      </c>
    </row>
    <row r="34" spans="1:2" x14ac:dyDescent="0.2">
      <c r="A34" s="4" t="s">
        <v>336</v>
      </c>
      <c r="B34" s="5"/>
    </row>
    <row r="35" spans="1:2" x14ac:dyDescent="0.2">
      <c r="A35" s="4" t="s">
        <v>337</v>
      </c>
      <c r="B35" s="5">
        <v>10000</v>
      </c>
    </row>
    <row r="36" spans="1:2" x14ac:dyDescent="0.2">
      <c r="A36" s="4" t="s">
        <v>338</v>
      </c>
      <c r="B36" s="5"/>
    </row>
    <row r="37" spans="1:2" x14ac:dyDescent="0.2">
      <c r="A37" s="4" t="s">
        <v>339</v>
      </c>
      <c r="B37" s="5">
        <v>1800</v>
      </c>
    </row>
    <row r="38" spans="1:2" x14ac:dyDescent="0.2">
      <c r="A38" s="4" t="s">
        <v>340</v>
      </c>
      <c r="B38" s="5"/>
    </row>
    <row r="39" spans="1:2" x14ac:dyDescent="0.2">
      <c r="A39" s="4" t="s">
        <v>341</v>
      </c>
      <c r="B39" s="5">
        <v>200</v>
      </c>
    </row>
    <row r="40" spans="1:2" x14ac:dyDescent="0.2">
      <c r="A40" s="4" t="s">
        <v>342</v>
      </c>
      <c r="B40" s="5"/>
    </row>
    <row r="41" spans="1:2" x14ac:dyDescent="0.2">
      <c r="A41" s="4" t="s">
        <v>343</v>
      </c>
      <c r="B41" s="5">
        <v>200</v>
      </c>
    </row>
    <row r="42" spans="1:2" x14ac:dyDescent="0.2">
      <c r="A42" s="4" t="s">
        <v>344</v>
      </c>
      <c r="B42" s="5"/>
    </row>
    <row r="43" spans="1:2" x14ac:dyDescent="0.2">
      <c r="A43" s="4" t="s">
        <v>345</v>
      </c>
      <c r="B43" s="5">
        <v>1650</v>
      </c>
    </row>
    <row r="44" spans="1:2" x14ac:dyDescent="0.2">
      <c r="A44" s="4" t="s">
        <v>346</v>
      </c>
      <c r="B44" s="5"/>
    </row>
    <row r="45" spans="1:2" x14ac:dyDescent="0.2">
      <c r="A45" s="4" t="s">
        <v>347</v>
      </c>
      <c r="B45" s="5">
        <v>3300</v>
      </c>
    </row>
    <row r="46" spans="1:2" x14ac:dyDescent="0.2">
      <c r="A46" s="4" t="s">
        <v>348</v>
      </c>
      <c r="B46" s="5"/>
    </row>
    <row r="47" spans="1:2" x14ac:dyDescent="0.2">
      <c r="A47" s="4" t="s">
        <v>349</v>
      </c>
      <c r="B47" s="5">
        <v>200</v>
      </c>
    </row>
    <row r="48" spans="1:2" x14ac:dyDescent="0.2">
      <c r="A48" s="4" t="s">
        <v>350</v>
      </c>
      <c r="B48" s="5"/>
    </row>
    <row r="49" spans="1:2" x14ac:dyDescent="0.2">
      <c r="A49" s="4" t="s">
        <v>351</v>
      </c>
      <c r="B49" s="5">
        <v>950</v>
      </c>
    </row>
    <row r="50" spans="1:2" x14ac:dyDescent="0.2">
      <c r="A50" s="4" t="s">
        <v>352</v>
      </c>
      <c r="B50" s="5"/>
    </row>
    <row r="51" spans="1:2" x14ac:dyDescent="0.2">
      <c r="A51" s="4" t="s">
        <v>353</v>
      </c>
      <c r="B51" s="5">
        <v>600</v>
      </c>
    </row>
    <row r="52" spans="1:2" x14ac:dyDescent="0.2">
      <c r="A52" s="4" t="s">
        <v>354</v>
      </c>
      <c r="B52" s="5"/>
    </row>
    <row r="53" spans="1:2" x14ac:dyDescent="0.2">
      <c r="A53" s="4" t="s">
        <v>353</v>
      </c>
      <c r="B53" s="5">
        <v>1500</v>
      </c>
    </row>
    <row r="54" spans="1:2" x14ac:dyDescent="0.2">
      <c r="A54" s="4" t="s">
        <v>69</v>
      </c>
      <c r="B54" s="5"/>
    </row>
    <row r="55" spans="1:2" x14ac:dyDescent="0.2">
      <c r="A55" s="4" t="s">
        <v>355</v>
      </c>
      <c r="B55" s="5">
        <v>32450</v>
      </c>
    </row>
    <row r="56" spans="1:2" x14ac:dyDescent="0.2">
      <c r="A56" s="4" t="s">
        <v>73</v>
      </c>
      <c r="B56" s="5"/>
    </row>
    <row r="57" spans="1:2" x14ac:dyDescent="0.2">
      <c r="A57" s="4" t="s">
        <v>356</v>
      </c>
      <c r="B57" s="5">
        <v>14025</v>
      </c>
    </row>
    <row r="58" spans="1:2" x14ac:dyDescent="0.2">
      <c r="A58" s="4" t="s">
        <v>74</v>
      </c>
      <c r="B58" s="5"/>
    </row>
    <row r="59" spans="1:2" x14ac:dyDescent="0.2">
      <c r="A59" s="4" t="s">
        <v>357</v>
      </c>
      <c r="B59" s="5">
        <v>11250</v>
      </c>
    </row>
    <row r="60" spans="1:2" x14ac:dyDescent="0.2">
      <c r="A60" s="4" t="s">
        <v>310</v>
      </c>
      <c r="B60" s="5">
        <v>395.19</v>
      </c>
    </row>
    <row r="61" spans="1:2" x14ac:dyDescent="0.2">
      <c r="A61" s="4" t="s">
        <v>75</v>
      </c>
      <c r="B61" s="5"/>
    </row>
    <row r="62" spans="1:2" x14ac:dyDescent="0.2">
      <c r="A62" s="4" t="s">
        <v>358</v>
      </c>
      <c r="B62" s="5">
        <v>33750</v>
      </c>
    </row>
    <row r="63" spans="1:2" x14ac:dyDescent="0.2">
      <c r="A63" s="4" t="s">
        <v>76</v>
      </c>
      <c r="B63" s="5"/>
    </row>
    <row r="64" spans="1:2" x14ac:dyDescent="0.2">
      <c r="A64" s="4" t="s">
        <v>359</v>
      </c>
      <c r="B64" s="5">
        <v>27500</v>
      </c>
    </row>
    <row r="65" spans="1:2" x14ac:dyDescent="0.2">
      <c r="A65" s="4" t="s">
        <v>79</v>
      </c>
      <c r="B65" s="5"/>
    </row>
    <row r="66" spans="1:2" x14ac:dyDescent="0.2">
      <c r="A66" s="4" t="s">
        <v>360</v>
      </c>
      <c r="B66" s="5">
        <v>13500</v>
      </c>
    </row>
    <row r="67" spans="1:2" x14ac:dyDescent="0.2">
      <c r="A67" s="4" t="s">
        <v>361</v>
      </c>
      <c r="B67" s="5"/>
    </row>
    <row r="68" spans="1:2" x14ac:dyDescent="0.2">
      <c r="A68" s="4" t="s">
        <v>362</v>
      </c>
      <c r="B68" s="5">
        <v>81801.460000000006</v>
      </c>
    </row>
    <row r="69" spans="1:2" x14ac:dyDescent="0.2">
      <c r="A69" s="4" t="s">
        <v>310</v>
      </c>
      <c r="B69" s="5">
        <v>226.52</v>
      </c>
    </row>
    <row r="70" spans="1:2" x14ac:dyDescent="0.2">
      <c r="A70" s="4" t="s">
        <v>363</v>
      </c>
      <c r="B70" s="5"/>
    </row>
    <row r="71" spans="1:2" x14ac:dyDescent="0.2">
      <c r="A71" s="4" t="s">
        <v>364</v>
      </c>
      <c r="B71" s="5">
        <v>20000</v>
      </c>
    </row>
    <row r="72" spans="1:2" x14ac:dyDescent="0.2">
      <c r="A72" s="4" t="s">
        <v>365</v>
      </c>
      <c r="B72" s="5"/>
    </row>
    <row r="73" spans="1:2" x14ac:dyDescent="0.2">
      <c r="A73" s="4" t="s">
        <v>366</v>
      </c>
      <c r="B73" s="5">
        <v>71000</v>
      </c>
    </row>
    <row r="74" spans="1:2" x14ac:dyDescent="0.2">
      <c r="A74" s="4" t="s">
        <v>367</v>
      </c>
      <c r="B74" s="5">
        <v>34080</v>
      </c>
    </row>
    <row r="75" spans="1:2" x14ac:dyDescent="0.2">
      <c r="A75" s="4" t="s">
        <v>82</v>
      </c>
      <c r="B75" s="5"/>
    </row>
    <row r="76" spans="1:2" x14ac:dyDescent="0.2">
      <c r="A76" s="4" t="s">
        <v>368</v>
      </c>
      <c r="B76" s="5">
        <v>52291</v>
      </c>
    </row>
    <row r="77" spans="1:2" x14ac:dyDescent="0.2">
      <c r="A77" s="4" t="s">
        <v>369</v>
      </c>
      <c r="B77" s="5">
        <v>73474</v>
      </c>
    </row>
    <row r="78" spans="1:2" x14ac:dyDescent="0.2">
      <c r="A78" s="6" t="s">
        <v>2</v>
      </c>
      <c r="B78" s="7">
        <f>SUM(B3:B77)</f>
        <v>590556.56000000006</v>
      </c>
    </row>
  </sheetData>
  <pageMargins left="0.39370078740157483" right="0.39370078740157483"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EB130-EB8F-4BD4-A3BE-1852232C680D}">
  <dimension ref="A1:B65"/>
  <sheetViews>
    <sheetView topLeftCell="B55" workbookViewId="0">
      <selection activeCell="A8" sqref="A8"/>
    </sheetView>
  </sheetViews>
  <sheetFormatPr baseColWidth="10" defaultRowHeight="14.4" x14ac:dyDescent="0.3"/>
  <cols>
    <col min="1" max="1" width="254.6640625" bestFit="1" customWidth="1"/>
  </cols>
  <sheetData>
    <row r="1" spans="1:2" ht="21.6" x14ac:dyDescent="0.3">
      <c r="A1" s="2" t="s">
        <v>0</v>
      </c>
      <c r="B1" s="3" t="s">
        <v>1</v>
      </c>
    </row>
    <row r="2" spans="1:2" x14ac:dyDescent="0.3">
      <c r="A2" s="39" t="s">
        <v>308</v>
      </c>
      <c r="B2" s="40"/>
    </row>
    <row r="3" spans="1:2" x14ac:dyDescent="0.3">
      <c r="A3" s="41" t="s">
        <v>438</v>
      </c>
      <c r="B3">
        <v>8850.06</v>
      </c>
    </row>
    <row r="4" spans="1:2" x14ac:dyDescent="0.3">
      <c r="A4" s="39" t="s">
        <v>13</v>
      </c>
      <c r="B4" s="40"/>
    </row>
    <row r="5" spans="1:2" x14ac:dyDescent="0.3">
      <c r="A5" s="41" t="s">
        <v>439</v>
      </c>
      <c r="B5">
        <v>3520</v>
      </c>
    </row>
    <row r="6" spans="1:2" x14ac:dyDescent="0.3">
      <c r="A6" s="39" t="s">
        <v>330</v>
      </c>
      <c r="B6" s="40"/>
    </row>
    <row r="7" spans="1:2" x14ac:dyDescent="0.3">
      <c r="A7" s="41" t="s">
        <v>440</v>
      </c>
      <c r="B7">
        <v>17600</v>
      </c>
    </row>
    <row r="8" spans="1:2" x14ac:dyDescent="0.3">
      <c r="A8" s="41" t="s">
        <v>441</v>
      </c>
      <c r="B8">
        <v>17600</v>
      </c>
    </row>
    <row r="9" spans="1:2" x14ac:dyDescent="0.3">
      <c r="A9" s="39" t="s">
        <v>336</v>
      </c>
      <c r="B9" s="40"/>
    </row>
    <row r="10" spans="1:2" x14ac:dyDescent="0.3">
      <c r="A10" s="41" t="s">
        <v>442</v>
      </c>
      <c r="B10">
        <v>8800</v>
      </c>
    </row>
    <row r="11" spans="1:2" x14ac:dyDescent="0.3">
      <c r="A11" s="41" t="s">
        <v>443</v>
      </c>
      <c r="B11">
        <v>8800</v>
      </c>
    </row>
    <row r="12" spans="1:2" x14ac:dyDescent="0.3">
      <c r="A12" s="41" t="s">
        <v>444</v>
      </c>
      <c r="B12">
        <v>8800</v>
      </c>
    </row>
    <row r="13" spans="1:2" x14ac:dyDescent="0.3">
      <c r="A13" s="39" t="s">
        <v>445</v>
      </c>
      <c r="B13" s="40"/>
    </row>
    <row r="14" spans="1:2" x14ac:dyDescent="0.3">
      <c r="A14" s="41" t="s">
        <v>446</v>
      </c>
      <c r="B14">
        <v>176</v>
      </c>
    </row>
    <row r="15" spans="1:2" x14ac:dyDescent="0.3">
      <c r="A15" s="39" t="s">
        <v>447</v>
      </c>
      <c r="B15" s="40"/>
    </row>
    <row r="16" spans="1:2" x14ac:dyDescent="0.3">
      <c r="A16" s="41" t="s">
        <v>448</v>
      </c>
      <c r="B16">
        <v>176</v>
      </c>
    </row>
    <row r="17" spans="1:2" x14ac:dyDescent="0.3">
      <c r="A17" s="39" t="s">
        <v>449</v>
      </c>
      <c r="B17" s="40"/>
    </row>
    <row r="18" spans="1:2" x14ac:dyDescent="0.3">
      <c r="A18" s="41" t="s">
        <v>450</v>
      </c>
      <c r="B18">
        <v>176</v>
      </c>
    </row>
    <row r="19" spans="1:2" x14ac:dyDescent="0.3">
      <c r="A19" s="39" t="s">
        <v>451</v>
      </c>
      <c r="B19" s="40"/>
    </row>
    <row r="20" spans="1:2" x14ac:dyDescent="0.3">
      <c r="A20" s="41" t="s">
        <v>452</v>
      </c>
      <c r="B20">
        <v>176</v>
      </c>
    </row>
    <row r="21" spans="1:2" x14ac:dyDescent="0.3">
      <c r="A21" s="39" t="s">
        <v>453</v>
      </c>
      <c r="B21" s="40"/>
    </row>
    <row r="22" spans="1:2" x14ac:dyDescent="0.3">
      <c r="A22" s="41" t="s">
        <v>454</v>
      </c>
      <c r="B22">
        <v>1056</v>
      </c>
    </row>
    <row r="23" spans="1:2" x14ac:dyDescent="0.3">
      <c r="A23" s="39" t="s">
        <v>455</v>
      </c>
      <c r="B23" s="40"/>
    </row>
    <row r="24" spans="1:2" x14ac:dyDescent="0.3">
      <c r="A24" s="41" t="s">
        <v>456</v>
      </c>
      <c r="B24">
        <v>176</v>
      </c>
    </row>
    <row r="25" spans="1:2" x14ac:dyDescent="0.3">
      <c r="A25" s="39" t="s">
        <v>457</v>
      </c>
      <c r="B25" s="40"/>
    </row>
    <row r="26" spans="1:2" x14ac:dyDescent="0.3">
      <c r="A26" s="41" t="s">
        <v>458</v>
      </c>
      <c r="B26">
        <v>176</v>
      </c>
    </row>
    <row r="27" spans="1:2" x14ac:dyDescent="0.3">
      <c r="A27" s="39" t="s">
        <v>459</v>
      </c>
      <c r="B27" s="40"/>
    </row>
    <row r="28" spans="1:2" x14ac:dyDescent="0.3">
      <c r="A28" s="41" t="s">
        <v>460</v>
      </c>
      <c r="B28">
        <v>88</v>
      </c>
    </row>
    <row r="29" spans="1:2" x14ac:dyDescent="0.3">
      <c r="A29" s="39" t="s">
        <v>461</v>
      </c>
      <c r="B29" s="40"/>
    </row>
    <row r="30" spans="1:2" x14ac:dyDescent="0.3">
      <c r="A30" s="41" t="s">
        <v>462</v>
      </c>
      <c r="B30">
        <v>88</v>
      </c>
    </row>
    <row r="31" spans="1:2" x14ac:dyDescent="0.3">
      <c r="A31" s="39" t="s">
        <v>463</v>
      </c>
      <c r="B31" s="40"/>
    </row>
    <row r="32" spans="1:2" x14ac:dyDescent="0.3">
      <c r="A32" s="41" t="s">
        <v>464</v>
      </c>
      <c r="B32">
        <v>528</v>
      </c>
    </row>
    <row r="33" spans="1:2" x14ac:dyDescent="0.3">
      <c r="A33" s="39" t="s">
        <v>465</v>
      </c>
      <c r="B33" s="40"/>
    </row>
    <row r="34" spans="1:2" x14ac:dyDescent="0.3">
      <c r="A34" s="41" t="s">
        <v>466</v>
      </c>
      <c r="B34">
        <v>9662.4</v>
      </c>
    </row>
    <row r="35" spans="1:2" x14ac:dyDescent="0.3">
      <c r="A35" s="39" t="s">
        <v>467</v>
      </c>
      <c r="B35" s="40"/>
    </row>
    <row r="36" spans="1:2" x14ac:dyDescent="0.3">
      <c r="A36" s="41" t="s">
        <v>468</v>
      </c>
      <c r="B36">
        <v>950.4</v>
      </c>
    </row>
    <row r="37" spans="1:2" x14ac:dyDescent="0.3">
      <c r="A37" s="39" t="s">
        <v>469</v>
      </c>
      <c r="B37" s="40"/>
    </row>
    <row r="38" spans="1:2" x14ac:dyDescent="0.3">
      <c r="A38" s="41" t="s">
        <v>470</v>
      </c>
      <c r="B38">
        <v>1056</v>
      </c>
    </row>
    <row r="39" spans="1:2" x14ac:dyDescent="0.3">
      <c r="A39" s="39" t="s">
        <v>471</v>
      </c>
      <c r="B39" s="40"/>
    </row>
    <row r="40" spans="1:2" x14ac:dyDescent="0.3">
      <c r="A40" s="41" t="s">
        <v>472</v>
      </c>
      <c r="B40">
        <v>132</v>
      </c>
    </row>
    <row r="41" spans="1:2" x14ac:dyDescent="0.3">
      <c r="A41" s="39" t="s">
        <v>473</v>
      </c>
      <c r="B41" s="40"/>
    </row>
    <row r="42" spans="1:2" x14ac:dyDescent="0.3">
      <c r="A42" s="41" t="s">
        <v>474</v>
      </c>
      <c r="B42">
        <v>176</v>
      </c>
    </row>
    <row r="43" spans="1:2" x14ac:dyDescent="0.3">
      <c r="A43" s="39" t="s">
        <v>475</v>
      </c>
      <c r="B43" s="40"/>
    </row>
    <row r="44" spans="1:2" x14ac:dyDescent="0.3">
      <c r="A44" s="41" t="s">
        <v>476</v>
      </c>
      <c r="B44">
        <v>670.56</v>
      </c>
    </row>
    <row r="45" spans="1:2" x14ac:dyDescent="0.3">
      <c r="A45" s="39" t="s">
        <v>79</v>
      </c>
      <c r="B45" s="40"/>
    </row>
    <row r="46" spans="1:2" x14ac:dyDescent="0.3">
      <c r="A46" s="41" t="s">
        <v>477</v>
      </c>
      <c r="B46">
        <v>27000</v>
      </c>
    </row>
    <row r="47" spans="1:2" x14ac:dyDescent="0.3">
      <c r="A47" s="39" t="s">
        <v>361</v>
      </c>
      <c r="B47" s="40"/>
    </row>
    <row r="48" spans="1:2" x14ac:dyDescent="0.3">
      <c r="A48" s="41" t="s">
        <v>478</v>
      </c>
      <c r="B48">
        <v>88043</v>
      </c>
    </row>
    <row r="49" spans="1:2" x14ac:dyDescent="0.3">
      <c r="A49" s="39" t="s">
        <v>363</v>
      </c>
      <c r="B49" s="40"/>
    </row>
    <row r="50" spans="1:2" x14ac:dyDescent="0.3">
      <c r="A50" s="41" t="s">
        <v>479</v>
      </c>
      <c r="B50">
        <v>20000</v>
      </c>
    </row>
    <row r="51" spans="1:2" x14ac:dyDescent="0.3">
      <c r="A51" s="39" t="s">
        <v>365</v>
      </c>
      <c r="B51" s="40"/>
    </row>
    <row r="52" spans="1:2" x14ac:dyDescent="0.3">
      <c r="A52" s="41" t="s">
        <v>480</v>
      </c>
      <c r="B52">
        <v>7100</v>
      </c>
    </row>
    <row r="53" spans="1:2" x14ac:dyDescent="0.3">
      <c r="A53" s="39" t="s">
        <v>481</v>
      </c>
      <c r="B53" s="40"/>
    </row>
    <row r="54" spans="1:2" x14ac:dyDescent="0.3">
      <c r="A54" s="41" t="s">
        <v>482</v>
      </c>
      <c r="B54">
        <v>9000</v>
      </c>
    </row>
    <row r="55" spans="1:2" x14ac:dyDescent="0.3">
      <c r="A55" s="39" t="s">
        <v>483</v>
      </c>
      <c r="B55" s="40"/>
    </row>
    <row r="56" spans="1:2" x14ac:dyDescent="0.3">
      <c r="A56" s="41" t="s">
        <v>484</v>
      </c>
      <c r="B56">
        <v>6000</v>
      </c>
    </row>
    <row r="57" spans="1:2" x14ac:dyDescent="0.3">
      <c r="A57" s="39" t="s">
        <v>485</v>
      </c>
      <c r="B57" s="40"/>
    </row>
    <row r="58" spans="1:2" x14ac:dyDescent="0.3">
      <c r="A58" s="41" t="s">
        <v>486</v>
      </c>
      <c r="B58">
        <v>13000</v>
      </c>
    </row>
    <row r="59" spans="1:2" x14ac:dyDescent="0.3">
      <c r="A59" s="39" t="s">
        <v>82</v>
      </c>
      <c r="B59" s="40"/>
    </row>
    <row r="60" spans="1:2" x14ac:dyDescent="0.3">
      <c r="A60" s="41" t="s">
        <v>487</v>
      </c>
      <c r="B60">
        <v>13384.24</v>
      </c>
    </row>
    <row r="61" spans="1:2" x14ac:dyDescent="0.3">
      <c r="A61" s="39" t="s">
        <v>85</v>
      </c>
      <c r="B61" s="40"/>
    </row>
    <row r="62" spans="1:2" x14ac:dyDescent="0.3">
      <c r="A62" s="41" t="s">
        <v>488</v>
      </c>
      <c r="B62">
        <v>93820.59</v>
      </c>
    </row>
    <row r="63" spans="1:2" x14ac:dyDescent="0.3">
      <c r="A63" s="39" t="s">
        <v>489</v>
      </c>
      <c r="B63" s="40"/>
    </row>
    <row r="64" spans="1:2" x14ac:dyDescent="0.3">
      <c r="A64" s="41" t="s">
        <v>490</v>
      </c>
      <c r="B64">
        <v>12000</v>
      </c>
    </row>
    <row r="65" spans="1:2" x14ac:dyDescent="0.3">
      <c r="A65" s="42" t="s">
        <v>235</v>
      </c>
      <c r="B65" s="43">
        <v>378781.25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EBDBC-6E1D-4554-846A-FB496BC9EB97}">
  <dimension ref="A1:D50"/>
  <sheetViews>
    <sheetView tabSelected="1" topLeftCell="C30" zoomScale="85" zoomScaleNormal="85" workbookViewId="0">
      <selection activeCell="E56" sqref="E56"/>
    </sheetView>
  </sheetViews>
  <sheetFormatPr baseColWidth="10" defaultRowHeight="14.4" x14ac:dyDescent="0.3"/>
  <cols>
    <col min="2" max="2" width="14" bestFit="1" customWidth="1"/>
    <col min="3" max="3" width="150.33203125" customWidth="1"/>
    <col min="4" max="4" width="11.6640625" bestFit="1" customWidth="1"/>
  </cols>
  <sheetData>
    <row r="1" spans="1:4" ht="15" thickBot="1" x14ac:dyDescent="0.35">
      <c r="A1" s="45" t="s">
        <v>491</v>
      </c>
      <c r="B1" s="46" t="s">
        <v>492</v>
      </c>
      <c r="C1" s="46" t="s">
        <v>493</v>
      </c>
      <c r="D1" s="47" t="s">
        <v>1</v>
      </c>
    </row>
    <row r="2" spans="1:4" ht="15" thickTop="1" x14ac:dyDescent="0.3">
      <c r="A2" s="48" t="s">
        <v>494</v>
      </c>
      <c r="B2" s="49" t="s">
        <v>308</v>
      </c>
      <c r="C2" s="49" t="s">
        <v>495</v>
      </c>
      <c r="D2" s="50">
        <v>7671.12</v>
      </c>
    </row>
    <row r="3" spans="1:4" x14ac:dyDescent="0.3">
      <c r="A3" s="51" t="s">
        <v>494</v>
      </c>
      <c r="B3" s="52" t="s">
        <v>455</v>
      </c>
      <c r="C3" s="52" t="s">
        <v>496</v>
      </c>
      <c r="D3" s="53">
        <v>176</v>
      </c>
    </row>
    <row r="4" spans="1:4" x14ac:dyDescent="0.3">
      <c r="A4" s="48" t="s">
        <v>494</v>
      </c>
      <c r="B4" s="49" t="s">
        <v>497</v>
      </c>
      <c r="C4" s="49" t="s">
        <v>498</v>
      </c>
      <c r="D4" s="50">
        <v>6036.8</v>
      </c>
    </row>
    <row r="5" spans="1:4" x14ac:dyDescent="0.3">
      <c r="A5" s="51" t="s">
        <v>494</v>
      </c>
      <c r="B5" s="52" t="s">
        <v>499</v>
      </c>
      <c r="C5" s="52" t="s">
        <v>500</v>
      </c>
      <c r="D5" s="53">
        <v>3018.4</v>
      </c>
    </row>
    <row r="6" spans="1:4" x14ac:dyDescent="0.3">
      <c r="A6" s="48" t="s">
        <v>494</v>
      </c>
      <c r="B6" s="49" t="s">
        <v>501</v>
      </c>
      <c r="C6" s="49" t="s">
        <v>502</v>
      </c>
      <c r="D6" s="50">
        <v>29937.599999999999</v>
      </c>
    </row>
    <row r="7" spans="1:4" x14ac:dyDescent="0.3">
      <c r="A7" s="51" t="s">
        <v>494</v>
      </c>
      <c r="B7" s="52" t="s">
        <v>501</v>
      </c>
      <c r="C7" s="52" t="s">
        <v>503</v>
      </c>
      <c r="D7" s="53">
        <v>39916.800000000003</v>
      </c>
    </row>
    <row r="8" spans="1:4" x14ac:dyDescent="0.3">
      <c r="A8" s="48" t="s">
        <v>494</v>
      </c>
      <c r="B8" s="49" t="s">
        <v>504</v>
      </c>
      <c r="C8" s="49" t="s">
        <v>505</v>
      </c>
      <c r="D8" s="50">
        <v>3080</v>
      </c>
    </row>
    <row r="9" spans="1:4" x14ac:dyDescent="0.3">
      <c r="A9" s="51" t="s">
        <v>494</v>
      </c>
      <c r="B9" s="52" t="s">
        <v>506</v>
      </c>
      <c r="C9" s="52" t="s">
        <v>507</v>
      </c>
      <c r="D9" s="53">
        <v>440</v>
      </c>
    </row>
    <row r="10" spans="1:4" x14ac:dyDescent="0.3">
      <c r="A10" s="48" t="s">
        <v>494</v>
      </c>
      <c r="B10" s="49" t="s">
        <v>508</v>
      </c>
      <c r="C10" s="49" t="s">
        <v>509</v>
      </c>
      <c r="D10" s="50">
        <v>88</v>
      </c>
    </row>
    <row r="11" spans="1:4" x14ac:dyDescent="0.3">
      <c r="A11" s="51" t="s">
        <v>494</v>
      </c>
      <c r="B11" s="52" t="s">
        <v>510</v>
      </c>
      <c r="C11" s="52" t="s">
        <v>511</v>
      </c>
      <c r="D11" s="53">
        <v>176</v>
      </c>
    </row>
    <row r="12" spans="1:4" x14ac:dyDescent="0.3">
      <c r="A12" s="48" t="s">
        <v>494</v>
      </c>
      <c r="B12" s="49" t="s">
        <v>512</v>
      </c>
      <c r="C12" s="49" t="s">
        <v>513</v>
      </c>
      <c r="D12" s="50">
        <v>88</v>
      </c>
    </row>
    <row r="13" spans="1:4" x14ac:dyDescent="0.3">
      <c r="A13" s="51" t="s">
        <v>494</v>
      </c>
      <c r="B13" s="52" t="s">
        <v>514</v>
      </c>
      <c r="C13" s="52" t="s">
        <v>515</v>
      </c>
      <c r="D13" s="53">
        <v>176</v>
      </c>
    </row>
    <row r="14" spans="1:4" x14ac:dyDescent="0.3">
      <c r="A14" s="48" t="s">
        <v>494</v>
      </c>
      <c r="B14" s="49" t="s">
        <v>516</v>
      </c>
      <c r="C14" s="49" t="s">
        <v>517</v>
      </c>
      <c r="D14" s="50">
        <v>176</v>
      </c>
    </row>
    <row r="15" spans="1:4" x14ac:dyDescent="0.3">
      <c r="A15" s="51" t="s">
        <v>494</v>
      </c>
      <c r="B15" s="52" t="s">
        <v>518</v>
      </c>
      <c r="C15" s="52" t="s">
        <v>519</v>
      </c>
      <c r="D15" s="53">
        <v>932.8</v>
      </c>
    </row>
    <row r="16" spans="1:4" x14ac:dyDescent="0.3">
      <c r="A16" s="48" t="s">
        <v>494</v>
      </c>
      <c r="B16" s="49" t="s">
        <v>520</v>
      </c>
      <c r="C16" s="49" t="s">
        <v>521</v>
      </c>
      <c r="D16" s="50">
        <v>176</v>
      </c>
    </row>
    <row r="17" spans="1:4" x14ac:dyDescent="0.3">
      <c r="A17" s="51" t="s">
        <v>494</v>
      </c>
      <c r="B17" s="52" t="s">
        <v>522</v>
      </c>
      <c r="C17" s="52" t="s">
        <v>523</v>
      </c>
      <c r="D17" s="53">
        <v>176</v>
      </c>
    </row>
    <row r="18" spans="1:4" x14ac:dyDescent="0.3">
      <c r="A18" s="48" t="s">
        <v>494</v>
      </c>
      <c r="B18" s="49" t="s">
        <v>524</v>
      </c>
      <c r="C18" s="49" t="s">
        <v>525</v>
      </c>
      <c r="D18" s="50">
        <v>3238.4</v>
      </c>
    </row>
    <row r="19" spans="1:4" x14ac:dyDescent="0.3">
      <c r="A19" s="51" t="s">
        <v>494</v>
      </c>
      <c r="B19" s="52" t="s">
        <v>526</v>
      </c>
      <c r="C19" s="52" t="s">
        <v>527</v>
      </c>
      <c r="D19" s="53">
        <v>1320</v>
      </c>
    </row>
    <row r="20" spans="1:4" x14ac:dyDescent="0.3">
      <c r="A20" s="48" t="s">
        <v>494</v>
      </c>
      <c r="B20" s="49" t="s">
        <v>528</v>
      </c>
      <c r="C20" s="49" t="s">
        <v>529</v>
      </c>
      <c r="D20" s="50">
        <v>704</v>
      </c>
    </row>
    <row r="21" spans="1:4" x14ac:dyDescent="0.3">
      <c r="A21" s="51" t="s">
        <v>494</v>
      </c>
      <c r="B21" s="52" t="s">
        <v>530</v>
      </c>
      <c r="C21" s="52" t="s">
        <v>531</v>
      </c>
      <c r="D21" s="53">
        <v>176</v>
      </c>
    </row>
    <row r="22" spans="1:4" x14ac:dyDescent="0.3">
      <c r="A22" s="48" t="s">
        <v>494</v>
      </c>
      <c r="B22" s="49" t="s">
        <v>532</v>
      </c>
      <c r="C22" s="49" t="s">
        <v>533</v>
      </c>
      <c r="D22" s="50">
        <v>8800</v>
      </c>
    </row>
    <row r="23" spans="1:4" x14ac:dyDescent="0.3">
      <c r="A23" s="51" t="s">
        <v>494</v>
      </c>
      <c r="B23" s="52" t="s">
        <v>532</v>
      </c>
      <c r="C23" s="52" t="s">
        <v>534</v>
      </c>
      <c r="D23" s="53">
        <v>8800</v>
      </c>
    </row>
    <row r="24" spans="1:4" x14ac:dyDescent="0.3">
      <c r="A24" s="48" t="s">
        <v>494</v>
      </c>
      <c r="B24" s="49" t="s">
        <v>535</v>
      </c>
      <c r="C24" s="49" t="s">
        <v>536</v>
      </c>
      <c r="D24" s="50">
        <v>475.2</v>
      </c>
    </row>
    <row r="25" spans="1:4" x14ac:dyDescent="0.3">
      <c r="A25" s="51" t="s">
        <v>494</v>
      </c>
      <c r="B25" s="52" t="s">
        <v>537</v>
      </c>
      <c r="C25" s="52" t="s">
        <v>538</v>
      </c>
      <c r="D25" s="53">
        <v>12320</v>
      </c>
    </row>
    <row r="26" spans="1:4" x14ac:dyDescent="0.3">
      <c r="A26" s="48" t="s">
        <v>494</v>
      </c>
      <c r="B26" s="49" t="s">
        <v>539</v>
      </c>
      <c r="C26" s="49" t="s">
        <v>540</v>
      </c>
      <c r="D26" s="50">
        <v>30800</v>
      </c>
    </row>
    <row r="27" spans="1:4" x14ac:dyDescent="0.3">
      <c r="A27" s="51" t="s">
        <v>494</v>
      </c>
      <c r="B27" s="52" t="s">
        <v>541</v>
      </c>
      <c r="C27" s="52" t="s">
        <v>542</v>
      </c>
      <c r="D27" s="53">
        <v>5280</v>
      </c>
    </row>
    <row r="28" spans="1:4" x14ac:dyDescent="0.3">
      <c r="A28" s="48" t="s">
        <v>494</v>
      </c>
      <c r="B28" s="49" t="s">
        <v>543</v>
      </c>
      <c r="C28" s="49" t="s">
        <v>544</v>
      </c>
      <c r="D28" s="50">
        <v>1003.2</v>
      </c>
    </row>
    <row r="29" spans="1:4" x14ac:dyDescent="0.3">
      <c r="A29" s="51" t="s">
        <v>494</v>
      </c>
      <c r="B29" s="52" t="s">
        <v>545</v>
      </c>
      <c r="C29" s="52" t="s">
        <v>546</v>
      </c>
      <c r="D29" s="53">
        <v>4584.8</v>
      </c>
    </row>
    <row r="30" spans="1:4" x14ac:dyDescent="0.3">
      <c r="A30" s="48" t="s">
        <v>494</v>
      </c>
      <c r="B30" s="49" t="s">
        <v>547</v>
      </c>
      <c r="C30" s="49" t="s">
        <v>548</v>
      </c>
      <c r="D30" s="50">
        <v>413.6</v>
      </c>
    </row>
    <row r="31" spans="1:4" x14ac:dyDescent="0.3">
      <c r="A31" s="51" t="s">
        <v>494</v>
      </c>
      <c r="B31" s="52" t="s">
        <v>549</v>
      </c>
      <c r="C31" s="52" t="s">
        <v>550</v>
      </c>
      <c r="D31" s="53">
        <v>88</v>
      </c>
    </row>
    <row r="32" spans="1:4" x14ac:dyDescent="0.3">
      <c r="A32" s="48" t="s">
        <v>494</v>
      </c>
      <c r="B32" s="49" t="s">
        <v>551</v>
      </c>
      <c r="C32" s="49" t="s">
        <v>552</v>
      </c>
      <c r="D32" s="50">
        <v>176</v>
      </c>
    </row>
    <row r="33" spans="1:4" x14ac:dyDescent="0.3">
      <c r="A33" s="51" t="s">
        <v>494</v>
      </c>
      <c r="B33" s="52" t="s">
        <v>553</v>
      </c>
      <c r="C33" s="52" t="s">
        <v>554</v>
      </c>
      <c r="D33" s="53">
        <v>176</v>
      </c>
    </row>
    <row r="34" spans="1:4" x14ac:dyDescent="0.3">
      <c r="A34" s="48" t="s">
        <v>494</v>
      </c>
      <c r="B34" s="49" t="s">
        <v>555</v>
      </c>
      <c r="C34" s="49" t="s">
        <v>556</v>
      </c>
      <c r="D34" s="50">
        <v>88</v>
      </c>
    </row>
    <row r="35" spans="1:4" x14ac:dyDescent="0.3">
      <c r="A35" s="51" t="s">
        <v>494</v>
      </c>
      <c r="B35" s="52" t="s">
        <v>361</v>
      </c>
      <c r="C35" s="52" t="s">
        <v>557</v>
      </c>
      <c r="D35" s="53">
        <v>80272</v>
      </c>
    </row>
    <row r="36" spans="1:4" x14ac:dyDescent="0.3">
      <c r="A36" s="48" t="s">
        <v>494</v>
      </c>
      <c r="B36" s="49" t="s">
        <v>365</v>
      </c>
      <c r="C36" s="49" t="s">
        <v>558</v>
      </c>
      <c r="D36" s="50">
        <v>29820</v>
      </c>
    </row>
    <row r="37" spans="1:4" x14ac:dyDescent="0.3">
      <c r="A37" s="51" t="s">
        <v>494</v>
      </c>
      <c r="B37" s="52" t="s">
        <v>481</v>
      </c>
      <c r="C37" s="52" t="s">
        <v>559</v>
      </c>
      <c r="D37" s="53">
        <v>45000</v>
      </c>
    </row>
    <row r="38" spans="1:4" x14ac:dyDescent="0.3">
      <c r="A38" s="48" t="s">
        <v>494</v>
      </c>
      <c r="B38" s="49" t="s">
        <v>483</v>
      </c>
      <c r="C38" s="49" t="s">
        <v>560</v>
      </c>
      <c r="D38" s="50">
        <v>30000</v>
      </c>
    </row>
    <row r="39" spans="1:4" x14ac:dyDescent="0.3">
      <c r="A39" s="51" t="s">
        <v>494</v>
      </c>
      <c r="B39" s="52" t="s">
        <v>485</v>
      </c>
      <c r="C39" s="52" t="s">
        <v>561</v>
      </c>
      <c r="D39" s="53">
        <v>65000</v>
      </c>
    </row>
    <row r="40" spans="1:4" x14ac:dyDescent="0.3">
      <c r="A40" s="48" t="s">
        <v>494</v>
      </c>
      <c r="B40" s="49" t="s">
        <v>562</v>
      </c>
      <c r="C40" s="49" t="s">
        <v>563</v>
      </c>
      <c r="D40" s="50">
        <v>29000</v>
      </c>
    </row>
    <row r="41" spans="1:4" x14ac:dyDescent="0.3">
      <c r="A41" s="51" t="s">
        <v>494</v>
      </c>
      <c r="B41" s="52" t="s">
        <v>562</v>
      </c>
      <c r="C41" s="52" t="s">
        <v>564</v>
      </c>
      <c r="D41" s="53">
        <v>137280</v>
      </c>
    </row>
    <row r="42" spans="1:4" x14ac:dyDescent="0.3">
      <c r="A42" s="48" t="s">
        <v>494</v>
      </c>
      <c r="B42" s="49" t="s">
        <v>565</v>
      </c>
      <c r="C42" s="49" t="s">
        <v>566</v>
      </c>
      <c r="D42" s="50">
        <v>16000</v>
      </c>
    </row>
    <row r="43" spans="1:4" x14ac:dyDescent="0.3">
      <c r="A43" s="51" t="s">
        <v>494</v>
      </c>
      <c r="B43" s="52" t="s">
        <v>567</v>
      </c>
      <c r="C43" s="52" t="s">
        <v>568</v>
      </c>
      <c r="D43" s="53">
        <v>51318.75</v>
      </c>
    </row>
    <row r="44" spans="1:4" x14ac:dyDescent="0.3">
      <c r="A44" s="48" t="s">
        <v>494</v>
      </c>
      <c r="B44" s="49" t="s">
        <v>569</v>
      </c>
      <c r="C44" s="49" t="s">
        <v>570</v>
      </c>
      <c r="D44" s="50">
        <v>89441.25</v>
      </c>
    </row>
    <row r="45" spans="1:4" x14ac:dyDescent="0.3">
      <c r="A45" s="51" t="s">
        <v>494</v>
      </c>
      <c r="B45" s="52" t="s">
        <v>82</v>
      </c>
      <c r="C45" s="52" t="s">
        <v>571</v>
      </c>
      <c r="D45" s="53">
        <v>57825.9</v>
      </c>
    </row>
    <row r="46" spans="1:4" ht="15" thickBot="1" x14ac:dyDescent="0.35">
      <c r="A46" s="48" t="s">
        <v>494</v>
      </c>
      <c r="B46" s="49" t="s">
        <v>489</v>
      </c>
      <c r="C46" s="49" t="s">
        <v>572</v>
      </c>
      <c r="D46" s="50">
        <v>5000</v>
      </c>
    </row>
    <row r="47" spans="1:4" ht="15" thickTop="1" x14ac:dyDescent="0.3">
      <c r="A47" s="54" t="s">
        <v>2</v>
      </c>
      <c r="B47" s="55"/>
      <c r="C47" s="55"/>
      <c r="D47" s="56">
        <v>806666.62</v>
      </c>
    </row>
    <row r="50" spans="3:4" x14ac:dyDescent="0.3">
      <c r="C50" s="71" t="s">
        <v>605</v>
      </c>
      <c r="D50" s="72">
        <f>D47+'ingresos investigación 2020'!B65+'Ingresos investigación 2019'!B78</f>
        <v>1776004.4300000002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Tesis</vt:lpstr>
      <vt:lpstr>Sexenios</vt:lpstr>
      <vt:lpstr>Ingresos investigación 2018</vt:lpstr>
      <vt:lpstr>Ingresos investigación 2019</vt:lpstr>
      <vt:lpstr>ingresos investigación 2020</vt:lpstr>
      <vt:lpstr>ingresos investigación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cp:lastPrinted>2019-07-03T07:26:29Z</cp:lastPrinted>
  <dcterms:created xsi:type="dcterms:W3CDTF">2019-07-03T07:15:54Z</dcterms:created>
  <dcterms:modified xsi:type="dcterms:W3CDTF">2022-10-18T16:03:45Z</dcterms:modified>
</cp:coreProperties>
</file>