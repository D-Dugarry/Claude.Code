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8C9A8C12-7C59-4F24-B8AF-05D6DAC9C92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</sheets>
  <definedNames>
    <definedName name="_xlnm._FilterDatabase" localSheetId="1" hidden="1">Sexenios!$A$1:$S$23</definedName>
    <definedName name="_xlnm._FilterDatabase" localSheetId="0" hidden="1">Tesis!$A$1:$U$22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2" l="1"/>
  <c r="Q24" i="3" l="1"/>
  <c r="B28" i="5" l="1"/>
  <c r="D11" i="7" s="1"/>
</calcChain>
</file>

<file path=xl/sharedStrings.xml><?xml version="1.0" encoding="utf-8"?>
<sst xmlns="http://schemas.openxmlformats.org/spreadsheetml/2006/main" count="583" uniqueCount="204">
  <si>
    <t>Orgánica
Descripción justificante</t>
  </si>
  <si>
    <t>Importe</t>
  </si>
  <si>
    <t>Total</t>
  </si>
  <si>
    <t>40.60.6P.00.10</t>
  </si>
  <si>
    <t>40.60.6P.00.11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</si>
  <si>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</si>
  <si>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</si>
  <si>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</si>
  <si>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</si>
  <si>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</si>
  <si>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</si>
  <si>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</si>
  <si>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</si>
  <si>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</si>
  <si>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</si>
  <si>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</si>
  <si>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</si>
  <si>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</si>
  <si>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</si>
  <si>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</si>
  <si>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</si>
  <si>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</si>
  <si>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</si>
  <si>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</si>
  <si>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</si>
  <si>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</si>
  <si>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</si>
  <si>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</si>
  <si>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20/07/2017 </t>
  </si>
  <si>
    <t>Director de tesis </t>
  </si>
  <si>
    <t>12/07/2019 </t>
  </si>
  <si>
    <t>50</t>
  </si>
  <si>
    <t>U023 </t>
  </si>
  <si>
    <t>ADM. FACULTAD DE FILOSOFIA Y LETRAS </t>
  </si>
  <si>
    <t>DOCTORADO EN FILOSOFÍA Y LETRAS </t>
  </si>
  <si>
    <t>B142 </t>
  </si>
  <si>
    <t>FILOLOGÍA CATALANA </t>
  </si>
  <si>
    <t>21497069G </t>
  </si>
  <si>
    <t>B142</t>
  </si>
  <si>
    <t>10.08</t>
  </si>
  <si>
    <t>DOCTORADO EN FILOLOGÍA CATALANA </t>
  </si>
  <si>
    <t>25126465T </t>
  </si>
  <si>
    <t>21644530N </t>
  </si>
  <si>
    <t>21439260V </t>
  </si>
  <si>
    <t>DOCTORADO EN TRANSFERENCIAS INTERCULTURALES E HISTÓRICAS EN LA EUROPA MEDIE </t>
  </si>
  <si>
    <t>25119289T </t>
  </si>
  <si>
    <t>Cruz Morente, Miquel Antoni </t>
  </si>
  <si>
    <t>LA REVISTA CANIGÓ (1954-1983), UN REFERENT CULTURAL I LITERARI DELS PAÏSOS CATALANS </t>
  </si>
  <si>
    <t>12/06/2017 </t>
  </si>
  <si>
    <t>21650880Z </t>
  </si>
  <si>
    <t>Gisbert López, Ivan </t>
  </si>
  <si>
    <t>EL CONTE DINS LA TRAJECTÒRIA LITERÀRIA D'ISABEL-CLARA SIMÓ </t>
  </si>
  <si>
    <t>19/06/2017 </t>
  </si>
  <si>
    <t>Vidal Lloret, Vicent </t>
  </si>
  <si>
    <t>AUTORS, INSTITUCIONS I TENDÈNCIES EN LA LITERATURA POPULAR VALENCIANA (1873-1975) </t>
  </si>
  <si>
    <t>23/11/2016 </t>
  </si>
  <si>
    <t>Urquidi Díaz, Alicia </t>
  </si>
  <si>
    <t>DE LA MENTE AL DICCIONARIO. INNOVACIÓN CON METÁFORAS Y CAMBIO SEMÁNTICO EN EL DISCURSO ECONÓMICO MEDIÁTICO </t>
  </si>
  <si>
    <t>25/07/2017 </t>
  </si>
  <si>
    <t>Martines Llinares, Joan De Déu </t>
  </si>
  <si>
    <t>DICCIONARI DE L'OBRA LITERÀRIA D'ENRIC VALOR. LA NATURA (DOLEV-NATURA) </t>
  </si>
  <si>
    <t>Cambraia Franco, Gustavo </t>
  </si>
  <si>
    <t>A LETRA E O ESPÍRITO. ESTUDO PRÉVIO PARA UMA TRADUÇAO DE SERMOES REPRESENTATIVOS DE SAO VICENTE FERRER (1350-1419) PARA A LÍNGUA PORTUGUESA </t>
  </si>
  <si>
    <t>25122167A </t>
  </si>
  <si>
    <t>Pastor Briones, Vicent </t>
  </si>
  <si>
    <t>EL PIERRES DE PROVENÇA CATALÀ: ESTUDI I EDICIÓ CRÍTICA DE L'IMPRÉS DE 1650 </t>
  </si>
  <si>
    <t>14/09/2018 </t>
  </si>
  <si>
    <t>Garcia Sebastià, Josep Vicent </t>
  </si>
  <si>
    <t>LES CONSTRUCCIONS DE TEMPS TRANSCORREGUT EN EL CATALÀ DE L'EDAT MODERNA I CONTEMPORÀNIA: ACOSTAMENT SEGONS LA LINGÜÍSTICA DE CORPUS I LA GRAMÀTICA COGNITIVA </t>
  </si>
  <si>
    <t>12/07/2018 </t>
  </si>
  <si>
    <t>21497100N </t>
  </si>
  <si>
    <t>Pons Conca, Jaume </t>
  </si>
  <si>
    <t>CANVI SEMÀNTIC I GRAMATICALITZACIÓ DELS VERBS "METRE" I "POSAR": UN ACOSTAMENT SEGONS LA SEMÀNTICA COGNITIVA DIACRÒNICA </t>
  </si>
  <si>
    <t>Martínez Martínez, Caterina </t>
  </si>
  <si>
    <t>"LA GRAMATICALITZACIÓ DELS CONNECTORS DE CONTRAST: ESTUDI DE CORPUS I APROXIMACIÓ SEGONS LA TEORIA DE LA INFERÈNCIA INVITADA DEL CANVI SEMÀNTIC </t>
  </si>
  <si>
    <t>52911805Y </t>
  </si>
  <si>
    <t>Oikonomopoulos , Ilías </t>
  </si>
  <si>
    <t>LA TRADICIÓN DEL HUMANISMO MEDITERRÁNEO: "LO SOMNI" EL DIÁLOGO DE BERNAT METGE ESTUDIO Y TRADUCCIÓN ANOTADA AL GRIEGO </t>
  </si>
  <si>
    <t>14/11/2017 </t>
  </si>
  <si>
    <t>Budig , Hanna Magdalena </t>
  </si>
  <si>
    <t>LA LENGUA COMO SÍMBOLO DE LA DIVERGENCIA IDENTITARIA. EL CATALÁN DE VALENCIA ENTRE LENGUA NACIONAL, LENGUA ESTÁNDAR Y DIALECTO / SPRACHE ALS SYMBOL IDENTITÄRER DIVERGENZ-DAS KATALNISCHE IN VALENCIA ZWISCHEN NATIONALSPRACHE, STANDARDSPRACHE UND DIALEK </t>
  </si>
  <si>
    <t>19/07/2018 </t>
  </si>
  <si>
    <t>Mira Navarro, Irene </t>
  </si>
  <si>
    <t>TEORIA CRÍTICA DE L'ESPAI EN LA LITERATURA CONTEMPORÀNIA: APLICACIÓ A LA LÍRICA DE VICENT ANDRÉS ESTELLÉS </t>
  </si>
  <si>
    <t>12/09/2019 </t>
  </si>
  <si>
    <t>21668026W </t>
  </si>
  <si>
    <t>Lozano Sañudo, Belén </t>
  </si>
  <si>
    <t>LA TRADUCCIÓN DE LA LIJ: RETOS CREATIVOS, CONDICIONANTES SOCIOCULTURALES E INFLUENCIA EN LA LIJ NACIONAL Y EL IDIOLECTO AUTORIAL </t>
  </si>
  <si>
    <t>de Hoces Lomba, María </t>
  </si>
  <si>
    <t>RETÓRICA FORENSE Y LITERATURA: EL ORATOR PERFECTUS Y LA OBRA LITERARIA COMO INSTRUMENTO DE DEFENSA JURÍDICA </t>
  </si>
  <si>
    <t>17/06/2019 </t>
  </si>
  <si>
    <t>Alexandre Dos Santos, Armando </t>
  </si>
  <si>
    <t>O VÍCIO CAPITAL DA INVEJA, LEITMOTIV E FIO CONDUCTOR DE "CURIAL E GUELFA". ANÁLISE DA TRADUÇAO AO PORTUGUÊS E ESTUDO CULTURAL E SINTÁTICO-SEMÂNTICO </t>
  </si>
  <si>
    <t>14/12/2018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</si>
  <si>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</si>
  <si>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</si>
  <si>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</si>
  <si>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</si>
  <si>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</si>
  <si>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</si>
  <si>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</si>
  <si>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</si>
  <si>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</si>
  <si>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</si>
  <si>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</si>
  <si>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</si>
  <si>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</si>
  <si>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21374221E</t>
  </si>
  <si>
    <t>ALEMANY FERRER, RAFAEL</t>
  </si>
  <si>
    <t>21632131X</t>
  </si>
  <si>
    <t>BALAGUER PASCUAL, ENRIC</t>
  </si>
  <si>
    <t>21437369N</t>
  </si>
  <si>
    <t>BALDAQUI ESCANDELL, JOSEP MARIA</t>
  </si>
  <si>
    <t>25127439P</t>
  </si>
  <si>
    <t>BELTRAN I CALVO, VICENT</t>
  </si>
  <si>
    <t>25126465T</t>
  </si>
  <si>
    <t>BORJA SANZ, JOAN</t>
  </si>
  <si>
    <t>21650880Z</t>
  </si>
  <si>
    <t>CORTES ORTS, CARLES</t>
  </si>
  <si>
    <t>21640952E</t>
  </si>
  <si>
    <t>ESPINOS FELIPE, JOAQUIM</t>
  </si>
  <si>
    <t>52767687Y</t>
  </si>
  <si>
    <t>ESTEVE GUILLEN, ANNA ISABEL</t>
  </si>
  <si>
    <t>21668026W</t>
  </si>
  <si>
    <t>FRANCES DIEZ, MARIA ANGELS</t>
  </si>
  <si>
    <t>21439260V</t>
  </si>
  <si>
    <t>GARCIA SEMPERE, MARIA MANUELA</t>
  </si>
  <si>
    <t>79101713K</t>
  </si>
  <si>
    <t>GUARDIOLA SAVALL, MARIA ISABEL</t>
  </si>
  <si>
    <t>25122922E</t>
  </si>
  <si>
    <t>LLORCA IBI, FRANCESC XAVIER</t>
  </si>
  <si>
    <t>21644530N</t>
  </si>
  <si>
    <t>MARTIN PASCUAL, LLUCIA</t>
  </si>
  <si>
    <t>25119289T</t>
  </si>
  <si>
    <t>MARTINEZ PEREZ, JOSEP</t>
  </si>
  <si>
    <t>25122167A</t>
  </si>
  <si>
    <t>MARTINEZ PEREZ, VICENT</t>
  </si>
  <si>
    <t>21497069G</t>
  </si>
  <si>
    <t>MARTOS SANCHEZ, JOSEP LLUIS</t>
  </si>
  <si>
    <t>21418561H</t>
  </si>
  <si>
    <t>MAS MIRALLES, ANTONI</t>
  </si>
  <si>
    <t>74209119X</t>
  </si>
  <si>
    <t>MONTOYA ABAT, BRAULI</t>
  </si>
  <si>
    <t>52911805Y</t>
  </si>
  <si>
    <t>MONTSERRAT BUENDIA, SANDRA</t>
  </si>
  <si>
    <t>22009507W</t>
  </si>
  <si>
    <t>PERUJO MELGAR, JOAN MARIA</t>
  </si>
  <si>
    <t>21979558E</t>
  </si>
  <si>
    <t>SANSANO I BELSO, GABRIEL</t>
  </si>
  <si>
    <t>21497100N</t>
  </si>
  <si>
    <t>40.60.6C.00.17</t>
  </si>
  <si>
    <t>Comoposició textual i disseny del llibre "El sol de la nostra glòria", de Rafael Roca.</t>
  </si>
  <si>
    <t>40.60.6C.00.18</t>
  </si>
  <si>
    <t>Composició textual i disseny del llibre "La cultura de les barques de fusta", autora Anna Baldó.</t>
  </si>
  <si>
    <t>40.60.6C.00.19</t>
  </si>
  <si>
    <t>Composició textual i disseny del llibre "La catedral de la Marina", de Teodor Crespo.</t>
  </si>
  <si>
    <t>40.60.6C.00.20</t>
  </si>
  <si>
    <t>Composició textual i disseny del llibre "Descubreix art en Valor", de diversos autors.</t>
  </si>
  <si>
    <t>40.60.6C.00.21</t>
  </si>
  <si>
    <t>Composició textual, correció ortotipogràfica i revisió de planxes del llibre d'Achile Mbembe "Polítiques de l'enemistat", Col. Pensament i societat.</t>
  </si>
  <si>
    <t>40.60.6C.00.22</t>
  </si>
  <si>
    <t>Composició textual, correcció ortotipogràfica i revisió de planxes del llibre d`Aina Monferrer "Vicent Andrés Estellés a l¿aula. Anàlisi de l¿estil i propostes didàctiques", Col. "Estudis Universitaris".</t>
  </si>
  <si>
    <t>40.60.6C.00.23</t>
  </si>
  <si>
    <t>CONTRACTACIÓ DE QUATRE TREBALLS DE L¿INSTITUT JOAN GIL-ALBERT AMB L¿INSTITUT DE FILOLOGIA VALENCIANA.</t>
  </si>
  <si>
    <t>40.60.6C.00.24</t>
  </si>
  <si>
    <t>40.60.6C.00.25</t>
  </si>
  <si>
    <t>40.60.6C.00.26</t>
  </si>
  <si>
    <t>LIBERADOS EL 18/03/19. ANUALIDAD 2019 PROYECTOS I+D (PIA1) N EXPEDIENTE: PIA12017-1 -2 ANUALIDAD REFERENCIA: FFI2017-83950-P.  REF. ORDENANTE: 27402219310015465.</t>
  </si>
  <si>
    <t>LIBERADOS EL 18/03/19, ANUALIDAD 2019 PROYECTOS I+D (PIA1) N EXPEDIENTE: PIA12017-1 -2 ANUALIDAD REFERENCIA: FFI2017-86313-P. REF. ORDENANTE:  27402219310015468.</t>
  </si>
  <si>
    <t>40.60.6P.00.12</t>
  </si>
  <si>
    <t xml:space="preserve">SUBVENCIONES GRUPOS INVESTIGACION CONSOLIDABLES AICO/2019 (EDUCACIÓN,INVESTIGACIÓN,CULTURA Y DEPORT)  </t>
  </si>
  <si>
    <t>Mangas Navarro, Natalia Anaís </t>
  </si>
  <si>
    <t>La criança y virtuosa dotrina de Pedro de Gracia Dei: estudio y edición crítica </t>
  </si>
  <si>
    <t>22/07/2020 </t>
  </si>
  <si>
    <t>COD DEP</t>
  </si>
  <si>
    <t>vivos</t>
  </si>
  <si>
    <t>Ferrando Morales, Àngel Lluís </t>
  </si>
  <si>
    <t>EL TIRANT LO BLANC FET MÚSICA: LES COMPOSICIONS MUSICALS INSPIRADES EN EL TIRANT LO BLANC </t>
  </si>
  <si>
    <t>04/11/2020 </t>
  </si>
  <si>
    <t>Escolano Marín, Xènia </t>
  </si>
  <si>
    <t>Diccionari electrònic bilingüe català&gt;anglés de locucions referencials idiomàtiques de somatismes </t>
  </si>
  <si>
    <t>22/07/2021 </t>
  </si>
  <si>
    <t>LIBERADOS EL 18/02/2020, ANUALIDAD 2020 PROYECTOS I+D (PIA 1) N EXPEDIENTE: PIA 1 2017-1-3 ANUALIDAD REFERENCIA:FFI2017-83950-P</t>
  </si>
  <si>
    <t xml:space="preserve">LIBERADOS EL 18/02/2020, ANUALIDAD 2020 PROYECTOS I+D (PIA1) N EXPEDIENTE: PIA12017-1 - 3 ANUALIDAD REFERENCIA: FFI2017-86313-P </t>
  </si>
  <si>
    <t>SUBVENCIONES GRUPOS INVESTIGACION CONSOLIDABLES AICO/2019.2ª (INNOVACIÓN,UNIVERSIDADES,CIENCIA SOC.DIG)</t>
  </si>
  <si>
    <t>40.60.6P.00.14</t>
  </si>
  <si>
    <t>PAGO CONVOVATORIA PROYECTOS 2019 ANUALIDAD 2020 PROYECTOS I+D (PIA1) EXPEDIENTE PIA12019-1-1 ANUALIDAD REFERENCIA: PID2019-105857G</t>
  </si>
  <si>
    <t>Unidad</t>
  </si>
  <si>
    <t>Cód. org. aplic.</t>
  </si>
  <si>
    <t>Descripción justificante</t>
  </si>
  <si>
    <t>40.60</t>
  </si>
  <si>
    <t>40.60.6C.00.27</t>
  </si>
  <si>
    <t>"Revisió d'originals i correcció ortogràfica de la Vita Christi d'Isabel de Villena, a cura d'Albert Hauf"</t>
  </si>
  <si>
    <t>40.60.6F.00.03</t>
  </si>
  <si>
    <t xml:space="preserve">REINTEGRO CUOTA PATRONAL CORRESPONDIENTE A DICIEMBRE DE 2021. </t>
  </si>
  <si>
    <t>LIBERADOS EL 14/05/2021 ANUALIDAD 2021 PROYECTOS I+D (PIA1) N EXPEDIENTE: PIA12017-1-4 ANUALIDAD REFERENCIA: FFI2017-83950-P</t>
  </si>
  <si>
    <t>LIBERADOS EL 14/05/2021 ANUALIDAD 2021 PROYECTOS I+D (PIA1) N EXPEDIENTE: PIA12017-1-4 ANUALIDAD REFERENCIA: FFI2017-86313-P</t>
  </si>
  <si>
    <t>PID2019-105857GB-I00</t>
  </si>
  <si>
    <t>Antón Álvarez de Cienfuegos, María </t>
  </si>
  <si>
    <t>"LA TRANSMISSIÓ FAMILIAR DEL CATALÀ A LA CATALUNYA DEL NORD" </t>
  </si>
  <si>
    <t>14/12/2021 </t>
  </si>
  <si>
    <t>21418561H </t>
  </si>
  <si>
    <t>SEGURA I LLOPEZ, CARLES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</si>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</sst>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textRotation="90" wrapText="1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2" borderId="0" xfId="5" applyFont="1" applyFill="1"/>
    <xf numFmtId="0" fontId="10" fillId="2" borderId="0" xfId="5" applyFont="1" applyFill="1" applyAlignment="1">
      <alignment horizontal="right"/>
    </xf>
    <xf numFmtId="0" fontId="10" fillId="0" borderId="0" xfId="5" applyFont="1" applyAlignment="1">
      <alignment horizontal="right"/>
    </xf>
    <xf numFmtId="164" fontId="11" fillId="2" borderId="1" xfId="5" applyNumberFormat="1" applyFont="1" applyFill="1" applyBorder="1" applyAlignment="1"/>
    <xf numFmtId="164" fontId="11" fillId="2" borderId="0" xfId="5" applyNumberFormat="1" applyFont="1" applyFill="1" applyBorder="1" applyAlignment="1"/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/>
    </xf>
    <xf numFmtId="0" fontId="11" fillId="0" borderId="7" xfId="0" applyFont="1" applyBorder="1"/>
    <xf numFmtId="0" fontId="0" fillId="0" borderId="0" xfId="0" applyAlignment="1">
      <alignment horizontal="left" indent="1"/>
    </xf>
    <xf numFmtId="0" fontId="11" fillId="7" borderId="8" xfId="0" applyFont="1" applyFill="1" applyBorder="1" applyAlignment="1">
      <alignment horizontal="left"/>
    </xf>
    <xf numFmtId="0" fontId="11" fillId="7" borderId="8" xfId="0" applyFont="1" applyFill="1" applyBorder="1"/>
    <xf numFmtId="0" fontId="13" fillId="8" borderId="9" xfId="0" applyNumberFormat="1" applyFont="1" applyFill="1" applyBorder="1"/>
    <xf numFmtId="0" fontId="13" fillId="8" borderId="10" xfId="0" applyNumberFormat="1" applyFont="1" applyFill="1" applyBorder="1"/>
    <xf numFmtId="0" fontId="13" fillId="8" borderId="11" xfId="0" applyFont="1" applyFill="1" applyBorder="1" applyAlignment="1">
      <alignment horizontal="right"/>
    </xf>
    <xf numFmtId="0" fontId="0" fillId="9" borderId="12" xfId="0" applyNumberFormat="1" applyFont="1" applyFill="1" applyBorder="1"/>
    <xf numFmtId="0" fontId="0" fillId="9" borderId="13" xfId="0" applyFont="1" applyFill="1" applyBorder="1"/>
    <xf numFmtId="4" fontId="0" fillId="9" borderId="14" xfId="0" applyNumberFormat="1" applyFont="1" applyFill="1" applyBorder="1"/>
    <xf numFmtId="0" fontId="0" fillId="7" borderId="12" xfId="0" applyNumberFormat="1" applyFont="1" applyFill="1" applyBorder="1"/>
    <xf numFmtId="0" fontId="0" fillId="7" borderId="13" xfId="0" applyFont="1" applyFill="1" applyBorder="1"/>
    <xf numFmtId="4" fontId="0" fillId="7" borderId="14" xfId="0" applyNumberFormat="1" applyFont="1" applyFill="1" applyBorder="1"/>
    <xf numFmtId="0" fontId="13" fillId="8" borderId="15" xfId="0" applyFont="1" applyFill="1" applyBorder="1"/>
    <xf numFmtId="0" fontId="13" fillId="8" borderId="16" xfId="0" applyFont="1" applyFill="1" applyBorder="1"/>
    <xf numFmtId="4" fontId="13" fillId="8" borderId="17" xfId="0" applyNumberFormat="1" applyFon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164" fontId="4" fillId="2" borderId="1" xfId="1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right"/>
    </xf>
    <xf numFmtId="4" fontId="14" fillId="0" borderId="1" xfId="0" applyNumberFormat="1" applyFont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3"/>
  <sheetViews>
    <sheetView showGridLines="0" tabSelected="1" topLeftCell="E1" zoomScale="120" zoomScaleNormal="120" workbookViewId="0">
      <selection activeCell="K32" sqref="K32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5.33203125" style="14" customWidth="1"/>
    <col min="14" max="14" width="4.88671875" style="13" customWidth="1"/>
    <col min="15" max="15" width="5.3320312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5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1" t="s">
        <v>20</v>
      </c>
      <c r="Q1" s="12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30" t="s">
        <v>35</v>
      </c>
      <c r="B2" s="30" t="s">
        <v>36</v>
      </c>
      <c r="C2" s="30" t="s">
        <v>40</v>
      </c>
      <c r="D2" s="30" t="s">
        <v>46</v>
      </c>
      <c r="E2" s="30" t="s">
        <v>47</v>
      </c>
      <c r="F2" s="30" t="s">
        <v>48</v>
      </c>
      <c r="G2" s="30" t="s">
        <v>49</v>
      </c>
      <c r="H2" s="30" t="s">
        <v>26</v>
      </c>
      <c r="I2" s="30" t="s">
        <v>35</v>
      </c>
      <c r="J2" s="30" t="s">
        <v>36</v>
      </c>
      <c r="K2" s="33">
        <v>0.5</v>
      </c>
      <c r="L2" s="30" t="s">
        <v>38</v>
      </c>
      <c r="M2" s="30">
        <v>2016</v>
      </c>
      <c r="N2" s="30" t="s">
        <v>39</v>
      </c>
      <c r="O2" s="31" t="s">
        <v>31</v>
      </c>
      <c r="P2" s="30" t="s">
        <v>27</v>
      </c>
      <c r="Q2" s="31" t="s">
        <v>27</v>
      </c>
      <c r="R2" s="32">
        <v>50</v>
      </c>
      <c r="S2" s="33">
        <v>0.25</v>
      </c>
      <c r="T2" s="33">
        <v>0.25</v>
      </c>
      <c r="U2" s="33">
        <v>0</v>
      </c>
    </row>
    <row r="3" spans="1:21" x14ac:dyDescent="0.2">
      <c r="A3" s="30" t="s">
        <v>35</v>
      </c>
      <c r="B3" s="30" t="s">
        <v>36</v>
      </c>
      <c r="C3" s="30" t="s">
        <v>40</v>
      </c>
      <c r="D3" s="30" t="s">
        <v>50</v>
      </c>
      <c r="E3" s="30" t="s">
        <v>51</v>
      </c>
      <c r="F3" s="30" t="s">
        <v>52</v>
      </c>
      <c r="G3" s="30" t="s">
        <v>49</v>
      </c>
      <c r="H3" s="30" t="s">
        <v>29</v>
      </c>
      <c r="I3" s="30" t="s">
        <v>35</v>
      </c>
      <c r="J3" s="30" t="s">
        <v>36</v>
      </c>
      <c r="K3" s="33">
        <v>1</v>
      </c>
      <c r="L3" s="30" t="s">
        <v>38</v>
      </c>
      <c r="M3" s="30">
        <v>2016</v>
      </c>
      <c r="N3" s="30" t="s">
        <v>39</v>
      </c>
      <c r="O3" s="31" t="s">
        <v>31</v>
      </c>
      <c r="P3" s="30" t="s">
        <v>27</v>
      </c>
      <c r="Q3" s="31" t="s">
        <v>27</v>
      </c>
      <c r="R3" s="32">
        <v>50</v>
      </c>
      <c r="S3" s="33">
        <v>0.5</v>
      </c>
      <c r="T3" s="33">
        <v>0.5</v>
      </c>
      <c r="U3" s="33">
        <v>0</v>
      </c>
    </row>
    <row r="4" spans="1:21" x14ac:dyDescent="0.2">
      <c r="A4" s="30" t="s">
        <v>35</v>
      </c>
      <c r="B4" s="30" t="s">
        <v>36</v>
      </c>
      <c r="C4" s="30" t="s">
        <v>40</v>
      </c>
      <c r="D4" s="30" t="s">
        <v>53</v>
      </c>
      <c r="E4" s="30" t="s">
        <v>54</v>
      </c>
      <c r="F4" s="30" t="s">
        <v>55</v>
      </c>
      <c r="G4" s="30" t="s">
        <v>41</v>
      </c>
      <c r="H4" s="30" t="s">
        <v>26</v>
      </c>
      <c r="I4" s="30" t="s">
        <v>35</v>
      </c>
      <c r="J4" s="30" t="s">
        <v>36</v>
      </c>
      <c r="K4" s="33">
        <v>0.5</v>
      </c>
      <c r="L4" s="30" t="s">
        <v>38</v>
      </c>
      <c r="M4" s="30">
        <v>2016</v>
      </c>
      <c r="N4" s="30" t="s">
        <v>39</v>
      </c>
      <c r="O4" s="31" t="s">
        <v>31</v>
      </c>
      <c r="P4" s="30" t="s">
        <v>27</v>
      </c>
      <c r="Q4" s="31" t="s">
        <v>27</v>
      </c>
      <c r="R4" s="32">
        <v>50</v>
      </c>
      <c r="S4" s="33">
        <v>0.25</v>
      </c>
      <c r="T4" s="33">
        <v>0.25</v>
      </c>
      <c r="U4" s="33">
        <v>0</v>
      </c>
    </row>
    <row r="5" spans="1:21" x14ac:dyDescent="0.2">
      <c r="A5" s="30" t="s">
        <v>32</v>
      </c>
      <c r="B5" s="30" t="s">
        <v>33</v>
      </c>
      <c r="C5" s="30" t="s">
        <v>44</v>
      </c>
      <c r="D5" s="30" t="s">
        <v>56</v>
      </c>
      <c r="E5" s="30" t="s">
        <v>57</v>
      </c>
      <c r="F5" s="30" t="s">
        <v>58</v>
      </c>
      <c r="G5" s="30" t="s">
        <v>45</v>
      </c>
      <c r="H5" s="30" t="s">
        <v>26</v>
      </c>
      <c r="I5" s="30" t="s">
        <v>35</v>
      </c>
      <c r="J5" s="30" t="s">
        <v>36</v>
      </c>
      <c r="K5" s="33">
        <v>0.5</v>
      </c>
      <c r="L5" s="30" t="s">
        <v>38</v>
      </c>
      <c r="M5" s="30">
        <v>2016</v>
      </c>
      <c r="N5" s="30" t="s">
        <v>39</v>
      </c>
      <c r="O5" s="31" t="s">
        <v>31</v>
      </c>
      <c r="P5" s="30" t="s">
        <v>27</v>
      </c>
      <c r="Q5" s="31" t="s">
        <v>27</v>
      </c>
      <c r="R5" s="32">
        <v>50</v>
      </c>
      <c r="S5" s="33">
        <v>0.25</v>
      </c>
      <c r="T5" s="33">
        <v>0.25</v>
      </c>
      <c r="U5" s="33">
        <v>0</v>
      </c>
    </row>
    <row r="6" spans="1:21" x14ac:dyDescent="0.2">
      <c r="A6" s="30" t="s">
        <v>32</v>
      </c>
      <c r="B6" s="30" t="s">
        <v>33</v>
      </c>
      <c r="C6" s="30" t="s">
        <v>44</v>
      </c>
      <c r="D6" s="30" t="s">
        <v>59</v>
      </c>
      <c r="E6" s="30" t="s">
        <v>60</v>
      </c>
      <c r="F6" s="30" t="s">
        <v>28</v>
      </c>
      <c r="G6" s="30" t="s">
        <v>45</v>
      </c>
      <c r="H6" s="30" t="s">
        <v>29</v>
      </c>
      <c r="I6" s="30" t="s">
        <v>35</v>
      </c>
      <c r="J6" s="30" t="s">
        <v>36</v>
      </c>
      <c r="K6" s="33">
        <v>1</v>
      </c>
      <c r="L6" s="30" t="s">
        <v>38</v>
      </c>
      <c r="M6" s="30">
        <v>2016</v>
      </c>
      <c r="N6" s="30" t="s">
        <v>39</v>
      </c>
      <c r="O6" s="31" t="s">
        <v>31</v>
      </c>
      <c r="P6" s="30" t="s">
        <v>27</v>
      </c>
      <c r="Q6" s="31" t="s">
        <v>27</v>
      </c>
      <c r="R6" s="32">
        <v>50</v>
      </c>
      <c r="S6" s="33">
        <v>0.5</v>
      </c>
      <c r="T6" s="33">
        <v>0.5</v>
      </c>
      <c r="U6" s="33">
        <v>0</v>
      </c>
    </row>
    <row r="7" spans="1:21" x14ac:dyDescent="0.2">
      <c r="A7" s="30" t="s">
        <v>32</v>
      </c>
      <c r="B7" s="30" t="s">
        <v>33</v>
      </c>
      <c r="C7" s="30" t="s">
        <v>44</v>
      </c>
      <c r="D7" s="30" t="s">
        <v>61</v>
      </c>
      <c r="E7" s="30" t="s">
        <v>62</v>
      </c>
      <c r="F7" s="30" t="s">
        <v>28</v>
      </c>
      <c r="G7" s="30" t="s">
        <v>63</v>
      </c>
      <c r="H7" s="30" t="s">
        <v>26</v>
      </c>
      <c r="I7" s="30" t="s">
        <v>35</v>
      </c>
      <c r="J7" s="30" t="s">
        <v>36</v>
      </c>
      <c r="K7" s="33">
        <v>0.5</v>
      </c>
      <c r="L7" s="30" t="s">
        <v>38</v>
      </c>
      <c r="M7" s="30">
        <v>2016</v>
      </c>
      <c r="N7" s="30" t="s">
        <v>39</v>
      </c>
      <c r="O7" s="31" t="s">
        <v>31</v>
      </c>
      <c r="P7" s="30" t="s">
        <v>27</v>
      </c>
      <c r="Q7" s="31" t="s">
        <v>27</v>
      </c>
      <c r="R7" s="32">
        <v>50</v>
      </c>
      <c r="S7" s="33">
        <v>0.25</v>
      </c>
      <c r="T7" s="33">
        <v>0.25</v>
      </c>
      <c r="U7" s="33">
        <v>0</v>
      </c>
    </row>
    <row r="8" spans="1:21" x14ac:dyDescent="0.2">
      <c r="A8" s="30" t="s">
        <v>32</v>
      </c>
      <c r="B8" s="30" t="s">
        <v>33</v>
      </c>
      <c r="C8" s="30" t="s">
        <v>34</v>
      </c>
      <c r="D8" s="30" t="s">
        <v>64</v>
      </c>
      <c r="E8" s="30" t="s">
        <v>65</v>
      </c>
      <c r="F8" s="30" t="s">
        <v>66</v>
      </c>
      <c r="G8" s="30" t="s">
        <v>43</v>
      </c>
      <c r="H8" s="30" t="s">
        <v>29</v>
      </c>
      <c r="I8" s="30" t="s">
        <v>35</v>
      </c>
      <c r="J8" s="30" t="s">
        <v>36</v>
      </c>
      <c r="K8" s="33">
        <v>1</v>
      </c>
      <c r="L8" s="30" t="s">
        <v>38</v>
      </c>
      <c r="M8" s="30">
        <v>2017</v>
      </c>
      <c r="N8" s="30" t="s">
        <v>39</v>
      </c>
      <c r="O8" s="31" t="s">
        <v>31</v>
      </c>
      <c r="P8" s="30" t="s">
        <v>27</v>
      </c>
      <c r="Q8" s="31" t="s">
        <v>27</v>
      </c>
      <c r="R8" s="32">
        <v>50</v>
      </c>
      <c r="S8" s="33">
        <v>0.5</v>
      </c>
      <c r="T8" s="33">
        <v>0.5</v>
      </c>
      <c r="U8" s="33">
        <v>0</v>
      </c>
    </row>
    <row r="9" spans="1:21" x14ac:dyDescent="0.2">
      <c r="A9" s="30" t="s">
        <v>32</v>
      </c>
      <c r="B9" s="30" t="s">
        <v>33</v>
      </c>
      <c r="C9" s="30" t="s">
        <v>44</v>
      </c>
      <c r="D9" s="30" t="s">
        <v>67</v>
      </c>
      <c r="E9" s="30" t="s">
        <v>68</v>
      </c>
      <c r="F9" s="30" t="s">
        <v>69</v>
      </c>
      <c r="G9" s="30" t="s">
        <v>70</v>
      </c>
      <c r="H9" s="30" t="s">
        <v>26</v>
      </c>
      <c r="I9" s="30" t="s">
        <v>35</v>
      </c>
      <c r="J9" s="30" t="s">
        <v>36</v>
      </c>
      <c r="K9" s="33">
        <v>0.5</v>
      </c>
      <c r="L9" s="30" t="s">
        <v>38</v>
      </c>
      <c r="M9" s="30">
        <v>2017</v>
      </c>
      <c r="N9" s="30" t="s">
        <v>39</v>
      </c>
      <c r="O9" s="31" t="s">
        <v>31</v>
      </c>
      <c r="P9" s="30" t="s">
        <v>27</v>
      </c>
      <c r="Q9" s="31" t="s">
        <v>27</v>
      </c>
      <c r="R9" s="32">
        <v>50</v>
      </c>
      <c r="S9" s="33">
        <v>0.25</v>
      </c>
      <c r="T9" s="33">
        <v>0.25</v>
      </c>
      <c r="U9" s="33">
        <v>0</v>
      </c>
    </row>
    <row r="10" spans="1:21" x14ac:dyDescent="0.2">
      <c r="A10" s="30" t="s">
        <v>32</v>
      </c>
      <c r="B10" s="30" t="s">
        <v>33</v>
      </c>
      <c r="C10" s="30" t="s">
        <v>44</v>
      </c>
      <c r="D10" s="30" t="s">
        <v>67</v>
      </c>
      <c r="E10" s="30" t="s">
        <v>68</v>
      </c>
      <c r="F10" s="30" t="s">
        <v>69</v>
      </c>
      <c r="G10" s="30" t="s">
        <v>45</v>
      </c>
      <c r="H10" s="30" t="s">
        <v>26</v>
      </c>
      <c r="I10" s="30" t="s">
        <v>35</v>
      </c>
      <c r="J10" s="30" t="s">
        <v>36</v>
      </c>
      <c r="K10" s="33">
        <v>0.5</v>
      </c>
      <c r="L10" s="30" t="s">
        <v>38</v>
      </c>
      <c r="M10" s="30">
        <v>2017</v>
      </c>
      <c r="N10" s="30" t="s">
        <v>39</v>
      </c>
      <c r="O10" s="31" t="s">
        <v>31</v>
      </c>
      <c r="P10" s="30" t="s">
        <v>27</v>
      </c>
      <c r="Q10" s="31" t="s">
        <v>27</v>
      </c>
      <c r="R10" s="32">
        <v>50</v>
      </c>
      <c r="S10" s="33">
        <v>0.25</v>
      </c>
      <c r="T10" s="33">
        <v>0.25</v>
      </c>
      <c r="U10" s="33">
        <v>0</v>
      </c>
    </row>
    <row r="11" spans="1:21" x14ac:dyDescent="0.2">
      <c r="A11" s="30" t="s">
        <v>32</v>
      </c>
      <c r="B11" s="30" t="s">
        <v>33</v>
      </c>
      <c r="C11" s="30" t="s">
        <v>44</v>
      </c>
      <c r="D11" s="30" t="s">
        <v>71</v>
      </c>
      <c r="E11" s="30" t="s">
        <v>72</v>
      </c>
      <c r="F11" s="30" t="s">
        <v>69</v>
      </c>
      <c r="G11" s="30" t="s">
        <v>45</v>
      </c>
      <c r="H11" s="30" t="s">
        <v>29</v>
      </c>
      <c r="I11" s="30" t="s">
        <v>35</v>
      </c>
      <c r="J11" s="30" t="s">
        <v>36</v>
      </c>
      <c r="K11" s="33">
        <v>1</v>
      </c>
      <c r="L11" s="30" t="s">
        <v>38</v>
      </c>
      <c r="M11" s="30">
        <v>2017</v>
      </c>
      <c r="N11" s="30" t="s">
        <v>39</v>
      </c>
      <c r="O11" s="31" t="s">
        <v>31</v>
      </c>
      <c r="P11" s="30" t="s">
        <v>27</v>
      </c>
      <c r="Q11" s="31" t="s">
        <v>27</v>
      </c>
      <c r="R11" s="32">
        <v>50</v>
      </c>
      <c r="S11" s="33">
        <v>0.5</v>
      </c>
      <c r="T11" s="33">
        <v>0.5</v>
      </c>
      <c r="U11" s="33">
        <v>0</v>
      </c>
    </row>
    <row r="12" spans="1:21" x14ac:dyDescent="0.2">
      <c r="A12" s="30" t="s">
        <v>32</v>
      </c>
      <c r="B12" s="30" t="s">
        <v>33</v>
      </c>
      <c r="C12" s="30" t="s">
        <v>44</v>
      </c>
      <c r="D12" s="30" t="s">
        <v>73</v>
      </c>
      <c r="E12" s="30" t="s">
        <v>74</v>
      </c>
      <c r="F12" s="30" t="s">
        <v>69</v>
      </c>
      <c r="G12" s="30" t="s">
        <v>75</v>
      </c>
      <c r="H12" s="30" t="s">
        <v>29</v>
      </c>
      <c r="I12" s="30" t="s">
        <v>35</v>
      </c>
      <c r="J12" s="30" t="s">
        <v>36</v>
      </c>
      <c r="K12" s="33">
        <v>1</v>
      </c>
      <c r="L12" s="30" t="s">
        <v>38</v>
      </c>
      <c r="M12" s="30">
        <v>2017</v>
      </c>
      <c r="N12" s="30" t="s">
        <v>39</v>
      </c>
      <c r="O12" s="31" t="s">
        <v>31</v>
      </c>
      <c r="P12" s="30" t="s">
        <v>27</v>
      </c>
      <c r="Q12" s="31" t="s">
        <v>27</v>
      </c>
      <c r="R12" s="32">
        <v>50</v>
      </c>
      <c r="S12" s="33">
        <v>0.5</v>
      </c>
      <c r="T12" s="33">
        <v>0.5</v>
      </c>
      <c r="U12" s="33">
        <v>0</v>
      </c>
    </row>
    <row r="13" spans="1:21" x14ac:dyDescent="0.2">
      <c r="A13" s="30" t="s">
        <v>32</v>
      </c>
      <c r="B13" s="30" t="s">
        <v>33</v>
      </c>
      <c r="C13" s="30" t="s">
        <v>44</v>
      </c>
      <c r="D13" s="30" t="s">
        <v>76</v>
      </c>
      <c r="E13" s="30" t="s">
        <v>77</v>
      </c>
      <c r="F13" s="30" t="s">
        <v>78</v>
      </c>
      <c r="G13" s="30" t="s">
        <v>63</v>
      </c>
      <c r="H13" s="30" t="s">
        <v>26</v>
      </c>
      <c r="I13" s="30" t="s">
        <v>35</v>
      </c>
      <c r="J13" s="30" t="s">
        <v>36</v>
      </c>
      <c r="K13" s="33">
        <v>0.5</v>
      </c>
      <c r="L13" s="30" t="s">
        <v>38</v>
      </c>
      <c r="M13" s="30">
        <v>2017</v>
      </c>
      <c r="N13" s="30" t="s">
        <v>39</v>
      </c>
      <c r="O13" s="31" t="s">
        <v>31</v>
      </c>
      <c r="P13" s="30" t="s">
        <v>27</v>
      </c>
      <c r="Q13" s="31" t="s">
        <v>27</v>
      </c>
      <c r="R13" s="32">
        <v>50</v>
      </c>
      <c r="S13" s="33">
        <v>0.25</v>
      </c>
      <c r="T13" s="33">
        <v>0.25</v>
      </c>
      <c r="U13" s="33">
        <v>0</v>
      </c>
    </row>
    <row r="14" spans="1:21" x14ac:dyDescent="0.2">
      <c r="A14" s="30" t="s">
        <v>32</v>
      </c>
      <c r="B14" s="30" t="s">
        <v>33</v>
      </c>
      <c r="C14" s="30" t="s">
        <v>44</v>
      </c>
      <c r="D14" s="30" t="s">
        <v>79</v>
      </c>
      <c r="E14" s="30" t="s">
        <v>80</v>
      </c>
      <c r="F14" s="30" t="s">
        <v>81</v>
      </c>
      <c r="G14" s="30" t="s">
        <v>45</v>
      </c>
      <c r="H14" s="30" t="s">
        <v>26</v>
      </c>
      <c r="I14" s="30" t="s">
        <v>35</v>
      </c>
      <c r="J14" s="30" t="s">
        <v>36</v>
      </c>
      <c r="K14" s="33">
        <v>0.33333333333333331</v>
      </c>
      <c r="L14" s="30" t="s">
        <v>38</v>
      </c>
      <c r="M14" s="30">
        <v>2017</v>
      </c>
      <c r="N14" s="30" t="s">
        <v>39</v>
      </c>
      <c r="O14" s="31" t="s">
        <v>31</v>
      </c>
      <c r="P14" s="30" t="s">
        <v>27</v>
      </c>
      <c r="Q14" s="31" t="s">
        <v>27</v>
      </c>
      <c r="R14" s="32">
        <v>50</v>
      </c>
      <c r="S14" s="33">
        <v>0.16666666666666663</v>
      </c>
      <c r="T14" s="33">
        <v>0.16666666666666663</v>
      </c>
      <c r="U14" s="33">
        <v>0</v>
      </c>
    </row>
    <row r="15" spans="1:21" x14ac:dyDescent="0.2">
      <c r="A15" s="30" t="s">
        <v>32</v>
      </c>
      <c r="B15" s="30" t="s">
        <v>33</v>
      </c>
      <c r="C15" s="30" t="s">
        <v>34</v>
      </c>
      <c r="D15" s="30" t="s">
        <v>82</v>
      </c>
      <c r="E15" s="30" t="s">
        <v>83</v>
      </c>
      <c r="F15" s="30" t="s">
        <v>84</v>
      </c>
      <c r="G15" s="30" t="s">
        <v>85</v>
      </c>
      <c r="H15" s="30" t="s">
        <v>26</v>
      </c>
      <c r="I15" s="30" t="s">
        <v>35</v>
      </c>
      <c r="J15" s="30" t="s">
        <v>36</v>
      </c>
      <c r="K15" s="61">
        <v>0.5</v>
      </c>
      <c r="L15" s="30" t="s">
        <v>38</v>
      </c>
      <c r="M15" s="30">
        <v>2018</v>
      </c>
      <c r="N15" s="30" t="s">
        <v>39</v>
      </c>
      <c r="O15" s="31" t="s">
        <v>31</v>
      </c>
      <c r="P15" s="30" t="s">
        <v>27</v>
      </c>
      <c r="Q15" s="31" t="s">
        <v>27</v>
      </c>
      <c r="R15" s="32">
        <v>50</v>
      </c>
      <c r="S15" s="33">
        <v>0.25</v>
      </c>
      <c r="T15" s="33">
        <v>0.25</v>
      </c>
      <c r="U15" s="33">
        <v>0</v>
      </c>
    </row>
    <row r="16" spans="1:21" x14ac:dyDescent="0.2">
      <c r="A16" s="30" t="s">
        <v>32</v>
      </c>
      <c r="B16" s="30" t="s">
        <v>33</v>
      </c>
      <c r="C16" s="30" t="s">
        <v>44</v>
      </c>
      <c r="D16" s="30" t="s">
        <v>86</v>
      </c>
      <c r="E16" s="30" t="s">
        <v>87</v>
      </c>
      <c r="F16" s="30" t="s">
        <v>30</v>
      </c>
      <c r="G16" s="30" t="s">
        <v>63</v>
      </c>
      <c r="H16" s="30" t="s">
        <v>29</v>
      </c>
      <c r="I16" s="30" t="s">
        <v>35</v>
      </c>
      <c r="J16" s="30" t="s">
        <v>36</v>
      </c>
      <c r="K16" s="61">
        <v>1</v>
      </c>
      <c r="L16" s="30" t="s">
        <v>38</v>
      </c>
      <c r="M16" s="30">
        <v>2018</v>
      </c>
      <c r="N16" s="30" t="s">
        <v>39</v>
      </c>
      <c r="O16" s="31" t="s">
        <v>31</v>
      </c>
      <c r="P16" s="30" t="s">
        <v>27</v>
      </c>
      <c r="Q16" s="31" t="s">
        <v>27</v>
      </c>
      <c r="R16" s="32">
        <v>50</v>
      </c>
      <c r="S16" s="33">
        <v>0.5</v>
      </c>
      <c r="T16" s="33">
        <v>0.5</v>
      </c>
      <c r="U16" s="33">
        <v>0</v>
      </c>
    </row>
    <row r="17" spans="1:21" x14ac:dyDescent="0.2">
      <c r="A17" s="30" t="s">
        <v>32</v>
      </c>
      <c r="B17" s="30" t="s">
        <v>33</v>
      </c>
      <c r="C17" s="30" t="s">
        <v>44</v>
      </c>
      <c r="D17" s="30" t="s">
        <v>88</v>
      </c>
      <c r="E17" s="30" t="s">
        <v>89</v>
      </c>
      <c r="F17" s="30" t="s">
        <v>90</v>
      </c>
      <c r="G17" s="30" t="s">
        <v>63</v>
      </c>
      <c r="H17" s="30" t="s">
        <v>26</v>
      </c>
      <c r="I17" s="30" t="s">
        <v>35</v>
      </c>
      <c r="J17" s="30" t="s">
        <v>36</v>
      </c>
      <c r="K17" s="61">
        <v>0.5</v>
      </c>
      <c r="L17" s="30" t="s">
        <v>38</v>
      </c>
      <c r="M17" s="30">
        <v>2018</v>
      </c>
      <c r="N17" s="30" t="s">
        <v>39</v>
      </c>
      <c r="O17" s="31" t="s">
        <v>31</v>
      </c>
      <c r="P17" s="30" t="s">
        <v>27</v>
      </c>
      <c r="Q17" s="31" t="s">
        <v>27</v>
      </c>
      <c r="R17" s="32">
        <v>50</v>
      </c>
      <c r="S17" s="33">
        <v>0.25</v>
      </c>
      <c r="T17" s="33">
        <v>0.25</v>
      </c>
      <c r="U17" s="33">
        <v>0</v>
      </c>
    </row>
    <row r="18" spans="1:21" x14ac:dyDescent="0.2">
      <c r="A18" s="30" t="s">
        <v>32</v>
      </c>
      <c r="B18" s="30" t="s">
        <v>33</v>
      </c>
      <c r="C18" s="30" t="s">
        <v>44</v>
      </c>
      <c r="D18" s="30" t="s">
        <v>91</v>
      </c>
      <c r="E18" s="30" t="s">
        <v>92</v>
      </c>
      <c r="F18" s="30" t="s">
        <v>93</v>
      </c>
      <c r="G18" s="30" t="s">
        <v>63</v>
      </c>
      <c r="H18" s="30" t="s">
        <v>26</v>
      </c>
      <c r="I18" s="30" t="s">
        <v>35</v>
      </c>
      <c r="J18" s="30" t="s">
        <v>36</v>
      </c>
      <c r="K18" s="61">
        <v>0.5</v>
      </c>
      <c r="L18" s="30" t="s">
        <v>38</v>
      </c>
      <c r="M18" s="30">
        <v>2018</v>
      </c>
      <c r="N18" s="30" t="s">
        <v>39</v>
      </c>
      <c r="O18" s="31" t="s">
        <v>31</v>
      </c>
      <c r="P18" s="30" t="s">
        <v>27</v>
      </c>
      <c r="Q18" s="31" t="s">
        <v>27</v>
      </c>
      <c r="R18" s="32">
        <v>50</v>
      </c>
      <c r="S18" s="33">
        <v>0.25</v>
      </c>
      <c r="T18" s="33">
        <v>0.25</v>
      </c>
      <c r="U18" s="33">
        <v>0</v>
      </c>
    </row>
    <row r="19" spans="1:21" x14ac:dyDescent="0.2">
      <c r="A19" s="34" t="s">
        <v>32</v>
      </c>
      <c r="B19" s="34" t="s">
        <v>33</v>
      </c>
      <c r="C19" s="34" t="s">
        <v>34</v>
      </c>
      <c r="D19" s="34" t="s">
        <v>171</v>
      </c>
      <c r="E19" s="34" t="s">
        <v>172</v>
      </c>
      <c r="F19" s="34" t="s">
        <v>173</v>
      </c>
      <c r="G19" s="34" t="s">
        <v>37</v>
      </c>
      <c r="H19" s="34" t="s">
        <v>26</v>
      </c>
      <c r="I19" s="34" t="s">
        <v>35</v>
      </c>
      <c r="J19" s="34" t="s">
        <v>36</v>
      </c>
      <c r="K19" s="62">
        <v>0.5</v>
      </c>
      <c r="L19" s="34" t="s">
        <v>38</v>
      </c>
      <c r="M19" s="34">
        <v>2019</v>
      </c>
      <c r="N19" s="34" t="s">
        <v>39</v>
      </c>
      <c r="O19" s="35" t="s">
        <v>31</v>
      </c>
      <c r="P19" s="34" t="s">
        <v>27</v>
      </c>
      <c r="Q19" s="35" t="s">
        <v>27</v>
      </c>
      <c r="R19" s="36">
        <v>50</v>
      </c>
      <c r="S19" s="37">
        <v>0.25</v>
      </c>
      <c r="T19" s="37">
        <v>0.25</v>
      </c>
      <c r="U19" s="37">
        <v>0</v>
      </c>
    </row>
    <row r="20" spans="1:21" ht="10.8" thickBot="1" x14ac:dyDescent="0.25">
      <c r="A20" s="30" t="s">
        <v>32</v>
      </c>
      <c r="B20" s="30" t="s">
        <v>33</v>
      </c>
      <c r="C20" s="30" t="s">
        <v>34</v>
      </c>
      <c r="D20" s="30" t="s">
        <v>176</v>
      </c>
      <c r="E20" s="30" t="s">
        <v>177</v>
      </c>
      <c r="F20" s="30" t="s">
        <v>178</v>
      </c>
      <c r="G20" s="30" t="s">
        <v>42</v>
      </c>
      <c r="H20" s="30" t="s">
        <v>26</v>
      </c>
      <c r="I20" s="30" t="s">
        <v>35</v>
      </c>
      <c r="J20" s="30" t="s">
        <v>36</v>
      </c>
      <c r="K20" s="38">
        <v>0.5</v>
      </c>
      <c r="L20" s="38" t="s">
        <v>38</v>
      </c>
      <c r="M20" s="39">
        <v>2019</v>
      </c>
      <c r="N20" s="30" t="s">
        <v>39</v>
      </c>
      <c r="O20" s="31" t="s">
        <v>31</v>
      </c>
      <c r="P20" s="30" t="s">
        <v>27</v>
      </c>
      <c r="Q20" s="31" t="s">
        <v>27</v>
      </c>
      <c r="R20" s="30">
        <v>50</v>
      </c>
      <c r="S20" s="30">
        <v>0.25</v>
      </c>
      <c r="T20" s="30">
        <v>0.25</v>
      </c>
      <c r="U20" s="30">
        <v>0</v>
      </c>
    </row>
    <row r="21" spans="1:21" ht="10.8" thickBot="1" x14ac:dyDescent="0.25">
      <c r="A21" s="40" t="s">
        <v>32</v>
      </c>
      <c r="B21" s="40" t="s">
        <v>33</v>
      </c>
      <c r="C21" s="40" t="s">
        <v>44</v>
      </c>
      <c r="D21" s="40" t="s">
        <v>179</v>
      </c>
      <c r="E21" s="40" t="s">
        <v>180</v>
      </c>
      <c r="F21" s="40" t="s">
        <v>181</v>
      </c>
      <c r="G21" s="41" t="s">
        <v>63</v>
      </c>
      <c r="H21" s="42" t="s">
        <v>26</v>
      </c>
      <c r="I21" s="42" t="s">
        <v>35</v>
      </c>
      <c r="J21" s="43" t="s">
        <v>36</v>
      </c>
      <c r="K21" s="38">
        <v>0.5</v>
      </c>
      <c r="L21" s="38" t="s">
        <v>38</v>
      </c>
      <c r="M21" s="30">
        <v>2020</v>
      </c>
      <c r="N21" s="30" t="s">
        <v>39</v>
      </c>
      <c r="O21" s="31" t="s">
        <v>31</v>
      </c>
      <c r="P21" s="30" t="s">
        <v>27</v>
      </c>
      <c r="Q21" s="31" t="s">
        <v>27</v>
      </c>
      <c r="R21" s="30">
        <v>50</v>
      </c>
      <c r="S21" s="30">
        <v>0.25</v>
      </c>
      <c r="T21" s="30">
        <v>0.25</v>
      </c>
      <c r="U21" s="30">
        <v>0</v>
      </c>
    </row>
    <row r="22" spans="1:21" x14ac:dyDescent="0.2">
      <c r="A22" s="30" t="s">
        <v>32</v>
      </c>
      <c r="B22" s="30" t="s">
        <v>33</v>
      </c>
      <c r="C22" s="30" t="s">
        <v>34</v>
      </c>
      <c r="D22" s="30" t="s">
        <v>198</v>
      </c>
      <c r="E22" s="30" t="s">
        <v>199</v>
      </c>
      <c r="F22" s="30" t="s">
        <v>200</v>
      </c>
      <c r="G22" s="30" t="s">
        <v>201</v>
      </c>
      <c r="H22" s="30" t="s">
        <v>29</v>
      </c>
      <c r="I22" s="30" t="s">
        <v>35</v>
      </c>
      <c r="J22" s="30" t="s">
        <v>36</v>
      </c>
      <c r="K22" s="38">
        <v>1</v>
      </c>
      <c r="L22" s="38" t="s">
        <v>38</v>
      </c>
      <c r="M22" s="30">
        <v>2021</v>
      </c>
      <c r="N22" s="30" t="s">
        <v>39</v>
      </c>
      <c r="O22" s="31" t="s">
        <v>31</v>
      </c>
      <c r="P22" s="30" t="s">
        <v>27</v>
      </c>
      <c r="Q22" s="31" t="s">
        <v>27</v>
      </c>
      <c r="R22" s="30">
        <v>50</v>
      </c>
      <c r="S22" s="30">
        <v>0.5</v>
      </c>
      <c r="T22" s="30">
        <v>0.5</v>
      </c>
      <c r="U22" s="30">
        <v>0</v>
      </c>
    </row>
    <row r="23" spans="1:21" x14ac:dyDescent="0.2">
      <c r="T23" s="65">
        <f>SUM(T2:T22)</f>
        <v>6.916666666666667</v>
      </c>
      <c r="U23" s="65"/>
    </row>
  </sheetData>
  <autoFilter ref="A1:U22" xr:uid="{00000000-0009-0000-0000-000000000000}">
    <sortState xmlns:xlrd2="http://schemas.microsoft.com/office/spreadsheetml/2017/richdata2" ref="A2:T965">
      <sortCondition ref="M2:M965"/>
      <sortCondition ref="O2:O965"/>
    </sortState>
  </autoFilter>
  <mergeCells count="1">
    <mergeCell ref="T23:U23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4"/>
  <sheetViews>
    <sheetView topLeftCell="A4" zoomScaleNormal="100" workbookViewId="0">
      <selection activeCell="A24" sqref="A24"/>
    </sheetView>
  </sheetViews>
  <sheetFormatPr baseColWidth="10" defaultColWidth="11.44140625" defaultRowHeight="13.2" x14ac:dyDescent="0.25"/>
  <cols>
    <col min="1" max="1" width="10.88671875" style="18" bestFit="1" customWidth="1"/>
    <col min="2" max="2" width="36.10937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2" width="5.6640625" style="18" bestFit="1" customWidth="1"/>
    <col min="13" max="14" width="5.6640625" style="21" bestFit="1" customWidth="1"/>
    <col min="15" max="15" width="5.6640625" style="18" bestFit="1" customWidth="1"/>
    <col min="16" max="16" width="5.6640625" style="21" bestFit="1" customWidth="1"/>
    <col min="17" max="19" width="5.6640625" style="18" bestFit="1" customWidth="1"/>
    <col min="20" max="16384" width="11.44140625" style="18"/>
  </cols>
  <sheetData>
    <row r="1" spans="1:19" s="17" customFormat="1" ht="65.099999999999994" customHeight="1" x14ac:dyDescent="0.25">
      <c r="A1" s="24" t="s">
        <v>94</v>
      </c>
      <c r="B1" s="24" t="s">
        <v>95</v>
      </c>
      <c r="C1" s="24" t="s">
        <v>96</v>
      </c>
      <c r="D1" s="25">
        <v>2017</v>
      </c>
      <c r="E1" s="25">
        <v>2018</v>
      </c>
      <c r="F1" s="25">
        <v>2019</v>
      </c>
      <c r="G1" s="25">
        <v>2020</v>
      </c>
      <c r="H1" s="25">
        <v>2021</v>
      </c>
      <c r="I1" s="25">
        <v>2022</v>
      </c>
      <c r="J1" s="24" t="s">
        <v>97</v>
      </c>
      <c r="K1" s="26" t="s">
        <v>174</v>
      </c>
      <c r="L1" s="15" t="s">
        <v>98</v>
      </c>
      <c r="M1" s="15" t="s">
        <v>99</v>
      </c>
      <c r="N1" s="15" t="s">
        <v>100</v>
      </c>
      <c r="O1" s="15" t="s">
        <v>101</v>
      </c>
      <c r="P1" s="16" t="s">
        <v>102</v>
      </c>
      <c r="Q1" s="16" t="s">
        <v>103</v>
      </c>
      <c r="R1" s="16" t="s">
        <v>104</v>
      </c>
      <c r="S1" s="16" t="s">
        <v>105</v>
      </c>
    </row>
    <row r="2" spans="1:19" ht="14.4" x14ac:dyDescent="0.3">
      <c r="A2" s="63" t="s">
        <v>107</v>
      </c>
      <c r="B2" s="63" t="s">
        <v>108</v>
      </c>
      <c r="C2" s="64">
        <v>6</v>
      </c>
      <c r="D2" s="63"/>
      <c r="E2" s="63"/>
      <c r="F2" s="63"/>
      <c r="G2" s="63">
        <v>1</v>
      </c>
      <c r="H2" s="63"/>
      <c r="I2" s="63"/>
      <c r="J2" s="27">
        <v>1</v>
      </c>
      <c r="K2" s="27" t="s">
        <v>38</v>
      </c>
      <c r="L2" s="28" t="s">
        <v>39</v>
      </c>
      <c r="M2" s="28" t="s">
        <v>31</v>
      </c>
      <c r="N2" s="28" t="s">
        <v>27</v>
      </c>
      <c r="O2" s="28" t="s">
        <v>27</v>
      </c>
      <c r="P2" s="28">
        <v>50</v>
      </c>
      <c r="Q2" s="28">
        <v>0.5</v>
      </c>
      <c r="R2" s="28">
        <v>0</v>
      </c>
      <c r="S2" s="28">
        <v>0.5</v>
      </c>
    </row>
    <row r="3" spans="1:19" ht="14.4" x14ac:dyDescent="0.3">
      <c r="A3" s="27" t="s">
        <v>139</v>
      </c>
      <c r="B3" s="27" t="s">
        <v>140</v>
      </c>
      <c r="C3" s="27" t="s">
        <v>106</v>
      </c>
      <c r="D3" s="27"/>
      <c r="E3" s="27"/>
      <c r="F3" s="27"/>
      <c r="G3" s="27"/>
      <c r="H3" s="27">
        <v>1</v>
      </c>
      <c r="I3" s="27"/>
      <c r="J3" s="27">
        <v>1</v>
      </c>
      <c r="K3" s="27" t="s">
        <v>38</v>
      </c>
      <c r="L3" s="28" t="s">
        <v>39</v>
      </c>
      <c r="M3" s="28" t="s">
        <v>31</v>
      </c>
      <c r="N3" s="28" t="s">
        <v>27</v>
      </c>
      <c r="O3" s="28" t="s">
        <v>27</v>
      </c>
      <c r="P3" s="28">
        <v>50</v>
      </c>
      <c r="Q3" s="28">
        <v>0.5</v>
      </c>
      <c r="R3" s="28">
        <v>0</v>
      </c>
      <c r="S3" s="28">
        <v>0.5</v>
      </c>
    </row>
    <row r="4" spans="1:19" ht="14.4" x14ac:dyDescent="0.3">
      <c r="A4" s="27" t="s">
        <v>111</v>
      </c>
      <c r="B4" s="27" t="s">
        <v>112</v>
      </c>
      <c r="C4" s="27" t="s">
        <v>106</v>
      </c>
      <c r="D4" s="27"/>
      <c r="E4" s="27"/>
      <c r="F4" s="27"/>
      <c r="G4" s="27"/>
      <c r="H4" s="27">
        <v>1</v>
      </c>
      <c r="I4" s="27"/>
      <c r="J4" s="27">
        <v>1</v>
      </c>
      <c r="K4" s="27" t="s">
        <v>38</v>
      </c>
      <c r="L4" s="28" t="s">
        <v>39</v>
      </c>
      <c r="M4" s="28" t="s">
        <v>31</v>
      </c>
      <c r="N4" s="28" t="s">
        <v>27</v>
      </c>
      <c r="O4" s="28" t="s">
        <v>27</v>
      </c>
      <c r="P4" s="28">
        <v>50</v>
      </c>
      <c r="Q4" s="28">
        <v>0.5</v>
      </c>
      <c r="R4" s="28">
        <v>0</v>
      </c>
      <c r="S4" s="28">
        <v>0.5</v>
      </c>
    </row>
    <row r="5" spans="1:19" ht="14.4" x14ac:dyDescent="0.3">
      <c r="A5" s="27" t="s">
        <v>125</v>
      </c>
      <c r="B5" s="27" t="s">
        <v>126</v>
      </c>
      <c r="C5" s="27" t="s">
        <v>106</v>
      </c>
      <c r="D5" s="27"/>
      <c r="E5" s="27"/>
      <c r="F5" s="27"/>
      <c r="G5" s="27">
        <v>1</v>
      </c>
      <c r="H5" s="27"/>
      <c r="I5" s="27"/>
      <c r="J5" s="27">
        <v>1</v>
      </c>
      <c r="K5" s="27" t="s">
        <v>38</v>
      </c>
      <c r="L5" s="28" t="s">
        <v>39</v>
      </c>
      <c r="M5" s="28" t="s">
        <v>31</v>
      </c>
      <c r="N5" s="28" t="s">
        <v>27</v>
      </c>
      <c r="O5" s="28" t="s">
        <v>27</v>
      </c>
      <c r="P5" s="28">
        <v>50</v>
      </c>
      <c r="Q5" s="28">
        <v>0.5</v>
      </c>
      <c r="R5" s="28">
        <v>0</v>
      </c>
      <c r="S5" s="28">
        <v>0.5</v>
      </c>
    </row>
    <row r="6" spans="1:19" ht="14.4" x14ac:dyDescent="0.3">
      <c r="A6" s="27" t="s">
        <v>137</v>
      </c>
      <c r="B6" s="27" t="s">
        <v>138</v>
      </c>
      <c r="C6" s="27" t="s">
        <v>106</v>
      </c>
      <c r="D6" s="27"/>
      <c r="E6" s="27"/>
      <c r="F6" s="27">
        <v>1</v>
      </c>
      <c r="G6" s="27"/>
      <c r="H6" s="27"/>
      <c r="I6" s="27"/>
      <c r="J6" s="27">
        <v>1</v>
      </c>
      <c r="K6" s="27" t="s">
        <v>38</v>
      </c>
      <c r="L6" s="28" t="s">
        <v>39</v>
      </c>
      <c r="M6" s="28" t="s">
        <v>31</v>
      </c>
      <c r="N6" s="28" t="s">
        <v>27</v>
      </c>
      <c r="O6" s="28" t="s">
        <v>27</v>
      </c>
      <c r="P6" s="28">
        <v>50</v>
      </c>
      <c r="Q6" s="28">
        <v>0.5</v>
      </c>
      <c r="R6" s="28">
        <v>0</v>
      </c>
      <c r="S6" s="28">
        <v>0.5</v>
      </c>
    </row>
    <row r="7" spans="1:19" ht="14.4" x14ac:dyDescent="0.3">
      <c r="A7" s="27" t="s">
        <v>149</v>
      </c>
      <c r="B7" s="27" t="s">
        <v>202</v>
      </c>
      <c r="C7" s="27" t="s">
        <v>106</v>
      </c>
      <c r="D7" s="27">
        <v>1</v>
      </c>
      <c r="E7" s="27"/>
      <c r="F7" s="27"/>
      <c r="G7" s="27"/>
      <c r="H7" s="27"/>
      <c r="I7" s="27"/>
      <c r="J7" s="27">
        <v>1</v>
      </c>
      <c r="K7" s="27" t="s">
        <v>38</v>
      </c>
      <c r="L7" s="28" t="s">
        <v>39</v>
      </c>
      <c r="M7" s="28" t="s">
        <v>31</v>
      </c>
      <c r="N7" s="28" t="s">
        <v>27</v>
      </c>
      <c r="O7" s="28" t="s">
        <v>27</v>
      </c>
      <c r="P7" s="28">
        <v>50</v>
      </c>
      <c r="Q7" s="28">
        <v>0.5</v>
      </c>
      <c r="R7" s="28">
        <v>0</v>
      </c>
      <c r="S7" s="28">
        <v>0.5</v>
      </c>
    </row>
    <row r="8" spans="1:19" ht="14.4" x14ac:dyDescent="0.3">
      <c r="A8" s="27" t="s">
        <v>109</v>
      </c>
      <c r="B8" s="27" t="s">
        <v>110</v>
      </c>
      <c r="C8" s="27" t="s">
        <v>106</v>
      </c>
      <c r="D8" s="27"/>
      <c r="E8" s="27"/>
      <c r="F8" s="27">
        <v>1</v>
      </c>
      <c r="G8" s="27"/>
      <c r="H8" s="27"/>
      <c r="I8" s="27"/>
      <c r="J8" s="27">
        <v>1</v>
      </c>
      <c r="K8" s="27" t="s">
        <v>38</v>
      </c>
      <c r="L8" s="28" t="s">
        <v>39</v>
      </c>
      <c r="M8" s="28" t="s">
        <v>31</v>
      </c>
      <c r="N8" s="28" t="s">
        <v>27</v>
      </c>
      <c r="O8" s="28" t="s">
        <v>27</v>
      </c>
      <c r="P8" s="28">
        <v>50</v>
      </c>
      <c r="Q8" s="28">
        <v>0.5</v>
      </c>
      <c r="R8" s="28">
        <v>0</v>
      </c>
      <c r="S8" s="28">
        <v>0.5</v>
      </c>
    </row>
    <row r="9" spans="1:19" ht="14.4" x14ac:dyDescent="0.3">
      <c r="A9" s="27" t="s">
        <v>119</v>
      </c>
      <c r="B9" s="27" t="s">
        <v>120</v>
      </c>
      <c r="C9" s="27" t="s">
        <v>106</v>
      </c>
      <c r="D9" s="27"/>
      <c r="E9" s="27"/>
      <c r="F9" s="27"/>
      <c r="G9" s="27"/>
      <c r="H9" s="27"/>
      <c r="I9" s="27">
        <v>1</v>
      </c>
      <c r="J9" s="27">
        <v>1</v>
      </c>
      <c r="K9" s="27" t="s">
        <v>38</v>
      </c>
      <c r="L9" s="28" t="s">
        <v>39</v>
      </c>
      <c r="M9" s="28" t="s">
        <v>31</v>
      </c>
      <c r="N9" s="28" t="s">
        <v>27</v>
      </c>
      <c r="O9" s="28" t="s">
        <v>27</v>
      </c>
      <c r="P9" s="28">
        <v>50</v>
      </c>
      <c r="Q9" s="28">
        <v>0.5</v>
      </c>
      <c r="R9" s="28">
        <v>0</v>
      </c>
      <c r="S9" s="28">
        <v>0.5</v>
      </c>
    </row>
    <row r="10" spans="1:19" ht="14.4" x14ac:dyDescent="0.3">
      <c r="A10" s="27" t="s">
        <v>131</v>
      </c>
      <c r="B10" s="27" t="s">
        <v>132</v>
      </c>
      <c r="C10" s="27" t="s">
        <v>106</v>
      </c>
      <c r="D10" s="27"/>
      <c r="E10" s="27"/>
      <c r="F10" s="27">
        <v>2</v>
      </c>
      <c r="G10" s="27"/>
      <c r="H10" s="27"/>
      <c r="I10" s="27"/>
      <c r="J10" s="27">
        <v>2</v>
      </c>
      <c r="K10" s="27" t="s">
        <v>38</v>
      </c>
      <c r="L10" s="28" t="s">
        <v>39</v>
      </c>
      <c r="M10" s="28" t="s">
        <v>31</v>
      </c>
      <c r="N10" s="28" t="s">
        <v>27</v>
      </c>
      <c r="O10" s="28" t="s">
        <v>27</v>
      </c>
      <c r="P10" s="28">
        <v>50</v>
      </c>
      <c r="Q10" s="28">
        <v>1</v>
      </c>
      <c r="R10" s="28">
        <v>0</v>
      </c>
      <c r="S10" s="28">
        <v>1</v>
      </c>
    </row>
    <row r="11" spans="1:19" ht="14.4" x14ac:dyDescent="0.3">
      <c r="A11" s="27" t="s">
        <v>123</v>
      </c>
      <c r="B11" s="27" t="s">
        <v>124</v>
      </c>
      <c r="C11" s="27" t="s">
        <v>106</v>
      </c>
      <c r="D11" s="27"/>
      <c r="E11" s="27">
        <v>1</v>
      </c>
      <c r="F11" s="27">
        <v>1</v>
      </c>
      <c r="G11" s="27"/>
      <c r="H11" s="27"/>
      <c r="I11" s="27"/>
      <c r="J11" s="27">
        <v>2</v>
      </c>
      <c r="K11" s="27" t="s">
        <v>38</v>
      </c>
      <c r="L11" s="28" t="s">
        <v>39</v>
      </c>
      <c r="M11" s="28" t="s">
        <v>31</v>
      </c>
      <c r="N11" s="28" t="s">
        <v>27</v>
      </c>
      <c r="O11" s="28" t="s">
        <v>27</v>
      </c>
      <c r="P11" s="28">
        <v>50</v>
      </c>
      <c r="Q11" s="28">
        <v>1</v>
      </c>
      <c r="R11" s="28">
        <v>0</v>
      </c>
      <c r="S11" s="28">
        <v>1</v>
      </c>
    </row>
    <row r="12" spans="1:19" ht="14.4" x14ac:dyDescent="0.3">
      <c r="A12" s="27" t="s">
        <v>147</v>
      </c>
      <c r="B12" s="27" t="s">
        <v>148</v>
      </c>
      <c r="C12" s="27" t="s">
        <v>106</v>
      </c>
      <c r="D12" s="27"/>
      <c r="E12" s="27">
        <v>1</v>
      </c>
      <c r="F12" s="27"/>
      <c r="G12" s="27"/>
      <c r="H12" s="27"/>
      <c r="I12" s="27"/>
      <c r="J12" s="27">
        <v>1</v>
      </c>
      <c r="K12" s="27" t="s">
        <v>38</v>
      </c>
      <c r="L12" s="28" t="s">
        <v>39</v>
      </c>
      <c r="M12" s="28" t="s">
        <v>31</v>
      </c>
      <c r="N12" s="28" t="s">
        <v>27</v>
      </c>
      <c r="O12" s="28" t="s">
        <v>27</v>
      </c>
      <c r="P12" s="28">
        <v>50</v>
      </c>
      <c r="Q12" s="28">
        <v>0.5</v>
      </c>
      <c r="R12" s="28">
        <v>0</v>
      </c>
      <c r="S12" s="28">
        <v>0.5</v>
      </c>
    </row>
    <row r="13" spans="1:19" ht="14.4" x14ac:dyDescent="0.3">
      <c r="A13" s="27" t="s">
        <v>145</v>
      </c>
      <c r="B13" s="27" t="s">
        <v>146</v>
      </c>
      <c r="C13" s="27" t="s">
        <v>106</v>
      </c>
      <c r="D13" s="27"/>
      <c r="E13" s="27">
        <v>1</v>
      </c>
      <c r="F13" s="27"/>
      <c r="G13" s="27"/>
      <c r="H13" s="27"/>
      <c r="I13" s="27"/>
      <c r="J13" s="27">
        <v>1</v>
      </c>
      <c r="K13" s="27" t="s">
        <v>38</v>
      </c>
      <c r="L13" s="28" t="s">
        <v>39</v>
      </c>
      <c r="M13" s="28" t="s">
        <v>31</v>
      </c>
      <c r="N13" s="28" t="s">
        <v>27</v>
      </c>
      <c r="O13" s="28" t="s">
        <v>27</v>
      </c>
      <c r="P13" s="28">
        <v>50</v>
      </c>
      <c r="Q13" s="28">
        <v>0.5</v>
      </c>
      <c r="R13" s="28">
        <v>0</v>
      </c>
      <c r="S13" s="28">
        <v>0.5</v>
      </c>
    </row>
    <row r="14" spans="1:19" ht="14.4" x14ac:dyDescent="0.3">
      <c r="A14" s="27" t="s">
        <v>133</v>
      </c>
      <c r="B14" s="27" t="s">
        <v>134</v>
      </c>
      <c r="C14" s="27" t="s">
        <v>106</v>
      </c>
      <c r="D14" s="27"/>
      <c r="E14" s="27"/>
      <c r="F14" s="27">
        <v>1</v>
      </c>
      <c r="G14" s="27"/>
      <c r="H14" s="27"/>
      <c r="I14" s="27"/>
      <c r="J14" s="27">
        <v>1</v>
      </c>
      <c r="K14" s="27" t="s">
        <v>38</v>
      </c>
      <c r="L14" s="28" t="s">
        <v>39</v>
      </c>
      <c r="M14" s="28" t="s">
        <v>31</v>
      </c>
      <c r="N14" s="28" t="s">
        <v>27</v>
      </c>
      <c r="O14" s="28" t="s">
        <v>27</v>
      </c>
      <c r="P14" s="28">
        <v>50</v>
      </c>
      <c r="Q14" s="28">
        <v>0.5</v>
      </c>
      <c r="R14" s="28">
        <v>0</v>
      </c>
      <c r="S14" s="28">
        <v>0.5</v>
      </c>
    </row>
    <row r="15" spans="1:19" ht="14.4" x14ac:dyDescent="0.3">
      <c r="A15" s="27" t="s">
        <v>135</v>
      </c>
      <c r="B15" s="27" t="s">
        <v>136</v>
      </c>
      <c r="C15" s="27">
        <v>6</v>
      </c>
      <c r="D15" s="27"/>
      <c r="E15" s="27"/>
      <c r="F15" s="27">
        <v>2</v>
      </c>
      <c r="G15" s="27"/>
      <c r="H15" s="27"/>
      <c r="I15" s="27"/>
      <c r="J15" s="27">
        <v>2</v>
      </c>
      <c r="K15" s="27" t="s">
        <v>38</v>
      </c>
      <c r="L15" s="28" t="s">
        <v>39</v>
      </c>
      <c r="M15" s="28" t="s">
        <v>31</v>
      </c>
      <c r="N15" s="28" t="s">
        <v>27</v>
      </c>
      <c r="O15" s="28" t="s">
        <v>27</v>
      </c>
      <c r="P15" s="28">
        <v>50</v>
      </c>
      <c r="Q15" s="28">
        <v>1</v>
      </c>
      <c r="R15" s="28">
        <v>0</v>
      </c>
      <c r="S15" s="28">
        <v>1</v>
      </c>
    </row>
    <row r="16" spans="1:19" ht="14.4" x14ac:dyDescent="0.3">
      <c r="A16" s="27" t="s">
        <v>129</v>
      </c>
      <c r="B16" s="27" t="s">
        <v>130</v>
      </c>
      <c r="C16" s="27" t="s">
        <v>106</v>
      </c>
      <c r="D16" s="27"/>
      <c r="E16" s="27"/>
      <c r="F16" s="27">
        <v>1</v>
      </c>
      <c r="G16" s="27"/>
      <c r="H16" s="27"/>
      <c r="I16" s="27"/>
      <c r="J16" s="27">
        <v>1</v>
      </c>
      <c r="K16" s="27" t="s">
        <v>38</v>
      </c>
      <c r="L16" s="28" t="s">
        <v>39</v>
      </c>
      <c r="M16" s="28" t="s">
        <v>31</v>
      </c>
      <c r="N16" s="28" t="s">
        <v>27</v>
      </c>
      <c r="O16" s="28" t="s">
        <v>27</v>
      </c>
      <c r="P16" s="28">
        <v>50</v>
      </c>
      <c r="Q16" s="28">
        <v>0.5</v>
      </c>
      <c r="R16" s="28">
        <v>0</v>
      </c>
      <c r="S16" s="28">
        <v>0.5</v>
      </c>
    </row>
    <row r="17" spans="1:19" ht="14.4" x14ac:dyDescent="0.3">
      <c r="A17" s="27" t="s">
        <v>115</v>
      </c>
      <c r="B17" s="27" t="s">
        <v>116</v>
      </c>
      <c r="C17" s="27" t="s">
        <v>106</v>
      </c>
      <c r="D17" s="27"/>
      <c r="E17" s="27"/>
      <c r="F17" s="27"/>
      <c r="G17" s="27"/>
      <c r="H17" s="27">
        <v>1</v>
      </c>
      <c r="I17" s="27"/>
      <c r="J17" s="27">
        <v>1</v>
      </c>
      <c r="K17" s="27" t="s">
        <v>38</v>
      </c>
      <c r="L17" s="28" t="s">
        <v>39</v>
      </c>
      <c r="M17" s="28" t="s">
        <v>31</v>
      </c>
      <c r="N17" s="28" t="s">
        <v>27</v>
      </c>
      <c r="O17" s="28" t="s">
        <v>27</v>
      </c>
      <c r="P17" s="28">
        <v>50</v>
      </c>
      <c r="Q17" s="28">
        <v>0.5</v>
      </c>
      <c r="R17" s="28">
        <v>0</v>
      </c>
      <c r="S17" s="28">
        <v>0.5</v>
      </c>
    </row>
    <row r="18" spans="1:19" ht="14.4" x14ac:dyDescent="0.3">
      <c r="A18" s="27" t="s">
        <v>113</v>
      </c>
      <c r="B18" s="27" t="s">
        <v>114</v>
      </c>
      <c r="C18" s="27" t="s">
        <v>106</v>
      </c>
      <c r="D18" s="27"/>
      <c r="E18" s="27">
        <v>1</v>
      </c>
      <c r="F18" s="27"/>
      <c r="G18" s="27"/>
      <c r="H18" s="27"/>
      <c r="I18" s="27"/>
      <c r="J18" s="27">
        <v>1</v>
      </c>
      <c r="K18" s="27" t="s">
        <v>38</v>
      </c>
      <c r="L18" s="28" t="s">
        <v>39</v>
      </c>
      <c r="M18" s="28" t="s">
        <v>31</v>
      </c>
      <c r="N18" s="28" t="s">
        <v>27</v>
      </c>
      <c r="O18" s="28" t="s">
        <v>27</v>
      </c>
      <c r="P18" s="28">
        <v>50</v>
      </c>
      <c r="Q18" s="28">
        <v>0.5</v>
      </c>
      <c r="R18" s="28">
        <v>0</v>
      </c>
      <c r="S18" s="28">
        <v>0.5</v>
      </c>
    </row>
    <row r="19" spans="1:19" ht="14.4" x14ac:dyDescent="0.3">
      <c r="A19" s="27" t="s">
        <v>121</v>
      </c>
      <c r="B19" s="27" t="s">
        <v>122</v>
      </c>
      <c r="C19" s="27" t="s">
        <v>106</v>
      </c>
      <c r="D19" s="27"/>
      <c r="E19" s="27"/>
      <c r="F19" s="27"/>
      <c r="G19" s="27">
        <v>1</v>
      </c>
      <c r="H19" s="27"/>
      <c r="I19" s="27"/>
      <c r="J19" s="27">
        <v>1</v>
      </c>
      <c r="K19" s="27" t="s">
        <v>38</v>
      </c>
      <c r="L19" s="28" t="s">
        <v>39</v>
      </c>
      <c r="M19" s="28" t="s">
        <v>31</v>
      </c>
      <c r="N19" s="28" t="s">
        <v>27</v>
      </c>
      <c r="O19" s="28" t="s">
        <v>27</v>
      </c>
      <c r="P19" s="28">
        <v>50</v>
      </c>
      <c r="Q19" s="28">
        <v>0.5</v>
      </c>
      <c r="R19" s="28">
        <v>0</v>
      </c>
      <c r="S19" s="28">
        <v>0.5</v>
      </c>
    </row>
    <row r="20" spans="1:19" ht="14.4" x14ac:dyDescent="0.3">
      <c r="A20" s="27" t="s">
        <v>143</v>
      </c>
      <c r="B20" s="27" t="s">
        <v>144</v>
      </c>
      <c r="C20" s="27" t="s">
        <v>106</v>
      </c>
      <c r="D20" s="27"/>
      <c r="E20" s="27">
        <v>1</v>
      </c>
      <c r="F20" s="27"/>
      <c r="G20" s="27"/>
      <c r="H20" s="27"/>
      <c r="I20" s="27"/>
      <c r="J20" s="27">
        <v>1</v>
      </c>
      <c r="K20" s="27" t="s">
        <v>38</v>
      </c>
      <c r="L20" s="28" t="s">
        <v>39</v>
      </c>
      <c r="M20" s="28" t="s">
        <v>31</v>
      </c>
      <c r="N20" s="28" t="s">
        <v>27</v>
      </c>
      <c r="O20" s="28" t="s">
        <v>27</v>
      </c>
      <c r="P20" s="28">
        <v>50</v>
      </c>
      <c r="Q20" s="28">
        <v>0.5</v>
      </c>
      <c r="R20" s="28">
        <v>0</v>
      </c>
      <c r="S20" s="28">
        <v>0.5</v>
      </c>
    </row>
    <row r="21" spans="1:19" ht="14.4" x14ac:dyDescent="0.3">
      <c r="A21" s="27" t="s">
        <v>141</v>
      </c>
      <c r="B21" s="27" t="s">
        <v>142</v>
      </c>
      <c r="C21" s="27">
        <v>6</v>
      </c>
      <c r="D21" s="27"/>
      <c r="E21" s="27"/>
      <c r="F21" s="27"/>
      <c r="G21" s="27"/>
      <c r="H21" s="27"/>
      <c r="I21" s="27">
        <v>1</v>
      </c>
      <c r="J21" s="27">
        <v>1</v>
      </c>
      <c r="K21" s="27" t="s">
        <v>38</v>
      </c>
      <c r="L21" s="28" t="s">
        <v>39</v>
      </c>
      <c r="M21" s="28" t="s">
        <v>31</v>
      </c>
      <c r="N21" s="28" t="s">
        <v>27</v>
      </c>
      <c r="O21" s="28" t="s">
        <v>27</v>
      </c>
      <c r="P21" s="28">
        <v>50</v>
      </c>
      <c r="Q21" s="28">
        <v>0.5</v>
      </c>
      <c r="R21" s="28">
        <v>0</v>
      </c>
      <c r="S21" s="28">
        <v>0.5</v>
      </c>
    </row>
    <row r="22" spans="1:19" ht="14.4" x14ac:dyDescent="0.3">
      <c r="A22" s="27" t="s">
        <v>127</v>
      </c>
      <c r="B22" s="27" t="s">
        <v>128</v>
      </c>
      <c r="C22" s="29" t="s">
        <v>106</v>
      </c>
      <c r="D22" s="27">
        <v>1</v>
      </c>
      <c r="E22" s="27"/>
      <c r="F22" s="27"/>
      <c r="G22" s="27"/>
      <c r="H22" s="27"/>
      <c r="I22" s="27"/>
      <c r="J22" s="27">
        <v>1</v>
      </c>
      <c r="K22" s="27" t="s">
        <v>38</v>
      </c>
      <c r="L22" s="28" t="s">
        <v>39</v>
      </c>
      <c r="M22" s="28" t="s">
        <v>31</v>
      </c>
      <c r="N22" s="28" t="s">
        <v>27</v>
      </c>
      <c r="O22" s="28" t="s">
        <v>27</v>
      </c>
      <c r="P22" s="28">
        <v>50</v>
      </c>
      <c r="Q22" s="28">
        <v>0.5</v>
      </c>
      <c r="R22" s="28">
        <v>0</v>
      </c>
      <c r="S22" s="28">
        <v>0.5</v>
      </c>
    </row>
    <row r="23" spans="1:19" ht="14.4" x14ac:dyDescent="0.3">
      <c r="A23" s="27" t="s">
        <v>117</v>
      </c>
      <c r="B23" s="27" t="s">
        <v>118</v>
      </c>
      <c r="C23" s="29" t="s">
        <v>175</v>
      </c>
      <c r="D23" s="27"/>
      <c r="E23" s="27"/>
      <c r="F23" s="27"/>
      <c r="G23" s="27"/>
      <c r="H23" s="27"/>
      <c r="I23" s="27">
        <v>1</v>
      </c>
      <c r="J23" s="27">
        <v>1</v>
      </c>
      <c r="K23" s="27" t="s">
        <v>38</v>
      </c>
      <c r="L23" s="28" t="s">
        <v>39</v>
      </c>
      <c r="M23" s="28" t="s">
        <v>31</v>
      </c>
      <c r="N23" s="28" t="s">
        <v>27</v>
      </c>
      <c r="O23" s="28" t="s">
        <v>27</v>
      </c>
      <c r="P23" s="28">
        <v>50</v>
      </c>
      <c r="Q23" s="28">
        <v>0.5</v>
      </c>
      <c r="R23" s="28">
        <v>0</v>
      </c>
      <c r="S23" s="28">
        <v>0.5</v>
      </c>
    </row>
    <row r="24" spans="1:19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/>
      <c r="N24" s="20"/>
      <c r="O24" s="19"/>
      <c r="P24" s="20"/>
      <c r="Q24" s="22">
        <f>SUM(Q2:Q23)</f>
        <v>12.5</v>
      </c>
      <c r="R24" s="23"/>
      <c r="S24" s="23"/>
    </row>
  </sheetData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zoomScaleNormal="100" workbookViewId="0">
      <selection sqref="A1:B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150</v>
      </c>
      <c r="B2" s="5"/>
    </row>
    <row r="3" spans="1:2" x14ac:dyDescent="0.2">
      <c r="A3" s="4" t="s">
        <v>151</v>
      </c>
      <c r="B3" s="5">
        <v>220</v>
      </c>
    </row>
    <row r="4" spans="1:2" x14ac:dyDescent="0.2">
      <c r="A4" s="4" t="s">
        <v>152</v>
      </c>
      <c r="B4" s="5"/>
    </row>
    <row r="5" spans="1:2" x14ac:dyDescent="0.2">
      <c r="A5" s="4" t="s">
        <v>153</v>
      </c>
      <c r="B5" s="5">
        <v>877</v>
      </c>
    </row>
    <row r="6" spans="1:2" x14ac:dyDescent="0.2">
      <c r="A6" s="4" t="s">
        <v>154</v>
      </c>
      <c r="B6" s="7"/>
    </row>
    <row r="7" spans="1:2" x14ac:dyDescent="0.2">
      <c r="A7" s="4" t="s">
        <v>155</v>
      </c>
      <c r="B7" s="5">
        <v>479</v>
      </c>
    </row>
    <row r="8" spans="1:2" x14ac:dyDescent="0.2">
      <c r="A8" s="4" t="s">
        <v>156</v>
      </c>
      <c r="B8" s="5"/>
    </row>
    <row r="9" spans="1:2" x14ac:dyDescent="0.2">
      <c r="A9" s="4" t="s">
        <v>157</v>
      </c>
      <c r="B9" s="5">
        <v>1319</v>
      </c>
    </row>
    <row r="10" spans="1:2" x14ac:dyDescent="0.2">
      <c r="A10" s="4" t="s">
        <v>158</v>
      </c>
      <c r="B10" s="5"/>
    </row>
    <row r="11" spans="1:2" x14ac:dyDescent="0.2">
      <c r="A11" s="4" t="s">
        <v>159</v>
      </c>
      <c r="B11" s="5">
        <v>1018.5</v>
      </c>
    </row>
    <row r="12" spans="1:2" x14ac:dyDescent="0.2">
      <c r="A12" s="4" t="s">
        <v>160</v>
      </c>
      <c r="B12" s="5"/>
    </row>
    <row r="13" spans="1:2" x14ac:dyDescent="0.2">
      <c r="A13" s="4" t="s">
        <v>161</v>
      </c>
      <c r="B13" s="5">
        <v>496</v>
      </c>
    </row>
    <row r="14" spans="1:2" x14ac:dyDescent="0.2">
      <c r="A14" s="4" t="s">
        <v>162</v>
      </c>
      <c r="B14" s="5"/>
    </row>
    <row r="15" spans="1:2" x14ac:dyDescent="0.2">
      <c r="A15" s="4" t="s">
        <v>163</v>
      </c>
      <c r="B15" s="5">
        <v>1648.02</v>
      </c>
    </row>
    <row r="16" spans="1:2" x14ac:dyDescent="0.2">
      <c r="A16" s="4" t="s">
        <v>164</v>
      </c>
      <c r="B16" s="5"/>
    </row>
    <row r="17" spans="1:2" x14ac:dyDescent="0.2">
      <c r="A17" s="4" t="s">
        <v>163</v>
      </c>
      <c r="B17" s="5">
        <v>1161.5999999999999</v>
      </c>
    </row>
    <row r="18" spans="1:2" x14ac:dyDescent="0.2">
      <c r="A18" s="4" t="s">
        <v>165</v>
      </c>
      <c r="B18" s="5"/>
    </row>
    <row r="19" spans="1:2" x14ac:dyDescent="0.2">
      <c r="A19" s="4" t="s">
        <v>163</v>
      </c>
      <c r="B19" s="5">
        <v>631.62</v>
      </c>
    </row>
    <row r="20" spans="1:2" x14ac:dyDescent="0.2">
      <c r="A20" s="4" t="s">
        <v>166</v>
      </c>
      <c r="B20" s="5"/>
    </row>
    <row r="21" spans="1:2" x14ac:dyDescent="0.2">
      <c r="A21" s="4" t="s">
        <v>163</v>
      </c>
      <c r="B21" s="5">
        <v>774.4</v>
      </c>
    </row>
    <row r="22" spans="1:2" x14ac:dyDescent="0.2">
      <c r="A22" s="4" t="s">
        <v>3</v>
      </c>
      <c r="B22" s="5"/>
    </row>
    <row r="23" spans="1:2" x14ac:dyDescent="0.2">
      <c r="A23" s="4" t="s">
        <v>167</v>
      </c>
      <c r="B23" s="5">
        <v>1725</v>
      </c>
    </row>
    <row r="24" spans="1:2" x14ac:dyDescent="0.2">
      <c r="A24" s="4" t="s">
        <v>4</v>
      </c>
      <c r="B24" s="5"/>
    </row>
    <row r="25" spans="1:2" x14ac:dyDescent="0.2">
      <c r="A25" s="4" t="s">
        <v>168</v>
      </c>
      <c r="B25" s="5">
        <v>2625</v>
      </c>
    </row>
    <row r="26" spans="1:2" x14ac:dyDescent="0.2">
      <c r="A26" s="4" t="s">
        <v>169</v>
      </c>
      <c r="B26" s="5"/>
    </row>
    <row r="27" spans="1:2" x14ac:dyDescent="0.2">
      <c r="A27" s="4" t="s">
        <v>170</v>
      </c>
      <c r="B27" s="5">
        <v>5300</v>
      </c>
    </row>
    <row r="28" spans="1:2" x14ac:dyDescent="0.2">
      <c r="A28" s="6" t="s">
        <v>2</v>
      </c>
      <c r="B28" s="7">
        <f>SUM(B3:B27)</f>
        <v>18275.14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92D9-581C-4382-82C2-DD0EB7D301AB}">
  <dimension ref="A1:B10"/>
  <sheetViews>
    <sheetView workbookViewId="0">
      <selection activeCell="A13" sqref="A13"/>
    </sheetView>
  </sheetViews>
  <sheetFormatPr baseColWidth="10" defaultRowHeight="14.4" x14ac:dyDescent="0.3"/>
  <cols>
    <col min="1" max="1" width="134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44" t="s">
        <v>3</v>
      </c>
      <c r="B2" s="45"/>
    </row>
    <row r="3" spans="1:2" x14ac:dyDescent="0.3">
      <c r="A3" s="46" t="s">
        <v>182</v>
      </c>
      <c r="B3">
        <v>3450</v>
      </c>
    </row>
    <row r="4" spans="1:2" x14ac:dyDescent="0.3">
      <c r="A4" s="44" t="s">
        <v>4</v>
      </c>
      <c r="B4" s="45"/>
    </row>
    <row r="5" spans="1:2" x14ac:dyDescent="0.3">
      <c r="A5" s="46" t="s">
        <v>183</v>
      </c>
      <c r="B5">
        <v>5250</v>
      </c>
    </row>
    <row r="6" spans="1:2" x14ac:dyDescent="0.3">
      <c r="A6" s="44" t="s">
        <v>169</v>
      </c>
      <c r="B6" s="45"/>
    </row>
    <row r="7" spans="1:2" x14ac:dyDescent="0.3">
      <c r="A7" s="46" t="s">
        <v>184</v>
      </c>
      <c r="B7">
        <v>11600</v>
      </c>
    </row>
    <row r="8" spans="1:2" x14ac:dyDescent="0.3">
      <c r="A8" s="44" t="s">
        <v>185</v>
      </c>
      <c r="B8" s="45"/>
    </row>
    <row r="9" spans="1:2" x14ac:dyDescent="0.3">
      <c r="A9" s="46" t="s">
        <v>186</v>
      </c>
      <c r="B9">
        <v>1200</v>
      </c>
    </row>
    <row r="10" spans="1:2" x14ac:dyDescent="0.3">
      <c r="A10" s="47" t="s">
        <v>97</v>
      </c>
      <c r="B10" s="48">
        <v>21500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4D2E-5C25-4200-889E-B0A58391457E}">
  <dimension ref="A1:D11"/>
  <sheetViews>
    <sheetView workbookViewId="0">
      <selection activeCell="C11" sqref="C11"/>
    </sheetView>
  </sheetViews>
  <sheetFormatPr baseColWidth="10" defaultRowHeight="14.4" x14ac:dyDescent="0.3"/>
  <cols>
    <col min="2" max="2" width="15" customWidth="1"/>
    <col min="3" max="3" width="67.88671875" customWidth="1"/>
  </cols>
  <sheetData>
    <row r="1" spans="1:4" ht="15" thickBot="1" x14ac:dyDescent="0.35">
      <c r="A1" s="49" t="s">
        <v>187</v>
      </c>
      <c r="B1" s="50" t="s">
        <v>188</v>
      </c>
      <c r="C1" s="50" t="s">
        <v>189</v>
      </c>
      <c r="D1" s="51" t="s">
        <v>1</v>
      </c>
    </row>
    <row r="2" spans="1:4" ht="15" thickTop="1" x14ac:dyDescent="0.3">
      <c r="A2" s="52" t="s">
        <v>190</v>
      </c>
      <c r="B2" s="53" t="s">
        <v>191</v>
      </c>
      <c r="C2" s="53" t="s">
        <v>192</v>
      </c>
      <c r="D2" s="54">
        <v>1760</v>
      </c>
    </row>
    <row r="3" spans="1:4" x14ac:dyDescent="0.3">
      <c r="A3" s="55" t="s">
        <v>190</v>
      </c>
      <c r="B3" s="56" t="s">
        <v>193</v>
      </c>
      <c r="C3" s="56" t="s">
        <v>194</v>
      </c>
      <c r="D3" s="57">
        <v>0.01</v>
      </c>
    </row>
    <row r="4" spans="1:4" x14ac:dyDescent="0.3">
      <c r="A4" s="52" t="s">
        <v>190</v>
      </c>
      <c r="B4" s="53" t="s">
        <v>3</v>
      </c>
      <c r="C4" s="53" t="s">
        <v>195</v>
      </c>
      <c r="D4" s="54">
        <v>4600</v>
      </c>
    </row>
    <row r="5" spans="1:4" x14ac:dyDescent="0.3">
      <c r="A5" s="55" t="s">
        <v>190</v>
      </c>
      <c r="B5" s="56" t="s">
        <v>4</v>
      </c>
      <c r="C5" s="56" t="s">
        <v>196</v>
      </c>
      <c r="D5" s="57">
        <v>7000</v>
      </c>
    </row>
    <row r="6" spans="1:4" ht="15" thickBot="1" x14ac:dyDescent="0.35">
      <c r="A6" s="52" t="s">
        <v>190</v>
      </c>
      <c r="B6" s="53" t="s">
        <v>185</v>
      </c>
      <c r="C6" s="53" t="s">
        <v>197</v>
      </c>
      <c r="D6" s="54">
        <v>6000</v>
      </c>
    </row>
    <row r="7" spans="1:4" ht="15" thickTop="1" x14ac:dyDescent="0.3">
      <c r="A7" s="58" t="s">
        <v>2</v>
      </c>
      <c r="B7" s="59"/>
      <c r="C7" s="59"/>
      <c r="D7" s="60">
        <v>19360.010000000002</v>
      </c>
    </row>
    <row r="11" spans="1:4" x14ac:dyDescent="0.3">
      <c r="C11" s="66" t="s">
        <v>203</v>
      </c>
      <c r="D11" s="67">
        <f>D7+'ingresos investigación 2020'!B10+'Ingresos investigación 2019'!B28</f>
        <v>59135.15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2022-10-18T15:39:39Z</dcterms:modified>
</cp:coreProperties>
</file>