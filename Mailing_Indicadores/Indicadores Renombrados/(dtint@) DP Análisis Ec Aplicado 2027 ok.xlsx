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95" firstSheet="2" activeTab="7"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Ingresos formación 2023" sheetId="6" state="visible" r:id="rId6"/>
    <sheet name="Ingresos formación 2024" sheetId="7" state="visible" r:id="rId7"/>
    <sheet name="Ingresos formación 2025" sheetId="8" state="visible" r:id="rId8"/>
    <sheet name="Correo" sheetId="9" state="veryHidden" r:id="rId9"/>
  </sheets>
  <definedNames>
    <definedName name="_xlnm._FilterDatabase" localSheetId="0" hidden="1">'Tesis'!$A$1:$U$2</definedName>
    <definedName name="_xlnm.Print_Titles" localSheetId="0">'Tesis'!$1:$1,'Tesis'!$D:$D</definedName>
    <definedName name="_xlnm.Print_Titles" localSheetId="1">'Sexenios'!$1:$1</definedName>
  </definedNames>
  <calcPr calcId="191029" fullCalcOnLoad="1"/>
</workbook>
</file>

<file path=xl/styles.xml><?xml version="1.0" encoding="utf-8"?>
<styleSheet xmlns="http://schemas.openxmlformats.org/spreadsheetml/2006/main">
  <numFmts count="3">
    <numFmt numFmtId="164" formatCode="_-* #,##0.00_-;\-* #,##0.00_-;_-* &quot;-&quot;??_-;_-@_-"/>
    <numFmt numFmtId="165" formatCode="0.0"/>
    <numFmt numFmtId="166" formatCode="_-* #,##0.00\ _€_-;\-* #,##0.00\ _€_-;_-* &quot;-&quot;??\ _€_-;_-@_-"/>
  </numFmts>
  <fonts count="17">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color theme="1"/>
      <sz val="10"/>
    </font>
    <font>
      <name val="Arial"/>
      <family val="2"/>
      <b val="1"/>
      <color theme="1"/>
      <sz val="10"/>
    </font>
    <font>
      <name val="Arial"/>
      <family val="2"/>
      <sz val="10"/>
    </font>
    <font>
      <name val="Arial"/>
      <family val="2"/>
      <b val="1"/>
      <sz val="10"/>
    </font>
    <font>
      <name val="Arial"/>
      <family val="2"/>
      <b val="1"/>
      <color indexed="8"/>
      <sz val="10"/>
    </font>
    <font>
      <name val="Calibri"/>
      <family val="2"/>
      <color theme="1"/>
      <sz val="11"/>
      <scheme val="minor"/>
    </font>
    <font>
      <name val="Arial"/>
      <family val="2"/>
      <b val="1"/>
      <color theme="0"/>
      <sz val="10"/>
    </font>
    <font>
      <name val="Arial"/>
      <family val="2"/>
      <color theme="1"/>
      <sz val="10"/>
    </font>
    <font>
      <name val="Arial"/>
      <b val="1"/>
      <color theme="0"/>
      <sz val="10"/>
    </font>
    <font>
      <name val="Arial"/>
      <color theme="1"/>
      <sz val="10"/>
    </font>
    <font>
      <name val="Arial"/>
      <b val="1"/>
      <color theme="1"/>
      <sz val="10"/>
    </font>
  </fonts>
  <fills count="12">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rgb="FFFFFFFF"/>
        <bgColor indexed="64"/>
      </patternFill>
    </fill>
    <fill>
      <patternFill patternType="solid">
        <fgColor theme="9"/>
        <bgColor theme="9"/>
      </patternFill>
    </fill>
    <fill>
      <patternFill patternType="solid">
        <fgColor theme="9" tint="0.7999816888943144"/>
        <bgColor theme="9" tint="0.7999816888943144"/>
      </patternFill>
    </fill>
    <fill>
      <patternFill patternType="solid">
        <fgColor theme="6"/>
        <bgColor indexed="64"/>
      </patternFill>
    </fill>
    <fill>
      <patternFill patternType="solid">
        <fgColor theme="4"/>
        <bgColor theme="4"/>
      </patternFill>
    </fill>
    <fill>
      <patternFill patternType="solid">
        <fgColor theme="4" tint="0.7999816888943144"/>
        <bgColor theme="4" tint="0.799981688894314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style="thin">
        <color theme="1"/>
      </left>
      <right style="thin">
        <color theme="1"/>
      </right>
      <top/>
      <bottom/>
      <diagonal/>
    </border>
    <border>
      <left/>
      <right/>
      <top style="thin">
        <color theme="9" tint="0.3999755851924192"/>
      </top>
      <bottom style="thin">
        <color theme="9" tint="0.3999755851924192"/>
      </bottom>
      <diagonal/>
    </border>
    <border>
      <left/>
      <right/>
      <top/>
      <bottom style="thin">
        <color theme="9" tint="0.3999755851924192"/>
      </bottom>
      <diagonal/>
    </border>
    <border>
      <left/>
      <right/>
      <top style="thin">
        <color theme="9"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7">
    <xf numFmtId="0" fontId="11" fillId="0" borderId="0"/>
    <xf numFmtId="0" fontId="2" fillId="0" borderId="0"/>
    <xf numFmtId="0" fontId="5" fillId="0" borderId="0"/>
    <xf numFmtId="0" fontId="5" fillId="0" borderId="0"/>
    <xf numFmtId="0" fontId="1" fillId="0" borderId="0"/>
    <xf numFmtId="0" fontId="8" fillId="0" borderId="0"/>
    <xf numFmtId="166" fontId="11" fillId="0" borderId="0"/>
  </cellStyleXfs>
  <cellXfs count="91">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2">
      <alignment horizontal="center"/>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4" borderId="0" applyAlignment="1" pivotButton="0" quotePrefix="0" xfId="1">
      <alignment horizontal="right"/>
    </xf>
    <xf numFmtId="0" fontId="6" fillId="0" borderId="0" pivotButton="0" quotePrefix="0" xfId="4"/>
    <xf numFmtId="0" fontId="6" fillId="0" borderId="0" applyAlignment="1" pivotButton="0" quotePrefix="0" xfId="4">
      <alignment horizontal="right"/>
    </xf>
    <xf numFmtId="0" fontId="6" fillId="2" borderId="0" pivotButton="0" quotePrefix="0" xfId="4"/>
    <xf numFmtId="0" fontId="6" fillId="2" borderId="0" applyAlignment="1" pivotButton="0" quotePrefix="0" xfId="4">
      <alignment horizontal="right"/>
    </xf>
    <xf numFmtId="0" fontId="5" fillId="0" borderId="0" pivotButton="0" quotePrefix="0" xfId="4"/>
    <xf numFmtId="0" fontId="9" fillId="3" borderId="1" applyAlignment="1" pivotButton="0" quotePrefix="0" xfId="3">
      <alignment horizontal="center" textRotation="90" wrapText="1"/>
    </xf>
    <xf numFmtId="0" fontId="9" fillId="5" borderId="1" applyAlignment="1" pivotButton="0" quotePrefix="0" xfId="3">
      <alignment horizontal="center" textRotation="90" wrapText="1"/>
    </xf>
    <xf numFmtId="0" fontId="10" fillId="2" borderId="1" pivotButton="0" quotePrefix="0" xfId="0"/>
    <xf numFmtId="0" fontId="10" fillId="2" borderId="1" applyAlignment="1" pivotButton="0" quotePrefix="0" xfId="0">
      <alignment textRotation="90"/>
    </xf>
    <xf numFmtId="0" fontId="9" fillId="3" borderId="1" applyAlignment="1" pivotButton="0" quotePrefix="0" xfId="3">
      <alignment horizontal="center" wrapText="1"/>
    </xf>
    <xf numFmtId="0" fontId="2" fillId="4" borderId="1" pivotButton="0" quotePrefix="0" xfId="1"/>
    <xf numFmtId="0" fontId="2" fillId="4" borderId="1" applyAlignment="1" pivotButton="0" quotePrefix="0" xfId="1">
      <alignment horizontal="right"/>
    </xf>
    <xf numFmtId="0" fontId="2" fillId="0" borderId="1" pivotButton="0" quotePrefix="0" xfId="1"/>
    <xf numFmtId="0" fontId="2" fillId="4" borderId="3" pivotButton="0" quotePrefix="0" xfId="1"/>
    <xf numFmtId="0" fontId="2" fillId="0" borderId="2" pivotButton="0" quotePrefix="0" xfId="1"/>
    <xf numFmtId="0" fontId="2" fillId="0" borderId="7" pivotButton="0" quotePrefix="0" xfId="1"/>
    <xf numFmtId="0" fontId="2" fillId="0" borderId="2" applyAlignment="1" pivotButton="0" quotePrefix="0" xfId="1">
      <alignment horizontal="right"/>
    </xf>
    <xf numFmtId="164" fontId="0" fillId="8" borderId="8" pivotButton="0" quotePrefix="0" xfId="6"/>
    <xf numFmtId="164" fontId="0" fillId="0" borderId="8" pivotButton="0" quotePrefix="0" xfId="6"/>
    <xf numFmtId="165" fontId="7" fillId="2" borderId="0" pivotButton="0" quotePrefix="0" xfId="4"/>
    <xf numFmtId="0" fontId="13" fillId="8" borderId="8" pivotButton="0" quotePrefix="0" xfId="0"/>
    <xf numFmtId="0" fontId="13" fillId="0" borderId="8" pivotButton="0" quotePrefix="0" xfId="0"/>
    <xf numFmtId="164" fontId="0" fillId="0" borderId="0" pivotButton="0" quotePrefix="0" xfId="0"/>
    <xf numFmtId="0" fontId="2" fillId="0" borderId="1" pivotButton="0" quotePrefix="0" xfId="0"/>
    <xf numFmtId="0" fontId="6" fillId="0" borderId="1" pivotButton="0" quotePrefix="0" xfId="4"/>
    <xf numFmtId="0" fontId="6" fillId="0" borderId="1" applyAlignment="1" pivotButton="0" quotePrefix="0" xfId="4">
      <alignment horizontal="right"/>
    </xf>
    <xf numFmtId="164" fontId="0" fillId="0" borderId="10" pivotButton="0" quotePrefix="0" xfId="6"/>
    <xf numFmtId="0" fontId="0" fillId="0" borderId="10" pivotButton="0" quotePrefix="0" xfId="0"/>
    <xf numFmtId="164" fontId="0" fillId="0" borderId="10" pivotButton="0" quotePrefix="0" xfId="0"/>
    <xf numFmtId="0" fontId="12" fillId="7" borderId="9" pivotButton="0" quotePrefix="0" xfId="0"/>
    <xf numFmtId="0" fontId="13" fillId="8" borderId="10" pivotButton="0" quotePrefix="0" xfId="0"/>
    <xf numFmtId="164" fontId="0" fillId="8" borderId="10" pivotButton="0" quotePrefix="0" xfId="6"/>
    <xf numFmtId="0" fontId="6" fillId="8" borderId="10" pivotButton="0" quotePrefix="0" xfId="0"/>
    <xf numFmtId="164" fontId="11" fillId="8" borderId="10" pivotButton="0" quotePrefix="0" xfId="0"/>
    <xf numFmtId="0" fontId="13" fillId="8" borderId="8" applyAlignment="1" pivotButton="0" quotePrefix="0" xfId="0">
      <alignment wrapText="1"/>
    </xf>
    <xf numFmtId="0" fontId="13" fillId="0" borderId="8" applyAlignment="1" pivotButton="0" quotePrefix="0" xfId="0">
      <alignment wrapText="1"/>
    </xf>
    <xf numFmtId="0" fontId="13" fillId="8" borderId="10" applyAlignment="1" pivotButton="0" quotePrefix="0" xfId="0">
      <alignment wrapText="1"/>
    </xf>
    <xf numFmtId="0" fontId="13" fillId="0" borderId="10" pivotButton="0" quotePrefix="0" xfId="0"/>
    <xf numFmtId="0" fontId="7" fillId="0" borderId="1" applyAlignment="1" pivotButton="0" quotePrefix="0" xfId="0">
      <alignment horizontal="right"/>
    </xf>
    <xf numFmtId="4" fontId="7" fillId="0" borderId="1" pivotButton="0" quotePrefix="0" xfId="0"/>
    <xf numFmtId="164" fontId="6" fillId="8" borderId="10" pivotButton="0" quotePrefix="0" xfId="0"/>
    <xf numFmtId="2" fontId="2" fillId="0" borderId="2" pivotButton="0" quotePrefix="0" xfId="1"/>
    <xf numFmtId="2" fontId="2" fillId="4" borderId="1" pivotButton="0" quotePrefix="0" xfId="1"/>
    <xf numFmtId="0" fontId="2" fillId="6" borderId="1" applyAlignment="1" pivotButton="0" quotePrefix="0" xfId="0">
      <alignment horizontal="left" vertical="center"/>
    </xf>
    <xf numFmtId="0" fontId="2" fillId="6" borderId="4" applyAlignment="1" pivotButton="0" quotePrefix="0" xfId="0">
      <alignment horizontal="left" vertical="center"/>
    </xf>
    <xf numFmtId="0" fontId="2" fillId="6" borderId="5" applyAlignment="1" pivotButton="0" quotePrefix="0" xfId="0">
      <alignment horizontal="left" vertical="center"/>
    </xf>
    <xf numFmtId="0" fontId="2" fillId="6" borderId="6" applyAlignment="1" pivotButton="0" quotePrefix="0" xfId="0">
      <alignment horizontal="left" vertical="center"/>
    </xf>
    <xf numFmtId="2" fontId="2" fillId="0" borderId="1" pivotButton="0" quotePrefix="0" xfId="0"/>
    <xf numFmtId="1" fontId="2" fillId="0" borderId="1" pivotButton="0" quotePrefix="0" xfId="0"/>
    <xf numFmtId="0" fontId="2" fillId="9" borderId="0" pivotButton="0" quotePrefix="0" xfId="1"/>
    <xf numFmtId="0" fontId="2" fillId="9" borderId="0" applyAlignment="1" pivotButton="0" quotePrefix="0" xfId="1">
      <alignment horizontal="right"/>
    </xf>
    <xf numFmtId="2" fontId="3" fillId="9" borderId="0" pivotButton="0" quotePrefix="0" xfId="1"/>
    <xf numFmtId="0" fontId="14" fillId="10" borderId="11" pivotButton="0" quotePrefix="0" xfId="0"/>
    <xf numFmtId="0" fontId="14" fillId="10" borderId="12" pivotButton="0" quotePrefix="0" xfId="0"/>
    <xf numFmtId="0" fontId="15" fillId="11" borderId="11" pivotButton="0" quotePrefix="0" xfId="0"/>
    <xf numFmtId="0" fontId="15" fillId="11" borderId="12" pivotButton="0" quotePrefix="0" xfId="0"/>
    <xf numFmtId="166" fontId="15" fillId="11" borderId="12" pivotButton="0" quotePrefix="0" xfId="6"/>
    <xf numFmtId="0" fontId="15" fillId="0" borderId="11" pivotButton="0" quotePrefix="0" xfId="0"/>
    <xf numFmtId="0" fontId="15" fillId="0" borderId="12" pivotButton="0" quotePrefix="0" xfId="0"/>
    <xf numFmtId="166" fontId="15" fillId="0" borderId="12" pivotButton="0" quotePrefix="0" xfId="6"/>
    <xf numFmtId="0" fontId="16" fillId="0" borderId="13" pivotButton="0" quotePrefix="0" xfId="0"/>
    <xf numFmtId="0" fontId="16" fillId="0" borderId="14" pivotButton="0" quotePrefix="0" xfId="0"/>
    <xf numFmtId="166" fontId="16" fillId="0" borderId="14" pivotButton="0" quotePrefix="0" xfId="6"/>
    <xf numFmtId="0" fontId="7" fillId="0" borderId="0" applyAlignment="1" pivotButton="0" quotePrefix="0" xfId="0">
      <alignment horizontal="right"/>
    </xf>
    <xf numFmtId="4" fontId="7" fillId="0" borderId="0" pivotButton="0" quotePrefix="0" xfId="0"/>
    <xf numFmtId="0" fontId="0" fillId="0" borderId="0" pivotButton="0" quotePrefix="0" xfId="0"/>
    <xf numFmtId="0" fontId="7" fillId="0" borderId="1" applyAlignment="1" pivotButton="0" quotePrefix="0" xfId="0">
      <alignment horizontal="left" vertical="center"/>
    </xf>
    <xf numFmtId="4" fontId="7" fillId="0" borderId="1" applyAlignment="1" pivotButton="0" quotePrefix="0" xfId="0">
      <alignment horizontal="center" vertical="center"/>
    </xf>
    <xf numFmtId="166" fontId="14" fillId="10" borderId="12" pivotButton="0" quotePrefix="0" xfId="6"/>
    <xf numFmtId="166" fontId="16" fillId="0" borderId="14" pivotButton="0" quotePrefix="0" xfId="0"/>
    <xf numFmtId="164" fontId="0" fillId="8" borderId="8" pivotButton="0" quotePrefix="0" xfId="6"/>
    <xf numFmtId="164" fontId="0" fillId="0" borderId="8" pivotButton="0" quotePrefix="0" xfId="6"/>
    <xf numFmtId="164" fontId="0" fillId="8" borderId="10" pivotButton="0" quotePrefix="0" xfId="6"/>
    <xf numFmtId="164" fontId="11" fillId="8" borderId="10" pivotButton="0" quotePrefix="0" xfId="0"/>
    <xf numFmtId="164" fontId="0" fillId="0" borderId="0" pivotButton="0" quotePrefix="0" xfId="0"/>
    <xf numFmtId="164" fontId="0" fillId="0" borderId="10" pivotButton="0" quotePrefix="0" xfId="0"/>
    <xf numFmtId="166" fontId="15" fillId="11" borderId="12" pivotButton="0" quotePrefix="0" xfId="6"/>
    <xf numFmtId="166" fontId="15" fillId="0" borderId="12" pivotButton="0" quotePrefix="0" xfId="6"/>
    <xf numFmtId="166" fontId="16" fillId="0" borderId="14" pivotButton="0" quotePrefix="0" xfId="6"/>
    <xf numFmtId="164" fontId="0" fillId="0" borderId="10" pivotButton="0" quotePrefix="0" xfId="6"/>
    <xf numFmtId="164" fontId="6" fillId="8" borderId="10" pivotButton="0" quotePrefix="0" xfId="0"/>
    <xf numFmtId="166" fontId="14" fillId="10" borderId="12" pivotButton="0" quotePrefix="0" xfId="6"/>
    <xf numFmtId="166" fontId="16" fillId="0" borderId="14" pivotButton="0" quotePrefix="0" xfId="0"/>
  </cellXfs>
  <cellStyles count="7">
    <cellStyle name="Normal" xfId="0" builtinId="0"/>
    <cellStyle name="Normal_Ind.2010" xfId="1"/>
    <cellStyle name="Normal_Becas 14_9_2005" xfId="2"/>
    <cellStyle name="Normal_PDI por Centro" xfId="3"/>
    <cellStyle name="Normal 3" xfId="4"/>
    <cellStyle name="Normal 2" xfId="5"/>
    <cellStyle name="Millares" xfId="6" builtinId="3"/>
  </cellStyles>
  <dxfs count="29">
    <dxf>
      <font>
        <name val="Arial"/>
        <family val="2"/>
        <strike val="0"/>
        <outline val="0"/>
        <shadow val="0"/>
        <condense val="0"/>
        <color theme="1"/>
        <extend val="0"/>
        <sz val="10"/>
        <vertAlign val="baseline"/>
      </font>
      <fill>
        <patternFill patternType="solid">
          <fgColor theme="9" tint="0.7999816888943144"/>
          <bgColor theme="9" tint="0.7999816888943144"/>
        </patternFill>
      </fill>
    </dxf>
    <dxf>
      <font>
        <name val="Calibri"/>
        <family val="2"/>
        <strike val="0"/>
        <outline val="0"/>
        <shadow val="0"/>
        <condense val="0"/>
        <color theme="1"/>
        <extend val="0"/>
        <sz val="11"/>
        <vertAlign val="baseline"/>
        <scheme val="minor"/>
      </font>
      <numFmt numFmtId="35" formatCode="_-* #,##0.00_-;\-* #,##0.00_-;_-* &quot;-&quot;??_-;_-@_-"/>
      <fill>
        <patternFill patternType="solid">
          <fgColor theme="9" tint="0.7999816888943144"/>
          <bgColor theme="9" tint="0.7999816888943144"/>
        </patternFill>
      </fill>
      <border>
        <left/>
        <right/>
        <top style="thin">
          <color theme="9" tint="0.3999755851924192"/>
        </top>
        <bottom/>
        <vertical/>
        <horizontal/>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outline="0">
        <left/>
        <right/>
        <top/>
        <bottom/>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vertical/>
        <horizontal/>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outline="0">
        <left/>
        <right/>
        <top/>
        <bottom/>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
      <border outline="0">
        <left/>
        <right/>
        <top style="thin">
          <color theme="9" tint="0.3999755851924192"/>
        </top>
        <bottom/>
      </border>
    </dxf>
    <dxf>
      <border outline="0">
        <top style="thin">
          <color theme="9" tint="0.3999755851924192"/>
        </top>
      </border>
    </dxf>
    <dxf>
      <border outline="0">
        <left style="thin">
          <color theme="9" tint="0.3999755851924192"/>
        </left>
        <right style="thin">
          <color theme="9" tint="0.3999755851924192"/>
        </righ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
      <font>
        <name val="Calibri"/>
        <family val="2"/>
        <strike val="0"/>
        <outline val="0"/>
        <shadow val="0"/>
        <condense val="0"/>
        <color theme="1"/>
        <extend val="0"/>
        <sz val="11"/>
        <vertAlign val="baseline"/>
        <scheme val="minor"/>
      </font>
      <fill>
        <patternFill patternType="solid">
          <fgColor theme="9" tint="0.7999816888943144"/>
          <bgColor theme="9" tint="0.7999816888943144"/>
        </patternFill>
      </fill>
      <border outline="0">
        <left/>
        <right/>
        <top/>
        <bottom/>
      </border>
    </dxf>
    <dxf>
      <font>
        <name val="Calibri"/>
        <family val="2"/>
        <strike val="0"/>
        <outline val="0"/>
        <shadow val="0"/>
        <condense val="0"/>
        <color theme="1"/>
        <extend val="0"/>
        <sz val="11"/>
        <vertAlign val="baseline"/>
        <scheme val="minor"/>
      </font>
      <numFmt numFmtId="35" formatCode="_-* #,##0.00_-;\-* #,##0.00_-;_-* &quot;-&quot;??_-;_-@_-"/>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outline="0">
        <left/>
        <right/>
        <top/>
        <bottom/>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outline="0">
        <left/>
        <right/>
        <top/>
        <bottom/>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Tabla2" displayName="Tabla2" ref="A1:C7" headerRowCount="1" totalsRowCount="1" headerRowDxfId="28" headerRowBorderDxfId="27" tableBorderDxfId="26" totalsRowBorderDxfId="25">
  <autoFilter ref="A1:C6"/>
  <tableColumns count="3">
    <tableColumn id="1" name="Cód. org. aplic." totalsRowLabel="Total" dataDxfId="24" totalsRowDxfId="23"/>
    <tableColumn id="2" name="Descripción justificante" dataDxfId="22" totalsRowDxfId="21"/>
    <tableColumn id="3" name="Imp.cob.aplic." totalsRowFunction="sum" dataDxfId="20" totalsRowDxfId="19"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id="2" name="Tabla3" displayName="Tabla3" ref="A1:C5" headerRowCount="1" totalsRowCount="1" headerRowDxfId="18" headerRowBorderDxfId="17" tableBorderDxfId="16" totalsRowBorderDxfId="15">
  <autoFilter ref="A1:C4"/>
  <tableColumns count="3">
    <tableColumn id="1" name="Org. aplic." totalsRowLabel="Total"/>
    <tableColumn id="2" name="Descripción justificante"/>
    <tableColumn id="3" name="Imp. aplic." totalsRowFunction="sum"/>
  </tableColumns>
  <tableStyleInfo name="TableStyleMedium2" showFirstColumn="0" showLastColumn="0" showRowStripes="1" showColumnStripes="0"/>
</table>
</file>

<file path=xl/tables/table3.xml><?xml version="1.0" encoding="utf-8"?>
<table xmlns="http://schemas.openxmlformats.org/spreadsheetml/2006/main" id="3" name="Tabla4" displayName="Tabla4" ref="A1:C4" headerRowCount="1" totalsRowCount="1" headerRowDxfId="14" headerRowBorderDxfId="13" tableBorderDxfId="12" totalsRowBorderDxfId="11">
  <autoFilter ref="A1:C3"/>
  <tableColumns count="3">
    <tableColumn id="1" name="Cód. org. aplic." totalsRowLabel="Total"/>
    <tableColumn id="2" name="Descripción justificante"/>
    <tableColumn id="3" name="Imp.cob.aplic." totalsRowFunction="sum" totalsRowDxfId="10"/>
  </tableColumns>
  <tableStyleInfo name="TableStyleMedium2" showFirstColumn="0" showLastColumn="0" showRowStripes="1" showColumnStripes="0"/>
</table>
</file>

<file path=xl/tables/table4.xml><?xml version="1.0" encoding="utf-8"?>
<table xmlns="http://schemas.openxmlformats.org/spreadsheetml/2006/main" id="4" name="Tabla5" displayName="Tabla5" ref="A1:C3" headerRowCount="1" totalsRowCount="1" headerRowDxfId="9" headerRowBorderDxfId="8" tableBorderDxfId="7" totalsRowBorderDxfId="6">
  <autoFilter ref="A1:C2"/>
  <tableColumns count="3">
    <tableColumn id="1" name="Cód. org. aplic." totalsRowLabel="Total" dataDxfId="5" totalsRowDxfId="4"/>
    <tableColumn id="2" name="Descripción justificante" dataDxfId="3" totalsRowDxfId="2"/>
    <tableColumn id="3" name="Imp.cob.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U47"/>
  <sheetViews>
    <sheetView showGridLines="0" zoomScale="120" zoomScaleNormal="120" workbookViewId="0">
      <pane xSplit="1" ySplit="1" topLeftCell="F41" activePane="bottomRight" state="frozen"/>
      <selection pane="topRight" activeCell="B1" sqref="B1"/>
      <selection pane="bottomLeft" activeCell="A2" sqref="A2"/>
      <selection pane="bottomRight" activeCell="D55" sqref="D55"/>
    </sheetView>
  </sheetViews>
  <sheetFormatPr baseColWidth="10" defaultColWidth="10.28515625" defaultRowHeight="11.25"/>
  <cols>
    <col width="5" customWidth="1" style="6" min="1" max="1"/>
    <col width="29.7109375" customWidth="1" style="6" min="2" max="4"/>
    <col width="40.7109375" customWidth="1" style="6" min="5" max="5"/>
    <col width="9.140625" customWidth="1" style="6" min="6" max="6"/>
    <col width="9.7109375" customWidth="1" style="6" min="7" max="7"/>
    <col width="14.42578125" customWidth="1" style="6" min="8" max="8"/>
    <col width="5.85546875" customWidth="1" style="6" min="9" max="9"/>
    <col width="25.7109375" customWidth="1" style="6" min="10" max="10"/>
    <col width="23.42578125" customWidth="1" style="6" min="11" max="11"/>
    <col width="5.140625" customWidth="1" style="6" min="12" max="12"/>
    <col width="4.42578125" customWidth="1" style="6" min="13" max="13"/>
    <col width="4.85546875" customWidth="1" style="6" min="14" max="14"/>
    <col width="4.85546875" customWidth="1" style="7" min="15" max="15"/>
    <col width="4.85546875" customWidth="1" style="6" min="16" max="16"/>
    <col width="3.5703125" customWidth="1" style="7" min="17" max="17"/>
    <col width="3.5703125" customWidth="1" style="6" min="18" max="18"/>
    <col width="5.140625" customWidth="1" style="6" min="19" max="21"/>
    <col width="10.28515625" customWidth="1" style="6" min="22" max="16384"/>
  </cols>
  <sheetData>
    <row r="1" ht="45" customHeight="1" s="73">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3" t="inlineStr">
        <is>
          <t>EJERCICIO</t>
        </is>
      </c>
      <c r="N1" s="4" t="inlineStr">
        <is>
          <t>INS 1</t>
        </is>
      </c>
      <c r="O1" s="5" t="inlineStr">
        <is>
          <t>DED INS 1</t>
        </is>
      </c>
      <c r="P1" s="4" t="inlineStr">
        <is>
          <t>INS 2</t>
        </is>
      </c>
      <c r="Q1" s="5" t="inlineStr">
        <is>
          <t>DED INS 2</t>
        </is>
      </c>
      <c r="R1" s="4" t="inlineStr">
        <is>
          <t>DED DEP</t>
        </is>
      </c>
      <c r="S1" s="4" t="inlineStr">
        <is>
          <t>TDOC DEP</t>
        </is>
      </c>
      <c r="T1" s="4" t="inlineStr">
        <is>
          <t>TDOC INST 1</t>
        </is>
      </c>
      <c r="U1" s="4" t="inlineStr">
        <is>
          <t>TDOC INST 2</t>
        </is>
      </c>
    </row>
    <row r="2">
      <c r="A2" s="22" t="inlineStr">
        <is>
          <t xml:space="preserve">B138 </t>
        </is>
      </c>
      <c r="B2" s="22" t="inlineStr">
        <is>
          <t xml:space="preserve">ANALISIS ECONOMICO APLICADO </t>
        </is>
      </c>
      <c r="C2" s="22" t="inlineStr">
        <is>
          <t xml:space="preserve">DOCTORADO EN ECONOMÍA </t>
        </is>
      </c>
      <c r="D2" s="22" t="inlineStr">
        <is>
          <t xml:space="preserve">Su , Zhenyu </t>
        </is>
      </c>
      <c r="E2" s="22" t="inlineStr">
        <is>
          <t xml:space="preserve">REAL ESTATE INVESTMENTS: PRINCIPLES AND EVIDENCE -- THE CASES OF SPAIN AND CHINA </t>
        </is>
      </c>
      <c r="F2" s="22" t="inlineStr">
        <is>
          <t xml:space="preserve">30/09/2020 </t>
        </is>
      </c>
      <c r="G2" s="22" t="inlineStr">
        <is>
          <t xml:space="preserve">22529387J </t>
        </is>
      </c>
      <c r="H2" s="22" t="inlineStr">
        <is>
          <t xml:space="preserve">Director de tesis </t>
        </is>
      </c>
      <c r="I2" s="22" t="inlineStr">
        <is>
          <t xml:space="preserve">B138 </t>
        </is>
      </c>
      <c r="J2" s="22" t="inlineStr">
        <is>
          <t xml:space="preserve">ANALISIS ECONOMICO APLICADO </t>
        </is>
      </c>
      <c r="K2" s="22" t="n">
        <v>1</v>
      </c>
      <c r="L2" s="22" t="inlineStr">
        <is>
          <t>B138</t>
        </is>
      </c>
      <c r="M2" s="23" t="n">
        <v>2019</v>
      </c>
      <c r="N2" s="22" t="inlineStr">
        <is>
          <t>10.25</t>
        </is>
      </c>
      <c r="O2" s="24" t="n">
        <v>50</v>
      </c>
      <c r="P2" s="22" t="inlineStr">
        <is>
          <t>10.17</t>
        </is>
      </c>
      <c r="Q2" s="24" t="n">
        <v>10</v>
      </c>
      <c r="R2" s="22" t="n">
        <v>40</v>
      </c>
      <c r="S2" s="22" t="n">
        <v>0.4</v>
      </c>
      <c r="T2" s="49" t="n">
        <v>0.5</v>
      </c>
      <c r="U2" s="22" t="n">
        <v>0.1</v>
      </c>
    </row>
    <row r="3" ht="12" customHeight="1" s="73" thickBot="1">
      <c r="A3" s="18" t="inlineStr">
        <is>
          <t xml:space="preserve">U020 </t>
        </is>
      </c>
      <c r="B3" s="18" t="inlineStr">
        <is>
          <t xml:space="preserve">ADM. I.U. DEL AGUA Y DE LAS CIENCIAS AMBIENTALES </t>
        </is>
      </c>
      <c r="C3" s="18" t="inlineStr">
        <is>
          <t xml:space="preserve">DOCTORADO EN AGUA Y DESARROLLO SOSTENIBLE </t>
        </is>
      </c>
      <c r="D3" s="18" t="inlineStr">
        <is>
          <t xml:space="preserve">Pérez de la Cruz, Francisco Javier </t>
        </is>
      </c>
      <c r="E3" s="18" t="inlineStr">
        <is>
          <t xml:space="preserve">DEFINICIÓN Y CARACTERIZACIÓN DE UNA METODOLOGÍA PARA EL ESTUDIO DE SISTEMAS HIDRÁULICOS ANTIGUOS. APLICACIÓN AL ABASTECIMIENTO DE AGUA A CARTAGENA POR "THE CARTHAGENA MINING &amp; WATER COMPANY" </t>
        </is>
      </c>
      <c r="F3" s="18" t="inlineStr">
        <is>
          <t xml:space="preserve">17/12/2020 </t>
        </is>
      </c>
      <c r="G3" s="18" t="inlineStr">
        <is>
          <t xml:space="preserve">74342287P </t>
        </is>
      </c>
      <c r="H3" s="18" t="inlineStr">
        <is>
          <t xml:space="preserve">Codirector de tesis </t>
        </is>
      </c>
      <c r="I3" s="18" t="inlineStr">
        <is>
          <t xml:space="preserve">B138 </t>
        </is>
      </c>
      <c r="J3" s="18" t="inlineStr">
        <is>
          <t xml:space="preserve">ANALISIS ECONOMICO APLICADO </t>
        </is>
      </c>
      <c r="K3" s="20" t="n">
        <v>0.5</v>
      </c>
      <c r="L3" s="20" t="inlineStr">
        <is>
          <t>B138</t>
        </is>
      </c>
      <c r="M3" s="21" t="n">
        <v>2019</v>
      </c>
      <c r="N3" s="18" t="inlineStr">
        <is>
          <t>10.05</t>
        </is>
      </c>
      <c r="O3" s="19" t="n">
        <v>90</v>
      </c>
      <c r="P3" s="18" t="inlineStr"/>
      <c r="Q3" s="19" t="n">
        <v>0</v>
      </c>
      <c r="R3" s="18" t="n">
        <v>10</v>
      </c>
      <c r="S3" s="18" t="n">
        <v>0.05</v>
      </c>
      <c r="T3" s="50" t="n">
        <v>0.45</v>
      </c>
      <c r="U3" s="18" t="n">
        <v>0</v>
      </c>
    </row>
    <row r="4" ht="12" customHeight="1" s="73" thickBot="1">
      <c r="A4" s="51" t="inlineStr">
        <is>
          <t xml:space="preserve">B138 </t>
        </is>
      </c>
      <c r="B4" s="51" t="inlineStr">
        <is>
          <t xml:space="preserve">ANALISIS ECONOMICO APLICADO </t>
        </is>
      </c>
      <c r="C4" s="51" t="inlineStr">
        <is>
          <t xml:space="preserve">DOCTORADO EN ECONOMÍA </t>
        </is>
      </c>
      <c r="D4" s="51" t="inlineStr">
        <is>
          <t xml:space="preserve">Sarmiento Moscoso, Luis Santiago </t>
        </is>
      </c>
      <c r="E4" s="51" t="inlineStr">
        <is>
          <t xml:space="preserve">Tres estudios sobre la descomposición de las diferencias salariales regionales en Ecuador a lo largo de la distribución salarial </t>
        </is>
      </c>
      <c r="F4" s="51" t="inlineStr">
        <is>
          <t xml:space="preserve">06/09/2021 </t>
        </is>
      </c>
      <c r="G4" s="52" t="inlineStr">
        <is>
          <t xml:space="preserve">21494190T </t>
        </is>
      </c>
      <c r="H4" s="53" t="inlineStr">
        <is>
          <t xml:space="preserve">Codirector de tesis </t>
        </is>
      </c>
      <c r="I4" s="53" t="inlineStr">
        <is>
          <t xml:space="preserve">B138 </t>
        </is>
      </c>
      <c r="J4" s="54" t="inlineStr">
        <is>
          <t xml:space="preserve">ANALISIS ECONOMICO APLICADO </t>
        </is>
      </c>
      <c r="K4" s="20" t="n">
        <v>0.5</v>
      </c>
      <c r="L4" s="20" t="inlineStr">
        <is>
          <t>B138</t>
        </is>
      </c>
      <c r="M4" s="18" t="n">
        <v>2020</v>
      </c>
      <c r="N4" s="18" t="inlineStr">
        <is>
          <t>10.06</t>
        </is>
      </c>
      <c r="O4" s="19" t="n">
        <v>50</v>
      </c>
      <c r="P4" s="18" t="inlineStr"/>
      <c r="Q4" s="19" t="n">
        <v>0</v>
      </c>
      <c r="R4" s="18" t="n">
        <v>50</v>
      </c>
      <c r="S4" s="18" t="n">
        <v>0.25</v>
      </c>
      <c r="T4" s="50" t="n">
        <v>0.25</v>
      </c>
      <c r="U4" s="18" t="n">
        <v>0</v>
      </c>
    </row>
    <row r="5" ht="12" customHeight="1" s="73" thickBot="1">
      <c r="A5" s="51" t="inlineStr">
        <is>
          <t xml:space="preserve">B138 </t>
        </is>
      </c>
      <c r="B5" s="51" t="inlineStr">
        <is>
          <t xml:space="preserve">ANALISIS ECONOMICO APLICADO </t>
        </is>
      </c>
      <c r="C5" s="51" t="inlineStr">
        <is>
          <t xml:space="preserve">DOCTORADO EN ECONOMÍA </t>
        </is>
      </c>
      <c r="D5" s="51" t="inlineStr">
        <is>
          <t xml:space="preserve">Sarmiento Moscoso, Luis Santiago </t>
        </is>
      </c>
      <c r="E5" s="51" t="inlineStr">
        <is>
          <t xml:space="preserve">Tres estudios sobre la descomposición de las diferencias salariales regionales en Ecuador a lo largo de la distribución salarial </t>
        </is>
      </c>
      <c r="F5" s="51" t="inlineStr">
        <is>
          <t xml:space="preserve">06/09/2021 </t>
        </is>
      </c>
      <c r="G5" s="52" t="inlineStr">
        <is>
          <t xml:space="preserve">33475454N </t>
        </is>
      </c>
      <c r="H5" s="53" t="inlineStr">
        <is>
          <t xml:space="preserve">Codirector de tesis </t>
        </is>
      </c>
      <c r="I5" s="53" t="inlineStr">
        <is>
          <t xml:space="preserve">B138 </t>
        </is>
      </c>
      <c r="J5" s="54" t="inlineStr">
        <is>
          <t xml:space="preserve">ANALISIS ECONOMICO APLICADO </t>
        </is>
      </c>
      <c r="K5" s="20" t="n">
        <v>0.5</v>
      </c>
      <c r="L5" s="20" t="inlineStr">
        <is>
          <t>B138</t>
        </is>
      </c>
      <c r="M5" s="18" t="n">
        <v>2020</v>
      </c>
      <c r="N5" s="18" t="inlineStr">
        <is>
          <t>10.17</t>
        </is>
      </c>
      <c r="O5" s="19" t="n">
        <v>10</v>
      </c>
      <c r="P5" s="18" t="inlineStr">
        <is>
          <t>10.06</t>
        </is>
      </c>
      <c r="Q5" s="19" t="n">
        <v>50</v>
      </c>
      <c r="R5" s="18" t="n">
        <v>40</v>
      </c>
      <c r="S5" s="18" t="n">
        <v>0.2</v>
      </c>
      <c r="T5" s="50" t="n">
        <v>0.05</v>
      </c>
      <c r="U5" s="18" t="n">
        <v>0.25</v>
      </c>
    </row>
    <row r="6" ht="12" customHeight="1" s="73" thickBot="1">
      <c r="A6" s="51" t="inlineStr">
        <is>
          <t xml:space="preserve">U020 </t>
        </is>
      </c>
      <c r="B6" s="51" t="inlineStr">
        <is>
          <t xml:space="preserve">ADM. I.U. DEL AGUA Y DE LAS CIENCIAS AMBIENTALES </t>
        </is>
      </c>
      <c r="C6" s="51" t="inlineStr">
        <is>
          <t xml:space="preserve">DOCTORADO EN AGUA Y DESARROLLO SOSTENIBLE </t>
        </is>
      </c>
      <c r="D6" s="51" t="inlineStr">
        <is>
          <t xml:space="preserve">Aznar Crespo, Pablo </t>
        </is>
      </c>
      <c r="E6" s="51" t="inlineStr">
        <is>
          <t xml:space="preserve">Procesos generativos de vulnerabilidad social ante riesgos ambientales: retos y oportunidades para una nueva gobernanza </t>
        </is>
      </c>
      <c r="F6" s="51" t="inlineStr">
        <is>
          <t xml:space="preserve">10/09/2021 </t>
        </is>
      </c>
      <c r="G6" s="52" t="inlineStr">
        <is>
          <t xml:space="preserve">74342287P </t>
        </is>
      </c>
      <c r="H6" s="53" t="inlineStr">
        <is>
          <t xml:space="preserve">Codirector de tesis </t>
        </is>
      </c>
      <c r="I6" s="53" t="inlineStr">
        <is>
          <t xml:space="preserve">B138 </t>
        </is>
      </c>
      <c r="J6" s="54" t="inlineStr">
        <is>
          <t xml:space="preserve">ANALISIS ECONOMICO APLICADO </t>
        </is>
      </c>
      <c r="K6" s="20" t="n">
        <v>0.5</v>
      </c>
      <c r="L6" s="20" t="inlineStr">
        <is>
          <t>B138</t>
        </is>
      </c>
      <c r="M6" s="18" t="n">
        <v>2020</v>
      </c>
      <c r="N6" s="18" t="inlineStr">
        <is>
          <t>10.05</t>
        </is>
      </c>
      <c r="O6" s="19" t="n">
        <v>90</v>
      </c>
      <c r="P6" s="18" t="inlineStr"/>
      <c r="Q6" s="19" t="n">
        <v>0</v>
      </c>
      <c r="R6" s="18" t="n">
        <v>10</v>
      </c>
      <c r="S6" s="18" t="n">
        <v>0.05</v>
      </c>
      <c r="T6" s="50" t="n">
        <v>0.45</v>
      </c>
      <c r="U6" s="18" t="n">
        <v>0</v>
      </c>
    </row>
    <row r="7" ht="12" customHeight="1" s="73" thickBot="1">
      <c r="A7" s="51" t="inlineStr">
        <is>
          <t xml:space="preserve">U020 </t>
        </is>
      </c>
      <c r="B7" s="51" t="inlineStr">
        <is>
          <t xml:space="preserve">ADM. I.U. DEL AGUA Y DE LAS CIENCIAS AMBIENTALES </t>
        </is>
      </c>
      <c r="C7" s="51" t="inlineStr">
        <is>
          <t xml:space="preserve">DOCTORADO EN AGUA Y DESARROLLO SOSTENIBLE </t>
        </is>
      </c>
      <c r="D7" s="51" t="inlineStr">
        <is>
          <t xml:space="preserve">Cansi , Francine </t>
        </is>
      </c>
      <c r="E7" s="51" t="inlineStr">
        <is>
          <t xml:space="preserve">ÁGUA, ECONOMIA CIRCULAR E SUSTENTABILIDADE: ELEMENTOS TEÓRICOS PARA UM ORDENAMENTO JURÍDICO TRANSNACIONAL </t>
        </is>
      </c>
      <c r="F7" s="51" t="inlineStr">
        <is>
          <t xml:space="preserve">02/09/2021 </t>
        </is>
      </c>
      <c r="G7" s="52" t="inlineStr">
        <is>
          <t xml:space="preserve">74342287P </t>
        </is>
      </c>
      <c r="H7" s="53" t="inlineStr">
        <is>
          <t xml:space="preserve">Codirector de tesis </t>
        </is>
      </c>
      <c r="I7" s="53" t="inlineStr">
        <is>
          <t xml:space="preserve">B138 </t>
        </is>
      </c>
      <c r="J7" s="54" t="inlineStr">
        <is>
          <t xml:space="preserve">ANALISIS ECONOMICO APLICADO </t>
        </is>
      </c>
      <c r="K7" s="20" t="n">
        <v>0.5</v>
      </c>
      <c r="L7" s="20" t="inlineStr">
        <is>
          <t>B138</t>
        </is>
      </c>
      <c r="M7" s="18" t="n">
        <v>2020</v>
      </c>
      <c r="N7" s="18" t="inlineStr">
        <is>
          <t>10.05</t>
        </is>
      </c>
      <c r="O7" s="19" t="n">
        <v>90</v>
      </c>
      <c r="P7" s="18" t="inlineStr"/>
      <c r="Q7" s="19" t="n">
        <v>0</v>
      </c>
      <c r="R7" s="18" t="n">
        <v>10</v>
      </c>
      <c r="S7" s="18" t="n">
        <v>0.05</v>
      </c>
      <c r="T7" s="50" t="n">
        <v>0.45</v>
      </c>
      <c r="U7" s="18" t="n">
        <v>0</v>
      </c>
    </row>
    <row r="8" ht="12" customHeight="1" s="73" thickBot="1">
      <c r="A8" s="51" t="inlineStr">
        <is>
          <t xml:space="preserve">U036 </t>
        </is>
      </c>
      <c r="B8" s="51" t="inlineStr">
        <is>
          <t xml:space="preserve">ADM. FACULTAD DE CIENCIAS ECONÓMICAS </t>
        </is>
      </c>
      <c r="C8" s="51" t="inlineStr">
        <is>
          <t xml:space="preserve">DOCTORADO EN EMPRESA, ECONOMÍA Y SOCIEDAD </t>
        </is>
      </c>
      <c r="D8" s="51" t="inlineStr">
        <is>
          <t xml:space="preserve">Canales de Ramírez, Lissette Cristalina </t>
        </is>
      </c>
      <c r="E8" s="51" t="inlineStr">
        <is>
          <t xml:space="preserve">Evolución y situación actual de las empresas familiares en El Salvador </t>
        </is>
      </c>
      <c r="F8" s="51" t="inlineStr">
        <is>
          <t xml:space="preserve">02/06/2021 </t>
        </is>
      </c>
      <c r="G8" s="52" t="inlineStr">
        <is>
          <t xml:space="preserve">21417350A </t>
        </is>
      </c>
      <c r="H8" s="53" t="inlineStr">
        <is>
          <t xml:space="preserve">Director de tesis </t>
        </is>
      </c>
      <c r="I8" s="53" t="inlineStr">
        <is>
          <t xml:space="preserve">B138 </t>
        </is>
      </c>
      <c r="J8" s="54" t="inlineStr">
        <is>
          <t xml:space="preserve">ANALISIS ECONOMICO APLICADO </t>
        </is>
      </c>
      <c r="K8" s="20" t="n">
        <v>1</v>
      </c>
      <c r="L8" s="20" t="inlineStr">
        <is>
          <t>B138</t>
        </is>
      </c>
      <c r="M8" s="18" t="n">
        <v>2020</v>
      </c>
      <c r="N8" s="18" t="inlineStr">
        <is>
          <t>10.25</t>
        </is>
      </c>
      <c r="O8" s="19" t="n">
        <v>80</v>
      </c>
      <c r="P8" s="18" t="inlineStr"/>
      <c r="Q8" s="19" t="n">
        <v>0</v>
      </c>
      <c r="R8" s="18" t="n">
        <v>20</v>
      </c>
      <c r="S8" s="18" t="n">
        <v>0.2</v>
      </c>
      <c r="T8" s="50" t="n">
        <v>0.8</v>
      </c>
      <c r="U8" s="18" t="n">
        <v>0</v>
      </c>
    </row>
    <row r="9">
      <c r="A9" s="18" t="inlineStr">
        <is>
          <t xml:space="preserve">B119 </t>
        </is>
      </c>
      <c r="B9" s="18" t="inlineStr">
        <is>
          <t xml:space="preserve">FUNDAMENTOS DEL ANÁLISIS ECONÓMICO </t>
        </is>
      </c>
      <c r="C9" s="18" t="inlineStr">
        <is>
          <t xml:space="preserve">DOCTORADO EN ECONOMÍA </t>
        </is>
      </c>
      <c r="D9" s="18" t="inlineStr">
        <is>
          <t xml:space="preserve">Simón Albert, Raquel </t>
        </is>
      </c>
      <c r="E9" s="18" t="inlineStr">
        <is>
          <t xml:space="preserve">Three empirical essays on daily residence-work mobility and labor market areas </t>
        </is>
      </c>
      <c r="F9" s="18" t="inlineStr">
        <is>
          <t xml:space="preserve">24/05/2022 </t>
        </is>
      </c>
      <c r="G9" s="18" t="inlineStr">
        <is>
          <t xml:space="preserve">21494190T </t>
        </is>
      </c>
      <c r="H9" s="18" t="inlineStr">
        <is>
          <t xml:space="preserve">Codirector de tesis </t>
        </is>
      </c>
      <c r="I9" s="18" t="inlineStr">
        <is>
          <t xml:space="preserve">B138 </t>
        </is>
      </c>
      <c r="J9" s="18" t="inlineStr">
        <is>
          <t xml:space="preserve">ANALISIS ECONOMICO APLICADO </t>
        </is>
      </c>
      <c r="K9" s="20" t="n">
        <v>0.5</v>
      </c>
      <c r="L9" s="20" t="inlineStr">
        <is>
          <t>B138</t>
        </is>
      </c>
      <c r="M9" s="18" t="n">
        <v>2021</v>
      </c>
      <c r="N9" s="18" t="inlineStr">
        <is>
          <t>10.06</t>
        </is>
      </c>
      <c r="O9" s="19" t="n">
        <v>50</v>
      </c>
      <c r="P9" s="18" t="inlineStr"/>
      <c r="Q9" s="19" t="n">
        <v>0</v>
      </c>
      <c r="R9" s="18" t="n">
        <v>50</v>
      </c>
      <c r="S9" s="18" t="n">
        <v>0.25</v>
      </c>
      <c r="T9" s="50" t="n">
        <v>0.25</v>
      </c>
      <c r="U9" s="18" t="n">
        <v>0</v>
      </c>
    </row>
    <row r="10">
      <c r="A10" s="18" t="inlineStr">
        <is>
          <t xml:space="preserve">B119 </t>
        </is>
      </c>
      <c r="B10" s="18" t="inlineStr">
        <is>
          <t xml:space="preserve">FUNDAMENTOS DEL ANÁLISIS ECONÓMICO </t>
        </is>
      </c>
      <c r="C10" s="18" t="inlineStr">
        <is>
          <t xml:space="preserve">DOCTORADO EN ECONOMÍA </t>
        </is>
      </c>
      <c r="D10" s="18" t="inlineStr">
        <is>
          <t xml:space="preserve">Simón Albert, Raquel </t>
        </is>
      </c>
      <c r="E10" s="18" t="inlineStr">
        <is>
          <t xml:space="preserve">Three empirical essays on daily residence-work mobility and labor market areas </t>
        </is>
      </c>
      <c r="F10" s="18" t="inlineStr">
        <is>
          <t xml:space="preserve">24/05/2022 </t>
        </is>
      </c>
      <c r="G10" s="18" t="inlineStr">
        <is>
          <t xml:space="preserve">33475454N </t>
        </is>
      </c>
      <c r="H10" s="18" t="inlineStr">
        <is>
          <t xml:space="preserve">Codirector de tesis </t>
        </is>
      </c>
      <c r="I10" s="18" t="inlineStr">
        <is>
          <t xml:space="preserve">B138 </t>
        </is>
      </c>
      <c r="J10" s="18" t="inlineStr">
        <is>
          <t xml:space="preserve">ANALISIS ECONOMICO APLICADO </t>
        </is>
      </c>
      <c r="K10" s="20" t="n">
        <v>0.5</v>
      </c>
      <c r="L10" s="20" t="inlineStr">
        <is>
          <t>B138</t>
        </is>
      </c>
      <c r="M10" s="18" t="n">
        <v>2021</v>
      </c>
      <c r="N10" s="18" t="inlineStr">
        <is>
          <t>10.17</t>
        </is>
      </c>
      <c r="O10" s="19" t="n">
        <v>10</v>
      </c>
      <c r="P10" s="18" t="inlineStr">
        <is>
          <t>10.06</t>
        </is>
      </c>
      <c r="Q10" s="19" t="n">
        <v>50</v>
      </c>
      <c r="R10" s="18" t="n">
        <v>40</v>
      </c>
      <c r="S10" s="18" t="n">
        <v>0.2</v>
      </c>
      <c r="T10" s="50" t="n">
        <v>0.05</v>
      </c>
      <c r="U10" s="18" t="n">
        <v>0.25</v>
      </c>
    </row>
    <row r="11">
      <c r="A11" s="18" t="inlineStr">
        <is>
          <t xml:space="preserve">B119 </t>
        </is>
      </c>
      <c r="B11" s="18" t="inlineStr">
        <is>
          <t xml:space="preserve">FUNDAMENTOS DEL ANÁLISIS ECONÓMICO </t>
        </is>
      </c>
      <c r="C11" s="18" t="inlineStr">
        <is>
          <t xml:space="preserve">DOCTORADO EN ECONOMÍA </t>
        </is>
      </c>
      <c r="D11" s="18" t="inlineStr">
        <is>
          <t xml:space="preserve">Torres García de las Bayonas, Sonia María </t>
        </is>
      </c>
      <c r="E11" s="18" t="inlineStr">
        <is>
          <t xml:space="preserve">El crédito en los procesos de crecimiento y desarrollo económico. La experiencia española en las situaciones de crisis financieras. El papel de las instituciones y de los reguladores del sistema financiero. ¿Ha tenido efectos la desaparición de las c </t>
        </is>
      </c>
      <c r="F11" s="18" t="inlineStr">
        <is>
          <t xml:space="preserve">14/07/2022 </t>
        </is>
      </c>
      <c r="G11" s="18" t="inlineStr">
        <is>
          <t xml:space="preserve">22529387J </t>
        </is>
      </c>
      <c r="H11" s="18" t="inlineStr">
        <is>
          <t xml:space="preserve">Codirector de tesis </t>
        </is>
      </c>
      <c r="I11" s="18" t="inlineStr">
        <is>
          <t xml:space="preserve">B138 </t>
        </is>
      </c>
      <c r="J11" s="18" t="inlineStr">
        <is>
          <t xml:space="preserve">ANALISIS ECONOMICO APLICADO </t>
        </is>
      </c>
      <c r="K11" s="20" t="n">
        <v>0.5</v>
      </c>
      <c r="L11" s="20" t="inlineStr">
        <is>
          <t>B138</t>
        </is>
      </c>
      <c r="M11" s="18" t="n">
        <v>2021</v>
      </c>
      <c r="N11" s="18" t="inlineStr">
        <is>
          <t>10.25</t>
        </is>
      </c>
      <c r="O11" s="19" t="n">
        <v>50</v>
      </c>
      <c r="P11" s="18" t="inlineStr">
        <is>
          <t>10.17</t>
        </is>
      </c>
      <c r="Q11" s="19" t="n">
        <v>10</v>
      </c>
      <c r="R11" s="18" t="n">
        <v>40</v>
      </c>
      <c r="S11" s="18" t="n">
        <v>0.2</v>
      </c>
      <c r="T11" s="50" t="n">
        <v>0.25</v>
      </c>
      <c r="U11" s="18" t="n">
        <v>0.05</v>
      </c>
    </row>
    <row r="12">
      <c r="A12" s="18" t="inlineStr">
        <is>
          <t xml:space="preserve">B119 </t>
        </is>
      </c>
      <c r="B12" s="18" t="inlineStr">
        <is>
          <t xml:space="preserve">FUNDAMENTOS DEL ANÁLISIS ECONÓMICO </t>
        </is>
      </c>
      <c r="C12" s="18" t="inlineStr">
        <is>
          <t xml:space="preserve">DOCTORADO EN ECONOMÍA </t>
        </is>
      </c>
      <c r="D12" s="18" t="inlineStr">
        <is>
          <t xml:space="preserve">Torres García de las Bayonas, Sonia María </t>
        </is>
      </c>
      <c r="E12" s="18" t="inlineStr">
        <is>
          <t xml:space="preserve">El crédito en los procesos de crecimiento y desarrollo económico. La experiencia española en las situaciones de crisis financieras. El papel de las instituciones y de los reguladores del sistema financiero. ¿Ha tenido efectos la desaparición de las c </t>
        </is>
      </c>
      <c r="F12" s="18" t="inlineStr">
        <is>
          <t xml:space="preserve">14/07/2022 </t>
        </is>
      </c>
      <c r="G12" s="18" t="inlineStr">
        <is>
          <t xml:space="preserve">74420019T </t>
        </is>
      </c>
      <c r="H12" s="18" t="inlineStr">
        <is>
          <t xml:space="preserve">Codirector de tesis </t>
        </is>
      </c>
      <c r="I12" s="18" t="inlineStr">
        <is>
          <t xml:space="preserve">B138 </t>
        </is>
      </c>
      <c r="J12" s="18" t="inlineStr">
        <is>
          <t xml:space="preserve">ANALISIS ECONOMICO APLICADO </t>
        </is>
      </c>
      <c r="K12" s="20" t="n">
        <v>0.5</v>
      </c>
      <c r="L12" s="20" t="inlineStr">
        <is>
          <t>B138</t>
        </is>
      </c>
      <c r="M12" s="18" t="n">
        <v>2021</v>
      </c>
      <c r="N12" s="18" t="inlineStr"/>
      <c r="O12" s="19" t="inlineStr"/>
      <c r="P12" s="18" t="inlineStr"/>
      <c r="Q12" s="19" t="inlineStr"/>
      <c r="R12" s="18" t="n">
        <v>100</v>
      </c>
      <c r="S12" s="18" t="n">
        <v>0.5</v>
      </c>
      <c r="T12" s="50" t="n">
        <v>0</v>
      </c>
      <c r="U12" s="18" t="n">
        <v>0</v>
      </c>
    </row>
    <row r="13">
      <c r="A13" s="18" t="inlineStr">
        <is>
          <t xml:space="preserve">B138 </t>
        </is>
      </c>
      <c r="B13" s="18" t="inlineStr">
        <is>
          <t xml:space="preserve">ANALISIS ECONOMICO APLICADO </t>
        </is>
      </c>
      <c r="C13" s="18" t="inlineStr">
        <is>
          <t xml:space="preserve">DOCTORADO EN ECONOMÍA </t>
        </is>
      </c>
      <c r="D13" s="18" t="inlineStr">
        <is>
          <t xml:space="preserve">Pastor Pomares, Francisco </t>
        </is>
      </c>
      <c r="E13" s="18" t="inlineStr">
        <is>
          <t xml:space="preserve">Acuerdos comerciales regionales (Estudio de caso sobre sus impactos y efectos bajo un modelo gravitacional) </t>
        </is>
      </c>
      <c r="F13" s="18" t="inlineStr">
        <is>
          <t xml:space="preserve">18/07/2022 </t>
        </is>
      </c>
      <c r="G13" s="18" t="inlineStr">
        <is>
          <t xml:space="preserve">22529387J </t>
        </is>
      </c>
      <c r="H13" s="18" t="inlineStr">
        <is>
          <t xml:space="preserve">Codirector de tesis </t>
        </is>
      </c>
      <c r="I13" s="18" t="inlineStr">
        <is>
          <t xml:space="preserve">B138 </t>
        </is>
      </c>
      <c r="J13" s="18" t="inlineStr">
        <is>
          <t xml:space="preserve">ANALISIS ECONOMICO APLICADO </t>
        </is>
      </c>
      <c r="K13" s="20" t="n">
        <v>0.5</v>
      </c>
      <c r="L13" s="20" t="inlineStr">
        <is>
          <t>B138</t>
        </is>
      </c>
      <c r="M13" s="18" t="n">
        <v>2021</v>
      </c>
      <c r="N13" s="18" t="inlineStr">
        <is>
          <t>10.25</t>
        </is>
      </c>
      <c r="O13" s="19" t="n">
        <v>50</v>
      </c>
      <c r="P13" s="18" t="inlineStr">
        <is>
          <t>10.17</t>
        </is>
      </c>
      <c r="Q13" s="19" t="n">
        <v>10</v>
      </c>
      <c r="R13" s="18" t="n">
        <v>40</v>
      </c>
      <c r="S13" s="18" t="n">
        <v>0.2</v>
      </c>
      <c r="T13" s="50" t="n">
        <v>0.25</v>
      </c>
      <c r="U13" s="18" t="n">
        <v>0.05</v>
      </c>
    </row>
    <row r="14">
      <c r="A14" s="18" t="inlineStr">
        <is>
          <t xml:space="preserve">B138 </t>
        </is>
      </c>
      <c r="B14" s="18" t="inlineStr">
        <is>
          <t xml:space="preserve">ANALISIS ECONOMICO APLICADO </t>
        </is>
      </c>
      <c r="C14" s="18" t="inlineStr">
        <is>
          <t xml:space="preserve">DOCTORADO EN ECONOMÍA </t>
        </is>
      </c>
      <c r="D14" s="18" t="inlineStr">
        <is>
          <t xml:space="preserve">Pastor Pomares, Francisco </t>
        </is>
      </c>
      <c r="E14" s="18" t="inlineStr">
        <is>
          <t xml:space="preserve">Acuerdos comerciales regionales (Estudio de caso sobre sus impactos y efectos bajo un modelo gravitacional) </t>
        </is>
      </c>
      <c r="F14" s="18" t="inlineStr">
        <is>
          <t xml:space="preserve">18/07/2022 </t>
        </is>
      </c>
      <c r="G14" s="18" t="inlineStr">
        <is>
          <t xml:space="preserve">74149704G </t>
        </is>
      </c>
      <c r="H14" s="18" t="inlineStr">
        <is>
          <t xml:space="preserve">Codirector de tesis </t>
        </is>
      </c>
      <c r="I14" s="18" t="inlineStr">
        <is>
          <t xml:space="preserve">B138 </t>
        </is>
      </c>
      <c r="J14" s="18" t="inlineStr">
        <is>
          <t xml:space="preserve">ANALISIS ECONOMICO APLICADO </t>
        </is>
      </c>
      <c r="K14" s="20" t="n">
        <v>0.5</v>
      </c>
      <c r="L14" s="20" t="inlineStr">
        <is>
          <t>B138</t>
        </is>
      </c>
      <c r="M14" s="18" t="n">
        <v>2021</v>
      </c>
      <c r="N14" s="18" t="inlineStr">
        <is>
          <t>10.06</t>
        </is>
      </c>
      <c r="O14" s="19" t="n">
        <v>90</v>
      </c>
      <c r="P14" s="18" t="inlineStr"/>
      <c r="Q14" s="19" t="n">
        <v>0</v>
      </c>
      <c r="R14" s="18" t="n">
        <v>10</v>
      </c>
      <c r="S14" s="18" t="n">
        <v>0.05</v>
      </c>
      <c r="T14" s="50" t="n">
        <v>0.45</v>
      </c>
      <c r="U14" s="18" t="n">
        <v>0</v>
      </c>
    </row>
    <row r="15">
      <c r="A15" s="18" t="inlineStr">
        <is>
          <t xml:space="preserve">B138 </t>
        </is>
      </c>
      <c r="B15" s="18" t="inlineStr">
        <is>
          <t xml:space="preserve">Análisis Económico Aplicado </t>
        </is>
      </c>
      <c r="C15" s="18" t="inlineStr">
        <is>
          <t xml:space="preserve">DOCTORADO EN ECONOMÍA </t>
        </is>
      </c>
      <c r="D15" s="18" t="inlineStr">
        <is>
          <t xml:space="preserve">Roldán Aráuz, Diego Francisco </t>
        </is>
      </c>
      <c r="E15" s="18" t="inlineStr">
        <is>
          <t xml:space="preserve">Evaluación de impacto de políticas públicas del Sumak Kawsay en el Ecuador </t>
        </is>
      </c>
      <c r="F15" s="18" t="inlineStr">
        <is>
          <t xml:space="preserve">09/09/2022 </t>
        </is>
      </c>
      <c r="G15" s="18" t="inlineStr">
        <is>
          <t xml:space="preserve">22529387J </t>
        </is>
      </c>
      <c r="H15" s="18" t="inlineStr">
        <is>
          <t xml:space="preserve">Codirector de tesis </t>
        </is>
      </c>
      <c r="I15" s="18" t="inlineStr">
        <is>
          <t xml:space="preserve">B138 </t>
        </is>
      </c>
      <c r="J15" s="18" t="inlineStr">
        <is>
          <t xml:space="preserve">Análisis Económico Aplicado </t>
        </is>
      </c>
      <c r="K15" s="20" t="n">
        <v>0.5</v>
      </c>
      <c r="L15" s="20" t="inlineStr">
        <is>
          <t>B138</t>
        </is>
      </c>
      <c r="M15" s="18" t="n">
        <v>2021</v>
      </c>
      <c r="N15" s="18" t="inlineStr">
        <is>
          <t>10.25</t>
        </is>
      </c>
      <c r="O15" s="19" t="n">
        <v>50</v>
      </c>
      <c r="P15" s="18" t="inlineStr">
        <is>
          <t>10.17</t>
        </is>
      </c>
      <c r="Q15" s="19" t="n">
        <v>10</v>
      </c>
      <c r="R15" s="18" t="n">
        <v>40</v>
      </c>
      <c r="S15" s="18" t="n">
        <v>0.2</v>
      </c>
      <c r="T15" s="50" t="n">
        <v>0.25</v>
      </c>
      <c r="U15" s="18" t="n">
        <v>0.05</v>
      </c>
    </row>
    <row r="16">
      <c r="A16" s="18" t="inlineStr">
        <is>
          <t xml:space="preserve">B138 </t>
        </is>
      </c>
      <c r="B16" s="18" t="inlineStr">
        <is>
          <t xml:space="preserve">Análisis Económico Aplicado </t>
        </is>
      </c>
      <c r="C16" s="18" t="inlineStr">
        <is>
          <t xml:space="preserve">DOCTORADO EN ECONOMÍA </t>
        </is>
      </c>
      <c r="D16" s="18" t="inlineStr">
        <is>
          <t xml:space="preserve">Roldán Aráuz, Diego Francisco </t>
        </is>
      </c>
      <c r="E16" s="18" t="inlineStr">
        <is>
          <t xml:space="preserve">Evaluación de impacto de políticas públicas del Sumak Kawsay en el Ecuador </t>
        </is>
      </c>
      <c r="F16" s="18" t="inlineStr">
        <is>
          <t xml:space="preserve">09/09/2022 </t>
        </is>
      </c>
      <c r="G16" s="18" t="inlineStr">
        <is>
          <t xml:space="preserve">74420019T </t>
        </is>
      </c>
      <c r="H16" s="18" t="inlineStr">
        <is>
          <t xml:space="preserve">Codirector de tesis </t>
        </is>
      </c>
      <c r="I16" s="18" t="inlineStr">
        <is>
          <t xml:space="preserve">B138 </t>
        </is>
      </c>
      <c r="J16" s="18" t="inlineStr">
        <is>
          <t xml:space="preserve">Análisis Económico Aplicado </t>
        </is>
      </c>
      <c r="K16" s="20" t="n">
        <v>0.5</v>
      </c>
      <c r="L16" s="20" t="inlineStr">
        <is>
          <t>B138</t>
        </is>
      </c>
      <c r="M16" s="18" t="n">
        <v>2021</v>
      </c>
      <c r="N16" s="18" t="inlineStr"/>
      <c r="O16" s="19" t="inlineStr"/>
      <c r="P16" s="18" t="inlineStr"/>
      <c r="Q16" s="19" t="inlineStr"/>
      <c r="R16" s="18" t="n">
        <v>100</v>
      </c>
      <c r="S16" s="18" t="n">
        <v>0.5</v>
      </c>
      <c r="T16" s="50" t="n">
        <v>0</v>
      </c>
      <c r="U16" s="18" t="n">
        <v>0</v>
      </c>
    </row>
    <row r="17">
      <c r="A17" s="18" t="inlineStr">
        <is>
          <t xml:space="preserve">U023 </t>
        </is>
      </c>
      <c r="B17" s="18" t="inlineStr">
        <is>
          <t xml:space="preserve">ADM. FACULTAD DE FILOSOFIA Y LETRAS </t>
        </is>
      </c>
      <c r="C17" s="18" t="inlineStr">
        <is>
          <t xml:space="preserve">DOCTORADO EN FILOSOFÍA Y LETRAS </t>
        </is>
      </c>
      <c r="D17" s="18" t="inlineStr">
        <is>
          <t xml:space="preserve">Silva Castillo, Vicente Xavier </t>
        </is>
      </c>
      <c r="E17" s="18" t="inlineStr">
        <is>
          <t xml:space="preserve">Los programas de posgrado en especialidad médica de Ecuador en el contexto andino y su relación con la economía El caso de la Universidad Central del Ecuador, 2000-2016 </t>
        </is>
      </c>
      <c r="F17" s="18" t="inlineStr">
        <is>
          <t xml:space="preserve">27/06/2022 </t>
        </is>
      </c>
      <c r="G17" s="18" t="inlineStr">
        <is>
          <t xml:space="preserve">21417350A </t>
        </is>
      </c>
      <c r="H17" s="18" t="inlineStr">
        <is>
          <t xml:space="preserve">Director de tesis </t>
        </is>
      </c>
      <c r="I17" s="18" t="inlineStr">
        <is>
          <t xml:space="preserve">B138 </t>
        </is>
      </c>
      <c r="J17" s="18" t="inlineStr">
        <is>
          <t xml:space="preserve">ANALISIS ECONOMICO APLICADO </t>
        </is>
      </c>
      <c r="K17" s="20" t="n">
        <v>1</v>
      </c>
      <c r="L17" s="20" t="inlineStr">
        <is>
          <t>B138</t>
        </is>
      </c>
      <c r="M17" s="18" t="n">
        <v>2021</v>
      </c>
      <c r="N17" s="18" t="inlineStr">
        <is>
          <t>10.25</t>
        </is>
      </c>
      <c r="O17" s="19" t="n">
        <v>80</v>
      </c>
      <c r="P17" s="18" t="inlineStr"/>
      <c r="Q17" s="19" t="n">
        <v>0</v>
      </c>
      <c r="R17" s="18" t="n">
        <v>20</v>
      </c>
      <c r="S17" s="18" t="n">
        <v>0.2</v>
      </c>
      <c r="T17" s="50" t="n">
        <v>0.8</v>
      </c>
      <c r="U17" s="18" t="n">
        <v>0</v>
      </c>
    </row>
    <row r="18">
      <c r="A18" s="18" t="inlineStr">
        <is>
          <t xml:space="preserve">U058 </t>
        </is>
      </c>
      <c r="B18" s="18" t="inlineStr">
        <is>
          <t xml:space="preserve">ADM. I.U. DE INVESTIGACIONES TURÍSTICAS </t>
        </is>
      </c>
      <c r="C18" s="18" t="inlineStr">
        <is>
          <t xml:space="preserve">DOCTORADO EN TURISMO </t>
        </is>
      </c>
      <c r="D18" s="18" t="inlineStr">
        <is>
          <t xml:space="preserve">Ibragimov , Khusen </t>
        </is>
      </c>
      <c r="E18" s="18" t="inlineStr">
        <is>
          <t xml:space="preserve">THE DETERMINANTS OF TOURISM DEMAND IN CENTRAL ASIA </t>
        </is>
      </c>
      <c r="F18" s="18" t="inlineStr">
        <is>
          <t xml:space="preserve">14/06/2022 </t>
        </is>
      </c>
      <c r="G18" s="18" t="inlineStr">
        <is>
          <t xml:space="preserve">21487688F </t>
        </is>
      </c>
      <c r="H18" s="18" t="inlineStr">
        <is>
          <t xml:space="preserve">Codirector de tesis </t>
        </is>
      </c>
      <c r="I18" s="18" t="inlineStr">
        <is>
          <t xml:space="preserve">B138 </t>
        </is>
      </c>
      <c r="J18" s="18" t="inlineStr">
        <is>
          <t xml:space="preserve">ANALISIS ECONOMICO APLICADO </t>
        </is>
      </c>
      <c r="K18" s="20" t="n">
        <v>0.5</v>
      </c>
      <c r="L18" s="20" t="inlineStr">
        <is>
          <t>B138</t>
        </is>
      </c>
      <c r="M18" s="18" t="n">
        <v>2021</v>
      </c>
      <c r="N18" s="18" t="inlineStr">
        <is>
          <t>10.06</t>
        </is>
      </c>
      <c r="O18" s="19" t="n">
        <v>50</v>
      </c>
      <c r="P18" s="18" t="inlineStr">
        <is>
          <t>10.17</t>
        </is>
      </c>
      <c r="Q18" s="19" t="n">
        <v>10</v>
      </c>
      <c r="R18" s="18" t="n">
        <v>40</v>
      </c>
      <c r="S18" s="18" t="n">
        <v>0.2</v>
      </c>
      <c r="T18" s="50" t="n">
        <v>0.25</v>
      </c>
      <c r="U18" s="18" t="n">
        <v>0.05</v>
      </c>
    </row>
    <row r="19">
      <c r="A19" s="18" t="inlineStr">
        <is>
          <t xml:space="preserve">U058 </t>
        </is>
      </c>
      <c r="B19" s="18" t="inlineStr">
        <is>
          <t xml:space="preserve">ADM. I.U. DE INVESTIGACIONES TURÍSTICAS </t>
        </is>
      </c>
      <c r="C19" s="18" t="inlineStr">
        <is>
          <t xml:space="preserve">DOCTORADO EN TURISMO </t>
        </is>
      </c>
      <c r="D19" s="18" t="inlineStr">
        <is>
          <t xml:space="preserve">Rucci , Ana Clara </t>
        </is>
      </c>
      <c r="E19" s="18" t="inlineStr">
        <is>
          <t xml:space="preserve">ACCESSIBLE TOURISM AND COMPETITIVENESS: ASSESSING DIFFERENT DIMENSIONS OF ACCESSIBILITY IN DESTINATIONS </t>
        </is>
      </c>
      <c r="F19" s="18" t="inlineStr">
        <is>
          <t xml:space="preserve">09/12/2021 </t>
        </is>
      </c>
      <c r="G19" s="18" t="inlineStr">
        <is>
          <t xml:space="preserve">47083217D </t>
        </is>
      </c>
      <c r="H19" s="18" t="inlineStr">
        <is>
          <t xml:space="preserve">Codirector de tesis </t>
        </is>
      </c>
      <c r="I19" s="18" t="inlineStr">
        <is>
          <t xml:space="preserve">B138 </t>
        </is>
      </c>
      <c r="J19" s="18" t="inlineStr">
        <is>
          <t xml:space="preserve">ANALISIS ECONOMICO APLICADO </t>
        </is>
      </c>
      <c r="K19" s="20" t="n">
        <v>0.3333333333333333</v>
      </c>
      <c r="L19" s="20" t="inlineStr">
        <is>
          <t>B138</t>
        </is>
      </c>
      <c r="M19" s="18" t="n">
        <v>2021</v>
      </c>
      <c r="N19" s="18" t="inlineStr">
        <is>
          <t>10.17</t>
        </is>
      </c>
      <c r="O19" s="19" t="n">
        <v>10</v>
      </c>
      <c r="P19" s="18" t="inlineStr">
        <is>
          <t>10.06</t>
        </is>
      </c>
      <c r="Q19" s="19" t="n">
        <v>50</v>
      </c>
      <c r="R19" s="18" t="n">
        <v>40</v>
      </c>
      <c r="S19" s="18" t="n">
        <v>0.1333333333333333</v>
      </c>
      <c r="T19" s="50" t="n">
        <v>0.03333333333333333</v>
      </c>
      <c r="U19" s="18" t="n">
        <v>0.1666666666666666</v>
      </c>
    </row>
    <row r="20">
      <c r="A20" s="18" t="inlineStr">
        <is>
          <t xml:space="preserve">U058 </t>
        </is>
      </c>
      <c r="B20" s="18" t="inlineStr">
        <is>
          <t xml:space="preserve">ADM. I.U. DE INVESTIGACIONES TURÍSTICAS </t>
        </is>
      </c>
      <c r="C20" s="18" t="inlineStr">
        <is>
          <t xml:space="preserve">DOCTORADO EN TURISMO </t>
        </is>
      </c>
      <c r="D20" s="18" t="inlineStr">
        <is>
          <t xml:space="preserve">Rucci , Ana Clara </t>
        </is>
      </c>
      <c r="E20" s="18" t="inlineStr">
        <is>
          <t xml:space="preserve">ACCESSIBLE TOURISM AND COMPETITIVENESS: ASSESSING DIFFERENT DIMENSIONS OF ACCESSIBILITY IN DESTINATIONS </t>
        </is>
      </c>
      <c r="F20" s="18" t="inlineStr">
        <is>
          <t xml:space="preserve">09/12/2021 </t>
        </is>
      </c>
      <c r="G20" s="18" t="inlineStr">
        <is>
          <t xml:space="preserve">21487688F </t>
        </is>
      </c>
      <c r="H20" s="18" t="inlineStr">
        <is>
          <t xml:space="preserve">Codirector de tesis </t>
        </is>
      </c>
      <c r="I20" s="18" t="inlineStr">
        <is>
          <t xml:space="preserve">B138 </t>
        </is>
      </c>
      <c r="J20" s="18" t="inlineStr">
        <is>
          <t xml:space="preserve">ANALISIS ECONOMICO APLICADO </t>
        </is>
      </c>
      <c r="K20" s="20" t="n">
        <v>0.3333333333333333</v>
      </c>
      <c r="L20" s="20" t="inlineStr">
        <is>
          <t>B138</t>
        </is>
      </c>
      <c r="M20" s="18" t="n">
        <v>2021</v>
      </c>
      <c r="N20" s="18" t="inlineStr">
        <is>
          <t>10.06</t>
        </is>
      </c>
      <c r="O20" s="19" t="n">
        <v>50</v>
      </c>
      <c r="P20" s="18" t="inlineStr">
        <is>
          <t>10.17</t>
        </is>
      </c>
      <c r="Q20" s="19" t="n">
        <v>10</v>
      </c>
      <c r="R20" s="18" t="n">
        <v>40</v>
      </c>
      <c r="S20" s="18" t="n">
        <v>0.1333333333333333</v>
      </c>
      <c r="T20" s="50" t="n">
        <v>0.1666666666666666</v>
      </c>
      <c r="U20" s="18" t="n">
        <v>0.03333333333333333</v>
      </c>
    </row>
    <row r="21">
      <c r="A21" s="18" t="inlineStr">
        <is>
          <t xml:space="preserve">U075 </t>
        </is>
      </c>
      <c r="B21" s="18" t="inlineStr">
        <is>
          <t xml:space="preserve">ADM. I.U.INVESTIGACIÓN DE ESTUDIOS SOCIALES DE AMÉRICA LATINA </t>
        </is>
      </c>
      <c r="C21" s="18" t="inlineStr">
        <is>
          <t xml:space="preserve">DOCTORADO EN HUMANIDADES Y ESTUDIOS SOCIALES DE AMÉRICA LATINA </t>
        </is>
      </c>
      <c r="D21" s="18" t="inlineStr">
        <is>
          <t xml:space="preserve">Martínez Ortega, Juan Iván </t>
        </is>
      </c>
      <c r="E21" s="18" t="inlineStr">
        <is>
          <t xml:space="preserve">La construcción de las mujeres como sujetos políticos: militantes partidistas, integrantes de Asociaciones Civiles y activistas </t>
        </is>
      </c>
      <c r="F21" s="18" t="inlineStr">
        <is>
          <t xml:space="preserve">03/06/2022 </t>
        </is>
      </c>
      <c r="G21" s="18" t="inlineStr">
        <is>
          <t xml:space="preserve">21419805C </t>
        </is>
      </c>
      <c r="H21" s="18" t="inlineStr">
        <is>
          <t xml:space="preserve">Codirector de tesis </t>
        </is>
      </c>
      <c r="I21" s="18" t="inlineStr">
        <is>
          <t xml:space="preserve">B138 </t>
        </is>
      </c>
      <c r="J21" s="18" t="inlineStr">
        <is>
          <t xml:space="preserve">ANALISIS ECONOMICO APLICADO </t>
        </is>
      </c>
      <c r="K21" s="20" t="n">
        <v>0.5</v>
      </c>
      <c r="L21" s="20" t="inlineStr">
        <is>
          <t>B138</t>
        </is>
      </c>
      <c r="M21" s="18" t="n">
        <v>2021</v>
      </c>
      <c r="N21" s="18" t="inlineStr">
        <is>
          <t>10.25</t>
        </is>
      </c>
      <c r="O21" s="19" t="n">
        <v>80</v>
      </c>
      <c r="P21" s="18" t="inlineStr"/>
      <c r="Q21" s="19" t="n">
        <v>0</v>
      </c>
      <c r="R21" s="18" t="n">
        <v>20</v>
      </c>
      <c r="S21" s="18" t="n">
        <v>0.1</v>
      </c>
      <c r="T21" s="50" t="n">
        <v>0.4</v>
      </c>
      <c r="U21" s="18" t="n">
        <v>0</v>
      </c>
    </row>
    <row r="22">
      <c r="A22" s="18" t="inlineStr">
        <is>
          <t xml:space="preserve">U075 </t>
        </is>
      </c>
      <c r="B22" s="18" t="inlineStr">
        <is>
          <t xml:space="preserve">I.U.INVESTIGACIÓN DE ESTUDIOS SOCIALES DE AMÉRICA LATINA (10.25) </t>
        </is>
      </c>
      <c r="C22" s="18" t="inlineStr">
        <is>
          <t xml:space="preserve">DOCTORADO EN HUMANIDADES Y ESTUDIOS SOCIALES DE AMÉRICA LATINA </t>
        </is>
      </c>
      <c r="D22" s="18" t="inlineStr">
        <is>
          <t xml:space="preserve">Alcon Vila, Antonio </t>
        </is>
      </c>
      <c r="E22" s="18" t="inlineStr">
        <is>
          <t xml:space="preserve">Crecimiento, desarrollo sostenible e internacionalización de las PYMES latinoamericanas a través de la I+D+i: análisis comparado entre modelos de desarrollo de Pymes latinoamericanas y españolas </t>
        </is>
      </c>
      <c r="F22" s="18" t="inlineStr">
        <is>
          <t xml:space="preserve">27/09/2022 </t>
        </is>
      </c>
      <c r="G22" s="18" t="inlineStr">
        <is>
          <t xml:space="preserve">21417350A </t>
        </is>
      </c>
      <c r="H22" s="18" t="inlineStr">
        <is>
          <t xml:space="preserve">Director de tesis </t>
        </is>
      </c>
      <c r="I22" s="18" t="inlineStr">
        <is>
          <t xml:space="preserve">B138 </t>
        </is>
      </c>
      <c r="J22" s="18" t="inlineStr">
        <is>
          <t xml:space="preserve">ANALISIS ECONOMICO APLICADO </t>
        </is>
      </c>
      <c r="K22" s="31" t="n">
        <v>1</v>
      </c>
      <c r="L22" s="31" t="inlineStr">
        <is>
          <t>B138</t>
        </is>
      </c>
      <c r="M22" s="18" t="n">
        <v>2021</v>
      </c>
      <c r="N22" s="31" t="inlineStr">
        <is>
          <t>10.25</t>
        </is>
      </c>
      <c r="O22" s="31" t="n">
        <v>80</v>
      </c>
      <c r="P22" s="31" t="inlineStr"/>
      <c r="Q22" s="31" t="n">
        <v>0</v>
      </c>
      <c r="R22" s="31" t="n">
        <v>20</v>
      </c>
      <c r="S22" s="31" t="n">
        <v>0.2</v>
      </c>
      <c r="T22" s="55" t="n">
        <v>0.8</v>
      </c>
      <c r="U22" s="31" t="n">
        <v>0</v>
      </c>
    </row>
    <row r="23">
      <c r="A23" s="18" t="inlineStr">
        <is>
          <t xml:space="preserve">B119 </t>
        </is>
      </c>
      <c r="B23" s="18" t="inlineStr">
        <is>
          <t xml:space="preserve">FUNDAMENTOS DEL ANÁLISIS ECONÓMICO </t>
        </is>
      </c>
      <c r="C23" s="18" t="inlineStr">
        <is>
          <t xml:space="preserve">DOCTORADO EN ECONOMÍA </t>
        </is>
      </c>
      <c r="D23" s="18" t="inlineStr">
        <is>
          <t>Más Ferrando, Adrián</t>
        </is>
      </c>
      <c r="E23" s="18" t="inlineStr">
        <is>
          <t xml:space="preserve">Economía de la innovación y la digitalización del turismo: Un estudio del mercado de Airbnb aplicando técnicas econométricas y redes neuronales </t>
        </is>
      </c>
      <c r="F23" s="18" t="inlineStr">
        <is>
          <t xml:space="preserve">20/01/2023 </t>
        </is>
      </c>
      <c r="G23" s="18" t="inlineStr">
        <is>
          <t xml:space="preserve">47083217D </t>
        </is>
      </c>
      <c r="H23" s="18" t="inlineStr">
        <is>
          <t xml:space="preserve">Codirector de tesis </t>
        </is>
      </c>
      <c r="I23" s="18" t="inlineStr">
        <is>
          <t xml:space="preserve">B138 </t>
        </is>
      </c>
      <c r="J23" s="18" t="inlineStr">
        <is>
          <t xml:space="preserve">ANALISIS ECONOMICO APLICADO </t>
        </is>
      </c>
      <c r="K23" s="31" t="n">
        <v>0.5</v>
      </c>
      <c r="L23" s="31" t="inlineStr">
        <is>
          <t>B138</t>
        </is>
      </c>
      <c r="M23" s="18" t="n">
        <v>2022</v>
      </c>
      <c r="N23" s="31" t="inlineStr">
        <is>
          <t>10.17</t>
        </is>
      </c>
      <c r="O23" s="31" t="n">
        <v>10</v>
      </c>
      <c r="P23" s="31" t="inlineStr">
        <is>
          <t>10.06</t>
        </is>
      </c>
      <c r="Q23" s="31" t="n">
        <v>50</v>
      </c>
      <c r="R23" s="31" t="n">
        <v>40</v>
      </c>
      <c r="S23" s="31" t="n">
        <v>0.2</v>
      </c>
      <c r="T23" s="55" t="n">
        <v>0.05</v>
      </c>
      <c r="U23" s="31" t="n">
        <v>0.25</v>
      </c>
    </row>
    <row r="24">
      <c r="A24" s="18" t="inlineStr">
        <is>
          <t xml:space="preserve">B119 </t>
        </is>
      </c>
      <c r="B24" s="18" t="inlineStr">
        <is>
          <t xml:space="preserve">FUNDAMENTOS DEL ANÁLISIS ECONÓMICO </t>
        </is>
      </c>
      <c r="C24" s="18" t="inlineStr">
        <is>
          <t xml:space="preserve">DOCTORADO EN ECONOMÍA </t>
        </is>
      </c>
      <c r="D24" s="18" t="inlineStr">
        <is>
          <t>Más Ferrando, Adrián</t>
        </is>
      </c>
      <c r="E24" s="18" t="inlineStr">
        <is>
          <t xml:space="preserve">Economía de la innovación y la digitalización del turismo: Un estudio del mercado de Airbnb aplicando técnicas econométricas y redes neuronales </t>
        </is>
      </c>
      <c r="F24" s="18" t="inlineStr">
        <is>
          <t xml:space="preserve">20/01/2023 </t>
        </is>
      </c>
      <c r="G24" s="18" t="inlineStr">
        <is>
          <t xml:space="preserve">21487688F </t>
        </is>
      </c>
      <c r="H24" s="18" t="inlineStr">
        <is>
          <t xml:space="preserve">Codirector de tesis </t>
        </is>
      </c>
      <c r="I24" s="18" t="inlineStr">
        <is>
          <t xml:space="preserve">B138 </t>
        </is>
      </c>
      <c r="J24" s="18" t="inlineStr">
        <is>
          <t xml:space="preserve">ANALISIS ECONOMICO APLICADO </t>
        </is>
      </c>
      <c r="K24" s="31" t="n">
        <v>0.5</v>
      </c>
      <c r="L24" s="31" t="inlineStr">
        <is>
          <t>B138</t>
        </is>
      </c>
      <c r="M24" s="18" t="n">
        <v>2022</v>
      </c>
      <c r="N24" s="31" t="inlineStr">
        <is>
          <t>10.06</t>
        </is>
      </c>
      <c r="O24" s="31" t="n">
        <v>50</v>
      </c>
      <c r="P24" s="31" t="inlineStr">
        <is>
          <t>10.17</t>
        </is>
      </c>
      <c r="Q24" s="31" t="n">
        <v>10</v>
      </c>
      <c r="R24" s="31" t="n">
        <v>40</v>
      </c>
      <c r="S24" s="31" t="n">
        <v>0.2</v>
      </c>
      <c r="T24" s="55" t="n">
        <v>0.25</v>
      </c>
      <c r="U24" s="31" t="n">
        <v>0.05</v>
      </c>
    </row>
    <row r="25">
      <c r="A25" s="18" t="inlineStr">
        <is>
          <t xml:space="preserve">B138 </t>
        </is>
      </c>
      <c r="B25" s="18" t="inlineStr">
        <is>
          <t xml:space="preserve">ANALISIS ECONOMICO APLICADO </t>
        </is>
      </c>
      <c r="C25" s="18" t="inlineStr">
        <is>
          <t xml:space="preserve">DOCTORADO EN ECONOMÍA </t>
        </is>
      </c>
      <c r="D25" s="18" t="inlineStr">
        <is>
          <t>Peretó Rovira, Alexandre</t>
        </is>
      </c>
      <c r="E25" s="18" t="inlineStr">
        <is>
          <t xml:space="preserve">Evolución e impacto de la inteligencia artificial desde una perspectiva económica: una mirada global, europea y regional </t>
        </is>
      </c>
      <c r="F25" s="18" t="inlineStr">
        <is>
          <t xml:space="preserve">16/06/2023 </t>
        </is>
      </c>
      <c r="G25" s="18" t="inlineStr">
        <is>
          <t xml:space="preserve">47083217D </t>
        </is>
      </c>
      <c r="H25" s="18" t="inlineStr">
        <is>
          <t xml:space="preserve">Director de tesis </t>
        </is>
      </c>
      <c r="I25" s="18" t="inlineStr">
        <is>
          <t xml:space="preserve">B138 </t>
        </is>
      </c>
      <c r="J25" s="18" t="inlineStr">
        <is>
          <t xml:space="preserve">ANALISIS ECONOMICO APLICADO </t>
        </is>
      </c>
      <c r="K25" s="31" t="n">
        <v>1</v>
      </c>
      <c r="L25" s="31" t="inlineStr">
        <is>
          <t>B138</t>
        </is>
      </c>
      <c r="M25" s="18" t="n">
        <v>2022</v>
      </c>
      <c r="N25" s="31" t="inlineStr">
        <is>
          <t>10.17</t>
        </is>
      </c>
      <c r="O25" s="31" t="n">
        <v>10</v>
      </c>
      <c r="P25" s="31" t="inlineStr">
        <is>
          <t>10.06</t>
        </is>
      </c>
      <c r="Q25" s="31" t="n">
        <v>50</v>
      </c>
      <c r="R25" s="31" t="n">
        <v>40</v>
      </c>
      <c r="S25" s="31" t="n">
        <v>0.4</v>
      </c>
      <c r="T25" s="55" t="n">
        <v>0.1</v>
      </c>
      <c r="U25" s="31" t="n">
        <v>0.5</v>
      </c>
    </row>
    <row r="26">
      <c r="A26" s="18" t="inlineStr">
        <is>
          <t xml:space="preserve">B138 </t>
        </is>
      </c>
      <c r="B26" s="18" t="inlineStr">
        <is>
          <t xml:space="preserve">ANALISIS ECONOMICO APLICADO </t>
        </is>
      </c>
      <c r="C26" s="18" t="inlineStr">
        <is>
          <t xml:space="preserve">DOCTORADO EN ECONOMÍA </t>
        </is>
      </c>
      <c r="D26" s="18" t="inlineStr">
        <is>
          <t>Leshinsky , Deborah</t>
        </is>
      </c>
      <c r="E26" s="18" t="inlineStr">
        <is>
          <t xml:space="preserve">Market and non-market determinants of property valuations decided through the court system in family law separation in Australia: developing a scientific approach. </t>
        </is>
      </c>
      <c r="F26" s="18" t="inlineStr">
        <is>
          <t xml:space="preserve">08/09/2023 </t>
        </is>
      </c>
      <c r="G26" s="18" t="inlineStr">
        <is>
          <t xml:space="preserve">22529387J </t>
        </is>
      </c>
      <c r="H26" s="18" t="inlineStr">
        <is>
          <t xml:space="preserve">Codirector de tesis </t>
        </is>
      </c>
      <c r="I26" s="18" t="inlineStr">
        <is>
          <t xml:space="preserve">B138 </t>
        </is>
      </c>
      <c r="J26" s="18" t="inlineStr">
        <is>
          <t xml:space="preserve">ANALISIS ECONOMICO APLICADO </t>
        </is>
      </c>
      <c r="K26" s="31" t="n">
        <v>0.5</v>
      </c>
      <c r="L26" s="31" t="inlineStr">
        <is>
          <t>B138</t>
        </is>
      </c>
      <c r="M26" s="18" t="n">
        <v>2022</v>
      </c>
      <c r="N26" s="31" t="inlineStr">
        <is>
          <t>10.25</t>
        </is>
      </c>
      <c r="O26" s="31" t="n">
        <v>50</v>
      </c>
      <c r="P26" s="31" t="inlineStr">
        <is>
          <t>10.17</t>
        </is>
      </c>
      <c r="Q26" s="31" t="n">
        <v>10</v>
      </c>
      <c r="R26" s="31" t="n">
        <v>40</v>
      </c>
      <c r="S26" s="31" t="n">
        <v>0.2</v>
      </c>
      <c r="T26" s="55" t="n">
        <v>0.25</v>
      </c>
      <c r="U26" s="31" t="n">
        <v>0.05</v>
      </c>
    </row>
    <row r="27">
      <c r="A27" s="18" t="inlineStr">
        <is>
          <t xml:space="preserve">B138 </t>
        </is>
      </c>
      <c r="B27" s="18" t="inlineStr">
        <is>
          <t xml:space="preserve">ANALISIS ECONOMICO APLICADO </t>
        </is>
      </c>
      <c r="C27" s="18" t="inlineStr">
        <is>
          <t xml:space="preserve">DOCTORADO EN ECONOMÍA </t>
        </is>
      </c>
      <c r="D27" s="18" t="inlineStr">
        <is>
          <t>Leshinsky , Deborah</t>
        </is>
      </c>
      <c r="E27" s="18" t="inlineStr">
        <is>
          <t xml:space="preserve">Market and non-market determinants of property valuations decided through the court system in family law separation in Australia: developing a scientific approach. </t>
        </is>
      </c>
      <c r="F27" s="18" t="inlineStr">
        <is>
          <t xml:space="preserve">08/09/2023 </t>
        </is>
      </c>
      <c r="G27" s="18" t="inlineStr">
        <is>
          <t xml:space="preserve">- </t>
        </is>
      </c>
      <c r="H27" s="18" t="inlineStr">
        <is>
          <t xml:space="preserve">Codirector de tesis </t>
        </is>
      </c>
      <c r="I27" s="18" t="inlineStr">
        <is>
          <t xml:space="preserve">B138 </t>
        </is>
      </c>
      <c r="J27" s="18" t="inlineStr">
        <is>
          <t xml:space="preserve">ANALISIS ECONOMICO APLICADO </t>
        </is>
      </c>
      <c r="K27" s="31" t="n">
        <v>0.5</v>
      </c>
      <c r="L27" s="31" t="inlineStr">
        <is>
          <t>B138</t>
        </is>
      </c>
      <c r="M27" s="18" t="n">
        <v>2022</v>
      </c>
      <c r="N27" s="31" t="inlineStr"/>
      <c r="O27" s="31" t="inlineStr"/>
      <c r="P27" s="31" t="inlineStr"/>
      <c r="Q27" s="31" t="inlineStr"/>
      <c r="R27" s="31" t="n">
        <v>100</v>
      </c>
      <c r="S27" s="31" t="n">
        <v>0.5</v>
      </c>
      <c r="T27" s="55" t="n">
        <v>0</v>
      </c>
      <c r="U27" s="31" t="n">
        <v>0</v>
      </c>
    </row>
    <row r="28">
      <c r="A28" s="18" t="inlineStr">
        <is>
          <t xml:space="preserve">U020 </t>
        </is>
      </c>
      <c r="B28" s="18" t="inlineStr">
        <is>
          <t xml:space="preserve">I.U. DEL AGUA Y DE LAS CIENCIAS AMBIENTALES (10.05) </t>
        </is>
      </c>
      <c r="C28" s="18" t="inlineStr">
        <is>
          <t xml:space="preserve">DOCTORADO EN AGUA Y DESARROLLO SOSTENIBLE </t>
        </is>
      </c>
      <c r="D28" s="18" t="inlineStr">
        <is>
          <t>García López, Marcos</t>
        </is>
      </c>
      <c r="E28" s="18" t="inlineStr">
        <is>
          <t xml:space="preserve">The potential of water reuse in Spain: photovoltaic self-consumption and water pricing </t>
        </is>
      </c>
      <c r="F28" s="18" t="inlineStr">
        <is>
          <t xml:space="preserve">16/06/2023 </t>
        </is>
      </c>
      <c r="G28" s="18" t="inlineStr">
        <is>
          <t xml:space="preserve">21683813B </t>
        </is>
      </c>
      <c r="H28" s="18" t="inlineStr">
        <is>
          <t xml:space="preserve">Codirector de tesis </t>
        </is>
      </c>
      <c r="I28" s="18" t="inlineStr">
        <is>
          <t xml:space="preserve">B138 </t>
        </is>
      </c>
      <c r="J28" s="18" t="inlineStr">
        <is>
          <t xml:space="preserve">ANALISIS ECONOMICO APLICADO </t>
        </is>
      </c>
      <c r="K28" s="31" t="n">
        <v>0.5</v>
      </c>
      <c r="L28" s="31" t="inlineStr">
        <is>
          <t>B138</t>
        </is>
      </c>
      <c r="M28" s="18" t="n">
        <v>2022</v>
      </c>
      <c r="N28" s="31" t="inlineStr">
        <is>
          <t>10.05</t>
        </is>
      </c>
      <c r="O28" s="31" t="n">
        <v>20</v>
      </c>
      <c r="P28" s="31" t="inlineStr"/>
      <c r="Q28" s="31" t="n">
        <v>0</v>
      </c>
      <c r="R28" s="31" t="n">
        <v>80</v>
      </c>
      <c r="S28" s="31" t="n">
        <v>0.4</v>
      </c>
      <c r="T28" s="55" t="n">
        <v>0.1</v>
      </c>
      <c r="U28" s="31" t="n">
        <v>0</v>
      </c>
    </row>
    <row r="29">
      <c r="A29" s="18" t="inlineStr">
        <is>
          <t xml:space="preserve">U020 </t>
        </is>
      </c>
      <c r="B29" s="18" t="inlineStr">
        <is>
          <t xml:space="preserve">I.U. DEL AGUA Y DE LAS CIENCIAS AMBIENTALES (10.05) </t>
        </is>
      </c>
      <c r="C29" s="18" t="inlineStr">
        <is>
          <t xml:space="preserve">DOCTORADO EN AGUA Y DESARROLLO SOSTENIBLE </t>
        </is>
      </c>
      <c r="D29" s="18" t="inlineStr">
        <is>
          <t>García López, Marcos</t>
        </is>
      </c>
      <c r="E29" s="18" t="inlineStr">
        <is>
          <t xml:space="preserve">The potential of water reuse in Spain: photovoltaic self-consumption and water pricing </t>
        </is>
      </c>
      <c r="F29" s="18" t="inlineStr">
        <is>
          <t xml:space="preserve">16/06/2023 </t>
        </is>
      </c>
      <c r="G29" s="18" t="inlineStr">
        <is>
          <t xml:space="preserve">74342287P </t>
        </is>
      </c>
      <c r="H29" s="18" t="inlineStr">
        <is>
          <t xml:space="preserve">Codirector de tesis </t>
        </is>
      </c>
      <c r="I29" s="18" t="inlineStr">
        <is>
          <t xml:space="preserve">B138 </t>
        </is>
      </c>
      <c r="J29" s="18" t="inlineStr">
        <is>
          <t xml:space="preserve">ANALISIS ECONOMICO APLICADO </t>
        </is>
      </c>
      <c r="K29" s="31" t="n">
        <v>0.5</v>
      </c>
      <c r="L29" s="31" t="inlineStr">
        <is>
          <t>B138</t>
        </is>
      </c>
      <c r="M29" s="18" t="n">
        <v>2022</v>
      </c>
      <c r="N29" s="31" t="inlineStr">
        <is>
          <t>10.05</t>
        </is>
      </c>
      <c r="O29" s="31" t="n">
        <v>90</v>
      </c>
      <c r="P29" s="31" t="inlineStr"/>
      <c r="Q29" s="31" t="n">
        <v>0</v>
      </c>
      <c r="R29" s="31" t="n">
        <v>10</v>
      </c>
      <c r="S29" s="31" t="n">
        <v>0.05</v>
      </c>
      <c r="T29" s="55" t="n">
        <v>0.45</v>
      </c>
      <c r="U29" s="31" t="n">
        <v>0</v>
      </c>
    </row>
    <row r="30">
      <c r="A30" s="18" t="inlineStr">
        <is>
          <t xml:space="preserve">U020 </t>
        </is>
      </c>
      <c r="B30" s="18" t="inlineStr">
        <is>
          <t xml:space="preserve">I.U. DEL AGUA Y DE LAS CIENCIAS AMBIENTALES (10.05) </t>
        </is>
      </c>
      <c r="C30" s="18" t="inlineStr">
        <is>
          <t xml:space="preserve">DOCTORADO EN AGUA Y DESARROLLO SOSTENIBLE </t>
        </is>
      </c>
      <c r="D30" s="18" t="inlineStr">
        <is>
          <t>Redondo Orts, Jose Alberto</t>
        </is>
      </c>
      <c r="E30" s="18" t="inlineStr">
        <is>
          <t xml:space="preserve">SEQUÍA Y ESCASEZ EN LA DEMARCACIÓN HIDROGRÁFICA DEL SEGURA, IMPACTOS </t>
        </is>
      </c>
      <c r="F30" s="18" t="inlineStr">
        <is>
          <t xml:space="preserve">06/07/2023 </t>
        </is>
      </c>
      <c r="G30" s="18" t="inlineStr">
        <is>
          <t xml:space="preserve">27439255W </t>
        </is>
      </c>
      <c r="H30" s="18" t="inlineStr">
        <is>
          <t xml:space="preserve">Codirector de tesis </t>
        </is>
      </c>
      <c r="I30" s="18" t="inlineStr">
        <is>
          <t xml:space="preserve">B138 </t>
        </is>
      </c>
      <c r="J30" s="18" t="inlineStr">
        <is>
          <t xml:space="preserve">ANALISIS ECONOMICO APLICADO </t>
        </is>
      </c>
      <c r="K30" s="31" t="n">
        <v>0.5</v>
      </c>
      <c r="L30" s="31" t="inlineStr">
        <is>
          <t>B138</t>
        </is>
      </c>
      <c r="M30" s="18" t="n">
        <v>2022</v>
      </c>
      <c r="N30" s="31" t="inlineStr">
        <is>
          <t>10.21</t>
        </is>
      </c>
      <c r="O30" s="31" t="n">
        <v>30</v>
      </c>
      <c r="P30" s="31" t="inlineStr">
        <is>
          <t>10.05</t>
        </is>
      </c>
      <c r="Q30" s="31" t="n">
        <v>20</v>
      </c>
      <c r="R30" s="31" t="n">
        <v>50</v>
      </c>
      <c r="S30" s="31" t="n">
        <v>0.25</v>
      </c>
      <c r="T30" s="55" t="n">
        <v>0.15</v>
      </c>
      <c r="U30" s="31" t="n">
        <v>0.1</v>
      </c>
    </row>
    <row r="31">
      <c r="A31" s="18" t="inlineStr">
        <is>
          <t xml:space="preserve">U020 </t>
        </is>
      </c>
      <c r="B31" s="18" t="inlineStr">
        <is>
          <t xml:space="preserve">I.U. DEL AGUA Y DE LAS CIENCIAS AMBIENTALES (10.05) </t>
        </is>
      </c>
      <c r="C31" s="18" t="inlineStr">
        <is>
          <t xml:space="preserve">DOCTORADO EN AGUA Y DESARROLLO SOSTENIBLE </t>
        </is>
      </c>
      <c r="D31" s="18" t="inlineStr">
        <is>
          <t>Redondo Orts, Jose Alberto</t>
        </is>
      </c>
      <c r="E31" s="18" t="inlineStr">
        <is>
          <t xml:space="preserve">SEQUÍA Y ESCASEZ EN LA DEMARCACIÓN HIDROGRÁFICA DEL SEGURA, IMPACTOS </t>
        </is>
      </c>
      <c r="F31" s="18" t="inlineStr">
        <is>
          <t xml:space="preserve">06/07/2023 </t>
        </is>
      </c>
      <c r="G31" s="18" t="inlineStr">
        <is>
          <t xml:space="preserve">74342287P </t>
        </is>
      </c>
      <c r="H31" s="18" t="inlineStr">
        <is>
          <t xml:space="preserve">Codirector de tesis </t>
        </is>
      </c>
      <c r="I31" s="18" t="inlineStr">
        <is>
          <t xml:space="preserve">B138 </t>
        </is>
      </c>
      <c r="J31" s="18" t="inlineStr">
        <is>
          <t xml:space="preserve">ANALISIS ECONOMICO APLICADO </t>
        </is>
      </c>
      <c r="K31" s="31" t="n">
        <v>0.5</v>
      </c>
      <c r="L31" s="31" t="inlineStr">
        <is>
          <t>B138</t>
        </is>
      </c>
      <c r="M31" s="18" t="n">
        <v>2022</v>
      </c>
      <c r="N31" s="31" t="inlineStr">
        <is>
          <t>10.05</t>
        </is>
      </c>
      <c r="O31" s="31" t="n">
        <v>90</v>
      </c>
      <c r="P31" s="31" t="inlineStr"/>
      <c r="Q31" s="31" t="n">
        <v>0</v>
      </c>
      <c r="R31" s="31" t="n">
        <v>10</v>
      </c>
      <c r="S31" s="31" t="n">
        <v>0.05</v>
      </c>
      <c r="T31" s="55" t="n">
        <v>0.45</v>
      </c>
      <c r="U31" s="31" t="n">
        <v>0</v>
      </c>
    </row>
    <row r="32">
      <c r="A32" s="18" t="inlineStr">
        <is>
          <t xml:space="preserve">U020 </t>
        </is>
      </c>
      <c r="B32" s="18" t="inlineStr">
        <is>
          <t xml:space="preserve">I.U. DEL AGUA Y DE LAS CIENCIAS AMBIENTALES (10.05) </t>
        </is>
      </c>
      <c r="C32" s="18" t="inlineStr">
        <is>
          <t xml:space="preserve">DOCTORADO EN AGUA Y DESARROLLO SOSTENIBLE </t>
        </is>
      </c>
      <c r="D32" s="18" t="inlineStr">
        <is>
          <t>Vega Cervera, Valeiry</t>
        </is>
      </c>
      <c r="E32" s="18" t="inlineStr">
        <is>
          <t xml:space="preserve">Optimización de la Gobernanza del Recurso Hídrico en Panamá </t>
        </is>
      </c>
      <c r="F32" s="18" t="inlineStr">
        <is>
          <t xml:space="preserve">25/04/2023 </t>
        </is>
      </c>
      <c r="G32" s="18" t="inlineStr">
        <is>
          <t xml:space="preserve">27439255W </t>
        </is>
      </c>
      <c r="H32" s="18" t="inlineStr">
        <is>
          <t xml:space="preserve">Codirector de tesis </t>
        </is>
      </c>
      <c r="I32" s="18" t="inlineStr">
        <is>
          <t xml:space="preserve">B138 </t>
        </is>
      </c>
      <c r="J32" s="18" t="inlineStr">
        <is>
          <t xml:space="preserve">ANALISIS ECONOMICO APLICADO </t>
        </is>
      </c>
      <c r="K32" s="31" t="n">
        <v>0.5</v>
      </c>
      <c r="L32" s="31" t="inlineStr">
        <is>
          <t>B138</t>
        </is>
      </c>
      <c r="M32" s="18" t="n">
        <v>2022</v>
      </c>
      <c r="N32" s="31" t="inlineStr">
        <is>
          <t>10.21</t>
        </is>
      </c>
      <c r="O32" s="31" t="n">
        <v>30</v>
      </c>
      <c r="P32" s="31" t="inlineStr">
        <is>
          <t>10.05</t>
        </is>
      </c>
      <c r="Q32" s="31" t="n">
        <v>20</v>
      </c>
      <c r="R32" s="31" t="n">
        <v>50</v>
      </c>
      <c r="S32" s="31" t="n">
        <v>0.25</v>
      </c>
      <c r="T32" s="55" t="n">
        <v>0.15</v>
      </c>
      <c r="U32" s="31" t="n">
        <v>0.1</v>
      </c>
    </row>
    <row r="33">
      <c r="A33" s="18" t="inlineStr">
        <is>
          <t xml:space="preserve">U020 </t>
        </is>
      </c>
      <c r="B33" s="18" t="inlineStr">
        <is>
          <t xml:space="preserve">I.U. DEL AGUA Y DE LAS CIENCIAS AMBIENTALES (10.05) </t>
        </is>
      </c>
      <c r="C33" s="18" t="inlineStr">
        <is>
          <t xml:space="preserve">DOCTORADO EN AGUA Y DESARROLLO SOSTENIBLE </t>
        </is>
      </c>
      <c r="D33" s="18" t="inlineStr">
        <is>
          <t>Vega Cervera, Valeiry</t>
        </is>
      </c>
      <c r="E33" s="18" t="inlineStr">
        <is>
          <t xml:space="preserve">Optimización de la Gobernanza del Recurso Hídrico en Panamá </t>
        </is>
      </c>
      <c r="F33" s="18" t="inlineStr">
        <is>
          <t xml:space="preserve">25/04/2023 </t>
        </is>
      </c>
      <c r="G33" s="18" t="inlineStr">
        <is>
          <t xml:space="preserve">74342287P </t>
        </is>
      </c>
      <c r="H33" s="18" t="inlineStr">
        <is>
          <t xml:space="preserve">Codirector de tesis </t>
        </is>
      </c>
      <c r="I33" s="18" t="inlineStr">
        <is>
          <t xml:space="preserve">B138 </t>
        </is>
      </c>
      <c r="J33" s="18" t="inlineStr">
        <is>
          <t xml:space="preserve">ANALISIS ECONOMICO APLICADO </t>
        </is>
      </c>
      <c r="K33" s="31" t="n">
        <v>0.5</v>
      </c>
      <c r="L33" s="31" t="inlineStr">
        <is>
          <t>B138</t>
        </is>
      </c>
      <c r="M33" s="18" t="n">
        <v>2022</v>
      </c>
      <c r="N33" s="31" t="inlineStr">
        <is>
          <t>10.05</t>
        </is>
      </c>
      <c r="O33" s="31" t="n">
        <v>90</v>
      </c>
      <c r="P33" s="31" t="inlineStr"/>
      <c r="Q33" s="31" t="n">
        <v>0</v>
      </c>
      <c r="R33" s="31" t="n">
        <v>10</v>
      </c>
      <c r="S33" s="31" t="n">
        <v>0.05</v>
      </c>
      <c r="T33" s="55" t="n">
        <v>0.45</v>
      </c>
      <c r="U33" s="31" t="n">
        <v>0</v>
      </c>
    </row>
    <row r="34">
      <c r="A34" s="18" t="inlineStr">
        <is>
          <t xml:space="preserve">ZZ </t>
        </is>
      </c>
      <c r="B34" s="18" t="inlineStr">
        <is>
          <t xml:space="preserve">SIN ASIGNAR </t>
        </is>
      </c>
      <c r="C34" s="18" t="inlineStr">
        <is>
          <t xml:space="preserve">DOCTORADO EN AGUA Y DESARROLLO SOSTENIBLE </t>
        </is>
      </c>
      <c r="D34" s="18" t="inlineStr">
        <is>
          <t>Waltrick Rates, Alexandre</t>
        </is>
      </c>
      <c r="E34" s="18" t="inlineStr">
        <is>
          <t xml:space="preserve">O DIREITO À FELICIDADE COMO GARANTE DA EFETIVIDADE DAS POLÍTICAS PÚBLICAS </t>
        </is>
      </c>
      <c r="F34" s="18" t="inlineStr">
        <is>
          <t xml:space="preserve">18/09/2023 </t>
        </is>
      </c>
      <c r="G34" s="18" t="inlineStr">
        <is>
          <t xml:space="preserve">21683813B </t>
        </is>
      </c>
      <c r="H34" s="18" t="inlineStr">
        <is>
          <t xml:space="preserve">Codirector de tesis </t>
        </is>
      </c>
      <c r="I34" s="18" t="inlineStr">
        <is>
          <t xml:space="preserve">B138 </t>
        </is>
      </c>
      <c r="J34" s="18" t="inlineStr">
        <is>
          <t xml:space="preserve">ANALISIS ECONOMICO APLICADO </t>
        </is>
      </c>
      <c r="K34" s="31" t="n">
        <v>0.33</v>
      </c>
      <c r="L34" s="31" t="inlineStr">
        <is>
          <t>B138</t>
        </is>
      </c>
      <c r="M34" s="18" t="n">
        <v>2022</v>
      </c>
      <c r="N34" s="31" t="inlineStr">
        <is>
          <t>10.05</t>
        </is>
      </c>
      <c r="O34" s="31" t="n">
        <v>20</v>
      </c>
      <c r="P34" s="31" t="inlineStr"/>
      <c r="Q34" s="31" t="n">
        <v>0</v>
      </c>
      <c r="R34" s="31" t="n">
        <v>80</v>
      </c>
      <c r="S34" s="31" t="n">
        <v>0.264</v>
      </c>
      <c r="T34" s="55" t="n">
        <v>0.066</v>
      </c>
      <c r="U34" s="31" t="n">
        <v>0</v>
      </c>
    </row>
    <row r="35">
      <c r="A35" s="18" t="inlineStr">
        <is>
          <t xml:space="preserve">ZZ </t>
        </is>
      </c>
      <c r="B35" s="18" t="inlineStr">
        <is>
          <t xml:space="preserve">SIN ASIGNAR </t>
        </is>
      </c>
      <c r="C35" s="18" t="inlineStr">
        <is>
          <t xml:space="preserve">DOCTORADO EN AGUA Y DESARROLLO SOSTENIBLE </t>
        </is>
      </c>
      <c r="D35" s="18" t="inlineStr">
        <is>
          <t>Waltrick Rates, Alexandre</t>
        </is>
      </c>
      <c r="E35" s="18" t="inlineStr">
        <is>
          <t xml:space="preserve">O DIREITO À FELICIDADE COMO GARANTE DA EFETIVIDADE DAS POLÍTICAS PÚBLICAS </t>
        </is>
      </c>
      <c r="F35" s="18" t="inlineStr">
        <is>
          <t xml:space="preserve">18/09/2023 </t>
        </is>
      </c>
      <c r="G35" s="18" t="inlineStr">
        <is>
          <t xml:space="preserve">74342287P </t>
        </is>
      </c>
      <c r="H35" s="18" t="inlineStr">
        <is>
          <t xml:space="preserve">Codirector de tesis </t>
        </is>
      </c>
      <c r="I35" s="18" t="inlineStr">
        <is>
          <t xml:space="preserve">B138 </t>
        </is>
      </c>
      <c r="J35" s="18" t="inlineStr">
        <is>
          <t xml:space="preserve">ANALISIS ECONOMICO APLICADO </t>
        </is>
      </c>
      <c r="K35" s="31" t="n">
        <v>0.33</v>
      </c>
      <c r="L35" s="31" t="inlineStr">
        <is>
          <t>B138</t>
        </is>
      </c>
      <c r="M35" s="18" t="n">
        <v>2022</v>
      </c>
      <c r="N35" s="31" t="inlineStr">
        <is>
          <t>10.05</t>
        </is>
      </c>
      <c r="O35" s="31" t="n">
        <v>90</v>
      </c>
      <c r="P35" s="31" t="inlineStr"/>
      <c r="Q35" s="31" t="n">
        <v>0</v>
      </c>
      <c r="R35" s="31" t="n">
        <v>10</v>
      </c>
      <c r="S35" s="31" t="n">
        <v>0.033</v>
      </c>
      <c r="T35" s="55" t="n">
        <v>0.297</v>
      </c>
      <c r="U35" s="56" t="n">
        <v>0</v>
      </c>
    </row>
    <row r="36">
      <c r="A36" s="18" t="inlineStr">
        <is>
          <t>B138</t>
        </is>
      </c>
      <c r="B36" s="18" t="inlineStr">
        <is>
          <t>ANALISIS ECONOMICO APLICADO</t>
        </is>
      </c>
      <c r="C36" s="18" t="inlineStr">
        <is>
          <t>DOCTORADO EN ECONOMÍA</t>
        </is>
      </c>
      <c r="D36" s="18" t="inlineStr">
        <is>
          <t>Ordóñez García, María Covadonga</t>
        </is>
      </c>
      <c r="E36" s="18" t="inlineStr">
        <is>
          <t>El mercado laboral de la hostelería en España, rendimiento educativo, satisfacción laboral y discriminación salarial por diferencia de género y origen</t>
        </is>
      </c>
      <c r="F36" s="18" t="inlineStr">
        <is>
          <t>09/04/2024</t>
        </is>
      </c>
      <c r="G36" s="18" t="inlineStr">
        <is>
          <t>21468028N</t>
        </is>
      </c>
      <c r="H36" s="18" t="inlineStr">
        <is>
          <t>Director de tesis</t>
        </is>
      </c>
      <c r="I36" s="18" t="inlineStr">
        <is>
          <t>B138</t>
        </is>
      </c>
      <c r="J36" s="18" t="inlineStr">
        <is>
          <t>ANALISIS ECONOMICO APLICADO</t>
        </is>
      </c>
      <c r="K36" s="31" t="n">
        <v>1</v>
      </c>
      <c r="L36" s="31" t="inlineStr">
        <is>
          <t>B138</t>
        </is>
      </c>
      <c r="M36" s="31" t="n">
        <v>2023</v>
      </c>
      <c r="N36" s="31" t="inlineStr">
        <is>
          <t>10.06</t>
        </is>
      </c>
      <c r="O36" s="31" t="inlineStr">
        <is>
          <t>50</t>
        </is>
      </c>
      <c r="P36" s="31" t="inlineStr">
        <is>
          <t>10.17</t>
        </is>
      </c>
      <c r="Q36" s="31" t="inlineStr">
        <is>
          <t>10</t>
        </is>
      </c>
      <c r="R36" s="31" t="n">
        <v>40</v>
      </c>
      <c r="S36" s="31" t="n">
        <v>0.4</v>
      </c>
      <c r="T36" s="55" t="n">
        <v>0.5</v>
      </c>
      <c r="U36" s="31" t="n">
        <v>0.1</v>
      </c>
    </row>
    <row r="37">
      <c r="A37" s="18" t="inlineStr">
        <is>
          <t>U020</t>
        </is>
      </c>
      <c r="B37" s="18" t="inlineStr">
        <is>
          <t>I.U. DEL AGUA Y DE LAS CIENCIAS AMBIENTALES (10.05)</t>
        </is>
      </c>
      <c r="C37" s="18" t="inlineStr">
        <is>
          <t>DOCTORADO EN AGUA Y DESARROLLO SOSTENIBLE</t>
        </is>
      </c>
      <c r="D37" s="18" t="inlineStr">
        <is>
          <t>Castillo Vaca, Luis Alfonso</t>
        </is>
      </c>
      <c r="E37" s="18" t="inlineStr">
        <is>
          <t>Análisis histórico y económico del sistema de riego Cayambe - Pedro Moncayo, Ecuador</t>
        </is>
      </c>
      <c r="F37" s="18" t="inlineStr">
        <is>
          <t>11/07/2024</t>
        </is>
      </c>
      <c r="G37" s="18" t="inlineStr">
        <is>
          <t>74342287P</t>
        </is>
      </c>
      <c r="H37" s="18" t="inlineStr">
        <is>
          <t>Codirector de tesis</t>
        </is>
      </c>
      <c r="I37" s="18" t="inlineStr">
        <is>
          <t>B138</t>
        </is>
      </c>
      <c r="J37" s="18" t="inlineStr">
        <is>
          <t>ANALISIS ECONOMICO APLICADO</t>
        </is>
      </c>
      <c r="K37" s="31" t="n">
        <v>0.5</v>
      </c>
      <c r="L37" s="31" t="inlineStr">
        <is>
          <t>B138</t>
        </is>
      </c>
      <c r="M37" s="31" t="n">
        <v>2023</v>
      </c>
      <c r="N37" s="31" t="inlineStr">
        <is>
          <t>10.05</t>
        </is>
      </c>
      <c r="O37" s="31" t="inlineStr">
        <is>
          <t>90</t>
        </is>
      </c>
      <c r="P37" s="31" t="inlineStr"/>
      <c r="Q37" s="31" t="inlineStr"/>
      <c r="R37" s="31" t="n">
        <v>10</v>
      </c>
      <c r="S37" s="31" t="n">
        <v>0.05</v>
      </c>
      <c r="T37" s="55" t="n">
        <v>0.45</v>
      </c>
      <c r="U37" s="31" t="n">
        <v>0</v>
      </c>
    </row>
    <row r="38">
      <c r="A38" s="18" t="inlineStr">
        <is>
          <t>U020</t>
        </is>
      </c>
      <c r="B38" s="18" t="inlineStr">
        <is>
          <t>I.U. DEL AGUA Y DE LAS CIENCIAS AMBIENTALES (10.05)</t>
        </is>
      </c>
      <c r="C38" s="18" t="inlineStr">
        <is>
          <t>DOCTORADO EN AGUA Y DESARROLLO SOSTENIBLE</t>
        </is>
      </c>
      <c r="D38" s="18" t="inlineStr">
        <is>
          <t>Castillo Vaca, Luis Alfonso</t>
        </is>
      </c>
      <c r="E38" s="18" t="inlineStr">
        <is>
          <t>Análisis histórico y económico del sistema de riego Cayambe - Pedro Moncayo, Ecuador</t>
        </is>
      </c>
      <c r="F38" s="18" t="inlineStr">
        <is>
          <t>11/07/2024</t>
        </is>
      </c>
      <c r="G38" s="18" t="inlineStr">
        <is>
          <t>53241660H</t>
        </is>
      </c>
      <c r="H38" s="18" t="inlineStr">
        <is>
          <t>Codirector de tesis</t>
        </is>
      </c>
      <c r="I38" s="18" t="inlineStr">
        <is>
          <t>B138</t>
        </is>
      </c>
      <c r="J38" s="18" t="inlineStr">
        <is>
          <t>ANALISIS ECONOMICO APLICADO</t>
        </is>
      </c>
      <c r="K38" s="31" t="n">
        <v>0.5</v>
      </c>
      <c r="L38" s="31" t="inlineStr">
        <is>
          <t>B138</t>
        </is>
      </c>
      <c r="M38" s="31" t="n">
        <v>2023</v>
      </c>
      <c r="N38" s="31" t="inlineStr">
        <is>
          <t>10.05</t>
        </is>
      </c>
      <c r="O38" s="31" t="inlineStr">
        <is>
          <t>20</t>
        </is>
      </c>
      <c r="P38" s="31" t="inlineStr"/>
      <c r="Q38" s="31" t="inlineStr"/>
      <c r="R38" s="31" t="n">
        <v>80</v>
      </c>
      <c r="S38" s="31" t="n">
        <v>0.4</v>
      </c>
      <c r="T38" s="55" t="n">
        <v>0.1</v>
      </c>
      <c r="U38" s="31" t="n">
        <v>0</v>
      </c>
    </row>
    <row r="39">
      <c r="A39" s="18" t="inlineStr">
        <is>
          <t>U020</t>
        </is>
      </c>
      <c r="B39" s="18" t="inlineStr">
        <is>
          <t>I.U. DEL AGUA Y DE LAS CIENCIAS AMBIENTALES (10.05)</t>
        </is>
      </c>
      <c r="C39" s="18" t="inlineStr">
        <is>
          <t>DOCTORADO EN AGUA Y DESARROLLO SOSTENIBLE</t>
        </is>
      </c>
      <c r="D39" s="18" t="inlineStr">
        <is>
          <t>Millan Hernandez, Marisol</t>
        </is>
      </c>
      <c r="E39" s="18" t="inlineStr">
        <is>
          <t>El Nexo entre Agua, Cambio Climático y Paz en Colombia: Perspectivas para Políticas Públicas y Fiscalidad Ambiental</t>
        </is>
      </c>
      <c r="F39" s="18" t="inlineStr">
        <is>
          <t>12/07/2024</t>
        </is>
      </c>
      <c r="G39" s="18" t="inlineStr">
        <is>
          <t>74219671M</t>
        </is>
      </c>
      <c r="H39" s="18" t="inlineStr">
        <is>
          <t>Codirector de tesis</t>
        </is>
      </c>
      <c r="I39" s="18" t="inlineStr">
        <is>
          <t>B138</t>
        </is>
      </c>
      <c r="J39" s="18" t="inlineStr">
        <is>
          <t>ANALISIS ECONOMICO APLICADO</t>
        </is>
      </c>
      <c r="K39" s="31" t="n">
        <v>0.5</v>
      </c>
      <c r="L39" s="31" t="inlineStr">
        <is>
          <t>B138</t>
        </is>
      </c>
      <c r="M39" s="31" t="n">
        <v>2023</v>
      </c>
      <c r="N39" s="31" t="inlineStr">
        <is>
          <t>10.05</t>
        </is>
      </c>
      <c r="O39" s="31" t="inlineStr">
        <is>
          <t>10</t>
        </is>
      </c>
      <c r="P39" s="31" t="inlineStr">
        <is>
          <t>10.06</t>
        </is>
      </c>
      <c r="Q39" s="31" t="inlineStr">
        <is>
          <t>25</t>
        </is>
      </c>
      <c r="R39" s="31" t="n">
        <v>65</v>
      </c>
      <c r="S39" s="31" t="n">
        <v>0.325</v>
      </c>
      <c r="T39" s="55" t="n">
        <v>0.05</v>
      </c>
      <c r="U39" s="31" t="n">
        <v>0.125</v>
      </c>
    </row>
    <row r="40">
      <c r="A40" s="18" t="inlineStr">
        <is>
          <t>U020</t>
        </is>
      </c>
      <c r="B40" s="18" t="inlineStr">
        <is>
          <t>I.U. DEL AGUA Y DE LAS CIENCIAS AMBIENTALES (10.05)</t>
        </is>
      </c>
      <c r="C40" s="18" t="inlineStr">
        <is>
          <t>DOCTORADO EN AGUA Y DESARROLLO SOSTENIBLE</t>
        </is>
      </c>
      <c r="D40" s="18" t="inlineStr">
        <is>
          <t>Millan Hernandez, Marisol</t>
        </is>
      </c>
      <c r="E40" s="18" t="inlineStr">
        <is>
          <t>El Nexo entre Agua, Cambio Climático y Paz en Colombia: Perspectivas para Políticas Públicas y Fiscalidad Ambiental</t>
        </is>
      </c>
      <c r="F40" s="18" t="inlineStr">
        <is>
          <t>12/07/2024</t>
        </is>
      </c>
      <c r="G40" s="18" t="inlineStr">
        <is>
          <t>74342287P</t>
        </is>
      </c>
      <c r="H40" s="18" t="inlineStr">
        <is>
          <t>Codirector de tesis</t>
        </is>
      </c>
      <c r="I40" s="18" t="inlineStr">
        <is>
          <t>B138</t>
        </is>
      </c>
      <c r="J40" s="18" t="inlineStr">
        <is>
          <t>ANALISIS ECONOMICO APLICADO</t>
        </is>
      </c>
      <c r="K40" s="31" t="n">
        <v>0.5</v>
      </c>
      <c r="L40" s="31" t="inlineStr">
        <is>
          <t>B138</t>
        </is>
      </c>
      <c r="M40" s="31" t="n">
        <v>2023</v>
      </c>
      <c r="N40" s="31" t="inlineStr">
        <is>
          <t>10.05</t>
        </is>
      </c>
      <c r="O40" s="31" t="inlineStr">
        <is>
          <t>90</t>
        </is>
      </c>
      <c r="P40" s="31" t="inlineStr"/>
      <c r="Q40" s="31" t="inlineStr"/>
      <c r="R40" s="31" t="n">
        <v>10</v>
      </c>
      <c r="S40" s="31" t="n">
        <v>0.05</v>
      </c>
      <c r="T40" s="55" t="n">
        <v>0.45</v>
      </c>
      <c r="U40" s="31" t="n">
        <v>0</v>
      </c>
    </row>
    <row r="41">
      <c r="A41" s="18" t="inlineStr">
        <is>
          <t>U020</t>
        </is>
      </c>
      <c r="B41" s="18" t="inlineStr">
        <is>
          <t>I.U. DEL AGUA Y DE LAS CIENCIAS AMBIENTALES (10.05)</t>
        </is>
      </c>
      <c r="C41" s="18" t="inlineStr">
        <is>
          <t>DOCTORADO EN AGUA Y DESARROLLO SOSTENIBLE</t>
        </is>
      </c>
      <c r="D41" s="18" t="inlineStr">
        <is>
          <t>Maldaner Corbetta, Janiara</t>
        </is>
      </c>
      <c r="E41" s="18" t="inlineStr">
        <is>
          <t>Princípio da solidariedade conjugado com a extrafiscalidade tributária para instituir política pública ambiental: a taxa ambiental como instrumento de proteção ao meio ambiente.</t>
        </is>
      </c>
      <c r="F41" s="18" t="inlineStr">
        <is>
          <t>18/12/2023</t>
        </is>
      </c>
      <c r="G41" s="18" t="inlineStr">
        <is>
          <t>74342287P</t>
        </is>
      </c>
      <c r="H41" s="18" t="inlineStr">
        <is>
          <t>Codirector de tesis</t>
        </is>
      </c>
      <c r="I41" s="18" t="inlineStr">
        <is>
          <t>B138</t>
        </is>
      </c>
      <c r="J41" s="18" t="inlineStr">
        <is>
          <t>ANALISIS ECONOMICO APLICADO</t>
        </is>
      </c>
      <c r="K41" s="31" t="n">
        <v>0.5</v>
      </c>
      <c r="L41" s="31" t="inlineStr">
        <is>
          <t>B138</t>
        </is>
      </c>
      <c r="M41" s="31" t="n">
        <v>2023</v>
      </c>
      <c r="N41" s="31" t="inlineStr">
        <is>
          <t>10.05</t>
        </is>
      </c>
      <c r="O41" s="31" t="inlineStr">
        <is>
          <t>90</t>
        </is>
      </c>
      <c r="P41" s="31" t="inlineStr"/>
      <c r="Q41" s="31" t="inlineStr"/>
      <c r="R41" s="31" t="n">
        <v>10</v>
      </c>
      <c r="S41" s="31" t="n">
        <v>0.05</v>
      </c>
      <c r="T41" s="55" t="n">
        <v>0.45</v>
      </c>
      <c r="U41" s="31" t="n">
        <v>0</v>
      </c>
    </row>
    <row r="42">
      <c r="A42" s="18" t="inlineStr">
        <is>
          <t>U020</t>
        </is>
      </c>
      <c r="B42" s="18" t="inlineStr">
        <is>
          <t>I.U. DEL AGUA Y DE LAS CIENCIAS AMBIENTALES (10.05)</t>
        </is>
      </c>
      <c r="C42" s="18" t="inlineStr">
        <is>
          <t>DOCTORADO EN AGUA Y DESARROLLO SOSTENIBLE</t>
        </is>
      </c>
      <c r="D42" s="18" t="inlineStr">
        <is>
          <t>Happke , Andre Alexandre</t>
        </is>
      </c>
      <c r="E42" s="18" t="inlineStr">
        <is>
          <t>Água potável: conceito jurídico transnacional no paradigma da sustentabilidade</t>
        </is>
      </c>
      <c r="F42" s="18" t="inlineStr">
        <is>
          <t>31/05/2024</t>
        </is>
      </c>
      <c r="G42" s="18" t="inlineStr">
        <is>
          <t>74342287P</t>
        </is>
      </c>
      <c r="H42" s="18" t="inlineStr">
        <is>
          <t>Codirector de tesis</t>
        </is>
      </c>
      <c r="I42" s="18" t="inlineStr">
        <is>
          <t>B138</t>
        </is>
      </c>
      <c r="J42" s="18" t="inlineStr">
        <is>
          <t>ANALISIS ECONOMICO APLICADO</t>
        </is>
      </c>
      <c r="K42" s="31" t="n">
        <v>0.5</v>
      </c>
      <c r="L42" s="31" t="inlineStr">
        <is>
          <t>B138</t>
        </is>
      </c>
      <c r="M42" s="31" t="n">
        <v>2023</v>
      </c>
      <c r="N42" s="31" t="inlineStr">
        <is>
          <t>10.05</t>
        </is>
      </c>
      <c r="O42" s="31" t="inlineStr">
        <is>
          <t>90</t>
        </is>
      </c>
      <c r="P42" s="31" t="inlineStr"/>
      <c r="Q42" s="31" t="inlineStr"/>
      <c r="R42" s="31" t="n">
        <v>10</v>
      </c>
      <c r="S42" s="31" t="n">
        <v>0.05</v>
      </c>
      <c r="T42" s="55" t="n">
        <v>0.45</v>
      </c>
      <c r="U42" s="31" t="n">
        <v>0</v>
      </c>
    </row>
    <row r="43">
      <c r="A43" s="18" t="inlineStr">
        <is>
          <t>U075</t>
        </is>
      </c>
      <c r="B43" s="18" t="inlineStr">
        <is>
          <t>I.U.INVESTIGACIÓN DE ESTUDIOS SOCIALES DE AMÉRICA LATINA (10.25)</t>
        </is>
      </c>
      <c r="C43" s="18" t="inlineStr">
        <is>
          <t>DOCTORADO EN HUMANIDADES Y ESTUDIOS SOCIALES DE AMÉRICA LATINA</t>
        </is>
      </c>
      <c r="D43" s="18" t="inlineStr">
        <is>
          <t>Osorio Lema, Edwin Alexis</t>
        </is>
      </c>
      <c r="E43" s="18" t="inlineStr">
        <is>
          <t>NICANOR RESTREPO SANTAMARÍA Y EL MODELO GERENCIAL DEL GRUPO EMPRESARIAL ANTIOQUEÑO (GEA) COLOMBIA. EFICIENCIA ECONÓMICA. PENSAMIENTO EMPRESARIAL Y COMPROMISO SOCIAL</t>
        </is>
      </c>
      <c r="F43" s="18" t="inlineStr">
        <is>
          <t>05/02/2024</t>
        </is>
      </c>
      <c r="G43" s="18" t="inlineStr">
        <is>
          <t>15852799A</t>
        </is>
      </c>
      <c r="H43" s="18" t="inlineStr">
        <is>
          <t>Director de tesis</t>
        </is>
      </c>
      <c r="I43" s="18" t="inlineStr">
        <is>
          <t>B138</t>
        </is>
      </c>
      <c r="J43" s="18" t="inlineStr">
        <is>
          <t>ANALISIS ECONOMICO APLICADO</t>
        </is>
      </c>
      <c r="K43" s="31" t="n">
        <v>1</v>
      </c>
      <c r="L43" s="31" t="inlineStr">
        <is>
          <t>B138</t>
        </is>
      </c>
      <c r="M43" s="31" t="n">
        <v>2023</v>
      </c>
      <c r="N43" s="31" t="inlineStr">
        <is>
          <t>10.25</t>
        </is>
      </c>
      <c r="O43" s="31" t="inlineStr">
        <is>
          <t>50</t>
        </is>
      </c>
      <c r="P43" s="31" t="inlineStr"/>
      <c r="Q43" s="31" t="inlineStr"/>
      <c r="R43" s="31" t="n">
        <v>50</v>
      </c>
      <c r="S43" s="31" t="n">
        <v>0.5</v>
      </c>
      <c r="T43" s="55" t="n">
        <v>0.5</v>
      </c>
      <c r="U43" s="31" t="n">
        <v>0</v>
      </c>
    </row>
    <row r="44">
      <c r="A44" s="18" t="inlineStr">
        <is>
          <t>U075</t>
        </is>
      </c>
      <c r="B44" s="18" t="inlineStr">
        <is>
          <t>I.U.INVESTIGACIÓN DE ESTUDIOS SOCIALES DE AMÉRICA LATINA (10.25)</t>
        </is>
      </c>
      <c r="C44" s="18" t="inlineStr">
        <is>
          <t>DOCTORADO EN HUMANIDADES Y ESTUDIOS SOCIALES DE AMÉRICA LATINA</t>
        </is>
      </c>
      <c r="D44" s="18" t="inlineStr">
        <is>
          <t>Sánchez Albuja, Lourdes Lucía</t>
        </is>
      </c>
      <c r="E44" s="18" t="inlineStr">
        <is>
          <t>La gestión ambiental  de las Pymes industriales en la provincia ecuatoriana de Pichincha. Análisis y propuesta de modelos sostenibles</t>
        </is>
      </c>
      <c r="F44" s="18" t="inlineStr">
        <is>
          <t>17/11/2023</t>
        </is>
      </c>
      <c r="G44" s="18" t="inlineStr">
        <is>
          <t>15852799A</t>
        </is>
      </c>
      <c r="H44" s="18" t="inlineStr">
        <is>
          <t>Director de tesis</t>
        </is>
      </c>
      <c r="I44" s="18" t="inlineStr">
        <is>
          <t>B138</t>
        </is>
      </c>
      <c r="J44" s="18" t="inlineStr">
        <is>
          <t>ANALISIS ECONOMICO APLICADO</t>
        </is>
      </c>
      <c r="K44" s="31" t="n">
        <v>1</v>
      </c>
      <c r="L44" s="31" t="inlineStr">
        <is>
          <t>B138</t>
        </is>
      </c>
      <c r="M44" s="31" t="n">
        <v>2023</v>
      </c>
      <c r="N44" s="31" t="inlineStr">
        <is>
          <t>10.25</t>
        </is>
      </c>
      <c r="O44" s="31" t="inlineStr">
        <is>
          <t>50</t>
        </is>
      </c>
      <c r="P44" s="31" t="inlineStr"/>
      <c r="Q44" s="31" t="inlineStr"/>
      <c r="R44" s="31" t="n">
        <v>50</v>
      </c>
      <c r="S44" s="31" t="n">
        <v>0.5</v>
      </c>
      <c r="T44" s="55" t="n">
        <v>0.5</v>
      </c>
      <c r="U44" s="31" t="n">
        <v>0</v>
      </c>
    </row>
    <row r="45">
      <c r="A45" s="18" t="inlineStr">
        <is>
          <t>U075</t>
        </is>
      </c>
      <c r="B45" s="18" t="inlineStr">
        <is>
          <t>I.U.INVESTIGACIÓN DE ESTUDIOS SOCIALES DE AMÉRICA LATINA (10.25)</t>
        </is>
      </c>
      <c r="C45" s="18" t="inlineStr">
        <is>
          <t>DOCTORADO EN HUMANIDADES Y ESTUDIOS SOCIALES DE AMÉRICA LATINA</t>
        </is>
      </c>
      <c r="D45" s="18" t="inlineStr">
        <is>
          <t>Londoño Arias, José Albán</t>
        </is>
      </c>
      <c r="E45" s="18" t="inlineStr">
        <is>
          <t>La integración económica latinoamericana y su impacto en el comercio exterior colombiano</t>
        </is>
      </c>
      <c r="F45" s="18" t="inlineStr">
        <is>
          <t>20/09/2024</t>
        </is>
      </c>
      <c r="G45" s="18" t="inlineStr">
        <is>
          <t>21417350A</t>
        </is>
      </c>
      <c r="H45" s="18" t="inlineStr">
        <is>
          <t>Director de tesis</t>
        </is>
      </c>
      <c r="I45" s="18" t="inlineStr">
        <is>
          <t>B138</t>
        </is>
      </c>
      <c r="J45" s="18" t="inlineStr">
        <is>
          <t>ANALISIS ECONOMICO APLICADO</t>
        </is>
      </c>
      <c r="K45" s="31" t="n">
        <v>1</v>
      </c>
      <c r="L45" s="31" t="inlineStr">
        <is>
          <t>B138</t>
        </is>
      </c>
      <c r="M45" s="31" t="n">
        <v>2023</v>
      </c>
      <c r="N45" s="31" t="inlineStr">
        <is>
          <t>10.25</t>
        </is>
      </c>
      <c r="O45" s="31" t="inlineStr">
        <is>
          <t>80</t>
        </is>
      </c>
      <c r="P45" s="31" t="inlineStr"/>
      <c r="Q45" s="31" t="inlineStr"/>
      <c r="R45" s="31" t="n">
        <v>20</v>
      </c>
      <c r="S45" s="31" t="n">
        <v>0.2</v>
      </c>
      <c r="T45" s="55" t="n">
        <v>0.8</v>
      </c>
      <c r="U45" s="31" t="n">
        <v>0</v>
      </c>
    </row>
    <row r="46">
      <c r="A46" s="18" t="inlineStr">
        <is>
          <t>U075</t>
        </is>
      </c>
      <c r="B46" s="18" t="inlineStr">
        <is>
          <t>I.U.INVESTIGACIÓN DE ESTUDIOS SOCIALES DE AMÉRICA LATINA (10.25)</t>
        </is>
      </c>
      <c r="C46" s="18" t="inlineStr">
        <is>
          <t>DOCTORADO EN HUMANIDADES Y ESTUDIOS SOCIALES DE AMÉRICA LATINA</t>
        </is>
      </c>
      <c r="D46" s="18" t="inlineStr">
        <is>
          <t>Quevedo Reyes, Yanisleidy</t>
        </is>
      </c>
      <c r="E46" s="18" t="inlineStr">
        <is>
          <t>CONTRIBUCIÓN DE LAS CADENAS AGROPRODUCTIVAS AL DESARROLLO SOSTENIBLE. PROPUESTA METODOLÓGICA PARA SU EVALUACIÓN</t>
        </is>
      </c>
      <c r="F46" s="18" t="inlineStr">
        <is>
          <t>19/09/2024</t>
        </is>
      </c>
      <c r="G46" s="18" t="inlineStr">
        <is>
          <t>21417350A</t>
        </is>
      </c>
      <c r="H46" s="18" t="inlineStr">
        <is>
          <t>Codirector de tesis</t>
        </is>
      </c>
      <c r="I46" s="18" t="inlineStr">
        <is>
          <t>B138</t>
        </is>
      </c>
      <c r="J46" s="18" t="inlineStr">
        <is>
          <t>ANALISIS ECONOMICO APLICADO</t>
        </is>
      </c>
      <c r="K46" s="31" t="n">
        <v>0.3333333333333333</v>
      </c>
      <c r="L46" s="31" t="inlineStr">
        <is>
          <t>B138</t>
        </is>
      </c>
      <c r="M46" s="31" t="n">
        <v>2023</v>
      </c>
      <c r="N46" s="31" t="inlineStr">
        <is>
          <t>10.25</t>
        </is>
      </c>
      <c r="O46" s="31" t="inlineStr">
        <is>
          <t>80</t>
        </is>
      </c>
      <c r="P46" s="31" t="inlineStr"/>
      <c r="Q46" s="31" t="inlineStr"/>
      <c r="R46" s="31" t="n">
        <v>20</v>
      </c>
      <c r="S46" s="31" t="n">
        <v>0.06666666666666667</v>
      </c>
      <c r="T46" s="55" t="n">
        <v>0.2666666666666667</v>
      </c>
      <c r="U46" s="31" t="n">
        <v>0</v>
      </c>
    </row>
    <row r="47">
      <c r="A47" s="57" t="n"/>
      <c r="B47" s="57" t="n"/>
      <c r="C47" s="57" t="n"/>
      <c r="D47" s="57" t="n"/>
      <c r="E47" s="57" t="n"/>
      <c r="F47" s="57" t="n"/>
      <c r="G47" s="57" t="n"/>
      <c r="H47" s="57" t="n"/>
      <c r="I47" s="57" t="n"/>
      <c r="J47" s="57" t="n"/>
      <c r="K47" s="57" t="n"/>
      <c r="L47" s="57" t="n"/>
      <c r="M47" s="57" t="n"/>
      <c r="N47" s="57" t="n"/>
      <c r="O47" s="58" t="n"/>
      <c r="P47" s="57" t="n"/>
      <c r="Q47" s="58" t="n"/>
      <c r="R47" s="57" t="n"/>
      <c r="S47" s="59">
        <f>SUM(S2:S46)</f>
        <v/>
      </c>
      <c r="T47" s="57" t="n"/>
      <c r="U47" s="57" t="n"/>
    </row>
  </sheetData>
  <autoFilter ref="A1:U2">
    <sortState ref="A2:U1866">
      <sortCondition ref="L2:L1866"/>
      <sortCondition ref="M2:M1866"/>
      <sortCondition ref="D2:D1866"/>
    </sortState>
  </autoFilter>
  <printOptions horizontalCentered="1"/>
  <pageMargins left="0.3937007874015748" right="0.3937007874015748" top="0.3937007874015748" bottom="0.3937007874015748" header="0.7874015748031497" footer="0"/>
  <pageSetup orientation="landscape" paperSize="9"/>
  <headerFooter alignWithMargins="0">
    <oddHeader>&amp;C&amp;"Arial,Negrita"TESIS DOCTORALES POR DEPARTAMENTO / INSTITUTO_x000a_CURSOS 2006-2012</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T32"/>
  <sheetViews>
    <sheetView zoomScaleNormal="100" workbookViewId="0">
      <selection activeCell="V10" sqref="V10"/>
    </sheetView>
  </sheetViews>
  <sheetFormatPr baseColWidth="10" defaultColWidth="11.42578125" defaultRowHeight="12.75"/>
  <cols>
    <col width="10.85546875" bestFit="1" customWidth="1" style="8" min="1" max="1"/>
    <col width="38.85546875" bestFit="1" customWidth="1" style="8" min="2" max="2"/>
    <col width="17" bestFit="1" customWidth="1" style="8" min="3" max="3"/>
    <col width="3.28515625" bestFit="1" customWidth="1" style="8" min="4" max="9"/>
    <col width="13.140625" bestFit="1" customWidth="1" style="8" min="10" max="10"/>
    <col width="5.28515625" bestFit="1" customWidth="1" style="8" min="11" max="11"/>
    <col width="5.7109375" bestFit="1" customWidth="1" style="8" min="12" max="13"/>
    <col width="5.7109375" bestFit="1" customWidth="1" style="9" min="14" max="14"/>
    <col width="5.7109375" bestFit="1" customWidth="1" style="8" min="15" max="15"/>
    <col width="5.7109375" bestFit="1" customWidth="1" style="9" min="16" max="16"/>
    <col width="5.7109375" bestFit="1" customWidth="1" style="8" min="17" max="19"/>
    <col width="11.42578125" customWidth="1" style="8" min="20" max="16384"/>
  </cols>
  <sheetData>
    <row r="1" ht="30" customFormat="1" customHeight="1" s="12">
      <c r="A1" s="15" t="inlineStr">
        <is>
          <t>NIF</t>
        </is>
      </c>
      <c r="B1" s="15" t="inlineStr">
        <is>
          <t>NOMBRE_COMPLETO</t>
        </is>
      </c>
      <c r="C1" s="15" t="inlineStr">
        <is>
          <t>TIPO_SEXENIO</t>
        </is>
      </c>
      <c r="D1" s="16" t="inlineStr">
        <is>
          <t>2020</t>
        </is>
      </c>
      <c r="E1" s="16" t="inlineStr">
        <is>
          <t>2021</t>
        </is>
      </c>
      <c r="F1" s="16" t="inlineStr">
        <is>
          <t>2022</t>
        </is>
      </c>
      <c r="G1" s="16" t="inlineStr">
        <is>
          <t>2023</t>
        </is>
      </c>
      <c r="H1" s="16" t="inlineStr">
        <is>
          <t>2024</t>
        </is>
      </c>
      <c r="I1" s="16" t="inlineStr">
        <is>
          <t>2025</t>
        </is>
      </c>
      <c r="J1" s="15" t="inlineStr">
        <is>
          <t>Total general</t>
        </is>
      </c>
      <c r="K1" s="17" t="inlineStr">
        <is>
          <t>COD DEP</t>
        </is>
      </c>
      <c r="L1" s="14" t="inlineStr">
        <is>
          <t>INS
1</t>
        </is>
      </c>
      <c r="M1" s="14" t="inlineStr">
        <is>
          <t>DED
INS 1</t>
        </is>
      </c>
      <c r="N1" s="14" t="inlineStr">
        <is>
          <t>INS
2</t>
        </is>
      </c>
      <c r="O1" s="14" t="inlineStr">
        <is>
          <t>DED
INS 2</t>
        </is>
      </c>
      <c r="P1" s="13" t="inlineStr">
        <is>
          <t>DED
DEP</t>
        </is>
      </c>
      <c r="Q1" s="13" t="inlineStr">
        <is>
          <t>SEX
INS 1</t>
        </is>
      </c>
      <c r="R1" s="13" t="inlineStr">
        <is>
          <t>SEX
INS 2</t>
        </is>
      </c>
      <c r="S1" s="13" t="inlineStr">
        <is>
          <t>SEX
DEP</t>
        </is>
      </c>
    </row>
    <row r="2">
      <c r="A2" s="32" t="inlineStr">
        <is>
          <t>15852799A</t>
        </is>
      </c>
      <c r="B2" s="32" t="inlineStr">
        <is>
          <t>Zabalza Arbizu, Juan Ángel</t>
        </is>
      </c>
      <c r="C2" s="32" t="inlineStr">
        <is>
          <t>FUNCIONARIO</t>
        </is>
      </c>
      <c r="D2" s="32" t="n"/>
      <c r="E2" s="32" t="n"/>
      <c r="F2" s="32" t="n"/>
      <c r="G2" s="32" t="n"/>
      <c r="H2" s="32" t="n">
        <v>1</v>
      </c>
      <c r="I2" s="32" t="n"/>
      <c r="J2" s="32" t="n">
        <v>1</v>
      </c>
      <c r="K2" s="32" t="inlineStr">
        <is>
          <t>B138</t>
        </is>
      </c>
      <c r="L2" s="32" t="inlineStr">
        <is>
          <t>10.25</t>
        </is>
      </c>
      <c r="M2" s="32" t="inlineStr">
        <is>
          <t>50</t>
        </is>
      </c>
      <c r="N2" s="33" t="inlineStr"/>
      <c r="O2" s="32" t="inlineStr"/>
      <c r="P2" s="33" t="n">
        <v>50</v>
      </c>
      <c r="Q2" s="32" t="n">
        <v>0.5</v>
      </c>
      <c r="R2" s="32" t="n">
        <v>0</v>
      </c>
      <c r="S2" s="32" t="n">
        <v>0.5</v>
      </c>
    </row>
    <row r="3">
      <c r="A3" s="32" t="inlineStr">
        <is>
          <t>16045393H</t>
        </is>
      </c>
      <c r="B3" s="32" t="inlineStr">
        <is>
          <t>Díaz Morlán, Pablo</t>
        </is>
      </c>
      <c r="C3" s="32" t="inlineStr">
        <is>
          <t>FUNCIONARIO</t>
        </is>
      </c>
      <c r="D3" s="32" t="n">
        <v>1</v>
      </c>
      <c r="E3" s="32" t="n"/>
      <c r="F3" s="32" t="n"/>
      <c r="G3" s="32" t="n"/>
      <c r="H3" s="32" t="n"/>
      <c r="I3" s="32" t="n"/>
      <c r="J3" s="32" t="n">
        <v>1</v>
      </c>
      <c r="K3" s="32" t="inlineStr">
        <is>
          <t>B138</t>
        </is>
      </c>
      <c r="L3" s="32" t="n">
        <v>0</v>
      </c>
      <c r="M3" s="32" t="n">
        <v>0</v>
      </c>
      <c r="N3" s="33" t="inlineStr"/>
      <c r="O3" s="32" t="inlineStr"/>
      <c r="P3" s="33" t="n">
        <v>100</v>
      </c>
      <c r="Q3" s="32" t="n">
        <v>0</v>
      </c>
      <c r="R3" s="32" t="n">
        <v>0</v>
      </c>
      <c r="S3" s="32" t="n">
        <v>1</v>
      </c>
    </row>
    <row r="4">
      <c r="A4" s="32" t="inlineStr">
        <is>
          <t>16284755L</t>
        </is>
      </c>
      <c r="B4" s="32" t="inlineStr">
        <is>
          <t>Sáez García, Miguel Ángel</t>
        </is>
      </c>
      <c r="C4" s="32" t="inlineStr">
        <is>
          <t>FUNCIONARIO</t>
        </is>
      </c>
      <c r="D4" s="32" t="n"/>
      <c r="E4" s="32" t="n"/>
      <c r="F4" s="32" t="n"/>
      <c r="G4" s="32" t="n"/>
      <c r="H4" s="32" t="n">
        <v>1</v>
      </c>
      <c r="I4" s="32" t="n"/>
      <c r="J4" s="32" t="n">
        <v>1</v>
      </c>
      <c r="K4" s="32" t="inlineStr">
        <is>
          <t>B138</t>
        </is>
      </c>
      <c r="L4" s="32" t="inlineStr">
        <is>
          <t>10.21</t>
        </is>
      </c>
      <c r="M4" s="32" t="inlineStr">
        <is>
          <t>20</t>
        </is>
      </c>
      <c r="N4" s="33" t="inlineStr">
        <is>
          <t>10.05</t>
        </is>
      </c>
      <c r="O4" s="32" t="inlineStr">
        <is>
          <t>10</t>
        </is>
      </c>
      <c r="P4" s="33" t="n">
        <v>70</v>
      </c>
      <c r="Q4" s="32" t="n">
        <v>0.2</v>
      </c>
      <c r="R4" s="32" t="n">
        <v>0.1</v>
      </c>
      <c r="S4" s="32" t="n">
        <v>0.7</v>
      </c>
    </row>
    <row r="5">
      <c r="A5" s="32" t="inlineStr">
        <is>
          <t>21417350A</t>
        </is>
      </c>
      <c r="B5" s="32" t="inlineStr">
        <is>
          <t>Vidal Olivares, Francisco Javier</t>
        </is>
      </c>
      <c r="C5" s="32" t="inlineStr">
        <is>
          <t>FUNCIONARIO</t>
        </is>
      </c>
      <c r="D5" s="32" t="n">
        <v>1</v>
      </c>
      <c r="E5" s="32" t="n"/>
      <c r="F5" s="32" t="n"/>
      <c r="G5" s="32" t="n"/>
      <c r="H5" s="32" t="n"/>
      <c r="I5" s="32" t="n"/>
      <c r="J5" s="32" t="n">
        <v>1</v>
      </c>
      <c r="K5" s="32" t="inlineStr">
        <is>
          <t>B138</t>
        </is>
      </c>
      <c r="L5" s="32" t="inlineStr">
        <is>
          <t>10.25</t>
        </is>
      </c>
      <c r="M5" s="32" t="inlineStr">
        <is>
          <t>80</t>
        </is>
      </c>
      <c r="N5" s="33" t="inlineStr"/>
      <c r="O5" s="32" t="inlineStr"/>
      <c r="P5" s="33" t="n">
        <v>20</v>
      </c>
      <c r="Q5" s="32" t="n">
        <v>0.8</v>
      </c>
      <c r="R5" s="32" t="n">
        <v>0</v>
      </c>
      <c r="S5" s="32" t="n">
        <v>0.2</v>
      </c>
    </row>
    <row r="6">
      <c r="A6" s="32" t="inlineStr">
        <is>
          <t>21418619F</t>
        </is>
      </c>
      <c r="B6" s="32" t="inlineStr">
        <is>
          <t>Martínez Mora, Carmen</t>
        </is>
      </c>
      <c r="C6" s="32" t="inlineStr">
        <is>
          <t>FUNCIONARIO</t>
        </is>
      </c>
      <c r="D6" s="32" t="n"/>
      <c r="E6" s="32" t="n">
        <v>1</v>
      </c>
      <c r="F6" s="32" t="n"/>
      <c r="G6" s="32" t="n"/>
      <c r="H6" s="32" t="n"/>
      <c r="I6" s="32" t="n"/>
      <c r="J6" s="32" t="n">
        <v>1</v>
      </c>
      <c r="K6" s="32" t="inlineStr">
        <is>
          <t>B138</t>
        </is>
      </c>
      <c r="L6" s="32" t="inlineStr">
        <is>
          <t>10.06</t>
        </is>
      </c>
      <c r="M6" s="32" t="inlineStr">
        <is>
          <t>50</t>
        </is>
      </c>
      <c r="N6" s="33" t="inlineStr"/>
      <c r="O6" s="32" t="inlineStr"/>
      <c r="P6" s="33" t="n">
        <v>50</v>
      </c>
      <c r="Q6" s="32" t="n">
        <v>0.5</v>
      </c>
      <c r="R6" s="32" t="n">
        <v>0</v>
      </c>
      <c r="S6" s="32" t="n">
        <v>0.5</v>
      </c>
    </row>
    <row r="7">
      <c r="A7" s="32" t="inlineStr">
        <is>
          <t>21419805C</t>
        </is>
      </c>
      <c r="B7" s="32" t="inlineStr">
        <is>
          <t>Saiz Pastor, Candelaria</t>
        </is>
      </c>
      <c r="C7" s="32" t="inlineStr">
        <is>
          <t>FUNCIONARIO</t>
        </is>
      </c>
      <c r="D7" s="32" t="n"/>
      <c r="E7" s="32" t="n"/>
      <c r="F7" s="32" t="n"/>
      <c r="G7" s="32" t="n"/>
      <c r="H7" s="32" t="n">
        <v>1</v>
      </c>
      <c r="I7" s="32" t="n"/>
      <c r="J7" s="32" t="n">
        <v>1</v>
      </c>
      <c r="K7" s="32" t="inlineStr">
        <is>
          <t>B138</t>
        </is>
      </c>
      <c r="L7" s="32" t="inlineStr">
        <is>
          <t>10.25</t>
        </is>
      </c>
      <c r="M7" s="32" t="inlineStr">
        <is>
          <t>80</t>
        </is>
      </c>
      <c r="N7" s="33" t="inlineStr"/>
      <c r="O7" s="32" t="inlineStr"/>
      <c r="P7" s="33" t="n">
        <v>20</v>
      </c>
      <c r="Q7" s="32" t="n">
        <v>0.8</v>
      </c>
      <c r="R7" s="32" t="n">
        <v>0</v>
      </c>
      <c r="S7" s="32" t="n">
        <v>0.2</v>
      </c>
    </row>
    <row r="8">
      <c r="A8" s="32" t="inlineStr">
        <is>
          <t>21453643W</t>
        </is>
      </c>
      <c r="B8" s="32" t="inlineStr">
        <is>
          <t>Martí Sempere, Mónica</t>
        </is>
      </c>
      <c r="C8" s="32" t="inlineStr">
        <is>
          <t>FUNCIONARIO</t>
        </is>
      </c>
      <c r="D8" s="32" t="n"/>
      <c r="E8" s="32" t="n"/>
      <c r="F8" s="32" t="n"/>
      <c r="G8" s="32" t="n"/>
      <c r="H8" s="32" t="n">
        <v>1</v>
      </c>
      <c r="I8" s="32" t="n"/>
      <c r="J8" s="32" t="n">
        <v>1</v>
      </c>
      <c r="K8" s="32" t="inlineStr">
        <is>
          <t>B138</t>
        </is>
      </c>
      <c r="L8" s="32" t="inlineStr">
        <is>
          <t>10.22</t>
        </is>
      </c>
      <c r="M8" s="32" t="inlineStr">
        <is>
          <t>90</t>
        </is>
      </c>
      <c r="N8" s="33" t="inlineStr"/>
      <c r="O8" s="32" t="inlineStr"/>
      <c r="P8" s="33" t="n">
        <v>10</v>
      </c>
      <c r="Q8" s="32" t="n">
        <v>0.9</v>
      </c>
      <c r="R8" s="32" t="n">
        <v>0</v>
      </c>
      <c r="S8" s="32" t="n">
        <v>0.1</v>
      </c>
    </row>
    <row r="9">
      <c r="A9" s="32" t="inlineStr">
        <is>
          <t>21468028N</t>
        </is>
      </c>
      <c r="B9" s="32" t="inlineStr">
        <is>
          <t>Lillo Bañuls, Adelaida</t>
        </is>
      </c>
      <c r="C9" s="32" t="inlineStr">
        <is>
          <t>FUNCIONARIO</t>
        </is>
      </c>
      <c r="D9" s="32" t="n"/>
      <c r="E9" s="32" t="n"/>
      <c r="F9" s="32" t="n">
        <v>1</v>
      </c>
      <c r="G9" s="32" t="n"/>
      <c r="H9" s="32" t="n"/>
      <c r="I9" s="32" t="n"/>
      <c r="J9" s="32" t="n">
        <v>1</v>
      </c>
      <c r="K9" s="32" t="inlineStr">
        <is>
          <t>B138</t>
        </is>
      </c>
      <c r="L9" s="32" t="inlineStr">
        <is>
          <t>10.17</t>
        </is>
      </c>
      <c r="M9" s="32" t="inlineStr">
        <is>
          <t>10</t>
        </is>
      </c>
      <c r="N9" s="33" t="inlineStr">
        <is>
          <t>10.06</t>
        </is>
      </c>
      <c r="O9" s="32" t="inlineStr">
        <is>
          <t>50</t>
        </is>
      </c>
      <c r="P9" s="33" t="n">
        <v>40</v>
      </c>
      <c r="Q9" s="32" t="n">
        <v>0.1</v>
      </c>
      <c r="R9" s="32" t="n">
        <v>0.5</v>
      </c>
      <c r="S9" s="32" t="n">
        <v>0.4</v>
      </c>
    </row>
    <row r="10">
      <c r="A10" s="32" t="inlineStr">
        <is>
          <t>21475142L</t>
        </is>
      </c>
      <c r="B10" s="32" t="inlineStr">
        <is>
          <t>Fuster García, Begoña Lucía</t>
        </is>
      </c>
      <c r="C10" s="32" t="inlineStr">
        <is>
          <t>FUNCIONARIO</t>
        </is>
      </c>
      <c r="D10" s="32" t="n"/>
      <c r="E10" s="32" t="n">
        <v>1</v>
      </c>
      <c r="F10" s="32" t="n"/>
      <c r="G10" s="32" t="n"/>
      <c r="H10" s="32" t="n"/>
      <c r="I10" s="32" t="n"/>
      <c r="J10" s="32" t="n">
        <v>1</v>
      </c>
      <c r="K10" s="32" t="inlineStr">
        <is>
          <t>B138</t>
        </is>
      </c>
      <c r="L10" s="32" t="inlineStr">
        <is>
          <t>10.06</t>
        </is>
      </c>
      <c r="M10" s="32" t="inlineStr">
        <is>
          <t>50</t>
        </is>
      </c>
      <c r="N10" s="33" t="inlineStr"/>
      <c r="O10" s="32" t="inlineStr"/>
      <c r="P10" s="33" t="n">
        <v>50</v>
      </c>
      <c r="Q10" s="32" t="n">
        <v>0.5</v>
      </c>
      <c r="R10" s="32" t="n">
        <v>0</v>
      </c>
      <c r="S10" s="32" t="n">
        <v>0.5</v>
      </c>
    </row>
    <row r="11">
      <c r="A11" s="32" t="inlineStr">
        <is>
          <t>21478044T</t>
        </is>
      </c>
      <c r="B11" s="32" t="inlineStr">
        <is>
          <t>Fuentes Pascual, Ramón</t>
        </is>
      </c>
      <c r="C11" s="32" t="inlineStr">
        <is>
          <t>FUNCIONARIO</t>
        </is>
      </c>
      <c r="D11" s="32" t="n"/>
      <c r="E11" s="32" t="n"/>
      <c r="F11" s="32" t="n">
        <v>1</v>
      </c>
      <c r="G11" s="32" t="n"/>
      <c r="H11" s="32" t="n"/>
      <c r="I11" s="32" t="n"/>
      <c r="J11" s="32" t="n">
        <v>1</v>
      </c>
      <c r="K11" s="32" t="inlineStr">
        <is>
          <t>B138</t>
        </is>
      </c>
      <c r="L11" s="32" t="inlineStr">
        <is>
          <t>10.06</t>
        </is>
      </c>
      <c r="M11" s="32" t="inlineStr">
        <is>
          <t>25</t>
        </is>
      </c>
      <c r="N11" s="33" t="inlineStr">
        <is>
          <t>10.17</t>
        </is>
      </c>
      <c r="O11" s="32" t="inlineStr">
        <is>
          <t>25</t>
        </is>
      </c>
      <c r="P11" s="33" t="n">
        <v>50</v>
      </c>
      <c r="Q11" s="32" t="n">
        <v>0.25</v>
      </c>
      <c r="R11" s="32" t="n">
        <v>0.25</v>
      </c>
      <c r="S11" s="32" t="n">
        <v>0.5</v>
      </c>
    </row>
    <row r="12">
      <c r="A12" s="32" t="inlineStr">
        <is>
          <t>21479315Y</t>
        </is>
      </c>
      <c r="B12" s="32" t="inlineStr">
        <is>
          <t>Sánchez Sánchez, Ángel</t>
        </is>
      </c>
      <c r="C12" s="32" t="inlineStr">
        <is>
          <t>FUNCIONARIO</t>
        </is>
      </c>
      <c r="D12" s="32" t="n"/>
      <c r="E12" s="32" t="n"/>
      <c r="F12" s="32" t="n"/>
      <c r="G12" s="32" t="n"/>
      <c r="H12" s="32" t="n"/>
      <c r="I12" s="32" t="n">
        <v>1</v>
      </c>
      <c r="J12" s="32" t="n">
        <v>1</v>
      </c>
      <c r="K12" s="32" t="inlineStr">
        <is>
          <t>B138</t>
        </is>
      </c>
      <c r="L12" s="32" t="inlineStr">
        <is>
          <t>10.06</t>
        </is>
      </c>
      <c r="M12" s="32" t="inlineStr">
        <is>
          <t>25</t>
        </is>
      </c>
      <c r="N12" s="33" t="inlineStr">
        <is>
          <t>10.05</t>
        </is>
      </c>
      <c r="O12" s="32" t="inlineStr">
        <is>
          <t>25</t>
        </is>
      </c>
      <c r="P12" s="33" t="n">
        <v>50</v>
      </c>
      <c r="Q12" s="32" t="n">
        <v>0.25</v>
      </c>
      <c r="R12" s="32" t="n">
        <v>0.25</v>
      </c>
      <c r="S12" s="32" t="n">
        <v>0.5</v>
      </c>
    </row>
    <row r="13">
      <c r="A13" s="32" t="inlineStr">
        <is>
          <t>21487688F</t>
        </is>
      </c>
      <c r="B13" s="32" t="inlineStr">
        <is>
          <t>Ramón Rodríguez, Ana Belén</t>
        </is>
      </c>
      <c r="C13" s="32" t="inlineStr">
        <is>
          <t>FUNCIONARIO</t>
        </is>
      </c>
      <c r="D13" s="32" t="n"/>
      <c r="E13" s="32" t="n"/>
      <c r="F13" s="32" t="n"/>
      <c r="G13" s="32" t="n"/>
      <c r="H13" s="32" t="n">
        <v>1</v>
      </c>
      <c r="I13" s="32" t="n"/>
      <c r="J13" s="32" t="n">
        <v>1</v>
      </c>
      <c r="K13" s="32" t="inlineStr">
        <is>
          <t>B138</t>
        </is>
      </c>
      <c r="L13" s="32" t="inlineStr">
        <is>
          <t>10.17</t>
        </is>
      </c>
      <c r="M13" s="32" t="inlineStr">
        <is>
          <t>10</t>
        </is>
      </c>
      <c r="N13" s="33" t="inlineStr">
        <is>
          <t>10.06</t>
        </is>
      </c>
      <c r="O13" s="32" t="inlineStr">
        <is>
          <t>50</t>
        </is>
      </c>
      <c r="P13" s="33" t="n">
        <v>40</v>
      </c>
      <c r="Q13" s="32" t="n">
        <v>0.1</v>
      </c>
      <c r="R13" s="32" t="n">
        <v>0.5</v>
      </c>
      <c r="S13" s="32" t="n">
        <v>0.4</v>
      </c>
    </row>
    <row r="14">
      <c r="A14" s="32" t="inlineStr">
        <is>
          <t>21494190T</t>
        </is>
      </c>
      <c r="B14" s="32" t="inlineStr">
        <is>
          <t>Simón Pérez, Hipólito José</t>
        </is>
      </c>
      <c r="C14" s="32" t="inlineStr">
        <is>
          <t>FUNCIONARIO</t>
        </is>
      </c>
      <c r="D14" s="32" t="n">
        <v>1</v>
      </c>
      <c r="E14" s="32" t="n"/>
      <c r="F14" s="32" t="n"/>
      <c r="G14" s="32" t="n"/>
      <c r="H14" s="32" t="n"/>
      <c r="I14" s="32" t="n"/>
      <c r="J14" s="32" t="n">
        <v>1</v>
      </c>
      <c r="K14" s="32" t="inlineStr">
        <is>
          <t>B138</t>
        </is>
      </c>
      <c r="L14" s="32" t="inlineStr">
        <is>
          <t>10.06</t>
        </is>
      </c>
      <c r="M14" s="32" t="inlineStr">
        <is>
          <t>50</t>
        </is>
      </c>
      <c r="N14" s="33" t="inlineStr"/>
      <c r="O14" s="32" t="inlineStr"/>
      <c r="P14" s="33" t="n">
        <v>50</v>
      </c>
      <c r="Q14" s="32" t="n">
        <v>0.5</v>
      </c>
      <c r="R14" s="32" t="n">
        <v>0</v>
      </c>
      <c r="S14" s="32" t="n">
        <v>0.5</v>
      </c>
    </row>
    <row r="15">
      <c r="A15" s="32" t="inlineStr">
        <is>
          <t>21643754H</t>
        </is>
      </c>
      <c r="B15" s="32" t="inlineStr">
        <is>
          <t>Torró Gil, Lluís</t>
        </is>
      </c>
      <c r="C15" s="32" t="inlineStr">
        <is>
          <t>FUNCIONARIO</t>
        </is>
      </c>
      <c r="D15" s="32" t="n">
        <v>1</v>
      </c>
      <c r="E15" s="32" t="n"/>
      <c r="F15" s="32" t="n"/>
      <c r="G15" s="32" t="n"/>
      <c r="H15" s="32" t="n"/>
      <c r="I15" s="32" t="n"/>
      <c r="J15" s="32" t="n">
        <v>1</v>
      </c>
      <c r="K15" s="32" t="inlineStr">
        <is>
          <t>B138</t>
        </is>
      </c>
      <c r="L15" s="32" t="inlineStr">
        <is>
          <t>10.06</t>
        </is>
      </c>
      <c r="M15" s="32" t="inlineStr">
        <is>
          <t>10</t>
        </is>
      </c>
      <c r="N15" s="33" t="inlineStr">
        <is>
          <t>10.25</t>
        </is>
      </c>
      <c r="O15" s="32" t="inlineStr">
        <is>
          <t>50</t>
        </is>
      </c>
      <c r="P15" s="33" t="n">
        <v>40</v>
      </c>
      <c r="Q15" s="32" t="n">
        <v>0.1</v>
      </c>
      <c r="R15" s="32" t="n">
        <v>0.5</v>
      </c>
      <c r="S15" s="32" t="n">
        <v>0.4</v>
      </c>
    </row>
    <row r="16">
      <c r="A16" s="32" t="inlineStr">
        <is>
          <t>21653610F</t>
        </is>
      </c>
      <c r="B16" s="32" t="inlineStr">
        <is>
          <t>Juárez Tárraga, Francisco</t>
        </is>
      </c>
      <c r="C16" s="32" t="inlineStr">
        <is>
          <t>NO FUNCIONARIO</t>
        </is>
      </c>
      <c r="D16" s="32" t="n"/>
      <c r="E16" s="32" t="n"/>
      <c r="F16" s="32" t="n"/>
      <c r="G16" s="32" t="n"/>
      <c r="H16" s="32" t="n">
        <v>1</v>
      </c>
      <c r="I16" s="32" t="n"/>
      <c r="J16" s="32" t="n">
        <v>1</v>
      </c>
      <c r="K16" s="32" t="inlineStr">
        <is>
          <t>B138</t>
        </is>
      </c>
      <c r="L16" s="32" t="inlineStr">
        <is>
          <t>10.25</t>
        </is>
      </c>
      <c r="M16" s="32" t="inlineStr">
        <is>
          <t>50</t>
        </is>
      </c>
      <c r="N16" s="33" t="inlineStr">
        <is>
          <t>10.17</t>
        </is>
      </c>
      <c r="O16" s="32" t="inlineStr">
        <is>
          <t>10</t>
        </is>
      </c>
      <c r="P16" s="33" t="n">
        <v>40</v>
      </c>
      <c r="Q16" s="32" t="n">
        <v>0.5</v>
      </c>
      <c r="R16" s="32" t="n">
        <v>0.1</v>
      </c>
      <c r="S16" s="32" t="n">
        <v>0.4</v>
      </c>
    </row>
    <row r="17">
      <c r="A17" s="32" t="inlineStr">
        <is>
          <t>21683813B</t>
        </is>
      </c>
      <c r="B17" s="32" t="inlineStr">
        <is>
          <t>Montaño Sanz, Francisco De Borja</t>
        </is>
      </c>
      <c r="C17" s="32" t="inlineStr">
        <is>
          <t>FUNCIONARIO</t>
        </is>
      </c>
      <c r="D17" s="32" t="n"/>
      <c r="E17" s="32" t="n">
        <v>1</v>
      </c>
      <c r="F17" s="32" t="n"/>
      <c r="G17" s="32" t="n"/>
      <c r="H17" s="32" t="n"/>
      <c r="I17" s="32" t="n"/>
      <c r="J17" s="32" t="n">
        <v>1</v>
      </c>
      <c r="K17" s="32" t="inlineStr">
        <is>
          <t>B138</t>
        </is>
      </c>
      <c r="L17" s="32" t="inlineStr">
        <is>
          <t>10.05</t>
        </is>
      </c>
      <c r="M17" s="32" t="inlineStr">
        <is>
          <t>20</t>
        </is>
      </c>
      <c r="N17" s="33" t="inlineStr"/>
      <c r="O17" s="32" t="inlineStr"/>
      <c r="P17" s="33" t="n">
        <v>80</v>
      </c>
      <c r="Q17" s="32" t="n">
        <v>0.2</v>
      </c>
      <c r="R17" s="32" t="n">
        <v>0</v>
      </c>
      <c r="S17" s="32" t="n">
        <v>0.8</v>
      </c>
    </row>
    <row r="18">
      <c r="A18" s="32" t="inlineStr">
        <is>
          <t>21994525Q</t>
        </is>
      </c>
      <c r="B18" s="32" t="inlineStr">
        <is>
          <t>Miranda Encarnación, José Antonio</t>
        </is>
      </c>
      <c r="C18" s="32" t="inlineStr">
        <is>
          <t>FUNCIONARIO</t>
        </is>
      </c>
      <c r="D18" s="32" t="n"/>
      <c r="E18" s="32" t="n"/>
      <c r="F18" s="32" t="n"/>
      <c r="G18" s="32" t="n"/>
      <c r="H18" s="32" t="n">
        <v>1</v>
      </c>
      <c r="I18" s="32" t="n"/>
      <c r="J18" s="32" t="n">
        <v>1</v>
      </c>
      <c r="K18" s="32" t="inlineStr">
        <is>
          <t>B138</t>
        </is>
      </c>
      <c r="L18" s="32" t="inlineStr">
        <is>
          <t>10.21</t>
        </is>
      </c>
      <c r="M18" s="32" t="inlineStr">
        <is>
          <t>30</t>
        </is>
      </c>
      <c r="N18" s="33" t="inlineStr">
        <is>
          <t>10.05</t>
        </is>
      </c>
      <c r="O18" s="32" t="inlineStr">
        <is>
          <t>20</t>
        </is>
      </c>
      <c r="P18" s="33" t="n">
        <v>50</v>
      </c>
      <c r="Q18" s="32" t="n">
        <v>0.3</v>
      </c>
      <c r="R18" s="32" t="n">
        <v>0.2</v>
      </c>
      <c r="S18" s="32" t="n">
        <v>0.5</v>
      </c>
    </row>
    <row r="19">
      <c r="A19" s="32" t="inlineStr">
        <is>
          <t>22529387J</t>
        </is>
      </c>
      <c r="B19" s="32" t="inlineStr">
        <is>
          <t>Taltavull De la Paz, Paloma</t>
        </is>
      </c>
      <c r="C19" s="32" t="inlineStr">
        <is>
          <t>FUNCIONARIO</t>
        </is>
      </c>
      <c r="D19" s="32" t="n"/>
      <c r="E19" s="32" t="n"/>
      <c r="F19" s="32" t="n">
        <v>1</v>
      </c>
      <c r="G19" s="32" t="n"/>
      <c r="H19" s="32" t="n"/>
      <c r="I19" s="32" t="n"/>
      <c r="J19" s="32" t="n">
        <v>1</v>
      </c>
      <c r="K19" s="32" t="inlineStr">
        <is>
          <t>B138</t>
        </is>
      </c>
      <c r="L19" s="32" t="inlineStr">
        <is>
          <t>10.17</t>
        </is>
      </c>
      <c r="M19" s="32" t="inlineStr">
        <is>
          <t>10</t>
        </is>
      </c>
      <c r="N19" s="33" t="inlineStr">
        <is>
          <t>10.25</t>
        </is>
      </c>
      <c r="O19" s="32" t="inlineStr">
        <is>
          <t>50</t>
        </is>
      </c>
      <c r="P19" s="33" t="n">
        <v>40</v>
      </c>
      <c r="Q19" s="32" t="n">
        <v>0.1</v>
      </c>
      <c r="R19" s="32" t="n">
        <v>0.5</v>
      </c>
      <c r="S19" s="32" t="n">
        <v>0.4</v>
      </c>
    </row>
    <row r="20">
      <c r="A20" s="32" t="inlineStr">
        <is>
          <t>27439255W</t>
        </is>
      </c>
      <c r="B20" s="32" t="inlineStr">
        <is>
          <t>López Ortiz, María Inmaculada</t>
        </is>
      </c>
      <c r="C20" s="32" t="inlineStr">
        <is>
          <t>FUNCIONARIO</t>
        </is>
      </c>
      <c r="D20" s="32" t="n">
        <v>1</v>
      </c>
      <c r="E20" s="32" t="n"/>
      <c r="F20" s="32" t="n"/>
      <c r="G20" s="32" t="n"/>
      <c r="H20" s="32" t="n"/>
      <c r="I20" s="32" t="n"/>
      <c r="J20" s="32" t="n">
        <v>1</v>
      </c>
      <c r="K20" s="32" t="inlineStr">
        <is>
          <t>B138</t>
        </is>
      </c>
      <c r="L20" s="32" t="inlineStr">
        <is>
          <t>10.05</t>
        </is>
      </c>
      <c r="M20" s="32" t="inlineStr">
        <is>
          <t>20</t>
        </is>
      </c>
      <c r="N20" s="33" t="inlineStr">
        <is>
          <t>10.21</t>
        </is>
      </c>
      <c r="O20" s="32" t="inlineStr">
        <is>
          <t>30</t>
        </is>
      </c>
      <c r="P20" s="33" t="n">
        <v>50</v>
      </c>
      <c r="Q20" s="32" t="n">
        <v>0.2</v>
      </c>
      <c r="R20" s="32" t="n">
        <v>0.3</v>
      </c>
      <c r="S20" s="32" t="n">
        <v>0.5</v>
      </c>
    </row>
    <row r="21">
      <c r="A21" s="32" t="inlineStr">
        <is>
          <t>33475454N</t>
        </is>
      </c>
      <c r="B21" s="32" t="inlineStr">
        <is>
          <t>Casado Díaz, José Manuel</t>
        </is>
      </c>
      <c r="C21" s="32" t="inlineStr">
        <is>
          <t>FUNCIONARIO</t>
        </is>
      </c>
      <c r="D21" s="32" t="n"/>
      <c r="E21" s="32" t="n">
        <v>1</v>
      </c>
      <c r="F21" s="32" t="n"/>
      <c r="G21" s="32" t="n"/>
      <c r="H21" s="32" t="n"/>
      <c r="I21" s="32" t="n"/>
      <c r="J21" s="32" t="n">
        <v>1</v>
      </c>
      <c r="K21" s="32" t="inlineStr">
        <is>
          <t>B138</t>
        </is>
      </c>
      <c r="L21" s="32" t="inlineStr">
        <is>
          <t>10.06</t>
        </is>
      </c>
      <c r="M21" s="32" t="inlineStr">
        <is>
          <t>50</t>
        </is>
      </c>
      <c r="N21" s="33" t="inlineStr">
        <is>
          <t>10.17</t>
        </is>
      </c>
      <c r="O21" s="32" t="inlineStr">
        <is>
          <t>10</t>
        </is>
      </c>
      <c r="P21" s="33" t="n">
        <v>40</v>
      </c>
      <c r="Q21" s="32" t="n">
        <v>0.5</v>
      </c>
      <c r="R21" s="32" t="n">
        <v>0.1</v>
      </c>
      <c r="S21" s="32" t="n">
        <v>0.4</v>
      </c>
    </row>
    <row r="22">
      <c r="A22" s="32" t="inlineStr">
        <is>
          <t>45567523S</t>
        </is>
      </c>
      <c r="B22" s="32" t="inlineStr">
        <is>
          <t>Torregrosa Martí, María Teresa</t>
        </is>
      </c>
      <c r="C22" s="32" t="inlineStr">
        <is>
          <t>FUNCIONARIO</t>
        </is>
      </c>
      <c r="D22" s="32" t="n"/>
      <c r="E22" s="32" t="n"/>
      <c r="F22" s="32" t="n"/>
      <c r="G22" s="32" t="n">
        <v>1</v>
      </c>
      <c r="H22" s="32" t="n"/>
      <c r="I22" s="32" t="n"/>
      <c r="J22" s="32" t="n">
        <v>1</v>
      </c>
      <c r="K22" s="32" t="inlineStr">
        <is>
          <t>B138</t>
        </is>
      </c>
      <c r="L22" s="32" t="inlineStr">
        <is>
          <t>10.17</t>
        </is>
      </c>
      <c r="M22" s="32" t="inlineStr">
        <is>
          <t>10</t>
        </is>
      </c>
      <c r="N22" s="33" t="inlineStr">
        <is>
          <t>10.06</t>
        </is>
      </c>
      <c r="O22" s="32" t="inlineStr">
        <is>
          <t>50</t>
        </is>
      </c>
      <c r="P22" s="33" t="n">
        <v>40</v>
      </c>
      <c r="Q22" s="32" t="n">
        <v>0.1</v>
      </c>
      <c r="R22" s="32" t="n">
        <v>0.5</v>
      </c>
      <c r="S22" s="32" t="n">
        <v>0.4</v>
      </c>
    </row>
    <row r="23">
      <c r="A23" s="32" t="inlineStr">
        <is>
          <t>47083217D</t>
        </is>
      </c>
      <c r="B23" s="32" t="inlineStr">
        <is>
          <t>Moreno Izquierdo, Luis</t>
        </is>
      </c>
      <c r="C23" s="32" t="inlineStr">
        <is>
          <t>FUNCIONARIO</t>
        </is>
      </c>
      <c r="D23" s="32" t="n"/>
      <c r="E23" s="32" t="n">
        <v>1</v>
      </c>
      <c r="F23" s="32" t="n"/>
      <c r="G23" s="32" t="n">
        <v>1</v>
      </c>
      <c r="H23" s="32" t="n"/>
      <c r="I23" s="32" t="n"/>
      <c r="J23" s="32" t="n">
        <v>2</v>
      </c>
      <c r="K23" s="32" t="inlineStr">
        <is>
          <t>B138</t>
        </is>
      </c>
      <c r="L23" s="32" t="inlineStr">
        <is>
          <t>10.06</t>
        </is>
      </c>
      <c r="M23" s="32" t="inlineStr">
        <is>
          <t>50</t>
        </is>
      </c>
      <c r="N23" s="33" t="inlineStr">
        <is>
          <t>10.17</t>
        </is>
      </c>
      <c r="O23" s="32" t="inlineStr">
        <is>
          <t>10</t>
        </is>
      </c>
      <c r="P23" s="33" t="n">
        <v>40</v>
      </c>
      <c r="Q23" s="32" t="n">
        <v>1</v>
      </c>
      <c r="R23" s="32" t="n">
        <v>0.2</v>
      </c>
      <c r="S23" s="32" t="n">
        <v>0.8</v>
      </c>
    </row>
    <row r="24">
      <c r="A24" s="32" t="inlineStr">
        <is>
          <t>53238057A</t>
        </is>
      </c>
      <c r="B24" s="32" t="inlineStr">
        <is>
          <t>López Llopis, Estefanía</t>
        </is>
      </c>
      <c r="C24" s="32" t="inlineStr">
        <is>
          <t>FUNCIONARIO</t>
        </is>
      </c>
      <c r="D24" s="32" t="n"/>
      <c r="E24" s="32" t="n"/>
      <c r="F24" s="32" t="n">
        <v>1</v>
      </c>
      <c r="G24" s="32" t="n">
        <v>1</v>
      </c>
      <c r="H24" s="32" t="n"/>
      <c r="I24" s="32" t="n"/>
      <c r="J24" s="32" t="n">
        <v>2</v>
      </c>
      <c r="K24" s="32" t="inlineStr">
        <is>
          <t>B138</t>
        </is>
      </c>
      <c r="L24" s="32" t="inlineStr">
        <is>
          <t>10.05</t>
        </is>
      </c>
      <c r="M24" s="32" t="inlineStr">
        <is>
          <t>25</t>
        </is>
      </c>
      <c r="N24" s="33" t="inlineStr">
        <is>
          <t>10.06</t>
        </is>
      </c>
      <c r="O24" s="32" t="inlineStr">
        <is>
          <t>50</t>
        </is>
      </c>
      <c r="P24" s="33" t="n">
        <v>25</v>
      </c>
      <c r="Q24" s="32" t="n">
        <v>0.5</v>
      </c>
      <c r="R24" s="32" t="n">
        <v>1</v>
      </c>
      <c r="S24" s="32" t="n">
        <v>0.5</v>
      </c>
    </row>
    <row r="25">
      <c r="A25" s="32" t="inlineStr">
        <is>
          <t>53241660H</t>
        </is>
      </c>
      <c r="B25" s="32" t="inlineStr">
        <is>
          <t>Fernández Aracil, Patricia</t>
        </is>
      </c>
      <c r="C25" s="32" t="inlineStr">
        <is>
          <t>NO FUNCIONARIO</t>
        </is>
      </c>
      <c r="D25" s="32" t="n"/>
      <c r="E25" s="32" t="n"/>
      <c r="F25" s="32" t="n"/>
      <c r="G25" s="32" t="n"/>
      <c r="H25" s="32" t="n">
        <v>1</v>
      </c>
      <c r="I25" s="32" t="n"/>
      <c r="J25" s="32" t="n">
        <v>1</v>
      </c>
      <c r="K25" s="32" t="inlineStr">
        <is>
          <t>B138</t>
        </is>
      </c>
      <c r="L25" s="32" t="inlineStr">
        <is>
          <t>10.05</t>
        </is>
      </c>
      <c r="M25" s="32" t="inlineStr">
        <is>
          <t>20</t>
        </is>
      </c>
      <c r="N25" s="33" t="inlineStr"/>
      <c r="O25" s="32" t="inlineStr"/>
      <c r="P25" s="33" t="n">
        <v>80</v>
      </c>
      <c r="Q25" s="32" t="n">
        <v>0.2</v>
      </c>
      <c r="R25" s="32" t="n">
        <v>0</v>
      </c>
      <c r="S25" s="32" t="n">
        <v>0.8</v>
      </c>
    </row>
    <row r="26">
      <c r="A26" s="32" t="inlineStr">
        <is>
          <t>53638330F</t>
        </is>
      </c>
      <c r="B26" s="32" t="inlineStr">
        <is>
          <t>Roldan Marin, Alba</t>
        </is>
      </c>
      <c r="C26" s="32" t="inlineStr">
        <is>
          <t>NO FUNCIONARIO</t>
        </is>
      </c>
      <c r="D26" s="32" t="n"/>
      <c r="E26" s="32" t="n"/>
      <c r="F26" s="32" t="n"/>
      <c r="G26" s="32" t="n"/>
      <c r="H26" s="32" t="n"/>
      <c r="I26" s="32" t="n">
        <v>1</v>
      </c>
      <c r="J26" s="32" t="n">
        <v>1</v>
      </c>
      <c r="K26" s="32" t="inlineStr">
        <is>
          <t>B138</t>
        </is>
      </c>
      <c r="L26" s="32" t="inlineStr">
        <is>
          <t>10.06</t>
        </is>
      </c>
      <c r="M26" s="32" t="inlineStr">
        <is>
          <t>50</t>
        </is>
      </c>
      <c r="N26" s="33" t="inlineStr"/>
      <c r="O26" s="32" t="inlineStr"/>
      <c r="P26" s="33" t="n">
        <v>50</v>
      </c>
      <c r="Q26" s="32" t="n">
        <v>0.5</v>
      </c>
      <c r="R26" s="32" t="n">
        <v>0</v>
      </c>
      <c r="S26" s="32" t="n">
        <v>0.5</v>
      </c>
    </row>
    <row r="27">
      <c r="A27" s="32" t="inlineStr">
        <is>
          <t>74149704G</t>
        </is>
      </c>
      <c r="B27" s="32" t="inlineStr">
        <is>
          <t>Escudero Gutiérrez, Antonio</t>
        </is>
      </c>
      <c r="C27" s="32" t="inlineStr">
        <is>
          <t>FUNCIONARIO</t>
        </is>
      </c>
      <c r="D27" s="32" t="n">
        <v>1</v>
      </c>
      <c r="E27" s="32" t="n"/>
      <c r="F27" s="32" t="n"/>
      <c r="G27" s="32" t="n"/>
      <c r="H27" s="32" t="n"/>
      <c r="I27" s="32" t="n"/>
      <c r="J27" s="32" t="n">
        <v>1</v>
      </c>
      <c r="K27" s="32" t="inlineStr">
        <is>
          <t>B138</t>
        </is>
      </c>
      <c r="L27" s="32" t="inlineStr">
        <is>
          <t>10.06</t>
        </is>
      </c>
      <c r="M27" s="32" t="inlineStr">
        <is>
          <t>90</t>
        </is>
      </c>
      <c r="N27" s="33" t="inlineStr"/>
      <c r="O27" s="32" t="inlineStr"/>
      <c r="P27" s="33" t="n">
        <v>10</v>
      </c>
      <c r="Q27" s="32" t="n">
        <v>0.9</v>
      </c>
      <c r="R27" s="32" t="n">
        <v>0</v>
      </c>
      <c r="S27" s="32" t="n">
        <v>0.1</v>
      </c>
    </row>
    <row r="28">
      <c r="A28" s="32" t="inlineStr">
        <is>
          <t>74219671M</t>
        </is>
      </c>
      <c r="B28" s="32" t="inlineStr">
        <is>
          <t>Gil Macia, Lorenzo</t>
        </is>
      </c>
      <c r="C28" s="32" t="inlineStr">
        <is>
          <t>FUNCIONARIO</t>
        </is>
      </c>
      <c r="D28" s="32" t="n"/>
      <c r="E28" s="32" t="n"/>
      <c r="F28" s="32" t="n">
        <v>2</v>
      </c>
      <c r="G28" s="32" t="n"/>
      <c r="H28" s="32" t="n">
        <v>1</v>
      </c>
      <c r="I28" s="32" t="n"/>
      <c r="J28" s="32" t="n">
        <v>3</v>
      </c>
      <c r="K28" s="32" t="inlineStr">
        <is>
          <t>B138</t>
        </is>
      </c>
      <c r="L28" s="32" t="inlineStr">
        <is>
          <t>10.06</t>
        </is>
      </c>
      <c r="M28" s="32" t="inlineStr">
        <is>
          <t>25</t>
        </is>
      </c>
      <c r="N28" s="33" t="inlineStr">
        <is>
          <t>10.05</t>
        </is>
      </c>
      <c r="O28" s="32" t="inlineStr">
        <is>
          <t>10</t>
        </is>
      </c>
      <c r="P28" s="33" t="n">
        <v>65</v>
      </c>
      <c r="Q28" s="32" t="n">
        <v>0.75</v>
      </c>
      <c r="R28" s="32" t="n">
        <v>0.3</v>
      </c>
      <c r="S28" s="32" t="n">
        <v>1.95</v>
      </c>
    </row>
    <row r="29">
      <c r="A29" s="32" t="inlineStr">
        <is>
          <t>X5461382D</t>
        </is>
      </c>
      <c r="B29" s="32" t="inlineStr">
        <is>
          <t>Driha, Oana Madalina</t>
        </is>
      </c>
      <c r="C29" s="32" t="inlineStr">
        <is>
          <t>FUNCIONARIO</t>
        </is>
      </c>
      <c r="D29" s="32" t="n"/>
      <c r="E29" s="32" t="n"/>
      <c r="F29" s="32" t="n"/>
      <c r="G29" s="32" t="n">
        <v>1</v>
      </c>
      <c r="H29" s="32" t="n"/>
      <c r="I29" s="32" t="n"/>
      <c r="J29" s="32" t="n">
        <v>1</v>
      </c>
      <c r="K29" s="32" t="inlineStr">
        <is>
          <t>B138</t>
        </is>
      </c>
      <c r="L29" s="32" t="inlineStr">
        <is>
          <t>10.06</t>
        </is>
      </c>
      <c r="M29" s="32" t="inlineStr">
        <is>
          <t>50</t>
        </is>
      </c>
      <c r="N29" s="33" t="inlineStr">
        <is>
          <t>10.17</t>
        </is>
      </c>
      <c r="O29" s="32" t="inlineStr">
        <is>
          <t>10</t>
        </is>
      </c>
      <c r="P29" s="33" t="n">
        <v>40</v>
      </c>
      <c r="Q29" s="32" t="n">
        <v>0.5</v>
      </c>
      <c r="R29" s="32" t="n">
        <v>0.1</v>
      </c>
      <c r="S29" s="32" t="n">
        <v>0.4</v>
      </c>
    </row>
    <row r="30">
      <c r="A30" s="10" t="n"/>
      <c r="B30" s="10" t="n"/>
      <c r="C30" s="10" t="n"/>
      <c r="D30" s="10" t="n"/>
      <c r="E30" s="10" t="n"/>
      <c r="F30" s="10" t="n"/>
      <c r="G30" s="10" t="n"/>
      <c r="H30" s="10" t="n"/>
      <c r="I30" s="10" t="n"/>
      <c r="J30" s="10" t="n"/>
      <c r="K30" s="10" t="n"/>
      <c r="L30" s="10" t="n"/>
      <c r="M30" s="10" t="n"/>
      <c r="N30" s="11" t="n"/>
      <c r="O30" s="10" t="n"/>
      <c r="P30" s="11" t="n"/>
      <c r="Q30" s="10" t="n"/>
      <c r="R30" s="10" t="n"/>
      <c r="S30" s="27">
        <f>SUM(S2:S29)</f>
        <v/>
      </c>
    </row>
    <row r="32" customFormat="1" s="12">
      <c r="A32" s="8" t="n"/>
      <c r="B32" s="8" t="n"/>
      <c r="C32" s="8" t="n"/>
      <c r="D32" s="8" t="n"/>
      <c r="E32" s="8" t="n"/>
      <c r="F32" s="8" t="n"/>
      <c r="G32" s="8" t="n"/>
      <c r="H32" s="8" t="n"/>
      <c r="I32" s="8" t="n"/>
      <c r="J32" s="8" t="n"/>
      <c r="K32" s="8" t="n"/>
      <c r="L32" s="8" t="n"/>
      <c r="M32" s="8" t="n"/>
      <c r="N32" s="9" t="n"/>
      <c r="O32" s="8" t="n"/>
      <c r="P32" s="9" t="n"/>
      <c r="Q32" s="8" t="n"/>
      <c r="R32" s="8" t="n"/>
      <c r="S32" s="8" t="n"/>
      <c r="T32" s="8" t="n"/>
    </row>
  </sheetData>
  <pageMargins left="0.3937007874015748" right="0.3937007874015748" top="0.3937007874015748" bottom="0.3937007874015748" header="0.3149606299212598" footer="0.3149606299212598"/>
  <pageSetup orientation="landscape" paperSize="9"/>
</worksheet>
</file>

<file path=xl/worksheets/sheet3.xml><?xml version="1.0" encoding="utf-8"?>
<worksheet xmlns="http://schemas.openxmlformats.org/spreadsheetml/2006/main">
  <sheetPr>
    <outlinePr summaryBelow="1" summaryRight="1"/>
    <pageSetUpPr/>
  </sheetPr>
  <dimension ref="A1:C8"/>
  <sheetViews>
    <sheetView workbookViewId="0">
      <selection activeCell="B12" sqref="B12"/>
    </sheetView>
  </sheetViews>
  <sheetFormatPr baseColWidth="10" defaultRowHeight="15"/>
  <cols>
    <col width="16.28515625" customWidth="1" style="73" min="1" max="1"/>
    <col width="93.28515625" customWidth="1" style="73" min="2" max="2"/>
    <col width="14.85546875" customWidth="1" style="73" min="3" max="3"/>
  </cols>
  <sheetData>
    <row r="1">
      <c r="A1" s="37" t="inlineStr">
        <is>
          <t>Cód. org. aplic.</t>
        </is>
      </c>
      <c r="B1" s="37" t="inlineStr">
        <is>
          <t>Descripción justificante</t>
        </is>
      </c>
      <c r="C1" s="37" t="inlineStr">
        <is>
          <t>Imp.cob.aplic.</t>
        </is>
      </c>
    </row>
    <row r="2">
      <c r="A2" s="28" t="inlineStr">
        <is>
          <t>33.70.6C.00.04</t>
        </is>
      </c>
      <c r="B2" s="28" t="inlineStr">
        <is>
          <t>Actualización y seguimiento de indicadores y creación de al menos 50 nuevas variables de la plataforma INECA DATA BOARD.</t>
        </is>
      </c>
      <c r="C2" s="78" t="n">
        <v>1056</v>
      </c>
    </row>
    <row r="3">
      <c r="A3" s="29" t="inlineStr">
        <is>
          <t>33.70.6C.00.06</t>
        </is>
      </c>
      <c r="B3" s="29" t="inlineStr">
        <is>
          <t>INFORME SOBRE LA EXENCIÓN EN EL IP DE LAS PARTICIPACIONES POSEÍDAS POR UN MATRIMONIO, CON RESIDENCIA FISCAL EN ESPAÑA, DE UNA SOCIEDAD LIMITADA, CON RESIDENCIA FISCAL EN RUSIA.</t>
        </is>
      </c>
      <c r="C3" s="79" t="n">
        <v>7588.93</v>
      </c>
    </row>
    <row r="4">
      <c r="A4" s="28" t="inlineStr">
        <is>
          <t>33.70.6C.00.07</t>
        </is>
      </c>
      <c r="B4" s="28" t="inlineStr">
        <is>
          <t>INFORME SOBRE  LA EXENCIÓN EN EL IP DE LA TENENCIA DE PARTICIPACIONES SOCIALES DE UNA SOCIEDAD HOLDING DOMICILIADA EN RUSIA.</t>
        </is>
      </c>
      <c r="C4" s="78" t="n">
        <v>396</v>
      </c>
    </row>
    <row r="5">
      <c r="A5" s="29" t="inlineStr">
        <is>
          <t>33.70.6C.00.08</t>
        </is>
      </c>
      <c r="B5" s="29" t="inlineStr">
        <is>
          <t>ANÁLISIS DE LOS CRITERIOS ADMINISTRATIVOS Y JURISPRUDENCIALES SOBRE LA TRIBUTACIÓN DE LA ENTIDAD EN DIVERSAS INVERSIONES PRETENDIDAS.</t>
        </is>
      </c>
      <c r="C5" s="79" t="n">
        <v>1188</v>
      </c>
    </row>
    <row r="6">
      <c r="A6" s="38" t="inlineStr">
        <is>
          <t>33.70.6P.00.09</t>
        </is>
      </c>
      <c r="B6" s="38" t="inlineStr">
        <is>
          <t xml:space="preserve">ayudas PID2022  138464NB-142516OB-139990NB-141382OB-137350NB-139899OB--136847NB-137385NB-139294NB-137873NA-138786NB-141712NB-136590OB-139105OB-142356NB-141694NB-136399NB  </t>
        </is>
      </c>
      <c r="C6" s="80" t="n">
        <v>25992</v>
      </c>
    </row>
    <row r="7">
      <c r="A7" s="40" t="inlineStr">
        <is>
          <t>Total</t>
        </is>
      </c>
      <c r="B7" s="40" t="n"/>
      <c r="C7" s="81">
        <f>SUBTOTAL(109,Tabla2[Imp.cob.aplic.])</f>
        <v/>
      </c>
    </row>
    <row r="8">
      <c r="C8" s="82"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9"/>
  <sheetViews>
    <sheetView workbookViewId="0">
      <selection activeCell="B24" sqref="B24"/>
    </sheetView>
  </sheetViews>
  <sheetFormatPr baseColWidth="10" defaultRowHeight="15"/>
  <cols>
    <col width="14.85546875" bestFit="1" customWidth="1" style="73" min="1" max="1"/>
    <col width="101.28515625" customWidth="1" style="73" min="2" max="2"/>
    <col width="13.85546875" bestFit="1" customWidth="1" style="73" min="3" max="3"/>
  </cols>
  <sheetData>
    <row r="1">
      <c r="A1" s="37" t="inlineStr">
        <is>
          <t>Org. aplic.</t>
        </is>
      </c>
      <c r="B1" s="37" t="inlineStr">
        <is>
          <t>Descripción justificante</t>
        </is>
      </c>
      <c r="C1" s="37" t="inlineStr">
        <is>
          <t>Imp. aplic.</t>
        </is>
      </c>
    </row>
    <row r="2" ht="51.75" customHeight="1" s="73">
      <c r="A2" s="28" t="inlineStr">
        <is>
          <t>33.70.6C.00.09</t>
        </is>
      </c>
      <c r="B2" s="42" t="inlineStr">
        <is>
          <t>Prestación de servicios de asesoramiento científico-técnico especializado en la implementación y optimización del chatbot de inteligencia artificial ChatGPT, para mejorar la eficiencia operativa y la experiencia del cliente en el sector hostelería. Se requiere base teórica de la importancia de la inteligencia artificial para el sector y el análisis y propuestas de casos de uso.</t>
        </is>
      </c>
      <c r="C2" s="78" t="n">
        <v>264</v>
      </c>
    </row>
    <row r="3" ht="26.25" customHeight="1" s="73">
      <c r="A3" s="29" t="inlineStr">
        <is>
          <t>33.70.6P.00.09</t>
        </is>
      </c>
      <c r="B3" s="43" t="inlineStr">
        <is>
          <t>PID2022-138464NB-I00-142516OB-I00-139990NB-I00-141382OB-I00-139899OB-I00-136847NB-I00-137385NB-I00-139294NB-I00-137873NA-I00-138786NB-I00-136590OB-C43</t>
        </is>
      </c>
      <c r="C3" s="79" t="n">
        <v>6192</v>
      </c>
    </row>
    <row r="4">
      <c r="A4" s="38" t="inlineStr">
        <is>
          <t>33.70.6P.00.10</t>
        </is>
      </c>
      <c r="B4" s="44" t="inlineStr">
        <is>
          <t xml:space="preserve">AYUDAS UNIECPU/2023/02 </t>
        </is>
      </c>
      <c r="C4" s="80" t="n">
        <v>24500</v>
      </c>
    </row>
    <row r="5">
      <c r="A5" s="35" t="inlineStr">
        <is>
          <t>Total</t>
        </is>
      </c>
      <c r="B5" s="35" t="n"/>
      <c r="C5" s="83">
        <f>SUBTOTAL(109,Tabla3[Imp. aplic.])</f>
        <v/>
      </c>
    </row>
    <row r="6">
      <c r="C6" s="82" t="n"/>
    </row>
    <row r="9">
      <c r="B9" s="71" t="n"/>
      <c r="C9" s="72"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B12" sqref="B12"/>
    </sheetView>
  </sheetViews>
  <sheetFormatPr baseColWidth="10" defaultRowHeight="15"/>
  <cols>
    <col width="18.28515625" customWidth="1" style="73" min="1" max="1"/>
    <col width="54.5703125" customWidth="1" style="73" min="2" max="2"/>
    <col width="26.7109375" customWidth="1" style="73" min="3" max="3"/>
  </cols>
  <sheetData>
    <row r="1">
      <c r="A1" s="60" t="inlineStr">
        <is>
          <t>Org. aplic.</t>
        </is>
      </c>
      <c r="B1" s="61" t="inlineStr">
        <is>
          <t>Descripción justificante</t>
        </is>
      </c>
      <c r="C1" s="61" t="inlineStr">
        <is>
          <t>Imp. aplic.</t>
        </is>
      </c>
    </row>
    <row r="2">
      <c r="A2" s="62" t="inlineStr">
        <is>
          <t>33.70.6C.00.09</t>
        </is>
      </c>
      <c r="B2" s="63" t="inlineStr">
        <is>
          <t>Asesoramiento científico-técnico especializado para la elaboración del informe "Impulsando el crecimiento de España: el papel de las tecnologías, la IA y las multinacionales". Más concretamente, se requerirá asesoramiento para los epígrafes relativos al impacto de la inteligencia artificial en la economía española, la contribución de las empresas multinacionales extranjeras en la transformación tecnológica de la economía española, y la elaboración de un sondeo sobre el impacto de las multinacionales y las nuevas tecnologías de España.</t>
        </is>
      </c>
      <c r="C2" s="84" t="n">
        <v>3256</v>
      </c>
    </row>
    <row r="3">
      <c r="A3" s="65" t="inlineStr">
        <is>
          <t>33.70.6C.00.10</t>
        </is>
      </c>
      <c r="B3" s="66" t="inlineStr">
        <is>
          <t>Elaboración de un informe económico de las compensaciones a favor del Ayuntamiento de El Campello por la ubicación y explotación de las instalaciones de gestión de residuos urbanos sitas en su término municipal.</t>
        </is>
      </c>
      <c r="C3" s="85" t="n">
        <v>6160</v>
      </c>
    </row>
    <row r="4">
      <c r="A4" s="62" t="inlineStr">
        <is>
          <t>33.70.6P.00.09</t>
        </is>
      </c>
      <c r="B4" s="63" t="inlineStr">
        <is>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is>
      </c>
      <c r="C4" s="84" t="n">
        <v>3816</v>
      </c>
    </row>
    <row r="5">
      <c r="A5" s="65" t="inlineStr">
        <is>
          <t>33.70.6P.00.10</t>
        </is>
      </c>
      <c r="B5" s="66" t="inlineStr">
        <is>
          <t xml:space="preserve">Ayuda UNIECPU/2023/02 </t>
        </is>
      </c>
      <c r="C5" s="85" t="n">
        <v>24550</v>
      </c>
    </row>
    <row r="6">
      <c r="A6" s="62" t="inlineStr">
        <is>
          <t>33.70.6P.00.10</t>
        </is>
      </c>
      <c r="B6" s="63" t="inlineStr">
        <is>
          <t xml:space="preserve">Minoración Ayuda UNIECPU/2023/02 </t>
        </is>
      </c>
      <c r="C6" s="84" t="n">
        <v>-50</v>
      </c>
    </row>
    <row r="7" ht="15.75" customHeight="1" s="73" thickBot="1">
      <c r="A7" s="65" t="inlineStr">
        <is>
          <t>33.70.6P.00.10</t>
        </is>
      </c>
      <c r="B7" s="66" t="inlineStr">
        <is>
          <t xml:space="preserve">Minoración AYUDAS UNIECPU/2023/02 </t>
        </is>
      </c>
      <c r="C7" s="85" t="n">
        <v>-6125</v>
      </c>
    </row>
    <row r="8" ht="15.75" customHeight="1" s="73" thickTop="1">
      <c r="A8" s="68" t="inlineStr">
        <is>
          <t>Total</t>
        </is>
      </c>
      <c r="B8" s="69" t="n"/>
      <c r="C8" s="86" t="n">
        <v>31607</v>
      </c>
    </row>
    <row r="11">
      <c r="B11" s="74" t="inlineStr">
        <is>
          <t>Total ingresos investigación 2023-25</t>
        </is>
      </c>
      <c r="C11" s="75">
        <f>+Tabla3[[#Totals],[Imp. aplic.]]+Tabla2[[#Totals],[Imp.cob.aplic.]]+C8</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5"/>
  <sheetViews>
    <sheetView workbookViewId="0">
      <selection activeCell="B3" sqref="B3"/>
    </sheetView>
  </sheetViews>
  <sheetFormatPr baseColWidth="10" defaultRowHeight="15"/>
  <cols>
    <col width="16.28515625" customWidth="1" style="73" min="1" max="1"/>
    <col width="79.140625" bestFit="1" customWidth="1" style="73" min="2" max="2"/>
    <col width="14.85546875" customWidth="1" style="73" min="3" max="3"/>
  </cols>
  <sheetData>
    <row r="1">
      <c r="A1" s="37" t="inlineStr">
        <is>
          <t>Cód. org. aplic.</t>
        </is>
      </c>
      <c r="B1" s="37" t="inlineStr">
        <is>
          <t>Descripción justificante</t>
        </is>
      </c>
      <c r="C1" s="37" t="inlineStr">
        <is>
          <t>Imp.cob.aplic.</t>
        </is>
      </c>
    </row>
    <row r="2">
      <c r="A2" s="28" t="inlineStr">
        <is>
          <t>33.70.2T.00.03</t>
        </is>
      </c>
      <c r="B2" s="28" t="inlineStr">
        <is>
          <t>Marco Antonio Orozco Boria. MÁSTER DE FORMACIÓN PERMANENTE EN TRIBUTACIÓN</t>
        </is>
      </c>
      <c r="C2" s="78" t="n">
        <v>2361.97</v>
      </c>
    </row>
    <row r="3">
      <c r="A3" s="45" t="inlineStr">
        <is>
          <t>33.70.2T.00.03</t>
        </is>
      </c>
      <c r="B3" s="45" t="inlineStr">
        <is>
          <t>Ana Segarra Valera. MÁSTER DE FORMACIÓN PERMANENTE EN TRIBUTACIÓN</t>
        </is>
      </c>
      <c r="C3" s="87" t="n">
        <v>4683.65</v>
      </c>
    </row>
    <row r="4">
      <c r="A4" s="35" t="inlineStr">
        <is>
          <t>Total</t>
        </is>
      </c>
      <c r="B4" s="35" t="n"/>
      <c r="C4" s="83">
        <f>SUBTOTAL(109,Tabla4[Imp.cob.aplic.])</f>
        <v/>
      </c>
    </row>
    <row r="5">
      <c r="C5" s="82"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4"/>
  <sheetViews>
    <sheetView workbookViewId="0">
      <selection activeCell="B6" sqref="B6:C6"/>
    </sheetView>
  </sheetViews>
  <sheetFormatPr baseColWidth="10" defaultRowHeight="15"/>
  <cols>
    <col width="16.28515625" customWidth="1" style="73" min="1" max="1"/>
    <col width="79.140625" bestFit="1" customWidth="1" style="73" min="2" max="2"/>
    <col width="14.85546875" customWidth="1" style="73" min="3" max="3"/>
  </cols>
  <sheetData>
    <row r="1">
      <c r="A1" s="37" t="inlineStr">
        <is>
          <t>Cód. org. aplic.</t>
        </is>
      </c>
      <c r="B1" s="37" t="inlineStr">
        <is>
          <t>Descripción justificante</t>
        </is>
      </c>
      <c r="C1" s="37" t="inlineStr">
        <is>
          <t>Imp.cob.aplic.</t>
        </is>
      </c>
    </row>
    <row r="2">
      <c r="A2" s="38" t="inlineStr">
        <is>
          <t>33.70.2T.00.03</t>
        </is>
      </c>
      <c r="B2" s="38" t="inlineStr">
        <is>
          <t>Marco Antonio Orozco Boria, Máster de Formación Permanente en Tributación, recibo nº 2023427960154</t>
        </is>
      </c>
      <c r="C2" s="80" t="n">
        <v>2325</v>
      </c>
    </row>
    <row r="3">
      <c r="A3" s="40" t="inlineStr">
        <is>
          <t>Total</t>
        </is>
      </c>
      <c r="B3" s="40" t="n"/>
      <c r="C3" s="88">
        <f>SUBTOTAL(109,Tabla5[Imp.cob.aplic.])</f>
        <v/>
      </c>
    </row>
    <row r="4">
      <c r="C4" s="82" t="n"/>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7"/>
  <sheetViews>
    <sheetView tabSelected="1" workbookViewId="0">
      <selection activeCell="C8" sqref="C8"/>
    </sheetView>
  </sheetViews>
  <sheetFormatPr baseColWidth="10" defaultRowHeight="15"/>
  <cols>
    <col width="17.85546875" customWidth="1" style="73" min="1" max="1"/>
    <col width="55.140625" customWidth="1" style="73" min="2" max="2"/>
    <col width="19.7109375" customWidth="1" style="73" min="3" max="3"/>
  </cols>
  <sheetData>
    <row r="1">
      <c r="A1" s="60" t="inlineStr">
        <is>
          <t>Org. aplic.</t>
        </is>
      </c>
      <c r="B1" s="61" t="inlineStr">
        <is>
          <t>Descripción justificante</t>
        </is>
      </c>
      <c r="C1" s="89" t="inlineStr">
        <is>
          <t>Imp. aplic.</t>
        </is>
      </c>
    </row>
    <row r="2">
      <c r="A2" s="62" t="inlineStr">
        <is>
          <t>10.91.2T.01.81</t>
        </is>
      </c>
      <c r="B2" s="63" t="inlineStr">
        <is>
          <t>CÓD: GN23. MICROCREDENCIAL. GN23. Diseño gráfico y preimpresión: habilidades clave para el empleo digital (dirigido para personas con neae) (NEXTG)</t>
        </is>
      </c>
      <c r="C2" s="84" t="n">
        <v>1086.3</v>
      </c>
    </row>
    <row r="3" ht="15.75" customHeight="1" s="73" thickBot="1">
      <c r="A3" s="65" t="inlineStr">
        <is>
          <t>10.91.2T.01.82</t>
        </is>
      </c>
      <c r="B3" s="66" t="inlineStr">
        <is>
          <t xml:space="preserve">LIQ-TitProp_GN23-N Curso_2025-26 AñoCont_2025 - DISEÑO GRÁFICO Y PREIMPRESIÓN: HABILID CLAVE PARA EL EMPLEO DIGITAL (NEAE) </t>
        </is>
      </c>
      <c r="C3" s="85" t="n">
        <v>902.7</v>
      </c>
    </row>
    <row r="4" ht="15.75" customHeight="1" s="73" thickTop="1">
      <c r="A4" s="68" t="inlineStr">
        <is>
          <t>Total</t>
        </is>
      </c>
      <c r="B4" s="69" t="n"/>
      <c r="C4" s="90" t="n">
        <v>1989</v>
      </c>
    </row>
    <row r="7">
      <c r="B7" s="46" t="inlineStr">
        <is>
          <t>Total ingresos formación 2023-25</t>
        </is>
      </c>
      <c r="C7" s="47">
        <f>+Tabla5[[#Totals],[Imp.cob.aplic.]]+Tabla4[[#Totals],[Imp.cob.aplic.]]+C4</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dtint@ua.es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2026-05-28T21:59:22Z</dcterms:modified>
  <cp:lastModifiedBy>mayte.pujalte</cp:lastModifiedBy>
</cp:coreProperties>
</file>