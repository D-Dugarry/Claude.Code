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3.xml" ContentType="application/vnd.openxmlformats-officedocument.spreadsheetml.table+xml"/>
  <Override PartName="/xl/worksheets/sheet7.xml" ContentType="application/vnd.openxmlformats-officedocument.spreadsheetml.worksheet+xml"/>
  <Override PartName="/xl/tables/table4.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3" activeTab="7" autoFilterDateGrouping="1"/>
  </bookViews>
  <sheets>
    <sheet name="Tesis" sheetId="1" state="visible" r:id="rId1"/>
    <sheet name="Sexenios" sheetId="2" state="visible" r:id="rId2"/>
    <sheet name="Ingresos investigación 2023" sheetId="3" state="visible" r:id="rId3"/>
    <sheet name="Ingresos investigación 2024" sheetId="4" state="visible" r:id="rId4"/>
    <sheet name="Ingresos investigación 2025" sheetId="5" state="visible" r:id="rId5"/>
    <sheet name="Ingresos docencia 2023" sheetId="6" state="visible" r:id="rId6"/>
    <sheet name="Ingresos docencia 2024" sheetId="7" state="visible" r:id="rId7"/>
    <sheet name="Ingresos docencia 2025" sheetId="8" state="visible" r:id="rId8"/>
    <sheet name="Correo" sheetId="9" state="veryHidden" r:id="rId9"/>
  </sheets>
  <definedNames>
    <definedName name="_xlnm._FilterDatabase" localSheetId="0" hidden="1">'Tesis'!$A$1:$U$1</definedName>
    <definedName name="_xlnm.Print_Titles" localSheetId="0">'Tesis'!$1:$1,'Tesis'!$D:$D</definedName>
  </definedNames>
  <calcPr calcId="191029" fullCalcOnLoad="1"/>
</workbook>
</file>

<file path=xl/styles.xml><?xml version="1.0" encoding="utf-8"?>
<styleSheet xmlns="http://schemas.openxmlformats.org/spreadsheetml/2006/main">
  <numFmts count="4">
    <numFmt numFmtId="164" formatCode="#,##0.0"/>
    <numFmt numFmtId="165" formatCode="0.0"/>
    <numFmt numFmtId="166" formatCode="_-* #,##0.00_-;\-* #,##0.00_-;_-* &quot;-&quot;??_-;_-@_-"/>
    <numFmt numFmtId="167" formatCode="_-* #,##0.00\ _€_-;\-* #,##0.00\ _€_-;_-* &quot;-&quot;??\ _€_-;_-@_-"/>
  </numFmts>
  <fonts count="21">
    <font>
      <name val="Calibri"/>
      <family val="2"/>
      <color theme="1"/>
      <sz val="11"/>
      <scheme val="minor"/>
    </font>
    <font>
      <name val="Arial"/>
      <family val="2"/>
      <color theme="1"/>
      <sz val="8"/>
    </font>
    <font>
      <name val="Arial"/>
      <family val="2"/>
      <sz val="8"/>
    </font>
    <font>
      <name val="Arial"/>
      <family val="2"/>
      <b val="1"/>
      <sz val="8"/>
    </font>
    <font>
      <name val="Arial"/>
      <family val="2"/>
      <b val="1"/>
      <color indexed="8"/>
      <sz val="8"/>
    </font>
    <font>
      <name val="Arial"/>
      <family val="2"/>
      <color indexed="8"/>
      <sz val="10"/>
    </font>
    <font>
      <name val="Arial"/>
      <family val="2"/>
      <sz val="10"/>
    </font>
    <font>
      <name val="Arial"/>
      <family val="2"/>
      <b val="1"/>
      <color indexed="8"/>
      <sz val="10"/>
    </font>
    <font>
      <name val="Arial"/>
      <family val="2"/>
      <b val="1"/>
      <sz val="10"/>
    </font>
    <font>
      <name val="Arial"/>
      <family val="2"/>
      <color theme="1"/>
      <sz val="10"/>
    </font>
    <font>
      <name val="Arial"/>
      <family val="2"/>
      <color rgb="FF000000"/>
      <sz val="8"/>
    </font>
    <font>
      <name val="Calibri"/>
      <family val="2"/>
      <color theme="1"/>
      <sz val="11"/>
      <scheme val="minor"/>
    </font>
    <font>
      <name val="Calibri"/>
      <family val="2"/>
      <color theme="10"/>
      <sz val="11"/>
      <u val="single"/>
      <scheme val="minor"/>
    </font>
    <font>
      <name val="Arial"/>
      <family val="2"/>
      <b val="1"/>
      <color rgb="FFFF0000"/>
      <sz val="8"/>
      <u val="single"/>
    </font>
    <font>
      <name val="Arial"/>
      <family val="2"/>
      <b val="1"/>
      <color theme="0"/>
      <sz val="10"/>
    </font>
    <font>
      <name val="Arial"/>
      <family val="2"/>
      <color theme="1"/>
      <sz val="10"/>
    </font>
    <font>
      <name val="Calibri"/>
      <family val="2"/>
      <b val="1"/>
      <color theme="1"/>
      <sz val="11"/>
      <scheme val="minor"/>
    </font>
    <font>
      <name val="Calibri"/>
      <family val="2"/>
      <b val="1"/>
      <color theme="0"/>
      <sz val="11"/>
      <scheme val="minor"/>
    </font>
    <font>
      <name val="Arial"/>
      <b val="1"/>
      <color theme="0"/>
      <sz val="10"/>
    </font>
    <font>
      <name val="Arial"/>
      <color theme="1"/>
      <sz val="10"/>
    </font>
    <font>
      <name val="Arial"/>
      <b val="1"/>
      <color theme="1"/>
      <sz val="10"/>
    </font>
  </fonts>
  <fills count="14">
    <fill>
      <patternFill/>
    </fill>
    <fill>
      <patternFill patternType="gray125"/>
    </fill>
    <fill>
      <patternFill patternType="solid">
        <fgColor theme="0" tint="-0.249977111117893"/>
        <bgColor indexed="64"/>
      </patternFill>
    </fill>
    <fill>
      <patternFill patternType="solid">
        <fgColor indexed="22"/>
        <bgColor indexed="64"/>
      </patternFill>
    </fill>
    <fill>
      <patternFill patternType="solid">
        <fgColor indexed="9"/>
        <bgColor indexed="64"/>
      </patternFill>
    </fill>
    <fill>
      <patternFill patternType="solid">
        <fgColor theme="9" tint="0.3999755851924192"/>
        <bgColor indexed="64"/>
      </patternFill>
    </fill>
    <fill>
      <patternFill patternType="solid">
        <fgColor rgb="FFFFFFFF"/>
        <bgColor indexed="64"/>
      </patternFill>
    </fill>
    <fill>
      <patternFill patternType="solid">
        <fgColor theme="9"/>
        <bgColor theme="9"/>
      </patternFill>
    </fill>
    <fill>
      <patternFill patternType="solid">
        <fgColor theme="9" tint="0.7999816888943144"/>
        <bgColor theme="9" tint="0.7999816888943144"/>
      </patternFill>
    </fill>
    <fill>
      <patternFill patternType="solid">
        <fgColor theme="0" tint="-0.3499862666707358"/>
        <bgColor indexed="64"/>
      </patternFill>
    </fill>
    <fill>
      <patternFill patternType="solid">
        <fgColor theme="0"/>
        <bgColor theme="9" tint="0.7999816888943144"/>
      </patternFill>
    </fill>
    <fill>
      <patternFill patternType="solid">
        <fgColor theme="0"/>
        <bgColor indexed="64"/>
      </patternFill>
    </fill>
    <fill>
      <patternFill patternType="solid">
        <fgColor theme="4"/>
        <bgColor theme="4"/>
      </patternFill>
    </fill>
    <fill>
      <patternFill patternType="solid">
        <fgColor theme="4" tint="0.7999816888943144"/>
        <bgColor theme="4" tint="0.799981688894314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theme="1"/>
      </left>
      <right style="thin">
        <color theme="1"/>
      </right>
      <top style="thin">
        <color theme="1"/>
      </top>
      <bottom style="thin">
        <color theme="1"/>
      </bottom>
      <diagonal/>
    </border>
    <border>
      <left/>
      <right style="medium">
        <color rgb="FF878787"/>
      </right>
      <top style="medium">
        <color rgb="FF878787"/>
      </top>
      <bottom style="medium">
        <color rgb="FF878787"/>
      </bottom>
      <diagonal/>
    </border>
    <border>
      <left style="medium">
        <color rgb="FF878787"/>
      </left>
      <right style="medium">
        <color rgb="FF878787"/>
      </right>
      <top style="medium">
        <color rgb="FF878787"/>
      </top>
      <bottom style="medium">
        <color rgb="FF878787"/>
      </bottom>
      <diagonal/>
    </border>
    <border>
      <left style="medium">
        <color rgb="FF878787"/>
      </left>
      <right/>
      <top style="medium">
        <color rgb="FF878787"/>
      </top>
      <bottom style="medium">
        <color rgb="FF878787"/>
      </bottom>
      <diagonal/>
    </border>
    <border>
      <left/>
      <right/>
      <top style="thin">
        <color theme="9" tint="0.3999755851924192"/>
      </top>
      <bottom style="thin">
        <color theme="9" tint="0.3999755851924192"/>
      </bottom>
      <diagonal/>
    </border>
    <border>
      <left/>
      <right/>
      <top/>
      <bottom style="thin">
        <color theme="9" tint="0.3999755851924192"/>
      </bottom>
      <diagonal/>
    </border>
    <border>
      <left/>
      <right/>
      <top style="thin">
        <color theme="9" tint="0.3999755851924192"/>
      </top>
      <bottom/>
      <diagonal/>
    </border>
    <border>
      <left style="thin">
        <color theme="4" tint="0.3999755851924192"/>
      </left>
      <right/>
      <top style="thin">
        <color theme="4" tint="0.3999755851924192"/>
      </top>
      <bottom style="thin">
        <color theme="4" tint="0.3999755851924192"/>
      </bottom>
      <diagonal/>
    </border>
    <border>
      <left/>
      <right/>
      <top style="thin">
        <color theme="4" tint="0.3999755851924192"/>
      </top>
      <bottom style="thin">
        <color theme="4" tint="0.3999755851924192"/>
      </bottom>
      <diagonal/>
    </border>
    <border>
      <left style="thin">
        <color theme="4" tint="0.3999755851924192"/>
      </left>
      <right/>
      <top style="double">
        <color theme="4"/>
      </top>
      <bottom style="thin">
        <color theme="4" tint="0.3999755851924192"/>
      </bottom>
      <diagonal/>
    </border>
    <border>
      <left/>
      <right/>
      <top style="double">
        <color theme="4"/>
      </top>
      <bottom style="thin">
        <color theme="4" tint="0.3999755851924192"/>
      </bottom>
      <diagonal/>
    </border>
  </borders>
  <cellStyleXfs count="8">
    <xf numFmtId="0" fontId="11" fillId="0" borderId="0"/>
    <xf numFmtId="0" fontId="2" fillId="0" borderId="0"/>
    <xf numFmtId="0" fontId="5" fillId="0" borderId="0"/>
    <xf numFmtId="0" fontId="5" fillId="0" borderId="0"/>
    <xf numFmtId="0" fontId="6" fillId="0" borderId="0"/>
    <xf numFmtId="0" fontId="1" fillId="0" borderId="0"/>
    <xf numFmtId="167" fontId="11" fillId="0" borderId="0"/>
    <xf numFmtId="0" fontId="12" fillId="0" borderId="0"/>
  </cellStyleXfs>
  <cellXfs count="90">
    <xf numFmtId="0" fontId="0" fillId="0" borderId="0" pivotButton="0" quotePrefix="0" xfId="0"/>
    <xf numFmtId="0" fontId="3" fillId="3" borderId="1" applyAlignment="1" pivotButton="0" quotePrefix="0" xfId="1">
      <alignment horizontal="center"/>
    </xf>
    <xf numFmtId="0" fontId="4" fillId="3" borderId="1" applyAlignment="1" pivotButton="0" quotePrefix="0" xfId="1">
      <alignment horizontal="center"/>
    </xf>
    <xf numFmtId="0" fontId="4" fillId="3" borderId="1" applyAlignment="1" pivotButton="0" quotePrefix="0" xfId="2">
      <alignment horizontal="center"/>
    </xf>
    <xf numFmtId="0" fontId="4" fillId="3" borderId="1" applyAlignment="1" pivotButton="0" quotePrefix="0" xfId="3">
      <alignment horizontal="center" wrapText="1"/>
    </xf>
    <xf numFmtId="0" fontId="4" fillId="3" borderId="1" applyAlignment="1" pivotButton="0" quotePrefix="0" xfId="3">
      <alignment horizontal="right" wrapText="1"/>
    </xf>
    <xf numFmtId="0" fontId="2" fillId="4" borderId="0" pivotButton="0" quotePrefix="0" xfId="1"/>
    <xf numFmtId="0" fontId="2" fillId="4" borderId="0" applyAlignment="1" pivotButton="0" quotePrefix="0" xfId="1">
      <alignment horizontal="right"/>
    </xf>
    <xf numFmtId="0" fontId="8" fillId="5" borderId="1" applyAlignment="1" pivotButton="0" quotePrefix="0" xfId="3">
      <alignment horizontal="center" textRotation="90" wrapText="1"/>
    </xf>
    <xf numFmtId="0" fontId="8" fillId="3" borderId="1" applyAlignment="1" pivotButton="0" quotePrefix="0" xfId="3">
      <alignment horizontal="center" textRotation="90" wrapText="1"/>
    </xf>
    <xf numFmtId="0" fontId="5" fillId="0" borderId="0" pivotButton="0" quotePrefix="0" xfId="5"/>
    <xf numFmtId="0" fontId="9" fillId="0" borderId="0" pivotButton="0" quotePrefix="0" xfId="5"/>
    <xf numFmtId="0" fontId="9" fillId="0" borderId="0" applyAlignment="1" pivotButton="0" quotePrefix="0" xfId="5">
      <alignment horizontal="right"/>
    </xf>
    <xf numFmtId="0" fontId="7" fillId="2" borderId="1" pivotButton="0" quotePrefix="0" xfId="0"/>
    <xf numFmtId="0" fontId="7" fillId="2" borderId="1" applyAlignment="1" pivotButton="0" quotePrefix="0" xfId="0">
      <alignment textRotation="90"/>
    </xf>
    <xf numFmtId="0" fontId="2" fillId="4" borderId="1" pivotButton="0" quotePrefix="0" xfId="1"/>
    <xf numFmtId="0" fontId="2" fillId="4" borderId="2" pivotButton="0" quotePrefix="0" xfId="1"/>
    <xf numFmtId="0" fontId="10" fillId="6" borderId="1" applyAlignment="1" pivotButton="0" quotePrefix="0" xfId="0">
      <alignment horizontal="left" vertical="center"/>
    </xf>
    <xf numFmtId="0" fontId="10" fillId="6" borderId="3" applyAlignment="1" pivotButton="0" quotePrefix="0" xfId="0">
      <alignment horizontal="left" vertical="center"/>
    </xf>
    <xf numFmtId="0" fontId="10" fillId="6" borderId="4" applyAlignment="1" pivotButton="0" quotePrefix="0" xfId="0">
      <alignment horizontal="left" vertical="center"/>
    </xf>
    <xf numFmtId="0" fontId="10" fillId="6" borderId="5" applyAlignment="1" pivotButton="0" quotePrefix="0" xfId="0">
      <alignment horizontal="left" vertical="center"/>
    </xf>
    <xf numFmtId="0" fontId="2" fillId="4" borderId="1" applyAlignment="1" pivotButton="0" quotePrefix="0" xfId="1">
      <alignment horizontal="right"/>
    </xf>
    <xf numFmtId="164" fontId="2" fillId="4" borderId="2" pivotButton="0" quotePrefix="0" xfId="1"/>
    <xf numFmtId="0" fontId="2" fillId="4" borderId="2" applyAlignment="1" pivotButton="0" quotePrefix="0" xfId="1">
      <alignment horizontal="right"/>
    </xf>
    <xf numFmtId="1" fontId="2" fillId="4" borderId="2" pivotButton="0" quotePrefix="0" xfId="1"/>
    <xf numFmtId="165" fontId="2" fillId="4" borderId="2" pivotButton="0" quotePrefix="0" xfId="1"/>
    <xf numFmtId="0" fontId="2" fillId="0" borderId="1" pivotButton="0" quotePrefix="0" xfId="1"/>
    <xf numFmtId="0" fontId="8" fillId="3" borderId="1" applyAlignment="1" pivotButton="0" quotePrefix="0" xfId="3">
      <alignment horizontal="center" wrapText="1"/>
    </xf>
    <xf numFmtId="166" fontId="0" fillId="8" borderId="6" pivotButton="0" quotePrefix="0" xfId="6"/>
    <xf numFmtId="166" fontId="0" fillId="0" borderId="6" pivotButton="0" quotePrefix="0" xfId="6"/>
    <xf numFmtId="0" fontId="13" fillId="4" borderId="0" applyAlignment="1" pivotButton="0" quotePrefix="0" xfId="7">
      <alignment horizontal="center"/>
    </xf>
    <xf numFmtId="0" fontId="2" fillId="0" borderId="1" pivotButton="0" quotePrefix="0" xfId="0"/>
    <xf numFmtId="0" fontId="2" fillId="2" borderId="0" pivotButton="0" quotePrefix="0" xfId="1"/>
    <xf numFmtId="0" fontId="2" fillId="2" borderId="0" applyAlignment="1" pivotButton="0" quotePrefix="0" xfId="1">
      <alignment horizontal="right"/>
    </xf>
    <xf numFmtId="165" fontId="2" fillId="2" borderId="0" pivotButton="0" quotePrefix="0" xfId="1"/>
    <xf numFmtId="0" fontId="15" fillId="8" borderId="6" pivotButton="0" quotePrefix="0" xfId="0"/>
    <xf numFmtId="0" fontId="15" fillId="0" borderId="6" pivotButton="0" quotePrefix="0" xfId="0"/>
    <xf numFmtId="166" fontId="0" fillId="0" borderId="0" pivotButton="0" quotePrefix="0" xfId="0"/>
    <xf numFmtId="0" fontId="0" fillId="0" borderId="1" pivotButton="0" quotePrefix="0" xfId="0"/>
    <xf numFmtId="0" fontId="0" fillId="0" borderId="1" applyAlignment="1" pivotButton="0" quotePrefix="0" xfId="0">
      <alignment horizontal="center"/>
    </xf>
    <xf numFmtId="0" fontId="0" fillId="0" borderId="1" applyAlignment="1" pivotButton="0" quotePrefix="0" xfId="0">
      <alignment horizontal="left"/>
    </xf>
    <xf numFmtId="0" fontId="0" fillId="9" borderId="0" pivotButton="0" quotePrefix="0" xfId="0"/>
    <xf numFmtId="0" fontId="0" fillId="9" borderId="0" applyAlignment="1" pivotButton="0" quotePrefix="0" xfId="0">
      <alignment horizontal="left"/>
    </xf>
    <xf numFmtId="0" fontId="16" fillId="9" borderId="0" pivotButton="0" quotePrefix="0" xfId="0"/>
    <xf numFmtId="165" fontId="3" fillId="2" borderId="0" pivotButton="0" quotePrefix="0" xfId="1"/>
    <xf numFmtId="166" fontId="0" fillId="8" borderId="8" pivotButton="0" quotePrefix="0" xfId="6"/>
    <xf numFmtId="0" fontId="0" fillId="0" borderId="8" pivotButton="0" quotePrefix="0" xfId="0"/>
    <xf numFmtId="0" fontId="9" fillId="10" borderId="8" pivotButton="0" quotePrefix="0" xfId="0"/>
    <xf numFmtId="166" fontId="11" fillId="10" borderId="8" pivotButton="0" quotePrefix="0" xfId="0"/>
    <xf numFmtId="0" fontId="0" fillId="11" borderId="0" pivotButton="0" quotePrefix="0" xfId="0"/>
    <xf numFmtId="0" fontId="14" fillId="7" borderId="7" pivotButton="0" quotePrefix="0" xfId="0"/>
    <xf numFmtId="0" fontId="15" fillId="8" borderId="8" pivotButton="0" quotePrefix="0" xfId="0"/>
    <xf numFmtId="0" fontId="0" fillId="8" borderId="6" pivotButton="0" quotePrefix="0" xfId="0"/>
    <xf numFmtId="0" fontId="0" fillId="0" borderId="6" pivotButton="0" quotePrefix="0" xfId="0"/>
    <xf numFmtId="0" fontId="17" fillId="7" borderId="7" pivotButton="0" quotePrefix="0" xfId="0"/>
    <xf numFmtId="166" fontId="17" fillId="7" borderId="7" pivotButton="0" quotePrefix="0" xfId="6"/>
    <xf numFmtId="0" fontId="0" fillId="8" borderId="8" pivotButton="0" quotePrefix="0" xfId="0"/>
    <xf numFmtId="0" fontId="0" fillId="10" borderId="8" pivotButton="0" quotePrefix="0" xfId="0"/>
    <xf numFmtId="166" fontId="0" fillId="0" borderId="8" pivotButton="0" quotePrefix="0" xfId="6"/>
    <xf numFmtId="166" fontId="11" fillId="0" borderId="8" pivotButton="0" quotePrefix="0" xfId="0"/>
    <xf numFmtId="0" fontId="18" fillId="12" borderId="9" pivotButton="0" quotePrefix="0" xfId="0"/>
    <xf numFmtId="0" fontId="18" fillId="12" borderId="10" pivotButton="0" quotePrefix="0" xfId="0"/>
    <xf numFmtId="0" fontId="19" fillId="13" borderId="9" pivotButton="0" quotePrefix="0" xfId="0"/>
    <xf numFmtId="0" fontId="19" fillId="13" borderId="10" pivotButton="0" quotePrefix="0" xfId="0"/>
    <xf numFmtId="167" fontId="19" fillId="13" borderId="10" pivotButton="0" quotePrefix="0" xfId="6"/>
    <xf numFmtId="0" fontId="19" fillId="0" borderId="9" pivotButton="0" quotePrefix="0" xfId="0"/>
    <xf numFmtId="0" fontId="19" fillId="0" borderId="10" pivotButton="0" quotePrefix="0" xfId="0"/>
    <xf numFmtId="167" fontId="19" fillId="0" borderId="10" pivotButton="0" quotePrefix="0" xfId="6"/>
    <xf numFmtId="0" fontId="20" fillId="0" borderId="11" pivotButton="0" quotePrefix="0" xfId="0"/>
    <xf numFmtId="0" fontId="20" fillId="0" borderId="12" pivotButton="0" quotePrefix="0" xfId="0"/>
    <xf numFmtId="167" fontId="20" fillId="0" borderId="12" pivotButton="0" quotePrefix="0" xfId="6"/>
    <xf numFmtId="0" fontId="16" fillId="0" borderId="1" pivotButton="0" quotePrefix="0" xfId="0"/>
    <xf numFmtId="166" fontId="16" fillId="0" borderId="1" pivotButton="0" quotePrefix="0" xfId="0"/>
    <xf numFmtId="167" fontId="18" fillId="12" borderId="10" pivotButton="0" quotePrefix="0" xfId="6"/>
    <xf numFmtId="167" fontId="20" fillId="0" borderId="12" pivotButton="0" quotePrefix="0" xfId="0"/>
    <xf numFmtId="164" fontId="2" fillId="4" borderId="2" pivotButton="0" quotePrefix="0" xfId="1"/>
    <xf numFmtId="166" fontId="0" fillId="8" borderId="6" pivotButton="0" quotePrefix="0" xfId="6"/>
    <xf numFmtId="166" fontId="0" fillId="0" borderId="6" pivotButton="0" quotePrefix="0" xfId="6"/>
    <xf numFmtId="166" fontId="0" fillId="8" borderId="8" pivotButton="0" quotePrefix="0" xfId="6"/>
    <xf numFmtId="166" fontId="11" fillId="10" borderId="8" pivotButton="0" quotePrefix="0" xfId="0"/>
    <xf numFmtId="166" fontId="0" fillId="0" borderId="0" pivotButton="0" quotePrefix="0" xfId="0"/>
    <xf numFmtId="166" fontId="17" fillId="7" borderId="7" pivotButton="0" quotePrefix="0" xfId="6"/>
    <xf numFmtId="167" fontId="19" fillId="13" borderId="10" pivotButton="0" quotePrefix="0" xfId="6"/>
    <xf numFmtId="167" fontId="19" fillId="0" borderId="10" pivotButton="0" quotePrefix="0" xfId="6"/>
    <xf numFmtId="167" fontId="20" fillId="0" borderId="12" pivotButton="0" quotePrefix="0" xfId="6"/>
    <xf numFmtId="166" fontId="16" fillId="0" borderId="1" pivotButton="0" quotePrefix="0" xfId="0"/>
    <xf numFmtId="166" fontId="0" fillId="0" borderId="8" pivotButton="0" quotePrefix="0" xfId="6"/>
    <xf numFmtId="166" fontId="11" fillId="0" borderId="8" pivotButton="0" quotePrefix="0" xfId="0"/>
    <xf numFmtId="167" fontId="18" fillId="12" borderId="10" pivotButton="0" quotePrefix="0" xfId="6"/>
    <xf numFmtId="167" fontId="20" fillId="0" borderId="12" pivotButton="0" quotePrefix="0" xfId="0"/>
  </cellXfs>
  <cellStyles count="8">
    <cellStyle name="Normal" xfId="0" builtinId="0"/>
    <cellStyle name="Normal_Ind.2010" xfId="1"/>
    <cellStyle name="Normal_Becas 14_9_2005" xfId="2"/>
    <cellStyle name="Normal_PDI por Centro" xfId="3"/>
    <cellStyle name="Normal 2" xfId="4"/>
    <cellStyle name="Normal 3" xfId="5"/>
    <cellStyle name="Millares" xfId="6" builtinId="3"/>
    <cellStyle name="Hipervínculo" xfId="7" builtinId="8"/>
  </cellStyles>
  <dxfs count="42">
    <dxf>
      <font>
        <name val="Calibri"/>
        <family val="2"/>
        <strike val="0"/>
        <outline val="0"/>
        <shadow val="0"/>
        <condense val="0"/>
        <color theme="1"/>
        <extend val="0"/>
        <sz val="11"/>
        <vertAlign val="baseline"/>
        <scheme val="minor"/>
      </font>
      <border outline="0">
        <left/>
        <right/>
        <top/>
        <bottom/>
      </border>
    </dxf>
    <dxf>
      <font>
        <name val="Calibri"/>
        <family val="2"/>
        <strike val="0"/>
        <outline val="0"/>
        <shadow val="0"/>
        <condense val="0"/>
        <color theme="1"/>
        <extend val="0"/>
        <sz val="11"/>
        <vertAlign val="baseline"/>
        <scheme val="minor"/>
      </font>
      <numFmt numFmtId="35" formatCode="_-* #,##0.00_-;\-* #,##0.00_-;_-* &quot;-&quot;??_-;_-@_-"/>
      <border>
        <left/>
        <right/>
        <top style="thin">
          <color theme="9" tint="0.3999755851924192"/>
        </top>
        <bottom style="thin">
          <color theme="9" tint="0.3999755851924192"/>
        </bottom>
        <vertical/>
        <horizontal/>
      </border>
    </dxf>
    <dxf>
      <border outline="0">
        <left/>
        <right/>
        <top/>
        <bottom/>
      </border>
    </dxf>
    <dxf>
      <border>
        <left/>
        <right/>
        <top style="thin">
          <color theme="9" tint="0.3999755851924192"/>
        </top>
        <bottom style="thin">
          <color theme="9" tint="0.3999755851924192"/>
        </bottom>
        <vertical/>
        <horizontal/>
      </border>
    </dxf>
    <dxf>
      <border outline="0">
        <left/>
        <right/>
        <top/>
        <bottom/>
      </border>
    </dxf>
    <dxf>
      <border>
        <left/>
        <right/>
        <top style="thin">
          <color theme="9" tint="0.3999755851924192"/>
        </top>
        <bottom style="thin">
          <color theme="9" tint="0.3999755851924192"/>
        </bottom>
        <vertical/>
        <horizontal/>
      </border>
    </dxf>
    <dxf>
      <border outline="0">
        <top style="thin">
          <color theme="9" tint="0.3999755851924192"/>
        </top>
      </border>
    </dxf>
    <dxf>
      <border outline="0">
        <left style="thin">
          <color theme="9" tint="0.3999755851924192"/>
        </left>
        <top style="thin">
          <color theme="9" tint="0.3999755851924192"/>
        </top>
        <bottom style="thin">
          <color theme="9" tint="0.3999755851924192"/>
        </bottom>
      </border>
    </dxf>
    <dxf>
      <border outline="0">
        <bottom style="thin">
          <color theme="9" tint="0.3999755851924192"/>
        </bottom>
      </border>
    </dxf>
    <dxf>
      <font>
        <name val="Calibri"/>
        <family val="2"/>
        <b val="1"/>
        <strike val="0"/>
        <outline val="0"/>
        <shadow val="0"/>
        <condense val="0"/>
        <color theme="0"/>
        <extend val="0"/>
        <sz val="11"/>
        <vertAlign val="baseline"/>
        <scheme val="minor"/>
      </font>
      <fill>
        <patternFill patternType="solid">
          <fgColor theme="9"/>
          <bgColor theme="9"/>
        </patternFill>
      </fill>
    </dxf>
    <dxf>
      <font>
        <name val="Calibri"/>
        <family val="2"/>
        <strike val="0"/>
        <outline val="0"/>
        <shadow val="0"/>
        <condense val="0"/>
        <color theme="1"/>
        <extend val="0"/>
        <sz val="11"/>
        <vertAlign val="baseline"/>
        <scheme val="minor"/>
      </font>
      <fill>
        <patternFill patternType="solid">
          <fgColor theme="9" tint="0.7999816888943144"/>
          <bgColor theme="0"/>
        </patternFill>
      </fill>
    </dxf>
    <dxf>
      <font>
        <name val="Calibri"/>
        <family val="2"/>
        <strike val="0"/>
        <outline val="0"/>
        <shadow val="0"/>
        <condense val="0"/>
        <color theme="1"/>
        <extend val="0"/>
        <sz val="11"/>
        <vertAlign val="baseline"/>
        <scheme val="minor"/>
      </font>
      <numFmt numFmtId="35" formatCode="_-* #,##0.00_-;\-* #,##0.00_-;_-* &quot;-&quot;??_-;_-@_-"/>
      <fill>
        <patternFill patternType="solid">
          <fgColor theme="9" tint="0.7999816888943144"/>
          <bgColor theme="9" tint="0.7999816888943144"/>
        </patternFill>
      </fill>
      <border>
        <left/>
        <right/>
        <top style="thin">
          <color theme="9" tint="0.3999755851924192"/>
        </top>
        <bottom style="thin">
          <color theme="9" tint="0.3999755851924192"/>
        </bottom>
        <vertical/>
        <horizontal/>
      </border>
    </dxf>
    <dxf>
      <font>
        <name val="Arial"/>
        <family val="2"/>
        <strike val="0"/>
        <outline val="0"/>
        <shadow val="0"/>
        <condense val="0"/>
        <color theme="1"/>
        <extend val="0"/>
        <sz val="10"/>
        <vertAlign val="baseline"/>
      </font>
      <fill>
        <patternFill patternType="solid">
          <fgColor theme="9" tint="0.7999816888943144"/>
          <bgColor theme="0"/>
        </patternFill>
      </fill>
    </dxf>
    <dxf>
      <font>
        <name val="Arial"/>
        <family val="2"/>
        <strike val="0"/>
        <outline val="0"/>
        <shadow val="0"/>
        <condense val="0"/>
        <color theme="1"/>
        <extend val="0"/>
        <sz val="10"/>
        <vertAlign val="baseline"/>
      </font>
      <fill>
        <patternFill patternType="solid">
          <fgColor theme="9" tint="0.7999816888943144"/>
          <bgColor theme="9" tint="0.7999816888943144"/>
        </patternFill>
      </fill>
      <border>
        <left/>
        <right/>
        <top style="thin">
          <color theme="9" tint="0.3999755851924192"/>
        </top>
        <bottom style="thin">
          <color theme="9" tint="0.3999755851924192"/>
        </bottom>
        <vertical/>
        <horizontal/>
      </border>
    </dxf>
    <dxf>
      <font>
        <name val="Arial"/>
        <family val="2"/>
        <strike val="0"/>
        <outline val="0"/>
        <shadow val="0"/>
        <condense val="0"/>
        <color theme="1"/>
        <extend val="0"/>
        <sz val="10"/>
        <vertAlign val="baseline"/>
      </font>
      <fill>
        <patternFill patternType="solid">
          <fgColor theme="9" tint="0.7999816888943144"/>
          <bgColor theme="0"/>
        </patternFill>
      </fill>
    </dxf>
    <dxf>
      <font>
        <name val="Arial"/>
        <family val="2"/>
        <strike val="0"/>
        <outline val="0"/>
        <shadow val="0"/>
        <condense val="0"/>
        <color theme="1"/>
        <extend val="0"/>
        <sz val="10"/>
        <vertAlign val="baseline"/>
      </font>
      <fill>
        <patternFill patternType="solid">
          <fgColor theme="9" tint="0.7999816888943144"/>
          <bgColor theme="9" tint="0.7999816888943144"/>
        </patternFill>
      </fill>
      <border>
        <left/>
        <right/>
        <top style="thin">
          <color theme="9" tint="0.3999755851924192"/>
        </top>
        <bottom style="thin">
          <color theme="9" tint="0.3999755851924192"/>
        </bottom>
        <vertical/>
        <horizontal/>
      </border>
    </dxf>
    <dxf>
      <border outline="0">
        <top style="thin">
          <color theme="9" tint="0.3999755851924192"/>
        </top>
      </border>
    </dxf>
    <dxf>
      <fill>
        <patternFill>
          <bgColor theme="0"/>
        </patternFill>
      </fill>
    </dxf>
    <dxf>
      <border outline="0">
        <left style="thin">
          <color theme="9" tint="0.3999755851924192"/>
        </left>
        <top style="thin">
          <color theme="9" tint="0.3999755851924192"/>
        </top>
        <bottom style="thin">
          <color theme="9" tint="0.3999755851924192"/>
        </bottom>
      </border>
    </dxf>
    <dxf>
      <border outline="0">
        <bottom style="thin">
          <color theme="9" tint="0.3999755851924192"/>
        </bottom>
      </border>
    </dxf>
    <dxf>
      <font>
        <name val="Arial"/>
        <family val="2"/>
        <b val="1"/>
        <strike val="0"/>
        <outline val="0"/>
        <shadow val="0"/>
        <condense val="0"/>
        <color theme="0"/>
        <extend val="0"/>
        <sz val="10"/>
        <vertAlign val="baseline"/>
      </font>
      <fill>
        <patternFill patternType="solid">
          <fgColor theme="9"/>
          <bgColor theme="9"/>
        </patternFill>
      </fill>
    </dxf>
    <dxf>
      <font>
        <name val="Calibri"/>
        <family val="2"/>
        <strike val="0"/>
        <outline val="0"/>
        <shadow val="0"/>
        <condense val="0"/>
        <color theme="1"/>
        <extend val="0"/>
        <sz val="11"/>
        <vertAlign val="baseline"/>
        <scheme val="minor"/>
      </font>
      <fill>
        <patternFill patternType="solid">
          <fgColor theme="9" tint="0.7999816888943144"/>
          <bgColor theme="0"/>
        </patternFill>
      </fill>
    </dxf>
    <dxf>
      <font>
        <name val="Calibri"/>
        <family val="2"/>
        <strike val="0"/>
        <outline val="0"/>
        <shadow val="0"/>
        <condense val="0"/>
        <color theme="1"/>
        <extend val="0"/>
        <sz val="11"/>
        <vertAlign val="baseline"/>
        <scheme val="minor"/>
      </font>
      <numFmt numFmtId="35" formatCode="_-* #,##0.00_-;\-* #,##0.00_-;_-* &quot;-&quot;??_-;_-@_-"/>
      <fill>
        <patternFill patternType="solid">
          <fgColor theme="9" tint="0.7999816888943144"/>
          <bgColor theme="9" tint="0.7999816888943144"/>
        </patternFill>
      </fill>
      <border>
        <left/>
        <right/>
        <top style="thin">
          <color theme="9" tint="0.3999755851924192"/>
        </top>
        <bottom style="thin">
          <color theme="9" tint="0.3999755851924192"/>
        </bottom>
        <vertical/>
        <horizontal/>
      </border>
    </dxf>
    <dxf>
      <fill>
        <patternFill patternType="solid">
          <fgColor theme="9" tint="0.7999816888943144"/>
          <bgColor theme="0"/>
        </patternFill>
      </fill>
    </dxf>
    <dxf>
      <fill>
        <patternFill patternType="solid">
          <fgColor theme="9" tint="0.7999816888943144"/>
          <bgColor theme="9" tint="0.7999816888943144"/>
        </patternFill>
      </fill>
      <border>
        <left/>
        <right/>
        <top style="thin">
          <color theme="9" tint="0.3999755851924192"/>
        </top>
        <bottom style="thin">
          <color theme="9" tint="0.3999755851924192"/>
        </bottom>
        <vertical/>
        <horizontal/>
      </border>
    </dxf>
    <dxf>
      <fill>
        <patternFill patternType="solid">
          <fgColor theme="9" tint="0.7999816888943144"/>
          <bgColor theme="0"/>
        </patternFill>
      </fill>
    </dxf>
    <dxf>
      <fill>
        <patternFill patternType="solid">
          <fgColor theme="9" tint="0.7999816888943144"/>
          <bgColor theme="9" tint="0.7999816888943144"/>
        </patternFill>
      </fill>
      <border>
        <left/>
        <right/>
        <top style="thin">
          <color theme="9" tint="0.3999755851924192"/>
        </top>
        <bottom style="thin">
          <color theme="9" tint="0.3999755851924192"/>
        </bottom>
        <vertical/>
        <horizontal/>
      </border>
    </dxf>
    <dxf>
      <border outline="0">
        <top style="thin">
          <color theme="9" tint="0.3999755851924192"/>
        </top>
      </border>
    </dxf>
    <dxf>
      <fill>
        <patternFill>
          <bgColor theme="0"/>
        </patternFill>
      </fill>
    </dxf>
    <dxf>
      <border outline="0">
        <left style="thin">
          <color theme="9" tint="0.3999755851924192"/>
        </left>
        <top style="thin">
          <color theme="9" tint="0.3999755851924192"/>
        </top>
        <bottom style="thin">
          <color theme="9" tint="0.3999755851924192"/>
        </bottom>
      </border>
    </dxf>
    <dxf>
      <border outline="0">
        <bottom style="thin">
          <color theme="9" tint="0.3999755851924192"/>
        </bottom>
      </border>
    </dxf>
    <dxf>
      <font>
        <name val="Calibri"/>
        <family val="2"/>
        <strike val="0"/>
        <outline val="0"/>
        <shadow val="0"/>
        <condense val="0"/>
        <color theme="1"/>
        <extend val="0"/>
        <sz val="11"/>
        <vertAlign val="baseline"/>
        <scheme val="minor"/>
      </font>
      <fill>
        <patternFill patternType="solid">
          <fgColor theme="9" tint="0.7999816888943144"/>
          <bgColor theme="0"/>
        </patternFill>
      </fill>
    </dxf>
    <dxf>
      <font>
        <name val="Calibri"/>
        <family val="2"/>
        <strike val="0"/>
        <outline val="0"/>
        <shadow val="0"/>
        <condense val="0"/>
        <color theme="1"/>
        <extend val="0"/>
        <sz val="11"/>
        <vertAlign val="baseline"/>
        <scheme val="minor"/>
      </font>
      <numFmt numFmtId="35" formatCode="_-* #,##0.00_-;\-* #,##0.00_-;_-* &quot;-&quot;??_-;_-@_-"/>
      <fill>
        <patternFill patternType="solid">
          <fgColor theme="9" tint="0.7999816888943144"/>
          <bgColor theme="9" tint="0.7999816888943144"/>
        </patternFill>
      </fill>
      <border>
        <left/>
        <right/>
        <top style="thin">
          <color theme="9" tint="0.3999755851924192"/>
        </top>
        <bottom style="thin">
          <color theme="9" tint="0.3999755851924192"/>
        </bottom>
        <vertical/>
        <horizontal/>
      </border>
    </dxf>
    <dxf>
      <font>
        <name val="Arial"/>
        <family val="2"/>
        <strike val="0"/>
        <outline val="0"/>
        <shadow val="0"/>
        <condense val="0"/>
        <color theme="1"/>
        <extend val="0"/>
        <sz val="10"/>
        <vertAlign val="baseline"/>
      </font>
      <fill>
        <patternFill patternType="solid">
          <fgColor theme="9" tint="0.7999816888943144"/>
          <bgColor theme="0"/>
        </patternFill>
      </fill>
    </dxf>
    <dxf>
      <font>
        <name val="Arial"/>
        <family val="2"/>
        <strike val="0"/>
        <outline val="0"/>
        <shadow val="0"/>
        <condense val="0"/>
        <color theme="1"/>
        <extend val="0"/>
        <sz val="10"/>
        <vertAlign val="baseline"/>
      </font>
      <fill>
        <patternFill patternType="solid">
          <fgColor theme="9" tint="0.7999816888943144"/>
          <bgColor theme="9" tint="0.7999816888943144"/>
        </patternFill>
      </fill>
      <border>
        <left/>
        <right/>
        <top style="thin">
          <color theme="9" tint="0.3999755851924192"/>
        </top>
        <bottom style="thin">
          <color theme="9" tint="0.3999755851924192"/>
        </bottom>
        <vertical/>
        <horizontal/>
      </border>
    </dxf>
    <dxf>
      <font>
        <name val="Arial"/>
        <family val="2"/>
        <strike val="0"/>
        <outline val="0"/>
        <shadow val="0"/>
        <condense val="0"/>
        <color theme="1"/>
        <extend val="0"/>
        <sz val="10"/>
        <vertAlign val="baseline"/>
      </font>
      <fill>
        <patternFill patternType="solid">
          <fgColor theme="9" tint="0.7999816888943144"/>
          <bgColor theme="0"/>
        </patternFill>
      </fill>
    </dxf>
    <dxf>
      <font>
        <name val="Arial"/>
        <family val="2"/>
        <strike val="0"/>
        <outline val="0"/>
        <shadow val="0"/>
        <condense val="0"/>
        <color theme="1"/>
        <extend val="0"/>
        <sz val="10"/>
        <vertAlign val="baseline"/>
      </font>
      <fill>
        <patternFill patternType="solid">
          <fgColor theme="9" tint="0.7999816888943144"/>
          <bgColor theme="9" tint="0.7999816888943144"/>
        </patternFill>
      </fill>
      <border>
        <left/>
        <right/>
        <top style="thin">
          <color theme="9" tint="0.3999755851924192"/>
        </top>
        <bottom style="thin">
          <color theme="9" tint="0.3999755851924192"/>
        </bottom>
        <vertical/>
        <horizontal/>
      </border>
    </dxf>
    <dxf>
      <border outline="0">
        <top style="thin">
          <color theme="9" tint="0.3999755851924192"/>
        </top>
      </border>
    </dxf>
    <dxf>
      <fill>
        <patternFill>
          <bgColor theme="0"/>
        </patternFill>
      </fill>
    </dxf>
    <dxf>
      <border outline="0">
        <left style="thin">
          <color theme="9" tint="0.3999755851924192"/>
        </left>
        <top style="thin">
          <color theme="9" tint="0.3999755851924192"/>
        </top>
        <bottom style="thin">
          <color theme="9" tint="0.3999755851924192"/>
        </bottom>
      </border>
    </dxf>
    <dxf>
      <border outline="0">
        <bottom style="thin">
          <color theme="9" tint="0.3999755851924192"/>
        </bottom>
      </border>
    </dxf>
    <dxf>
      <font>
        <name val="Arial"/>
        <family val="2"/>
        <b val="1"/>
        <strike val="0"/>
        <outline val="0"/>
        <shadow val="0"/>
        <condense val="0"/>
        <color theme="0"/>
        <extend val="0"/>
        <sz val="10"/>
        <vertAlign val="baseline"/>
      </font>
      <fill>
        <patternFill patternType="solid">
          <fgColor theme="9"/>
          <bgColor theme="9"/>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ables/table1.xml><?xml version="1.0" encoding="utf-8"?>
<table xmlns="http://schemas.openxmlformats.org/spreadsheetml/2006/main" id="1" name="Tabla2" displayName="Tabla2" ref="A1:C9" headerRowCount="1" totalsRowCount="1" headerRowDxfId="41" totalsRowDxfId="38" headerRowBorderDxfId="40" tableBorderDxfId="39" totalsRowBorderDxfId="37">
  <autoFilter ref="A1:C8"/>
  <tableColumns count="3">
    <tableColumn id="1" name="Cód. org. aplic." totalsRowLabel="Total" dataDxfId="36" totalsRowDxfId="35"/>
    <tableColumn id="2" name="Descripción justificante" dataDxfId="34" totalsRowDxfId="33"/>
    <tableColumn id="3" name="Imp.cob.aplic." totalsRowFunction="sum" dataDxfId="32" totalsRowDxfId="31" dataCellStyle="Millares" totalsRowCellStyle="Millares"/>
  </tableColumns>
  <tableStyleInfo name="TableStyleMedium2" showFirstColumn="0" showLastColumn="0" showRowStripes="1" showColumnStripes="0"/>
</table>
</file>

<file path=xl/tables/table2.xml><?xml version="1.0" encoding="utf-8"?>
<table xmlns="http://schemas.openxmlformats.org/spreadsheetml/2006/main" id="2" name="Tabla3" displayName="Tabla3" ref="A1:C13" headerRowCount="1" totalsRowCount="1" totalsRowDxfId="28" headerRowBorderDxfId="30" tableBorderDxfId="29" totalsRowBorderDxfId="27">
  <autoFilter ref="A1:C12"/>
  <tableColumns count="3">
    <tableColumn id="1" name="Org. aplic." totalsRowLabel="Total" dataDxfId="26" totalsRowDxfId="25"/>
    <tableColumn id="2" name="Descripción justificante" dataDxfId="24" totalsRowDxfId="23"/>
    <tableColumn id="3" name="Imp. aplic." totalsRowFunction="sum" dataDxfId="22" totalsRowDxfId="21" dataCellStyle="Millares" totalsRowCellStyle="Millares"/>
  </tableColumns>
  <tableStyleInfo name="TableStyleMedium2" showFirstColumn="0" showLastColumn="0" showRowStripes="1" showColumnStripes="0"/>
</table>
</file>

<file path=xl/tables/table3.xml><?xml version="1.0" encoding="utf-8"?>
<table xmlns="http://schemas.openxmlformats.org/spreadsheetml/2006/main" id="3" name="Tabla5" displayName="Tabla5" ref="A1:C15" headerRowCount="1" totalsRowCount="1" headerRowDxfId="20" totalsRowDxfId="17" headerRowBorderDxfId="19" tableBorderDxfId="18" totalsRowBorderDxfId="16">
  <autoFilter ref="A1:C14"/>
  <tableColumns count="3">
    <tableColumn id="1" name="Cód. org. aplic." totalsRowLabel="Total" dataDxfId="15" totalsRowDxfId="14"/>
    <tableColumn id="2" name="Descripción justificante" dataDxfId="13" totalsRowDxfId="12"/>
    <tableColumn id="3" name="Imp.cob.aplic." totalsRowFunction="sum" dataDxfId="11" totalsRowDxfId="10" dataCellStyle="Millares" totalsRowCellStyle="Millares"/>
  </tableColumns>
  <tableStyleInfo name="TableStyleMedium2" showFirstColumn="0" showLastColumn="0" showRowStripes="1" showColumnStripes="0"/>
</table>
</file>

<file path=xl/tables/table4.xml><?xml version="1.0" encoding="utf-8"?>
<table xmlns="http://schemas.openxmlformats.org/spreadsheetml/2006/main" id="4" name="Tabla6" displayName="Tabla6" ref="A1:C14" headerRowCount="1" totalsRowCount="1" headerRowDxfId="9" headerRowBorderDxfId="8" tableBorderDxfId="7" totalsRowBorderDxfId="6">
  <autoFilter ref="A1:C13"/>
  <tableColumns count="3">
    <tableColumn id="1" name="Org. aplic." totalsRowLabel="Total" dataDxfId="5" totalsRowDxfId="4"/>
    <tableColumn id="2" name="Descripción justificante" dataDxfId="3" totalsRowDxfId="2"/>
    <tableColumn id="3" name="Imp. aplic." totalsRowFunction="sum" dataDxfId="1" totalsRowDxfId="0" dataCellStyle="Millares" totalsRowCellStyle="Millares"/>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Relationships xmlns="http://schemas.openxmlformats.org/package/2006/relationships"><Relationship Type="http://schemas.openxmlformats.org/officeDocument/2006/relationships/table" Target="/xl/tables/table1.xml" Id="rId1" /></Relationships>
</file>

<file path=xl/worksheets/_rels/sheet4.xml.rels><Relationships xmlns="http://schemas.openxmlformats.org/package/2006/relationships"><Relationship Type="http://schemas.openxmlformats.org/officeDocument/2006/relationships/table" Target="/xl/tables/table2.xml" Id="rId1" /></Relationships>
</file>

<file path=xl/worksheets/_rels/sheet6.xml.rels><Relationships xmlns="http://schemas.openxmlformats.org/package/2006/relationships"><Relationship Type="http://schemas.openxmlformats.org/officeDocument/2006/relationships/table" Target="/xl/tables/table3.xml" Id="rId1" /></Relationships>
</file>

<file path=xl/worksheets/_rels/sheet7.xml.rels><Relationships xmlns="http://schemas.openxmlformats.org/package/2006/relationships"><Relationship Type="http://schemas.openxmlformats.org/officeDocument/2006/relationships/table" Target="/xl/tables/table4.xml" Id="rId1" /></Relationships>
</file>

<file path=xl/worksheets/sheet1.xml><?xml version="1.0" encoding="utf-8"?>
<worksheet xmlns="http://schemas.openxmlformats.org/spreadsheetml/2006/main">
  <sheetPr>
    <outlinePr summaryBelow="1" summaryRight="1"/>
    <pageSetUpPr fitToPage="1"/>
  </sheetPr>
  <dimension ref="A1:W19"/>
  <sheetViews>
    <sheetView showGridLines="0" zoomScale="120" zoomScaleNormal="120" workbookViewId="0">
      <pane xSplit="1" ySplit="1" topLeftCell="B2" activePane="bottomRight" state="frozen"/>
      <selection pane="topRight" activeCell="B1" sqref="B1"/>
      <selection pane="bottomLeft" activeCell="A2" sqref="A2"/>
      <selection pane="bottomRight" activeCell="D25" sqref="D25"/>
    </sheetView>
  </sheetViews>
  <sheetFormatPr baseColWidth="10" defaultColWidth="10.28515625" defaultRowHeight="11.25"/>
  <cols>
    <col width="5" customWidth="1" style="6" min="1" max="1"/>
    <col width="29.7109375" customWidth="1" style="6" min="2" max="4"/>
    <col width="40.7109375" customWidth="1" style="6" min="5" max="5"/>
    <col width="9.140625" customWidth="1" style="6" min="6" max="6"/>
    <col width="9.7109375" customWidth="1" style="6" min="7" max="7"/>
    <col width="14.42578125" customWidth="1" style="6" min="8" max="8"/>
    <col width="5.85546875" customWidth="1" style="6" min="9" max="9"/>
    <col width="25.7109375" customWidth="1" style="6" min="10" max="10"/>
    <col width="5.140625" customWidth="1" style="6" min="11" max="12"/>
    <col width="4.42578125" customWidth="1" style="6" min="13" max="13"/>
    <col width="4.85546875" customWidth="1" style="6" min="14" max="14"/>
    <col width="4.85546875" customWidth="1" style="7" min="15" max="15"/>
    <col width="4.85546875" customWidth="1" style="6" min="16" max="16"/>
    <col width="3.5703125" customWidth="1" style="7" min="17" max="17"/>
    <col width="5.140625" customWidth="1" style="6" min="18" max="21"/>
    <col width="10.28515625" customWidth="1" style="6" min="22" max="16384"/>
  </cols>
  <sheetData>
    <row r="1" ht="45" customHeight="1">
      <c r="A1" s="1" t="inlineStr">
        <is>
          <t>C.D.</t>
        </is>
      </c>
      <c r="B1" s="2" t="inlineStr">
        <is>
          <t>Departamento</t>
        </is>
      </c>
      <c r="C1" s="2" t="inlineStr">
        <is>
          <t>Plan</t>
        </is>
      </c>
      <c r="D1" s="2" t="inlineStr">
        <is>
          <t>Alumno</t>
        </is>
      </c>
      <c r="E1" s="2" t="inlineStr">
        <is>
          <t>Tesis</t>
        </is>
      </c>
      <c r="F1" s="2" t="inlineStr">
        <is>
          <t>Fecha</t>
        </is>
      </c>
      <c r="G1" s="2" t="inlineStr">
        <is>
          <t>Tutor</t>
        </is>
      </c>
      <c r="H1" s="2" t="inlineStr">
        <is>
          <t>Rol</t>
        </is>
      </c>
      <c r="I1" s="1" t="inlineStr">
        <is>
          <t>C.DEP.</t>
        </is>
      </c>
      <c r="J1" s="2" t="inlineStr">
        <is>
          <t>Departamento Tutor</t>
        </is>
      </c>
      <c r="K1" s="1" t="inlineStr">
        <is>
          <t>ASIGNACIÓN</t>
        </is>
      </c>
      <c r="L1" s="2" t="inlineStr">
        <is>
          <t>DEP.ASIG.</t>
        </is>
      </c>
      <c r="M1" s="3" t="inlineStr">
        <is>
          <t>EJERCICIO</t>
        </is>
      </c>
      <c r="N1" s="4" t="inlineStr">
        <is>
          <t>INS 1</t>
        </is>
      </c>
      <c r="O1" s="5" t="inlineStr">
        <is>
          <t>DED INS 1</t>
        </is>
      </c>
      <c r="P1" s="4" t="inlineStr">
        <is>
          <t>INS 2</t>
        </is>
      </c>
      <c r="Q1" s="5" t="inlineStr">
        <is>
          <t>DED INS 2</t>
        </is>
      </c>
      <c r="R1" s="4" t="inlineStr">
        <is>
          <t>DED DEP</t>
        </is>
      </c>
      <c r="S1" s="4" t="inlineStr">
        <is>
          <t>TDOC DEP</t>
        </is>
      </c>
      <c r="T1" s="4" t="inlineStr">
        <is>
          <t>TDOC INST 1</t>
        </is>
      </c>
      <c r="U1" s="4" t="inlineStr">
        <is>
          <t>TDOC INST 2</t>
        </is>
      </c>
    </row>
    <row r="2">
      <c r="A2" s="16" t="inlineStr">
        <is>
          <t xml:space="preserve">U025 </t>
        </is>
      </c>
      <c r="B2" s="16" t="inlineStr">
        <is>
          <t xml:space="preserve">ADM. FACULTAD DE DERECHO </t>
        </is>
      </c>
      <c r="C2" s="16" t="inlineStr">
        <is>
          <t xml:space="preserve">DOCTORADO EN DERECHO </t>
        </is>
      </c>
      <c r="D2" s="16" t="inlineStr">
        <is>
          <t xml:space="preserve">Ortiz Fernández, Manuel </t>
        </is>
      </c>
      <c r="E2" s="16" t="inlineStr">
        <is>
          <t xml:space="preserve">Configuración actual del consentimiento informado en la lex artis y como garantía de los derechos constitucionales; presupuestos de la responsabilidad civil ante su vulneración </t>
        </is>
      </c>
      <c r="F2" s="16" t="inlineStr">
        <is>
          <t xml:space="preserve">17/09/2020 </t>
        </is>
      </c>
      <c r="G2" s="16" t="inlineStr">
        <is>
          <t xml:space="preserve">21422601X </t>
        </is>
      </c>
      <c r="H2" s="16" t="inlineStr">
        <is>
          <t xml:space="preserve">Codirector de tesis </t>
        </is>
      </c>
      <c r="I2" s="16" t="inlineStr">
        <is>
          <t xml:space="preserve">B107 </t>
        </is>
      </c>
      <c r="J2" s="16" t="inlineStr">
        <is>
          <t xml:space="preserve">DERECHO CIVIL </t>
        </is>
      </c>
      <c r="K2" s="75" t="n">
        <v>0.5</v>
      </c>
      <c r="L2" s="16" t="inlineStr">
        <is>
          <t>B107</t>
        </is>
      </c>
      <c r="M2" s="16" t="n">
        <v>2019</v>
      </c>
      <c r="N2" s="16" t="inlineStr"/>
      <c r="O2" s="23" t="inlineStr"/>
      <c r="P2" s="16" t="inlineStr"/>
      <c r="Q2" s="23" t="inlineStr"/>
      <c r="R2" s="24" t="n">
        <v>100</v>
      </c>
      <c r="S2" s="25" t="n">
        <v>0.5</v>
      </c>
      <c r="T2" s="25" t="n">
        <v>0</v>
      </c>
      <c r="U2" s="25" t="n">
        <v>0</v>
      </c>
    </row>
    <row r="3">
      <c r="A3" s="16" t="inlineStr">
        <is>
          <t xml:space="preserve">U025 </t>
        </is>
      </c>
      <c r="B3" s="16" t="inlineStr">
        <is>
          <t xml:space="preserve">ADM. FACULTAD DE DERECHO </t>
        </is>
      </c>
      <c r="C3" s="16" t="inlineStr">
        <is>
          <t xml:space="preserve">DOCTORADO EN DERECHO </t>
        </is>
      </c>
      <c r="D3" s="16" t="inlineStr">
        <is>
          <t xml:space="preserve">Ortiz Fernández, Manuel </t>
        </is>
      </c>
      <c r="E3" s="16" t="inlineStr">
        <is>
          <t xml:space="preserve">Configuración actual del consentimiento informado en la lex artis y como garantía de los derechos constitucionales; presupuestos de la responsabilidad civil ante su vulneración </t>
        </is>
      </c>
      <c r="F3" s="16" t="inlineStr">
        <is>
          <t xml:space="preserve">17/09/2020 </t>
        </is>
      </c>
      <c r="G3" s="16" t="inlineStr">
        <is>
          <t xml:space="preserve">33484045R </t>
        </is>
      </c>
      <c r="H3" s="16" t="inlineStr">
        <is>
          <t xml:space="preserve">Codirector de tesis </t>
        </is>
      </c>
      <c r="I3" s="16" t="inlineStr">
        <is>
          <t xml:space="preserve">B107 </t>
        </is>
      </c>
      <c r="J3" s="16" t="inlineStr">
        <is>
          <t xml:space="preserve">DERECHO CIVIL </t>
        </is>
      </c>
      <c r="K3" s="75" t="n">
        <v>0.5</v>
      </c>
      <c r="L3" s="16" t="inlineStr">
        <is>
          <t>B107</t>
        </is>
      </c>
      <c r="M3" s="16" t="n">
        <v>2019</v>
      </c>
      <c r="N3" s="16" t="inlineStr"/>
      <c r="O3" s="23" t="inlineStr"/>
      <c r="P3" s="16" t="inlineStr"/>
      <c r="Q3" s="23" t="inlineStr"/>
      <c r="R3" s="24" t="n">
        <v>100</v>
      </c>
      <c r="S3" s="25" t="n">
        <v>0.5</v>
      </c>
      <c r="T3" s="25" t="n">
        <v>0</v>
      </c>
      <c r="U3" s="25" t="n">
        <v>0</v>
      </c>
    </row>
    <row r="4" ht="12" customHeight="1" thickBot="1">
      <c r="A4" s="16" t="inlineStr">
        <is>
          <t xml:space="preserve">U025 </t>
        </is>
      </c>
      <c r="B4" s="16" t="inlineStr">
        <is>
          <t xml:space="preserve">ADM. FACULTAD DE DERECHO </t>
        </is>
      </c>
      <c r="C4" s="16" t="inlineStr">
        <is>
          <t xml:space="preserve">DOCTORADO EN DERECHO </t>
        </is>
      </c>
      <c r="D4" s="16" t="inlineStr">
        <is>
          <t xml:space="preserve">Enzweiler , Romano José </t>
        </is>
      </c>
      <c r="E4" s="16" t="inlineStr">
        <is>
          <t xml:space="preserve">RESPONSABILIDADE CIVIL POR DANO AO MEIO AMBIENTE: DA PROBABILIDADE PELA PERDA DA CHANCE À POSSIBILIDADE PELA APLICAÇAO DA LÓGICA FUZZY </t>
        </is>
      </c>
      <c r="F4" s="16" t="inlineStr">
        <is>
          <t xml:space="preserve">09/12/2019 </t>
        </is>
      </c>
      <c r="G4" s="16" t="inlineStr">
        <is>
          <t xml:space="preserve">21484360Z </t>
        </is>
      </c>
      <c r="H4" s="16" t="inlineStr">
        <is>
          <t xml:space="preserve">Codirector de tesis </t>
        </is>
      </c>
      <c r="I4" s="16" t="inlineStr">
        <is>
          <t xml:space="preserve">B107 </t>
        </is>
      </c>
      <c r="J4" s="16" t="inlineStr">
        <is>
          <t xml:space="preserve">DERECHO CIVIL </t>
        </is>
      </c>
      <c r="K4" s="75" t="n">
        <v>0.5</v>
      </c>
      <c r="L4" s="16" t="inlineStr">
        <is>
          <t>B107</t>
        </is>
      </c>
      <c r="M4" s="16" t="n">
        <v>2019</v>
      </c>
      <c r="N4" s="16" t="inlineStr"/>
      <c r="O4" s="23" t="inlineStr"/>
      <c r="P4" s="16" t="inlineStr"/>
      <c r="Q4" s="23" t="inlineStr"/>
      <c r="R4" s="24" t="n">
        <v>100</v>
      </c>
      <c r="S4" s="25" t="n">
        <v>0.5</v>
      </c>
      <c r="T4" s="25" t="n">
        <v>0</v>
      </c>
      <c r="U4" s="25" t="n">
        <v>0</v>
      </c>
      <c r="W4" s="30" t="n"/>
    </row>
    <row r="5" ht="12" customHeight="1" thickBot="1">
      <c r="A5" s="17" t="inlineStr">
        <is>
          <t xml:space="preserve">U025 </t>
        </is>
      </c>
      <c r="B5" s="17" t="inlineStr">
        <is>
          <t xml:space="preserve">ADM. FACULTAD DE DERECHO </t>
        </is>
      </c>
      <c r="C5" s="17" t="inlineStr">
        <is>
          <t xml:space="preserve">DOCTORADO EN DERECHO </t>
        </is>
      </c>
      <c r="D5" s="17" t="inlineStr">
        <is>
          <t xml:space="preserve">Navas Segura, Antonio </t>
        </is>
      </c>
      <c r="E5" s="17" t="inlineStr">
        <is>
          <t xml:space="preserve">El deslinde como instrumento para la gestión de la información territorial y su configuración jurídica tras la Ley 13/2015, de 24 de junio </t>
        </is>
      </c>
      <c r="F5" s="17" t="inlineStr">
        <is>
          <t xml:space="preserve">18/02/2021 </t>
        </is>
      </c>
      <c r="G5" s="18" t="inlineStr">
        <is>
          <t xml:space="preserve">21422601X </t>
        </is>
      </c>
      <c r="H5" s="19" t="inlineStr">
        <is>
          <t xml:space="preserve">Director de tesis </t>
        </is>
      </c>
      <c r="I5" s="19" t="inlineStr">
        <is>
          <t xml:space="preserve">B107 </t>
        </is>
      </c>
      <c r="J5" s="20" t="inlineStr">
        <is>
          <t xml:space="preserve">DERECHO CIVIL </t>
        </is>
      </c>
      <c r="K5" s="26" t="n">
        <v>1</v>
      </c>
      <c r="L5" s="26" t="inlineStr">
        <is>
          <t>B107</t>
        </is>
      </c>
      <c r="M5" s="15" t="n">
        <v>2020</v>
      </c>
      <c r="N5" s="15" t="inlineStr"/>
      <c r="O5" s="21" t="inlineStr"/>
      <c r="P5" s="15" t="inlineStr"/>
      <c r="Q5" s="21" t="inlineStr"/>
      <c r="R5" s="15" t="n">
        <v>100</v>
      </c>
      <c r="S5" s="15" t="n">
        <v>1</v>
      </c>
      <c r="T5" s="15" t="n">
        <v>0</v>
      </c>
      <c r="U5" s="15" t="n">
        <v>0</v>
      </c>
    </row>
    <row r="6" ht="12" customHeight="1" thickBot="1">
      <c r="A6" s="17" t="inlineStr">
        <is>
          <t xml:space="preserve">U025 </t>
        </is>
      </c>
      <c r="B6" s="17" t="inlineStr">
        <is>
          <t xml:space="preserve">ADM. FACULTAD DE DERECHO </t>
        </is>
      </c>
      <c r="C6" s="17" t="inlineStr">
        <is>
          <t xml:space="preserve">DOCTORADO EN DERECHO </t>
        </is>
      </c>
      <c r="D6" s="17" t="inlineStr">
        <is>
          <t xml:space="preserve">López Mas, Pedro José </t>
        </is>
      </c>
      <c r="E6" s="17" t="inlineStr">
        <is>
          <t xml:space="preserve">Configuración actual del lucro cesante: su apreciación jurisprudencial y análisis de los criterios para su determinación judicial </t>
        </is>
      </c>
      <c r="F6" s="17" t="inlineStr">
        <is>
          <t xml:space="preserve">28/05/2021 </t>
        </is>
      </c>
      <c r="G6" s="18" t="inlineStr">
        <is>
          <t xml:space="preserve">21422601X </t>
        </is>
      </c>
      <c r="H6" s="19" t="inlineStr">
        <is>
          <t xml:space="preserve">Codirector de tesis </t>
        </is>
      </c>
      <c r="I6" s="19" t="inlineStr">
        <is>
          <t xml:space="preserve">B107 </t>
        </is>
      </c>
      <c r="J6" s="20" t="inlineStr">
        <is>
          <t xml:space="preserve">DERECHO CIVIL </t>
        </is>
      </c>
      <c r="K6" s="26" t="n">
        <v>0.5</v>
      </c>
      <c r="L6" s="26" t="inlineStr">
        <is>
          <t>B107</t>
        </is>
      </c>
      <c r="M6" s="15" t="n">
        <v>2020</v>
      </c>
      <c r="N6" s="15" t="inlineStr"/>
      <c r="O6" s="21" t="inlineStr"/>
      <c r="P6" s="15" t="inlineStr"/>
      <c r="Q6" s="21" t="inlineStr"/>
      <c r="R6" s="15" t="n">
        <v>100</v>
      </c>
      <c r="S6" s="15" t="n">
        <v>0.5</v>
      </c>
      <c r="T6" s="15" t="n">
        <v>0</v>
      </c>
      <c r="U6" s="15" t="n">
        <v>0</v>
      </c>
    </row>
    <row r="7" ht="12" customHeight="1" thickBot="1">
      <c r="A7" s="17" t="inlineStr">
        <is>
          <t xml:space="preserve">U025 </t>
        </is>
      </c>
      <c r="B7" s="17" t="inlineStr">
        <is>
          <t xml:space="preserve">ADM. FACULTAD DE DERECHO </t>
        </is>
      </c>
      <c r="C7" s="17" t="inlineStr">
        <is>
          <t xml:space="preserve">DOCTORADO EN DERECHO </t>
        </is>
      </c>
      <c r="D7" s="17" t="inlineStr">
        <is>
          <t xml:space="preserve">López Mas, Pedro José </t>
        </is>
      </c>
      <c r="E7" s="17" t="inlineStr">
        <is>
          <t xml:space="preserve">Configuración actual del lucro cesante: su apreciación jurisprudencial y análisis de los criterios para su determinación judicial </t>
        </is>
      </c>
      <c r="F7" s="17" t="inlineStr">
        <is>
          <t xml:space="preserve">28/05/2021 </t>
        </is>
      </c>
      <c r="G7" s="18" t="inlineStr">
        <is>
          <t xml:space="preserve">52774099R </t>
        </is>
      </c>
      <c r="H7" s="19" t="inlineStr">
        <is>
          <t xml:space="preserve">Codirector de tesis </t>
        </is>
      </c>
      <c r="I7" s="19" t="inlineStr">
        <is>
          <t xml:space="preserve">B107 </t>
        </is>
      </c>
      <c r="J7" s="20" t="inlineStr">
        <is>
          <t xml:space="preserve">DERECHO CIVIL </t>
        </is>
      </c>
      <c r="K7" s="26" t="n">
        <v>0.5</v>
      </c>
      <c r="L7" s="26" t="inlineStr">
        <is>
          <t>B107</t>
        </is>
      </c>
      <c r="M7" s="15" t="n">
        <v>2020</v>
      </c>
      <c r="N7" s="15" t="inlineStr"/>
      <c r="O7" s="21" t="inlineStr"/>
      <c r="P7" s="15" t="inlineStr"/>
      <c r="Q7" s="21" t="inlineStr"/>
      <c r="R7" s="15" t="n">
        <v>100</v>
      </c>
      <c r="S7" s="15" t="n">
        <v>0.5</v>
      </c>
      <c r="T7" s="15" t="n">
        <v>0</v>
      </c>
      <c r="U7" s="15" t="n">
        <v>0</v>
      </c>
    </row>
    <row r="8">
      <c r="A8" s="15" t="inlineStr">
        <is>
          <t xml:space="preserve">U025 </t>
        </is>
      </c>
      <c r="B8" s="15" t="inlineStr">
        <is>
          <t xml:space="preserve">ADM. FACULTAD DE DERECHO </t>
        </is>
      </c>
      <c r="C8" s="15" t="inlineStr">
        <is>
          <t xml:space="preserve">DOCTORADO EN DERECHO </t>
        </is>
      </c>
      <c r="D8" s="15" t="inlineStr">
        <is>
          <t xml:space="preserve">De Blas Javaloyas, José Ramón </t>
        </is>
      </c>
      <c r="E8" s="15" t="inlineStr">
        <is>
          <t xml:space="preserve">El necesario reequilibrio de la compensación equitativa por copia privada en el mercado único digital </t>
        </is>
      </c>
      <c r="F8" s="15" t="inlineStr">
        <is>
          <t xml:space="preserve">17/12/2021 </t>
        </is>
      </c>
      <c r="G8" s="15" t="inlineStr">
        <is>
          <t xml:space="preserve">21664172N </t>
        </is>
      </c>
      <c r="H8" s="15" t="inlineStr">
        <is>
          <t xml:space="preserve">Codirector de tesis </t>
        </is>
      </c>
      <c r="I8" s="15" t="inlineStr">
        <is>
          <t xml:space="preserve">B107 </t>
        </is>
      </c>
      <c r="J8" s="15" t="inlineStr">
        <is>
          <t xml:space="preserve">DERECHO CIVIL </t>
        </is>
      </c>
      <c r="K8" s="26" t="n">
        <v>0.5</v>
      </c>
      <c r="L8" s="26" t="inlineStr">
        <is>
          <t>B107</t>
        </is>
      </c>
      <c r="M8" s="15" t="n">
        <v>2021</v>
      </c>
      <c r="N8" s="15" t="inlineStr"/>
      <c r="O8" s="21" t="inlineStr"/>
      <c r="P8" s="15" t="inlineStr"/>
      <c r="Q8" s="21" t="inlineStr"/>
      <c r="R8" s="15" t="n">
        <v>100</v>
      </c>
      <c r="S8" s="15" t="n">
        <v>0.5</v>
      </c>
      <c r="T8" s="15" t="n">
        <v>0</v>
      </c>
      <c r="U8" s="15" t="n">
        <v>0</v>
      </c>
    </row>
    <row r="9">
      <c r="A9" s="15" t="inlineStr">
        <is>
          <t xml:space="preserve">U025 </t>
        </is>
      </c>
      <c r="B9" s="15" t="inlineStr">
        <is>
          <t xml:space="preserve">ADM. FACULTAD DE DERECHO </t>
        </is>
      </c>
      <c r="C9" s="15" t="inlineStr">
        <is>
          <t xml:space="preserve">DOCTORADO EN DERECHO </t>
        </is>
      </c>
      <c r="D9" s="15" t="inlineStr">
        <is>
          <t xml:space="preserve">De Blas Javaloyas, José Ramón </t>
        </is>
      </c>
      <c r="E9" s="15" t="inlineStr">
        <is>
          <t xml:space="preserve">El necesario reequilibrio de la compensación equitativa por copia privada en el mercado único digital </t>
        </is>
      </c>
      <c r="F9" s="15" t="inlineStr">
        <is>
          <t xml:space="preserve">17/12/2021 </t>
        </is>
      </c>
      <c r="G9" s="15" t="inlineStr">
        <is>
          <t xml:space="preserve">21422601X </t>
        </is>
      </c>
      <c r="H9" s="15" t="inlineStr">
        <is>
          <t xml:space="preserve">Codirector de tesis </t>
        </is>
      </c>
      <c r="I9" s="15" t="inlineStr">
        <is>
          <t xml:space="preserve">B107 </t>
        </is>
      </c>
      <c r="J9" s="15" t="inlineStr">
        <is>
          <t xml:space="preserve">DERECHO CIVIL </t>
        </is>
      </c>
      <c r="K9" s="26" t="n">
        <v>0.5</v>
      </c>
      <c r="L9" s="26" t="inlineStr">
        <is>
          <t>B107</t>
        </is>
      </c>
      <c r="M9" s="15" t="n">
        <v>2021</v>
      </c>
      <c r="N9" s="15" t="inlineStr"/>
      <c r="O9" s="21" t="inlineStr"/>
      <c r="P9" s="15" t="inlineStr"/>
      <c r="Q9" s="21" t="inlineStr"/>
      <c r="R9" s="15" t="n">
        <v>100</v>
      </c>
      <c r="S9" s="15" t="n">
        <v>0.5</v>
      </c>
      <c r="T9" s="15" t="n">
        <v>0</v>
      </c>
      <c r="U9" s="15" t="n">
        <v>0</v>
      </c>
    </row>
    <row r="10">
      <c r="A10" s="15" t="inlineStr">
        <is>
          <t xml:space="preserve">U025 </t>
        </is>
      </c>
      <c r="B10" s="15" t="inlineStr">
        <is>
          <t xml:space="preserve">ADM. FACULTAD DE DERECHO </t>
        </is>
      </c>
      <c r="C10" s="15" t="inlineStr">
        <is>
          <t xml:space="preserve">DOCTORADO EN DERECHO </t>
        </is>
      </c>
      <c r="D10" s="15" t="inlineStr">
        <is>
          <t xml:space="preserve">Extremera Fernández, Beatriz </t>
        </is>
      </c>
      <c r="E10" s="15" t="inlineStr">
        <is>
          <t xml:space="preserve">La carga de mitigar el daño </t>
        </is>
      </c>
      <c r="F10" s="15" t="inlineStr">
        <is>
          <t xml:space="preserve">25/11/2021 </t>
        </is>
      </c>
      <c r="G10" s="15" t="inlineStr">
        <is>
          <t xml:space="preserve">25128665S </t>
        </is>
      </c>
      <c r="H10" s="15" t="inlineStr">
        <is>
          <t xml:space="preserve">Codirector de tesis </t>
        </is>
      </c>
      <c r="I10" s="15" t="inlineStr">
        <is>
          <t xml:space="preserve">B107 </t>
        </is>
      </c>
      <c r="J10" s="15" t="inlineStr">
        <is>
          <t xml:space="preserve">DERECHO CIVIL </t>
        </is>
      </c>
      <c r="K10" s="26" t="n">
        <v>0.5</v>
      </c>
      <c r="L10" s="26" t="inlineStr">
        <is>
          <t>B107</t>
        </is>
      </c>
      <c r="M10" s="15" t="n">
        <v>2021</v>
      </c>
      <c r="N10" s="15" t="inlineStr"/>
      <c r="O10" s="21" t="inlineStr"/>
      <c r="P10" s="15" t="inlineStr"/>
      <c r="Q10" s="21" t="inlineStr"/>
      <c r="R10" s="15" t="n">
        <v>100</v>
      </c>
      <c r="S10" s="15" t="n">
        <v>0.5</v>
      </c>
      <c r="T10" s="15" t="n">
        <v>0</v>
      </c>
      <c r="U10" s="15" t="n">
        <v>0</v>
      </c>
    </row>
    <row r="11">
      <c r="A11" s="15" t="inlineStr">
        <is>
          <t xml:space="preserve">U025 </t>
        </is>
      </c>
      <c r="B11" s="15" t="inlineStr">
        <is>
          <t xml:space="preserve">ADM. FACULTAD DE DERECHO </t>
        </is>
      </c>
      <c r="C11" s="15" t="inlineStr">
        <is>
          <t xml:space="preserve">DOCTORADO EN DERECHO </t>
        </is>
      </c>
      <c r="D11" s="15" t="inlineStr">
        <is>
          <t xml:space="preserve">Extremera Fernández, Beatriz </t>
        </is>
      </c>
      <c r="E11" s="15" t="inlineStr">
        <is>
          <t xml:space="preserve">La carga de mitigar el daño </t>
        </is>
      </c>
      <c r="F11" s="15" t="inlineStr">
        <is>
          <t xml:space="preserve">25/11/2021 </t>
        </is>
      </c>
      <c r="G11" s="15" t="inlineStr">
        <is>
          <t xml:space="preserve">21422601X </t>
        </is>
      </c>
      <c r="H11" s="15" t="inlineStr">
        <is>
          <t xml:space="preserve">Codirector de tesis </t>
        </is>
      </c>
      <c r="I11" s="15" t="inlineStr">
        <is>
          <t xml:space="preserve">B107 </t>
        </is>
      </c>
      <c r="J11" s="15" t="inlineStr">
        <is>
          <t xml:space="preserve">DERECHO CIVIL </t>
        </is>
      </c>
      <c r="K11" s="26" t="n">
        <v>0.5</v>
      </c>
      <c r="L11" s="26" t="inlineStr">
        <is>
          <t>B107</t>
        </is>
      </c>
      <c r="M11" s="15" t="n">
        <v>2021</v>
      </c>
      <c r="N11" s="15" t="inlineStr"/>
      <c r="O11" s="21" t="inlineStr"/>
      <c r="P11" s="15" t="inlineStr"/>
      <c r="Q11" s="21" t="inlineStr"/>
      <c r="R11" s="15" t="n">
        <v>100</v>
      </c>
      <c r="S11" s="15" t="n">
        <v>0.5</v>
      </c>
      <c r="T11" s="15" t="n">
        <v>0</v>
      </c>
      <c r="U11" s="15" t="n">
        <v>0</v>
      </c>
    </row>
    <row r="12" ht="10.15" customHeight="1">
      <c r="A12" s="15" t="inlineStr">
        <is>
          <t xml:space="preserve">U025 </t>
        </is>
      </c>
      <c r="B12" s="15" t="inlineStr">
        <is>
          <t xml:space="preserve">ADM. FACULTAD DE DERECHO </t>
        </is>
      </c>
      <c r="C12" s="15" t="inlineStr">
        <is>
          <t xml:space="preserve">DOCTORADO EN DERECHO </t>
        </is>
      </c>
      <c r="D12" s="15" t="inlineStr">
        <is>
          <t xml:space="preserve">Casells Bonacho, Jose Luis </t>
        </is>
      </c>
      <c r="E12" s="15" t="inlineStr">
        <is>
          <t xml:space="preserve">Protección jurídico civil de los sujetos del ensayo clínico con medicamentos: mecanismos resarcitorios </t>
        </is>
      </c>
      <c r="F12" s="15" t="inlineStr">
        <is>
          <t xml:space="preserve">07/06/2023 </t>
        </is>
      </c>
      <c r="G12" s="15" t="inlineStr">
        <is>
          <t xml:space="preserve">21422601X </t>
        </is>
      </c>
      <c r="H12" s="15" t="inlineStr">
        <is>
          <t xml:space="preserve">Codirector de tesis </t>
        </is>
      </c>
      <c r="I12" s="15" t="inlineStr">
        <is>
          <t xml:space="preserve">B107 </t>
        </is>
      </c>
      <c r="J12" s="15" t="inlineStr">
        <is>
          <t xml:space="preserve">DERECHO CIVIL </t>
        </is>
      </c>
      <c r="K12" s="31" t="n">
        <v>0.5</v>
      </c>
      <c r="L12" s="31" t="inlineStr">
        <is>
          <t>B107</t>
        </is>
      </c>
      <c r="M12" s="15" t="n">
        <v>2022</v>
      </c>
      <c r="N12" s="31" t="inlineStr"/>
      <c r="O12" s="31" t="inlineStr"/>
      <c r="P12" s="31" t="inlineStr"/>
      <c r="Q12" s="31" t="inlineStr"/>
      <c r="R12" s="31" t="n">
        <v>100</v>
      </c>
      <c r="S12" s="31" t="n">
        <v>0.5</v>
      </c>
      <c r="T12" s="31" t="n">
        <v>0</v>
      </c>
      <c r="U12" s="31" t="n">
        <v>0</v>
      </c>
    </row>
    <row r="13" ht="10.15" customHeight="1">
      <c r="A13" s="15" t="inlineStr">
        <is>
          <t xml:space="preserve">U025 </t>
        </is>
      </c>
      <c r="B13" s="15" t="inlineStr">
        <is>
          <t xml:space="preserve">ADM. FACULTAD DE DERECHO </t>
        </is>
      </c>
      <c r="C13" s="15" t="inlineStr">
        <is>
          <t xml:space="preserve">DOCTORADO EN DERECHO </t>
        </is>
      </c>
      <c r="D13" s="15" t="inlineStr">
        <is>
          <t xml:space="preserve">Casells Bonacho, Jose Luis </t>
        </is>
      </c>
      <c r="E13" s="15" t="inlineStr">
        <is>
          <t xml:space="preserve">Protección jurídico civil de los sujetos del ensayo clínico con medicamentos: mecanismos resarcitorios </t>
        </is>
      </c>
      <c r="F13" s="15" t="inlineStr">
        <is>
          <t xml:space="preserve">07/06/2023 </t>
        </is>
      </c>
      <c r="G13" s="15" t="inlineStr">
        <is>
          <t xml:space="preserve">21485458P </t>
        </is>
      </c>
      <c r="H13" s="15" t="inlineStr">
        <is>
          <t xml:space="preserve">Codirector de tesis </t>
        </is>
      </c>
      <c r="I13" s="15" t="inlineStr">
        <is>
          <t xml:space="preserve">B107 </t>
        </is>
      </c>
      <c r="J13" s="15" t="inlineStr">
        <is>
          <t xml:space="preserve">DERECHO CIVIL </t>
        </is>
      </c>
      <c r="K13" s="31" t="n">
        <v>0.5</v>
      </c>
      <c r="L13" s="31" t="inlineStr">
        <is>
          <t>B107</t>
        </is>
      </c>
      <c r="M13" s="15" t="n">
        <v>2022</v>
      </c>
      <c r="N13" s="31" t="inlineStr">
        <is>
          <t>10.23</t>
        </is>
      </c>
      <c r="O13" s="31" t="n">
        <v>20</v>
      </c>
      <c r="P13" s="31" t="inlineStr"/>
      <c r="Q13" s="31" t="n">
        <v>0</v>
      </c>
      <c r="R13" s="31" t="n">
        <v>80</v>
      </c>
      <c r="S13" s="31" t="n">
        <v>0.4</v>
      </c>
      <c r="T13" s="31" t="n">
        <v>0.1</v>
      </c>
      <c r="U13" s="31" t="n">
        <v>0</v>
      </c>
    </row>
    <row r="14" ht="10.15" customHeight="1">
      <c r="A14" s="15" t="inlineStr">
        <is>
          <t xml:space="preserve">U025 </t>
        </is>
      </c>
      <c r="B14" s="15" t="inlineStr">
        <is>
          <t xml:space="preserve">ADM. FACULTAD DE DERECHO </t>
        </is>
      </c>
      <c r="C14" s="15" t="inlineStr">
        <is>
          <t xml:space="preserve">DOCTORADO EN DERECHO </t>
        </is>
      </c>
      <c r="D14" s="15" t="inlineStr">
        <is>
          <t xml:space="preserve">Molina Martínez, Lucía </t>
        </is>
      </c>
      <c r="E14" s="15" t="inlineStr">
        <is>
          <t xml:space="preserve">El daño indirecto o por rebote por causa de lesiones </t>
        </is>
      </c>
      <c r="F14" s="15" t="inlineStr">
        <is>
          <t xml:space="preserve">22/09/2023 </t>
        </is>
      </c>
      <c r="G14" s="15" t="inlineStr">
        <is>
          <t xml:space="preserve">21422601X </t>
        </is>
      </c>
      <c r="H14" s="15" t="inlineStr">
        <is>
          <t xml:space="preserve">Director de tesis </t>
        </is>
      </c>
      <c r="I14" s="15" t="inlineStr">
        <is>
          <t xml:space="preserve">B107 </t>
        </is>
      </c>
      <c r="J14" s="15" t="inlineStr">
        <is>
          <t xml:space="preserve">DERECHO CIVIL </t>
        </is>
      </c>
      <c r="K14" s="31" t="n">
        <v>1</v>
      </c>
      <c r="L14" s="31" t="inlineStr">
        <is>
          <t>B107</t>
        </is>
      </c>
      <c r="M14" s="15" t="n">
        <v>2022</v>
      </c>
      <c r="N14" s="31" t="inlineStr"/>
      <c r="O14" s="31" t="inlineStr"/>
      <c r="P14" s="31" t="inlineStr"/>
      <c r="Q14" s="31" t="inlineStr"/>
      <c r="R14" s="31" t="n">
        <v>100</v>
      </c>
      <c r="S14" s="31" t="n">
        <v>1</v>
      </c>
      <c r="T14" s="31" t="n">
        <v>0</v>
      </c>
      <c r="U14" s="31" t="n">
        <v>0</v>
      </c>
    </row>
    <row r="15" ht="10.15" customHeight="1">
      <c r="A15" s="15" t="inlineStr">
        <is>
          <t>U025</t>
        </is>
      </c>
      <c r="B15" s="15" t="inlineStr">
        <is>
          <t>ADM. FACULTAD DE DERECHO</t>
        </is>
      </c>
      <c r="C15" s="15" t="inlineStr">
        <is>
          <t>DOCTORADO EN DERECHO</t>
        </is>
      </c>
      <c r="D15" s="15" t="inlineStr">
        <is>
          <t>Feliz Sarraf Ferri, Caroline</t>
        </is>
      </c>
      <c r="E15" s="15" t="inlineStr">
        <is>
          <t>Os serviços de registro imobiliário brasileiro e espanhol em perspectiva: segurança jurídica, eficiência e eficácia social</t>
        </is>
      </c>
      <c r="F15" s="15" t="inlineStr">
        <is>
          <t>31/07/2024</t>
        </is>
      </c>
      <c r="G15" s="15" t="inlineStr">
        <is>
          <t>21484360Z</t>
        </is>
      </c>
      <c r="H15" s="15" t="inlineStr">
        <is>
          <t>Codirector de tesis</t>
        </is>
      </c>
      <c r="I15" s="15" t="inlineStr">
        <is>
          <t>B107</t>
        </is>
      </c>
      <c r="J15" s="15" t="inlineStr">
        <is>
          <t>DERECHO CIVIL</t>
        </is>
      </c>
      <c r="K15" s="31" t="n">
        <v>0.5</v>
      </c>
      <c r="L15" s="31" t="inlineStr">
        <is>
          <t>B107</t>
        </is>
      </c>
      <c r="M15" s="15" t="n">
        <v>2023</v>
      </c>
      <c r="N15" s="31" t="inlineStr"/>
      <c r="O15" s="31" t="inlineStr"/>
      <c r="P15" s="31" t="inlineStr"/>
      <c r="Q15" s="31" t="inlineStr"/>
      <c r="R15" s="31" t="n">
        <v>100</v>
      </c>
      <c r="S15" s="31" t="n">
        <v>0.5</v>
      </c>
      <c r="T15" s="31" t="n">
        <v>0</v>
      </c>
      <c r="U15" s="31" t="n">
        <v>0</v>
      </c>
    </row>
    <row r="16" ht="10.15" customHeight="1">
      <c r="A16" s="15" t="inlineStr">
        <is>
          <t>U025</t>
        </is>
      </c>
      <c r="B16" s="15" t="inlineStr">
        <is>
          <t>ADM. FACULTAD DE DERECHO</t>
        </is>
      </c>
      <c r="C16" s="15" t="inlineStr">
        <is>
          <t>DOCTORADO EN DERECHO</t>
        </is>
      </c>
      <c r="D16" s="15" t="inlineStr">
        <is>
          <t>Argüello Ortiz, Arsenio</t>
        </is>
      </c>
      <c r="E16" s="15" t="inlineStr">
        <is>
          <t>La reparación integral de los daños al ambiente</t>
        </is>
      </c>
      <c r="F16" s="15" t="inlineStr">
        <is>
          <t>27/09/2024</t>
        </is>
      </c>
      <c r="G16" s="15" t="inlineStr">
        <is>
          <t>21468249A</t>
        </is>
      </c>
      <c r="H16" s="15" t="inlineStr">
        <is>
          <t>Director de tesis</t>
        </is>
      </c>
      <c r="I16" s="15" t="inlineStr">
        <is>
          <t>B107</t>
        </is>
      </c>
      <c r="J16" s="15" t="inlineStr">
        <is>
          <t>DERECHO CIVIL</t>
        </is>
      </c>
      <c r="K16" s="31" t="n">
        <v>1</v>
      </c>
      <c r="L16" s="31" t="inlineStr">
        <is>
          <t>B107</t>
        </is>
      </c>
      <c r="M16" s="15" t="n">
        <v>2023</v>
      </c>
      <c r="N16" s="31" t="inlineStr"/>
      <c r="O16" s="31" t="inlineStr"/>
      <c r="P16" s="31" t="inlineStr"/>
      <c r="Q16" s="31" t="inlineStr"/>
      <c r="R16" s="31" t="n">
        <v>100</v>
      </c>
      <c r="S16" s="31" t="n">
        <v>1</v>
      </c>
      <c r="T16" s="31" t="n">
        <v>0</v>
      </c>
      <c r="U16" s="31" t="n">
        <v>0</v>
      </c>
    </row>
    <row r="17" ht="10.15" customHeight="1">
      <c r="A17" s="15" t="inlineStr">
        <is>
          <t>U025</t>
        </is>
      </c>
      <c r="B17" s="15" t="inlineStr">
        <is>
          <t>Administración Facultad de Derecho</t>
        </is>
      </c>
      <c r="C17" s="15" t="inlineStr">
        <is>
          <t>DOCTORADO EN DERECHO</t>
        </is>
      </c>
      <c r="D17" s="15" t="inlineStr">
        <is>
          <t>Serrano Sánchez, Beatriz Ana</t>
        </is>
      </c>
      <c r="E17" s="15" t="inlineStr">
        <is>
          <t>Los datos como contraprestación para el suministro de contenidos digitales</t>
        </is>
      </c>
      <c r="F17" s="15" t="inlineStr">
        <is>
          <t>13/12/2024</t>
        </is>
      </c>
      <c r="G17" s="15" t="inlineStr">
        <is>
          <t>21422601X</t>
        </is>
      </c>
      <c r="H17" s="15" t="inlineStr">
        <is>
          <t>Codirector de tesis</t>
        </is>
      </c>
      <c r="I17" s="15" t="inlineStr">
        <is>
          <t>B107</t>
        </is>
      </c>
      <c r="J17" s="15" t="inlineStr">
        <is>
          <t>Derecho Civil</t>
        </is>
      </c>
      <c r="K17" s="31" t="n">
        <v>0.5</v>
      </c>
      <c r="L17" s="31" t="inlineStr">
        <is>
          <t>B107</t>
        </is>
      </c>
      <c r="M17" s="15" t="n">
        <v>2024</v>
      </c>
      <c r="N17" s="31" t="inlineStr"/>
      <c r="O17" s="31" t="inlineStr"/>
      <c r="P17" s="31" t="inlineStr"/>
      <c r="Q17" s="31" t="inlineStr"/>
      <c r="R17" s="31" t="n">
        <v>100</v>
      </c>
      <c r="S17" s="31" t="n">
        <v>0.5</v>
      </c>
      <c r="T17" s="31" t="n">
        <v>0</v>
      </c>
      <c r="U17" s="31" t="n">
        <v>0</v>
      </c>
    </row>
    <row r="18" ht="10.15" customHeight="1">
      <c r="A18" s="15" t="inlineStr">
        <is>
          <t>U025</t>
        </is>
      </c>
      <c r="B18" s="15" t="inlineStr">
        <is>
          <t>Administración Facultad de Derecho</t>
        </is>
      </c>
      <c r="C18" s="15" t="inlineStr">
        <is>
          <t>DOCTORADO EN DERECHO</t>
        </is>
      </c>
      <c r="D18" s="15" t="inlineStr">
        <is>
          <t>Serrano Sánchez, Beatriz Ana</t>
        </is>
      </c>
      <c r="E18" s="15" t="inlineStr">
        <is>
          <t>Los datos como contraprestación para el suministro de contenidos digitales</t>
        </is>
      </c>
      <c r="F18" s="15" t="inlineStr">
        <is>
          <t>13/12/2024</t>
        </is>
      </c>
      <c r="G18" s="15" t="inlineStr">
        <is>
          <t>21504263E</t>
        </is>
      </c>
      <c r="H18" s="15" t="inlineStr">
        <is>
          <t>Codirector de tesis</t>
        </is>
      </c>
      <c r="I18" s="15" t="inlineStr">
        <is>
          <t>B107</t>
        </is>
      </c>
      <c r="J18" s="15" t="inlineStr">
        <is>
          <t>Derecho Civil</t>
        </is>
      </c>
      <c r="K18" s="31" t="n">
        <v>0.5</v>
      </c>
      <c r="L18" s="31" t="inlineStr">
        <is>
          <t>B107</t>
        </is>
      </c>
      <c r="M18" s="15" t="n">
        <v>2024</v>
      </c>
      <c r="N18" s="31" t="inlineStr"/>
      <c r="O18" s="31" t="inlineStr"/>
      <c r="P18" s="31" t="inlineStr"/>
      <c r="Q18" s="31" t="inlineStr"/>
      <c r="R18" s="31" t="n">
        <v>100</v>
      </c>
      <c r="S18" s="31" t="n">
        <v>0.5</v>
      </c>
      <c r="T18" s="31" t="n">
        <v>0</v>
      </c>
      <c r="U18" s="31" t="n">
        <v>0</v>
      </c>
    </row>
    <row r="19">
      <c r="A19" s="32" t="n"/>
      <c r="B19" s="32" t="n"/>
      <c r="C19" s="32" t="n"/>
      <c r="D19" s="32" t="n"/>
      <c r="E19" s="32" t="n"/>
      <c r="F19" s="32" t="n"/>
      <c r="G19" s="32" t="n"/>
      <c r="H19" s="32" t="n"/>
      <c r="I19" s="32" t="n"/>
      <c r="J19" s="32" t="n"/>
      <c r="K19" s="32" t="n"/>
      <c r="L19" s="32" t="n"/>
      <c r="M19" s="32" t="n"/>
      <c r="N19" s="33" t="n"/>
      <c r="O19" s="32" t="n"/>
      <c r="P19" s="33" t="n"/>
      <c r="Q19" s="32" t="n"/>
      <c r="R19" s="34" t="n"/>
      <c r="S19" s="44">
        <f>SUM(S2:S18)</f>
        <v/>
      </c>
      <c r="T19" s="32" t="n"/>
      <c r="U19" s="32" t="n"/>
    </row>
  </sheetData>
  <autoFilter ref="A1:U1">
    <sortState ref="A2:U1898">
      <sortCondition ref="L2:L1898"/>
      <sortCondition ref="M2:M1898"/>
      <sortCondition ref="D2:D1898"/>
    </sortState>
  </autoFilter>
  <printOptions horizontalCentered="1"/>
  <pageMargins left="0.1968503937007874" right="0.1968503937007874" top="0.3937007874015748" bottom="0.3937007874015748" header="0.7874015748031497" footer="0"/>
  <pageSetup orientation="landscape" paperSize="9" scale="93" fitToHeight="50" fitToWidth="2"/>
</worksheet>
</file>

<file path=xl/worksheets/sheet2.xml><?xml version="1.0" encoding="utf-8"?>
<worksheet xmlns="http://schemas.openxmlformats.org/spreadsheetml/2006/main">
  <sheetPr>
    <outlinePr summaryBelow="1" summaryRight="1"/>
    <pageSetUpPr fitToPage="1"/>
  </sheetPr>
  <dimension ref="A1:T17"/>
  <sheetViews>
    <sheetView zoomScaleNormal="100" workbookViewId="0">
      <selection activeCell="C23" sqref="C23"/>
    </sheetView>
  </sheetViews>
  <sheetFormatPr baseColWidth="10" defaultColWidth="11.42578125" defaultRowHeight="12.75"/>
  <cols>
    <col width="10.85546875" bestFit="1" customWidth="1" style="11" min="1" max="1"/>
    <col width="42" bestFit="1" customWidth="1" style="11" min="2" max="2"/>
    <col width="17" bestFit="1" customWidth="1" style="11" min="3" max="3"/>
    <col width="3.28515625" bestFit="1" customWidth="1" style="11" min="4" max="9"/>
    <col width="13.140625" bestFit="1" customWidth="1" style="11" min="10" max="10"/>
    <col width="5.28515625" bestFit="1" customWidth="1" style="11" min="11" max="11"/>
    <col width="5.7109375" bestFit="1" customWidth="1" style="11" min="12" max="13"/>
    <col width="5.7109375" bestFit="1" customWidth="1" style="12" min="14" max="14"/>
    <col width="5.7109375" bestFit="1" customWidth="1" style="11" min="15" max="15"/>
    <col width="5.7109375" bestFit="1" customWidth="1" style="12" min="16" max="16"/>
    <col width="5.7109375" bestFit="1" customWidth="1" style="11" min="17" max="19"/>
    <col width="11.42578125" customWidth="1" style="11" min="20" max="16384"/>
  </cols>
  <sheetData>
    <row r="1" ht="60" customFormat="1" customHeight="1" s="10">
      <c r="A1" s="13" t="inlineStr">
        <is>
          <t>NIF</t>
        </is>
      </c>
      <c r="B1" s="13" t="inlineStr">
        <is>
          <t>NOMBRE_COMPLETO</t>
        </is>
      </c>
      <c r="C1" s="13" t="inlineStr">
        <is>
          <t>TIPO_SEXENIO</t>
        </is>
      </c>
      <c r="D1" s="14" t="inlineStr">
        <is>
          <t>2020</t>
        </is>
      </c>
      <c r="E1" s="14" t="inlineStr">
        <is>
          <t>2021</t>
        </is>
      </c>
      <c r="F1" s="14" t="inlineStr">
        <is>
          <t>2022</t>
        </is>
      </c>
      <c r="G1" s="14" t="inlineStr">
        <is>
          <t>2023</t>
        </is>
      </c>
      <c r="H1" s="14" t="inlineStr">
        <is>
          <t>2024</t>
        </is>
      </c>
      <c r="I1" s="14" t="inlineStr">
        <is>
          <t>2025</t>
        </is>
      </c>
      <c r="J1" s="13" t="inlineStr">
        <is>
          <t>Total general</t>
        </is>
      </c>
      <c r="K1" s="27" t="inlineStr">
        <is>
          <t>COD DEP</t>
        </is>
      </c>
      <c r="L1" s="8" t="inlineStr">
        <is>
          <t>INS
1</t>
        </is>
      </c>
      <c r="M1" s="8" t="inlineStr">
        <is>
          <t>DED
INS 1</t>
        </is>
      </c>
      <c r="N1" s="8" t="inlineStr">
        <is>
          <t>INS
2</t>
        </is>
      </c>
      <c r="O1" s="8" t="inlineStr">
        <is>
          <t>DED
INS 2</t>
        </is>
      </c>
      <c r="P1" s="9" t="inlineStr">
        <is>
          <t>DED
DEP</t>
        </is>
      </c>
      <c r="Q1" s="9" t="inlineStr">
        <is>
          <t>SEX
INS 1</t>
        </is>
      </c>
      <c r="R1" s="9" t="inlineStr">
        <is>
          <t>SEX
INS 2</t>
        </is>
      </c>
      <c r="S1" s="9" t="inlineStr">
        <is>
          <t>SEX
DEP</t>
        </is>
      </c>
      <c r="T1" s="11" t="n"/>
    </row>
    <row r="2" ht="15" customHeight="1">
      <c r="A2" s="38" t="inlineStr">
        <is>
          <t>21422601X</t>
        </is>
      </c>
      <c r="B2" s="38" t="inlineStr">
        <is>
          <t>Moreno Martínez, Juan Antonio</t>
        </is>
      </c>
      <c r="C2" s="38" t="inlineStr">
        <is>
          <t>FUNCIONARIO</t>
        </is>
      </c>
      <c r="D2" s="38" t="n"/>
      <c r="E2" s="38" t="n"/>
      <c r="F2" s="38" t="n"/>
      <c r="G2" s="38" t="n"/>
      <c r="H2" s="38" t="n"/>
      <c r="I2" s="38" t="n">
        <v>1</v>
      </c>
      <c r="J2" s="38" t="n">
        <v>1</v>
      </c>
      <c r="K2" s="38" t="inlineStr">
        <is>
          <t>B107</t>
        </is>
      </c>
      <c r="L2" s="39" t="n">
        <v>0</v>
      </c>
      <c r="M2" s="39" t="n">
        <v>0</v>
      </c>
      <c r="N2" s="39" t="inlineStr"/>
      <c r="O2" s="39" t="inlineStr"/>
      <c r="P2" s="39" t="n">
        <v>100</v>
      </c>
      <c r="Q2" s="39" t="n">
        <v>0</v>
      </c>
      <c r="R2" s="39" t="n">
        <v>0</v>
      </c>
      <c r="S2" s="39" t="n">
        <v>1</v>
      </c>
    </row>
    <row r="3" ht="15" customHeight="1">
      <c r="A3" s="38" t="inlineStr">
        <is>
          <t>21468249A</t>
        </is>
      </c>
      <c r="B3" s="38" t="inlineStr">
        <is>
          <t>Algarra Prats, Esther</t>
        </is>
      </c>
      <c r="C3" s="38" t="inlineStr">
        <is>
          <t>FUNCIONARIO</t>
        </is>
      </c>
      <c r="D3" s="38" t="n"/>
      <c r="E3" s="38" t="n"/>
      <c r="F3" s="38" t="n"/>
      <c r="G3" s="38" t="n"/>
      <c r="H3" s="38" t="n">
        <v>1</v>
      </c>
      <c r="I3" s="38" t="n"/>
      <c r="J3" s="38" t="n">
        <v>1</v>
      </c>
      <c r="K3" s="38" t="inlineStr">
        <is>
          <t>B107</t>
        </is>
      </c>
      <c r="L3" s="39" t="n">
        <v>0</v>
      </c>
      <c r="M3" s="39" t="n">
        <v>0</v>
      </c>
      <c r="N3" s="39" t="inlineStr"/>
      <c r="O3" s="39" t="inlineStr"/>
      <c r="P3" s="39" t="n">
        <v>100</v>
      </c>
      <c r="Q3" s="39" t="n">
        <v>0</v>
      </c>
      <c r="R3" s="39" t="n">
        <v>0</v>
      </c>
      <c r="S3" s="39" t="n">
        <v>1</v>
      </c>
    </row>
    <row r="4" ht="15" customHeight="1">
      <c r="A4" s="38" t="inlineStr">
        <is>
          <t>21484360Z</t>
        </is>
      </c>
      <c r="B4" s="38" t="inlineStr">
        <is>
          <t>Femenía López, Pedro José</t>
        </is>
      </c>
      <c r="C4" s="38" t="inlineStr">
        <is>
          <t>FUNCIONARIO</t>
        </is>
      </c>
      <c r="D4" s="38" t="n">
        <v>1</v>
      </c>
      <c r="E4" s="38" t="n"/>
      <c r="F4" s="38" t="n"/>
      <c r="G4" s="38" t="n"/>
      <c r="H4" s="38" t="n"/>
      <c r="I4" s="38" t="n"/>
      <c r="J4" s="38" t="n">
        <v>1</v>
      </c>
      <c r="K4" s="38" t="inlineStr">
        <is>
          <t>B107</t>
        </is>
      </c>
      <c r="L4" s="39" t="n">
        <v>0</v>
      </c>
      <c r="M4" s="39" t="n">
        <v>0</v>
      </c>
      <c r="N4" s="39" t="inlineStr"/>
      <c r="O4" s="39" t="inlineStr"/>
      <c r="P4" s="39" t="n">
        <v>100</v>
      </c>
      <c r="Q4" s="39" t="n">
        <v>0</v>
      </c>
      <c r="R4" s="39" t="n">
        <v>0</v>
      </c>
      <c r="S4" s="39" t="n">
        <v>1</v>
      </c>
    </row>
    <row r="5" ht="15" customHeight="1">
      <c r="A5" s="38" t="inlineStr">
        <is>
          <t>21485458P</t>
        </is>
      </c>
      <c r="B5" s="38" t="inlineStr">
        <is>
          <t>Múrtula Lafuente, Virginia</t>
        </is>
      </c>
      <c r="C5" s="38" t="inlineStr">
        <is>
          <t>FUNCIONARIO</t>
        </is>
      </c>
      <c r="D5" s="38" t="n">
        <v>1</v>
      </c>
      <c r="E5" s="38" t="n"/>
      <c r="F5" s="38" t="n"/>
      <c r="G5" s="38" t="n"/>
      <c r="H5" s="38" t="n"/>
      <c r="I5" s="38" t="n"/>
      <c r="J5" s="38" t="n">
        <v>1</v>
      </c>
      <c r="K5" s="38" t="inlineStr">
        <is>
          <t>B107</t>
        </is>
      </c>
      <c r="L5" s="39" t="inlineStr">
        <is>
          <t>10.23</t>
        </is>
      </c>
      <c r="M5" s="39" t="inlineStr">
        <is>
          <t>20</t>
        </is>
      </c>
      <c r="N5" s="39" t="inlineStr"/>
      <c r="O5" s="39" t="inlineStr"/>
      <c r="P5" s="39" t="n">
        <v>80</v>
      </c>
      <c r="Q5" s="39" t="n">
        <v>0.2</v>
      </c>
      <c r="R5" s="39" t="n">
        <v>0</v>
      </c>
      <c r="S5" s="39" t="n">
        <v>0.8</v>
      </c>
    </row>
    <row r="6" ht="15" customHeight="1">
      <c r="A6" s="38" t="inlineStr">
        <is>
          <t>21491593W</t>
        </is>
      </c>
      <c r="B6" s="38" t="inlineStr">
        <is>
          <t>Cabedo Serna, María de los Llanos</t>
        </is>
      </c>
      <c r="C6" s="38" t="inlineStr">
        <is>
          <t>NO FUNCIONARIO</t>
        </is>
      </c>
      <c r="D6" s="38" t="n"/>
      <c r="E6" s="38" t="n">
        <v>1</v>
      </c>
      <c r="F6" s="38" t="n"/>
      <c r="G6" s="38" t="n"/>
      <c r="H6" s="38" t="n"/>
      <c r="I6" s="38" t="n"/>
      <c r="J6" s="38" t="n">
        <v>1</v>
      </c>
      <c r="K6" s="38" t="inlineStr">
        <is>
          <t>B107</t>
        </is>
      </c>
      <c r="L6" s="39" t="n">
        <v>0</v>
      </c>
      <c r="M6" s="39" t="n">
        <v>0</v>
      </c>
      <c r="N6" s="39" t="inlineStr"/>
      <c r="O6" s="39" t="inlineStr"/>
      <c r="P6" s="39" t="n">
        <v>100</v>
      </c>
      <c r="Q6" s="39" t="n">
        <v>0</v>
      </c>
      <c r="R6" s="39" t="n">
        <v>0</v>
      </c>
      <c r="S6" s="39" t="n">
        <v>1</v>
      </c>
    </row>
    <row r="7" ht="15" customHeight="1">
      <c r="A7" s="38" t="inlineStr">
        <is>
          <t>21504263E</t>
        </is>
      </c>
      <c r="B7" s="38" t="inlineStr">
        <is>
          <t>Bustos Moreno, Yolanda</t>
        </is>
      </c>
      <c r="C7" s="38" t="inlineStr">
        <is>
          <t>FUNCIONARIO</t>
        </is>
      </c>
      <c r="D7" s="38" t="n"/>
      <c r="E7" s="38" t="n"/>
      <c r="F7" s="38" t="n">
        <v>1</v>
      </c>
      <c r="G7" s="38" t="n"/>
      <c r="H7" s="38" t="n"/>
      <c r="I7" s="38" t="n"/>
      <c r="J7" s="38" t="n">
        <v>1</v>
      </c>
      <c r="K7" s="38" t="inlineStr">
        <is>
          <t>B107</t>
        </is>
      </c>
      <c r="L7" s="39" t="n">
        <v>0</v>
      </c>
      <c r="M7" s="39" t="n">
        <v>0</v>
      </c>
      <c r="N7" s="39" t="inlineStr"/>
      <c r="O7" s="39" t="inlineStr"/>
      <c r="P7" s="39" t="n">
        <v>100</v>
      </c>
      <c r="Q7" s="39" t="n">
        <v>0</v>
      </c>
      <c r="R7" s="39" t="n">
        <v>0</v>
      </c>
      <c r="S7" s="39" t="n">
        <v>1</v>
      </c>
    </row>
    <row r="8" ht="15" customHeight="1">
      <c r="A8" s="38" t="inlineStr">
        <is>
          <t>21664172N</t>
        </is>
      </c>
      <c r="B8" s="38" t="inlineStr">
        <is>
          <t>Ribera Blanes, Begoña</t>
        </is>
      </c>
      <c r="C8" s="38" t="inlineStr">
        <is>
          <t>FUNCIONARIO</t>
        </is>
      </c>
      <c r="D8" s="38" t="n"/>
      <c r="E8" s="38" t="n"/>
      <c r="F8" s="38" t="n"/>
      <c r="G8" s="38" t="n"/>
      <c r="H8" s="38" t="n">
        <v>1</v>
      </c>
      <c r="I8" s="38" t="n"/>
      <c r="J8" s="38" t="n">
        <v>1</v>
      </c>
      <c r="K8" s="38" t="inlineStr">
        <is>
          <t>B107</t>
        </is>
      </c>
      <c r="L8" s="39" t="n">
        <v>0</v>
      </c>
      <c r="M8" s="39" t="n">
        <v>0</v>
      </c>
      <c r="N8" s="39" t="inlineStr"/>
      <c r="O8" s="39" t="inlineStr"/>
      <c r="P8" s="39" t="n">
        <v>100</v>
      </c>
      <c r="Q8" s="39" t="n">
        <v>0</v>
      </c>
      <c r="R8" s="39" t="n">
        <v>0</v>
      </c>
      <c r="S8" s="39" t="n">
        <v>1</v>
      </c>
    </row>
    <row r="9" ht="15" customHeight="1">
      <c r="A9" s="38" t="inlineStr">
        <is>
          <t>21985902H</t>
        </is>
      </c>
      <c r="B9" s="38" t="inlineStr">
        <is>
          <t>Ramos Maestre, Aurea</t>
        </is>
      </c>
      <c r="C9" s="38" t="inlineStr">
        <is>
          <t>Vivos</t>
        </is>
      </c>
      <c r="D9" s="38" t="n"/>
      <c r="E9" s="38" t="n"/>
      <c r="F9" s="38" t="n"/>
      <c r="G9" s="38" t="n"/>
      <c r="H9" s="38" t="n"/>
      <c r="I9" s="38" t="n">
        <v>1</v>
      </c>
      <c r="J9" s="38" t="n">
        <v>1</v>
      </c>
      <c r="K9" s="38" t="inlineStr">
        <is>
          <t>B107</t>
        </is>
      </c>
      <c r="L9" s="39" t="n">
        <v>0</v>
      </c>
      <c r="M9" s="39" t="n">
        <v>0</v>
      </c>
      <c r="N9" s="39" t="inlineStr"/>
      <c r="O9" s="39" t="inlineStr"/>
      <c r="P9" s="39" t="n">
        <v>100</v>
      </c>
      <c r="Q9" s="39" t="n">
        <v>0</v>
      </c>
      <c r="R9" s="39" t="n">
        <v>0</v>
      </c>
      <c r="S9" s="39" t="n">
        <v>1</v>
      </c>
    </row>
    <row r="10" ht="15" customHeight="1">
      <c r="A10" s="38" t="inlineStr">
        <is>
          <t>25128665S</t>
        </is>
      </c>
      <c r="B10" s="38" t="inlineStr">
        <is>
          <t>Evangelio Llorca, María Raquel</t>
        </is>
      </c>
      <c r="C10" s="38" t="inlineStr">
        <is>
          <t>FUNCIONARIO</t>
        </is>
      </c>
      <c r="D10" s="38" t="n"/>
      <c r="E10" s="38" t="n"/>
      <c r="F10" s="38" t="n"/>
      <c r="G10" s="38" t="n"/>
      <c r="H10" s="38" t="n"/>
      <c r="I10" s="38" t="n">
        <v>1</v>
      </c>
      <c r="J10" s="38" t="n">
        <v>1</v>
      </c>
      <c r="K10" s="38" t="inlineStr">
        <is>
          <t>B107</t>
        </is>
      </c>
      <c r="L10" s="39" t="n">
        <v>0</v>
      </c>
      <c r="M10" s="39" t="n">
        <v>0</v>
      </c>
      <c r="N10" s="39" t="inlineStr"/>
      <c r="O10" s="39" t="inlineStr"/>
      <c r="P10" s="39" t="n">
        <v>100</v>
      </c>
      <c r="Q10" s="39" t="n">
        <v>0</v>
      </c>
      <c r="R10" s="39" t="n">
        <v>0</v>
      </c>
      <c r="S10" s="39" t="n">
        <v>1</v>
      </c>
    </row>
    <row r="11" ht="15" customHeight="1">
      <c r="A11" s="38" t="inlineStr">
        <is>
          <t>29039351B</t>
        </is>
      </c>
      <c r="B11" s="38" t="inlineStr">
        <is>
          <t>De las Heras García, Manuel Ángel</t>
        </is>
      </c>
      <c r="C11" s="38" t="inlineStr">
        <is>
          <t>FUNCIONARIO</t>
        </is>
      </c>
      <c r="D11" s="38" t="n"/>
      <c r="E11" s="38" t="n"/>
      <c r="F11" s="38" t="n"/>
      <c r="G11" s="38" t="n"/>
      <c r="H11" s="38" t="n"/>
      <c r="I11" s="38" t="n">
        <v>2</v>
      </c>
      <c r="J11" s="38" t="n">
        <v>2</v>
      </c>
      <c r="K11" s="38" t="inlineStr">
        <is>
          <t>B107</t>
        </is>
      </c>
      <c r="L11" s="39" t="n">
        <v>0</v>
      </c>
      <c r="M11" s="39" t="n">
        <v>0</v>
      </c>
      <c r="N11" s="39" t="inlineStr"/>
      <c r="O11" s="39" t="inlineStr"/>
      <c r="P11" s="39" t="n">
        <v>100</v>
      </c>
      <c r="Q11" s="39" t="n">
        <v>0</v>
      </c>
      <c r="R11" s="39" t="n">
        <v>0</v>
      </c>
      <c r="S11" s="39" t="n">
        <v>2</v>
      </c>
    </row>
    <row r="12" ht="15" customHeight="1">
      <c r="A12" s="38" t="inlineStr">
        <is>
          <t>48361709T</t>
        </is>
      </c>
      <c r="B12" s="38" t="inlineStr">
        <is>
          <t>Berenguer Albaladejo, Cristina</t>
        </is>
      </c>
      <c r="C12" s="38" t="inlineStr">
        <is>
          <t>FUNCIONARIO</t>
        </is>
      </c>
      <c r="D12" s="38" t="n"/>
      <c r="E12" s="38" t="n"/>
      <c r="F12" s="38" t="n"/>
      <c r="G12" s="38" t="n">
        <v>2</v>
      </c>
      <c r="H12" s="38" t="n"/>
      <c r="I12" s="38" t="n"/>
      <c r="J12" s="38" t="n">
        <v>2</v>
      </c>
      <c r="K12" s="38" t="inlineStr">
        <is>
          <t>B107</t>
        </is>
      </c>
      <c r="L12" s="39" t="n">
        <v>0</v>
      </c>
      <c r="M12" s="39" t="n">
        <v>0</v>
      </c>
      <c r="N12" s="39" t="inlineStr"/>
      <c r="O12" s="39" t="inlineStr"/>
      <c r="P12" s="39" t="n">
        <v>100</v>
      </c>
      <c r="Q12" s="39" t="n">
        <v>0</v>
      </c>
      <c r="R12" s="39" t="n">
        <v>0</v>
      </c>
      <c r="S12" s="39" t="n">
        <v>2</v>
      </c>
    </row>
    <row r="13" ht="15" customHeight="1">
      <c r="A13" s="38" t="inlineStr">
        <is>
          <t>48566867K</t>
        </is>
      </c>
      <c r="B13" s="38" t="inlineStr">
        <is>
          <t>Martínez Martínez, Nuria</t>
        </is>
      </c>
      <c r="C13" s="38" t="inlineStr">
        <is>
          <t>NO FUNCIONARIO</t>
        </is>
      </c>
      <c r="D13" s="38" t="n"/>
      <c r="E13" s="38" t="n"/>
      <c r="F13" s="38" t="n"/>
      <c r="G13" s="38" t="n"/>
      <c r="H13" s="38" t="n">
        <v>1</v>
      </c>
      <c r="I13" s="38" t="n"/>
      <c r="J13" s="38" t="n">
        <v>1</v>
      </c>
      <c r="K13" s="38" t="inlineStr">
        <is>
          <t>B107</t>
        </is>
      </c>
      <c r="L13" s="39" t="n">
        <v>0</v>
      </c>
      <c r="M13" s="39" t="n">
        <v>0</v>
      </c>
      <c r="N13" s="39" t="inlineStr"/>
      <c r="O13" s="39" t="inlineStr"/>
      <c r="P13" s="39" t="n">
        <v>100</v>
      </c>
      <c r="Q13" s="39" t="n">
        <v>0</v>
      </c>
      <c r="R13" s="39" t="n">
        <v>0</v>
      </c>
      <c r="S13" s="39" t="n">
        <v>1</v>
      </c>
    </row>
    <row r="14" ht="15" customHeight="1">
      <c r="A14" s="38" t="inlineStr">
        <is>
          <t>52774099R</t>
        </is>
      </c>
      <c r="B14" s="38" t="inlineStr">
        <is>
          <t>López Richart, Julian</t>
        </is>
      </c>
      <c r="C14" s="38" t="inlineStr">
        <is>
          <t>FUNCIONARIO</t>
        </is>
      </c>
      <c r="D14" s="38" t="n"/>
      <c r="E14" s="38" t="n"/>
      <c r="F14" s="38" t="n"/>
      <c r="G14" s="38" t="n"/>
      <c r="H14" s="38" t="n"/>
      <c r="I14" s="38" t="n">
        <v>1</v>
      </c>
      <c r="J14" s="38" t="n">
        <v>1</v>
      </c>
      <c r="K14" s="38" t="inlineStr">
        <is>
          <t>B107</t>
        </is>
      </c>
      <c r="L14" s="39" t="n">
        <v>0</v>
      </c>
      <c r="M14" s="39" t="n">
        <v>0</v>
      </c>
      <c r="N14" s="39" t="inlineStr"/>
      <c r="O14" s="39" t="inlineStr"/>
      <c r="P14" s="39" t="n">
        <v>100</v>
      </c>
      <c r="Q14" s="39" t="n">
        <v>0</v>
      </c>
      <c r="R14" s="39" t="n">
        <v>0</v>
      </c>
      <c r="S14" s="39" t="n">
        <v>1</v>
      </c>
    </row>
    <row r="15" ht="15" customHeight="1">
      <c r="A15" s="38" t="inlineStr">
        <is>
          <t>53630331N</t>
        </is>
      </c>
      <c r="B15" s="38" t="inlineStr">
        <is>
          <t>Extremera Fernández, Beatriz</t>
        </is>
      </c>
      <c r="C15" s="38" t="inlineStr">
        <is>
          <t>NO FUNCIONARIO</t>
        </is>
      </c>
      <c r="D15" s="38" t="n"/>
      <c r="E15" s="38" t="n"/>
      <c r="F15" s="38" t="n"/>
      <c r="G15" s="38" t="n"/>
      <c r="H15" s="38" t="n"/>
      <c r="I15" s="38" t="n">
        <v>1</v>
      </c>
      <c r="J15" s="38" t="n">
        <v>1</v>
      </c>
      <c r="K15" s="38" t="inlineStr">
        <is>
          <t>B107</t>
        </is>
      </c>
      <c r="L15" s="39" t="n">
        <v>0</v>
      </c>
      <c r="M15" s="39" t="n">
        <v>0</v>
      </c>
      <c r="N15" s="39" t="inlineStr"/>
      <c r="O15" s="39" t="inlineStr"/>
      <c r="P15" s="39" t="n">
        <v>100</v>
      </c>
      <c r="Q15" s="39" t="n">
        <v>0</v>
      </c>
      <c r="R15" s="39" t="n">
        <v>0</v>
      </c>
      <c r="S15" s="39" t="n">
        <v>1</v>
      </c>
    </row>
    <row r="16" ht="15" customHeight="1">
      <c r="A16" s="38" t="inlineStr">
        <is>
          <t>74086111Y</t>
        </is>
      </c>
      <c r="B16" s="38" t="inlineStr">
        <is>
          <t>Barcelo Domenech, Javier</t>
        </is>
      </c>
      <c r="C16" s="40" t="inlineStr">
        <is>
          <t>FUNCIONARIO</t>
        </is>
      </c>
      <c r="D16" s="38" t="n"/>
      <c r="E16" s="38" t="n"/>
      <c r="F16" s="38" t="n"/>
      <c r="G16" s="38" t="n"/>
      <c r="H16" s="38" t="n"/>
      <c r="I16" s="38" t="n">
        <v>1</v>
      </c>
      <c r="J16" s="38" t="n">
        <v>1</v>
      </c>
      <c r="K16" s="38" t="inlineStr">
        <is>
          <t>B107</t>
        </is>
      </c>
      <c r="L16" s="39" t="n">
        <v>0</v>
      </c>
      <c r="M16" s="39" t="n">
        <v>0</v>
      </c>
      <c r="N16" s="39" t="inlineStr"/>
      <c r="O16" s="39" t="inlineStr"/>
      <c r="P16" s="39" t="n">
        <v>100</v>
      </c>
      <c r="Q16" s="39" t="n">
        <v>0</v>
      </c>
      <c r="R16" s="39" t="n">
        <v>0</v>
      </c>
      <c r="S16" s="39" t="n">
        <v>1</v>
      </c>
    </row>
    <row r="17" ht="15" customHeight="1">
      <c r="A17" s="41" t="n"/>
      <c r="B17" s="41" t="n"/>
      <c r="C17" s="42" t="n"/>
      <c r="D17" s="41" t="n"/>
      <c r="E17" s="41" t="n"/>
      <c r="F17" s="41" t="n"/>
      <c r="G17" s="41" t="n"/>
      <c r="H17" s="41" t="n"/>
      <c r="I17" s="41" t="n"/>
      <c r="J17" s="41" t="n"/>
      <c r="K17" s="41" t="n"/>
      <c r="L17" s="41" t="n"/>
      <c r="M17" s="41" t="n"/>
      <c r="N17" s="41" t="n"/>
      <c r="O17" s="41" t="n"/>
      <c r="P17" s="41" t="n"/>
      <c r="Q17" s="41" t="n"/>
      <c r="R17" s="41" t="n"/>
      <c r="S17" s="43">
        <f>SUM(S2:S16)</f>
        <v/>
      </c>
    </row>
  </sheetData>
  <pageMargins left="0.3937007874015748" right="0.3937007874015748" top="0.3937007874015748" bottom="0.3937007874015748" header="0.3149606299212598" footer="0.3149606299212598"/>
  <pageSetup orientation="landscape" paperSize="9" scale="10"/>
</worksheet>
</file>

<file path=xl/worksheets/sheet3.xml><?xml version="1.0" encoding="utf-8"?>
<worksheet xmlns="http://schemas.openxmlformats.org/spreadsheetml/2006/main">
  <sheetPr>
    <outlinePr summaryBelow="1" summaryRight="1"/>
    <pageSetUpPr/>
  </sheetPr>
  <dimension ref="A1:C10"/>
  <sheetViews>
    <sheetView workbookViewId="0">
      <selection activeCell="B15" sqref="B15"/>
    </sheetView>
  </sheetViews>
  <sheetFormatPr baseColWidth="10" defaultRowHeight="15"/>
  <cols>
    <col width="16.42578125" customWidth="1" min="1" max="1"/>
    <col width="76.7109375" customWidth="1" min="2" max="2"/>
    <col width="15.42578125" customWidth="1" min="3" max="3"/>
  </cols>
  <sheetData>
    <row r="1">
      <c r="A1" s="50" t="inlineStr">
        <is>
          <t>Cód. org. aplic.</t>
        </is>
      </c>
      <c r="B1" s="50" t="inlineStr">
        <is>
          <t>Descripción justificante</t>
        </is>
      </c>
      <c r="C1" s="50" t="inlineStr">
        <is>
          <t>Imp.cob.aplic.</t>
        </is>
      </c>
    </row>
    <row r="2">
      <c r="A2" s="35" t="inlineStr">
        <is>
          <t>31.60.6P.00.10</t>
        </is>
      </c>
      <c r="B2" s="35" t="inlineStr">
        <is>
          <t>DEVOLUCIÓN DE INGRESOS_MODELO 047_ Nº de liquidación:46/2023/RAS/10224/1_Número de justificante: 047/1/002367815_Nº de referencia:047/1/002367815</t>
        </is>
      </c>
      <c r="C2" s="76" t="n">
        <v>-369.73</v>
      </c>
    </row>
    <row r="3">
      <c r="A3" s="36" t="inlineStr">
        <is>
          <t>31.60.6P.00.11</t>
        </is>
      </c>
      <c r="B3" s="36" t="inlineStr">
        <is>
          <t>PID2020-115956GB-I00/116185GB-I00/116496RB-C21/116514GB-I00/116998RB-I00/117303GBC22/118006RB-I00/118322RB-I00/118447RA-I00/118476RR-C22</t>
        </is>
      </c>
      <c r="C3" s="77" t="n">
        <v>16476.38</v>
      </c>
    </row>
    <row r="4">
      <c r="A4" s="35" t="inlineStr">
        <is>
          <t>31.60.6P.00.12</t>
        </is>
      </c>
      <c r="B4" s="35" t="inlineStr">
        <is>
          <t>CIPROM/2022/13/26/40. PROMETEO 2023</t>
        </is>
      </c>
      <c r="C4" s="76" t="n">
        <v>118500</v>
      </c>
    </row>
    <row r="5">
      <c r="A5" s="36" t="inlineStr">
        <is>
          <t>31.60.6P.00.13</t>
        </is>
      </c>
      <c r="B5" s="36" t="inlineStr">
        <is>
          <t xml:space="preserve">ayudas PID2022  138464NB-142516OB-139990NB-141382OB-137350NB-139899OB--136847NB-137385NB-139294NB-137873NA-138786NB-141712NB-136590OB-139105OB-142356NB-141694NB-136399NB  </t>
        </is>
      </c>
      <c r="C5" s="77" t="n">
        <v>32490</v>
      </c>
    </row>
    <row r="6">
      <c r="A6" s="35" t="inlineStr">
        <is>
          <t>31.60.6Q.00.01</t>
        </is>
      </c>
      <c r="B6" s="35" t="inlineStr">
        <is>
          <t>Primer pago financiación Curso 2023/2024 Cátedra de Derecho Notarial de la Universidad de Alicante, conforme acuerdo de colaboración de 14 de octubre de 2021</t>
        </is>
      </c>
      <c r="C6" s="76" t="n">
        <v>15000</v>
      </c>
    </row>
    <row r="7">
      <c r="A7" s="36" t="inlineStr">
        <is>
          <t>31.60.6Q.00.01</t>
        </is>
      </c>
      <c r="B7" s="36" t="inlineStr">
        <is>
          <t>Segundo pago financiación Curso 2022/2023 Cátedra de Derecho Notarial de la Universidad de Alicante, conforme acuerdo de colaboración de 14 de octubre de 2021</t>
        </is>
      </c>
      <c r="C7" s="77" t="n">
        <v>15000</v>
      </c>
    </row>
    <row r="8">
      <c r="A8" s="51" t="inlineStr">
        <is>
          <t>31.60.6Q.00.02</t>
        </is>
      </c>
      <c r="B8" s="51" t="inlineStr">
        <is>
          <t>Cátedra Iberoamericana de Cultura Digital y Propiedad Intelectual UA (2023)</t>
        </is>
      </c>
      <c r="C8" s="78" t="n">
        <v>20000</v>
      </c>
    </row>
    <row r="9" customFormat="1" s="49">
      <c r="A9" s="47" t="inlineStr">
        <is>
          <t>Total</t>
        </is>
      </c>
      <c r="B9" s="47" t="n"/>
      <c r="C9" s="79">
        <f>SUBTOTAL(109,Tabla2[Imp.cob.aplic.])</f>
        <v/>
      </c>
    </row>
    <row r="10">
      <c r="C10" s="80" t="n"/>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C13"/>
  <sheetViews>
    <sheetView workbookViewId="0">
      <selection activeCell="B16" sqref="B16:C16"/>
    </sheetView>
  </sheetViews>
  <sheetFormatPr baseColWidth="10" defaultRowHeight="15"/>
  <cols>
    <col width="14.7109375" customWidth="1" min="1" max="1"/>
    <col width="51.28515625" customWidth="1" min="2" max="2"/>
    <col width="13.28515625" customWidth="1" min="3" max="3"/>
  </cols>
  <sheetData>
    <row r="1">
      <c r="A1" s="54" t="inlineStr">
        <is>
          <t>Org. aplic.</t>
        </is>
      </c>
      <c r="B1" s="54" t="inlineStr">
        <is>
          <t>Descripción justificante</t>
        </is>
      </c>
      <c r="C1" s="81" t="inlineStr">
        <is>
          <t>Imp. aplic.</t>
        </is>
      </c>
    </row>
    <row r="2">
      <c r="A2" s="52" t="inlineStr">
        <is>
          <t>31.60.6C.00.02</t>
        </is>
      </c>
      <c r="B2" s="52" t="inlineStr">
        <is>
          <t>Asesoría jurídica para la realización de un estudio sobre compra pública verde y valoración de subproductos hospitalarios a lo largo de las distintas fases del proyecto "Sanidad Circular", cuya ejecución está prevista para los años 2024 y 2025. Código del Proyecto INNEST/2024/605.</t>
        </is>
      </c>
      <c r="C2" s="76" t="n">
        <v>3080</v>
      </c>
    </row>
    <row r="3">
      <c r="A3" s="53" t="inlineStr">
        <is>
          <t>31.60.6P.00.11</t>
        </is>
      </c>
      <c r="B3" s="53" t="inlineStr">
        <is>
          <t>DEVOLUCIÓN DE INGRESO_ CARTA DE PAGO_ REFERENCIA: PID2020-116185GB-I00, ANUALIDAD: 2021</t>
        </is>
      </c>
      <c r="C3" s="77" t="n">
        <v>-281.01</v>
      </c>
    </row>
    <row r="4">
      <c r="A4" s="52" t="inlineStr">
        <is>
          <t>31.60.6P.00.12</t>
        </is>
      </c>
      <c r="B4" s="52" t="inlineStr">
        <is>
          <t xml:space="preserve">AYUDAS CIPROM/2022/13, CIPROM/2022/26, CIPROM/2022/40 </t>
        </is>
      </c>
      <c r="C4" s="76" t="n">
        <v>118500</v>
      </c>
    </row>
    <row r="5">
      <c r="A5" s="53" t="inlineStr">
        <is>
          <t>31.60.6P.00.13</t>
        </is>
      </c>
      <c r="B5" s="53" t="inlineStr">
        <is>
          <t>PID2022-138464NB-I00-142516OB-I00-139990NB-I00-141382OB-I00-139899OB-I00-136847NB-I00-137385NB-I00-139294NB-I00-137873NA-I00-138786NB-I00-136590OB-C43</t>
        </is>
      </c>
      <c r="C5" s="77" t="n">
        <v>7740</v>
      </c>
    </row>
    <row r="6">
      <c r="A6" s="52" t="inlineStr">
        <is>
          <t>31.60.6P.00.14</t>
        </is>
      </c>
      <c r="B6" s="52" t="inlineStr">
        <is>
          <t>PROGRAMA AYUDAS ICAR 2023 PROYECTO DSPMAP</t>
        </is>
      </c>
      <c r="C6" s="76" t="n">
        <v>5653.29</v>
      </c>
    </row>
    <row r="7">
      <c r="A7" s="53" t="inlineStr">
        <is>
          <t>31.60.6P.00.15</t>
        </is>
      </c>
      <c r="B7" s="53" t="inlineStr">
        <is>
          <t>ayudas CIGE/2023/52, CIGE/2023/94, CIGE/2023/129, CIGE/2023/146, CIGE/2023/165, CIGE/2023/175, CIGE/2023/181, CIGE/2023/184, CIGE/2023/188, CIGE/2023/196, CIGE/2023/197, CIGE/2023/216, CIGE/2023/225, CIGE/2023/227 (LINEA SUBVENCIÓN S0296)</t>
        </is>
      </c>
      <c r="C7" s="77" t="n">
        <v>10000</v>
      </c>
    </row>
    <row r="8">
      <c r="A8" s="52" t="inlineStr">
        <is>
          <t>31.60.6P.00.16</t>
        </is>
      </c>
      <c r="B8" s="52" t="inlineStr">
        <is>
          <t>Ayudas PID2023-146660OB-I00, PID2023-147126OB-I00, PID2023-148259NB-I00, PID2023-148881OB-I00, PID2023-149456NB-I00, PID2023-149562OB-I00, PID2023-149624NB-I00, PID2023-149643NB-I00, PID2023-149706OB-I00, PID2023-149994NB-I00, PID2023-150750NB-I00, PID2023-150761OB-C22, PID2023-150795NB-C22 , PID2023-151559OB-I00, PID2023-151958NB-I00, PID2023-151982NB-I00, PID2023-152305NB-I00, PID2023-152358NA-I00, PID2023-152372NB-I00, PID2023-152566OB-I00, PID2023-152734NB-I00, PID2023-152804OB-I00, PID2023-152869OB-C21, PID2023-153032NB-I00</t>
        </is>
      </c>
      <c r="C8" s="76" t="n">
        <v>31836</v>
      </c>
    </row>
    <row r="9">
      <c r="A9" s="53" t="inlineStr">
        <is>
          <t>31.60.6P.00.17</t>
        </is>
      </c>
      <c r="B9" s="53" t="inlineStr">
        <is>
          <t>2024 TSPUNI/2024/03/2 Fomento Autogobierno. S040800000. fact: 6003141073</t>
        </is>
      </c>
      <c r="C9" s="77" t="n">
        <v>1069.5</v>
      </c>
    </row>
    <row r="10">
      <c r="A10" s="52" t="inlineStr">
        <is>
          <t>31.60.6Q.00.01</t>
        </is>
      </c>
      <c r="B10" s="52" t="inlineStr">
        <is>
          <t>Segundo pago financiación Curso 2023-2024 Cátedra de Derecho Notarial de la Universidad de Alicante, conforme acuerdo de colaboración de 14 de octubre de 2021</t>
        </is>
      </c>
      <c r="C10" s="76" t="n">
        <v>15000</v>
      </c>
    </row>
    <row r="11">
      <c r="A11" s="53" t="inlineStr">
        <is>
          <t>31.60.6Q.00.01</t>
        </is>
      </c>
      <c r="B11" s="53" t="inlineStr">
        <is>
          <t>Primer pago financiación Curso 2024/2025 Cátedra de Derecho Notarial de la Universidad de Alicante, conforme acuerdo de colaboración de 14 de octubre de 2021</t>
        </is>
      </c>
      <c r="C11" s="77" t="n">
        <v>15000</v>
      </c>
    </row>
    <row r="12">
      <c r="A12" s="56" t="inlineStr">
        <is>
          <t>31.60.6Q.00.02</t>
        </is>
      </c>
      <c r="B12" s="56" t="inlineStr">
        <is>
          <t>Cátedra Iberoamericana de Cultura digital y Propiedad intelectual</t>
        </is>
      </c>
      <c r="C12" s="78" t="n">
        <v>20000</v>
      </c>
    </row>
    <row r="13" customFormat="1" s="49">
      <c r="A13" s="57" t="inlineStr">
        <is>
          <t>Total</t>
        </is>
      </c>
      <c r="B13" s="57" t="n"/>
      <c r="C13" s="79">
        <f>SUBTOTAL(109,Tabla3[Imp. aplic.])</f>
        <v/>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C20"/>
  <sheetViews>
    <sheetView workbookViewId="0">
      <selection activeCell="B27" sqref="B27"/>
    </sheetView>
  </sheetViews>
  <sheetFormatPr baseColWidth="10" defaultRowHeight="15"/>
  <cols>
    <col width="15.85546875" customWidth="1" min="1" max="1"/>
    <col width="57.5703125" customWidth="1" min="2" max="2"/>
    <col width="19.7109375" customWidth="1" min="3" max="3"/>
  </cols>
  <sheetData>
    <row r="1">
      <c r="A1" s="60" t="inlineStr">
        <is>
          <t>Org. aplic.</t>
        </is>
      </c>
      <c r="B1" s="61" t="inlineStr">
        <is>
          <t>Descripción justificante</t>
        </is>
      </c>
      <c r="C1" s="61" t="inlineStr">
        <is>
          <t>Imp. aplic.</t>
        </is>
      </c>
    </row>
    <row r="2">
      <c r="A2" s="62" t="inlineStr">
        <is>
          <t>31.60.6C.00.05</t>
        </is>
      </c>
      <c r="B2" s="63" t="inlineStr">
        <is>
          <t>Referencia del pedido 801003188 ASESORAMIENTO EXPERTO, EN FORMA DE UN BREVE INFORME, SOBRE EL MARCO LEGAL Y LOS NUEVOS DESAFÍOS PARA LA MODERACIÓN DE CONTENIDOS EN APLICACIONES DE MUNDOS VIRTUALES EMERGENTES (TAMBIÉN CONOCIDAS COMO APLICACIONES DEL METAVERSO). EL ALCANCE DE ESTE DOCUMENTO ES DEFINIR LOS REQUISITOS TÉCNICOS DEL PRODUCTO.</t>
        </is>
      </c>
      <c r="C2" s="82" t="n">
        <v>1980</v>
      </c>
    </row>
    <row r="3">
      <c r="A3" s="65" t="inlineStr">
        <is>
          <t>31.60.6C.00.06</t>
        </is>
      </c>
      <c r="B3" s="66" t="inlineStr">
        <is>
          <t xml:space="preserve">Análisis del cumplimiento de la normativa sobre inteligencia artificial y protección de datos. Evaluación en la actividad a desarrollar: Revisión de la adaptación de las pruebas conforme a normativa. Ref. Contrato: 15540/2025 </t>
        </is>
      </c>
      <c r="C3" s="83" t="n">
        <v>2917.9</v>
      </c>
    </row>
    <row r="4">
      <c r="A4" s="62" t="inlineStr">
        <is>
          <t>31.60.6C.00.07</t>
        </is>
      </c>
      <c r="B4" s="63" t="inlineStr">
        <is>
          <t>Directrices para la elaboración del marco jurídico para la implementación del entorno controlado de pruebas del Puerto de Alicante. Expediente num.: 343/2025</t>
        </is>
      </c>
      <c r="C4" s="82" t="n">
        <v>12584</v>
      </c>
    </row>
    <row r="5">
      <c r="A5" s="65" t="inlineStr">
        <is>
          <t>31.60.6P.00.12</t>
        </is>
      </c>
      <c r="B5" s="66" t="inlineStr">
        <is>
          <t>CIPROM/2022/13/26/40</t>
        </is>
      </c>
      <c r="C5" s="83" t="n">
        <v>118500</v>
      </c>
    </row>
    <row r="6">
      <c r="A6" s="62" t="inlineStr">
        <is>
          <t>31.60.6P.00.13</t>
        </is>
      </c>
      <c r="B6" s="63" t="inlineStr">
        <is>
          <t>AYUDAS PID2022-138464NB-I00, PID2022-142516OB-I00, PID2022-139990NB-I00, PID2022-141382OB-, 00, PID2022-139899OB-I00, PID2022-136847NB-I00, PID2022-137385NB-I00, PID2022-139294NB-I00, PID2022-137873NA-I00, PID2022-138786NB-I00,PID2022-136590OB-C43, PID2022-139105OB-I00, PID2022-141712NB-C22, PID2022-142356NB-I00, PID2022-141694NB-I00, PID2022-136399NB-C21, PID2022-142159OB-I00,PID2022-137566OB-I00, PID2022-139552OB-C22, PID2022-137302NB-C33, PID2022-139820NB-I00, PID2022-142960OB-C21, PID2022-138111NB-I00, PID2022-141543OB-I00, PID2022-137350NB-I00, PID2022-138491OB-C32, PID2022-137364OB-I00, PID2022-138329NB-I00, PID2022-142830NB-I00, PID2022-138453OB-I00, PID2022-138696OB-C22, PID2022-138853NB-I00, PID2022-142712NB-I00,</t>
        </is>
      </c>
      <c r="C6" s="82" t="n">
        <v>4770</v>
      </c>
    </row>
    <row r="7">
      <c r="A7" s="65" t="inlineStr">
        <is>
          <t>31.60.6P.00.15</t>
        </is>
      </c>
      <c r="B7" s="66" t="inlineStr">
        <is>
          <t xml:space="preserve">CIGE/2023/52/94/129/146/165/175/181/184/188/196/197/216/225/227. EN CIGE/2023/196 HAY UNA REASIGNACIÓN DEL IMPORTE (EN JI-2024-3632 SE PRODUCE UNA MINORACIÓN DE 9879,02 Y SE ASIGNA A ESTE AÑO) </t>
        </is>
      </c>
      <c r="C7" s="83" t="n">
        <v>19879.02</v>
      </c>
    </row>
    <row r="8">
      <c r="A8" s="62" t="inlineStr">
        <is>
          <t>31.60.6P.00.15</t>
        </is>
      </c>
      <c r="B8" s="63" t="inlineStr">
        <is>
          <t>MINORACIÓN AYUDA CIGE/2023/196</t>
        </is>
      </c>
      <c r="C8" s="82" t="n">
        <v>-9879.02</v>
      </c>
    </row>
    <row r="9">
      <c r="A9" s="65" t="inlineStr">
        <is>
          <t>31.60.6P.00.16</t>
        </is>
      </c>
      <c r="B9" s="66" t="inlineStr">
        <is>
          <t>AYUDAS PID2023-146660OB-I00,PID2023-147126OB-I00, PID2023-148259NB-I00, PID2023-148881OB-I00, , PID2023-149456NB-I00,PID2023-149562OB-I00, PID2023-149624NB-I00, ,PID2023-149643NB-I00,PID2023-149706OB-I00,PID2023-149994NB-I00,PID2023-150750NB-I00, PID2023-150761OB-C22, PID2023-150795NB-C22 , PID2023-151559OB-I00, PID2023-151958NB-I00, PID2023-151982NB-I00, PID2023-152305NB-I00, PID2023-152358NA-I00, PID2023-152372NB-I00, PID2023-152566OB-I00, PID2023-152734NB-I00, PID2023-152804OB-I00, PID2023-152869OB-C21, PID2023-153032NB-I00,</t>
        </is>
      </c>
      <c r="C9" s="83" t="n">
        <v>5544</v>
      </c>
    </row>
    <row r="10">
      <c r="A10" s="62" t="inlineStr">
        <is>
          <t>31.60.6P.00.18</t>
        </is>
      </c>
      <c r="B10" s="63" t="inlineStr">
        <is>
          <t xml:space="preserve">CIAORG/2024/003. CIAORG/2024/005.  CIAORG/2024/017. CIAORG/2024/035. CIAORG/2024/079. CIAORG/2024/085. CIAORG/2024/098. CIAORG/2024/123. CIAORG/2024/158. CIAORG/2024/187. CIAORG/2024/193         </t>
        </is>
      </c>
      <c r="C10" s="82" t="n">
        <v>5000</v>
      </c>
    </row>
    <row r="11">
      <c r="A11" s="65" t="inlineStr">
        <is>
          <t>31.60.6P.00.19</t>
        </is>
      </c>
      <c r="B11" s="66" t="inlineStr">
        <is>
          <t xml:space="preserve">CIAORG/2024/003. CIAORG/2024/005.  CIAORG/2024/017. CIAORG/2024/035. CIAORG/2024/079. CIAORG/2024/085. CIAORG/2024/098. CIAORG/2024/123. CIAORG/2024/158. CIAORG/2024/187. CIAORG/2024/193         </t>
        </is>
      </c>
      <c r="C11" s="83" t="n">
        <v>6000</v>
      </c>
    </row>
    <row r="12">
      <c r="A12" s="62" t="inlineStr">
        <is>
          <t>31.60.6P.00.20</t>
        </is>
      </c>
      <c r="B12" s="63" t="inlineStr">
        <is>
          <t xml:space="preserve">AEI (SUBVENCIÓN).PID2024-155372OB-I00. PID2024-157422OA-I00. PID2024-161522OA-I00. PID2024-157087OA-I00. PID2024-162784OB-I00. PID2024-155652NA-I00. PID2024-160976NB-I00. PID2024-161610OB-I00. PID2024-156526OB-I00. PID2024-158829NB-C41. PID2024-162730NB-I00. PID2024-160791OB-I00. PID2024-155363OB-C43. PID2024-158157OB-C31. PID2024-160373OB-C22. PID2024-162431OB-I00. PID2024-159329NB-C22. PID2024-155726OB-I00. PID2024-157026OB-I00. PID2024-159638OB-I00. PID2024-158024NB-I00. PID2024-160371NB-I00. PID2024-157115NB-I00. PID2024-155511NB-I00. PID2024-157839NB-I00. PID2024-161912OB-I00. PID2024-155779OB-C33. PID2024-155232NB-I00. PID2024-157037OB-I00. PID2024-156263OB-C22. PID2024-161188OB-C22. PID2024-161711OB-I00. PID2024-159363NB-I00. PID2024-156796OB-I00. PID2024-158760NB-I00. PID2024-155338NB-I00. PID2024-158514NB-I00. PID2024-160151NB-I00. PID2024-161439NB-I00. PID2024-162487OB-C21. PID2024-160604NB-I00. </t>
        </is>
      </c>
      <c r="C12" s="82" t="n">
        <v>24535</v>
      </c>
    </row>
    <row r="13">
      <c r="A13" s="65" t="inlineStr">
        <is>
          <t>31.60.6Q.00.01</t>
        </is>
      </c>
      <c r="B13" s="66" t="inlineStr">
        <is>
          <t>Segundo pago financiación Curso 2024/2025 Cátedra de Derecho Notarial de la Universidad de Alicante, conforme acuerdo de colaboración de 14 de octubre de 2021</t>
        </is>
      </c>
      <c r="C13" s="83" t="n">
        <v>15000</v>
      </c>
    </row>
    <row r="14">
      <c r="A14" s="62" t="inlineStr">
        <is>
          <t>31.60.6Q.00.01</t>
        </is>
      </c>
      <c r="B14" s="63" t="inlineStr">
        <is>
          <t>INGRESO PERCIBIDO POR LA UNIVERSIDAD DE ALICANTE EN CONCEPTO DE CONVENIO DE COLABORACIÓN PARA EL MANTENIMIENTO DE LA CÁTEDRA INSTITUCIONAL DE DERECHO NOTARIAL.</t>
        </is>
      </c>
      <c r="C14" s="82" t="n">
        <v>27500</v>
      </c>
    </row>
    <row r="15" ht="15.75" customHeight="1" thickBot="1">
      <c r="A15" s="65" t="inlineStr">
        <is>
          <t>31.60.6Q.00.02</t>
        </is>
      </c>
      <c r="B15" s="66" t="inlineStr">
        <is>
          <t>Cátedra Iberoamericana de Cultura Digital y Propiedad Intelectual</t>
        </is>
      </c>
      <c r="C15" s="83" t="n">
        <v>14193</v>
      </c>
    </row>
    <row r="16" ht="15.75" customHeight="1" thickTop="1">
      <c r="A16" s="68" t="inlineStr">
        <is>
          <t>Total</t>
        </is>
      </c>
      <c r="B16" s="69" t="n"/>
      <c r="C16" s="84" t="n">
        <v>248523.9</v>
      </c>
    </row>
    <row r="20">
      <c r="B20" s="71" t="inlineStr">
        <is>
          <t>Total ingresos investigación 2023-25</t>
        </is>
      </c>
      <c r="C20" s="85">
        <f>Tabla3[[#Totals],[Imp. aplic.]]+Tabla2[[#Totals],[Imp.cob.aplic.]]+C16</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C16"/>
  <sheetViews>
    <sheetView workbookViewId="0">
      <selection activeCell="E20" sqref="E20"/>
    </sheetView>
  </sheetViews>
  <sheetFormatPr baseColWidth="10" defaultRowHeight="15"/>
  <cols>
    <col width="16.42578125" customWidth="1" min="1" max="1"/>
    <col width="76.85546875" customWidth="1" min="2" max="2"/>
    <col width="15.42578125" customWidth="1" min="3" max="3"/>
  </cols>
  <sheetData>
    <row r="1">
      <c r="A1" s="50" t="inlineStr">
        <is>
          <t>Cód. org. aplic.</t>
        </is>
      </c>
      <c r="B1" s="50" t="inlineStr">
        <is>
          <t>Descripción justificante</t>
        </is>
      </c>
      <c r="C1" s="50" t="inlineStr">
        <is>
          <t>Imp.cob.aplic.</t>
        </is>
      </c>
    </row>
    <row r="2">
      <c r="A2" s="35" t="inlineStr">
        <is>
          <t>31.60.2T.00.02</t>
        </is>
      </c>
      <c r="B2" s="35" t="inlineStr">
        <is>
          <t xml:space="preserve">LIQ-TitProp_GI08-1 Curso_2023-24 AñoCont_2023 - GESTIÓN E INTERMEDIACIÓN INMOBILIARIA </t>
        </is>
      </c>
      <c r="C2" s="76" t="n">
        <v>4329</v>
      </c>
    </row>
    <row r="3">
      <c r="A3" s="36" t="inlineStr">
        <is>
          <t>31.60.2T.00.02</t>
        </is>
      </c>
      <c r="B3" s="36" t="inlineStr">
        <is>
          <t xml:space="preserve">LIQ-TitProp_9390 Curso_2023-24 AñoCont_2023 - EXPERTO/A EN GESTIÓN E INTERMEDIACIÓN INMOBILIARIA </t>
        </is>
      </c>
      <c r="C3" s="77" t="n">
        <v>6369.52</v>
      </c>
    </row>
    <row r="4">
      <c r="A4" s="35" t="inlineStr">
        <is>
          <t>31.60.2T.00.02</t>
        </is>
      </c>
      <c r="B4" s="35" t="inlineStr">
        <is>
          <t>Isaac Manuel Juan Pastor. EXPERTO/A EN GESTION E INTERMEDIACION INMOBILIARIA</t>
        </is>
      </c>
      <c r="C4" s="76" t="n">
        <v>1283.84</v>
      </c>
    </row>
    <row r="5">
      <c r="A5" s="36" t="inlineStr">
        <is>
          <t>31.60.2T.00.02</t>
        </is>
      </c>
      <c r="B5" s="36" t="inlineStr">
        <is>
          <t xml:space="preserve">Plan_9342 Curso_2022-23 Emitido_2022-23 - EXPERTO/A EN GESTION E INTERMEDIACION INMOBILIARIA </t>
        </is>
      </c>
      <c r="C5" s="77" t="n">
        <v>15394.6</v>
      </c>
    </row>
    <row r="6">
      <c r="A6" s="35" t="inlineStr">
        <is>
          <t>31.60.2T.00.02</t>
        </is>
      </c>
      <c r="B6" s="35" t="inlineStr">
        <is>
          <t xml:space="preserve">DEVOLUCIÓN TASAS NÓMINAS_ REMESA Nº 2023DTR302407  RDT INVERSA_2023EXPADM1734 </t>
        </is>
      </c>
      <c r="C6" s="76" t="n">
        <v>-158.68</v>
      </c>
    </row>
    <row r="7">
      <c r="A7" s="36" t="inlineStr">
        <is>
          <t>31.60.2T.00.02</t>
        </is>
      </c>
      <c r="B7" s="36" t="inlineStr">
        <is>
          <t>DEVOLUCIÓN TASAS NÓMINAS_REMESA Nº 2023DTR312885 RDT INVERSA_2023EXPADM1754</t>
        </is>
      </c>
      <c r="C7" s="77" t="n">
        <v>-158.84</v>
      </c>
    </row>
    <row r="8">
      <c r="A8" s="35" t="inlineStr">
        <is>
          <t>31.60.2T.00.02</t>
        </is>
      </c>
      <c r="B8" s="35" t="inlineStr">
        <is>
          <t xml:space="preserve">AD_LIQ-TitProp_9390 Curso_2023-24 AñoCont_2023 - EXPERTO/A EN GESTIÓN E INTERMEDIACIÓN INMOBILIARIA </t>
        </is>
      </c>
      <c r="C8" s="76" t="n">
        <v>-1530.87</v>
      </c>
    </row>
    <row r="9">
      <c r="A9" s="36" t="inlineStr">
        <is>
          <t>31.60.2T.00.02</t>
        </is>
      </c>
      <c r="B9" s="36" t="inlineStr">
        <is>
          <t>Cristina Morato Sese. Experto/a en Gestión e Intermediación Inmobililaria</t>
        </is>
      </c>
      <c r="C9" s="77" t="n">
        <v>658.84</v>
      </c>
    </row>
    <row r="10">
      <c r="A10" s="35" t="inlineStr">
        <is>
          <t>31.60.2T.00.02</t>
        </is>
      </c>
      <c r="B10" s="35" t="inlineStr">
        <is>
          <t>Cristina Morató Sese. EXPERTO/A EN GESTION E INTERMEDIACION INMOBILIARIA</t>
        </is>
      </c>
      <c r="C10" s="76" t="n">
        <v>625</v>
      </c>
    </row>
    <row r="11">
      <c r="A11" s="36" t="inlineStr">
        <is>
          <t>31.60.2T.00.02</t>
        </is>
      </c>
      <c r="B11" s="36" t="inlineStr">
        <is>
          <t>Bibiano Antonio Lorenzo de Membiela. EXPERTO/A EN GESTION E INTERMEDIACION INMOBILIARIA</t>
        </is>
      </c>
      <c r="C11" s="77" t="n">
        <v>1283.84</v>
      </c>
    </row>
    <row r="12">
      <c r="A12" s="35" t="inlineStr">
        <is>
          <t>31.60.2T.00.03</t>
        </is>
      </c>
      <c r="B12" s="35" t="inlineStr">
        <is>
          <t>LIQ-TitProp_9362-1-2 Curso_2023-24 Emitido_2023-24 - MASTER DE FORMACION PERMANENTE EN DERECHO DE LA SOCIEDAD DIGITAL</t>
        </is>
      </c>
      <c r="C12" s="76" t="n">
        <v>36720</v>
      </c>
    </row>
    <row r="13">
      <c r="A13" s="36" t="inlineStr">
        <is>
          <t>31.60.2T.00.03</t>
        </is>
      </c>
      <c r="B13" s="36" t="inlineStr">
        <is>
          <t xml:space="preserve">Plan_9344 Curso_2022-23 Emitido_2022-23 - MÁSTER EN DERECHO DE LA SOCIEDAD DIGITAL </t>
        </is>
      </c>
      <c r="C13" s="77" t="n">
        <v>11467.92</v>
      </c>
    </row>
    <row r="14">
      <c r="A14" s="51" t="inlineStr">
        <is>
          <t>31.60.2T.00.03</t>
        </is>
      </c>
      <c r="B14" s="51" t="inlineStr">
        <is>
          <t>AD_LIQ-TitProp_9362-1-2 Curso_2023-24 Emitido_2023-24 - MASTER DE FORMACION PERMANENTE EN DERECHO DE LA SOCIEDAD DIGITAL</t>
        </is>
      </c>
      <c r="C14" s="78" t="n">
        <v>-14799.78</v>
      </c>
    </row>
    <row r="15" customFormat="1" s="49">
      <c r="A15" s="47" t="inlineStr">
        <is>
          <t>Total</t>
        </is>
      </c>
      <c r="B15" s="47" t="n"/>
      <c r="C15" s="79">
        <f>SUBTOTAL(109,Tabla5[Imp.cob.aplic.])</f>
        <v/>
      </c>
    </row>
    <row r="16">
      <c r="C16" s="80" t="n"/>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C14"/>
  <sheetViews>
    <sheetView workbookViewId="0">
      <selection activeCell="B17" sqref="B17:C17"/>
    </sheetView>
  </sheetViews>
  <sheetFormatPr baseColWidth="10" defaultRowHeight="15"/>
  <cols>
    <col width="41.7109375" customWidth="1" min="2" max="2"/>
    <col width="11.7109375" customWidth="1" min="3" max="3"/>
  </cols>
  <sheetData>
    <row r="1">
      <c r="A1" s="54" t="inlineStr">
        <is>
          <t>Org. aplic.</t>
        </is>
      </c>
      <c r="B1" s="54" t="inlineStr">
        <is>
          <t>Descripción justificante</t>
        </is>
      </c>
      <c r="C1" s="54" t="inlineStr">
        <is>
          <t>Imp. aplic.</t>
        </is>
      </c>
    </row>
    <row r="2">
      <c r="A2" s="52" t="inlineStr">
        <is>
          <t>31.60.2T.00.02</t>
        </is>
      </c>
      <c r="B2" s="52" t="inlineStr">
        <is>
          <t xml:space="preserve">LIQ-TitProp_9390-3 Curso_2023-24 AñoCont_2023 - EXPERTO/A EN GESTIÓN E INTERMEDIACIÓN INMOBILIARIA </t>
        </is>
      </c>
      <c r="C2" s="76" t="n">
        <v>1530.87</v>
      </c>
    </row>
    <row r="3">
      <c r="A3" s="53" t="inlineStr">
        <is>
          <t>31.60.2T.00.02</t>
        </is>
      </c>
      <c r="B3" s="53" t="inlineStr">
        <is>
          <t>DEVOLUCIÓN DE PRECIOS PÚBLICOS POR INGRESOS DE MATRÍCULAS TANTO DE ESTUDIOS OFICIALES COMO DE ENSEÑANZAS PROPIAS. REMESA Nº 2024DTR302665_ RDT INVERSA 2024EXPADM1536</t>
        </is>
      </c>
      <c r="C3" s="77" t="n">
        <v>-1070.69</v>
      </c>
    </row>
    <row r="4">
      <c r="A4" s="52" t="inlineStr">
        <is>
          <t>31.60.2T.00.02</t>
        </is>
      </c>
      <c r="B4" s="52" t="inlineStr">
        <is>
          <t>DEVOLUCIÓN DE PRECIOS PÚBLICOS POR INGRESOS DE MATRÍCULA_REMESA Nº 2024DTR350464</t>
        </is>
      </c>
      <c r="C4" s="76" t="n">
        <v>-3789.34</v>
      </c>
    </row>
    <row r="5">
      <c r="A5" s="53" t="inlineStr">
        <is>
          <t>31.60.2T.00.03</t>
        </is>
      </c>
      <c r="B5" s="53" t="inlineStr">
        <is>
          <t xml:space="preserve">LIQ-TitProp_9362-3 Curso_2023-24 AñoCont_2023 - MÁSTER DE FORMACIÓN PERMANENTE EN DERECHO DE LA SOCIEDAD DIGITAL </t>
        </is>
      </c>
      <c r="C5" s="77" t="n">
        <v>6505.6</v>
      </c>
    </row>
    <row r="6">
      <c r="A6" s="52" t="inlineStr">
        <is>
          <t>31.60.2T.00.03</t>
        </is>
      </c>
      <c r="B6" s="52" t="inlineStr">
        <is>
          <t xml:space="preserve">LIQ-TitProp_9362-4 Curso_2023-24 AñoCont_2023 - MÁSTER DE FORMACIÓN PERMANENTE EN DERECHO DE LA SOCIEDAD DIGITAL </t>
        </is>
      </c>
      <c r="C6" s="76" t="n">
        <v>7146.68</v>
      </c>
    </row>
    <row r="7">
      <c r="A7" s="53" t="inlineStr">
        <is>
          <t>31.60.2T.00.03</t>
        </is>
      </c>
      <c r="B7" s="53" t="inlineStr">
        <is>
          <t>DEVOLUCIÓN DE PRECIOS PÚBLICOS POR INGRESOS DE MATRÍCULAS TANTO DE ESTUDIOS OFICIALES COMO DE ENSEÑANZAS PROPIAS. REMESA Nº 2024DTR302665_ RDT INVERSA 2024EXPADM1536</t>
        </is>
      </c>
      <c r="C7" s="77" t="n">
        <v>-1020</v>
      </c>
    </row>
    <row r="8">
      <c r="A8" s="52" t="inlineStr">
        <is>
          <t>31.60.2T.00.03</t>
        </is>
      </c>
      <c r="B8" s="52" t="inlineStr">
        <is>
          <t xml:space="preserve">LIQ-TitProp_9362-1 Curso_2024-25 AñoCont_2024 - MÁSTER DE FORMACIÓN PERMANENTE EN DERECHO DE LA SOCIEDAD DIGITAL </t>
        </is>
      </c>
      <c r="C8" s="76" t="n">
        <v>11602.5</v>
      </c>
    </row>
    <row r="9">
      <c r="A9" s="53" t="inlineStr">
        <is>
          <t>31.60.2T.00.03</t>
        </is>
      </c>
      <c r="B9" s="53" t="inlineStr">
        <is>
          <t xml:space="preserve">LIQ-TitProp_9362-2 Curso_2024-25 AñoCont_2024 - MÁSTER DE FORMACIÓN PERMANENTE EN DERECHO DE LA SOCIEDAD DIGITAL </t>
        </is>
      </c>
      <c r="C9" s="77" t="n">
        <v>1785</v>
      </c>
    </row>
    <row r="10">
      <c r="A10" s="52" t="inlineStr">
        <is>
          <t>31.60.2T.00.03</t>
        </is>
      </c>
      <c r="B10" s="52" t="inlineStr">
        <is>
          <t xml:space="preserve">Liq.PPub_311,00__ADRmsa_2024__EFP Enseñanzas Formación Permanente - Master, Especialista y Experto.  LIQ-TitProp_9362-N Curso_2024-25 AñoCont_2024 - MÁSTER DE FORMACIÓN PERMANENTE EN DERECHO DE LA SOCIEDAD DIGITAL </t>
        </is>
      </c>
      <c r="C10" s="76" t="n">
        <v>8925</v>
      </c>
    </row>
    <row r="11">
      <c r="A11" s="53" t="inlineStr">
        <is>
          <t>31.60.2T.00.03</t>
        </is>
      </c>
      <c r="B11" s="53" t="inlineStr">
        <is>
          <t xml:space="preserve">AD_Liq.PPub_311,00__ADRmsa_2024__EFP Enseñanzas Formación Permanente - Master, Especialista y Experto.  LIQ-TitProp_9362-N Curso_2024-25 AñoCont_2024 - MÁSTER DE FORMACIÓN PERMANENTE EN DERECHO DE LA SOCIEDAD DIGITAL </t>
        </is>
      </c>
      <c r="C11" s="77" t="n">
        <v>-8925</v>
      </c>
    </row>
    <row r="12">
      <c r="A12" s="52" t="inlineStr">
        <is>
          <t>31.60.2T.00.03</t>
        </is>
      </c>
      <c r="B12" s="52" t="inlineStr">
        <is>
          <t xml:space="preserve">LIQ-EP_Plan_9362-N Curso_2023-24_AñoCont_2024 TipoRec_EjeAnt - MÁSTER DE FORMACIÓN PERMANENTE EN DERECHO DE LA SOCIEDAD DIGITAL _ (Cierre-24) </t>
        </is>
      </c>
      <c r="C12" s="76" t="n">
        <v>1147.5</v>
      </c>
    </row>
    <row r="13">
      <c r="A13" s="46" t="inlineStr">
        <is>
          <t>31.60.2T.00.03</t>
        </is>
      </c>
      <c r="B13" s="46" t="inlineStr">
        <is>
          <t xml:space="preserve">LIQ-EP_Plan_9362-N Curso_2024-25_AñoCont_2024 TipoRec_Emitido - MÁSTER DE FORMACIÓN PERMANENTE EN DERECHO DE LA SOCIEDAD DIGITAL _ (Cierre-24) </t>
        </is>
      </c>
      <c r="C13" s="86" t="n">
        <v>3697.5</v>
      </c>
    </row>
    <row r="14">
      <c r="A14" s="46" t="inlineStr">
        <is>
          <t>Total</t>
        </is>
      </c>
      <c r="B14" s="46" t="n"/>
      <c r="C14" s="87">
        <f>SUBTOTAL(109,Tabla6[Imp. aplic.])</f>
        <v/>
      </c>
    </row>
  </sheetData>
  <pageMargins left="0.7" right="0.7" top="0.75" bottom="0.75" header="0.3" footer="0.3"/>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C12"/>
  <sheetViews>
    <sheetView tabSelected="1" workbookViewId="0">
      <selection activeCell="B24" sqref="B24"/>
    </sheetView>
  </sheetViews>
  <sheetFormatPr baseColWidth="10" defaultRowHeight="15"/>
  <cols>
    <col width="23" customWidth="1" min="1" max="1"/>
    <col width="66.7109375" customWidth="1" min="2" max="2"/>
    <col width="20.85546875" customWidth="1" min="3" max="3"/>
  </cols>
  <sheetData>
    <row r="1">
      <c r="A1" s="60" t="inlineStr">
        <is>
          <t>Org. aplic.</t>
        </is>
      </c>
      <c r="B1" s="61" t="inlineStr">
        <is>
          <t>Descripción justificante</t>
        </is>
      </c>
      <c r="C1" s="88" t="inlineStr">
        <is>
          <t>Imp. aplic.</t>
        </is>
      </c>
    </row>
    <row r="2">
      <c r="A2" s="62" t="inlineStr">
        <is>
          <t>10.91.2T.02.05</t>
        </is>
      </c>
      <c r="B2" s="63" t="inlineStr">
        <is>
          <t>Cátedra Iberoamericana de Cultura Digital y Propiedad Intelectual</t>
        </is>
      </c>
      <c r="C2" s="82" t="n">
        <v>3807</v>
      </c>
    </row>
    <row r="3">
      <c r="A3" s="65" t="inlineStr">
        <is>
          <t>10.91.2T.02.05</t>
        </is>
      </c>
      <c r="B3" s="66" t="inlineStr">
        <is>
          <t xml:space="preserve">LIQ-TitProp_GN36-N Curso_2025-26 AñoCont_2025 - PROPIEDAD INTELECTUAL Y CULTURA DIGITAL EN IBEROAMÉRICA (CIERRE 25 APLAZADO) </t>
        </is>
      </c>
      <c r="C3" s="83" t="n">
        <v>2277.15</v>
      </c>
    </row>
    <row r="4">
      <c r="A4" s="62" t="inlineStr">
        <is>
          <t>10.91.2T.02.05</t>
        </is>
      </c>
      <c r="B4" s="63" t="inlineStr">
        <is>
          <t xml:space="preserve">LIQ-TitProp_GN36-N Curso_2025-26 AñoCont_2025 - PROPIEDAD INTELECTUAL Y CULTURA DIGITAL EN IBEROAMÉRICA (CIERRE 25 APLAZADO) </t>
        </is>
      </c>
      <c r="C4" s="82" t="n">
        <v>-2277.15</v>
      </c>
    </row>
    <row r="5">
      <c r="A5" s="65" t="inlineStr">
        <is>
          <t>10.91.2T.02.05</t>
        </is>
      </c>
      <c r="B5" s="66" t="inlineStr">
        <is>
          <t>LIQ-TitProp_GN36-N Curso_2025-26 AñoCont_2025 - PROPIEDAD INTELECTUAL Y CULTURA DIGITAL EN IBEROAMÉRICA _ (Cierre-25)_EMITIDO 25</t>
        </is>
      </c>
      <c r="C5" s="83" t="n">
        <v>1198.5</v>
      </c>
    </row>
    <row r="6">
      <c r="A6" s="62" t="inlineStr">
        <is>
          <t>31.60.2T.00.03</t>
        </is>
      </c>
      <c r="B6" s="63" t="inlineStr">
        <is>
          <t xml:space="preserve">LIQ-TitProp_9362-3 Curso_2024-25 AñoCont_2025 - MÁSTER DE FORMACIÓN PERMANENTE EN DERECHO DE LA SOCIEDAD DIGITAL (PARTE 443 DEL JI-24-6789 JI-AD-6790) </t>
        </is>
      </c>
      <c r="C6" s="82" t="n">
        <v>3570</v>
      </c>
    </row>
    <row r="7">
      <c r="A7" s="65" t="inlineStr">
        <is>
          <t>31.60.2T.00.03</t>
        </is>
      </c>
      <c r="B7" s="66" t="inlineStr">
        <is>
          <t>LIQ-TitProp_9362-4 Curso_2024-25 AñoCont_2025 - MÁSTER DE FORMACIÓN PERMANENTE EN DERECHO DE LA SOCIEDAD DIGITAL (parte 443 2024-6790)</t>
        </is>
      </c>
      <c r="C7" s="83" t="n">
        <v>4462.5</v>
      </c>
    </row>
    <row r="8" ht="15.75" customHeight="1" thickBot="1">
      <c r="A8" s="62" t="inlineStr">
        <is>
          <t>31.60.2T.00.03</t>
        </is>
      </c>
      <c r="B8" s="63" t="inlineStr">
        <is>
          <t xml:space="preserve">LIQ-TitProp_9362-N Curso_2024-25 AñoCont_2025 - MÁSTER DE FORMACIÓN PERMANENTE EN DERECHO DE LA SOCIEDAD DIGITAL (PARTE 443 DEL 2024 PENDIENTE - CIERRE 2025) </t>
        </is>
      </c>
      <c r="C8" s="82" t="n">
        <v>892.5</v>
      </c>
    </row>
    <row r="9" ht="15.75" customHeight="1" thickTop="1">
      <c r="A9" s="68" t="inlineStr">
        <is>
          <t>Total</t>
        </is>
      </c>
      <c r="B9" s="69" t="n"/>
      <c r="C9" s="89">
        <f>SUM(C2:C8)</f>
        <v/>
      </c>
    </row>
    <row r="12">
      <c r="B12" s="71" t="inlineStr">
        <is>
          <t>Total ingresos docencia 2023-25</t>
        </is>
      </c>
      <c r="C12" s="85">
        <f>Tabla6[[#Totals],[Imp. aplic.]]+Tabla5[[#Totals],[Imp.cob.aplic.]]+C9</f>
        <v/>
      </c>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dcarq@ua.es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21387280V</dc:creator>
  <dcterms:created xsi:type="dcterms:W3CDTF">2019-07-03T07:15:54Z</dcterms:created>
  <dcterms:modified xsi:type="dcterms:W3CDTF">2026-05-28T21:59:09Z</dcterms:modified>
  <cp:lastModifiedBy>mayte.pujalte</cp:lastModifiedBy>
</cp:coreProperties>
</file>