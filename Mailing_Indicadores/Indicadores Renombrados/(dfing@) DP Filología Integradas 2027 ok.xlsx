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4" activeTab="7"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Ingresos de formación 2023" sheetId="6" state="visible" r:id="rId6"/>
    <sheet name="Ingresos de formación 2024" sheetId="7" state="visible" r:id="rId7"/>
    <sheet name="Ingresos formación 2025" sheetId="8" state="visible" r:id="rId8"/>
    <sheet name="Correo" sheetId="9" state="veryHidden" r:id="rId9"/>
  </sheets>
  <definedNames>
    <definedName name="_xlnm._FilterDatabase" localSheetId="0" hidden="1">'Tesis'!$A$1:$U$1</definedName>
    <definedName name="_xlnm.Print_Titles" localSheetId="0">'Tesis'!$1:$1,'Tesis'!$D:$D</definedName>
    <definedName name="_xlnm.Print_Titles" localSheetId="1">'Sexenios'!$1:$1</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0.00_-;\-* #,##0.00_-;_-* &quot;-&quot;??_-;_-@_-"/>
    <numFmt numFmtId="167" formatCode="_-* #,##0.00\ _€_-;\-* #,##0.00\ _€_-;_-* &quot;-&quot;??\ _€_-;_-@_-"/>
  </numFmts>
  <fonts count="20">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color rgb="FF000000"/>
      <sz val="8"/>
    </font>
    <font>
      <name val="Arial"/>
      <family val="2"/>
      <b val="1"/>
      <color theme="1"/>
      <sz val="10"/>
    </font>
    <font>
      <name val="Calibri"/>
      <family val="2"/>
      <color theme="1"/>
      <sz val="11"/>
      <scheme val="minor"/>
    </font>
    <font>
      <name val="Arial"/>
      <family val="2"/>
      <b val="1"/>
      <color theme="0"/>
      <sz val="10"/>
    </font>
    <font>
      <name val="Arial"/>
      <family val="2"/>
      <color theme="1"/>
      <sz val="10"/>
    </font>
    <font>
      <name val="Calibri"/>
      <family val="2"/>
      <b val="1"/>
      <color theme="1"/>
      <sz val="11"/>
      <scheme val="minor"/>
    </font>
    <font>
      <name val="Calibri"/>
      <family val="2"/>
      <b val="1"/>
      <color theme="0"/>
      <sz val="11"/>
      <scheme val="minor"/>
    </font>
    <font>
      <name val="Arial"/>
      <family val="2"/>
      <b val="1"/>
      <color theme="0"/>
      <sz val="10"/>
    </font>
    <font>
      <name val="Arial"/>
      <family val="2"/>
      <color theme="1"/>
      <sz val="10"/>
    </font>
    <font>
      <name val="Arial"/>
      <family val="2"/>
      <b val="1"/>
      <color theme="1"/>
      <sz val="10"/>
    </font>
  </fonts>
  <fills count="14">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0"/>
        <bgColor theme="9" tint="0.7999816888943144"/>
      </patternFill>
    </fill>
    <fill>
      <patternFill patternType="solid">
        <fgColor theme="0"/>
        <bgColor indexed="64"/>
      </patternFill>
    </fill>
    <fill>
      <patternFill patternType="solid">
        <fgColor theme="4"/>
        <bgColor theme="4"/>
      </patternFill>
    </fill>
    <fill>
      <patternFill patternType="solid">
        <fgColor theme="4" tint="0.7999816888943144"/>
        <bgColor theme="4" tint="0.799981688894314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2" fillId="0" borderId="0"/>
    <xf numFmtId="0" fontId="2" fillId="0" borderId="0"/>
    <xf numFmtId="0" fontId="5" fillId="0" borderId="0"/>
    <xf numFmtId="0" fontId="5" fillId="0" borderId="0"/>
    <xf numFmtId="0" fontId="6" fillId="0" borderId="0"/>
    <xf numFmtId="0" fontId="1" fillId="0" borderId="0"/>
    <xf numFmtId="167" fontId="12" fillId="0" borderId="0"/>
  </cellStyleXfs>
  <cellXfs count="101">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2"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2" fillId="4" borderId="1" pivotButton="0" quotePrefix="0" xfId="1"/>
    <xf numFmtId="0" fontId="2" fillId="4" borderId="1" applyAlignment="1" pivotButton="0" quotePrefix="0" xfId="1">
      <alignment horizontal="right"/>
    </xf>
    <xf numFmtId="0" fontId="2" fillId="4" borderId="2" pivotButton="0" quotePrefix="0" xfId="1"/>
    <xf numFmtId="164" fontId="2" fillId="4" borderId="2" pivotButton="0" quotePrefix="0" xfId="1"/>
    <xf numFmtId="0" fontId="2" fillId="4" borderId="2" applyAlignment="1" pivotButton="0" quotePrefix="0" xfId="1">
      <alignment horizontal="right"/>
    </xf>
    <xf numFmtId="1" fontId="2" fillId="4" borderId="2" pivotButton="0" quotePrefix="0" xfId="1"/>
    <xf numFmtId="165" fontId="2" fillId="4" borderId="2" pivotButton="0" quotePrefix="0" xfId="1"/>
    <xf numFmtId="0" fontId="10" fillId="6" borderId="1" applyAlignment="1" pivotButton="0" quotePrefix="0" xfId="0">
      <alignment horizontal="left" vertical="center"/>
    </xf>
    <xf numFmtId="0" fontId="10" fillId="6" borderId="3" applyAlignment="1" pivotButton="0" quotePrefix="0" xfId="0">
      <alignment horizontal="left" vertical="center"/>
    </xf>
    <xf numFmtId="0" fontId="10" fillId="6" borderId="4" applyAlignment="1" pivotButton="0" quotePrefix="0" xfId="0">
      <alignment horizontal="left" vertical="center"/>
    </xf>
    <xf numFmtId="0" fontId="10" fillId="6" borderId="5" applyAlignment="1" pivotButton="0" quotePrefix="0" xfId="0">
      <alignment horizontal="left" vertical="center"/>
    </xf>
    <xf numFmtId="0" fontId="2" fillId="0" borderId="1" pivotButton="0" quotePrefix="0" xfId="1"/>
    <xf numFmtId="0" fontId="8" fillId="3" borderId="1" applyAlignment="1" pivotButton="0" quotePrefix="0" xfId="3">
      <alignment horizontal="center" wrapText="1"/>
    </xf>
    <xf numFmtId="166" fontId="0" fillId="8" borderId="6" pivotButton="0" quotePrefix="0" xfId="6"/>
    <xf numFmtId="166" fontId="0" fillId="0" borderId="6" pivotButton="0" quotePrefix="0" xfId="6"/>
    <xf numFmtId="0" fontId="2" fillId="0" borderId="1" pivotButton="0" quotePrefix="0" xfId="0"/>
    <xf numFmtId="0" fontId="14" fillId="8" borderId="6" pivotButton="0" quotePrefix="0" xfId="0"/>
    <xf numFmtId="0" fontId="14" fillId="0" borderId="6" pivotButton="0" quotePrefix="0" xfId="0"/>
    <xf numFmtId="166" fontId="0" fillId="0" borderId="0" pivotButton="0" quotePrefix="0" xfId="0"/>
    <xf numFmtId="0" fontId="9" fillId="9" borderId="0" pivotButton="0" quotePrefix="0" xfId="5"/>
    <xf numFmtId="0" fontId="9" fillId="9" borderId="0" applyAlignment="1" pivotButton="0" quotePrefix="0" xfId="5">
      <alignment horizontal="right"/>
    </xf>
    <xf numFmtId="0" fontId="11" fillId="9" borderId="0" pivotButton="0" quotePrefix="0" xfId="5"/>
    <xf numFmtId="0" fontId="9" fillId="0" borderId="1" pivotButton="0" quotePrefix="0" xfId="5"/>
    <xf numFmtId="0" fontId="9" fillId="0" borderId="1" applyAlignment="1" pivotButton="0" quotePrefix="0" xfId="5">
      <alignment horizontal="right"/>
    </xf>
    <xf numFmtId="165" fontId="3" fillId="2" borderId="0" pivotButton="0" quotePrefix="0" xfId="1"/>
    <xf numFmtId="166" fontId="0" fillId="0" borderId="8" pivotButton="0" quotePrefix="0" xfId="6"/>
    <xf numFmtId="0" fontId="13" fillId="7" borderId="7" pivotButton="0" quotePrefix="0" xfId="0"/>
    <xf numFmtId="0" fontId="14" fillId="8" borderId="8" pivotButton="0" quotePrefix="0" xfId="0"/>
    <xf numFmtId="166" fontId="0" fillId="8" borderId="8" pivotButton="0" quotePrefix="0" xfId="6"/>
    <xf numFmtId="0" fontId="9" fillId="10" borderId="8" pivotButton="0" quotePrefix="0" xfId="0"/>
    <xf numFmtId="166" fontId="12" fillId="10" borderId="8" pivotButton="0" quotePrefix="0" xfId="0"/>
    <xf numFmtId="0" fontId="0" fillId="11" borderId="0" pivotButton="0" quotePrefix="0" xfId="0"/>
    <xf numFmtId="0" fontId="0" fillId="8" borderId="6" pivotButton="0" quotePrefix="0" xfId="0"/>
    <xf numFmtId="0" fontId="0" fillId="0" borderId="6" pivotButton="0" quotePrefix="0" xfId="0"/>
    <xf numFmtId="0" fontId="16" fillId="7" borderId="7" pivotButton="0" quotePrefix="0" xfId="0"/>
    <xf numFmtId="166" fontId="16" fillId="7" borderId="7" pivotButton="0" quotePrefix="0" xfId="6"/>
    <xf numFmtId="0" fontId="0" fillId="0" borderId="8" pivotButton="0" quotePrefix="0" xfId="0"/>
    <xf numFmtId="0" fontId="0" fillId="0" borderId="8" pivotButton="0" quotePrefix="0" xfId="0"/>
    <xf numFmtId="166" fontId="12" fillId="0" borderId="8" pivotButton="0" quotePrefix="0" xfId="0"/>
    <xf numFmtId="0" fontId="15" fillId="0" borderId="1" pivotButton="0" quotePrefix="0" xfId="0"/>
    <xf numFmtId="167" fontId="15" fillId="0" borderId="1" pivotButton="0" quotePrefix="0" xfId="6"/>
    <xf numFmtId="166" fontId="0" fillId="0" borderId="8" pivotButton="0" quotePrefix="0" xfId="0"/>
    <xf numFmtId="167" fontId="15" fillId="0" borderId="0" pivotButton="0" quotePrefix="0" xfId="6"/>
    <xf numFmtId="0" fontId="17" fillId="12" borderId="9" pivotButton="0" quotePrefix="0" xfId="0"/>
    <xf numFmtId="0" fontId="17" fillId="12" borderId="10" pivotButton="0" quotePrefix="0" xfId="0"/>
    <xf numFmtId="0" fontId="18" fillId="13" borderId="9" pivotButton="0" quotePrefix="0" xfId="0"/>
    <xf numFmtId="0" fontId="18" fillId="13" borderId="10" pivotButton="0" quotePrefix="0" xfId="0"/>
    <xf numFmtId="167" fontId="18" fillId="13" borderId="10" pivotButton="0" quotePrefix="0" xfId="6"/>
    <xf numFmtId="0" fontId="18" fillId="0" borderId="9" pivotButton="0" quotePrefix="0" xfId="0"/>
    <xf numFmtId="0" fontId="18" fillId="0" borderId="10" pivotButton="0" quotePrefix="0" xfId="0"/>
    <xf numFmtId="167" fontId="18" fillId="0" borderId="10" pivotButton="0" quotePrefix="0" xfId="6"/>
    <xf numFmtId="0" fontId="19" fillId="0" borderId="11" pivotButton="0" quotePrefix="0" xfId="0"/>
    <xf numFmtId="0" fontId="19" fillId="0" borderId="12" pivotButton="0" quotePrefix="0" xfId="0"/>
    <xf numFmtId="167" fontId="19" fillId="0" borderId="12" pivotButton="0" quotePrefix="0" xfId="6"/>
    <xf numFmtId="0" fontId="13" fillId="12" borderId="9" pivotButton="0" quotePrefix="0" xfId="0"/>
    <xf numFmtId="0" fontId="13" fillId="12" borderId="10" pivotButton="0" quotePrefix="0" xfId="0"/>
    <xf numFmtId="167" fontId="13" fillId="12" borderId="10" pivotButton="0" quotePrefix="0" xfId="6"/>
    <xf numFmtId="0" fontId="9" fillId="13" borderId="9" pivotButton="0" quotePrefix="0" xfId="0"/>
    <xf numFmtId="0" fontId="9" fillId="13" borderId="10" pivotButton="0" quotePrefix="0" xfId="0"/>
    <xf numFmtId="167" fontId="9" fillId="13" borderId="10" pivotButton="0" quotePrefix="0" xfId="6"/>
    <xf numFmtId="0" fontId="9" fillId="0" borderId="9" pivotButton="0" quotePrefix="0" xfId="0"/>
    <xf numFmtId="0" fontId="9" fillId="0" borderId="10" pivotButton="0" quotePrefix="0" xfId="0"/>
    <xf numFmtId="167" fontId="9" fillId="0" borderId="10" pivotButton="0" quotePrefix="0" xfId="6"/>
    <xf numFmtId="0" fontId="11" fillId="0" borderId="11" pivotButton="0" quotePrefix="0" xfId="0"/>
    <xf numFmtId="0" fontId="11" fillId="0" borderId="12" pivotButton="0" quotePrefix="0" xfId="0"/>
    <xf numFmtId="167" fontId="11" fillId="0" borderId="12" pivotButton="0" quotePrefix="0" xfId="0"/>
    <xf numFmtId="164" fontId="2" fillId="4" borderId="2" pivotButton="0" quotePrefix="0" xfId="1"/>
    <xf numFmtId="166" fontId="0" fillId="8" borderId="6" pivotButton="0" quotePrefix="0" xfId="6"/>
    <xf numFmtId="166" fontId="0" fillId="0" borderId="6" pivotButton="0" quotePrefix="0" xfId="6"/>
    <xf numFmtId="166" fontId="0" fillId="8" borderId="8" pivotButton="0" quotePrefix="0" xfId="6"/>
    <xf numFmtId="166" fontId="12" fillId="10" borderId="8" pivotButton="0" quotePrefix="0" xfId="0"/>
    <xf numFmtId="166" fontId="0" fillId="0" borderId="0" pivotButton="0" quotePrefix="0" xfId="0"/>
    <xf numFmtId="166" fontId="16" fillId="7" borderId="7" pivotButton="0" quotePrefix="0" xfId="6"/>
    <xf numFmtId="166" fontId="0" fillId="0" borderId="8" pivotButton="0" quotePrefix="0" xfId="6"/>
    <xf numFmtId="166" fontId="12" fillId="0" borderId="8" pivotButton="0" quotePrefix="0" xfId="0"/>
    <xf numFmtId="167" fontId="18" fillId="13" borderId="10" pivotButton="0" quotePrefix="0" xfId="6"/>
    <xf numFmtId="167" fontId="18" fillId="0" borderId="10" pivotButton="0" quotePrefix="0" xfId="6"/>
    <xf numFmtId="167" fontId="19" fillId="0" borderId="12" pivotButton="0" quotePrefix="0" xfId="6"/>
    <xf numFmtId="167" fontId="15" fillId="0" borderId="1" pivotButton="0" quotePrefix="0" xfId="6"/>
    <xf numFmtId="166" fontId="0" fillId="0" borderId="8" pivotButton="0" quotePrefix="0" xfId="0"/>
    <xf numFmtId="167" fontId="15" fillId="0" borderId="0" pivotButton="0" quotePrefix="0" xfId="6"/>
    <xf numFmtId="167" fontId="13" fillId="12" borderId="10" pivotButton="0" quotePrefix="0" xfId="6"/>
    <xf numFmtId="167" fontId="9" fillId="13" borderId="10" pivotButton="0" quotePrefix="0" xfId="6"/>
    <xf numFmtId="167" fontId="9" fillId="0" borderId="10" pivotButton="0" quotePrefix="0" xfId="6"/>
    <xf numFmtId="167" fontId="11" fillId="0" borderId="12" pivotButton="0" quotePrefix="0" xfId="0"/>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29">
    <dxf>
      <font>
        <name val="Calibri"/>
        <family val="2"/>
        <strike val="0"/>
        <outline val="0"/>
        <shadow val="0"/>
        <condense val="0"/>
        <color theme="1"/>
        <extend val="0"/>
        <sz val="11"/>
        <vertAlign val="baseline"/>
        <scheme val="minor"/>
      </font>
      <numFmt numFmtId="35" formatCode="_-* #,##0.00_-;\-* #,##0.00_-;_-* &quot;-&quot;??_-;_-@_-"/>
      <border outline="0">
        <left/>
        <right/>
        <top style="thin">
          <color theme="9" tint="0.3999755851924192"/>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style="thin">
          <color theme="9" tint="0.3999755851924192"/>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style="thin">
          <color theme="9" tint="0.3999755851924192"/>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la2" displayName="Tabla2" ref="A1:C7" headerRowCount="1" totalsRowCount="1" headerRowDxfId="28" totalsRowDxfId="25" headerRowBorderDxfId="27" tableBorderDxfId="26" totalsRowBorderDxfId="24">
  <autoFilter ref="A1:C6"/>
  <tableColumns count="3">
    <tableColumn id="1" name="Cód. org. aplic." totalsRowLabel="Total" dataDxfId="23" totalsRowDxfId="22"/>
    <tableColumn id="2" name="Descripción justificante" dataDxfId="21" totalsRowDxfId="20"/>
    <tableColumn id="3" name="Imp.cob.aplic." totalsRowFunction="sum" dataDxfId="19" totalsRowDxfId="18"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id="2" name="Tabla3" displayName="Tabla3" ref="A1:C8" headerRowCount="1" totalsRowCount="1" headerRowBorderDxfId="17" tableBorderDxfId="16" totalsRowBorderDxfId="15">
  <autoFilter ref="A1:C7"/>
  <tableColumns count="3">
    <tableColumn id="1" name="Org. aplic." totalsRowLabel="Total" dataDxfId="14" totalsRowDxfId="13"/>
    <tableColumn id="2" name="Descripción justificante" dataDxfId="12" totalsRowDxfId="11"/>
    <tableColumn id="3" name="Imp. aplic." totalsRowFunction="sum" dataDxfId="10" totalsRowDxfId="9"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id="3" name="Tabla35" displayName="Tabla35" ref="A1:C18" headerRowCount="1" totalsRowCount="1" headerRowBorderDxfId="8" tableBorderDxfId="7" totalsRowBorderDxfId="6">
  <autoFilter ref="A1:C17"/>
  <tableColumns count="3">
    <tableColumn id="1" name="Org. aplic." totalsRowLabel="Total" dataDxfId="5" totalsRowDxfId="4"/>
    <tableColumn id="2" name="Descripción justificante" dataDxfId="3" totalsRowDxfId="2"/>
    <tableColumn id="3" name="Imp. aplic." totalsRowFunction="sum" dataDxfId="1" totalsRowDxfId="0" dataCellStyle="Millares"/>
  </tableColumns>
  <tableStyleInfo name="TableStyleLight2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fitToPage="1"/>
  </sheetPr>
  <dimension ref="A1:U25"/>
  <sheetViews>
    <sheetView showGridLines="0" zoomScale="120" zoomScaleNormal="120" workbookViewId="0">
      <pane xSplit="1" ySplit="1" topLeftCell="C2" activePane="bottomRight" state="frozen"/>
      <selection pane="topRight" activeCell="B1" sqref="B1"/>
      <selection pane="bottomLeft" activeCell="A2" sqref="A2"/>
      <selection pane="bottomRight" activeCell="E34" sqref="E34"/>
    </sheetView>
  </sheetViews>
  <sheetFormatPr baseColWidth="10" defaultColWidth="10.33203125" defaultRowHeight="10.2"/>
  <cols>
    <col width="5" customWidth="1" style="6" min="1" max="1"/>
    <col width="29.6640625" customWidth="1" style="6" min="2" max="4"/>
    <col width="40.6640625" customWidth="1" style="6" min="5" max="5"/>
    <col width="9.109375" customWidth="1" style="6" min="6" max="6"/>
    <col width="9.6640625" customWidth="1" style="6" min="7" max="7"/>
    <col width="14.44140625" customWidth="1" style="6" min="8" max="8"/>
    <col width="5.88671875" customWidth="1" style="6" min="9" max="9"/>
    <col width="25.6640625" customWidth="1" style="6" min="10" max="10"/>
    <col width="5.109375" customWidth="1" style="6" min="11" max="12"/>
    <col width="4.44140625" customWidth="1" style="6" min="13" max="13"/>
    <col width="4.88671875" customWidth="1" style="6" min="14" max="14"/>
    <col width="4.88671875" customWidth="1" style="8" min="15" max="15"/>
    <col width="4.88671875" customWidth="1" style="6" min="16" max="16"/>
    <col width="3.5546875" customWidth="1" style="8" min="17" max="17"/>
    <col width="3.5546875" customWidth="1" style="6" min="18" max="18"/>
    <col width="5.109375" customWidth="1" style="6" min="19" max="21"/>
    <col width="10.33203125" customWidth="1" style="6" min="22" max="16384"/>
  </cols>
  <sheetData>
    <row r="1" ht="40.8"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ht="10.8" customHeight="1" thickBot="1">
      <c r="A2" s="18" t="inlineStr">
        <is>
          <t xml:space="preserve">U023 </t>
        </is>
      </c>
      <c r="B2" s="18" t="inlineStr">
        <is>
          <t xml:space="preserve">ADM. FACULTAD DE FILOSOFIA Y LETRAS </t>
        </is>
      </c>
      <c r="C2" s="18" t="inlineStr">
        <is>
          <t xml:space="preserve">DOCTORADO EN TRANSFERENCIAS INTERCULTURALES E HISTÓRICAS EN LA EUROPA MEDIE </t>
        </is>
      </c>
      <c r="D2" s="18" t="inlineStr">
        <is>
          <t xml:space="preserve">Bennas , Abdelkrim </t>
        </is>
      </c>
      <c r="E2" s="18" t="inlineStr">
        <is>
          <t xml:space="preserve">Al-In¿la l-`ilmiyya" de Ibn Luy¿n, resumen de "al-Ris¿la l-sustariyya", epístola de al-Sustar¿ en defensa de las prácticas de los sufíes. Estudio, edición crítica árabe y traducción española </t>
        </is>
      </c>
      <c r="F2" s="18" t="inlineStr">
        <is>
          <t xml:space="preserve">21/09/2020 </t>
        </is>
      </c>
      <c r="G2" s="18" t="inlineStr">
        <is>
          <t xml:space="preserve">21445654V </t>
        </is>
      </c>
      <c r="H2" s="18" t="inlineStr">
        <is>
          <t xml:space="preserve">Director de tesis </t>
        </is>
      </c>
      <c r="I2" s="18" t="inlineStr">
        <is>
          <t xml:space="preserve">B114 </t>
        </is>
      </c>
      <c r="J2" s="18" t="inlineStr">
        <is>
          <t xml:space="preserve">FILOLOGIAS INTEGRADAS </t>
        </is>
      </c>
      <c r="K2" s="82" t="n">
        <v>1</v>
      </c>
      <c r="L2" s="18" t="inlineStr">
        <is>
          <t>B114</t>
        </is>
      </c>
      <c r="M2" s="18" t="n">
        <v>2019</v>
      </c>
      <c r="N2" s="18" t="inlineStr"/>
      <c r="O2" s="20" t="inlineStr"/>
      <c r="P2" s="18" t="inlineStr"/>
      <c r="Q2" s="20" t="inlineStr"/>
      <c r="R2" s="21" t="n">
        <v>100</v>
      </c>
      <c r="S2" s="22" t="n">
        <v>1</v>
      </c>
      <c r="T2" s="22" t="n">
        <v>0</v>
      </c>
      <c r="U2" s="22" t="n">
        <v>0</v>
      </c>
    </row>
    <row r="3" ht="10.8" customHeight="1" thickBot="1">
      <c r="A3" s="23" t="inlineStr">
        <is>
          <t xml:space="preserve">U023 </t>
        </is>
      </c>
      <c r="B3" s="23" t="inlineStr">
        <is>
          <t xml:space="preserve">ADM. FACULTAD DE FILOSOFIA Y LETRAS </t>
        </is>
      </c>
      <c r="C3" s="23" t="inlineStr">
        <is>
          <t xml:space="preserve">DOCTORADO EN FILOSOFÍA Y LETRAS </t>
        </is>
      </c>
      <c r="D3" s="23" t="inlineStr">
        <is>
          <t xml:space="preserve">Izquierdo Morales, Alexis Alfonso </t>
        </is>
      </c>
      <c r="E3" s="23" t="inlineStr">
        <is>
          <t xml:space="preserve">SCÈNE D¿ÉNONCIATION DANS LA RELATION ÉPISTOLAIRE ENTRE MÈRE MARIE DE LA CROIX ODIOT DE LA PAILLONNE, FONDATRICE ET PREMIÈRE ABBESSE DE SAINTEANNE DE BONLIEU ET MÈRE CÉCILE BRUYÈRE, FONDATRICE ET PREMIÈRE ABBESSE </t>
        </is>
      </c>
      <c r="F3" s="23" t="inlineStr">
        <is>
          <t xml:space="preserve">05/02/2021 </t>
        </is>
      </c>
      <c r="G3" s="24" t="inlineStr">
        <is>
          <t xml:space="preserve">29013572S </t>
        </is>
      </c>
      <c r="H3" s="25" t="inlineStr">
        <is>
          <t xml:space="preserve">Director de tesis </t>
        </is>
      </c>
      <c r="I3" s="25" t="inlineStr">
        <is>
          <t xml:space="preserve">B114 </t>
        </is>
      </c>
      <c r="J3" s="26" t="inlineStr">
        <is>
          <t xml:space="preserve">FILOLOGIAS INTEGRADAS </t>
        </is>
      </c>
      <c r="K3" s="27" t="n">
        <v>1</v>
      </c>
      <c r="L3" s="27" t="inlineStr">
        <is>
          <t>B114</t>
        </is>
      </c>
      <c r="M3" s="16" t="n">
        <v>2020</v>
      </c>
      <c r="N3" s="16" t="inlineStr">
        <is>
          <t>10.23</t>
        </is>
      </c>
      <c r="O3" s="17" t="n">
        <v>50</v>
      </c>
      <c r="P3" s="16" t="inlineStr"/>
      <c r="Q3" s="17" t="n">
        <v>0</v>
      </c>
      <c r="R3" s="16" t="n">
        <v>50</v>
      </c>
      <c r="S3" s="16" t="n">
        <v>0.5</v>
      </c>
      <c r="T3" s="16" t="n">
        <v>0.5</v>
      </c>
      <c r="U3" s="16" t="n">
        <v>0</v>
      </c>
    </row>
    <row r="4" ht="10.8" customHeight="1" thickBot="1">
      <c r="A4" s="23" t="inlineStr">
        <is>
          <t xml:space="preserve">U023 </t>
        </is>
      </c>
      <c r="B4" s="23" t="inlineStr">
        <is>
          <t xml:space="preserve">ADM. FACULTAD DE FILOSOFIA Y LETRAS </t>
        </is>
      </c>
      <c r="C4" s="23" t="inlineStr">
        <is>
          <t xml:space="preserve">DOCTORADO EN FILOSOFÍA Y LETRAS </t>
        </is>
      </c>
      <c r="D4" s="23" t="inlineStr">
        <is>
          <t xml:space="preserve">Garro Sánchez, Inmaculada Teresa </t>
        </is>
      </c>
      <c r="E4" s="23" t="inlineStr">
        <is>
          <t xml:space="preserve">ESPACIOS Y GÉNERO. TRADICIÓN Y MODERNIDAD EN MARRUECOS </t>
        </is>
      </c>
      <c r="F4" s="23" t="inlineStr">
        <is>
          <t xml:space="preserve">19/07/2021 </t>
        </is>
      </c>
      <c r="G4" s="24" t="inlineStr">
        <is>
          <t xml:space="preserve">21474507M </t>
        </is>
      </c>
      <c r="H4" s="25" t="inlineStr">
        <is>
          <t xml:space="preserve">Director de tesis </t>
        </is>
      </c>
      <c r="I4" s="25" t="inlineStr">
        <is>
          <t xml:space="preserve">B114 </t>
        </is>
      </c>
      <c r="J4" s="26" t="inlineStr">
        <is>
          <t xml:space="preserve">FILOLOGIAS INTEGRADAS </t>
        </is>
      </c>
      <c r="K4" s="27" t="n">
        <v>1</v>
      </c>
      <c r="L4" s="27" t="inlineStr">
        <is>
          <t>B114</t>
        </is>
      </c>
      <c r="M4" s="16" t="n">
        <v>2020</v>
      </c>
      <c r="N4" s="16" t="inlineStr">
        <is>
          <t>10.23</t>
        </is>
      </c>
      <c r="O4" s="17" t="n">
        <v>20</v>
      </c>
      <c r="P4" s="16" t="inlineStr"/>
      <c r="Q4" s="17" t="n">
        <v>0</v>
      </c>
      <c r="R4" s="16" t="n">
        <v>80</v>
      </c>
      <c r="S4" s="16" t="n">
        <v>0.8</v>
      </c>
      <c r="T4" s="16" t="n">
        <v>0.2</v>
      </c>
      <c r="U4" s="16" t="n">
        <v>0</v>
      </c>
    </row>
    <row r="5">
      <c r="A5" s="16" t="inlineStr">
        <is>
          <t xml:space="preserve">U023 </t>
        </is>
      </c>
      <c r="B5" s="16" t="inlineStr">
        <is>
          <t xml:space="preserve">ADM. FACULTAD DE FILOSOFIA Y LETRAS </t>
        </is>
      </c>
      <c r="C5" s="16" t="inlineStr">
        <is>
          <t xml:space="preserve">DOCTORADO EN FILOSOFÍA Y LETRAS </t>
        </is>
      </c>
      <c r="D5" s="16" t="inlineStr">
        <is>
          <t xml:space="preserve">Beltrá Navarro, Luis </t>
        </is>
      </c>
      <c r="E5" s="16" t="inlineStr">
        <is>
          <t xml:space="preserve">El francés en Luisiana: reflejos de diferentes identidades lingüísticas a través de la literatura del siglo xix: el caso de L'Habitation Saint-Ybars ou Maîtres et Esclaves en Louisiane (1881) de Alfred Mercier. Propuesta traductológica. </t>
        </is>
      </c>
      <c r="F5" s="16" t="inlineStr">
        <is>
          <t xml:space="preserve">21/07/2022 </t>
        </is>
      </c>
      <c r="G5" s="16" t="inlineStr">
        <is>
          <t xml:space="preserve">29013572S </t>
        </is>
      </c>
      <c r="H5" s="16" t="inlineStr">
        <is>
          <t xml:space="preserve">Director de tesis </t>
        </is>
      </c>
      <c r="I5" s="16" t="inlineStr">
        <is>
          <t xml:space="preserve">B114 </t>
        </is>
      </c>
      <c r="J5" s="16" t="inlineStr">
        <is>
          <t xml:space="preserve">FILOLOGIAS INTEGRADAS </t>
        </is>
      </c>
      <c r="K5" s="27" t="n">
        <v>1</v>
      </c>
      <c r="L5" s="27" t="inlineStr">
        <is>
          <t>B114</t>
        </is>
      </c>
      <c r="M5" s="16" t="n">
        <v>2021</v>
      </c>
      <c r="N5" s="16" t="inlineStr">
        <is>
          <t>10.23</t>
        </is>
      </c>
      <c r="O5" s="17" t="n">
        <v>50</v>
      </c>
      <c r="P5" s="16" t="inlineStr"/>
      <c r="Q5" s="17" t="n">
        <v>0</v>
      </c>
      <c r="R5" s="16" t="n">
        <v>50</v>
      </c>
      <c r="S5" s="16" t="n">
        <v>0.5</v>
      </c>
      <c r="T5" s="16" t="n">
        <v>0.5</v>
      </c>
      <c r="U5" s="16" t="n">
        <v>0</v>
      </c>
    </row>
    <row r="6">
      <c r="A6" s="16" t="inlineStr">
        <is>
          <t xml:space="preserve">U023 </t>
        </is>
      </c>
      <c r="B6" s="16" t="inlineStr">
        <is>
          <t xml:space="preserve">ADM. FACULTAD DE FILOSOFIA Y LETRAS </t>
        </is>
      </c>
      <c r="C6" s="16" t="inlineStr">
        <is>
          <t xml:space="preserve">DOCTORADO EN FILOSOFÍA Y LETRAS </t>
        </is>
      </c>
      <c r="D6" s="16" t="inlineStr">
        <is>
          <t xml:space="preserve">Lalinde González, Luis Miguel </t>
        </is>
      </c>
      <c r="E6" s="16" t="inlineStr">
        <is>
          <t xml:space="preserve">Japón y China ante las islas Senkaku/Diaoyu (1945-2020): análisis geopolítico e histórico-cultural de un conflicto marítimo en Asia-Pacífico </t>
        </is>
      </c>
      <c r="F6" s="16" t="inlineStr">
        <is>
          <t xml:space="preserve">17/12/2021 </t>
        </is>
      </c>
      <c r="G6" s="16" t="inlineStr">
        <is>
          <t xml:space="preserve">21672419W </t>
        </is>
      </c>
      <c r="H6" s="16" t="inlineStr">
        <is>
          <t xml:space="preserve">Codirector de tesis </t>
        </is>
      </c>
      <c r="I6" s="16" t="inlineStr">
        <is>
          <t xml:space="preserve">B114 </t>
        </is>
      </c>
      <c r="J6" s="16" t="inlineStr">
        <is>
          <t xml:space="preserve">FILOLOGIAS INTEGRADAS </t>
        </is>
      </c>
      <c r="K6" s="27" t="n">
        <v>0.5</v>
      </c>
      <c r="L6" s="27" t="inlineStr">
        <is>
          <t>B114</t>
        </is>
      </c>
      <c r="M6" s="16" t="n">
        <v>2021</v>
      </c>
      <c r="N6" s="16" t="inlineStr"/>
      <c r="O6" s="17" t="inlineStr"/>
      <c r="P6" s="16" t="inlineStr"/>
      <c r="Q6" s="17" t="inlineStr"/>
      <c r="R6" s="16" t="n">
        <v>100</v>
      </c>
      <c r="S6" s="16" t="n">
        <v>0.5</v>
      </c>
      <c r="T6" s="16" t="n">
        <v>0</v>
      </c>
      <c r="U6" s="16" t="n">
        <v>0</v>
      </c>
    </row>
    <row r="7">
      <c r="A7" s="16" t="inlineStr">
        <is>
          <t xml:space="preserve">U023 </t>
        </is>
      </c>
      <c r="B7" s="16" t="inlineStr">
        <is>
          <t xml:space="preserve">ADM. FACULTAD DE FILOSOFIA Y LETRAS </t>
        </is>
      </c>
      <c r="C7" s="16" t="inlineStr">
        <is>
          <t xml:space="preserve">DOCTORADO EN TRANSFERENCIAS INTERCULTURALES E HISTÓRICAS EN LA EUROPA MEDIE </t>
        </is>
      </c>
      <c r="D7" s="16" t="inlineStr">
        <is>
          <t xml:space="preserve">Hadef , Sarra Ikram </t>
        </is>
      </c>
      <c r="E7" s="16" t="inlineStr">
        <is>
          <t xml:space="preserve">El dialecto árabe hablado en Tremecén: Historiografía, sociolingüística y geografía lingüística </t>
        </is>
      </c>
      <c r="F7" s="16" t="inlineStr">
        <is>
          <t xml:space="preserve">19/07/2022 </t>
        </is>
      </c>
      <c r="G7" s="16" t="inlineStr">
        <is>
          <t xml:space="preserve">21672419W </t>
        </is>
      </c>
      <c r="H7" s="16" t="inlineStr">
        <is>
          <t xml:space="preserve">Codirector de tesis </t>
        </is>
      </c>
      <c r="I7" s="16" t="inlineStr">
        <is>
          <t xml:space="preserve">B114 </t>
        </is>
      </c>
      <c r="J7" s="16" t="inlineStr">
        <is>
          <t xml:space="preserve">FILOLOGIAS INTEGRADAS </t>
        </is>
      </c>
      <c r="K7" s="27" t="n">
        <v>0.5</v>
      </c>
      <c r="L7" s="27" t="inlineStr">
        <is>
          <t>B114</t>
        </is>
      </c>
      <c r="M7" s="16" t="n">
        <v>2021</v>
      </c>
      <c r="N7" s="16" t="inlineStr"/>
      <c r="O7" s="17" t="inlineStr"/>
      <c r="P7" s="16" t="inlineStr"/>
      <c r="Q7" s="17" t="inlineStr"/>
      <c r="R7" s="16" t="n">
        <v>100</v>
      </c>
      <c r="S7" s="16" t="n">
        <v>0.5</v>
      </c>
      <c r="T7" s="16" t="n">
        <v>0</v>
      </c>
      <c r="U7" s="16" t="n">
        <v>0</v>
      </c>
    </row>
    <row r="8">
      <c r="A8" s="16" t="inlineStr">
        <is>
          <t xml:space="preserve">U023 </t>
        </is>
      </c>
      <c r="B8" s="16" t="inlineStr">
        <is>
          <t xml:space="preserve">ADM. FACULTAD DE FILOSOFIA Y LETRAS </t>
        </is>
      </c>
      <c r="C8" s="16" t="inlineStr">
        <is>
          <t xml:space="preserve">DOCTORADO EN TRANSFERENCIAS INTERCULTURALES E HISTÓRICAS EN LA EUROPA MEDIE </t>
        </is>
      </c>
      <c r="D8" s="16" t="inlineStr">
        <is>
          <t xml:space="preserve">Hadef , Sarra Ikram </t>
        </is>
      </c>
      <c r="E8" s="16" t="inlineStr">
        <is>
          <t xml:space="preserve">El dialecto árabe hablado en Tremecén: Historiografía, sociolingüística y geografía lingüística </t>
        </is>
      </c>
      <c r="F8" s="16" t="inlineStr">
        <is>
          <t xml:space="preserve">19/07/2022 </t>
        </is>
      </c>
      <c r="G8" s="16" t="inlineStr">
        <is>
          <t xml:space="preserve">21445654V </t>
        </is>
      </c>
      <c r="H8" s="16" t="inlineStr">
        <is>
          <t xml:space="preserve">Codirector de tesis </t>
        </is>
      </c>
      <c r="I8" s="16" t="inlineStr">
        <is>
          <t xml:space="preserve">B114 </t>
        </is>
      </c>
      <c r="J8" s="16" t="inlineStr">
        <is>
          <t xml:space="preserve">FILOLOGIAS INTEGRADAS </t>
        </is>
      </c>
      <c r="K8" s="27" t="n">
        <v>0.5</v>
      </c>
      <c r="L8" s="27" t="inlineStr">
        <is>
          <t>B114</t>
        </is>
      </c>
      <c r="M8" s="16" t="n">
        <v>2021</v>
      </c>
      <c r="N8" s="16" t="inlineStr"/>
      <c r="O8" s="17" t="inlineStr"/>
      <c r="P8" s="16" t="inlineStr"/>
      <c r="Q8" s="17" t="inlineStr"/>
      <c r="R8" s="16" t="n">
        <v>100</v>
      </c>
      <c r="S8" s="16" t="n">
        <v>0.5</v>
      </c>
      <c r="T8" s="16" t="n">
        <v>0</v>
      </c>
      <c r="U8" s="16" t="n">
        <v>0</v>
      </c>
    </row>
    <row r="9">
      <c r="A9" s="16" t="inlineStr">
        <is>
          <t xml:space="preserve">U023 </t>
        </is>
      </c>
      <c r="B9" s="16" t="inlineStr">
        <is>
          <t xml:space="preserve">ADM. FACULTAD DE FILOSOFIA Y LETRAS </t>
        </is>
      </c>
      <c r="C9" s="16" t="inlineStr">
        <is>
          <t xml:space="preserve">DOCTORADO EN TRANSFERENCIAS INTERCULTURALES E HISTÓRICAS EN LA EUROPA MEDIE </t>
        </is>
      </c>
      <c r="D9" s="16" t="inlineStr">
        <is>
          <t xml:space="preserve">Ramos Rodríguez, Alejandro </t>
        </is>
      </c>
      <c r="E9" s="16" t="inlineStr">
        <is>
          <t xml:space="preserve">Simbología,Magía Y Religiosidad en la Cultura Material del Sarq al-Andalus (ss.X-XV). Análisis dede la Antropología y la Islamologí </t>
        </is>
      </c>
      <c r="F9" s="16" t="inlineStr">
        <is>
          <t xml:space="preserve">25/02/2022 </t>
        </is>
      </c>
      <c r="G9" s="16" t="inlineStr">
        <is>
          <t xml:space="preserve">21445654V </t>
        </is>
      </c>
      <c r="H9" s="16" t="inlineStr">
        <is>
          <t xml:space="preserve">Director de tesis </t>
        </is>
      </c>
      <c r="I9" s="16" t="inlineStr">
        <is>
          <t xml:space="preserve">B114 </t>
        </is>
      </c>
      <c r="J9" s="16" t="inlineStr">
        <is>
          <t xml:space="preserve">FILOLOGIAS INTEGRADAS </t>
        </is>
      </c>
      <c r="K9" s="27" t="n">
        <v>1</v>
      </c>
      <c r="L9" s="27" t="inlineStr">
        <is>
          <t>B114</t>
        </is>
      </c>
      <c r="M9" s="16" t="n">
        <v>2021</v>
      </c>
      <c r="N9" s="16" t="inlineStr"/>
      <c r="O9" s="17" t="inlineStr"/>
      <c r="P9" s="16" t="inlineStr"/>
      <c r="Q9" s="17" t="inlineStr"/>
      <c r="R9" s="16" t="n">
        <v>100</v>
      </c>
      <c r="S9" s="16" t="n">
        <v>1</v>
      </c>
      <c r="T9" s="16" t="n">
        <v>0</v>
      </c>
      <c r="U9" s="16" t="n">
        <v>0</v>
      </c>
    </row>
    <row r="10">
      <c r="A10" s="16" t="inlineStr">
        <is>
          <t xml:space="preserve">U023 </t>
        </is>
      </c>
      <c r="B10" s="16" t="inlineStr">
        <is>
          <t xml:space="preserve">ADM. FACULTAD DE FILOSOFIA Y LETRAS </t>
        </is>
      </c>
      <c r="C10" s="16" t="inlineStr">
        <is>
          <t xml:space="preserve">DOCTORADO EN FILOSOFÍA Y LETRAS </t>
        </is>
      </c>
      <c r="D10" s="16" t="inlineStr">
        <is>
          <t xml:space="preserve">Robin , Mathilde </t>
        </is>
      </c>
      <c r="E10" s="16" t="inlineStr">
        <is>
          <t xml:space="preserve">Des opéras de Jules Massenet et ses librettistes à leurs palimpsestes littéraires français: étude comparatiste et esthétique de la femme au sein de la transmodalisation. </t>
        </is>
      </c>
      <c r="F10" s="16" t="inlineStr">
        <is>
          <t xml:space="preserve">16/09/2022 </t>
        </is>
      </c>
      <c r="G10" s="16" t="inlineStr">
        <is>
          <t xml:space="preserve">21471389S </t>
        </is>
      </c>
      <c r="H10" s="16" t="inlineStr">
        <is>
          <t xml:space="preserve">Director de tesis </t>
        </is>
      </c>
      <c r="I10" s="16" t="inlineStr">
        <is>
          <t xml:space="preserve">B114 </t>
        </is>
      </c>
      <c r="J10" s="16" t="inlineStr">
        <is>
          <t xml:space="preserve">FILOLOGIAS INTEGRADAS </t>
        </is>
      </c>
      <c r="K10" s="31" t="n">
        <v>1</v>
      </c>
      <c r="L10" s="31" t="inlineStr">
        <is>
          <t>B114</t>
        </is>
      </c>
      <c r="M10" s="16" t="n">
        <v>2021</v>
      </c>
      <c r="N10" s="31" t="inlineStr">
        <is>
          <t>10.23</t>
        </is>
      </c>
      <c r="O10" s="31" t="n">
        <v>20</v>
      </c>
      <c r="P10" s="31" t="inlineStr"/>
      <c r="Q10" s="31" t="n">
        <v>0</v>
      </c>
      <c r="R10" s="31" t="n">
        <v>80</v>
      </c>
      <c r="S10" s="31" t="n">
        <v>0.8</v>
      </c>
      <c r="T10" s="31" t="n">
        <v>0.2</v>
      </c>
      <c r="U10" s="31" t="n">
        <v>0</v>
      </c>
    </row>
    <row r="11">
      <c r="A11" s="16" t="inlineStr">
        <is>
          <t xml:space="preserve">B172 </t>
        </is>
      </c>
      <c r="B11" s="16" t="inlineStr">
        <is>
          <t xml:space="preserve">TRADUCCIÓN E INTERPRETACIÓN </t>
        </is>
      </c>
      <c r="C11" s="16" t="inlineStr">
        <is>
          <t xml:space="preserve">DOCTORADO EN TRADUCTOLOGÍA, TRADUCCIÓN PROFESIONAL Y AUDIOVISUAL </t>
        </is>
      </c>
      <c r="D11" s="16" t="inlineStr">
        <is>
          <t xml:space="preserve">Chbab El Fakhi, Habiba </t>
        </is>
      </c>
      <c r="E11" s="16" t="inlineStr">
        <is>
          <t xml:space="preserve">Los neologismos médicos traducidos del inglés al árabe. </t>
        </is>
      </c>
      <c r="F11" s="16" t="inlineStr">
        <is>
          <t xml:space="preserve">19/12/2022 </t>
        </is>
      </c>
      <c r="G11" s="16" t="inlineStr">
        <is>
          <t xml:space="preserve">21474507M </t>
        </is>
      </c>
      <c r="H11" s="16" t="inlineStr">
        <is>
          <t xml:space="preserve">Codirector de tesis </t>
        </is>
      </c>
      <c r="I11" s="16" t="inlineStr">
        <is>
          <t xml:space="preserve">B114 </t>
        </is>
      </c>
      <c r="J11" s="16" t="inlineStr">
        <is>
          <t xml:space="preserve">FILOLOGIAS INTEGRADAS </t>
        </is>
      </c>
      <c r="K11" s="31" t="n">
        <v>0.5</v>
      </c>
      <c r="L11" s="31" t="inlineStr">
        <is>
          <t>B114</t>
        </is>
      </c>
      <c r="M11" s="16" t="n">
        <v>2022</v>
      </c>
      <c r="N11" s="31" t="inlineStr">
        <is>
          <t>10.23</t>
        </is>
      </c>
      <c r="O11" s="31" t="n">
        <v>20</v>
      </c>
      <c r="P11" s="31" t="inlineStr"/>
      <c r="Q11" s="31" t="n">
        <v>0</v>
      </c>
      <c r="R11" s="31" t="n">
        <v>80</v>
      </c>
      <c r="S11" s="31" t="n">
        <v>0.4</v>
      </c>
      <c r="T11" s="31" t="n">
        <v>0.1</v>
      </c>
      <c r="U11" s="31" t="n">
        <v>0</v>
      </c>
    </row>
    <row r="12">
      <c r="A12" s="16" t="inlineStr">
        <is>
          <t xml:space="preserve">U023 </t>
        </is>
      </c>
      <c r="B12" s="16" t="inlineStr">
        <is>
          <t xml:space="preserve">ADM. FACULTAD DE FILOSOFIA Y LETRAS </t>
        </is>
      </c>
      <c r="C12" s="16" t="inlineStr">
        <is>
          <t xml:space="preserve">DOCTORADO EN FILOSOFÍA Y LETRAS </t>
        </is>
      </c>
      <c r="D12" s="16" t="inlineStr">
        <is>
          <t xml:space="preserve">Hedari , Walid </t>
        </is>
      </c>
      <c r="E12" s="16" t="inlineStr">
        <is>
          <t xml:space="preserve">Protest songs during the lebanese civil war. </t>
        </is>
      </c>
      <c r="F12" s="16" t="inlineStr">
        <is>
          <t xml:space="preserve">11/11/2022 </t>
        </is>
      </c>
      <c r="G12" s="16" t="inlineStr">
        <is>
          <t xml:space="preserve">21672419W </t>
        </is>
      </c>
      <c r="H12" s="16" t="inlineStr">
        <is>
          <t xml:space="preserve">Codirector de tesis </t>
        </is>
      </c>
      <c r="I12" s="16" t="inlineStr">
        <is>
          <t xml:space="preserve">B114 </t>
        </is>
      </c>
      <c r="J12" s="16" t="inlineStr">
        <is>
          <t xml:space="preserve">FILOLOGIAS INTEGRADAS </t>
        </is>
      </c>
      <c r="K12" s="31" t="n">
        <v>0.5</v>
      </c>
      <c r="L12" s="31" t="inlineStr">
        <is>
          <t>B114</t>
        </is>
      </c>
      <c r="M12" s="16" t="n">
        <v>2022</v>
      </c>
      <c r="N12" s="31" t="inlineStr"/>
      <c r="O12" s="31" t="inlineStr"/>
      <c r="P12" s="31" t="inlineStr"/>
      <c r="Q12" s="31" t="inlineStr"/>
      <c r="R12" s="31" t="n">
        <v>100</v>
      </c>
      <c r="S12" s="31" t="n">
        <v>0.5</v>
      </c>
      <c r="T12" s="31" t="n">
        <v>0</v>
      </c>
      <c r="U12" s="31" t="n">
        <v>0</v>
      </c>
    </row>
    <row r="13">
      <c r="A13" s="16" t="inlineStr">
        <is>
          <t xml:space="preserve">U023 </t>
        </is>
      </c>
      <c r="B13" s="16" t="inlineStr">
        <is>
          <t xml:space="preserve">ADM. FACULTAD DE FILOSOFIA Y LETRAS </t>
        </is>
      </c>
      <c r="C13" s="16" t="inlineStr">
        <is>
          <t xml:space="preserve">DOCTORADO EN TRANSFERENCIAS INTERCULTURALES E HISTÓRICAS EN LA EUROPA MEDIE </t>
        </is>
      </c>
      <c r="D13" s="16" t="inlineStr">
        <is>
          <t xml:space="preserve">Viúdez García, Nuria </t>
        </is>
      </c>
      <c r="E13" s="16" t="inlineStr">
        <is>
          <t xml:space="preserve">Los Aben Çaydbona, una élite familiar en la oligarquía urbana granadina (1490¿1632) </t>
        </is>
      </c>
      <c r="F13" s="16" t="inlineStr">
        <is>
          <t xml:space="preserve">21/12/2022 </t>
        </is>
      </c>
      <c r="G13" s="16" t="inlineStr">
        <is>
          <t xml:space="preserve">21445654V </t>
        </is>
      </c>
      <c r="H13" s="16" t="inlineStr">
        <is>
          <t xml:space="preserve">Director de tesis </t>
        </is>
      </c>
      <c r="I13" s="16" t="inlineStr">
        <is>
          <t xml:space="preserve">B114 </t>
        </is>
      </c>
      <c r="J13" s="16" t="inlineStr">
        <is>
          <t xml:space="preserve">FILOLOGIAS INTEGRADAS </t>
        </is>
      </c>
      <c r="K13" s="31" t="n">
        <v>1</v>
      </c>
      <c r="L13" s="31" t="inlineStr">
        <is>
          <t>B114</t>
        </is>
      </c>
      <c r="M13" s="16" t="n">
        <v>2022</v>
      </c>
      <c r="N13" s="31" t="inlineStr"/>
      <c r="O13" s="31" t="inlineStr"/>
      <c r="P13" s="31" t="inlineStr"/>
      <c r="Q13" s="31" t="inlineStr"/>
      <c r="R13" s="31" t="n">
        <v>100</v>
      </c>
      <c r="S13" s="31" t="n">
        <v>1</v>
      </c>
      <c r="T13" s="31" t="n">
        <v>0</v>
      </c>
      <c r="U13" s="31" t="n">
        <v>0</v>
      </c>
    </row>
    <row r="14">
      <c r="A14" s="16" t="inlineStr">
        <is>
          <t xml:space="preserve">U073 </t>
        </is>
      </c>
      <c r="B14" s="16" t="inlineStr">
        <is>
          <t xml:space="preserve">I.U. INVESTIGACIÓN DE ESTUDIOS DE GÉNERO (10.23) </t>
        </is>
      </c>
      <c r="C14" s="16" t="inlineStr">
        <is>
          <t xml:space="preserve">DOCTORADO EN ESTUDIOS INTERDISCIPLINARES DE GÉNERO </t>
        </is>
      </c>
      <c r="D14" s="16" t="inlineStr">
        <is>
          <t xml:space="preserve">Soria Berrocosa, María Soledad </t>
        </is>
      </c>
      <c r="E14" s="16" t="inlineStr">
        <is>
          <t xml:space="preserve">Rachilde. De la petite ouvrière des Lettres à la femme-critique littéraire au 'Mercure de France' </t>
        </is>
      </c>
      <c r="F14" s="16" t="inlineStr">
        <is>
          <t xml:space="preserve">14/09/2023 </t>
        </is>
      </c>
      <c r="G14" s="16" t="inlineStr">
        <is>
          <t xml:space="preserve">21417486R </t>
        </is>
      </c>
      <c r="H14" s="16" t="inlineStr">
        <is>
          <t xml:space="preserve">Director de tesis </t>
        </is>
      </c>
      <c r="I14" s="16" t="inlineStr">
        <is>
          <t xml:space="preserve">B114 </t>
        </is>
      </c>
      <c r="J14" s="16" t="inlineStr">
        <is>
          <t xml:space="preserve">FILOLOGIAS INTEGRADAS </t>
        </is>
      </c>
      <c r="K14" s="31" t="n">
        <v>1</v>
      </c>
      <c r="L14" s="31" t="inlineStr">
        <is>
          <t>B114</t>
        </is>
      </c>
      <c r="M14" s="16" t="n">
        <v>2022</v>
      </c>
      <c r="N14" s="31" t="inlineStr">
        <is>
          <t>10.15</t>
        </is>
      </c>
      <c r="O14" s="31" t="n">
        <v>10</v>
      </c>
      <c r="P14" s="31" t="inlineStr">
        <is>
          <t>10.23</t>
        </is>
      </c>
      <c r="Q14" s="31" t="n">
        <v>20</v>
      </c>
      <c r="R14" s="31" t="n">
        <v>70</v>
      </c>
      <c r="S14" s="31" t="n">
        <v>0.7</v>
      </c>
      <c r="T14" s="31" t="n">
        <v>0.1</v>
      </c>
      <c r="U14" s="31" t="n">
        <v>0.2</v>
      </c>
    </row>
    <row r="15">
      <c r="A15" s="31" t="inlineStr">
        <is>
          <t>U023</t>
        </is>
      </c>
      <c r="B15" s="31" t="inlineStr">
        <is>
          <t>ADM. FACULTAD DE FILOSOFIA Y LETRAS</t>
        </is>
      </c>
      <c r="C15" s="31" t="inlineStr">
        <is>
          <t>DOCTORADO EN FILOSOFÍA Y LETRAS</t>
        </is>
      </c>
      <c r="D15" s="31" t="inlineStr">
        <is>
          <t>Ben Hassine Laachibi, Cherifa</t>
        </is>
      </c>
      <c r="E15" s="31" t="inlineStr">
        <is>
          <t>S¿d¿ Ab¿-l-Ga¿th al-Qashsh¿sh: un santo para los moriscos</t>
        </is>
      </c>
      <c r="F15" s="31" t="inlineStr">
        <is>
          <t>12/12/2023</t>
        </is>
      </c>
      <c r="G15" s="31" t="inlineStr">
        <is>
          <t>22126243J</t>
        </is>
      </c>
      <c r="H15" s="31" t="inlineStr">
        <is>
          <t>Director de tesis</t>
        </is>
      </c>
      <c r="I15" s="31" t="inlineStr">
        <is>
          <t>B114</t>
        </is>
      </c>
      <c r="J15" s="31" t="inlineStr">
        <is>
          <t>FILOLOGIAS INTEGRADAS</t>
        </is>
      </c>
      <c r="K15" s="31" t="n">
        <v>1</v>
      </c>
      <c r="L15" s="31" t="inlineStr">
        <is>
          <t>B114</t>
        </is>
      </c>
      <c r="M15" s="31" t="n">
        <v>2023</v>
      </c>
      <c r="N15" s="31" t="inlineStr"/>
      <c r="O15" s="31" t="inlineStr"/>
      <c r="P15" s="31" t="inlineStr"/>
      <c r="Q15" s="31" t="inlineStr"/>
      <c r="R15" s="31" t="n">
        <v>100</v>
      </c>
      <c r="S15" s="31" t="n">
        <v>1</v>
      </c>
      <c r="T15" s="31" t="n">
        <v>0</v>
      </c>
      <c r="U15" s="31" t="n">
        <v>0</v>
      </c>
    </row>
    <row r="16">
      <c r="A16" s="31" t="inlineStr">
        <is>
          <t>U023</t>
        </is>
      </c>
      <c r="B16" s="31" t="inlineStr">
        <is>
          <t>ADM. FACULTAD DE FILOSOFIA Y LETRAS</t>
        </is>
      </c>
      <c r="C16" s="31" t="inlineStr">
        <is>
          <t>DOCTORADO EN FILOSOFÍA Y LETRAS</t>
        </is>
      </c>
      <c r="D16" s="31" t="inlineStr">
        <is>
          <t>Follana Ramón, Águeda Cirila</t>
        </is>
      </c>
      <c r="E16" s="31" t="inlineStr">
        <is>
          <t>Une étude socio-historique, linguistique et phonétique des primo-arrivants en classe de Fle. Une réalité de la Comunidad valenciana : le cas particulier du lycée ¿Nit de l¿Albà -Elche (Espagne)</t>
        </is>
      </c>
      <c r="F16" s="31" t="inlineStr">
        <is>
          <t>09/07/2024</t>
        </is>
      </c>
      <c r="G16" s="31" t="inlineStr">
        <is>
          <t>21471389S</t>
        </is>
      </c>
      <c r="H16" s="31" t="inlineStr">
        <is>
          <t>Codirector de tesis</t>
        </is>
      </c>
      <c r="I16" s="31" t="inlineStr">
        <is>
          <t>B114</t>
        </is>
      </c>
      <c r="J16" s="31" t="inlineStr">
        <is>
          <t>FILOLOGIAS INTEGRADAS</t>
        </is>
      </c>
      <c r="K16" s="31" t="n">
        <v>0.5</v>
      </c>
      <c r="L16" s="31" t="inlineStr">
        <is>
          <t>B114</t>
        </is>
      </c>
      <c r="M16" s="31" t="n">
        <v>2023</v>
      </c>
      <c r="N16" s="31" t="inlineStr">
        <is>
          <t>10.23</t>
        </is>
      </c>
      <c r="O16" s="31" t="inlineStr">
        <is>
          <t>20</t>
        </is>
      </c>
      <c r="P16" s="31" t="inlineStr"/>
      <c r="Q16" s="31" t="inlineStr"/>
      <c r="R16" s="31" t="n">
        <v>80</v>
      </c>
      <c r="S16" s="31" t="n">
        <v>0.4</v>
      </c>
      <c r="T16" s="31" t="n">
        <v>0.1</v>
      </c>
      <c r="U16" s="31" t="n">
        <v>0</v>
      </c>
    </row>
    <row r="17">
      <c r="A17" s="31" t="inlineStr">
        <is>
          <t>U023</t>
        </is>
      </c>
      <c r="B17" s="31" t="inlineStr">
        <is>
          <t>ADM. FACULTAD DE FILOSOFIA Y LETRAS</t>
        </is>
      </c>
      <c r="C17" s="31" t="inlineStr">
        <is>
          <t>DOCTORADO EN FILOSOFÍA Y LETRAS</t>
        </is>
      </c>
      <c r="D17" s="31" t="inlineStr">
        <is>
          <t>Escurís García, María José</t>
        </is>
      </c>
      <c r="E17" s="31" t="inlineStr">
        <is>
          <t>Estudio sobre la "Lección de la Lengua y la Poesía alemana" de Daniel Georg Morhof.</t>
        </is>
      </c>
      <c r="F17" s="31" t="inlineStr">
        <is>
          <t>22/03/2024</t>
        </is>
      </c>
      <c r="G17" s="31" t="inlineStr">
        <is>
          <t>73547310A</t>
        </is>
      </c>
      <c r="H17" s="31" t="inlineStr">
        <is>
          <t>Director de tesis</t>
        </is>
      </c>
      <c r="I17" s="31" t="inlineStr">
        <is>
          <t>B114</t>
        </is>
      </c>
      <c r="J17" s="31" t="inlineStr">
        <is>
          <t>FILOLOGIAS INTEGRADAS</t>
        </is>
      </c>
      <c r="K17" s="31" t="n">
        <v>1</v>
      </c>
      <c r="L17" s="31" t="inlineStr">
        <is>
          <t>B114</t>
        </is>
      </c>
      <c r="M17" s="31" t="n">
        <v>2023</v>
      </c>
      <c r="N17" s="31" t="inlineStr"/>
      <c r="O17" s="31" t="inlineStr"/>
      <c r="P17" s="31" t="inlineStr"/>
      <c r="Q17" s="31" t="inlineStr"/>
      <c r="R17" s="31" t="n">
        <v>100</v>
      </c>
      <c r="S17" s="31" t="n">
        <v>1</v>
      </c>
      <c r="T17" s="31" t="n">
        <v>0</v>
      </c>
      <c r="U17" s="31" t="n">
        <v>0</v>
      </c>
    </row>
    <row r="18">
      <c r="A18" s="31" t="inlineStr">
        <is>
          <t>U023</t>
        </is>
      </c>
      <c r="B18" s="31" t="inlineStr">
        <is>
          <t>ADM. FACULTAD DE FILOSOFIA Y LETRAS</t>
        </is>
      </c>
      <c r="C18" s="31" t="inlineStr">
        <is>
          <t>DOCTORADO EN FILOSOFÍA Y LETRAS</t>
        </is>
      </c>
      <c r="D18" s="31" t="inlineStr">
        <is>
          <t>Klawitter , Oliver</t>
        </is>
      </c>
      <c r="E18" s="31" t="inlineStr">
        <is>
          <t>Educating about cultural sensitivity and media literacy:A compendium of cultural interaction and image studies on disinformation in the context of artificial intelligence</t>
        </is>
      </c>
      <c r="F18" s="31" t="inlineStr">
        <is>
          <t>05/12/2023</t>
        </is>
      </c>
      <c r="G18" s="31" t="inlineStr">
        <is>
          <t>X1299790Z</t>
        </is>
      </c>
      <c r="H18" s="31" t="inlineStr">
        <is>
          <t>Director de tesis</t>
        </is>
      </c>
      <c r="I18" s="31" t="inlineStr">
        <is>
          <t>B114</t>
        </is>
      </c>
      <c r="J18" s="31" t="inlineStr">
        <is>
          <t>FILOLOGIAS INTEGRADAS</t>
        </is>
      </c>
      <c r="K18" s="31" t="n">
        <v>1</v>
      </c>
      <c r="L18" s="31" t="inlineStr">
        <is>
          <t>B114</t>
        </is>
      </c>
      <c r="M18" s="31" t="n">
        <v>2023</v>
      </c>
      <c r="N18" s="31" t="inlineStr">
        <is>
          <t>10.06</t>
        </is>
      </c>
      <c r="O18" s="31" t="inlineStr">
        <is>
          <t>50</t>
        </is>
      </c>
      <c r="P18" s="31" t="inlineStr"/>
      <c r="Q18" s="31" t="inlineStr"/>
      <c r="R18" s="31" t="n">
        <v>50</v>
      </c>
      <c r="S18" s="31" t="n">
        <v>0.5</v>
      </c>
      <c r="T18" s="31" t="n">
        <v>0.5</v>
      </c>
      <c r="U18" s="31" t="n">
        <v>0</v>
      </c>
    </row>
    <row r="19">
      <c r="A19" s="31" t="inlineStr">
        <is>
          <t>U023</t>
        </is>
      </c>
      <c r="B19" s="31" t="inlineStr">
        <is>
          <t>ADM. FACULTAD DE FILOSOFIA Y LETRAS</t>
        </is>
      </c>
      <c r="C19" s="31" t="inlineStr">
        <is>
          <t>DOCTORADO EN FILOSOFÍA Y LETRAS</t>
        </is>
      </c>
      <c r="D19" s="31" t="inlineStr">
        <is>
          <t>Hejab Yahya Hazmi , Abdulmonim</t>
        </is>
      </c>
      <c r="E19" s="31" t="inlineStr">
        <is>
          <t>Los moriscos en la literatura contemporánea española y árabe. Los libros plúmbeos de Granada en las novelas de Abdelwahed Braham y Juan Guerrero Zamora</t>
        </is>
      </c>
      <c r="F19" s="31" t="inlineStr">
        <is>
          <t>18/03/2024</t>
        </is>
      </c>
      <c r="G19" s="31" t="inlineStr">
        <is>
          <t>22126243J</t>
        </is>
      </c>
      <c r="H19" s="31" t="inlineStr">
        <is>
          <t>Director de tesis</t>
        </is>
      </c>
      <c r="I19" s="31" t="inlineStr">
        <is>
          <t>B114</t>
        </is>
      </c>
      <c r="J19" s="31" t="inlineStr">
        <is>
          <t>FILOLOGIAS INTEGRADAS</t>
        </is>
      </c>
      <c r="K19" s="31" t="n">
        <v>1</v>
      </c>
      <c r="L19" s="31" t="inlineStr">
        <is>
          <t>B114</t>
        </is>
      </c>
      <c r="M19" s="31" t="n">
        <v>2023</v>
      </c>
      <c r="N19" s="31" t="inlineStr"/>
      <c r="O19" s="31" t="inlineStr"/>
      <c r="P19" s="31" t="inlineStr"/>
      <c r="Q19" s="31" t="inlineStr"/>
      <c r="R19" s="31" t="n">
        <v>100</v>
      </c>
      <c r="S19" s="31" t="n">
        <v>1</v>
      </c>
      <c r="T19" s="31" t="n">
        <v>0</v>
      </c>
      <c r="U19" s="31" t="n">
        <v>0</v>
      </c>
    </row>
    <row r="20">
      <c r="A20" s="31" t="inlineStr">
        <is>
          <t>U023</t>
        </is>
      </c>
      <c r="B20" s="31" t="inlineStr">
        <is>
          <t>ADM. FACULTAD DE FILOSOFIA Y LETRAS</t>
        </is>
      </c>
      <c r="C20" s="31" t="inlineStr">
        <is>
          <t>DOCTORADO EN FILOSOFÍA Y LETRAS</t>
        </is>
      </c>
      <c r="D20" s="31" t="inlineStr">
        <is>
          <t>Ortuño Centenero, Daniel</t>
        </is>
      </c>
      <c r="E20" s="31" t="inlineStr">
        <is>
          <t>El verbo besar en el contexto de las relaciones interpersonales en castellano, francés y catalán: Estudio morfosemántico, contrastivo y diacrónico</t>
        </is>
      </c>
      <c r="F20" s="31" t="inlineStr">
        <is>
          <t>21/09/2024</t>
        </is>
      </c>
      <c r="G20" s="31" t="inlineStr">
        <is>
          <t>21436895K</t>
        </is>
      </c>
      <c r="H20" s="31" t="inlineStr">
        <is>
          <t>Codirector de tesis</t>
        </is>
      </c>
      <c r="I20" s="31" t="inlineStr">
        <is>
          <t>B114</t>
        </is>
      </c>
      <c r="J20" s="31" t="inlineStr">
        <is>
          <t>FILOLOGIAS INTEGRADAS</t>
        </is>
      </c>
      <c r="K20" s="31" t="n">
        <v>0.5</v>
      </c>
      <c r="L20" s="31" t="inlineStr">
        <is>
          <t>B114</t>
        </is>
      </c>
      <c r="M20" s="31" t="n">
        <v>2023</v>
      </c>
      <c r="N20" s="31" t="inlineStr">
        <is>
          <t>10.15</t>
        </is>
      </c>
      <c r="O20" s="31" t="inlineStr">
        <is>
          <t>20</t>
        </is>
      </c>
      <c r="P20" s="31" t="inlineStr"/>
      <c r="Q20" s="31" t="inlineStr"/>
      <c r="R20" s="31" t="n">
        <v>80</v>
      </c>
      <c r="S20" s="31" t="n">
        <v>0.4</v>
      </c>
      <c r="T20" s="31" t="n">
        <v>0.1</v>
      </c>
      <c r="U20" s="31" t="n">
        <v>0</v>
      </c>
    </row>
    <row r="21">
      <c r="A21" s="31" t="inlineStr">
        <is>
          <t>U023</t>
        </is>
      </c>
      <c r="B21" s="31" t="inlineStr">
        <is>
          <t>Administración Facultad de Filosofía y Letras</t>
        </is>
      </c>
      <c r="C21" s="31" t="inlineStr">
        <is>
          <t>DOCTORADO EN FILOSOFÍA Y LETRAS</t>
        </is>
      </c>
      <c r="D21" s="31" t="inlineStr">
        <is>
          <t>Sánchez García, Patricia Carina</t>
        </is>
      </c>
      <c r="E21" s="31" t="inlineStr">
        <is>
          <t>Formas de aprender árabe en España entre los siglos XV y XVII</t>
        </is>
      </c>
      <c r="F21" s="31" t="inlineStr">
        <is>
          <t>21/05/2025</t>
        </is>
      </c>
      <c r="G21" s="31" t="inlineStr">
        <is>
          <t>21474507M</t>
        </is>
      </c>
      <c r="H21" s="31" t="inlineStr">
        <is>
          <t>Codirector de tesis</t>
        </is>
      </c>
      <c r="I21" s="31" t="inlineStr">
        <is>
          <t>B114</t>
        </is>
      </c>
      <c r="J21" s="31" t="inlineStr">
        <is>
          <t>Filologías Integradas</t>
        </is>
      </c>
      <c r="K21" s="31" t="n">
        <v>0.5</v>
      </c>
      <c r="L21" s="31" t="inlineStr">
        <is>
          <t>B114</t>
        </is>
      </c>
      <c r="M21" s="31" t="n">
        <v>2024</v>
      </c>
      <c r="N21" s="31" t="inlineStr">
        <is>
          <t>10.23</t>
        </is>
      </c>
      <c r="O21" s="31" t="inlineStr">
        <is>
          <t>20</t>
        </is>
      </c>
      <c r="P21" s="31" t="inlineStr"/>
      <c r="Q21" s="31" t="inlineStr"/>
      <c r="R21" s="31" t="n">
        <v>80</v>
      </c>
      <c r="S21" s="31" t="n">
        <v>0.4</v>
      </c>
      <c r="T21" s="31" t="n">
        <v>0.1</v>
      </c>
      <c r="U21" s="31" t="n">
        <v>0</v>
      </c>
    </row>
    <row r="22">
      <c r="A22" s="31" t="inlineStr">
        <is>
          <t>U023</t>
        </is>
      </c>
      <c r="B22" s="31" t="inlineStr">
        <is>
          <t>Administración Facultad de Filosofía y Letras</t>
        </is>
      </c>
      <c r="C22" s="31" t="inlineStr">
        <is>
          <t>DOCTORADO EN FILOSOFÍA Y LETRAS</t>
        </is>
      </c>
      <c r="D22" s="31" t="inlineStr">
        <is>
          <t>Zalalo , Mohamed Aly Abdelrazeq</t>
        </is>
      </c>
      <c r="E22" s="31" t="inlineStr">
        <is>
          <t>LA EXPULSIÓN DE LOS MORISCOS EN LAS FUENTES ÁRABES</t>
        </is>
      </c>
      <c r="F22" s="31" t="inlineStr">
        <is>
          <t>22/07/2025</t>
        </is>
      </c>
      <c r="G22" s="31" t="inlineStr">
        <is>
          <t>22126243J</t>
        </is>
      </c>
      <c r="H22" s="31" t="inlineStr">
        <is>
          <t>Director de tesis</t>
        </is>
      </c>
      <c r="I22" s="31" t="inlineStr">
        <is>
          <t>B114</t>
        </is>
      </c>
      <c r="J22" s="31" t="inlineStr">
        <is>
          <t>Filologías Integradas</t>
        </is>
      </c>
      <c r="K22" s="31" t="n">
        <v>1</v>
      </c>
      <c r="L22" s="31" t="inlineStr">
        <is>
          <t>B114</t>
        </is>
      </c>
      <c r="M22" s="31" t="n">
        <v>2024</v>
      </c>
      <c r="N22" s="31" t="inlineStr"/>
      <c r="O22" s="31" t="inlineStr"/>
      <c r="P22" s="31" t="inlineStr"/>
      <c r="Q22" s="31" t="inlineStr"/>
      <c r="R22" s="31" t="n">
        <v>100</v>
      </c>
      <c r="S22" s="31" t="n">
        <v>1</v>
      </c>
      <c r="T22" s="31" t="n">
        <v>0</v>
      </c>
      <c r="U22" s="31" t="n">
        <v>0</v>
      </c>
    </row>
    <row r="23">
      <c r="A23" s="31" t="inlineStr">
        <is>
          <t>U023</t>
        </is>
      </c>
      <c r="B23" s="31" t="inlineStr">
        <is>
          <t>Administración Facultad de Filosofía y Letras</t>
        </is>
      </c>
      <c r="C23" s="31" t="inlineStr">
        <is>
          <t>DOCTORADO EN FILOSOFÍA Y LETRAS</t>
        </is>
      </c>
      <c r="D23" s="31" t="inlineStr">
        <is>
          <t>Mouffokes , Mohammed Bouhezam</t>
        </is>
      </c>
      <c r="E23" s="31" t="inlineStr">
        <is>
          <t>Pour une analyse du rapport algéro-français avant et après l¿indépendance à travers L'Étranger de Camus et Meursault, contre-enquête de Daoud : des circonstances sociohistoriques aux résonances littéraires</t>
        </is>
      </c>
      <c r="F23" s="31" t="inlineStr">
        <is>
          <t>15/04/2025</t>
        </is>
      </c>
      <c r="G23" s="31" t="inlineStr">
        <is>
          <t>21471389S</t>
        </is>
      </c>
      <c r="H23" s="31" t="inlineStr">
        <is>
          <t>Director de tesis</t>
        </is>
      </c>
      <c r="I23" s="31" t="inlineStr">
        <is>
          <t>B114</t>
        </is>
      </c>
      <c r="J23" s="31" t="inlineStr">
        <is>
          <t>Filologías Integradas</t>
        </is>
      </c>
      <c r="K23" s="31" t="n">
        <v>1</v>
      </c>
      <c r="L23" s="31" t="inlineStr">
        <is>
          <t>B114</t>
        </is>
      </c>
      <c r="M23" s="31" t="n">
        <v>2024</v>
      </c>
      <c r="N23" s="31" t="inlineStr">
        <is>
          <t>10.23</t>
        </is>
      </c>
      <c r="O23" s="31" t="inlineStr">
        <is>
          <t>20</t>
        </is>
      </c>
      <c r="P23" s="31" t="inlineStr"/>
      <c r="Q23" s="31" t="inlineStr"/>
      <c r="R23" s="31" t="n">
        <v>80</v>
      </c>
      <c r="S23" s="31" t="n">
        <v>0.8</v>
      </c>
      <c r="T23" s="31" t="n">
        <v>0.2</v>
      </c>
      <c r="U23" s="31" t="n">
        <v>0</v>
      </c>
    </row>
    <row r="24">
      <c r="A24" s="31" t="inlineStr">
        <is>
          <t>U023</t>
        </is>
      </c>
      <c r="B24" s="31" t="inlineStr">
        <is>
          <t>Administración Facultad de Filosofía y Letras</t>
        </is>
      </c>
      <c r="C24" s="31" t="inlineStr">
        <is>
          <t>DOCTORADO EN FILOSOFÍA Y LETRAS</t>
        </is>
      </c>
      <c r="D24" s="31" t="inlineStr">
        <is>
          <t>Rollo , Andrea</t>
        </is>
      </c>
      <c r="E24" s="31" t="inlineStr">
        <is>
          <t>MORO-MORO: THE MISSING PIECE IN THEFILIPINO MARTIAL ARTS HISTORY</t>
        </is>
      </c>
      <c r="F24" s="31" t="inlineStr">
        <is>
          <t>11/03/2025</t>
        </is>
      </c>
      <c r="G24" s="31" t="inlineStr">
        <is>
          <t>21672419W</t>
        </is>
      </c>
      <c r="H24" s="31" t="inlineStr">
        <is>
          <t>Director de tesis</t>
        </is>
      </c>
      <c r="I24" s="31" t="inlineStr">
        <is>
          <t>B114</t>
        </is>
      </c>
      <c r="J24" s="31" t="inlineStr">
        <is>
          <t>Filologías Integradas</t>
        </is>
      </c>
      <c r="K24" s="31" t="n">
        <v>1</v>
      </c>
      <c r="L24" s="31" t="inlineStr">
        <is>
          <t>B114</t>
        </is>
      </c>
      <c r="M24" s="31" t="n">
        <v>2024</v>
      </c>
      <c r="N24" s="31" t="inlineStr"/>
      <c r="O24" s="31" t="inlineStr"/>
      <c r="P24" s="31" t="inlineStr"/>
      <c r="Q24" s="31" t="inlineStr"/>
      <c r="R24" s="31" t="n">
        <v>100</v>
      </c>
      <c r="S24" s="31" t="n">
        <v>1</v>
      </c>
      <c r="T24" s="31" t="n">
        <v>0</v>
      </c>
      <c r="U24" s="31" t="n">
        <v>0</v>
      </c>
    </row>
    <row r="25">
      <c r="A25" s="7" t="n"/>
      <c r="B25" s="7" t="n"/>
      <c r="C25" s="7" t="n"/>
      <c r="D25" s="7" t="n"/>
      <c r="E25" s="7" t="n"/>
      <c r="F25" s="7" t="n"/>
      <c r="G25" s="7" t="n"/>
      <c r="H25" s="7" t="n"/>
      <c r="I25" s="7" t="n"/>
      <c r="J25" s="7" t="n"/>
      <c r="K25" s="7" t="n"/>
      <c r="L25" s="7" t="n"/>
      <c r="M25" s="7" t="n"/>
      <c r="N25" s="7" t="n"/>
      <c r="O25" s="7" t="n"/>
      <c r="P25" s="7" t="n"/>
      <c r="Q25" s="7" t="n"/>
      <c r="R25" s="7" t="n"/>
      <c r="S25" s="40">
        <f>SUM(S2:S24)</f>
        <v/>
      </c>
      <c r="T25" s="7" t="n"/>
      <c r="U25" s="7" t="n"/>
    </row>
  </sheetData>
  <autoFilter ref="A1:U1">
    <sortState ref="A2:T1894">
      <sortCondition ref="K2:K1894"/>
      <sortCondition ref="L2:L1894"/>
      <sortCondition ref="D2:D1894"/>
    </sortState>
  </autoFilter>
  <printOptions horizontalCentered="1"/>
  <pageMargins left="0.1968503937007874" right="0.1968503937007874" top="0.3937007874015748" bottom="0.3937007874015748" header="0.7874015748031497" footer="0"/>
  <pageSetup orientation="landscape" paperSize="9" scale="93" fitToHeight="50" fitToWidth="2"/>
</worksheet>
</file>

<file path=xl/worksheets/sheet2.xml><?xml version="1.0" encoding="utf-8"?>
<worksheet xmlns="http://schemas.openxmlformats.org/spreadsheetml/2006/main">
  <sheetPr>
    <outlinePr summaryBelow="1" summaryRight="1"/>
    <pageSetUpPr fitToPage="1"/>
  </sheetPr>
  <dimension ref="A1:T24"/>
  <sheetViews>
    <sheetView zoomScaleNormal="100" workbookViewId="0">
      <selection activeCell="U9" sqref="U9"/>
    </sheetView>
  </sheetViews>
  <sheetFormatPr baseColWidth="10" defaultColWidth="11.44140625" defaultRowHeight="13.2"/>
  <cols>
    <col width="10.88671875" bestFit="1" customWidth="1" style="12" min="1" max="1"/>
    <col width="40.33203125" bestFit="1" customWidth="1" style="12" min="2" max="2"/>
    <col width="17" bestFit="1" customWidth="1" style="12" min="3" max="3"/>
    <col width="3.33203125" bestFit="1" customWidth="1" style="12" min="4" max="9"/>
    <col width="13.109375" bestFit="1" customWidth="1" style="12" min="10" max="10"/>
    <col width="5.33203125" bestFit="1" customWidth="1" style="12" min="11" max="11"/>
    <col width="5.6640625" bestFit="1" customWidth="1" style="12" min="12" max="13"/>
    <col width="5.6640625" bestFit="1" customWidth="1" style="13" min="14" max="14"/>
    <col width="5.6640625" bestFit="1" customWidth="1" style="12" min="15" max="15"/>
    <col width="5.6640625" bestFit="1" customWidth="1" style="13" min="16" max="16"/>
    <col width="5.6640625" bestFit="1" customWidth="1" style="12" min="17" max="19"/>
    <col width="11.44140625" customWidth="1" style="12" min="20" max="16384"/>
  </cols>
  <sheetData>
    <row r="1" ht="60" customFormat="1" customHeight="1" s="11">
      <c r="A1" s="14" t="inlineStr">
        <is>
          <t>NIF</t>
        </is>
      </c>
      <c r="B1" s="14" t="inlineStr">
        <is>
          <t>NOMBRE_COMPLETO</t>
        </is>
      </c>
      <c r="C1" s="14" t="inlineStr">
        <is>
          <t>TIPO_SEXENIO</t>
        </is>
      </c>
      <c r="D1" s="15" t="inlineStr">
        <is>
          <t>2020</t>
        </is>
      </c>
      <c r="E1" s="15" t="inlineStr">
        <is>
          <t>2021</t>
        </is>
      </c>
      <c r="F1" s="15" t="inlineStr">
        <is>
          <t>2022</t>
        </is>
      </c>
      <c r="G1" s="15" t="inlineStr">
        <is>
          <t>2023</t>
        </is>
      </c>
      <c r="H1" s="15" t="inlineStr">
        <is>
          <t>2024</t>
        </is>
      </c>
      <c r="I1" s="15" t="inlineStr">
        <is>
          <t>2025</t>
        </is>
      </c>
      <c r="J1" s="14" t="inlineStr">
        <is>
          <t>Total general</t>
        </is>
      </c>
      <c r="K1" s="28" t="inlineStr">
        <is>
          <t>COD DEP</t>
        </is>
      </c>
      <c r="L1" s="9" t="inlineStr">
        <is>
          <t>INS
1</t>
        </is>
      </c>
      <c r="M1" s="9" t="inlineStr">
        <is>
          <t>DED
INS 1</t>
        </is>
      </c>
      <c r="N1" s="9" t="inlineStr">
        <is>
          <t>INS
2</t>
        </is>
      </c>
      <c r="O1" s="9" t="inlineStr">
        <is>
          <t>DED
INS 2</t>
        </is>
      </c>
      <c r="P1" s="10" t="inlineStr">
        <is>
          <t>DED
DEP</t>
        </is>
      </c>
      <c r="Q1" s="10" t="inlineStr">
        <is>
          <t>SEX
INS 1</t>
        </is>
      </c>
      <c r="R1" s="10" t="inlineStr">
        <is>
          <t>SEX
INS 2</t>
        </is>
      </c>
      <c r="S1" s="10" t="inlineStr">
        <is>
          <t>SEX
DEP</t>
        </is>
      </c>
    </row>
    <row r="2">
      <c r="A2" s="38" t="inlineStr">
        <is>
          <t>21417486R</t>
        </is>
      </c>
      <c r="B2" s="38" t="inlineStr">
        <is>
          <t>Sirvent Ramos, María Ángeles</t>
        </is>
      </c>
      <c r="C2" s="38" t="inlineStr">
        <is>
          <t>FUNCIONARIO</t>
        </is>
      </c>
      <c r="D2" s="38" t="n"/>
      <c r="E2" s="38" t="n"/>
      <c r="F2" s="38" t="n"/>
      <c r="G2" s="38" t="n"/>
      <c r="H2" s="38" t="n"/>
      <c r="I2" s="38" t="n">
        <v>1</v>
      </c>
      <c r="J2" s="38" t="n">
        <v>1</v>
      </c>
      <c r="K2" s="38" t="inlineStr">
        <is>
          <t>B114</t>
        </is>
      </c>
      <c r="L2" s="38" t="inlineStr">
        <is>
          <t>10.23</t>
        </is>
      </c>
      <c r="M2" s="38" t="inlineStr">
        <is>
          <t>20</t>
        </is>
      </c>
      <c r="N2" s="39" t="inlineStr">
        <is>
          <t>10.15</t>
        </is>
      </c>
      <c r="O2" s="38" t="inlineStr">
        <is>
          <t>10</t>
        </is>
      </c>
      <c r="P2" s="39" t="n">
        <v>70</v>
      </c>
      <c r="Q2" s="38" t="n">
        <v>0.2</v>
      </c>
      <c r="R2" s="38" t="n">
        <v>0.1</v>
      </c>
      <c r="S2" s="38" t="n">
        <v>0.7</v>
      </c>
    </row>
    <row r="3">
      <c r="A3" s="38" t="inlineStr">
        <is>
          <t>21437862E</t>
        </is>
      </c>
      <c r="B3" s="38" t="inlineStr">
        <is>
          <t>Cutillas Ferrer, José Francisco</t>
        </is>
      </c>
      <c r="C3" s="38" t="inlineStr">
        <is>
          <t>FUNCIONARIO</t>
        </is>
      </c>
      <c r="D3" s="38" t="n"/>
      <c r="E3" s="38" t="n"/>
      <c r="F3" s="38" t="n"/>
      <c r="G3" s="38" t="n"/>
      <c r="H3" s="38" t="n"/>
      <c r="I3" s="38" t="n">
        <v>1</v>
      </c>
      <c r="J3" s="38" t="n">
        <v>1</v>
      </c>
      <c r="K3" s="38" t="inlineStr">
        <is>
          <t>B114</t>
        </is>
      </c>
      <c r="L3" s="38" t="n">
        <v>0</v>
      </c>
      <c r="M3" s="38" t="n">
        <v>0</v>
      </c>
      <c r="N3" s="39" t="inlineStr"/>
      <c r="O3" s="38" t="inlineStr"/>
      <c r="P3" s="39" t="n">
        <v>100</v>
      </c>
      <c r="Q3" s="38" t="n">
        <v>0</v>
      </c>
      <c r="R3" s="38" t="n">
        <v>0</v>
      </c>
      <c r="S3" s="38" t="n">
        <v>1</v>
      </c>
    </row>
    <row r="4">
      <c r="A4" s="38" t="inlineStr">
        <is>
          <t>21445654V</t>
        </is>
      </c>
      <c r="B4" s="38" t="inlineStr">
        <is>
          <t>Franco Sánchez, Francisco</t>
        </is>
      </c>
      <c r="C4" s="38" t="inlineStr">
        <is>
          <t>FUNCIONARIO</t>
        </is>
      </c>
      <c r="D4" s="38" t="n"/>
      <c r="E4" s="38" t="n"/>
      <c r="F4" s="38" t="n"/>
      <c r="G4" s="38" t="n"/>
      <c r="H4" s="38" t="n"/>
      <c r="I4" s="38" t="n">
        <v>1</v>
      </c>
      <c r="J4" s="38" t="n">
        <v>1</v>
      </c>
      <c r="K4" s="38" t="inlineStr">
        <is>
          <t>B114</t>
        </is>
      </c>
      <c r="L4" s="38" t="n">
        <v>0</v>
      </c>
      <c r="M4" s="38" t="n">
        <v>0</v>
      </c>
      <c r="N4" s="39" t="inlineStr"/>
      <c r="O4" s="38" t="inlineStr"/>
      <c r="P4" s="39" t="n">
        <v>100</v>
      </c>
      <c r="Q4" s="38" t="n">
        <v>0</v>
      </c>
      <c r="R4" s="38" t="n">
        <v>0</v>
      </c>
      <c r="S4" s="38" t="n">
        <v>1</v>
      </c>
    </row>
    <row r="5">
      <c r="A5" s="38" t="inlineStr">
        <is>
          <t>21471389S</t>
        </is>
      </c>
      <c r="B5" s="38" t="inlineStr">
        <is>
          <t>Arráez Llobregat, José Luis</t>
        </is>
      </c>
      <c r="C5" s="38" t="inlineStr">
        <is>
          <t>FUNCIONARIO</t>
        </is>
      </c>
      <c r="D5" s="38" t="n"/>
      <c r="E5" s="38" t="n"/>
      <c r="F5" s="38" t="n"/>
      <c r="G5" s="38" t="n">
        <v>1</v>
      </c>
      <c r="H5" s="38" t="n"/>
      <c r="I5" s="38" t="n"/>
      <c r="J5" s="38" t="n">
        <v>1</v>
      </c>
      <c r="K5" s="38" t="inlineStr">
        <is>
          <t>B114</t>
        </is>
      </c>
      <c r="L5" s="38" t="inlineStr">
        <is>
          <t>10.23</t>
        </is>
      </c>
      <c r="M5" s="38" t="inlineStr">
        <is>
          <t>20</t>
        </is>
      </c>
      <c r="N5" s="39" t="inlineStr"/>
      <c r="O5" s="38" t="inlineStr"/>
      <c r="P5" s="39" t="n">
        <v>80</v>
      </c>
      <c r="Q5" s="38" t="n">
        <v>0.2</v>
      </c>
      <c r="R5" s="38" t="n">
        <v>0</v>
      </c>
      <c r="S5" s="38" t="n">
        <v>0.8</v>
      </c>
    </row>
    <row r="6">
      <c r="A6" s="38" t="inlineStr">
        <is>
          <t>21474507M</t>
        </is>
      </c>
      <c r="B6" s="38" t="inlineStr">
        <is>
          <t>Lapiedra Gutiérrez, Eva</t>
        </is>
      </c>
      <c r="C6" s="38" t="inlineStr">
        <is>
          <t>Vivos</t>
        </is>
      </c>
      <c r="D6" s="38" t="n"/>
      <c r="E6" s="38" t="n"/>
      <c r="F6" s="38" t="n"/>
      <c r="G6" s="38" t="n"/>
      <c r="H6" s="38" t="n"/>
      <c r="I6" s="38" t="n">
        <v>1</v>
      </c>
      <c r="J6" s="38" t="n">
        <v>1</v>
      </c>
      <c r="K6" s="38" t="inlineStr">
        <is>
          <t>B114</t>
        </is>
      </c>
      <c r="L6" s="38" t="inlineStr">
        <is>
          <t>10.23</t>
        </is>
      </c>
      <c r="M6" s="38" t="inlineStr">
        <is>
          <t>20</t>
        </is>
      </c>
      <c r="N6" s="39" t="inlineStr"/>
      <c r="O6" s="38" t="inlineStr"/>
      <c r="P6" s="39" t="n">
        <v>80</v>
      </c>
      <c r="Q6" s="38" t="n">
        <v>0.2</v>
      </c>
      <c r="R6" s="38" t="n">
        <v>0</v>
      </c>
      <c r="S6" s="38" t="n">
        <v>0.8</v>
      </c>
    </row>
    <row r="7">
      <c r="A7" s="38" t="inlineStr">
        <is>
          <t>21501071G</t>
        </is>
      </c>
      <c r="B7" s="38" t="inlineStr">
        <is>
          <t>López Simó, Mireia</t>
        </is>
      </c>
      <c r="C7" s="38" t="inlineStr">
        <is>
          <t>NO FUNCIONARIO</t>
        </is>
      </c>
      <c r="D7" s="38" t="n"/>
      <c r="E7" s="38" t="n"/>
      <c r="F7" s="38" t="n">
        <v>1</v>
      </c>
      <c r="G7" s="38" t="n"/>
      <c r="H7" s="38" t="n"/>
      <c r="I7" s="38" t="n"/>
      <c r="J7" s="38" t="n">
        <v>1</v>
      </c>
      <c r="K7" s="38" t="inlineStr">
        <is>
          <t>B114</t>
        </is>
      </c>
      <c r="L7" s="38" t="inlineStr">
        <is>
          <t>10.25</t>
        </is>
      </c>
      <c r="M7" s="38" t="inlineStr">
        <is>
          <t>30</t>
        </is>
      </c>
      <c r="N7" s="39" t="inlineStr"/>
      <c r="O7" s="38" t="inlineStr"/>
      <c r="P7" s="39" t="n">
        <v>70</v>
      </c>
      <c r="Q7" s="38" t="n">
        <v>0.3</v>
      </c>
      <c r="R7" s="38" t="n">
        <v>0</v>
      </c>
      <c r="S7" s="38" t="n">
        <v>0.7</v>
      </c>
    </row>
    <row r="8">
      <c r="A8" s="38" t="inlineStr">
        <is>
          <t>21672419W</t>
        </is>
      </c>
      <c r="B8" s="38" t="inlineStr">
        <is>
          <t>Donoso Jiménez, Isaac</t>
        </is>
      </c>
      <c r="C8" s="38" t="inlineStr">
        <is>
          <t>FUNCIONARIO</t>
        </is>
      </c>
      <c r="D8" s="38" t="n"/>
      <c r="E8" s="38" t="n"/>
      <c r="F8" s="38" t="n"/>
      <c r="G8" s="38" t="n"/>
      <c r="H8" s="38" t="n"/>
      <c r="I8" s="38" t="n">
        <v>1</v>
      </c>
      <c r="J8" s="38" t="n">
        <v>1</v>
      </c>
      <c r="K8" s="38" t="inlineStr">
        <is>
          <t>B114</t>
        </is>
      </c>
      <c r="L8" s="38" t="n">
        <v>0</v>
      </c>
      <c r="M8" s="38" t="n">
        <v>0</v>
      </c>
      <c r="N8" s="39" t="inlineStr"/>
      <c r="O8" s="38" t="inlineStr"/>
      <c r="P8" s="39" t="n">
        <v>100</v>
      </c>
      <c r="Q8" s="38" t="n">
        <v>0</v>
      </c>
      <c r="R8" s="38" t="n">
        <v>0</v>
      </c>
      <c r="S8" s="38" t="n">
        <v>1</v>
      </c>
    </row>
    <row r="9">
      <c r="A9" s="38" t="inlineStr">
        <is>
          <t>22126243J</t>
        </is>
      </c>
      <c r="B9" s="38" t="inlineStr">
        <is>
          <t>Bernabé Pons, Luis Fernando</t>
        </is>
      </c>
      <c r="C9" s="38" t="inlineStr">
        <is>
          <t>FUNCIONARIO</t>
        </is>
      </c>
      <c r="D9" s="38" t="n"/>
      <c r="E9" s="38" t="n"/>
      <c r="F9" s="38" t="n"/>
      <c r="G9" s="38" t="n"/>
      <c r="H9" s="38" t="n">
        <v>1</v>
      </c>
      <c r="I9" s="38" t="n"/>
      <c r="J9" s="38" t="n">
        <v>1</v>
      </c>
      <c r="K9" s="38" t="inlineStr">
        <is>
          <t>B114</t>
        </is>
      </c>
      <c r="L9" s="38" t="n">
        <v>0</v>
      </c>
      <c r="M9" s="38" t="n">
        <v>0</v>
      </c>
      <c r="N9" s="39" t="inlineStr"/>
      <c r="O9" s="38" t="inlineStr"/>
      <c r="P9" s="39" t="n">
        <v>100</v>
      </c>
      <c r="Q9" s="38" t="n">
        <v>0</v>
      </c>
      <c r="R9" s="38" t="n">
        <v>0</v>
      </c>
      <c r="S9" s="38" t="n">
        <v>1</v>
      </c>
    </row>
    <row r="10">
      <c r="A10" s="38" t="inlineStr">
        <is>
          <t>22128337Z</t>
        </is>
      </c>
      <c r="B10" s="38" t="inlineStr">
        <is>
          <t>Corbi Saez, Maria Isabel</t>
        </is>
      </c>
      <c r="C10" s="38" t="inlineStr">
        <is>
          <t>FUNCIONARIO</t>
        </is>
      </c>
      <c r="D10" s="38" t="n"/>
      <c r="E10" s="38" t="n"/>
      <c r="F10" s="38" t="n"/>
      <c r="G10" s="38" t="n"/>
      <c r="H10" s="38" t="n"/>
      <c r="I10" s="38" t="n">
        <v>1</v>
      </c>
      <c r="J10" s="38" t="n">
        <v>1</v>
      </c>
      <c r="K10" s="38" t="inlineStr">
        <is>
          <t>B114</t>
        </is>
      </c>
      <c r="L10" s="38" t="inlineStr">
        <is>
          <t>10.23</t>
        </is>
      </c>
      <c r="M10" s="38" t="inlineStr">
        <is>
          <t>20</t>
        </is>
      </c>
      <c r="N10" s="39" t="inlineStr">
        <is>
          <t>10.15</t>
        </is>
      </c>
      <c r="O10" s="38" t="inlineStr">
        <is>
          <t>10</t>
        </is>
      </c>
      <c r="P10" s="39" t="n">
        <v>70</v>
      </c>
      <c r="Q10" s="38" t="n">
        <v>0.2</v>
      </c>
      <c r="R10" s="38" t="n">
        <v>0.1</v>
      </c>
      <c r="S10" s="38" t="n">
        <v>0.7</v>
      </c>
    </row>
    <row r="11">
      <c r="A11" s="38" t="inlineStr">
        <is>
          <t>29013572S</t>
        </is>
      </c>
      <c r="B11" s="38" t="inlineStr">
        <is>
          <t>Peñalver Vicea, María Isabel</t>
        </is>
      </c>
      <c r="C11" s="38" t="inlineStr">
        <is>
          <t>FUNCIONARIO</t>
        </is>
      </c>
      <c r="D11" s="38" t="n">
        <v>1</v>
      </c>
      <c r="E11" s="38" t="n"/>
      <c r="F11" s="38" t="n"/>
      <c r="G11" s="38" t="n"/>
      <c r="H11" s="38" t="n"/>
      <c r="I11" s="38" t="n"/>
      <c r="J11" s="38" t="n">
        <v>1</v>
      </c>
      <c r="K11" s="38" t="inlineStr">
        <is>
          <t>B114</t>
        </is>
      </c>
      <c r="L11" s="38" t="inlineStr">
        <is>
          <t>10.23</t>
        </is>
      </c>
      <c r="M11" s="38" t="inlineStr">
        <is>
          <t>50</t>
        </is>
      </c>
      <c r="N11" s="39" t="inlineStr"/>
      <c r="O11" s="38" t="inlineStr"/>
      <c r="P11" s="39" t="n">
        <v>50</v>
      </c>
      <c r="Q11" s="38" t="n">
        <v>0.5</v>
      </c>
      <c r="R11" s="38" t="n">
        <v>0</v>
      </c>
      <c r="S11" s="38" t="n">
        <v>0.5</v>
      </c>
    </row>
    <row r="12">
      <c r="A12" s="38" t="inlineStr">
        <is>
          <t>33484860B</t>
        </is>
      </c>
      <c r="B12" s="38" t="inlineStr">
        <is>
          <t>Peral Crespo, Amelia</t>
        </is>
      </c>
      <c r="C12" s="38" t="inlineStr">
        <is>
          <t>NO FUNCIONARIO</t>
        </is>
      </c>
      <c r="D12" s="38" t="n">
        <v>1</v>
      </c>
      <c r="E12" s="38" t="n"/>
      <c r="F12" s="38" t="n"/>
      <c r="G12" s="38" t="n"/>
      <c r="H12" s="38" t="n"/>
      <c r="I12" s="38" t="n"/>
      <c r="J12" s="38" t="n">
        <v>1</v>
      </c>
      <c r="K12" s="38" t="inlineStr">
        <is>
          <t>B114</t>
        </is>
      </c>
      <c r="L12" s="38" t="inlineStr">
        <is>
          <t>10.23</t>
        </is>
      </c>
      <c r="M12" s="38" t="inlineStr">
        <is>
          <t>20</t>
        </is>
      </c>
      <c r="N12" s="39" t="inlineStr"/>
      <c r="O12" s="38" t="inlineStr"/>
      <c r="P12" s="39" t="n">
        <v>80</v>
      </c>
      <c r="Q12" s="38" t="n">
        <v>0.2</v>
      </c>
      <c r="R12" s="38" t="n">
        <v>0</v>
      </c>
      <c r="S12" s="38" t="n">
        <v>0.8</v>
      </c>
    </row>
    <row r="13">
      <c r="A13" s="38" t="inlineStr">
        <is>
          <t>45604506Z</t>
        </is>
      </c>
      <c r="B13" s="38" t="inlineStr">
        <is>
          <t>Parra Simón, María del Carmen</t>
        </is>
      </c>
      <c r="C13" s="38" t="inlineStr">
        <is>
          <t>NO FUNCIONARIO</t>
        </is>
      </c>
      <c r="D13" s="38" t="n"/>
      <c r="E13" s="38" t="n"/>
      <c r="F13" s="38" t="n"/>
      <c r="G13" s="38" t="n"/>
      <c r="H13" s="38" t="n"/>
      <c r="I13" s="38" t="n">
        <v>1</v>
      </c>
      <c r="J13" s="38" t="n">
        <v>1</v>
      </c>
      <c r="K13" s="38" t="inlineStr">
        <is>
          <t>B114</t>
        </is>
      </c>
      <c r="L13" s="38" t="n">
        <v>0</v>
      </c>
      <c r="M13" s="38" t="n">
        <v>0</v>
      </c>
      <c r="N13" s="39" t="inlineStr"/>
      <c r="O13" s="38" t="inlineStr"/>
      <c r="P13" s="39" t="n">
        <v>100</v>
      </c>
      <c r="Q13" s="38" t="n">
        <v>0</v>
      </c>
      <c r="R13" s="38" t="n">
        <v>0</v>
      </c>
      <c r="S13" s="38" t="n">
        <v>1</v>
      </c>
    </row>
    <row r="14">
      <c r="A14" s="38" t="inlineStr">
        <is>
          <t>48335892N</t>
        </is>
      </c>
      <c r="B14" s="38" t="inlineStr">
        <is>
          <t>El Erian El Bassal, Hany</t>
        </is>
      </c>
      <c r="C14" s="38" t="inlineStr">
        <is>
          <t>FUNCIONARIO</t>
        </is>
      </c>
      <c r="D14" s="38" t="n"/>
      <c r="E14" s="38" t="n">
        <v>1</v>
      </c>
      <c r="F14" s="38" t="n">
        <v>1</v>
      </c>
      <c r="G14" s="38" t="n"/>
      <c r="H14" s="38" t="n"/>
      <c r="I14" s="38" t="n"/>
      <c r="J14" s="38" t="n">
        <v>2</v>
      </c>
      <c r="K14" s="38" t="inlineStr">
        <is>
          <t>B114</t>
        </is>
      </c>
      <c r="L14" s="38" t="n">
        <v>0</v>
      </c>
      <c r="M14" s="38" t="n">
        <v>0</v>
      </c>
      <c r="N14" s="39" t="inlineStr"/>
      <c r="O14" s="38" t="inlineStr"/>
      <c r="P14" s="39" t="n">
        <v>100</v>
      </c>
      <c r="Q14" s="38" t="n">
        <v>0</v>
      </c>
      <c r="R14" s="38" t="n">
        <v>0</v>
      </c>
      <c r="S14" s="38" t="n">
        <v>2</v>
      </c>
    </row>
    <row r="15">
      <c r="A15" s="38" t="inlineStr">
        <is>
          <t>48392661V</t>
        </is>
      </c>
      <c r="B15" s="38" t="inlineStr">
        <is>
          <t>Bueno Alonso, Josefina</t>
        </is>
      </c>
      <c r="C15" s="38" t="inlineStr">
        <is>
          <t>Vivos</t>
        </is>
      </c>
      <c r="D15" s="38" t="n"/>
      <c r="E15" s="38" t="n"/>
      <c r="F15" s="38" t="n"/>
      <c r="G15" s="38" t="n"/>
      <c r="H15" s="38" t="n"/>
      <c r="I15" s="38" t="n">
        <v>1</v>
      </c>
      <c r="J15" s="38" t="n">
        <v>1</v>
      </c>
      <c r="K15" s="38" t="inlineStr">
        <is>
          <t>B114</t>
        </is>
      </c>
      <c r="L15" s="38" t="n">
        <v>0</v>
      </c>
      <c r="M15" s="38" t="n">
        <v>0</v>
      </c>
      <c r="N15" s="39" t="inlineStr"/>
      <c r="O15" s="38" t="inlineStr"/>
      <c r="P15" s="39" t="n">
        <v>100</v>
      </c>
      <c r="Q15" s="38" t="n">
        <v>0</v>
      </c>
      <c r="R15" s="38" t="n">
        <v>0</v>
      </c>
      <c r="S15" s="38" t="n">
        <v>1</v>
      </c>
    </row>
    <row r="16">
      <c r="A16" s="38" t="inlineStr">
        <is>
          <t>48675459F</t>
        </is>
      </c>
      <c r="B16" s="38" t="inlineStr">
        <is>
          <t>Benaicha Ziani, M Naima</t>
        </is>
      </c>
      <c r="C16" s="38" t="inlineStr">
        <is>
          <t>FUNCIONARIO</t>
        </is>
      </c>
      <c r="D16" s="38" t="n"/>
      <c r="E16" s="38" t="n"/>
      <c r="F16" s="38" t="n"/>
      <c r="G16" s="38" t="n"/>
      <c r="H16" s="38" t="n">
        <v>1</v>
      </c>
      <c r="I16" s="38" t="n"/>
      <c r="J16" s="38" t="n">
        <v>1</v>
      </c>
      <c r="K16" s="38" t="inlineStr">
        <is>
          <t>B114</t>
        </is>
      </c>
      <c r="L16" s="38" t="inlineStr">
        <is>
          <t>10.23</t>
        </is>
      </c>
      <c r="M16" s="38" t="inlineStr">
        <is>
          <t>20</t>
        </is>
      </c>
      <c r="N16" s="39" t="inlineStr"/>
      <c r="O16" s="38" t="inlineStr"/>
      <c r="P16" s="39" t="n">
        <v>80</v>
      </c>
      <c r="Q16" s="38" t="n">
        <v>0.2</v>
      </c>
      <c r="R16" s="38" t="n">
        <v>0</v>
      </c>
      <c r="S16" s="38" t="n">
        <v>0.8</v>
      </c>
    </row>
    <row r="17">
      <c r="A17" s="38" t="inlineStr">
        <is>
          <t>52781763Y</t>
        </is>
      </c>
      <c r="B17" s="38" t="inlineStr">
        <is>
          <t>Llorca Tonda, Maria De Los Angeles</t>
        </is>
      </c>
      <c r="C17" s="38" t="inlineStr">
        <is>
          <t>FUNCIONARIO</t>
        </is>
      </c>
      <c r="D17" s="38" t="n"/>
      <c r="E17" s="38" t="n">
        <v>1</v>
      </c>
      <c r="F17" s="38" t="n"/>
      <c r="G17" s="38" t="n"/>
      <c r="H17" s="38" t="n"/>
      <c r="I17" s="38" t="n"/>
      <c r="J17" s="38" t="n">
        <v>1</v>
      </c>
      <c r="K17" s="38" t="inlineStr">
        <is>
          <t>B114</t>
        </is>
      </c>
      <c r="L17" s="38" t="inlineStr">
        <is>
          <t>10.23</t>
        </is>
      </c>
      <c r="M17" s="38" t="inlineStr">
        <is>
          <t>30</t>
        </is>
      </c>
      <c r="N17" s="39" t="inlineStr"/>
      <c r="O17" s="38" t="inlineStr"/>
      <c r="P17" s="39" t="n">
        <v>70</v>
      </c>
      <c r="Q17" s="38" t="n">
        <v>0.3</v>
      </c>
      <c r="R17" s="38" t="n">
        <v>0</v>
      </c>
      <c r="S17" s="38" t="n">
        <v>0.7</v>
      </c>
    </row>
    <row r="18">
      <c r="A18" s="38" t="inlineStr">
        <is>
          <t>73547310A</t>
        </is>
      </c>
      <c r="B18" s="38" t="inlineStr">
        <is>
          <t>Martí Marco, María Rosario</t>
        </is>
      </c>
      <c r="C18" s="38" t="inlineStr">
        <is>
          <t>FUNCIONARIO</t>
        </is>
      </c>
      <c r="D18" s="38" t="n">
        <v>1</v>
      </c>
      <c r="E18" s="38" t="n"/>
      <c r="F18" s="38" t="n"/>
      <c r="G18" s="38" t="n"/>
      <c r="H18" s="38" t="n"/>
      <c r="I18" s="38" t="n"/>
      <c r="J18" s="38" t="n">
        <v>1</v>
      </c>
      <c r="K18" s="38" t="inlineStr">
        <is>
          <t>B114</t>
        </is>
      </c>
      <c r="L18" s="38" t="n">
        <v>0</v>
      </c>
      <c r="M18" s="38" t="n">
        <v>0</v>
      </c>
      <c r="N18" s="39" t="inlineStr"/>
      <c r="O18" s="38" t="inlineStr"/>
      <c r="P18" s="39" t="n">
        <v>100</v>
      </c>
      <c r="Q18" s="38" t="n">
        <v>0</v>
      </c>
      <c r="R18" s="38" t="n">
        <v>0</v>
      </c>
      <c r="S18" s="38" t="n">
        <v>1</v>
      </c>
    </row>
    <row r="19">
      <c r="A19" s="38" t="inlineStr">
        <is>
          <t>X1299790Z</t>
        </is>
      </c>
      <c r="B19" s="38" t="inlineStr">
        <is>
          <t>Grumpel, Claudia Gisela</t>
        </is>
      </c>
      <c r="C19" s="38" t="inlineStr">
        <is>
          <t>FUNCIONARIO</t>
        </is>
      </c>
      <c r="D19" s="38" t="n">
        <v>1</v>
      </c>
      <c r="E19" s="38" t="n"/>
      <c r="F19" s="38" t="n"/>
      <c r="G19" s="38" t="n"/>
      <c r="H19" s="38" t="n"/>
      <c r="I19" s="38" t="n"/>
      <c r="J19" s="38" t="n">
        <v>1</v>
      </c>
      <c r="K19" s="38" t="inlineStr">
        <is>
          <t>B114</t>
        </is>
      </c>
      <c r="L19" s="38" t="inlineStr">
        <is>
          <t>10.06</t>
        </is>
      </c>
      <c r="M19" s="38" t="inlineStr">
        <is>
          <t>50</t>
        </is>
      </c>
      <c r="N19" s="39" t="inlineStr"/>
      <c r="O19" s="38" t="inlineStr"/>
      <c r="P19" s="39" t="n">
        <v>50</v>
      </c>
      <c r="Q19" s="38" t="n">
        <v>0.5</v>
      </c>
      <c r="R19" s="38" t="n">
        <v>0</v>
      </c>
      <c r="S19" s="38" t="n">
        <v>0.5</v>
      </c>
    </row>
    <row r="20">
      <c r="A20" s="38" t="inlineStr">
        <is>
          <t>X7026779A</t>
        </is>
      </c>
      <c r="B20" s="38" t="inlineStr">
        <is>
          <t>Marti, Alexandra</t>
        </is>
      </c>
      <c r="C20" s="38" t="inlineStr">
        <is>
          <t>NO FUNCIONARIO</t>
        </is>
      </c>
      <c r="D20" s="38" t="n"/>
      <c r="E20" s="38" t="n"/>
      <c r="F20" s="38" t="n"/>
      <c r="G20" s="38" t="n">
        <v>1</v>
      </c>
      <c r="H20" s="38" t="n"/>
      <c r="I20" s="38" t="n"/>
      <c r="J20" s="38" t="n">
        <v>1</v>
      </c>
      <c r="K20" s="38" t="inlineStr">
        <is>
          <t>B114</t>
        </is>
      </c>
      <c r="L20" s="38" t="n">
        <v>0</v>
      </c>
      <c r="M20" s="38" t="n">
        <v>0</v>
      </c>
      <c r="N20" s="39" t="inlineStr"/>
      <c r="O20" s="38" t="inlineStr"/>
      <c r="P20" s="39" t="n">
        <v>100</v>
      </c>
      <c r="Q20" s="38" t="n">
        <v>0</v>
      </c>
      <c r="R20" s="38" t="n">
        <v>0</v>
      </c>
      <c r="S20" s="38" t="n">
        <v>1</v>
      </c>
    </row>
    <row r="21">
      <c r="A21" s="35" t="n"/>
      <c r="B21" s="35" t="n"/>
      <c r="C21" s="35" t="n"/>
      <c r="D21" s="35" t="n"/>
      <c r="E21" s="35" t="n"/>
      <c r="F21" s="35" t="n"/>
      <c r="G21" s="35" t="n"/>
      <c r="H21" s="35" t="n"/>
      <c r="I21" s="35" t="n"/>
      <c r="J21" s="35" t="n"/>
      <c r="K21" s="35" t="n"/>
      <c r="L21" s="35" t="n"/>
      <c r="M21" s="35" t="n"/>
      <c r="N21" s="36" t="n"/>
      <c r="O21" s="35" t="n"/>
      <c r="P21" s="36" t="n"/>
      <c r="Q21" s="35" t="n"/>
      <c r="R21" s="35" t="n"/>
      <c r="S21" s="37">
        <f>SUM(S2:S20)</f>
        <v/>
      </c>
    </row>
    <row r="24" ht="60" customFormat="1" customHeight="1" s="11">
      <c r="A24" s="12" t="n"/>
      <c r="B24" s="12" t="n"/>
      <c r="C24" s="12" t="n"/>
      <c r="D24" s="12" t="n"/>
      <c r="E24" s="12" t="n"/>
      <c r="F24" s="12" t="n"/>
      <c r="G24" s="12" t="n"/>
      <c r="H24" s="12" t="n"/>
      <c r="I24" s="12" t="n"/>
      <c r="J24" s="12" t="n"/>
      <c r="K24" s="12" t="n"/>
      <c r="L24" s="12" t="n"/>
      <c r="M24" s="12" t="n"/>
      <c r="N24" s="13" t="n"/>
      <c r="O24" s="12" t="n"/>
      <c r="P24" s="13" t="n"/>
      <c r="Q24" s="12" t="n"/>
      <c r="R24" s="12" t="n"/>
      <c r="S24" s="12" t="n"/>
      <c r="T24" s="12" t="n"/>
    </row>
  </sheetData>
  <pageMargins left="0.3937007874015748" right="0.3937007874015748" top="0.3937007874015748" bottom="0.3937007874015748" header="0.3149606299212598" footer="0.3149606299212598"/>
  <pageSetup orientation="landscape" paperSize="9" scale="10"/>
</worksheet>
</file>

<file path=xl/worksheets/sheet3.xml><?xml version="1.0" encoding="utf-8"?>
<worksheet xmlns="http://schemas.openxmlformats.org/spreadsheetml/2006/main">
  <sheetPr>
    <outlinePr summaryBelow="1" summaryRight="1"/>
    <pageSetUpPr/>
  </sheetPr>
  <dimension ref="A1:C8"/>
  <sheetViews>
    <sheetView workbookViewId="0">
      <selection activeCell="B16" sqref="B16"/>
    </sheetView>
  </sheetViews>
  <sheetFormatPr baseColWidth="10" defaultRowHeight="14.4"/>
  <cols>
    <col width="17" customWidth="1" min="1" max="1"/>
    <col width="74" customWidth="1" min="2" max="2"/>
    <col width="16" customWidth="1" min="3" max="3"/>
  </cols>
  <sheetData>
    <row r="1">
      <c r="A1" s="42" t="inlineStr">
        <is>
          <t>Cód. org. aplic.</t>
        </is>
      </c>
      <c r="B1" s="42" t="inlineStr">
        <is>
          <t>Descripción justificante</t>
        </is>
      </c>
      <c r="C1" s="42" t="inlineStr">
        <is>
          <t>Imp.cob.aplic.</t>
        </is>
      </c>
    </row>
    <row r="2">
      <c r="A2" s="32" t="inlineStr">
        <is>
          <t>30.60.6P.00.09</t>
        </is>
      </c>
      <c r="B2" s="32" t="inlineStr">
        <is>
          <t xml:space="preserve">DEVOLUCIÓN DE INGRESOS_MODELO 047_Nº de liquidación:46/2023/RAS/10276/1_ Número de justificante:047/1/002376790_Nº de referencia:047/1/002376790 </t>
        </is>
      </c>
      <c r="C2" s="83" t="n">
        <v>-1481.76</v>
      </c>
    </row>
    <row r="3">
      <c r="A3" s="33" t="inlineStr">
        <is>
          <t>30.60.6P.00.10</t>
        </is>
      </c>
      <c r="B3" s="33" t="inlineStr">
        <is>
          <t>DEVOLUCIÓN DE INGRESOS_MODELO 047_CIACO 2021 EN 2022_Nº de liquidación:46/2023/RAS/10205/1 047/_Número de justificante:047/1/002362793_Nº de referencia:047/1/002362793</t>
        </is>
      </c>
      <c r="C3" s="84" t="n">
        <v>-2585.33</v>
      </c>
    </row>
    <row r="4">
      <c r="A4" s="32" t="inlineStr">
        <is>
          <t>30.60.6P.00.10</t>
        </is>
      </c>
      <c r="B4" s="32" t="inlineStr">
        <is>
          <t xml:space="preserve">CIAICO/2021/019/074/124/158/167/173/221/279/305/328/335/339/345/348 </t>
        </is>
      </c>
      <c r="C4" s="83" t="n">
        <v>13210</v>
      </c>
    </row>
    <row r="5">
      <c r="A5" s="33" t="inlineStr">
        <is>
          <t>30.60.6P.00.11</t>
        </is>
      </c>
      <c r="B5" s="33" t="inlineStr">
        <is>
          <t xml:space="preserve">AYUDAS CIAORG/2022/45, CIAORG/2022/15, CIAORG/2022/44, CIAORG/2022/140, CIAORG/2022/89, CIAORG/2022/10, CIAORG/2022/115, CIAORG/2022/27, CIAORG/2022/117, CIAORG/2022/128, CIAORG/2022/83, CIAORG/2022/74, CIAORG/2022/125 </t>
        </is>
      </c>
      <c r="C5" s="84" t="n">
        <v>7600</v>
      </c>
    </row>
    <row r="6">
      <c r="A6" s="43" t="inlineStr">
        <is>
          <t>30.60.6P.00.12</t>
        </is>
      </c>
      <c r="B6" s="43" t="inlineStr">
        <is>
          <t>ayudas CIGE/2022/4-6-8-10-15-16-21-30-36-45-46-51-52- 54-55-105-170-179</t>
        </is>
      </c>
      <c r="C6" s="85" t="n">
        <v>4000</v>
      </c>
    </row>
    <row r="7" customFormat="1" s="47">
      <c r="A7" s="45" t="inlineStr">
        <is>
          <t>Total</t>
        </is>
      </c>
      <c r="B7" s="45" t="n"/>
      <c r="C7" s="86">
        <f>SUBTOTAL(109,Tabla2[Imp.cob.aplic.])</f>
        <v/>
      </c>
    </row>
    <row r="8">
      <c r="C8" s="87"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8"/>
  <sheetViews>
    <sheetView workbookViewId="0">
      <selection activeCell="B11" sqref="B11:C11"/>
    </sheetView>
  </sheetViews>
  <sheetFormatPr baseColWidth="10" defaultRowHeight="14.4"/>
  <cols>
    <col width="12" customWidth="1" min="1" max="1"/>
    <col width="73.109375" customWidth="1" min="2" max="2"/>
    <col width="13.109375" customWidth="1" min="3" max="3"/>
  </cols>
  <sheetData>
    <row r="1">
      <c r="A1" s="50" t="inlineStr">
        <is>
          <t>Org. aplic.</t>
        </is>
      </c>
      <c r="B1" s="50" t="inlineStr">
        <is>
          <t>Descripción justificante</t>
        </is>
      </c>
      <c r="C1" s="88" t="inlineStr">
        <is>
          <t>Imp. aplic.</t>
        </is>
      </c>
    </row>
    <row r="2">
      <c r="A2" s="48" t="inlineStr">
        <is>
          <t>30.60.6D.00.01</t>
        </is>
      </c>
      <c r="B2" s="48" t="inlineStr">
        <is>
          <t>INGRESO PERCIBIDO POR LA UNIVERSIDAD DE ALICANTE EN CONCEPTO DE CONVENIO DE COLABORACIÓN ENTRE EL CONSULADO GENERAL DE LA REPÚBLICA DE FILIPINAS EN BARCELONA (ESPAÑA) Y LA UNIVERSIDAD DE ALICANTE.</t>
        </is>
      </c>
      <c r="C2" s="83" t="n">
        <v>16439.66</v>
      </c>
    </row>
    <row r="3">
      <c r="A3" s="49" t="inlineStr">
        <is>
          <t>30.60.6P.00.10</t>
        </is>
      </c>
      <c r="B3" s="49" t="inlineStr">
        <is>
          <t xml:space="preserve">CIAICO/2021/019/074/124/158/167/173/279/305/328/335/345/348/339 </t>
        </is>
      </c>
      <c r="C3" s="84" t="n">
        <v>11000</v>
      </c>
    </row>
    <row r="4">
      <c r="A4" s="48" t="inlineStr">
        <is>
          <t>30.60.6P.00.11</t>
        </is>
      </c>
      <c r="B4" s="48" t="inlineStr">
        <is>
          <t xml:space="preserve">DEVOLUCIÓN DE INGRESOS_MODELO 047_ Nº LIQUIDACIÓN:46/2024/RAS/10317/1 Nº DE JUSTIFICANTE: 047/1/002550144_Nº DE REFERENCIA:  047/1/002550144 </t>
        </is>
      </c>
      <c r="C4" s="83" t="n">
        <v>-1088.51</v>
      </c>
    </row>
    <row r="5">
      <c r="A5" s="49" t="inlineStr">
        <is>
          <t>30.60.6P.00.12</t>
        </is>
      </c>
      <c r="B5" s="49" t="inlineStr">
        <is>
          <t>ayudas CIGE/2022/4, CIGE/2022/6, CIGE/2022/8, CIGE/2022/15, CIGE/2022/16, CIGE/2022/21, CIGE/2022/30, CIGE/2022/45, CIGE/2022/46, CIGE/2022/51, CIGE/2022/52, CIGE/2022/54, CIGE/2022/55, CIGE/2022/105, CIGE/2022/170, CIGE/2022/179</t>
        </is>
      </c>
      <c r="C5" s="84" t="n">
        <v>4500</v>
      </c>
    </row>
    <row r="6">
      <c r="A6" s="48" t="inlineStr">
        <is>
          <t>30.60.6P.00.12</t>
        </is>
      </c>
      <c r="B6" s="48" t="inlineStr">
        <is>
          <t>DEVOLUCIÓN DE INGRESOS_ MODELO 047_ Nº DE LIQUIDACIÓN: 46/2024/RAS/10325/1 Nº DE JUSTIFICANTE: 047/1/002551836_Nº DE REFERENCIA: 047/1/002551836</t>
        </is>
      </c>
      <c r="C6" s="83" t="n">
        <v>-2669.53</v>
      </c>
    </row>
    <row r="7">
      <c r="A7" s="53" t="inlineStr">
        <is>
          <t>30.60.6P.00.14</t>
        </is>
      </c>
      <c r="B7" s="53" t="inlineStr">
        <is>
          <t>CIAICO/2023/134/178/179/203/250/255/266/268</t>
        </is>
      </c>
      <c r="C7" s="89" t="n">
        <v>9733</v>
      </c>
    </row>
    <row r="8">
      <c r="A8" s="53" t="inlineStr">
        <is>
          <t>Total</t>
        </is>
      </c>
      <c r="B8" s="53" t="n"/>
      <c r="C8" s="90">
        <f>SUBTOTAL(109,Tabla3[Imp. aplic.])</f>
        <v/>
      </c>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C18" sqref="C18"/>
    </sheetView>
  </sheetViews>
  <sheetFormatPr baseColWidth="10" defaultRowHeight="14.4"/>
  <cols>
    <col width="16.5546875" customWidth="1" min="1" max="1"/>
    <col width="55.77734375" customWidth="1" min="2" max="2"/>
    <col width="17.6640625" customWidth="1" min="3" max="3"/>
  </cols>
  <sheetData>
    <row r="1">
      <c r="A1" s="59" t="inlineStr">
        <is>
          <t>Org. aplic.</t>
        </is>
      </c>
      <c r="B1" s="60" t="inlineStr">
        <is>
          <t>Descripción justificante</t>
        </is>
      </c>
      <c r="C1" s="60" t="inlineStr">
        <is>
          <t>Imp. aplic.</t>
        </is>
      </c>
    </row>
    <row r="2">
      <c r="A2" s="61" t="inlineStr">
        <is>
          <t>30.60.6P.00.10</t>
        </is>
      </c>
      <c r="B2" s="62" t="inlineStr">
        <is>
          <t>DEVOLUCIÓN DE INGRESOS_MODELO 047_ REFERENCIA: CIACO/2021/1339</t>
        </is>
      </c>
      <c r="C2" s="91" t="n">
        <v>-34.07</v>
      </c>
    </row>
    <row r="3">
      <c r="A3" s="64" t="inlineStr">
        <is>
          <t>30.60.6P.00.10</t>
        </is>
      </c>
      <c r="B3" s="65" t="inlineStr">
        <is>
          <t>DEVOLUCIÓN DE INGRESOS_MODELO 047_  REFERENCIA: CIACO/2021/158/279/339/124/348/074/345/173</t>
        </is>
      </c>
      <c r="C3" s="92" t="n">
        <v>-591.14</v>
      </c>
    </row>
    <row r="4">
      <c r="A4" s="61" t="inlineStr">
        <is>
          <t>30.60.6P.00.12</t>
        </is>
      </c>
      <c r="B4" s="62" t="inlineStr">
        <is>
          <t>DEVOLUCIÓN DE INGRESOS_MODELO 047_CIGE 2022</t>
        </is>
      </c>
      <c r="C4" s="91" t="n">
        <v>-159.69</v>
      </c>
    </row>
    <row r="5">
      <c r="A5" s="64" t="inlineStr">
        <is>
          <t>30.60.6P.00.14</t>
        </is>
      </c>
      <c r="B5" s="65" t="inlineStr">
        <is>
          <t>CIAICO/2023/134/178/179/203/250/255/266/268</t>
        </is>
      </c>
      <c r="C5" s="92" t="n">
        <v>27600</v>
      </c>
    </row>
    <row r="6">
      <c r="A6" s="61" t="inlineStr">
        <is>
          <t>30.60.6P.00.14</t>
        </is>
      </c>
      <c r="B6" s="62" t="inlineStr">
        <is>
          <t xml:space="preserve">Minoración parcial CIAICO/2023/178/179/203/250/255/266. </t>
        </is>
      </c>
      <c r="C6" s="91" t="n">
        <v>-1099.1</v>
      </c>
    </row>
    <row r="7" ht="15" customHeight="1" thickBot="1">
      <c r="A7" s="64" t="inlineStr">
        <is>
          <t>30.60.6X.00.01</t>
        </is>
      </c>
      <c r="B7" s="65" t="inlineStr">
        <is>
          <t>SZBA Translation Grant - (Spanish Translation of Majaneen Bayt Lahm by Osama Alaysa)</t>
        </is>
      </c>
      <c r="C7" s="92" t="n">
        <v>13800</v>
      </c>
    </row>
    <row r="8" ht="15" customHeight="1" thickTop="1">
      <c r="A8" s="67" t="inlineStr">
        <is>
          <t>Total</t>
        </is>
      </c>
      <c r="B8" s="68" t="n"/>
      <c r="C8" s="93" t="n">
        <v>39516</v>
      </c>
    </row>
    <row r="11">
      <c r="B11" s="55" t="inlineStr">
        <is>
          <t>Total ingresos investigación 2023-25</t>
        </is>
      </c>
      <c r="C11" s="94">
        <f>C8+Tabla2[[#Totals],[Imp.cob.aplic.]]+Tabla3[[#Totals],[Imp. aplic.]]</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2" sqref="A2"/>
    </sheetView>
  </sheetViews>
  <sheetFormatPr baseColWidth="10" defaultRowHeight="14.4"/>
  <sheetData>
    <row r="1">
      <c r="A1" t="inlineStr">
        <is>
          <t>No hay ingresos de formación en 2023</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19"/>
  <sheetViews>
    <sheetView workbookViewId="0">
      <selection activeCell="B22" sqref="B22:C22"/>
    </sheetView>
  </sheetViews>
  <sheetFormatPr baseColWidth="10" defaultRowHeight="14.4"/>
  <cols>
    <col width="19.44140625" customWidth="1" min="1" max="1"/>
    <col width="73.109375" customWidth="1" min="2" max="2"/>
    <col width="13.109375" customWidth="1" min="3" max="3"/>
  </cols>
  <sheetData>
    <row r="1">
      <c r="A1" s="50" t="inlineStr">
        <is>
          <t>Org. aplic.</t>
        </is>
      </c>
      <c r="B1" s="50" t="inlineStr">
        <is>
          <t>Descripción justificante</t>
        </is>
      </c>
      <c r="C1" s="88" t="inlineStr">
        <is>
          <t>Imp. aplic.</t>
        </is>
      </c>
    </row>
    <row r="2">
      <c r="A2" s="48" t="inlineStr">
        <is>
          <t>10.91.2T.00.38</t>
        </is>
      </c>
      <c r="B2" s="48" t="inlineStr">
        <is>
          <t>CÓD: GL57. Microcredencial: INICIACIÓN A LA LENGUA TURCA</t>
        </is>
      </c>
      <c r="C2" s="83" t="n">
        <v>630.7</v>
      </c>
    </row>
    <row r="3">
      <c r="A3" s="49" t="inlineStr">
        <is>
          <t>10.91.2T.00.39</t>
        </is>
      </c>
      <c r="B3" s="49" t="inlineStr">
        <is>
          <t xml:space="preserve">CÓD: GL34. Microcredencial: INICIACIÓN A LA LENGUA Y CULTURA MARROQUÍ </t>
        </is>
      </c>
      <c r="C3" s="84" t="n">
        <v>873.97</v>
      </c>
    </row>
    <row r="4">
      <c r="A4" s="48" t="inlineStr">
        <is>
          <t>10.91.2T.00.40</t>
        </is>
      </c>
      <c r="B4" s="48" t="inlineStr">
        <is>
          <t>CÓD: GL37. Microcredencial: NOVELÍSTICA ÁRABE CONTEMPORÁNEA</t>
        </is>
      </c>
      <c r="C4" s="83" t="n">
        <v>261.29</v>
      </c>
    </row>
    <row r="5">
      <c r="A5" s="49" t="inlineStr">
        <is>
          <t>10.91.2T.00.52</t>
        </is>
      </c>
      <c r="B5" s="49" t="inlineStr">
        <is>
          <t>CÓD: GL31. Microcredencial: Cómic y Novela Gráfica en el Mundo Árabe</t>
        </is>
      </c>
      <c r="C5" s="84" t="n">
        <v>684.76</v>
      </c>
    </row>
    <row r="6">
      <c r="A6" s="48" t="inlineStr">
        <is>
          <t>10.91.2T.00.53</t>
        </is>
      </c>
      <c r="B6" s="48" t="inlineStr">
        <is>
          <t>CÓD: GL29. Microcredencial: Caligrafía Árabe: Escritura y Arte</t>
        </is>
      </c>
      <c r="C6" s="83" t="n">
        <v>324.36</v>
      </c>
    </row>
    <row r="7">
      <c r="A7" s="49" t="inlineStr">
        <is>
          <t>10.91.2T.00.62</t>
        </is>
      </c>
      <c r="B7" s="49" t="inlineStr">
        <is>
          <t>CÓD: GL57. MICROCREDENCIAL: INICIACIÓN A LA LENGUA TURCA</t>
        </is>
      </c>
      <c r="C7" s="84" t="n">
        <v>270.3</v>
      </c>
    </row>
    <row r="8">
      <c r="A8" s="49" t="inlineStr">
        <is>
          <t>10.91.2T.00.63</t>
        </is>
      </c>
      <c r="B8" s="49" t="inlineStr">
        <is>
          <t>CÓD: GL34.Microcredencial: Iniciación a la Lengua y Cultura Marroquí</t>
        </is>
      </c>
      <c r="C8" s="84" t="n">
        <v>297.33</v>
      </c>
    </row>
    <row r="9">
      <c r="A9" s="49" t="inlineStr">
        <is>
          <t>10.91.2T.00.64</t>
        </is>
      </c>
      <c r="B9" s="49" t="inlineStr">
        <is>
          <t xml:space="preserve">CÓD:GL37. Microcredencial. NOVELÍSTICA ÁRABE CONTEMPORÁNEA: TALLER DE LECTURA </t>
        </is>
      </c>
      <c r="C9" s="84" t="n">
        <v>54.06</v>
      </c>
    </row>
    <row r="10">
      <c r="A10" s="49" t="inlineStr">
        <is>
          <t>10.91.2T.00.76</t>
        </is>
      </c>
      <c r="B10" s="49" t="inlineStr">
        <is>
          <t>CÓD. GL29. Microcredencial: Caligrafía Árabe: Escritura y Arte</t>
        </is>
      </c>
      <c r="C10" s="84" t="n">
        <v>171.19</v>
      </c>
    </row>
    <row r="11">
      <c r="A11" s="49" t="inlineStr">
        <is>
          <t>10.91.2T.00.77</t>
        </is>
      </c>
      <c r="B11" s="49" t="inlineStr">
        <is>
          <t>CÓD: GL31. Microcredencial: Cómic y Novela Gráfica en el Mundo Árabe</t>
        </is>
      </c>
      <c r="C11" s="84" t="n">
        <v>216.24</v>
      </c>
    </row>
    <row r="12">
      <c r="A12" s="49" t="inlineStr">
        <is>
          <t>10.91.2T.00.83</t>
        </is>
      </c>
      <c r="B12" s="49" t="inlineStr">
        <is>
          <t>CÓD: GL30. Microcredencial.  CINE ÁRABE_Plan_GL30-1 Curso_2024-25_AñoCont_2024</t>
        </is>
      </c>
      <c r="C12" s="84" t="n">
        <v>94.59999999999999</v>
      </c>
    </row>
    <row r="13">
      <c r="A13" s="49" t="inlineStr">
        <is>
          <t>10.91.2T.00.97</t>
        </is>
      </c>
      <c r="B13" s="49" t="inlineStr">
        <is>
          <t xml:space="preserve">CÓD: GL35. Microcredencial. INICIACIÓN A LA LENGUA Y CULTURA TAMAZIGHT_Plan_GL35-N Curso_2024-25_AñoCont_2024  </t>
        </is>
      </c>
      <c r="C13" s="84" t="n">
        <v>162.18</v>
      </c>
    </row>
    <row r="14">
      <c r="A14" s="49" t="inlineStr">
        <is>
          <t>10.91.2T.00.99</t>
        </is>
      </c>
      <c r="B14" s="49" t="inlineStr">
        <is>
          <t xml:space="preserve">CÓD: GL28. Microcredencial. ARTIVISMO COMO REIVINDICACIÓN DE LA LUCHA FEMINISTA_Plan_GL28-1 Curso_2024-25_AñoCont_2024  </t>
        </is>
      </c>
      <c r="C14" s="84" t="n">
        <v>81.09</v>
      </c>
    </row>
    <row r="15">
      <c r="A15" s="49" t="inlineStr">
        <is>
          <t>10.91.2T.01.10</t>
        </is>
      </c>
      <c r="B15" s="49" t="inlineStr">
        <is>
          <t xml:space="preserve">CÓD: GL32. Microcredencial.  DE LISBOA A SAMARCANDA: ARTE Y ARQUITECTURA _Plan_GL32-N Curso_2024-25_AñoCont_2024  </t>
        </is>
      </c>
      <c r="C15" s="84" t="n">
        <v>252.28</v>
      </c>
    </row>
    <row r="16">
      <c r="A16" s="49" t="inlineStr">
        <is>
          <t>10.91.2T.01.12</t>
        </is>
      </c>
      <c r="B16" s="49" t="inlineStr">
        <is>
          <t xml:space="preserve">CÓD: GL33. Microcredencial.  INICIACIÓN A LA LENGUA Y CULTURA ARGELINA_Plan_GL33-N Curso_2024-25_AñoCont_2024  </t>
        </is>
      </c>
      <c r="C16" s="84" t="n">
        <v>54.06</v>
      </c>
    </row>
    <row r="17">
      <c r="A17" s="49" t="inlineStr">
        <is>
          <t>10.91.2T.01.14</t>
        </is>
      </c>
      <c r="B17" s="49" t="inlineStr">
        <is>
          <t xml:space="preserve">CÓD: GL36. Microcredencial. MÚSICA ÁRABE_Plan_GL36-N Curso_2024-25_AñoCont_2024  </t>
        </is>
      </c>
      <c r="C17" s="84" t="n">
        <v>108.12</v>
      </c>
    </row>
    <row r="18">
      <c r="A18" s="53" t="inlineStr">
        <is>
          <t>Total</t>
        </is>
      </c>
      <c r="B18" s="53" t="n"/>
      <c r="C18" s="95">
        <f>SUBTOTAL(109,Tabla35[Imp. aplic.])</f>
        <v/>
      </c>
    </row>
    <row r="19">
      <c r="C19" s="96" t="n"/>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36"/>
  <sheetViews>
    <sheetView tabSelected="1" topLeftCell="A19" workbookViewId="0">
      <selection activeCell="C37" sqref="C37"/>
    </sheetView>
  </sheetViews>
  <sheetFormatPr baseColWidth="10" defaultRowHeight="14.4"/>
  <cols>
    <col width="16" customWidth="1" min="1" max="1"/>
    <col width="60.109375" customWidth="1" min="2" max="2"/>
    <col width="21.44140625" customWidth="1" min="3" max="3"/>
  </cols>
  <sheetData>
    <row r="1">
      <c r="A1" s="70" t="inlineStr">
        <is>
          <t>Org. aplic.</t>
        </is>
      </c>
      <c r="B1" s="71" t="inlineStr">
        <is>
          <t>Descripción justificante</t>
        </is>
      </c>
      <c r="C1" s="97" t="inlineStr">
        <is>
          <t>Imp. aplic.</t>
        </is>
      </c>
    </row>
    <row r="2">
      <c r="A2" s="73" t="inlineStr">
        <is>
          <t>10.91.2T.00.61</t>
        </is>
      </c>
      <c r="B2" s="74" t="inlineStr">
        <is>
          <t>CÓD: GL30. Microcredencial: Cine Árabe</t>
        </is>
      </c>
      <c r="C2" s="98" t="n">
        <v>387.43</v>
      </c>
    </row>
    <row r="3">
      <c r="A3" s="76" t="inlineStr">
        <is>
          <t>10.91.2T.00.83</t>
        </is>
      </c>
      <c r="B3" s="77" t="inlineStr">
        <is>
          <t xml:space="preserve">CÓD: GL30. Microcredencial: CINE ÁRABE Curso_2024-25 AñoCont_2025 </t>
        </is>
      </c>
      <c r="C3" s="99" t="n">
        <v>13.51</v>
      </c>
    </row>
    <row r="4">
      <c r="A4" s="73" t="inlineStr">
        <is>
          <t>10.91.2T.00.96</t>
        </is>
      </c>
      <c r="B4" s="74" t="inlineStr">
        <is>
          <t>CÓD: GL35. Microcredencial: Iniciación a la Lengua y Cultura Tamazight</t>
        </is>
      </c>
      <c r="C4" s="98" t="n">
        <v>1153.28</v>
      </c>
    </row>
    <row r="5">
      <c r="A5" s="76" t="inlineStr">
        <is>
          <t>10.91.2T.00.97</t>
        </is>
      </c>
      <c r="B5" s="77" t="inlineStr">
        <is>
          <t xml:space="preserve">CÓD: GL35. Microcredencial.   INICIACIÓN A LA LENGUA Y CULTURA TAMAZIGHT_GL35-1 Curso_2024-25 AñoCont_2025 </t>
        </is>
      </c>
      <c r="C5" s="99" t="n">
        <v>135.15</v>
      </c>
    </row>
    <row r="6">
      <c r="A6" s="73" t="inlineStr">
        <is>
          <t>10.91.2T.00.97</t>
        </is>
      </c>
      <c r="B6" s="74" t="inlineStr">
        <is>
          <t xml:space="preserve">CÓD: GL35. Microcredencial. INICIACIÓN A LA LENGUA Y CULTURA TAMAZIGHT_Plan_GL35-N Curso_2024-25_AñoCont_2024 </t>
        </is>
      </c>
      <c r="C6" s="98" t="n">
        <v>81.09</v>
      </c>
    </row>
    <row r="7">
      <c r="A7" s="76" t="inlineStr">
        <is>
          <t>10.91.2T.00.97</t>
        </is>
      </c>
      <c r="B7" s="77" t="inlineStr">
        <is>
          <t xml:space="preserve">LIQ-TitProp_GL35-N Curso_2025-26 AñoCont_2025 - INICIACIÓN A LA LENGUA Y CULTURA TAMAZIGHT _ (Cierre-25)_EMITIDO 25 COBRADO 25 </t>
        </is>
      </c>
      <c r="C7" s="99" t="n">
        <v>90.09999999999999</v>
      </c>
    </row>
    <row r="8">
      <c r="A8" s="73" t="inlineStr">
        <is>
          <t>10.91.2T.00.98</t>
        </is>
      </c>
      <c r="B8" s="74" t="inlineStr">
        <is>
          <t>CÓD: GL28. Microcredencial: Artivismo como Reivindicación de la Lucha Feminista.</t>
        </is>
      </c>
      <c r="C8" s="98" t="n">
        <v>369.41</v>
      </c>
    </row>
    <row r="9">
      <c r="A9" s="76" t="inlineStr">
        <is>
          <t>10.91.2T.00.99</t>
        </is>
      </c>
      <c r="B9" s="77" t="inlineStr">
        <is>
          <t>CÓD: GL28. Microcredencial. ARTIVISMO COMO REIVINDICACIÓN DE LA LUCHA FEMINISTA _GL28-1 Curso_2024-25 AñoCont_2025</t>
        </is>
      </c>
      <c r="C9" s="99" t="n">
        <v>117.13</v>
      </c>
    </row>
    <row r="10">
      <c r="A10" s="73" t="inlineStr">
        <is>
          <t>10.91.2T.01.08</t>
        </is>
      </c>
      <c r="B10" s="74" t="inlineStr">
        <is>
          <t xml:space="preserve">LIQ-TitProp_GM11-N Curso_2024-25 AñoCont_2025 - ESTUDIOS FILIPINOS Y DEL SUDESTE ASIÁTICO </t>
        </is>
      </c>
      <c r="C10" s="98" t="n">
        <v>2125</v>
      </c>
    </row>
    <row r="11">
      <c r="A11" s="76" t="inlineStr">
        <is>
          <t>10.91.2T.01.08</t>
        </is>
      </c>
      <c r="B11" s="77" t="inlineStr">
        <is>
          <t>LIQ-TitProp_GK98-N Curso_2024-25 AñoCont_2025 - COMUNICACIÓN EFECTIVA PARA LA GESTIÓN DE EQUIPOS DE TRABAJO (JI-24-6875 QUE NO TIENE ORGÁNICA. HACEMOS EL AJUSTE  EN ESTE JI)</t>
        </is>
      </c>
      <c r="C11" s="99" t="n">
        <v>428.4</v>
      </c>
    </row>
    <row r="12">
      <c r="A12" s="73" t="inlineStr">
        <is>
          <t>10.91.2T.01.08</t>
        </is>
      </c>
      <c r="B12" s="74" t="inlineStr">
        <is>
          <t xml:space="preserve">LIQ-TitProp_GK98-N Curso_2024-25 AñoCont_2025 - COMUNICACIÓN EFECTIVA PARA LA GESTIÓN DE EQUIPOS DE TRABAJO (PARTE 25/25) </t>
        </is>
      </c>
      <c r="C12" s="98" t="n">
        <v>428.4</v>
      </c>
    </row>
    <row r="13">
      <c r="A13" s="76" t="inlineStr">
        <is>
          <t>10.91.2T.01.09</t>
        </is>
      </c>
      <c r="B13" s="77" t="inlineStr">
        <is>
          <t>CÓD: GL32. MICROCREDENCIAL. DE LISBOA A SAMARCANDA: ARTE Y ARQUITECTURA (NEXT)</t>
        </is>
      </c>
      <c r="C13" s="99" t="n">
        <v>711.79</v>
      </c>
    </row>
    <row r="14">
      <c r="A14" s="73" t="inlineStr">
        <is>
          <t>10.91.2T.01.10</t>
        </is>
      </c>
      <c r="B14" s="74" t="inlineStr">
        <is>
          <t>CÓD: GL32. Microcredencial. DE LISBOA A SAMARCANDA: ARTE Y ARQUITECTURA</t>
        </is>
      </c>
      <c r="C14" s="98" t="n">
        <v>27.03</v>
      </c>
    </row>
    <row r="15">
      <c r="A15" s="76" t="inlineStr">
        <is>
          <t>10.91.2T.01.10</t>
        </is>
      </c>
      <c r="B15" s="77" t="inlineStr">
        <is>
          <t xml:space="preserve">CÓD: GL32. MICROCREDENCIAL. LIQ-TitProp_GL32-N Curso_2024-25 AñoCont_2025 - DE LISBOA A SAMARCANDA: ARTE Y ARQUITECTURA </t>
        </is>
      </c>
      <c r="C15" s="99" t="n">
        <v>117.13</v>
      </c>
    </row>
    <row r="16">
      <c r="A16" s="73" t="inlineStr">
        <is>
          <t>10.91.2T.01.11</t>
        </is>
      </c>
      <c r="B16" s="74" t="inlineStr">
        <is>
          <t>CÓD: GL33. Microcredencial. Iniciación a la Lengua y Cultura Argelina (next)</t>
        </is>
      </c>
      <c r="C16" s="98" t="n">
        <v>333.37</v>
      </c>
    </row>
    <row r="17">
      <c r="A17" s="76" t="inlineStr">
        <is>
          <t>10.91.2T.01.12</t>
        </is>
      </c>
      <c r="B17" s="77" t="inlineStr">
        <is>
          <t>LIQ-TitProp_GL33-N Curso_2025-26 AñoCont_2025 - INICIACIÓN A LA LENGUA Y CULTURA ARGELINA _ (Cierre-25)_EMITIDO 25 COBRADO 25</t>
        </is>
      </c>
      <c r="C17" s="99" t="n">
        <v>90.09999999999999</v>
      </c>
    </row>
    <row r="18">
      <c r="A18" s="73" t="inlineStr">
        <is>
          <t>10.91.2T.01.13</t>
        </is>
      </c>
      <c r="B18" s="74" t="inlineStr">
        <is>
          <t xml:space="preserve">CÓD: GL36. Microcredencial. Música Árabe </t>
        </is>
      </c>
      <c r="C18" s="98" t="n">
        <v>585.65</v>
      </c>
    </row>
    <row r="19">
      <c r="A19" s="76" t="inlineStr">
        <is>
          <t>10.91.2T.01.14</t>
        </is>
      </c>
      <c r="B19" s="77" t="inlineStr">
        <is>
          <t xml:space="preserve">CÓD: GL36. MICROCREDENCIAL. MÚSICA ÁRABE </t>
        </is>
      </c>
      <c r="C19" s="99" t="n">
        <v>27.03</v>
      </c>
    </row>
    <row r="20">
      <c r="A20" s="73" t="inlineStr">
        <is>
          <t>10.91.2T.01.23</t>
        </is>
      </c>
      <c r="B20" s="74" t="inlineStr">
        <is>
          <t xml:space="preserve">LIQ-TitProp_GM22-N Curso_2024-25 AñoCont_2025 - INICIACIÓN A LA LENGUA TURCA (NIVEL II) </t>
        </is>
      </c>
      <c r="C20" s="98" t="n">
        <v>612</v>
      </c>
    </row>
    <row r="21">
      <c r="A21" s="76" t="inlineStr">
        <is>
          <t>10.91.2T.01.23</t>
        </is>
      </c>
      <c r="B21" s="77" t="inlineStr">
        <is>
          <t xml:space="preserve">LIQ-TitProp_GN60-N Curso_2025-26 AñoCont_2025 - INICIACIÓN A LA LENGUA TURCA (NIVEL III) </t>
        </is>
      </c>
      <c r="C21" s="99" t="n">
        <v>1083.75</v>
      </c>
    </row>
    <row r="22">
      <c r="A22" s="73" t="inlineStr">
        <is>
          <t>10.91.2T.01.80</t>
        </is>
      </c>
      <c r="B22" s="74" t="inlineStr">
        <is>
          <t>LIQ-TitProp_9457-N Curso_2024-25_AñoCont_2024 TipoRec_Emitido - EXPERTO/A EN EXPRESIONES ARTÍSTICAS, CULTURALES Y LINGÜÍSTICAS DEL MUNDO ÁR JI-24-6843 (PARTE DEL 24 QUE NO TENÍA ORGÁNICA)</t>
        </is>
      </c>
      <c r="C22" s="98" t="n">
        <v>636</v>
      </c>
    </row>
    <row r="23">
      <c r="A23" s="76" t="inlineStr">
        <is>
          <t>10.91.2T.01.80</t>
        </is>
      </c>
      <c r="B23" s="77" t="inlineStr">
        <is>
          <t xml:space="preserve">LIQ-TitProp_9457-1 Curso_2025-26 AñoCont_2025 - EXPERTO/A EN EXPRESIONES ARTÍSTICAS, CULTURALES Y LINGÜÍSTICAS DEL MUNDO ÁR </t>
        </is>
      </c>
      <c r="C23" s="99" t="n">
        <v>616.1799999999999</v>
      </c>
    </row>
    <row r="24">
      <c r="A24" s="73" t="inlineStr">
        <is>
          <t>10.91.2T.01.80</t>
        </is>
      </c>
      <c r="B24" s="74" t="inlineStr">
        <is>
          <t xml:space="preserve">LIQ-TitProp_GL31-N Curso_2025-26 AñoCont_2025 - CÓMIC Y NOVELA GRÁFICA EN EL MUNDO ÁRABE </t>
        </is>
      </c>
      <c r="C24" s="98" t="n">
        <v>190.8</v>
      </c>
    </row>
    <row r="25">
      <c r="A25" s="76" t="inlineStr">
        <is>
          <t>10.91.2T.01.80</t>
        </is>
      </c>
      <c r="B25" s="77" t="inlineStr">
        <is>
          <t xml:space="preserve">LIQ-TitProp_GL29-N Curso_2025-26 AñoCont_2025 - CALIGRAFÍA ÁRABE: ESCRITURA Y ARTE </t>
        </is>
      </c>
      <c r="C25" s="99" t="n">
        <v>45.05</v>
      </c>
    </row>
    <row r="26">
      <c r="A26" s="73" t="inlineStr">
        <is>
          <t>10.91.2T.01.80</t>
        </is>
      </c>
      <c r="B26" s="74" t="inlineStr">
        <is>
          <t xml:space="preserve">LIQ-TitProp_9457-2 Curso_2025-26 AñoCont_2025 - EXPERTO/A EN EXPRESIONES ARTÍSTICAS, CULTURALES Y LINGÜÍSTICAS DEL MUNDO ÁR (CIERRE 25 EMITIDO 25 COBRADO 25) </t>
        </is>
      </c>
      <c r="C26" s="98" t="n">
        <v>85.48999999999999</v>
      </c>
    </row>
    <row r="27">
      <c r="A27" s="76" t="inlineStr">
        <is>
          <t>10.91.2T.01.80</t>
        </is>
      </c>
      <c r="B27" s="77" t="inlineStr">
        <is>
          <t xml:space="preserve">LIQ-TitProp_9457-N Curso_2025-26 AñoCont_2025 - EXPERTO/A EN EXPRESIONES ARTÍSTICAS, CULTURALES Y LINGÜÍSTICAS DEL MUNDO ÁR _ (CIERRE 25 APLAZADO) </t>
        </is>
      </c>
      <c r="C27" s="99" t="n">
        <v>443.82</v>
      </c>
    </row>
    <row r="28">
      <c r="A28" s="73" t="inlineStr">
        <is>
          <t>10.91.2T.01.80</t>
        </is>
      </c>
      <c r="B28" s="74" t="inlineStr">
        <is>
          <t xml:space="preserve">LIQ-TitProp_9457-N Curso_2025-26 AñoCont_2025 - EXPERTO/A EN EXPRESIONES ARTÍSTICAS, CULTURALES Y LINGÜÍSTICAS DEL MUNDO ÁR _ (CIERRE 25 APLAZADO) </t>
        </is>
      </c>
      <c r="C28" s="98" t="n">
        <v>-443.82</v>
      </c>
    </row>
    <row r="29">
      <c r="A29" s="76" t="inlineStr">
        <is>
          <t>10.91.2T.01.80</t>
        </is>
      </c>
      <c r="B29" s="77" t="inlineStr">
        <is>
          <t>LIQ-TitProp_GN76-N Curso_2025-26 AñoCont_2025 - FORMACIÓN EN CAPTACIÓN DE PROYECTOS INTERNACIONALES ERASMUS+ K2 CBHE. MÓD I _ (Cierre-25)_EMITIDO 25</t>
        </is>
      </c>
      <c r="C29" s="99" t="n">
        <v>845.75</v>
      </c>
    </row>
    <row r="30">
      <c r="A30" s="73" t="inlineStr">
        <is>
          <t>10.91.2T.01.88</t>
        </is>
      </c>
      <c r="B30" s="74" t="inlineStr">
        <is>
          <t xml:space="preserve">LIQ-TitProp_GL34-N Curso_2025-26 AñoCont_2025 - INICIACIÓN A LA LENGUA Y CULTURA MARROQUÍ </t>
        </is>
      </c>
      <c r="C30" s="98" t="n">
        <v>180.2</v>
      </c>
    </row>
    <row r="31" ht="15" customHeight="1" thickBot="1">
      <c r="A31" s="76" t="inlineStr">
        <is>
          <t>10.91.2T.01.89</t>
        </is>
      </c>
      <c r="B31" s="77" t="inlineStr">
        <is>
          <t xml:space="preserve">LIQ-TitProp_GL37-N Curso_2025-26 AñoCont_2025 - NOVELÍSTICA ÁRABE CONTEMPORÁNEA: TALLER DE LECTURA </t>
        </is>
      </c>
      <c r="C31" s="99" t="n">
        <v>135.15</v>
      </c>
    </row>
    <row r="32" ht="15" customHeight="1" thickTop="1">
      <c r="A32" s="79" t="inlineStr">
        <is>
          <t>Total</t>
        </is>
      </c>
      <c r="B32" s="80" t="n"/>
      <c r="C32" s="100" t="n">
        <v>11651.37</v>
      </c>
    </row>
    <row r="36">
      <c r="B36" s="55" t="inlineStr">
        <is>
          <t>Total ingresos formación 2023-25</t>
        </is>
      </c>
      <c r="C36" s="94">
        <f>Tabla35[[#Totals],[Imp. aplic.]]+C32</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dfing@ua.es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2026-05-28T21:59:13Z</dcterms:modified>
  <cp:lastModifiedBy>MARIA TERESA PUJALTE DEVIS</cp:lastModifiedBy>
</cp:coreProperties>
</file>