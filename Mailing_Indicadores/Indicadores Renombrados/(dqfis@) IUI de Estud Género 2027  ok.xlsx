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Correo" sheetId="7" state="veryHidden" r:id="rId7"/>
  </sheets>
  <definedNames>
    <definedName name="_xlnm._FilterDatabase" localSheetId="0" hidden="1">'Tesis'!$A$1:$V$117</definedName>
    <definedName name="_xlnm.Print_Titles" localSheetId="0">'Tesis'!$D:$D</definedName>
  </definedNames>
  <calcPr calcId="191029" fullCalcOnLoad="1"/>
</workbook>
</file>

<file path=xl/styles.xml><?xml version="1.0" encoding="utf-8"?>
<styleSheet xmlns="http://schemas.openxmlformats.org/spreadsheetml/2006/main">
  <numFmts count="4">
    <numFmt numFmtId="164" formatCode="_-* #,##0.00\ _€_-;\-* #,##0.00\ _€_-;_-* &quot;-&quot;??\ _€_-;_-@_-"/>
    <numFmt numFmtId="165" formatCode="0.0"/>
    <numFmt numFmtId="166" formatCode="_-* #,##0.00_-;\-* #,##0.00_-;_-* &quot;-&quot;??_-;_-@_-"/>
    <numFmt numFmtId="167" formatCode="#,##0.0"/>
  </numFmts>
  <fonts count="25">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Calibri"/>
      <family val="2"/>
      <b val="1"/>
      <color theme="1"/>
      <sz val="11"/>
      <scheme val="minor"/>
    </font>
    <font>
      <name val="Calibri"/>
      <family val="2"/>
      <color theme="1"/>
      <sz val="11"/>
      <scheme val="minor"/>
    </font>
    <font>
      <name val="Arial"/>
      <family val="2"/>
      <b val="1"/>
      <color theme="0"/>
      <sz val="10"/>
    </font>
    <font>
      <name val="Arial"/>
      <family val="2"/>
      <b val="1"/>
      <color theme="0"/>
      <sz val="10"/>
    </font>
    <font>
      <name val="Arial"/>
      <family val="2"/>
      <color theme="1"/>
      <sz val="10"/>
    </font>
    <font>
      <name val="Verdana"/>
      <family val="2"/>
      <sz val="8"/>
    </font>
    <font>
      <name val="Arial"/>
      <family val="2"/>
      <b val="1"/>
      <color theme="1"/>
      <sz val="8"/>
    </font>
    <font>
      <name val="Tahoma"/>
      <family val="2"/>
      <b val="1"/>
      <color indexed="81"/>
      <sz val="9"/>
    </font>
    <font>
      <name val="Verdana"/>
      <family val="2"/>
      <color rgb="FF000000"/>
      <sz val="8"/>
    </font>
    <font>
      <name val="Tahoma"/>
      <family val="2"/>
      <color indexed="81"/>
      <sz val="8"/>
    </font>
    <font>
      <name val="Calibri"/>
      <family val="2"/>
      <color rgb="FFFF0000"/>
      <sz val="11"/>
      <scheme val="minor"/>
    </font>
    <font>
      <name val="Arial"/>
      <family val="2"/>
      <color theme="1"/>
      <sz val="11"/>
    </font>
    <font>
      <name val="Arial"/>
      <family val="2"/>
      <sz val="11"/>
    </font>
    <font>
      <name val="Arial"/>
      <family val="2"/>
      <b val="1"/>
      <color theme="1"/>
      <sz val="10"/>
    </font>
  </fonts>
  <fills count="14">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rgb="FFFFFFFF"/>
        <bgColor indexed="64"/>
      </patternFill>
    </fill>
    <fill>
      <patternFill patternType="solid">
        <fgColor rgb="FFFFFFFF"/>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2" fillId="0" borderId="0"/>
    <xf numFmtId="0" fontId="2" fillId="0" borderId="0"/>
    <xf numFmtId="0" fontId="5" fillId="0" borderId="0"/>
    <xf numFmtId="0" fontId="5" fillId="0" borderId="0"/>
    <xf numFmtId="0" fontId="6" fillId="0" borderId="0"/>
    <xf numFmtId="0" fontId="1" fillId="0" borderId="0"/>
    <xf numFmtId="164" fontId="12" fillId="0" borderId="0"/>
  </cellStyleXfs>
  <cellXfs count="96">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center"/>
    </xf>
    <xf numFmtId="0" fontId="2" fillId="4" borderId="1" pivotButton="0" quotePrefix="0" xfId="1"/>
    <xf numFmtId="164" fontId="0" fillId="0" borderId="0" pivotButton="0" quotePrefix="0" xfId="0"/>
    <xf numFmtId="0" fontId="2" fillId="0" borderId="2" pivotButton="0" quotePrefix="0" xfId="1"/>
    <xf numFmtId="0" fontId="2" fillId="0" borderId="1" pivotButton="0" quotePrefix="0" xfId="1"/>
    <xf numFmtId="0" fontId="10" fillId="0" borderId="5" applyAlignment="1" pivotButton="0" quotePrefix="0" xfId="0">
      <alignment horizontal="left" vertical="center"/>
    </xf>
    <xf numFmtId="0" fontId="2" fillId="4" borderId="1" applyAlignment="1" pivotButton="0" quotePrefix="0" xfId="1">
      <alignment horizontal="right"/>
    </xf>
    <xf numFmtId="0" fontId="2" fillId="2" borderId="0" pivotButton="0" quotePrefix="0" xfId="1"/>
    <xf numFmtId="0" fontId="2" fillId="2" borderId="0" applyAlignment="1" pivotButton="0" quotePrefix="0" xfId="1">
      <alignment horizontal="right"/>
    </xf>
    <xf numFmtId="165" fontId="3" fillId="2" borderId="0" pivotButton="0" quotePrefix="0" xfId="1"/>
    <xf numFmtId="0" fontId="6" fillId="0" borderId="1" applyAlignment="1" pivotButton="0" quotePrefix="0" xfId="0">
      <alignment horizontal="center"/>
    </xf>
    <xf numFmtId="166" fontId="0" fillId="0" borderId="0" pivotButton="0" quotePrefix="0" xfId="0"/>
    <xf numFmtId="0" fontId="16" fillId="4" borderId="1" pivotButton="0" quotePrefix="0" xfId="1"/>
    <xf numFmtId="0" fontId="16" fillId="0" borderId="1" pivotButton="0" quotePrefix="0" xfId="1"/>
    <xf numFmtId="0" fontId="16" fillId="0" borderId="1" pivotButton="0" quotePrefix="0" xfId="0"/>
    <xf numFmtId="0" fontId="16" fillId="0" borderId="0" pivotButton="0" quotePrefix="0" xfId="0"/>
    <xf numFmtId="0" fontId="16" fillId="4" borderId="0" pivotButton="0" quotePrefix="0" xfId="1"/>
    <xf numFmtId="0" fontId="0" fillId="0" borderId="1" applyAlignment="1" pivotButton="0" quotePrefix="0" xfId="0">
      <alignment horizontal="left"/>
    </xf>
    <xf numFmtId="0" fontId="0" fillId="8" borderId="0" pivotButton="0" quotePrefix="0" xfId="0"/>
    <xf numFmtId="0" fontId="0" fillId="8" borderId="0" applyAlignment="1" pivotButton="0" quotePrefix="0" xfId="0">
      <alignment horizontal="left"/>
    </xf>
    <xf numFmtId="0" fontId="17" fillId="3" borderId="1" applyAlignment="1" pivotButton="0" quotePrefix="0" xfId="1">
      <alignment horizontal="center"/>
    </xf>
    <xf numFmtId="0" fontId="4" fillId="3" borderId="1" applyAlignment="1" pivotButton="0" quotePrefix="0" xfId="2">
      <alignment horizontal="center"/>
    </xf>
    <xf numFmtId="0" fontId="2" fillId="4" borderId="2" pivotButton="0" quotePrefix="0" xfId="1"/>
    <xf numFmtId="167" fontId="2" fillId="4" borderId="2" pivotButton="0" quotePrefix="0" xfId="1"/>
    <xf numFmtId="0" fontId="2" fillId="4" borderId="2" applyAlignment="1" pivotButton="0" quotePrefix="0" xfId="1">
      <alignment horizontal="right"/>
    </xf>
    <xf numFmtId="0" fontId="2" fillId="4" borderId="3" pivotButton="0" quotePrefix="0" xfId="1"/>
    <xf numFmtId="0" fontId="2" fillId="0" borderId="1" pivotButton="0" quotePrefix="0" xfId="0"/>
    <xf numFmtId="0" fontId="10" fillId="9" borderId="1" applyAlignment="1" pivotButton="0" quotePrefix="0" xfId="0">
      <alignment horizontal="left" vertical="center"/>
    </xf>
    <xf numFmtId="0" fontId="10" fillId="9" borderId="4" applyAlignment="1" pivotButton="0" quotePrefix="0" xfId="0">
      <alignment horizontal="left" vertical="center"/>
    </xf>
    <xf numFmtId="0" fontId="10" fillId="9" borderId="5" applyAlignment="1" pivotButton="0" quotePrefix="0" xfId="0">
      <alignment horizontal="left" vertical="center"/>
    </xf>
    <xf numFmtId="0" fontId="10" fillId="9" borderId="6" applyAlignment="1" pivotButton="0" quotePrefix="0" xfId="0">
      <alignment horizontal="left" vertical="center"/>
    </xf>
    <xf numFmtId="0" fontId="6" fillId="0" borderId="0" pivotButton="0" quotePrefix="0" xfId="0"/>
    <xf numFmtId="0" fontId="19" fillId="10" borderId="1" applyAlignment="1" pivotButton="0" quotePrefix="0" xfId="0">
      <alignment horizontal="left" vertical="top"/>
    </xf>
    <xf numFmtId="0" fontId="19" fillId="0" borderId="1" applyAlignment="1" pivotButton="0" quotePrefix="0" xfId="0">
      <alignment horizontal="left" vertical="top"/>
    </xf>
    <xf numFmtId="165" fontId="11" fillId="8" borderId="0" pivotButton="0" quotePrefix="0" xfId="0"/>
    <xf numFmtId="0" fontId="0" fillId="0" borderId="0" applyAlignment="1" pivotButton="0" quotePrefix="0" xfId="0">
      <alignment wrapText="1"/>
    </xf>
    <xf numFmtId="164" fontId="0" fillId="0" borderId="0" pivotButton="0" quotePrefix="0" xfId="6"/>
    <xf numFmtId="0" fontId="14" fillId="6" borderId="7" pivotButton="0" quotePrefix="0" xfId="0"/>
    <xf numFmtId="0" fontId="15" fillId="7" borderId="8" pivotButton="0" quotePrefix="0" xfId="0"/>
    <xf numFmtId="166" fontId="0" fillId="7" borderId="8" pivotButton="0" quotePrefix="0" xfId="6"/>
    <xf numFmtId="0" fontId="9" fillId="7" borderId="8" pivotButton="0" quotePrefix="0" xfId="0"/>
    <xf numFmtId="166" fontId="12" fillId="7" borderId="8" pivotButton="0" quotePrefix="0" xfId="0"/>
    <xf numFmtId="0" fontId="11" fillId="0" borderId="1" pivotButton="0" quotePrefix="0" xfId="0"/>
    <xf numFmtId="164" fontId="11" fillId="0" borderId="1" pivotButton="0" quotePrefix="0" xfId="6"/>
    <xf numFmtId="0" fontId="11" fillId="0" borderId="1" applyAlignment="1" pivotButton="0" quotePrefix="0" xfId="0">
      <alignment horizontal="right"/>
    </xf>
    <xf numFmtId="4" fontId="11" fillId="0" borderId="1" pivotButton="0" quotePrefix="0" xfId="0"/>
    <xf numFmtId="0" fontId="2" fillId="4" borderId="0" pivotButton="0" quotePrefix="0" xfId="1"/>
    <xf numFmtId="0" fontId="11" fillId="0" borderId="0" pivotButton="0" quotePrefix="0" xfId="0"/>
    <xf numFmtId="0" fontId="2" fillId="4" borderId="1" pivotButton="0" quotePrefix="0" xfId="1"/>
    <xf numFmtId="0" fontId="2" fillId="0" borderId="1" pivotButton="0" quotePrefix="0" xfId="1"/>
    <xf numFmtId="0" fontId="2" fillId="0" borderId="0" pivotButton="0" quotePrefix="0" xfId="0"/>
    <xf numFmtId="0" fontId="22" fillId="0" borderId="0" pivotButton="0" quotePrefix="0" xfId="0"/>
    <xf numFmtId="0" fontId="23" fillId="0" borderId="0" pivotButton="0" quotePrefix="0" xfId="0"/>
    <xf numFmtId="0" fontId="0" fillId="11" borderId="1" applyAlignment="1" pivotButton="0" quotePrefix="0" xfId="0">
      <alignment horizontal="center"/>
    </xf>
    <xf numFmtId="0" fontId="21" fillId="11" borderId="1" applyAlignment="1" pivotButton="0" quotePrefix="0" xfId="0">
      <alignment horizontal="center"/>
    </xf>
    <xf numFmtId="0" fontId="6" fillId="11" borderId="1" applyAlignment="1" pivotButton="0" quotePrefix="0" xfId="0">
      <alignment horizontal="center"/>
    </xf>
    <xf numFmtId="0" fontId="13" fillId="12" borderId="9" pivotButton="0" quotePrefix="0" xfId="0"/>
    <xf numFmtId="0" fontId="13" fillId="12" borderId="10" pivotButton="0" quotePrefix="0" xfId="0"/>
    <xf numFmtId="0" fontId="9" fillId="13" borderId="9" pivotButton="0" quotePrefix="0" xfId="0"/>
    <xf numFmtId="0" fontId="9" fillId="13" borderId="10" pivotButton="0" quotePrefix="0" xfId="0"/>
    <xf numFmtId="164" fontId="9" fillId="13" borderId="10" pivotButton="0" quotePrefix="0" xfId="6"/>
    <xf numFmtId="0" fontId="9" fillId="0" borderId="9" pivotButton="0" quotePrefix="0" xfId="0"/>
    <xf numFmtId="0" fontId="9" fillId="0" borderId="10" pivotButton="0" quotePrefix="0" xfId="0"/>
    <xf numFmtId="164" fontId="9" fillId="0" borderId="10" pivotButton="0" quotePrefix="0" xfId="6"/>
    <xf numFmtId="0" fontId="24" fillId="0" borderId="11" pivotButton="0" quotePrefix="0" xfId="0"/>
    <xf numFmtId="0" fontId="24" fillId="0" borderId="12" pivotButton="0" quotePrefix="0" xfId="0"/>
    <xf numFmtId="164" fontId="24" fillId="0" borderId="12" pivotButton="0" quotePrefix="0" xfId="6"/>
    <xf numFmtId="0" fontId="6" fillId="11" borderId="1" pivotButton="0" quotePrefix="0" xfId="0"/>
    <xf numFmtId="0" fontId="6" fillId="11" borderId="1" applyAlignment="1" pivotButton="0" quotePrefix="0" xfId="0">
      <alignment horizontal="left"/>
    </xf>
    <xf numFmtId="0" fontId="0" fillId="11" borderId="1" pivotButton="0" quotePrefix="0" xfId="0"/>
    <xf numFmtId="0" fontId="2" fillId="11" borderId="0" pivotButton="0" quotePrefix="0" xfId="1"/>
    <xf numFmtId="0" fontId="9" fillId="11" borderId="0" pivotButton="0" quotePrefix="0" xfId="5"/>
    <xf numFmtId="1" fontId="2" fillId="11" borderId="2" pivotButton="0" quotePrefix="0" xfId="1"/>
    <xf numFmtId="165" fontId="2" fillId="11" borderId="2" pivotButton="0" quotePrefix="0" xfId="1"/>
    <xf numFmtId="0" fontId="2" fillId="11" borderId="1" pivotButton="0" quotePrefix="0" xfId="1"/>
    <xf numFmtId="0" fontId="2" fillId="11" borderId="1" pivotButton="0" quotePrefix="0" xfId="0"/>
    <xf numFmtId="0" fontId="16" fillId="11" borderId="1" pivotButton="0" quotePrefix="0" xfId="0"/>
    <xf numFmtId="167" fontId="2" fillId="4" borderId="2" pivotButton="0" quotePrefix="0" xfId="1"/>
    <xf numFmtId="166" fontId="0" fillId="7" borderId="8" pivotButton="0" quotePrefix="0" xfId="6"/>
    <xf numFmtId="166" fontId="12" fillId="7" borderId="8" pivotButton="0" quotePrefix="0" xfId="0"/>
    <xf numFmtId="166" fontId="0" fillId="0" borderId="0" pivotButton="0" quotePrefix="0" xfId="0"/>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12">
    <dxf>
      <font>
        <name val="Calibri"/>
        <family val="2"/>
        <strike val="0"/>
        <outline val="0"/>
        <shadow val="0"/>
        <condense val="0"/>
        <color theme="1"/>
        <extend val="0"/>
        <sz val="11"/>
        <vertAlign val="baseline"/>
        <scheme val="minor"/>
      </font>
      <fill>
        <patternFill patternType="solid">
          <fgColor theme="9" tint="0.7999816888943144"/>
          <bgColor theme="9" tint="0.7999816888943144"/>
        </patternFill>
      </fill>
      <border outline="0">
        <left/>
        <right/>
        <top/>
        <bottom/>
      </border>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alignment horizontal="general" vertical="bottom" wrapText="1"/>
    </dxf>
    <dxf>
      <alignment horizontal="general" vertical="bottom"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21511974M</author>
  </authors>
  <commentList>
    <comment ref="A1" authorId="0" shapeId="0">
      <text>
        <t>Este código se refiere al órgano proponente</t>
      </text>
    </comment>
  </commentList>
</comments>
</file>

<file path=xl/comments/comment2.xml><?xml version="1.0" encoding="utf-8"?>
<comments xmlns="http://schemas.openxmlformats.org/spreadsheetml/2006/main">
  <authors>
    <author>21387280V</author>
  </authors>
  <commentList>
    <comment ref="B2" authorId="0" shapeId="0">
      <text>
        <t xml:space="preserve">Último sexenio 2013
</t>
      </text>
    </comment>
  </commentList>
</comments>
</file>

<file path=xl/tables/table1.xml><?xml version="1.0" encoding="utf-8"?>
<table xmlns="http://schemas.openxmlformats.org/spreadsheetml/2006/main" id="1" name="Tabla2" displayName="Tabla2" ref="A1:C18" headerRowCount="1" totalsRowCount="1">
  <autoFilter ref="A1:C17"/>
  <tableColumns count="3">
    <tableColumn id="1" name="Cód. org. aplic." totalsRowLabel="Total"/>
    <tableColumn id="2" name="Descripción justificante"/>
    <tableColumn id="3" name="Imp.cob.aplic." totalsRowFunction="sum" dataCellStyle="Millares" totalsRowCellStyle="Millares"/>
  </tableColumns>
  <tableStyleInfo name="TableStyleMedium7" showFirstColumn="0" showLastColumn="0" showRowStripes="1" showColumnStripes="0"/>
</table>
</file>

<file path=xl/tables/table2.xml><?xml version="1.0" encoding="utf-8"?>
<table xmlns="http://schemas.openxmlformats.org/spreadsheetml/2006/main" id="2" name="Tabla3" displayName="Tabla3" ref="A1:C79" headerRowCount="1" totalsRowCount="1">
  <autoFilter ref="A1:C78"/>
  <tableColumns count="3">
    <tableColumn id="1" name="Org. aplic." totalsRowLabel="Total"/>
    <tableColumn id="2" name="Descripción justificante" dataDxfId="11" totalsRowDxfId="10"/>
    <tableColumn id="3" name="Imp. aplic." totalsRowFunction="sum" dataCellStyle="Millares" totalsRowCellStyle="Millares"/>
  </tableColumns>
  <tableStyleInfo name="TableStyleMedium7" showFirstColumn="0" showLastColumn="0" showRowStripes="1" showColumnStripes="0"/>
</table>
</file>

<file path=xl/tables/table3.xml><?xml version="1.0" encoding="utf-8"?>
<table xmlns="http://schemas.openxmlformats.org/spreadsheetml/2006/main" id="3" name="Tabla5" displayName="Tabla5" ref="A1:C3" headerRowCount="1" totalsRowCount="1" headerRowDxfId="9" headerRowBorderDxfId="8" tableBorderDxfId="7" totalsRowBorderDxfId="6">
  <autoFilter ref="A1:C2"/>
  <tableColumns count="3">
    <tableColumn id="1" name="Cód. org. aplic." totalsRowLabel="Total" dataDxfId="5" totalsRowDxfId="4"/>
    <tableColumn id="2" name="Descripción justificante" dataDxfId="3" totalsRowDxfId="2"/>
    <tableColumn id="3" name="Imp.cob.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fitToPage="1"/>
  </sheetPr>
  <dimension ref="A1:Y117"/>
  <sheetViews>
    <sheetView showGridLines="0" topLeftCell="E90" zoomScaleNormal="100" workbookViewId="0">
      <selection activeCell="Z10" sqref="Z10"/>
    </sheetView>
  </sheetViews>
  <sheetFormatPr baseColWidth="10" defaultColWidth="10.28515625" defaultRowHeight="11.25"/>
  <cols>
    <col width="5" customWidth="1" style="61" min="1" max="1"/>
    <col width="29.7109375" customWidth="1" style="61" min="2" max="4"/>
    <col width="40.7109375" customWidth="1" style="61" min="5" max="5"/>
    <col width="9.140625" customWidth="1" style="61" min="6" max="6"/>
    <col width="9.7109375" customWidth="1" style="61" min="7" max="7"/>
    <col width="14.42578125" customWidth="1" style="61" min="8" max="8"/>
    <col width="5.85546875" customWidth="1" style="61" min="9" max="9"/>
    <col width="25.7109375" customWidth="1" style="61" min="10" max="10"/>
    <col width="5.140625" customWidth="1" style="61" min="11" max="12"/>
    <col width="5.28515625" customWidth="1" style="6" min="13" max="13"/>
    <col width="4.85546875" customWidth="1" style="61" min="14" max="14"/>
    <col width="5.28515625" customWidth="1" style="6" min="15" max="15"/>
    <col width="4.85546875" customWidth="1" style="61" min="16" max="16"/>
    <col width="3.5703125" customWidth="1" style="6" min="17" max="17"/>
    <col width="3.7109375" customWidth="1" style="61" min="18" max="18"/>
    <col width="5.140625" customWidth="1" style="61" min="19" max="19"/>
    <col width="8.85546875" customWidth="1" style="61" min="20" max="20"/>
    <col width="5.140625" customWidth="1" style="61" min="21" max="21"/>
    <col width="10.28515625" customWidth="1" style="61"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35" t="inlineStr">
        <is>
          <t>Departamento Tutor</t>
        </is>
      </c>
      <c r="K1" s="1" t="inlineStr">
        <is>
          <t>ASIGNACIÓN</t>
        </is>
      </c>
      <c r="L1" s="2" t="inlineStr">
        <is>
          <t>DEP.ASIG.</t>
        </is>
      </c>
      <c r="M1" s="36" t="inlineStr">
        <is>
          <t>EJERCICIO</t>
        </is>
      </c>
      <c r="N1" s="3" t="inlineStr">
        <is>
          <t>INS 1</t>
        </is>
      </c>
      <c r="O1" s="4" t="inlineStr">
        <is>
          <t>DED INS 1</t>
        </is>
      </c>
      <c r="P1" s="3" t="inlineStr">
        <is>
          <t>INS 2</t>
        </is>
      </c>
      <c r="Q1" s="4" t="inlineStr">
        <is>
          <t>DED INS 2</t>
        </is>
      </c>
      <c r="R1" s="3" t="inlineStr">
        <is>
          <t>DED DEP</t>
        </is>
      </c>
      <c r="S1" s="3" t="inlineStr">
        <is>
          <t>TDOC DEP</t>
        </is>
      </c>
      <c r="T1" s="3" t="inlineStr">
        <is>
          <t>TDOC INST 1</t>
        </is>
      </c>
      <c r="U1" s="3" t="inlineStr">
        <is>
          <t>TDOC INST 2</t>
        </is>
      </c>
    </row>
    <row r="2">
      <c r="A2" s="37" t="inlineStr">
        <is>
          <t xml:space="preserve">U073 </t>
        </is>
      </c>
      <c r="B2" s="37" t="inlineStr">
        <is>
          <t xml:space="preserve">ADM. I.U. INVESTIGACIÓN DE ESTUDIOS DE GÉNERO </t>
        </is>
      </c>
      <c r="C2" s="37" t="inlineStr">
        <is>
          <t xml:space="preserve">DOCTORADO EN ESTUDIOS INTERDISCIPLINARES DE GÉNERO </t>
        </is>
      </c>
      <c r="D2" s="37" t="inlineStr">
        <is>
          <t xml:space="preserve">Pérez Pérez, Lucía Del Mar </t>
        </is>
      </c>
      <c r="E2" s="37" t="inlineStr">
        <is>
          <t xml:space="preserve">LA VOZ DE LA PROFECÍA FEMENINA DE LOS JESUITAS ESPAÑOLES (1767-1814) </t>
        </is>
      </c>
      <c r="F2" s="37" t="inlineStr">
        <is>
          <t xml:space="preserve">28/11/2019 </t>
        </is>
      </c>
      <c r="G2" s="37" t="inlineStr">
        <is>
          <t xml:space="preserve">- </t>
        </is>
      </c>
      <c r="H2" s="37" t="inlineStr">
        <is>
          <t xml:space="preserve">Codirector de tesis </t>
        </is>
      </c>
      <c r="I2" s="18" t="inlineStr">
        <is>
          <t xml:space="preserve">U073 </t>
        </is>
      </c>
      <c r="J2" s="37" t="inlineStr">
        <is>
          <t xml:space="preserve">ADM. I.U. INVESTIGACIÓN DE ESTUDIOS DE GÉNERO </t>
        </is>
      </c>
      <c r="K2" s="92" t="n">
        <v>0.5</v>
      </c>
      <c r="L2" s="37" t="inlineStr">
        <is>
          <t>10.23</t>
        </is>
      </c>
      <c r="M2" s="37" t="n">
        <v>2019</v>
      </c>
      <c r="N2" s="37" t="inlineStr"/>
      <c r="O2" s="39" t="inlineStr"/>
      <c r="P2" s="37" t="inlineStr"/>
      <c r="Q2" s="39" t="inlineStr"/>
      <c r="R2" s="87" t="n">
        <v>100</v>
      </c>
      <c r="S2" s="88" t="n">
        <v>0.5</v>
      </c>
      <c r="T2" s="88" t="n">
        <v>0</v>
      </c>
      <c r="U2" s="88" t="n">
        <v>0</v>
      </c>
    </row>
    <row r="3">
      <c r="A3" s="63" t="inlineStr">
        <is>
          <t xml:space="preserve">U073 </t>
        </is>
      </c>
      <c r="B3" s="63" t="inlineStr">
        <is>
          <t xml:space="preserve">ADM. I.U. INVESTIGACIÓN DE ESTUDIOS DE GÉNERO </t>
        </is>
      </c>
      <c r="C3" s="63" t="inlineStr">
        <is>
          <t xml:space="preserve">DOCTORADO EN ESTUDIOS INTERDISCIPLINARES DE GÉNERO </t>
        </is>
      </c>
      <c r="D3" s="63" t="inlineStr">
        <is>
          <t xml:space="preserve">Guzmán Raya, Nancy </t>
        </is>
      </c>
      <c r="E3" s="63" t="inlineStr">
        <is>
          <t xml:space="preserve">FUGA DE CEREBROS DE LAS MUJERES AL HOGAR: ANÁLISIS Y PROPUESTA DE INTERVENCIÓN DESDE LAS POLÍTICAS PÚBLICAS LABORALES MEXICANAS </t>
        </is>
      </c>
      <c r="F3" s="63" t="inlineStr">
        <is>
          <t xml:space="preserve">30/11/2020 </t>
        </is>
      </c>
      <c r="G3" s="63" t="inlineStr">
        <is>
          <t xml:space="preserve">- </t>
        </is>
      </c>
      <c r="H3" s="63" t="inlineStr">
        <is>
          <t xml:space="preserve">Codirector de tesis </t>
        </is>
      </c>
      <c r="I3" s="64" t="inlineStr">
        <is>
          <t xml:space="preserve">U073 </t>
        </is>
      </c>
      <c r="J3" s="63" t="inlineStr">
        <is>
          <t xml:space="preserve">ADM. I.U. INVESTIGACIÓN DE ESTUDIOS DE GÉNERO </t>
        </is>
      </c>
      <c r="K3" s="64" t="n">
        <v>0.5</v>
      </c>
      <c r="L3" s="64" t="inlineStr">
        <is>
          <t>10.23</t>
        </is>
      </c>
      <c r="M3" s="40" t="n">
        <v>2019</v>
      </c>
      <c r="N3" s="63" t="inlineStr"/>
      <c r="O3" s="21" t="inlineStr"/>
      <c r="P3" s="63" t="inlineStr"/>
      <c r="Q3" s="21" t="inlineStr"/>
      <c r="R3" s="89" t="n">
        <v>100</v>
      </c>
      <c r="S3" s="89" t="n">
        <v>0.5</v>
      </c>
      <c r="T3" s="89" t="n">
        <v>0</v>
      </c>
      <c r="U3" s="89" t="n">
        <v>0</v>
      </c>
    </row>
    <row r="4">
      <c r="A4" s="63" t="inlineStr">
        <is>
          <t xml:space="preserve">U073 </t>
        </is>
      </c>
      <c r="B4" s="63" t="inlineStr">
        <is>
          <t xml:space="preserve">ADM. I.U. INVESTIGACIÓN DE ESTUDIOS DE GÉNERO </t>
        </is>
      </c>
      <c r="C4" s="63" t="inlineStr">
        <is>
          <t xml:space="preserve">DOCTORADO EN ESTUDIOS INTERDISCIPLINARES DE GÉNERO </t>
        </is>
      </c>
      <c r="D4" s="63" t="inlineStr">
        <is>
          <t xml:space="preserve">Martínez Verdú, Remedios </t>
        </is>
      </c>
      <c r="E4" s="63" t="inlineStr">
        <is>
          <t xml:space="preserve">¿Efectos de la transición demográfica en España como prototipo de la Europa del Sur¿ </t>
        </is>
      </c>
      <c r="F4" s="63" t="inlineStr">
        <is>
          <t xml:space="preserve">28/09/2021 </t>
        </is>
      </c>
      <c r="G4" s="63" t="inlineStr">
        <is>
          <t xml:space="preserve">- </t>
        </is>
      </c>
      <c r="H4" s="63" t="inlineStr">
        <is>
          <t xml:space="preserve">Codirector de tesis </t>
        </is>
      </c>
      <c r="I4" s="64" t="inlineStr">
        <is>
          <t xml:space="preserve">U073 </t>
        </is>
      </c>
      <c r="J4" s="63" t="inlineStr">
        <is>
          <t xml:space="preserve">ADM. I.U. INVESTIGACIÓN DE ESTUDIOS DE GÉNERO </t>
        </is>
      </c>
      <c r="K4" s="64" t="n">
        <v>0.5</v>
      </c>
      <c r="L4" s="64" t="inlineStr">
        <is>
          <t>10.23</t>
        </is>
      </c>
      <c r="M4" s="63" t="n">
        <v>2020</v>
      </c>
      <c r="N4" s="63" t="inlineStr"/>
      <c r="O4" s="21" t="inlineStr"/>
      <c r="P4" s="63" t="inlineStr"/>
      <c r="Q4" s="21" t="inlineStr"/>
      <c r="R4" s="89" t="n">
        <v>100</v>
      </c>
      <c r="S4" s="89" t="n">
        <v>0.5</v>
      </c>
      <c r="T4" s="89" t="n">
        <v>0</v>
      </c>
      <c r="U4" s="89" t="n">
        <v>0</v>
      </c>
    </row>
    <row r="5">
      <c r="A5" s="63" t="inlineStr">
        <is>
          <t xml:space="preserve">U073 </t>
        </is>
      </c>
      <c r="B5" s="63" t="inlineStr">
        <is>
          <t xml:space="preserve">ADM. I.U. INVESTIGACIÓN DE ESTUDIOS DE GÉNERO </t>
        </is>
      </c>
      <c r="C5" s="63" t="inlineStr">
        <is>
          <t xml:space="preserve">DOCTORADO EN ESTUDIOS INTERDISCIPLINARES DE GÉNERO </t>
        </is>
      </c>
      <c r="D5" s="63" t="inlineStr">
        <is>
          <t xml:space="preserve">Rodríguez Rodríguez, Ignacio </t>
        </is>
      </c>
      <c r="E5" s="63" t="inlineStr">
        <is>
          <t xml:space="preserve">Transversality of information and communication technologies in the prevention of gender-based violence from a multilevel approach proposals of application / Transversalidad de las tecnologías de la información y las comunicaciones en la prevención d </t>
        </is>
      </c>
      <c r="F5" s="63" t="inlineStr">
        <is>
          <t xml:space="preserve">24/03/2021 </t>
        </is>
      </c>
      <c r="G5" s="63" t="inlineStr">
        <is>
          <t xml:space="preserve">- </t>
        </is>
      </c>
      <c r="H5" s="63" t="inlineStr">
        <is>
          <t xml:space="preserve">Director de tesis </t>
        </is>
      </c>
      <c r="I5" s="64" t="inlineStr">
        <is>
          <t xml:space="preserve">U073 </t>
        </is>
      </c>
      <c r="J5" s="63" t="inlineStr">
        <is>
          <t xml:space="preserve">ADM. I.U. INVESTIGACIÓN DE ESTUDIOS DE GÉNERO </t>
        </is>
      </c>
      <c r="K5" s="64" t="n">
        <v>1</v>
      </c>
      <c r="L5" s="64" t="inlineStr">
        <is>
          <t>10.23</t>
        </is>
      </c>
      <c r="M5" s="63" t="n">
        <v>2020</v>
      </c>
      <c r="N5" s="63" t="inlineStr"/>
      <c r="O5" s="21" t="inlineStr"/>
      <c r="P5" s="63" t="inlineStr"/>
      <c r="Q5" s="21" t="inlineStr"/>
      <c r="R5" s="89" t="n">
        <v>100</v>
      </c>
      <c r="S5" s="89" t="n">
        <v>1</v>
      </c>
      <c r="T5" s="89" t="n">
        <v>0</v>
      </c>
      <c r="U5" s="89" t="n">
        <v>0</v>
      </c>
    </row>
    <row r="6">
      <c r="A6" s="63" t="inlineStr">
        <is>
          <t xml:space="preserve">U073 </t>
        </is>
      </c>
      <c r="B6" s="63" t="inlineStr">
        <is>
          <t xml:space="preserve">I.U. INVESTIGACIÓN DE ESTUDIOS DE GÉNERO (10.23) </t>
        </is>
      </c>
      <c r="C6" s="63" t="inlineStr">
        <is>
          <t xml:space="preserve">DOCTORADO EN ESTUDIOS INTERDISCIPLINARES DE GÉNERO </t>
        </is>
      </c>
      <c r="D6" s="63" t="inlineStr">
        <is>
          <t>Garis Puerto, Natalia</t>
        </is>
      </c>
      <c r="E6" s="63" t="inlineStr">
        <is>
          <t xml:space="preserve">GÉNERO, NACIÓN Y TURISMO DURANTE LA SEGUNDA MITAD DEL SIGLO XX EN LA PROVINCIA DE ALICANTE </t>
        </is>
      </c>
      <c r="F6" s="63" t="inlineStr">
        <is>
          <t xml:space="preserve">19/05/2023 </t>
        </is>
      </c>
      <c r="G6" s="63" t="inlineStr">
        <is>
          <t xml:space="preserve">- </t>
        </is>
      </c>
      <c r="H6" s="63" t="inlineStr">
        <is>
          <t xml:space="preserve">Codirector de tesis </t>
        </is>
      </c>
      <c r="I6" s="64" t="inlineStr">
        <is>
          <t xml:space="preserve">U073 </t>
        </is>
      </c>
      <c r="J6" s="63" t="inlineStr">
        <is>
          <t xml:space="preserve">I.U. INVESTIGACIÓN DE ESTUDIOS DE GÉNERO (10.23) </t>
        </is>
      </c>
      <c r="K6" s="41" t="n">
        <v>0.5</v>
      </c>
      <c r="L6" s="41" t="inlineStr">
        <is>
          <t>10.23</t>
        </is>
      </c>
      <c r="M6" s="63" t="n">
        <v>2022</v>
      </c>
      <c r="N6" s="41" t="inlineStr"/>
      <c r="O6" s="41" t="inlineStr"/>
      <c r="P6" s="41" t="inlineStr"/>
      <c r="Q6" s="41" t="inlineStr"/>
      <c r="R6" s="90" t="n">
        <v>100</v>
      </c>
      <c r="S6" s="90" t="n">
        <v>0.5</v>
      </c>
      <c r="T6" s="90" t="n">
        <v>0</v>
      </c>
      <c r="U6" s="90" t="n">
        <v>0</v>
      </c>
    </row>
    <row r="7">
      <c r="A7" s="37" t="inlineStr">
        <is>
          <t xml:space="preserve">U023 </t>
        </is>
      </c>
      <c r="B7" s="37" t="inlineStr">
        <is>
          <t xml:space="preserve">ADM. FACULTAD DE FILOSOFIA Y LETRAS </t>
        </is>
      </c>
      <c r="C7" s="37" t="inlineStr">
        <is>
          <t xml:space="preserve">DOCTORADO EN FILOSOFÍA Y LETRAS </t>
        </is>
      </c>
      <c r="D7" s="37" t="inlineStr">
        <is>
          <t xml:space="preserve">Martínez Copete, Antonio </t>
        </is>
      </c>
      <c r="E7" s="37" t="inlineStr">
        <is>
          <t xml:space="preserve">The effects of captioning and viewing original versions in english on long-term acquisition and comprehension of the english language </t>
        </is>
      </c>
      <c r="F7" s="37" t="inlineStr">
        <is>
          <t xml:space="preserve">10/07/2020 </t>
        </is>
      </c>
      <c r="G7" s="37" t="inlineStr">
        <is>
          <t xml:space="preserve">76414567B </t>
        </is>
      </c>
      <c r="H7" s="37" t="inlineStr">
        <is>
          <t xml:space="preserve">Director de tesis </t>
        </is>
      </c>
      <c r="I7" s="18" t="inlineStr">
        <is>
          <t xml:space="preserve">B116 </t>
        </is>
      </c>
      <c r="J7" s="37" t="inlineStr">
        <is>
          <t xml:space="preserve">FILOLOGÍA INGLESA </t>
        </is>
      </c>
      <c r="K7" s="92" t="n">
        <v>1</v>
      </c>
      <c r="L7" s="37" t="inlineStr">
        <is>
          <t>B116</t>
        </is>
      </c>
      <c r="M7" s="37" t="n">
        <v>2019</v>
      </c>
      <c r="N7" s="37" t="inlineStr">
        <is>
          <t>10.23</t>
        </is>
      </c>
      <c r="O7" s="39" t="n">
        <v>20</v>
      </c>
      <c r="P7" s="37" t="inlineStr">
        <is>
          <t>10.15</t>
        </is>
      </c>
      <c r="Q7" s="39" t="n">
        <v>20</v>
      </c>
      <c r="R7" s="87" t="n">
        <v>60</v>
      </c>
      <c r="S7" s="88" t="n">
        <v>0.6</v>
      </c>
      <c r="T7" s="88" t="n">
        <v>0.2</v>
      </c>
      <c r="U7" s="88" t="n">
        <v>0.2</v>
      </c>
    </row>
    <row r="8">
      <c r="A8" s="37" t="inlineStr">
        <is>
          <t xml:space="preserve">U023 </t>
        </is>
      </c>
      <c r="B8" s="37" t="inlineStr">
        <is>
          <t xml:space="preserve">ADM. FACULTAD DE FILOSOFIA Y LETRAS </t>
        </is>
      </c>
      <c r="C8" s="37" t="inlineStr">
        <is>
          <t xml:space="preserve">DOCTORADO EN FILOSOFÍA Y LETRAS </t>
        </is>
      </c>
      <c r="D8" s="37" t="inlineStr">
        <is>
          <t xml:space="preserve">Riesgo Martínez, Ferran </t>
        </is>
      </c>
      <c r="E8" s="37" t="inlineStr">
        <is>
          <t xml:space="preserve">Música y narrativa en el Río de la Plata: Felisberto Hernández, Daniel Moyano y el surco del tango en las letras argentinas </t>
        </is>
      </c>
      <c r="F8" s="37" t="inlineStr">
        <is>
          <t xml:space="preserve">27/11/2019 </t>
        </is>
      </c>
      <c r="G8" s="37" t="inlineStr">
        <is>
          <t xml:space="preserve">74084767L </t>
        </is>
      </c>
      <c r="H8" s="37" t="inlineStr">
        <is>
          <t xml:space="preserve">Director de tesis </t>
        </is>
      </c>
      <c r="I8" s="18" t="inlineStr">
        <is>
          <t xml:space="preserve">B115 </t>
        </is>
      </c>
      <c r="J8" s="37" t="inlineStr">
        <is>
          <t xml:space="preserve">FILOL. ESPAÑOLA, LINGÜÍSTICA GENERAL Y TEORIA DE LA LITERATURA </t>
        </is>
      </c>
      <c r="K8" s="92" t="n">
        <v>1</v>
      </c>
      <c r="L8" s="37" t="inlineStr">
        <is>
          <t>B115</t>
        </is>
      </c>
      <c r="M8" s="37" t="n">
        <v>2019</v>
      </c>
      <c r="N8" s="37" t="inlineStr">
        <is>
          <t>10.23</t>
        </is>
      </c>
      <c r="O8" s="39" t="inlineStr">
        <is>
          <t>50</t>
        </is>
      </c>
      <c r="P8" s="37" t="inlineStr"/>
      <c r="Q8" s="39" t="inlineStr"/>
      <c r="R8" s="87" t="n">
        <v>50</v>
      </c>
      <c r="S8" s="88" t="n">
        <v>0.5</v>
      </c>
      <c r="T8" s="88" t="n">
        <v>0.5</v>
      </c>
      <c r="U8" s="88" t="n">
        <v>0</v>
      </c>
    </row>
    <row r="9">
      <c r="A9" s="37" t="inlineStr">
        <is>
          <t xml:space="preserve">U023 </t>
        </is>
      </c>
      <c r="B9" s="37" t="inlineStr">
        <is>
          <t xml:space="preserve">ADM. FACULTAD DE FILOSOFIA Y LETRAS </t>
        </is>
      </c>
      <c r="C9" s="37" t="inlineStr">
        <is>
          <t xml:space="preserve">DOCTORADO EN FILOSOFÍA Y LETRAS </t>
        </is>
      </c>
      <c r="D9" s="37" t="inlineStr">
        <is>
          <t xml:space="preserve">Sinyashina , Ekaterina </t>
        </is>
      </c>
      <c r="E9" s="37" t="inlineStr">
        <is>
          <t xml:space="preserve">THE EFFECTIVENESS OF WATHING CAPTIONED AUTHENTIC VIDEOS FOR INCIDENTAL VOCABULARY LEARNING: THE REPETITION VARIABLE </t>
        </is>
      </c>
      <c r="F9" s="37" t="inlineStr">
        <is>
          <t xml:space="preserve">10/06/2020 </t>
        </is>
      </c>
      <c r="G9" s="37" t="inlineStr">
        <is>
          <t xml:space="preserve">76414567B </t>
        </is>
      </c>
      <c r="H9" s="37" t="inlineStr">
        <is>
          <t xml:space="preserve">Director de tesis </t>
        </is>
      </c>
      <c r="I9" s="18" t="inlineStr">
        <is>
          <t xml:space="preserve">B116 </t>
        </is>
      </c>
      <c r="J9" s="37" t="inlineStr">
        <is>
          <t xml:space="preserve">FILOLOGÍA INGLESA </t>
        </is>
      </c>
      <c r="K9" s="92" t="n">
        <v>1</v>
      </c>
      <c r="L9" s="37" t="inlineStr">
        <is>
          <t>B116</t>
        </is>
      </c>
      <c r="M9" s="37" t="n">
        <v>2019</v>
      </c>
      <c r="N9" s="37" t="inlineStr">
        <is>
          <t>10.23</t>
        </is>
      </c>
      <c r="O9" s="39" t="n">
        <v>20</v>
      </c>
      <c r="P9" s="37" t="inlineStr">
        <is>
          <t>10.15</t>
        </is>
      </c>
      <c r="Q9" s="39" t="n">
        <v>20</v>
      </c>
      <c r="R9" s="87" t="n">
        <v>60</v>
      </c>
      <c r="S9" s="88" t="n">
        <v>0.6</v>
      </c>
      <c r="T9" s="88" t="n">
        <v>0.2</v>
      </c>
      <c r="U9" s="88" t="n">
        <v>0.2</v>
      </c>
    </row>
    <row r="10">
      <c r="A10" s="37" t="inlineStr">
        <is>
          <t xml:space="preserve">U073 </t>
        </is>
      </c>
      <c r="B10" s="37" t="inlineStr">
        <is>
          <t xml:space="preserve">ADM. I.U. INVESTIGACIÓN DE ESTUDIOS DE GÉNERO </t>
        </is>
      </c>
      <c r="C10" s="37" t="inlineStr">
        <is>
          <t xml:space="preserve">DOCTORADO EN ESTUDIOS INTERDISCIPLINARES DE GÉNERO </t>
        </is>
      </c>
      <c r="D10" s="37" t="inlineStr">
        <is>
          <t xml:space="preserve">Pérez Pérez, Lucía Del Mar </t>
        </is>
      </c>
      <c r="E10" s="37" t="inlineStr">
        <is>
          <t xml:space="preserve">LA VOZ DE LA PROFECÍA FEMENINA DE LOS JESUITAS ESPAÑOLES (1767-1814) </t>
        </is>
      </c>
      <c r="F10" s="37" t="inlineStr">
        <is>
          <t xml:space="preserve">28/11/2019 </t>
        </is>
      </c>
      <c r="G10" s="37" t="inlineStr">
        <is>
          <t xml:space="preserve">50283950Q </t>
        </is>
      </c>
      <c r="H10" s="37" t="inlineStr">
        <is>
          <t xml:space="preserve">Codirector de tesis </t>
        </is>
      </c>
      <c r="I10" s="18" t="inlineStr">
        <is>
          <t xml:space="preserve">B174 </t>
        </is>
      </c>
      <c r="J10" s="37" t="inlineStr">
        <is>
          <t xml:space="preserve">HISTORIA MEDIEVAL, HISTORIA MODERNA Y CIENCIAS Y TÉCNICAS HISTORIOGRÀFICAS </t>
        </is>
      </c>
      <c r="K10" s="92" t="n">
        <v>0.5</v>
      </c>
      <c r="L10" s="37" t="inlineStr">
        <is>
          <t>B174</t>
        </is>
      </c>
      <c r="M10" s="37" t="n">
        <v>2019</v>
      </c>
      <c r="N10" s="37" t="inlineStr">
        <is>
          <t>10.23</t>
        </is>
      </c>
      <c r="O10" s="39" t="inlineStr">
        <is>
          <t>60</t>
        </is>
      </c>
      <c r="P10" s="37" t="inlineStr"/>
      <c r="Q10" s="39" t="inlineStr"/>
      <c r="R10" s="87" t="n">
        <v>40</v>
      </c>
      <c r="S10" s="88" t="n">
        <v>0.2</v>
      </c>
      <c r="T10" s="88" t="n">
        <v>0.3</v>
      </c>
      <c r="U10" s="88" t="n">
        <v>0</v>
      </c>
    </row>
    <row r="11">
      <c r="A11" s="63" t="inlineStr">
        <is>
          <t xml:space="preserve">U023 </t>
        </is>
      </c>
      <c r="B11" s="63" t="inlineStr">
        <is>
          <t xml:space="preserve">ADM. FACULTAD DE FILOSOFIA Y LETRAS </t>
        </is>
      </c>
      <c r="C11" s="63" t="inlineStr">
        <is>
          <t xml:space="preserve">DOCTORADO EN FILOSOFÍA Y LETRAS </t>
        </is>
      </c>
      <c r="D11" s="63" t="inlineStr">
        <is>
          <t xml:space="preserve">Ríos Pérez, Manuel </t>
        </is>
      </c>
      <c r="E11" s="63" t="inlineStr">
        <is>
          <t xml:space="preserve">Concesiones de transporte público regular de viajeros por carretera y su dependencia territorial. Evolución, contexto socioeconómico y modelo desarrollado en la provincia de Alicante </t>
        </is>
      </c>
      <c r="F11" s="63" t="inlineStr">
        <is>
          <t xml:space="preserve">05/11/2020 </t>
        </is>
      </c>
      <c r="G11" s="63" t="inlineStr">
        <is>
          <t xml:space="preserve">21490870S </t>
        </is>
      </c>
      <c r="H11" s="63" t="inlineStr">
        <is>
          <t xml:space="preserve">Codirector de tesis </t>
        </is>
      </c>
      <c r="I11" s="64" t="inlineStr">
        <is>
          <t xml:space="preserve">B175 </t>
        </is>
      </c>
      <c r="J11" s="63" t="inlineStr">
        <is>
          <t xml:space="preserve">COMUNICACIÓN Y PSICOLOGÍA SOCIAL </t>
        </is>
      </c>
      <c r="K11" s="64" t="n">
        <v>0.5</v>
      </c>
      <c r="L11" s="64" t="inlineStr">
        <is>
          <t>B175</t>
        </is>
      </c>
      <c r="M11" s="40" t="n">
        <v>2019</v>
      </c>
      <c r="N11" s="63" t="inlineStr">
        <is>
          <t>10.23</t>
        </is>
      </c>
      <c r="O11" s="21" t="n">
        <v>20</v>
      </c>
      <c r="P11" s="63" t="inlineStr">
        <is>
          <t>10.25</t>
        </is>
      </c>
      <c r="Q11" s="21" t="n">
        <v>30</v>
      </c>
      <c r="R11" s="89" t="n">
        <v>50</v>
      </c>
      <c r="S11" s="89" t="n">
        <v>0.25</v>
      </c>
      <c r="T11" s="89" t="n">
        <v>0.1</v>
      </c>
      <c r="U11" s="89" t="n">
        <v>0.15</v>
      </c>
    </row>
    <row r="12">
      <c r="A12" s="63" t="inlineStr">
        <is>
          <t xml:space="preserve">U023 </t>
        </is>
      </c>
      <c r="B12" s="63" t="inlineStr">
        <is>
          <t xml:space="preserve">ADM. FACULTAD DE FILOSOFIA Y LETRAS </t>
        </is>
      </c>
      <c r="C12" s="63" t="inlineStr">
        <is>
          <t xml:space="preserve">DOCTORADO EN FILOSOFÍA Y LETRAS </t>
        </is>
      </c>
      <c r="D12" s="63" t="inlineStr">
        <is>
          <t xml:space="preserve">Segura Martínez, Vicente </t>
        </is>
      </c>
      <c r="E12" s="63" t="inlineStr">
        <is>
          <t xml:space="preserve">Cultura industrial, ludismo y proyección literaria </t>
        </is>
      </c>
      <c r="F12" s="63" t="inlineStr">
        <is>
          <t xml:space="preserve">23/10/2020 </t>
        </is>
      </c>
      <c r="G12" s="63" t="inlineStr">
        <is>
          <t xml:space="preserve">21418660W </t>
        </is>
      </c>
      <c r="H12" s="63" t="inlineStr">
        <is>
          <t xml:space="preserve">Codirector de tesis </t>
        </is>
      </c>
      <c r="I12" s="64" t="inlineStr">
        <is>
          <t xml:space="preserve">B122 </t>
        </is>
      </c>
      <c r="J12" s="63" t="inlineStr">
        <is>
          <t xml:space="preserve">HUMANIDADES CONTEMPORANEAS </t>
        </is>
      </c>
      <c r="K12" s="64" t="n">
        <v>0.5</v>
      </c>
      <c r="L12" s="64" t="inlineStr">
        <is>
          <t>B122</t>
        </is>
      </c>
      <c r="M12" s="40" t="n">
        <v>2019</v>
      </c>
      <c r="N12" s="63" t="inlineStr">
        <is>
          <t>10.23</t>
        </is>
      </c>
      <c r="O12" s="21" t="n">
        <v>20</v>
      </c>
      <c r="P12" s="63" t="inlineStr"/>
      <c r="Q12" s="21" t="n">
        <v>0</v>
      </c>
      <c r="R12" s="89" t="n">
        <v>80</v>
      </c>
      <c r="S12" s="89" t="n">
        <v>0.4</v>
      </c>
      <c r="T12" s="89" t="n">
        <v>0.1</v>
      </c>
      <c r="U12" s="89" t="n">
        <v>0</v>
      </c>
    </row>
    <row r="13">
      <c r="A13" s="63" t="inlineStr">
        <is>
          <t xml:space="preserve">U044 </t>
        </is>
      </c>
      <c r="B13" s="63" t="inlineStr">
        <is>
          <t xml:space="preserve">ADM. FACULTAD DE CIENCIAS DE LA SALUD </t>
        </is>
      </c>
      <c r="C13" s="63" t="inlineStr">
        <is>
          <t xml:space="preserve">DOCTORADO EN CIENCIAS DE LA SALUD </t>
        </is>
      </c>
      <c r="D13" s="63" t="inlineStr">
        <is>
          <t xml:space="preserve">Usera Clavero, María Luisa </t>
        </is>
      </c>
      <c r="E13" s="63" t="inlineStr">
        <is>
          <t xml:space="preserve">DESIGUALDADES EN SALUD Y DE GÉNERO EN LA POBLACIÓN GITANA. UN ABORDAJE DESDE LA SALUD PÚBLICA. </t>
        </is>
      </c>
      <c r="F13" s="63" t="inlineStr">
        <is>
          <t xml:space="preserve">24/11/2020 </t>
        </is>
      </c>
      <c r="G13" s="63" t="inlineStr">
        <is>
          <t xml:space="preserve">48296836X </t>
        </is>
      </c>
      <c r="H13" s="63" t="inlineStr">
        <is>
          <t xml:space="preserve">Codirector de tesis </t>
        </is>
      </c>
      <c r="I13" s="64" t="inlineStr">
        <is>
          <t xml:space="preserve">B170 </t>
        </is>
      </c>
      <c r="J13" s="63" t="inlineStr">
        <is>
          <t xml:space="preserve">ENFERMERÍA COMUNITARIA, MEDICINA PREVENTIVA Y SALUD PÚBLICA </t>
        </is>
      </c>
      <c r="K13" s="64" t="n">
        <v>0.5</v>
      </c>
      <c r="L13" s="64" t="inlineStr">
        <is>
          <t>B170</t>
        </is>
      </c>
      <c r="M13" s="40" t="n">
        <v>2019</v>
      </c>
      <c r="N13" s="63" t="inlineStr">
        <is>
          <t>10.23</t>
        </is>
      </c>
      <c r="O13" s="21" t="n">
        <v>30</v>
      </c>
      <c r="P13" s="63" t="inlineStr"/>
      <c r="Q13" s="21" t="n">
        <v>0</v>
      </c>
      <c r="R13" s="89" t="n">
        <v>70</v>
      </c>
      <c r="S13" s="89" t="n">
        <v>0.35</v>
      </c>
      <c r="T13" s="89" t="n">
        <v>0.15</v>
      </c>
      <c r="U13" s="89" t="n">
        <v>0</v>
      </c>
    </row>
    <row r="14">
      <c r="A14" s="63" t="inlineStr">
        <is>
          <t xml:space="preserve">U044 </t>
        </is>
      </c>
      <c r="B14" s="63" t="inlineStr">
        <is>
          <t xml:space="preserve">ADM. FACULTAD DE CIENCIAS DE LA SALUD </t>
        </is>
      </c>
      <c r="C14" s="63" t="inlineStr">
        <is>
          <t xml:space="preserve">DOCTORADO EN CIENCIAS DE LA SALUD </t>
        </is>
      </c>
      <c r="D14" s="63" t="inlineStr">
        <is>
          <t xml:space="preserve">Usera Clavero, María Luisa </t>
        </is>
      </c>
      <c r="E14" s="63" t="inlineStr">
        <is>
          <t xml:space="preserve">DESIGUALDADES EN SALUD Y DE GÉNERO EN LA POBLACIÓN GITANA. UN ABORDAJE DESDE LA SALUD PÚBLICA. </t>
        </is>
      </c>
      <c r="F14" s="63" t="inlineStr">
        <is>
          <t xml:space="preserve">24/11/2020 </t>
        </is>
      </c>
      <c r="G14" s="63" t="inlineStr">
        <is>
          <t xml:space="preserve">33492987L </t>
        </is>
      </c>
      <c r="H14" s="63" t="inlineStr">
        <is>
          <t xml:space="preserve">Codirector de tesis </t>
        </is>
      </c>
      <c r="I14" s="64" t="inlineStr">
        <is>
          <t xml:space="preserve">B170 </t>
        </is>
      </c>
      <c r="J14" s="63" t="inlineStr">
        <is>
          <t xml:space="preserve">ENFERMERÍA COMUNITARIA, MEDICINA PREVENTIVA Y SALUD PÚBLICA </t>
        </is>
      </c>
      <c r="K14" s="64" t="n">
        <v>0.5</v>
      </c>
      <c r="L14" s="64" t="inlineStr">
        <is>
          <t>B170</t>
        </is>
      </c>
      <c r="M14" s="40" t="n">
        <v>2019</v>
      </c>
      <c r="N14" s="63" t="inlineStr">
        <is>
          <t>10.23</t>
        </is>
      </c>
      <c r="O14" s="21" t="n">
        <v>20</v>
      </c>
      <c r="P14" s="63" t="inlineStr"/>
      <c r="Q14" s="21" t="n">
        <v>0</v>
      </c>
      <c r="R14" s="89" t="n">
        <v>80</v>
      </c>
      <c r="S14" s="89" t="n">
        <v>0.4</v>
      </c>
      <c r="T14" s="89" t="n">
        <v>0.1</v>
      </c>
      <c r="U14" s="89" t="n">
        <v>0</v>
      </c>
    </row>
    <row r="15">
      <c r="A15" s="63" t="inlineStr">
        <is>
          <t xml:space="preserve">U073 </t>
        </is>
      </c>
      <c r="B15" s="63" t="inlineStr">
        <is>
          <t xml:space="preserve">ADM. I.U. INVESTIGACIÓN DE ESTUDIOS DE GÉNERO </t>
        </is>
      </c>
      <c r="C15" s="63" t="inlineStr">
        <is>
          <t xml:space="preserve">DOCTORADO EN ESTUDIOS INTERDISCIPLINARES DE GÉNERO </t>
        </is>
      </c>
      <c r="D15" s="63" t="inlineStr">
        <is>
          <t xml:space="preserve">Miralles Cardona, Cristina </t>
        </is>
      </c>
      <c r="E15" s="63" t="inlineStr">
        <is>
          <t xml:space="preserve">Estudio exploratorio de las percepciones, competencias y actitudes de docentes en formación hacia la igualdad de género / Student teachers' perceptions, competencies and attitudes towards gender equality: an exploratory study </t>
        </is>
      </c>
      <c r="F15" s="63" t="inlineStr">
        <is>
          <t xml:space="preserve">23/11/2020 </t>
        </is>
      </c>
      <c r="G15" s="63" t="inlineStr">
        <is>
          <t xml:space="preserve">28996290Y </t>
        </is>
      </c>
      <c r="H15" s="63" t="inlineStr">
        <is>
          <t xml:space="preserve">Codirector de tesis </t>
        </is>
      </c>
      <c r="I15" s="64" t="inlineStr">
        <is>
          <t xml:space="preserve">B132 </t>
        </is>
      </c>
      <c r="J15" s="63" t="inlineStr">
        <is>
          <t xml:space="preserve">PSICOLOGIA DE LA SALUD </t>
        </is>
      </c>
      <c r="K15" s="64" t="n">
        <v>0.5</v>
      </c>
      <c r="L15" s="64" t="inlineStr">
        <is>
          <t>B132</t>
        </is>
      </c>
      <c r="M15" s="40" t="n">
        <v>2019</v>
      </c>
      <c r="N15" s="63" t="inlineStr">
        <is>
          <t>10.23</t>
        </is>
      </c>
      <c r="O15" s="21" t="n">
        <v>30</v>
      </c>
      <c r="P15" s="63" t="inlineStr"/>
      <c r="Q15" s="21" t="n">
        <v>0</v>
      </c>
      <c r="R15" s="89" t="n">
        <v>70</v>
      </c>
      <c r="S15" s="89" t="n">
        <v>0.35</v>
      </c>
      <c r="T15" s="89" t="n">
        <v>0.15</v>
      </c>
      <c r="U15" s="89" t="n">
        <v>0</v>
      </c>
    </row>
    <row r="16" ht="12" customHeight="1" thickBot="1">
      <c r="A16" s="63" t="inlineStr">
        <is>
          <t xml:space="preserve">U073 </t>
        </is>
      </c>
      <c r="B16" s="63" t="inlineStr">
        <is>
          <t xml:space="preserve">ADM. I.U. INVESTIGACIÓN DE ESTUDIOS DE GÉNERO </t>
        </is>
      </c>
      <c r="C16" s="63" t="inlineStr">
        <is>
          <t xml:space="preserve">DOCTORADO EN ESTUDIOS INTERDISCIPLINARES DE GÉNERO </t>
        </is>
      </c>
      <c r="D16" s="63" t="inlineStr">
        <is>
          <t xml:space="preserve">Guzmán Raya, Nancy </t>
        </is>
      </c>
      <c r="E16" s="63" t="inlineStr">
        <is>
          <t xml:space="preserve">FUGA DE CEREBROS DE LAS MUJERES AL HOGAR: ANÁLISIS Y PROPUESTA DE INTERVENCIÓN DESDE LAS POLÍTICAS PÚBLICAS LABORALES MEXICANAS </t>
        </is>
      </c>
      <c r="F16" s="63" t="inlineStr">
        <is>
          <t xml:space="preserve">30/11/2020 </t>
        </is>
      </c>
      <c r="G16" s="63" t="inlineStr">
        <is>
          <t xml:space="preserve">21475002V </t>
        </is>
      </c>
      <c r="H16" s="63" t="inlineStr">
        <is>
          <t xml:space="preserve">Codirector de tesis </t>
        </is>
      </c>
      <c r="I16" s="64" t="inlineStr">
        <is>
          <t xml:space="preserve">B179 </t>
        </is>
      </c>
      <c r="J16" s="63" t="inlineStr">
        <is>
          <t xml:space="preserve">SOCIOLOGÍA I </t>
        </is>
      </c>
      <c r="K16" s="64" t="n">
        <v>0.5</v>
      </c>
      <c r="L16" s="64" t="inlineStr">
        <is>
          <t>B179</t>
        </is>
      </c>
      <c r="M16" s="40" t="n">
        <v>2019</v>
      </c>
      <c r="N16" s="63" t="inlineStr">
        <is>
          <t>10.23</t>
        </is>
      </c>
      <c r="O16" s="21" t="n">
        <v>20</v>
      </c>
      <c r="P16" s="63" t="inlineStr"/>
      <c r="Q16" s="21" t="n">
        <v>0</v>
      </c>
      <c r="R16" s="89" t="n">
        <v>80</v>
      </c>
      <c r="S16" s="89" t="n">
        <v>0.4</v>
      </c>
      <c r="T16" s="89" t="n">
        <v>0.1</v>
      </c>
      <c r="U16" s="89" t="n">
        <v>0</v>
      </c>
    </row>
    <row r="17" ht="12" customHeight="1" thickBot="1">
      <c r="A17" s="42" t="inlineStr">
        <is>
          <t xml:space="preserve">B112 </t>
        </is>
      </c>
      <c r="B17" s="42" t="inlineStr">
        <is>
          <t xml:space="preserve">DIDACTICA GENERAL Y DIDÁCTICAS ESPECÍFICAS </t>
        </is>
      </c>
      <c r="C17" s="42" t="inlineStr">
        <is>
          <t xml:space="preserve">DOCTORADO EN INVESTIGACIÓN EDUCATIVA </t>
        </is>
      </c>
      <c r="D17" s="42" t="inlineStr">
        <is>
          <t xml:space="preserve">Urrea Solano, María Encarnación </t>
        </is>
      </c>
      <c r="E17" s="42" t="inlineStr">
        <is>
          <t xml:space="preserve">El liderazgo de las académicas en la Educación Superior: un estudio de caso </t>
        </is>
      </c>
      <c r="F17" s="42" t="inlineStr">
        <is>
          <t xml:space="preserve">22/02/2021 </t>
        </is>
      </c>
      <c r="G17" s="43" t="inlineStr">
        <is>
          <t xml:space="preserve">48769418B </t>
        </is>
      </c>
      <c r="H17" s="44" t="inlineStr">
        <is>
          <t xml:space="preserve">Codirector de tesis </t>
        </is>
      </c>
      <c r="I17" s="20" t="inlineStr">
        <is>
          <t xml:space="preserve">B112 </t>
        </is>
      </c>
      <c r="J17" s="45" t="inlineStr">
        <is>
          <t xml:space="preserve">DIDACTICA GENERAL Y DIDÁCTICAS ESPECÍFICAS </t>
        </is>
      </c>
      <c r="K17" s="64" t="n">
        <v>0.5</v>
      </c>
      <c r="L17" s="64" t="inlineStr">
        <is>
          <t>B112</t>
        </is>
      </c>
      <c r="M17" s="63" t="n">
        <v>2020</v>
      </c>
      <c r="N17" s="63" t="inlineStr">
        <is>
          <t>10.23</t>
        </is>
      </c>
      <c r="O17" s="21" t="n">
        <v>30</v>
      </c>
      <c r="P17" s="63" t="inlineStr">
        <is>
          <t>10.25</t>
        </is>
      </c>
      <c r="Q17" s="21" t="n">
        <v>30</v>
      </c>
      <c r="R17" s="89" t="n">
        <v>40</v>
      </c>
      <c r="S17" s="89" t="n">
        <v>0.2</v>
      </c>
      <c r="T17" s="89" t="n">
        <v>0.15</v>
      </c>
      <c r="U17" s="89" t="n">
        <v>0.15</v>
      </c>
    </row>
    <row r="18" ht="12" customHeight="1" thickBot="1">
      <c r="A18" s="42" t="inlineStr">
        <is>
          <t xml:space="preserve">U023 </t>
        </is>
      </c>
      <c r="B18" s="42" t="inlineStr">
        <is>
          <t xml:space="preserve">ADM. FACULTAD DE FILOSOFIA Y LETRAS </t>
        </is>
      </c>
      <c r="C18" s="42" t="inlineStr">
        <is>
          <t xml:space="preserve">DOCTORADO EN FILOSOFÍA Y LETRAS </t>
        </is>
      </c>
      <c r="D18" s="42" t="inlineStr">
        <is>
          <t xml:space="preserve">Mussó Mujica, Luis Carlos </t>
        </is>
      </c>
      <c r="E18" s="42" t="inlineStr">
        <is>
          <t xml:space="preserve">LA POESÍA ECUATORIANA ENTRE FINALES DEL SIGLO XX Y EL SIGLO XXI </t>
        </is>
      </c>
      <c r="F18" s="42" t="inlineStr">
        <is>
          <t xml:space="preserve">14/06/2021 </t>
        </is>
      </c>
      <c r="G18" s="43" t="inlineStr">
        <is>
          <t xml:space="preserve">74084767L </t>
        </is>
      </c>
      <c r="H18" s="44" t="inlineStr">
        <is>
          <t xml:space="preserve">Director de tesis </t>
        </is>
      </c>
      <c r="I18" s="20" t="inlineStr">
        <is>
          <t xml:space="preserve">B115 </t>
        </is>
      </c>
      <c r="J18" s="45" t="inlineStr">
        <is>
          <t xml:space="preserve">FILOL. ESPAÑOLA, LINGÜÍSTICA GENERAL Y TEORIA DE LA LITERATURA </t>
        </is>
      </c>
      <c r="K18" s="64" t="n">
        <v>1</v>
      </c>
      <c r="L18" s="64" t="inlineStr">
        <is>
          <t>B115</t>
        </is>
      </c>
      <c r="M18" s="63" t="n">
        <v>2020</v>
      </c>
      <c r="N18" s="63" t="inlineStr">
        <is>
          <t>10.23</t>
        </is>
      </c>
      <c r="O18" s="21" t="n">
        <v>50</v>
      </c>
      <c r="P18" s="63" t="inlineStr"/>
      <c r="Q18" s="21" t="n">
        <v>0</v>
      </c>
      <c r="R18" s="89" t="n">
        <v>50</v>
      </c>
      <c r="S18" s="89" t="n">
        <v>0.5</v>
      </c>
      <c r="T18" s="89" t="n">
        <v>0.5</v>
      </c>
      <c r="U18" s="89" t="n">
        <v>0</v>
      </c>
    </row>
    <row r="19" ht="12" customHeight="1" thickBot="1">
      <c r="A19" s="42" t="inlineStr">
        <is>
          <t xml:space="preserve">U023 </t>
        </is>
      </c>
      <c r="B19" s="42" t="inlineStr">
        <is>
          <t xml:space="preserve">ADM. FACULTAD DE FILOSOFIA Y LETRAS </t>
        </is>
      </c>
      <c r="C19" s="42" t="inlineStr">
        <is>
          <t xml:space="preserve">DOCTORADO EN FILOSOFÍA Y LETRAS </t>
        </is>
      </c>
      <c r="D19" s="42" t="inlineStr">
        <is>
          <t xml:space="preserve">Monzó Jiménez, Luis Antonio </t>
        </is>
      </c>
      <c r="E19" s="42" t="inlineStr">
        <is>
          <t xml:space="preserve">EDUCACIÓN LITERARIA EN LOS ESTUDIOS UNIVERSITARIOS DE ESPAÑOL POR PARTE DE ALUMNADO NO NATIVO </t>
        </is>
      </c>
      <c r="F19" s="42" t="inlineStr">
        <is>
          <t xml:space="preserve">22/02/2021 </t>
        </is>
      </c>
      <c r="G19" s="43" t="inlineStr">
        <is>
          <t xml:space="preserve">21473357M </t>
        </is>
      </c>
      <c r="H19" s="44" t="inlineStr">
        <is>
          <t xml:space="preserve">Codirector de tesis </t>
        </is>
      </c>
      <c r="I19" s="20" t="inlineStr">
        <is>
          <t xml:space="preserve">B115 </t>
        </is>
      </c>
      <c r="J19" s="45" t="inlineStr">
        <is>
          <t xml:space="preserve">FILOL. ESPAÑOLA, LINGÜÍSTICA GENERAL Y TEORIA DE LA LITERATURA </t>
        </is>
      </c>
      <c r="K19" s="64" t="n">
        <v>0.5</v>
      </c>
      <c r="L19" s="64" t="inlineStr">
        <is>
          <t>B115</t>
        </is>
      </c>
      <c r="M19" s="63" t="n">
        <v>2020</v>
      </c>
      <c r="N19" s="63" t="inlineStr">
        <is>
          <t>10.23</t>
        </is>
      </c>
      <c r="O19" s="21" t="n">
        <v>90</v>
      </c>
      <c r="P19" s="63" t="inlineStr"/>
      <c r="Q19" s="21" t="n">
        <v>0</v>
      </c>
      <c r="R19" s="89" t="n">
        <v>10</v>
      </c>
      <c r="S19" s="89" t="n">
        <v>0.05</v>
      </c>
      <c r="T19" s="89" t="n">
        <v>0.45</v>
      </c>
      <c r="U19" s="89" t="n">
        <v>0</v>
      </c>
    </row>
    <row r="20" ht="12" customHeight="1" thickBot="1">
      <c r="A20" s="42" t="inlineStr">
        <is>
          <t xml:space="preserve">U023 </t>
        </is>
      </c>
      <c r="B20" s="42" t="inlineStr">
        <is>
          <t xml:space="preserve">ADM. FACULTAD DE FILOSOFIA Y LETRAS </t>
        </is>
      </c>
      <c r="C20" s="42" t="inlineStr">
        <is>
          <t xml:space="preserve">DOCTORADO EN FILOSOFÍA Y LETRAS </t>
        </is>
      </c>
      <c r="D20" s="42" t="inlineStr">
        <is>
          <t xml:space="preserve">Beneyto Gómez, Elisa </t>
        </is>
      </c>
      <c r="E20" s="42" t="inlineStr">
        <is>
          <t xml:space="preserve">ELS CEMENTERIS COM A REFLEX DE LA SOCIETAT INDUSTRIAL: EL CEMENTERI D'ALCOI </t>
        </is>
      </c>
      <c r="F20" s="42" t="inlineStr">
        <is>
          <t xml:space="preserve">23/07/2021 </t>
        </is>
      </c>
      <c r="G20" s="43" t="inlineStr">
        <is>
          <t xml:space="preserve">21648517C </t>
        </is>
      </c>
      <c r="H20" s="44" t="inlineStr">
        <is>
          <t xml:space="preserve">Director de tesis </t>
        </is>
      </c>
      <c r="I20" s="20" t="inlineStr">
        <is>
          <t xml:space="preserve">B122 </t>
        </is>
      </c>
      <c r="J20" s="45" t="inlineStr">
        <is>
          <t xml:space="preserve">HUMANIDADES CONTEMPORANEAS </t>
        </is>
      </c>
      <c r="K20" s="64" t="n">
        <v>1</v>
      </c>
      <c r="L20" s="64" t="inlineStr">
        <is>
          <t>B122</t>
        </is>
      </c>
      <c r="M20" s="63" t="n">
        <v>2020</v>
      </c>
      <c r="N20" s="63" t="inlineStr">
        <is>
          <t>10.23</t>
        </is>
      </c>
      <c r="O20" s="21" t="n">
        <v>20</v>
      </c>
      <c r="P20" s="63" t="inlineStr"/>
      <c r="Q20" s="21" t="n">
        <v>0</v>
      </c>
      <c r="R20" s="89" t="n">
        <v>80</v>
      </c>
      <c r="S20" s="89" t="n">
        <v>0.8</v>
      </c>
      <c r="T20" s="89" t="n">
        <v>0.2</v>
      </c>
      <c r="U20" s="89" t="n">
        <v>0</v>
      </c>
    </row>
    <row r="21" ht="12" customHeight="1" thickBot="1">
      <c r="A21" s="42" t="inlineStr">
        <is>
          <t xml:space="preserve">U023 </t>
        </is>
      </c>
      <c r="B21" s="42" t="inlineStr">
        <is>
          <t xml:space="preserve">ADM. FACULTAD DE FILOSOFIA Y LETRAS </t>
        </is>
      </c>
      <c r="C21" s="42" t="inlineStr">
        <is>
          <t xml:space="preserve">DOCTORADO EN FILOSOFÍA Y LETRAS </t>
        </is>
      </c>
      <c r="D21" s="42" t="inlineStr">
        <is>
          <t xml:space="preserve">Izquierdo Morales, Alexis Alfonso </t>
        </is>
      </c>
      <c r="E21" s="42" t="inlineStr">
        <is>
          <t xml:space="preserve">SCÈNE D¿ÉNONCIATION DANS LA RELATION ÉPISTOLAIRE ENTRE MÈRE MARIE DE LA CROIX ODIOT DE LA PAILLONNE, FONDATRICE ET PREMIÈRE ABBESSE DE SAINTEANNE DE BONLIEU ET MÈRE CÉCILE BRUYÈRE, FONDATRICE ET PREMIÈRE ABBESSE </t>
        </is>
      </c>
      <c r="F21" s="42" t="inlineStr">
        <is>
          <t xml:space="preserve">05/02/2021 </t>
        </is>
      </c>
      <c r="G21" s="43" t="inlineStr">
        <is>
          <t xml:space="preserve">29013572S </t>
        </is>
      </c>
      <c r="H21" s="44" t="inlineStr">
        <is>
          <t xml:space="preserve">Director de tesis </t>
        </is>
      </c>
      <c r="I21" s="20" t="inlineStr">
        <is>
          <t xml:space="preserve">B114 </t>
        </is>
      </c>
      <c r="J21" s="45" t="inlineStr">
        <is>
          <t xml:space="preserve">FILOLOGIAS INTEGRADAS </t>
        </is>
      </c>
      <c r="K21" s="64" t="n">
        <v>1</v>
      </c>
      <c r="L21" s="64" t="inlineStr">
        <is>
          <t>B114</t>
        </is>
      </c>
      <c r="M21" s="63" t="n">
        <v>2020</v>
      </c>
      <c r="N21" s="63" t="inlineStr">
        <is>
          <t>10.23</t>
        </is>
      </c>
      <c r="O21" s="21" t="n">
        <v>50</v>
      </c>
      <c r="P21" s="63" t="inlineStr"/>
      <c r="Q21" s="21" t="n">
        <v>0</v>
      </c>
      <c r="R21" s="89" t="n">
        <v>50</v>
      </c>
      <c r="S21" s="89" t="n">
        <v>0.5</v>
      </c>
      <c r="T21" s="89" t="n">
        <v>0.5</v>
      </c>
      <c r="U21" s="89" t="n">
        <v>0</v>
      </c>
    </row>
    <row r="22" ht="12" customHeight="1" thickBot="1">
      <c r="A22" s="42" t="inlineStr">
        <is>
          <t xml:space="preserve">U023 </t>
        </is>
      </c>
      <c r="B22" s="42" t="inlineStr">
        <is>
          <t xml:space="preserve">ADM. FACULTAD DE FILOSOFIA Y LETRAS </t>
        </is>
      </c>
      <c r="C22" s="42" t="inlineStr">
        <is>
          <t xml:space="preserve">DOCTORADO EN FILOSOFÍA Y LETRAS </t>
        </is>
      </c>
      <c r="D22" s="42" t="inlineStr">
        <is>
          <t xml:space="preserve">Santa Soriano, Alba </t>
        </is>
      </c>
      <c r="E22" s="42" t="inlineStr">
        <is>
          <t xml:space="preserve">Relaciones públicas e inteligencia estratégica en la era digital: contexto, convergencia y aplicaciones desde el engagement para maximizar el impacto de los proyectos europeos </t>
        </is>
      </c>
      <c r="F22" s="42" t="inlineStr">
        <is>
          <t xml:space="preserve">22/06/2021 </t>
        </is>
      </c>
      <c r="G22" s="43" t="inlineStr">
        <is>
          <t xml:space="preserve">21490870S </t>
        </is>
      </c>
      <c r="H22" s="44" t="inlineStr">
        <is>
          <t xml:space="preserve">Director de tesis </t>
        </is>
      </c>
      <c r="I22" s="20" t="inlineStr">
        <is>
          <t xml:space="preserve">B175 </t>
        </is>
      </c>
      <c r="J22" s="45" t="inlineStr">
        <is>
          <t xml:space="preserve">COMUNICACIÓN Y PSICOLOGÍA SOCIAL </t>
        </is>
      </c>
      <c r="K22" s="64" t="n">
        <v>1</v>
      </c>
      <c r="L22" s="64" t="inlineStr">
        <is>
          <t>B175</t>
        </is>
      </c>
      <c r="M22" s="63" t="n">
        <v>2020</v>
      </c>
      <c r="N22" s="63" t="inlineStr">
        <is>
          <t>10.23</t>
        </is>
      </c>
      <c r="O22" s="21" t="n">
        <v>20</v>
      </c>
      <c r="P22" s="63" t="inlineStr">
        <is>
          <t>10.25</t>
        </is>
      </c>
      <c r="Q22" s="21" t="n">
        <v>30</v>
      </c>
      <c r="R22" s="89" t="n">
        <v>50</v>
      </c>
      <c r="S22" s="89" t="n">
        <v>0.5</v>
      </c>
      <c r="T22" s="89" t="n">
        <v>0.2</v>
      </c>
      <c r="U22" s="89" t="n">
        <v>0.3</v>
      </c>
    </row>
    <row r="23" ht="12" customHeight="1" thickBot="1">
      <c r="A23" s="42" t="inlineStr">
        <is>
          <t xml:space="preserve">U023 </t>
        </is>
      </c>
      <c r="B23" s="42" t="inlineStr">
        <is>
          <t xml:space="preserve">ADM. FACULTAD DE FILOSOFIA Y LETRAS </t>
        </is>
      </c>
      <c r="C23" s="42" t="inlineStr">
        <is>
          <t xml:space="preserve">DOCTORADO EN FILOSOFÍA Y LETRAS </t>
        </is>
      </c>
      <c r="D23" s="42" t="inlineStr">
        <is>
          <t xml:space="preserve">Cañizares Gómez, María José </t>
        </is>
      </c>
      <c r="E23" s="42" t="inlineStr">
        <is>
          <t xml:space="preserve">Iglesia, frontera y poder: el pleito del obispado de Orihuela entre la Corona de Castilla y la Corona de Aragón (siglos XIII y XVI) </t>
        </is>
      </c>
      <c r="F23" s="42" t="inlineStr">
        <is>
          <t xml:space="preserve">29/09/2021 </t>
        </is>
      </c>
      <c r="G23" s="43" t="inlineStr">
        <is>
          <t xml:space="preserve">21436046T </t>
        </is>
      </c>
      <c r="H23" s="44" t="inlineStr">
        <is>
          <t xml:space="preserve">Codirector de tesis </t>
        </is>
      </c>
      <c r="I23" s="20" t="inlineStr">
        <is>
          <t xml:space="preserve">B174 </t>
        </is>
      </c>
      <c r="J23" s="45" t="inlineStr">
        <is>
          <t xml:space="preserve">HISTORIA MEDIEVAL, HISTORIA MODERNA Y CIENCIAS Y TÉCNICAS HISTORIOGRÀFICAS </t>
        </is>
      </c>
      <c r="K23" s="64" t="n">
        <v>0.5</v>
      </c>
      <c r="L23" s="64" t="inlineStr">
        <is>
          <t>B174</t>
        </is>
      </c>
      <c r="M23" s="63" t="n">
        <v>2020</v>
      </c>
      <c r="N23" s="63" t="inlineStr">
        <is>
          <t>10.23</t>
        </is>
      </c>
      <c r="O23" s="21" t="n">
        <v>10</v>
      </c>
      <c r="P23" s="63" t="inlineStr">
        <is>
          <t>10.25</t>
        </is>
      </c>
      <c r="Q23" s="21" t="n">
        <v>25</v>
      </c>
      <c r="R23" s="89" t="n">
        <v>65</v>
      </c>
      <c r="S23" s="89" t="n">
        <v>0.325</v>
      </c>
      <c r="T23" s="89" t="n">
        <v>0.05</v>
      </c>
      <c r="U23" s="89" t="n">
        <v>0.125</v>
      </c>
    </row>
    <row r="24" ht="12" customHeight="1" thickBot="1">
      <c r="A24" s="42" t="inlineStr">
        <is>
          <t xml:space="preserve">U023 </t>
        </is>
      </c>
      <c r="B24" s="42" t="inlineStr">
        <is>
          <t xml:space="preserve">ADM. FACULTAD DE FILOSOFIA Y LETRAS </t>
        </is>
      </c>
      <c r="C24" s="42" t="inlineStr">
        <is>
          <t xml:space="preserve">DOCTORADO EN FILOSOFÍA Y LETRAS </t>
        </is>
      </c>
      <c r="D24" s="42" t="inlineStr">
        <is>
          <t xml:space="preserve">Garro Sánchez, Inmaculada Teresa </t>
        </is>
      </c>
      <c r="E24" s="42" t="inlineStr">
        <is>
          <t xml:space="preserve">ESPACIOS Y GÉNERO. TRADICIÓN Y MODERNIDAD EN MARRUECOS </t>
        </is>
      </c>
      <c r="F24" s="42" t="inlineStr">
        <is>
          <t xml:space="preserve">19/07/2021 </t>
        </is>
      </c>
      <c r="G24" s="43" t="inlineStr">
        <is>
          <t xml:space="preserve">21474507M </t>
        </is>
      </c>
      <c r="H24" s="44" t="inlineStr">
        <is>
          <t xml:space="preserve">Director de tesis </t>
        </is>
      </c>
      <c r="I24" s="20" t="inlineStr">
        <is>
          <t xml:space="preserve">B114 </t>
        </is>
      </c>
      <c r="J24" s="45" t="inlineStr">
        <is>
          <t xml:space="preserve">FILOLOGIAS INTEGRADAS </t>
        </is>
      </c>
      <c r="K24" s="64" t="n">
        <v>1</v>
      </c>
      <c r="L24" s="64" t="inlineStr">
        <is>
          <t>B114</t>
        </is>
      </c>
      <c r="M24" s="63" t="n">
        <v>2020</v>
      </c>
      <c r="N24" s="63" t="inlineStr">
        <is>
          <t>10.23</t>
        </is>
      </c>
      <c r="O24" s="21" t="n">
        <v>20</v>
      </c>
      <c r="P24" s="63" t="inlineStr"/>
      <c r="Q24" s="21" t="n">
        <v>0</v>
      </c>
      <c r="R24" s="89" t="n">
        <v>80</v>
      </c>
      <c r="S24" s="89" t="n">
        <v>0.8</v>
      </c>
      <c r="T24" s="89" t="n">
        <v>0.2</v>
      </c>
      <c r="U24" s="89" t="n">
        <v>0</v>
      </c>
    </row>
    <row r="25" ht="12" customHeight="1" thickBot="1">
      <c r="A25" s="42" t="inlineStr">
        <is>
          <t xml:space="preserve">U025 </t>
        </is>
      </c>
      <c r="B25" s="42" t="inlineStr">
        <is>
          <t xml:space="preserve">ADM. FACULTAD DE DERECHO </t>
        </is>
      </c>
      <c r="C25" s="42" t="inlineStr">
        <is>
          <t xml:space="preserve">DOCTORADO EN DERECHO </t>
        </is>
      </c>
      <c r="D25" s="42" t="inlineStr">
        <is>
          <t xml:space="preserve">Torres Díaz, María Concepción </t>
        </is>
      </c>
      <c r="E25" s="42" t="inlineStr">
        <is>
          <t xml:space="preserve">El sexo de la Constitución. El discurso jurídico frente a la realidad socio-sexual de las mujeres. Un análisis crítico sobre las categorías "sexo" y "género" como categorías de relevancia constitucional </t>
        </is>
      </c>
      <c r="F25" s="42" t="inlineStr">
        <is>
          <t xml:space="preserve">29/06/2021 </t>
        </is>
      </c>
      <c r="G25" s="43" t="inlineStr">
        <is>
          <t xml:space="preserve">33487725R </t>
        </is>
      </c>
      <c r="H25" s="44" t="inlineStr">
        <is>
          <t xml:space="preserve">Director de tesis </t>
        </is>
      </c>
      <c r="I25" s="20" t="inlineStr">
        <is>
          <t xml:space="preserve">B113 </t>
        </is>
      </c>
      <c r="J25" s="45" t="inlineStr">
        <is>
          <t xml:space="preserve">ESTUDIOS JURIDICOS DEL ESTADO </t>
        </is>
      </c>
      <c r="K25" s="64" t="n">
        <v>1</v>
      </c>
      <c r="L25" s="64" t="inlineStr">
        <is>
          <t>B113</t>
        </is>
      </c>
      <c r="M25" s="63" t="n">
        <v>2020</v>
      </c>
      <c r="N25" s="63" t="inlineStr">
        <is>
          <t>10.23</t>
        </is>
      </c>
      <c r="O25" s="21" t="n">
        <v>60</v>
      </c>
      <c r="P25" s="63" t="inlineStr"/>
      <c r="Q25" s="21" t="n">
        <v>0</v>
      </c>
      <c r="R25" s="89" t="n">
        <v>40</v>
      </c>
      <c r="S25" s="89" t="n">
        <v>0.4</v>
      </c>
      <c r="T25" s="89" t="n">
        <v>0.6</v>
      </c>
      <c r="U25" s="89" t="n">
        <v>0</v>
      </c>
    </row>
    <row r="26" ht="12" customHeight="1" thickBot="1">
      <c r="A26" s="42" t="inlineStr">
        <is>
          <t xml:space="preserve">U036 </t>
        </is>
      </c>
      <c r="B26" s="42" t="inlineStr">
        <is>
          <t xml:space="preserve">ADM. FACULTAD DE CIENCIAS ECONÓMICAS </t>
        </is>
      </c>
      <c r="C26" s="42" t="inlineStr">
        <is>
          <t xml:space="preserve">DOCTORADO EN EMPRESA, ECONOMÍA Y SOCIEDAD </t>
        </is>
      </c>
      <c r="D26" s="42" t="inlineStr">
        <is>
          <t xml:space="preserve">Infesta Domínguez, Graciela </t>
        </is>
      </c>
      <c r="E26" s="42" t="inlineStr">
        <is>
          <t xml:space="preserve">Salud sexual y reproductiva desde una perspectiva de género: problemáticas, logros y desafíos en Argentina </t>
        </is>
      </c>
      <c r="F26" s="42" t="inlineStr">
        <is>
          <t xml:space="preserve">21/04/2021 </t>
        </is>
      </c>
      <c r="G26" s="43" t="inlineStr">
        <is>
          <t xml:space="preserve">25128440C </t>
        </is>
      </c>
      <c r="H26" s="44" t="inlineStr">
        <is>
          <t xml:space="preserve">Director de tesis </t>
        </is>
      </c>
      <c r="I26" s="20" t="inlineStr">
        <is>
          <t xml:space="preserve">B179 </t>
        </is>
      </c>
      <c r="J26" s="45" t="inlineStr">
        <is>
          <t xml:space="preserve">SOCIOLOGÍA I </t>
        </is>
      </c>
      <c r="K26" s="64" t="n">
        <v>1</v>
      </c>
      <c r="L26" s="64" t="inlineStr">
        <is>
          <t>B179</t>
        </is>
      </c>
      <c r="M26" s="63" t="n">
        <v>2020</v>
      </c>
      <c r="N26" s="63" t="inlineStr">
        <is>
          <t>10.23</t>
        </is>
      </c>
      <c r="O26" s="21" t="n">
        <v>20</v>
      </c>
      <c r="P26" s="63" t="inlineStr"/>
      <c r="Q26" s="21" t="n">
        <v>0</v>
      </c>
      <c r="R26" s="89" t="n">
        <v>80</v>
      </c>
      <c r="S26" s="89" t="n">
        <v>0.8</v>
      </c>
      <c r="T26" s="89" t="n">
        <v>0.2</v>
      </c>
      <c r="U26" s="89" t="n">
        <v>0</v>
      </c>
    </row>
    <row r="27" ht="12" customHeight="1" thickBot="1">
      <c r="A27" s="42" t="inlineStr">
        <is>
          <t xml:space="preserve">U044 </t>
        </is>
      </c>
      <c r="B27" s="42" t="inlineStr">
        <is>
          <t xml:space="preserve">ADM. FACULTAD DE CIENCIAS DE LA SALUD </t>
        </is>
      </c>
      <c r="C27" s="42" t="inlineStr">
        <is>
          <t xml:space="preserve">DOCTORADO EN CIENCIAS DE LA SALUD </t>
        </is>
      </c>
      <c r="D27" s="42" t="inlineStr">
        <is>
          <t xml:space="preserve">Rico Sapena, Nuria </t>
        </is>
      </c>
      <c r="E27" s="42" t="inlineStr">
        <is>
          <t xml:space="preserve">Nuevas estrategias de promoción y educación en alimentación y nutrición a escolares </t>
        </is>
      </c>
      <c r="F27" s="42" t="inlineStr">
        <is>
          <t xml:space="preserve">26/02/2021 </t>
        </is>
      </c>
      <c r="G27" s="43" t="inlineStr">
        <is>
          <t xml:space="preserve">21487726E </t>
        </is>
      </c>
      <c r="H27" s="44" t="inlineStr">
        <is>
          <t xml:space="preserve">Codirector de tesis </t>
        </is>
      </c>
      <c r="I27" s="20" t="inlineStr">
        <is>
          <t xml:space="preserve">B170 </t>
        </is>
      </c>
      <c r="J27" s="45" t="inlineStr">
        <is>
          <t xml:space="preserve">ENFERMERÍA COMUNITARIA, MEDICINA PREVENTIVA Y SALUD PÚBLICA </t>
        </is>
      </c>
      <c r="K27" s="64" t="n">
        <v>0.5</v>
      </c>
      <c r="L27" s="64" t="inlineStr">
        <is>
          <t>B170</t>
        </is>
      </c>
      <c r="M27" s="63" t="n">
        <v>2020</v>
      </c>
      <c r="N27" s="63" t="inlineStr">
        <is>
          <t>10.23</t>
        </is>
      </c>
      <c r="O27" s="21" t="n">
        <v>20</v>
      </c>
      <c r="P27" s="63" t="inlineStr"/>
      <c r="Q27" s="21" t="n">
        <v>0</v>
      </c>
      <c r="R27" s="89" t="n">
        <v>80</v>
      </c>
      <c r="S27" s="89" t="n">
        <v>0.4</v>
      </c>
      <c r="T27" s="89" t="n">
        <v>0.1</v>
      </c>
      <c r="U27" s="89" t="n">
        <v>0</v>
      </c>
    </row>
    <row r="28">
      <c r="A28" s="63" t="inlineStr">
        <is>
          <t xml:space="preserve">U073 </t>
        </is>
      </c>
      <c r="B28" s="63" t="inlineStr">
        <is>
          <t xml:space="preserve">ADM. I.U. INVESTIGACIÓN DE ESTUDIOS DE GÉNERO </t>
        </is>
      </c>
      <c r="C28" s="63" t="inlineStr">
        <is>
          <t xml:space="preserve">DOCTORADO EN ESTUDIOS INTERDISCIPLINARES DE GÉNERO </t>
        </is>
      </c>
      <c r="D28" s="63" t="inlineStr">
        <is>
          <t xml:space="preserve">Blanco Fernández, Marta Susana </t>
        </is>
      </c>
      <c r="E28" s="63" t="inlineStr">
        <is>
          <t xml:space="preserve">Origen, demonización y pervivencia de lo divino femenino en la península ibérica. Una aproximación desde la tealogía y el ecofeminismo </t>
        </is>
      </c>
      <c r="F28" s="63" t="inlineStr">
        <is>
          <t xml:space="preserve">28/05/2021 </t>
        </is>
      </c>
      <c r="G28" s="63" t="inlineStr">
        <is>
          <t xml:space="preserve">50283950Q </t>
        </is>
      </c>
      <c r="H28" s="63" t="inlineStr">
        <is>
          <t xml:space="preserve">Director de tesis </t>
        </is>
      </c>
      <c r="I28" s="64" t="inlineStr">
        <is>
          <t xml:space="preserve">B174 </t>
        </is>
      </c>
      <c r="J28" s="63" t="inlineStr">
        <is>
          <t xml:space="preserve">HISTORIA MEDIEVAL, HISTORIA MODERNA Y CIENCIAS Y TÉCNICAS HISTORIOGRÀFICAS </t>
        </is>
      </c>
      <c r="K28" s="64" t="n">
        <v>1</v>
      </c>
      <c r="L28" s="64" t="inlineStr">
        <is>
          <t>B174</t>
        </is>
      </c>
      <c r="M28" s="63" t="n">
        <v>2020</v>
      </c>
      <c r="N28" s="63" t="inlineStr">
        <is>
          <t>10.23</t>
        </is>
      </c>
      <c r="O28" s="21" t="n">
        <v>60</v>
      </c>
      <c r="P28" s="63" t="inlineStr"/>
      <c r="Q28" s="21" t="n">
        <v>0</v>
      </c>
      <c r="R28" s="89" t="n">
        <v>40</v>
      </c>
      <c r="S28" s="89" t="n">
        <v>0.4</v>
      </c>
      <c r="T28" s="89" t="n">
        <v>0.6</v>
      </c>
      <c r="U28" s="89" t="n">
        <v>0</v>
      </c>
    </row>
    <row r="29">
      <c r="A29" s="63" t="inlineStr">
        <is>
          <t xml:space="preserve">U073 </t>
        </is>
      </c>
      <c r="B29" s="63" t="inlineStr">
        <is>
          <t xml:space="preserve">ADM. I.U. INVESTIGACIÓN DE ESTUDIOS DE GÉNERO </t>
        </is>
      </c>
      <c r="C29" s="63" t="inlineStr">
        <is>
          <t xml:space="preserve">DOCTORADO EN ESTUDIOS INTERDISCIPLINARES DE GÉNERO </t>
        </is>
      </c>
      <c r="D29" s="63" t="inlineStr">
        <is>
          <t xml:space="preserve">Aragonés González, María </t>
        </is>
      </c>
      <c r="E29" s="63" t="inlineStr">
        <is>
          <t xml:space="preserve">La coeducación como metodología transformadora hacia la igualdad de género </t>
        </is>
      </c>
      <c r="F29" s="63" t="inlineStr">
        <is>
          <t xml:space="preserve">22/09/2021 </t>
        </is>
      </c>
      <c r="G29" s="63" t="inlineStr">
        <is>
          <t xml:space="preserve">21449137G </t>
        </is>
      </c>
      <c r="H29" s="63" t="inlineStr">
        <is>
          <t xml:space="preserve">Codirector de tesis </t>
        </is>
      </c>
      <c r="I29" s="64" t="inlineStr">
        <is>
          <t xml:space="preserve">B175 </t>
        </is>
      </c>
      <c r="J29" s="63" t="inlineStr">
        <is>
          <t xml:space="preserve">COMUNICACIÓN Y PSICOLOGÍA SOCIAL </t>
        </is>
      </c>
      <c r="K29" s="64" t="n">
        <v>0.5</v>
      </c>
      <c r="L29" s="64" t="inlineStr">
        <is>
          <t>B175</t>
        </is>
      </c>
      <c r="M29" s="63" t="n">
        <v>2020</v>
      </c>
      <c r="N29" s="63" t="inlineStr">
        <is>
          <t>10.23</t>
        </is>
      </c>
      <c r="O29" s="21" t="n">
        <v>20</v>
      </c>
      <c r="P29" s="63" t="inlineStr"/>
      <c r="Q29" s="21" t="n">
        <v>0</v>
      </c>
      <c r="R29" s="89" t="n">
        <v>80</v>
      </c>
      <c r="S29" s="89" t="n">
        <v>0.4</v>
      </c>
      <c r="T29" s="89" t="n">
        <v>0.1</v>
      </c>
      <c r="U29" s="89" t="n">
        <v>0</v>
      </c>
    </row>
    <row r="30">
      <c r="A30" s="63" t="inlineStr">
        <is>
          <t xml:space="preserve">U073 </t>
        </is>
      </c>
      <c r="B30" s="63" t="inlineStr">
        <is>
          <t xml:space="preserve">ADM. I.U. INVESTIGACIÓN DE ESTUDIOS DE GÉNERO </t>
        </is>
      </c>
      <c r="C30" s="63" t="inlineStr">
        <is>
          <t xml:space="preserve">DOCTORADO EN ESTUDIOS INTERDISCIPLINARES DE GÉNERO </t>
        </is>
      </c>
      <c r="D30" s="63" t="inlineStr">
        <is>
          <t xml:space="preserve">Aragonés González, María </t>
        </is>
      </c>
      <c r="E30" s="63" t="inlineStr">
        <is>
          <t xml:space="preserve">La coeducación como metodología transformadora hacia la igualdad de género </t>
        </is>
      </c>
      <c r="F30" s="63" t="inlineStr">
        <is>
          <t xml:space="preserve">22/09/2021 </t>
        </is>
      </c>
      <c r="G30" s="63" t="inlineStr">
        <is>
          <t xml:space="preserve">33492987L </t>
        </is>
      </c>
      <c r="H30" s="63" t="inlineStr">
        <is>
          <t xml:space="preserve">Codirector de tesis </t>
        </is>
      </c>
      <c r="I30" s="64" t="inlineStr">
        <is>
          <t xml:space="preserve">B170 </t>
        </is>
      </c>
      <c r="J30" s="63" t="inlineStr">
        <is>
          <t xml:space="preserve">ENFERMERÍA COMUNITARIA, MEDICINA PREVENTIVA Y SALUD PÚBLICA </t>
        </is>
      </c>
      <c r="K30" s="64" t="n">
        <v>0.5</v>
      </c>
      <c r="L30" s="64" t="inlineStr">
        <is>
          <t>B170</t>
        </is>
      </c>
      <c r="M30" s="63" t="n">
        <v>2020</v>
      </c>
      <c r="N30" s="63" t="inlineStr">
        <is>
          <t>10.23</t>
        </is>
      </c>
      <c r="O30" s="21" t="n">
        <v>20</v>
      </c>
      <c r="P30" s="63" t="inlineStr"/>
      <c r="Q30" s="21" t="n">
        <v>0</v>
      </c>
      <c r="R30" s="89" t="n">
        <v>80</v>
      </c>
      <c r="S30" s="89" t="n">
        <v>0.4</v>
      </c>
      <c r="T30" s="89" t="n">
        <v>0.1</v>
      </c>
      <c r="U30" s="89" t="n">
        <v>0</v>
      </c>
    </row>
    <row r="31">
      <c r="A31" s="63" t="inlineStr">
        <is>
          <t xml:space="preserve">B177 </t>
        </is>
      </c>
      <c r="B31" s="63" t="inlineStr">
        <is>
          <t xml:space="preserve">PSICOLOGÍA EVOLUTIVA Y DIDÁCTICA </t>
        </is>
      </c>
      <c r="C31" s="63" t="inlineStr">
        <is>
          <t xml:space="preserve">DOCTORADO EN INVESTIGACIÓN EDUCATIVA </t>
        </is>
      </c>
      <c r="D31" s="63" t="inlineStr">
        <is>
          <t xml:space="preserve">Gavilán Martín, Diego </t>
        </is>
      </c>
      <c r="E31" s="63" t="inlineStr">
        <is>
          <t xml:space="preserve">La integración de la igualdad de género en la formación de los futuros docentes de Educación Primaria: los espacios de género </t>
        </is>
      </c>
      <c r="F31" s="63" t="inlineStr">
        <is>
          <t xml:space="preserve">18/10/2021 </t>
        </is>
      </c>
      <c r="G31" s="63" t="inlineStr">
        <is>
          <t xml:space="preserve">48769418B </t>
        </is>
      </c>
      <c r="H31" s="63" t="inlineStr">
        <is>
          <t xml:space="preserve">Director de tesis </t>
        </is>
      </c>
      <c r="I31" s="64" t="inlineStr">
        <is>
          <t xml:space="preserve">B112 </t>
        </is>
      </c>
      <c r="J31" s="63" t="inlineStr">
        <is>
          <t xml:space="preserve">DIDACTICA GENERAL Y DIDÁCTICAS ESPECÍFICAS </t>
        </is>
      </c>
      <c r="K31" s="64" t="n">
        <v>1</v>
      </c>
      <c r="L31" s="64" t="inlineStr">
        <is>
          <t>B112</t>
        </is>
      </c>
      <c r="M31" s="63" t="n">
        <v>2021</v>
      </c>
      <c r="N31" s="63" t="inlineStr">
        <is>
          <t>10.23</t>
        </is>
      </c>
      <c r="O31" s="21" t="n">
        <v>30</v>
      </c>
      <c r="P31" s="63" t="inlineStr">
        <is>
          <t>10.25</t>
        </is>
      </c>
      <c r="Q31" s="21" t="n">
        <v>30</v>
      </c>
      <c r="R31" s="89" t="n">
        <v>40</v>
      </c>
      <c r="S31" s="89" t="n">
        <v>0.4</v>
      </c>
      <c r="T31" s="89" t="n">
        <v>0.3</v>
      </c>
      <c r="U31" s="89" t="n">
        <v>0.3</v>
      </c>
    </row>
    <row r="32">
      <c r="A32" s="63" t="inlineStr">
        <is>
          <t xml:space="preserve">U023 </t>
        </is>
      </c>
      <c r="B32" s="63" t="inlineStr">
        <is>
          <t xml:space="preserve">ADM. FACULTAD DE FILOSOFIA Y LETRAS </t>
        </is>
      </c>
      <c r="C32" s="63" t="inlineStr">
        <is>
          <t xml:space="preserve">DOCTORADO EN FILOSOFÍA Y LETRAS </t>
        </is>
      </c>
      <c r="D32" s="63" t="inlineStr">
        <is>
          <t xml:space="preserve">Gómez Soriano, Miguel Ángel </t>
        </is>
      </c>
      <c r="E32" s="63" t="inlineStr">
        <is>
          <t xml:space="preserve">El viaje épico-lírico en Los cuadernos de la Tierra de Jorge Enrique Adoum. Génesis y caracterización de una poesía histórica </t>
        </is>
      </c>
      <c r="F32" s="63" t="inlineStr">
        <is>
          <t xml:space="preserve">04/07/2022 </t>
        </is>
      </c>
      <c r="G32" s="63" t="inlineStr">
        <is>
          <t xml:space="preserve">74084767L </t>
        </is>
      </c>
      <c r="H32" s="63" t="inlineStr">
        <is>
          <t xml:space="preserve">Codirector de tesis </t>
        </is>
      </c>
      <c r="I32" s="64" t="inlineStr">
        <is>
          <t xml:space="preserve">B115 </t>
        </is>
      </c>
      <c r="J32" s="63" t="inlineStr">
        <is>
          <t xml:space="preserve">FILOL. ESPAÑOLA, LINGÜÍSTICA GENERAL Y TEORIA DE LA LITERATURA </t>
        </is>
      </c>
      <c r="K32" s="64" t="n">
        <v>0.5</v>
      </c>
      <c r="L32" s="64" t="inlineStr">
        <is>
          <t>B115</t>
        </is>
      </c>
      <c r="M32" s="63" t="n">
        <v>2021</v>
      </c>
      <c r="N32" s="63" t="inlineStr">
        <is>
          <t>10.23</t>
        </is>
      </c>
      <c r="O32" s="21" t="n">
        <v>50</v>
      </c>
      <c r="P32" s="63" t="inlineStr"/>
      <c r="Q32" s="21" t="n">
        <v>0</v>
      </c>
      <c r="R32" s="89" t="n">
        <v>50</v>
      </c>
      <c r="S32" s="89" t="n">
        <v>0.25</v>
      </c>
      <c r="T32" s="89" t="n">
        <v>0.25</v>
      </c>
      <c r="U32" s="89" t="n">
        <v>0</v>
      </c>
    </row>
    <row r="33">
      <c r="A33" s="63" t="inlineStr">
        <is>
          <t xml:space="preserve">U023 </t>
        </is>
      </c>
      <c r="B33" s="63" t="inlineStr">
        <is>
          <t xml:space="preserve">ADM. FACULTAD DE FILOSOFIA Y LETRAS </t>
        </is>
      </c>
      <c r="C33" s="63" t="inlineStr">
        <is>
          <t xml:space="preserve">DOCTORADO EN FILOSOFÍA Y LETRAS </t>
        </is>
      </c>
      <c r="D33" s="63" t="inlineStr">
        <is>
          <t xml:space="preserve">Beltrá Navarro, Luis </t>
        </is>
      </c>
      <c r="E33" s="63" t="inlineStr">
        <is>
          <t xml:space="preserve">El francés en Luisiana: reflejos de diferentes identidades lingüísticas a través de la literatura del siglo xix: el caso de L'Habitation Saint-Ybars ou Maîtres et Esclaves en Louisiane (1881) de Alfred Mercier. Propuesta traductológica. </t>
        </is>
      </c>
      <c r="F33" s="63" t="inlineStr">
        <is>
          <t xml:space="preserve">21/07/2022 </t>
        </is>
      </c>
      <c r="G33" s="63" t="inlineStr">
        <is>
          <t xml:space="preserve">29013572S </t>
        </is>
      </c>
      <c r="H33" s="63" t="inlineStr">
        <is>
          <t xml:space="preserve">Director de tesis </t>
        </is>
      </c>
      <c r="I33" s="64" t="inlineStr">
        <is>
          <t xml:space="preserve">B114 </t>
        </is>
      </c>
      <c r="J33" s="63" t="inlineStr">
        <is>
          <t xml:space="preserve">FILOLOGIAS INTEGRADAS </t>
        </is>
      </c>
      <c r="K33" s="64" t="n">
        <v>1</v>
      </c>
      <c r="L33" s="64" t="inlineStr">
        <is>
          <t>B114</t>
        </is>
      </c>
      <c r="M33" s="63" t="n">
        <v>2021</v>
      </c>
      <c r="N33" s="63" t="inlineStr">
        <is>
          <t>10.23</t>
        </is>
      </c>
      <c r="O33" s="21" t="n">
        <v>50</v>
      </c>
      <c r="P33" s="63" t="inlineStr"/>
      <c r="Q33" s="21" t="n">
        <v>0</v>
      </c>
      <c r="R33" s="89" t="n">
        <v>50</v>
      </c>
      <c r="S33" s="89" t="n">
        <v>0.5</v>
      </c>
      <c r="T33" s="89" t="n">
        <v>0.5</v>
      </c>
      <c r="U33" s="89" t="n">
        <v>0</v>
      </c>
    </row>
    <row r="34">
      <c r="A34" s="63" t="inlineStr">
        <is>
          <t xml:space="preserve">U023 </t>
        </is>
      </c>
      <c r="B34" s="63" t="inlineStr">
        <is>
          <t xml:space="preserve">ADM. FACULTAD DE FILOSOFIA Y LETRAS </t>
        </is>
      </c>
      <c r="C34" s="63" t="inlineStr">
        <is>
          <t xml:space="preserve">DOCTORADO EN FILOSOFÍA Y LETRAS </t>
        </is>
      </c>
      <c r="D34" s="63" t="inlineStr">
        <is>
          <t xml:space="preserve">Espinosa Zaragoza, Isabel </t>
        </is>
      </c>
      <c r="E34" s="63" t="inlineStr">
        <is>
          <t xml:space="preserve">A STUDY OF COLOUR NAMES IN THE COSMETIC INDUSTRY </t>
        </is>
      </c>
      <c r="F34" s="63" t="inlineStr">
        <is>
          <t xml:space="preserve">04/04/2022 </t>
        </is>
      </c>
      <c r="G34" s="63" t="inlineStr">
        <is>
          <t xml:space="preserve">76414567B </t>
        </is>
      </c>
      <c r="H34" s="63" t="inlineStr">
        <is>
          <t xml:space="preserve">Director de tesis </t>
        </is>
      </c>
      <c r="I34" s="64" t="inlineStr">
        <is>
          <t xml:space="preserve">B116 </t>
        </is>
      </c>
      <c r="J34" s="63" t="inlineStr">
        <is>
          <t xml:space="preserve">FILOLOGÍA INGLESA </t>
        </is>
      </c>
      <c r="K34" s="64" t="n">
        <v>1</v>
      </c>
      <c r="L34" s="64" t="inlineStr">
        <is>
          <t>B116</t>
        </is>
      </c>
      <c r="M34" s="63" t="n">
        <v>2021</v>
      </c>
      <c r="N34" s="63" t="inlineStr">
        <is>
          <t>10.23</t>
        </is>
      </c>
      <c r="O34" s="21" t="n">
        <v>20</v>
      </c>
      <c r="P34" s="63" t="inlineStr">
        <is>
          <t>10.15</t>
        </is>
      </c>
      <c r="Q34" s="21" t="n">
        <v>20</v>
      </c>
      <c r="R34" s="89" t="n">
        <v>60</v>
      </c>
      <c r="S34" s="89" t="n">
        <v>0.6</v>
      </c>
      <c r="T34" s="89" t="n">
        <v>0.2</v>
      </c>
      <c r="U34" s="89" t="n">
        <v>0.2</v>
      </c>
    </row>
    <row r="35">
      <c r="A35" s="63" t="inlineStr">
        <is>
          <t xml:space="preserve">U025 </t>
        </is>
      </c>
      <c r="B35" s="63" t="inlineStr">
        <is>
          <t xml:space="preserve">ADM. FACULTAD DE DERECHO </t>
        </is>
      </c>
      <c r="C35" s="63" t="inlineStr">
        <is>
          <t xml:space="preserve">DOCTORADO EN DERECHO </t>
        </is>
      </c>
      <c r="D35" s="63" t="inlineStr">
        <is>
          <t xml:space="preserve">Lima Dos Santos, Daiane </t>
        </is>
      </c>
      <c r="E35" s="63" t="inlineStr">
        <is>
          <t xml:space="preserve">Prisión, trabajo, derechos fundamentales y políticas públicas: Un enfoque sociojurídico de género en Brasil </t>
        </is>
      </c>
      <c r="F35" s="63" t="inlineStr">
        <is>
          <t xml:space="preserve">14/01/2022 </t>
        </is>
      </c>
      <c r="G35" s="63" t="inlineStr">
        <is>
          <t xml:space="preserve">33487725R </t>
        </is>
      </c>
      <c r="H35" s="63" t="inlineStr">
        <is>
          <t xml:space="preserve">Director de tesis </t>
        </is>
      </c>
      <c r="I35" s="64" t="inlineStr">
        <is>
          <t xml:space="preserve">B113 </t>
        </is>
      </c>
      <c r="J35" s="63" t="inlineStr">
        <is>
          <t xml:space="preserve">ESTUDIOS JURIDICOS DEL ESTADO </t>
        </is>
      </c>
      <c r="K35" s="64" t="n">
        <v>1</v>
      </c>
      <c r="L35" s="64" t="inlineStr">
        <is>
          <t>B113</t>
        </is>
      </c>
      <c r="M35" s="63" t="n">
        <v>2021</v>
      </c>
      <c r="N35" s="63" t="inlineStr">
        <is>
          <t>10.23</t>
        </is>
      </c>
      <c r="O35" s="21" t="n">
        <v>60</v>
      </c>
      <c r="P35" s="63" t="inlineStr"/>
      <c r="Q35" s="21" t="n">
        <v>0</v>
      </c>
      <c r="R35" s="89" t="n">
        <v>40</v>
      </c>
      <c r="S35" s="89" t="n">
        <v>0.4</v>
      </c>
      <c r="T35" s="89" t="n">
        <v>0.6</v>
      </c>
      <c r="U35" s="89" t="n">
        <v>0</v>
      </c>
    </row>
    <row r="36">
      <c r="A36" s="63" t="inlineStr">
        <is>
          <t xml:space="preserve">U036 </t>
        </is>
      </c>
      <c r="B36" s="63" t="inlineStr">
        <is>
          <t xml:space="preserve">ADM. FACULTAD DE CIENCIAS ECONÓMICAS </t>
        </is>
      </c>
      <c r="C36" s="63" t="inlineStr">
        <is>
          <t xml:space="preserve">DOCTORADO EN EMPRESA, ECONOMÍA Y SOCIEDAD </t>
        </is>
      </c>
      <c r="D36" s="63" t="inlineStr">
        <is>
          <t xml:space="preserve">Sancha Vidal, Maria Jose </t>
        </is>
      </c>
      <c r="E36" s="63" t="inlineStr">
        <is>
          <t xml:space="preserve">Las familias adoptivas transraciales en España: un estudio sociológico con documentos personales </t>
        </is>
      </c>
      <c r="F36" s="63" t="inlineStr">
        <is>
          <t xml:space="preserve">09/06/2022 </t>
        </is>
      </c>
      <c r="G36" s="63" t="inlineStr">
        <is>
          <t xml:space="preserve">25128440C </t>
        </is>
      </c>
      <c r="H36" s="63" t="inlineStr">
        <is>
          <t xml:space="preserve">Director de tesis </t>
        </is>
      </c>
      <c r="I36" s="64" t="inlineStr">
        <is>
          <t xml:space="preserve">B179 </t>
        </is>
      </c>
      <c r="J36" s="63" t="inlineStr">
        <is>
          <t xml:space="preserve">SOCIOLOGÍA I </t>
        </is>
      </c>
      <c r="K36" s="64" t="n">
        <v>1</v>
      </c>
      <c r="L36" s="64" t="inlineStr">
        <is>
          <t>B179</t>
        </is>
      </c>
      <c r="M36" s="63" t="n">
        <v>2021</v>
      </c>
      <c r="N36" s="63" t="inlineStr">
        <is>
          <t>10.23</t>
        </is>
      </c>
      <c r="O36" s="21" t="n">
        <v>20</v>
      </c>
      <c r="P36" s="63" t="inlineStr"/>
      <c r="Q36" s="21" t="n">
        <v>0</v>
      </c>
      <c r="R36" s="89" t="n">
        <v>80</v>
      </c>
      <c r="S36" s="89" t="n">
        <v>0.8</v>
      </c>
      <c r="T36" s="89" t="n">
        <v>0.2</v>
      </c>
      <c r="U36" s="89" t="n">
        <v>0</v>
      </c>
    </row>
    <row r="37">
      <c r="A37" s="63" t="inlineStr">
        <is>
          <t xml:space="preserve">U044 </t>
        </is>
      </c>
      <c r="B37" s="63" t="inlineStr">
        <is>
          <t xml:space="preserve">ADM. FACULTAD DE CIENCIAS DE LA SALUD </t>
        </is>
      </c>
      <c r="C37" s="63" t="inlineStr">
        <is>
          <t xml:space="preserve">DOCTORADO EN CIENCIAS DE LA SALUD </t>
        </is>
      </c>
      <c r="D37" s="63" t="inlineStr">
        <is>
          <t xml:space="preserve">Boonekamp , Gwendolijn Margaretha Maria </t>
        </is>
      </c>
      <c r="E37" s="63" t="inlineStr">
        <is>
          <t xml:space="preserve">¿What moves us? Fostering the capability for lifelong physical activity by developing agency in students in secondary pre-vocational education schools in the Netherlands. </t>
        </is>
      </c>
      <c r="F37" s="63" t="inlineStr">
        <is>
          <t xml:space="preserve">01/04/2022 </t>
        </is>
      </c>
      <c r="G37" s="63" t="inlineStr">
        <is>
          <t xml:space="preserve">28555357Y </t>
        </is>
      </c>
      <c r="H37" s="63" t="inlineStr">
        <is>
          <t xml:space="preserve">Codirector de tesis </t>
        </is>
      </c>
      <c r="I37" s="64" t="inlineStr">
        <is>
          <t xml:space="preserve">B170 </t>
        </is>
      </c>
      <c r="J37" s="63" t="inlineStr">
        <is>
          <t xml:space="preserve">ENFERMERÍA COMUNITARIA, MEDICINA PREVENTIVA Y SALUD PÚBLICA </t>
        </is>
      </c>
      <c r="K37" s="64" t="n">
        <v>0.5</v>
      </c>
      <c r="L37" s="64" t="inlineStr">
        <is>
          <t>B170</t>
        </is>
      </c>
      <c r="M37" s="63" t="n">
        <v>2021</v>
      </c>
      <c r="N37" s="63" t="inlineStr">
        <is>
          <t>10.23</t>
        </is>
      </c>
      <c r="O37" s="21" t="n">
        <v>20</v>
      </c>
      <c r="P37" s="63" t="inlineStr"/>
      <c r="Q37" s="21" t="n">
        <v>0</v>
      </c>
      <c r="R37" s="89" t="n">
        <v>80</v>
      </c>
      <c r="S37" s="89" t="n">
        <v>0.4</v>
      </c>
      <c r="T37" s="89" t="n">
        <v>0.1</v>
      </c>
      <c r="U37" s="89" t="n">
        <v>0</v>
      </c>
    </row>
    <row r="38">
      <c r="A38" s="63" t="inlineStr">
        <is>
          <t xml:space="preserve">U044 </t>
        </is>
      </c>
      <c r="B38" s="63" t="inlineStr">
        <is>
          <t xml:space="preserve">ADM. FACULTAD DE CIENCIAS DE LA SALUD </t>
        </is>
      </c>
      <c r="C38" s="63" t="inlineStr">
        <is>
          <t xml:space="preserve">DOCTORADO EN CIENCIAS DE LA SALUD </t>
        </is>
      </c>
      <c r="D38" s="63" t="inlineStr">
        <is>
          <t xml:space="preserve">Pérez Wilson, Patricia Andrea </t>
        </is>
      </c>
      <c r="E38" s="63" t="inlineStr">
        <is>
          <t xml:space="preserve">Salutogénesis y activos en salud: ventanas de oportunidad para el fortalecimiento de la estrategia de universidades promotoras de salud. </t>
        </is>
      </c>
      <c r="F38" s="63" t="inlineStr">
        <is>
          <t xml:space="preserve">11/03/2022 </t>
        </is>
      </c>
      <c r="G38" s="63" t="inlineStr">
        <is>
          <t xml:space="preserve">28555357Y </t>
        </is>
      </c>
      <c r="H38" s="63" t="inlineStr">
        <is>
          <t xml:space="preserve">Codirector de tesis </t>
        </is>
      </c>
      <c r="I38" s="64" t="inlineStr">
        <is>
          <t xml:space="preserve">B170 </t>
        </is>
      </c>
      <c r="J38" s="63" t="inlineStr">
        <is>
          <t xml:space="preserve">ENFERMERÍA COMUNITARIA, MEDICINA PREVENTIVA Y SALUD PÚBLICA </t>
        </is>
      </c>
      <c r="K38" s="64" t="n">
        <v>0.5</v>
      </c>
      <c r="L38" s="64" t="inlineStr">
        <is>
          <t>B170</t>
        </is>
      </c>
      <c r="M38" s="63" t="n">
        <v>2021</v>
      </c>
      <c r="N38" s="63" t="inlineStr">
        <is>
          <t>10.23</t>
        </is>
      </c>
      <c r="O38" s="21" t="n">
        <v>20</v>
      </c>
      <c r="P38" s="63" t="inlineStr"/>
      <c r="Q38" s="21" t="n">
        <v>0</v>
      </c>
      <c r="R38" s="89" t="n">
        <v>80</v>
      </c>
      <c r="S38" s="89" t="n">
        <v>0.4</v>
      </c>
      <c r="T38" s="89" t="n">
        <v>0.1</v>
      </c>
      <c r="U38" s="89" t="n">
        <v>0</v>
      </c>
    </row>
    <row r="39">
      <c r="A39" s="63" t="inlineStr">
        <is>
          <t xml:space="preserve">U073 </t>
        </is>
      </c>
      <c r="B39" s="63" t="inlineStr">
        <is>
          <t xml:space="preserve">ADM. I.U. INVESTIGACIÓN DE ESTUDIOS DE GÉNERO </t>
        </is>
      </c>
      <c r="C39" s="63" t="inlineStr">
        <is>
          <t xml:space="preserve">DOCTORADO EN ESTUDIOS INTERDISCIPLINARES DE GÉNERO </t>
        </is>
      </c>
      <c r="D39" s="63" t="inlineStr">
        <is>
          <t xml:space="preserve">Ávila Martínez, María Teresa </t>
        </is>
      </c>
      <c r="E39" s="63" t="inlineStr">
        <is>
          <t xml:space="preserve">Una viajera con nombre propio: Lady Elizabeth Holland y sus cuadernos hispanos </t>
        </is>
      </c>
      <c r="F39" s="63" t="inlineStr">
        <is>
          <t xml:space="preserve">27/05/2022 </t>
        </is>
      </c>
      <c r="G39" s="63" t="inlineStr">
        <is>
          <t xml:space="preserve">50283950Q </t>
        </is>
      </c>
      <c r="H39" s="63" t="inlineStr">
        <is>
          <t xml:space="preserve">Director de tesis </t>
        </is>
      </c>
      <c r="I39" s="64" t="inlineStr">
        <is>
          <t xml:space="preserve">B174 </t>
        </is>
      </c>
      <c r="J39" s="63" t="inlineStr">
        <is>
          <t xml:space="preserve">HISTORIA MEDIEVAL, HISTORIA MODERNA Y CIENCIAS Y TÉCNICAS HISTORIOGRÀFICAS </t>
        </is>
      </c>
      <c r="K39" s="64" t="n">
        <v>1</v>
      </c>
      <c r="L39" s="64" t="inlineStr">
        <is>
          <t>B174</t>
        </is>
      </c>
      <c r="M39" s="63" t="n">
        <v>2021</v>
      </c>
      <c r="N39" s="63" t="inlineStr">
        <is>
          <t>10.23</t>
        </is>
      </c>
      <c r="O39" s="21" t="n">
        <v>60</v>
      </c>
      <c r="P39" s="63" t="inlineStr"/>
      <c r="Q39" s="21" t="n">
        <v>0</v>
      </c>
      <c r="R39" s="89" t="n">
        <v>40</v>
      </c>
      <c r="S39" s="89" t="n">
        <v>0.4</v>
      </c>
      <c r="T39" s="89" t="n">
        <v>0.6</v>
      </c>
      <c r="U39" s="89" t="n">
        <v>0</v>
      </c>
    </row>
    <row r="40">
      <c r="A40" s="63" t="inlineStr">
        <is>
          <t xml:space="preserve">U073 </t>
        </is>
      </c>
      <c r="B40" s="63" t="inlineStr">
        <is>
          <t xml:space="preserve">ADM. I.U. INVESTIGACIÓN DE ESTUDIOS DE GÉNERO </t>
        </is>
      </c>
      <c r="C40" s="63" t="inlineStr">
        <is>
          <t xml:space="preserve">DOCTORADO EN ESTUDIOS INTERDISCIPLINARES DE GÉNERO </t>
        </is>
      </c>
      <c r="D40" s="63" t="inlineStr">
        <is>
          <t xml:space="preserve">Corona Verdú, Rafael </t>
        </is>
      </c>
      <c r="E40" s="63" t="inlineStr">
        <is>
          <t xml:space="preserve">Viri ac mulieres ludentes. Los hábitos higiénicos y los juegos recreativos como elementos articuladores del hecho deportivo en la España Moderna (1700-1812) </t>
        </is>
      </c>
      <c r="F40" s="63" t="inlineStr">
        <is>
          <t xml:space="preserve">25/07/2022 </t>
        </is>
      </c>
      <c r="G40" s="63" t="inlineStr">
        <is>
          <t xml:space="preserve">50283950Q </t>
        </is>
      </c>
      <c r="H40" s="63" t="inlineStr">
        <is>
          <t xml:space="preserve">Director de tesis </t>
        </is>
      </c>
      <c r="I40" s="64" t="inlineStr">
        <is>
          <t xml:space="preserve">B174 </t>
        </is>
      </c>
      <c r="J40" s="63" t="inlineStr">
        <is>
          <t xml:space="preserve">HISTORIA MEDIEVAL, HISTORIA MODERNA Y CIENCIAS Y TÉCNICAS HISTORIOGRÀFICAS </t>
        </is>
      </c>
      <c r="K40" s="64" t="n">
        <v>1</v>
      </c>
      <c r="L40" s="64" t="inlineStr">
        <is>
          <t>B174</t>
        </is>
      </c>
      <c r="M40" s="63" t="n">
        <v>2021</v>
      </c>
      <c r="N40" s="63" t="inlineStr">
        <is>
          <t>10.23</t>
        </is>
      </c>
      <c r="O40" s="21" t="n">
        <v>60</v>
      </c>
      <c r="P40" s="63" t="inlineStr"/>
      <c r="Q40" s="21" t="n">
        <v>0</v>
      </c>
      <c r="R40" s="89" t="n">
        <v>40</v>
      </c>
      <c r="S40" s="89" t="n">
        <v>0.4</v>
      </c>
      <c r="T40" s="89" t="n">
        <v>0.6</v>
      </c>
      <c r="U40" s="89" t="n">
        <v>0</v>
      </c>
    </row>
    <row r="41">
      <c r="A41" s="63" t="inlineStr">
        <is>
          <t xml:space="preserve">U023 </t>
        </is>
      </c>
      <c r="B41" s="63" t="inlineStr">
        <is>
          <t xml:space="preserve">ADM. FACULTAD DE FILOSOFIA Y LETRAS </t>
        </is>
      </c>
      <c r="C41" s="63" t="inlineStr">
        <is>
          <t xml:space="preserve">DOCTORADO EN FILOSOFÍA Y LETRAS </t>
        </is>
      </c>
      <c r="D41" s="63" t="inlineStr">
        <is>
          <t xml:space="preserve">Robin , Mathilde </t>
        </is>
      </c>
      <c r="E41" s="63" t="inlineStr">
        <is>
          <t xml:space="preserve">Des opéras de Jules Massenet et ses librettistes à leurs palimpsestes littéraires français: étude comparatiste et esthétique de la femme au sein de la transmodalisation. </t>
        </is>
      </c>
      <c r="F41" s="63" t="inlineStr">
        <is>
          <t xml:space="preserve">16/09/2022 </t>
        </is>
      </c>
      <c r="G41" s="63" t="inlineStr">
        <is>
          <t xml:space="preserve">21471389S </t>
        </is>
      </c>
      <c r="H41" s="63" t="inlineStr">
        <is>
          <t xml:space="preserve">Director de tesis </t>
        </is>
      </c>
      <c r="I41" s="64" t="inlineStr">
        <is>
          <t xml:space="preserve">B114 </t>
        </is>
      </c>
      <c r="J41" s="63" t="inlineStr">
        <is>
          <t xml:space="preserve">FILOLOGIAS INTEGRADAS </t>
        </is>
      </c>
      <c r="K41" s="41" t="n">
        <v>1</v>
      </c>
      <c r="L41" s="41" t="inlineStr">
        <is>
          <t>B114</t>
        </is>
      </c>
      <c r="M41" s="63" t="n">
        <v>2021</v>
      </c>
      <c r="N41" s="41" t="inlineStr">
        <is>
          <t>10.23</t>
        </is>
      </c>
      <c r="O41" s="41" t="n">
        <v>20</v>
      </c>
      <c r="P41" s="41" t="inlineStr"/>
      <c r="Q41" s="41" t="n">
        <v>0</v>
      </c>
      <c r="R41" s="90" t="n">
        <v>80</v>
      </c>
      <c r="S41" s="90" t="n">
        <v>0.8</v>
      </c>
      <c r="T41" s="90" t="n">
        <v>0.2</v>
      </c>
      <c r="U41" s="90" t="n">
        <v>0</v>
      </c>
    </row>
    <row r="42">
      <c r="A42" s="63" t="inlineStr">
        <is>
          <t xml:space="preserve">B112 </t>
        </is>
      </c>
      <c r="B42" s="63" t="inlineStr">
        <is>
          <t xml:space="preserve">DIDACTICA GENERAL Y DIDÁCTICAS ESPECÍFICAS </t>
        </is>
      </c>
      <c r="C42" s="63" t="inlineStr">
        <is>
          <t xml:space="preserve">DOCTORADO EN INVESTIGACIÓN EDUCATIVA </t>
        </is>
      </c>
      <c r="D42" s="63" t="inlineStr">
        <is>
          <t>Martínez Loza, Rommel Esteban</t>
        </is>
      </c>
      <c r="E42" s="63" t="inlineStr">
        <is>
          <t xml:space="preserve">LA FORMACIÓN DEL PROFESORADO DE LA UNIVERSIDAD CENTRAL DEL ECUADOR Y SU REPERCUSIÓN EN LA DOCENCIA </t>
        </is>
      </c>
      <c r="F42" s="63" t="inlineStr">
        <is>
          <t xml:space="preserve">31/03/2023 </t>
        </is>
      </c>
      <c r="G42" s="63" t="inlineStr">
        <is>
          <t xml:space="preserve">48769418B </t>
        </is>
      </c>
      <c r="H42" s="63" t="inlineStr">
        <is>
          <t xml:space="preserve">Director de tesis </t>
        </is>
      </c>
      <c r="I42" s="64" t="inlineStr">
        <is>
          <t xml:space="preserve">B112 </t>
        </is>
      </c>
      <c r="J42" s="63" t="inlineStr">
        <is>
          <t xml:space="preserve">DIDACTICA GENERAL Y DIDÁCTICAS ESPECÍFICAS </t>
        </is>
      </c>
      <c r="K42" s="41" t="n">
        <v>1</v>
      </c>
      <c r="L42" s="41" t="inlineStr">
        <is>
          <t>B112</t>
        </is>
      </c>
      <c r="M42" s="63" t="n">
        <v>2022</v>
      </c>
      <c r="N42" s="41" t="inlineStr">
        <is>
          <t>10.23</t>
        </is>
      </c>
      <c r="O42" s="41" t="n">
        <v>30</v>
      </c>
      <c r="P42" s="41" t="inlineStr">
        <is>
          <t>10.25</t>
        </is>
      </c>
      <c r="Q42" s="41" t="n">
        <v>30</v>
      </c>
      <c r="R42" s="90" t="n">
        <v>40</v>
      </c>
      <c r="S42" s="90" t="n">
        <v>0.4</v>
      </c>
      <c r="T42" s="90" t="n">
        <v>0.3</v>
      </c>
      <c r="U42" s="90" t="n">
        <v>0.3</v>
      </c>
    </row>
    <row r="43">
      <c r="A43" s="63" t="inlineStr">
        <is>
          <t xml:space="preserve">B112 </t>
        </is>
      </c>
      <c r="B43" s="63" t="inlineStr">
        <is>
          <t xml:space="preserve">DIDACTICA GENERAL Y DIDÁCTICAS ESPECÍFICAS </t>
        </is>
      </c>
      <c r="C43" s="63" t="inlineStr">
        <is>
          <t xml:space="preserve">DOCTORADO EN INVESTIGACIÓN EDUCATIVA </t>
        </is>
      </c>
      <c r="D43" s="63" t="inlineStr">
        <is>
          <t>Soler Ortiz, Seila Aixa</t>
        </is>
      </c>
      <c r="E43" s="63" t="inlineStr">
        <is>
          <t xml:space="preserve">La educación en Alicante durante el primer tercio del siglo XX: las memorias técnicas como objeto de estudio en un período de transición hacia la graduación escolar. </t>
        </is>
      </c>
      <c r="F43" s="63" t="inlineStr">
        <is>
          <t xml:space="preserve">11/07/2023 </t>
        </is>
      </c>
      <c r="G43" s="63" t="inlineStr">
        <is>
          <t xml:space="preserve">48769418B </t>
        </is>
      </c>
      <c r="H43" s="63" t="inlineStr">
        <is>
          <t xml:space="preserve">Codirector de tesis </t>
        </is>
      </c>
      <c r="I43" s="64" t="inlineStr">
        <is>
          <t xml:space="preserve">B112 </t>
        </is>
      </c>
      <c r="J43" s="63" t="inlineStr">
        <is>
          <t xml:space="preserve">DIDACTICA GENERAL Y DIDÁCTICAS ESPECÍFICAS </t>
        </is>
      </c>
      <c r="K43" s="41" t="n">
        <v>0.5</v>
      </c>
      <c r="L43" s="41" t="inlineStr">
        <is>
          <t>B112</t>
        </is>
      </c>
      <c r="M43" s="63" t="n">
        <v>2022</v>
      </c>
      <c r="N43" s="41" t="inlineStr">
        <is>
          <t>10.23</t>
        </is>
      </c>
      <c r="O43" s="41" t="n">
        <v>30</v>
      </c>
      <c r="P43" s="41" t="inlineStr">
        <is>
          <t>10.25</t>
        </is>
      </c>
      <c r="Q43" s="41" t="n">
        <v>30</v>
      </c>
      <c r="R43" s="90" t="n">
        <v>40</v>
      </c>
      <c r="S43" s="90" t="n">
        <v>0.2</v>
      </c>
      <c r="T43" s="90" t="n">
        <v>0.15</v>
      </c>
      <c r="U43" s="90" t="n">
        <v>0.15</v>
      </c>
    </row>
    <row r="44">
      <c r="A44" s="63" t="inlineStr">
        <is>
          <t xml:space="preserve">B172 </t>
        </is>
      </c>
      <c r="B44" s="63" t="inlineStr">
        <is>
          <t xml:space="preserve">TRADUCCIÓN E INTERPRETACIÓN </t>
        </is>
      </c>
      <c r="C44" s="63" t="inlineStr">
        <is>
          <t xml:space="preserve">DOCTORADO EN TRADUCTOLOGÍA, TRADUCCIÓN PROFESIONAL Y AUDIOVISUAL </t>
        </is>
      </c>
      <c r="D44" s="63" t="inlineStr">
        <is>
          <t>Chbab El Fakhi, Habiba</t>
        </is>
      </c>
      <c r="E44" s="63" t="inlineStr">
        <is>
          <t xml:space="preserve">Los neologismos médicos traducidos del inglés al árabe. </t>
        </is>
      </c>
      <c r="F44" s="63" t="inlineStr">
        <is>
          <t xml:space="preserve">19/12/2022 </t>
        </is>
      </c>
      <c r="G44" s="63" t="inlineStr">
        <is>
          <t xml:space="preserve">21474507M </t>
        </is>
      </c>
      <c r="H44" s="63" t="inlineStr">
        <is>
          <t xml:space="preserve">Codirector de tesis </t>
        </is>
      </c>
      <c r="I44" s="64" t="inlineStr">
        <is>
          <t xml:space="preserve">B114 </t>
        </is>
      </c>
      <c r="J44" s="63" t="inlineStr">
        <is>
          <t xml:space="preserve">FILOLOGIAS INTEGRADAS </t>
        </is>
      </c>
      <c r="K44" s="41" t="n">
        <v>0.5</v>
      </c>
      <c r="L44" s="41" t="inlineStr">
        <is>
          <t>B114</t>
        </is>
      </c>
      <c r="M44" s="63" t="n">
        <v>2022</v>
      </c>
      <c r="N44" s="41" t="inlineStr">
        <is>
          <t>10.23</t>
        </is>
      </c>
      <c r="O44" s="41" t="n">
        <v>20</v>
      </c>
      <c r="P44" s="41" t="inlineStr"/>
      <c r="Q44" s="41" t="n">
        <v>0</v>
      </c>
      <c r="R44" s="90" t="n">
        <v>80</v>
      </c>
      <c r="S44" s="90" t="n">
        <v>0.4</v>
      </c>
      <c r="T44" s="90" t="n">
        <v>0.1</v>
      </c>
      <c r="U44" s="90" t="n">
        <v>0</v>
      </c>
    </row>
    <row r="45">
      <c r="A45" s="63" t="inlineStr">
        <is>
          <t xml:space="preserve">B177 </t>
        </is>
      </c>
      <c r="B45" s="63" t="inlineStr">
        <is>
          <t xml:space="preserve">PSICOLOGÍA EVOLUTIVA Y DIDÁCTICA </t>
        </is>
      </c>
      <c r="C45" s="63" t="inlineStr">
        <is>
          <t xml:space="preserve">DOCTORADO EN INVESTIGACIÓN EDUCATIVA </t>
        </is>
      </c>
      <c r="D45" s="63" t="inlineStr">
        <is>
          <t>Borja Naranjo, Germania Maricela</t>
        </is>
      </c>
      <c r="E45" s="63" t="inlineStr">
        <is>
          <t xml:space="preserve">LOS ESTEREOTIPOS SEXISTAS EN EL LENGUAJE DEL ESTUDIANTADO Y DEL PROFESORADO DE LA CARRERA DE PEDAGOGÍA DE LA LENGUA Y LA LITERATURA DE LA UNIVERSIDAD CENTRAL DEL ECUADOR </t>
        </is>
      </c>
      <c r="F45" s="63" t="inlineStr">
        <is>
          <t xml:space="preserve">31/03/2023 </t>
        </is>
      </c>
      <c r="G45" s="63" t="inlineStr">
        <is>
          <t xml:space="preserve">48769418B </t>
        </is>
      </c>
      <c r="H45" s="63" t="inlineStr">
        <is>
          <t xml:space="preserve">Codirector de tesis </t>
        </is>
      </c>
      <c r="I45" s="64" t="inlineStr">
        <is>
          <t xml:space="preserve">B112 </t>
        </is>
      </c>
      <c r="J45" s="63" t="inlineStr">
        <is>
          <t xml:space="preserve">DIDACTICA GENERAL Y DIDÁCTICAS ESPECÍFICAS </t>
        </is>
      </c>
      <c r="K45" s="41" t="n">
        <v>0.5</v>
      </c>
      <c r="L45" s="41" t="inlineStr">
        <is>
          <t>B112</t>
        </is>
      </c>
      <c r="M45" s="63" t="n">
        <v>2022</v>
      </c>
      <c r="N45" s="41" t="inlineStr">
        <is>
          <t>10.23</t>
        </is>
      </c>
      <c r="O45" s="41" t="n">
        <v>30</v>
      </c>
      <c r="P45" s="41" t="inlineStr">
        <is>
          <t>10.25</t>
        </is>
      </c>
      <c r="Q45" s="41" t="n">
        <v>30</v>
      </c>
      <c r="R45" s="90" t="n">
        <v>40</v>
      </c>
      <c r="S45" s="90" t="n">
        <v>0.2</v>
      </c>
      <c r="T45" s="90" t="n">
        <v>0.15</v>
      </c>
      <c r="U45" s="90" t="n">
        <v>0.15</v>
      </c>
    </row>
    <row r="46">
      <c r="A46" s="63" t="inlineStr">
        <is>
          <t xml:space="preserve">B177 </t>
        </is>
      </c>
      <c r="B46" s="63" t="inlineStr">
        <is>
          <t xml:space="preserve">PSICOLOGÍA EVOLUTIVA Y DIDÁCTICA </t>
        </is>
      </c>
      <c r="C46" s="63" t="inlineStr">
        <is>
          <t xml:space="preserve">DOCTORADO EN INVESTIGACIÓN EDUCATIVA </t>
        </is>
      </c>
      <c r="D46" s="63" t="inlineStr">
        <is>
          <t>Borja Naranjo, Germania Maricela</t>
        </is>
      </c>
      <c r="E46" s="63" t="inlineStr">
        <is>
          <t xml:space="preserve">LOS ESTEREOTIPOS SEXISTAS EN EL LENGUAJE DEL ESTUDIANTADO Y DEL PROFESORADO DE LA CARRERA DE PEDAGOGÍA DE LA LENGUA Y LA LITERATURA DE LA UNIVERSIDAD CENTRAL DEL ECUADOR </t>
        </is>
      </c>
      <c r="F46" s="63" t="inlineStr">
        <is>
          <t xml:space="preserve">31/03/2023 </t>
        </is>
      </c>
      <c r="G46" s="63" t="inlineStr">
        <is>
          <t xml:space="preserve">21484456H </t>
        </is>
      </c>
      <c r="H46" s="63" t="inlineStr">
        <is>
          <t xml:space="preserve">Codirector de tesis </t>
        </is>
      </c>
      <c r="I46" s="64" t="inlineStr">
        <is>
          <t xml:space="preserve">B112 </t>
        </is>
      </c>
      <c r="J46" s="63" t="inlineStr">
        <is>
          <t xml:space="preserve">DIDACTICA GENERAL Y DIDÁCTICAS ESPECÍFICAS </t>
        </is>
      </c>
      <c r="K46" s="41" t="n">
        <v>0.5</v>
      </c>
      <c r="L46" s="41" t="inlineStr">
        <is>
          <t>B112</t>
        </is>
      </c>
      <c r="M46" s="63" t="n">
        <v>2022</v>
      </c>
      <c r="N46" s="41" t="inlineStr">
        <is>
          <t>10.23</t>
        </is>
      </c>
      <c r="O46" s="41" t="n">
        <v>20</v>
      </c>
      <c r="P46" s="41" t="inlineStr"/>
      <c r="Q46" s="41" t="n">
        <v>0</v>
      </c>
      <c r="R46" s="90" t="n">
        <v>80</v>
      </c>
      <c r="S46" s="90" t="n">
        <v>0.4</v>
      </c>
      <c r="T46" s="90" t="n">
        <v>0.1</v>
      </c>
      <c r="U46" s="90" t="n">
        <v>0</v>
      </c>
    </row>
    <row r="47">
      <c r="A47" s="63" t="inlineStr">
        <is>
          <t xml:space="preserve">B185 </t>
        </is>
      </c>
      <c r="B47" s="63" t="inlineStr">
        <is>
          <t xml:space="preserve">INGENIERÍA CIVIL </t>
        </is>
      </c>
      <c r="C47" s="63" t="inlineStr">
        <is>
          <t xml:space="preserve">DOCTORADO EN INGENIERÍA DE MATERIALES, ESTRUCTURAS Y TERRENO: CONSTR. SOST. </t>
        </is>
      </c>
      <c r="D47" s="63" t="inlineStr">
        <is>
          <t>Díaz García, Asunción</t>
        </is>
      </c>
      <c r="E47" s="63" t="inlineStr">
        <is>
          <t xml:space="preserve">L CONCURSO DE ARQUITECTURA COMO IMAGINARIO SISTÉMICO: Un fragmento de la cultura arquitectónica española (1950-200X) </t>
        </is>
      </c>
      <c r="F47" s="63" t="inlineStr">
        <is>
          <t xml:space="preserve">18/11/2022 </t>
        </is>
      </c>
      <c r="G47" s="63" t="inlineStr">
        <is>
          <t xml:space="preserve">34819244G </t>
        </is>
      </c>
      <c r="H47" s="63" t="inlineStr">
        <is>
          <t xml:space="preserve">Codirector de tesis </t>
        </is>
      </c>
      <c r="I47" s="64" t="inlineStr">
        <is>
          <t xml:space="preserve">B187 </t>
        </is>
      </c>
      <c r="J47" s="63" t="inlineStr">
        <is>
          <t xml:space="preserve">EXPRESION GRAFICA, COMPOSICIÓN Y PROYECTOS </t>
        </is>
      </c>
      <c r="K47" s="41" t="n">
        <v>0.5</v>
      </c>
      <c r="L47" s="41" t="inlineStr">
        <is>
          <t>B187</t>
        </is>
      </c>
      <c r="M47" s="63" t="n">
        <v>2022</v>
      </c>
      <c r="N47" s="41" t="inlineStr">
        <is>
          <t>10.23</t>
        </is>
      </c>
      <c r="O47" s="41" t="n">
        <v>50</v>
      </c>
      <c r="P47" s="41" t="inlineStr"/>
      <c r="Q47" s="41" t="n">
        <v>0</v>
      </c>
      <c r="R47" s="90" t="n">
        <v>50</v>
      </c>
      <c r="S47" s="90" t="n">
        <v>0.25</v>
      </c>
      <c r="T47" s="90" t="n">
        <v>0.25</v>
      </c>
      <c r="U47" s="90" t="n">
        <v>0</v>
      </c>
    </row>
    <row r="48">
      <c r="A48" s="63" t="inlineStr">
        <is>
          <t xml:space="preserve">U023 </t>
        </is>
      </c>
      <c r="B48" s="63" t="inlineStr">
        <is>
          <t xml:space="preserve">ADM. FACULTAD DE FILOSOFIA Y LETRAS </t>
        </is>
      </c>
      <c r="C48" s="63" t="inlineStr">
        <is>
          <t xml:space="preserve">DOCTORADO EN FILOSOFÍA Y LETRAS </t>
        </is>
      </c>
      <c r="D48" s="63" t="inlineStr">
        <is>
          <t>Lorenzo Álvarez, Carolina</t>
        </is>
      </c>
      <c r="E48" s="63" t="inlineStr">
        <is>
          <t xml:space="preserve">Estudio de la percepción social sobre comportamientos considerados corruptos y/o éticamente reprobables en la política desde una perspectiva de género. </t>
        </is>
      </c>
      <c r="F48" s="63" t="inlineStr">
        <is>
          <t xml:space="preserve">12/09/2023 </t>
        </is>
      </c>
      <c r="G48" s="63" t="inlineStr">
        <is>
          <t xml:space="preserve">21490870S </t>
        </is>
      </c>
      <c r="H48" s="63" t="inlineStr">
        <is>
          <t xml:space="preserve">Director de tesis </t>
        </is>
      </c>
      <c r="I48" s="64" t="inlineStr">
        <is>
          <t xml:space="preserve">B175 </t>
        </is>
      </c>
      <c r="J48" s="63" t="inlineStr">
        <is>
          <t xml:space="preserve">COMUNICACIÓN Y PSICOLOGÍA SOCIAL </t>
        </is>
      </c>
      <c r="K48" s="41" t="n">
        <v>1</v>
      </c>
      <c r="L48" s="41" t="inlineStr">
        <is>
          <t>B175</t>
        </is>
      </c>
      <c r="M48" s="63" t="n">
        <v>2022</v>
      </c>
      <c r="N48" s="41" t="inlineStr">
        <is>
          <t>10.23</t>
        </is>
      </c>
      <c r="O48" s="41" t="n">
        <v>20</v>
      </c>
      <c r="P48" s="41" t="inlineStr">
        <is>
          <t>10.25</t>
        </is>
      </c>
      <c r="Q48" s="41" t="n">
        <v>30</v>
      </c>
      <c r="R48" s="90" t="n">
        <v>50</v>
      </c>
      <c r="S48" s="90" t="n">
        <v>0.5</v>
      </c>
      <c r="T48" s="90" t="n">
        <v>0.2</v>
      </c>
      <c r="U48" s="90" t="n">
        <v>0.3</v>
      </c>
    </row>
    <row r="49">
      <c r="A49" s="63" t="inlineStr">
        <is>
          <t xml:space="preserve">U023 </t>
        </is>
      </c>
      <c r="B49" s="63" t="inlineStr">
        <is>
          <t xml:space="preserve">ADM. FACULTAD DE FILOSOFIA Y LETRAS </t>
        </is>
      </c>
      <c r="C49" s="63" t="inlineStr">
        <is>
          <t xml:space="preserve">DOCTORADO EN FILOSOFÍA Y LETRAS </t>
        </is>
      </c>
      <c r="D49" s="63" t="inlineStr">
        <is>
          <t>Ropero Mérida, Antonio</t>
        </is>
      </c>
      <c r="E49" s="63" t="inlineStr">
        <is>
          <t xml:space="preserve">"Y si valer no pudiere por testamento, valga por codicilo". La cultura de la muerte en Alicante durante el Setecientos. </t>
        </is>
      </c>
      <c r="F49" s="63" t="inlineStr">
        <is>
          <t xml:space="preserve">27/01/2023 </t>
        </is>
      </c>
      <c r="G49" s="63" t="inlineStr">
        <is>
          <t xml:space="preserve">21466262V </t>
        </is>
      </c>
      <c r="H49" s="63" t="inlineStr">
        <is>
          <t xml:space="preserve">Director de tesis </t>
        </is>
      </c>
      <c r="I49" s="64" t="inlineStr">
        <is>
          <t xml:space="preserve">B174 </t>
        </is>
      </c>
      <c r="J49" s="63" t="inlineStr">
        <is>
          <t xml:space="preserve">HISTORIA MEDIEVAL, HISTORIA MODERNA Y CIENCIAS Y TÉCNICAS HISTORIOGRÀFICAS </t>
        </is>
      </c>
      <c r="K49" s="41" t="n">
        <v>1</v>
      </c>
      <c r="L49" s="41" t="inlineStr">
        <is>
          <t>B174</t>
        </is>
      </c>
      <c r="M49" s="63" t="n">
        <v>2022</v>
      </c>
      <c r="N49" s="41" t="inlineStr">
        <is>
          <t>10.23</t>
        </is>
      </c>
      <c r="O49" s="41" t="n">
        <v>20</v>
      </c>
      <c r="P49" s="41" t="inlineStr"/>
      <c r="Q49" s="41" t="n">
        <v>0</v>
      </c>
      <c r="R49" s="90" t="n">
        <v>80</v>
      </c>
      <c r="S49" s="90" t="n">
        <v>0.8</v>
      </c>
      <c r="T49" s="90" t="n">
        <v>0.2</v>
      </c>
      <c r="U49" s="90" t="n">
        <v>0</v>
      </c>
    </row>
    <row r="50">
      <c r="A50" s="63" t="inlineStr">
        <is>
          <t xml:space="preserve">U023 </t>
        </is>
      </c>
      <c r="B50" s="63" t="inlineStr">
        <is>
          <t xml:space="preserve">ADM. FACULTAD DE FILOSOFIA Y LETRAS </t>
        </is>
      </c>
      <c r="C50" s="63" t="inlineStr">
        <is>
          <t xml:space="preserve">DOCTORADO EN FILOSOFÍA Y LETRAS </t>
        </is>
      </c>
      <c r="D50" s="63" t="inlineStr">
        <is>
          <t>Aldama Juarez, Begoña</t>
        </is>
      </c>
      <c r="E50" s="63" t="inlineStr">
        <is>
          <t xml:space="preserve">La narrativa existencialista de las autoras españolas en la década de 1950. </t>
        </is>
      </c>
      <c r="F50" s="63" t="inlineStr">
        <is>
          <t xml:space="preserve">26/01/2023 </t>
        </is>
      </c>
      <c r="G50" s="63" t="inlineStr">
        <is>
          <t xml:space="preserve">21473357M </t>
        </is>
      </c>
      <c r="H50" s="63" t="inlineStr">
        <is>
          <t xml:space="preserve">Director de tesis </t>
        </is>
      </c>
      <c r="I50" s="64" t="inlineStr">
        <is>
          <t xml:space="preserve">B115 </t>
        </is>
      </c>
      <c r="J50" s="63" t="inlineStr">
        <is>
          <t xml:space="preserve">FILOL. ESPAÑOLA, LINGÜÍSTICA GENERAL Y TEORIA DE LA LITERATURA </t>
        </is>
      </c>
      <c r="K50" s="41" t="n">
        <v>1</v>
      </c>
      <c r="L50" s="41" t="inlineStr">
        <is>
          <t>B115</t>
        </is>
      </c>
      <c r="M50" s="63" t="n">
        <v>2022</v>
      </c>
      <c r="N50" s="41" t="inlineStr">
        <is>
          <t>10.23</t>
        </is>
      </c>
      <c r="O50" s="41" t="n">
        <v>90</v>
      </c>
      <c r="P50" s="41" t="inlineStr"/>
      <c r="Q50" s="41" t="n">
        <v>0</v>
      </c>
      <c r="R50" s="90" t="n">
        <v>10</v>
      </c>
      <c r="S50" s="90" t="n">
        <v>0.1</v>
      </c>
      <c r="T50" s="90" t="n">
        <v>0.9</v>
      </c>
      <c r="U50" s="90" t="n">
        <v>0</v>
      </c>
    </row>
    <row r="51" ht="15" customHeight="1">
      <c r="A51" s="63" t="inlineStr">
        <is>
          <t xml:space="preserve">U025 </t>
        </is>
      </c>
      <c r="B51" s="63" t="inlineStr">
        <is>
          <t xml:space="preserve">ADM. FACULTAD DE DERECHO </t>
        </is>
      </c>
      <c r="C51" s="63" t="inlineStr">
        <is>
          <t xml:space="preserve">DOCTORADO EN DERECHO </t>
        </is>
      </c>
      <c r="D51" s="63" t="inlineStr">
        <is>
          <t>Casells Bonacho, Jose Luis</t>
        </is>
      </c>
      <c r="E51" s="63" t="inlineStr">
        <is>
          <t xml:space="preserve">Protección jurídico civil de los sujetos del ensayo clínico con medicamentos: mecanismos resarcitorios </t>
        </is>
      </c>
      <c r="F51" s="63" t="inlineStr">
        <is>
          <t xml:space="preserve">07/06/2023 </t>
        </is>
      </c>
      <c r="G51" s="63" t="inlineStr">
        <is>
          <t xml:space="preserve">21485458P </t>
        </is>
      </c>
      <c r="H51" s="63" t="inlineStr">
        <is>
          <t xml:space="preserve">Codirector de tesis </t>
        </is>
      </c>
      <c r="I51" s="64" t="inlineStr">
        <is>
          <t xml:space="preserve">B107 </t>
        </is>
      </c>
      <c r="J51" s="63" t="inlineStr">
        <is>
          <t xml:space="preserve">DERECHO CIVIL </t>
        </is>
      </c>
      <c r="K51" s="41" t="n">
        <v>0.5</v>
      </c>
      <c r="L51" s="41" t="inlineStr">
        <is>
          <t>B107</t>
        </is>
      </c>
      <c r="M51" s="63" t="n">
        <v>2022</v>
      </c>
      <c r="N51" s="41" t="inlineStr">
        <is>
          <t>10.23</t>
        </is>
      </c>
      <c r="O51" s="41" t="n">
        <v>20</v>
      </c>
      <c r="P51" s="41" t="inlineStr"/>
      <c r="Q51" s="41" t="n">
        <v>0</v>
      </c>
      <c r="R51" s="90" t="n">
        <v>80</v>
      </c>
      <c r="S51" s="90" t="n">
        <v>0.4</v>
      </c>
      <c r="T51" s="90" t="n">
        <v>0.1</v>
      </c>
      <c r="U51" s="90" t="n">
        <v>0</v>
      </c>
      <c r="V51" s="46" t="n"/>
      <c r="Y51" s="61" t="n"/>
    </row>
    <row r="52" ht="15" customHeight="1">
      <c r="A52" s="63" t="inlineStr">
        <is>
          <t xml:space="preserve">U044 </t>
        </is>
      </c>
      <c r="B52" s="63" t="inlineStr">
        <is>
          <t xml:space="preserve">ADM. FACULTAD DE CIENCIAS DE LA SALUD </t>
        </is>
      </c>
      <c r="C52" s="63" t="inlineStr">
        <is>
          <t xml:space="preserve">DOCTORADO EN CIENCIAS DE LA SALUD </t>
        </is>
      </c>
      <c r="D52" s="63" t="inlineStr">
        <is>
          <t>Bascur Castillo, Carolina Muriel</t>
        </is>
      </c>
      <c r="E52" s="63" t="inlineStr">
        <is>
          <t xml:space="preserve">DISFUNCIONES DEL SUELO PÉLVICO Y SU IMPACTO EN LA CALIDAD DE VIDA Y FUNCIÓN SEXUAL DE USUARIAS DEL SERVICIO DE SALUD CONCEPCIÓN </t>
        </is>
      </c>
      <c r="F52" s="63" t="inlineStr">
        <is>
          <t xml:space="preserve">13/03/2023 </t>
        </is>
      </c>
      <c r="G52" s="63" t="inlineStr">
        <is>
          <t xml:space="preserve">26186611F </t>
        </is>
      </c>
      <c r="H52" s="63" t="inlineStr">
        <is>
          <t xml:space="preserve">Codirector de tesis </t>
        </is>
      </c>
      <c r="I52" s="64" t="inlineStr">
        <is>
          <t xml:space="preserve">B170 </t>
        </is>
      </c>
      <c r="J52" s="63" t="inlineStr">
        <is>
          <t xml:space="preserve">ENFERMERÍA COMUNITARIA, MEDICINA PREVENTIVA Y SALUD PÚBLICA </t>
        </is>
      </c>
      <c r="K52" s="41" t="n">
        <v>0.5</v>
      </c>
      <c r="L52" s="41" t="inlineStr">
        <is>
          <t>B170</t>
        </is>
      </c>
      <c r="M52" s="63" t="n">
        <v>2022</v>
      </c>
      <c r="N52" s="41" t="inlineStr">
        <is>
          <t>10.23</t>
        </is>
      </c>
      <c r="O52" s="41" t="n">
        <v>50</v>
      </c>
      <c r="P52" s="41" t="inlineStr"/>
      <c r="Q52" s="41" t="n">
        <v>0</v>
      </c>
      <c r="R52" s="90" t="n">
        <v>50</v>
      </c>
      <c r="S52" s="90" t="n">
        <v>0.25</v>
      </c>
      <c r="T52" s="90" t="n">
        <v>0.25</v>
      </c>
      <c r="U52" s="90" t="n">
        <v>0</v>
      </c>
      <c r="Y52" s="61" t="n"/>
    </row>
    <row r="53" ht="15" customHeight="1">
      <c r="A53" s="63" t="inlineStr">
        <is>
          <t xml:space="preserve">U044 </t>
        </is>
      </c>
      <c r="B53" s="63" t="inlineStr">
        <is>
          <t xml:space="preserve">ADM. FACULTAD DE CIENCIAS DE LA SALUD </t>
        </is>
      </c>
      <c r="C53" s="63" t="inlineStr">
        <is>
          <t xml:space="preserve">DOCTORADO EN CIENCIAS DE LA SALUD </t>
        </is>
      </c>
      <c r="D53" s="63" t="inlineStr">
        <is>
          <t>Martos Casado, Gema</t>
        </is>
      </c>
      <c r="E53" s="63" t="inlineStr">
        <is>
          <t xml:space="preserve">La Intervención Comunitaria con personas afectadas por lepra en contextos endémicos. </t>
        </is>
      </c>
      <c r="F53" s="63" t="inlineStr">
        <is>
          <t xml:space="preserve">18/11/2022 </t>
        </is>
      </c>
      <c r="G53" s="63" t="inlineStr">
        <is>
          <t xml:space="preserve">48296836X </t>
        </is>
      </c>
      <c r="H53" s="63" t="inlineStr">
        <is>
          <t xml:space="preserve">Codirector de tesis </t>
        </is>
      </c>
      <c r="I53" s="64" t="inlineStr">
        <is>
          <t xml:space="preserve">B170 </t>
        </is>
      </c>
      <c r="J53" s="63" t="inlineStr">
        <is>
          <t xml:space="preserve">ENFERMERÍA COMUNITARIA, MEDICINA PREVENTIVA Y SALUD PÚBLICA </t>
        </is>
      </c>
      <c r="K53" s="41" t="n">
        <v>0.5</v>
      </c>
      <c r="L53" s="41" t="inlineStr">
        <is>
          <t>B170</t>
        </is>
      </c>
      <c r="M53" s="63" t="n">
        <v>2022</v>
      </c>
      <c r="N53" s="41" t="inlineStr">
        <is>
          <t>10.23</t>
        </is>
      </c>
      <c r="O53" s="41" t="n">
        <v>30</v>
      </c>
      <c r="P53" s="41" t="inlineStr"/>
      <c r="Q53" s="41" t="n">
        <v>0</v>
      </c>
      <c r="R53" s="90" t="n">
        <v>70</v>
      </c>
      <c r="S53" s="90" t="n">
        <v>0.35</v>
      </c>
      <c r="T53" s="90" t="n">
        <v>0.15</v>
      </c>
      <c r="U53" s="90" t="n">
        <v>0</v>
      </c>
      <c r="Y53" s="61" t="n"/>
    </row>
    <row r="54" ht="15" customHeight="1">
      <c r="A54" s="63" t="inlineStr">
        <is>
          <t xml:space="preserve">U044 </t>
        </is>
      </c>
      <c r="B54" s="63" t="inlineStr">
        <is>
          <t xml:space="preserve">ADM. FACULTAD DE CIENCIAS DE LA SALUD </t>
        </is>
      </c>
      <c r="C54" s="63" t="inlineStr">
        <is>
          <t xml:space="preserve">DOCTORADO EN CIENCIAS DE LA SALUD </t>
        </is>
      </c>
      <c r="D54" s="63" t="inlineStr">
        <is>
          <t>Martos Casado, Gema</t>
        </is>
      </c>
      <c r="E54" s="63" t="inlineStr">
        <is>
          <t xml:space="preserve">La Intervención Comunitaria con personas afectadas por lepra en contextos endémicos. </t>
        </is>
      </c>
      <c r="F54" s="63" t="inlineStr">
        <is>
          <t xml:space="preserve">18/11/2022 </t>
        </is>
      </c>
      <c r="G54" s="63" t="inlineStr">
        <is>
          <t xml:space="preserve">33492987L </t>
        </is>
      </c>
      <c r="H54" s="63" t="inlineStr">
        <is>
          <t xml:space="preserve">Codirector de tesis </t>
        </is>
      </c>
      <c r="I54" s="64" t="inlineStr">
        <is>
          <t xml:space="preserve">B170 </t>
        </is>
      </c>
      <c r="J54" s="63" t="inlineStr">
        <is>
          <t xml:space="preserve">ENFERMERÍA COMUNITARIA, MEDICINA PREVENTIVA Y SALUD PÚBLICA </t>
        </is>
      </c>
      <c r="K54" s="41" t="n">
        <v>0.5</v>
      </c>
      <c r="L54" s="41" t="inlineStr">
        <is>
          <t>B170</t>
        </is>
      </c>
      <c r="M54" s="63" t="n">
        <v>2022</v>
      </c>
      <c r="N54" s="41" t="inlineStr">
        <is>
          <t>10.23</t>
        </is>
      </c>
      <c r="O54" s="41" t="n">
        <v>20</v>
      </c>
      <c r="P54" s="41" t="inlineStr"/>
      <c r="Q54" s="41" t="n">
        <v>0</v>
      </c>
      <c r="R54" s="90" t="n">
        <v>80</v>
      </c>
      <c r="S54" s="90" t="n">
        <v>0.4</v>
      </c>
      <c r="T54" s="90" t="n">
        <v>0.1</v>
      </c>
      <c r="U54" s="90" t="n">
        <v>0</v>
      </c>
      <c r="Y54" s="61" t="n"/>
    </row>
    <row r="55" ht="15" customHeight="1">
      <c r="A55" s="63" t="inlineStr">
        <is>
          <t xml:space="preserve">U044 </t>
        </is>
      </c>
      <c r="B55" s="63" t="inlineStr">
        <is>
          <t xml:space="preserve">ADM. FACULTAD DE CIENCIAS DE LA SALUD </t>
        </is>
      </c>
      <c r="C55" s="63" t="inlineStr">
        <is>
          <t xml:space="preserve">DOCTORADO EN CIENCIAS DE LA SALUD </t>
        </is>
      </c>
      <c r="D55" s="63" t="inlineStr">
        <is>
          <t>Calleja Toledano, Paloma Ángela</t>
        </is>
      </c>
      <c r="E55" s="63" t="inlineStr">
        <is>
          <t xml:space="preserve">Funcionalidad y necesidades de cuidado y su relación con resultados en salud en pacientes complejos: estudio prospectivo en un hospital de media estancia </t>
        </is>
      </c>
      <c r="F55" s="63" t="inlineStr">
        <is>
          <t xml:space="preserve">24/03/2023 </t>
        </is>
      </c>
      <c r="G55" s="63" t="inlineStr">
        <is>
          <t xml:space="preserve">21487726E </t>
        </is>
      </c>
      <c r="H55" s="63" t="inlineStr">
        <is>
          <t xml:space="preserve">Codirector de tesis </t>
        </is>
      </c>
      <c r="I55" s="64" t="inlineStr">
        <is>
          <t xml:space="preserve">B170 </t>
        </is>
      </c>
      <c r="J55" s="63" t="inlineStr">
        <is>
          <t xml:space="preserve">ENFERMERÍA COMUNITARIA, MEDICINA PREVENTIVA Y SALUD PÚBLICA </t>
        </is>
      </c>
      <c r="K55" s="41" t="n">
        <v>0.5</v>
      </c>
      <c r="L55" s="41" t="inlineStr">
        <is>
          <t>B170</t>
        </is>
      </c>
      <c r="M55" s="63" t="n">
        <v>2022</v>
      </c>
      <c r="N55" s="41" t="inlineStr">
        <is>
          <t>10.23</t>
        </is>
      </c>
      <c r="O55" s="41" t="n">
        <v>20</v>
      </c>
      <c r="P55" s="41" t="inlineStr"/>
      <c r="Q55" s="41" t="n">
        <v>0</v>
      </c>
      <c r="R55" s="90" t="n">
        <v>80</v>
      </c>
      <c r="S55" s="90" t="n">
        <v>0.4</v>
      </c>
      <c r="T55" s="90" t="n">
        <v>0.1</v>
      </c>
      <c r="U55" s="90" t="n">
        <v>0</v>
      </c>
      <c r="Y55" s="61" t="n"/>
    </row>
    <row r="56" ht="15" customHeight="1">
      <c r="A56" s="63" t="inlineStr">
        <is>
          <t xml:space="preserve">U073 </t>
        </is>
      </c>
      <c r="B56" s="63" t="inlineStr">
        <is>
          <t xml:space="preserve">I.U. INVESTIGACIÓN DE ESTUDIOS DE GÉNERO (10.23) </t>
        </is>
      </c>
      <c r="C56" s="63" t="inlineStr">
        <is>
          <t xml:space="preserve">DOCTORADO EN ESTUDIOS INTERDISCIPLINARES DE GÉNERO </t>
        </is>
      </c>
      <c r="D56" s="63" t="inlineStr">
        <is>
          <t>Fernández Moreno, Paulina</t>
        </is>
      </c>
      <c r="E56" s="63" t="inlineStr">
        <is>
          <t xml:space="preserve">Imaginarios sobre infancia, familia y parentesco en el discursos sobre la adopción de niñas y niños `mayores¿ en Chile. Un análisis desde el género. </t>
        </is>
      </c>
      <c r="F56" s="63" t="inlineStr">
        <is>
          <t xml:space="preserve">06/02/2023 </t>
        </is>
      </c>
      <c r="G56" s="63" t="inlineStr">
        <is>
          <t xml:space="preserve">25128440C </t>
        </is>
      </c>
      <c r="H56" s="63" t="inlineStr">
        <is>
          <t xml:space="preserve">Director de tesis </t>
        </is>
      </c>
      <c r="I56" s="64" t="inlineStr">
        <is>
          <t xml:space="preserve">B179 </t>
        </is>
      </c>
      <c r="J56" s="63" t="inlineStr">
        <is>
          <t xml:space="preserve">SOCIOLOGÍA I </t>
        </is>
      </c>
      <c r="K56" s="41" t="n">
        <v>1</v>
      </c>
      <c r="L56" s="41" t="inlineStr">
        <is>
          <t>B179</t>
        </is>
      </c>
      <c r="M56" s="63" t="n">
        <v>2022</v>
      </c>
      <c r="N56" s="41" t="inlineStr">
        <is>
          <t>10.23</t>
        </is>
      </c>
      <c r="O56" s="41" t="n">
        <v>20</v>
      </c>
      <c r="P56" s="41" t="inlineStr"/>
      <c r="Q56" s="41" t="n">
        <v>0</v>
      </c>
      <c r="R56" s="90" t="n">
        <v>80</v>
      </c>
      <c r="S56" s="90" t="n">
        <v>0.8</v>
      </c>
      <c r="T56" s="90" t="n">
        <v>0.2</v>
      </c>
      <c r="U56" s="90" t="n">
        <v>0</v>
      </c>
      <c r="Y56" s="61" t="n"/>
    </row>
    <row r="57" ht="15" customHeight="1">
      <c r="A57" s="63" t="inlineStr">
        <is>
          <t xml:space="preserve">U073 </t>
        </is>
      </c>
      <c r="B57" s="63" t="inlineStr">
        <is>
          <t xml:space="preserve">I.U. INVESTIGACIÓN DE ESTUDIOS DE GÉNERO (10.23) </t>
        </is>
      </c>
      <c r="C57" s="63" t="inlineStr">
        <is>
          <t xml:space="preserve">DOCTORADO EN ESTUDIOS INTERDISCIPLINARES DE GÉNERO </t>
        </is>
      </c>
      <c r="D57" s="63" t="inlineStr">
        <is>
          <t>Rincón Vega, Ana Milena</t>
        </is>
      </c>
      <c r="E57" s="63" t="inlineStr">
        <is>
          <t xml:space="preserve">VIOLENCIA DE GÉNERO: REPERCUSIONES EN LA COMUNICACIÓN DE LAS MUJERES EN COLOMBIA </t>
        </is>
      </c>
      <c r="F57" s="63" t="inlineStr">
        <is>
          <t xml:space="preserve">16/03/2023 </t>
        </is>
      </c>
      <c r="G57" s="63" t="inlineStr">
        <is>
          <t xml:space="preserve">21475002V </t>
        </is>
      </c>
      <c r="H57" s="63" t="inlineStr">
        <is>
          <t xml:space="preserve">Director de tesis </t>
        </is>
      </c>
      <c r="I57" s="64" t="inlineStr">
        <is>
          <t xml:space="preserve">B179 </t>
        </is>
      </c>
      <c r="J57" s="63" t="inlineStr">
        <is>
          <t xml:space="preserve">SOCIOLOGÍA I </t>
        </is>
      </c>
      <c r="K57" s="41" t="n">
        <v>1</v>
      </c>
      <c r="L57" s="41" t="inlineStr">
        <is>
          <t>B179</t>
        </is>
      </c>
      <c r="M57" s="63" t="n">
        <v>2022</v>
      </c>
      <c r="N57" s="41" t="inlineStr">
        <is>
          <t>10.23</t>
        </is>
      </c>
      <c r="O57" s="41" t="n">
        <v>20</v>
      </c>
      <c r="P57" s="41" t="inlineStr"/>
      <c r="Q57" s="41" t="n">
        <v>0</v>
      </c>
      <c r="R57" s="90" t="n">
        <v>80</v>
      </c>
      <c r="S57" s="90" t="n">
        <v>0.8</v>
      </c>
      <c r="T57" s="90" t="n">
        <v>0.2</v>
      </c>
      <c r="U57" s="90" t="n">
        <v>0</v>
      </c>
      <c r="Y57" s="61" t="n"/>
    </row>
    <row r="58" ht="15" customHeight="1">
      <c r="A58" s="63" t="inlineStr">
        <is>
          <t xml:space="preserve">U073 </t>
        </is>
      </c>
      <c r="B58" s="63" t="inlineStr">
        <is>
          <t xml:space="preserve">I.U. INVESTIGACIÓN DE ESTUDIOS DE GÉNERO (10.23) </t>
        </is>
      </c>
      <c r="C58" s="63" t="inlineStr">
        <is>
          <t xml:space="preserve">DOCTORADO EN ESTUDIOS INTERDISCIPLINARES DE GÉNERO </t>
        </is>
      </c>
      <c r="D58" s="63" t="inlineStr">
        <is>
          <t>Herranz Velázquez, Fernando</t>
        </is>
      </c>
      <c r="E58" s="63" t="inlineStr">
        <is>
          <t xml:space="preserve">Aprendiendo a ser hombre. La construcción de la masculinidad hegemónica en la modernidad </t>
        </is>
      </c>
      <c r="F58" s="63" t="inlineStr">
        <is>
          <t xml:space="preserve">16/12/2022 </t>
        </is>
      </c>
      <c r="G58" s="63" t="inlineStr">
        <is>
          <t xml:space="preserve">50283950Q </t>
        </is>
      </c>
      <c r="H58" s="63" t="inlineStr">
        <is>
          <t xml:space="preserve">Director de tesis </t>
        </is>
      </c>
      <c r="I58" s="64" t="inlineStr">
        <is>
          <t xml:space="preserve">B174 </t>
        </is>
      </c>
      <c r="J58" s="63" t="inlineStr">
        <is>
          <t xml:space="preserve">HISTORIA MEDIEVAL, HISTORIA MODERNA Y CIENCIAS Y TÉCNICAS HISTORIOGRÀFICAS </t>
        </is>
      </c>
      <c r="K58" s="41" t="n">
        <v>1</v>
      </c>
      <c r="L58" s="41" t="inlineStr">
        <is>
          <t>B174</t>
        </is>
      </c>
      <c r="M58" s="63" t="n">
        <v>2022</v>
      </c>
      <c r="N58" s="41" t="inlineStr">
        <is>
          <t>10.23</t>
        </is>
      </c>
      <c r="O58" s="41" t="n">
        <v>60</v>
      </c>
      <c r="P58" s="41" t="inlineStr"/>
      <c r="Q58" s="41" t="n">
        <v>0</v>
      </c>
      <c r="R58" s="90" t="n">
        <v>40</v>
      </c>
      <c r="S58" s="90" t="n">
        <v>0.4</v>
      </c>
      <c r="T58" s="90" t="n">
        <v>0.6</v>
      </c>
      <c r="U58" s="90" t="n">
        <v>0</v>
      </c>
      <c r="Y58" s="61" t="n"/>
    </row>
    <row r="59" ht="15" customHeight="1">
      <c r="A59" s="63" t="inlineStr">
        <is>
          <t xml:space="preserve">U073 </t>
        </is>
      </c>
      <c r="B59" s="63" t="inlineStr">
        <is>
          <t xml:space="preserve">I.U. INVESTIGACIÓN DE ESTUDIOS DE GÉNERO (10.23) </t>
        </is>
      </c>
      <c r="C59" s="63" t="inlineStr">
        <is>
          <t xml:space="preserve">DOCTORADO EN ESTUDIOS INTERDISCIPLINARES DE GÉNERO </t>
        </is>
      </c>
      <c r="D59" s="63" t="inlineStr">
        <is>
          <t>Garis Puerto, Natalia</t>
        </is>
      </c>
      <c r="E59" s="63" t="inlineStr">
        <is>
          <t xml:space="preserve">GÉNERO, NACIÓN Y TURISMO DURANTE LA SEGUNDA MITAD DEL SIGLO XX EN LA PROVINCIA DE ALICANTE </t>
        </is>
      </c>
      <c r="F59" s="63" t="inlineStr">
        <is>
          <t xml:space="preserve">19/05/2023 </t>
        </is>
      </c>
      <c r="G59" s="63" t="inlineStr">
        <is>
          <t xml:space="preserve">21481385Y </t>
        </is>
      </c>
      <c r="H59" s="63" t="inlineStr">
        <is>
          <t xml:space="preserve">Codirector de tesis </t>
        </is>
      </c>
      <c r="I59" s="64" t="inlineStr">
        <is>
          <t xml:space="preserve">B122 </t>
        </is>
      </c>
      <c r="J59" s="63" t="inlineStr">
        <is>
          <t xml:space="preserve">HUMANIDADES CONTEMPORANEAS </t>
        </is>
      </c>
      <c r="K59" s="41" t="n">
        <v>0.5</v>
      </c>
      <c r="L59" s="41" t="inlineStr">
        <is>
          <t>B122</t>
        </is>
      </c>
      <c r="M59" s="63" t="n">
        <v>2022</v>
      </c>
      <c r="N59" s="41" t="inlineStr">
        <is>
          <t>10.23</t>
        </is>
      </c>
      <c r="O59" s="41" t="n">
        <v>90</v>
      </c>
      <c r="P59" s="41" t="inlineStr"/>
      <c r="Q59" s="41" t="n">
        <v>0</v>
      </c>
      <c r="R59" s="90" t="n">
        <v>10</v>
      </c>
      <c r="S59" s="90" t="n">
        <v>0.05</v>
      </c>
      <c r="T59" s="90" t="n">
        <v>0.45</v>
      </c>
      <c r="U59" s="90" t="n">
        <v>0</v>
      </c>
      <c r="Y59" s="61" t="n"/>
    </row>
    <row r="60" ht="15" customHeight="1">
      <c r="A60" s="47" t="inlineStr">
        <is>
          <t xml:space="preserve">U023 </t>
        </is>
      </c>
      <c r="B60" s="47" t="inlineStr">
        <is>
          <t>ADM. FACULTAD DE FILOSOFIA Y LETRAS</t>
        </is>
      </c>
      <c r="C60" s="47" t="inlineStr">
        <is>
          <t>DOCTORADO EN FILOSOFÍA Y LETRAS</t>
        </is>
      </c>
      <c r="D60" s="47" t="inlineStr">
        <is>
          <t>Robles Delgado, Alberto</t>
        </is>
      </c>
      <c r="E60" s="47" t="inlineStr">
        <is>
          <t>Épica y barbarie en la pantalla: Representación de la cultura vikinga a través de las ficciones del cine y la televisión</t>
        </is>
      </c>
      <c r="F60" s="47" t="inlineStr">
        <is>
          <t>21/09/2023</t>
        </is>
      </c>
      <c r="G60" s="47" t="inlineStr">
        <is>
          <t xml:space="preserve">21436046T </t>
        </is>
      </c>
      <c r="H60" s="47" t="inlineStr">
        <is>
          <t>Codirector de tesis</t>
        </is>
      </c>
      <c r="I60" s="48" t="inlineStr">
        <is>
          <t>B174</t>
        </is>
      </c>
      <c r="J60" s="47" t="inlineStr">
        <is>
          <t>HISTORIA MEDIEVAL, HISTORIA MODERNA Y CIENCIAS Y TÉCNICAS HISTORIOGRÀFICAS</t>
        </is>
      </c>
      <c r="K60" s="41" t="n">
        <v>0.5</v>
      </c>
      <c r="L60" s="41" t="inlineStr">
        <is>
          <t>B174</t>
        </is>
      </c>
      <c r="M60" s="63" t="n">
        <v>2022</v>
      </c>
      <c r="N60" s="41" t="inlineStr">
        <is>
          <t>10.23</t>
        </is>
      </c>
      <c r="O60" s="41" t="n">
        <v>10</v>
      </c>
      <c r="P60" s="41" t="inlineStr">
        <is>
          <t>10.25</t>
        </is>
      </c>
      <c r="Q60" s="41" t="n">
        <v>25</v>
      </c>
      <c r="R60" s="90" t="n">
        <v>65</v>
      </c>
      <c r="S60" s="90" t="n">
        <v>0.325</v>
      </c>
      <c r="T60" s="90" t="n">
        <v>0.05</v>
      </c>
      <c r="U60" s="90" t="n">
        <v>0.125</v>
      </c>
      <c r="V60" s="46" t="n"/>
      <c r="Y60" s="61" t="n"/>
    </row>
    <row r="61" ht="15" customHeight="1">
      <c r="A61" s="27" t="inlineStr">
        <is>
          <t>B177</t>
        </is>
      </c>
      <c r="B61" s="27" t="inlineStr">
        <is>
          <t>PSICOLOGÍA EVOLUTIVA Y DIDÁCTICA</t>
        </is>
      </c>
      <c r="C61" s="27" t="inlineStr">
        <is>
          <t>DOCTORADO EN INVESTIGACIÓN EDUCATIVA</t>
        </is>
      </c>
      <c r="D61" s="27" t="inlineStr">
        <is>
          <t>Castaño Romero, Antonio</t>
        </is>
      </c>
      <c r="E61" s="27" t="inlineStr">
        <is>
          <t>Efectos del Entrenamiento Neuromuscular en niños de Educación Primaria durante las
clases de Educación Física.</t>
        </is>
      </c>
      <c r="F61" s="27" t="inlineStr">
        <is>
          <t>14/03/2024</t>
        </is>
      </c>
      <c r="G61" s="27" t="inlineStr">
        <is>
          <t>07860559X</t>
        </is>
      </c>
      <c r="H61" s="27" t="inlineStr">
        <is>
          <t>Codirector de tesis</t>
        </is>
      </c>
      <c r="I61" s="28" t="inlineStr">
        <is>
          <t>B112</t>
        </is>
      </c>
      <c r="J61" s="27" t="inlineStr">
        <is>
          <t>DIDACTICA GENERAL Y DIDÁCTICAS ESPECÍFICAS</t>
        </is>
      </c>
      <c r="K61" s="29" t="n">
        <v>0.5</v>
      </c>
      <c r="L61" s="29" t="inlineStr">
        <is>
          <t>B112</t>
        </is>
      </c>
      <c r="M61" s="29" t="n">
        <v>2023</v>
      </c>
      <c r="N61" s="29" t="inlineStr">
        <is>
          <t>10.23</t>
        </is>
      </c>
      <c r="O61" s="29" t="inlineStr">
        <is>
          <t>20</t>
        </is>
      </c>
      <c r="P61" s="29" t="inlineStr"/>
      <c r="Q61" s="29" t="inlineStr"/>
      <c r="R61" s="91" t="n">
        <v>80</v>
      </c>
      <c r="S61" s="91" t="n">
        <v>0.4</v>
      </c>
      <c r="T61" s="91" t="n">
        <v>0.1</v>
      </c>
      <c r="U61" s="91" t="n">
        <v>0</v>
      </c>
      <c r="V61" s="30" t="inlineStr">
        <is>
          <t>S</t>
        </is>
      </c>
      <c r="Y61" s="61" t="n"/>
    </row>
    <row r="62" ht="15" customHeight="1">
      <c r="A62" s="27" t="inlineStr">
        <is>
          <t>B177</t>
        </is>
      </c>
      <c r="B62" s="27" t="inlineStr">
        <is>
          <t>PSICOLOGÍA EVOLUTIVA Y DIDÁCTICA</t>
        </is>
      </c>
      <c r="C62" s="27" t="inlineStr">
        <is>
          <t>DOCTORADO EN INVESTIGACIÓN EDUCATIVA</t>
        </is>
      </c>
      <c r="D62" s="27" t="inlineStr">
        <is>
          <t>Almeida Shapán, Rita</t>
        </is>
      </c>
      <c r="E62" s="27" t="inlineStr">
        <is>
          <t>Integración de la etnobotánica en la formación del futuro profesorado de la carrera de pedagogía de las ciencias experimentales química y biología de la universidad central del ecuador.</t>
        </is>
      </c>
      <c r="F62" s="27" t="inlineStr">
        <is>
          <t>23/10/2023</t>
        </is>
      </c>
      <c r="G62" s="27" t="inlineStr">
        <is>
          <t>48769418B</t>
        </is>
      </c>
      <c r="H62" s="27" t="inlineStr">
        <is>
          <t>Codirector de tesis</t>
        </is>
      </c>
      <c r="I62" s="28" t="inlineStr">
        <is>
          <t>B112</t>
        </is>
      </c>
      <c r="J62" s="27" t="inlineStr">
        <is>
          <t>DIDACTICA GENERAL Y DIDÁCTICAS ESPECÍFICAS</t>
        </is>
      </c>
      <c r="K62" s="29" t="n">
        <v>0.5</v>
      </c>
      <c r="L62" s="29" t="inlineStr">
        <is>
          <t>B112</t>
        </is>
      </c>
      <c r="M62" s="29" t="n">
        <v>2023</v>
      </c>
      <c r="N62" s="29" t="inlineStr">
        <is>
          <t>10.23</t>
        </is>
      </c>
      <c r="O62" s="29" t="inlineStr">
        <is>
          <t>30</t>
        </is>
      </c>
      <c r="P62" s="29" t="inlineStr">
        <is>
          <t>10.25</t>
        </is>
      </c>
      <c r="Q62" s="29" t="inlineStr">
        <is>
          <t>30</t>
        </is>
      </c>
      <c r="R62" s="91" t="n">
        <v>40</v>
      </c>
      <c r="S62" s="91" t="n">
        <v>0.2</v>
      </c>
      <c r="T62" s="91" t="n">
        <v>0.15</v>
      </c>
      <c r="U62" s="91" t="n">
        <v>0.15</v>
      </c>
      <c r="V62" s="30" t="inlineStr">
        <is>
          <t>S</t>
        </is>
      </c>
      <c r="Y62" s="61" t="n"/>
    </row>
    <row r="63" ht="15" customHeight="1">
      <c r="A63" s="27" t="inlineStr">
        <is>
          <t>U023</t>
        </is>
      </c>
      <c r="B63" s="27" t="inlineStr">
        <is>
          <t>ADM. FACULTAD DE FILOSOFIA Y LETRAS</t>
        </is>
      </c>
      <c r="C63" s="27" t="inlineStr">
        <is>
          <t>DOCTORADO EN FILOSOFÍA Y LETRAS</t>
        </is>
      </c>
      <c r="D63" s="27" t="inlineStr">
        <is>
          <t>Follana Ramón, Águeda Cirila</t>
        </is>
      </c>
      <c r="E63" s="27" t="inlineStr">
        <is>
          <t>Une étude socio-historique, linguistique et phonétique des primo-arrivants en classe de Fle. Une réalité de la Comunidad valenciana : le cas particulier du lycée ¿Nit de l¿Albà -Elche (Espagne)</t>
        </is>
      </c>
      <c r="F63" s="27" t="inlineStr">
        <is>
          <t>09/07/2024</t>
        </is>
      </c>
      <c r="G63" s="27" t="inlineStr">
        <is>
          <t>21471389S</t>
        </is>
      </c>
      <c r="H63" s="27" t="inlineStr">
        <is>
          <t>Codirector de tesis</t>
        </is>
      </c>
      <c r="I63" s="28" t="inlineStr">
        <is>
          <t>B114</t>
        </is>
      </c>
      <c r="J63" s="27" t="inlineStr">
        <is>
          <t>FILOLOGIAS INTEGRADAS</t>
        </is>
      </c>
      <c r="K63" s="29" t="n">
        <v>0.5</v>
      </c>
      <c r="L63" s="29" t="inlineStr">
        <is>
          <t>B114</t>
        </is>
      </c>
      <c r="M63" s="29" t="n">
        <v>2023</v>
      </c>
      <c r="N63" s="29" t="inlineStr">
        <is>
          <t>10.23</t>
        </is>
      </c>
      <c r="O63" s="29" t="inlineStr">
        <is>
          <t>20</t>
        </is>
      </c>
      <c r="P63" s="29" t="inlineStr"/>
      <c r="Q63" s="29" t="inlineStr"/>
      <c r="R63" s="91" t="n">
        <v>80</v>
      </c>
      <c r="S63" s="91" t="n">
        <v>0.4</v>
      </c>
      <c r="T63" s="91" t="n">
        <v>0.1</v>
      </c>
      <c r="U63" s="91" t="n">
        <v>0</v>
      </c>
      <c r="V63" s="30" t="inlineStr">
        <is>
          <t>S</t>
        </is>
      </c>
      <c r="Y63" s="61" t="n"/>
    </row>
    <row r="64" ht="15" customHeight="1">
      <c r="A64" s="27" t="inlineStr">
        <is>
          <t>U023</t>
        </is>
      </c>
      <c r="B64" s="27" t="inlineStr">
        <is>
          <t>ADM. FACULTAD DE FILOSOFIA Y LETRAS</t>
        </is>
      </c>
      <c r="C64" s="27" t="inlineStr">
        <is>
          <t>DOCTORADO EN FILOSOFÍA Y LETRAS</t>
        </is>
      </c>
      <c r="D64" s="27" t="inlineStr">
        <is>
          <t>Merino González, Alicia</t>
        </is>
      </c>
      <c r="E64" s="27" t="inlineStr">
        <is>
          <t>LA ADQUISICIÓN DE LA CONCIENCIA FRASEOLÓGICA EN EL TRASTORNO DEL ESPECTRO AUTISTA DE GRADO 1</t>
        </is>
      </c>
      <c r="F64" s="27" t="inlineStr">
        <is>
          <t>21/02/2024</t>
        </is>
      </c>
      <c r="G64" s="27" t="inlineStr">
        <is>
          <t>46085014Y</t>
        </is>
      </c>
      <c r="H64" s="27" t="inlineStr">
        <is>
          <t>Director de tesis</t>
        </is>
      </c>
      <c r="I64" s="28" t="inlineStr">
        <is>
          <t>B115</t>
        </is>
      </c>
      <c r="J64" s="27" t="inlineStr">
        <is>
          <t>FILOL. ESPAÑOLA, LINGÜÍSTICA GENERAL Y TEORIA DE LA LITERATURA</t>
        </is>
      </c>
      <c r="K64" s="29" t="n">
        <v>1</v>
      </c>
      <c r="L64" s="29" t="inlineStr">
        <is>
          <t>B115</t>
        </is>
      </c>
      <c r="M64" s="29" t="n">
        <v>2023</v>
      </c>
      <c r="N64" s="29" t="inlineStr">
        <is>
          <t>10.23</t>
        </is>
      </c>
      <c r="O64" s="29" t="inlineStr">
        <is>
          <t>20</t>
        </is>
      </c>
      <c r="P64" s="29" t="inlineStr">
        <is>
          <t>10.15</t>
        </is>
      </c>
      <c r="Q64" s="29" t="inlineStr">
        <is>
          <t>10</t>
        </is>
      </c>
      <c r="R64" s="91" t="n">
        <v>70</v>
      </c>
      <c r="S64" s="91" t="n">
        <v>0.7</v>
      </c>
      <c r="T64" s="91" t="n">
        <v>0.2</v>
      </c>
      <c r="U64" s="91" t="n">
        <v>0.1</v>
      </c>
      <c r="V64" s="30" t="inlineStr">
        <is>
          <t>S</t>
        </is>
      </c>
      <c r="Y64" s="61" t="n"/>
    </row>
    <row r="65" ht="15" customHeight="1">
      <c r="A65" s="27" t="inlineStr">
        <is>
          <t>U023</t>
        </is>
      </c>
      <c r="B65" s="27" t="inlineStr">
        <is>
          <t>ADM. FACULTAD DE FILOSOFIA Y LETRAS</t>
        </is>
      </c>
      <c r="C65" s="27" t="inlineStr">
        <is>
          <t>DOCTORADO EN FILOSOFÍA Y LETRAS</t>
        </is>
      </c>
      <c r="D65" s="27" t="inlineStr">
        <is>
          <t>Asencio Serrano, Cristina</t>
        </is>
      </c>
      <c r="E65" s="27" t="inlineStr">
        <is>
          <t>Una revolución dentro de la Revolución: autoría y feminismo en las novelistas cubanas (1959-2023)</t>
        </is>
      </c>
      <c r="F65" s="27" t="inlineStr">
        <is>
          <t>07/06/2024</t>
        </is>
      </c>
      <c r="G65" s="27" t="inlineStr">
        <is>
          <t>74084767L</t>
        </is>
      </c>
      <c r="H65" s="27" t="inlineStr">
        <is>
          <t>Director de tesis</t>
        </is>
      </c>
      <c r="I65" s="28" t="inlineStr">
        <is>
          <t>B115</t>
        </is>
      </c>
      <c r="J65" s="27" t="inlineStr">
        <is>
          <t>FILOL. ESPAÑOLA, LINGÜÍSTICA GENERAL Y TEORIA DE LA LITERATURA</t>
        </is>
      </c>
      <c r="K65" s="29" t="n">
        <v>1</v>
      </c>
      <c r="L65" s="29" t="inlineStr">
        <is>
          <t>B115</t>
        </is>
      </c>
      <c r="M65" s="29" t="n">
        <v>2023</v>
      </c>
      <c r="N65" s="29" t="inlineStr">
        <is>
          <t>10.23</t>
        </is>
      </c>
      <c r="O65" s="29" t="inlineStr">
        <is>
          <t>50</t>
        </is>
      </c>
      <c r="P65" s="29" t="inlineStr"/>
      <c r="Q65" s="29" t="inlineStr"/>
      <c r="R65" s="91" t="n">
        <v>50</v>
      </c>
      <c r="S65" s="91" t="n">
        <v>0.5</v>
      </c>
      <c r="T65" s="91" t="n">
        <v>0.5</v>
      </c>
      <c r="U65" s="91" t="n">
        <v>0</v>
      </c>
      <c r="V65" s="30" t="inlineStr">
        <is>
          <t>S</t>
        </is>
      </c>
      <c r="Y65" s="61" t="n"/>
    </row>
    <row r="66">
      <c r="A66" s="27" t="inlineStr">
        <is>
          <t>U036</t>
        </is>
      </c>
      <c r="B66" s="27" t="inlineStr">
        <is>
          <t>ADM. FACULTAD DE CIENCIAS ECONÓMICAS</t>
        </is>
      </c>
      <c r="C66" s="27" t="inlineStr">
        <is>
          <t>DOCTORADO EN EMPRESA, ECONOMÍA Y SOCIEDAD</t>
        </is>
      </c>
      <c r="D66" s="27" t="inlineStr">
        <is>
          <t>Escalona Sepúlveda, Paola Inés</t>
        </is>
      </c>
      <c r="E66" s="27" t="inlineStr">
        <is>
          <t>Análisis exploratorio sobre el estado y evolución de la Economía Naranja en Chile entre los años 2010-2020.Un estudio basado en estadísticas públicas.</t>
        </is>
      </c>
      <c r="F66" s="27" t="inlineStr">
        <is>
          <t>08/05/2024</t>
        </is>
      </c>
      <c r="G66" s="27" t="inlineStr">
        <is>
          <t>21456802X</t>
        </is>
      </c>
      <c r="H66" s="27" t="inlineStr">
        <is>
          <t>Director de tesis</t>
        </is>
      </c>
      <c r="I66" s="28" t="inlineStr">
        <is>
          <t>B139</t>
        </is>
      </c>
      <c r="J66" s="27" t="inlineStr">
        <is>
          <t>ECONOMÍA APLICADA Y POLITICA ECONÓMICA</t>
        </is>
      </c>
      <c r="K66" s="29" t="n">
        <v>1</v>
      </c>
      <c r="L66" s="29" t="inlineStr">
        <is>
          <t>B139</t>
        </is>
      </c>
      <c r="M66" s="29" t="n">
        <v>2023</v>
      </c>
      <c r="N66" s="29" t="inlineStr">
        <is>
          <t>10.23</t>
        </is>
      </c>
      <c r="O66" s="29" t="inlineStr">
        <is>
          <t>10</t>
        </is>
      </c>
      <c r="P66" s="29" t="inlineStr">
        <is>
          <t>10.25</t>
        </is>
      </c>
      <c r="Q66" s="29" t="inlineStr">
        <is>
          <t>20</t>
        </is>
      </c>
      <c r="R66" s="91" t="n">
        <v>70</v>
      </c>
      <c r="S66" s="91" t="n">
        <v>0.7</v>
      </c>
      <c r="T66" s="91" t="n">
        <v>0.1</v>
      </c>
      <c r="U66" s="91" t="n">
        <v>0.2</v>
      </c>
      <c r="V66" s="30" t="inlineStr">
        <is>
          <t>S</t>
        </is>
      </c>
    </row>
    <row r="67">
      <c r="A67" s="27" t="inlineStr">
        <is>
          <t>U036</t>
        </is>
      </c>
      <c r="B67" s="27" t="inlineStr">
        <is>
          <t>ADM. FACULTAD DE CIENCIAS ECONÓMICAS</t>
        </is>
      </c>
      <c r="C67" s="27" t="inlineStr">
        <is>
          <t>DOCTORADO EN EMPRESA, ECONOMÍA Y SOCIEDAD</t>
        </is>
      </c>
      <c r="D67" s="27" t="inlineStr">
        <is>
          <t>Cabrera Galisteo, Oscar Manuel</t>
        </is>
      </c>
      <c r="E67" s="27" t="inlineStr">
        <is>
          <t>El rol del Trabajo Social de los Servicios Sociales en los Planes Territoriales Municipales  de Emergencia</t>
        </is>
      </c>
      <c r="F67" s="27" t="inlineStr">
        <is>
          <t>23/07/2024</t>
        </is>
      </c>
      <c r="G67" s="27" t="inlineStr">
        <is>
          <t>51091750X</t>
        </is>
      </c>
      <c r="H67" s="27" t="inlineStr">
        <is>
          <t>Director de tesis</t>
        </is>
      </c>
      <c r="I67" s="28" t="inlineStr">
        <is>
          <t>B159</t>
        </is>
      </c>
      <c r="J67" s="27" t="inlineStr">
        <is>
          <t>TRABAJO SOCIAL Y SERVICIOS SOCIALES</t>
        </is>
      </c>
      <c r="K67" s="29" t="n">
        <v>1</v>
      </c>
      <c r="L67" s="29" t="inlineStr">
        <is>
          <t>B159</t>
        </is>
      </c>
      <c r="M67" s="29" t="n">
        <v>2023</v>
      </c>
      <c r="N67" s="29" t="inlineStr">
        <is>
          <t>10.23</t>
        </is>
      </c>
      <c r="O67" s="29" t="inlineStr">
        <is>
          <t>50</t>
        </is>
      </c>
      <c r="P67" s="29" t="inlineStr"/>
      <c r="Q67" s="29" t="inlineStr"/>
      <c r="R67" s="91" t="n">
        <v>50</v>
      </c>
      <c r="S67" s="91" t="n">
        <v>0.5</v>
      </c>
      <c r="T67" s="91" t="n">
        <v>0.5</v>
      </c>
      <c r="U67" s="91" t="n">
        <v>0</v>
      </c>
      <c r="V67" s="30" t="inlineStr">
        <is>
          <t>S</t>
        </is>
      </c>
    </row>
    <row r="68">
      <c r="A68" s="27" t="inlineStr">
        <is>
          <t>U044</t>
        </is>
      </c>
      <c r="B68" s="27" t="inlineStr">
        <is>
          <t>ADM. FACULTAD DE CIENCIAS DE LA SALUD</t>
        </is>
      </c>
      <c r="C68" s="27" t="inlineStr">
        <is>
          <t>DOCTORADO EN CIENCIAS DE LA SALUD</t>
        </is>
      </c>
      <c r="D68" s="27" t="inlineStr">
        <is>
          <t>Suárez Álvarez, Oscar</t>
        </is>
      </c>
      <c r="E68" s="27" t="inlineStr">
        <is>
          <t>Aplicaciones al campo de la Salud Pública de los modelos salutogénicos basados en activos de salud</t>
        </is>
      </c>
      <c r="F68" s="27" t="inlineStr">
        <is>
          <t>05/02/2024</t>
        </is>
      </c>
      <c r="G68" s="27" t="inlineStr">
        <is>
          <t>26186611F</t>
        </is>
      </c>
      <c r="H68" s="27" t="inlineStr">
        <is>
          <t>Codirector de tesis</t>
        </is>
      </c>
      <c r="I68" s="28" t="inlineStr">
        <is>
          <t>B170</t>
        </is>
      </c>
      <c r="J68" s="27" t="inlineStr">
        <is>
          <t>ENFERMERÍA COMUNITARIA, MEDICINA PREVENTIVA Y SALUD PÚBLICA</t>
        </is>
      </c>
      <c r="K68" s="29" t="n">
        <v>0.5</v>
      </c>
      <c r="L68" s="29" t="inlineStr">
        <is>
          <t>B170</t>
        </is>
      </c>
      <c r="M68" s="29" t="n">
        <v>2023</v>
      </c>
      <c r="N68" s="29" t="inlineStr">
        <is>
          <t>10.23</t>
        </is>
      </c>
      <c r="O68" s="29" t="inlineStr">
        <is>
          <t>50</t>
        </is>
      </c>
      <c r="P68" s="29" t="inlineStr"/>
      <c r="Q68" s="29" t="inlineStr"/>
      <c r="R68" s="91" t="n">
        <v>50</v>
      </c>
      <c r="S68" s="91" t="n">
        <v>0.25</v>
      </c>
      <c r="T68" s="91" t="n">
        <v>0.25</v>
      </c>
      <c r="U68" s="91" t="n">
        <v>0</v>
      </c>
      <c r="V68" s="30" t="inlineStr">
        <is>
          <t>S</t>
        </is>
      </c>
    </row>
    <row r="69">
      <c r="A69" s="27" t="inlineStr">
        <is>
          <t>U044</t>
        </is>
      </c>
      <c r="B69" s="27" t="inlineStr">
        <is>
          <t>ADM. FACULTAD DE CIENCIAS DE LA SALUD</t>
        </is>
      </c>
      <c r="C69" s="27" t="inlineStr">
        <is>
          <t>DOCTORADO EN CIENCIAS DE LA SALUD</t>
        </is>
      </c>
      <c r="D69" s="27" t="inlineStr">
        <is>
          <t>Suárez Álvarez, Oscar</t>
        </is>
      </c>
      <c r="E69" s="27" t="inlineStr">
        <is>
          <t>Aplicaciones al campo de la Salud Pública de los modelos salutogénicos basados en activos de salud</t>
        </is>
      </c>
      <c r="F69" s="27" t="inlineStr">
        <is>
          <t>05/02/2024</t>
        </is>
      </c>
      <c r="G69" s="27" t="inlineStr">
        <is>
          <t>28555357Y</t>
        </is>
      </c>
      <c r="H69" s="27" t="inlineStr">
        <is>
          <t>Codirector de tesis</t>
        </is>
      </c>
      <c r="I69" s="28" t="inlineStr">
        <is>
          <t>B170</t>
        </is>
      </c>
      <c r="J69" s="27" t="inlineStr">
        <is>
          <t>ENFERMERÍA COMUNITARIA, MEDICINA PREVENTIVA Y SALUD PÚBLICA</t>
        </is>
      </c>
      <c r="K69" s="29" t="n">
        <v>0.5</v>
      </c>
      <c r="L69" s="29" t="inlineStr">
        <is>
          <t>B170</t>
        </is>
      </c>
      <c r="M69" s="29" t="n">
        <v>2023</v>
      </c>
      <c r="N69" s="29" t="inlineStr">
        <is>
          <t>10.23</t>
        </is>
      </c>
      <c r="O69" s="29" t="inlineStr">
        <is>
          <t>20</t>
        </is>
      </c>
      <c r="P69" s="29" t="inlineStr"/>
      <c r="Q69" s="29" t="inlineStr"/>
      <c r="R69" s="91" t="n">
        <v>80</v>
      </c>
      <c r="S69" s="91" t="n">
        <v>0.4</v>
      </c>
      <c r="T69" s="91" t="n">
        <v>0.1</v>
      </c>
      <c r="U69" s="91" t="n">
        <v>0</v>
      </c>
      <c r="V69" s="30" t="inlineStr">
        <is>
          <t>S</t>
        </is>
      </c>
    </row>
    <row r="70">
      <c r="A70" s="27" t="inlineStr">
        <is>
          <t>U044</t>
        </is>
      </c>
      <c r="B70" s="27" t="inlineStr">
        <is>
          <t>ADM. FACULTAD DE CIENCIAS DE LA SALUD</t>
        </is>
      </c>
      <c r="C70" s="27" t="inlineStr">
        <is>
          <t>DOCTORADO EN CIENCIAS DE LA SALUD</t>
        </is>
      </c>
      <c r="D70" s="27" t="inlineStr">
        <is>
          <t>Domenech Climent, Nuria</t>
        </is>
      </c>
      <c r="E70" s="27" t="inlineStr">
        <is>
          <t>PERSPECTIVA DE GÉNERO EN EL CÁNCER DE PULMÓN: EXPERIENCIAS EN EL DIAGNÓSTICO, TRATAMIENTO Y ESFUERZO TERAPÉUTICO</t>
        </is>
      </c>
      <c r="F70" s="27" t="inlineStr">
        <is>
          <t>22/02/2024</t>
        </is>
      </c>
      <c r="G70" s="27" t="inlineStr">
        <is>
          <t>26186611F</t>
        </is>
      </c>
      <c r="H70" s="27" t="inlineStr">
        <is>
          <t>Codirector de tesis</t>
        </is>
      </c>
      <c r="I70" s="28" t="inlineStr">
        <is>
          <t>B170</t>
        </is>
      </c>
      <c r="J70" s="27" t="inlineStr">
        <is>
          <t>ENFERMERÍA COMUNITARIA, MEDICINA PREVENTIVA Y SALUD PÚBLICA</t>
        </is>
      </c>
      <c r="K70" s="29" t="n">
        <v>0.5</v>
      </c>
      <c r="L70" s="29" t="inlineStr">
        <is>
          <t>B170</t>
        </is>
      </c>
      <c r="M70" s="29" t="n">
        <v>2023</v>
      </c>
      <c r="N70" s="29" t="inlineStr">
        <is>
          <t>10.23</t>
        </is>
      </c>
      <c r="O70" s="29" t="inlineStr">
        <is>
          <t>50</t>
        </is>
      </c>
      <c r="P70" s="29" t="inlineStr"/>
      <c r="Q70" s="29" t="inlineStr"/>
      <c r="R70" s="91" t="n">
        <v>50</v>
      </c>
      <c r="S70" s="91" t="n">
        <v>0.25</v>
      </c>
      <c r="T70" s="91" t="n">
        <v>0.25</v>
      </c>
      <c r="U70" s="91" t="n">
        <v>0</v>
      </c>
      <c r="V70" s="30" t="inlineStr">
        <is>
          <t>S</t>
        </is>
      </c>
    </row>
    <row r="71">
      <c r="A71" s="27" t="inlineStr">
        <is>
          <t>U044</t>
        </is>
      </c>
      <c r="B71" s="27" t="inlineStr">
        <is>
          <t>ADM. FACULTAD DE CIENCIAS DE LA SALUD</t>
        </is>
      </c>
      <c r="C71" s="27" t="inlineStr">
        <is>
          <t>DOCTORADO EN CIENCIAS DE LA SALUD</t>
        </is>
      </c>
      <c r="D71" s="27" t="inlineStr">
        <is>
          <t>Pérez Martínez, Vanesa</t>
        </is>
      </c>
      <c r="E71" s="27" t="inlineStr">
        <is>
          <t>Violencia de Género y de pareja en adolescentes: El papel del machismo, la aceptación de la violencia y las masculinidades en la salud</t>
        </is>
      </c>
      <c r="F71" s="27" t="inlineStr">
        <is>
          <t>02/02/2024</t>
        </is>
      </c>
      <c r="G71" s="27" t="inlineStr">
        <is>
          <t>48296836X</t>
        </is>
      </c>
      <c r="H71" s="27" t="inlineStr">
        <is>
          <t>Codirector de tesis</t>
        </is>
      </c>
      <c r="I71" s="28" t="inlineStr">
        <is>
          <t>B170</t>
        </is>
      </c>
      <c r="J71" s="27" t="inlineStr">
        <is>
          <t>ENFERMERÍA COMUNITARIA, MEDICINA PREVENTIVA Y SALUD PÚBLICA</t>
        </is>
      </c>
      <c r="K71" s="29" t="n">
        <v>0.5</v>
      </c>
      <c r="L71" s="29" t="inlineStr">
        <is>
          <t>B170</t>
        </is>
      </c>
      <c r="M71" s="29" t="n">
        <v>2023</v>
      </c>
      <c r="N71" s="29" t="inlineStr">
        <is>
          <t>10.23</t>
        </is>
      </c>
      <c r="O71" s="29" t="inlineStr">
        <is>
          <t>30</t>
        </is>
      </c>
      <c r="P71" s="29" t="inlineStr"/>
      <c r="Q71" s="29" t="inlineStr"/>
      <c r="R71" s="91" t="n">
        <v>70</v>
      </c>
      <c r="S71" s="91" t="n">
        <v>0.35</v>
      </c>
      <c r="T71" s="91" t="n">
        <v>0.15</v>
      </c>
      <c r="U71" s="91" t="n">
        <v>0</v>
      </c>
      <c r="V71" s="30" t="inlineStr">
        <is>
          <t>S</t>
        </is>
      </c>
    </row>
    <row r="72">
      <c r="A72" s="27" t="inlineStr">
        <is>
          <t>U044</t>
        </is>
      </c>
      <c r="B72" s="27" t="inlineStr">
        <is>
          <t>ADM. FACULTAD DE CIENCIAS DE LA SALUD</t>
        </is>
      </c>
      <c r="C72" s="27" t="inlineStr">
        <is>
          <t>DOCTORADO EN CIENCIAS DE LA SALUD</t>
        </is>
      </c>
      <c r="D72" s="27" t="inlineStr">
        <is>
          <t>Carpio Arias, Tannia Valeria</t>
        </is>
      </c>
      <c r="E72" s="27" t="inlineStr">
        <is>
          <t>Voces y estadísticas en contextos de desigualdad de género: mortalidad por enfermedades no transmisibles, atención sanitaria y seguridad alimentaria</t>
        </is>
      </c>
      <c r="F72" s="27" t="inlineStr">
        <is>
          <t>14/05/2024</t>
        </is>
      </c>
      <c r="G72" s="27" t="inlineStr">
        <is>
          <t>26186611F</t>
        </is>
      </c>
      <c r="H72" s="27" t="inlineStr">
        <is>
          <t>Codirector de tesis</t>
        </is>
      </c>
      <c r="I72" s="28" t="inlineStr">
        <is>
          <t>B170</t>
        </is>
      </c>
      <c r="J72" s="27" t="inlineStr">
        <is>
          <t>ENFERMERÍA COMUNITARIA, MEDICINA PREVENTIVA Y SALUD PÚBLICA</t>
        </is>
      </c>
      <c r="K72" s="29" t="n">
        <v>0.5</v>
      </c>
      <c r="L72" s="29" t="inlineStr">
        <is>
          <t>B170</t>
        </is>
      </c>
      <c r="M72" s="29" t="n">
        <v>2023</v>
      </c>
      <c r="N72" s="29" t="inlineStr">
        <is>
          <t>10.23</t>
        </is>
      </c>
      <c r="O72" s="29" t="inlineStr">
        <is>
          <t>50</t>
        </is>
      </c>
      <c r="P72" s="29" t="inlineStr"/>
      <c r="Q72" s="29" t="inlineStr"/>
      <c r="R72" s="91" t="n">
        <v>50</v>
      </c>
      <c r="S72" s="91" t="n">
        <v>0.25</v>
      </c>
      <c r="T72" s="91" t="n">
        <v>0.25</v>
      </c>
      <c r="U72" s="91" t="n">
        <v>0</v>
      </c>
      <c r="V72" s="30" t="inlineStr">
        <is>
          <t>S</t>
        </is>
      </c>
    </row>
    <row r="73">
      <c r="A73" s="27" t="inlineStr">
        <is>
          <t>U073</t>
        </is>
      </c>
      <c r="B73" s="27" t="inlineStr">
        <is>
          <t>I.U. INVESTIGACIÓN DE ESTUDIOS DE GÉNERO (10.23)</t>
        </is>
      </c>
      <c r="C73" s="27" t="inlineStr">
        <is>
          <t>DOCTORADO EN ESTUDIOS INTERDISCIPLINARES DE GÉNERO</t>
        </is>
      </c>
      <c r="D73" s="27" t="inlineStr">
        <is>
          <t>Fernández Cortés, María Jesús</t>
        </is>
      </c>
      <c r="E73" s="27" t="inlineStr">
        <is>
          <t>Mediación en la empresa familiar: el empoderamiento de las mujeres a través de la comunicación</t>
        </is>
      </c>
      <c r="F73" s="27" t="inlineStr">
        <is>
          <t>01/03/2024</t>
        </is>
      </c>
      <c r="G73" s="27" t="inlineStr">
        <is>
          <t>52987571X</t>
        </is>
      </c>
      <c r="H73" s="27" t="inlineStr">
        <is>
          <t>Director de tesis</t>
        </is>
      </c>
      <c r="I73" s="28" t="inlineStr">
        <is>
          <t>B104</t>
        </is>
      </c>
      <c r="J73" s="27" t="inlineStr">
        <is>
          <t>CIENCIAS HISTORICO-JURIDICAS</t>
        </is>
      </c>
      <c r="K73" s="29" t="n">
        <v>1</v>
      </c>
      <c r="L73" s="29" t="inlineStr">
        <is>
          <t>B104</t>
        </is>
      </c>
      <c r="M73" s="29" t="n">
        <v>2023</v>
      </c>
      <c r="N73" s="29" t="inlineStr">
        <is>
          <t>10.23</t>
        </is>
      </c>
      <c r="O73" s="29" t="inlineStr">
        <is>
          <t>30</t>
        </is>
      </c>
      <c r="P73" s="29" t="inlineStr"/>
      <c r="Q73" s="29" t="inlineStr"/>
      <c r="R73" s="91" t="n">
        <v>70</v>
      </c>
      <c r="S73" s="91" t="n">
        <v>0.7</v>
      </c>
      <c r="T73" s="91" t="n">
        <v>0.3</v>
      </c>
      <c r="U73" s="91" t="n">
        <v>0</v>
      </c>
      <c r="V73" s="31" t="inlineStr">
        <is>
          <t>S</t>
        </is>
      </c>
    </row>
    <row r="74" customFormat="1" s="61">
      <c r="A74" s="27" t="inlineStr">
        <is>
          <t>U044</t>
        </is>
      </c>
      <c r="B74" s="27" t="inlineStr">
        <is>
          <t>ADM. FACULTAD DE CIENCIAS DE LA SALUD</t>
        </is>
      </c>
      <c r="C74" s="27" t="inlineStr">
        <is>
          <t>DOCTORADO EN CIENCIAS DE LA SALUD</t>
        </is>
      </c>
      <c r="D74" s="27" t="inlineStr">
        <is>
          <t>Santamaría Meliá, Cristina</t>
        </is>
      </c>
      <c r="E74" s="27" t="inlineStr">
        <is>
          <t>Exploración de las barreras de ejercicio físico y desigualdades de género en personas afectadas por fibromialgia: implicaciones para la intervención y el bienestar.</t>
        </is>
      </c>
      <c r="F74" s="27" t="inlineStr">
        <is>
          <t>27/09/2024</t>
        </is>
      </c>
      <c r="G74" s="27" t="inlineStr">
        <is>
          <t>48296836X</t>
        </is>
      </c>
      <c r="H74" s="27" t="inlineStr">
        <is>
          <t>Director de tesis</t>
        </is>
      </c>
      <c r="I74" s="28" t="inlineStr">
        <is>
          <t>B170</t>
        </is>
      </c>
      <c r="J74" s="27" t="inlineStr">
        <is>
          <t>ENFERMERÍA COMUNITARIA, MEDICINA PREVENTIVA Y SALUD PÚBLICA</t>
        </is>
      </c>
      <c r="K74" s="29" t="n">
        <v>1</v>
      </c>
      <c r="L74" s="29" t="inlineStr">
        <is>
          <t>B170</t>
        </is>
      </c>
      <c r="M74" s="29" t="n">
        <v>2023</v>
      </c>
      <c r="N74" s="29" t="inlineStr">
        <is>
          <t>10.23</t>
        </is>
      </c>
      <c r="O74" s="29" t="inlineStr">
        <is>
          <t>30</t>
        </is>
      </c>
      <c r="P74" s="29" t="inlineStr"/>
      <c r="Q74" s="29" t="inlineStr"/>
      <c r="R74" s="91" t="n">
        <v>70</v>
      </c>
      <c r="S74" s="91" t="n">
        <v>0.7</v>
      </c>
      <c r="T74" s="91" t="n">
        <v>0.3</v>
      </c>
      <c r="U74" s="91" t="n">
        <v>0</v>
      </c>
      <c r="V74" s="31" t="n"/>
    </row>
    <row r="75" customFormat="1" s="61">
      <c r="A75" s="27" t="inlineStr">
        <is>
          <t>U044</t>
        </is>
      </c>
      <c r="B75" s="27" t="inlineStr">
        <is>
          <t>ADM. FACULTAD DE CIENCIAS DE LA SALUD</t>
        </is>
      </c>
      <c r="C75" s="27" t="inlineStr">
        <is>
          <t>DOCTORADO EN CIENCIAS DE LA SALUD</t>
        </is>
      </c>
      <c r="D75" s="27" t="inlineStr">
        <is>
          <t>García Quinto, Marta</t>
        </is>
      </c>
      <c r="E75" s="27" t="inlineStr">
        <is>
          <t>Violencia de género desde una perspectiva del trabajo social sanitario en atención primaria de salud</t>
        </is>
      </c>
      <c r="F75" s="27" t="inlineStr">
        <is>
          <t>20/09/2024</t>
        </is>
      </c>
      <c r="G75" s="27" t="inlineStr">
        <is>
          <t>48296836X</t>
        </is>
      </c>
      <c r="H75" s="27" t="inlineStr">
        <is>
          <t>Codirector de tesis</t>
        </is>
      </c>
      <c r="I75" s="28" t="inlineStr">
        <is>
          <t>B170</t>
        </is>
      </c>
      <c r="J75" s="27" t="inlineStr">
        <is>
          <t>ENF COM, MED PREV Y SAL PUB E HIS CIEN</t>
        </is>
      </c>
      <c r="K75" s="29" t="n">
        <v>0.5</v>
      </c>
      <c r="L75" s="29" t="inlineStr">
        <is>
          <t>B170</t>
        </is>
      </c>
      <c r="M75" s="29" t="n">
        <v>2023</v>
      </c>
      <c r="N75" s="29" t="inlineStr">
        <is>
          <t>10.23</t>
        </is>
      </c>
      <c r="O75" s="29" t="inlineStr">
        <is>
          <t>30</t>
        </is>
      </c>
      <c r="P75" s="29" t="inlineStr"/>
      <c r="Q75" s="29" t="inlineStr"/>
      <c r="R75" s="91" t="n">
        <v>70</v>
      </c>
      <c r="S75" s="91" t="n">
        <v>0.35</v>
      </c>
      <c r="T75" s="91" t="n">
        <v>0.15</v>
      </c>
      <c r="U75" s="91" t="n">
        <v>0</v>
      </c>
      <c r="V75" s="31" t="n"/>
    </row>
    <row r="76">
      <c r="A76" s="37" t="inlineStr">
        <is>
          <t xml:space="preserve">U023 </t>
        </is>
      </c>
      <c r="B76" s="37" t="inlineStr">
        <is>
          <t xml:space="preserve">ADM. FACULTAD DE FILOSOFIA Y LETRAS </t>
        </is>
      </c>
      <c r="C76" s="37" t="inlineStr">
        <is>
          <t xml:space="preserve">DOCTORADO EN FILOSOFÍA Y LETRAS </t>
        </is>
      </c>
      <c r="D76" s="37" t="inlineStr">
        <is>
          <t xml:space="preserve">Linares Bernabeu, Esther </t>
        </is>
      </c>
      <c r="E76" s="37" t="inlineStr">
        <is>
          <t xml:space="preserve">La construcción discursiva de la identidad de género femenina en el monólogo humorístico subversivo </t>
        </is>
      </c>
      <c r="F76" s="37" t="inlineStr">
        <is>
          <t xml:space="preserve">05/02/2020 </t>
        </is>
      </c>
      <c r="G76" s="37" t="inlineStr">
        <is>
          <t xml:space="preserve">52747327R </t>
        </is>
      </c>
      <c r="H76" s="37" t="inlineStr">
        <is>
          <t xml:space="preserve">Director de tesis </t>
        </is>
      </c>
      <c r="I76" s="18" t="inlineStr">
        <is>
          <t xml:space="preserve">B115 </t>
        </is>
      </c>
      <c r="J76" s="37" t="inlineStr">
        <is>
          <t xml:space="preserve">FILOL. ESPAÑOLA, LINGÜÍSTICA GENERAL Y TEORIA DE LA LITERATURA </t>
        </is>
      </c>
      <c r="K76" s="92" t="n">
        <v>1</v>
      </c>
      <c r="L76" s="37" t="inlineStr">
        <is>
          <t>B115</t>
        </is>
      </c>
      <c r="M76" s="37" t="n">
        <v>2019</v>
      </c>
      <c r="N76" s="37" t="inlineStr">
        <is>
          <t>10.15</t>
        </is>
      </c>
      <c r="O76" s="39" t="inlineStr">
        <is>
          <t>10</t>
        </is>
      </c>
      <c r="P76" s="37" t="inlineStr">
        <is>
          <t>10.23</t>
        </is>
      </c>
      <c r="Q76" s="39" t="inlineStr">
        <is>
          <t>20</t>
        </is>
      </c>
      <c r="R76" s="87" t="n">
        <v>70</v>
      </c>
      <c r="S76" s="88" t="n">
        <v>0.7</v>
      </c>
      <c r="T76" s="88" t="n">
        <v>0.1</v>
      </c>
      <c r="U76" s="88" t="n">
        <v>0.2</v>
      </c>
    </row>
    <row r="77">
      <c r="A77" s="37" t="inlineStr">
        <is>
          <t xml:space="preserve">U023 </t>
        </is>
      </c>
      <c r="B77" s="37" t="inlineStr">
        <is>
          <t xml:space="preserve">ADM. FACULTAD DE FILOSOFIA Y LETRAS </t>
        </is>
      </c>
      <c r="C77" s="37" t="inlineStr">
        <is>
          <t xml:space="preserve">DOCTORADO EN FILOSOFÍA Y LETRAS </t>
        </is>
      </c>
      <c r="D77" s="37" t="inlineStr">
        <is>
          <t xml:space="preserve">Aliaga Aguza, Laura María </t>
        </is>
      </c>
      <c r="E77" s="37" t="inlineStr">
        <is>
          <t xml:space="preserve">ANÁLISIS LINGÜÍSTICO DEL HUMOR EN EL MEDIO AUDIOVISUAL: LAS ESTRATEGIAS HUMORÍSTICAS DE LA COMEDIA DE SITUACIÓN </t>
        </is>
      </c>
      <c r="F77" s="37" t="inlineStr">
        <is>
          <t xml:space="preserve">29/01/2020 </t>
        </is>
      </c>
      <c r="G77" s="37" t="inlineStr">
        <is>
          <t xml:space="preserve">52747327R </t>
        </is>
      </c>
      <c r="H77" s="37" t="inlineStr">
        <is>
          <t xml:space="preserve">Codirector de tesis </t>
        </is>
      </c>
      <c r="I77" s="18" t="inlineStr">
        <is>
          <t xml:space="preserve">B115 </t>
        </is>
      </c>
      <c r="J77" s="37" t="inlineStr">
        <is>
          <t xml:space="preserve">FILOL. ESPAÑOLA, LINGÜÍSTICA GENERAL Y TEORIA DE LA LITERATURA </t>
        </is>
      </c>
      <c r="K77" s="92" t="n">
        <v>0.5</v>
      </c>
      <c r="L77" s="37" t="inlineStr">
        <is>
          <t>B115</t>
        </is>
      </c>
      <c r="M77" s="37" t="n">
        <v>2019</v>
      </c>
      <c r="N77" s="37" t="inlineStr">
        <is>
          <t>10.15</t>
        </is>
      </c>
      <c r="O77" s="39" t="inlineStr">
        <is>
          <t>10</t>
        </is>
      </c>
      <c r="P77" s="37" t="inlineStr">
        <is>
          <t>10.23</t>
        </is>
      </c>
      <c r="Q77" s="39" t="inlineStr">
        <is>
          <t>20</t>
        </is>
      </c>
      <c r="R77" s="87" t="n">
        <v>70</v>
      </c>
      <c r="S77" s="88" t="n">
        <v>0.35</v>
      </c>
      <c r="T77" s="88" t="n">
        <v>0.05</v>
      </c>
      <c r="U77" s="88" t="n">
        <v>0.1</v>
      </c>
    </row>
    <row r="78">
      <c r="A78" s="37" t="inlineStr">
        <is>
          <t xml:space="preserve">U023 </t>
        </is>
      </c>
      <c r="B78" s="37" t="inlineStr">
        <is>
          <t xml:space="preserve">ADM. FACULTAD DE FILOSOFIA Y LETRAS </t>
        </is>
      </c>
      <c r="C78" s="37" t="inlineStr">
        <is>
          <t xml:space="preserve">DOCTORADO EN FILOSOFÍA Y LETRAS </t>
        </is>
      </c>
      <c r="D78" s="37" t="inlineStr">
        <is>
          <t xml:space="preserve">Aliaga Aguza, Laura María </t>
        </is>
      </c>
      <c r="E78" s="37" t="inlineStr">
        <is>
          <t xml:space="preserve">ANÁLISIS LINGÜÍSTICO DEL HUMOR EN EL MEDIO AUDIOVISUAL: LAS ESTRATEGIAS HUMORÍSTICAS DE LA COMEDIA DE SITUACIÓN </t>
        </is>
      </c>
      <c r="F78" s="37" t="inlineStr">
        <is>
          <t xml:space="preserve">29/01/2020 </t>
        </is>
      </c>
      <c r="G78" s="37" t="inlineStr">
        <is>
          <t xml:space="preserve">44752168X </t>
        </is>
      </c>
      <c r="H78" s="37" t="inlineStr">
        <is>
          <t xml:space="preserve">Codirector de tesis </t>
        </is>
      </c>
      <c r="I78" s="18" t="inlineStr">
        <is>
          <t xml:space="preserve">B115 </t>
        </is>
      </c>
      <c r="J78" s="37" t="inlineStr">
        <is>
          <t xml:space="preserve">FILOL. ESPAÑOLA, LINGÜÍSTICA GENERAL Y TEORIA DE LA LITERATURA </t>
        </is>
      </c>
      <c r="K78" s="92" t="n">
        <v>0.5</v>
      </c>
      <c r="L78" s="37" t="inlineStr">
        <is>
          <t>B115</t>
        </is>
      </c>
      <c r="M78" s="37" t="n">
        <v>2019</v>
      </c>
      <c r="N78" s="37" t="inlineStr">
        <is>
          <t>10.25</t>
        </is>
      </c>
      <c r="O78" s="39" t="inlineStr">
        <is>
          <t>10</t>
        </is>
      </c>
      <c r="P78" s="37" t="inlineStr">
        <is>
          <t>10.23</t>
        </is>
      </c>
      <c r="Q78" s="39" t="inlineStr">
        <is>
          <t>20</t>
        </is>
      </c>
      <c r="R78" s="87" t="n">
        <v>70</v>
      </c>
      <c r="S78" s="88" t="n">
        <v>0.35</v>
      </c>
      <c r="T78" s="88" t="n">
        <v>0.05</v>
      </c>
      <c r="U78" s="88" t="n">
        <v>0.1</v>
      </c>
    </row>
    <row r="79">
      <c r="A79" s="63" t="inlineStr">
        <is>
          <t xml:space="preserve">B177 </t>
        </is>
      </c>
      <c r="B79" s="63" t="inlineStr">
        <is>
          <t xml:space="preserve">PSICOLOGÍA EVOLUTIVA Y DIDÁCTICA </t>
        </is>
      </c>
      <c r="C79" s="63" t="inlineStr">
        <is>
          <t xml:space="preserve">DOCTORADO EN INVESTIGACIÓN EDUCATIVA </t>
        </is>
      </c>
      <c r="D79" s="63" t="inlineStr">
        <is>
          <t xml:space="preserve">Blanco Reyes, Lidia </t>
        </is>
      </c>
      <c r="E79" s="63" t="inlineStr">
        <is>
          <t xml:space="preserve">EL DESARROLLO PROFESIONAL DOCENTE A TRAVÉS DEL PROGRAMA ERASMUS+: UN ESTUDIO DE CASOS </t>
        </is>
      </c>
      <c r="F79" s="63" t="inlineStr">
        <is>
          <t xml:space="preserve">15/12/2020 </t>
        </is>
      </c>
      <c r="G79" s="63" t="inlineStr">
        <is>
          <t xml:space="preserve">76941801Q </t>
        </is>
      </c>
      <c r="H79" s="63" t="inlineStr">
        <is>
          <t xml:space="preserve">Codirector de tesis </t>
        </is>
      </c>
      <c r="I79" s="64" t="inlineStr">
        <is>
          <t xml:space="preserve">B112 </t>
        </is>
      </c>
      <c r="J79" s="63" t="inlineStr">
        <is>
          <t xml:space="preserve">DIDACTICA GENERAL Y DIDÁCTICAS ESPECÍFICAS </t>
        </is>
      </c>
      <c r="K79" s="64" t="n">
        <v>0.5</v>
      </c>
      <c r="L79" s="64" t="inlineStr">
        <is>
          <t>B112</t>
        </is>
      </c>
      <c r="M79" s="40" t="n">
        <v>2019</v>
      </c>
      <c r="N79" s="63" t="inlineStr">
        <is>
          <t>10.25</t>
        </is>
      </c>
      <c r="O79" s="21" t="n">
        <v>30</v>
      </c>
      <c r="P79" s="63" t="inlineStr">
        <is>
          <t>10.23</t>
        </is>
      </c>
      <c r="Q79" s="21" t="n">
        <v>20</v>
      </c>
      <c r="R79" s="89" t="n">
        <v>50</v>
      </c>
      <c r="S79" s="89" t="n">
        <v>0.25</v>
      </c>
      <c r="T79" s="89" t="n">
        <v>0.15</v>
      </c>
      <c r="U79" s="89" t="n">
        <v>0.1</v>
      </c>
    </row>
    <row r="80">
      <c r="A80" s="63" t="inlineStr">
        <is>
          <t xml:space="preserve">B177 </t>
        </is>
      </c>
      <c r="B80" s="63" t="inlineStr">
        <is>
          <t xml:space="preserve">PSICOLOGÍA EVOLUTIVA Y DIDÁCTICA </t>
        </is>
      </c>
      <c r="C80" s="63" t="inlineStr">
        <is>
          <t xml:space="preserve">DOCTORADO EN INVESTIGACIÓN EDUCATIVA </t>
        </is>
      </c>
      <c r="D80" s="63" t="inlineStr">
        <is>
          <t xml:space="preserve">Blanco Reyes, Lidia </t>
        </is>
      </c>
      <c r="E80" s="63" t="inlineStr">
        <is>
          <t xml:space="preserve">EL DESARROLLO PROFESIONAL DOCENTE A TRAVÉS DEL PROGRAMA ERASMUS+: UN ESTUDIO DE CASOS </t>
        </is>
      </c>
      <c r="F80" s="63" t="inlineStr">
        <is>
          <t xml:space="preserve">15/12/2020 </t>
        </is>
      </c>
      <c r="G80" s="63" t="inlineStr">
        <is>
          <t xml:space="preserve">48379979P </t>
        </is>
      </c>
      <c r="H80" s="63" t="inlineStr">
        <is>
          <t xml:space="preserve">Codirector de tesis </t>
        </is>
      </c>
      <c r="I80" s="64" t="inlineStr">
        <is>
          <t xml:space="preserve">B112 </t>
        </is>
      </c>
      <c r="J80" s="63" t="inlineStr">
        <is>
          <t xml:space="preserve">DIDACTICA GENERAL Y DIDÁCTICAS ESPECÍFICAS </t>
        </is>
      </c>
      <c r="K80" s="64" t="n">
        <v>0.5</v>
      </c>
      <c r="L80" s="64" t="inlineStr">
        <is>
          <t>B112</t>
        </is>
      </c>
      <c r="M80" s="40" t="n">
        <v>2019</v>
      </c>
      <c r="N80" s="63" t="inlineStr">
        <is>
          <t>10.25</t>
        </is>
      </c>
      <c r="O80" s="21" t="n">
        <v>30</v>
      </c>
      <c r="P80" s="63" t="inlineStr">
        <is>
          <t>10.23</t>
        </is>
      </c>
      <c r="Q80" s="21" t="n">
        <v>20</v>
      </c>
      <c r="R80" s="89" t="n">
        <v>50</v>
      </c>
      <c r="S80" s="89" t="n">
        <v>0.25</v>
      </c>
      <c r="T80" s="89" t="n">
        <v>0.15</v>
      </c>
      <c r="U80" s="89" t="n">
        <v>0.1</v>
      </c>
    </row>
    <row r="81" ht="12" customHeight="1" thickBot="1">
      <c r="A81" s="63" t="inlineStr">
        <is>
          <t xml:space="preserve">U023 </t>
        </is>
      </c>
      <c r="B81" s="63" t="inlineStr">
        <is>
          <t xml:space="preserve">ADM. FACULTAD DE FILOSOFIA Y LETRAS </t>
        </is>
      </c>
      <c r="C81" s="63" t="inlineStr">
        <is>
          <t xml:space="preserve">DOCTORADO EN FILOSOFÍA Y LETRAS </t>
        </is>
      </c>
      <c r="D81" s="63" t="inlineStr">
        <is>
          <t xml:space="preserve">Segura Martínez, Vicente </t>
        </is>
      </c>
      <c r="E81" s="63" t="inlineStr">
        <is>
          <t xml:space="preserve">Cultura industrial, ludismo y proyección literaria </t>
        </is>
      </c>
      <c r="F81" s="63" t="inlineStr">
        <is>
          <t xml:space="preserve">23/10/2020 </t>
        </is>
      </c>
      <c r="G81" s="63" t="inlineStr">
        <is>
          <t xml:space="preserve">48345463S </t>
        </is>
      </c>
      <c r="H81" s="63" t="inlineStr">
        <is>
          <t xml:space="preserve">Codirector de tesis </t>
        </is>
      </c>
      <c r="I81" s="64" t="inlineStr">
        <is>
          <t xml:space="preserve">B116 </t>
        </is>
      </c>
      <c r="J81" s="63" t="inlineStr">
        <is>
          <t xml:space="preserve">FILOLOGÍA INGLESA </t>
        </is>
      </c>
      <c r="K81" s="64" t="n">
        <v>0.5</v>
      </c>
      <c r="L81" s="64" t="inlineStr">
        <is>
          <t>B116</t>
        </is>
      </c>
      <c r="M81" s="40" t="n">
        <v>2019</v>
      </c>
      <c r="N81" s="63" t="inlineStr">
        <is>
          <t>10.22</t>
        </is>
      </c>
      <c r="O81" s="21" t="n">
        <v>10</v>
      </c>
      <c r="P81" s="63" t="inlineStr">
        <is>
          <t>10.23</t>
        </is>
      </c>
      <c r="Q81" s="21" t="n">
        <v>20</v>
      </c>
      <c r="R81" s="89" t="n">
        <v>70</v>
      </c>
      <c r="S81" s="89" t="n">
        <v>0.35</v>
      </c>
      <c r="T81" s="89" t="n">
        <v>0.05</v>
      </c>
      <c r="U81" s="89" t="n">
        <v>0.1</v>
      </c>
    </row>
    <row r="82" ht="12" customHeight="1" thickBot="1">
      <c r="A82" s="42" t="inlineStr">
        <is>
          <t xml:space="preserve">B112 </t>
        </is>
      </c>
      <c r="B82" s="42" t="inlineStr">
        <is>
          <t xml:space="preserve">DIDACTICA GENERAL Y DIDÁCTICAS ESPECÍFICAS </t>
        </is>
      </c>
      <c r="C82" s="42" t="inlineStr">
        <is>
          <t xml:space="preserve">DOCTORADO EN INVESTIGACIÓN EDUCATIVA </t>
        </is>
      </c>
      <c r="D82" s="42" t="inlineStr">
        <is>
          <t xml:space="preserve">Brenes Maltez, Perla Mayela </t>
        </is>
      </c>
      <c r="E82" s="42" t="inlineStr">
        <is>
          <t xml:space="preserve">Diseño y evaluación de un programa para el desarrollo de la competencia investigadora en la formación inicial de docentes: percepción de alumnado y profesorado </t>
        </is>
      </c>
      <c r="F82" s="42" t="inlineStr">
        <is>
          <t xml:space="preserve">30/09/2021 </t>
        </is>
      </c>
      <c r="G82" s="43" t="inlineStr">
        <is>
          <t xml:space="preserve">76941801Q </t>
        </is>
      </c>
      <c r="H82" s="44" t="inlineStr">
        <is>
          <t xml:space="preserve">Director de tesis </t>
        </is>
      </c>
      <c r="I82" s="20" t="inlineStr">
        <is>
          <t xml:space="preserve">B112 </t>
        </is>
      </c>
      <c r="J82" s="45" t="inlineStr">
        <is>
          <t xml:space="preserve">DIDACTICA GENERAL Y DIDÁCTICAS ESPECÍFICAS </t>
        </is>
      </c>
      <c r="K82" s="64" t="n">
        <v>1</v>
      </c>
      <c r="L82" s="64" t="inlineStr">
        <is>
          <t>B112</t>
        </is>
      </c>
      <c r="M82" s="63" t="n">
        <v>2020</v>
      </c>
      <c r="N82" s="63" t="inlineStr">
        <is>
          <t>10.25</t>
        </is>
      </c>
      <c r="O82" s="21" t="n">
        <v>30</v>
      </c>
      <c r="P82" s="63" t="inlineStr">
        <is>
          <t>10.23</t>
        </is>
      </c>
      <c r="Q82" s="21" t="n">
        <v>20</v>
      </c>
      <c r="R82" s="89" t="n">
        <v>50</v>
      </c>
      <c r="S82" s="89" t="n">
        <v>0.5</v>
      </c>
      <c r="T82" s="89" t="n">
        <v>0.3</v>
      </c>
      <c r="U82" s="89" t="n">
        <v>0.2</v>
      </c>
    </row>
    <row r="83" ht="12" customHeight="1" thickBot="1">
      <c r="A83" s="42" t="inlineStr">
        <is>
          <t xml:space="preserve">B177 </t>
        </is>
      </c>
      <c r="B83" s="42" t="inlineStr">
        <is>
          <t xml:space="preserve">PSICOLOGÍA EVOLUTIVA Y DIDÁCTICA </t>
        </is>
      </c>
      <c r="C83" s="42" t="inlineStr">
        <is>
          <t xml:space="preserve">DOCTORADO EN INVESTIGACIÓN EDUCATIVA </t>
        </is>
      </c>
      <c r="D83" s="42" t="inlineStr">
        <is>
          <t xml:space="preserve">Silva Martínez, Gardenia </t>
        </is>
      </c>
      <c r="E83" s="42" t="inlineStr">
        <is>
          <t xml:space="preserve">Análisis de las dificultades de los estudiantes para desarrollar su carrera en al Universidad UTE Santo Domingo (Ecuador) </t>
        </is>
      </c>
      <c r="F83" s="42" t="inlineStr">
        <is>
          <t xml:space="preserve">19/02/2021 </t>
        </is>
      </c>
      <c r="G83" s="43" t="inlineStr">
        <is>
          <t xml:space="preserve">76941801Q </t>
        </is>
      </c>
      <c r="H83" s="44" t="inlineStr">
        <is>
          <t xml:space="preserve">Director de tesis </t>
        </is>
      </c>
      <c r="I83" s="20" t="inlineStr">
        <is>
          <t xml:space="preserve">B112 </t>
        </is>
      </c>
      <c r="J83" s="45" t="inlineStr">
        <is>
          <t xml:space="preserve">DIDACTICA GENERAL Y DIDÁCTICAS ESPECÍFICAS </t>
        </is>
      </c>
      <c r="K83" s="64" t="n">
        <v>1</v>
      </c>
      <c r="L83" s="64" t="inlineStr">
        <is>
          <t>B112</t>
        </is>
      </c>
      <c r="M83" s="63" t="n">
        <v>2020</v>
      </c>
      <c r="N83" s="63" t="inlineStr">
        <is>
          <t>10.25</t>
        </is>
      </c>
      <c r="O83" s="21" t="n">
        <v>30</v>
      </c>
      <c r="P83" s="63" t="inlineStr">
        <is>
          <t>10.23</t>
        </is>
      </c>
      <c r="Q83" s="21" t="n">
        <v>20</v>
      </c>
      <c r="R83" s="89" t="n">
        <v>50</v>
      </c>
      <c r="S83" s="89" t="n">
        <v>0.5</v>
      </c>
      <c r="T83" s="89" t="n">
        <v>0.3</v>
      </c>
      <c r="U83" s="89" t="n">
        <v>0.2</v>
      </c>
    </row>
    <row r="84" ht="12" customHeight="1" thickBot="1">
      <c r="A84" s="42" t="inlineStr">
        <is>
          <t xml:space="preserve">U036 </t>
        </is>
      </c>
      <c r="B84" s="42" t="inlineStr">
        <is>
          <t xml:space="preserve">ADM. FACULTAD DE CIENCIAS ECONÓMICAS </t>
        </is>
      </c>
      <c r="C84" s="42" t="inlineStr">
        <is>
          <t xml:space="preserve">DOCTORADO EN EMPRESA, ECONOMÍA Y SOCIEDAD </t>
        </is>
      </c>
      <c r="D84" s="42" t="inlineStr">
        <is>
          <t xml:space="preserve">Escandell Poveda, Raquel </t>
        </is>
      </c>
      <c r="E84" s="42" t="inlineStr">
        <is>
          <t xml:space="preserve">Radiografía del Seo en España: demanda laboral, sector empresarial y perfil profesional del posicionamiento web </t>
        </is>
      </c>
      <c r="F84" s="42" t="inlineStr">
        <is>
          <t xml:space="preserve">28/07/2021 </t>
        </is>
      </c>
      <c r="G84" s="43" t="inlineStr">
        <is>
          <t xml:space="preserve">21499146B </t>
        </is>
      </c>
      <c r="H84" s="44" t="inlineStr">
        <is>
          <t xml:space="preserve">Codirector de tesis </t>
        </is>
      </c>
      <c r="I84" s="20" t="inlineStr">
        <is>
          <t xml:space="preserve">B175 </t>
        </is>
      </c>
      <c r="J84" s="45" t="inlineStr">
        <is>
          <t xml:space="preserve">COMUNICACIÓN Y PSICOLOGÍA SOCIAL </t>
        </is>
      </c>
      <c r="K84" s="64" t="n">
        <v>0.5</v>
      </c>
      <c r="L84" s="64" t="inlineStr">
        <is>
          <t>B175</t>
        </is>
      </c>
      <c r="M84" s="63" t="n">
        <v>2020</v>
      </c>
      <c r="N84" s="63" t="inlineStr">
        <is>
          <t>10.06</t>
        </is>
      </c>
      <c r="O84" s="21" t="n">
        <v>20</v>
      </c>
      <c r="P84" s="63" t="inlineStr">
        <is>
          <t>10.23</t>
        </is>
      </c>
      <c r="Q84" s="21" t="n">
        <v>20</v>
      </c>
      <c r="R84" s="89" t="n">
        <v>60</v>
      </c>
      <c r="S84" s="89" t="n">
        <v>0.3</v>
      </c>
      <c r="T84" s="89" t="n">
        <v>0.1</v>
      </c>
      <c r="U84" s="89" t="n">
        <v>0.1</v>
      </c>
    </row>
    <row r="85">
      <c r="A85" s="63" t="inlineStr">
        <is>
          <t xml:space="preserve">U073 </t>
        </is>
      </c>
      <c r="B85" s="63" t="inlineStr">
        <is>
          <t xml:space="preserve">ADM. I.U. INVESTIGACIÓN DE ESTUDIOS DE GÉNERO </t>
        </is>
      </c>
      <c r="C85" s="63" t="inlineStr">
        <is>
          <t xml:space="preserve">DOCTORADO EN ESTUDIOS INTERDISCIPLINARES DE GÉNERO </t>
        </is>
      </c>
      <c r="D85" s="63" t="inlineStr">
        <is>
          <t xml:space="preserve">Ráez Domínguez, María </t>
        </is>
      </c>
      <c r="E85" s="63" t="inlineStr">
        <is>
          <t xml:space="preserve">"Análisis discursivo y violencias simbólicas en torno a la mujer subsahariana. Una comparación de los discursos de violencia en servicios públicos y organizaciones no gubernamentales". </t>
        </is>
      </c>
      <c r="F85" s="63" t="inlineStr">
        <is>
          <t xml:space="preserve">04/05/2022 </t>
        </is>
      </c>
      <c r="G85" s="63" t="inlineStr">
        <is>
          <t xml:space="preserve">26226014B </t>
        </is>
      </c>
      <c r="H85" s="63" t="inlineStr">
        <is>
          <t xml:space="preserve">Director de tesis </t>
        </is>
      </c>
      <c r="I85" s="64" t="inlineStr">
        <is>
          <t xml:space="preserve">B116 </t>
        </is>
      </c>
      <c r="J85" s="63" t="inlineStr">
        <is>
          <t xml:space="preserve">FILOLOGÍA INGLESA </t>
        </is>
      </c>
      <c r="K85" s="64" t="n">
        <v>1</v>
      </c>
      <c r="L85" s="64" t="inlineStr">
        <is>
          <t>B116</t>
        </is>
      </c>
      <c r="M85" s="63" t="n">
        <v>2021</v>
      </c>
      <c r="N85" s="63" t="inlineStr">
        <is>
          <t>10.15</t>
        </is>
      </c>
      <c r="O85" s="21" t="n">
        <v>10</v>
      </c>
      <c r="P85" s="63" t="inlineStr">
        <is>
          <t>10.23</t>
        </is>
      </c>
      <c r="Q85" s="21" t="n">
        <v>20</v>
      </c>
      <c r="R85" s="89" t="n">
        <v>70</v>
      </c>
      <c r="S85" s="89" t="n">
        <v>0.7</v>
      </c>
      <c r="T85" s="89" t="n">
        <v>0.1</v>
      </c>
      <c r="U85" s="89" t="n">
        <v>0.2</v>
      </c>
    </row>
    <row r="86">
      <c r="A86" s="63" t="inlineStr">
        <is>
          <t xml:space="preserve">B177 </t>
        </is>
      </c>
      <c r="B86" s="63" t="inlineStr">
        <is>
          <t xml:space="preserve">PSICOLOGÍA EVOLUTIVA Y DIDÁCTICA </t>
        </is>
      </c>
      <c r="C86" s="63" t="inlineStr">
        <is>
          <t xml:space="preserve">DOCTORADO EN INVESTIGACIÓN EDUCATIVA </t>
        </is>
      </c>
      <c r="D86" s="63" t="inlineStr">
        <is>
          <t>Univio Molano, Julio Esteban</t>
        </is>
      </c>
      <c r="E86" s="63" t="inlineStr">
        <is>
          <t xml:space="preserve">La formación pedagógica del docente de Filosofía para la educación media </t>
        </is>
      </c>
      <c r="F86" s="63" t="inlineStr">
        <is>
          <t xml:space="preserve">04/05/2023 </t>
        </is>
      </c>
      <c r="G86" s="63" t="inlineStr">
        <is>
          <t xml:space="preserve">76941801Q </t>
        </is>
      </c>
      <c r="H86" s="63" t="inlineStr">
        <is>
          <t xml:space="preserve">Director de tesis </t>
        </is>
      </c>
      <c r="I86" s="64" t="inlineStr">
        <is>
          <t xml:space="preserve">B112 </t>
        </is>
      </c>
      <c r="J86" s="63" t="inlineStr">
        <is>
          <t xml:space="preserve">DIDACTICA GENERAL Y DIDÁCTICAS ESPECÍFICAS </t>
        </is>
      </c>
      <c r="K86" s="41" t="n">
        <v>1</v>
      </c>
      <c r="L86" s="41" t="inlineStr">
        <is>
          <t>B112</t>
        </is>
      </c>
      <c r="M86" s="63" t="n">
        <v>2022</v>
      </c>
      <c r="N86" s="41" t="inlineStr">
        <is>
          <t>10.25</t>
        </is>
      </c>
      <c r="O86" s="41" t="n">
        <v>30</v>
      </c>
      <c r="P86" s="41" t="inlineStr">
        <is>
          <t>10.23</t>
        </is>
      </c>
      <c r="Q86" s="41" t="n">
        <v>20</v>
      </c>
      <c r="R86" s="90" t="n">
        <v>50</v>
      </c>
      <c r="S86" s="90" t="n">
        <v>0.5</v>
      </c>
      <c r="T86" s="90" t="n">
        <v>0.3</v>
      </c>
      <c r="U86" s="90" t="n">
        <v>0.2</v>
      </c>
    </row>
    <row r="87">
      <c r="A87" s="63" t="inlineStr">
        <is>
          <t xml:space="preserve">U023 </t>
        </is>
      </c>
      <c r="B87" s="63" t="inlineStr">
        <is>
          <t xml:space="preserve">ADM. FACULTAD DE FILOSOFIA Y LETRAS </t>
        </is>
      </c>
      <c r="C87" s="63" t="inlineStr">
        <is>
          <t xml:space="preserve">DOCTORADO EN FILOSOFÍA Y LETRAS </t>
        </is>
      </c>
      <c r="D87" s="63" t="inlineStr">
        <is>
          <t>Pomata García, Joan Antoni</t>
        </is>
      </c>
      <c r="E87" s="63" t="inlineStr">
        <is>
          <t xml:space="preserve">Simulación de inmersión lingüística con ELEcante: un videojuego educativo para la adquisición de español como lengua extranjera </t>
        </is>
      </c>
      <c r="F87" s="63" t="inlineStr">
        <is>
          <t xml:space="preserve">14/11/2022 </t>
        </is>
      </c>
      <c r="G87" s="63" t="inlineStr">
        <is>
          <t xml:space="preserve">21442493F </t>
        </is>
      </c>
      <c r="H87" s="63" t="inlineStr">
        <is>
          <t xml:space="preserve">Director de tesis </t>
        </is>
      </c>
      <c r="I87" s="64" t="inlineStr">
        <is>
          <t xml:space="preserve">B115 </t>
        </is>
      </c>
      <c r="J87" s="63" t="inlineStr">
        <is>
          <t xml:space="preserve">FILOL. ESPAÑOLA, LINGÜÍSTICA GENERAL Y TEORIA DE LA LITERATURA </t>
        </is>
      </c>
      <c r="K87" s="41" t="n">
        <v>1</v>
      </c>
      <c r="L87" s="41" t="inlineStr">
        <is>
          <t>B115</t>
        </is>
      </c>
      <c r="M87" s="63" t="n">
        <v>2022</v>
      </c>
      <c r="N87" s="41" t="inlineStr">
        <is>
          <t>10.15</t>
        </is>
      </c>
      <c r="O87" s="41" t="n">
        <v>10</v>
      </c>
      <c r="P87" s="41" t="inlineStr">
        <is>
          <t>10.23</t>
        </is>
      </c>
      <c r="Q87" s="41" t="n">
        <v>10</v>
      </c>
      <c r="R87" s="90" t="n">
        <v>80</v>
      </c>
      <c r="S87" s="90" t="n">
        <v>0.8</v>
      </c>
      <c r="T87" s="90" t="n">
        <v>0.1</v>
      </c>
      <c r="U87" s="90" t="n">
        <v>0.1</v>
      </c>
    </row>
    <row r="88" ht="15" customHeight="1">
      <c r="A88" s="63" t="inlineStr">
        <is>
          <t xml:space="preserve">U073 </t>
        </is>
      </c>
      <c r="B88" s="63" t="inlineStr">
        <is>
          <t xml:space="preserve">I.U. INVESTIGACIÓN DE ESTUDIOS DE GÉNERO (10.23) </t>
        </is>
      </c>
      <c r="C88" s="63" t="inlineStr">
        <is>
          <t xml:space="preserve">DOCTORADO EN ESTUDIOS INTERDISCIPLINARES DE GÉNERO </t>
        </is>
      </c>
      <c r="D88" s="63" t="inlineStr">
        <is>
          <t>Soria Berrocosa, María Soledad</t>
        </is>
      </c>
      <c r="E88" s="63" t="inlineStr">
        <is>
          <t xml:space="preserve">Rachilde. De la petite ouvrière des Lettres à la femme-critique littéraire au 'Mercure de France' </t>
        </is>
      </c>
      <c r="F88" s="63" t="inlineStr">
        <is>
          <t xml:space="preserve">14/09/2023 </t>
        </is>
      </c>
      <c r="G88" s="63" t="inlineStr">
        <is>
          <t xml:space="preserve">21417486R </t>
        </is>
      </c>
      <c r="H88" s="63" t="inlineStr">
        <is>
          <t xml:space="preserve">Director de tesis </t>
        </is>
      </c>
      <c r="I88" s="64" t="inlineStr">
        <is>
          <t xml:space="preserve">B114 </t>
        </is>
      </c>
      <c r="J88" s="63" t="inlineStr">
        <is>
          <t xml:space="preserve">FILOLOGIAS INTEGRADAS </t>
        </is>
      </c>
      <c r="K88" s="41" t="n">
        <v>1</v>
      </c>
      <c r="L88" s="41" t="inlineStr">
        <is>
          <t>B114</t>
        </is>
      </c>
      <c r="M88" s="63" t="n">
        <v>2022</v>
      </c>
      <c r="N88" s="41" t="inlineStr">
        <is>
          <t>10.15</t>
        </is>
      </c>
      <c r="O88" s="41" t="n">
        <v>10</v>
      </c>
      <c r="P88" s="41" t="inlineStr">
        <is>
          <t>10.23</t>
        </is>
      </c>
      <c r="Q88" s="41" t="n">
        <v>20</v>
      </c>
      <c r="R88" s="90" t="n">
        <v>70</v>
      </c>
      <c r="S88" s="90" t="n">
        <v>0.7</v>
      </c>
      <c r="T88" s="90" t="n">
        <v>0.1</v>
      </c>
      <c r="U88" s="90" t="n">
        <v>0.2</v>
      </c>
      <c r="Y88" s="61" t="n"/>
    </row>
    <row r="89" ht="14.25" customFormat="1" customHeight="1" s="66">
      <c r="A89" s="63" t="inlineStr">
        <is>
          <t>B177</t>
        </is>
      </c>
      <c r="B89" s="63" t="inlineStr">
        <is>
          <t>PSICOLOGÍA EVOLUTIVA Y DIDÁCTICA</t>
        </is>
      </c>
      <c r="C89" s="63" t="inlineStr">
        <is>
          <t>DOCTORADO EN INVESTIGACIÓN EDUCATIVA</t>
        </is>
      </c>
      <c r="D89" s="63" t="inlineStr">
        <is>
          <t>Bayas Vallejo, Alejandro</t>
        </is>
      </c>
      <c r="E89" s="63" t="inlineStr">
        <is>
          <t>Itinerario educativo ambiental en dos áreas protegidas del Ecuador para los estudiantes
de la carrera de pedagogía de las Ciencias Experimentales, Química y Biología, de la
Universidad Central de Educador.</t>
        </is>
      </c>
      <c r="F89" s="63" t="inlineStr">
        <is>
          <t>13/03/2024</t>
        </is>
      </c>
      <c r="G89" s="63" t="inlineStr">
        <is>
          <t>48379979P</t>
        </is>
      </c>
      <c r="H89" s="63" t="inlineStr">
        <is>
          <t>Codirector de tesis</t>
        </is>
      </c>
      <c r="I89" s="64" t="inlineStr">
        <is>
          <t>B112</t>
        </is>
      </c>
      <c r="J89" s="63" t="inlineStr">
        <is>
          <t>DIDACTICA GENERAL Y DIDÁCTICAS ESPECÍFICAS</t>
        </is>
      </c>
      <c r="K89" s="41" t="n">
        <v>0.5</v>
      </c>
      <c r="L89" s="41" t="inlineStr">
        <is>
          <t>B112</t>
        </is>
      </c>
      <c r="M89" s="41" t="n">
        <v>2023</v>
      </c>
      <c r="N89" s="41" t="inlineStr">
        <is>
          <t>10.25</t>
        </is>
      </c>
      <c r="O89" s="41" t="inlineStr">
        <is>
          <t>30</t>
        </is>
      </c>
      <c r="P89" s="41" t="inlineStr">
        <is>
          <t>10.23</t>
        </is>
      </c>
      <c r="Q89" s="41" t="inlineStr">
        <is>
          <t>20</t>
        </is>
      </c>
      <c r="R89" s="90" t="n">
        <v>50</v>
      </c>
      <c r="S89" s="90" t="n">
        <v>0.25</v>
      </c>
      <c r="T89" s="90" t="n">
        <v>0.15</v>
      </c>
      <c r="U89" s="90" t="n">
        <v>0.1</v>
      </c>
      <c r="V89" s="65" t="inlineStr">
        <is>
          <t>S</t>
        </is>
      </c>
      <c r="Y89" s="61" t="n"/>
    </row>
    <row r="90" ht="14.25" customFormat="1" customHeight="1" s="66">
      <c r="A90" s="63" t="inlineStr">
        <is>
          <t>B177</t>
        </is>
      </c>
      <c r="B90" s="63" t="inlineStr">
        <is>
          <t>PSICOLOGÍA EVOLUTIVA Y DIDÁCTICA</t>
        </is>
      </c>
      <c r="C90" s="63" t="inlineStr">
        <is>
          <t>DOCTORADO EN INVESTIGACIÓN EDUCATIVA</t>
        </is>
      </c>
      <c r="D90" s="63" t="inlineStr">
        <is>
          <t>Camús Ferri, María Del Mar</t>
        </is>
      </c>
      <c r="E90" s="63" t="inlineStr">
        <is>
          <t>La comunicación didáctica en la docencia universitaria: un estudio de caso en la
 Universidad de Alicante y en la Universidad de Valencia</t>
        </is>
      </c>
      <c r="F90" s="63" t="inlineStr">
        <is>
          <t>14/02/2024</t>
        </is>
      </c>
      <c r="G90" s="63" t="inlineStr">
        <is>
          <t>76941801Q</t>
        </is>
      </c>
      <c r="H90" s="63" t="inlineStr">
        <is>
          <t>Codirector de tesis</t>
        </is>
      </c>
      <c r="I90" s="64" t="inlineStr">
        <is>
          <t>B112</t>
        </is>
      </c>
      <c r="J90" s="63" t="inlineStr">
        <is>
          <t>DIDACTICA GENERAL Y DIDÁCTICAS ESPECÍFICAS</t>
        </is>
      </c>
      <c r="K90" s="41" t="n">
        <v>0.5</v>
      </c>
      <c r="L90" s="41" t="inlineStr">
        <is>
          <t>B112</t>
        </is>
      </c>
      <c r="M90" s="41" t="n">
        <v>2023</v>
      </c>
      <c r="N90" s="41" t="inlineStr">
        <is>
          <t>10.25</t>
        </is>
      </c>
      <c r="O90" s="41" t="inlineStr">
        <is>
          <t>30</t>
        </is>
      </c>
      <c r="P90" s="41" t="inlineStr">
        <is>
          <t>10.23</t>
        </is>
      </c>
      <c r="Q90" s="41" t="inlineStr">
        <is>
          <t>20</t>
        </is>
      </c>
      <c r="R90" s="90" t="n">
        <v>50</v>
      </c>
      <c r="S90" s="90" t="n">
        <v>0.25</v>
      </c>
      <c r="T90" s="90" t="n">
        <v>0.15</v>
      </c>
      <c r="U90" s="90" t="n">
        <v>0.1</v>
      </c>
      <c r="V90" s="65" t="inlineStr">
        <is>
          <t>S</t>
        </is>
      </c>
      <c r="Y90" s="61" t="n"/>
    </row>
    <row r="91" ht="14.25" customFormat="1" customHeight="1" s="66">
      <c r="A91" s="63" t="inlineStr">
        <is>
          <t>B177</t>
        </is>
      </c>
      <c r="B91" s="63" t="inlineStr">
        <is>
          <t>PSICOLOGÍA EVOLUTIVA Y DIDÁCTICA</t>
        </is>
      </c>
      <c r="C91" s="63" t="inlineStr">
        <is>
          <t>DOCTORADO EN INVESTIGACIÓN EDUCATIVA</t>
        </is>
      </c>
      <c r="D91" s="63" t="inlineStr">
        <is>
          <t>Camús Ferri, María Del Mar</t>
        </is>
      </c>
      <c r="E91" s="63" t="inlineStr">
        <is>
          <t>La comunicación didáctica en la docencia universitaria: un estudio de caso en la
 Universidad de Alicante y en la Universidad de Valencia</t>
        </is>
      </c>
      <c r="F91" s="63" t="inlineStr">
        <is>
          <t>14/02/2024</t>
        </is>
      </c>
      <c r="G91" s="63" t="inlineStr">
        <is>
          <t>48379979P</t>
        </is>
      </c>
      <c r="H91" s="63" t="inlineStr">
        <is>
          <t>Codirector de tesis</t>
        </is>
      </c>
      <c r="I91" s="64" t="inlineStr">
        <is>
          <t>B112</t>
        </is>
      </c>
      <c r="J91" s="63" t="inlineStr">
        <is>
          <t>DIDACTICA GENERAL Y DIDÁCTICAS ESPECÍFICAS</t>
        </is>
      </c>
      <c r="K91" s="41" t="n">
        <v>0.5</v>
      </c>
      <c r="L91" s="41" t="inlineStr">
        <is>
          <t>B112</t>
        </is>
      </c>
      <c r="M91" s="41" t="n">
        <v>2023</v>
      </c>
      <c r="N91" s="41" t="inlineStr">
        <is>
          <t>10.25</t>
        </is>
      </c>
      <c r="O91" s="41" t="inlineStr">
        <is>
          <t>30</t>
        </is>
      </c>
      <c r="P91" s="41" t="inlineStr">
        <is>
          <t>10.23</t>
        </is>
      </c>
      <c r="Q91" s="41" t="inlineStr">
        <is>
          <t>20</t>
        </is>
      </c>
      <c r="R91" s="90" t="n">
        <v>50</v>
      </c>
      <c r="S91" s="90" t="n">
        <v>0.25</v>
      </c>
      <c r="T91" s="90" t="n">
        <v>0.15</v>
      </c>
      <c r="U91" s="90" t="n">
        <v>0.1</v>
      </c>
      <c r="V91" s="65" t="inlineStr">
        <is>
          <t>S</t>
        </is>
      </c>
      <c r="Y91" s="61" t="n"/>
    </row>
    <row r="92" ht="14.25" customFormat="1" customHeight="1" s="66">
      <c r="A92" s="63" t="inlineStr">
        <is>
          <t>B177</t>
        </is>
      </c>
      <c r="B92" s="63" t="inlineStr">
        <is>
          <t>PSICOLOGÍA EVOLUTIVA Y DIDÁCTICA</t>
        </is>
      </c>
      <c r="C92" s="63" t="inlineStr">
        <is>
          <t>DOCTORADO EN INVESTIGACIÓN EDUCATIVA</t>
        </is>
      </c>
      <c r="D92" s="63" t="inlineStr">
        <is>
          <t>Arroyo Salgueira, Sandra</t>
        </is>
      </c>
      <c r="E92" s="63" t="inlineStr">
        <is>
          <t>La movilidad académica en el desarrollo profesional docente: un estudio de caso en la Universidad de Alicante</t>
        </is>
      </c>
      <c r="F92" s="63" t="inlineStr">
        <is>
          <t>15/02/2024</t>
        </is>
      </c>
      <c r="G92" s="63" t="inlineStr">
        <is>
          <t>76941801Q</t>
        </is>
      </c>
      <c r="H92" s="63" t="inlineStr">
        <is>
          <t>Codirector de tesis</t>
        </is>
      </c>
      <c r="I92" s="64" t="inlineStr">
        <is>
          <t>B112</t>
        </is>
      </c>
      <c r="J92" s="63" t="inlineStr">
        <is>
          <t>DIDACTICA GENERAL Y DIDÁCTICAS ESPECÍFICAS</t>
        </is>
      </c>
      <c r="K92" s="41" t="n">
        <v>0.5</v>
      </c>
      <c r="L92" s="41" t="inlineStr">
        <is>
          <t>B112</t>
        </is>
      </c>
      <c r="M92" s="41" t="n">
        <v>2023</v>
      </c>
      <c r="N92" s="41" t="inlineStr">
        <is>
          <t>10.25</t>
        </is>
      </c>
      <c r="O92" s="41" t="inlineStr">
        <is>
          <t>30</t>
        </is>
      </c>
      <c r="P92" s="41" t="inlineStr">
        <is>
          <t>10.23</t>
        </is>
      </c>
      <c r="Q92" s="41" t="inlineStr">
        <is>
          <t>20</t>
        </is>
      </c>
      <c r="R92" s="90" t="n">
        <v>50</v>
      </c>
      <c r="S92" s="90" t="n">
        <v>0.25</v>
      </c>
      <c r="T92" s="90" t="n">
        <v>0.15</v>
      </c>
      <c r="U92" s="90" t="n">
        <v>0.1</v>
      </c>
      <c r="V92" s="65" t="inlineStr">
        <is>
          <t>S</t>
        </is>
      </c>
      <c r="Y92" s="61" t="n"/>
    </row>
    <row r="93" ht="14.25" customFormat="1" customHeight="1" s="66">
      <c r="A93" s="63" t="inlineStr">
        <is>
          <t>B177</t>
        </is>
      </c>
      <c r="B93" s="63" t="inlineStr">
        <is>
          <t>PSICOLOGÍA EVOLUTIVA Y DIDÁCTICA</t>
        </is>
      </c>
      <c r="C93" s="63" t="inlineStr">
        <is>
          <t>DOCTORADO EN INVESTIGACIÓN EDUCATIVA</t>
        </is>
      </c>
      <c r="D93" s="63" t="inlineStr">
        <is>
          <t>Arroyo Salgueira, Sandra</t>
        </is>
      </c>
      <c r="E93" s="63" t="inlineStr">
        <is>
          <t>La movilidad académica en el desarrollo profesional docente: un estudio de caso en la Universidad de Alicante</t>
        </is>
      </c>
      <c r="F93" s="63" t="inlineStr">
        <is>
          <t>15/02/2024</t>
        </is>
      </c>
      <c r="G93" s="63" t="inlineStr">
        <is>
          <t>48379979P</t>
        </is>
      </c>
      <c r="H93" s="63" t="inlineStr">
        <is>
          <t>Codirector de tesis</t>
        </is>
      </c>
      <c r="I93" s="64" t="inlineStr">
        <is>
          <t>B112</t>
        </is>
      </c>
      <c r="J93" s="63" t="inlineStr">
        <is>
          <t>DIDACTICA GENERAL Y DIDÁCTICAS ESPECÍFICAS</t>
        </is>
      </c>
      <c r="K93" s="41" t="n">
        <v>0.5</v>
      </c>
      <c r="L93" s="41" t="inlineStr">
        <is>
          <t>B112</t>
        </is>
      </c>
      <c r="M93" s="41" t="n">
        <v>2023</v>
      </c>
      <c r="N93" s="41" t="inlineStr">
        <is>
          <t>10.25</t>
        </is>
      </c>
      <c r="O93" s="41" t="inlineStr">
        <is>
          <t>30</t>
        </is>
      </c>
      <c r="P93" s="41" t="inlineStr">
        <is>
          <t>10.23</t>
        </is>
      </c>
      <c r="Q93" s="41" t="inlineStr">
        <is>
          <t>20</t>
        </is>
      </c>
      <c r="R93" s="90" t="n">
        <v>50</v>
      </c>
      <c r="S93" s="90" t="n">
        <v>0.25</v>
      </c>
      <c r="T93" s="90" t="n">
        <v>0.15</v>
      </c>
      <c r="U93" s="90" t="n">
        <v>0.1</v>
      </c>
      <c r="V93" s="65" t="inlineStr">
        <is>
          <t>S</t>
        </is>
      </c>
      <c r="Y93" s="61" t="n"/>
    </row>
    <row r="94" ht="14.25" customFormat="1" customHeight="1" s="67">
      <c r="A94" s="63" t="inlineStr">
        <is>
          <t>U075</t>
        </is>
      </c>
      <c r="B94" s="63" t="inlineStr">
        <is>
          <t>I.U.INVESTIGACIÓN DE ESTUDIOS SOCIALES DE AMÉRICA LATINA (10.25)</t>
        </is>
      </c>
      <c r="C94" s="63" t="inlineStr">
        <is>
          <t>DOCTORADO EN HUMANIDADES Y ESTUDIOS SOCIALES DE AMÉRICA LATINA</t>
        </is>
      </c>
      <c r="D94" s="63" t="inlineStr">
        <is>
          <t>Medina Romero, Raúl Andrés</t>
        </is>
      </c>
      <c r="E94" s="63" t="inlineStr">
        <is>
          <t>Liderazgo organizacional y mistagogía ignaciana. Integración de los Ejercicios Espirituales a la figura del líder-servidor</t>
        </is>
      </c>
      <c r="F94" s="63" t="inlineStr">
        <is>
          <t>20/09/2024</t>
        </is>
      </c>
      <c r="G94" s="63" t="inlineStr">
        <is>
          <t>52773764B</t>
        </is>
      </c>
      <c r="H94" s="63" t="inlineStr">
        <is>
          <t>Codirector de tesis</t>
        </is>
      </c>
      <c r="I94" s="64" t="inlineStr">
        <is>
          <t>B112</t>
        </is>
      </c>
      <c r="J94" s="63" t="inlineStr">
        <is>
          <t>DIDACTICA GENERAL Y DIDÁCTICAS ESPECÍFICAS</t>
        </is>
      </c>
      <c r="K94" s="41" t="n">
        <v>0.5</v>
      </c>
      <c r="L94" s="41" t="inlineStr">
        <is>
          <t>B112</t>
        </is>
      </c>
      <c r="M94" s="41" t="n">
        <v>2023</v>
      </c>
      <c r="N94" s="41" t="inlineStr">
        <is>
          <t>10.25</t>
        </is>
      </c>
      <c r="O94" s="41" t="inlineStr">
        <is>
          <t>30</t>
        </is>
      </c>
      <c r="P94" s="41" t="inlineStr">
        <is>
          <t>10.23</t>
        </is>
      </c>
      <c r="Q94" s="41" t="inlineStr">
        <is>
          <t>20</t>
        </is>
      </c>
      <c r="R94" s="90" t="n">
        <v>50</v>
      </c>
      <c r="S94" s="90" t="n">
        <v>0.25</v>
      </c>
      <c r="T94" s="90" t="n">
        <v>0.15</v>
      </c>
      <c r="U94" s="90" t="n">
        <v>0.1</v>
      </c>
      <c r="V94" s="65" t="inlineStr">
        <is>
          <t>S</t>
        </is>
      </c>
      <c r="Y94" s="61" t="n"/>
    </row>
    <row r="95" ht="14.25" customFormat="1" customHeight="1" s="66">
      <c r="A95" s="63" t="inlineStr">
        <is>
          <t>U023</t>
        </is>
      </c>
      <c r="B95" s="63" t="inlineStr">
        <is>
          <t>ADM. FACULTAD DE FILOSOFIA Y LETRAS</t>
        </is>
      </c>
      <c r="C95" s="63" t="inlineStr">
        <is>
          <t>DOCTORADO EN FILOSOFÍA Y LETRAS</t>
        </is>
      </c>
      <c r="D95" s="63" t="inlineStr">
        <is>
          <t>Melero Carnero, Laura</t>
        </is>
      </c>
      <c r="E95" s="63" t="inlineStr">
        <is>
          <t>Recursos y estrategias discursivas en textos sobre la visibilidad de las mujeres y el lenguaje igualitario en el columnismo lingüístico y en las redes sociales: análisis y comparación</t>
        </is>
      </c>
      <c r="F95" s="63" t="inlineStr">
        <is>
          <t>18/03/2024</t>
        </is>
      </c>
      <c r="G95" s="63" t="inlineStr">
        <is>
          <t>21442493F</t>
        </is>
      </c>
      <c r="H95" s="63" t="inlineStr">
        <is>
          <t>Director de tesis</t>
        </is>
      </c>
      <c r="I95" s="64" t="inlineStr">
        <is>
          <t>B115</t>
        </is>
      </c>
      <c r="J95" s="63" t="inlineStr">
        <is>
          <t>FILOL. ESPAÑOLA, LINGÜÍSTICA GENERAL Y TEORIA DE LA LITERATURA</t>
        </is>
      </c>
      <c r="K95" s="41" t="n">
        <v>1</v>
      </c>
      <c r="L95" s="41" t="inlineStr">
        <is>
          <t>B115</t>
        </is>
      </c>
      <c r="M95" s="41" t="n">
        <v>2023</v>
      </c>
      <c r="N95" s="41" t="inlineStr">
        <is>
          <t>10.15</t>
        </is>
      </c>
      <c r="O95" s="41" t="inlineStr">
        <is>
          <t>10</t>
        </is>
      </c>
      <c r="P95" s="41" t="inlineStr">
        <is>
          <t>10.23</t>
        </is>
      </c>
      <c r="Q95" s="41" t="inlineStr">
        <is>
          <t>10</t>
        </is>
      </c>
      <c r="R95" s="90" t="n">
        <v>80</v>
      </c>
      <c r="S95" s="90" t="n">
        <v>0.8</v>
      </c>
      <c r="T95" s="90" t="n">
        <v>0.1</v>
      </c>
      <c r="U95" s="90" t="n">
        <v>0.1</v>
      </c>
      <c r="V95" s="65" t="inlineStr">
        <is>
          <t>S</t>
        </is>
      </c>
      <c r="Y95" s="61" t="n"/>
    </row>
    <row r="96" customFormat="1" s="61">
      <c r="A96" s="63" t="inlineStr">
        <is>
          <t>U036</t>
        </is>
      </c>
      <c r="B96" s="63" t="inlineStr">
        <is>
          <t>ADM. FACULTAD DE CIENCIAS ECONÓMICAS</t>
        </is>
      </c>
      <c r="C96" s="63" t="inlineStr">
        <is>
          <t>DOCTORADO EN EMPRESA, ECONOMÍA Y SOCIEDAD</t>
        </is>
      </c>
      <c r="D96" s="63" t="inlineStr">
        <is>
          <t>Ibañez Hernández, Ana Isabel</t>
        </is>
      </c>
      <c r="E96" s="63" t="inlineStr">
        <is>
          <t>Enfoque crítico de la comunicación responsable en el sector farmacéutico</t>
        </is>
      </c>
      <c r="F96" s="63" t="inlineStr">
        <is>
          <t>26/07/2024</t>
        </is>
      </c>
      <c r="G96" s="63" t="inlineStr">
        <is>
          <t>21499146B</t>
        </is>
      </c>
      <c r="H96" s="63" t="inlineStr">
        <is>
          <t>Codirector de tesis</t>
        </is>
      </c>
      <c r="I96" s="64" t="inlineStr">
        <is>
          <t>B175</t>
        </is>
      </c>
      <c r="J96" s="63" t="inlineStr">
        <is>
          <t>COMUNICACIÓN Y PSICOLOGÍA SOCIAL</t>
        </is>
      </c>
      <c r="K96" s="41" t="n">
        <v>0.5</v>
      </c>
      <c r="L96" s="41" t="inlineStr">
        <is>
          <t>B175</t>
        </is>
      </c>
      <c r="M96" s="41" t="n">
        <v>2023</v>
      </c>
      <c r="N96" s="41" t="inlineStr">
        <is>
          <t>10.06</t>
        </is>
      </c>
      <c r="O96" s="41" t="inlineStr">
        <is>
          <t>20</t>
        </is>
      </c>
      <c r="P96" s="41" t="inlineStr">
        <is>
          <t>10.23</t>
        </is>
      </c>
      <c r="Q96" s="41" t="inlineStr">
        <is>
          <t>20</t>
        </is>
      </c>
      <c r="R96" s="90" t="n">
        <v>60</v>
      </c>
      <c r="S96" s="90" t="n">
        <v>0.3</v>
      </c>
      <c r="T96" s="90" t="n">
        <v>0.1</v>
      </c>
      <c r="U96" s="90" t="n">
        <v>0.1</v>
      </c>
      <c r="V96" s="65" t="inlineStr">
        <is>
          <t>S</t>
        </is>
      </c>
    </row>
    <row r="97" customFormat="1" s="61">
      <c r="A97" s="63" t="inlineStr">
        <is>
          <t>B166</t>
        </is>
      </c>
      <c r="B97" s="63" t="inlineStr">
        <is>
          <t>Innovación y Formación Didáctica</t>
        </is>
      </c>
      <c r="C97" s="63" t="inlineStr">
        <is>
          <t>DOCTORADO EN INVESTIGACIÓN EDUCATIVA</t>
        </is>
      </c>
      <c r="D97" s="63" t="inlineStr">
        <is>
          <t>Chaveco Asin, Kirenia</t>
        </is>
      </c>
      <c r="E97" s="63" t="inlineStr">
        <is>
          <t>La integración del enfoque de género en la docencia: las necesidades formativas del profesorado de la Universidad de Oriente (Cuba)</t>
        </is>
      </c>
      <c r="F97" s="63" t="inlineStr">
        <is>
          <t>09/12/2024</t>
        </is>
      </c>
      <c r="G97" s="63" t="inlineStr">
        <is>
          <t>48496100W</t>
        </is>
      </c>
      <c r="H97" s="63" t="inlineStr">
        <is>
          <t>Codirector de tesis</t>
        </is>
      </c>
      <c r="I97" s="64" t="inlineStr">
        <is>
          <t>B112</t>
        </is>
      </c>
      <c r="J97" s="63" t="inlineStr">
        <is>
          <t>Didáctica General y Didácticas específicas</t>
        </is>
      </c>
      <c r="K97" s="41" t="n">
        <v>0.5</v>
      </c>
      <c r="L97" s="41" t="inlineStr">
        <is>
          <t>B112</t>
        </is>
      </c>
      <c r="M97" s="41" t="n">
        <v>2024</v>
      </c>
      <c r="N97" s="41" t="inlineStr">
        <is>
          <t>10.23</t>
        </is>
      </c>
      <c r="O97" s="41" t="inlineStr">
        <is>
          <t>20</t>
        </is>
      </c>
      <c r="P97" s="41" t="inlineStr"/>
      <c r="Q97" s="41" t="inlineStr"/>
      <c r="R97" s="90" t="n">
        <v>80</v>
      </c>
      <c r="S97" s="90" t="n">
        <v>0.4</v>
      </c>
      <c r="T97" s="90" t="n">
        <v>0.1</v>
      </c>
      <c r="U97" s="90" t="n">
        <v>0</v>
      </c>
      <c r="V97" s="65" t="n"/>
    </row>
    <row r="98" customFormat="1" s="61">
      <c r="A98" s="63" t="inlineStr">
        <is>
          <t>B177</t>
        </is>
      </c>
      <c r="B98" s="63" t="inlineStr">
        <is>
          <t>Psicología Evolutiva y Didáctica</t>
        </is>
      </c>
      <c r="C98" s="63" t="inlineStr">
        <is>
          <t>DOCTORADO EN INVESTIGACIÓN EDUCATIVA</t>
        </is>
      </c>
      <c r="D98" s="63" t="inlineStr">
        <is>
          <t>Giner Samper, Pilar</t>
        </is>
      </c>
      <c r="E98" s="63" t="inlineStr">
        <is>
          <t>Educadoras y educadores museísticos: contribución de sus historias de vida a la experiencia educativa del Museo Arqueológico Provincial de Alicante.</t>
        </is>
      </c>
      <c r="F98" s="63" t="inlineStr">
        <is>
          <t>23/07/2025</t>
        </is>
      </c>
      <c r="G98" s="63" t="inlineStr">
        <is>
          <t>76941801Q</t>
        </is>
      </c>
      <c r="H98" s="63" t="inlineStr">
        <is>
          <t>Director de tesis</t>
        </is>
      </c>
      <c r="I98" s="64" t="inlineStr">
        <is>
          <t>B112</t>
        </is>
      </c>
      <c r="J98" s="63" t="inlineStr">
        <is>
          <t>Didáctica General y Didácticas específicas</t>
        </is>
      </c>
      <c r="K98" s="41" t="n">
        <v>1</v>
      </c>
      <c r="L98" s="41" t="inlineStr">
        <is>
          <t>B112</t>
        </is>
      </c>
      <c r="M98" s="41" t="n">
        <v>2024</v>
      </c>
      <c r="N98" s="41" t="inlineStr">
        <is>
          <t>10.23</t>
        </is>
      </c>
      <c r="O98" s="41" t="inlineStr">
        <is>
          <t>20</t>
        </is>
      </c>
      <c r="P98" s="41" t="inlineStr">
        <is>
          <t>10.25</t>
        </is>
      </c>
      <c r="Q98" s="41" t="inlineStr">
        <is>
          <t>30</t>
        </is>
      </c>
      <c r="R98" s="90" t="n">
        <v>50</v>
      </c>
      <c r="S98" s="90" t="n">
        <v>0.5</v>
      </c>
      <c r="T98" s="90" t="n">
        <v>0.2</v>
      </c>
      <c r="U98" s="90" t="n">
        <v>0.3</v>
      </c>
      <c r="V98" s="65" t="n"/>
    </row>
    <row r="99" customFormat="1" s="61">
      <c r="A99" s="63" t="inlineStr">
        <is>
          <t>U023</t>
        </is>
      </c>
      <c r="B99" s="63" t="inlineStr">
        <is>
          <t>Administración Facultad de Filosofía y Letras</t>
        </is>
      </c>
      <c r="C99" s="63" t="inlineStr">
        <is>
          <t>DOCTORADO EN FILOSOFÍA Y LETRAS</t>
        </is>
      </c>
      <c r="D99" s="63" t="inlineStr">
        <is>
          <t>Soro Cuesta, Esther</t>
        </is>
      </c>
      <c r="E99" s="63" t="inlineStr">
        <is>
          <t>El proceso editorial y creativo de la obra de Martín Adán</t>
        </is>
      </c>
      <c r="F99" s="63" t="inlineStr">
        <is>
          <t>13/12/2024</t>
        </is>
      </c>
      <c r="G99" s="63" t="inlineStr">
        <is>
          <t>48574813D</t>
        </is>
      </c>
      <c r="H99" s="63" t="inlineStr">
        <is>
          <t>Codirector de tesis</t>
        </is>
      </c>
      <c r="I99" s="64" t="inlineStr">
        <is>
          <t>B115</t>
        </is>
      </c>
      <c r="J99" s="63" t="inlineStr">
        <is>
          <t>Filología Española, Lingüística General y Teoría de la Literatura</t>
        </is>
      </c>
      <c r="K99" s="41" t="n">
        <v>0.5</v>
      </c>
      <c r="L99" s="41" t="inlineStr">
        <is>
          <t>B115</t>
        </is>
      </c>
      <c r="M99" s="41" t="n">
        <v>2024</v>
      </c>
      <c r="N99" s="41" t="inlineStr">
        <is>
          <t>10.23</t>
        </is>
      </c>
      <c r="O99" s="41" t="inlineStr">
        <is>
          <t>20</t>
        </is>
      </c>
      <c r="P99" s="41" t="inlineStr"/>
      <c r="Q99" s="41" t="inlineStr"/>
      <c r="R99" s="90" t="n">
        <v>80</v>
      </c>
      <c r="S99" s="90" t="n">
        <v>0.4</v>
      </c>
      <c r="T99" s="90" t="n">
        <v>0.1</v>
      </c>
      <c r="U99" s="90" t="n">
        <v>0</v>
      </c>
      <c r="V99" s="65" t="n"/>
    </row>
    <row r="100" customFormat="1" s="61">
      <c r="A100" s="63" t="inlineStr">
        <is>
          <t>U023</t>
        </is>
      </c>
      <c r="B100" s="63" t="inlineStr">
        <is>
          <t>Administración Facultad de Filosofía y Letras</t>
        </is>
      </c>
      <c r="C100" s="63" t="inlineStr">
        <is>
          <t>DOCTORADO EN FILOSOFÍA Y LETRAS</t>
        </is>
      </c>
      <c r="D100" s="63" t="inlineStr">
        <is>
          <t>Sánchez García, Patricia Carina</t>
        </is>
      </c>
      <c r="E100" s="63" t="inlineStr">
        <is>
          <t>Formas de aprender árabe en España entre los siglos XV y XVII</t>
        </is>
      </c>
      <c r="F100" s="63" t="inlineStr">
        <is>
          <t>21/05/2025</t>
        </is>
      </c>
      <c r="G100" s="63" t="inlineStr">
        <is>
          <t>21474507M</t>
        </is>
      </c>
      <c r="H100" s="63" t="inlineStr">
        <is>
          <t>Codirector de tesis</t>
        </is>
      </c>
      <c r="I100" s="64" t="inlineStr">
        <is>
          <t>B114</t>
        </is>
      </c>
      <c r="J100" s="63" t="inlineStr">
        <is>
          <t>Filologías Integradas</t>
        </is>
      </c>
      <c r="K100" s="41" t="n">
        <v>0.5</v>
      </c>
      <c r="L100" s="41" t="inlineStr">
        <is>
          <t>B114</t>
        </is>
      </c>
      <c r="M100" s="41" t="n">
        <v>2024</v>
      </c>
      <c r="N100" s="41" t="inlineStr">
        <is>
          <t>10.23</t>
        </is>
      </c>
      <c r="O100" s="41" t="inlineStr">
        <is>
          <t>20</t>
        </is>
      </c>
      <c r="P100" s="41" t="inlineStr"/>
      <c r="Q100" s="41" t="inlineStr"/>
      <c r="R100" s="90" t="n">
        <v>80</v>
      </c>
      <c r="S100" s="90" t="n">
        <v>0.4</v>
      </c>
      <c r="T100" s="90" t="n">
        <v>0.1</v>
      </c>
      <c r="U100" s="90" t="n">
        <v>0</v>
      </c>
      <c r="V100" s="65" t="n"/>
    </row>
    <row r="101" customFormat="1" s="61">
      <c r="A101" s="63" t="inlineStr">
        <is>
          <t>U023</t>
        </is>
      </c>
      <c r="B101" s="63" t="inlineStr">
        <is>
          <t>Administración Facultad de Filosofía y Letras</t>
        </is>
      </c>
      <c r="C101" s="63" t="inlineStr">
        <is>
          <t>DOCTORADO EN FILOSOFÍA Y LETRAS</t>
        </is>
      </c>
      <c r="D101" s="63" t="inlineStr">
        <is>
          <t>Rocamora Montenegro, Raquel</t>
        </is>
      </c>
      <c r="E101" s="63" t="inlineStr">
        <is>
          <t>IDEOLOGÍA Y ESTÉTICA DE LO ERÓTICO EN LA POESÍA ESPAÑOLA DEL SIGLO XVIII</t>
        </is>
      </c>
      <c r="F101" s="63" t="inlineStr">
        <is>
          <t>29/01/2025</t>
        </is>
      </c>
      <c r="G101" s="63" t="inlineStr">
        <is>
          <t>21473357M</t>
        </is>
      </c>
      <c r="H101" s="63" t="inlineStr">
        <is>
          <t>Codirector de tesis</t>
        </is>
      </c>
      <c r="I101" s="64" t="inlineStr">
        <is>
          <t>B115</t>
        </is>
      </c>
      <c r="J101" s="63" t="inlineStr">
        <is>
          <t>Filología Española, Lingüística General y Teoría de la Literatura</t>
        </is>
      </c>
      <c r="K101" s="41" t="n">
        <v>0.5</v>
      </c>
      <c r="L101" s="41" t="inlineStr">
        <is>
          <t>B115</t>
        </is>
      </c>
      <c r="M101" s="41" t="n">
        <v>2024</v>
      </c>
      <c r="N101" s="41" t="inlineStr">
        <is>
          <t>10.23</t>
        </is>
      </c>
      <c r="O101" s="41" t="inlineStr">
        <is>
          <t>90</t>
        </is>
      </c>
      <c r="P101" s="41" t="inlineStr"/>
      <c r="Q101" s="41" t="inlineStr"/>
      <c r="R101" s="90" t="n">
        <v>10</v>
      </c>
      <c r="S101" s="90" t="n">
        <v>0.05</v>
      </c>
      <c r="T101" s="90" t="n">
        <v>0.45</v>
      </c>
      <c r="U101" s="90" t="n">
        <v>0</v>
      </c>
      <c r="V101" s="65" t="n"/>
    </row>
    <row r="102" customFormat="1" s="61">
      <c r="A102" s="63" t="inlineStr">
        <is>
          <t>U023</t>
        </is>
      </c>
      <c r="B102" s="63" t="inlineStr">
        <is>
          <t>Administración Facultad de Filosofía y Letras</t>
        </is>
      </c>
      <c r="C102" s="63" t="inlineStr">
        <is>
          <t>DOCTORADO EN FILOSOFÍA Y LETRAS</t>
        </is>
      </c>
      <c r="D102" s="63" t="inlineStr">
        <is>
          <t>Mouffokes , Mohammed Bouhezam</t>
        </is>
      </c>
      <c r="E102" s="63" t="inlineStr">
        <is>
          <t>Pour une analyse du rapport algéro-français avant et après l¿indépendance à travers L'Étranger de Camus et Meursault, contre-enquête de Daoud : des circonstances sociohistoriques aux résonances littéraires</t>
        </is>
      </c>
      <c r="F102" s="63" t="inlineStr">
        <is>
          <t>15/04/2025</t>
        </is>
      </c>
      <c r="G102" s="63" t="inlineStr">
        <is>
          <t>21471389S</t>
        </is>
      </c>
      <c r="H102" s="63" t="inlineStr">
        <is>
          <t>Director de tesis</t>
        </is>
      </c>
      <c r="I102" s="64" t="inlineStr">
        <is>
          <t>B114</t>
        </is>
      </c>
      <c r="J102" s="63" t="inlineStr">
        <is>
          <t>Filologías Integradas</t>
        </is>
      </c>
      <c r="K102" s="41" t="n">
        <v>1</v>
      </c>
      <c r="L102" s="41" t="inlineStr">
        <is>
          <t>B114</t>
        </is>
      </c>
      <c r="M102" s="41" t="n">
        <v>2024</v>
      </c>
      <c r="N102" s="41" t="inlineStr">
        <is>
          <t>10.23</t>
        </is>
      </c>
      <c r="O102" s="41" t="inlineStr">
        <is>
          <t>20</t>
        </is>
      </c>
      <c r="P102" s="41" t="inlineStr"/>
      <c r="Q102" s="41" t="inlineStr"/>
      <c r="R102" s="90" t="n">
        <v>80</v>
      </c>
      <c r="S102" s="90" t="n">
        <v>0.8</v>
      </c>
      <c r="T102" s="90" t="n">
        <v>0.2</v>
      </c>
      <c r="U102" s="90" t="n">
        <v>0</v>
      </c>
      <c r="V102" s="65" t="n"/>
    </row>
    <row r="103" customFormat="1" s="61">
      <c r="A103" s="63" t="inlineStr">
        <is>
          <t>U023</t>
        </is>
      </c>
      <c r="B103" s="63" t="inlineStr">
        <is>
          <t>Administración Facultad de Filosofía y Letras</t>
        </is>
      </c>
      <c r="C103" s="63" t="inlineStr">
        <is>
          <t>DOCTORADO EN FILOSOFÍA Y LETRAS</t>
        </is>
      </c>
      <c r="D103" s="63" t="inlineStr">
        <is>
          <t>Stihi , Nabil</t>
        </is>
      </c>
      <c r="E103" s="63" t="inlineStr">
        <is>
          <t>EL DESARROLLO DE LA EXPRESIÓN ORAL EN LA ENSEÑANZA APRENDIZAJE DEL ESPAÑOL LENGUA EXTRANJERA PARA ESTUDIANTES ARGELINOS</t>
        </is>
      </c>
      <c r="F103" s="63" t="inlineStr">
        <is>
          <t>11/07/2025</t>
        </is>
      </c>
      <c r="G103" s="63" t="inlineStr">
        <is>
          <t>21442493F</t>
        </is>
      </c>
      <c r="H103" s="63" t="inlineStr">
        <is>
          <t>Director de tesis</t>
        </is>
      </c>
      <c r="I103" s="64" t="inlineStr">
        <is>
          <t>B115</t>
        </is>
      </c>
      <c r="J103" s="63" t="inlineStr">
        <is>
          <t>Filología Española, Lingüística General y Teoría de la Literatura</t>
        </is>
      </c>
      <c r="K103" s="41" t="n">
        <v>1</v>
      </c>
      <c r="L103" s="41" t="inlineStr">
        <is>
          <t>B115</t>
        </is>
      </c>
      <c r="M103" s="41" t="n">
        <v>2024</v>
      </c>
      <c r="N103" s="41" t="inlineStr">
        <is>
          <t>10.23</t>
        </is>
      </c>
      <c r="O103" s="41" t="inlineStr">
        <is>
          <t>10</t>
        </is>
      </c>
      <c r="P103" s="41" t="inlineStr">
        <is>
          <t>10.15</t>
        </is>
      </c>
      <c r="Q103" s="41" t="inlineStr">
        <is>
          <t>10</t>
        </is>
      </c>
      <c r="R103" s="90" t="n">
        <v>80</v>
      </c>
      <c r="S103" s="90" t="n">
        <v>0.8</v>
      </c>
      <c r="T103" s="90" t="n">
        <v>0.1</v>
      </c>
      <c r="U103" s="90" t="n">
        <v>0.1</v>
      </c>
      <c r="V103" s="65" t="n"/>
    </row>
    <row r="104" customFormat="1" s="61">
      <c r="A104" s="63" t="inlineStr">
        <is>
          <t>U036</t>
        </is>
      </c>
      <c r="B104" s="63" t="inlineStr">
        <is>
          <t>Administración Facultad de Ciencias Económicas</t>
        </is>
      </c>
      <c r="C104" s="63" t="inlineStr">
        <is>
          <t>DOCTORADO EN EMPRESA, ECONOMÍA Y SOCIEDAD</t>
        </is>
      </c>
      <c r="D104" s="63" t="inlineStr">
        <is>
          <t>Leal Rico, Ines Maria</t>
        </is>
      </c>
      <c r="E104" s="63" t="inlineStr">
        <is>
          <t>Redefiniendo la contrapublicidad en la encrucijada digital: funciones, impacto y sabotaje 
cultural</t>
        </is>
      </c>
      <c r="F104" s="63" t="inlineStr">
        <is>
          <t>16/12/2024</t>
        </is>
      </c>
      <c r="G104" s="63" t="inlineStr">
        <is>
          <t>21499146B</t>
        </is>
      </c>
      <c r="H104" s="63" t="inlineStr">
        <is>
          <t>Codirector de tesis</t>
        </is>
      </c>
      <c r="I104" s="64" t="inlineStr">
        <is>
          <t>B175</t>
        </is>
      </c>
      <c r="J104" s="63" t="inlineStr">
        <is>
          <t>Comunicación y Psicología Social</t>
        </is>
      </c>
      <c r="K104" s="41" t="n">
        <v>0.5</v>
      </c>
      <c r="L104" s="41" t="inlineStr">
        <is>
          <t>B175</t>
        </is>
      </c>
      <c r="M104" s="41" t="n">
        <v>2024</v>
      </c>
      <c r="N104" s="41" t="inlineStr">
        <is>
          <t>10.23</t>
        </is>
      </c>
      <c r="O104" s="41" t="inlineStr">
        <is>
          <t>20</t>
        </is>
      </c>
      <c r="P104" s="41" t="inlineStr">
        <is>
          <t>10.06</t>
        </is>
      </c>
      <c r="Q104" s="41" t="inlineStr">
        <is>
          <t>20</t>
        </is>
      </c>
      <c r="R104" s="90" t="n">
        <v>60</v>
      </c>
      <c r="S104" s="90" t="n">
        <v>0.3</v>
      </c>
      <c r="T104" s="90" t="n">
        <v>0.1</v>
      </c>
      <c r="U104" s="90" t="n">
        <v>0.1</v>
      </c>
      <c r="V104" s="65" t="n"/>
    </row>
    <row r="105" customFormat="1" s="61">
      <c r="A105" s="63" t="inlineStr">
        <is>
          <t>U044</t>
        </is>
      </c>
      <c r="B105" s="63" t="inlineStr">
        <is>
          <t>Administración Facultad de Ciencias de la Salud</t>
        </is>
      </c>
      <c r="C105" s="63" t="inlineStr">
        <is>
          <t>DOCTORADO EN CIENCIAS DE LA SALUD</t>
        </is>
      </c>
      <c r="D105" s="63" t="inlineStr">
        <is>
          <t>Rodríguez Camacho, Mª Felix</t>
        </is>
      </c>
      <c r="E105" s="63" t="inlineStr">
        <is>
          <t>La justicia reproductiva: modelo reproductivo y de empoderamiento para la
salud de las mujeres gitanas en España</t>
        </is>
      </c>
      <c r="F105" s="63" t="inlineStr">
        <is>
          <t>24/03/2025</t>
        </is>
      </c>
      <c r="G105" s="63" t="inlineStr">
        <is>
          <t>33492987L</t>
        </is>
      </c>
      <c r="H105" s="63" t="inlineStr">
        <is>
          <t>Director de tesis</t>
        </is>
      </c>
      <c r="I105" s="64" t="inlineStr">
        <is>
          <t>B170</t>
        </is>
      </c>
      <c r="J105" s="63" t="inlineStr">
        <is>
          <t>Enfermería comunitaria, medicina preventiva y salud pública e historia de la cie</t>
        </is>
      </c>
      <c r="K105" s="41" t="n">
        <v>1</v>
      </c>
      <c r="L105" s="41" t="inlineStr">
        <is>
          <t>B170</t>
        </is>
      </c>
      <c r="M105" s="41" t="n">
        <v>2024</v>
      </c>
      <c r="N105" s="41" t="inlineStr">
        <is>
          <t>10.23</t>
        </is>
      </c>
      <c r="O105" s="41" t="inlineStr">
        <is>
          <t>20</t>
        </is>
      </c>
      <c r="P105" s="41" t="inlineStr"/>
      <c r="Q105" s="41" t="inlineStr"/>
      <c r="R105" s="90" t="n">
        <v>80</v>
      </c>
      <c r="S105" s="90" t="n">
        <v>0.8</v>
      </c>
      <c r="T105" s="90" t="n">
        <v>0.2</v>
      </c>
      <c r="U105" s="90" t="n">
        <v>0</v>
      </c>
      <c r="V105" s="65" t="n"/>
    </row>
    <row r="106" customFormat="1" s="61">
      <c r="A106" s="63" t="inlineStr">
        <is>
          <t>U044</t>
        </is>
      </c>
      <c r="B106" s="63" t="inlineStr">
        <is>
          <t>Administración Facultad de Ciencias de la Salud</t>
        </is>
      </c>
      <c r="C106" s="63" t="inlineStr">
        <is>
          <t>DOCTORADO EN CIENCIAS DE LA SALUD</t>
        </is>
      </c>
      <c r="D106" s="63" t="inlineStr">
        <is>
          <t>Millor Vela, Daniel</t>
        </is>
      </c>
      <c r="E106" s="63" t="inlineStr">
        <is>
          <t>CELESTINA URBANA. Propuesta metodológica para la regeneración comunitaria de barrios vulnerados por
medio del modelo sinérgico de salud.</t>
        </is>
      </c>
      <c r="F106" s="63" t="inlineStr">
        <is>
          <t>12/09/2025</t>
        </is>
      </c>
      <c r="G106" s="63" t="inlineStr">
        <is>
          <t>28555357Y</t>
        </is>
      </c>
      <c r="H106" s="63" t="inlineStr">
        <is>
          <t>Codirector de tesis</t>
        </is>
      </c>
      <c r="I106" s="64" t="inlineStr">
        <is>
          <t>B170</t>
        </is>
      </c>
      <c r="J106" s="63" t="inlineStr">
        <is>
          <t>Enfermería comunitaria, medicina preventiva y salud pública e historia de la cie</t>
        </is>
      </c>
      <c r="K106" s="41" t="n">
        <v>0.5</v>
      </c>
      <c r="L106" s="41" t="inlineStr">
        <is>
          <t>B170</t>
        </is>
      </c>
      <c r="M106" s="41" t="n">
        <v>2024</v>
      </c>
      <c r="N106" s="41" t="inlineStr">
        <is>
          <t>10.23</t>
        </is>
      </c>
      <c r="O106" s="41" t="inlineStr">
        <is>
          <t>20</t>
        </is>
      </c>
      <c r="P106" s="41" t="inlineStr"/>
      <c r="Q106" s="41" t="inlineStr"/>
      <c r="R106" s="90" t="n">
        <v>80</v>
      </c>
      <c r="S106" s="90" t="n">
        <v>0.4</v>
      </c>
      <c r="T106" s="90" t="n">
        <v>0.1</v>
      </c>
      <c r="U106" s="90" t="n">
        <v>0</v>
      </c>
      <c r="V106" s="65" t="n"/>
    </row>
    <row r="107" customFormat="1" s="61">
      <c r="A107" s="63" t="inlineStr">
        <is>
          <t>U073</t>
        </is>
      </c>
      <c r="B107" s="63" t="inlineStr">
        <is>
          <t>Instituto Universitario Investigación de Estudios de Género (10.23)</t>
        </is>
      </c>
      <c r="C107" s="63" t="inlineStr">
        <is>
          <t>DOCTORADO EN ESTUDIOS INTERDISCIPLINARES DE GÉNERO</t>
        </is>
      </c>
      <c r="D107" s="63" t="inlineStr">
        <is>
          <t>Monllor Jiménez, Marta</t>
        </is>
      </c>
      <c r="E107" s="63" t="inlineStr">
        <is>
          <t>Análisis de redes sociales personales de mujeres víctimas de violencia de género: de un caso de vulnerabilidad relacional hacia el empoderamiento</t>
        </is>
      </c>
      <c r="F107" s="63" t="inlineStr">
        <is>
          <t>10/01/2025</t>
        </is>
      </c>
      <c r="G107" s="63" t="inlineStr">
        <is>
          <t>21475002V</t>
        </is>
      </c>
      <c r="H107" s="63" t="inlineStr">
        <is>
          <t>Codirector de tesis</t>
        </is>
      </c>
      <c r="I107" s="64" t="inlineStr">
        <is>
          <t>B179</t>
        </is>
      </c>
      <c r="J107" s="63" t="inlineStr">
        <is>
          <t>Sociología I</t>
        </is>
      </c>
      <c r="K107" s="41" t="n">
        <v>0.5</v>
      </c>
      <c r="L107" s="41" t="inlineStr">
        <is>
          <t>B179</t>
        </is>
      </c>
      <c r="M107" s="41" t="n">
        <v>2024</v>
      </c>
      <c r="N107" s="41" t="inlineStr">
        <is>
          <t>10.23</t>
        </is>
      </c>
      <c r="O107" s="41" t="inlineStr">
        <is>
          <t>20</t>
        </is>
      </c>
      <c r="P107" s="41" t="inlineStr"/>
      <c r="Q107" s="41" t="inlineStr"/>
      <c r="R107" s="90" t="n">
        <v>80</v>
      </c>
      <c r="S107" s="90" t="n">
        <v>0.4</v>
      </c>
      <c r="T107" s="90" t="n">
        <v>0.1</v>
      </c>
      <c r="U107" s="90" t="n">
        <v>0</v>
      </c>
      <c r="V107" s="65" t="n"/>
    </row>
    <row r="108" customFormat="1" s="61">
      <c r="A108" s="63" t="inlineStr">
        <is>
          <t>U073</t>
        </is>
      </c>
      <c r="B108" s="63" t="inlineStr">
        <is>
          <t>Instituto Universitario Investigación de Estudios de Género (10.23)</t>
        </is>
      </c>
      <c r="C108" s="63" t="inlineStr">
        <is>
          <t>DOCTORADO EN ESTUDIOS INTERDISCIPLINARES DE GÉNERO</t>
        </is>
      </c>
      <c r="D108" s="63" t="inlineStr">
        <is>
          <t>Cerdán Torregrosa, Ariadna del Pilar</t>
        </is>
      </c>
      <c r="E108" s="63" t="inlineStr">
        <is>
          <t>Masculinidades, orientaciones sexuales y violencia de género: análisis de discursos y estrategias para la igualdad</t>
        </is>
      </c>
      <c r="F108" s="63" t="inlineStr">
        <is>
          <t>07/11/2024</t>
        </is>
      </c>
      <c r="G108" s="63" t="inlineStr">
        <is>
          <t>48296836X</t>
        </is>
      </c>
      <c r="H108" s="63" t="inlineStr">
        <is>
          <t>Codirector de tesis</t>
        </is>
      </c>
      <c r="I108" s="64" t="inlineStr">
        <is>
          <t>B170</t>
        </is>
      </c>
      <c r="J108" s="63" t="inlineStr">
        <is>
          <t>Enfermería comunitaria, medicina preventiva y salud pública e historia de la cie</t>
        </is>
      </c>
      <c r="K108" s="41" t="n">
        <v>0.5</v>
      </c>
      <c r="L108" s="41" t="inlineStr">
        <is>
          <t>B170</t>
        </is>
      </c>
      <c r="M108" s="41" t="n">
        <v>2024</v>
      </c>
      <c r="N108" s="41" t="inlineStr">
        <is>
          <t>10.23</t>
        </is>
      </c>
      <c r="O108" s="41" t="inlineStr">
        <is>
          <t>30</t>
        </is>
      </c>
      <c r="P108" s="41" t="inlineStr"/>
      <c r="Q108" s="41" t="inlineStr"/>
      <c r="R108" s="90" t="n">
        <v>70</v>
      </c>
      <c r="S108" s="90" t="n">
        <v>0.35</v>
      </c>
      <c r="T108" s="90" t="n">
        <v>0.15</v>
      </c>
      <c r="U108" s="90" t="n">
        <v>0</v>
      </c>
      <c r="V108" s="65" t="n"/>
    </row>
    <row r="109" customFormat="1" s="61">
      <c r="A109" s="63" t="inlineStr">
        <is>
          <t>U073</t>
        </is>
      </c>
      <c r="B109" s="63" t="inlineStr">
        <is>
          <t>Instituto Universitario Investigación de Estudios de Género (10.23)</t>
        </is>
      </c>
      <c r="C109" s="63" t="inlineStr">
        <is>
          <t>DOCTORADO EN ESTUDIOS INTERDISCIPLINARES DE GÉNERO</t>
        </is>
      </c>
      <c r="D109" s="63" t="inlineStr">
        <is>
          <t>Campoy Martínez, Alba</t>
        </is>
      </c>
      <c r="E109" s="63" t="inlineStr">
        <is>
          <t>Feminismo en el cine de animación de Hayao Miyazaki: Análisis del discurso lingüístico y visual basado en el empoderamiento femenino de las protagonistas y antagonistas de La princesa Mononoke (1997), El viaje de Chihiro (2001) y El castillo ambulant</t>
        </is>
      </c>
      <c r="F109" s="63" t="inlineStr">
        <is>
          <t>23/05/2025</t>
        </is>
      </c>
      <c r="G109" s="63" t="inlineStr">
        <is>
          <t>26226014B</t>
        </is>
      </c>
      <c r="H109" s="63" t="inlineStr">
        <is>
          <t>Director de tesis</t>
        </is>
      </c>
      <c r="I109" s="64" t="inlineStr">
        <is>
          <t>B116</t>
        </is>
      </c>
      <c r="J109" s="63" t="inlineStr">
        <is>
          <t>Filología Inglesa</t>
        </is>
      </c>
      <c r="K109" s="41" t="n">
        <v>1</v>
      </c>
      <c r="L109" s="41" t="inlineStr">
        <is>
          <t>B116</t>
        </is>
      </c>
      <c r="M109" s="41" t="n">
        <v>2024</v>
      </c>
      <c r="N109" s="41" t="inlineStr">
        <is>
          <t>10.23</t>
        </is>
      </c>
      <c r="O109" s="41" t="inlineStr">
        <is>
          <t>20</t>
        </is>
      </c>
      <c r="P109" s="41" t="inlineStr">
        <is>
          <t>10.15</t>
        </is>
      </c>
      <c r="Q109" s="41" t="inlineStr">
        <is>
          <t>10</t>
        </is>
      </c>
      <c r="R109" s="90" t="n">
        <v>70</v>
      </c>
      <c r="S109" s="90" t="n">
        <v>0.7</v>
      </c>
      <c r="T109" s="90" t="n">
        <v>0.2</v>
      </c>
      <c r="U109" s="90" t="n">
        <v>0.1</v>
      </c>
      <c r="V109" s="65" t="n"/>
    </row>
    <row r="110" customFormat="1" s="61">
      <c r="A110" s="63" t="inlineStr">
        <is>
          <t>B166</t>
        </is>
      </c>
      <c r="B110" s="63" t="inlineStr">
        <is>
          <t>Innovación y Formación Didáctica</t>
        </is>
      </c>
      <c r="C110" s="63" t="inlineStr">
        <is>
          <t>DOCTORADO EN INVESTIGACIÓN EDUCATIVA</t>
        </is>
      </c>
      <c r="D110" s="63" t="inlineStr">
        <is>
          <t>Chaveco Asin, Kirenia</t>
        </is>
      </c>
      <c r="E110" s="63" t="inlineStr">
        <is>
          <t>La integración del enfoque de género en la docencia: las necesidades formativas del profesorado de la Universidad de Oriente (Cuba)</t>
        </is>
      </c>
      <c r="F110" s="63" t="inlineStr">
        <is>
          <t>09/12/2024</t>
        </is>
      </c>
      <c r="G110" s="63" t="inlineStr">
        <is>
          <t>48769418B</t>
        </is>
      </c>
      <c r="H110" s="63" t="inlineStr">
        <is>
          <t>Codirector de tesis</t>
        </is>
      </c>
      <c r="I110" s="64" t="inlineStr">
        <is>
          <t>B112</t>
        </is>
      </c>
      <c r="J110" s="63" t="inlineStr">
        <is>
          <t>Didáctica General y Didácticas específicas</t>
        </is>
      </c>
      <c r="K110" s="41" t="n">
        <v>0.5</v>
      </c>
      <c r="L110" s="41" t="inlineStr">
        <is>
          <t>B112</t>
        </is>
      </c>
      <c r="M110" s="41" t="n">
        <v>2024</v>
      </c>
      <c r="N110" s="41" t="inlineStr">
        <is>
          <t>10.25</t>
        </is>
      </c>
      <c r="O110" s="41" t="inlineStr">
        <is>
          <t>30</t>
        </is>
      </c>
      <c r="P110" s="41" t="inlineStr">
        <is>
          <t>10.23</t>
        </is>
      </c>
      <c r="Q110" s="41" t="inlineStr">
        <is>
          <t>30</t>
        </is>
      </c>
      <c r="R110" s="90" t="n">
        <v>40</v>
      </c>
      <c r="S110" s="90" t="n">
        <v>0.2</v>
      </c>
      <c r="T110" s="90" t="n">
        <v>0.15</v>
      </c>
      <c r="U110" s="90" t="n">
        <v>0.15</v>
      </c>
      <c r="V110" s="65" t="n"/>
    </row>
    <row r="111" customFormat="1" s="61">
      <c r="A111" s="63" t="inlineStr">
        <is>
          <t>U023</t>
        </is>
      </c>
      <c r="B111" s="63" t="inlineStr">
        <is>
          <t>Administración Facultad de Filosofía y Letras</t>
        </is>
      </c>
      <c r="C111" s="63" t="inlineStr">
        <is>
          <t>DOCTORADO EN FILOSOFÍA Y LETRAS</t>
        </is>
      </c>
      <c r="D111" s="63" t="inlineStr">
        <is>
          <t>Angelino Pardo, Maria Alejandra</t>
        </is>
      </c>
      <c r="E111" s="63" t="inlineStr">
        <is>
          <t>Leonor Francès ante el Tribunal de la Inquisición de Valencia. La biografía de una conversa valenciana entre finales del siglo XV y principios del siglo XVI</t>
        </is>
      </c>
      <c r="F111" s="63" t="inlineStr">
        <is>
          <t>24/01/2025</t>
        </is>
      </c>
      <c r="G111" s="63" t="inlineStr">
        <is>
          <t>21436046T</t>
        </is>
      </c>
      <c r="H111" s="63" t="inlineStr">
        <is>
          <t>Director de tesis</t>
        </is>
      </c>
      <c r="I111" s="64" t="inlineStr">
        <is>
          <t>B174</t>
        </is>
      </c>
      <c r="J111" s="63" t="inlineStr">
        <is>
          <t>Historia Medieval, Historia Moderna y Ciencias y Técnicas Historiográficas</t>
        </is>
      </c>
      <c r="K111" s="41" t="n">
        <v>1</v>
      </c>
      <c r="L111" s="41" t="inlineStr">
        <is>
          <t>B174</t>
        </is>
      </c>
      <c r="M111" s="41" t="n">
        <v>2024</v>
      </c>
      <c r="N111" s="41" t="inlineStr">
        <is>
          <t>10.25</t>
        </is>
      </c>
      <c r="O111" s="41" t="inlineStr">
        <is>
          <t>25</t>
        </is>
      </c>
      <c r="P111" s="41" t="inlineStr">
        <is>
          <t>10.23</t>
        </is>
      </c>
      <c r="Q111" s="41" t="inlineStr">
        <is>
          <t>10</t>
        </is>
      </c>
      <c r="R111" s="90" t="n">
        <v>65</v>
      </c>
      <c r="S111" s="90" t="n">
        <v>0.65</v>
      </c>
      <c r="T111" s="90" t="n">
        <v>0.25</v>
      </c>
      <c r="U111" s="90" t="n">
        <v>0.1</v>
      </c>
      <c r="V111" s="65" t="n"/>
    </row>
    <row r="112" customFormat="1" s="61">
      <c r="A112" s="63" t="inlineStr">
        <is>
          <t>U036</t>
        </is>
      </c>
      <c r="B112" s="63" t="inlineStr">
        <is>
          <t>Administración Facultad de Ciencias Económicas</t>
        </is>
      </c>
      <c r="C112" s="63" t="inlineStr">
        <is>
          <t>DOCTORADO EN EMPRESA, ECONOMÍA Y SOCIEDAD</t>
        </is>
      </c>
      <c r="D112" s="63" t="inlineStr">
        <is>
          <t>Quispe Fernandez, Gabith Miriam</t>
        </is>
      </c>
      <c r="E112" s="63" t="inlineStr">
        <is>
          <t>LOS DETERMINANTES DEL ÉXITO Y FRACASO DE LOS EMPRENDIMIENTOS EN
ENTORNOS RURALES CON ENFOQUE DE GÉNERO EN LA PROVINCIA CHIMBORAZO,
ECUADOR</t>
        </is>
      </c>
      <c r="F112" s="63" t="inlineStr">
        <is>
          <t>30/06/2025</t>
        </is>
      </c>
      <c r="G112" s="63" t="inlineStr">
        <is>
          <t>21456802X</t>
        </is>
      </c>
      <c r="H112" s="63" t="inlineStr">
        <is>
          <t>Director de tesis</t>
        </is>
      </c>
      <c r="I112" s="64" t="inlineStr">
        <is>
          <t>B139</t>
        </is>
      </c>
      <c r="J112" s="63" t="inlineStr">
        <is>
          <t>Economía Aplicada y Política Económica</t>
        </is>
      </c>
      <c r="K112" s="41" t="n">
        <v>1</v>
      </c>
      <c r="L112" s="41" t="inlineStr">
        <is>
          <t>B139</t>
        </is>
      </c>
      <c r="M112" s="41" t="n">
        <v>2024</v>
      </c>
      <c r="N112" s="41" t="inlineStr">
        <is>
          <t>10.25</t>
        </is>
      </c>
      <c r="O112" s="41" t="inlineStr">
        <is>
          <t>20</t>
        </is>
      </c>
      <c r="P112" s="41" t="inlineStr">
        <is>
          <t>10.23</t>
        </is>
      </c>
      <c r="Q112" s="41" t="inlineStr">
        <is>
          <t>10</t>
        </is>
      </c>
      <c r="R112" s="90" t="n">
        <v>70</v>
      </c>
      <c r="S112" s="90" t="n">
        <v>0.7</v>
      </c>
      <c r="T112" s="90" t="n">
        <v>0.2</v>
      </c>
      <c r="U112" s="90" t="n">
        <v>0.1</v>
      </c>
      <c r="V112" s="65" t="n"/>
    </row>
    <row r="113" customFormat="1" s="61">
      <c r="A113" s="63" t="inlineStr">
        <is>
          <t>U036</t>
        </is>
      </c>
      <c r="B113" s="63" t="inlineStr">
        <is>
          <t>Administración Facultad de Ciencias Económicas</t>
        </is>
      </c>
      <c r="C113" s="63" t="inlineStr">
        <is>
          <t>DOCTORADO EN EMPRESA, ECONOMÍA Y SOCIEDAD</t>
        </is>
      </c>
      <c r="D113" s="63" t="inlineStr">
        <is>
          <t>Ayaviri Nina, Victor Dante</t>
        </is>
      </c>
      <c r="E113" s="63" t="inlineStr">
        <is>
          <t>PLANIFICACIÓN DEL DESARROLLO EN COMUNIDADES RURALES DE BOLIVIA</t>
        </is>
      </c>
      <c r="F113" s="63" t="inlineStr">
        <is>
          <t>30/06/2025</t>
        </is>
      </c>
      <c r="G113" s="63" t="inlineStr">
        <is>
          <t>21456802X</t>
        </is>
      </c>
      <c r="H113" s="63" t="inlineStr">
        <is>
          <t>Director de tesis</t>
        </is>
      </c>
      <c r="I113" s="64" t="inlineStr">
        <is>
          <t>B139</t>
        </is>
      </c>
      <c r="J113" s="63" t="inlineStr">
        <is>
          <t>Economía Aplicada y Política Económica</t>
        </is>
      </c>
      <c r="K113" s="41" t="n">
        <v>1</v>
      </c>
      <c r="L113" s="41" t="inlineStr">
        <is>
          <t>B139</t>
        </is>
      </c>
      <c r="M113" s="41" t="n">
        <v>2024</v>
      </c>
      <c r="N113" s="41" t="inlineStr">
        <is>
          <t>10.25</t>
        </is>
      </c>
      <c r="O113" s="41" t="inlineStr">
        <is>
          <t>20</t>
        </is>
      </c>
      <c r="P113" s="41" t="inlineStr">
        <is>
          <t>10.23</t>
        </is>
      </c>
      <c r="Q113" s="41" t="inlineStr">
        <is>
          <t>10</t>
        </is>
      </c>
      <c r="R113" s="90" t="n">
        <v>70</v>
      </c>
      <c r="S113" s="90" t="n">
        <v>0.7</v>
      </c>
      <c r="T113" s="90" t="n">
        <v>0.2</v>
      </c>
      <c r="U113" s="90" t="n">
        <v>0.1</v>
      </c>
      <c r="V113" s="65" t="n"/>
    </row>
    <row r="114" customFormat="1" s="61">
      <c r="A114" s="63" t="inlineStr">
        <is>
          <t>U036</t>
        </is>
      </c>
      <c r="B114" s="63" t="inlineStr">
        <is>
          <t>Administración Facultad de Ciencias Económicas</t>
        </is>
      </c>
      <c r="C114" s="63" t="inlineStr">
        <is>
          <t>DOCTORADO EN EMPRESA, ECONOMÍA Y SOCIEDAD</t>
        </is>
      </c>
      <c r="D114" s="63" t="inlineStr">
        <is>
          <t>De Juanes Rodríguez, Álvaro</t>
        </is>
      </c>
      <c r="E114" s="63" t="inlineStr">
        <is>
          <t>DIVERSIDAD Y ACCESIBILIDAD EN LAS CIUDADES: LA COMPLEJIDAD URBANA COMO 
CLAVE DEL ANÁLISIS TERRITORIAL Y ECONÓMICO</t>
        </is>
      </c>
      <c r="F114" s="63" t="inlineStr">
        <is>
          <t>07/07/2025</t>
        </is>
      </c>
      <c r="G114" s="63" t="inlineStr">
        <is>
          <t>21456802X</t>
        </is>
      </c>
      <c r="H114" s="63" t="inlineStr">
        <is>
          <t>Director de tesis</t>
        </is>
      </c>
      <c r="I114" s="64" t="inlineStr">
        <is>
          <t>B139</t>
        </is>
      </c>
      <c r="J114" s="63" t="inlineStr">
        <is>
          <t>Economía Aplicada y Política Económica</t>
        </is>
      </c>
      <c r="K114" s="41" t="n">
        <v>1</v>
      </c>
      <c r="L114" s="41" t="inlineStr">
        <is>
          <t>B139</t>
        </is>
      </c>
      <c r="M114" s="41" t="n">
        <v>2024</v>
      </c>
      <c r="N114" s="41" t="inlineStr">
        <is>
          <t>10.25</t>
        </is>
      </c>
      <c r="O114" s="41" t="inlineStr">
        <is>
          <t>20</t>
        </is>
      </c>
      <c r="P114" s="41" t="inlineStr">
        <is>
          <t>10.23</t>
        </is>
      </c>
      <c r="Q114" s="41" t="inlineStr">
        <is>
          <t>10</t>
        </is>
      </c>
      <c r="R114" s="90" t="n">
        <v>70</v>
      </c>
      <c r="S114" s="90" t="n">
        <v>0.7</v>
      </c>
      <c r="T114" s="90" t="n">
        <v>0.2</v>
      </c>
      <c r="U114" s="90" t="n">
        <v>0.1</v>
      </c>
      <c r="V114" s="65" t="n"/>
    </row>
    <row r="115" customFormat="1" s="61">
      <c r="A115" s="63" t="inlineStr">
        <is>
          <t>U073</t>
        </is>
      </c>
      <c r="B115" s="63" t="inlineStr">
        <is>
          <t>Instituto Universitario Investigación de Estudios de Género (10.23)</t>
        </is>
      </c>
      <c r="C115" s="63" t="inlineStr">
        <is>
          <t>DOCTORADO EN ESTUDIOS INTERDISCIPLINARES DE GÉNERO</t>
        </is>
      </c>
      <c r="D115" s="63" t="inlineStr">
        <is>
          <t>SAMANIEGO GISBERT, Juan Andres</t>
        </is>
      </c>
      <c r="E115" s="63" t="inlineStr">
        <is>
          <t>VULNERABILIDAD FEMENINA EN ACTIVIDADES LÚDICAS: ANÁLISIS DE JUEGOS Y APUESTAS ONLINE EN UNA MUESTRA UNIVERSITARIA</t>
        </is>
      </c>
      <c r="F115" s="63" t="inlineStr">
        <is>
          <t>16/12/2024</t>
        </is>
      </c>
      <c r="G115" s="63" t="inlineStr">
        <is>
          <t>52777601F</t>
        </is>
      </c>
      <c r="H115" s="63" t="inlineStr">
        <is>
          <t>Director de tesis</t>
        </is>
      </c>
      <c r="I115" s="64" t="inlineStr">
        <is>
          <t>B175</t>
        </is>
      </c>
      <c r="J115" s="63" t="inlineStr">
        <is>
          <t>Comunicación y Psicología Social</t>
        </is>
      </c>
      <c r="K115" s="41" t="n">
        <v>1</v>
      </c>
      <c r="L115" s="41" t="inlineStr">
        <is>
          <t>B175</t>
        </is>
      </c>
      <c r="M115" s="41" t="n">
        <v>2024</v>
      </c>
      <c r="N115" s="41" t="inlineStr">
        <is>
          <t>10.25</t>
        </is>
      </c>
      <c r="O115" s="41" t="inlineStr">
        <is>
          <t>30</t>
        </is>
      </c>
      <c r="P115" s="41" t="inlineStr">
        <is>
          <t>10.23</t>
        </is>
      </c>
      <c r="Q115" s="41" t="inlineStr">
        <is>
          <t>20</t>
        </is>
      </c>
      <c r="R115" s="90" t="n">
        <v>50</v>
      </c>
      <c r="S115" s="90" t="n">
        <v>0.5</v>
      </c>
      <c r="T115" s="90" t="n">
        <v>0.3</v>
      </c>
      <c r="U115" s="90" t="n">
        <v>0.2</v>
      </c>
      <c r="V115" s="65" t="n"/>
    </row>
    <row r="116" customFormat="1" s="61">
      <c r="A116" s="63" t="inlineStr">
        <is>
          <t>U073</t>
        </is>
      </c>
      <c r="B116" s="63" t="inlineStr">
        <is>
          <t>Instituto Universitario Investigación de Estudios de Género (10.23)</t>
        </is>
      </c>
      <c r="C116" s="63" t="inlineStr">
        <is>
          <t>DOCTORADO EN ESTUDIOS INTERDISCIPLINARES DE GÉNERO</t>
        </is>
      </c>
      <c r="D116" s="63" t="inlineStr">
        <is>
          <t>Ibañez Torres, Nerea</t>
        </is>
      </c>
      <c r="E116" s="63" t="inlineStr">
        <is>
          <t>Más Allá de los Límites: empoderamiento Sexual y Asistencia para Mujeres con Discapacidad Motora</t>
        </is>
      </c>
      <c r="F116" s="63" t="inlineStr">
        <is>
          <t>15/04/2025</t>
        </is>
      </c>
      <c r="G116" s="63" t="inlineStr">
        <is>
          <t>52777601F</t>
        </is>
      </c>
      <c r="H116" s="63" t="inlineStr">
        <is>
          <t>Director de tesis</t>
        </is>
      </c>
      <c r="I116" s="64" t="inlineStr">
        <is>
          <t>B175</t>
        </is>
      </c>
      <c r="J116" s="63" t="inlineStr">
        <is>
          <t>Comunicación y Psicología Social</t>
        </is>
      </c>
      <c r="K116" s="41" t="n">
        <v>1</v>
      </c>
      <c r="L116" s="41" t="inlineStr">
        <is>
          <t>B175</t>
        </is>
      </c>
      <c r="M116" s="41" t="n">
        <v>2024</v>
      </c>
      <c r="N116" s="41" t="inlineStr">
        <is>
          <t>10.25</t>
        </is>
      </c>
      <c r="O116" s="41" t="inlineStr">
        <is>
          <t>30</t>
        </is>
      </c>
      <c r="P116" s="41" t="inlineStr">
        <is>
          <t>10.23</t>
        </is>
      </c>
      <c r="Q116" s="41" t="inlineStr">
        <is>
          <t>20</t>
        </is>
      </c>
      <c r="R116" s="90" t="n">
        <v>50</v>
      </c>
      <c r="S116" s="90" t="n">
        <v>0.5</v>
      </c>
      <c r="T116" s="90" t="n">
        <v>0.3</v>
      </c>
      <c r="U116" s="90" t="n">
        <v>0.2</v>
      </c>
      <c r="V116" s="65" t="n"/>
    </row>
    <row r="117">
      <c r="A117" s="22" t="n"/>
      <c r="B117" s="22" t="n"/>
      <c r="C117" s="22" t="n"/>
      <c r="D117" s="22" t="n"/>
      <c r="E117" s="22" t="n"/>
      <c r="F117" s="22" t="n"/>
      <c r="G117" s="22" t="n"/>
      <c r="H117" s="22" t="n"/>
      <c r="I117" s="22" t="n"/>
      <c r="J117" s="22" t="n"/>
      <c r="K117" s="22" t="n"/>
      <c r="L117" s="23" t="n"/>
      <c r="M117" s="22" t="n"/>
      <c r="N117" s="23" t="n"/>
      <c r="O117" s="22" t="n"/>
      <c r="P117" s="23" t="n"/>
      <c r="Q117" s="22" t="n"/>
      <c r="R117" s="22" t="n"/>
      <c r="S117" s="22" t="n"/>
      <c r="T117" s="22" t="n"/>
      <c r="U117" s="24">
        <f>SUM(U76:U96,T7:T75,S2:S6,T97:T109,U110:U116)</f>
        <v/>
      </c>
    </row>
  </sheetData>
  <autoFilter ref="A1:V117"/>
  <printOptions horizontalCentered="1"/>
  <pageMargins left="0.1968503937007874" right="0.1968503937007874" top="0.3937007874015748" bottom="0.3937007874015748" header="0.7874015748031497" footer="0"/>
  <pageSetup orientation="landscape" paperSize="9" scale="92" fitToHeight="22" fitToWidth="2"/>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T148"/>
  <sheetViews>
    <sheetView tabSelected="1" topLeftCell="A52" zoomScaleNormal="100" workbookViewId="0">
      <selection activeCell="R76" sqref="R76"/>
    </sheetView>
  </sheetViews>
  <sheetFormatPr baseColWidth="10" defaultColWidth="11.42578125" defaultRowHeight="12.75"/>
  <cols>
    <col width="10.85546875" bestFit="1" customWidth="1" style="9" min="1" max="1"/>
    <col width="56.5703125" bestFit="1" customWidth="1" style="9" min="2" max="2"/>
    <col width="17" bestFit="1" customWidth="1" style="9" min="3" max="3"/>
    <col width="3.28515625" bestFit="1" customWidth="1" style="9" min="4" max="9"/>
    <col width="13.140625" bestFit="1" customWidth="1" style="9" min="10" max="10"/>
    <col width="5.28515625" bestFit="1" customWidth="1" style="9" min="11" max="11"/>
    <col width="5.7109375" bestFit="1" customWidth="1" style="9" min="12" max="12"/>
    <col width="5.7109375" bestFit="1" customWidth="1" style="10" min="13" max="14"/>
    <col width="5.7109375" bestFit="1" customWidth="1" style="9" min="15" max="15"/>
    <col width="5.7109375" bestFit="1" customWidth="1" style="10" min="16" max="16"/>
    <col width="5.7109375" bestFit="1" customWidth="1" style="9" min="17" max="19"/>
    <col width="11.42578125" customWidth="1" style="9" min="20" max="16384"/>
  </cols>
  <sheetData>
    <row r="1" ht="30" customHeight="1">
      <c r="A1" s="11" t="inlineStr">
        <is>
          <t>NIF</t>
        </is>
      </c>
      <c r="B1" s="11" t="inlineStr">
        <is>
          <t>NOMBRE_COMPLETO</t>
        </is>
      </c>
      <c r="C1" s="11" t="inlineStr">
        <is>
          <t>TIPO_SEXENIO</t>
        </is>
      </c>
      <c r="D1" s="12" t="inlineStr">
        <is>
          <t>2020</t>
        </is>
      </c>
      <c r="E1" s="12" t="inlineStr">
        <is>
          <t>2021</t>
        </is>
      </c>
      <c r="F1" s="12" t="inlineStr">
        <is>
          <t>2022</t>
        </is>
      </c>
      <c r="G1" s="12" t="inlineStr">
        <is>
          <t>2023</t>
        </is>
      </c>
      <c r="H1" s="12" t="inlineStr">
        <is>
          <t>2024</t>
        </is>
      </c>
      <c r="I1" s="12" t="inlineStr">
        <is>
          <t>2025</t>
        </is>
      </c>
      <c r="J1" s="11" t="inlineStr">
        <is>
          <t>Total general</t>
        </is>
      </c>
      <c r="K1" s="13" t="inlineStr">
        <is>
          <t>COD DEP</t>
        </is>
      </c>
      <c r="L1" s="7" t="inlineStr">
        <is>
          <t>INS
1</t>
        </is>
      </c>
      <c r="M1" s="7" t="inlineStr">
        <is>
          <t>DED
INS 1</t>
        </is>
      </c>
      <c r="N1" s="7" t="inlineStr">
        <is>
          <t>INS
2</t>
        </is>
      </c>
      <c r="O1" s="7" t="inlineStr">
        <is>
          <t>DED
INS 2</t>
        </is>
      </c>
      <c r="P1" s="8" t="inlineStr">
        <is>
          <t>DED
DEP</t>
        </is>
      </c>
      <c r="Q1" s="8" t="inlineStr">
        <is>
          <t>SEX
INS 1</t>
        </is>
      </c>
      <c r="R1" s="8" t="inlineStr">
        <is>
          <t>SEX
INS 2</t>
        </is>
      </c>
      <c r="S1" s="8" t="inlineStr">
        <is>
          <t>SEX
DEP</t>
        </is>
      </c>
      <c r="T1" s="61" t="n"/>
    </row>
    <row r="2" ht="15" customFormat="1" customHeight="1" s="86">
      <c r="A2" s="82" t="inlineStr">
        <is>
          <t>48571385P</t>
        </is>
      </c>
      <c r="B2" s="82" t="inlineStr">
        <is>
          <t>Miralles Cardona, Cristina</t>
        </is>
      </c>
      <c r="C2" s="83" t="inlineStr">
        <is>
          <t>NO FUNCIONARIO</t>
        </is>
      </c>
      <c r="D2" s="82" t="n"/>
      <c r="E2" s="82" t="n"/>
      <c r="F2" s="82" t="n"/>
      <c r="G2" s="82" t="n"/>
      <c r="H2" s="82" t="n"/>
      <c r="I2" s="82" t="n">
        <v>1</v>
      </c>
      <c r="J2" s="84" t="n">
        <v>1</v>
      </c>
      <c r="K2" s="84" t="inlineStr">
        <is>
          <t>10.23</t>
        </is>
      </c>
      <c r="L2" s="68" t="inlineStr">
        <is>
          <t>10.23</t>
        </is>
      </c>
      <c r="M2" s="68" t="n">
        <v>100</v>
      </c>
      <c r="N2" s="68" t="inlineStr"/>
      <c r="O2" s="68" t="inlineStr"/>
      <c r="P2" s="68" t="n">
        <v>0</v>
      </c>
      <c r="Q2" s="68" t="n">
        <v>1</v>
      </c>
      <c r="R2" s="68" t="n">
        <v>0</v>
      </c>
      <c r="S2" s="68" t="n">
        <v>0</v>
      </c>
      <c r="T2" s="85" t="n"/>
    </row>
    <row r="3" ht="15" customHeight="1">
      <c r="A3" s="14" t="inlineStr">
        <is>
          <t>01112688V</t>
        </is>
      </c>
      <c r="B3" s="14" t="inlineStr">
        <is>
          <t>Villegas Castrillo, Esther</t>
        </is>
      </c>
      <c r="C3" s="14" t="inlineStr">
        <is>
          <t>FUNCIONARIO</t>
        </is>
      </c>
      <c r="D3" s="14" t="n"/>
      <c r="E3" s="14" t="n"/>
      <c r="F3" s="14" t="n"/>
      <c r="G3" s="14" t="n">
        <v>1</v>
      </c>
      <c r="H3" s="14" t="n"/>
      <c r="I3" s="14" t="n"/>
      <c r="J3" s="14" t="n">
        <v>1</v>
      </c>
      <c r="K3" s="14" t="inlineStr">
        <is>
          <t>B159</t>
        </is>
      </c>
      <c r="L3" s="15" t="inlineStr">
        <is>
          <t>10.23</t>
        </is>
      </c>
      <c r="M3" s="68" t="inlineStr">
        <is>
          <t>40</t>
        </is>
      </c>
      <c r="N3" s="68" t="inlineStr"/>
      <c r="O3" s="68" t="inlineStr"/>
      <c r="P3" s="68" t="n">
        <v>60</v>
      </c>
      <c r="Q3" s="68" t="n">
        <v>0.4</v>
      </c>
      <c r="R3" s="68" t="n">
        <v>0</v>
      </c>
      <c r="S3" s="68" t="n">
        <v>0.6</v>
      </c>
      <c r="T3" s="61" t="n"/>
    </row>
    <row r="4" ht="15" customHeight="1">
      <c r="A4" s="14" t="inlineStr">
        <is>
          <t>07860559X</t>
        </is>
      </c>
      <c r="B4" s="14" t="inlineStr">
        <is>
          <t>Manchado López, María Carmen</t>
        </is>
      </c>
      <c r="C4" s="14" t="inlineStr">
        <is>
          <t>FUNCIONARIO</t>
        </is>
      </c>
      <c r="D4" s="14" t="n">
        <v>1</v>
      </c>
      <c r="E4" s="14" t="n"/>
      <c r="F4" s="14" t="n"/>
      <c r="G4" s="14" t="n"/>
      <c r="H4" s="14" t="n"/>
      <c r="I4" s="14" t="n"/>
      <c r="J4" s="14" t="n">
        <v>1</v>
      </c>
      <c r="K4" s="14" t="inlineStr">
        <is>
          <t>B112</t>
        </is>
      </c>
      <c r="L4" s="15" t="inlineStr">
        <is>
          <t>10.23</t>
        </is>
      </c>
      <c r="M4" s="68" t="inlineStr">
        <is>
          <t>20</t>
        </is>
      </c>
      <c r="N4" s="68" t="inlineStr"/>
      <c r="O4" s="68" t="inlineStr"/>
      <c r="P4" s="68" t="n">
        <v>80</v>
      </c>
      <c r="Q4" s="68" t="n">
        <v>0.2</v>
      </c>
      <c r="R4" s="68" t="n">
        <v>0</v>
      </c>
      <c r="S4" s="68" t="n">
        <v>0.8</v>
      </c>
      <c r="T4" s="61" t="n"/>
    </row>
    <row r="5" ht="15" customHeight="1">
      <c r="A5" s="14" t="inlineStr">
        <is>
          <t>12772877B</t>
        </is>
      </c>
      <c r="B5" s="14" t="inlineStr">
        <is>
          <t>Lucas Palacios, Laura</t>
        </is>
      </c>
      <c r="C5" s="14" t="inlineStr">
        <is>
          <t>FUNCIONARIO</t>
        </is>
      </c>
      <c r="D5" s="14" t="n"/>
      <c r="E5" s="14" t="n"/>
      <c r="F5" s="14" t="n"/>
      <c r="G5" s="14" t="n"/>
      <c r="H5" s="14" t="n"/>
      <c r="I5" s="14" t="n">
        <v>1</v>
      </c>
      <c r="J5" s="14" t="n">
        <v>1</v>
      </c>
      <c r="K5" s="14" t="inlineStr">
        <is>
          <t>B112</t>
        </is>
      </c>
      <c r="L5" s="15" t="inlineStr">
        <is>
          <t>10.23</t>
        </is>
      </c>
      <c r="M5" s="68" t="inlineStr">
        <is>
          <t>30</t>
        </is>
      </c>
      <c r="N5" s="68" t="inlineStr"/>
      <c r="O5" s="68" t="inlineStr"/>
      <c r="P5" s="68" t="n">
        <v>70</v>
      </c>
      <c r="Q5" s="68" t="n">
        <v>0.3</v>
      </c>
      <c r="R5" s="68" t="n">
        <v>0</v>
      </c>
      <c r="S5" s="68" t="n">
        <v>0.7</v>
      </c>
      <c r="T5" s="61" t="n"/>
    </row>
    <row r="6" ht="15" customHeight="1">
      <c r="A6" s="14" t="inlineStr">
        <is>
          <t>13300077M</t>
        </is>
      </c>
      <c r="B6" s="14" t="inlineStr">
        <is>
          <t>Gutiérrez Mozo, María Elia</t>
        </is>
      </c>
      <c r="C6" s="14" t="inlineStr">
        <is>
          <t>FUNCIONARIO</t>
        </is>
      </c>
      <c r="D6" s="14" t="n"/>
      <c r="E6" s="14" t="n"/>
      <c r="F6" s="14" t="n"/>
      <c r="G6" s="14" t="n"/>
      <c r="H6" s="14" t="n">
        <v>1</v>
      </c>
      <c r="I6" s="14" t="n"/>
      <c r="J6" s="14" t="n">
        <v>1</v>
      </c>
      <c r="K6" s="14" t="inlineStr">
        <is>
          <t>B187</t>
        </is>
      </c>
      <c r="L6" s="15" t="inlineStr">
        <is>
          <t>10.23</t>
        </is>
      </c>
      <c r="M6" s="68" t="inlineStr">
        <is>
          <t>50</t>
        </is>
      </c>
      <c r="N6" s="68" t="inlineStr"/>
      <c r="O6" s="68" t="inlineStr"/>
      <c r="P6" s="68" t="n">
        <v>50</v>
      </c>
      <c r="Q6" s="68" t="n">
        <v>0.5</v>
      </c>
      <c r="R6" s="68" t="n">
        <v>0</v>
      </c>
      <c r="S6" s="68" t="n">
        <v>0.5</v>
      </c>
      <c r="T6" s="61" t="n"/>
    </row>
    <row r="7" ht="15" customHeight="1">
      <c r="A7" s="14" t="inlineStr">
        <is>
          <t>18011412C</t>
        </is>
      </c>
      <c r="B7" s="14" t="inlineStr">
        <is>
          <t>Mañas Viejo, Carmen Rosa</t>
        </is>
      </c>
      <c r="C7" s="14" t="inlineStr">
        <is>
          <t>FUNCIONARIO</t>
        </is>
      </c>
      <c r="D7" s="14" t="n"/>
      <c r="E7" s="14" t="n">
        <v>1</v>
      </c>
      <c r="F7" s="14" t="n"/>
      <c r="G7" s="14" t="n"/>
      <c r="H7" s="14" t="n"/>
      <c r="I7" s="14" t="n"/>
      <c r="J7" s="14" t="n">
        <v>1</v>
      </c>
      <c r="K7" s="14" t="inlineStr">
        <is>
          <t>B177</t>
        </is>
      </c>
      <c r="L7" s="15" t="inlineStr">
        <is>
          <t>10.23</t>
        </is>
      </c>
      <c r="M7" s="68" t="inlineStr">
        <is>
          <t>50</t>
        </is>
      </c>
      <c r="N7" s="68" t="inlineStr"/>
      <c r="O7" s="68" t="inlineStr"/>
      <c r="P7" s="68" t="n">
        <v>50</v>
      </c>
      <c r="Q7" s="68" t="n">
        <v>0.5</v>
      </c>
      <c r="R7" s="68" t="n">
        <v>0</v>
      </c>
      <c r="S7" s="68" t="n">
        <v>0.5</v>
      </c>
      <c r="T7" s="61" t="n"/>
    </row>
    <row r="8" ht="15" customHeight="1">
      <c r="A8" s="14" t="inlineStr">
        <is>
          <t>20033585X</t>
        </is>
      </c>
      <c r="B8" s="14" t="inlineStr">
        <is>
          <t>Montes Fernández, Antonia</t>
        </is>
      </c>
      <c r="C8" s="14" t="inlineStr">
        <is>
          <t>FUNCIONARIO</t>
        </is>
      </c>
      <c r="D8" s="14" t="n"/>
      <c r="E8" s="14" t="n"/>
      <c r="F8" s="14" t="n"/>
      <c r="G8" s="14" t="n">
        <v>1</v>
      </c>
      <c r="H8" s="14" t="n"/>
      <c r="I8" s="14" t="n"/>
      <c r="J8" s="14" t="n">
        <v>1</v>
      </c>
      <c r="K8" s="14" t="inlineStr">
        <is>
          <t>B172</t>
        </is>
      </c>
      <c r="L8" s="15" t="inlineStr">
        <is>
          <t>10.23</t>
        </is>
      </c>
      <c r="M8" s="68" t="inlineStr">
        <is>
          <t>20</t>
        </is>
      </c>
      <c r="N8" s="68" t="inlineStr">
        <is>
          <t>10.15</t>
        </is>
      </c>
      <c r="O8" s="68" t="inlineStr">
        <is>
          <t>10</t>
        </is>
      </c>
      <c r="P8" s="68" t="n">
        <v>70</v>
      </c>
      <c r="Q8" s="68" t="n">
        <v>0.2</v>
      </c>
      <c r="R8" s="68" t="n">
        <v>0.1</v>
      </c>
      <c r="S8" s="68" t="n">
        <v>0.7</v>
      </c>
      <c r="T8" s="61" t="n"/>
    </row>
    <row r="9" ht="15" customHeight="1">
      <c r="A9" s="14" t="inlineStr">
        <is>
          <t>21417486R</t>
        </is>
      </c>
      <c r="B9" s="14" t="inlineStr">
        <is>
          <t>Sirvent Ramos, María Ángeles</t>
        </is>
      </c>
      <c r="C9" s="14" t="inlineStr">
        <is>
          <t>FUNCIONARIO</t>
        </is>
      </c>
      <c r="D9" s="14" t="n"/>
      <c r="E9" s="14" t="n"/>
      <c r="F9" s="14" t="n"/>
      <c r="G9" s="14" t="n"/>
      <c r="H9" s="14" t="n"/>
      <c r="I9" s="14" t="n">
        <v>1</v>
      </c>
      <c r="J9" s="14" t="n">
        <v>1</v>
      </c>
      <c r="K9" s="14" t="inlineStr">
        <is>
          <t>B114</t>
        </is>
      </c>
      <c r="L9" s="15" t="inlineStr">
        <is>
          <t>10.23</t>
        </is>
      </c>
      <c r="M9" s="68" t="inlineStr">
        <is>
          <t>20</t>
        </is>
      </c>
      <c r="N9" s="68" t="inlineStr">
        <is>
          <t>10.15</t>
        </is>
      </c>
      <c r="O9" s="68" t="inlineStr">
        <is>
          <t>10</t>
        </is>
      </c>
      <c r="P9" s="68" t="n">
        <v>70</v>
      </c>
      <c r="Q9" s="68" t="n">
        <v>0.2</v>
      </c>
      <c r="R9" s="68" t="n">
        <v>0.1</v>
      </c>
      <c r="S9" s="68" t="n">
        <v>0.7</v>
      </c>
      <c r="T9" s="61" t="n"/>
    </row>
    <row r="10" ht="15" customHeight="1">
      <c r="A10" s="14" t="inlineStr">
        <is>
          <t>21418660W</t>
        </is>
      </c>
      <c r="B10" s="14" t="inlineStr">
        <is>
          <t>Gutiérrez Lloret, Rosa Ana</t>
        </is>
      </c>
      <c r="C10" s="14" t="inlineStr">
        <is>
          <t>FUNCIONARIO</t>
        </is>
      </c>
      <c r="D10" s="14" t="n"/>
      <c r="E10" s="14" t="n"/>
      <c r="F10" s="14" t="n"/>
      <c r="G10" s="14" t="n"/>
      <c r="H10" s="14" t="n"/>
      <c r="I10" s="14" t="n">
        <v>1</v>
      </c>
      <c r="J10" s="14" t="n">
        <v>1</v>
      </c>
      <c r="K10" s="14" t="inlineStr">
        <is>
          <t>B122</t>
        </is>
      </c>
      <c r="L10" s="15" t="inlineStr">
        <is>
          <t>10.23</t>
        </is>
      </c>
      <c r="M10" s="68" t="inlineStr">
        <is>
          <t>20</t>
        </is>
      </c>
      <c r="N10" s="68" t="inlineStr"/>
      <c r="O10" s="68" t="inlineStr"/>
      <c r="P10" s="68" t="n">
        <v>80</v>
      </c>
      <c r="Q10" s="68" t="n">
        <v>0.2</v>
      </c>
      <c r="R10" s="68" t="n">
        <v>0</v>
      </c>
      <c r="S10" s="68" t="n">
        <v>0.8</v>
      </c>
      <c r="T10" s="61" t="n"/>
    </row>
    <row r="11" ht="15" customHeight="1">
      <c r="A11" s="14" t="inlineStr">
        <is>
          <t>21442493F</t>
        </is>
      </c>
      <c r="B11" s="14" t="inlineStr">
        <is>
          <t>Marimón Llorca, María del Carmen</t>
        </is>
      </c>
      <c r="C11" s="14" t="inlineStr">
        <is>
          <t>FUNCIONARIO</t>
        </is>
      </c>
      <c r="D11" s="14" t="n"/>
      <c r="E11" s="14" t="n"/>
      <c r="F11" s="14" t="n"/>
      <c r="G11" s="14" t="n">
        <v>1</v>
      </c>
      <c r="H11" s="14" t="n"/>
      <c r="I11" s="14" t="n"/>
      <c r="J11" s="14" t="n">
        <v>1</v>
      </c>
      <c r="K11" s="14" t="inlineStr">
        <is>
          <t>B115</t>
        </is>
      </c>
      <c r="L11" s="15" t="inlineStr">
        <is>
          <t>10.23</t>
        </is>
      </c>
      <c r="M11" s="68" t="inlineStr">
        <is>
          <t>10</t>
        </is>
      </c>
      <c r="N11" s="68" t="inlineStr">
        <is>
          <t>10.15</t>
        </is>
      </c>
      <c r="O11" s="68" t="inlineStr">
        <is>
          <t>10</t>
        </is>
      </c>
      <c r="P11" s="68" t="n">
        <v>80</v>
      </c>
      <c r="Q11" s="68" t="n">
        <v>0.1</v>
      </c>
      <c r="R11" s="68" t="n">
        <v>0.1</v>
      </c>
      <c r="S11" s="68" t="n">
        <v>0.8</v>
      </c>
      <c r="T11" s="61" t="n"/>
    </row>
    <row r="12" ht="15" customHeight="1">
      <c r="A12" s="14" t="inlineStr">
        <is>
          <t>21471389S</t>
        </is>
      </c>
      <c r="B12" s="14" t="inlineStr">
        <is>
          <t>Arráez Llobregat, José Luis</t>
        </is>
      </c>
      <c r="C12" s="14" t="inlineStr">
        <is>
          <t>FUNCIONARIO</t>
        </is>
      </c>
      <c r="D12" s="14" t="n"/>
      <c r="E12" s="14" t="n"/>
      <c r="F12" s="14" t="n"/>
      <c r="G12" s="14" t="n">
        <v>1</v>
      </c>
      <c r="H12" s="14" t="n"/>
      <c r="I12" s="14" t="n"/>
      <c r="J12" s="14" t="n">
        <v>1</v>
      </c>
      <c r="K12" s="14" t="inlineStr">
        <is>
          <t>B114</t>
        </is>
      </c>
      <c r="L12" s="15" t="inlineStr">
        <is>
          <t>10.23</t>
        </is>
      </c>
      <c r="M12" s="68" t="inlineStr">
        <is>
          <t>20</t>
        </is>
      </c>
      <c r="N12" s="68" t="inlineStr"/>
      <c r="O12" s="68" t="inlineStr"/>
      <c r="P12" s="68" t="n">
        <v>80</v>
      </c>
      <c r="Q12" s="68" t="n">
        <v>0.2</v>
      </c>
      <c r="R12" s="68" t="n">
        <v>0</v>
      </c>
      <c r="S12" s="68" t="n">
        <v>0.8</v>
      </c>
      <c r="T12" s="61" t="n"/>
    </row>
    <row r="13" ht="15" customHeight="1">
      <c r="A13" s="14" t="inlineStr">
        <is>
          <t>21473357M</t>
        </is>
      </c>
      <c r="B13" s="14" t="inlineStr">
        <is>
          <t>Establier Pérez, Helena</t>
        </is>
      </c>
      <c r="C13" s="14" t="inlineStr">
        <is>
          <t>FUNCIONARIO</t>
        </is>
      </c>
      <c r="D13" s="14" t="n"/>
      <c r="E13" s="14" t="n"/>
      <c r="F13" s="14" t="n">
        <v>1</v>
      </c>
      <c r="G13" s="14" t="n"/>
      <c r="H13" s="14" t="n"/>
      <c r="I13" s="14" t="n"/>
      <c r="J13" s="14" t="n">
        <v>1</v>
      </c>
      <c r="K13" s="14" t="inlineStr">
        <is>
          <t>B115</t>
        </is>
      </c>
      <c r="L13" s="15" t="inlineStr">
        <is>
          <t>10.23</t>
        </is>
      </c>
      <c r="M13" s="68" t="inlineStr">
        <is>
          <t>90</t>
        </is>
      </c>
      <c r="N13" s="68" t="inlineStr"/>
      <c r="O13" s="68" t="inlineStr"/>
      <c r="P13" s="68" t="n">
        <v>10</v>
      </c>
      <c r="Q13" s="68" t="n">
        <v>0.9</v>
      </c>
      <c r="R13" s="68" t="n">
        <v>0</v>
      </c>
      <c r="S13" s="68" t="n">
        <v>0.1</v>
      </c>
      <c r="T13" s="61" t="n"/>
    </row>
    <row r="14" ht="15" customHeight="1">
      <c r="A14" s="14" t="inlineStr">
        <is>
          <t>21474507M</t>
        </is>
      </c>
      <c r="B14" s="14" t="inlineStr">
        <is>
          <t>Lapiedra Gutiérrez, Eva</t>
        </is>
      </c>
      <c r="C14" s="14" t="inlineStr">
        <is>
          <t>Vivos</t>
        </is>
      </c>
      <c r="D14" s="14" t="n"/>
      <c r="E14" s="14" t="n"/>
      <c r="F14" s="14" t="n"/>
      <c r="G14" s="14" t="n"/>
      <c r="H14" s="14" t="n"/>
      <c r="I14" s="14" t="n">
        <v>1</v>
      </c>
      <c r="J14" s="14" t="n">
        <v>1</v>
      </c>
      <c r="K14" s="14" t="inlineStr">
        <is>
          <t>B114</t>
        </is>
      </c>
      <c r="L14" s="15" t="inlineStr">
        <is>
          <t>10.23</t>
        </is>
      </c>
      <c r="M14" s="68" t="inlineStr">
        <is>
          <t>20</t>
        </is>
      </c>
      <c r="N14" s="68" t="inlineStr"/>
      <c r="O14" s="68" t="inlineStr"/>
      <c r="P14" s="68" t="n">
        <v>80</v>
      </c>
      <c r="Q14" s="68" t="n">
        <v>0.2</v>
      </c>
      <c r="R14" s="68" t="n">
        <v>0</v>
      </c>
      <c r="S14" s="68" t="n">
        <v>0.8</v>
      </c>
      <c r="T14" s="61" t="n"/>
    </row>
    <row r="15" ht="15" customHeight="1">
      <c r="A15" s="14" t="inlineStr">
        <is>
          <t>21475002V</t>
        </is>
      </c>
      <c r="B15" s="14" t="inlineStr">
        <is>
          <t>Jiménez Delgado, María</t>
        </is>
      </c>
      <c r="C15" s="14" t="inlineStr">
        <is>
          <t>FUNCIONARIO</t>
        </is>
      </c>
      <c r="D15" s="14" t="n"/>
      <c r="E15" s="14" t="n"/>
      <c r="F15" s="14" t="n"/>
      <c r="G15" s="14" t="n"/>
      <c r="H15" s="14" t="n"/>
      <c r="I15" s="14" t="n">
        <v>1</v>
      </c>
      <c r="J15" s="14" t="n">
        <v>1</v>
      </c>
      <c r="K15" s="14" t="inlineStr">
        <is>
          <t>B179</t>
        </is>
      </c>
      <c r="L15" s="15" t="inlineStr">
        <is>
          <t>10.23</t>
        </is>
      </c>
      <c r="M15" s="68" t="inlineStr">
        <is>
          <t>20</t>
        </is>
      </c>
      <c r="N15" s="68" t="inlineStr"/>
      <c r="O15" s="68" t="inlineStr"/>
      <c r="P15" s="68" t="n">
        <v>80</v>
      </c>
      <c r="Q15" s="68" t="n">
        <v>0.2</v>
      </c>
      <c r="R15" s="68" t="n">
        <v>0</v>
      </c>
      <c r="S15" s="68" t="n">
        <v>0.8</v>
      </c>
      <c r="T15" s="61" t="n"/>
    </row>
    <row r="16" ht="15" customHeight="1">
      <c r="A16" s="14" t="inlineStr">
        <is>
          <t>21481385Y</t>
        </is>
      </c>
      <c r="B16" s="14" t="inlineStr">
        <is>
          <t>Moreno Seco, Mónica</t>
        </is>
      </c>
      <c r="C16" s="14" t="inlineStr">
        <is>
          <t>FUNCIONARIO</t>
        </is>
      </c>
      <c r="D16" s="14" t="n">
        <v>1</v>
      </c>
      <c r="E16" s="14" t="n"/>
      <c r="F16" s="14" t="n"/>
      <c r="G16" s="14" t="n"/>
      <c r="H16" s="14" t="n"/>
      <c r="I16" s="14" t="n"/>
      <c r="J16" s="14" t="n">
        <v>1</v>
      </c>
      <c r="K16" s="14" t="inlineStr">
        <is>
          <t>B122</t>
        </is>
      </c>
      <c r="L16" s="15" t="inlineStr">
        <is>
          <t>10.23</t>
        </is>
      </c>
      <c r="M16" s="68" t="inlineStr">
        <is>
          <t>90</t>
        </is>
      </c>
      <c r="N16" s="68" t="inlineStr"/>
      <c r="O16" s="68" t="inlineStr"/>
      <c r="P16" s="68" t="n">
        <v>10</v>
      </c>
      <c r="Q16" s="68" t="n">
        <v>0.9</v>
      </c>
      <c r="R16" s="68" t="n">
        <v>0</v>
      </c>
      <c r="S16" s="68" t="n">
        <v>0.1</v>
      </c>
      <c r="T16" s="61" t="n"/>
    </row>
    <row r="17" ht="15" customHeight="1">
      <c r="A17" s="14" t="inlineStr">
        <is>
          <t>21484456H</t>
        </is>
      </c>
      <c r="B17" s="14" t="inlineStr">
        <is>
          <t>Gavilán Martín, Diego</t>
        </is>
      </c>
      <c r="C17" s="14" t="inlineStr">
        <is>
          <t>NO FUNCIONARIO</t>
        </is>
      </c>
      <c r="D17" s="14" t="n"/>
      <c r="E17" s="14" t="n"/>
      <c r="F17" s="14" t="n"/>
      <c r="G17" s="14" t="n"/>
      <c r="H17" s="14" t="n">
        <v>1</v>
      </c>
      <c r="I17" s="14" t="n"/>
      <c r="J17" s="14" t="n">
        <v>1</v>
      </c>
      <c r="K17" s="14" t="inlineStr">
        <is>
          <t>B112</t>
        </is>
      </c>
      <c r="L17" s="15" t="inlineStr">
        <is>
          <t>10.23</t>
        </is>
      </c>
      <c r="M17" s="68" t="inlineStr">
        <is>
          <t>20</t>
        </is>
      </c>
      <c r="N17" s="68" t="inlineStr"/>
      <c r="O17" s="68" t="inlineStr"/>
      <c r="P17" s="68" t="n">
        <v>80</v>
      </c>
      <c r="Q17" s="68" t="n">
        <v>0.2</v>
      </c>
      <c r="R17" s="68" t="n">
        <v>0</v>
      </c>
      <c r="S17" s="68" t="n">
        <v>0.8</v>
      </c>
      <c r="T17" s="61" t="n"/>
    </row>
    <row r="18" ht="15" customHeight="1">
      <c r="A18" s="14" t="inlineStr">
        <is>
          <t>21485458P</t>
        </is>
      </c>
      <c r="B18" s="14" t="inlineStr">
        <is>
          <t>Múrtula Lafuente, Virginia</t>
        </is>
      </c>
      <c r="C18" s="14" t="inlineStr">
        <is>
          <t>FUNCIONARIO</t>
        </is>
      </c>
      <c r="D18" s="14" t="n">
        <v>1</v>
      </c>
      <c r="E18" s="14" t="n"/>
      <c r="F18" s="14" t="n"/>
      <c r="G18" s="14" t="n"/>
      <c r="H18" s="14" t="n"/>
      <c r="I18" s="14" t="n"/>
      <c r="J18" s="14" t="n">
        <v>1</v>
      </c>
      <c r="K18" s="14" t="inlineStr">
        <is>
          <t>B107</t>
        </is>
      </c>
      <c r="L18" s="15" t="inlineStr">
        <is>
          <t>10.23</t>
        </is>
      </c>
      <c r="M18" s="68" t="inlineStr">
        <is>
          <t>20</t>
        </is>
      </c>
      <c r="N18" s="68" t="inlineStr"/>
      <c r="O18" s="68" t="inlineStr"/>
      <c r="P18" s="68" t="n">
        <v>80</v>
      </c>
      <c r="Q18" s="68" t="n">
        <v>0.2</v>
      </c>
      <c r="R18" s="68" t="n">
        <v>0</v>
      </c>
      <c r="S18" s="68" t="n">
        <v>0.8</v>
      </c>
      <c r="T18" s="61" t="n"/>
    </row>
    <row r="19" ht="15" customHeight="1">
      <c r="A19" s="14" t="inlineStr">
        <is>
          <t>21487726E</t>
        </is>
      </c>
      <c r="B19" s="14" t="inlineStr">
        <is>
          <t>Galiana Sánchez, María Eugenia</t>
        </is>
      </c>
      <c r="C19" s="14" t="inlineStr">
        <is>
          <t>FUNCIONARIO</t>
        </is>
      </c>
      <c r="D19" s="14" t="n"/>
      <c r="E19" s="14" t="n"/>
      <c r="F19" s="14" t="n"/>
      <c r="G19" s="14" t="n">
        <v>1</v>
      </c>
      <c r="H19" s="14" t="n"/>
      <c r="I19" s="14" t="n"/>
      <c r="J19" s="14" t="n">
        <v>1</v>
      </c>
      <c r="K19" s="14" t="inlineStr">
        <is>
          <t>B170</t>
        </is>
      </c>
      <c r="L19" s="15" t="inlineStr">
        <is>
          <t>10.23</t>
        </is>
      </c>
      <c r="M19" s="68" t="inlineStr">
        <is>
          <t>20</t>
        </is>
      </c>
      <c r="N19" s="68" t="inlineStr"/>
      <c r="O19" s="68" t="inlineStr"/>
      <c r="P19" s="68" t="n">
        <v>80</v>
      </c>
      <c r="Q19" s="68" t="n">
        <v>0.2</v>
      </c>
      <c r="R19" s="68" t="n">
        <v>0</v>
      </c>
      <c r="S19" s="68" t="n">
        <v>0.8</v>
      </c>
      <c r="T19" s="61" t="n"/>
    </row>
    <row r="20" ht="15" customHeight="1">
      <c r="A20" s="14" t="inlineStr">
        <is>
          <t>21491656L</t>
        </is>
      </c>
      <c r="B20" s="14" t="inlineStr">
        <is>
          <t>Carrasco Rodríguez, Antonio</t>
        </is>
      </c>
      <c r="C20" s="14" t="inlineStr">
        <is>
          <t>NO FUNCIONARIO</t>
        </is>
      </c>
      <c r="D20" s="14" t="n"/>
      <c r="E20" s="14" t="n"/>
      <c r="F20" s="14" t="n"/>
      <c r="G20" s="14" t="n"/>
      <c r="H20" s="14" t="n">
        <v>1</v>
      </c>
      <c r="I20" s="14" t="n"/>
      <c r="J20" s="14" t="n">
        <v>1</v>
      </c>
      <c r="K20" s="14" t="inlineStr">
        <is>
          <t>B174</t>
        </is>
      </c>
      <c r="L20" s="15" t="inlineStr">
        <is>
          <t>10.23</t>
        </is>
      </c>
      <c r="M20" s="68" t="inlineStr">
        <is>
          <t>20</t>
        </is>
      </c>
      <c r="N20" s="68" t="inlineStr"/>
      <c r="O20" s="68" t="inlineStr"/>
      <c r="P20" s="68" t="n">
        <v>80</v>
      </c>
      <c r="Q20" s="68" t="n">
        <v>0.2</v>
      </c>
      <c r="R20" s="68" t="n">
        <v>0</v>
      </c>
      <c r="S20" s="68" t="n">
        <v>0.8</v>
      </c>
      <c r="T20" s="61" t="n"/>
    </row>
    <row r="21" ht="15" customHeight="1">
      <c r="A21" s="14" t="inlineStr">
        <is>
          <t>21499146B</t>
        </is>
      </c>
      <c r="B21" s="14" t="inlineStr">
        <is>
          <t>Papí Gálvez, Natalia</t>
        </is>
      </c>
      <c r="C21" s="14" t="inlineStr">
        <is>
          <t>FUNCIONARIO</t>
        </is>
      </c>
      <c r="D21" s="14" t="n">
        <v>1</v>
      </c>
      <c r="E21" s="14" t="n"/>
      <c r="F21" s="14" t="n"/>
      <c r="G21" s="14" t="n"/>
      <c r="H21" s="14" t="n"/>
      <c r="I21" s="14" t="n"/>
      <c r="J21" s="14" t="n">
        <v>1</v>
      </c>
      <c r="K21" s="14" t="inlineStr">
        <is>
          <t>B175</t>
        </is>
      </c>
      <c r="L21" s="15" t="inlineStr">
        <is>
          <t>10.23</t>
        </is>
      </c>
      <c r="M21" s="68" t="inlineStr">
        <is>
          <t>20</t>
        </is>
      </c>
      <c r="N21" s="68" t="inlineStr">
        <is>
          <t>10.06</t>
        </is>
      </c>
      <c r="O21" s="68" t="inlineStr">
        <is>
          <t>20</t>
        </is>
      </c>
      <c r="P21" s="68" t="n">
        <v>60</v>
      </c>
      <c r="Q21" s="68" t="n">
        <v>0.2</v>
      </c>
      <c r="R21" s="68" t="n">
        <v>0.2</v>
      </c>
      <c r="S21" s="68" t="n">
        <v>0.6</v>
      </c>
      <c r="T21" s="61" t="n"/>
    </row>
    <row r="22" ht="15" customHeight="1">
      <c r="A22" s="14" t="inlineStr">
        <is>
          <t>21516771H</t>
        </is>
      </c>
      <c r="B22" s="14" t="inlineStr">
        <is>
          <t>Espinar Ruiz, Eva</t>
        </is>
      </c>
      <c r="C22" s="14" t="inlineStr">
        <is>
          <t>FUNCIONARIO</t>
        </is>
      </c>
      <c r="D22" s="14" t="n"/>
      <c r="E22" s="14" t="n"/>
      <c r="F22" s="14" t="n"/>
      <c r="G22" s="14" t="n"/>
      <c r="H22" s="14" t="n">
        <v>1</v>
      </c>
      <c r="I22" s="14" t="n"/>
      <c r="J22" s="14" t="n">
        <v>1</v>
      </c>
      <c r="K22" s="14" t="inlineStr">
        <is>
          <t>B176</t>
        </is>
      </c>
      <c r="L22" s="15" t="inlineStr">
        <is>
          <t>10.23</t>
        </is>
      </c>
      <c r="M22" s="68" t="inlineStr">
        <is>
          <t>20</t>
        </is>
      </c>
      <c r="N22" s="68" t="inlineStr">
        <is>
          <t>10.22</t>
        </is>
      </c>
      <c r="O22" s="68" t="inlineStr">
        <is>
          <t>20</t>
        </is>
      </c>
      <c r="P22" s="68" t="n">
        <v>60</v>
      </c>
      <c r="Q22" s="68" t="n">
        <v>0.2</v>
      </c>
      <c r="R22" s="68" t="n">
        <v>0.2</v>
      </c>
      <c r="S22" s="68" t="n">
        <v>0.6</v>
      </c>
      <c r="T22" s="61" t="n"/>
    </row>
    <row r="23" ht="15" customHeight="1">
      <c r="A23" s="14" t="inlineStr">
        <is>
          <t>21626813M</t>
        </is>
      </c>
      <c r="B23" s="14" t="inlineStr">
        <is>
          <t>Gómez Reus, María Teresa</t>
        </is>
      </c>
      <c r="C23" s="14" t="inlineStr">
        <is>
          <t>Vivos</t>
        </is>
      </c>
      <c r="D23" s="14" t="n"/>
      <c r="E23" s="14" t="n"/>
      <c r="F23" s="14" t="n"/>
      <c r="G23" s="14" t="n"/>
      <c r="H23" s="14" t="n"/>
      <c r="I23" s="14" t="n">
        <v>1</v>
      </c>
      <c r="J23" s="14" t="n">
        <v>1</v>
      </c>
      <c r="K23" s="14" t="inlineStr">
        <is>
          <t>B116</t>
        </is>
      </c>
      <c r="L23" s="15" t="inlineStr">
        <is>
          <t>10.23</t>
        </is>
      </c>
      <c r="M23" s="68" t="inlineStr">
        <is>
          <t>20</t>
        </is>
      </c>
      <c r="N23" s="68" t="inlineStr"/>
      <c r="O23" s="68" t="inlineStr"/>
      <c r="P23" s="68" t="n">
        <v>80</v>
      </c>
      <c r="Q23" s="68" t="n">
        <v>0.2</v>
      </c>
      <c r="R23" s="68" t="n">
        <v>0</v>
      </c>
      <c r="S23" s="68" t="n">
        <v>0.8</v>
      </c>
      <c r="T23" s="61" t="n"/>
    </row>
    <row r="24" ht="15" customHeight="1">
      <c r="A24" s="14" t="inlineStr">
        <is>
          <t>21648517C</t>
        </is>
      </c>
      <c r="B24" s="14" t="inlineStr">
        <is>
          <t>Mira Abad, Alicia</t>
        </is>
      </c>
      <c r="C24" s="14" t="inlineStr">
        <is>
          <t>FUNCIONARIO</t>
        </is>
      </c>
      <c r="D24" s="14" t="n"/>
      <c r="E24" s="14" t="n"/>
      <c r="F24" s="14" t="n"/>
      <c r="G24" s="14" t="n"/>
      <c r="H24" s="14" t="n"/>
      <c r="I24" s="14" t="n">
        <v>1</v>
      </c>
      <c r="J24" s="14" t="n">
        <v>1</v>
      </c>
      <c r="K24" s="14" t="inlineStr">
        <is>
          <t>B122</t>
        </is>
      </c>
      <c r="L24" s="15" t="inlineStr">
        <is>
          <t>10.23</t>
        </is>
      </c>
      <c r="M24" s="68" t="inlineStr">
        <is>
          <t>20</t>
        </is>
      </c>
      <c r="N24" s="68" t="inlineStr"/>
      <c r="O24" s="68" t="inlineStr"/>
      <c r="P24" s="68" t="n">
        <v>80</v>
      </c>
      <c r="Q24" s="68" t="n">
        <v>0.2</v>
      </c>
      <c r="R24" s="68" t="n">
        <v>0</v>
      </c>
      <c r="S24" s="68" t="n">
        <v>0.8</v>
      </c>
      <c r="T24" s="61" t="n"/>
    </row>
    <row r="25" ht="15" customHeight="1">
      <c r="A25" s="14" t="inlineStr">
        <is>
          <t>21685515B</t>
        </is>
      </c>
      <c r="B25" s="14" t="inlineStr">
        <is>
          <t>Tormo Santamaria, Maria</t>
        </is>
      </c>
      <c r="C25" s="14" t="inlineStr">
        <is>
          <t>NO FUNCIONARIO</t>
        </is>
      </c>
      <c r="D25" s="14" t="n"/>
      <c r="E25" s="14" t="n"/>
      <c r="F25" s="14" t="n"/>
      <c r="G25" s="14" t="n"/>
      <c r="H25" s="14" t="n"/>
      <c r="I25" s="14" t="n">
        <v>1</v>
      </c>
      <c r="J25" s="14" t="n">
        <v>1</v>
      </c>
      <c r="K25" s="14" t="inlineStr">
        <is>
          <t>B170</t>
        </is>
      </c>
      <c r="L25" s="15" t="inlineStr">
        <is>
          <t>10.23</t>
        </is>
      </c>
      <c r="M25" s="68" t="inlineStr">
        <is>
          <t>20</t>
        </is>
      </c>
      <c r="N25" s="68" t="inlineStr"/>
      <c r="O25" s="68" t="inlineStr"/>
      <c r="P25" s="68" t="n">
        <v>80</v>
      </c>
      <c r="Q25" s="68" t="n">
        <v>0.2</v>
      </c>
      <c r="R25" s="68" t="n">
        <v>0</v>
      </c>
      <c r="S25" s="68" t="n">
        <v>0.8</v>
      </c>
      <c r="T25" s="61" t="n"/>
    </row>
    <row r="26" ht="15" customHeight="1">
      <c r="A26" s="14" t="inlineStr">
        <is>
          <t>22128337Z</t>
        </is>
      </c>
      <c r="B26" s="14" t="inlineStr">
        <is>
          <t>Corbi Saez, Maria Isabel</t>
        </is>
      </c>
      <c r="C26" s="14" t="inlineStr">
        <is>
          <t>FUNCIONARIO</t>
        </is>
      </c>
      <c r="D26" s="14" t="n"/>
      <c r="E26" s="14" t="n"/>
      <c r="F26" s="14" t="n"/>
      <c r="G26" s="14" t="n"/>
      <c r="H26" s="14" t="n"/>
      <c r="I26" s="14" t="n">
        <v>1</v>
      </c>
      <c r="J26" s="14" t="n">
        <v>1</v>
      </c>
      <c r="K26" s="14" t="inlineStr">
        <is>
          <t>B114</t>
        </is>
      </c>
      <c r="L26" s="15" t="inlineStr">
        <is>
          <t>10.23</t>
        </is>
      </c>
      <c r="M26" s="68" t="inlineStr">
        <is>
          <t>20</t>
        </is>
      </c>
      <c r="N26" s="68" t="inlineStr">
        <is>
          <t>10.15</t>
        </is>
      </c>
      <c r="O26" s="68" t="inlineStr">
        <is>
          <t>10</t>
        </is>
      </c>
      <c r="P26" s="68" t="n">
        <v>70</v>
      </c>
      <c r="Q26" s="68" t="n">
        <v>0.2</v>
      </c>
      <c r="R26" s="68" t="n">
        <v>0.1</v>
      </c>
      <c r="S26" s="68" t="n">
        <v>0.7</v>
      </c>
      <c r="T26" s="61" t="n"/>
    </row>
    <row r="27" ht="15" customHeight="1">
      <c r="A27" s="14" t="inlineStr">
        <is>
          <t>22146116Z</t>
        </is>
      </c>
      <c r="B27" s="14" t="inlineStr">
        <is>
          <t>Nájera Pérez, Elena</t>
        </is>
      </c>
      <c r="C27" s="14" t="inlineStr">
        <is>
          <t>FUNCIONARIO</t>
        </is>
      </c>
      <c r="D27" s="14" t="n"/>
      <c r="E27" s="14" t="n"/>
      <c r="F27" s="14" t="n"/>
      <c r="G27" s="14" t="n"/>
      <c r="H27" s="14" t="n"/>
      <c r="I27" s="14" t="n">
        <v>1</v>
      </c>
      <c r="J27" s="14" t="n">
        <v>1</v>
      </c>
      <c r="K27" s="14" t="inlineStr">
        <is>
          <t>B122</t>
        </is>
      </c>
      <c r="L27" s="15" t="inlineStr">
        <is>
          <t>10.23</t>
        </is>
      </c>
      <c r="M27" s="68" t="inlineStr">
        <is>
          <t>20</t>
        </is>
      </c>
      <c r="N27" s="68" t="inlineStr"/>
      <c r="O27" s="68" t="inlineStr"/>
      <c r="P27" s="68" t="n">
        <v>80</v>
      </c>
      <c r="Q27" s="68" t="n">
        <v>0.2</v>
      </c>
      <c r="R27" s="68" t="n">
        <v>0</v>
      </c>
      <c r="S27" s="68" t="n">
        <v>0.8</v>
      </c>
      <c r="T27" s="61" t="n"/>
    </row>
    <row r="28" ht="15" customHeight="1">
      <c r="A28" s="14" t="inlineStr">
        <is>
          <t>25128914B</t>
        </is>
      </c>
      <c r="B28" s="14" t="inlineStr">
        <is>
          <t>Santamaría Pérez, Mª Isabel</t>
        </is>
      </c>
      <c r="C28" s="14" t="inlineStr">
        <is>
          <t>FUNCIONARIO</t>
        </is>
      </c>
      <c r="D28" s="14" t="n"/>
      <c r="E28" s="14" t="n"/>
      <c r="F28" s="14" t="n"/>
      <c r="G28" s="14" t="n"/>
      <c r="H28" s="14" t="n"/>
      <c r="I28" s="14" t="n">
        <v>1</v>
      </c>
      <c r="J28" s="14" t="n">
        <v>1</v>
      </c>
      <c r="K28" s="14" t="inlineStr">
        <is>
          <t>B115</t>
        </is>
      </c>
      <c r="L28" s="15" t="inlineStr">
        <is>
          <t>10.23</t>
        </is>
      </c>
      <c r="M28" s="68" t="inlineStr">
        <is>
          <t>20</t>
        </is>
      </c>
      <c r="N28" s="68" t="inlineStr">
        <is>
          <t>10.15</t>
        </is>
      </c>
      <c r="O28" s="68" t="inlineStr">
        <is>
          <t>10</t>
        </is>
      </c>
      <c r="P28" s="68" t="n">
        <v>70</v>
      </c>
      <c r="Q28" s="68" t="n">
        <v>0.2</v>
      </c>
      <c r="R28" s="68" t="n">
        <v>0.1</v>
      </c>
      <c r="S28" s="68" t="n">
        <v>0.7</v>
      </c>
      <c r="T28" s="61" t="n"/>
    </row>
    <row r="29" ht="15" customHeight="1">
      <c r="A29" s="14" t="inlineStr">
        <is>
          <t>25130259E</t>
        </is>
      </c>
      <c r="B29" s="14" t="inlineStr">
        <is>
          <t>Díaz Sánchez, Isabel</t>
        </is>
      </c>
      <c r="C29" s="14" t="inlineStr">
        <is>
          <t>FUNCIONARIO</t>
        </is>
      </c>
      <c r="D29" s="14" t="n"/>
      <c r="E29" s="14" t="n"/>
      <c r="F29" s="14" t="n"/>
      <c r="G29" s="14" t="n">
        <v>1</v>
      </c>
      <c r="H29" s="14" t="n"/>
      <c r="I29" s="14" t="n"/>
      <c r="J29" s="14" t="n">
        <v>1</v>
      </c>
      <c r="K29" s="14" t="inlineStr">
        <is>
          <t>B116</t>
        </is>
      </c>
      <c r="L29" s="15" t="inlineStr">
        <is>
          <t>10.23</t>
        </is>
      </c>
      <c r="M29" s="68" t="inlineStr">
        <is>
          <t>50</t>
        </is>
      </c>
      <c r="N29" s="68" t="inlineStr"/>
      <c r="O29" s="68" t="inlineStr"/>
      <c r="P29" s="68" t="n">
        <v>50</v>
      </c>
      <c r="Q29" s="68" t="n">
        <v>0.5</v>
      </c>
      <c r="R29" s="68" t="n">
        <v>0</v>
      </c>
      <c r="S29" s="68" t="n">
        <v>0.5</v>
      </c>
      <c r="T29" s="61" t="n"/>
    </row>
    <row r="30" ht="15" customHeight="1">
      <c r="A30" s="14" t="inlineStr">
        <is>
          <t>26186611F</t>
        </is>
      </c>
      <c r="B30" s="14" t="inlineStr">
        <is>
          <t>Ruiz Cantero, Maria Teresa</t>
        </is>
      </c>
      <c r="C30" s="14" t="inlineStr">
        <is>
          <t>FUNCIONARIO</t>
        </is>
      </c>
      <c r="D30" s="14" t="n"/>
      <c r="E30" s="14" t="n">
        <v>1</v>
      </c>
      <c r="F30" s="14" t="n"/>
      <c r="G30" s="14" t="n"/>
      <c r="H30" s="14" t="n"/>
      <c r="I30" s="14" t="n"/>
      <c r="J30" s="14" t="n">
        <v>1</v>
      </c>
      <c r="K30" s="14" t="inlineStr">
        <is>
          <t>B170</t>
        </is>
      </c>
      <c r="L30" s="15" t="inlineStr">
        <is>
          <t>10.23</t>
        </is>
      </c>
      <c r="M30" s="68" t="inlineStr">
        <is>
          <t>50</t>
        </is>
      </c>
      <c r="N30" s="68" t="inlineStr"/>
      <c r="O30" s="68" t="inlineStr"/>
      <c r="P30" s="68" t="n">
        <v>50</v>
      </c>
      <c r="Q30" s="68" t="n">
        <v>0.5</v>
      </c>
      <c r="R30" s="68" t="n">
        <v>0</v>
      </c>
      <c r="S30" s="68" t="n">
        <v>0.5</v>
      </c>
      <c r="T30" s="61" t="n"/>
    </row>
    <row r="31" ht="15" customHeight="1">
      <c r="A31" s="14" t="inlineStr">
        <is>
          <t>26226014B</t>
        </is>
      </c>
      <c r="B31" s="14" t="inlineStr">
        <is>
          <t>Martínez Lirola, María</t>
        </is>
      </c>
      <c r="C31" s="14" t="inlineStr">
        <is>
          <t>FUNCIONARIO</t>
        </is>
      </c>
      <c r="D31" s="14" t="n"/>
      <c r="E31" s="14" t="n"/>
      <c r="F31" s="14" t="n">
        <v>1</v>
      </c>
      <c r="G31" s="14" t="n"/>
      <c r="H31" s="14" t="n"/>
      <c r="I31" s="14" t="n"/>
      <c r="J31" s="14" t="n">
        <v>1</v>
      </c>
      <c r="K31" s="14" t="inlineStr">
        <is>
          <t>B116</t>
        </is>
      </c>
      <c r="L31" s="15" t="inlineStr">
        <is>
          <t>10.23</t>
        </is>
      </c>
      <c r="M31" s="68" t="inlineStr">
        <is>
          <t>20</t>
        </is>
      </c>
      <c r="N31" s="68" t="inlineStr">
        <is>
          <t>10.15</t>
        </is>
      </c>
      <c r="O31" s="68" t="inlineStr">
        <is>
          <t>10</t>
        </is>
      </c>
      <c r="P31" s="68" t="n">
        <v>70</v>
      </c>
      <c r="Q31" s="68" t="n">
        <v>0.2</v>
      </c>
      <c r="R31" s="68" t="n">
        <v>0.1</v>
      </c>
      <c r="S31" s="68" t="n">
        <v>0.7</v>
      </c>
      <c r="T31" s="61" t="n"/>
    </row>
    <row r="32" ht="15" customHeight="1">
      <c r="A32" s="14" t="inlineStr">
        <is>
          <t>28555357Y</t>
        </is>
      </c>
      <c r="B32" s="14" t="inlineStr">
        <is>
          <t>Álvarez-Dardet Díaz, Carlos</t>
        </is>
      </c>
      <c r="C32" s="14" t="n">
        <v>6</v>
      </c>
      <c r="D32" s="14" t="n"/>
      <c r="E32" s="14" t="n"/>
      <c r="F32" s="14" t="n"/>
      <c r="G32" s="14" t="n"/>
      <c r="H32" s="14" t="n"/>
      <c r="I32" s="14" t="n">
        <v>1</v>
      </c>
      <c r="J32" s="14" t="n">
        <v>1</v>
      </c>
      <c r="K32" s="14" t="inlineStr">
        <is>
          <t>B170</t>
        </is>
      </c>
      <c r="L32" s="15" t="inlineStr">
        <is>
          <t>10.23</t>
        </is>
      </c>
      <c r="M32" s="68" t="inlineStr">
        <is>
          <t>20</t>
        </is>
      </c>
      <c r="N32" s="68" t="inlineStr"/>
      <c r="O32" s="68" t="inlineStr"/>
      <c r="P32" s="68" t="n">
        <v>80</v>
      </c>
      <c r="Q32" s="68" t="n">
        <v>0.2</v>
      </c>
      <c r="R32" s="68" t="n">
        <v>0</v>
      </c>
      <c r="S32" s="68" t="n">
        <v>0.8</v>
      </c>
      <c r="T32" s="61" t="n"/>
    </row>
    <row r="33" ht="15" customHeight="1">
      <c r="A33" s="14" t="inlineStr">
        <is>
          <t>28996290Y</t>
        </is>
      </c>
      <c r="B33" s="14" t="inlineStr">
        <is>
          <t>Chiner Sanz, Esther</t>
        </is>
      </c>
      <c r="C33" s="14" t="inlineStr">
        <is>
          <t>FUNCIONARIO</t>
        </is>
      </c>
      <c r="D33" s="14" t="n"/>
      <c r="E33" s="14" t="n"/>
      <c r="F33" s="14" t="n">
        <v>1</v>
      </c>
      <c r="G33" s="14" t="n"/>
      <c r="H33" s="14" t="n"/>
      <c r="I33" s="14" t="n"/>
      <c r="J33" s="14" t="n">
        <v>1</v>
      </c>
      <c r="K33" s="14" t="inlineStr">
        <is>
          <t>B132</t>
        </is>
      </c>
      <c r="L33" s="15" t="inlineStr">
        <is>
          <t>10.23</t>
        </is>
      </c>
      <c r="M33" s="68" t="inlineStr">
        <is>
          <t>30</t>
        </is>
      </c>
      <c r="N33" s="68" t="inlineStr"/>
      <c r="O33" s="68" t="inlineStr"/>
      <c r="P33" s="68" t="n">
        <v>70</v>
      </c>
      <c r="Q33" s="68" t="n">
        <v>0.3</v>
      </c>
      <c r="R33" s="68" t="n">
        <v>0</v>
      </c>
      <c r="S33" s="68" t="n">
        <v>0.7</v>
      </c>
      <c r="T33" s="61" t="n"/>
    </row>
    <row r="34" ht="15" customHeight="1">
      <c r="A34" s="14" t="inlineStr">
        <is>
          <t>29013572S</t>
        </is>
      </c>
      <c r="B34" s="14" t="inlineStr">
        <is>
          <t>Peñalver Vicea, María Isabel</t>
        </is>
      </c>
      <c r="C34" s="14" t="inlineStr">
        <is>
          <t>FUNCIONARIO</t>
        </is>
      </c>
      <c r="D34" s="14" t="n">
        <v>1</v>
      </c>
      <c r="E34" s="14" t="n"/>
      <c r="F34" s="14" t="n"/>
      <c r="G34" s="14" t="n"/>
      <c r="H34" s="14" t="n"/>
      <c r="I34" s="14" t="n"/>
      <c r="J34" s="14" t="n">
        <v>1</v>
      </c>
      <c r="K34" s="14" t="inlineStr">
        <is>
          <t>B114</t>
        </is>
      </c>
      <c r="L34" s="15" t="inlineStr">
        <is>
          <t>10.23</t>
        </is>
      </c>
      <c r="M34" s="68" t="inlineStr">
        <is>
          <t>50</t>
        </is>
      </c>
      <c r="N34" s="68" t="inlineStr"/>
      <c r="O34" s="68" t="inlineStr"/>
      <c r="P34" s="68" t="n">
        <v>50</v>
      </c>
      <c r="Q34" s="68" t="n">
        <v>0.5</v>
      </c>
      <c r="R34" s="68" t="n">
        <v>0</v>
      </c>
      <c r="S34" s="68" t="n">
        <v>0.5</v>
      </c>
      <c r="T34" s="61" t="n"/>
    </row>
    <row r="35" ht="15" customHeight="1">
      <c r="A35" s="14" t="inlineStr">
        <is>
          <t>29019785H</t>
        </is>
      </c>
      <c r="B35" s="14" t="inlineStr">
        <is>
          <t>Bajo García, Irene</t>
        </is>
      </c>
      <c r="C35" s="14" t="inlineStr">
        <is>
          <t>FUNCIONARIO</t>
        </is>
      </c>
      <c r="D35" s="14" t="n"/>
      <c r="E35" s="14" t="n"/>
      <c r="F35" s="14" t="n"/>
      <c r="G35" s="14" t="n">
        <v>1</v>
      </c>
      <c r="H35" s="14" t="n"/>
      <c r="I35" s="14" t="n"/>
      <c r="J35" s="14" t="n">
        <v>1</v>
      </c>
      <c r="K35" s="14" t="inlineStr">
        <is>
          <t>B140</t>
        </is>
      </c>
      <c r="L35" s="15" t="inlineStr">
        <is>
          <t>10.23</t>
        </is>
      </c>
      <c r="M35" s="68" t="inlineStr">
        <is>
          <t>20</t>
        </is>
      </c>
      <c r="N35" s="68" t="inlineStr"/>
      <c r="O35" s="68" t="inlineStr"/>
      <c r="P35" s="68" t="n">
        <v>80</v>
      </c>
      <c r="Q35" s="68" t="n">
        <v>0.2</v>
      </c>
      <c r="R35" s="68" t="n">
        <v>0</v>
      </c>
      <c r="S35" s="68" t="n">
        <v>0.8</v>
      </c>
      <c r="T35" s="61" t="n"/>
    </row>
    <row r="36" ht="15" customHeight="1">
      <c r="A36" s="14" t="inlineStr">
        <is>
          <t>29075312T</t>
        </is>
      </c>
      <c r="B36" s="14" t="inlineStr">
        <is>
          <t>Torres Díaz, María Concepción</t>
        </is>
      </c>
      <c r="C36" s="14" t="inlineStr">
        <is>
          <t>NO FUNCIONARIO</t>
        </is>
      </c>
      <c r="D36" s="14" t="n"/>
      <c r="E36" s="14" t="n"/>
      <c r="F36" s="14" t="n"/>
      <c r="G36" s="14" t="n"/>
      <c r="H36" s="14" t="n">
        <v>1</v>
      </c>
      <c r="I36" s="14" t="n"/>
      <c r="J36" s="14" t="n">
        <v>1</v>
      </c>
      <c r="K36" s="14" t="inlineStr">
        <is>
          <t>B113</t>
        </is>
      </c>
      <c r="L36" s="15" t="inlineStr">
        <is>
          <t>10.23</t>
        </is>
      </c>
      <c r="M36" s="68" t="inlineStr">
        <is>
          <t>20</t>
        </is>
      </c>
      <c r="N36" s="68" t="inlineStr"/>
      <c r="O36" s="68" t="inlineStr"/>
      <c r="P36" s="68" t="n">
        <v>80</v>
      </c>
      <c r="Q36" s="68" t="n">
        <v>0.2</v>
      </c>
      <c r="R36" s="68" t="n">
        <v>0</v>
      </c>
      <c r="S36" s="68" t="n">
        <v>0.8</v>
      </c>
      <c r="T36" s="61" t="n"/>
    </row>
    <row r="37" ht="15" customHeight="1">
      <c r="A37" s="14" t="inlineStr">
        <is>
          <t>33484860B</t>
        </is>
      </c>
      <c r="B37" s="14" t="inlineStr">
        <is>
          <t>Peral Crespo, Amelia</t>
        </is>
      </c>
      <c r="C37" s="14" t="inlineStr">
        <is>
          <t>NO FUNCIONARIO</t>
        </is>
      </c>
      <c r="D37" s="14" t="n">
        <v>1</v>
      </c>
      <c r="E37" s="14" t="n"/>
      <c r="F37" s="14" t="n"/>
      <c r="G37" s="14" t="n"/>
      <c r="H37" s="14" t="n"/>
      <c r="I37" s="14" t="n"/>
      <c r="J37" s="14" t="n">
        <v>1</v>
      </c>
      <c r="K37" s="14" t="inlineStr">
        <is>
          <t>B114</t>
        </is>
      </c>
      <c r="L37" s="15" t="inlineStr">
        <is>
          <t>10.23</t>
        </is>
      </c>
      <c r="M37" s="68" t="inlineStr">
        <is>
          <t>20</t>
        </is>
      </c>
      <c r="N37" s="68" t="inlineStr"/>
      <c r="O37" s="68" t="inlineStr"/>
      <c r="P37" s="68" t="n">
        <v>80</v>
      </c>
      <c r="Q37" s="68" t="n">
        <v>0.2</v>
      </c>
      <c r="R37" s="68" t="n">
        <v>0</v>
      </c>
      <c r="S37" s="68" t="n">
        <v>0.8</v>
      </c>
      <c r="T37" s="61" t="n"/>
    </row>
    <row r="38" ht="15" customHeight="1">
      <c r="A38" s="14" t="inlineStr">
        <is>
          <t>33487725R</t>
        </is>
      </c>
      <c r="B38" s="14" t="inlineStr">
        <is>
          <t>Esquembre Cerdá, María del Mar</t>
        </is>
      </c>
      <c r="C38" s="14" t="inlineStr">
        <is>
          <t>Vivos</t>
        </is>
      </c>
      <c r="D38" s="14" t="n"/>
      <c r="E38" s="14" t="n"/>
      <c r="F38" s="14" t="n"/>
      <c r="G38" s="14" t="n"/>
      <c r="H38" s="14" t="n"/>
      <c r="I38" s="14" t="n">
        <v>1</v>
      </c>
      <c r="J38" s="14" t="n">
        <v>1</v>
      </c>
      <c r="K38" s="14" t="inlineStr">
        <is>
          <t>B113</t>
        </is>
      </c>
      <c r="L38" s="15" t="inlineStr">
        <is>
          <t>10.23</t>
        </is>
      </c>
      <c r="M38" s="68" t="inlineStr">
        <is>
          <t>60</t>
        </is>
      </c>
      <c r="N38" s="68" t="inlineStr"/>
      <c r="O38" s="68" t="inlineStr"/>
      <c r="P38" s="68" t="n">
        <v>40</v>
      </c>
      <c r="Q38" s="68" t="n">
        <v>0.6</v>
      </c>
      <c r="R38" s="68" t="n">
        <v>0</v>
      </c>
      <c r="S38" s="68" t="n">
        <v>0.4</v>
      </c>
      <c r="T38" s="61" t="n"/>
    </row>
    <row r="39" ht="15" customHeight="1">
      <c r="A39" s="14" t="inlineStr">
        <is>
          <t>33492987L</t>
        </is>
      </c>
      <c r="B39" s="14" t="inlineStr">
        <is>
          <t>Gil González, Diana María</t>
        </is>
      </c>
      <c r="C39" s="14" t="inlineStr">
        <is>
          <t>FUNCIONARIO</t>
        </is>
      </c>
      <c r="D39" s="14" t="n"/>
      <c r="E39" s="14" t="n">
        <v>1</v>
      </c>
      <c r="F39" s="14" t="n"/>
      <c r="G39" s="14" t="n"/>
      <c r="H39" s="14" t="n"/>
      <c r="I39" s="14" t="n"/>
      <c r="J39" s="14" t="n">
        <v>1</v>
      </c>
      <c r="K39" s="14" t="inlineStr">
        <is>
          <t>B170</t>
        </is>
      </c>
      <c r="L39" s="15" t="inlineStr">
        <is>
          <t>10.23</t>
        </is>
      </c>
      <c r="M39" s="69" t="inlineStr">
        <is>
          <t>20</t>
        </is>
      </c>
      <c r="N39" s="68" t="inlineStr"/>
      <c r="O39" s="69" t="inlineStr"/>
      <c r="P39" s="68" t="n">
        <v>80</v>
      </c>
      <c r="Q39" s="69" t="n">
        <v>0.2</v>
      </c>
      <c r="R39" s="69" t="n">
        <v>0</v>
      </c>
      <c r="S39" s="68" t="n">
        <v>0.8</v>
      </c>
      <c r="T39" s="61" t="n"/>
    </row>
    <row r="40" ht="15" customHeight="1">
      <c r="A40" s="14" t="inlineStr">
        <is>
          <t>34819244G</t>
        </is>
      </c>
      <c r="B40" s="14" t="inlineStr">
        <is>
          <t>Parra Martínez, José</t>
        </is>
      </c>
      <c r="C40" s="14" t="inlineStr">
        <is>
          <t>FUNCIONARIO</t>
        </is>
      </c>
      <c r="D40" s="14" t="n"/>
      <c r="E40" s="14" t="n"/>
      <c r="F40" s="14" t="n"/>
      <c r="G40" s="14" t="n">
        <v>1</v>
      </c>
      <c r="H40" s="14" t="n"/>
      <c r="I40" s="14" t="n"/>
      <c r="J40" s="14" t="n">
        <v>1</v>
      </c>
      <c r="K40" s="14" t="inlineStr">
        <is>
          <t>B187</t>
        </is>
      </c>
      <c r="L40" s="15" t="inlineStr">
        <is>
          <t>10.23</t>
        </is>
      </c>
      <c r="M40" s="68" t="inlineStr">
        <is>
          <t>50</t>
        </is>
      </c>
      <c r="N40" s="68" t="inlineStr"/>
      <c r="O40" s="68" t="inlineStr"/>
      <c r="P40" s="68" t="n">
        <v>50</v>
      </c>
      <c r="Q40" s="68" t="n">
        <v>0.5</v>
      </c>
      <c r="R40" s="68" t="n">
        <v>0</v>
      </c>
      <c r="S40" s="68" t="n">
        <v>0.5</v>
      </c>
      <c r="T40" s="61" t="n"/>
    </row>
    <row r="41" ht="15" customHeight="1">
      <c r="A41" s="14" t="inlineStr">
        <is>
          <t>36565677R</t>
        </is>
      </c>
      <c r="B41" s="14" t="inlineStr">
        <is>
          <t>Marcillas Piquer, Isabel</t>
        </is>
      </c>
      <c r="C41" s="14" t="inlineStr">
        <is>
          <t>NO FUNCIONARIO</t>
        </is>
      </c>
      <c r="D41" s="14" t="n"/>
      <c r="E41" s="14" t="n"/>
      <c r="F41" s="14" t="n">
        <v>1</v>
      </c>
      <c r="G41" s="14" t="n">
        <v>1</v>
      </c>
      <c r="H41" s="14" t="n"/>
      <c r="I41" s="14" t="n"/>
      <c r="J41" s="14" t="n">
        <v>2</v>
      </c>
      <c r="K41" s="14" t="inlineStr">
        <is>
          <t>B142</t>
        </is>
      </c>
      <c r="L41" s="15" t="inlineStr">
        <is>
          <t>10.23</t>
        </is>
      </c>
      <c r="M41" s="68" t="inlineStr">
        <is>
          <t>20</t>
        </is>
      </c>
      <c r="N41" s="68" t="inlineStr"/>
      <c r="O41" s="68" t="inlineStr"/>
      <c r="P41" s="68" t="n">
        <v>80</v>
      </c>
      <c r="Q41" s="68" t="n">
        <v>0.4</v>
      </c>
      <c r="R41" s="68" t="n">
        <v>0</v>
      </c>
      <c r="S41" s="68" t="n">
        <v>1.6</v>
      </c>
      <c r="T41" s="61" t="n"/>
    </row>
    <row r="42" ht="15" customHeight="1">
      <c r="A42" s="14" t="inlineStr">
        <is>
          <t>44512899X</t>
        </is>
      </c>
      <c r="B42" s="14" t="inlineStr">
        <is>
          <t>Rivera León, Lorena</t>
        </is>
      </c>
      <c r="C42" s="14" t="inlineStr">
        <is>
          <t>NO FUNCIONARIO</t>
        </is>
      </c>
      <c r="D42" s="14" t="n"/>
      <c r="E42" s="14" t="n"/>
      <c r="F42" s="14" t="n"/>
      <c r="G42" s="14" t="n"/>
      <c r="H42" s="14" t="n"/>
      <c r="I42" s="14" t="n">
        <v>1</v>
      </c>
      <c r="J42" s="14" t="n">
        <v>1</v>
      </c>
      <c r="K42" s="14" t="inlineStr">
        <is>
          <t>B122</t>
        </is>
      </c>
      <c r="L42" s="15" t="inlineStr">
        <is>
          <t>10.23</t>
        </is>
      </c>
      <c r="M42" s="68" t="inlineStr">
        <is>
          <t>20</t>
        </is>
      </c>
      <c r="N42" s="68" t="inlineStr"/>
      <c r="O42" s="68" t="inlineStr"/>
      <c r="P42" s="68" t="n">
        <v>80</v>
      </c>
      <c r="Q42" s="68" t="n">
        <v>0.2</v>
      </c>
      <c r="R42" s="68" t="n">
        <v>0</v>
      </c>
      <c r="S42" s="68" t="n">
        <v>0.8</v>
      </c>
      <c r="T42" s="61" t="n"/>
    </row>
    <row r="43" ht="15" customHeight="1">
      <c r="A43" s="14" t="inlineStr">
        <is>
          <t>48296836X</t>
        </is>
      </c>
      <c r="B43" s="14" t="inlineStr">
        <is>
          <t>Vives Cases, María Carmen</t>
        </is>
      </c>
      <c r="C43" s="14" t="inlineStr">
        <is>
          <t>FUNCIONARIO</t>
        </is>
      </c>
      <c r="D43" s="14" t="n"/>
      <c r="E43" s="14" t="n">
        <v>1</v>
      </c>
      <c r="F43" s="14" t="n"/>
      <c r="G43" s="14" t="n"/>
      <c r="H43" s="14" t="n"/>
      <c r="I43" s="14" t="n"/>
      <c r="J43" s="14" t="n">
        <v>1</v>
      </c>
      <c r="K43" s="14" t="inlineStr">
        <is>
          <t>B170</t>
        </is>
      </c>
      <c r="L43" s="15" t="inlineStr">
        <is>
          <t>10.23</t>
        </is>
      </c>
      <c r="M43" s="68" t="inlineStr">
        <is>
          <t>30</t>
        </is>
      </c>
      <c r="N43" s="68" t="inlineStr"/>
      <c r="O43" s="68" t="inlineStr"/>
      <c r="P43" s="68" t="n">
        <v>70</v>
      </c>
      <c r="Q43" s="68" t="n">
        <v>0.3</v>
      </c>
      <c r="R43" s="68" t="n">
        <v>0</v>
      </c>
      <c r="S43" s="68" t="n">
        <v>0.7</v>
      </c>
      <c r="T43" s="61" t="n"/>
    </row>
    <row r="44" ht="15" customHeight="1">
      <c r="A44" s="14" t="inlineStr">
        <is>
          <t>48342228T</t>
        </is>
      </c>
      <c r="B44" s="14" t="inlineStr">
        <is>
          <t>Hurtado García, Inmaculada</t>
        </is>
      </c>
      <c r="C44" s="14" t="inlineStr">
        <is>
          <t>FUNCIONARIO</t>
        </is>
      </c>
      <c r="D44" s="14" t="n"/>
      <c r="E44" s="14" t="n"/>
      <c r="F44" s="14" t="n"/>
      <c r="G44" s="14" t="n"/>
      <c r="H44" s="14" t="n"/>
      <c r="I44" s="14" t="n">
        <v>1</v>
      </c>
      <c r="J44" s="14" t="n">
        <v>1</v>
      </c>
      <c r="K44" s="14" t="inlineStr">
        <is>
          <t>B122</t>
        </is>
      </c>
      <c r="L44" s="15" t="inlineStr">
        <is>
          <t>10.23</t>
        </is>
      </c>
      <c r="M44" s="68" t="inlineStr">
        <is>
          <t>25</t>
        </is>
      </c>
      <c r="N44" s="68" t="inlineStr">
        <is>
          <t>10.17</t>
        </is>
      </c>
      <c r="O44" s="68" t="inlineStr">
        <is>
          <t>25</t>
        </is>
      </c>
      <c r="P44" s="68" t="n">
        <v>50</v>
      </c>
      <c r="Q44" s="68" t="n">
        <v>0.25</v>
      </c>
      <c r="R44" s="68" t="n">
        <v>0.25</v>
      </c>
      <c r="S44" s="68" t="n">
        <v>0.5</v>
      </c>
      <c r="T44" s="61" t="n"/>
    </row>
    <row r="45" ht="15" customHeight="1">
      <c r="A45" s="14" t="inlineStr">
        <is>
          <t>48345463S</t>
        </is>
      </c>
      <c r="B45" s="14" t="inlineStr">
        <is>
          <t>Caporale Bizzini, Silvia Julia</t>
        </is>
      </c>
      <c r="C45" s="14" t="inlineStr">
        <is>
          <t>Vivos</t>
        </is>
      </c>
      <c r="D45" s="14" t="n"/>
      <c r="E45" s="14" t="n"/>
      <c r="F45" s="14" t="n"/>
      <c r="G45" s="14" t="n"/>
      <c r="H45" s="14" t="n"/>
      <c r="I45" s="14" t="n">
        <v>1</v>
      </c>
      <c r="J45" s="14" t="n">
        <v>1</v>
      </c>
      <c r="K45" s="14" t="inlineStr">
        <is>
          <t>B116</t>
        </is>
      </c>
      <c r="L45" s="15" t="inlineStr">
        <is>
          <t>10.23</t>
        </is>
      </c>
      <c r="M45" s="68" t="inlineStr">
        <is>
          <t>20</t>
        </is>
      </c>
      <c r="N45" s="68" t="inlineStr">
        <is>
          <t>10.22</t>
        </is>
      </c>
      <c r="O45" s="68" t="inlineStr">
        <is>
          <t>10</t>
        </is>
      </c>
      <c r="P45" s="68" t="n">
        <v>70</v>
      </c>
      <c r="Q45" s="68" t="n">
        <v>0.2</v>
      </c>
      <c r="R45" s="68" t="n">
        <v>0.1</v>
      </c>
      <c r="S45" s="68" t="n">
        <v>0.7</v>
      </c>
      <c r="T45" s="61" t="n"/>
    </row>
    <row r="46" ht="15" customHeight="1">
      <c r="A46" s="14" t="inlineStr">
        <is>
          <t>48358432N</t>
        </is>
      </c>
      <c r="B46" s="14" t="inlineStr">
        <is>
          <t>Hernández Ruiz, Alejandra</t>
        </is>
      </c>
      <c r="C46" s="14" t="inlineStr">
        <is>
          <t>FUNCIONARIO</t>
        </is>
      </c>
      <c r="D46" s="14" t="n"/>
      <c r="E46" s="14" t="n"/>
      <c r="F46" s="14" t="n"/>
      <c r="G46" s="14" t="n"/>
      <c r="H46" s="14" t="n"/>
      <c r="I46" s="14" t="n">
        <v>1</v>
      </c>
      <c r="J46" s="14" t="n">
        <v>1</v>
      </c>
      <c r="K46" s="14" t="inlineStr">
        <is>
          <t>B175</t>
        </is>
      </c>
      <c r="L46" s="15" t="inlineStr">
        <is>
          <t>10.23</t>
        </is>
      </c>
      <c r="M46" s="68" t="inlineStr">
        <is>
          <t>60</t>
        </is>
      </c>
      <c r="N46" s="68" t="inlineStr"/>
      <c r="O46" s="68" t="inlineStr"/>
      <c r="P46" s="68" t="n">
        <v>40</v>
      </c>
      <c r="Q46" s="68" t="n">
        <v>0.6</v>
      </c>
      <c r="R46" s="68" t="n">
        <v>0</v>
      </c>
      <c r="S46" s="68" t="n">
        <v>0.4</v>
      </c>
      <c r="T46" s="61" t="n"/>
    </row>
    <row r="47" ht="15" customHeight="1">
      <c r="A47" s="14" t="inlineStr">
        <is>
          <t>48379979P</t>
        </is>
      </c>
      <c r="B47" s="14" t="inlineStr">
        <is>
          <t>Lozano Cabezas, Ines</t>
        </is>
      </c>
      <c r="C47" s="14" t="inlineStr">
        <is>
          <t>FUNCIONARIO</t>
        </is>
      </c>
      <c r="D47" s="14" t="n"/>
      <c r="E47" s="14" t="n">
        <v>1</v>
      </c>
      <c r="F47" s="14" t="n"/>
      <c r="G47" s="14" t="n">
        <v>1</v>
      </c>
      <c r="H47" s="14" t="n"/>
      <c r="I47" s="14" t="n"/>
      <c r="J47" s="14" t="n">
        <v>2</v>
      </c>
      <c r="K47" s="14" t="inlineStr">
        <is>
          <t>B112</t>
        </is>
      </c>
      <c r="L47" s="15" t="inlineStr">
        <is>
          <t>10.23</t>
        </is>
      </c>
      <c r="M47" s="68" t="inlineStr">
        <is>
          <t>20</t>
        </is>
      </c>
      <c r="N47" s="68" t="inlineStr">
        <is>
          <t>10.25</t>
        </is>
      </c>
      <c r="O47" s="68" t="inlineStr">
        <is>
          <t>30</t>
        </is>
      </c>
      <c r="P47" s="68" t="n">
        <v>50</v>
      </c>
      <c r="Q47" s="68" t="n">
        <v>0.4</v>
      </c>
      <c r="R47" s="68" t="n">
        <v>0.6</v>
      </c>
      <c r="S47" s="68" t="n">
        <v>1</v>
      </c>
      <c r="T47" s="61" t="n"/>
    </row>
    <row r="48" ht="15" customHeight="1">
      <c r="A48" s="14" t="inlineStr">
        <is>
          <t>48496100W</t>
        </is>
      </c>
      <c r="B48" s="14" t="inlineStr">
        <is>
          <t>Urrea Solano, María Encarnación</t>
        </is>
      </c>
      <c r="C48" s="14" t="inlineStr">
        <is>
          <t>NO FUNCIONARIO</t>
        </is>
      </c>
      <c r="D48" s="14" t="n"/>
      <c r="E48" s="14" t="n"/>
      <c r="F48" s="14" t="n"/>
      <c r="G48" s="14" t="n"/>
      <c r="H48" s="14" t="n">
        <v>1</v>
      </c>
      <c r="I48" s="14" t="n"/>
      <c r="J48" s="14" t="n">
        <v>1</v>
      </c>
      <c r="K48" s="14" t="inlineStr">
        <is>
          <t>B112</t>
        </is>
      </c>
      <c r="L48" s="15" t="inlineStr">
        <is>
          <t>10.23</t>
        </is>
      </c>
      <c r="M48" s="68" t="inlineStr">
        <is>
          <t>20</t>
        </is>
      </c>
      <c r="N48" s="68" t="inlineStr"/>
      <c r="O48" s="68" t="inlineStr"/>
      <c r="P48" s="68" t="n">
        <v>80</v>
      </c>
      <c r="Q48" s="68" t="n">
        <v>0.2</v>
      </c>
      <c r="R48" s="68" t="n">
        <v>0</v>
      </c>
      <c r="S48" s="68" t="n">
        <v>0.8</v>
      </c>
      <c r="T48" s="61" t="n"/>
    </row>
    <row r="49" ht="15" customHeight="1">
      <c r="A49" s="14" t="inlineStr">
        <is>
          <t>48574813D</t>
        </is>
      </c>
      <c r="B49" s="14" t="inlineStr">
        <is>
          <t>Palomo Alepuz, Laura Cristina</t>
        </is>
      </c>
      <c r="C49" s="14" t="inlineStr">
        <is>
          <t>FUNCIONARIO</t>
        </is>
      </c>
      <c r="D49" s="14" t="n"/>
      <c r="E49" s="14" t="n"/>
      <c r="F49" s="14" t="n"/>
      <c r="G49" s="14" t="n"/>
      <c r="H49" s="14" t="n"/>
      <c r="I49" s="14" t="n">
        <v>1</v>
      </c>
      <c r="J49" s="14" t="n">
        <v>1</v>
      </c>
      <c r="K49" s="14" t="inlineStr">
        <is>
          <t>B115</t>
        </is>
      </c>
      <c r="L49" s="15" t="inlineStr">
        <is>
          <t>10.23</t>
        </is>
      </c>
      <c r="M49" s="68" t="inlineStr">
        <is>
          <t>20</t>
        </is>
      </c>
      <c r="N49" s="68" t="inlineStr"/>
      <c r="O49" s="68" t="inlineStr"/>
      <c r="P49" s="68" t="n">
        <v>80</v>
      </c>
      <c r="Q49" s="68" t="n">
        <v>0.2</v>
      </c>
      <c r="R49" s="68" t="n">
        <v>0</v>
      </c>
      <c r="S49" s="68" t="n">
        <v>0.8</v>
      </c>
      <c r="T49" s="61" t="n"/>
    </row>
    <row r="50" ht="15" customHeight="1">
      <c r="A50" s="14" t="inlineStr">
        <is>
          <t>48675459F</t>
        </is>
      </c>
      <c r="B50" s="14" t="inlineStr">
        <is>
          <t>Benaicha Ziani, M Naima</t>
        </is>
      </c>
      <c r="C50" s="14" t="inlineStr">
        <is>
          <t>FUNCIONARIO</t>
        </is>
      </c>
      <c r="D50" s="14" t="n"/>
      <c r="E50" s="14" t="n"/>
      <c r="F50" s="14" t="n"/>
      <c r="G50" s="14" t="n"/>
      <c r="H50" s="14" t="n">
        <v>1</v>
      </c>
      <c r="I50" s="14" t="n"/>
      <c r="J50" s="14" t="n">
        <v>1</v>
      </c>
      <c r="K50" s="14" t="inlineStr">
        <is>
          <t>B114</t>
        </is>
      </c>
      <c r="L50" s="15" t="inlineStr">
        <is>
          <t>10.23</t>
        </is>
      </c>
      <c r="M50" s="68" t="inlineStr">
        <is>
          <t>20</t>
        </is>
      </c>
      <c r="N50" s="68" t="inlineStr"/>
      <c r="O50" s="68" t="inlineStr"/>
      <c r="P50" s="68" t="n">
        <v>80</v>
      </c>
      <c r="Q50" s="68" t="n">
        <v>0.2</v>
      </c>
      <c r="R50" s="68" t="n">
        <v>0</v>
      </c>
      <c r="S50" s="68" t="n">
        <v>0.8</v>
      </c>
      <c r="T50" s="61" t="n"/>
    </row>
    <row r="51" ht="15" customHeight="1">
      <c r="A51" s="14" t="inlineStr">
        <is>
          <t>50283950Q</t>
        </is>
      </c>
      <c r="B51" s="14" t="inlineStr">
        <is>
          <t>Fernández Arrillaga, María Inmaculada Concepcion</t>
        </is>
      </c>
      <c r="C51" s="14" t="inlineStr">
        <is>
          <t>FUNCIONARIO</t>
        </is>
      </c>
      <c r="D51" s="14" t="n"/>
      <c r="E51" s="14" t="n"/>
      <c r="F51" s="14" t="n"/>
      <c r="G51" s="14" t="n">
        <v>1</v>
      </c>
      <c r="H51" s="14" t="n"/>
      <c r="I51" s="14" t="n"/>
      <c r="J51" s="14" t="n">
        <v>1</v>
      </c>
      <c r="K51" s="14" t="inlineStr">
        <is>
          <t>B174</t>
        </is>
      </c>
      <c r="L51" s="15" t="inlineStr">
        <is>
          <t>10.23</t>
        </is>
      </c>
      <c r="M51" s="68" t="inlineStr">
        <is>
          <t>60</t>
        </is>
      </c>
      <c r="N51" s="68" t="inlineStr"/>
      <c r="O51" s="68" t="inlineStr"/>
      <c r="P51" s="68" t="n">
        <v>40</v>
      </c>
      <c r="Q51" s="68" t="n">
        <v>0.6</v>
      </c>
      <c r="R51" s="68" t="n">
        <v>0</v>
      </c>
      <c r="S51" s="68" t="n">
        <v>0.4</v>
      </c>
      <c r="T51" s="61" t="n"/>
    </row>
    <row r="52" ht="15" customHeight="1">
      <c r="A52" s="14" t="inlineStr">
        <is>
          <t>51091750X</t>
        </is>
      </c>
      <c r="B52" s="14" t="inlineStr">
        <is>
          <t>Ramos Feijoo, Clarisa</t>
        </is>
      </c>
      <c r="C52" s="14" t="inlineStr">
        <is>
          <t>FUNCIONARIO</t>
        </is>
      </c>
      <c r="D52" s="14" t="n">
        <v>1</v>
      </c>
      <c r="E52" s="14" t="n"/>
      <c r="F52" s="14" t="n"/>
      <c r="G52" s="14" t="n"/>
      <c r="H52" s="14" t="n"/>
      <c r="I52" s="14" t="n"/>
      <c r="J52" s="14" t="n">
        <v>1</v>
      </c>
      <c r="K52" s="14" t="inlineStr">
        <is>
          <t>B159</t>
        </is>
      </c>
      <c r="L52" s="15" t="inlineStr">
        <is>
          <t>10.23</t>
        </is>
      </c>
      <c r="M52" s="68" t="inlineStr">
        <is>
          <t>50</t>
        </is>
      </c>
      <c r="N52" s="68" t="inlineStr"/>
      <c r="O52" s="68" t="inlineStr"/>
      <c r="P52" s="68" t="n">
        <v>50</v>
      </c>
      <c r="Q52" s="68" t="n">
        <v>0.5</v>
      </c>
      <c r="R52" s="68" t="n">
        <v>0</v>
      </c>
      <c r="S52" s="68" t="n">
        <v>0.5</v>
      </c>
      <c r="T52" s="61" t="n"/>
    </row>
    <row r="53" ht="15" customHeight="1">
      <c r="A53" s="14" t="inlineStr">
        <is>
          <t>51948220Y</t>
        </is>
      </c>
      <c r="B53" s="14" t="inlineStr">
        <is>
          <t>Gilsanz Díaz, Ana Covadonga</t>
        </is>
      </c>
      <c r="C53" s="32" t="inlineStr">
        <is>
          <t>FUNCIONARIO</t>
        </is>
      </c>
      <c r="D53" s="14" t="n"/>
      <c r="E53" s="14" t="n"/>
      <c r="F53" s="14" t="n"/>
      <c r="G53" s="14" t="n"/>
      <c r="H53" s="14" t="n"/>
      <c r="I53" s="14" t="n">
        <v>1</v>
      </c>
      <c r="J53" s="14" t="n">
        <v>1</v>
      </c>
      <c r="K53" s="14" t="inlineStr">
        <is>
          <t>B187</t>
        </is>
      </c>
      <c r="L53" s="15" t="inlineStr">
        <is>
          <t>10.23</t>
        </is>
      </c>
      <c r="M53" s="68" t="inlineStr">
        <is>
          <t>50</t>
        </is>
      </c>
      <c r="N53" s="68" t="inlineStr"/>
      <c r="O53" s="68" t="inlineStr"/>
      <c r="P53" s="68" t="n">
        <v>50</v>
      </c>
      <c r="Q53" s="68" t="n">
        <v>0.5</v>
      </c>
      <c r="R53" s="68" t="n">
        <v>0</v>
      </c>
      <c r="S53" s="68" t="n">
        <v>0.5</v>
      </c>
      <c r="T53" s="61" t="n"/>
    </row>
    <row r="54" ht="15" customHeight="1">
      <c r="A54" s="14" t="inlineStr">
        <is>
          <t>52773764B</t>
        </is>
      </c>
      <c r="B54" s="14" t="inlineStr">
        <is>
          <t>Gómez Trigueros, Isabel María</t>
        </is>
      </c>
      <c r="C54" s="32" t="inlineStr">
        <is>
          <t>FUNCIONARIO</t>
        </is>
      </c>
      <c r="D54" s="14" t="n"/>
      <c r="E54" s="14" t="n"/>
      <c r="F54" s="14" t="n"/>
      <c r="G54" s="14" t="n">
        <v>1</v>
      </c>
      <c r="H54" s="14" t="n"/>
      <c r="I54" s="14" t="n"/>
      <c r="J54" s="14" t="n">
        <v>1</v>
      </c>
      <c r="K54" s="14" t="inlineStr">
        <is>
          <t>B112</t>
        </is>
      </c>
      <c r="L54" s="15" t="inlineStr">
        <is>
          <t>10.23</t>
        </is>
      </c>
      <c r="M54" s="68" t="inlineStr">
        <is>
          <t>20</t>
        </is>
      </c>
      <c r="N54" s="68" t="inlineStr">
        <is>
          <t>10.25</t>
        </is>
      </c>
      <c r="O54" s="68" t="inlineStr">
        <is>
          <t>30</t>
        </is>
      </c>
      <c r="P54" s="68" t="n">
        <v>50</v>
      </c>
      <c r="Q54" s="68" t="n">
        <v>0.2</v>
      </c>
      <c r="R54" s="68" t="n">
        <v>0.3</v>
      </c>
      <c r="S54" s="68" t="n">
        <v>0.5</v>
      </c>
      <c r="T54" s="61" t="n"/>
    </row>
    <row r="55" ht="15" customHeight="1">
      <c r="A55" s="14" t="inlineStr">
        <is>
          <t>52781763Y</t>
        </is>
      </c>
      <c r="B55" s="14" t="inlineStr">
        <is>
          <t>Llorca Tonda, Maria De Los Angeles</t>
        </is>
      </c>
      <c r="C55" s="32" t="inlineStr">
        <is>
          <t>FUNCIONARIO</t>
        </is>
      </c>
      <c r="D55" s="14" t="n"/>
      <c r="E55" s="14" t="n">
        <v>1</v>
      </c>
      <c r="F55" s="14" t="n"/>
      <c r="G55" s="14" t="n"/>
      <c r="H55" s="14" t="n"/>
      <c r="I55" s="14" t="n"/>
      <c r="J55" s="14" t="n">
        <v>1</v>
      </c>
      <c r="K55" s="14" t="inlineStr">
        <is>
          <t>B114</t>
        </is>
      </c>
      <c r="L55" s="15" t="inlineStr">
        <is>
          <t>10.23</t>
        </is>
      </c>
      <c r="M55" s="68" t="inlineStr">
        <is>
          <t>30</t>
        </is>
      </c>
      <c r="N55" s="68" t="inlineStr"/>
      <c r="O55" s="68" t="inlineStr"/>
      <c r="P55" s="68" t="n">
        <v>70</v>
      </c>
      <c r="Q55" s="68" t="n">
        <v>0.3</v>
      </c>
      <c r="R55" s="68" t="n">
        <v>0</v>
      </c>
      <c r="S55" s="68" t="n">
        <v>0.7</v>
      </c>
      <c r="T55" s="61" t="n"/>
    </row>
    <row r="56" ht="15" customHeight="1">
      <c r="A56" s="14" t="inlineStr">
        <is>
          <t>52987571X</t>
        </is>
      </c>
      <c r="B56" s="14" t="inlineStr">
        <is>
          <t>Souto Galván, Beatriz</t>
        </is>
      </c>
      <c r="C56" s="32" t="inlineStr">
        <is>
          <t>FUNCIONARIO</t>
        </is>
      </c>
      <c r="D56" s="14" t="n"/>
      <c r="E56" s="14" t="n"/>
      <c r="F56" s="14" t="n"/>
      <c r="G56" s="14" t="n">
        <v>1</v>
      </c>
      <c r="H56" s="14" t="n"/>
      <c r="I56" s="14" t="n"/>
      <c r="J56" s="14" t="n">
        <v>1</v>
      </c>
      <c r="K56" s="14" t="inlineStr">
        <is>
          <t>B104</t>
        </is>
      </c>
      <c r="L56" s="15" t="inlineStr">
        <is>
          <t>10.23</t>
        </is>
      </c>
      <c r="M56" s="68" t="inlineStr">
        <is>
          <t>30</t>
        </is>
      </c>
      <c r="N56" s="68" t="inlineStr"/>
      <c r="O56" s="68" t="inlineStr"/>
      <c r="P56" s="68" t="n">
        <v>70</v>
      </c>
      <c r="Q56" s="68" t="n">
        <v>0.3</v>
      </c>
      <c r="R56" s="68" t="n">
        <v>0</v>
      </c>
      <c r="S56" s="68" t="n">
        <v>0.7</v>
      </c>
      <c r="T56" s="61" t="n"/>
    </row>
    <row r="57" ht="15" customHeight="1">
      <c r="A57" s="14" t="inlineStr">
        <is>
          <t>53145504W</t>
        </is>
      </c>
      <c r="B57" s="14" t="inlineStr">
        <is>
          <t>Galindo Merino, María del Mar</t>
        </is>
      </c>
      <c r="C57" s="32" t="inlineStr">
        <is>
          <t>NO FUNCIONARIO</t>
        </is>
      </c>
      <c r="D57" s="14" t="n"/>
      <c r="E57" s="14" t="n"/>
      <c r="F57" s="14" t="n"/>
      <c r="G57" s="14" t="n"/>
      <c r="H57" s="14" t="n">
        <v>1</v>
      </c>
      <c r="I57" s="14" t="n"/>
      <c r="J57" s="14" t="n">
        <v>1</v>
      </c>
      <c r="K57" s="14" t="inlineStr">
        <is>
          <t>B115</t>
        </is>
      </c>
      <c r="L57" s="25" t="inlineStr">
        <is>
          <t>10.23</t>
        </is>
      </c>
      <c r="M57" s="70" t="inlineStr">
        <is>
          <t>20</t>
        </is>
      </c>
      <c r="N57" s="70" t="inlineStr"/>
      <c r="O57" s="70" t="inlineStr"/>
      <c r="P57" s="70" t="n">
        <v>80</v>
      </c>
      <c r="Q57" s="70" t="n">
        <v>0.2</v>
      </c>
      <c r="R57" s="70" t="n">
        <v>0</v>
      </c>
      <c r="S57" s="70" t="n">
        <v>0.8</v>
      </c>
      <c r="T57" s="61" t="n"/>
    </row>
    <row r="58" ht="15" customHeight="1">
      <c r="A58" s="14" t="inlineStr">
        <is>
          <t>53626562S</t>
        </is>
      </c>
      <c r="B58" s="14" t="inlineStr">
        <is>
          <t>Kerslake Young, Lorraine</t>
        </is>
      </c>
      <c r="C58" s="32" t="inlineStr">
        <is>
          <t>FUNCIONARIO</t>
        </is>
      </c>
      <c r="D58" s="14" t="n"/>
      <c r="E58" s="14" t="n"/>
      <c r="F58" s="14" t="n"/>
      <c r="G58" s="14" t="n">
        <v>1</v>
      </c>
      <c r="H58" s="14" t="n"/>
      <c r="I58" s="14" t="n">
        <v>1</v>
      </c>
      <c r="J58" s="14" t="n">
        <v>2</v>
      </c>
      <c r="K58" s="14" t="inlineStr">
        <is>
          <t>B116</t>
        </is>
      </c>
      <c r="L58" s="25" t="inlineStr">
        <is>
          <t>10.23</t>
        </is>
      </c>
      <c r="M58" s="70" t="inlineStr">
        <is>
          <t>20</t>
        </is>
      </c>
      <c r="N58" s="70" t="inlineStr"/>
      <c r="O58" s="70" t="inlineStr"/>
      <c r="P58" s="70" t="n">
        <v>80</v>
      </c>
      <c r="Q58" s="70" t="n">
        <v>0.4</v>
      </c>
      <c r="R58" s="70" t="n">
        <v>0</v>
      </c>
      <c r="S58" s="70" t="n">
        <v>1.6</v>
      </c>
      <c r="T58" s="61" t="n"/>
    </row>
    <row r="59" ht="15" customHeight="1">
      <c r="A59" s="14" t="inlineStr">
        <is>
          <t>71661231Q</t>
        </is>
      </c>
      <c r="B59" s="14" t="inlineStr">
        <is>
          <t>Prieto García-Cañedo, Sara</t>
        </is>
      </c>
      <c r="C59" s="14" t="inlineStr">
        <is>
          <t>FUNCIONARIO</t>
        </is>
      </c>
      <c r="D59" s="14" t="n"/>
      <c r="E59" s="14" t="n"/>
      <c r="F59" s="14" t="n"/>
      <c r="G59" s="14" t="n"/>
      <c r="H59" s="14" t="n"/>
      <c r="I59" s="14" t="n">
        <v>2</v>
      </c>
      <c r="J59" s="14" t="n">
        <v>2</v>
      </c>
      <c r="K59" s="14" t="inlineStr">
        <is>
          <t>B116</t>
        </is>
      </c>
      <c r="L59" s="15" t="inlineStr">
        <is>
          <t>10.23</t>
        </is>
      </c>
      <c r="M59" s="68" t="inlineStr">
        <is>
          <t>50</t>
        </is>
      </c>
      <c r="N59" s="68" t="inlineStr"/>
      <c r="O59" s="68" t="inlineStr"/>
      <c r="P59" s="68" t="n">
        <v>50</v>
      </c>
      <c r="Q59" s="68" t="n">
        <v>1</v>
      </c>
      <c r="R59" s="68" t="n">
        <v>0</v>
      </c>
      <c r="S59" s="68" t="n">
        <v>1</v>
      </c>
      <c r="T59" s="61" t="n"/>
    </row>
    <row r="60" ht="15" customHeight="1">
      <c r="A60" s="14" t="inlineStr">
        <is>
          <t>74007257L</t>
        </is>
      </c>
      <c r="B60" s="14" t="inlineStr">
        <is>
          <t>Rodríguez Morales, Verónica</t>
        </is>
      </c>
      <c r="C60" s="14" t="inlineStr">
        <is>
          <t>NO FUNCIONARIO</t>
        </is>
      </c>
      <c r="D60" s="14" t="n"/>
      <c r="E60" s="14" t="n"/>
      <c r="F60" s="14" t="n"/>
      <c r="G60" s="14" t="n"/>
      <c r="H60" s="14" t="n">
        <v>2</v>
      </c>
      <c r="I60" s="14" t="n"/>
      <c r="J60" s="14" t="n">
        <v>2</v>
      </c>
      <c r="K60" s="14" t="inlineStr">
        <is>
          <t>B116</t>
        </is>
      </c>
      <c r="L60" s="15" t="inlineStr">
        <is>
          <t>10.23</t>
        </is>
      </c>
      <c r="M60" s="68" t="inlineStr">
        <is>
          <t>30</t>
        </is>
      </c>
      <c r="N60" s="68" t="inlineStr"/>
      <c r="O60" s="68" t="inlineStr"/>
      <c r="P60" s="68" t="n">
        <v>70</v>
      </c>
      <c r="Q60" s="68" t="n">
        <v>0.6</v>
      </c>
      <c r="R60" s="68" t="n">
        <v>0</v>
      </c>
      <c r="S60" s="68" t="n">
        <v>1.4</v>
      </c>
      <c r="T60" s="61" t="n"/>
    </row>
    <row r="61" ht="15" customHeight="1">
      <c r="A61" s="14" t="inlineStr">
        <is>
          <t>74084767L</t>
        </is>
      </c>
      <c r="B61" s="14" t="inlineStr">
        <is>
          <t>Alemany Bay, Carmen</t>
        </is>
      </c>
      <c r="C61" s="14" t="inlineStr">
        <is>
          <t>FUNCIONARIO</t>
        </is>
      </c>
      <c r="D61" s="14" t="n"/>
      <c r="E61" s="14" t="n"/>
      <c r="F61" s="14" t="n">
        <v>1</v>
      </c>
      <c r="G61" s="14" t="n"/>
      <c r="H61" s="14" t="n"/>
      <c r="I61" s="14" t="n"/>
      <c r="J61" s="14" t="n">
        <v>1</v>
      </c>
      <c r="K61" s="14" t="inlineStr">
        <is>
          <t>B115</t>
        </is>
      </c>
      <c r="L61" s="15" t="inlineStr">
        <is>
          <t>10.23</t>
        </is>
      </c>
      <c r="M61" s="68" t="inlineStr">
        <is>
          <t>50</t>
        </is>
      </c>
      <c r="N61" s="68" t="inlineStr"/>
      <c r="O61" s="68" t="inlineStr"/>
      <c r="P61" s="68" t="n">
        <v>50</v>
      </c>
      <c r="Q61" s="68" t="n">
        <v>0.5</v>
      </c>
      <c r="R61" s="68" t="n">
        <v>0</v>
      </c>
      <c r="S61" s="68" t="n">
        <v>0.5</v>
      </c>
      <c r="T61" s="61" t="n"/>
    </row>
    <row r="62" ht="15" customHeight="1">
      <c r="A62" s="14" t="inlineStr">
        <is>
          <t>76941801Q</t>
        </is>
      </c>
      <c r="B62" s="14" t="inlineStr">
        <is>
          <t>Iglesias Martínez, Marcos Jesús</t>
        </is>
      </c>
      <c r="C62" s="14" t="inlineStr">
        <is>
          <t>FUNCIONARIO</t>
        </is>
      </c>
      <c r="D62" s="14" t="n"/>
      <c r="E62" s="14" t="n">
        <v>1</v>
      </c>
      <c r="F62" s="14" t="n"/>
      <c r="G62" s="14" t="n">
        <v>1</v>
      </c>
      <c r="H62" s="14" t="n"/>
      <c r="I62" s="14" t="n"/>
      <c r="J62" s="14" t="n">
        <v>2</v>
      </c>
      <c r="K62" s="14" t="inlineStr">
        <is>
          <t>B112</t>
        </is>
      </c>
      <c r="L62" s="15" t="inlineStr">
        <is>
          <t>10.23</t>
        </is>
      </c>
      <c r="M62" s="68" t="inlineStr">
        <is>
          <t>20</t>
        </is>
      </c>
      <c r="N62" s="68" t="inlineStr">
        <is>
          <t>10.25</t>
        </is>
      </c>
      <c r="O62" s="68" t="inlineStr">
        <is>
          <t>30</t>
        </is>
      </c>
      <c r="P62" s="68" t="n">
        <v>50</v>
      </c>
      <c r="Q62" s="68" t="n">
        <v>0.4</v>
      </c>
      <c r="R62" s="68" t="n">
        <v>0.6</v>
      </c>
      <c r="S62" s="68" t="n">
        <v>1</v>
      </c>
      <c r="T62" s="61" t="n"/>
    </row>
    <row r="63" ht="15" customHeight="1">
      <c r="A63" s="14" t="inlineStr">
        <is>
          <t>77706785C</t>
        </is>
      </c>
      <c r="B63" s="14" t="inlineStr">
        <is>
          <t>Perni Llorente, Remedios</t>
        </is>
      </c>
      <c r="C63" s="32" t="inlineStr">
        <is>
          <t>FUNCIONARIO</t>
        </is>
      </c>
      <c r="D63" s="14" t="n"/>
      <c r="E63" s="14" t="n"/>
      <c r="F63" s="14" t="n"/>
      <c r="G63" s="14" t="n"/>
      <c r="H63" s="14" t="n"/>
      <c r="I63" s="14" t="n">
        <v>2</v>
      </c>
      <c r="J63" s="14" t="n">
        <v>2</v>
      </c>
      <c r="K63" s="14" t="inlineStr">
        <is>
          <t>B116</t>
        </is>
      </c>
      <c r="L63" s="15" t="inlineStr">
        <is>
          <t>10.23</t>
        </is>
      </c>
      <c r="M63" s="68" t="inlineStr">
        <is>
          <t>25</t>
        </is>
      </c>
      <c r="N63" s="68" t="inlineStr"/>
      <c r="O63" s="68" t="inlineStr"/>
      <c r="P63" s="68" t="n">
        <v>75</v>
      </c>
      <c r="Q63" s="68" t="n">
        <v>0.5</v>
      </c>
      <c r="R63" s="68" t="n">
        <v>0</v>
      </c>
      <c r="S63" s="68" t="n">
        <v>1.5</v>
      </c>
      <c r="T63" s="61" t="n"/>
    </row>
    <row r="64" ht="15" customHeight="1">
      <c r="A64" s="14" t="inlineStr">
        <is>
          <t>21436046T</t>
        </is>
      </c>
      <c r="B64" s="14" t="inlineStr">
        <is>
          <t>Barrio Barrio, Juan Antonio</t>
        </is>
      </c>
      <c r="C64" s="14" t="inlineStr">
        <is>
          <t>FUNCIONARIO</t>
        </is>
      </c>
      <c r="D64" s="14" t="n"/>
      <c r="E64" s="14" t="n"/>
      <c r="F64" s="14" t="n"/>
      <c r="G64" s="14" t="n">
        <v>1</v>
      </c>
      <c r="H64" s="14" t="n"/>
      <c r="I64" s="14" t="n"/>
      <c r="J64" s="14" t="n">
        <v>1</v>
      </c>
      <c r="K64" s="14" t="inlineStr">
        <is>
          <t>B174</t>
        </is>
      </c>
      <c r="L64" s="15" t="inlineStr">
        <is>
          <t>10.25</t>
        </is>
      </c>
      <c r="M64" s="68" t="inlineStr">
        <is>
          <t>25</t>
        </is>
      </c>
      <c r="N64" s="68" t="inlineStr">
        <is>
          <t>10.23</t>
        </is>
      </c>
      <c r="O64" s="68" t="inlineStr">
        <is>
          <t>10</t>
        </is>
      </c>
      <c r="P64" s="68" t="n">
        <v>65</v>
      </c>
      <c r="Q64" s="68" t="n">
        <v>0.25</v>
      </c>
      <c r="R64" s="68" t="n">
        <v>0.1</v>
      </c>
      <c r="S64" s="68" t="n">
        <v>0.65</v>
      </c>
      <c r="T64" s="61" t="n"/>
    </row>
    <row r="65" ht="15" customHeight="1">
      <c r="A65" s="14" t="inlineStr">
        <is>
          <t>21456802X</t>
        </is>
      </c>
      <c r="B65" s="14" t="inlineStr">
        <is>
          <t>Giner Pérez, Jose Miguel</t>
        </is>
      </c>
      <c r="C65" s="14" t="inlineStr">
        <is>
          <t>FUNCIONARIO</t>
        </is>
      </c>
      <c r="D65" s="14" t="n"/>
      <c r="E65" s="14" t="n"/>
      <c r="F65" s="14" t="n"/>
      <c r="G65" s="14" t="n"/>
      <c r="H65" s="14" t="n"/>
      <c r="I65" s="14" t="n">
        <v>1</v>
      </c>
      <c r="J65" s="14" t="n">
        <v>1</v>
      </c>
      <c r="K65" s="14" t="inlineStr">
        <is>
          <t>B139</t>
        </is>
      </c>
      <c r="L65" s="15" t="inlineStr">
        <is>
          <t>10.25</t>
        </is>
      </c>
      <c r="M65" s="68" t="inlineStr">
        <is>
          <t>20</t>
        </is>
      </c>
      <c r="N65" s="68" t="inlineStr">
        <is>
          <t>10.23</t>
        </is>
      </c>
      <c r="O65" s="68" t="inlineStr">
        <is>
          <t>10</t>
        </is>
      </c>
      <c r="P65" s="68" t="n">
        <v>70</v>
      </c>
      <c r="Q65" s="68" t="n">
        <v>0.2</v>
      </c>
      <c r="R65" s="68" t="n">
        <v>0.1</v>
      </c>
      <c r="S65" s="68" t="n">
        <v>0.7</v>
      </c>
      <c r="T65" s="61" t="n"/>
    </row>
    <row r="66" ht="15" customHeight="1">
      <c r="A66" s="14" t="inlineStr">
        <is>
          <t>21490870S</t>
        </is>
      </c>
      <c r="B66" s="14" t="inlineStr">
        <is>
          <t>Torres Valdés, Rosa Mª</t>
        </is>
      </c>
      <c r="C66" s="14" t="inlineStr">
        <is>
          <t>FUNCIONARIO</t>
        </is>
      </c>
      <c r="D66" s="14" t="n"/>
      <c r="E66" s="14" t="n">
        <v>1</v>
      </c>
      <c r="F66" s="14" t="n">
        <v>1</v>
      </c>
      <c r="G66" s="14" t="n"/>
      <c r="H66" s="14" t="n"/>
      <c r="I66" s="14" t="n"/>
      <c r="J66" s="14" t="n">
        <v>2</v>
      </c>
      <c r="K66" s="14" t="inlineStr">
        <is>
          <t>B175</t>
        </is>
      </c>
      <c r="L66" s="15" t="inlineStr">
        <is>
          <t>10.25</t>
        </is>
      </c>
      <c r="M66" s="68" t="inlineStr">
        <is>
          <t>30</t>
        </is>
      </c>
      <c r="N66" s="68" t="inlineStr">
        <is>
          <t>10.23</t>
        </is>
      </c>
      <c r="O66" s="68" t="inlineStr">
        <is>
          <t>20</t>
        </is>
      </c>
      <c r="P66" s="68" t="n">
        <v>50</v>
      </c>
      <c r="Q66" s="68" t="n">
        <v>0.6</v>
      </c>
      <c r="R66" s="68" t="n">
        <v>0.4</v>
      </c>
      <c r="S66" s="68" t="n">
        <v>1</v>
      </c>
      <c r="T66" s="61" t="n"/>
    </row>
    <row r="67" ht="15" customHeight="1">
      <c r="A67" s="14" t="inlineStr">
        <is>
          <t>21511105X</t>
        </is>
      </c>
      <c r="B67" s="14" t="inlineStr">
        <is>
          <t>Diez Ros, Maria del Rocio</t>
        </is>
      </c>
      <c r="C67" s="14" t="inlineStr">
        <is>
          <t>FUNCIONARIO</t>
        </is>
      </c>
      <c r="D67" s="14" t="n"/>
      <c r="E67" s="14" t="n"/>
      <c r="F67" s="14" t="n"/>
      <c r="G67" s="14" t="n"/>
      <c r="H67" s="14" t="n">
        <v>1</v>
      </c>
      <c r="I67" s="14" t="n"/>
      <c r="J67" s="14" t="n">
        <v>1</v>
      </c>
      <c r="K67" s="14" t="inlineStr">
        <is>
          <t>B112</t>
        </is>
      </c>
      <c r="L67" s="15" t="inlineStr">
        <is>
          <t>10.25</t>
        </is>
      </c>
      <c r="M67" s="68" t="inlineStr">
        <is>
          <t>30</t>
        </is>
      </c>
      <c r="N67" s="68" t="inlineStr">
        <is>
          <t>10.23</t>
        </is>
      </c>
      <c r="O67" s="68" t="inlineStr">
        <is>
          <t>20</t>
        </is>
      </c>
      <c r="P67" s="68" t="n">
        <v>50</v>
      </c>
      <c r="Q67" s="68" t="n">
        <v>0.3</v>
      </c>
      <c r="R67" s="68" t="n">
        <v>0.2</v>
      </c>
      <c r="S67" s="68" t="n">
        <v>0.5</v>
      </c>
      <c r="T67" s="61" t="n"/>
    </row>
    <row r="68" ht="15" customHeight="1">
      <c r="A68" s="14" t="inlineStr">
        <is>
          <t>22146053C</t>
        </is>
      </c>
      <c r="B68" s="14" t="inlineStr">
        <is>
          <t>Maestre Brotons, Antoni</t>
        </is>
      </c>
      <c r="C68" s="14" t="inlineStr">
        <is>
          <t>FUNCIONARIO</t>
        </is>
      </c>
      <c r="D68" s="14" t="n"/>
      <c r="E68" s="14" t="n"/>
      <c r="F68" s="14" t="n"/>
      <c r="G68" s="14" t="n"/>
      <c r="H68" s="14" t="n"/>
      <c r="I68" s="14" t="n">
        <v>1</v>
      </c>
      <c r="J68" s="14" t="n">
        <v>1</v>
      </c>
      <c r="K68" s="14" t="inlineStr">
        <is>
          <t>B142</t>
        </is>
      </c>
      <c r="L68" s="15" t="inlineStr">
        <is>
          <t>10.08</t>
        </is>
      </c>
      <c r="M68" s="68" t="inlineStr">
        <is>
          <t>50</t>
        </is>
      </c>
      <c r="N68" s="68" t="inlineStr">
        <is>
          <t>10.23</t>
        </is>
      </c>
      <c r="O68" s="68" t="inlineStr">
        <is>
          <t>30</t>
        </is>
      </c>
      <c r="P68" s="68" t="n">
        <v>20</v>
      </c>
      <c r="Q68" s="68" t="n">
        <v>0.5</v>
      </c>
      <c r="R68" s="68" t="n">
        <v>0.3</v>
      </c>
      <c r="S68" s="68" t="n">
        <v>0.2</v>
      </c>
      <c r="T68" s="61" t="n"/>
    </row>
    <row r="69" ht="15" customHeight="1">
      <c r="A69" s="14" t="inlineStr">
        <is>
          <t>25128440C</t>
        </is>
      </c>
      <c r="B69" s="14" t="inlineStr">
        <is>
          <t>Rodríguez Jaume, María José</t>
        </is>
      </c>
      <c r="C69" s="14" t="inlineStr">
        <is>
          <t>FUNCIONARIO</t>
        </is>
      </c>
      <c r="D69" s="14" t="n"/>
      <c r="E69" s="14" t="n"/>
      <c r="F69" s="14" t="n">
        <v>1</v>
      </c>
      <c r="G69" s="14" t="n"/>
      <c r="H69" s="14" t="n"/>
      <c r="I69" s="14" t="n"/>
      <c r="J69" s="14" t="n">
        <v>1</v>
      </c>
      <c r="K69" s="14" t="inlineStr">
        <is>
          <t>B179</t>
        </is>
      </c>
      <c r="L69" s="15" t="inlineStr">
        <is>
          <t>10.25</t>
        </is>
      </c>
      <c r="M69" s="68" t="inlineStr">
        <is>
          <t>20</t>
        </is>
      </c>
      <c r="N69" s="68" t="inlineStr">
        <is>
          <t>10.23</t>
        </is>
      </c>
      <c r="O69" s="68" t="inlineStr">
        <is>
          <t>20</t>
        </is>
      </c>
      <c r="P69" s="68" t="n">
        <v>60</v>
      </c>
      <c r="Q69" s="68" t="n">
        <v>0.2</v>
      </c>
      <c r="R69" s="68" t="n">
        <v>0.2</v>
      </c>
      <c r="S69" s="68" t="n">
        <v>0.6</v>
      </c>
      <c r="T69" s="61" t="n"/>
    </row>
    <row r="70" ht="15" customHeight="1">
      <c r="A70" s="14" t="inlineStr">
        <is>
          <t>33485113B</t>
        </is>
      </c>
      <c r="B70" s="14" t="inlineStr">
        <is>
          <t>Martin Llaguno, Marta</t>
        </is>
      </c>
      <c r="C70" s="14" t="inlineStr">
        <is>
          <t>FUNCIONARIO</t>
        </is>
      </c>
      <c r="D70" s="14" t="n"/>
      <c r="E70" s="14" t="n"/>
      <c r="F70" s="14" t="n"/>
      <c r="G70" s="14" t="n">
        <v>1</v>
      </c>
      <c r="H70" s="14" t="n"/>
      <c r="I70" s="14" t="n"/>
      <c r="J70" s="14" t="n">
        <v>1</v>
      </c>
      <c r="K70" s="14" t="inlineStr">
        <is>
          <t>B175</t>
        </is>
      </c>
      <c r="L70" s="15" t="inlineStr">
        <is>
          <t>10.25</t>
        </is>
      </c>
      <c r="M70" s="68" t="inlineStr">
        <is>
          <t>30</t>
        </is>
      </c>
      <c r="N70" s="68" t="inlineStr">
        <is>
          <t>10.23</t>
        </is>
      </c>
      <c r="O70" s="68" t="inlineStr">
        <is>
          <t>30</t>
        </is>
      </c>
      <c r="P70" s="68" t="n">
        <v>40</v>
      </c>
      <c r="Q70" s="68" t="n">
        <v>0.3</v>
      </c>
      <c r="R70" s="68" t="n">
        <v>0.3</v>
      </c>
      <c r="S70" s="68" t="n">
        <v>0.4</v>
      </c>
      <c r="T70" s="61" t="n"/>
    </row>
    <row r="71" ht="15" customHeight="1">
      <c r="A71" s="14" t="inlineStr">
        <is>
          <t>44769550G</t>
        </is>
      </c>
      <c r="B71" s="14" t="inlineStr">
        <is>
          <t>Ortuño Martínez, Bárbara</t>
        </is>
      </c>
      <c r="C71" s="14" t="inlineStr">
        <is>
          <t>NO FUNCIONARIO</t>
        </is>
      </c>
      <c r="D71" s="14" t="n"/>
      <c r="E71" s="14" t="n"/>
      <c r="F71" s="14" t="n"/>
      <c r="G71" s="14" t="n">
        <v>1</v>
      </c>
      <c r="H71" s="14" t="n"/>
      <c r="I71" s="14" t="n"/>
      <c r="J71" s="14" t="n">
        <v>1</v>
      </c>
      <c r="K71" s="14" t="inlineStr">
        <is>
          <t>B112</t>
        </is>
      </c>
      <c r="L71" s="15" t="inlineStr">
        <is>
          <t>10.25</t>
        </is>
      </c>
      <c r="M71" s="68" t="inlineStr">
        <is>
          <t>30</t>
        </is>
      </c>
      <c r="N71" s="68" t="inlineStr">
        <is>
          <t>10.23</t>
        </is>
      </c>
      <c r="O71" s="68" t="inlineStr">
        <is>
          <t>40</t>
        </is>
      </c>
      <c r="P71" s="68" t="n">
        <v>30</v>
      </c>
      <c r="Q71" s="68" t="n">
        <v>0.3</v>
      </c>
      <c r="R71" s="68" t="n">
        <v>0.4</v>
      </c>
      <c r="S71" s="68" t="n">
        <v>0.3</v>
      </c>
      <c r="T71" s="61" t="n"/>
    </row>
    <row r="72" ht="15" customHeight="1">
      <c r="A72" s="14" t="inlineStr">
        <is>
          <t>46085014Y</t>
        </is>
      </c>
      <c r="B72" s="14" t="inlineStr">
        <is>
          <t>Timofeeva Timofeev, Larissa</t>
        </is>
      </c>
      <c r="C72" s="14" t="inlineStr">
        <is>
          <t>FUNCIONARIO</t>
        </is>
      </c>
      <c r="D72" s="14" t="n">
        <v>1</v>
      </c>
      <c r="E72" s="14" t="n"/>
      <c r="F72" s="14" t="n"/>
      <c r="G72" s="14" t="n"/>
      <c r="H72" s="14" t="n"/>
      <c r="I72" s="14" t="n"/>
      <c r="J72" s="14" t="n">
        <v>1</v>
      </c>
      <c r="K72" s="14" t="inlineStr">
        <is>
          <t>B115</t>
        </is>
      </c>
      <c r="L72" s="15" t="inlineStr">
        <is>
          <t>10.15</t>
        </is>
      </c>
      <c r="M72" s="68" t="inlineStr">
        <is>
          <t>10</t>
        </is>
      </c>
      <c r="N72" s="68" t="inlineStr">
        <is>
          <t>10.23</t>
        </is>
      </c>
      <c r="O72" s="68" t="inlineStr">
        <is>
          <t>20</t>
        </is>
      </c>
      <c r="P72" s="68" t="n">
        <v>70</v>
      </c>
      <c r="Q72" s="68" t="n">
        <v>0.1</v>
      </c>
      <c r="R72" s="68" t="n">
        <v>0.2</v>
      </c>
      <c r="S72" s="68" t="n">
        <v>0.7</v>
      </c>
      <c r="T72" s="61" t="n"/>
    </row>
    <row r="73" ht="15" customHeight="1">
      <c r="A73" s="14" t="inlineStr">
        <is>
          <t>48769418B</t>
        </is>
      </c>
      <c r="B73" s="14" t="inlineStr">
        <is>
          <t>Merma Molina, Gladys</t>
        </is>
      </c>
      <c r="C73" s="14" t="inlineStr">
        <is>
          <t>FUNCIONARIO</t>
        </is>
      </c>
      <c r="D73" s="14" t="n"/>
      <c r="E73" s="14" t="n">
        <v>1</v>
      </c>
      <c r="F73" s="14" t="n"/>
      <c r="G73" s="14" t="n">
        <v>1</v>
      </c>
      <c r="H73" s="14" t="n"/>
      <c r="I73" s="14" t="n"/>
      <c r="J73" s="14" t="n">
        <v>2</v>
      </c>
      <c r="K73" s="14" t="inlineStr">
        <is>
          <t>B112</t>
        </is>
      </c>
      <c r="L73" s="15" t="inlineStr">
        <is>
          <t>10.25</t>
        </is>
      </c>
      <c r="M73" s="68" t="inlineStr">
        <is>
          <t>30</t>
        </is>
      </c>
      <c r="N73" s="68" t="inlineStr">
        <is>
          <t>10.23</t>
        </is>
      </c>
      <c r="O73" s="68" t="inlineStr">
        <is>
          <t>30</t>
        </is>
      </c>
      <c r="P73" s="68" t="n">
        <v>40</v>
      </c>
      <c r="Q73" s="68" t="n">
        <v>0.6</v>
      </c>
      <c r="R73" s="68" t="n">
        <v>0.6</v>
      </c>
      <c r="S73" s="68" t="n">
        <v>0.8</v>
      </c>
      <c r="T73" s="61" t="n"/>
    </row>
    <row r="74" ht="15" customHeight="1">
      <c r="A74" s="14" t="inlineStr">
        <is>
          <t>52777601F</t>
        </is>
      </c>
      <c r="B74" s="14" t="inlineStr">
        <is>
          <t>Suriá Martínez, Soledad Raquel</t>
        </is>
      </c>
      <c r="C74" s="14" t="inlineStr">
        <is>
          <t>FUNCIONARIO</t>
        </is>
      </c>
      <c r="D74" s="14" t="n"/>
      <c r="E74" s="14" t="n"/>
      <c r="F74" s="14" t="n">
        <v>1</v>
      </c>
      <c r="G74" s="14" t="n"/>
      <c r="H74" s="14" t="n"/>
      <c r="I74" s="14" t="n"/>
      <c r="J74" s="14" t="n">
        <v>1</v>
      </c>
      <c r="K74" s="14" t="inlineStr">
        <is>
          <t>B175</t>
        </is>
      </c>
      <c r="L74" s="15" t="inlineStr">
        <is>
          <t>10.25</t>
        </is>
      </c>
      <c r="M74" s="68" t="inlineStr">
        <is>
          <t>30</t>
        </is>
      </c>
      <c r="N74" s="68" t="inlineStr">
        <is>
          <t>10.23</t>
        </is>
      </c>
      <c r="O74" s="68" t="inlineStr">
        <is>
          <t>20</t>
        </is>
      </c>
      <c r="P74" s="68" t="n">
        <v>50</v>
      </c>
      <c r="Q74" s="68" t="n">
        <v>0.3</v>
      </c>
      <c r="R74" s="68" t="n">
        <v>0.2</v>
      </c>
      <c r="S74" s="68" t="n">
        <v>0.5</v>
      </c>
      <c r="T74" s="61" t="n"/>
    </row>
    <row r="75" ht="15" customHeight="1">
      <c r="A75" s="14" t="inlineStr">
        <is>
          <t>76414567B</t>
        </is>
      </c>
      <c r="B75" s="14" t="inlineStr">
        <is>
          <t>Balteiro Fernández, María Isabel</t>
        </is>
      </c>
      <c r="C75" s="14" t="inlineStr">
        <is>
          <t>FUNCIONARIO</t>
        </is>
      </c>
      <c r="D75" s="14" t="n">
        <v>1</v>
      </c>
      <c r="E75" s="14" t="n"/>
      <c r="F75" s="14" t="n"/>
      <c r="G75" s="14" t="n"/>
      <c r="H75" s="14" t="n"/>
      <c r="I75" s="14" t="n"/>
      <c r="J75" s="14" t="n">
        <v>1</v>
      </c>
      <c r="K75" s="14" t="inlineStr">
        <is>
          <t>B116</t>
        </is>
      </c>
      <c r="L75" s="15" t="inlineStr">
        <is>
          <t>10.15</t>
        </is>
      </c>
      <c r="M75" s="68" t="inlineStr">
        <is>
          <t>20</t>
        </is>
      </c>
      <c r="N75" s="68" t="inlineStr">
        <is>
          <t>10.23</t>
        </is>
      </c>
      <c r="O75" s="68" t="inlineStr">
        <is>
          <t>20</t>
        </is>
      </c>
      <c r="P75" s="68" t="n">
        <v>60</v>
      </c>
      <c r="Q75" s="68" t="n">
        <v>0.2</v>
      </c>
      <c r="R75" s="68" t="n">
        <v>0.2</v>
      </c>
      <c r="S75" s="68" t="n">
        <v>0.6</v>
      </c>
      <c r="T75" s="61" t="n"/>
    </row>
    <row r="76" ht="15" customHeight="1">
      <c r="A76" s="33" t="n"/>
      <c r="B76" s="33" t="n"/>
      <c r="C76" s="34" t="n"/>
      <c r="D76" s="33" t="n"/>
      <c r="E76" s="33" t="n"/>
      <c r="F76" s="33" t="n"/>
      <c r="G76" s="33" t="n"/>
      <c r="H76" s="33" t="n"/>
      <c r="I76" s="33" t="n"/>
      <c r="J76" s="33" t="n"/>
      <c r="K76" s="33" t="n"/>
      <c r="L76" s="33" t="n"/>
      <c r="M76" s="33" t="n"/>
      <c r="N76" s="33" t="n"/>
      <c r="O76" s="33" t="n"/>
      <c r="P76" s="33" t="n"/>
      <c r="Q76" s="33" t="n"/>
      <c r="R76" s="49">
        <f>SUM(R64:R75,Q2:Q63)</f>
        <v/>
      </c>
      <c r="S76" s="33" t="n"/>
      <c r="T76" s="61" t="n"/>
    </row>
    <row r="77" customFormat="1" s="61">
      <c r="A77" s="9" t="n"/>
      <c r="B77" s="9" t="n"/>
      <c r="C77" s="9" t="n"/>
      <c r="D77" s="9" t="n"/>
      <c r="E77" s="9" t="n"/>
      <c r="F77" s="9" t="n"/>
      <c r="G77" s="9" t="n"/>
      <c r="H77" s="9" t="n"/>
      <c r="I77" s="9" t="n"/>
      <c r="J77" s="9" t="n"/>
      <c r="K77" s="9" t="n"/>
      <c r="L77" s="10" t="n"/>
      <c r="M77" s="10" t="n"/>
      <c r="N77" s="9" t="n"/>
      <c r="O77" s="10" t="n"/>
      <c r="P77" s="9" t="n"/>
      <c r="Q77" s="9" t="n"/>
      <c r="R77" s="9" t="n"/>
      <c r="S77" s="9" t="n"/>
      <c r="T77" s="9" t="n"/>
    </row>
    <row r="78" customFormat="1" s="61">
      <c r="A78" s="9" t="n"/>
      <c r="B78" s="9" t="n"/>
      <c r="C78" s="9" t="n"/>
      <c r="D78" s="9" t="n"/>
      <c r="E78" s="9" t="n"/>
      <c r="F78" s="9" t="n"/>
      <c r="G78" s="9" t="n"/>
      <c r="H78" s="9" t="n"/>
      <c r="I78" s="9" t="n"/>
      <c r="J78" s="9" t="n"/>
      <c r="K78" s="9" t="n"/>
      <c r="L78" s="9" t="n"/>
      <c r="M78" s="10" t="n"/>
      <c r="N78" s="10" t="n"/>
      <c r="O78" s="9" t="n"/>
      <c r="P78" s="10" t="n"/>
      <c r="Q78" s="9" t="n"/>
      <c r="R78" s="9" t="n"/>
      <c r="S78" s="9" t="n"/>
      <c r="T78" s="9" t="n"/>
    </row>
    <row r="79" customFormat="1" s="61">
      <c r="A79" s="9" t="n"/>
      <c r="B79" s="9" t="n"/>
      <c r="C79" s="9" t="n"/>
      <c r="D79" s="9" t="n"/>
      <c r="E79" s="9" t="n"/>
      <c r="F79" s="9" t="n"/>
      <c r="G79" s="9" t="n"/>
      <c r="H79" s="9" t="n"/>
      <c r="I79" s="9" t="n"/>
      <c r="J79" s="9" t="n"/>
      <c r="K79" s="9" t="n"/>
      <c r="L79" s="9" t="n"/>
      <c r="M79" s="10" t="n"/>
      <c r="N79" s="10" t="n"/>
      <c r="O79" s="9" t="n"/>
      <c r="P79" s="10" t="n"/>
      <c r="Q79" s="9" t="n"/>
      <c r="R79" s="9" t="n"/>
      <c r="S79" s="9" t="n"/>
      <c r="T79" s="9" t="n"/>
    </row>
    <row r="80" customFormat="1" s="61">
      <c r="A80" s="9" t="n"/>
      <c r="B80" s="9" t="n"/>
      <c r="C80" s="9" t="n"/>
      <c r="D80" s="9" t="n"/>
      <c r="E80" s="9" t="n"/>
      <c r="F80" s="9" t="n"/>
      <c r="G80" s="9" t="n"/>
      <c r="H80" s="9" t="n"/>
      <c r="I80" s="9" t="n"/>
      <c r="J80" s="9" t="n"/>
      <c r="K80" s="9" t="n"/>
      <c r="L80" s="9" t="n"/>
      <c r="M80" s="10" t="n"/>
      <c r="N80" s="10" t="n"/>
      <c r="O80" s="9" t="n"/>
      <c r="P80" s="10" t="n"/>
      <c r="Q80" s="9" t="n"/>
      <c r="R80" s="9" t="n"/>
      <c r="S80" s="9" t="n"/>
      <c r="T80" s="9" t="n"/>
    </row>
    <row r="81" customFormat="1" s="61">
      <c r="A81" s="9" t="n"/>
      <c r="B81" s="9" t="n"/>
      <c r="C81" s="9" t="n"/>
      <c r="D81" s="9" t="n"/>
      <c r="E81" s="9" t="n"/>
      <c r="F81" s="9" t="n"/>
      <c r="G81" s="9" t="n"/>
      <c r="H81" s="9" t="n"/>
      <c r="I81" s="9" t="n"/>
      <c r="J81" s="9" t="n"/>
      <c r="K81" s="9" t="n"/>
      <c r="L81" s="9" t="n"/>
      <c r="M81" s="10" t="n"/>
      <c r="N81" s="10" t="n"/>
      <c r="O81" s="9" t="n"/>
      <c r="P81" s="10" t="n"/>
      <c r="Q81" s="9" t="n"/>
      <c r="R81" s="9" t="n"/>
      <c r="S81" s="9" t="n"/>
      <c r="T81" s="9" t="n"/>
    </row>
    <row r="82" customFormat="1" s="61">
      <c r="A82" s="9" t="n"/>
      <c r="B82" s="9" t="n"/>
      <c r="C82" s="9" t="n"/>
      <c r="D82" s="9" t="n"/>
      <c r="E82" s="9" t="n"/>
      <c r="F82" s="9" t="n"/>
      <c r="G82" s="9" t="n"/>
      <c r="H82" s="9" t="n"/>
      <c r="I82" s="9" t="n"/>
      <c r="J82" s="9" t="n"/>
      <c r="K82" s="9" t="n"/>
      <c r="L82" s="9" t="n"/>
      <c r="M82" s="10" t="n"/>
      <c r="N82" s="10" t="n"/>
      <c r="O82" s="9" t="n"/>
      <c r="P82" s="10" t="n"/>
      <c r="Q82" s="9" t="n"/>
      <c r="R82" s="9" t="n"/>
      <c r="S82" s="9" t="n"/>
      <c r="T82" s="9" t="n"/>
    </row>
    <row r="83" customFormat="1" s="61">
      <c r="A83" s="9" t="n"/>
      <c r="B83" s="9" t="n"/>
      <c r="C83" s="9" t="n"/>
      <c r="D83" s="9" t="n"/>
      <c r="E83" s="9" t="n"/>
      <c r="F83" s="9" t="n"/>
      <c r="G83" s="9" t="n"/>
      <c r="H83" s="9" t="n"/>
      <c r="I83" s="9" t="n"/>
      <c r="J83" s="9" t="n"/>
      <c r="K83" s="9" t="n"/>
      <c r="L83" s="9" t="n"/>
      <c r="M83" s="10" t="n"/>
      <c r="N83" s="10" t="n"/>
      <c r="O83" s="9" t="n"/>
      <c r="P83" s="10" t="n"/>
      <c r="Q83" s="9" t="n"/>
      <c r="R83" s="9" t="n"/>
      <c r="S83" s="9" t="n"/>
      <c r="T83" s="9" t="n"/>
    </row>
    <row r="84" customFormat="1" s="61">
      <c r="A84" s="9" t="n"/>
      <c r="B84" s="9" t="n"/>
      <c r="C84" s="9" t="n"/>
      <c r="D84" s="9" t="n"/>
      <c r="E84" s="9" t="n"/>
      <c r="F84" s="9" t="n"/>
      <c r="G84" s="9" t="n"/>
      <c r="H84" s="9" t="n"/>
      <c r="I84" s="9" t="n"/>
      <c r="J84" s="9" t="n"/>
      <c r="K84" s="9" t="n"/>
      <c r="L84" s="9" t="n"/>
      <c r="M84" s="10" t="n"/>
      <c r="N84" s="10" t="n"/>
      <c r="O84" s="9" t="n"/>
      <c r="P84" s="10" t="n"/>
      <c r="Q84" s="9" t="n"/>
      <c r="R84" s="9" t="n"/>
      <c r="S84" s="9" t="n"/>
      <c r="T84" s="9" t="n"/>
    </row>
    <row r="85" customFormat="1" s="61">
      <c r="A85" s="9" t="n"/>
      <c r="B85" s="9" t="n"/>
      <c r="C85" s="9" t="n"/>
      <c r="D85" s="9" t="n"/>
      <c r="E85" s="9" t="n"/>
      <c r="F85" s="9" t="n"/>
      <c r="G85" s="9" t="n"/>
      <c r="H85" s="9" t="n"/>
      <c r="I85" s="9" t="n"/>
      <c r="J85" s="9" t="n"/>
      <c r="K85" s="9" t="n"/>
      <c r="L85" s="9" t="n"/>
      <c r="M85" s="10" t="n"/>
      <c r="N85" s="10" t="n"/>
      <c r="O85" s="9" t="n"/>
      <c r="P85" s="10" t="n"/>
      <c r="Q85" s="9" t="n"/>
      <c r="R85" s="9" t="n"/>
      <c r="S85" s="9" t="n"/>
      <c r="T85" s="9" t="n"/>
    </row>
    <row r="86" customFormat="1" s="61">
      <c r="A86" s="9" t="n"/>
      <c r="B86" s="9" t="n"/>
      <c r="C86" s="9" t="n"/>
      <c r="D86" s="9" t="n"/>
      <c r="E86" s="9" t="n"/>
      <c r="F86" s="9" t="n"/>
      <c r="G86" s="9" t="n"/>
      <c r="H86" s="9" t="n"/>
      <c r="I86" s="9" t="n"/>
      <c r="J86" s="9" t="n"/>
      <c r="K86" s="9" t="n"/>
      <c r="L86" s="9" t="n"/>
      <c r="M86" s="10" t="n"/>
      <c r="N86" s="10" t="n"/>
      <c r="O86" s="9" t="n"/>
      <c r="P86" s="10" t="n"/>
      <c r="Q86" s="9" t="n"/>
      <c r="R86" s="9" t="n"/>
      <c r="S86" s="9" t="n"/>
      <c r="T86" s="9" t="n"/>
    </row>
    <row r="87" customFormat="1" s="61">
      <c r="A87" s="9" t="n"/>
      <c r="B87" s="9" t="n"/>
      <c r="C87" s="9" t="n"/>
      <c r="D87" s="9" t="n"/>
      <c r="E87" s="9" t="n"/>
      <c r="F87" s="9" t="n"/>
      <c r="G87" s="9" t="n"/>
      <c r="H87" s="9" t="n"/>
      <c r="I87" s="9" t="n"/>
      <c r="J87" s="9" t="n"/>
      <c r="K87" s="9" t="n"/>
      <c r="L87" s="9" t="n"/>
      <c r="M87" s="10" t="n"/>
      <c r="N87" s="10" t="n"/>
      <c r="O87" s="9" t="n"/>
      <c r="P87" s="10" t="n"/>
      <c r="Q87" s="9" t="n"/>
      <c r="R87" s="9" t="n"/>
      <c r="S87" s="9" t="n"/>
      <c r="T87" s="9" t="n"/>
    </row>
    <row r="88" customFormat="1" s="61">
      <c r="A88" s="9" t="n"/>
      <c r="B88" s="9" t="n"/>
      <c r="C88" s="9" t="n"/>
      <c r="D88" s="9" t="n"/>
      <c r="E88" s="9" t="n"/>
      <c r="F88" s="9" t="n"/>
      <c r="G88" s="9" t="n"/>
      <c r="H88" s="9" t="n"/>
      <c r="I88" s="9" t="n"/>
      <c r="J88" s="9" t="n"/>
      <c r="K88" s="9" t="n"/>
      <c r="L88" s="9" t="n"/>
      <c r="M88" s="10" t="n"/>
      <c r="N88" s="10" t="n"/>
      <c r="O88" s="9" t="n"/>
      <c r="P88" s="10" t="n"/>
      <c r="Q88" s="9" t="n"/>
      <c r="R88" s="9" t="n"/>
      <c r="S88" s="9" t="n"/>
      <c r="T88" s="9" t="n"/>
    </row>
    <row r="89" customFormat="1" s="61">
      <c r="A89" s="9" t="n"/>
      <c r="B89" s="9" t="n"/>
      <c r="C89" s="9" t="n"/>
      <c r="D89" s="9" t="n"/>
      <c r="E89" s="9" t="n"/>
      <c r="F89" s="9" t="n"/>
      <c r="G89" s="9" t="n"/>
      <c r="H89" s="9" t="n"/>
      <c r="I89" s="9" t="n"/>
      <c r="J89" s="9" t="n"/>
      <c r="K89" s="9" t="n"/>
      <c r="L89" s="9" t="n"/>
      <c r="M89" s="10" t="n"/>
      <c r="N89" s="10" t="n"/>
      <c r="O89" s="9" t="n"/>
      <c r="P89" s="10" t="n"/>
      <c r="Q89" s="9" t="n"/>
      <c r="R89" s="9" t="n"/>
      <c r="S89" s="9" t="n"/>
      <c r="T89" s="9" t="n"/>
    </row>
    <row r="90" customFormat="1" s="61">
      <c r="A90" s="9" t="n"/>
      <c r="B90" s="9" t="n"/>
      <c r="C90" s="9" t="n"/>
      <c r="D90" s="9" t="n"/>
      <c r="E90" s="9" t="n"/>
      <c r="F90" s="9" t="n"/>
      <c r="G90" s="9" t="n"/>
      <c r="H90" s="9" t="n"/>
      <c r="I90" s="9" t="n"/>
      <c r="J90" s="9" t="n"/>
      <c r="K90" s="9" t="n"/>
      <c r="L90" s="9" t="n"/>
      <c r="M90" s="10" t="n"/>
      <c r="N90" s="10" t="n"/>
      <c r="O90" s="9" t="n"/>
      <c r="P90" s="10" t="n"/>
      <c r="Q90" s="9" t="n"/>
      <c r="R90" s="9" t="n"/>
      <c r="S90" s="9" t="n"/>
      <c r="T90" s="9" t="n"/>
    </row>
    <row r="91" customFormat="1" s="61">
      <c r="A91" s="9" t="n"/>
      <c r="B91" s="9" t="n"/>
      <c r="C91" s="9" t="n"/>
      <c r="D91" s="9" t="n"/>
      <c r="E91" s="9" t="n"/>
      <c r="F91" s="9" t="n"/>
      <c r="G91" s="9" t="n"/>
      <c r="H91" s="9" t="n"/>
      <c r="I91" s="9" t="n"/>
      <c r="J91" s="9" t="n"/>
      <c r="K91" s="9" t="n"/>
      <c r="L91" s="9" t="n"/>
      <c r="M91" s="10" t="n"/>
      <c r="N91" s="10" t="n"/>
      <c r="O91" s="9" t="n"/>
      <c r="P91" s="10" t="n"/>
      <c r="Q91" s="9" t="n"/>
      <c r="R91" s="9" t="n"/>
      <c r="S91" s="9" t="n"/>
      <c r="T91" s="9" t="n"/>
    </row>
    <row r="92" customFormat="1" s="61">
      <c r="A92" s="9" t="n"/>
      <c r="B92" s="9" t="n"/>
      <c r="C92" s="9" t="n"/>
      <c r="D92" s="9" t="n"/>
      <c r="E92" s="9" t="n"/>
      <c r="F92" s="9" t="n"/>
      <c r="G92" s="9" t="n"/>
      <c r="H92" s="9" t="n"/>
      <c r="I92" s="9" t="n"/>
      <c r="J92" s="9" t="n"/>
      <c r="K92" s="9" t="n"/>
      <c r="L92" s="9" t="n"/>
      <c r="M92" s="10" t="n"/>
      <c r="N92" s="10" t="n"/>
      <c r="O92" s="9" t="n"/>
      <c r="P92" s="10" t="n"/>
      <c r="Q92" s="9" t="n"/>
      <c r="R92" s="9" t="n"/>
      <c r="S92" s="9" t="n"/>
      <c r="T92" s="9" t="n"/>
    </row>
    <row r="93" customFormat="1" s="61">
      <c r="A93" s="9" t="n"/>
      <c r="B93" s="9" t="n"/>
      <c r="C93" s="9" t="n"/>
      <c r="D93" s="9" t="n"/>
      <c r="E93" s="9" t="n"/>
      <c r="F93" s="9" t="n"/>
      <c r="G93" s="9" t="n"/>
      <c r="H93" s="9" t="n"/>
      <c r="I93" s="9" t="n"/>
      <c r="J93" s="9" t="n"/>
      <c r="K93" s="9" t="n"/>
      <c r="L93" s="9" t="n"/>
      <c r="M93" s="10" t="n"/>
      <c r="N93" s="10" t="n"/>
      <c r="O93" s="9" t="n"/>
      <c r="P93" s="10" t="n"/>
      <c r="Q93" s="9" t="n"/>
      <c r="R93" s="9" t="n"/>
      <c r="S93" s="9" t="n"/>
      <c r="T93" s="9" t="n"/>
    </row>
    <row r="94" customFormat="1" s="61">
      <c r="A94" s="9" t="n"/>
      <c r="B94" s="9" t="n"/>
      <c r="C94" s="9" t="n"/>
      <c r="D94" s="9" t="n"/>
      <c r="E94" s="9" t="n"/>
      <c r="F94" s="9" t="n"/>
      <c r="G94" s="9" t="n"/>
      <c r="H94" s="9" t="n"/>
      <c r="I94" s="9" t="n"/>
      <c r="J94" s="9" t="n"/>
      <c r="K94" s="9" t="n"/>
      <c r="L94" s="9" t="n"/>
      <c r="M94" s="10" t="n"/>
      <c r="N94" s="10" t="n"/>
      <c r="O94" s="9" t="n"/>
      <c r="P94" s="10" t="n"/>
      <c r="Q94" s="9" t="n"/>
      <c r="R94" s="9" t="n"/>
      <c r="S94" s="9" t="n"/>
      <c r="T94" s="9" t="n"/>
    </row>
    <row r="95" customFormat="1" s="61">
      <c r="A95" s="9" t="n"/>
      <c r="B95" s="9" t="n"/>
      <c r="C95" s="9" t="n"/>
      <c r="D95" s="9" t="n"/>
      <c r="E95" s="9" t="n"/>
      <c r="F95" s="9" t="n"/>
      <c r="G95" s="9" t="n"/>
      <c r="H95" s="9" t="n"/>
      <c r="I95" s="9" t="n"/>
      <c r="J95" s="9" t="n"/>
      <c r="K95" s="9" t="n"/>
      <c r="L95" s="9" t="n"/>
      <c r="M95" s="10" t="n"/>
      <c r="N95" s="10" t="n"/>
      <c r="O95" s="9" t="n"/>
      <c r="P95" s="10" t="n"/>
      <c r="Q95" s="9" t="n"/>
      <c r="R95" s="9" t="n"/>
      <c r="S95" s="9" t="n"/>
      <c r="T95" s="9" t="n"/>
    </row>
    <row r="96" customFormat="1" s="61">
      <c r="A96" s="9" t="n"/>
      <c r="B96" s="9" t="n"/>
      <c r="C96" s="9" t="n"/>
      <c r="D96" s="9" t="n"/>
      <c r="E96" s="9" t="n"/>
      <c r="F96" s="9" t="n"/>
      <c r="G96" s="9" t="n"/>
      <c r="H96" s="9" t="n"/>
      <c r="I96" s="9" t="n"/>
      <c r="J96" s="9" t="n"/>
      <c r="K96" s="9" t="n"/>
      <c r="L96" s="9" t="n"/>
      <c r="M96" s="10" t="n"/>
      <c r="N96" s="10" t="n"/>
      <c r="O96" s="9" t="n"/>
      <c r="P96" s="10" t="n"/>
      <c r="Q96" s="9" t="n"/>
      <c r="R96" s="9" t="n"/>
      <c r="S96" s="9" t="n"/>
      <c r="T96" s="9" t="n"/>
    </row>
    <row r="97" customFormat="1" s="61">
      <c r="A97" s="9" t="n"/>
      <c r="B97" s="9" t="n"/>
      <c r="C97" s="9" t="n"/>
      <c r="D97" s="9" t="n"/>
      <c r="E97" s="9" t="n"/>
      <c r="F97" s="9" t="n"/>
      <c r="G97" s="9" t="n"/>
      <c r="H97" s="9" t="n"/>
      <c r="I97" s="9" t="n"/>
      <c r="J97" s="9" t="n"/>
      <c r="K97" s="9" t="n"/>
      <c r="L97" s="9" t="n"/>
      <c r="M97" s="10" t="n"/>
      <c r="N97" s="10" t="n"/>
      <c r="O97" s="9" t="n"/>
      <c r="P97" s="10" t="n"/>
      <c r="Q97" s="9" t="n"/>
      <c r="R97" s="9" t="n"/>
      <c r="S97" s="9" t="n"/>
      <c r="T97" s="9" t="n"/>
    </row>
    <row r="98" customFormat="1" s="61">
      <c r="A98" s="9" t="n"/>
      <c r="B98" s="9" t="n"/>
      <c r="C98" s="9" t="n"/>
      <c r="D98" s="9" t="n"/>
      <c r="E98" s="9" t="n"/>
      <c r="F98" s="9" t="n"/>
      <c r="G98" s="9" t="n"/>
      <c r="H98" s="9" t="n"/>
      <c r="I98" s="9" t="n"/>
      <c r="J98" s="9" t="n"/>
      <c r="K98" s="9" t="n"/>
      <c r="L98" s="9" t="n"/>
      <c r="M98" s="10" t="n"/>
      <c r="N98" s="10" t="n"/>
      <c r="O98" s="9" t="n"/>
      <c r="P98" s="10" t="n"/>
      <c r="Q98" s="9" t="n"/>
      <c r="R98" s="9" t="n"/>
      <c r="S98" s="9" t="n"/>
      <c r="T98" s="9" t="n"/>
    </row>
    <row r="99" customFormat="1" s="61">
      <c r="A99" s="9" t="n"/>
      <c r="B99" s="9" t="n"/>
      <c r="C99" s="9" t="n"/>
      <c r="D99" s="9" t="n"/>
      <c r="E99" s="9" t="n"/>
      <c r="F99" s="9" t="n"/>
      <c r="G99" s="9" t="n"/>
      <c r="H99" s="9" t="n"/>
      <c r="I99" s="9" t="n"/>
      <c r="J99" s="9" t="n"/>
      <c r="K99" s="9" t="n"/>
      <c r="L99" s="9" t="n"/>
      <c r="M99" s="10" t="n"/>
      <c r="N99" s="10" t="n"/>
      <c r="O99" s="9" t="n"/>
      <c r="P99" s="10" t="n"/>
      <c r="Q99" s="9" t="n"/>
      <c r="R99" s="9" t="n"/>
      <c r="S99" s="9" t="n"/>
      <c r="T99" s="9" t="n"/>
    </row>
    <row r="100" customFormat="1" s="61">
      <c r="A100" s="9" t="n"/>
      <c r="B100" s="9" t="n"/>
      <c r="C100" s="9" t="n"/>
      <c r="D100" s="9" t="n"/>
      <c r="E100" s="9" t="n"/>
      <c r="F100" s="9" t="n"/>
      <c r="G100" s="9" t="n"/>
      <c r="H100" s="9" t="n"/>
      <c r="I100" s="9" t="n"/>
      <c r="J100" s="9" t="n"/>
      <c r="K100" s="9" t="n"/>
      <c r="L100" s="9" t="n"/>
      <c r="M100" s="10" t="n"/>
      <c r="N100" s="10" t="n"/>
      <c r="O100" s="9" t="n"/>
      <c r="P100" s="10" t="n"/>
      <c r="Q100" s="9" t="n"/>
      <c r="R100" s="9" t="n"/>
      <c r="S100" s="9" t="n"/>
      <c r="T100" s="9" t="n"/>
    </row>
    <row r="101" customFormat="1" s="61">
      <c r="A101" s="9" t="n"/>
      <c r="B101" s="9" t="n"/>
      <c r="C101" s="9" t="n"/>
      <c r="D101" s="9" t="n"/>
      <c r="E101" s="9" t="n"/>
      <c r="F101" s="9" t="n"/>
      <c r="G101" s="9" t="n"/>
      <c r="H101" s="9" t="n"/>
      <c r="I101" s="9" t="n"/>
      <c r="J101" s="9" t="n"/>
      <c r="K101" s="9" t="n"/>
      <c r="L101" s="9" t="n"/>
      <c r="M101" s="10" t="n"/>
      <c r="N101" s="10" t="n"/>
      <c r="O101" s="9" t="n"/>
      <c r="P101" s="10" t="n"/>
      <c r="Q101" s="9" t="n"/>
      <c r="R101" s="9" t="n"/>
      <c r="S101" s="9" t="n"/>
      <c r="T101" s="9" t="n"/>
    </row>
    <row r="102" customFormat="1" s="61">
      <c r="A102" s="9" t="n"/>
      <c r="B102" s="9" t="n"/>
      <c r="C102" s="9" t="n"/>
      <c r="D102" s="9" t="n"/>
      <c r="E102" s="9" t="n"/>
      <c r="F102" s="9" t="n"/>
      <c r="G102" s="9" t="n"/>
      <c r="H102" s="9" t="n"/>
      <c r="I102" s="9" t="n"/>
      <c r="J102" s="9" t="n"/>
      <c r="K102" s="9" t="n"/>
      <c r="L102" s="9" t="n"/>
      <c r="M102" s="10" t="n"/>
      <c r="N102" s="10" t="n"/>
      <c r="O102" s="9" t="n"/>
      <c r="P102" s="10" t="n"/>
      <c r="Q102" s="9" t="n"/>
      <c r="R102" s="9" t="n"/>
      <c r="S102" s="9" t="n"/>
      <c r="T102" s="9" t="n"/>
    </row>
    <row r="103" customFormat="1" s="61">
      <c r="A103" s="9" t="n"/>
      <c r="B103" s="9" t="n"/>
      <c r="C103" s="9" t="n"/>
      <c r="D103" s="9" t="n"/>
      <c r="E103" s="9" t="n"/>
      <c r="F103" s="9" t="n"/>
      <c r="G103" s="9" t="n"/>
      <c r="H103" s="9" t="n"/>
      <c r="I103" s="9" t="n"/>
      <c r="J103" s="9" t="n"/>
      <c r="K103" s="9" t="n"/>
      <c r="L103" s="9" t="n"/>
      <c r="M103" s="10" t="n"/>
      <c r="N103" s="10" t="n"/>
      <c r="O103" s="9" t="n"/>
      <c r="P103" s="10" t="n"/>
      <c r="Q103" s="9" t="n"/>
      <c r="R103" s="9" t="n"/>
      <c r="S103" s="9" t="n"/>
      <c r="T103" s="9" t="n"/>
    </row>
    <row r="104" customFormat="1" s="61">
      <c r="A104" s="9" t="n"/>
      <c r="B104" s="9" t="n"/>
      <c r="C104" s="9" t="n"/>
      <c r="D104" s="9" t="n"/>
      <c r="E104" s="9" t="n"/>
      <c r="F104" s="9" t="n"/>
      <c r="G104" s="9" t="n"/>
      <c r="H104" s="9" t="n"/>
      <c r="I104" s="9" t="n"/>
      <c r="J104" s="9" t="n"/>
      <c r="K104" s="9" t="n"/>
      <c r="L104" s="9" t="n"/>
      <c r="M104" s="10" t="n"/>
      <c r="N104" s="10" t="n"/>
      <c r="O104" s="9" t="n"/>
      <c r="P104" s="10" t="n"/>
      <c r="Q104" s="9" t="n"/>
      <c r="R104" s="9" t="n"/>
      <c r="S104" s="9" t="n"/>
      <c r="T104" s="9" t="n"/>
    </row>
    <row r="105" customFormat="1" s="61">
      <c r="A105" s="9" t="n"/>
      <c r="B105" s="9" t="n"/>
      <c r="C105" s="9" t="n"/>
      <c r="D105" s="9" t="n"/>
      <c r="E105" s="9" t="n"/>
      <c r="F105" s="9" t="n"/>
      <c r="G105" s="9" t="n"/>
      <c r="H105" s="9" t="n"/>
      <c r="I105" s="9" t="n"/>
      <c r="J105" s="9" t="n"/>
      <c r="K105" s="9" t="n"/>
      <c r="L105" s="9" t="n"/>
      <c r="M105" s="10" t="n"/>
      <c r="N105" s="10" t="n"/>
      <c r="O105" s="9" t="n"/>
      <c r="P105" s="10" t="n"/>
      <c r="Q105" s="9" t="n"/>
      <c r="R105" s="9" t="n"/>
      <c r="S105" s="9" t="n"/>
      <c r="T105" s="9" t="n"/>
    </row>
    <row r="106" customFormat="1" s="61">
      <c r="A106" s="9" t="n"/>
      <c r="B106" s="9" t="n"/>
      <c r="C106" s="9" t="n"/>
      <c r="D106" s="9" t="n"/>
      <c r="E106" s="9" t="n"/>
      <c r="F106" s="9" t="n"/>
      <c r="G106" s="9" t="n"/>
      <c r="H106" s="9" t="n"/>
      <c r="I106" s="9" t="n"/>
      <c r="J106" s="9" t="n"/>
      <c r="K106" s="9" t="n"/>
      <c r="L106" s="9" t="n"/>
      <c r="M106" s="10" t="n"/>
      <c r="N106" s="10" t="n"/>
      <c r="O106" s="9" t="n"/>
      <c r="P106" s="10" t="n"/>
      <c r="Q106" s="9" t="n"/>
      <c r="R106" s="9" t="n"/>
      <c r="S106" s="9" t="n"/>
      <c r="T106" s="9" t="n"/>
    </row>
    <row r="107" customFormat="1" s="61">
      <c r="A107" s="9" t="n"/>
      <c r="B107" s="9" t="n"/>
      <c r="C107" s="9" t="n"/>
      <c r="D107" s="9" t="n"/>
      <c r="E107" s="9" t="n"/>
      <c r="F107" s="9" t="n"/>
      <c r="G107" s="9" t="n"/>
      <c r="H107" s="9" t="n"/>
      <c r="I107" s="9" t="n"/>
      <c r="J107" s="9" t="n"/>
      <c r="K107" s="9" t="n"/>
      <c r="L107" s="9" t="n"/>
      <c r="M107" s="10" t="n"/>
      <c r="N107" s="10" t="n"/>
      <c r="O107" s="9" t="n"/>
      <c r="P107" s="10" t="n"/>
      <c r="Q107" s="9" t="n"/>
      <c r="R107" s="9" t="n"/>
      <c r="S107" s="9" t="n"/>
      <c r="T107" s="9" t="n"/>
    </row>
    <row r="108" customFormat="1" s="61">
      <c r="A108" s="9" t="n"/>
      <c r="B108" s="9" t="n"/>
      <c r="C108" s="9" t="n"/>
      <c r="D108" s="9" t="n"/>
      <c r="E108" s="9" t="n"/>
      <c r="F108" s="9" t="n"/>
      <c r="G108" s="9" t="n"/>
      <c r="H108" s="9" t="n"/>
      <c r="I108" s="9" t="n"/>
      <c r="J108" s="9" t="n"/>
      <c r="K108" s="9" t="n"/>
      <c r="L108" s="9" t="n"/>
      <c r="M108" s="10" t="n"/>
      <c r="N108" s="10" t="n"/>
      <c r="O108" s="9" t="n"/>
      <c r="P108" s="10" t="n"/>
      <c r="Q108" s="9" t="n"/>
      <c r="R108" s="9" t="n"/>
      <c r="S108" s="9" t="n"/>
      <c r="T108" s="9" t="n"/>
    </row>
    <row r="109" customFormat="1" s="61">
      <c r="A109" s="9" t="n"/>
      <c r="B109" s="9" t="n"/>
      <c r="C109" s="9" t="n"/>
      <c r="D109" s="9" t="n"/>
      <c r="E109" s="9" t="n"/>
      <c r="F109" s="9" t="n"/>
      <c r="G109" s="9" t="n"/>
      <c r="H109" s="9" t="n"/>
      <c r="I109" s="9" t="n"/>
      <c r="J109" s="9" t="n"/>
      <c r="K109" s="9" t="n"/>
      <c r="L109" s="9" t="n"/>
      <c r="M109" s="10" t="n"/>
      <c r="N109" s="10" t="n"/>
      <c r="O109" s="9" t="n"/>
      <c r="P109" s="10" t="n"/>
      <c r="Q109" s="9" t="n"/>
      <c r="R109" s="9" t="n"/>
      <c r="S109" s="9" t="n"/>
      <c r="T109" s="9" t="n"/>
    </row>
    <row r="110" customFormat="1" s="61">
      <c r="A110" s="9" t="n"/>
      <c r="B110" s="9" t="n"/>
      <c r="C110" s="9" t="n"/>
      <c r="D110" s="9" t="n"/>
      <c r="E110" s="9" t="n"/>
      <c r="F110" s="9" t="n"/>
      <c r="G110" s="9" t="n"/>
      <c r="H110" s="9" t="n"/>
      <c r="I110" s="9" t="n"/>
      <c r="J110" s="9" t="n"/>
      <c r="K110" s="9" t="n"/>
      <c r="L110" s="9" t="n"/>
      <c r="M110" s="10" t="n"/>
      <c r="N110" s="10" t="n"/>
      <c r="O110" s="9" t="n"/>
      <c r="P110" s="10" t="n"/>
      <c r="Q110" s="9" t="n"/>
      <c r="R110" s="9" t="n"/>
      <c r="S110" s="9" t="n"/>
      <c r="T110" s="9" t="n"/>
    </row>
    <row r="111" customFormat="1" s="61">
      <c r="A111" s="9" t="n"/>
      <c r="B111" s="9" t="n"/>
      <c r="C111" s="9" t="n"/>
      <c r="D111" s="9" t="n"/>
      <c r="E111" s="9" t="n"/>
      <c r="F111" s="9" t="n"/>
      <c r="G111" s="9" t="n"/>
      <c r="H111" s="9" t="n"/>
      <c r="I111" s="9" t="n"/>
      <c r="J111" s="9" t="n"/>
      <c r="K111" s="9" t="n"/>
      <c r="L111" s="9" t="n"/>
      <c r="M111" s="10" t="n"/>
      <c r="N111" s="10" t="n"/>
      <c r="O111" s="9" t="n"/>
      <c r="P111" s="10" t="n"/>
      <c r="Q111" s="9" t="n"/>
      <c r="R111" s="9" t="n"/>
      <c r="S111" s="9" t="n"/>
      <c r="T111" s="9" t="n"/>
    </row>
    <row r="112" customFormat="1" s="61">
      <c r="A112" s="9" t="n"/>
      <c r="B112" s="9" t="n"/>
      <c r="C112" s="9" t="n"/>
      <c r="D112" s="9" t="n"/>
      <c r="E112" s="9" t="n"/>
      <c r="F112" s="9" t="n"/>
      <c r="G112" s="9" t="n"/>
      <c r="H112" s="9" t="n"/>
      <c r="I112" s="9" t="n"/>
      <c r="J112" s="9" t="n"/>
      <c r="K112" s="9" t="n"/>
      <c r="L112" s="9" t="n"/>
      <c r="M112" s="10" t="n"/>
      <c r="N112" s="10" t="n"/>
      <c r="O112" s="9" t="n"/>
      <c r="P112" s="10" t="n"/>
      <c r="Q112" s="9" t="n"/>
      <c r="R112" s="9" t="n"/>
      <c r="S112" s="9" t="n"/>
      <c r="T112" s="9" t="n"/>
    </row>
    <row r="113" customFormat="1" s="61">
      <c r="A113" s="9" t="n"/>
      <c r="B113" s="9" t="n"/>
      <c r="C113" s="9" t="n"/>
      <c r="D113" s="9" t="n"/>
      <c r="E113" s="9" t="n"/>
      <c r="F113" s="9" t="n"/>
      <c r="G113" s="9" t="n"/>
      <c r="H113" s="9" t="n"/>
      <c r="I113" s="9" t="n"/>
      <c r="J113" s="9" t="n"/>
      <c r="K113" s="9" t="n"/>
      <c r="L113" s="9" t="n"/>
      <c r="M113" s="10" t="n"/>
      <c r="N113" s="10" t="n"/>
      <c r="O113" s="9" t="n"/>
      <c r="P113" s="10" t="n"/>
      <c r="Q113" s="9" t="n"/>
      <c r="R113" s="9" t="n"/>
      <c r="S113" s="9" t="n"/>
      <c r="T113" s="9" t="n"/>
    </row>
    <row r="114" customFormat="1" s="61">
      <c r="A114" s="9" t="n"/>
      <c r="B114" s="9" t="n"/>
      <c r="C114" s="9" t="n"/>
      <c r="D114" s="9" t="n"/>
      <c r="E114" s="9" t="n"/>
      <c r="F114" s="9" t="n"/>
      <c r="G114" s="9" t="n"/>
      <c r="H114" s="9" t="n"/>
      <c r="I114" s="9" t="n"/>
      <c r="J114" s="9" t="n"/>
      <c r="K114" s="9" t="n"/>
      <c r="L114" s="9" t="n"/>
      <c r="M114" s="10" t="n"/>
      <c r="N114" s="10" t="n"/>
      <c r="O114" s="9" t="n"/>
      <c r="P114" s="10" t="n"/>
      <c r="Q114" s="9" t="n"/>
      <c r="R114" s="9" t="n"/>
      <c r="S114" s="9" t="n"/>
      <c r="T114" s="9" t="n"/>
    </row>
    <row r="115" customFormat="1" s="61">
      <c r="A115" s="9" t="n"/>
      <c r="B115" s="9" t="n"/>
      <c r="C115" s="9" t="n"/>
      <c r="D115" s="9" t="n"/>
      <c r="E115" s="9" t="n"/>
      <c r="F115" s="9" t="n"/>
      <c r="G115" s="9" t="n"/>
      <c r="H115" s="9" t="n"/>
      <c r="I115" s="9" t="n"/>
      <c r="J115" s="9" t="n"/>
      <c r="K115" s="9" t="n"/>
      <c r="L115" s="9" t="n"/>
      <c r="M115" s="10" t="n"/>
      <c r="N115" s="10" t="n"/>
      <c r="O115" s="9" t="n"/>
      <c r="P115" s="10" t="n"/>
      <c r="Q115" s="9" t="n"/>
      <c r="R115" s="9" t="n"/>
      <c r="S115" s="9" t="n"/>
      <c r="T115" s="9" t="n"/>
    </row>
    <row r="116" customFormat="1" s="61">
      <c r="A116" s="9" t="n"/>
      <c r="B116" s="9" t="n"/>
      <c r="C116" s="9" t="n"/>
      <c r="D116" s="9" t="n"/>
      <c r="E116" s="9" t="n"/>
      <c r="F116" s="9" t="n"/>
      <c r="G116" s="9" t="n"/>
      <c r="H116" s="9" t="n"/>
      <c r="I116" s="9" t="n"/>
      <c r="J116" s="9" t="n"/>
      <c r="K116" s="9" t="n"/>
      <c r="L116" s="9" t="n"/>
      <c r="M116" s="10" t="n"/>
      <c r="N116" s="10" t="n"/>
      <c r="O116" s="9" t="n"/>
      <c r="P116" s="10" t="n"/>
      <c r="Q116" s="9" t="n"/>
      <c r="R116" s="9" t="n"/>
      <c r="S116" s="9" t="n"/>
      <c r="T116" s="9" t="n"/>
    </row>
    <row r="117" customFormat="1" s="61">
      <c r="A117" s="9" t="n"/>
      <c r="B117" s="9" t="n"/>
      <c r="C117" s="9" t="n"/>
      <c r="D117" s="9" t="n"/>
      <c r="E117" s="9" t="n"/>
      <c r="F117" s="9" t="n"/>
      <c r="G117" s="9" t="n"/>
      <c r="H117" s="9" t="n"/>
      <c r="I117" s="9" t="n"/>
      <c r="J117" s="9" t="n"/>
      <c r="K117" s="9" t="n"/>
      <c r="L117" s="9" t="n"/>
      <c r="M117" s="10" t="n"/>
      <c r="N117" s="10" t="n"/>
      <c r="O117" s="9" t="n"/>
      <c r="P117" s="10" t="n"/>
      <c r="Q117" s="9" t="n"/>
      <c r="R117" s="9" t="n"/>
      <c r="S117" s="9" t="n"/>
      <c r="T117" s="9" t="n"/>
    </row>
    <row r="118" customFormat="1" s="61">
      <c r="A118" s="9" t="n"/>
      <c r="B118" s="9" t="n"/>
      <c r="C118" s="9" t="n"/>
      <c r="D118" s="9" t="n"/>
      <c r="E118" s="9" t="n"/>
      <c r="F118" s="9" t="n"/>
      <c r="G118" s="9" t="n"/>
      <c r="H118" s="9" t="n"/>
      <c r="I118" s="9" t="n"/>
      <c r="J118" s="9" t="n"/>
      <c r="K118" s="9" t="n"/>
      <c r="L118" s="9" t="n"/>
      <c r="M118" s="10" t="n"/>
      <c r="N118" s="10" t="n"/>
      <c r="O118" s="9" t="n"/>
      <c r="P118" s="10" t="n"/>
      <c r="Q118" s="9" t="n"/>
      <c r="R118" s="9" t="n"/>
      <c r="S118" s="9" t="n"/>
      <c r="T118" s="9" t="n"/>
    </row>
    <row r="119" customFormat="1" s="61">
      <c r="A119" s="9" t="n"/>
      <c r="B119" s="9" t="n"/>
      <c r="C119" s="9" t="n"/>
      <c r="D119" s="9" t="n"/>
      <c r="E119" s="9" t="n"/>
      <c r="F119" s="9" t="n"/>
      <c r="G119" s="9" t="n"/>
      <c r="H119" s="9" t="n"/>
      <c r="I119" s="9" t="n"/>
      <c r="J119" s="9" t="n"/>
      <c r="K119" s="9" t="n"/>
      <c r="L119" s="9" t="n"/>
      <c r="M119" s="10" t="n"/>
      <c r="N119" s="10" t="n"/>
      <c r="O119" s="9" t="n"/>
      <c r="P119" s="10" t="n"/>
      <c r="Q119" s="9" t="n"/>
      <c r="R119" s="9" t="n"/>
      <c r="S119" s="9" t="n"/>
      <c r="T119" s="9" t="n"/>
    </row>
    <row r="120" customFormat="1" s="61">
      <c r="A120" s="9" t="n"/>
      <c r="B120" s="9" t="n"/>
      <c r="C120" s="9" t="n"/>
      <c r="D120" s="9" t="n"/>
      <c r="E120" s="9" t="n"/>
      <c r="F120" s="9" t="n"/>
      <c r="G120" s="9" t="n"/>
      <c r="H120" s="9" t="n"/>
      <c r="I120" s="9" t="n"/>
      <c r="J120" s="9" t="n"/>
      <c r="K120" s="9" t="n"/>
      <c r="L120" s="9" t="n"/>
      <c r="M120" s="10" t="n"/>
      <c r="N120" s="10" t="n"/>
      <c r="O120" s="9" t="n"/>
      <c r="P120" s="10" t="n"/>
      <c r="Q120" s="9" t="n"/>
      <c r="R120" s="9" t="n"/>
      <c r="S120" s="9" t="n"/>
      <c r="T120" s="9" t="n"/>
    </row>
    <row r="121" customFormat="1" s="61">
      <c r="A121" s="9" t="n"/>
      <c r="B121" s="9" t="n"/>
      <c r="C121" s="9" t="n"/>
      <c r="D121" s="9" t="n"/>
      <c r="E121" s="9" t="n"/>
      <c r="F121" s="9" t="n"/>
      <c r="G121" s="9" t="n"/>
      <c r="H121" s="9" t="n"/>
      <c r="I121" s="9" t="n"/>
      <c r="J121" s="9" t="n"/>
      <c r="K121" s="9" t="n"/>
      <c r="L121" s="9" t="n"/>
      <c r="M121" s="10" t="n"/>
      <c r="N121" s="10" t="n"/>
      <c r="O121" s="9" t="n"/>
      <c r="P121" s="10" t="n"/>
      <c r="Q121" s="9" t="n"/>
      <c r="R121" s="9" t="n"/>
      <c r="S121" s="9" t="n"/>
      <c r="T121" s="9" t="n"/>
    </row>
    <row r="122" customFormat="1" s="61">
      <c r="A122" s="9" t="n"/>
      <c r="B122" s="9" t="n"/>
      <c r="C122" s="9" t="n"/>
      <c r="D122" s="9" t="n"/>
      <c r="E122" s="9" t="n"/>
      <c r="F122" s="9" t="n"/>
      <c r="G122" s="9" t="n"/>
      <c r="H122" s="9" t="n"/>
      <c r="I122" s="9" t="n"/>
      <c r="J122" s="9" t="n"/>
      <c r="K122" s="9" t="n"/>
      <c r="L122" s="9" t="n"/>
      <c r="M122" s="10" t="n"/>
      <c r="N122" s="10" t="n"/>
      <c r="O122" s="9" t="n"/>
      <c r="P122" s="10" t="n"/>
      <c r="Q122" s="9" t="n"/>
      <c r="R122" s="9" t="n"/>
      <c r="S122" s="9" t="n"/>
      <c r="T122" s="9" t="n"/>
    </row>
    <row r="123" customFormat="1" s="61">
      <c r="A123" s="9" t="n"/>
      <c r="B123" s="9" t="n"/>
      <c r="C123" s="9" t="n"/>
      <c r="D123" s="9" t="n"/>
      <c r="E123" s="9" t="n"/>
      <c r="F123" s="9" t="n"/>
      <c r="G123" s="9" t="n"/>
      <c r="H123" s="9" t="n"/>
      <c r="I123" s="9" t="n"/>
      <c r="J123" s="9" t="n"/>
      <c r="K123" s="9" t="n"/>
      <c r="L123" s="9" t="n"/>
      <c r="M123" s="10" t="n"/>
      <c r="N123" s="10" t="n"/>
      <c r="O123" s="9" t="n"/>
      <c r="P123" s="10" t="n"/>
      <c r="Q123" s="9" t="n"/>
      <c r="R123" s="9" t="n"/>
      <c r="S123" s="9" t="n"/>
      <c r="T123" s="9" t="n"/>
    </row>
    <row r="124" customFormat="1" s="61">
      <c r="A124" s="9" t="n"/>
      <c r="B124" s="9" t="n"/>
      <c r="C124" s="9" t="n"/>
      <c r="D124" s="9" t="n"/>
      <c r="E124" s="9" t="n"/>
      <c r="F124" s="9" t="n"/>
      <c r="G124" s="9" t="n"/>
      <c r="H124" s="9" t="n"/>
      <c r="I124" s="9" t="n"/>
      <c r="J124" s="9" t="n"/>
      <c r="K124" s="9" t="n"/>
      <c r="L124" s="9" t="n"/>
      <c r="M124" s="10" t="n"/>
      <c r="N124" s="10" t="n"/>
      <c r="O124" s="9" t="n"/>
      <c r="P124" s="10" t="n"/>
      <c r="Q124" s="9" t="n"/>
      <c r="R124" s="9" t="n"/>
      <c r="S124" s="9" t="n"/>
      <c r="T124" s="9" t="n"/>
    </row>
    <row r="125" customFormat="1" s="61">
      <c r="A125" s="9" t="n"/>
      <c r="B125" s="9" t="n"/>
      <c r="C125" s="9" t="n"/>
      <c r="D125" s="9" t="n"/>
      <c r="E125" s="9" t="n"/>
      <c r="F125" s="9" t="n"/>
      <c r="G125" s="9" t="n"/>
      <c r="H125" s="9" t="n"/>
      <c r="I125" s="9" t="n"/>
      <c r="J125" s="9" t="n"/>
      <c r="K125" s="9" t="n"/>
      <c r="L125" s="9" t="n"/>
      <c r="M125" s="10" t="n"/>
      <c r="N125" s="10" t="n"/>
      <c r="O125" s="9" t="n"/>
      <c r="P125" s="10" t="n"/>
      <c r="Q125" s="9" t="n"/>
      <c r="R125" s="9" t="n"/>
      <c r="S125" s="9" t="n"/>
      <c r="T125" s="9" t="n"/>
    </row>
    <row r="126" customFormat="1" s="61">
      <c r="A126" s="9" t="n"/>
      <c r="B126" s="9" t="n"/>
      <c r="C126" s="9" t="n"/>
      <c r="D126" s="9" t="n"/>
      <c r="E126" s="9" t="n"/>
      <c r="F126" s="9" t="n"/>
      <c r="G126" s="9" t="n"/>
      <c r="H126" s="9" t="n"/>
      <c r="I126" s="9" t="n"/>
      <c r="J126" s="9" t="n"/>
      <c r="K126" s="9" t="n"/>
      <c r="L126" s="9" t="n"/>
      <c r="M126" s="10" t="n"/>
      <c r="N126" s="10" t="n"/>
      <c r="O126" s="9" t="n"/>
      <c r="P126" s="10" t="n"/>
      <c r="Q126" s="9" t="n"/>
      <c r="R126" s="9" t="n"/>
      <c r="S126" s="9" t="n"/>
      <c r="T126" s="9" t="n"/>
    </row>
    <row r="127" customFormat="1" s="61">
      <c r="A127" s="9" t="n"/>
      <c r="B127" s="9" t="n"/>
      <c r="C127" s="9" t="n"/>
      <c r="D127" s="9" t="n"/>
      <c r="E127" s="9" t="n"/>
      <c r="F127" s="9" t="n"/>
      <c r="G127" s="9" t="n"/>
      <c r="H127" s="9" t="n"/>
      <c r="I127" s="9" t="n"/>
      <c r="J127" s="9" t="n"/>
      <c r="K127" s="9" t="n"/>
      <c r="L127" s="9" t="n"/>
      <c r="M127" s="10" t="n"/>
      <c r="N127" s="10" t="n"/>
      <c r="O127" s="9" t="n"/>
      <c r="P127" s="10" t="n"/>
      <c r="Q127" s="9" t="n"/>
      <c r="R127" s="9" t="n"/>
      <c r="S127" s="9" t="n"/>
      <c r="T127" s="9" t="n"/>
    </row>
    <row r="128" customFormat="1" s="61">
      <c r="A128" s="9" t="n"/>
      <c r="B128" s="9" t="n"/>
      <c r="C128" s="9" t="n"/>
      <c r="D128" s="9" t="n"/>
      <c r="E128" s="9" t="n"/>
      <c r="F128" s="9" t="n"/>
      <c r="G128" s="9" t="n"/>
      <c r="H128" s="9" t="n"/>
      <c r="I128" s="9" t="n"/>
      <c r="J128" s="9" t="n"/>
      <c r="K128" s="9" t="n"/>
      <c r="L128" s="9" t="n"/>
      <c r="M128" s="10" t="n"/>
      <c r="N128" s="10" t="n"/>
      <c r="O128" s="9" t="n"/>
      <c r="P128" s="10" t="n"/>
      <c r="Q128" s="9" t="n"/>
      <c r="R128" s="9" t="n"/>
      <c r="S128" s="9" t="n"/>
      <c r="T128" s="9" t="n"/>
    </row>
    <row r="129" customFormat="1" s="61">
      <c r="A129" s="9" t="n"/>
      <c r="B129" s="9" t="n"/>
      <c r="C129" s="9" t="n"/>
      <c r="D129" s="9" t="n"/>
      <c r="E129" s="9" t="n"/>
      <c r="F129" s="9" t="n"/>
      <c r="G129" s="9" t="n"/>
      <c r="H129" s="9" t="n"/>
      <c r="I129" s="9" t="n"/>
      <c r="J129" s="9" t="n"/>
      <c r="K129" s="9" t="n"/>
      <c r="L129" s="9" t="n"/>
      <c r="M129" s="10" t="n"/>
      <c r="N129" s="10" t="n"/>
      <c r="O129" s="9" t="n"/>
      <c r="P129" s="10" t="n"/>
      <c r="Q129" s="9" t="n"/>
      <c r="R129" s="9" t="n"/>
      <c r="S129" s="9" t="n"/>
      <c r="T129" s="9" t="n"/>
    </row>
    <row r="130" customFormat="1" s="61">
      <c r="A130" s="9" t="n"/>
      <c r="B130" s="9" t="n"/>
      <c r="C130" s="9" t="n"/>
      <c r="D130" s="9" t="n"/>
      <c r="E130" s="9" t="n"/>
      <c r="F130" s="9" t="n"/>
      <c r="G130" s="9" t="n"/>
      <c r="H130" s="9" t="n"/>
      <c r="I130" s="9" t="n"/>
      <c r="J130" s="9" t="n"/>
      <c r="K130" s="9" t="n"/>
      <c r="L130" s="9" t="n"/>
      <c r="M130" s="10" t="n"/>
      <c r="N130" s="10" t="n"/>
      <c r="O130" s="9" t="n"/>
      <c r="P130" s="10" t="n"/>
      <c r="Q130" s="9" t="n"/>
      <c r="R130" s="9" t="n"/>
      <c r="S130" s="9" t="n"/>
      <c r="T130" s="9" t="n"/>
    </row>
    <row r="131" customFormat="1" s="61">
      <c r="A131" s="9" t="n"/>
      <c r="B131" s="9" t="n"/>
      <c r="C131" s="9" t="n"/>
      <c r="D131" s="9" t="n"/>
      <c r="E131" s="9" t="n"/>
      <c r="F131" s="9" t="n"/>
      <c r="G131" s="9" t="n"/>
      <c r="H131" s="9" t="n"/>
      <c r="I131" s="9" t="n"/>
      <c r="J131" s="9" t="n"/>
      <c r="K131" s="9" t="n"/>
      <c r="L131" s="9" t="n"/>
      <c r="M131" s="10" t="n"/>
      <c r="N131" s="10" t="n"/>
      <c r="O131" s="9" t="n"/>
      <c r="P131" s="10" t="n"/>
      <c r="Q131" s="9" t="n"/>
      <c r="R131" s="9" t="n"/>
      <c r="S131" s="9" t="n"/>
      <c r="T131" s="9" t="n"/>
    </row>
    <row r="132" customFormat="1" s="61">
      <c r="A132" s="9" t="n"/>
      <c r="B132" s="9" t="n"/>
      <c r="C132" s="9" t="n"/>
      <c r="D132" s="9" t="n"/>
      <c r="E132" s="9" t="n"/>
      <c r="F132" s="9" t="n"/>
      <c r="G132" s="9" t="n"/>
      <c r="H132" s="9" t="n"/>
      <c r="I132" s="9" t="n"/>
      <c r="J132" s="9" t="n"/>
      <c r="K132" s="9" t="n"/>
      <c r="L132" s="9" t="n"/>
      <c r="M132" s="10" t="n"/>
      <c r="N132" s="10" t="n"/>
      <c r="O132" s="9" t="n"/>
      <c r="P132" s="10" t="n"/>
      <c r="Q132" s="9" t="n"/>
      <c r="R132" s="9" t="n"/>
      <c r="S132" s="9" t="n"/>
      <c r="T132" s="9" t="n"/>
    </row>
    <row r="133" customFormat="1" s="61">
      <c r="A133" s="9" t="n"/>
      <c r="B133" s="9" t="n"/>
      <c r="C133" s="9" t="n"/>
      <c r="D133" s="9" t="n"/>
      <c r="E133" s="9" t="n"/>
      <c r="F133" s="9" t="n"/>
      <c r="G133" s="9" t="n"/>
      <c r="H133" s="9" t="n"/>
      <c r="I133" s="9" t="n"/>
      <c r="J133" s="9" t="n"/>
      <c r="K133" s="9" t="n"/>
      <c r="L133" s="9" t="n"/>
      <c r="M133" s="10" t="n"/>
      <c r="N133" s="10" t="n"/>
      <c r="O133" s="9" t="n"/>
      <c r="P133" s="10" t="n"/>
      <c r="Q133" s="9" t="n"/>
      <c r="R133" s="9" t="n"/>
      <c r="S133" s="9" t="n"/>
      <c r="T133" s="9" t="n"/>
    </row>
    <row r="134" customFormat="1" s="61">
      <c r="A134" s="9" t="n"/>
      <c r="B134" s="9" t="n"/>
      <c r="C134" s="9" t="n"/>
      <c r="D134" s="9" t="n"/>
      <c r="E134" s="9" t="n"/>
      <c r="F134" s="9" t="n"/>
      <c r="G134" s="9" t="n"/>
      <c r="H134" s="9" t="n"/>
      <c r="I134" s="9" t="n"/>
      <c r="J134" s="9" t="n"/>
      <c r="K134" s="9" t="n"/>
      <c r="L134" s="9" t="n"/>
      <c r="M134" s="10" t="n"/>
      <c r="N134" s="10" t="n"/>
      <c r="O134" s="9" t="n"/>
      <c r="P134" s="10" t="n"/>
      <c r="Q134" s="9" t="n"/>
      <c r="R134" s="9" t="n"/>
      <c r="S134" s="9" t="n"/>
      <c r="T134" s="9" t="n"/>
    </row>
    <row r="135" customFormat="1" s="61">
      <c r="A135" s="9" t="n"/>
      <c r="B135" s="9" t="n"/>
      <c r="C135" s="9" t="n"/>
      <c r="D135" s="9" t="n"/>
      <c r="E135" s="9" t="n"/>
      <c r="F135" s="9" t="n"/>
      <c r="G135" s="9" t="n"/>
      <c r="H135" s="9" t="n"/>
      <c r="I135" s="9" t="n"/>
      <c r="J135" s="9" t="n"/>
      <c r="K135" s="9" t="n"/>
      <c r="L135" s="9" t="n"/>
      <c r="M135" s="10" t="n"/>
      <c r="N135" s="10" t="n"/>
      <c r="O135" s="9" t="n"/>
      <c r="P135" s="10" t="n"/>
      <c r="Q135" s="9" t="n"/>
      <c r="R135" s="9" t="n"/>
      <c r="S135" s="9" t="n"/>
      <c r="T135" s="9" t="n"/>
    </row>
    <row r="136" customFormat="1" s="61">
      <c r="A136" s="9" t="n"/>
      <c r="B136" s="9" t="n"/>
      <c r="C136" s="9" t="n"/>
      <c r="D136" s="9" t="n"/>
      <c r="E136" s="9" t="n"/>
      <c r="F136" s="9" t="n"/>
      <c r="G136" s="9" t="n"/>
      <c r="H136" s="9" t="n"/>
      <c r="I136" s="9" t="n"/>
      <c r="J136" s="9" t="n"/>
      <c r="K136" s="9" t="n"/>
      <c r="L136" s="9" t="n"/>
      <c r="M136" s="10" t="n"/>
      <c r="N136" s="10" t="n"/>
      <c r="O136" s="9" t="n"/>
      <c r="P136" s="10" t="n"/>
      <c r="Q136" s="9" t="n"/>
      <c r="R136" s="9" t="n"/>
      <c r="S136" s="9" t="n"/>
      <c r="T136" s="9" t="n"/>
    </row>
    <row r="137" customFormat="1" s="61">
      <c r="A137" s="9" t="n"/>
      <c r="B137" s="9" t="n"/>
      <c r="C137" s="9" t="n"/>
      <c r="D137" s="9" t="n"/>
      <c r="E137" s="9" t="n"/>
      <c r="F137" s="9" t="n"/>
      <c r="G137" s="9" t="n"/>
      <c r="H137" s="9" t="n"/>
      <c r="I137" s="9" t="n"/>
      <c r="J137" s="9" t="n"/>
      <c r="K137" s="9" t="n"/>
      <c r="L137" s="9" t="n"/>
      <c r="M137" s="10" t="n"/>
      <c r="N137" s="10" t="n"/>
      <c r="O137" s="9" t="n"/>
      <c r="P137" s="10" t="n"/>
      <c r="Q137" s="9" t="n"/>
      <c r="R137" s="9" t="n"/>
      <c r="S137" s="9" t="n"/>
      <c r="T137" s="9" t="n"/>
    </row>
    <row r="138" customFormat="1" s="61">
      <c r="A138" s="9" t="n"/>
      <c r="B138" s="9" t="n"/>
      <c r="C138" s="9" t="n"/>
      <c r="D138" s="9" t="n"/>
      <c r="E138" s="9" t="n"/>
      <c r="F138" s="9" t="n"/>
      <c r="G138" s="9" t="n"/>
      <c r="H138" s="9" t="n"/>
      <c r="I138" s="9" t="n"/>
      <c r="J138" s="9" t="n"/>
      <c r="K138" s="9" t="n"/>
      <c r="L138" s="9" t="n"/>
      <c r="M138" s="10" t="n"/>
      <c r="N138" s="10" t="n"/>
      <c r="O138" s="9" t="n"/>
      <c r="P138" s="10" t="n"/>
      <c r="Q138" s="9" t="n"/>
      <c r="R138" s="9" t="n"/>
      <c r="S138" s="9" t="n"/>
      <c r="T138" s="9" t="n"/>
    </row>
    <row r="139" customFormat="1" s="61">
      <c r="A139" s="9" t="n"/>
      <c r="B139" s="9" t="n"/>
      <c r="C139" s="9" t="n"/>
      <c r="D139" s="9" t="n"/>
      <c r="E139" s="9" t="n"/>
      <c r="F139" s="9" t="n"/>
      <c r="G139" s="9" t="n"/>
      <c r="H139" s="9" t="n"/>
      <c r="I139" s="9" t="n"/>
      <c r="J139" s="9" t="n"/>
      <c r="K139" s="9" t="n"/>
      <c r="L139" s="9" t="n"/>
      <c r="M139" s="10" t="n"/>
      <c r="N139" s="10" t="n"/>
      <c r="O139" s="9" t="n"/>
      <c r="P139" s="10" t="n"/>
      <c r="Q139" s="9" t="n"/>
      <c r="R139" s="9" t="n"/>
      <c r="S139" s="9" t="n"/>
      <c r="T139" s="9" t="n"/>
    </row>
    <row r="140" customFormat="1" s="61">
      <c r="A140" s="9" t="n"/>
      <c r="B140" s="9" t="n"/>
      <c r="C140" s="9" t="n"/>
      <c r="D140" s="9" t="n"/>
      <c r="E140" s="9" t="n"/>
      <c r="F140" s="9" t="n"/>
      <c r="G140" s="9" t="n"/>
      <c r="H140" s="9" t="n"/>
      <c r="I140" s="9" t="n"/>
      <c r="J140" s="9" t="n"/>
      <c r="K140" s="9" t="n"/>
      <c r="L140" s="9" t="n"/>
      <c r="M140" s="10" t="n"/>
      <c r="N140" s="10" t="n"/>
      <c r="O140" s="9" t="n"/>
      <c r="P140" s="10" t="n"/>
      <c r="Q140" s="9" t="n"/>
      <c r="R140" s="9" t="n"/>
      <c r="S140" s="9" t="n"/>
      <c r="T140" s="9" t="n"/>
    </row>
    <row r="141" customFormat="1" s="61">
      <c r="A141" s="9" t="n"/>
      <c r="B141" s="9" t="n"/>
      <c r="C141" s="9" t="n"/>
      <c r="D141" s="9" t="n"/>
      <c r="E141" s="9" t="n"/>
      <c r="F141" s="9" t="n"/>
      <c r="G141" s="9" t="n"/>
      <c r="H141" s="9" t="n"/>
      <c r="I141" s="9" t="n"/>
      <c r="J141" s="9" t="n"/>
      <c r="K141" s="9" t="n"/>
      <c r="L141" s="9" t="n"/>
      <c r="M141" s="10" t="n"/>
      <c r="N141" s="10" t="n"/>
      <c r="O141" s="9" t="n"/>
      <c r="P141" s="10" t="n"/>
      <c r="Q141" s="9" t="n"/>
      <c r="R141" s="9" t="n"/>
      <c r="S141" s="9" t="n"/>
      <c r="T141" s="9" t="n"/>
    </row>
    <row r="142" customFormat="1" s="61">
      <c r="A142" s="9" t="n"/>
      <c r="B142" s="9" t="n"/>
      <c r="C142" s="9" t="n"/>
      <c r="D142" s="9" t="n"/>
      <c r="E142" s="9" t="n"/>
      <c r="F142" s="9" t="n"/>
      <c r="G142" s="9" t="n"/>
      <c r="H142" s="9" t="n"/>
      <c r="I142" s="9" t="n"/>
      <c r="J142" s="9" t="n"/>
      <c r="K142" s="9" t="n"/>
      <c r="L142" s="9" t="n"/>
      <c r="M142" s="10" t="n"/>
      <c r="N142" s="10" t="n"/>
      <c r="O142" s="9" t="n"/>
      <c r="P142" s="10" t="n"/>
      <c r="Q142" s="9" t="n"/>
      <c r="R142" s="9" t="n"/>
      <c r="S142" s="9" t="n"/>
      <c r="T142" s="9" t="n"/>
    </row>
    <row r="143" customFormat="1" s="61">
      <c r="A143" s="9" t="n"/>
      <c r="B143" s="9" t="n"/>
      <c r="C143" s="9" t="n"/>
      <c r="D143" s="9" t="n"/>
      <c r="E143" s="9" t="n"/>
      <c r="F143" s="9" t="n"/>
      <c r="G143" s="9" t="n"/>
      <c r="H143" s="9" t="n"/>
      <c r="I143" s="9" t="n"/>
      <c r="J143" s="9" t="n"/>
      <c r="K143" s="9" t="n"/>
      <c r="L143" s="9" t="n"/>
      <c r="M143" s="10" t="n"/>
      <c r="N143" s="10" t="n"/>
      <c r="O143" s="9" t="n"/>
      <c r="P143" s="10" t="n"/>
      <c r="Q143" s="9" t="n"/>
      <c r="R143" s="9" t="n"/>
      <c r="S143" s="9" t="n"/>
      <c r="T143" s="9" t="n"/>
    </row>
    <row r="144" customFormat="1" s="61">
      <c r="A144" s="9" t="n"/>
      <c r="B144" s="9" t="n"/>
      <c r="C144" s="9" t="n"/>
      <c r="D144" s="9" t="n"/>
      <c r="E144" s="9" t="n"/>
      <c r="F144" s="9" t="n"/>
      <c r="G144" s="9" t="n"/>
      <c r="H144" s="9" t="n"/>
      <c r="I144" s="9" t="n"/>
      <c r="J144" s="9" t="n"/>
      <c r="K144" s="9" t="n"/>
      <c r="L144" s="9" t="n"/>
      <c r="M144" s="10" t="n"/>
      <c r="N144" s="10" t="n"/>
      <c r="O144" s="9" t="n"/>
      <c r="P144" s="10" t="n"/>
      <c r="Q144" s="9" t="n"/>
      <c r="R144" s="9" t="n"/>
      <c r="S144" s="9" t="n"/>
      <c r="T144" s="9" t="n"/>
    </row>
    <row r="145" customFormat="1" s="61">
      <c r="A145" s="9" t="n"/>
      <c r="B145" s="9" t="n"/>
      <c r="C145" s="9" t="n"/>
      <c r="D145" s="9" t="n"/>
      <c r="E145" s="9" t="n"/>
      <c r="F145" s="9" t="n"/>
      <c r="G145" s="9" t="n"/>
      <c r="H145" s="9" t="n"/>
      <c r="I145" s="9" t="n"/>
      <c r="J145" s="9" t="n"/>
      <c r="K145" s="9" t="n"/>
      <c r="L145" s="9" t="n"/>
      <c r="M145" s="10" t="n"/>
      <c r="N145" s="10" t="n"/>
      <c r="O145" s="9" t="n"/>
      <c r="P145" s="10" t="n"/>
      <c r="Q145" s="9" t="n"/>
      <c r="R145" s="9" t="n"/>
      <c r="S145" s="9" t="n"/>
      <c r="T145" s="9" t="n"/>
    </row>
    <row r="146" customFormat="1" s="61">
      <c r="A146" s="9" t="n"/>
      <c r="B146" s="9" t="n"/>
      <c r="C146" s="9" t="n"/>
      <c r="D146" s="9" t="n"/>
      <c r="E146" s="9" t="n"/>
      <c r="F146" s="9" t="n"/>
      <c r="G146" s="9" t="n"/>
      <c r="H146" s="9" t="n"/>
      <c r="I146" s="9" t="n"/>
      <c r="J146" s="9" t="n"/>
      <c r="K146" s="9" t="n"/>
      <c r="L146" s="9" t="n"/>
      <c r="M146" s="10" t="n"/>
      <c r="N146" s="10" t="n"/>
      <c r="O146" s="9" t="n"/>
      <c r="P146" s="10" t="n"/>
      <c r="Q146" s="9" t="n"/>
      <c r="R146" s="9" t="n"/>
      <c r="S146" s="9" t="n"/>
      <c r="T146" s="9" t="n"/>
    </row>
    <row r="147" customFormat="1" s="61">
      <c r="A147" s="9" t="n"/>
      <c r="B147" s="9" t="n"/>
      <c r="C147" s="9" t="n"/>
      <c r="D147" s="9" t="n"/>
      <c r="E147" s="9" t="n"/>
      <c r="F147" s="9" t="n"/>
      <c r="G147" s="9" t="n"/>
      <c r="H147" s="9" t="n"/>
      <c r="I147" s="9" t="n"/>
      <c r="J147" s="9" t="n"/>
      <c r="K147" s="9" t="n"/>
      <c r="L147" s="9" t="n"/>
      <c r="M147" s="10" t="n"/>
      <c r="N147" s="10" t="n"/>
      <c r="O147" s="9" t="n"/>
      <c r="P147" s="10" t="n"/>
      <c r="Q147" s="9" t="n"/>
      <c r="R147" s="9" t="n"/>
      <c r="S147" s="9" t="n"/>
      <c r="T147" s="9" t="n"/>
    </row>
    <row r="148" customFormat="1" s="61">
      <c r="A148" s="9" t="n"/>
      <c r="B148" s="9" t="n"/>
      <c r="C148" s="9" t="n"/>
      <c r="D148" s="9" t="n"/>
      <c r="E148" s="9" t="n"/>
      <c r="F148" s="9" t="n"/>
      <c r="G148" s="9" t="n"/>
      <c r="H148" s="9" t="n"/>
      <c r="I148" s="9" t="n"/>
      <c r="J148" s="9" t="n"/>
      <c r="K148" s="9" t="n"/>
      <c r="L148" s="9" t="n"/>
      <c r="M148" s="10" t="n"/>
      <c r="N148" s="10" t="n"/>
      <c r="O148" s="9" t="n"/>
      <c r="P148" s="10" t="n"/>
      <c r="Q148" s="9" t="n"/>
      <c r="R148" s="9" t="n"/>
      <c r="S148" s="9" t="n"/>
      <c r="T148" s="9" t="n"/>
    </row>
  </sheetData>
  <pageMargins left="0.3937007874015748" right="0.3937007874015748" top="0.3937007874015748" bottom="0.3937007874015748" header="0.3149606299212598" footer="0.3149606299212598"/>
  <pageSetup orientation="landscape" paperSize="9" scale="92" fitToHeight="2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B32" sqref="B32"/>
    </sheetView>
  </sheetViews>
  <sheetFormatPr baseColWidth="10" defaultRowHeight="15"/>
  <cols>
    <col width="16.28515625" customWidth="1" min="1" max="1"/>
    <col width="76.42578125" customWidth="1" min="2" max="2"/>
    <col width="14.85546875" customWidth="1" style="51" min="3" max="3"/>
  </cols>
  <sheetData>
    <row r="1">
      <c r="A1" t="inlineStr">
        <is>
          <t>Cód. org. aplic.</t>
        </is>
      </c>
      <c r="B1" t="inlineStr">
        <is>
          <t>Descripción justificante</t>
        </is>
      </c>
      <c r="C1" s="51" t="inlineStr">
        <is>
          <t>Imp.cob.aplic.</t>
        </is>
      </c>
    </row>
    <row r="2">
      <c r="A2" t="inlineStr">
        <is>
          <t>41.90.6C.00.06</t>
        </is>
      </c>
      <c r="B2" t="inlineStr">
        <is>
          <t>Realización de una guía de uso no sexista del lenguaje (DIPUTACION2-23TPA)</t>
        </is>
      </c>
      <c r="C2" s="51" t="n">
        <v>616</v>
      </c>
    </row>
    <row r="3">
      <c r="A3" t="inlineStr">
        <is>
          <t>41.90.6P.00.07</t>
        </is>
      </c>
      <c r="B3" t="inlineStr">
        <is>
          <t>DEVOLUCIÓN DE INGRESO_ REINTEGRO DE REMANENTES DE PROYECTOS MEDIANTE TRANSFERENCIA BANCARIA.</t>
        </is>
      </c>
      <c r="C3" s="51" t="n">
        <v>-4210.75</v>
      </c>
    </row>
    <row r="4">
      <c r="A4" t="inlineStr">
        <is>
          <t>41.90.6P.00.09</t>
        </is>
      </c>
      <c r="B4" t="inlineStr">
        <is>
          <t>DEVOLUCIÓN DE INGRESOS_MODELO 069_ Expediente o Referencia: 173-P56543-202212210097809</t>
        </is>
      </c>
      <c r="C4" s="51" t="n">
        <v>-5286.16</v>
      </c>
    </row>
    <row r="5">
      <c r="A5" t="inlineStr">
        <is>
          <t>41.90.6P.00.09</t>
        </is>
      </c>
      <c r="B5" t="inlineStr">
        <is>
          <t>DEVOLUCIÓN DE INGRESOS_CARTA DE PAGO_ Referencia PGC2018-096926-B-I00</t>
        </is>
      </c>
      <c r="C5" s="51" t="n">
        <v>-5286.17</v>
      </c>
    </row>
    <row r="6">
      <c r="A6" t="inlineStr">
        <is>
          <t>41.90.6P.00.12</t>
        </is>
      </c>
      <c r="B6" t="inlineStr">
        <is>
          <t xml:space="preserve">REINTEGRO DE CERRADO DEL JG: 2022/000000024754 DEBIDO A GASTO NO IMPUTABLE AL PROYECTO PID2020-113343GB-I00. </t>
        </is>
      </c>
      <c r="C6" s="51" t="n">
        <v>120</v>
      </c>
    </row>
    <row r="7">
      <c r="A7" t="inlineStr">
        <is>
          <t>41.90.6P.00.12</t>
        </is>
      </c>
      <c r="B7" t="inlineStr">
        <is>
          <t>REINTEGRO PARCIAL DE CERRADO DEBIDO A GASTO NO IMPUTABLE AL PROYECTO PID2020-113343GB-I00_ JG: 2022/[C]000005896</t>
        </is>
      </c>
      <c r="C7" s="51" t="n">
        <v>36.78</v>
      </c>
    </row>
    <row r="8">
      <c r="A8" t="inlineStr">
        <is>
          <t>41.90.6P.00.12</t>
        </is>
      </c>
      <c r="B8" t="inlineStr">
        <is>
          <t>REINTEGRO DE GASTO NO IMPUTABLE AL PROYECTO PID2020-113343GB-I00. JG: 2022/[C]000005884/ ADO:2022000032649</t>
        </is>
      </c>
      <c r="C8" s="51" t="n">
        <v>120</v>
      </c>
    </row>
    <row r="9">
      <c r="A9" t="inlineStr">
        <is>
          <t>41.90.6P.00.12</t>
        </is>
      </c>
      <c r="B9" t="inlineStr">
        <is>
          <t xml:space="preserve">REINTEGRO DE CERRADO DEL JG: 2022/000000024758 DEBIDO A GASTO NO IMPUTABLE AL PROYECTO  PID2020-113343GB-I00. </t>
        </is>
      </c>
      <c r="C9" s="51" t="n">
        <v>100</v>
      </c>
    </row>
    <row r="10">
      <c r="A10" t="inlineStr">
        <is>
          <t>41.90.6P.00.12</t>
        </is>
      </c>
      <c r="B10" t="inlineStr">
        <is>
          <t xml:space="preserve">PID2020-112540RB-C43/112611RB-I00/112930GB-I00/113343GB-I00/113472RB-I00/114381GB-I00/114517GB-I00/114896RB-I00/115140RB-I00/115735GB-I00  </t>
        </is>
      </c>
      <c r="C10" s="51" t="n">
        <v>19673.29</v>
      </c>
    </row>
    <row r="11">
      <c r="A11" t="inlineStr">
        <is>
          <t>41.90.6P.00.13</t>
        </is>
      </c>
      <c r="B11" t="inlineStr">
        <is>
          <t xml:space="preserve">PID2020-118574GB-I00/118816GB-I00/119124RB-I00/119144RB-I00/119320GB-I00/119383GB-I00/119734RB-I00/119878GB-I00/119959GB-I00/120213RB-I00 </t>
        </is>
      </c>
      <c r="C11" s="51" t="n">
        <v>15246.8</v>
      </c>
    </row>
    <row r="12">
      <c r="A12" t="inlineStr">
        <is>
          <t>41.90.6P.00.14</t>
        </is>
      </c>
      <c r="B12" t="inlineStr">
        <is>
          <t>DEVOLUCIÓN DE INGRESOS_MODELO 047_Nº de liquidación: 46/2023/RAS/10200/1_Número de justificante: 047/1/002359944_Nº de referencia:047/1/002359944</t>
        </is>
      </c>
      <c r="C12" s="51" t="n">
        <v>-1303.58</v>
      </c>
    </row>
    <row r="13">
      <c r="A13" t="inlineStr">
        <is>
          <t>41.90.6P.00.14</t>
        </is>
      </c>
      <c r="B13" t="inlineStr">
        <is>
          <t xml:space="preserve">AICO/2021/013/062/093/130/132/163/165 </t>
        </is>
      </c>
      <c r="C13" s="51" t="n">
        <v>28200</v>
      </c>
    </row>
    <row r="14">
      <c r="A14" t="inlineStr">
        <is>
          <t>41.90.6P.00.16</t>
        </is>
      </c>
      <c r="B14" t="inlineStr">
        <is>
          <t>ayudas CIGE/2022/4-6-8-10-15-16-21-30-36-45-46-51-52- 54-55-105-170-179</t>
        </is>
      </c>
      <c r="C14" s="51" t="n">
        <v>10000</v>
      </c>
    </row>
    <row r="15">
      <c r="A15" t="inlineStr">
        <is>
          <t>41.90.6P.00.17</t>
        </is>
      </c>
      <c r="B15" t="inlineStr">
        <is>
          <t>ayudas CIAICO/2022/017, CIAICO/2022/019, CIAICO/2022/038, CIAICO/2022/046, CIAICO/2022/047, CIAICO/2022/049, CIAICO/2022/077, CIAICO/2022/078, CIAICO/2022/079, CIAICO/2022/112, CIAICO/2022/132 , CIAICO/2022/167, CIAICO/2022/177</t>
        </is>
      </c>
      <c r="C15" s="51" t="n">
        <v>12000</v>
      </c>
    </row>
    <row r="16">
      <c r="A16" t="inlineStr">
        <is>
          <t>41.90.6P.00.18</t>
        </is>
      </c>
      <c r="B16" t="inlineStr">
        <is>
          <t xml:space="preserve">ayudas PID2022 142159OB--137566OB-I00--139552OB-C22--142960OB-C21--137302NB-C33--139820NB-I00--138111NB-I00--141543OB-I00--138491OB-C32--137364OB-I00--138329NB-I00--142830NB-I00--138453OB-I00 PID2022-138696OB-C22 PID2022-138853NB-I00 PID2022-142712NB-I00 </t>
        </is>
      </c>
      <c r="C16" s="51" t="n">
        <v>31984.6</v>
      </c>
    </row>
    <row r="17">
      <c r="A17" t="inlineStr">
        <is>
          <t>41.90.6P.00.19</t>
        </is>
      </c>
      <c r="B17" t="inlineStr">
        <is>
          <t xml:space="preserve">ayudas PID2022 142159OB--137566OB-I00--139552OB-C22--142960OB-C21--137302NB-C33--139820NB-I00--138111NB-I00--141543OB-I00--138491OB-C32--137364OB-I00--138329NB-I00--142830NB-I00--138453OB-I00 PID2022-138696OB-C22 PID2022-138853NB-I00 PID2022-142712NB-I00 </t>
        </is>
      </c>
      <c r="C17" s="51" t="n">
        <v>10506</v>
      </c>
    </row>
    <row r="18">
      <c r="A18" t="inlineStr">
        <is>
          <t>Total</t>
        </is>
      </c>
      <c r="C18" s="51">
        <f>SUBTOTAL(109,Tabla2[Imp.cob.aplic.])</f>
        <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79"/>
  <sheetViews>
    <sheetView topLeftCell="A72" workbookViewId="0">
      <selection activeCell="B82" sqref="B82:C82"/>
    </sheetView>
  </sheetViews>
  <sheetFormatPr baseColWidth="10" defaultRowHeight="15"/>
  <cols>
    <col width="13.42578125" bestFit="1" customWidth="1" min="1" max="1"/>
    <col width="60.5703125" customWidth="1" min="2" max="2"/>
    <col width="13.28515625" bestFit="1" customWidth="1" style="51" min="3" max="3"/>
  </cols>
  <sheetData>
    <row r="1">
      <c r="A1" t="inlineStr">
        <is>
          <t>Org. aplic.</t>
        </is>
      </c>
      <c r="B1" t="inlineStr">
        <is>
          <t>Descripción justificante</t>
        </is>
      </c>
      <c r="C1" s="51" t="inlineStr">
        <is>
          <t>Imp. aplic.</t>
        </is>
      </c>
    </row>
    <row r="2" ht="30" customHeight="1">
      <c r="A2" t="inlineStr">
        <is>
          <t>41.90.6C.00.07</t>
        </is>
      </c>
      <c r="B2" s="50" t="inlineStr">
        <is>
          <t>Investigación sobre las Arquitectas Pioneras en Castilla La Mancha (COLEARQCASTILLALAMANCHA1-24TPA)</t>
        </is>
      </c>
      <c r="C2" s="51" t="n">
        <v>880</v>
      </c>
    </row>
    <row r="3" ht="45" customHeight="1">
      <c r="A3" t="inlineStr">
        <is>
          <t>41.90.6C.00.08</t>
        </is>
      </c>
      <c r="B3" s="50" t="inlineStr">
        <is>
          <t>Assesorament científic tècnic per al disseny del pla d'estudis de curs d'Escola d'homes formadors de l'aFFac dins del Projecte Homes-AFA</t>
        </is>
      </c>
      <c r="C3" s="51" t="n">
        <v>1533.09</v>
      </c>
    </row>
    <row r="4" ht="45" customHeight="1">
      <c r="A4" t="inlineStr">
        <is>
          <t>41.90.6G.00.05</t>
        </is>
      </c>
      <c r="B4" s="50" t="inlineStr">
        <is>
          <t>Cuota de inscripción de Alicia Morales Ortiz (Dpto. Filología Clásica de la Facultad de Letras) al IV Congreso Internacional "CreadorAS en la Educación Literaria e Intercultural (CICELI).</t>
        </is>
      </c>
      <c r="C4" s="51" t="n">
        <v>100</v>
      </c>
    </row>
    <row r="5" ht="45" customHeight="1">
      <c r="A5" t="inlineStr">
        <is>
          <t>41.90.6G.00.05</t>
        </is>
      </c>
      <c r="B5" s="50" t="inlineStr">
        <is>
          <t>Cuota de inscripción de María Dolores Hernández Mayor (Dpto. de Filología Clásica) al IV Congreso Internacional "CreadorAS en la Educación Literaria e Intercultural" (CICELI).</t>
        </is>
      </c>
      <c r="C5" s="51" t="n">
        <v>100</v>
      </c>
    </row>
    <row r="6" ht="45" customHeight="1">
      <c r="A6" t="inlineStr">
        <is>
          <t>41.90.6G.00.05</t>
        </is>
      </c>
      <c r="B6" s="50" t="inlineStr">
        <is>
          <t>Cuota de inscripción de Josefa Fernández Zambudio (Dpto. Filología Clásica) al IV Congreso Internacional "CreadorAS en la Educación Literaria e Intercultural" (CICELI).</t>
        </is>
      </c>
      <c r="C6" s="51" t="n">
        <v>100</v>
      </c>
    </row>
    <row r="7" ht="60" customHeight="1">
      <c r="A7" t="inlineStr">
        <is>
          <t>41.90.6G.00.05</t>
        </is>
      </c>
      <c r="B7" s="50" t="inlineStr">
        <is>
          <t>Cuota de inscripción de Silvia Martínez Falquina ("Comida identidad y comunidad en la literatura infantil hispánica del siglo XXI". CIAICO/2022/208) al IV Congreso Internacional "CreadorAS en la Educación Literaria e Intercultural" (CICELI).</t>
        </is>
      </c>
      <c r="C7" s="51" t="n">
        <v>100</v>
      </c>
    </row>
    <row r="8" ht="45" customHeight="1">
      <c r="A8" t="inlineStr">
        <is>
          <t>41.90.6G.00.05</t>
        </is>
      </c>
      <c r="B8" s="50" t="inlineStr">
        <is>
          <t>Cuota de inscripción de María Nieves Pascual Soler [Proyecto Investigación VIU (CIAICO/2022/208)] al IV Congreso Internacional "CreadorAS en la Educación Literaria e Intercultural" (CICELI).</t>
        </is>
      </c>
      <c r="C8" s="51" t="n">
        <v>100</v>
      </c>
    </row>
    <row r="9" ht="30" customHeight="1">
      <c r="A9" t="inlineStr">
        <is>
          <t>41.90.6G.00.05</t>
        </is>
      </c>
      <c r="B9" s="50" t="inlineStr">
        <is>
          <t xml:space="preserve">Liq_JyC_2024__IV_CICELI_01__IV Congreso Internacional  ¿CreadorAS en la Educación Literaria e Intercultural¿ (CICELI) </t>
        </is>
      </c>
      <c r="C9" s="51" t="n">
        <v>5409.78</v>
      </c>
    </row>
    <row r="10" ht="60" customHeight="1">
      <c r="A10" t="inlineStr">
        <is>
          <t>41.90.6G.00.05</t>
        </is>
      </c>
      <c r="B10" s="50" t="inlineStr">
        <is>
          <t>Cuota de inscripción de Sabina Reyes de las Casas (JDC2022-048566-I, Concepto Presupuestario (CP): 643.02.09) al IV Congreso Internacional "CreadorAS en la Educación Literaria e Intercultural" (CICELI).</t>
        </is>
      </c>
      <c r="C10" s="51" t="n">
        <v>100</v>
      </c>
    </row>
    <row r="11" ht="60" customHeight="1">
      <c r="A11" t="inlineStr">
        <is>
          <t>41.90.6G.00.05</t>
        </is>
      </c>
      <c r="B11" s="50" t="inlineStr">
        <is>
          <t>Cuota de inscripción de Patricia Orozco Gómez (Departament de Didàctica de la Llengua i la Literatura), al IV Congreso Internacional "CreadorAS en la Educación Literaria e Intercultural" (CICELI).</t>
        </is>
      </c>
      <c r="C11" s="51" t="n">
        <v>60</v>
      </c>
    </row>
    <row r="12" ht="45" customHeight="1">
      <c r="A12" t="inlineStr">
        <is>
          <t>41.90.6G.00.05</t>
        </is>
      </c>
      <c r="B12" s="50" t="inlineStr">
        <is>
          <t>Cuota de inscripción de María Pilar Úcar Ventura al IV Congreso Internacional "CreadorAS en la Educación Lilteraria e Intercultural" (CICELI).</t>
        </is>
      </c>
      <c r="C12" s="51" t="n">
        <v>100</v>
      </c>
    </row>
    <row r="13" ht="60" customHeight="1">
      <c r="A13" t="inlineStr">
        <is>
          <t>41.90.6G.00.05</t>
        </is>
      </c>
      <c r="B13" s="50" t="inlineStr">
        <is>
          <t xml:space="preserve">Cuota de inscripción de Isabel Cristina Díez Ménguez (Dpto. de Literaturas Hispánicas y Bibliografía, Facultad de Filología) al IV Congreso Internacional "CreadorAS en la Educación Literaria e Intercultural" (CICELI). </t>
        </is>
      </c>
      <c r="C13" s="51" t="n">
        <v>60</v>
      </c>
    </row>
    <row r="14" ht="60" customHeight="1">
      <c r="A14" t="inlineStr">
        <is>
          <t>41.90.6G.00.05</t>
        </is>
      </c>
      <c r="B14" s="50" t="inlineStr">
        <is>
          <t>Cuota de inscripción de María Ángeles Varela Olea (Dpto. de Literaturas Hispánicas y Bibliografía, Facultad de Filología) al IV Congreso Internacional "CreadorAS en la Educación Literaria e Intercultural" (CICELI).</t>
        </is>
      </c>
      <c r="C14" s="51" t="n">
        <v>60</v>
      </c>
    </row>
    <row r="15" ht="45" customHeight="1">
      <c r="A15" t="inlineStr">
        <is>
          <t>41.90.6G.00.05</t>
        </is>
      </c>
      <c r="B15" s="50" t="inlineStr">
        <is>
          <t>Cuota de inscripción de Milagrosa Parrado Collantes al IV Congreso Internacional "CreadorAS en la Educación Literaria e Intercultural" (CICELI).</t>
        </is>
      </c>
      <c r="C15" s="51" t="n">
        <v>100</v>
      </c>
    </row>
    <row r="16" ht="60" customHeight="1">
      <c r="A16" t="inlineStr">
        <is>
          <t>41.90.6G.00.05</t>
        </is>
      </c>
      <c r="B16" s="50" t="inlineStr">
        <is>
          <t>Cuota de inscripción de Marta Zaragoza Zayas [Departament de Didáctica de la Llengua i la Literatura. Facultat de Magisteri. Av. Tarongers, 4. 46022-València] al IV Congreso Internacional "CreadorAS en la Educación Literaria e Intercultural" (CICELI).</t>
        </is>
      </c>
      <c r="C16" s="51" t="n">
        <v>60</v>
      </c>
    </row>
    <row r="17" ht="30" customHeight="1">
      <c r="A17" t="inlineStr">
        <is>
          <t>41.90.6G.00.05</t>
        </is>
      </c>
      <c r="B17" s="50" t="inlineStr">
        <is>
          <t>Liq_JyC_2024__IV_CICELI_02__IV Congreso Internacional "CreadorAS en la Educación Literaria e Intercultural" (CICELI)</t>
        </is>
      </c>
      <c r="C17" s="51" t="n">
        <v>1260</v>
      </c>
    </row>
    <row r="18" ht="45" customHeight="1">
      <c r="A18" t="inlineStr">
        <is>
          <t>41.90.6G.00.05</t>
        </is>
      </c>
      <c r="B18" s="50" t="inlineStr">
        <is>
          <t>Inscripción de Lucía Ruth Barrenetxea Mínguez, Nerea Gutiérrez Fernández y Ariane Díaz Iso al IV Congreso Internacional "CreadorAS en la Educación Literaria e Intercultural" (CICELI)</t>
        </is>
      </c>
      <c r="C18" s="51" t="n">
        <v>360</v>
      </c>
    </row>
    <row r="19" ht="45" customHeight="1">
      <c r="A19" t="inlineStr">
        <is>
          <t>41.90.6G.00.05</t>
        </is>
      </c>
      <c r="B19" s="50" t="inlineStr">
        <is>
          <t>Cuota de inscripción de Ángeles Mateo del Pino [Proyecto Investigación VIU (CIAICO/2022/208)] al IV Congreso Internacional "CreadorAS en la Educación Literaria e Intercultural" (CICELI).</t>
        </is>
      </c>
      <c r="C19" s="51" t="n">
        <v>120</v>
      </c>
    </row>
    <row r="20" ht="45" customHeight="1">
      <c r="A20" t="inlineStr">
        <is>
          <t>41.90.6G.00.05</t>
        </is>
      </c>
      <c r="B20" s="50" t="inlineStr">
        <is>
          <t>Cuota de inscripción de Patricia Castellanos Pineda al IV Congreso Internacional "CreadorAS en la Educación Literaria e Intercultural" (CICELI)</t>
        </is>
      </c>
      <c r="C20" s="51" t="n">
        <v>100</v>
      </c>
    </row>
    <row r="21" ht="45" customHeight="1">
      <c r="A21" t="inlineStr">
        <is>
          <t>41.90.6G.00.05</t>
        </is>
      </c>
      <c r="B21" s="50" t="inlineStr">
        <is>
          <t>Cuota de inscripción de Joan M. Oleaque Moreno al IV Congreso Internacional "CreadorAS en la Educación Literaria e Intercultural" (CICELI).</t>
        </is>
      </c>
      <c r="C21" s="51" t="n">
        <v>60</v>
      </c>
    </row>
    <row r="22" ht="60" customHeight="1">
      <c r="A22" t="inlineStr">
        <is>
          <t>41.90.6G.00.05</t>
        </is>
      </c>
      <c r="B22" s="50" t="inlineStr">
        <is>
          <t>Inscripción de Elia Saneleuterio Temporal (Dep. Didáctica Llengua i Literatura. Facultat de Magisteri. Av. Tarongers, 4. Universitat de València) al IV Congreso Internacional "CreadorAS en la Educación Literaria e Intercultural" (CICELI).</t>
        </is>
      </c>
      <c r="C22" s="51" t="n">
        <v>100</v>
      </c>
    </row>
    <row r="23" ht="30" customHeight="1">
      <c r="A23" t="inlineStr">
        <is>
          <t>41.90.6G.00.05</t>
        </is>
      </c>
      <c r="B23" s="50" t="inlineStr">
        <is>
          <t>Inscripción de Lis García Arango al IV Congreso Internacional "CreadorAS en la Educación Literaria e Intercultural" (CICELI).</t>
        </is>
      </c>
      <c r="C23" s="51" t="n">
        <v>100</v>
      </c>
    </row>
    <row r="24" ht="30" customHeight="1">
      <c r="A24" t="inlineStr">
        <is>
          <t>41.90.6G.00.05</t>
        </is>
      </c>
      <c r="B24" s="50" t="inlineStr">
        <is>
          <t>Liq_JyC_2024__IV_CICELI_03__IV Congreso Internacional "CreadorAS en la Educación Literaria e Intercultural" (CICELI)</t>
        </is>
      </c>
      <c r="C24" s="51" t="n">
        <v>759.25</v>
      </c>
    </row>
    <row r="25" ht="45" customHeight="1">
      <c r="A25" t="inlineStr">
        <is>
          <t>41.90.6G.00.05</t>
        </is>
      </c>
      <c r="B25" s="50" t="inlineStr">
        <is>
          <t>Cuota de inscripción de Manuel Botero Camacho al IV Congreso Internacional "CreadorAS en la Educación Literaria e Intercultural" (CICELI)</t>
        </is>
      </c>
      <c r="C25" s="51" t="n">
        <v>100</v>
      </c>
    </row>
    <row r="26" ht="30" customHeight="1">
      <c r="A26" t="inlineStr">
        <is>
          <t>41.90.6G.00.05</t>
        </is>
      </c>
      <c r="B26" s="50" t="inlineStr">
        <is>
          <t>Liq_JyC_2024__IV_CICELI_04__IV Congreso Internacional "CreadorAS en la Educación Literaria e Intercultural" (CICELI)</t>
        </is>
      </c>
      <c r="C26" s="51" t="n">
        <v>220</v>
      </c>
    </row>
    <row r="27" ht="45" customHeight="1">
      <c r="A27" t="inlineStr">
        <is>
          <t>41.90.6G.00.05</t>
        </is>
      </c>
      <c r="B27" s="50" t="inlineStr">
        <is>
          <t>Cuota de inscripción de Nuria María Carrillo Martín al IV Congreso Internacional "CreadorAS en la Educación Literaria e Intercultural" (CICELI)</t>
        </is>
      </c>
      <c r="C27" s="51" t="n">
        <v>100</v>
      </c>
    </row>
    <row r="28" ht="45" customHeight="1">
      <c r="A28" t="inlineStr">
        <is>
          <t>41.90.6G.00.05</t>
        </is>
      </c>
      <c r="B28" s="50" t="inlineStr">
        <is>
          <t>Cuota de inscripción de Gema Gómez Rubio al IV Congreso Internacional "CreadorAS en la Educación Literaria e Intercultural" (CICELI)</t>
        </is>
      </c>
      <c r="C28" s="51" t="n">
        <v>100</v>
      </c>
    </row>
    <row r="29" ht="45" customHeight="1">
      <c r="A29" t="inlineStr">
        <is>
          <t>41.90.6G.00.05</t>
        </is>
      </c>
      <c r="B29" s="50" t="inlineStr">
        <is>
          <t>Cuota de inscripción de CRISTINA MARTÍN PUENTE (Dpto. Filología Clásica, UCM) al IV Congreso Internacional "CreadorAS en la Educación Literaria e Intercultural" (CICELI).</t>
        </is>
      </c>
      <c r="C29" s="51" t="n">
        <v>100</v>
      </c>
    </row>
    <row r="30" ht="60" customHeight="1">
      <c r="A30" t="inlineStr">
        <is>
          <t>41.90.6G.00.05</t>
        </is>
      </c>
      <c r="B30" s="50" t="inlineStr">
        <is>
          <t>Cuota de inscripción de MARÍA ARACELI ALONSO CAMPO (Departamento de Didáctica de la Lengua y la Literatura, Universidad de Valladolid), al IV Congreso Internacional "CreadorAS en la Educación Literaria e Intercultural" (CICELI).</t>
        </is>
      </c>
      <c r="C30" s="51" t="n">
        <v>120</v>
      </c>
    </row>
    <row r="31" ht="60" customHeight="1">
      <c r="A31" t="inlineStr">
        <is>
          <t>41.90.6G.00.05</t>
        </is>
      </c>
      <c r="B31" s="50" t="inlineStr">
        <is>
          <t>Cuota de inscripción de MARÍA DEL CARMEN FERNÁNDEZ TIJERO (Dpto. de Didáctica de la Lengua y la Literatura, Universidad de Valladolid) al IV Congreso Internacional "CreadorAS en la Educación Literaria e Intercultural" (CICELI).</t>
        </is>
      </c>
      <c r="C31" s="51" t="n">
        <v>120</v>
      </c>
    </row>
    <row r="32" ht="45" customHeight="1">
      <c r="A32" t="inlineStr">
        <is>
          <t>41.90.6G.00.05</t>
        </is>
      </c>
      <c r="B32" s="50" t="inlineStr">
        <is>
          <t>Cuota de inscripción de MAITE APERRIBAY BERMEJO al IV Congreso Internaciónal "CreadorAS en la Educación Literaria e Intercultural" (CICELI).</t>
        </is>
      </c>
      <c r="C32" s="51" t="n">
        <v>100</v>
      </c>
    </row>
    <row r="33" ht="60" customHeight="1">
      <c r="A33" t="inlineStr">
        <is>
          <t>41.90.6G.00.05</t>
        </is>
      </c>
      <c r="B33" s="50" t="inlineStr">
        <is>
          <t>Cuota de inscripción de MARÍA HENRÍQUEZ BETANCOR (Dpto. de Filología Moderna, Traducción e Interpretación) con motivo del IV Congreso Internacional "CreadorAS en la Educación Literaria e Intercultural" (CICELI).</t>
        </is>
      </c>
      <c r="C33" s="51" t="n">
        <v>100</v>
      </c>
    </row>
    <row r="34" ht="45" customHeight="1">
      <c r="A34" t="inlineStr">
        <is>
          <t>41.90.6G.00.05</t>
        </is>
      </c>
      <c r="B34" s="50" t="inlineStr">
        <is>
          <t>Cuota de inscripción de JOSÉ ÁNGEL BAÑOS SALDAÑA [Proyecto de investigación: JDC2022-049731-I] al IV Congreso Internacional "CreadorAS en la Educación Literaria e Intercultural" (CICELI).</t>
        </is>
      </c>
      <c r="C34" s="51" t="n">
        <v>100</v>
      </c>
    </row>
    <row r="35" ht="60" customHeight="1">
      <c r="A35" t="inlineStr">
        <is>
          <t>41.90.6G.00.05</t>
        </is>
      </c>
      <c r="B35" s="50" t="inlineStr">
        <is>
          <t xml:space="preserve">Cuota de inscripción del IV Congreso Internacional "CreadorAS en la Educación Literaria e Intercultural" (CICELI). Universidad Complutense de Madrid Blanca Fernández Soriano  Plaza Menéndez Pelayo, s/n 28040 Madrid España </t>
        </is>
      </c>
      <c r="C35" s="51" t="n">
        <v>60</v>
      </c>
    </row>
    <row r="36" ht="30" customHeight="1">
      <c r="A36" t="inlineStr">
        <is>
          <t>41.90.6G.00.05</t>
        </is>
      </c>
      <c r="B36" s="50" t="inlineStr">
        <is>
          <t>Liq_JyC_2024__IV_CICELI_05__IV Congreso Internacional "CreadorAS en la Educación Literaria e Intercultural" (CICELI)</t>
        </is>
      </c>
      <c r="C36" s="51" t="n">
        <v>746</v>
      </c>
    </row>
    <row r="37" ht="30" customHeight="1">
      <c r="A37" t="inlineStr">
        <is>
          <t>41.90.6G.00.05</t>
        </is>
      </c>
      <c r="B37" s="50" t="inlineStr">
        <is>
          <t>Liq_JyC_2024__IV_CICELI_06__IV Congreso Internacional "CreadorAS en la Educación Literaria e Intercultural" (CICELI)</t>
        </is>
      </c>
      <c r="C37" s="51" t="n">
        <v>1420</v>
      </c>
    </row>
    <row r="38" ht="30" customHeight="1">
      <c r="A38" t="inlineStr">
        <is>
          <t>41.90.6G.00.05</t>
        </is>
      </c>
      <c r="B38" s="50" t="inlineStr">
        <is>
          <t>Liq_JyC_2024__IV_CICELI_07__IV Congreso Internacional "CreadorAS en la Educación Literaria e Intercultural" (CICELI)</t>
        </is>
      </c>
      <c r="C38" s="51" t="n">
        <v>1470</v>
      </c>
    </row>
    <row r="39" ht="30" customHeight="1">
      <c r="A39" t="inlineStr">
        <is>
          <t>41.90.6G.00.05</t>
        </is>
      </c>
      <c r="B39" s="50" t="inlineStr">
        <is>
          <t>Liq_JyC_2024__IV_CICELI_08__IV Congreso Internacional "CreadorAS en la Educación Literaria e Intercultural" (CICELI)</t>
        </is>
      </c>
      <c r="C39" s="51" t="n">
        <v>1460</v>
      </c>
    </row>
    <row r="40" ht="75" customHeight="1">
      <c r="A40" t="inlineStr">
        <is>
          <t>41.90.6G.00.05</t>
        </is>
      </c>
      <c r="B40" s="50" t="inlineStr">
        <is>
          <t>Cuota de inscripción al IV Congreso Internacional "CreadorAS en la Educación Lilteraria e Intercultural" (CICELI) de: ROCÍO DOMENE BENITO Departament Didáctica de la Llengua i la Literatura Facultat de Magisteri  Universitat de València Av. Tarongers, 4 46022-Valencia</t>
        </is>
      </c>
      <c r="C40" s="51" t="n">
        <v>100</v>
      </c>
    </row>
    <row r="41" ht="60" customHeight="1">
      <c r="A41" t="inlineStr">
        <is>
          <t>41.90.6G.00.05</t>
        </is>
      </c>
      <c r="B41" s="50" t="inlineStr">
        <is>
          <t>Cuota de inscripción de ANTONIA M.ª MORA LUNA (Dpto. de Educación Comparada e Historia de la Educación, Universitat de València) al IV Congreso Internacional "CreadorAS en la Educación Literaria e Intercultural" (CICELI).</t>
        </is>
      </c>
      <c r="C41" s="51" t="n">
        <v>100</v>
      </c>
    </row>
    <row r="42" ht="75" customHeight="1">
      <c r="A42" t="inlineStr">
        <is>
          <t>41.90.6G.00.05</t>
        </is>
      </c>
      <c r="B42" s="50" t="inlineStr">
        <is>
          <t>Cuota de inscripción de ANA MARÍA CHOVER LAFARGA (Dep. Didàctica de la Llengua i la Literatura. Facultat de Magisteri. Universitat de València. Av. Tarongers, 4 [46022-València]) al IV Congreso Internacional "CreadorAS en la Educación Literaria e Intercultural" (CICELI).</t>
        </is>
      </c>
      <c r="C42" s="51" t="n">
        <v>120</v>
      </c>
    </row>
    <row r="43" ht="30" customHeight="1">
      <c r="A43" t="inlineStr">
        <is>
          <t>41.90.6G.00.05</t>
        </is>
      </c>
      <c r="B43" s="50" t="inlineStr">
        <is>
          <t>Liq_JyC_2024__IV_CICELI_11__IV Congreso Internacional "CreadorAS en la Educación Literaria e Intercultural" (CICELI)</t>
        </is>
      </c>
      <c r="C43" s="51" t="n">
        <v>30</v>
      </c>
    </row>
    <row r="44" ht="30" customHeight="1">
      <c r="A44" t="inlineStr">
        <is>
          <t>41.90.6G.00.05</t>
        </is>
      </c>
      <c r="B44" s="50" t="inlineStr">
        <is>
          <t>Liq_JyC_2024__IV_CICELI_11__DEV__IV Congreso Internacional "CreadorAS en la Educación Literaria e Intercultural" (CICELI)</t>
        </is>
      </c>
      <c r="C44" s="51" t="n">
        <v>-30</v>
      </c>
    </row>
    <row r="45" ht="30" customHeight="1">
      <c r="A45" t="inlineStr">
        <is>
          <t>41.90.6G.00.05</t>
        </is>
      </c>
      <c r="B45" s="50" t="inlineStr">
        <is>
          <t>Liq_JyC_2024__IV_CICELI_09__IV Congreso Internacional "CreadorAS en la Educación Literaria e Intercultural" (CICELI)</t>
        </is>
      </c>
      <c r="C45" s="51" t="n">
        <v>1015</v>
      </c>
    </row>
    <row r="46" ht="30" customHeight="1">
      <c r="A46" t="inlineStr">
        <is>
          <t>41.90.6G.00.05</t>
        </is>
      </c>
      <c r="B46" s="50" t="inlineStr">
        <is>
          <t>Liq_JyC_2024__IV_CICELI_10__IV Congreso Internacional "CreadorAS en la Educación Literaria e Intercultural" (CICELI)</t>
        </is>
      </c>
      <c r="C46" s="51" t="n">
        <v>300</v>
      </c>
    </row>
    <row r="47" ht="30" customHeight="1">
      <c r="A47" t="inlineStr">
        <is>
          <t>41.90.6G.00.05</t>
        </is>
      </c>
      <c r="B47" s="50" t="inlineStr">
        <is>
          <t>Liq_JyC_2024__IV_CICELI_12__IV Congreso Internacional "CreadorAS en la Educación Literaria e Intercultural" (CICELI)</t>
        </is>
      </c>
      <c r="C47" s="51" t="n">
        <v>120</v>
      </c>
    </row>
    <row r="48" ht="60" customHeight="1">
      <c r="A48" t="inlineStr">
        <is>
          <t>41.90.6G.00.05</t>
        </is>
      </c>
      <c r="B48" s="50" t="inlineStr">
        <is>
          <t>Cuota de inscripción de María de las Nieves Alberola Crespo [Proyecto de investigación VIU (CIAICO/2022/208)] al IV Congreso Internacional "CreadorAS en la Educación Lilteraria e Intercultural" (CICELI).</t>
        </is>
      </c>
      <c r="C48" s="51" t="n">
        <v>120</v>
      </c>
    </row>
    <row r="49" ht="45" customHeight="1">
      <c r="A49" t="inlineStr">
        <is>
          <t>41.90.6G.00.05</t>
        </is>
      </c>
      <c r="B49" s="50" t="inlineStr">
        <is>
          <t>DEVOLUCIÓN DE INGRESOS_ JyC_2024__IV_CICELI_08__IV Congreso Internacional "CreadorAS en la Educación Literaria e Intercultural" (CICELI)</t>
        </is>
      </c>
      <c r="C49" s="51" t="n">
        <v>-60</v>
      </c>
    </row>
    <row r="50" ht="30" customHeight="1">
      <c r="A50" t="inlineStr">
        <is>
          <t>41.90.6G.00.05</t>
        </is>
      </c>
      <c r="B50" s="50" t="inlineStr">
        <is>
          <t>Liq_JyC_2024__IV_CICELI_14__DEV__IV Congreso Internacional "CreadorAS en la Educación Literaria e Intercultural" (CICELI)</t>
        </is>
      </c>
      <c r="C50" s="51" t="n">
        <v>33</v>
      </c>
    </row>
    <row r="51" ht="45" customHeight="1">
      <c r="A51" t="inlineStr">
        <is>
          <t>41.90.6G.00.05</t>
        </is>
      </c>
      <c r="B51" s="50" t="inlineStr">
        <is>
          <t>DEVOLUCION DE INGRESOS_JyC_2024__IV_CICELI_14__DEV__IV Congreso Internacional "CreadorAS en la Educación Literaria e Intercultural" (CICELI)</t>
        </is>
      </c>
      <c r="C51" s="51" t="n">
        <v>-33</v>
      </c>
    </row>
    <row r="52" ht="30" customHeight="1">
      <c r="A52" t="inlineStr">
        <is>
          <t>41.90.6G.00.05</t>
        </is>
      </c>
      <c r="B52" s="50" t="inlineStr">
        <is>
          <t>Liq_JyC_2024__IV_CICELI_15__DEV__IV Congreso Internacional "CreadorAS en la Educación Literaria e Intercultural" (CICELI)</t>
        </is>
      </c>
      <c r="C52" s="51" t="n">
        <v>33</v>
      </c>
    </row>
    <row r="53" ht="45" customHeight="1">
      <c r="A53" t="inlineStr">
        <is>
          <t>41.90.6G.00.05</t>
        </is>
      </c>
      <c r="B53" s="50" t="inlineStr">
        <is>
          <t>DEVOLUCION DE INGRESOS_JyC_2024__IV_CICELI_15__DEV__IV Congreso Internacional "CreadorAS en la Educación Literaria e Intercultural" (CICELI)</t>
        </is>
      </c>
      <c r="C53" s="51" t="n">
        <v>-33</v>
      </c>
    </row>
    <row r="54" ht="45" customHeight="1">
      <c r="A54" t="inlineStr">
        <is>
          <t>41.90.6G.00.05</t>
        </is>
      </c>
      <c r="B54" s="50" t="inlineStr">
        <is>
          <t>Cuota de inscripción de CLAUDIO MOYANO ARELLANO al IV Congreso Internacional "CreadorAS en la Educación Literaria e Intercultural" (CICELI).</t>
        </is>
      </c>
      <c r="C54" s="51" t="n">
        <v>100</v>
      </c>
    </row>
    <row r="55" ht="60" customHeight="1">
      <c r="A55" t="inlineStr">
        <is>
          <t>41.90.6G.00.05</t>
        </is>
      </c>
      <c r="B55" s="50" t="inlineStr">
        <is>
          <t>Cuota de inscripción de Belén González Morales (Dpto. de Filología Hispánica Clásica y de Estudios Árabes y Orientales) al IV Congreso Internacional "CreadorAS en la Educación Literaria e Intercultural" (CICELI).</t>
        </is>
      </c>
      <c r="C55" s="51" t="n">
        <v>120</v>
      </c>
    </row>
    <row r="56" ht="30" customHeight="1">
      <c r="A56" t="inlineStr">
        <is>
          <t>41.90.6G.00.05</t>
        </is>
      </c>
      <c r="B56" s="50" t="inlineStr">
        <is>
          <t>Liq_JyC_2024__IV_CICELI_16__DEV__IV Congreso Internacional "CreadorAS en la Educación Literaria e Intercultural" (CICELI)</t>
        </is>
      </c>
      <c r="C56" s="51" t="n">
        <v>100</v>
      </c>
    </row>
    <row r="57" ht="45" customHeight="1">
      <c r="A57" t="inlineStr">
        <is>
          <t>41.90.6G.00.05</t>
        </is>
      </c>
      <c r="B57" s="50" t="inlineStr">
        <is>
          <t>DEVOLUCIÓN DE INGRESOS_JyC_2024__IV_CICELI_16__DEV__IV Congreso Internacional "CreadorAS en la Educación Literaria e Intercultural" (CICELI)</t>
        </is>
      </c>
      <c r="C57" s="51" t="n">
        <v>-100</v>
      </c>
    </row>
    <row r="58" ht="45" customHeight="1">
      <c r="A58" t="inlineStr">
        <is>
          <t>41.90.6G.00.05</t>
        </is>
      </c>
      <c r="B58" s="50" t="inlineStr">
        <is>
          <t>DEVOLUCIÓN DE INGRESOS_JyC_2024__IV_CICELI_03__IV Congreso Internacional "CreadorAS en la Educación Literaria e Intercultural" (CICELI)</t>
        </is>
      </c>
      <c r="C58" s="51" t="n">
        <v>-33</v>
      </c>
    </row>
    <row r="59" ht="30" customHeight="1">
      <c r="A59" t="inlineStr">
        <is>
          <t>41.90.6G.00.05</t>
        </is>
      </c>
      <c r="B59" s="50" t="inlineStr">
        <is>
          <t>Liq_JyC_2024__IV_CICELI_18__IV Congreso Internacional "CreadorAS en la Educación Literaria e Intercultural" (CICELI)</t>
        </is>
      </c>
      <c r="C59" s="51" t="n">
        <v>246.52</v>
      </c>
    </row>
    <row r="60" ht="30" customHeight="1">
      <c r="A60" t="inlineStr">
        <is>
          <t>41.90.6G.00.05</t>
        </is>
      </c>
      <c r="B60" s="50" t="inlineStr">
        <is>
          <t>Liq_JyC_2024__IV_CICELI_19__IV Congreso Internacional "CreadorAS en la Educación Literaria e Intercultural" (CICELI)</t>
        </is>
      </c>
      <c r="C60" s="51" t="n">
        <v>454.02</v>
      </c>
    </row>
    <row r="61" ht="30" customHeight="1">
      <c r="A61" t="inlineStr">
        <is>
          <t>41.90.6G.00.05</t>
        </is>
      </c>
      <c r="B61" s="50" t="inlineStr">
        <is>
          <t>Liq_JyC_2024__IV_CICELI_20__IV Congreso Internacional "CreadorAS en la Educación Literaria e Intercultural" (CICELI)</t>
        </is>
      </c>
      <c r="C61" s="51" t="n">
        <v>1398.8</v>
      </c>
    </row>
    <row r="62" ht="45" customHeight="1">
      <c r="A62" t="inlineStr">
        <is>
          <t>41.90.6G.00.06</t>
        </is>
      </c>
      <c r="B62" s="50" t="inlineStr">
        <is>
          <t xml:space="preserve">Liq_JyC_2024__VINCULOS_01__Congreso Internacional. Vínculos transnacionales, vínculos intergeneracionales. Mujeres y feminismos contemporáneos. </t>
        </is>
      </c>
      <c r="C62" s="51" t="n">
        <v>620</v>
      </c>
    </row>
    <row r="63" ht="45" customHeight="1">
      <c r="A63" t="inlineStr">
        <is>
          <t>41.90.6G.00.06</t>
        </is>
      </c>
      <c r="B63" s="50" t="inlineStr">
        <is>
          <t>Liq_JyC_2024__VINCULOS_02__Congreso Internacional. Vínculos transnacionales, vínculos intergeneracionales. Mujeres y feminismos contemporáneos.</t>
        </is>
      </c>
      <c r="C63" s="51" t="n">
        <v>270</v>
      </c>
    </row>
    <row r="64" ht="45" customHeight="1">
      <c r="A64" t="inlineStr">
        <is>
          <t>41.90.6G.00.06</t>
        </is>
      </c>
      <c r="B64" s="50" t="inlineStr">
        <is>
          <t xml:space="preserve">DEVOLUCIÓN DE INGRESOS_JyC_2024__VINCULOS_01__Congreso Internacional. Vínculos transnacionales, vínculos intergeneracionales. Mujeres y feminismos contemporáneos. </t>
        </is>
      </c>
      <c r="C64" s="51" t="n">
        <v>-50</v>
      </c>
    </row>
    <row r="65" ht="45" customHeight="1">
      <c r="A65" t="inlineStr">
        <is>
          <t>41.90.6G.00.06</t>
        </is>
      </c>
      <c r="B65" s="50" t="inlineStr">
        <is>
          <t>Inscripción de Isabel Benavent Montoro al Congreso Internacional "Vínculos transnacionales, vínculos intergeneracionales: mujeres y feminismos contemporáneos".</t>
        </is>
      </c>
      <c r="C65" s="51" t="n">
        <v>50</v>
      </c>
    </row>
    <row r="66" ht="45" customHeight="1">
      <c r="A66" t="inlineStr">
        <is>
          <t>41.90.6G.00.06</t>
        </is>
      </c>
      <c r="B66" s="50" t="inlineStr">
        <is>
          <t>Liq_JyC_2024__VINCULOS_05__Congreso Internacional. Vínculos transnacionales, vínculos intergeneracionales. Mujeres y feminismos contemporáneos.</t>
        </is>
      </c>
      <c r="C66" s="51" t="n">
        <v>38</v>
      </c>
    </row>
    <row r="67" ht="30" customHeight="1">
      <c r="A67" t="inlineStr">
        <is>
          <t>41.90.6G.00.07</t>
        </is>
      </c>
      <c r="B67" s="50" t="inlineStr">
        <is>
          <t>Liq_JyC_2024__Voces_Papel_01__COLOQUIO INTERNACIONAL. VOCES DE PAPEL: MUJERES Y PRENSA (SIGLOS XIX-XX)</t>
        </is>
      </c>
      <c r="C67" s="51" t="n">
        <v>60</v>
      </c>
    </row>
    <row r="68" ht="30" customHeight="1">
      <c r="A68" t="inlineStr">
        <is>
          <t>41.90.6P.00.13</t>
        </is>
      </c>
      <c r="B68" s="50" t="inlineStr">
        <is>
          <t>DEVOLUCIÓN DE INGRESO_ CARTA DE PAGO_ REFERENCIA: PID2020-118574GB-I00, ANUALIDAD: 2021</t>
        </is>
      </c>
      <c r="C68" s="51" t="n">
        <v>-2150.53</v>
      </c>
    </row>
    <row r="69" ht="30" customHeight="1">
      <c r="A69" t="inlineStr">
        <is>
          <t>41.90.6P.00.14</t>
        </is>
      </c>
      <c r="B69" s="50" t="inlineStr">
        <is>
          <t>DEVOLUCIÓN DE INGRESO_MODELO 047_SUBVENCIÓN AICO  ANUALIDAD_2023</t>
        </is>
      </c>
      <c r="C69" s="51" t="n">
        <v>-0.05</v>
      </c>
    </row>
    <row r="70" ht="60" customHeight="1">
      <c r="A70" t="inlineStr">
        <is>
          <t>41.90.6P.00.16</t>
        </is>
      </c>
      <c r="B70" s="50" t="inlineStr">
        <is>
          <t>ayudas CIGE/2022/4, CIGE/2022/6, CIGE/2022/8, CIGE/2022/15, CIGE/2022/16, CIGE/2022/21, CIGE/2022/30, CIGE/2022/45, CIGE/2022/46, CIGE/2022/51, CIGE/2022/52, CIGE/2022/54, CIGE/2022/55, CIGE/2022/105, CIGE/2022/170, CIGE/2022/179</t>
        </is>
      </c>
      <c r="C70" s="51" t="n">
        <v>10000</v>
      </c>
    </row>
    <row r="71" ht="45" customHeight="1">
      <c r="A71" t="inlineStr">
        <is>
          <t>41.90.6P.00.16</t>
        </is>
      </c>
      <c r="B71" s="50" t="inlineStr">
        <is>
          <t>DEVOLUCIÓN DE INGRESOS_ MODELO 047_ Nº DE LIQUIDACIÓN: 46/2024/RAS/10325/1 Nº DE JUSTIFICANTE: 047/1/002551836_Nº DE REFERENCIA: 047/1/002551836</t>
        </is>
      </c>
      <c r="C71" s="51" t="n">
        <v>-2912.2</v>
      </c>
    </row>
    <row r="72" ht="75" customHeight="1">
      <c r="A72" t="inlineStr">
        <is>
          <t>41.90.6P.00.17</t>
        </is>
      </c>
      <c r="B72" s="50" t="inlineStr">
        <is>
          <t xml:space="preserve">AYUDAS CIAICO/2022/017, CIAICO/2022/019, CIAICO/2022/038, CIAICO/2022/046, CIAICO/2022/047, CIAICO/2022/049, CIAICO/2022/077, CIAICO/2022/078, CIAICO/2022/079, CIAICO/2022/112, CIAICO/2022/132 CIAICO/2022/167 CIAICO/2022/177 </t>
        </is>
      </c>
      <c r="C72" s="51" t="n">
        <v>24450</v>
      </c>
    </row>
    <row r="73" ht="30" customHeight="1">
      <c r="A73" t="inlineStr">
        <is>
          <t>41.90.6P.00.17</t>
        </is>
      </c>
      <c r="B73" s="50" t="inlineStr">
        <is>
          <t>DEVOLUCIÓN DE INGRESOS_MODELO 047_ REFERENCIA: CIACO 2022 EN 2023.</t>
        </is>
      </c>
      <c r="C73" s="51" t="n">
        <v>-12000</v>
      </c>
    </row>
    <row r="74" ht="45" customHeight="1">
      <c r="A74" t="inlineStr">
        <is>
          <t>41.90.6P.00.18</t>
        </is>
      </c>
      <c r="B74" s="50" t="inlineStr">
        <is>
          <t>PID2022-138111NB-I00-141543OB-I00-137350NB-I00-138491OB-C32-137364OB-I00-138329NB-I00-142830NB-I00-138453OB-I00-138696OB-C22-138853NB-I00-142712NB-I00</t>
        </is>
      </c>
      <c r="C74" s="51" t="n">
        <v>7619.6</v>
      </c>
    </row>
    <row r="75" ht="45" customHeight="1">
      <c r="A75" t="inlineStr">
        <is>
          <t>41.90.6P.00.19</t>
        </is>
      </c>
      <c r="B75" s="50" t="inlineStr">
        <is>
          <t>PID2022-138111NB-I00-141543OB-I00-137350NB-I00-138491OB-C32-137364OB-I00-138329NB-I00-142830NB-I00-138453OB-I00-138696OB-C22-138853NB-I00-142712NB-I00</t>
        </is>
      </c>
      <c r="C75" s="51" t="n">
        <v>13132.5</v>
      </c>
    </row>
    <row r="76" ht="105" customHeight="1">
      <c r="A76" t="inlineStr">
        <is>
          <t>41.90.6P.00.22</t>
        </is>
      </c>
      <c r="B76" s="50" t="inlineStr">
        <is>
          <t>ayudas CIAORG/2023/2, CIAORG/2023/4, CIAORG/2023/11, CIAORG/2023/15, CIAORG/2023/28, CIAORG/2023/40, CIAORG/2023/43, CIAORG/2023/54, CIAORG/2023/62, CIAORG/2023/65, CIAORG/2023/73, CIAORG/2023/91, CIAORG/2023/152, CIAORG/2023/154, CIAORG/2023/169, CIAORG/2023/170, CIAORG/2023/178 (LINEA DE SUBVENCIÓN S0296)</t>
        </is>
      </c>
      <c r="C76" s="51" t="n">
        <v>9000</v>
      </c>
    </row>
    <row r="77" ht="105" customHeight="1">
      <c r="A77" t="inlineStr">
        <is>
          <t>41.90.6P.00.23</t>
        </is>
      </c>
      <c r="B77" s="50" t="inlineStr">
        <is>
          <t>AYUDAS PID2023-146660OB-I00, PID2023-148259NB-I00, PID2023-148881OB-I00, PID2023-149456NB-I00, PID2023-149624NB-I00, PID2023-149643NB-I00, PID2023-149994NB-I00, PID2023-150750NB-I00, PID2023-150795NB-C22,PID2023-151958NB-I00, PID2023-151982NB-I00, PID2023-152305NB-I00, PID2023-152358NA-I00, PID2023-152372NB-I00, PID2023-152734NB-I00, PID2023-152869OB-C21, PID2023-153032NB-I00</t>
        </is>
      </c>
      <c r="C77" s="51" t="n">
        <v>29280</v>
      </c>
    </row>
    <row r="78" ht="150" customHeight="1">
      <c r="A78" t="inlineStr">
        <is>
          <t>41.90.6P.00.23</t>
        </is>
      </c>
      <c r="B78" s="50"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78" s="51" t="n">
        <v>14796.16</v>
      </c>
    </row>
    <row r="79">
      <c r="A79" t="inlineStr">
        <is>
          <t>Total</t>
        </is>
      </c>
      <c r="B79" s="50" t="n"/>
      <c r="C79" s="17">
        <f>SUBTOTAL(109,Tabla3[Imp.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H20" sqref="H20"/>
    </sheetView>
  </sheetViews>
  <sheetFormatPr baseColWidth="10" defaultRowHeight="15"/>
  <cols>
    <col width="17.5703125" customWidth="1" min="1" max="1"/>
    <col width="45.140625" customWidth="1" min="2" max="2"/>
    <col width="21.42578125" customWidth="1" min="3" max="3"/>
  </cols>
  <sheetData>
    <row r="1">
      <c r="A1" s="71" t="inlineStr">
        <is>
          <t>Org. aplic.</t>
        </is>
      </c>
      <c r="B1" s="72" t="inlineStr">
        <is>
          <t>Descripción justificante</t>
        </is>
      </c>
      <c r="C1" s="72" t="inlineStr">
        <is>
          <t>Imp. aplic.</t>
        </is>
      </c>
    </row>
    <row r="2">
      <c r="A2" s="73" t="inlineStr">
        <is>
          <t>41.90.6C.00.09</t>
        </is>
      </c>
      <c r="B2" s="74" t="inlineStr">
        <is>
          <t>Participación en el comité de personas expertas en un investigación sobre violencia digital en mujeres jóvenes.</t>
        </is>
      </c>
      <c r="C2" s="75" t="n">
        <v>220</v>
      </c>
    </row>
    <row r="3">
      <c r="A3" s="76" t="inlineStr">
        <is>
          <t>41.90.6P.00.12</t>
        </is>
      </c>
      <c r="B3" s="77" t="inlineStr">
        <is>
          <t>DEVOLUCIÓN DE INGRESOS_CARTA DE PAGO_REFERENCIA: PID2020-113343GB-I00, ANUALIDAD: 2021</t>
        </is>
      </c>
      <c r="C3" s="78" t="n">
        <v>-72.51000000000001</v>
      </c>
    </row>
    <row r="4">
      <c r="A4" s="73" t="inlineStr">
        <is>
          <t>41.90.6P.00.16</t>
        </is>
      </c>
      <c r="B4" s="74" t="inlineStr">
        <is>
          <t>DEVOLUCIÓN DE INGRESOS_MODELO 047_CIGE 2022</t>
        </is>
      </c>
      <c r="C4" s="75" t="n">
        <v>-3282.1</v>
      </c>
    </row>
    <row r="5">
      <c r="A5" s="76" t="inlineStr">
        <is>
          <t>41.90.6P.00.17</t>
        </is>
      </c>
      <c r="B5" s="77" t="inlineStr">
        <is>
          <t>Ayudas CIAICO/2022/017, CIAICO/2022/019, CIAICO/2022/038, CIAICO/2022/046, CIAICO/2022/047, CIAICO/2022/049, CIAICO/2022/077, CIAICO/2022/078,CIAICO/2022/079, CIAICO/2022/112, CIAICO/2022/132, CIAICO/2022/167, ,CIAICO/2022/177</t>
        </is>
      </c>
      <c r="C5" s="78" t="n">
        <v>23000</v>
      </c>
    </row>
    <row r="6">
      <c r="A6" s="73" t="inlineStr">
        <is>
          <t>41.90.6P.00.17</t>
        </is>
      </c>
      <c r="B6" s="74" t="inlineStr">
        <is>
          <t xml:space="preserve">Minoración AYUDAS CIAICO/2022/017, CIAICO/2022/019,  CIAICO/2022/046, CIAICO/2022/047,  CIAICO/2022/077, CIAICO/2022/078, CIAICO/2022/079, CIAICO/2022/112, CIAICO/2022/132 CIAICO/2022/167 CIAICO/2022/177 </t>
        </is>
      </c>
      <c r="C6" s="75" t="n">
        <v>-433.85</v>
      </c>
    </row>
    <row r="7">
      <c r="A7" s="76" t="inlineStr">
        <is>
          <t>41.90.6P.00.18</t>
        </is>
      </c>
      <c r="B7" s="77"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7" s="78" t="n">
        <v>4695.8</v>
      </c>
    </row>
    <row r="8">
      <c r="A8" s="73" t="inlineStr">
        <is>
          <t>41.90.6P.00.19</t>
        </is>
      </c>
      <c r="B8" s="74"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8" s="75" t="n">
        <v>9064</v>
      </c>
    </row>
    <row r="9">
      <c r="A9" s="76" t="inlineStr">
        <is>
          <t>41.90.6P.00.22</t>
        </is>
      </c>
      <c r="B9" s="77" t="inlineStr">
        <is>
          <t>Minoración ayudas CIAORG/2023/2,  CIAORG/2023/11, CIAORG/2023/15, CIAORG/2023/28, CIAORG/2023/40, CIAORG/2023/43, CIAORG/2023/54, CIAORG/2023/62, CIAORG/2023/65, CIAORG/2023/73, CIAORG/2023/91, CIAORG/2023/152, CIAORG/2023/154,  CIAORG/2023/170, CIAORG/2023/178 (LINEA DE SUBVENCIÓN S0296)</t>
        </is>
      </c>
      <c r="C9" s="78" t="n">
        <v>-230.74</v>
      </c>
    </row>
    <row r="10">
      <c r="A10" s="73" t="inlineStr">
        <is>
          <t>41.90.6P.00.23</t>
        </is>
      </c>
      <c r="B10" s="74"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10" s="75" t="n">
        <v>2576.64</v>
      </c>
    </row>
    <row r="11">
      <c r="A11" s="76" t="inlineStr">
        <is>
          <t>41.90.6P.00.25</t>
        </is>
      </c>
      <c r="B11" s="77"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11" s="78" t="n">
        <v>46080</v>
      </c>
    </row>
    <row r="12">
      <c r="A12" s="73" t="inlineStr">
        <is>
          <t>41.90.6P.00.25</t>
        </is>
      </c>
      <c r="B12" s="74"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12" s="75" t="n">
        <v>26112</v>
      </c>
    </row>
    <row r="13" ht="15.75" customHeight="1" thickBot="1">
      <c r="A13" s="76" t="inlineStr">
        <is>
          <t>41.90.6X.00.01</t>
        </is>
      </c>
      <c r="B13" s="77" t="inlineStr">
        <is>
          <t>PROYECTO : Gender-Sensitive Teacher Training in STEAM Education - PROGRAMA: ERASMUS+ - REF. PROYECTO: 101196677</t>
        </is>
      </c>
      <c r="C13" s="78" t="n">
        <v>60193.92</v>
      </c>
    </row>
    <row r="14" ht="15.75" customHeight="1" thickTop="1">
      <c r="A14" s="79" t="inlineStr">
        <is>
          <t>Total</t>
        </is>
      </c>
      <c r="B14" s="80" t="n"/>
      <c r="C14" s="81" t="n">
        <v>167923.16</v>
      </c>
    </row>
    <row r="17">
      <c r="B17" s="57" t="inlineStr">
        <is>
          <t>Total ingresos investigación 2023-25</t>
        </is>
      </c>
      <c r="C17" s="58">
        <f>+Tabla3[[#Totals],[Imp. aplic.]]+Tabla2[[#Totals],[Imp.cob.aplic.]]+C14</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9"/>
  <sheetViews>
    <sheetView workbookViewId="0">
      <selection activeCell="B17" sqref="B17"/>
    </sheetView>
  </sheetViews>
  <sheetFormatPr baseColWidth="10" defaultRowHeight="15"/>
  <cols>
    <col width="16.28515625" customWidth="1" min="1" max="1"/>
    <col width="71.85546875" customWidth="1" min="2" max="2"/>
    <col width="14.85546875" customWidth="1" min="3" max="3"/>
  </cols>
  <sheetData>
    <row r="1">
      <c r="A1" s="52" t="inlineStr">
        <is>
          <t>Cód. org. aplic.</t>
        </is>
      </c>
      <c r="B1" s="52" t="inlineStr">
        <is>
          <t>Descripción justificante</t>
        </is>
      </c>
      <c r="C1" s="52" t="inlineStr">
        <is>
          <t>Imp.cob.aplic.</t>
        </is>
      </c>
    </row>
    <row r="2">
      <c r="A2" s="53" t="inlineStr">
        <is>
          <t>41.90.2T.00.02</t>
        </is>
      </c>
      <c r="B2" s="53" t="inlineStr">
        <is>
          <t xml:space="preserve">Plan_9397 Curso_2023-24 Emitido_2023-24 - EXPERTO/A EN VIOLENCIA DE GÉNERO: UN ENFOQUE INTERDISCIPLINAR </t>
        </is>
      </c>
      <c r="C2" s="93" t="n">
        <v>6464.07</v>
      </c>
    </row>
    <row r="3">
      <c r="A3" s="55" t="inlineStr">
        <is>
          <t>Total</t>
        </is>
      </c>
      <c r="B3" s="55" t="n"/>
      <c r="C3" s="94">
        <f>SUBTOTAL(109,Tabla5[Imp.cob.aplic.])</f>
        <v/>
      </c>
    </row>
    <row r="4">
      <c r="C4" s="95" t="n"/>
    </row>
    <row r="7">
      <c r="B7" s="59" t="inlineStr">
        <is>
          <t>Total ingresos formación 2023-25</t>
        </is>
      </c>
      <c r="C7" s="60">
        <f>+Tabla5[[#Totals],[Imp.cob.aplic.]]</f>
        <v/>
      </c>
    </row>
    <row r="9">
      <c r="B9" s="62" t="inlineStr">
        <is>
          <t>Sin ingresos por formación en 2024 y 2025</t>
        </is>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dqfis@ua.es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2026-05-28T21:59:20Z</dcterms:modified>
  <cp:lastModifiedBy>mayte.pujalte</cp:lastModifiedBy>
  <cp:lastPrinted>2019-07-03T07:26:29Z</cp:lastPrinted>
</cp:coreProperties>
</file>