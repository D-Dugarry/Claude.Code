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835" firstSheet="0" activeTab="4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Correo" sheetId="6" state="veryHidden" r:id="rId6"/>
  </sheets>
  <definedNames>
    <definedName name="_xlnm._FilterDatabase" localSheetId="0" hidden="1">'Tesis'!$A$1:$U$1</definedName>
    <definedName name="_xlnm.Print_Titles" localSheetId="0">'Tesis'!$1:$1,'Tesis'!$D:$D</definedName>
    <definedName name="_xlnm.Print_Titles" localSheetId="1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"/>
    <numFmt numFmtId="166" formatCode="_-* #,##0.00_-;\-* #,##0.00_-;_-* &quot;-&quot;??_-;_-@_-"/>
    <numFmt numFmtId="167" formatCode="_-* #,##0.00\ _€_-;\-* #,##0.00\ _€_-;_-* &quot;-&quot;??\ _€_-;_-@_-"/>
  </numFmts>
  <fonts count="14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b val="1"/>
      <color theme="1"/>
      <sz val="10"/>
    </font>
    <font>
      <name val="Calibri"/>
      <family val="2"/>
      <b val="1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theme="9" tint="0.799981688894314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7">
    <xf numFmtId="0" fontId="1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7" fontId="10" fillId="0" borderId="0"/>
  </cellStyleXfs>
  <cellXfs count="67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pivotButton="0" quotePrefix="0" xfId="1"/>
    <xf numFmtId="0" fontId="2" fillId="4" borderId="1" applyAlignment="1" pivotButton="0" quotePrefix="0" xfId="1">
      <alignment horizontal="right"/>
    </xf>
    <xf numFmtId="0" fontId="2" fillId="4" borderId="2" pivotButton="0" quotePrefix="0" xfId="1"/>
    <xf numFmtId="0" fontId="2" fillId="4" borderId="2" applyAlignment="1" pivotButton="0" quotePrefix="0" xfId="1">
      <alignment horizontal="right"/>
    </xf>
    <xf numFmtId="1" fontId="2" fillId="4" borderId="2" pivotButton="0" quotePrefix="0" xfId="1"/>
    <xf numFmtId="164" fontId="2" fillId="4" borderId="2" pivotButton="0" quotePrefix="0" xfId="1"/>
    <xf numFmtId="0" fontId="2" fillId="0" borderId="1" pivotButton="0" quotePrefix="0" xfId="1"/>
    <xf numFmtId="0" fontId="2" fillId="4" borderId="3" pivotButton="0" quotePrefix="0" xfId="1"/>
    <xf numFmtId="165" fontId="2" fillId="4" borderId="2" pivotButton="0" quotePrefix="0" xfId="1"/>
    <xf numFmtId="0" fontId="2" fillId="0" borderId="1" pivotButton="0" quotePrefix="0" xfId="0"/>
    <xf numFmtId="0" fontId="2" fillId="2" borderId="0" pivotButton="0" quotePrefix="0" xfId="1"/>
    <xf numFmtId="0" fontId="2" fillId="2" borderId="0" applyAlignment="1" pivotButton="0" quotePrefix="0" xfId="1">
      <alignment horizontal="right"/>
    </xf>
    <xf numFmtId="0" fontId="9" fillId="7" borderId="4" pivotButton="0" quotePrefix="0" xfId="0"/>
    <xf numFmtId="166" fontId="6" fillId="7" borderId="4" pivotButton="0" quotePrefix="0" xfId="6"/>
    <xf numFmtId="0" fontId="9" fillId="0" borderId="4" pivotButton="0" quotePrefix="0" xfId="0"/>
    <xf numFmtId="166" fontId="6" fillId="0" borderId="4" pivotButton="0" quotePrefix="0" xfId="6"/>
    <xf numFmtId="166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8" borderId="0" pivotButton="0" quotePrefix="0" xfId="0"/>
    <xf numFmtId="0" fontId="0" fillId="8" borderId="0" applyAlignment="1" pivotButton="0" quotePrefix="0" xfId="0">
      <alignment horizontal="left"/>
    </xf>
    <xf numFmtId="0" fontId="13" fillId="8" borderId="0" pivotButton="0" quotePrefix="0" xfId="0"/>
    <xf numFmtId="164" fontId="3" fillId="2" borderId="0" pivotButton="0" quotePrefix="0" xfId="1"/>
    <xf numFmtId="0" fontId="11" fillId="6" borderId="5" pivotButton="0" quotePrefix="0" xfId="0"/>
    <xf numFmtId="0" fontId="9" fillId="7" borderId="6" pivotButton="0" quotePrefix="0" xfId="0"/>
    <xf numFmtId="166" fontId="6" fillId="7" borderId="6" pivotButton="0" quotePrefix="0" xfId="6"/>
    <xf numFmtId="0" fontId="9" fillId="9" borderId="6" pivotButton="0" quotePrefix="0" xfId="0"/>
    <xf numFmtId="166" fontId="6" fillId="9" borderId="6" pivotButton="0" quotePrefix="0" xfId="0"/>
    <xf numFmtId="0" fontId="0" fillId="10" borderId="0" pivotButton="0" quotePrefix="0" xfId="0"/>
    <xf numFmtId="0" fontId="13" fillId="0" borderId="1" pivotButton="0" quotePrefix="0" xfId="0"/>
    <xf numFmtId="167" fontId="13" fillId="0" borderId="1" pivotButton="0" quotePrefix="0" xfId="6"/>
    <xf numFmtId="0" fontId="11" fillId="11" borderId="7" pivotButton="0" quotePrefix="0" xfId="0"/>
    <xf numFmtId="0" fontId="11" fillId="11" borderId="8" pivotButton="0" quotePrefix="0" xfId="0"/>
    <xf numFmtId="0" fontId="9" fillId="12" borderId="7" pivotButton="0" quotePrefix="0" xfId="0"/>
    <xf numFmtId="0" fontId="9" fillId="12" borderId="8" pivotButton="0" quotePrefix="0" xfId="0"/>
    <xf numFmtId="167" fontId="9" fillId="12" borderId="8" pivotButton="0" quotePrefix="0" xfId="6"/>
    <xf numFmtId="0" fontId="12" fillId="0" borderId="9" pivotButton="0" quotePrefix="0" xfId="0"/>
    <xf numFmtId="0" fontId="12" fillId="0" borderId="10" pivotButton="0" quotePrefix="0" xfId="0"/>
    <xf numFmtId="167" fontId="12" fillId="0" borderId="10" pivotButton="0" quotePrefix="0" xfId="6"/>
    <xf numFmtId="165" fontId="2" fillId="4" borderId="2" pivotButton="0" quotePrefix="0" xfId="1"/>
    <xf numFmtId="164" fontId="2" fillId="4" borderId="2" pivotButton="0" quotePrefix="0" xfId="1"/>
    <xf numFmtId="164" fontId="3" fillId="2" borderId="0" pivotButton="0" quotePrefix="0" xfId="1"/>
    <xf numFmtId="166" fontId="6" fillId="7" borderId="4" pivotButton="0" quotePrefix="0" xfId="6"/>
    <xf numFmtId="166" fontId="6" fillId="0" borderId="4" pivotButton="0" quotePrefix="0" xfId="6"/>
    <xf numFmtId="166" fontId="6" fillId="7" borderId="6" pivotButton="0" quotePrefix="0" xfId="6"/>
    <xf numFmtId="166" fontId="6" fillId="9" borderId="6" pivotButton="0" quotePrefix="0" xfId="0"/>
    <xf numFmtId="166" fontId="0" fillId="0" borderId="0" pivotButton="0" quotePrefix="0" xfId="0"/>
    <xf numFmtId="167" fontId="9" fillId="12" borderId="8" pivotButton="0" quotePrefix="0" xfId="6"/>
    <xf numFmtId="167" fontId="12" fillId="0" borderId="10" pivotButton="0" quotePrefix="0" xfId="6"/>
    <xf numFmtId="167" fontId="13" fillId="0" borderId="1" pivotButton="0" quotePrefix="0" xfId="6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11"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a2" displayName="Tabla2" ref="A1:C9" headerRowCount="1" totalsRowCount="1" headerRowDxfId="10" totalsRowDxfId="7" headerRowBorderDxfId="9" tableBorderDxfId="8" totalsRowBorderDxfId="6">
  <autoFilter ref="A1:C8"/>
  <tableColumns count="3">
    <tableColumn id="1" name="Cód. org. aplic." totalsRowLabel="Total" dataDxfId="5" totalsRowDxfId="4"/>
    <tableColumn id="2" name="Descripción justificante" dataDxfId="3" totalsRowDxfId="2"/>
    <tableColumn id="3" name="Imp.cob.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3" sqref="D23"/>
    </sheetView>
  </sheetViews>
  <sheetFormatPr baseColWidth="10" defaultColWidth="10.33203125" defaultRowHeight="10.2"/>
  <cols>
    <col width="5" customWidth="1" style="6" min="1" max="1"/>
    <col width="29.6640625" customWidth="1" style="6" min="2" max="4"/>
    <col width="40.6640625" customWidth="1" style="6" min="5" max="5"/>
    <col width="9.109375" customWidth="1" style="6" min="6" max="6"/>
    <col width="9.6640625" customWidth="1" style="6" min="7" max="7"/>
    <col width="14.44140625" customWidth="1" style="6" min="8" max="8"/>
    <col width="5.88671875" customWidth="1" style="6" min="9" max="9"/>
    <col width="25.6640625" customWidth="1" style="6" min="10" max="10"/>
    <col width="5.109375" customWidth="1" style="6" min="11" max="12"/>
    <col width="4.44140625" customWidth="1" style="6" min="13" max="13"/>
    <col width="4.88671875" customWidth="1" style="6" min="14" max="14"/>
    <col width="4.88671875" customWidth="1" style="7" min="15" max="15"/>
    <col width="4.88671875" customWidth="1" style="6" min="16" max="16"/>
    <col width="3.5546875" customWidth="1" style="7" min="17" max="17"/>
    <col width="3.5546875" customWidth="1" style="6" min="18" max="18"/>
    <col width="5.109375" customWidth="1" style="6" min="19" max="21"/>
    <col width="10.33203125" customWidth="1" style="6" min="22" max="16384"/>
  </cols>
  <sheetData>
    <row r="1" ht="40.8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20" t="inlineStr">
        <is>
          <t xml:space="preserve">U036 </t>
        </is>
      </c>
      <c r="B2" s="20" t="inlineStr">
        <is>
          <t xml:space="preserve">ADM. FACULTAD DE CIENCIAS ECONÓMICAS </t>
        </is>
      </c>
      <c r="C2" s="20" t="inlineStr">
        <is>
          <t xml:space="preserve">DOCTORADO EN EMPRESA, ECONOMÍA Y SOCIEDAD </t>
        </is>
      </c>
      <c r="D2" s="20" t="inlineStr">
        <is>
          <t xml:space="preserve">Alaminos Fernández, Antonio Francisco </t>
        </is>
      </c>
      <c r="E2" s="20" t="inlineStr">
        <is>
          <t xml:space="preserve">La realidad aumentada. Música y comunicación en la sociedad de consumo </t>
        </is>
      </c>
      <c r="F2" s="20" t="inlineStr">
        <is>
          <t xml:space="preserve">20/12/2019 </t>
        </is>
      </c>
      <c r="G2" s="20" t="inlineStr">
        <is>
          <t xml:space="preserve">21506571F </t>
        </is>
      </c>
      <c r="H2" s="20" t="inlineStr">
        <is>
          <t xml:space="preserve">Director de tesis </t>
        </is>
      </c>
      <c r="I2" s="20" t="inlineStr">
        <is>
          <t xml:space="preserve">B176 </t>
        </is>
      </c>
      <c r="J2" s="20" t="inlineStr">
        <is>
          <t xml:space="preserve">SOCIOLOGÍA II </t>
        </is>
      </c>
      <c r="K2" s="56" t="n">
        <v>1</v>
      </c>
      <c r="L2" s="20" t="inlineStr">
        <is>
          <t>B176</t>
        </is>
      </c>
      <c r="M2" s="20" t="n">
        <v>2019</v>
      </c>
      <c r="N2" s="20" t="inlineStr">
        <is>
          <t>10.22</t>
        </is>
      </c>
      <c r="O2" s="21" t="inlineStr">
        <is>
          <t>10</t>
        </is>
      </c>
      <c r="P2" s="20" t="inlineStr"/>
      <c r="Q2" s="21" t="inlineStr"/>
      <c r="R2" s="22" t="n">
        <v>90</v>
      </c>
      <c r="S2" s="57" t="n">
        <v>0.9</v>
      </c>
      <c r="T2" s="57" t="n">
        <v>0.1</v>
      </c>
      <c r="U2" s="57" t="n">
        <v>0</v>
      </c>
    </row>
    <row r="3">
      <c r="A3" s="18" t="inlineStr">
        <is>
          <t xml:space="preserve">U036 </t>
        </is>
      </c>
      <c r="B3" s="18" t="inlineStr">
        <is>
          <t xml:space="preserve">ADM. FACULTAD DE CIENCIAS ECONÓMICAS </t>
        </is>
      </c>
      <c r="C3" s="18" t="inlineStr">
        <is>
          <t xml:space="preserve">DOCTORADO EN EMPRESA, ECONOMÍA Y SOCIEDAD </t>
        </is>
      </c>
      <c r="D3" s="18" t="inlineStr">
        <is>
          <t xml:space="preserve">Samaniego Dumas, Diego Oswaldo </t>
        </is>
      </c>
      <c r="E3" s="18" t="inlineStr">
        <is>
          <t xml:space="preserve">Análisis del discurso de Rafael Correa en relación al movimiento indígena ecuatoriano: Elucidación del racismo y la discriminación </t>
        </is>
      </c>
      <c r="F3" s="18" t="inlineStr">
        <is>
          <t xml:space="preserve">20/11/2020 </t>
        </is>
      </c>
      <c r="G3" s="18" t="inlineStr">
        <is>
          <t xml:space="preserve">21474040K </t>
        </is>
      </c>
      <c r="H3" s="18" t="inlineStr">
        <is>
          <t xml:space="preserve">Director de tesis </t>
        </is>
      </c>
      <c r="I3" s="18" t="inlineStr">
        <is>
          <t xml:space="preserve">B176 </t>
        </is>
      </c>
      <c r="J3" s="18" t="inlineStr">
        <is>
          <t xml:space="preserve">SOCIOLOGÍA II </t>
        </is>
      </c>
      <c r="K3" s="24" t="n">
        <v>1</v>
      </c>
      <c r="L3" s="24" t="inlineStr">
        <is>
          <t>B176</t>
        </is>
      </c>
      <c r="M3" s="25" t="n">
        <v>2019</v>
      </c>
      <c r="N3" s="18" t="inlineStr">
        <is>
          <t>10.22</t>
        </is>
      </c>
      <c r="O3" s="19" t="n">
        <v>80</v>
      </c>
      <c r="P3" s="18" t="inlineStr"/>
      <c r="Q3" s="19" t="n">
        <v>0</v>
      </c>
      <c r="R3" s="18" t="n">
        <v>20</v>
      </c>
      <c r="S3" s="18" t="n">
        <v>0.2</v>
      </c>
      <c r="T3" s="18" t="n">
        <v>0.8</v>
      </c>
      <c r="U3" s="18" t="n">
        <v>0</v>
      </c>
    </row>
    <row r="4">
      <c r="A4" s="18" t="inlineStr">
        <is>
          <t xml:space="preserve">U036 </t>
        </is>
      </c>
      <c r="B4" s="18" t="inlineStr">
        <is>
          <t xml:space="preserve">ADM. FACULTAD DE CIENCIAS ECONÓMICAS </t>
        </is>
      </c>
      <c r="C4" s="18" t="inlineStr">
        <is>
          <t xml:space="preserve">DOCTORADO EN EMPRESA, ECONOMÍA Y SOCIEDAD </t>
        </is>
      </c>
      <c r="D4" s="18" t="inlineStr">
        <is>
          <t xml:space="preserve">Perea Crespo, Ignacia </t>
        </is>
      </c>
      <c r="E4" s="18" t="inlineStr">
        <is>
          <t xml:space="preserve">Sobre la inclusividad de las sociedades europeas: la distancia del otro nacional a través de la opinión pública </t>
        </is>
      </c>
      <c r="F4" s="18" t="inlineStr">
        <is>
          <t xml:space="preserve">22/12/2020 </t>
        </is>
      </c>
      <c r="G4" s="18" t="inlineStr">
        <is>
          <t xml:space="preserve">21474040K </t>
        </is>
      </c>
      <c r="H4" s="18" t="inlineStr">
        <is>
          <t xml:space="preserve">Codirector de tesis </t>
        </is>
      </c>
      <c r="I4" s="18" t="inlineStr">
        <is>
          <t xml:space="preserve">B176 </t>
        </is>
      </c>
      <c r="J4" s="18" t="inlineStr">
        <is>
          <t xml:space="preserve">SOCIOLOGÍA II </t>
        </is>
      </c>
      <c r="K4" s="24" t="n">
        <v>0.5</v>
      </c>
      <c r="L4" s="24" t="inlineStr">
        <is>
          <t>B176</t>
        </is>
      </c>
      <c r="M4" s="25" t="n">
        <v>2019</v>
      </c>
      <c r="N4" s="18" t="inlineStr">
        <is>
          <t>10.22</t>
        </is>
      </c>
      <c r="O4" s="19" t="n">
        <v>80</v>
      </c>
      <c r="P4" s="18" t="inlineStr"/>
      <c r="Q4" s="19" t="n">
        <v>0</v>
      </c>
      <c r="R4" s="18" t="n">
        <v>20</v>
      </c>
      <c r="S4" s="18" t="n">
        <v>0.1</v>
      </c>
      <c r="T4" s="18" t="n">
        <v>0.4</v>
      </c>
      <c r="U4" s="18" t="n">
        <v>0</v>
      </c>
    </row>
    <row r="5">
      <c r="A5" s="18" t="inlineStr">
        <is>
          <t xml:space="preserve">U036 </t>
        </is>
      </c>
      <c r="B5" s="18" t="inlineStr">
        <is>
          <t xml:space="preserve">ADM. FACULTAD DE CIENCIAS ECONÓMICAS </t>
        </is>
      </c>
      <c r="C5" s="18" t="inlineStr">
        <is>
          <t xml:space="preserve">DOCTORADO EN EMPRESA, ECONOMÍA Y SOCIEDAD </t>
        </is>
      </c>
      <c r="D5" s="18" t="inlineStr">
        <is>
          <t xml:space="preserve">Perea Crespo, Ignacia </t>
        </is>
      </c>
      <c r="E5" s="18" t="inlineStr">
        <is>
          <t xml:space="preserve">Sobre la inclusividad de las sociedades europeas: la distancia del otro nacional a través de la opinión pública </t>
        </is>
      </c>
      <c r="F5" s="18" t="inlineStr">
        <is>
          <t xml:space="preserve">22/12/2020 </t>
        </is>
      </c>
      <c r="G5" s="18" t="inlineStr">
        <is>
          <t xml:space="preserve">23814586R </t>
        </is>
      </c>
      <c r="H5" s="18" t="inlineStr">
        <is>
          <t xml:space="preserve">Codirector de tesis </t>
        </is>
      </c>
      <c r="I5" s="18" t="inlineStr">
        <is>
          <t xml:space="preserve">B176 </t>
        </is>
      </c>
      <c r="J5" s="18" t="inlineStr">
        <is>
          <t xml:space="preserve">SOCIOLOGÍA II </t>
        </is>
      </c>
      <c r="K5" s="24" t="n">
        <v>0.5</v>
      </c>
      <c r="L5" s="24" t="inlineStr">
        <is>
          <t>B176</t>
        </is>
      </c>
      <c r="M5" s="25" t="n">
        <v>2019</v>
      </c>
      <c r="N5" s="18" t="inlineStr"/>
      <c r="O5" s="19" t="inlineStr"/>
      <c r="P5" s="18" t="inlineStr"/>
      <c r="Q5" s="19" t="inlineStr"/>
      <c r="R5" s="18" t="n">
        <v>100</v>
      </c>
      <c r="S5" s="18" t="n">
        <v>0.5</v>
      </c>
      <c r="T5" s="18" t="n">
        <v>0</v>
      </c>
      <c r="U5" s="18" t="n">
        <v>0</v>
      </c>
    </row>
    <row r="6">
      <c r="A6" s="18" t="inlineStr">
        <is>
          <t xml:space="preserve">U073 </t>
        </is>
      </c>
      <c r="B6" s="18" t="inlineStr">
        <is>
          <t xml:space="preserve">ADM. I.U. INVESTIGACIÓN DE ESTUDIOS DE GÉNERO </t>
        </is>
      </c>
      <c r="C6" s="18" t="inlineStr">
        <is>
          <t xml:space="preserve">DOCTORADO EN ESTUDIOS INTERDISCIPLINARES DE GÉNERO </t>
        </is>
      </c>
      <c r="D6" s="18" t="inlineStr">
        <is>
          <t xml:space="preserve">Martínez Verdú, Remedios </t>
        </is>
      </c>
      <c r="E6" s="18" t="inlineStr">
        <is>
          <t xml:space="preserve">¿Efectos de la transición demográfica en España como prototipo de la Europa del Sur¿ </t>
        </is>
      </c>
      <c r="F6" s="18" t="inlineStr">
        <is>
          <t xml:space="preserve">28/09/2021 </t>
        </is>
      </c>
      <c r="G6" s="18" t="inlineStr">
        <is>
          <t xml:space="preserve">17201624Q </t>
        </is>
      </c>
      <c r="H6" s="18" t="inlineStr">
        <is>
          <t xml:space="preserve">Codirector de tesis </t>
        </is>
      </c>
      <c r="I6" s="18" t="inlineStr">
        <is>
          <t xml:space="preserve">B176 </t>
        </is>
      </c>
      <c r="J6" s="18" t="inlineStr">
        <is>
          <t xml:space="preserve">SOCIOLOGÍA II </t>
        </is>
      </c>
      <c r="K6" s="24" t="n">
        <v>0.5</v>
      </c>
      <c r="L6" s="24" t="inlineStr">
        <is>
          <t>B176</t>
        </is>
      </c>
      <c r="M6" s="18" t="n">
        <v>2020</v>
      </c>
      <c r="N6" s="18" t="inlineStr"/>
      <c r="O6" s="19" t="inlineStr"/>
      <c r="P6" s="18" t="inlineStr"/>
      <c r="Q6" s="19" t="inlineStr"/>
      <c r="R6" s="18" t="n">
        <v>100</v>
      </c>
      <c r="S6" s="18" t="n">
        <v>0.5</v>
      </c>
      <c r="T6" s="18" t="n">
        <v>0</v>
      </c>
      <c r="U6" s="18" t="n">
        <v>0</v>
      </c>
    </row>
    <row r="7">
      <c r="A7" s="18" t="inlineStr">
        <is>
          <t xml:space="preserve">U058 </t>
        </is>
      </c>
      <c r="B7" s="18" t="inlineStr">
        <is>
          <t xml:space="preserve">ADM. I.U. DE INVESTIGACIONES TURÍSTICAS </t>
        </is>
      </c>
      <c r="C7" s="18" t="inlineStr">
        <is>
          <t xml:space="preserve">DOCTORADO EN TURISMO </t>
        </is>
      </c>
      <c r="D7" s="18" t="inlineStr">
        <is>
          <t xml:space="preserve">Rubio Escuderos, Lucía </t>
        </is>
      </c>
      <c r="E7" s="18" t="inlineStr">
        <is>
          <t xml:space="preserve">EL MOSAICO DEL TURISMO ACCESIBLE: DIAGNÓSTICO DE IMPULSOS Y FRENOS A LA ACCESIBILIDAD EN LOS DESTINOS TURÍSTICOS DESDE LA PERSPECTIVA DE LAS PARTES INTERESADAS </t>
        </is>
      </c>
      <c r="F7" s="18" t="inlineStr">
        <is>
          <t xml:space="preserve">20/12/2021 </t>
        </is>
      </c>
      <c r="G7" s="18" t="inlineStr">
        <is>
          <t xml:space="preserve">05413313X </t>
        </is>
      </c>
      <c r="H7" s="18" t="inlineStr">
        <is>
          <t xml:space="preserve">Codirector de tesis </t>
        </is>
      </c>
      <c r="I7" s="18" t="inlineStr">
        <is>
          <t xml:space="preserve">B176 </t>
        </is>
      </c>
      <c r="J7" s="18" t="inlineStr">
        <is>
          <t xml:space="preserve">SOCIOLOGÍA II </t>
        </is>
      </c>
      <c r="K7" s="24" t="n">
        <v>0.5</v>
      </c>
      <c r="L7" s="24" t="inlineStr">
        <is>
          <t>B176</t>
        </is>
      </c>
      <c r="M7" s="18" t="n">
        <v>2021</v>
      </c>
      <c r="N7" s="18" t="inlineStr">
        <is>
          <t>10.22</t>
        </is>
      </c>
      <c r="O7" s="19" t="n">
        <v>10</v>
      </c>
      <c r="P7" s="18" t="inlineStr"/>
      <c r="Q7" s="19" t="n">
        <v>0</v>
      </c>
      <c r="R7" s="18" t="n">
        <v>90</v>
      </c>
      <c r="S7" s="18" t="n">
        <v>0.45</v>
      </c>
      <c r="T7" s="18" t="n">
        <v>0.05</v>
      </c>
      <c r="U7" s="18" t="n">
        <v>0</v>
      </c>
    </row>
    <row r="8">
      <c r="A8" s="18" t="inlineStr">
        <is>
          <t xml:space="preserve">U036 </t>
        </is>
      </c>
      <c r="B8" s="18" t="inlineStr">
        <is>
          <t xml:space="preserve">ADM. FACULTAD DE CIENCIAS ECONÓMICAS </t>
        </is>
      </c>
      <c r="C8" s="18" t="inlineStr">
        <is>
          <t xml:space="preserve">DOCTORADO EN EMPRESA, ECONOMÍA Y SOCIEDAD </t>
        </is>
      </c>
      <c r="D8" s="18" t="inlineStr">
        <is>
          <t xml:space="preserve">Sanchís Ramón, María José </t>
        </is>
      </c>
      <c r="E8" s="18" t="inlineStr">
        <is>
          <t xml:space="preserve">La atención a los proyectos de vida y a las necesidades de las mujeres gitanas en las políticas de inclusión. </t>
        </is>
      </c>
      <c r="F8" s="18" t="inlineStr">
        <is>
          <t xml:space="preserve">02/06/2023 </t>
        </is>
      </c>
      <c r="G8" s="18" t="inlineStr">
        <is>
          <t xml:space="preserve">52779604D </t>
        </is>
      </c>
      <c r="H8" s="18" t="inlineStr">
        <is>
          <t xml:space="preserve">Director de tesis </t>
        </is>
      </c>
      <c r="I8" s="18" t="inlineStr">
        <is>
          <t xml:space="preserve">B176 </t>
        </is>
      </c>
      <c r="J8" s="18" t="inlineStr">
        <is>
          <t xml:space="preserve">SOCIOLOGÍA II </t>
        </is>
      </c>
      <c r="K8" s="27" t="n">
        <v>1</v>
      </c>
      <c r="L8" s="27" t="inlineStr">
        <is>
          <t>B176</t>
        </is>
      </c>
      <c r="M8" s="18" t="n">
        <v>2022</v>
      </c>
      <c r="N8" s="27" t="inlineStr">
        <is>
          <t>10.06</t>
        </is>
      </c>
      <c r="O8" s="27" t="n">
        <v>10</v>
      </c>
      <c r="P8" s="27" t="inlineStr">
        <is>
          <t>10.22</t>
        </is>
      </c>
      <c r="Q8" s="27" t="n">
        <v>80</v>
      </c>
      <c r="R8" s="27" t="n">
        <v>10</v>
      </c>
      <c r="S8" s="27" t="n">
        <v>0.1</v>
      </c>
      <c r="T8" s="27" t="n">
        <v>0.1</v>
      </c>
      <c r="U8" s="27" t="n">
        <v>0.8</v>
      </c>
    </row>
    <row r="9">
      <c r="A9" s="18" t="inlineStr">
        <is>
          <t xml:space="preserve">U036 </t>
        </is>
      </c>
      <c r="B9" s="18" t="inlineStr">
        <is>
          <t xml:space="preserve">ADM. FACULTAD DE CIENCIAS ECONÓMICAS </t>
        </is>
      </c>
      <c r="C9" s="18" t="inlineStr">
        <is>
          <t xml:space="preserve">DOCTORADO EN EMPRESA, ECONOMÍA Y SOCIEDAD </t>
        </is>
      </c>
      <c r="D9" s="18" t="inlineStr">
        <is>
          <t xml:space="preserve">Alaminos Fernández, Paloma </t>
        </is>
      </c>
      <c r="E9" s="18" t="inlineStr">
        <is>
          <t xml:space="preserve">LAS BASES SOCIALES Y ARGUMENTALES DE LOS MOVIMIENTOS AUTORITARIOS EN LA UNIÓN EUROPEA. EL CASO DEL POPULISMO PUNITIVO </t>
        </is>
      </c>
      <c r="F9" s="18" t="inlineStr">
        <is>
          <t xml:space="preserve">16/06/2023 </t>
        </is>
      </c>
      <c r="G9" s="18" t="inlineStr">
        <is>
          <t xml:space="preserve">22140300V </t>
        </is>
      </c>
      <c r="H9" s="18" t="inlineStr">
        <is>
          <t xml:space="preserve">Codirector de tesis </t>
        </is>
      </c>
      <c r="I9" s="18" t="inlineStr">
        <is>
          <t xml:space="preserve">B176 </t>
        </is>
      </c>
      <c r="J9" s="18" t="inlineStr">
        <is>
          <t xml:space="preserve">SOCIOLOGÍA II </t>
        </is>
      </c>
      <c r="K9" s="27" t="n">
        <v>0.5</v>
      </c>
      <c r="L9" s="27" t="inlineStr">
        <is>
          <t>B176</t>
        </is>
      </c>
      <c r="M9" s="18" t="n">
        <v>2022</v>
      </c>
      <c r="N9" s="27" t="inlineStr">
        <is>
          <t>10.22</t>
        </is>
      </c>
      <c r="O9" s="27" t="n">
        <v>10</v>
      </c>
      <c r="P9" s="27" t="inlineStr"/>
      <c r="Q9" s="27" t="n">
        <v>0</v>
      </c>
      <c r="R9" s="27" t="n">
        <v>90</v>
      </c>
      <c r="S9" s="27" t="n">
        <v>0.45</v>
      </c>
      <c r="T9" s="27" t="n">
        <v>0.05</v>
      </c>
      <c r="U9" s="27" t="n">
        <v>0</v>
      </c>
    </row>
    <row r="10">
      <c r="A10" s="18" t="inlineStr">
        <is>
          <t xml:space="preserve">U036 </t>
        </is>
      </c>
      <c r="B10" s="18" t="inlineStr">
        <is>
          <t xml:space="preserve">ADM. FACULTAD DE CIENCIAS ECONÓMICAS </t>
        </is>
      </c>
      <c r="C10" s="18" t="inlineStr">
        <is>
          <t xml:space="preserve">DOCTORADO EN EMPRESA, ECONOMÍA Y SOCIEDAD </t>
        </is>
      </c>
      <c r="D10" s="18" t="inlineStr">
        <is>
          <t xml:space="preserve">Alaminos Fernández, Paloma </t>
        </is>
      </c>
      <c r="E10" s="18" t="inlineStr">
        <is>
          <t xml:space="preserve">LAS BASES SOCIALES Y ARGUMENTALES DE LOS MOVIMIENTOS AUTORITARIOS EN LA UNIÓN EUROPEA. EL CASO DEL POPULISMO PUNITIVO </t>
        </is>
      </c>
      <c r="F10" s="18" t="inlineStr">
        <is>
          <t xml:space="preserve">16/06/2023 </t>
        </is>
      </c>
      <c r="G10" s="18" t="inlineStr">
        <is>
          <t xml:space="preserve">23779586R </t>
        </is>
      </c>
      <c r="H10" s="18" t="inlineStr">
        <is>
          <t xml:space="preserve">Codirector de tesis </t>
        </is>
      </c>
      <c r="I10" s="18" t="inlineStr">
        <is>
          <t xml:space="preserve">B176 </t>
        </is>
      </c>
      <c r="J10" s="18" t="inlineStr">
        <is>
          <t xml:space="preserve">SOCIOLOGÍA II </t>
        </is>
      </c>
      <c r="K10" s="27" t="n">
        <v>0.5</v>
      </c>
      <c r="L10" s="27" t="inlineStr">
        <is>
          <t>B176</t>
        </is>
      </c>
      <c r="M10" s="18" t="n">
        <v>2022</v>
      </c>
      <c r="N10" s="27" t="inlineStr">
        <is>
          <t>10.22</t>
        </is>
      </c>
      <c r="O10" s="27" t="n">
        <v>10</v>
      </c>
      <c r="P10" s="27" t="inlineStr">
        <is>
          <t>10.06</t>
        </is>
      </c>
      <c r="Q10" s="27" t="n">
        <v>10</v>
      </c>
      <c r="R10" s="27" t="n">
        <v>80</v>
      </c>
      <c r="S10" s="27" t="n">
        <v>0.4</v>
      </c>
      <c r="T10" s="27" t="n">
        <v>0.05</v>
      </c>
      <c r="U10" s="27" t="n">
        <v>0.05</v>
      </c>
    </row>
    <row r="11">
      <c r="A11" s="18" t="inlineStr">
        <is>
          <t xml:space="preserve">U036 </t>
        </is>
      </c>
      <c r="B11" s="18" t="inlineStr">
        <is>
          <t xml:space="preserve">ADM. FACULTAD DE CIENCIAS ECONÓMICAS </t>
        </is>
      </c>
      <c r="C11" s="18" t="inlineStr">
        <is>
          <t xml:space="preserve">DOCTORADO EN EMPRESA, ECONOMÍA Y SOCIEDAD </t>
        </is>
      </c>
      <c r="D11" s="18" t="inlineStr">
        <is>
          <t>Chuquitarco Morales, Edwin Alejandro</t>
        </is>
      </c>
      <c r="E11" s="18" t="inlineStr">
        <is>
          <t>Determinantes socioambientales de la salud y minorías: racismo estructural en las políticas públicas y la investigación social de la salud</t>
        </is>
      </c>
      <c r="F11" s="18" t="inlineStr">
        <is>
          <t>20/09/2024</t>
        </is>
      </c>
      <c r="G11" s="18" t="inlineStr">
        <is>
          <t>52779604D</t>
        </is>
      </c>
      <c r="H11" s="18" t="inlineStr">
        <is>
          <t>Director de tesis</t>
        </is>
      </c>
      <c r="I11" s="18" t="inlineStr">
        <is>
          <t>B176</t>
        </is>
      </c>
      <c r="J11" s="18" t="inlineStr">
        <is>
          <t>SOCIOLOGIA II</t>
        </is>
      </c>
      <c r="K11" s="27" t="n">
        <v>1</v>
      </c>
      <c r="L11" s="27" t="inlineStr">
        <is>
          <t>B176</t>
        </is>
      </c>
      <c r="M11" s="18" t="n">
        <v>2023</v>
      </c>
      <c r="N11" s="27" t="inlineStr">
        <is>
          <t>10.22</t>
        </is>
      </c>
      <c r="O11" s="27" t="inlineStr">
        <is>
          <t>90</t>
        </is>
      </c>
      <c r="P11" s="27" t="inlineStr"/>
      <c r="Q11" s="27" t="inlineStr"/>
      <c r="R11" s="27" t="n">
        <v>10</v>
      </c>
      <c r="S11" s="27" t="n">
        <v>0.1</v>
      </c>
      <c r="T11" s="27" t="n">
        <v>0.9</v>
      </c>
      <c r="U11" s="27" t="n">
        <v>0</v>
      </c>
    </row>
    <row r="12">
      <c r="A12" s="18" t="inlineStr">
        <is>
          <t>U036</t>
        </is>
      </c>
      <c r="B12" s="18" t="inlineStr">
        <is>
          <t>Administración Facultad de Ciencias Económicas</t>
        </is>
      </c>
      <c r="C12" s="18" t="inlineStr">
        <is>
          <t>DOCTORADO EN EMPRESA, ECONOMÍA Y SOCIEDAD</t>
        </is>
      </c>
      <c r="D12" s="18" t="inlineStr">
        <is>
          <t>Frau Marhuenda, Carlos</t>
        </is>
      </c>
      <c r="E12" s="18" t="inlineStr">
        <is>
          <t>Estrategias metodológicas de desarrollo local basadas en la innovación social en entornos rurales en proceso
de despoblamiento. Un estudio de caso</t>
        </is>
      </c>
      <c r="F12" s="18" t="inlineStr">
        <is>
          <t>08/09/2025</t>
        </is>
      </c>
      <c r="G12" s="18" t="inlineStr">
        <is>
          <t>22140300V</t>
        </is>
      </c>
      <c r="H12" s="18" t="inlineStr">
        <is>
          <t>Director de tesis</t>
        </is>
      </c>
      <c r="I12" s="18" t="inlineStr">
        <is>
          <t>B176</t>
        </is>
      </c>
      <c r="J12" s="18" t="inlineStr">
        <is>
          <t>Sociología II</t>
        </is>
      </c>
      <c r="K12" s="27" t="n">
        <v>1</v>
      </c>
      <c r="L12" s="27" t="inlineStr">
        <is>
          <t>B176</t>
        </is>
      </c>
      <c r="M12" s="18" t="n">
        <v>2024</v>
      </c>
      <c r="N12" s="27" t="inlineStr">
        <is>
          <t>10.22</t>
        </is>
      </c>
      <c r="O12" s="27" t="inlineStr">
        <is>
          <t>10</t>
        </is>
      </c>
      <c r="P12" s="27" t="inlineStr"/>
      <c r="Q12" s="27" t="inlineStr"/>
      <c r="R12" s="27" t="n">
        <v>90</v>
      </c>
      <c r="S12" s="27" t="n">
        <v>0.9</v>
      </c>
      <c r="T12" s="27" t="n">
        <v>0.1</v>
      </c>
      <c r="U12" s="27" t="n">
        <v>0</v>
      </c>
    </row>
    <row r="13">
      <c r="A13" s="18" t="inlineStr">
        <is>
          <t>U073</t>
        </is>
      </c>
      <c r="B13" s="18" t="inlineStr">
        <is>
          <t>Instituto Universitario Investigación de Estudios de Género (10.23)</t>
        </is>
      </c>
      <c r="C13" s="18" t="inlineStr">
        <is>
          <t>DOCTORADO EN ESTUDIOS INTERDISCIPLINARES DE GÉNERO</t>
        </is>
      </c>
      <c r="D13" s="18" t="inlineStr">
        <is>
          <t>Cerdán Torregrosa, Ariadna del Pilar</t>
        </is>
      </c>
      <c r="E13" s="18" t="inlineStr">
        <is>
          <t>Masculinidades, orientaciones sexuales y violencia de género: análisis de discursos y estrategias para la igualdad</t>
        </is>
      </c>
      <c r="F13" s="18" t="inlineStr">
        <is>
          <t>07/11/2024</t>
        </is>
      </c>
      <c r="G13" s="18" t="inlineStr">
        <is>
          <t>52779604D</t>
        </is>
      </c>
      <c r="H13" s="18" t="inlineStr">
        <is>
          <t>Codirector de tesis</t>
        </is>
      </c>
      <c r="I13" s="18" t="inlineStr">
        <is>
          <t>B176</t>
        </is>
      </c>
      <c r="J13" s="18" t="inlineStr">
        <is>
          <t>Sociología II</t>
        </is>
      </c>
      <c r="K13" s="27" t="n">
        <v>0.5</v>
      </c>
      <c r="L13" s="27" t="inlineStr">
        <is>
          <t>B176</t>
        </is>
      </c>
      <c r="M13" s="18" t="n">
        <v>2024</v>
      </c>
      <c r="N13" s="27" t="inlineStr">
        <is>
          <t>10.22</t>
        </is>
      </c>
      <c r="O13" s="27" t="inlineStr">
        <is>
          <t>90</t>
        </is>
      </c>
      <c r="P13" s="27" t="inlineStr"/>
      <c r="Q13" s="27" t="inlineStr"/>
      <c r="R13" s="27" t="n">
        <v>10</v>
      </c>
      <c r="S13" s="27" t="n">
        <v>0.05</v>
      </c>
      <c r="T13" s="27" t="n">
        <v>0.45</v>
      </c>
      <c r="U13" s="27" t="n">
        <v>0</v>
      </c>
    </row>
    <row r="14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9" t="n"/>
      <c r="P14" s="28" t="n"/>
      <c r="Q14" s="29" t="n"/>
      <c r="R14" s="28" t="n"/>
      <c r="S14" s="58">
        <f>SUM(S2:S13)</f>
        <v/>
      </c>
      <c r="T14" s="28" t="n"/>
      <c r="U14" s="28" t="n"/>
    </row>
  </sheetData>
  <autoFilter ref="A1:U1">
    <sortState ref="A2:T1902">
      <sortCondition ref="K3:K1902"/>
      <sortCondition ref="L3:L1902"/>
      <sortCondition ref="D3:D1902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13"/>
  <sheetViews>
    <sheetView zoomScaleNormal="100" workbookViewId="0">
      <selection activeCell="K19" sqref="K19"/>
    </sheetView>
  </sheetViews>
  <sheetFormatPr baseColWidth="10" defaultColWidth="11.44140625" defaultRowHeight="13.2"/>
  <cols>
    <col width="10.33203125" bestFit="1" customWidth="1" style="11" min="1" max="1"/>
    <col width="41.109375" bestFit="1" customWidth="1" style="11" min="2" max="2"/>
    <col width="14.5546875" bestFit="1" customWidth="1" style="11" min="3" max="3"/>
    <col width="3.33203125" bestFit="1" customWidth="1" style="11" min="4" max="9"/>
    <col width="13.109375" bestFit="1" customWidth="1" style="11" min="10" max="10"/>
    <col width="5.33203125" bestFit="1" customWidth="1" style="11" min="11" max="11"/>
    <col width="5.6640625" bestFit="1" customWidth="1" style="11" min="12" max="13"/>
    <col width="5.6640625" bestFit="1" customWidth="1" style="12" min="14" max="14"/>
    <col width="5.6640625" bestFit="1" customWidth="1" style="11" min="15" max="15"/>
    <col width="5.6640625" bestFit="1" customWidth="1" style="12" min="16" max="16"/>
    <col width="5.6640625" bestFit="1" customWidth="1" style="11" min="17" max="19"/>
    <col width="11.44140625" customWidth="1" style="11" min="20" max="16384"/>
  </cols>
  <sheetData>
    <row r="1" ht="60" customFormat="1" customHeight="1" s="10">
      <c r="A1" s="13" t="inlineStr">
        <is>
          <t>NIF</t>
        </is>
      </c>
      <c r="B1" s="13" t="inlineStr">
        <is>
          <t>NOMBRE_COMPLETO</t>
        </is>
      </c>
      <c r="C1" s="13" t="inlineStr">
        <is>
          <t>TIPO_SEXENIO</t>
        </is>
      </c>
      <c r="D1" s="14" t="inlineStr">
        <is>
          <t>2020</t>
        </is>
      </c>
      <c r="E1" s="14" t="inlineStr">
        <is>
          <t>2021</t>
        </is>
      </c>
      <c r="F1" s="14" t="inlineStr">
        <is>
          <t>2022</t>
        </is>
      </c>
      <c r="G1" s="14" t="inlineStr">
        <is>
          <t>2023</t>
        </is>
      </c>
      <c r="H1" s="14" t="inlineStr">
        <is>
          <t>2024</t>
        </is>
      </c>
      <c r="I1" s="14" t="inlineStr">
        <is>
          <t>2025</t>
        </is>
      </c>
      <c r="J1" s="13" t="inlineStr">
        <is>
          <t>Total general</t>
        </is>
      </c>
      <c r="K1" s="15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  <c r="T1" s="11" t="n"/>
    </row>
    <row r="2" ht="14.4" customHeight="1">
      <c r="A2" s="16" t="inlineStr">
        <is>
          <t>05413313X</t>
        </is>
      </c>
      <c r="B2" s="16" t="inlineStr">
        <is>
          <t>Ullan De la Rosa, Francisco Javier</t>
        </is>
      </c>
      <c r="C2" s="16" t="inlineStr">
        <is>
          <t>FUNCIONARIO</t>
        </is>
      </c>
      <c r="D2" s="16" t="n"/>
      <c r="E2" s="16" t="n">
        <v>1</v>
      </c>
      <c r="F2" s="16" t="n"/>
      <c r="G2" s="16" t="n"/>
      <c r="H2" s="16" t="n"/>
      <c r="I2" s="16" t="n"/>
      <c r="J2" s="16" t="n">
        <v>1</v>
      </c>
      <c r="K2" s="16" t="inlineStr">
        <is>
          <t>B176</t>
        </is>
      </c>
      <c r="L2" s="17" t="inlineStr">
        <is>
          <t>10.25</t>
        </is>
      </c>
      <c r="M2" s="17" t="inlineStr">
        <is>
          <t>30</t>
        </is>
      </c>
      <c r="N2" s="17" t="inlineStr"/>
      <c r="O2" s="17" t="inlineStr"/>
      <c r="P2" s="17" t="n">
        <v>70</v>
      </c>
      <c r="Q2" s="17" t="n">
        <v>0.3</v>
      </c>
      <c r="R2" s="17" t="n">
        <v>0</v>
      </c>
      <c r="S2" s="17" t="n">
        <v>0.7</v>
      </c>
    </row>
    <row r="3" ht="14.4" customHeight="1">
      <c r="A3" s="16" t="inlineStr">
        <is>
          <t>11737095B</t>
        </is>
      </c>
      <c r="B3" s="16" t="inlineStr">
        <is>
          <t>González Río, María José</t>
        </is>
      </c>
      <c r="C3" s="16" t="inlineStr">
        <is>
          <t>FUNCIONARIO</t>
        </is>
      </c>
      <c r="D3" s="16" t="n">
        <v>1</v>
      </c>
      <c r="E3" s="16" t="n"/>
      <c r="F3" s="16" t="n"/>
      <c r="G3" s="16" t="n"/>
      <c r="H3" s="16" t="n"/>
      <c r="I3" s="16" t="n"/>
      <c r="J3" s="16" t="n">
        <v>1</v>
      </c>
      <c r="K3" s="16" t="inlineStr">
        <is>
          <t>B176</t>
        </is>
      </c>
      <c r="L3" s="17" t="n">
        <v>0</v>
      </c>
      <c r="M3" s="17" t="n">
        <v>0</v>
      </c>
      <c r="N3" s="17" t="inlineStr"/>
      <c r="O3" s="17" t="inlineStr"/>
      <c r="P3" s="17" t="n">
        <v>100</v>
      </c>
      <c r="Q3" s="17" t="n">
        <v>0</v>
      </c>
      <c r="R3" s="17" t="n">
        <v>0</v>
      </c>
      <c r="S3" s="17" t="n">
        <v>1</v>
      </c>
    </row>
    <row r="4" ht="14.4" customHeight="1">
      <c r="A4" s="16" t="inlineStr">
        <is>
          <t>14074582P</t>
        </is>
      </c>
      <c r="B4" s="16" t="inlineStr">
        <is>
          <t>Osorio Rauld, Nelson Alejandro</t>
        </is>
      </c>
      <c r="C4" s="16" t="inlineStr">
        <is>
          <t>NO FUNCIONARIO</t>
        </is>
      </c>
      <c r="D4" s="16" t="n"/>
      <c r="E4" s="16" t="n"/>
      <c r="F4" s="16" t="n"/>
      <c r="G4" s="16" t="n"/>
      <c r="H4" s="16" t="n"/>
      <c r="I4" s="16" t="n">
        <v>1</v>
      </c>
      <c r="J4" s="16" t="n">
        <v>1</v>
      </c>
      <c r="K4" s="16" t="inlineStr">
        <is>
          <t>B176</t>
        </is>
      </c>
      <c r="L4" s="17" t="inlineStr">
        <is>
          <t>10.22</t>
        </is>
      </c>
      <c r="M4" s="17" t="inlineStr">
        <is>
          <t>50</t>
        </is>
      </c>
      <c r="N4" s="17" t="inlineStr">
        <is>
          <t>10.25</t>
        </is>
      </c>
      <c r="O4" s="17" t="inlineStr">
        <is>
          <t>30</t>
        </is>
      </c>
      <c r="P4" s="17" t="n">
        <v>20</v>
      </c>
      <c r="Q4" s="17" t="n">
        <v>0.5</v>
      </c>
      <c r="R4" s="17" t="n">
        <v>0.3</v>
      </c>
      <c r="S4" s="17" t="n">
        <v>0.2</v>
      </c>
    </row>
    <row r="5" ht="14.4" customHeight="1">
      <c r="A5" s="16" t="inlineStr">
        <is>
          <t>21431239T</t>
        </is>
      </c>
      <c r="B5" s="16" t="inlineStr">
        <is>
          <t>Martínez Verdú, Remedios</t>
        </is>
      </c>
      <c r="C5" s="16" t="inlineStr">
        <is>
          <t>NO FUNCIONARIO</t>
        </is>
      </c>
      <c r="D5" s="16" t="n"/>
      <c r="E5" s="16" t="n"/>
      <c r="F5" s="16" t="n"/>
      <c r="G5" s="16" t="n"/>
      <c r="H5" s="16" t="n"/>
      <c r="I5" s="16" t="n">
        <v>1</v>
      </c>
      <c r="J5" s="16" t="n">
        <v>1</v>
      </c>
      <c r="K5" s="16" t="inlineStr">
        <is>
          <t>B176</t>
        </is>
      </c>
      <c r="L5" s="17" t="n">
        <v>0</v>
      </c>
      <c r="M5" s="17" t="n">
        <v>0</v>
      </c>
      <c r="N5" s="17" t="inlineStr"/>
      <c r="O5" s="17" t="inlineStr"/>
      <c r="P5" s="17" t="n">
        <v>100</v>
      </c>
      <c r="Q5" s="17" t="n">
        <v>0</v>
      </c>
      <c r="R5" s="17" t="n">
        <v>0</v>
      </c>
      <c r="S5" s="17" t="n">
        <v>1</v>
      </c>
    </row>
    <row r="6" ht="14.4" customHeight="1">
      <c r="A6" s="16" t="inlineStr">
        <is>
          <t>21471226J</t>
        </is>
      </c>
      <c r="B6" s="16" t="inlineStr">
        <is>
          <t>Bas Amorós, José Enrique</t>
        </is>
      </c>
      <c r="C6" s="16" t="inlineStr">
        <is>
          <t>Vivos</t>
        </is>
      </c>
      <c r="D6" s="16" t="n"/>
      <c r="E6" s="16" t="n"/>
      <c r="F6" s="16" t="n"/>
      <c r="G6" s="16" t="n"/>
      <c r="H6" s="16" t="n"/>
      <c r="I6" s="16" t="n">
        <v>1</v>
      </c>
      <c r="J6" s="16" t="n">
        <v>1</v>
      </c>
      <c r="K6" s="16" t="inlineStr">
        <is>
          <t>B176</t>
        </is>
      </c>
      <c r="L6" s="17" t="n">
        <v>0</v>
      </c>
      <c r="M6" s="17" t="n">
        <v>0</v>
      </c>
      <c r="N6" s="17" t="inlineStr"/>
      <c r="O6" s="17" t="inlineStr"/>
      <c r="P6" s="17" t="n">
        <v>100</v>
      </c>
      <c r="Q6" s="17" t="n">
        <v>0</v>
      </c>
      <c r="R6" s="17" t="n">
        <v>0</v>
      </c>
      <c r="S6" s="17" t="n">
        <v>1</v>
      </c>
    </row>
    <row r="7" ht="14.4" customHeight="1">
      <c r="A7" s="16" t="inlineStr">
        <is>
          <t>21506571F</t>
        </is>
      </c>
      <c r="B7" s="16" t="inlineStr">
        <is>
          <t>Santacreu Fernández, Óscar Antonio</t>
        </is>
      </c>
      <c r="C7" s="35" t="inlineStr">
        <is>
          <t>FUNCIONARIO</t>
        </is>
      </c>
      <c r="D7" s="16" t="n"/>
      <c r="E7" s="16" t="n"/>
      <c r="F7" s="16" t="n"/>
      <c r="G7" s="16" t="n"/>
      <c r="H7" s="16" t="n">
        <v>1</v>
      </c>
      <c r="I7" s="16" t="n"/>
      <c r="J7" s="16" t="n">
        <v>1</v>
      </c>
      <c r="K7" s="16" t="inlineStr">
        <is>
          <t>B176</t>
        </is>
      </c>
      <c r="L7" s="17" t="inlineStr">
        <is>
          <t>10.22</t>
        </is>
      </c>
      <c r="M7" s="17" t="inlineStr">
        <is>
          <t>10</t>
        </is>
      </c>
      <c r="N7" s="17" t="inlineStr"/>
      <c r="O7" s="17" t="inlineStr"/>
      <c r="P7" s="17" t="n">
        <v>90</v>
      </c>
      <c r="Q7" s="17" t="n">
        <v>0.1</v>
      </c>
      <c r="R7" s="17" t="n">
        <v>0</v>
      </c>
      <c r="S7" s="17" t="n">
        <v>0.9</v>
      </c>
    </row>
    <row r="8" ht="14.4" customHeight="1">
      <c r="A8" s="16" t="inlineStr">
        <is>
          <t>21516771H</t>
        </is>
      </c>
      <c r="B8" s="16" t="inlineStr">
        <is>
          <t>Espinar Ruiz, Eva</t>
        </is>
      </c>
      <c r="C8" s="16" t="inlineStr">
        <is>
          <t>FUNCIONARIO</t>
        </is>
      </c>
      <c r="D8" s="16" t="n"/>
      <c r="E8" s="16" t="n"/>
      <c r="F8" s="16" t="n"/>
      <c r="G8" s="16" t="n"/>
      <c r="H8" s="16" t="n">
        <v>1</v>
      </c>
      <c r="I8" s="16" t="n"/>
      <c r="J8" s="16" t="n">
        <v>1</v>
      </c>
      <c r="K8" s="16" t="inlineStr">
        <is>
          <t>B176</t>
        </is>
      </c>
      <c r="L8" s="17" t="inlineStr">
        <is>
          <t>10.23</t>
        </is>
      </c>
      <c r="M8" s="17" t="inlineStr">
        <is>
          <t>20</t>
        </is>
      </c>
      <c r="N8" s="17" t="inlineStr">
        <is>
          <t>10.22</t>
        </is>
      </c>
      <c r="O8" s="17" t="inlineStr">
        <is>
          <t>20</t>
        </is>
      </c>
      <c r="P8" s="17" t="n">
        <v>60</v>
      </c>
      <c r="Q8" s="17" t="n">
        <v>0.2</v>
      </c>
      <c r="R8" s="17" t="n">
        <v>0.2</v>
      </c>
      <c r="S8" s="17" t="n">
        <v>0.6</v>
      </c>
    </row>
    <row r="9" ht="14.4" customHeight="1">
      <c r="A9" s="16" t="inlineStr">
        <is>
          <t>22140300V</t>
        </is>
      </c>
      <c r="B9" s="16" t="inlineStr">
        <is>
          <t>Francés García, Francisco José</t>
        </is>
      </c>
      <c r="C9" s="16" t="inlineStr">
        <is>
          <t>FUNCIONARIO</t>
        </is>
      </c>
      <c r="D9" s="16" t="n"/>
      <c r="E9" s="16" t="n"/>
      <c r="F9" s="16" t="n"/>
      <c r="G9" s="16" t="n">
        <v>1</v>
      </c>
      <c r="H9" s="16" t="n"/>
      <c r="I9" s="16" t="n"/>
      <c r="J9" s="16" t="n">
        <v>1</v>
      </c>
      <c r="K9" s="16" t="inlineStr">
        <is>
          <t>B176</t>
        </is>
      </c>
      <c r="L9" s="17" t="inlineStr">
        <is>
          <t>10.22</t>
        </is>
      </c>
      <c r="M9" s="17" t="inlineStr">
        <is>
          <t>10</t>
        </is>
      </c>
      <c r="N9" s="17" t="inlineStr"/>
      <c r="O9" s="17" t="inlineStr"/>
      <c r="P9" s="17" t="n">
        <v>90</v>
      </c>
      <c r="Q9" s="17" t="n">
        <v>0.1</v>
      </c>
      <c r="R9" s="17" t="n">
        <v>0</v>
      </c>
      <c r="S9" s="17" t="n">
        <v>0.9</v>
      </c>
    </row>
    <row r="10" ht="14.4" customHeight="1">
      <c r="A10" s="16" t="inlineStr">
        <is>
          <t>28995929J</t>
        </is>
      </c>
      <c r="B10" s="16" t="inlineStr">
        <is>
          <t>Catala Oltra, Luis</t>
        </is>
      </c>
      <c r="C10" s="16" t="inlineStr">
        <is>
          <t>FUNCIONARIO</t>
        </is>
      </c>
      <c r="D10" s="16" t="n"/>
      <c r="E10" s="16" t="n"/>
      <c r="F10" s="16" t="n"/>
      <c r="G10" s="16" t="n">
        <v>2</v>
      </c>
      <c r="H10" s="16" t="n"/>
      <c r="I10" s="16" t="n"/>
      <c r="J10" s="16" t="n">
        <v>2</v>
      </c>
      <c r="K10" s="16" t="inlineStr">
        <is>
          <t>B176</t>
        </is>
      </c>
      <c r="L10" s="17" t="inlineStr">
        <is>
          <t>10.22</t>
        </is>
      </c>
      <c r="M10" s="17" t="inlineStr">
        <is>
          <t>10</t>
        </is>
      </c>
      <c r="N10" s="17" t="inlineStr"/>
      <c r="O10" s="17" t="inlineStr"/>
      <c r="P10" s="17" t="n">
        <v>90</v>
      </c>
      <c r="Q10" s="17" t="n">
        <v>0.2</v>
      </c>
      <c r="R10" s="17" t="n">
        <v>0</v>
      </c>
      <c r="S10" s="17" t="n">
        <v>1.8</v>
      </c>
    </row>
    <row r="11" ht="14.4" customHeight="1">
      <c r="A11" s="16" t="inlineStr">
        <is>
          <t>52778850Z</t>
        </is>
      </c>
      <c r="B11" s="16" t="inlineStr">
        <is>
          <t>Martínez Gras, Rodolfo</t>
        </is>
      </c>
      <c r="C11" s="16" t="inlineStr">
        <is>
          <t>NO FUNCIONARIO</t>
        </is>
      </c>
      <c r="D11" s="16" t="n"/>
      <c r="E11" s="16" t="n"/>
      <c r="F11" s="16" t="n"/>
      <c r="G11" s="16" t="n"/>
      <c r="H11" s="16" t="n"/>
      <c r="I11" s="16" t="n">
        <v>1</v>
      </c>
      <c r="J11" s="16" t="n">
        <v>1</v>
      </c>
      <c r="K11" s="16" t="inlineStr">
        <is>
          <t>B176</t>
        </is>
      </c>
      <c r="L11" s="17" t="inlineStr">
        <is>
          <t>10.22</t>
        </is>
      </c>
      <c r="M11" s="17" t="inlineStr">
        <is>
          <t>10</t>
        </is>
      </c>
      <c r="N11" s="17" t="inlineStr"/>
      <c r="O11" s="17" t="inlineStr"/>
      <c r="P11" s="17" t="n">
        <v>90</v>
      </c>
      <c r="Q11" s="17" t="n">
        <v>0.1</v>
      </c>
      <c r="R11" s="17" t="n">
        <v>0</v>
      </c>
      <c r="S11" s="17" t="n">
        <v>0.9</v>
      </c>
    </row>
    <row r="12" ht="14.4" customHeight="1">
      <c r="A12" s="16" t="inlineStr">
        <is>
          <t>52779604D</t>
        </is>
      </c>
      <c r="B12" s="16" t="inlineStr">
        <is>
          <t>La Parra Casado, Daniel</t>
        </is>
      </c>
      <c r="C12" s="16" t="inlineStr">
        <is>
          <t>FUNCIONARIO</t>
        </is>
      </c>
      <c r="D12" s="16" t="n"/>
      <c r="E12" s="16" t="n"/>
      <c r="F12" s="16" t="n"/>
      <c r="G12" s="16" t="n">
        <v>1</v>
      </c>
      <c r="H12" s="16" t="n"/>
      <c r="I12" s="16" t="n"/>
      <c r="J12" s="16" t="n">
        <v>1</v>
      </c>
      <c r="K12" s="16" t="inlineStr">
        <is>
          <t>B176</t>
        </is>
      </c>
      <c r="L12" s="17" t="inlineStr">
        <is>
          <t>10.22</t>
        </is>
      </c>
      <c r="M12" s="17" t="inlineStr">
        <is>
          <t>90</t>
        </is>
      </c>
      <c r="N12" s="17" t="inlineStr"/>
      <c r="O12" s="17" t="inlineStr"/>
      <c r="P12" s="17" t="n">
        <v>10</v>
      </c>
      <c r="Q12" s="17" t="n">
        <v>0.9</v>
      </c>
      <c r="R12" s="17" t="n">
        <v>0</v>
      </c>
      <c r="S12" s="17" t="n">
        <v>0.1</v>
      </c>
    </row>
    <row r="13" ht="14.4" customHeight="1">
      <c r="A13" s="36" t="n"/>
      <c r="B13" s="36" t="n"/>
      <c r="C13" s="37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8">
        <f>SUM(S2:S12)</f>
        <v/>
      </c>
    </row>
  </sheetData>
  <pageMargins left="0.3937007874015748" right="0.3937007874015748" top="0.3937007874015748" bottom="0.3937007874015748" header="0.3149606299212598" footer="0.3149606299212598"/>
  <pageSetup orientation="landscape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B17" sqref="B17"/>
    </sheetView>
  </sheetViews>
  <sheetFormatPr baseColWidth="10" defaultRowHeight="14.4"/>
  <cols>
    <col width="17" customWidth="1" min="1" max="1"/>
    <col width="92.44140625" customWidth="1" min="2" max="2"/>
    <col width="16" customWidth="1" min="3" max="3"/>
  </cols>
  <sheetData>
    <row r="1">
      <c r="A1" s="40" t="inlineStr">
        <is>
          <t>Cód. org. aplic.</t>
        </is>
      </c>
      <c r="B1" s="40" t="inlineStr">
        <is>
          <t>Descripción justificante</t>
        </is>
      </c>
      <c r="C1" s="40" t="inlineStr">
        <is>
          <t>Imp.cob.aplic.</t>
        </is>
      </c>
    </row>
    <row r="2">
      <c r="A2" s="30" t="inlineStr">
        <is>
          <t>36.10.6C.00.18</t>
        </is>
      </c>
      <c r="B2" s="30" t="inlineStr">
        <is>
          <t>CONVENI DE COL·LABORACIÓ ENTRE L'ACADÈMIA VALENCIANA DE LA LLENGUA I LA UNIVERSITAT D'ALACANT PER A L'ELABORACIÓ D'UNA ENQUESTA SOBRE L'ÚS DEL VALENCIÀ EN LA COMARCA DEL BAIX VINALOPÓ.</t>
        </is>
      </c>
      <c r="C2" s="59" t="n">
        <v>727.28</v>
      </c>
    </row>
    <row r="3">
      <c r="A3" s="32" t="inlineStr">
        <is>
          <t>36.10.6C.00.18</t>
        </is>
      </c>
      <c r="B3" s="32" t="inlineStr">
        <is>
          <t>CONVENI DE COL·LABORACIÓ ENTRE L'ACADÈMIA VALENCIANA DE LA LLENGUA I LA UNIVERSITAT D'ALACANT PER A L'ELABORACIÓ D'UNA ENQUESTA SOBRE L'ÚS DEL VALENCIÀ EN LA COMARCA DEL BAIX VINALOPÓ. 2on. pago.</t>
        </is>
      </c>
      <c r="C3" s="60" t="n">
        <v>5272.73</v>
      </c>
    </row>
    <row r="4">
      <c r="A4" s="30" t="inlineStr">
        <is>
          <t>36.10.6C.00.20</t>
        </is>
      </c>
      <c r="B4" s="30" t="inlineStr">
        <is>
          <t>ANÁLISIS DE PROSPECTIVA Y COMPORTAMIENTO ELECTORAL.</t>
        </is>
      </c>
      <c r="C4" s="59" t="n">
        <v>968</v>
      </c>
    </row>
    <row r="5">
      <c r="A5" s="32" t="inlineStr">
        <is>
          <t>36.10.6C.00.21</t>
        </is>
      </c>
      <c r="B5" s="32" t="inlineStr">
        <is>
          <t>ESTUDIO SOBRE LA SOCIEDAD SEPA: ASOCIADOS, ORGANIZACIÓN Y SERVICIOS. 1er. pago.</t>
        </is>
      </c>
      <c r="C5" s="60" t="n">
        <v>2200</v>
      </c>
    </row>
    <row r="6">
      <c r="A6" s="30" t="inlineStr">
        <is>
          <t>36.10.6C.00.21</t>
        </is>
      </c>
      <c r="B6" s="30" t="inlineStr">
        <is>
          <t>ESTUDIO SOBRE LA SOCIEDAD SEPA: ASOCIADOS, ORGANIZACIÓN Y SERVICIOS. 2º PAGO.</t>
        </is>
      </c>
      <c r="C6" s="59" t="n">
        <v>2200</v>
      </c>
    </row>
    <row r="7">
      <c r="A7" s="32" t="inlineStr">
        <is>
          <t>36.10.6M.00.01</t>
        </is>
      </c>
      <c r="B7" s="32" t="inlineStr">
        <is>
          <t>UA/2023 CONV.FOMENT ACTIVITATS UNIVERS.PÙBLIQUES CV. EN MAT. PARTICIPAC.CIUTAD.BESTRETA 30%   UNIVERS. ALACANT</t>
        </is>
      </c>
      <c r="C7" s="60" t="n">
        <v>9000</v>
      </c>
    </row>
    <row r="8">
      <c r="A8" s="41" t="inlineStr">
        <is>
          <t>36.10.6M.00.01</t>
        </is>
      </c>
      <c r="B8" s="41" t="inlineStr">
        <is>
          <t>UA/2023 CONV.FOMENT ACTIVITATS UNIVERS.PÚBLIQUES CV. PARTICIPACIÓ CIUTADANA    UNIV. ALICANTE</t>
        </is>
      </c>
      <c r="C8" s="61" t="n">
        <v>18522.03</v>
      </c>
    </row>
    <row r="9" customFormat="1" s="45">
      <c r="A9" s="43" t="inlineStr">
        <is>
          <t>Total</t>
        </is>
      </c>
      <c r="B9" s="43" t="n"/>
      <c r="C9" s="62">
        <f>SUBTOTAL(109,Tabla2[Imp.cob.aplic.])</f>
        <v/>
      </c>
    </row>
    <row r="10">
      <c r="C10" s="6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B5" sqref="B5:C5"/>
    </sheetView>
  </sheetViews>
  <sheetFormatPr baseColWidth="10" defaultRowHeight="14.4"/>
  <cols>
    <col width="53" customWidth="1" min="2" max="2"/>
    <col width="12" bestFit="1" customWidth="1" min="3" max="3"/>
  </cols>
  <sheetData>
    <row r="1">
      <c r="B1" t="inlineStr">
        <is>
          <t>No hay ingresos en el año 2024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B15" sqref="B15"/>
    </sheetView>
  </sheetViews>
  <sheetFormatPr baseColWidth="10" defaultRowHeight="14.4"/>
  <cols>
    <col width="17.33203125" customWidth="1" min="1" max="1"/>
    <col width="52.77734375" customWidth="1" min="2" max="2"/>
    <col width="11.88671875" bestFit="1" customWidth="1" min="3" max="3"/>
  </cols>
  <sheetData>
    <row r="1">
      <c r="A1" s="48" t="inlineStr">
        <is>
          <t>Org. aplic.</t>
        </is>
      </c>
      <c r="B1" s="49" t="inlineStr">
        <is>
          <t>Descripción justificante</t>
        </is>
      </c>
      <c r="C1" s="49" t="inlineStr">
        <is>
          <t>Imp. aplic.</t>
        </is>
      </c>
    </row>
    <row r="2" ht="15" customHeight="1" thickBot="1">
      <c r="A2" s="50" t="inlineStr">
        <is>
          <t>36.10.6C.00.23</t>
        </is>
      </c>
      <c r="B2" s="51" t="inlineStr">
        <is>
          <t>Investigación sistematizada sobre la situación actual de la vivienda, sus problemáticas y las dificultades en el acceso a la misma de la población de la Comunidad Valenciana.</t>
        </is>
      </c>
      <c r="C2" s="64" t="n">
        <v>363.63</v>
      </c>
    </row>
    <row r="3" ht="15" customHeight="1" thickTop="1">
      <c r="A3" s="53" t="inlineStr">
        <is>
          <t>Total</t>
        </is>
      </c>
      <c r="B3" s="54" t="n"/>
      <c r="C3" s="65" t="n">
        <v>363.63</v>
      </c>
    </row>
    <row r="6">
      <c r="B6" s="46" t="inlineStr">
        <is>
          <t>Total ingresos investigación 2023-25</t>
        </is>
      </c>
      <c r="C6" s="66">
        <f>C3+Tabla2[[#Totals],[Imp.cob.aplic.]]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iuii@ua.es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2026-05-28T21:59:17Z</dcterms:modified>
  <cp:lastModifiedBy>MARIA TERESA PUJALTE DEVIS</cp:lastModifiedBy>
</cp:coreProperties>
</file>