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'Tesis'!$A$1:$U$47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3" fillId="0" borderId="0"/>
  </cellStyleXfs>
  <cellXfs count="108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 textRotation="90" wrapText="1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6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164" fontId="2" fillId="4" borderId="1" pivotButton="0" quotePrefix="0" xfId="1"/>
    <xf numFmtId="0" fontId="2" fillId="0" borderId="1" pivotButton="0" quotePrefix="0" xfId="1"/>
    <xf numFmtId="0" fontId="10" fillId="6" borderId="1" applyAlignment="1" pivotButton="0" quotePrefix="0" xfId="0">
      <alignment horizontal="left" vertical="center"/>
    </xf>
    <xf numFmtId="165" fontId="2" fillId="4" borderId="1" pivotButton="0" quotePrefix="0" xfId="1"/>
    <xf numFmtId="2" fontId="2" fillId="4" borderId="1" pivotButton="0" quotePrefix="0" xfId="1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166" fontId="0" fillId="8" borderId="2" pivotButton="0" quotePrefix="0" xfId="6"/>
    <xf numFmtId="166" fontId="0" fillId="0" borderId="2" pivotButton="0" quotePrefix="0" xfId="6"/>
    <xf numFmtId="164" fontId="2" fillId="0" borderId="1" pivotButton="0" quotePrefix="0" xfId="1"/>
    <xf numFmtId="164" fontId="2" fillId="0" borderId="3" pivotButton="0" quotePrefix="0" xfId="1"/>
    <xf numFmtId="164" fontId="2" fillId="0" borderId="4" pivotButton="0" quotePrefix="0" xfId="1"/>
    <xf numFmtId="164" fontId="2" fillId="0" borderId="5" pivotButton="0" quotePrefix="0" xfId="1"/>
    <xf numFmtId="0" fontId="2" fillId="0" borderId="3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0" pivotButton="0" quotePrefix="0" xfId="1"/>
    <xf numFmtId="0" fontId="17" fillId="8" borderId="2" pivotButton="0" quotePrefix="0" xfId="0"/>
    <xf numFmtId="0" fontId="17" fillId="0" borderId="2" pivotButton="0" quotePrefix="0" xfId="0"/>
    <xf numFmtId="166" fontId="0" fillId="0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6" fillId="7" borderId="7" pivotButton="0" quotePrefix="0" xfId="0"/>
    <xf numFmtId="0" fontId="17" fillId="8" borderId="8" pivotButton="0" quotePrefix="0" xfId="0"/>
    <xf numFmtId="166" fontId="0" fillId="8" borderId="8" pivotButton="0" quotePrefix="0" xfId="6"/>
    <xf numFmtId="0" fontId="9" fillId="10" borderId="8" pivotButton="0" quotePrefix="0" xfId="0"/>
    <xf numFmtId="166" fontId="13" fillId="10" borderId="8" pivotButton="0" quotePrefix="0" xfId="0"/>
    <xf numFmtId="0" fontId="0" fillId="11" borderId="0" pivotButton="0" quotePrefix="0" xfId="0"/>
    <xf numFmtId="0" fontId="12" fillId="0" borderId="0" pivotButton="0" quotePrefix="0" xfId="0"/>
    <xf numFmtId="0" fontId="0" fillId="8" borderId="2" pivotButton="0" quotePrefix="0" xfId="0"/>
    <xf numFmtId="0" fontId="0" fillId="0" borderId="2" pivotButton="0" quotePrefix="0" xfId="0"/>
    <xf numFmtId="0" fontId="11" fillId="7" borderId="7" pivotButton="0" quotePrefix="0" xfId="0"/>
    <xf numFmtId="0" fontId="0" fillId="0" borderId="8" pivotButton="0" quotePrefix="0" xfId="0"/>
    <xf numFmtId="166" fontId="0" fillId="0" borderId="8" pivotButton="0" quotePrefix="0" xfId="6"/>
    <xf numFmtId="0" fontId="0" fillId="0" borderId="8" pivotButton="0" quotePrefix="0" xfId="0"/>
    <xf numFmtId="166" fontId="13" fillId="0" borderId="8" pivotButton="0" quotePrefix="0" xfId="0"/>
    <xf numFmtId="166" fontId="11" fillId="7" borderId="7" pivotButton="0" quotePrefix="0" xfId="6"/>
    <xf numFmtId="0" fontId="0" fillId="8" borderId="8" pivotButton="0" quotePrefix="0" xfId="0"/>
    <xf numFmtId="0" fontId="0" fillId="10" borderId="8" pivotButton="0" quotePrefix="0" xfId="0"/>
    <xf numFmtId="0" fontId="12" fillId="0" borderId="1" pivotButton="0" quotePrefix="0" xfId="0"/>
    <xf numFmtId="167" fontId="12" fillId="0" borderId="1" pivotButton="0" quotePrefix="0" xfId="6"/>
    <xf numFmtId="0" fontId="0" fillId="11" borderId="1" pivotButton="0" quotePrefix="0" xfId="0"/>
    <xf numFmtId="0" fontId="0" fillId="11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18" fillId="0" borderId="1" pivotButton="0" quotePrefix="0" xfId="0"/>
    <xf numFmtId="0" fontId="0" fillId="11" borderId="1" pivotButton="0" quotePrefix="0" xfId="0"/>
    <xf numFmtId="0" fontId="18" fillId="0" borderId="1" applyAlignment="1" pivotButton="0" quotePrefix="0" xfId="0">
      <alignment horizontal="left"/>
    </xf>
    <xf numFmtId="0" fontId="18" fillId="11" borderId="1" pivotButton="0" quotePrefix="0" xfId="0"/>
    <xf numFmtId="0" fontId="18" fillId="11" borderId="1" applyAlignment="1" pivotButton="0" quotePrefix="0" xfId="0">
      <alignment horizontal="center"/>
    </xf>
    <xf numFmtId="0" fontId="0" fillId="0" borderId="0" pivotButton="0" quotePrefix="0" xfId="5"/>
    <xf numFmtId="0" fontId="14" fillId="12" borderId="9" pivotButton="0" quotePrefix="0" xfId="0"/>
    <xf numFmtId="0" fontId="14" fillId="12" borderId="10" pivotButton="0" quotePrefix="0" xfId="0"/>
    <xf numFmtId="0" fontId="9" fillId="13" borderId="9" pivotButton="0" quotePrefix="0" xfId="0"/>
    <xf numFmtId="0" fontId="9" fillId="13" borderId="10" pivotButton="0" quotePrefix="0" xfId="0"/>
    <xf numFmtId="167" fontId="9" fillId="13" borderId="10" pivotButton="0" quotePrefix="0" xfId="6"/>
    <xf numFmtId="0" fontId="9" fillId="0" borderId="9" pivotButton="0" quotePrefix="0" xfId="0"/>
    <xf numFmtId="0" fontId="9" fillId="0" borderId="10" pivotButton="0" quotePrefix="0" xfId="0"/>
    <xf numFmtId="167" fontId="9" fillId="0" borderId="10" pivotButton="0" quotePrefix="0" xfId="6"/>
    <xf numFmtId="0" fontId="15" fillId="0" borderId="11" pivotButton="0" quotePrefix="0" xfId="0"/>
    <xf numFmtId="0" fontId="15" fillId="0" borderId="12" pivotButton="0" quotePrefix="0" xfId="0"/>
    <xf numFmtId="167" fontId="15" fillId="0" borderId="12" pivotButton="0" quotePrefix="0" xfId="6"/>
    <xf numFmtId="0" fontId="12" fillId="9" borderId="6" applyAlignment="1" pivotButton="0" quotePrefix="0" xfId="0">
      <alignment horizontal="center"/>
    </xf>
    <xf numFmtId="167" fontId="14" fillId="12" borderId="10" pivotButton="0" quotePrefix="0" xfId="6"/>
    <xf numFmtId="167" fontId="15" fillId="0" borderId="12" pivotButton="0" quotePrefix="0" xfId="0"/>
    <xf numFmtId="0" fontId="15" fillId="0" borderId="1" pivotButton="0" quotePrefix="0" xfId="0"/>
    <xf numFmtId="167" fontId="15" fillId="0" borderId="1" pivotButton="0" quotePrefix="0" xfId="6"/>
    <xf numFmtId="164" fontId="2" fillId="4" borderId="1" pivotButton="0" quotePrefix="0" xfId="1"/>
    <xf numFmtId="164" fontId="2" fillId="0" borderId="1" pivotButton="0" quotePrefix="0" xfId="1"/>
    <xf numFmtId="164" fontId="2" fillId="0" borderId="3" pivotButton="0" quotePrefix="0" xfId="1"/>
    <xf numFmtId="165" fontId="2" fillId="4" borderId="1" pivotButton="0" quotePrefix="0" xfId="1"/>
    <xf numFmtId="164" fontId="2" fillId="0" borderId="4" pivotButton="0" quotePrefix="0" xfId="1"/>
    <xf numFmtId="164" fontId="2" fillId="0" borderId="5" pivotButton="0" quotePrefix="0" xfId="1"/>
    <xf numFmtId="164" fontId="3" fillId="2" borderId="0" pivotButton="0" quotePrefix="0" xfId="1"/>
    <xf numFmtId="0" fontId="0" fillId="0" borderId="6" pivotButton="0" quotePrefix="0" xfId="0"/>
    <xf numFmtId="166" fontId="0" fillId="0" borderId="2" pivotButton="0" quotePrefix="0" xfId="6"/>
    <xf numFmtId="166" fontId="0" fillId="8" borderId="2" pivotButton="0" quotePrefix="0" xfId="6"/>
    <xf numFmtId="166" fontId="0" fillId="8" borderId="8" pivotButton="0" quotePrefix="0" xfId="6"/>
    <xf numFmtId="166" fontId="13" fillId="10" borderId="8" pivotButton="0" quotePrefix="0" xfId="0"/>
    <xf numFmtId="166" fontId="0" fillId="0" borderId="0" pivotButton="0" quotePrefix="0" xfId="0"/>
    <xf numFmtId="166" fontId="11" fillId="7" borderId="7" pivotButton="0" quotePrefix="0" xfId="6"/>
    <xf numFmtId="167" fontId="9" fillId="13" borderId="10" pivotButton="0" quotePrefix="0" xfId="6"/>
    <xf numFmtId="167" fontId="9" fillId="0" borderId="10" pivotButton="0" quotePrefix="0" xfId="6"/>
    <xf numFmtId="167" fontId="15" fillId="0" borderId="12" pivotButton="0" quotePrefix="0" xfId="6"/>
    <xf numFmtId="167" fontId="12" fillId="0" borderId="1" pivotButton="0" quotePrefix="0" xfId="6"/>
    <xf numFmtId="166" fontId="0" fillId="0" borderId="8" pivotButton="0" quotePrefix="0" xfId="6"/>
    <xf numFmtId="166" fontId="13" fillId="0" borderId="8" pivotButton="0" quotePrefix="0" xfId="0"/>
    <xf numFmtId="167" fontId="14" fillId="12" borderId="10" pivotButton="0" quotePrefix="0" xfId="6"/>
    <xf numFmtId="167" fontId="15" fillId="0" borderId="12" pivotButton="0" quotePrefix="0" xfId="0"/>
    <xf numFmtId="167" fontId="15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42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5" displayName="Tabla5" ref="A1:C27" headerRowCount="1" totalsRowCount="1" headerRowDxfId="41" totalsRowDxfId="38" headerRowBorderDxfId="40" tableBorderDxfId="39" totalsRowBorderDxfId="37">
  <autoFilter ref="A1:C26"/>
  <tableColumns count="3">
    <tableColumn id="1" name="Cód. org. aplic." totalsRowLabel="Total" dataDxfId="36" totalsRowDxfId="35"/>
    <tableColumn id="2" name="Descripción justificante" dataDxfId="34" totalsRowDxfId="33"/>
    <tableColumn id="3" name="Imp.cob.aplic." totalsRowFunction="sum" dataDxfId="32" totalsRowDxfId="31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6" displayName="Tabla6" ref="A1:C17" headerRowCount="1" totalsRowCount="1" totalsRowDxfId="28" headerRowBorderDxfId="30" tableBorderDxfId="29" totalsRowBorderDxfId="27">
  <autoFilter ref="A1:C16"/>
  <tableColumns count="3">
    <tableColumn id="1" name="Org. aplic." totalsRowLabel="Total" dataDxfId="26" totalsRowDxfId="25"/>
    <tableColumn id="2" name="Descripción justificante" dataDxfId="24" totalsRowDxfId="23"/>
    <tableColumn id="3" name="Imp. aplic." totalsRowFunction="sum" dataDxfId="22" totalsRowDxfId="21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" displayName="Tabla1" ref="A1:C11" headerRowCount="1" totalsRowCount="1" headerRowDxfId="20" totalsRowDxfId="17" headerRowBorderDxfId="19" tableBorderDxfId="18" totalsRowBorderDxfId="16">
  <autoFilter ref="A1:C10"/>
  <tableColumns count="3">
    <tableColumn id="1" name="Cód. org. aplic." totalsRowLabel="Total" dataDxfId="15" totalsRowDxfId="14"/>
    <tableColumn id="2" name="Descripción justificante" dataDxfId="13" totalsRowDxfId="12"/>
    <tableColumn id="3" name="Imp.cob.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2" displayName="Tabla2" ref="A1:C54" headerRowCount="1" totalsRowCount="1" headerRowDxfId="9" headerRowBorderDxfId="8" tableBorderDxfId="7" totalsRowBorderDxfId="6">
  <autoFilter ref="A1:C53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showGridLines="0" topLeftCell="C16" zoomScale="120" zoomScaleNormal="120" workbookViewId="0">
      <selection activeCell="T47" sqref="T47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5.28515625" customWidth="1" style="7" min="13" max="13"/>
    <col width="4.85546875" customWidth="1" style="6" min="14" max="14"/>
    <col width="5.28515625" customWidth="1" style="7" min="15" max="15"/>
    <col width="4.85546875" customWidth="1" style="6" min="16" max="16"/>
    <col width="3.5703125" customWidth="1" style="7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5" t="inlineStr">
        <is>
          <t xml:space="preserve">U044 </t>
        </is>
      </c>
      <c r="B2" s="15" t="inlineStr">
        <is>
          <t xml:space="preserve">ADM. FACULTAD DE CIENCIAS DE LA SALUD </t>
        </is>
      </c>
      <c r="C2" s="15" t="inlineStr">
        <is>
          <t xml:space="preserve">DOCTORADO EN CIENCIAS DE LA SALUD </t>
        </is>
      </c>
      <c r="D2" s="15" t="inlineStr">
        <is>
          <t xml:space="preserve">Oruc , Mirza </t>
        </is>
      </c>
      <c r="E2" s="15" t="inlineStr">
        <is>
          <t xml:space="preserve">Comparative Analysis in Palliative Care Competencies </t>
        </is>
      </c>
      <c r="F2" s="15" t="inlineStr">
        <is>
          <t xml:space="preserve">27/07/2020 </t>
        </is>
      </c>
      <c r="G2" s="15" t="inlineStr">
        <is>
          <t xml:space="preserve">22122086L </t>
        </is>
      </c>
      <c r="H2" s="15" t="inlineStr">
        <is>
          <t xml:space="preserve">Codirector de tesis </t>
        </is>
      </c>
      <c r="I2" s="15" t="inlineStr">
        <is>
          <t xml:space="preserve">B134 </t>
        </is>
      </c>
      <c r="J2" s="15" t="inlineStr">
        <is>
          <t xml:space="preserve">ENFERMERIA </t>
        </is>
      </c>
      <c r="K2" s="85" t="n">
        <v>0.5</v>
      </c>
      <c r="L2" s="15" t="inlineStr">
        <is>
          <t>B134</t>
        </is>
      </c>
      <c r="M2" s="15" t="n">
        <v>2019</v>
      </c>
      <c r="N2" s="15" t="inlineStr">
        <is>
          <t>10.06</t>
        </is>
      </c>
      <c r="O2" s="16" t="inlineStr">
        <is>
          <t>10</t>
        </is>
      </c>
      <c r="P2" s="15" t="inlineStr"/>
      <c r="Q2" s="16" t="inlineStr"/>
      <c r="R2" s="17" t="n">
        <v>90</v>
      </c>
      <c r="S2" s="85" t="n">
        <v>0.45</v>
      </c>
      <c r="T2" s="86" t="n">
        <v>0.05</v>
      </c>
      <c r="U2" s="87" t="n">
        <v>0</v>
      </c>
    </row>
    <row r="3">
      <c r="A3" s="15" t="inlineStr">
        <is>
          <t xml:space="preserve">U058 </t>
        </is>
      </c>
      <c r="B3" s="15" t="inlineStr">
        <is>
          <t xml:space="preserve">ADM. I.U. DE INVESTIGACIONES TURÍSTICAS </t>
        </is>
      </c>
      <c r="C3" s="15" t="inlineStr">
        <is>
          <t xml:space="preserve">DOCTORADO EN TURISMO </t>
        </is>
      </c>
      <c r="D3" s="15" t="inlineStr">
        <is>
          <t xml:space="preserve">Navarro Ruiz, Sandra </t>
        </is>
      </c>
      <c r="E3" s="15" t="inlineStr">
        <is>
          <t xml:space="preserve">"COMPORTAMIENTO INTRADESTINO DE LOS VISITANTES E IMPLICACIONES PARA LA GESTIÓN TURÍSTICA LOCAL. ESTUDIO DE LOS VISITANTES DE CRUCERO EN VALENCIA" </t>
        </is>
      </c>
      <c r="F3" s="15" t="inlineStr">
        <is>
          <t xml:space="preserve">10/12/2019 </t>
        </is>
      </c>
      <c r="G3" s="15" t="inlineStr">
        <is>
          <t xml:space="preserve">25126276H </t>
        </is>
      </c>
      <c r="H3" s="15" t="inlineStr">
        <is>
          <t xml:space="preserve">Codirector de tesis </t>
        </is>
      </c>
      <c r="I3" s="15" t="inlineStr">
        <is>
          <t xml:space="preserve">B173 </t>
        </is>
      </c>
      <c r="J3" s="15" t="inlineStr">
        <is>
          <t xml:space="preserve">ANÁLISIS GEOGRÁFICO REGIONAL Y GEOGRAFÍA FÍSICA </t>
        </is>
      </c>
      <c r="K3" s="85" t="n">
        <v>0.5</v>
      </c>
      <c r="L3" s="15" t="inlineStr">
        <is>
          <t>B173</t>
        </is>
      </c>
      <c r="M3" s="15" t="n">
        <v>2019</v>
      </c>
      <c r="N3" s="15" t="inlineStr">
        <is>
          <t>10.06</t>
        </is>
      </c>
      <c r="O3" s="16" t="inlineStr">
        <is>
          <t>10</t>
        </is>
      </c>
      <c r="P3" s="15" t="inlineStr">
        <is>
          <t>10.17</t>
        </is>
      </c>
      <c r="Q3" s="16" t="inlineStr">
        <is>
          <t>70</t>
        </is>
      </c>
      <c r="R3" s="17" t="n">
        <v>20</v>
      </c>
      <c r="S3" s="85" t="n">
        <v>0.1</v>
      </c>
      <c r="T3" s="86" t="n">
        <v>0.05</v>
      </c>
      <c r="U3" s="87" t="n">
        <v>0.35</v>
      </c>
    </row>
    <row r="4">
      <c r="A4" s="15" t="inlineStr">
        <is>
          <t xml:space="preserve">U058 </t>
        </is>
      </c>
      <c r="B4" s="15" t="inlineStr">
        <is>
          <t xml:space="preserve">ADM. I.U. DE INVESTIGACIONES TURÍSTICAS </t>
        </is>
      </c>
      <c r="C4" s="15" t="inlineStr">
        <is>
          <t xml:space="preserve">DOCTORADO EN TURISMO </t>
        </is>
      </c>
      <c r="D4" s="15" t="inlineStr">
        <is>
          <t xml:space="preserve">Femenia Serra, Francisco </t>
        </is>
      </c>
      <c r="E4" s="15" t="inlineStr">
        <is>
          <t xml:space="preserve">SMART TOURISM DESTINATIONS: A DEMAND-BASED APPROACH FOR IMPROVING LOCAL TOURISM MANAGENENT </t>
        </is>
      </c>
      <c r="F4" s="15" t="inlineStr">
        <is>
          <t xml:space="preserve">03/12/2019 </t>
        </is>
      </c>
      <c r="G4" s="15" t="inlineStr">
        <is>
          <t xml:space="preserve">25126276H </t>
        </is>
      </c>
      <c r="H4" s="15" t="inlineStr">
        <is>
          <t xml:space="preserve">Director de tesis </t>
        </is>
      </c>
      <c r="I4" s="15" t="inlineStr">
        <is>
          <t xml:space="preserve">B173 </t>
        </is>
      </c>
      <c r="J4" s="15" t="inlineStr">
        <is>
          <t xml:space="preserve">ANÁLISIS GEOGRÁFICO REGIONAL Y GEOGRAFÍA FÍSICA </t>
        </is>
      </c>
      <c r="K4" s="85" t="n">
        <v>1</v>
      </c>
      <c r="L4" s="15" t="inlineStr">
        <is>
          <t>B173</t>
        </is>
      </c>
      <c r="M4" s="15" t="n">
        <v>2019</v>
      </c>
      <c r="N4" s="15" t="inlineStr">
        <is>
          <t>10.06</t>
        </is>
      </c>
      <c r="O4" s="16" t="inlineStr">
        <is>
          <t>10</t>
        </is>
      </c>
      <c r="P4" s="15" t="inlineStr">
        <is>
          <t>10.17</t>
        </is>
      </c>
      <c r="Q4" s="16" t="inlineStr">
        <is>
          <t>70</t>
        </is>
      </c>
      <c r="R4" s="17" t="n">
        <v>20</v>
      </c>
      <c r="S4" s="85" t="n">
        <v>0.2</v>
      </c>
      <c r="T4" s="86" t="n">
        <v>0.1</v>
      </c>
      <c r="U4" s="87" t="n">
        <v>0.7</v>
      </c>
    </row>
    <row r="5">
      <c r="A5" s="15" t="inlineStr">
        <is>
          <t xml:space="preserve">U062 </t>
        </is>
      </c>
      <c r="B5" s="15" t="inlineStr">
        <is>
          <t xml:space="preserve">ADM. I.U. DE INVESTIGACIÓN INFORMÁTICA </t>
        </is>
      </c>
      <c r="C5" s="15" t="inlineStr">
        <is>
          <t xml:space="preserve">DOCTORADO EN INFORMÁTICA </t>
        </is>
      </c>
      <c r="D5" s="15" t="inlineStr">
        <is>
          <t xml:space="preserve">Escobar Esteban, María Pilar </t>
        </is>
      </c>
      <c r="E5" s="15" t="inlineStr">
        <is>
          <t xml:space="preserve">UN ENFOQUE MULTIDIMENSIONAL BASADO EN RDF PARA LA PUBLICACIÓN DE LINKED OPEN DATA </t>
        </is>
      </c>
      <c r="F5" s="15" t="inlineStr">
        <is>
          <t xml:space="preserve">07/07/2020 </t>
        </is>
      </c>
      <c r="G5" s="15" t="inlineStr">
        <is>
          <t xml:space="preserve">21395951V </t>
        </is>
      </c>
      <c r="H5" s="15" t="inlineStr">
        <is>
          <t xml:space="preserve">Codirector de tesis </t>
        </is>
      </c>
      <c r="I5" s="15" t="inlineStr">
        <is>
          <t xml:space="preserve">B158 </t>
        </is>
      </c>
      <c r="J5" s="15" t="inlineStr">
        <is>
          <t xml:space="preserve">LENGUAJES Y SISTEMAS INFORMÁTICOS </t>
        </is>
      </c>
      <c r="K5" s="88" t="n">
        <v>0.5</v>
      </c>
      <c r="L5" s="15" t="inlineStr">
        <is>
          <t>B158</t>
        </is>
      </c>
      <c r="M5" s="15" t="n">
        <v>2019</v>
      </c>
      <c r="N5" s="15" t="inlineStr">
        <is>
          <t>10.06</t>
        </is>
      </c>
      <c r="O5" s="16" t="inlineStr">
        <is>
          <t>10</t>
        </is>
      </c>
      <c r="P5" s="15" t="inlineStr">
        <is>
          <t>10.19</t>
        </is>
      </c>
      <c r="Q5" s="16" t="inlineStr">
        <is>
          <t>10</t>
        </is>
      </c>
      <c r="R5" s="17" t="n">
        <v>80</v>
      </c>
      <c r="S5" s="85" t="n">
        <v>0.4</v>
      </c>
      <c r="T5" s="86" t="n">
        <v>0.05</v>
      </c>
      <c r="U5" s="87" t="n">
        <v>0.05</v>
      </c>
    </row>
    <row r="6">
      <c r="A6" s="15" t="inlineStr">
        <is>
          <t xml:space="preserve">U044 </t>
        </is>
      </c>
      <c r="B6" s="15" t="inlineStr">
        <is>
          <t xml:space="preserve">ADM. FACULTAD DE CIENCIAS DE LA SALUD </t>
        </is>
      </c>
      <c r="C6" s="15" t="inlineStr">
        <is>
          <t xml:space="preserve">DOCTORADO EN CIENCIAS DE LA SALUD </t>
        </is>
      </c>
      <c r="D6" s="15" t="inlineStr">
        <is>
          <t xml:space="preserve">Martínez García, Alba </t>
        </is>
      </c>
      <c r="E6" s="15" t="inlineStr">
        <is>
          <t xml:space="preserve">Ambiente obesogénico: Barreras para mantener un peso saludable </t>
        </is>
      </c>
      <c r="F6" s="15" t="inlineStr">
        <is>
          <t xml:space="preserve">14/12/2020 </t>
        </is>
      </c>
      <c r="G6" s="15" t="inlineStr">
        <is>
          <t xml:space="preserve">21677876P </t>
        </is>
      </c>
      <c r="H6" s="15" t="inlineStr">
        <is>
          <t xml:space="preserve">Codirector de tesis </t>
        </is>
      </c>
      <c r="I6" s="15" t="inlineStr">
        <is>
          <t xml:space="preserve">B170 </t>
        </is>
      </c>
      <c r="J6" s="15" t="inlineStr">
        <is>
          <t xml:space="preserve">ENFERMERÍA COMUNITARIA, MEDICINA PREVENTIVA Y SALUD PÚBLICA </t>
        </is>
      </c>
      <c r="K6" s="88" t="n">
        <v>0.5</v>
      </c>
      <c r="L6" s="15" t="inlineStr">
        <is>
          <t>B170</t>
        </is>
      </c>
      <c r="M6" s="15" t="n">
        <v>2019</v>
      </c>
      <c r="N6" s="15" t="inlineStr">
        <is>
          <t>10.06</t>
        </is>
      </c>
      <c r="O6" s="16" t="n">
        <v>50</v>
      </c>
      <c r="P6" s="15" t="inlineStr"/>
      <c r="Q6" s="16" t="n">
        <v>0</v>
      </c>
      <c r="R6" s="17" t="n">
        <v>50</v>
      </c>
      <c r="S6" s="85" t="n">
        <v>0.25</v>
      </c>
      <c r="T6" s="86" t="n">
        <v>0.25</v>
      </c>
      <c r="U6" s="87" t="n">
        <v>0</v>
      </c>
    </row>
    <row r="7">
      <c r="A7" s="15" t="inlineStr">
        <is>
          <t xml:space="preserve">B138 </t>
        </is>
      </c>
      <c r="B7" s="15" t="inlineStr">
        <is>
          <t xml:space="preserve">ANALISIS ECONOMICO APLICADO </t>
        </is>
      </c>
      <c r="C7" s="15" t="inlineStr">
        <is>
          <t xml:space="preserve">DOCTORADO EN ECONOMÍA </t>
        </is>
      </c>
      <c r="D7" s="15" t="inlineStr">
        <is>
          <t xml:space="preserve">Sarmiento Moscoso, Luis Santiago </t>
        </is>
      </c>
      <c r="E7" s="15" t="inlineStr">
        <is>
          <t xml:space="preserve">Tres estudios sobre la descomposición de las diferencias salariales regionales en Ecuador a lo largo de la distribución salarial </t>
        </is>
      </c>
      <c r="F7" s="15" t="inlineStr">
        <is>
          <t xml:space="preserve">06/09/2021 </t>
        </is>
      </c>
      <c r="G7" s="15" t="inlineStr">
        <is>
          <t xml:space="preserve">21494190T </t>
        </is>
      </c>
      <c r="H7" s="15" t="inlineStr">
        <is>
          <t xml:space="preserve">Codirector de tesis </t>
        </is>
      </c>
      <c r="I7" s="15" t="inlineStr">
        <is>
          <t xml:space="preserve">B138 </t>
        </is>
      </c>
      <c r="J7" s="15" t="inlineStr">
        <is>
          <t xml:space="preserve">ANALISIS ECONOMICO APLICADO </t>
        </is>
      </c>
      <c r="K7" s="88" t="n">
        <v>0.5</v>
      </c>
      <c r="L7" s="15" t="inlineStr">
        <is>
          <t>B138</t>
        </is>
      </c>
      <c r="M7" s="15" t="n">
        <v>2020</v>
      </c>
      <c r="N7" s="15" t="inlineStr">
        <is>
          <t>10.06</t>
        </is>
      </c>
      <c r="O7" s="16" t="n">
        <v>50</v>
      </c>
      <c r="P7" s="15" t="inlineStr"/>
      <c r="Q7" s="16" t="n">
        <v>0</v>
      </c>
      <c r="R7" s="17" t="n">
        <v>50</v>
      </c>
      <c r="S7" s="85" t="n">
        <v>0.25</v>
      </c>
      <c r="T7" s="86" t="n">
        <v>0.25</v>
      </c>
      <c r="U7" s="87" t="n">
        <v>0</v>
      </c>
    </row>
    <row r="8">
      <c r="A8" s="15" t="inlineStr">
        <is>
          <t xml:space="preserve">U036 </t>
        </is>
      </c>
      <c r="B8" s="15" t="inlineStr">
        <is>
          <t xml:space="preserve">ADM. FACULTAD DE CIENCIAS ECONÓMICAS </t>
        </is>
      </c>
      <c r="C8" s="15" t="inlineStr">
        <is>
          <t xml:space="preserve">DOCTORADO EN EMPRESA, ECONOMÍA Y SOCIEDAD </t>
        </is>
      </c>
      <c r="D8" s="15" t="inlineStr">
        <is>
          <t xml:space="preserve">Escandell Poveda, Raquel </t>
        </is>
      </c>
      <c r="E8" s="15" t="inlineStr">
        <is>
          <t xml:space="preserve">Radiografía del Seo en España: demanda laboral, sector empresarial y perfil profesional del posicionamiento web </t>
        </is>
      </c>
      <c r="F8" s="15" t="inlineStr">
        <is>
          <t xml:space="preserve">28/07/2021 </t>
        </is>
      </c>
      <c r="G8" s="15" t="inlineStr">
        <is>
          <t xml:space="preserve">21499146B </t>
        </is>
      </c>
      <c r="H8" s="15" t="inlineStr">
        <is>
          <t xml:space="preserve">Codirector de tesis </t>
        </is>
      </c>
      <c r="I8" s="15" t="inlineStr">
        <is>
          <t xml:space="preserve">B175 </t>
        </is>
      </c>
      <c r="J8" s="15" t="inlineStr">
        <is>
          <t xml:space="preserve">COMUNICACIÓN Y PSICOLOGÍA SOCIAL </t>
        </is>
      </c>
      <c r="K8" s="88" t="n">
        <v>0.5</v>
      </c>
      <c r="L8" s="15" t="inlineStr">
        <is>
          <t>B175</t>
        </is>
      </c>
      <c r="M8" s="15" t="n">
        <v>2020</v>
      </c>
      <c r="N8" s="15" t="inlineStr">
        <is>
          <t>10.06</t>
        </is>
      </c>
      <c r="O8" s="16" t="n">
        <v>20</v>
      </c>
      <c r="P8" s="15" t="inlineStr">
        <is>
          <t>10.23</t>
        </is>
      </c>
      <c r="Q8" s="16" t="n">
        <v>20</v>
      </c>
      <c r="R8" s="17" t="n">
        <v>60</v>
      </c>
      <c r="S8" s="85" t="n">
        <v>0.3</v>
      </c>
      <c r="T8" s="86" t="n">
        <v>0.1</v>
      </c>
      <c r="U8" s="87" t="n">
        <v>0.1</v>
      </c>
    </row>
    <row r="9">
      <c r="A9" s="15" t="inlineStr">
        <is>
          <t xml:space="preserve">U044 </t>
        </is>
      </c>
      <c r="B9" s="15" t="inlineStr">
        <is>
          <t xml:space="preserve">ADM. FACULTAD DE CIENCIAS DE LA SALUD </t>
        </is>
      </c>
      <c r="C9" s="15" t="inlineStr">
        <is>
          <t xml:space="preserve">DOCTORADO EN CIENCIAS DE LA SALUD </t>
        </is>
      </c>
      <c r="D9" s="15" t="inlineStr">
        <is>
          <t xml:space="preserve">Sáinz Ruiz, Pablo Alberto </t>
        </is>
      </c>
      <c r="E9" s="15" t="inlineStr">
        <is>
          <t xml:space="preserve">IDENTIFICACIÓN Y VALORACIÓN DE LOS ACTIVOS PARA LA SALUD. ANÁLISIS EPISTEMOLÓGICO Y MODELO DE MEDICIÓN </t>
        </is>
      </c>
      <c r="F9" s="15" t="inlineStr">
        <is>
          <t xml:space="preserve">14/01/2021 </t>
        </is>
      </c>
      <c r="G9" s="15" t="inlineStr">
        <is>
          <t xml:space="preserve">22630445D </t>
        </is>
      </c>
      <c r="H9" s="15" t="inlineStr">
        <is>
          <t xml:space="preserve">Codirector de tesis </t>
        </is>
      </c>
      <c r="I9" s="15" t="inlineStr">
        <is>
          <t xml:space="preserve">B170 </t>
        </is>
      </c>
      <c r="J9" s="15" t="inlineStr">
        <is>
          <t xml:space="preserve">ENFERMERÍA COMUNITARIA, MEDICINA PREVENTIVA Y SALUD PÚBLICA </t>
        </is>
      </c>
      <c r="K9" s="88" t="n">
        <v>0.5</v>
      </c>
      <c r="L9" s="15" t="inlineStr">
        <is>
          <t>B170</t>
        </is>
      </c>
      <c r="M9" s="15" t="n">
        <v>2020</v>
      </c>
      <c r="N9" s="15" t="inlineStr">
        <is>
          <t>10.06</t>
        </is>
      </c>
      <c r="O9" s="16" t="n">
        <v>10</v>
      </c>
      <c r="P9" s="15" t="inlineStr"/>
      <c r="Q9" s="16" t="n">
        <v>0</v>
      </c>
      <c r="R9" s="17" t="n">
        <v>90</v>
      </c>
      <c r="S9" s="85" t="n">
        <v>0.45</v>
      </c>
      <c r="T9" s="86" t="n">
        <v>0.05</v>
      </c>
      <c r="U9" s="87" t="n">
        <v>0</v>
      </c>
    </row>
    <row r="10">
      <c r="A10" s="15" t="inlineStr">
        <is>
          <t xml:space="preserve">U044 </t>
        </is>
      </c>
      <c r="B10" s="15" t="inlineStr">
        <is>
          <t xml:space="preserve">ADM. FACULTAD DE CIENCIAS DE LA SALUD </t>
        </is>
      </c>
      <c r="C10" s="15" t="inlineStr">
        <is>
          <t xml:space="preserve">DOCTORADO EN CIENCIAS DE LA SALUD </t>
        </is>
      </c>
      <c r="D10" s="15" t="inlineStr">
        <is>
          <t xml:space="preserve">Martínez Martínez, Concepción </t>
        </is>
      </c>
      <c r="E10" s="15" t="inlineStr">
        <is>
          <t xml:space="preserve">Estigma de los profesionales de la salud hacia las pesonas con trastorno mental: Eficacia de una intervención de contactos. </t>
        </is>
      </c>
      <c r="F10" s="15" t="inlineStr">
        <is>
          <t xml:space="preserve">11/06/2021 </t>
        </is>
      </c>
      <c r="G10" s="15" t="inlineStr">
        <is>
          <t xml:space="preserve">22122086L </t>
        </is>
      </c>
      <c r="H10" s="15" t="inlineStr">
        <is>
          <t xml:space="preserve">Codirector de tesis </t>
        </is>
      </c>
      <c r="I10" s="15" t="inlineStr">
        <is>
          <t xml:space="preserve">B134 </t>
        </is>
      </c>
      <c r="J10" s="15" t="inlineStr">
        <is>
          <t xml:space="preserve">ENFERMERIA </t>
        </is>
      </c>
      <c r="K10" s="88" t="n">
        <v>0.5</v>
      </c>
      <c r="L10" s="15" t="inlineStr">
        <is>
          <t>B134</t>
        </is>
      </c>
      <c r="M10" s="15" t="n">
        <v>2020</v>
      </c>
      <c r="N10" s="15" t="inlineStr">
        <is>
          <t>10.06</t>
        </is>
      </c>
      <c r="O10" s="16" t="n">
        <v>10</v>
      </c>
      <c r="P10" s="15" t="inlineStr"/>
      <c r="Q10" s="16" t="n">
        <v>0</v>
      </c>
      <c r="R10" s="17" t="n">
        <v>90</v>
      </c>
      <c r="S10" s="85" t="n">
        <v>0.45</v>
      </c>
      <c r="T10" s="86" t="n">
        <v>0.05</v>
      </c>
      <c r="U10" s="89" t="n">
        <v>0</v>
      </c>
    </row>
    <row r="11">
      <c r="A11" s="15" t="inlineStr">
        <is>
          <t xml:space="preserve">U044 </t>
        </is>
      </c>
      <c r="B11" s="15" t="inlineStr">
        <is>
          <t xml:space="preserve">ADM. FACULTAD DE CIENCIAS DE LA SALUD </t>
        </is>
      </c>
      <c r="C11" s="15" t="inlineStr">
        <is>
          <t xml:space="preserve">DOCTORADO EN CIENCIAS DE LA SALUD </t>
        </is>
      </c>
      <c r="D11" s="15" t="inlineStr">
        <is>
          <t xml:space="preserve">San Onofre Bernat, Nadia </t>
        </is>
      </c>
      <c r="E11" s="15" t="inlineStr">
        <is>
          <t xml:space="preserve">CALIDAD DE LA DIETA DE LA POBLACIÓN ADULTA DE LA COMUNITAT VALENCIANA EN </t>
        </is>
      </c>
      <c r="F11" s="15" t="inlineStr">
        <is>
          <t xml:space="preserve">04/06/2021 </t>
        </is>
      </c>
      <c r="G11" s="15" t="inlineStr">
        <is>
          <t xml:space="preserve">21677876P </t>
        </is>
      </c>
      <c r="H11" s="15" t="inlineStr">
        <is>
          <t xml:space="preserve">Codirector de tesis </t>
        </is>
      </c>
      <c r="I11" s="15" t="inlineStr">
        <is>
          <t xml:space="preserve">B170 </t>
        </is>
      </c>
      <c r="J11" s="15" t="inlineStr">
        <is>
          <t xml:space="preserve">ENFERMERÍA COMUNITARIA, MEDICINA PREVENTIVA Y SALUD PÚBLICA </t>
        </is>
      </c>
      <c r="K11" s="88" t="n">
        <v>0.5</v>
      </c>
      <c r="L11" s="15" t="inlineStr">
        <is>
          <t>B170</t>
        </is>
      </c>
      <c r="M11" s="15" t="n">
        <v>2020</v>
      </c>
      <c r="N11" s="15" t="inlineStr">
        <is>
          <t>10.06</t>
        </is>
      </c>
      <c r="O11" s="16" t="n">
        <v>50</v>
      </c>
      <c r="P11" s="15" t="inlineStr"/>
      <c r="Q11" s="16" t="n">
        <v>0</v>
      </c>
      <c r="R11" s="17" t="n">
        <v>50</v>
      </c>
      <c r="S11" s="85" t="n">
        <v>0.25</v>
      </c>
      <c r="T11" s="86" t="n">
        <v>0.25</v>
      </c>
      <c r="U11" s="90" t="n">
        <v>0</v>
      </c>
    </row>
    <row r="12">
      <c r="A12" s="15" t="inlineStr">
        <is>
          <t xml:space="preserve">U058 </t>
        </is>
      </c>
      <c r="B12" s="15" t="inlineStr">
        <is>
          <t xml:space="preserve">ADM. I.U. DE INVESTIGACIONES TURÍSTICAS </t>
        </is>
      </c>
      <c r="C12" s="15" t="inlineStr">
        <is>
          <t xml:space="preserve">DOCTORADO EN TURISMO </t>
        </is>
      </c>
      <c r="D12" s="15" t="inlineStr">
        <is>
          <t xml:space="preserve">Rodríguez Pallas, Ángel </t>
        </is>
      </c>
      <c r="E12" s="15" t="inlineStr">
        <is>
          <t xml:space="preserve">Agencias de viaje, convivencia del negocio online-offline. El impacto de las TIC, los cambios en los hábitos de consumo y la importancia del marketing relacional </t>
        </is>
      </c>
      <c r="F12" s="15" t="inlineStr">
        <is>
          <t xml:space="preserve">26/02/2021 </t>
        </is>
      </c>
      <c r="G12" s="15" t="inlineStr">
        <is>
          <t xml:space="preserve">25126276H </t>
        </is>
      </c>
      <c r="H12" s="15" t="inlineStr">
        <is>
          <t xml:space="preserve">Codirector de tesis </t>
        </is>
      </c>
      <c r="I12" s="15" t="inlineStr">
        <is>
          <t xml:space="preserve">B173 </t>
        </is>
      </c>
      <c r="J12" s="15" t="inlineStr">
        <is>
          <t xml:space="preserve">ANÁLISIS GEOGRÁFICO REGIONAL Y GEOGRAFÍA FÍSICA </t>
        </is>
      </c>
      <c r="K12" s="88" t="n">
        <v>0.5</v>
      </c>
      <c r="L12" s="15" t="inlineStr">
        <is>
          <t>B173</t>
        </is>
      </c>
      <c r="M12" s="15" t="n">
        <v>2020</v>
      </c>
      <c r="N12" s="15" t="inlineStr">
        <is>
          <t>10.06</t>
        </is>
      </c>
      <c r="O12" s="16" t="n">
        <v>10</v>
      </c>
      <c r="P12" s="15" t="inlineStr">
        <is>
          <t>10.17</t>
        </is>
      </c>
      <c r="Q12" s="16" t="n">
        <v>70</v>
      </c>
      <c r="R12" s="17" t="n">
        <v>20</v>
      </c>
      <c r="S12" s="22" t="n">
        <v>0.1</v>
      </c>
      <c r="T12" s="86" t="n">
        <v>0.05</v>
      </c>
      <c r="U12" s="90" t="n">
        <v>0.35</v>
      </c>
    </row>
    <row r="13">
      <c r="A13" s="15" t="inlineStr">
        <is>
          <t xml:space="preserve">B119 </t>
        </is>
      </c>
      <c r="B13" s="15" t="inlineStr">
        <is>
          <t xml:space="preserve">FUNDAMENTOS DEL ANÁLISIS ECONÓMICO </t>
        </is>
      </c>
      <c r="C13" s="15" t="inlineStr">
        <is>
          <t xml:space="preserve">DOCTORADO EN ECONOMÍA </t>
        </is>
      </c>
      <c r="D13" s="15" t="inlineStr">
        <is>
          <t xml:space="preserve">Simón Albert, Raquel </t>
        </is>
      </c>
      <c r="E13" s="15" t="inlineStr">
        <is>
          <t xml:space="preserve">Three empirical essays on daily residence-work mobility and labor market areas </t>
        </is>
      </c>
      <c r="F13" s="15" t="inlineStr">
        <is>
          <t xml:space="preserve">24/05/2022 </t>
        </is>
      </c>
      <c r="G13" s="15" t="inlineStr">
        <is>
          <t xml:space="preserve">21494190T </t>
        </is>
      </c>
      <c r="H13" s="15" t="inlineStr">
        <is>
          <t xml:space="preserve">Codirector de tesis </t>
        </is>
      </c>
      <c r="I13" s="15" t="inlineStr">
        <is>
          <t xml:space="preserve">B138 </t>
        </is>
      </c>
      <c r="J13" s="15" t="inlineStr">
        <is>
          <t xml:space="preserve">ANALISIS ECONOMICO APLICADO </t>
        </is>
      </c>
      <c r="K13" s="88" t="n">
        <v>0.5</v>
      </c>
      <c r="L13" s="15" t="inlineStr">
        <is>
          <t>B138</t>
        </is>
      </c>
      <c r="M13" s="15" t="n">
        <v>2021</v>
      </c>
      <c r="N13" s="15" t="inlineStr">
        <is>
          <t>10.06</t>
        </is>
      </c>
      <c r="O13" s="16" t="n">
        <v>50</v>
      </c>
      <c r="P13" s="15" t="inlineStr"/>
      <c r="Q13" s="16" t="n">
        <v>0</v>
      </c>
      <c r="R13" s="17" t="n">
        <v>50</v>
      </c>
      <c r="S13" s="22" t="n">
        <v>0.25</v>
      </c>
      <c r="T13" s="86" t="n">
        <v>0.25</v>
      </c>
      <c r="U13" s="90" t="n">
        <v>0</v>
      </c>
    </row>
    <row r="14">
      <c r="A14" s="15" t="inlineStr">
        <is>
          <t xml:space="preserve">B138 </t>
        </is>
      </c>
      <c r="B14" s="15" t="inlineStr">
        <is>
          <t xml:space="preserve">ANALISIS ECONOMICO APLICADO </t>
        </is>
      </c>
      <c r="C14" s="15" t="inlineStr">
        <is>
          <t xml:space="preserve">DOCTORADO EN ECONOMÍA </t>
        </is>
      </c>
      <c r="D14" s="15" t="inlineStr">
        <is>
          <t xml:space="preserve">Pastor Pomares, Francisco </t>
        </is>
      </c>
      <c r="E14" s="15" t="inlineStr">
        <is>
          <t xml:space="preserve">Acuerdos comerciales regionales (Estudio de caso sobre sus impactos y efectos bajo un modelo gravitacional) </t>
        </is>
      </c>
      <c r="F14" s="15" t="inlineStr">
        <is>
          <t xml:space="preserve">18/07/2022 </t>
        </is>
      </c>
      <c r="G14" s="15" t="inlineStr">
        <is>
          <t xml:space="preserve">74149704G </t>
        </is>
      </c>
      <c r="H14" s="15" t="inlineStr">
        <is>
          <t xml:space="preserve">Codirector de tesis </t>
        </is>
      </c>
      <c r="I14" s="15" t="inlineStr">
        <is>
          <t xml:space="preserve">B138 </t>
        </is>
      </c>
      <c r="J14" s="15" t="inlineStr">
        <is>
          <t xml:space="preserve">ANALISIS ECONOMICO APLICADO </t>
        </is>
      </c>
      <c r="K14" s="88" t="n">
        <v>0.5</v>
      </c>
      <c r="L14" s="15" t="inlineStr">
        <is>
          <t>B138</t>
        </is>
      </c>
      <c r="M14" s="15" t="n">
        <v>2021</v>
      </c>
      <c r="N14" s="15" t="inlineStr">
        <is>
          <t>10.06</t>
        </is>
      </c>
      <c r="O14" s="16" t="n">
        <v>90</v>
      </c>
      <c r="P14" s="15" t="inlineStr"/>
      <c r="Q14" s="16" t="n">
        <v>0</v>
      </c>
      <c r="R14" s="17" t="n">
        <v>10</v>
      </c>
      <c r="S14" s="85" t="n">
        <v>0.05</v>
      </c>
      <c r="T14" s="86" t="n">
        <v>0.45</v>
      </c>
      <c r="U14" s="90" t="n">
        <v>0</v>
      </c>
    </row>
    <row r="15">
      <c r="A15" s="15" t="inlineStr">
        <is>
          <t xml:space="preserve">U058 </t>
        </is>
      </c>
      <c r="B15" s="15" t="inlineStr">
        <is>
          <t xml:space="preserve">ADM. I.U. DE INVESTIGACIONES TURÍSTICAS </t>
        </is>
      </c>
      <c r="C15" s="15" t="inlineStr">
        <is>
          <t xml:space="preserve">DOCTORADO EN TURISMO </t>
        </is>
      </c>
      <c r="D15" s="15" t="inlineStr">
        <is>
          <t xml:space="preserve">Ibragimov , Khusen </t>
        </is>
      </c>
      <c r="E15" s="15" t="inlineStr">
        <is>
          <t xml:space="preserve">THE DETERMINANTS OF TOURISM DEMAND IN CENTRAL ASIA </t>
        </is>
      </c>
      <c r="F15" s="15" t="inlineStr">
        <is>
          <t xml:space="preserve">14/06/2022 </t>
        </is>
      </c>
      <c r="G15" s="15" t="inlineStr">
        <is>
          <t xml:space="preserve">21487688F </t>
        </is>
      </c>
      <c r="H15" s="15" t="inlineStr">
        <is>
          <t xml:space="preserve">Codirector de tesis </t>
        </is>
      </c>
      <c r="I15" s="15" t="inlineStr">
        <is>
          <t xml:space="preserve">B138 </t>
        </is>
      </c>
      <c r="J15" s="15" t="inlineStr">
        <is>
          <t xml:space="preserve">ANALISIS ECONOMICO APLICADO </t>
        </is>
      </c>
      <c r="K15" s="19" t="n">
        <v>0.5</v>
      </c>
      <c r="L15" s="19" t="inlineStr">
        <is>
          <t>B138</t>
        </is>
      </c>
      <c r="M15" s="15" t="n">
        <v>2021</v>
      </c>
      <c r="N15" s="15" t="inlineStr">
        <is>
          <t>10.06</t>
        </is>
      </c>
      <c r="O15" s="16" t="n">
        <v>50</v>
      </c>
      <c r="P15" s="15" t="inlineStr">
        <is>
          <t>10.17</t>
        </is>
      </c>
      <c r="Q15" s="16" t="n">
        <v>10</v>
      </c>
      <c r="R15" s="15" t="n">
        <v>40</v>
      </c>
      <c r="S15" s="15" t="n">
        <v>0.2</v>
      </c>
      <c r="T15" s="19" t="n">
        <v>0.25</v>
      </c>
      <c r="U15" s="32" t="n">
        <v>0.05</v>
      </c>
    </row>
    <row r="16">
      <c r="A16" s="20" t="inlineStr">
        <is>
          <t xml:space="preserve">U058 </t>
        </is>
      </c>
      <c r="B16" s="20" t="inlineStr">
        <is>
          <t xml:space="preserve">ADM. I.U. DE INVESTIGACIONES TURÍSTICAS </t>
        </is>
      </c>
      <c r="C16" s="20" t="inlineStr">
        <is>
          <t xml:space="preserve">DOCTORADO EN TURISMO </t>
        </is>
      </c>
      <c r="D16" s="20" t="inlineStr">
        <is>
          <t xml:space="preserve">Rucci , Ana Clara </t>
        </is>
      </c>
      <c r="E16" s="20" t="inlineStr">
        <is>
          <t xml:space="preserve">ACCESSIBLE TOURISM AND COMPETITIVENESS: ASSESSING DIFFERENT DIMENSIONS OF ACCESSIBILITY IN DESTINATIONS </t>
        </is>
      </c>
      <c r="F16" s="20" t="inlineStr">
        <is>
          <t xml:space="preserve">09/12/2021 </t>
        </is>
      </c>
      <c r="G16" s="20" t="inlineStr">
        <is>
          <t xml:space="preserve">21487688F </t>
        </is>
      </c>
      <c r="H16" s="20" t="inlineStr">
        <is>
          <t xml:space="preserve">Codirector de tesis </t>
        </is>
      </c>
      <c r="I16" s="20" t="inlineStr">
        <is>
          <t xml:space="preserve">B138 </t>
        </is>
      </c>
      <c r="J16" s="20" t="inlineStr">
        <is>
          <t xml:space="preserve">ANALISIS ECONOMICO APLICADO </t>
        </is>
      </c>
      <c r="K16" s="19" t="n">
        <v>0.3333333333333333</v>
      </c>
      <c r="L16" s="19" t="inlineStr">
        <is>
          <t>B138</t>
        </is>
      </c>
      <c r="M16" s="15" t="n">
        <v>2021</v>
      </c>
      <c r="N16" s="15" t="inlineStr">
        <is>
          <t>10.06</t>
        </is>
      </c>
      <c r="O16" s="16" t="n">
        <v>50</v>
      </c>
      <c r="P16" s="15" t="inlineStr">
        <is>
          <t>10.17</t>
        </is>
      </c>
      <c r="Q16" s="16" t="n">
        <v>10</v>
      </c>
      <c r="R16" s="15" t="n">
        <v>40</v>
      </c>
      <c r="S16" s="15" t="n">
        <v>0.1333333333333333</v>
      </c>
      <c r="T16" s="19" t="n">
        <v>0.1666666666666666</v>
      </c>
      <c r="U16" s="32" t="n">
        <v>0.03333333333333333</v>
      </c>
    </row>
    <row r="17">
      <c r="A17" s="20" t="inlineStr">
        <is>
          <t xml:space="preserve">B119 </t>
        </is>
      </c>
      <c r="B17" s="20" t="inlineStr">
        <is>
          <t xml:space="preserve">FUNDAMENTOS DEL ANÁLISIS ECONÓMICO </t>
        </is>
      </c>
      <c r="C17" s="20" t="inlineStr">
        <is>
          <t xml:space="preserve">DOCTORADO EN ECONOMÍA </t>
        </is>
      </c>
      <c r="D17" s="20" t="inlineStr">
        <is>
          <t xml:space="preserve">Más Ferrando, Adrián </t>
        </is>
      </c>
      <c r="E17" s="20" t="inlineStr">
        <is>
          <t xml:space="preserve">Economía de la innovación y la digitalización del turismo: Un estudio del mercado de Airbnb aplicando técnicas econométricas y redes neuronales </t>
        </is>
      </c>
      <c r="F17" s="20" t="inlineStr">
        <is>
          <t xml:space="preserve">20/01/2023 </t>
        </is>
      </c>
      <c r="G17" s="20" t="inlineStr">
        <is>
          <t xml:space="preserve">21487688F </t>
        </is>
      </c>
      <c r="H17" s="20" t="inlineStr">
        <is>
          <t xml:space="preserve">Codirector de tesis </t>
        </is>
      </c>
      <c r="I17" s="20" t="inlineStr">
        <is>
          <t xml:space="preserve">B138 </t>
        </is>
      </c>
      <c r="J17" s="20" t="inlineStr">
        <is>
          <t xml:space="preserve">ANALISIS ECONOMICO APLICADO </t>
        </is>
      </c>
      <c r="K17" s="19" t="n">
        <v>0.5</v>
      </c>
      <c r="L17" s="19" t="inlineStr">
        <is>
          <t>B138</t>
        </is>
      </c>
      <c r="M17" s="15" t="n">
        <v>2022</v>
      </c>
      <c r="N17" s="15" t="inlineStr">
        <is>
          <t>10.06</t>
        </is>
      </c>
      <c r="O17" s="16" t="n">
        <v>50</v>
      </c>
      <c r="P17" s="15" t="inlineStr">
        <is>
          <t>10.17</t>
        </is>
      </c>
      <c r="Q17" s="16" t="n">
        <v>10</v>
      </c>
      <c r="R17" s="15" t="n">
        <v>40</v>
      </c>
      <c r="S17" s="15" t="n">
        <v>0.2</v>
      </c>
      <c r="T17" s="19" t="n">
        <v>0.25</v>
      </c>
      <c r="U17" s="32" t="n">
        <v>0.05</v>
      </c>
    </row>
    <row r="18">
      <c r="A18" s="20" t="inlineStr">
        <is>
          <t xml:space="preserve">B152 </t>
        </is>
      </c>
      <c r="B18" s="20" t="inlineStr">
        <is>
          <t xml:space="preserve">FILOSOFÍA DEL DCHO .Y DCHO INTERNACIONAL PRIVADO </t>
        </is>
      </c>
      <c r="C18" s="20" t="inlineStr">
        <is>
          <t xml:space="preserve">DOCTORADO EUROPEO CONJUNTO EN DERECHO DE PROPIEDAD INTELECTUAL E INNOVACIÓN </t>
        </is>
      </c>
      <c r="D18" s="20" t="inlineStr">
        <is>
          <t xml:space="preserve">Kyrylenko , Anastasiia </t>
        </is>
      </c>
      <c r="E18" s="20" t="inlineStr">
        <is>
          <t xml:space="preserve">Deconstructing EU IP norm-export to the Eastern European Neighbourhood </t>
        </is>
      </c>
      <c r="F18" s="20" t="inlineStr">
        <is>
          <t xml:space="preserve">15/12/2022 </t>
        </is>
      </c>
      <c r="G18" s="20" t="inlineStr">
        <is>
          <t xml:space="preserve">21507330F </t>
        </is>
      </c>
      <c r="H18" s="20" t="inlineStr">
        <is>
          <t xml:space="preserve">Codirector de tesis </t>
        </is>
      </c>
      <c r="I18" s="20" t="inlineStr">
        <is>
          <t xml:space="preserve">B152 </t>
        </is>
      </c>
      <c r="J18" s="20" t="inlineStr">
        <is>
          <t xml:space="preserve">FILOSOFÍA DEL DCHO .Y DCHO INTERNACIONAL PRIVADO </t>
        </is>
      </c>
      <c r="K18" s="19" t="n">
        <v>0.5</v>
      </c>
      <c r="L18" s="19" t="inlineStr">
        <is>
          <t>B152</t>
        </is>
      </c>
      <c r="M18" s="15" t="n">
        <v>2022</v>
      </c>
      <c r="N18" s="15" t="inlineStr">
        <is>
          <t>10.06</t>
        </is>
      </c>
      <c r="O18" s="16" t="n">
        <v>10</v>
      </c>
      <c r="P18" s="15" t="inlineStr"/>
      <c r="Q18" s="16" t="n">
        <v>0</v>
      </c>
      <c r="R18" s="15" t="n">
        <v>90</v>
      </c>
      <c r="S18" s="15" t="n">
        <v>0.45</v>
      </c>
      <c r="T18" s="19" t="n">
        <v>0.05</v>
      </c>
      <c r="U18" s="32" t="n">
        <v>0</v>
      </c>
    </row>
    <row r="19">
      <c r="A19" s="20" t="inlineStr">
        <is>
          <t xml:space="preserve">U020 </t>
        </is>
      </c>
      <c r="B19" s="20" t="inlineStr">
        <is>
          <t xml:space="preserve">I.U. DEL AGUA Y DE LAS CIENCIAS AMBIENTALES (10.05) </t>
        </is>
      </c>
      <c r="C19" s="20" t="inlineStr">
        <is>
          <t xml:space="preserve">DOCTORADO EN AGUA Y DESARROLLO SOSTENIBLE </t>
        </is>
      </c>
      <c r="D19" s="20" t="inlineStr">
        <is>
          <t xml:space="preserve">Bernabeu Bautista, Álvaro </t>
        </is>
      </c>
      <c r="E19" s="20" t="inlineStr">
        <is>
          <t xml:space="preserve">PRESENCIA Y ACTIVIDAD URBANA EN LAS CIUDADES DE LA COMUNIDAD </t>
        </is>
      </c>
      <c r="F19" s="20" t="inlineStr">
        <is>
          <t xml:space="preserve">12/09/2023 </t>
        </is>
      </c>
      <c r="G19" s="20" t="inlineStr">
        <is>
          <t xml:space="preserve">24509611Y </t>
        </is>
      </c>
      <c r="H19" s="20" t="inlineStr">
        <is>
          <t xml:space="preserve">Codirector de tesis </t>
        </is>
      </c>
      <c r="I19" s="20" t="inlineStr">
        <is>
          <t xml:space="preserve">B184 </t>
        </is>
      </c>
      <c r="J19" s="20" t="inlineStr">
        <is>
          <t xml:space="preserve">EDIFICACIÓN Y URBANISMO </t>
        </is>
      </c>
      <c r="K19" s="19" t="n">
        <v>0.5</v>
      </c>
      <c r="L19" s="19" t="inlineStr">
        <is>
          <t>B184</t>
        </is>
      </c>
      <c r="M19" s="15" t="n">
        <v>2022</v>
      </c>
      <c r="N19" s="15" t="inlineStr">
        <is>
          <t>10.06</t>
        </is>
      </c>
      <c r="O19" s="16" t="n">
        <v>10</v>
      </c>
      <c r="P19" s="15" t="inlineStr"/>
      <c r="Q19" s="16" t="n">
        <v>0</v>
      </c>
      <c r="R19" s="15" t="n">
        <v>90</v>
      </c>
      <c r="S19" s="15" t="n">
        <v>0.45</v>
      </c>
      <c r="T19" s="19" t="n">
        <v>0.05</v>
      </c>
      <c r="U19" s="32" t="n">
        <v>0</v>
      </c>
    </row>
    <row r="20">
      <c r="A20" s="20" t="inlineStr">
        <is>
          <t xml:space="preserve">U025 </t>
        </is>
      </c>
      <c r="B20" s="20" t="inlineStr">
        <is>
          <t xml:space="preserve">ADM. FACULTAD DE DERECHO </t>
        </is>
      </c>
      <c r="C20" s="20" t="inlineStr">
        <is>
          <t xml:space="preserve">DOCTORADO EN DERECHO </t>
        </is>
      </c>
      <c r="D20" s="20" t="inlineStr">
        <is>
          <t xml:space="preserve">Contardi , Magalí Anabel </t>
        </is>
      </c>
      <c r="E20" s="20" t="inlineStr">
        <is>
          <t xml:space="preserve">The interplay between patent law and medical device regulations in artificial intelligence medical devices: hindrance or spur? </t>
        </is>
      </c>
      <c r="F20" s="20" t="inlineStr">
        <is>
          <t xml:space="preserve">20/01/2023 </t>
        </is>
      </c>
      <c r="G20" s="20" t="inlineStr">
        <is>
          <t xml:space="preserve">19838491W </t>
        </is>
      </c>
      <c r="H20" s="20" t="inlineStr">
        <is>
          <t xml:space="preserve">Codirector de tesis </t>
        </is>
      </c>
      <c r="I20" s="20" t="inlineStr">
        <is>
          <t xml:space="preserve">B152 </t>
        </is>
      </c>
      <c r="J20" s="20" t="inlineStr">
        <is>
          <t xml:space="preserve">FILOSOFÍA DEL DCHO .Y DCHO INTERNACIONAL PRIVADO </t>
        </is>
      </c>
      <c r="K20" s="19" t="n">
        <v>0.5</v>
      </c>
      <c r="L20" s="19" t="inlineStr">
        <is>
          <t>B152</t>
        </is>
      </c>
      <c r="M20" s="15" t="n">
        <v>2022</v>
      </c>
      <c r="N20" s="15" t="inlineStr">
        <is>
          <t>10.06</t>
        </is>
      </c>
      <c r="O20" s="16" t="n">
        <v>10</v>
      </c>
      <c r="P20" s="15" t="inlineStr"/>
      <c r="Q20" s="16" t="n">
        <v>0</v>
      </c>
      <c r="R20" s="15" t="n">
        <v>90</v>
      </c>
      <c r="S20" s="15" t="n">
        <v>0.45</v>
      </c>
      <c r="T20" s="19" t="n">
        <v>0.05</v>
      </c>
      <c r="U20" s="32" t="n">
        <v>0</v>
      </c>
    </row>
    <row r="21">
      <c r="A21" s="20" t="inlineStr">
        <is>
          <t xml:space="preserve">U036 </t>
        </is>
      </c>
      <c r="B21" s="20" t="inlineStr">
        <is>
          <t xml:space="preserve">ADM. FACULTAD DE CIENCIAS ECONÓMICAS </t>
        </is>
      </c>
      <c r="C21" s="20" t="inlineStr">
        <is>
          <t xml:space="preserve">DOCTORADO EN EMPRESA, ECONOMÍA Y SOCIEDAD </t>
        </is>
      </c>
      <c r="D21" s="20" t="inlineStr">
        <is>
          <t xml:space="preserve">Sanchís Ramón, María José </t>
        </is>
      </c>
      <c r="E21" s="20" t="inlineStr">
        <is>
          <t xml:space="preserve">La atención a los proyectos de vida y a las necesidades de las mujeres gitanas en las políticas de inclusión. </t>
        </is>
      </c>
      <c r="F21" s="20" t="inlineStr">
        <is>
          <t xml:space="preserve">02/06/2023 </t>
        </is>
      </c>
      <c r="G21" s="20" t="inlineStr">
        <is>
          <t xml:space="preserve">52779604D </t>
        </is>
      </c>
      <c r="H21" s="20" t="inlineStr">
        <is>
          <t xml:space="preserve">Director de tesis </t>
        </is>
      </c>
      <c r="I21" s="20" t="inlineStr">
        <is>
          <t xml:space="preserve">B176 </t>
        </is>
      </c>
      <c r="J21" s="20" t="inlineStr">
        <is>
          <t xml:space="preserve">SOCIOLOGÍA II </t>
        </is>
      </c>
      <c r="K21" s="19" t="n">
        <v>1</v>
      </c>
      <c r="L21" s="19" t="inlineStr">
        <is>
          <t>B176</t>
        </is>
      </c>
      <c r="M21" s="15" t="n">
        <v>2022</v>
      </c>
      <c r="N21" s="15" t="inlineStr">
        <is>
          <t>10.06</t>
        </is>
      </c>
      <c r="O21" s="16" t="n">
        <v>10</v>
      </c>
      <c r="P21" s="15" t="inlineStr">
        <is>
          <t>10.22</t>
        </is>
      </c>
      <c r="Q21" s="16" t="n">
        <v>80</v>
      </c>
      <c r="R21" s="15" t="n">
        <v>10</v>
      </c>
      <c r="S21" s="15" t="n">
        <v>0.1</v>
      </c>
      <c r="T21" s="19" t="n">
        <v>0.1</v>
      </c>
      <c r="U21" s="32" t="n">
        <v>0.8</v>
      </c>
    </row>
    <row r="22">
      <c r="A22" s="15" t="inlineStr">
        <is>
          <t xml:space="preserve">U044 </t>
        </is>
      </c>
      <c r="B22" s="15" t="inlineStr">
        <is>
          <t xml:space="preserve">ADM. FACULTAD DE CIENCIAS DE LA SALUD </t>
        </is>
      </c>
      <c r="C22" s="15" t="inlineStr">
        <is>
          <t xml:space="preserve">DOCTORADO EN CIENCIAS DE LA SALUD </t>
        </is>
      </c>
      <c r="D22" s="15" t="inlineStr">
        <is>
          <t xml:space="preserve">Oltra Benavent, Paloma </t>
        </is>
      </c>
      <c r="E22" s="15" t="inlineStr">
        <is>
          <t xml:space="preserve">Traducción y validación de la versión española de la escala Parental Sense of Competence en una población de madres y padres españoles durante los primeros meses después del parto. </t>
        </is>
      </c>
      <c r="F22" s="15" t="inlineStr">
        <is>
          <t xml:space="preserve">26/09/2023 </t>
        </is>
      </c>
      <c r="G22" s="15" t="inlineStr">
        <is>
          <t xml:space="preserve">22122086L </t>
        </is>
      </c>
      <c r="H22" s="15" t="inlineStr">
        <is>
          <t xml:space="preserve">Codirector de tesis </t>
        </is>
      </c>
      <c r="I22" s="15" t="inlineStr">
        <is>
          <t xml:space="preserve">B134 </t>
        </is>
      </c>
      <c r="J22" s="15" t="inlineStr">
        <is>
          <t xml:space="preserve">ENFERMERIA </t>
        </is>
      </c>
      <c r="K22" s="19" t="n">
        <v>0.5</v>
      </c>
      <c r="L22" s="19" t="inlineStr">
        <is>
          <t>B134</t>
        </is>
      </c>
      <c r="M22" s="15" t="n">
        <v>2022</v>
      </c>
      <c r="N22" s="15" t="inlineStr">
        <is>
          <t>10.06</t>
        </is>
      </c>
      <c r="O22" s="16" t="n">
        <v>10</v>
      </c>
      <c r="P22" s="15" t="inlineStr"/>
      <c r="Q22" s="16" t="n">
        <v>0</v>
      </c>
      <c r="R22" s="15" t="n">
        <v>90</v>
      </c>
      <c r="S22" s="15" t="n">
        <v>0.45</v>
      </c>
      <c r="T22" s="19" t="n">
        <v>0.05</v>
      </c>
      <c r="U22" s="32" t="n">
        <v>0</v>
      </c>
    </row>
    <row r="23">
      <c r="A23" s="15" t="inlineStr">
        <is>
          <t xml:space="preserve">U058 </t>
        </is>
      </c>
      <c r="B23" s="15" t="inlineStr">
        <is>
          <t xml:space="preserve">I.U. DE INVESTIGACIONES TURÍSTICAS (10.17) </t>
        </is>
      </c>
      <c r="C23" s="15" t="inlineStr">
        <is>
          <t xml:space="preserve">DOCTORADO EN TURISMO </t>
        </is>
      </c>
      <c r="D23" s="15" t="inlineStr">
        <is>
          <t xml:space="preserve">Guerrero Miranda, Jenny Paulina </t>
        </is>
      </c>
      <c r="E23" s="15" t="inlineStr">
        <is>
          <t xml:space="preserve">Puesta en valor de la arquitectura vernácula como entrada al turismo, en la Mancomunidad del Chocó Andino (Quito ¿ Ecuador) </t>
        </is>
      </c>
      <c r="F23" s="15" t="inlineStr">
        <is>
          <t xml:space="preserve">20/12/2022 </t>
        </is>
      </c>
      <c r="G23" s="15" t="inlineStr">
        <is>
          <t xml:space="preserve">25126276H </t>
        </is>
      </c>
      <c r="H23" s="15" t="inlineStr">
        <is>
          <t xml:space="preserve">Director de tesis </t>
        </is>
      </c>
      <c r="I23" s="15" t="inlineStr">
        <is>
          <t xml:space="preserve">B173 </t>
        </is>
      </c>
      <c r="J23" s="15" t="inlineStr">
        <is>
          <t xml:space="preserve">ANÁLISIS GEOGRÁFICO REGIONAL Y GEOGRAFÍA FÍSICA </t>
        </is>
      </c>
      <c r="K23" s="19" t="n">
        <v>1</v>
      </c>
      <c r="L23" s="19" t="inlineStr">
        <is>
          <t>B173</t>
        </is>
      </c>
      <c r="M23" s="15" t="n">
        <v>2022</v>
      </c>
      <c r="N23" s="15" t="inlineStr">
        <is>
          <t>10.06</t>
        </is>
      </c>
      <c r="O23" s="16" t="n">
        <v>10</v>
      </c>
      <c r="P23" s="15" t="inlineStr">
        <is>
          <t>10.17</t>
        </is>
      </c>
      <c r="Q23" s="16" t="n">
        <v>70</v>
      </c>
      <c r="R23" s="15" t="n">
        <v>20</v>
      </c>
      <c r="S23" s="15" t="n">
        <v>0.2</v>
      </c>
      <c r="T23" s="19" t="n">
        <v>0.1</v>
      </c>
      <c r="U23" s="32" t="n">
        <v>0.7</v>
      </c>
    </row>
    <row r="24">
      <c r="A24" s="15" t="inlineStr">
        <is>
          <t xml:space="preserve">U058 </t>
        </is>
      </c>
      <c r="B24" s="15" t="inlineStr">
        <is>
          <t xml:space="preserve">I.U. DE INVESTIGACIONES TURÍSTICAS (10.17) </t>
        </is>
      </c>
      <c r="C24" s="15" t="inlineStr">
        <is>
          <t xml:space="preserve">DOCTORADO EN TURISMO </t>
        </is>
      </c>
      <c r="D24" s="15" t="inlineStr">
        <is>
          <t xml:space="preserve">Pelegrín Entenza, Norberto </t>
        </is>
      </c>
      <c r="E24" s="15" t="inlineStr">
        <is>
          <t xml:space="preserve">EL TURISMO EN CUBA. ESTUDIO DE CASOS DESDE LA PERSPECTIVA DEL ANÁLISIS REGIONAL </t>
        </is>
      </c>
      <c r="F24" s="15" t="inlineStr">
        <is>
          <t xml:space="preserve">03/03/2023 </t>
        </is>
      </c>
      <c r="G24" s="15" t="inlineStr">
        <is>
          <t xml:space="preserve">74176634R </t>
        </is>
      </c>
      <c r="H24" s="15" t="inlineStr">
        <is>
          <t xml:space="preserve">Director de tesis </t>
        </is>
      </c>
      <c r="I24" s="15" t="inlineStr">
        <is>
          <t xml:space="preserve">B173 </t>
        </is>
      </c>
      <c r="J24" s="15" t="inlineStr">
        <is>
          <t xml:space="preserve">ANÁLISIS GEOGRÁFICO REGIONAL Y GEOGRAFÍA FÍSICA </t>
        </is>
      </c>
      <c r="K24" s="19" t="n">
        <v>1</v>
      </c>
      <c r="L24" s="19" t="inlineStr">
        <is>
          <t>B173</t>
        </is>
      </c>
      <c r="M24" s="15" t="n">
        <v>2022</v>
      </c>
      <c r="N24" s="15" t="inlineStr">
        <is>
          <t>10.06</t>
        </is>
      </c>
      <c r="O24" s="16" t="n">
        <v>10</v>
      </c>
      <c r="P24" s="15" t="inlineStr">
        <is>
          <t>10.17</t>
        </is>
      </c>
      <c r="Q24" s="16" t="n">
        <v>80</v>
      </c>
      <c r="R24" s="15" t="n">
        <v>10</v>
      </c>
      <c r="S24" s="15" t="n">
        <v>0.1</v>
      </c>
      <c r="T24" s="19" t="n">
        <v>0.1</v>
      </c>
      <c r="U24" s="32" t="n">
        <v>0.8</v>
      </c>
    </row>
    <row r="25">
      <c r="A25" s="15" t="inlineStr">
        <is>
          <t xml:space="preserve">B138 </t>
        </is>
      </c>
      <c r="B25" s="15" t="inlineStr">
        <is>
          <t xml:space="preserve">ANALISIS ECONOMICO APLICADO </t>
        </is>
      </c>
      <c r="C25" s="15" t="inlineStr">
        <is>
          <t xml:space="preserve">DOCTORADO EN ECONOMÍA </t>
        </is>
      </c>
      <c r="D25" s="15" t="inlineStr">
        <is>
          <t xml:space="preserve">Sarmiento Moscoso, Luis Santiago </t>
        </is>
      </c>
      <c r="E25" s="15" t="inlineStr">
        <is>
          <t xml:space="preserve">Tres estudios sobre la descomposición de las diferencias salariales regionales en Ecuador a lo largo de la distribución salarial </t>
        </is>
      </c>
      <c r="F25" s="15" t="inlineStr">
        <is>
          <t xml:space="preserve">06/09/2021 </t>
        </is>
      </c>
      <c r="G25" s="15" t="inlineStr">
        <is>
          <t xml:space="preserve">33475454N </t>
        </is>
      </c>
      <c r="H25" s="15" t="inlineStr">
        <is>
          <t xml:space="preserve">Codirector de tesis </t>
        </is>
      </c>
      <c r="I25" s="15" t="inlineStr">
        <is>
          <t xml:space="preserve">B138 </t>
        </is>
      </c>
      <c r="J25" s="15" t="inlineStr">
        <is>
          <t xml:space="preserve">ANALISIS ECONOMICO APLICADO </t>
        </is>
      </c>
      <c r="K25" s="85" t="n">
        <v>0.5</v>
      </c>
      <c r="L25" s="15" t="inlineStr">
        <is>
          <t>B138</t>
        </is>
      </c>
      <c r="M25" s="15" t="n">
        <v>2020</v>
      </c>
      <c r="N25" s="15" t="inlineStr">
        <is>
          <t>10.17</t>
        </is>
      </c>
      <c r="O25" s="16" t="n">
        <v>10</v>
      </c>
      <c r="P25" s="15" t="inlineStr">
        <is>
          <t>10.06</t>
        </is>
      </c>
      <c r="Q25" s="16" t="n">
        <v>50</v>
      </c>
      <c r="R25" s="17" t="n">
        <v>40</v>
      </c>
      <c r="S25" s="22" t="n">
        <v>0.2</v>
      </c>
      <c r="T25" s="86" t="n">
        <v>0.05</v>
      </c>
      <c r="U25" s="87" t="n">
        <v>0.25</v>
      </c>
    </row>
    <row r="26">
      <c r="A26" s="15" t="inlineStr">
        <is>
          <t xml:space="preserve">B119 </t>
        </is>
      </c>
      <c r="B26" s="15" t="inlineStr">
        <is>
          <t xml:space="preserve">FUNDAMENTOS DEL ANÁLISIS ECONÓMICO </t>
        </is>
      </c>
      <c r="C26" s="15" t="inlineStr">
        <is>
          <t xml:space="preserve">DOCTORADO EN ECONOMÍA </t>
        </is>
      </c>
      <c r="D26" s="15" t="inlineStr">
        <is>
          <t xml:space="preserve">Simón Albert, Raquel </t>
        </is>
      </c>
      <c r="E26" s="15" t="inlineStr">
        <is>
          <t xml:space="preserve">Three empirical essays on daily residence-work mobility and labor market areas </t>
        </is>
      </c>
      <c r="F26" s="15" t="inlineStr">
        <is>
          <t xml:space="preserve">24/05/2022 </t>
        </is>
      </c>
      <c r="G26" s="15" t="inlineStr">
        <is>
          <t xml:space="preserve">33475454N </t>
        </is>
      </c>
      <c r="H26" s="15" t="inlineStr">
        <is>
          <t xml:space="preserve">Codirector de tesis </t>
        </is>
      </c>
      <c r="I26" s="15" t="inlineStr">
        <is>
          <t xml:space="preserve">B138 </t>
        </is>
      </c>
      <c r="J26" s="15" t="inlineStr">
        <is>
          <t xml:space="preserve">ANALISIS ECONOMICO APLICADO </t>
        </is>
      </c>
      <c r="K26" s="88" t="n">
        <v>0.5</v>
      </c>
      <c r="L26" s="15" t="inlineStr">
        <is>
          <t>B138</t>
        </is>
      </c>
      <c r="M26" s="15" t="n">
        <v>2021</v>
      </c>
      <c r="N26" s="15" t="inlineStr">
        <is>
          <t>10.17</t>
        </is>
      </c>
      <c r="O26" s="16" t="n">
        <v>10</v>
      </c>
      <c r="P26" s="15" t="inlineStr">
        <is>
          <t>10.06</t>
        </is>
      </c>
      <c r="Q26" s="16" t="n">
        <v>50</v>
      </c>
      <c r="R26" s="17" t="n">
        <v>40</v>
      </c>
      <c r="S26" s="85" t="n">
        <v>0.2</v>
      </c>
      <c r="T26" s="86" t="n">
        <v>0.05</v>
      </c>
      <c r="U26" s="87" t="n">
        <v>0.25</v>
      </c>
    </row>
    <row r="27">
      <c r="A27" s="20" t="inlineStr">
        <is>
          <t xml:space="preserve">U058 </t>
        </is>
      </c>
      <c r="B27" s="20" t="inlineStr">
        <is>
          <t xml:space="preserve">ADM. I.U. DE INVESTIGACIONES TURÍSTICAS </t>
        </is>
      </c>
      <c r="C27" s="20" t="inlineStr">
        <is>
          <t xml:space="preserve">DOCTORADO EN TURISMO </t>
        </is>
      </c>
      <c r="D27" s="20" t="inlineStr">
        <is>
          <t xml:space="preserve">Rucci , Ana Clara </t>
        </is>
      </c>
      <c r="E27" s="20" t="inlineStr">
        <is>
          <t xml:space="preserve">ACCESSIBLE TOURISM AND COMPETITIVENESS: ASSESSING DIFFERENT DIMENSIONS OF ACCESSIBILITY IN DESTINATIONS </t>
        </is>
      </c>
      <c r="F27" s="20" t="inlineStr">
        <is>
          <t xml:space="preserve">09/12/2021 </t>
        </is>
      </c>
      <c r="G27" s="20" t="inlineStr">
        <is>
          <t xml:space="preserve">47083217D </t>
        </is>
      </c>
      <c r="H27" s="20" t="inlineStr">
        <is>
          <t xml:space="preserve">Codirector de tesis </t>
        </is>
      </c>
      <c r="I27" s="20" t="inlineStr">
        <is>
          <t xml:space="preserve">B138 </t>
        </is>
      </c>
      <c r="J27" s="20" t="inlineStr">
        <is>
          <t xml:space="preserve">ANALISIS ECONOMICO APLICADO </t>
        </is>
      </c>
      <c r="K27" s="19" t="n">
        <v>0.3333333333333333</v>
      </c>
      <c r="L27" s="19" t="inlineStr">
        <is>
          <t>B138</t>
        </is>
      </c>
      <c r="M27" s="15" t="n">
        <v>2021</v>
      </c>
      <c r="N27" s="15" t="inlineStr">
        <is>
          <t>10.17</t>
        </is>
      </c>
      <c r="O27" s="16" t="n">
        <v>10</v>
      </c>
      <c r="P27" s="15" t="inlineStr">
        <is>
          <t>10.06</t>
        </is>
      </c>
      <c r="Q27" s="16" t="n">
        <v>50</v>
      </c>
      <c r="R27" s="15" t="n">
        <v>40</v>
      </c>
      <c r="S27" s="15" t="n">
        <v>0.1333333333333333</v>
      </c>
      <c r="T27" s="19" t="n">
        <v>0.03333333333333333</v>
      </c>
      <c r="U27" s="32" t="n">
        <v>0.1666666666666666</v>
      </c>
    </row>
    <row r="28">
      <c r="A28" s="15" t="inlineStr">
        <is>
          <t xml:space="preserve">B119 </t>
        </is>
      </c>
      <c r="B28" s="15" t="inlineStr">
        <is>
          <t xml:space="preserve">FUNDAMENTOS DEL ANÁLISIS ECONÓMICO </t>
        </is>
      </c>
      <c r="C28" s="15" t="inlineStr">
        <is>
          <t xml:space="preserve">DOCTORADO EN ECONOMÍA </t>
        </is>
      </c>
      <c r="D28" s="15" t="inlineStr">
        <is>
          <t xml:space="preserve">Más Ferrando, Adrián </t>
        </is>
      </c>
      <c r="E28" s="15" t="inlineStr">
        <is>
          <t xml:space="preserve">Economía de la innovación y la digitalización del turismo: Un estudio del mercado de Airbnb aplicando técnicas econométricas y redes neuronales </t>
        </is>
      </c>
      <c r="F28" s="15" t="inlineStr">
        <is>
          <t xml:space="preserve">20/01/2023 </t>
        </is>
      </c>
      <c r="G28" s="15" t="inlineStr">
        <is>
          <t xml:space="preserve">47083217D </t>
        </is>
      </c>
      <c r="H28" s="15" t="inlineStr">
        <is>
          <t xml:space="preserve">Codirector de tesis </t>
        </is>
      </c>
      <c r="I28" s="15" t="inlineStr">
        <is>
          <t xml:space="preserve">B138 </t>
        </is>
      </c>
      <c r="J28" s="15" t="inlineStr">
        <is>
          <t xml:space="preserve">ANALISIS ECONOMICO APLICADO </t>
        </is>
      </c>
      <c r="K28" s="19" t="n">
        <v>0.5</v>
      </c>
      <c r="L28" s="19" t="inlineStr">
        <is>
          <t>B138</t>
        </is>
      </c>
      <c r="M28" s="15" t="n">
        <v>2022</v>
      </c>
      <c r="N28" s="15" t="inlineStr">
        <is>
          <t>10.17</t>
        </is>
      </c>
      <c r="O28" s="16" t="n">
        <v>10</v>
      </c>
      <c r="P28" s="15" t="inlineStr">
        <is>
          <t>10.06</t>
        </is>
      </c>
      <c r="Q28" s="16" t="n">
        <v>50</v>
      </c>
      <c r="R28" s="15" t="n">
        <v>40</v>
      </c>
      <c r="S28" s="15" t="n">
        <v>0.2</v>
      </c>
      <c r="T28" s="19" t="n">
        <v>0.05</v>
      </c>
      <c r="U28" s="32" t="n">
        <v>0.25</v>
      </c>
    </row>
    <row r="29">
      <c r="A29" s="15" t="inlineStr">
        <is>
          <t xml:space="preserve">B138 </t>
        </is>
      </c>
      <c r="B29" s="15" t="inlineStr">
        <is>
          <t xml:space="preserve">ANALISIS ECONOMICO APLICADO </t>
        </is>
      </c>
      <c r="C29" s="15" t="inlineStr">
        <is>
          <t xml:space="preserve">DOCTORADO EN ECONOMÍA </t>
        </is>
      </c>
      <c r="D29" s="15" t="inlineStr">
        <is>
          <t xml:space="preserve">Peretó Rovira, Alexandre </t>
        </is>
      </c>
      <c r="E29" s="15" t="inlineStr">
        <is>
          <t xml:space="preserve">Evolución e impacto de la inteligencia artificial desde una perspectiva económica: una mirada global, europea y regional </t>
        </is>
      </c>
      <c r="F29" s="15" t="inlineStr">
        <is>
          <t xml:space="preserve">16/06/2023 </t>
        </is>
      </c>
      <c r="G29" s="15" t="inlineStr">
        <is>
          <t xml:space="preserve">47083217D </t>
        </is>
      </c>
      <c r="H29" s="15" t="inlineStr">
        <is>
          <t xml:space="preserve">Director de tesis </t>
        </is>
      </c>
      <c r="I29" s="15" t="inlineStr">
        <is>
          <t xml:space="preserve">B138 </t>
        </is>
      </c>
      <c r="J29" s="15" t="inlineStr">
        <is>
          <t xml:space="preserve">ANALISIS ECONOMICO APLICADO </t>
        </is>
      </c>
      <c r="K29" s="19" t="n">
        <v>1</v>
      </c>
      <c r="L29" s="19" t="inlineStr">
        <is>
          <t>B138</t>
        </is>
      </c>
      <c r="M29" s="15" t="n">
        <v>2022</v>
      </c>
      <c r="N29" s="15" t="inlineStr">
        <is>
          <t>10.17</t>
        </is>
      </c>
      <c r="O29" s="16" t="n">
        <v>10</v>
      </c>
      <c r="P29" s="15" t="inlineStr">
        <is>
          <t>10.06</t>
        </is>
      </c>
      <c r="Q29" s="16" t="n">
        <v>50</v>
      </c>
      <c r="R29" s="15" t="n">
        <v>40</v>
      </c>
      <c r="S29" s="15" t="n">
        <v>0.4</v>
      </c>
      <c r="T29" s="19" t="n">
        <v>0.1</v>
      </c>
      <c r="U29" s="32" t="n">
        <v>0.5</v>
      </c>
    </row>
    <row r="30" ht="14.45" customHeight="1">
      <c r="A30" s="15" t="inlineStr">
        <is>
          <t xml:space="preserve">U036 </t>
        </is>
      </c>
      <c r="B30" s="15" t="inlineStr">
        <is>
          <t xml:space="preserve">ADM. FACULTAD DE CIENCIAS ECONÓMICAS </t>
        </is>
      </c>
      <c r="C30" s="15" t="inlineStr">
        <is>
          <t xml:space="preserve">DOCTORADO EN EMPRESA, ECONOMÍA Y SOCIEDAD </t>
        </is>
      </c>
      <c r="D30" s="15" t="inlineStr">
        <is>
          <t xml:space="preserve">Alaminos Fernández, Paloma </t>
        </is>
      </c>
      <c r="E30" s="15" t="inlineStr">
        <is>
          <t xml:space="preserve">LAS BASES SOCIALES Y ARGUMENTALES DE LOS MOVIMIENTOS AUTORITARIOS EN LA UNIÓN EUROPEA. EL CASO DEL POPULISMO PUNITIVO </t>
        </is>
      </c>
      <c r="F30" s="15" t="inlineStr">
        <is>
          <t xml:space="preserve">16/06/2023 </t>
        </is>
      </c>
      <c r="G30" s="15" t="inlineStr">
        <is>
          <t xml:space="preserve">23779586R </t>
        </is>
      </c>
      <c r="H30" s="15" t="inlineStr">
        <is>
          <t xml:space="preserve">Codirector de tesis </t>
        </is>
      </c>
      <c r="I30" s="15" t="inlineStr">
        <is>
          <t xml:space="preserve">B176 </t>
        </is>
      </c>
      <c r="J30" s="15" t="inlineStr">
        <is>
          <t xml:space="preserve">SOCIOLOGÍA II </t>
        </is>
      </c>
      <c r="K30" s="15" t="n">
        <v>0.5</v>
      </c>
      <c r="L30" s="15" t="inlineStr">
        <is>
          <t>B176</t>
        </is>
      </c>
      <c r="M30" s="16" t="n">
        <v>2022</v>
      </c>
      <c r="N30" s="15" t="inlineStr">
        <is>
          <t>10.22</t>
        </is>
      </c>
      <c r="O30" s="16" t="n">
        <v>10</v>
      </c>
      <c r="P30" s="15" t="inlineStr">
        <is>
          <t>10.06</t>
        </is>
      </c>
      <c r="Q30" s="16" t="n">
        <v>10</v>
      </c>
      <c r="R30" s="15" t="n">
        <v>80</v>
      </c>
      <c r="S30" s="15" t="n">
        <v>0.4</v>
      </c>
      <c r="T30" s="86" t="n">
        <v>0.05</v>
      </c>
      <c r="U30" s="86" t="n">
        <v>0.05</v>
      </c>
    </row>
    <row r="31" ht="14.45" customHeight="1">
      <c r="A31" s="15" t="inlineStr">
        <is>
          <t>B138</t>
        </is>
      </c>
      <c r="B31" s="15" t="inlineStr">
        <is>
          <t>ANALISIS ECONOMICO APLICADO</t>
        </is>
      </c>
      <c r="C31" s="15" t="inlineStr">
        <is>
          <t>DOCTORADO EN ECONOMÍA</t>
        </is>
      </c>
      <c r="D31" s="15" t="inlineStr">
        <is>
          <t>Ordóñez García, María Covadonga</t>
        </is>
      </c>
      <c r="E31" s="15" t="inlineStr">
        <is>
          <t>El mercado laboral de la hostelería en España, rendimiento educativo, satisfacción laboral y discriminación salarial por diferencia de género y origen</t>
        </is>
      </c>
      <c r="F31" s="15" t="inlineStr">
        <is>
          <t>09/04/2024</t>
        </is>
      </c>
      <c r="G31" s="15" t="inlineStr">
        <is>
          <t>21468028N</t>
        </is>
      </c>
      <c r="H31" s="15" t="inlineStr">
        <is>
          <t>Director de tesis</t>
        </is>
      </c>
      <c r="I31" s="15" t="inlineStr">
        <is>
          <t>B138</t>
        </is>
      </c>
      <c r="J31" s="15" t="inlineStr">
        <is>
          <t>ANALISIS ECONOMICO APLICADO</t>
        </is>
      </c>
      <c r="K31" s="15" t="n">
        <v>1</v>
      </c>
      <c r="L31" s="15" t="inlineStr">
        <is>
          <t>B138</t>
        </is>
      </c>
      <c r="M31" s="15" t="n">
        <v>2023</v>
      </c>
      <c r="N31" s="15" t="inlineStr">
        <is>
          <t>10.06</t>
        </is>
      </c>
      <c r="O31" s="15" t="inlineStr">
        <is>
          <t>50</t>
        </is>
      </c>
      <c r="P31" s="15" t="inlineStr">
        <is>
          <t>10.17</t>
        </is>
      </c>
      <c r="Q31" s="15" t="inlineStr">
        <is>
          <t>10</t>
        </is>
      </c>
      <c r="R31" s="15" t="n">
        <v>40</v>
      </c>
      <c r="S31" s="15" t="n">
        <v>0.4</v>
      </c>
      <c r="T31" s="15" t="n">
        <v>0.5</v>
      </c>
      <c r="U31" s="15" t="n">
        <v>0.1</v>
      </c>
    </row>
    <row r="32" ht="14.45" customHeight="1">
      <c r="A32" s="15" t="inlineStr">
        <is>
          <t>B152</t>
        </is>
      </c>
      <c r="B32" s="15" t="inlineStr">
        <is>
          <t>FILOSOFÍA DEL DCHO .Y DCHO INTERNACIONAL PRIVADO</t>
        </is>
      </c>
      <c r="C32" s="15" t="inlineStr">
        <is>
          <t>DOCTORADO EUROPEO CONJUNTO EN DERECHO DE PROPIEDAD INTELECTUAL E INNOVACIÓN</t>
        </is>
      </c>
      <c r="D32" s="15" t="inlineStr">
        <is>
          <t>Zafrilla Díaz-Marta, Vicente</t>
        </is>
      </c>
      <c r="E32" s="15" t="inlineStr">
        <is>
          <t>Over and Under-disclosure of Standard Essential Patents: An EU approach to its Effects on Innovation and Competition</t>
        </is>
      </c>
      <c r="F32" s="15" t="inlineStr">
        <is>
          <t>15/11/2023</t>
        </is>
      </c>
      <c r="G32" s="15" t="inlineStr">
        <is>
          <t>19838491W</t>
        </is>
      </c>
      <c r="H32" s="15" t="inlineStr">
        <is>
          <t>Codirector de tesis</t>
        </is>
      </c>
      <c r="I32" s="15" t="inlineStr">
        <is>
          <t>B152</t>
        </is>
      </c>
      <c r="J32" s="15" t="inlineStr">
        <is>
          <t>FILOSOFÍA DEL DCHO .Y DCHO INTERNACIONAL PRIVADO</t>
        </is>
      </c>
      <c r="K32" s="15" t="n">
        <v>0.5</v>
      </c>
      <c r="L32" s="15" t="inlineStr">
        <is>
          <t>B152</t>
        </is>
      </c>
      <c r="M32" s="15" t="n">
        <v>2023</v>
      </c>
      <c r="N32" s="15" t="inlineStr">
        <is>
          <t>10.06</t>
        </is>
      </c>
      <c r="O32" s="15" t="inlineStr">
        <is>
          <t>10</t>
        </is>
      </c>
      <c r="P32" s="15" t="inlineStr"/>
      <c r="Q32" s="15" t="inlineStr"/>
      <c r="R32" s="15" t="n">
        <v>90</v>
      </c>
      <c r="S32" s="15" t="n">
        <v>0.45</v>
      </c>
      <c r="T32" s="15" t="n">
        <v>0.05</v>
      </c>
      <c r="U32" s="15" t="n">
        <v>0</v>
      </c>
    </row>
    <row r="33" ht="14.45" customHeight="1">
      <c r="A33" s="15" t="inlineStr">
        <is>
          <t>B152</t>
        </is>
      </c>
      <c r="B33" s="15" t="inlineStr">
        <is>
          <t>FILOSOFÍA DEL DCHO .Y DCHO INTERNACIONAL PRIVADO</t>
        </is>
      </c>
      <c r="C33" s="15" t="inlineStr">
        <is>
          <t>DOCTORADO EUROPEO CONJUNTO EN DERECHO DE PROPIEDAD INTELECTUAL E INNOVACIÓN</t>
        </is>
      </c>
      <c r="D33" s="15" t="inlineStr">
        <is>
          <t>Tomada , Letizia</t>
        </is>
      </c>
      <c r="E33" s="15" t="inlineStr">
        <is>
          <t>The Unified Patent Court and Its Implications for Innovation of Start-ups</t>
        </is>
      </c>
      <c r="F33" s="15" t="inlineStr">
        <is>
          <t>15/11/2023</t>
        </is>
      </c>
      <c r="G33" s="15" t="inlineStr">
        <is>
          <t>19838491W</t>
        </is>
      </c>
      <c r="H33" s="15" t="inlineStr">
        <is>
          <t>Codirector de tesis</t>
        </is>
      </c>
      <c r="I33" s="15" t="inlineStr">
        <is>
          <t>B152</t>
        </is>
      </c>
      <c r="J33" s="15" t="inlineStr">
        <is>
          <t>FILOSOFÍA DEL DCHO .Y DCHO INTERNACIONAL PRIVADO</t>
        </is>
      </c>
      <c r="K33" s="15" t="n">
        <v>0.5</v>
      </c>
      <c r="L33" s="15" t="inlineStr">
        <is>
          <t>B152</t>
        </is>
      </c>
      <c r="M33" s="15" t="n">
        <v>2023</v>
      </c>
      <c r="N33" s="15" t="inlineStr">
        <is>
          <t>10.06</t>
        </is>
      </c>
      <c r="O33" s="15" t="inlineStr">
        <is>
          <t>10</t>
        </is>
      </c>
      <c r="P33" s="15" t="inlineStr"/>
      <c r="Q33" s="15" t="inlineStr"/>
      <c r="R33" s="15" t="n">
        <v>90</v>
      </c>
      <c r="S33" s="15" t="n">
        <v>0.45</v>
      </c>
      <c r="T33" s="15" t="n">
        <v>0.05</v>
      </c>
      <c r="U33" s="15" t="n">
        <v>0</v>
      </c>
    </row>
    <row r="34" ht="14.45" customHeight="1">
      <c r="A34" s="15" t="inlineStr">
        <is>
          <t>U023</t>
        </is>
      </c>
      <c r="B34" s="15" t="inlineStr">
        <is>
          <t>ADM. FACULTAD DE FILOSOFIA Y LETRAS</t>
        </is>
      </c>
      <c r="C34" s="15" t="inlineStr">
        <is>
          <t>DOCTORADO EN FILOSOFÍA Y LETRAS</t>
        </is>
      </c>
      <c r="D34" s="15" t="inlineStr">
        <is>
          <t>Klawitter , Oliver</t>
        </is>
      </c>
      <c r="E34" s="15" t="inlineStr">
        <is>
          <t>Educating about cultural sensitivity and media literacy:A compendium of cultural interaction and image studies on disinformation in the context of artificial intelligence</t>
        </is>
      </c>
      <c r="F34" s="15" t="inlineStr">
        <is>
          <t>05/12/2023</t>
        </is>
      </c>
      <c r="G34" s="15" t="inlineStr">
        <is>
          <t>X1299790Z</t>
        </is>
      </c>
      <c r="H34" s="15" t="inlineStr">
        <is>
          <t>Director de tesis</t>
        </is>
      </c>
      <c r="I34" s="15" t="inlineStr">
        <is>
          <t>B114</t>
        </is>
      </c>
      <c r="J34" s="15" t="inlineStr">
        <is>
          <t>FILOLOGIAS INTEGRADAS</t>
        </is>
      </c>
      <c r="K34" s="15" t="n">
        <v>1</v>
      </c>
      <c r="L34" s="15" t="inlineStr">
        <is>
          <t>B114</t>
        </is>
      </c>
      <c r="M34" s="15" t="n">
        <v>2023</v>
      </c>
      <c r="N34" s="15" t="inlineStr">
        <is>
          <t>10.06</t>
        </is>
      </c>
      <c r="O34" s="15" t="inlineStr">
        <is>
          <t>50</t>
        </is>
      </c>
      <c r="P34" s="15" t="inlineStr"/>
      <c r="Q34" s="15" t="inlineStr"/>
      <c r="R34" s="15" t="n">
        <v>50</v>
      </c>
      <c r="S34" s="15" t="n">
        <v>0.5</v>
      </c>
      <c r="T34" s="15" t="n">
        <v>0.5</v>
      </c>
      <c r="U34" s="15" t="n">
        <v>0</v>
      </c>
    </row>
    <row r="35" ht="14.45" customHeight="1">
      <c r="A35" s="15" t="inlineStr">
        <is>
          <t>U036</t>
        </is>
      </c>
      <c r="B35" s="15" t="inlineStr">
        <is>
          <t>ADM. FACULTAD DE CIENCIAS ECONÓMICAS</t>
        </is>
      </c>
      <c r="C35" s="15" t="inlineStr">
        <is>
          <t>DOCTORADO EN EMPRESA, ECONOMÍA Y SOCIEDAD</t>
        </is>
      </c>
      <c r="D35" s="15" t="inlineStr">
        <is>
          <t>Ibañez Hernández, Ana Isabel</t>
        </is>
      </c>
      <c r="E35" s="15" t="inlineStr">
        <is>
          <t>Enfoque crítico de la comunicación responsable en el sector farmacéutico</t>
        </is>
      </c>
      <c r="F35" s="15" t="inlineStr">
        <is>
          <t>26/07/2024</t>
        </is>
      </c>
      <c r="G35" s="15" t="inlineStr">
        <is>
          <t>21499146B</t>
        </is>
      </c>
      <c r="H35" s="15" t="inlineStr">
        <is>
          <t>Codirector de tesis</t>
        </is>
      </c>
      <c r="I35" s="15" t="inlineStr">
        <is>
          <t>B175</t>
        </is>
      </c>
      <c r="J35" s="15" t="inlineStr">
        <is>
          <t>COMUNICACIÓN Y PSICOLOGÍA SOCIAL</t>
        </is>
      </c>
      <c r="K35" s="15" t="n">
        <v>0.5</v>
      </c>
      <c r="L35" s="15" t="inlineStr">
        <is>
          <t>B175</t>
        </is>
      </c>
      <c r="M35" s="15" t="n">
        <v>2023</v>
      </c>
      <c r="N35" s="15" t="inlineStr">
        <is>
          <t>10.06</t>
        </is>
      </c>
      <c r="O35" s="15" t="inlineStr">
        <is>
          <t>20</t>
        </is>
      </c>
      <c r="P35" s="15" t="inlineStr">
        <is>
          <t>10.23</t>
        </is>
      </c>
      <c r="Q35" s="15" t="inlineStr">
        <is>
          <t>20</t>
        </is>
      </c>
      <c r="R35" s="15" t="n">
        <v>60</v>
      </c>
      <c r="S35" s="15" t="n">
        <v>0.3</v>
      </c>
      <c r="T35" s="15" t="n">
        <v>0.1</v>
      </c>
      <c r="U35" s="15" t="n">
        <v>0.1</v>
      </c>
    </row>
    <row r="36" ht="14.45" customHeight="1">
      <c r="A36" s="15" t="inlineStr">
        <is>
          <t>U044</t>
        </is>
      </c>
      <c r="B36" s="15" t="inlineStr">
        <is>
          <t>ADM. FACULTAD DE CIENCIAS DE LA SALUD</t>
        </is>
      </c>
      <c r="C36" s="15" t="inlineStr">
        <is>
          <t>DOCTORADO EN CIENCIAS DE LA SALUD</t>
        </is>
      </c>
      <c r="D36" s="15" t="inlineStr">
        <is>
          <t>Herrera Miranda, Felipe</t>
        </is>
      </c>
      <c r="E36" s="15" t="inlineStr">
        <is>
          <t>Identificación de las barreras y facilitadores en la participación de actividad física y deporte en personas con discapacidad física mayores de 18 años, físicamente activos e inactivos de la región de Valparaíso, Chile.</t>
        </is>
      </c>
      <c r="F36" s="15" t="inlineStr">
        <is>
          <t>20/09/2024</t>
        </is>
      </c>
      <c r="G36" s="15" t="inlineStr">
        <is>
          <t>22122086L</t>
        </is>
      </c>
      <c r="H36" s="15" t="inlineStr">
        <is>
          <t>Codirector de tesis</t>
        </is>
      </c>
      <c r="I36" s="15" t="inlineStr">
        <is>
          <t>B134</t>
        </is>
      </c>
      <c r="J36" s="15" t="inlineStr">
        <is>
          <t>ENFERMERIA</t>
        </is>
      </c>
      <c r="K36" s="15" t="n">
        <v>0.5</v>
      </c>
      <c r="L36" s="15" t="inlineStr">
        <is>
          <t>B134</t>
        </is>
      </c>
      <c r="M36" s="15" t="n">
        <v>2023</v>
      </c>
      <c r="N36" s="15" t="inlineStr">
        <is>
          <t>10.06</t>
        </is>
      </c>
      <c r="O36" s="15" t="inlineStr">
        <is>
          <t>10</t>
        </is>
      </c>
      <c r="P36" s="15" t="inlineStr"/>
      <c r="Q36" s="15" t="inlineStr"/>
      <c r="R36" s="15" t="n">
        <v>90</v>
      </c>
      <c r="S36" s="15" t="n">
        <v>0.45</v>
      </c>
      <c r="T36" s="15" t="n">
        <v>0.05</v>
      </c>
      <c r="U36" s="15" t="n">
        <v>0</v>
      </c>
    </row>
    <row r="37" ht="14.45" customHeight="1">
      <c r="A37" s="15" t="inlineStr">
        <is>
          <t>U020</t>
        </is>
      </c>
      <c r="B37" s="15" t="inlineStr">
        <is>
          <t>I.U. DEL AGUA Y DE LAS CIENCIAS AMBIENTALES (10.05)</t>
        </is>
      </c>
      <c r="C37" s="15" t="inlineStr">
        <is>
          <t>DOCTORADO EN AGUA Y DESARROLLO SOSTENIBLE</t>
        </is>
      </c>
      <c r="D37" s="15" t="inlineStr">
        <is>
          <t>Millan Hernandez, Marisol</t>
        </is>
      </c>
      <c r="E37" s="15" t="inlineStr">
        <is>
          <t>El Nexo entre Agua, Cambio Climático y Paz en Colombia: Perspectivas para Políticas Públicas y Fiscalidad Ambiental</t>
        </is>
      </c>
      <c r="F37" s="15" t="inlineStr">
        <is>
          <t>12/07/2024</t>
        </is>
      </c>
      <c r="G37" s="15" t="inlineStr">
        <is>
          <t>74219671M</t>
        </is>
      </c>
      <c r="H37" s="15" t="inlineStr">
        <is>
          <t>Codirector de tesis</t>
        </is>
      </c>
      <c r="I37" s="15" t="inlineStr">
        <is>
          <t>B138</t>
        </is>
      </c>
      <c r="J37" s="15" t="inlineStr">
        <is>
          <t>ANALISIS ECONOMICO APLICADO</t>
        </is>
      </c>
      <c r="K37" s="15" t="n">
        <v>0.5</v>
      </c>
      <c r="L37" s="15" t="inlineStr">
        <is>
          <t>B138</t>
        </is>
      </c>
      <c r="M37" s="15" t="n">
        <v>2023</v>
      </c>
      <c r="N37" s="15" t="inlineStr">
        <is>
          <t>10.05</t>
        </is>
      </c>
      <c r="O37" s="15" t="inlineStr">
        <is>
          <t>10</t>
        </is>
      </c>
      <c r="P37" s="15" t="inlineStr">
        <is>
          <t>10.06</t>
        </is>
      </c>
      <c r="Q37" s="15" t="inlineStr">
        <is>
          <t>25</t>
        </is>
      </c>
      <c r="R37" s="15" t="n">
        <v>65</v>
      </c>
      <c r="S37" s="15" t="n">
        <v>0.325</v>
      </c>
      <c r="T37" s="15" t="n">
        <v>0.05</v>
      </c>
      <c r="U37" s="15" t="n">
        <v>0.125</v>
      </c>
    </row>
    <row r="38" ht="14.45" customHeight="1">
      <c r="A38" s="15" t="inlineStr">
        <is>
          <t>U025</t>
        </is>
      </c>
      <c r="B38" s="15" t="inlineStr">
        <is>
          <t>Administración Facultad de Derecho</t>
        </is>
      </c>
      <c r="C38" s="15" t="inlineStr">
        <is>
          <t>DOCTORADO EN DERECHO</t>
        </is>
      </c>
      <c r="D38" s="15" t="inlineStr">
        <is>
          <t>Muñoz Ferrandis, Carlos</t>
        </is>
      </c>
      <c r="E38" s="15" t="inlineStr">
        <is>
          <t>The rise of open source in interoperability standards: A challenge for the EU standardization legal framework</t>
        </is>
      </c>
      <c r="F38" s="15" t="inlineStr">
        <is>
          <t>14/03/2025</t>
        </is>
      </c>
      <c r="G38" s="15" t="inlineStr">
        <is>
          <t>21507330F</t>
        </is>
      </c>
      <c r="H38" s="15" t="inlineStr">
        <is>
          <t>Director de tesis</t>
        </is>
      </c>
      <c r="I38" s="15" t="inlineStr">
        <is>
          <t>B152</t>
        </is>
      </c>
      <c r="J38" s="15" t="inlineStr">
        <is>
          <t>Filosofía del Derecho y Derecho Internacional Privado</t>
        </is>
      </c>
      <c r="K38" s="15" t="n">
        <v>1</v>
      </c>
      <c r="L38" s="15" t="inlineStr">
        <is>
          <t>B152</t>
        </is>
      </c>
      <c r="M38" s="15" t="n">
        <v>2024</v>
      </c>
      <c r="N38" s="15" t="inlineStr">
        <is>
          <t>10.06</t>
        </is>
      </c>
      <c r="O38" s="15" t="inlineStr">
        <is>
          <t>10</t>
        </is>
      </c>
      <c r="P38" s="15" t="inlineStr"/>
      <c r="Q38" s="15" t="inlineStr"/>
      <c r="R38" s="15" t="n">
        <v>90</v>
      </c>
      <c r="S38" s="15" t="n">
        <v>0.9</v>
      </c>
      <c r="T38" s="15" t="n">
        <v>0.1</v>
      </c>
      <c r="U38" s="15" t="n">
        <v>0</v>
      </c>
    </row>
    <row r="39" ht="14.45" customHeight="1">
      <c r="A39" s="15" t="inlineStr">
        <is>
          <t>U025</t>
        </is>
      </c>
      <c r="B39" s="15" t="inlineStr">
        <is>
          <t>Administración Facultad de Derecho</t>
        </is>
      </c>
      <c r="C39" s="15" t="inlineStr">
        <is>
          <t>DOCTORADO EN DERECHO</t>
        </is>
      </c>
      <c r="D39" s="15" t="inlineStr">
        <is>
          <t>Ruiz Rodríguez, Raúl</t>
        </is>
      </c>
      <c r="E39" s="15" t="inlineStr">
        <is>
          <t>The alignment between the european private international law system and the trade secrets directive: A joint effort to enhance legal certainty and promote innovation</t>
        </is>
      </c>
      <c r="F39" s="15" t="inlineStr">
        <is>
          <t>25/10/2024</t>
        </is>
      </c>
      <c r="G39" s="15" t="inlineStr">
        <is>
          <t>21507330F</t>
        </is>
      </c>
      <c r="H39" s="15" t="inlineStr">
        <is>
          <t>Director de tesis</t>
        </is>
      </c>
      <c r="I39" s="15" t="inlineStr">
        <is>
          <t>B152</t>
        </is>
      </c>
      <c r="J39" s="15" t="inlineStr">
        <is>
          <t>Filosofía del Derecho y Derecho Internacional Privado</t>
        </is>
      </c>
      <c r="K39" s="15" t="n">
        <v>1</v>
      </c>
      <c r="L39" s="15" t="inlineStr">
        <is>
          <t>B152</t>
        </is>
      </c>
      <c r="M39" s="15" t="n">
        <v>2024</v>
      </c>
      <c r="N39" s="15" t="inlineStr">
        <is>
          <t>10.06</t>
        </is>
      </c>
      <c r="O39" s="15" t="inlineStr">
        <is>
          <t>10</t>
        </is>
      </c>
      <c r="P39" s="15" t="inlineStr"/>
      <c r="Q39" s="15" t="inlineStr"/>
      <c r="R39" s="15" t="n">
        <v>90</v>
      </c>
      <c r="S39" s="15" t="n">
        <v>0.9</v>
      </c>
      <c r="T39" s="15" t="n">
        <v>0.1</v>
      </c>
      <c r="U39" s="15" t="n">
        <v>0</v>
      </c>
    </row>
    <row r="40" ht="14.45" customHeight="1">
      <c r="A40" s="15" t="inlineStr">
        <is>
          <t>U044</t>
        </is>
      </c>
      <c r="B40" s="15" t="inlineStr">
        <is>
          <t>Administración Facultad de Ciencias de la Salud</t>
        </is>
      </c>
      <c r="C40" s="15" t="inlineStr">
        <is>
          <t>DOCTORADO EN CIENCIAS DE LA SALUD</t>
        </is>
      </c>
      <c r="D40" s="15" t="inlineStr">
        <is>
          <t>Moya Ortiz, Carlos Julio</t>
        </is>
      </c>
      <c r="E40" s="15" t="inlineStr">
        <is>
          <t>Evaluar la eficacia del Enfoque Integrativo de Coaching y Psicología EICPbe© (Moya, 2017) para la adquisición y desarrollo de estrategias eficaces para aumentar el bienestar personal en las tareas y proyectos cotidianos</t>
        </is>
      </c>
      <c r="F40" s="15" t="inlineStr">
        <is>
          <t>26/09/2025</t>
        </is>
      </c>
      <c r="G40" s="15" t="inlineStr">
        <is>
          <t>22122086L</t>
        </is>
      </c>
      <c r="H40" s="15" t="inlineStr">
        <is>
          <t>Codirector de tesis</t>
        </is>
      </c>
      <c r="I40" s="15" t="inlineStr">
        <is>
          <t>B134</t>
        </is>
      </c>
      <c r="J40" s="15" t="inlineStr">
        <is>
          <t>Enfermería</t>
        </is>
      </c>
      <c r="K40" s="15" t="n">
        <v>0.5</v>
      </c>
      <c r="L40" s="15" t="inlineStr">
        <is>
          <t>B134</t>
        </is>
      </c>
      <c r="M40" s="15" t="n">
        <v>2024</v>
      </c>
      <c r="N40" s="15" t="inlineStr">
        <is>
          <t>10.06</t>
        </is>
      </c>
      <c r="O40" s="15" t="inlineStr">
        <is>
          <t>10</t>
        </is>
      </c>
      <c r="P40" s="15" t="inlineStr"/>
      <c r="Q40" s="15" t="inlineStr"/>
      <c r="R40" s="15" t="n">
        <v>90</v>
      </c>
      <c r="S40" s="15" t="n">
        <v>0.45</v>
      </c>
      <c r="T40" s="15" t="n">
        <v>0.05</v>
      </c>
      <c r="U40" s="15" t="n">
        <v>0</v>
      </c>
    </row>
    <row r="41" ht="14.45" customHeight="1">
      <c r="A41" s="15" t="inlineStr">
        <is>
          <t>U044</t>
        </is>
      </c>
      <c r="B41" s="15" t="inlineStr">
        <is>
          <t>Administración Facultad de Ciencias de la Salud</t>
        </is>
      </c>
      <c r="C41" s="15" t="inlineStr">
        <is>
          <t>DOCTORADO EN CIENCIAS DE LA SALUD</t>
        </is>
      </c>
      <c r="D41" s="15" t="inlineStr">
        <is>
          <t>Montoro Pérez, Nestor</t>
        </is>
      </c>
      <c r="E41" s="15" t="inlineStr">
        <is>
          <t>Estrés, ansiedad, competencia parental y factores asociados con las "Non-Urgent
Presentations" y los frecuentadores en los servicios de urgencias hospitalarias pediátricas</t>
        </is>
      </c>
      <c r="F41" s="15" t="inlineStr">
        <is>
          <t>29/11/2024</t>
        </is>
      </c>
      <c r="G41" s="15" t="inlineStr">
        <is>
          <t>22122086L</t>
        </is>
      </c>
      <c r="H41" s="15" t="inlineStr">
        <is>
          <t>Codirector de tesis</t>
        </is>
      </c>
      <c r="I41" s="15" t="inlineStr">
        <is>
          <t>B134</t>
        </is>
      </c>
      <c r="J41" s="15" t="inlineStr">
        <is>
          <t>Enfermería</t>
        </is>
      </c>
      <c r="K41" s="15" t="n">
        <v>0.5</v>
      </c>
      <c r="L41" s="15" t="inlineStr">
        <is>
          <t>B134</t>
        </is>
      </c>
      <c r="M41" s="15" t="n">
        <v>2024</v>
      </c>
      <c r="N41" s="15" t="inlineStr">
        <is>
          <t>10.06</t>
        </is>
      </c>
      <c r="O41" s="15" t="inlineStr">
        <is>
          <t>10</t>
        </is>
      </c>
      <c r="P41" s="15" t="inlineStr"/>
      <c r="Q41" s="15" t="inlineStr"/>
      <c r="R41" s="15" t="n">
        <v>90</v>
      </c>
      <c r="S41" s="15" t="n">
        <v>0.45</v>
      </c>
      <c r="T41" s="15" t="n">
        <v>0.05</v>
      </c>
      <c r="U41" s="15" t="n">
        <v>0</v>
      </c>
    </row>
    <row r="42" ht="14.45" customHeight="1">
      <c r="A42" s="15" t="inlineStr">
        <is>
          <t>U036</t>
        </is>
      </c>
      <c r="B42" s="15" t="inlineStr">
        <is>
          <t>Administración Facultad de Ciencias Económicas</t>
        </is>
      </c>
      <c r="C42" s="15" t="inlineStr">
        <is>
          <t>DOCTORADO EN EMPRESA, ECONOMÍA Y SOCIEDAD</t>
        </is>
      </c>
      <c r="D42" s="15" t="inlineStr">
        <is>
          <t>Leal Rico, Ines Maria</t>
        </is>
      </c>
      <c r="E42" s="15" t="inlineStr">
        <is>
          <t>Redefiniendo la contrapublicidad en la encrucijada digital: funciones, impacto y sabotaje 
cultural</t>
        </is>
      </c>
      <c r="F42" s="15" t="inlineStr">
        <is>
          <t>16/12/2024</t>
        </is>
      </c>
      <c r="G42" s="15" t="inlineStr">
        <is>
          <t>21499146B</t>
        </is>
      </c>
      <c r="H42" s="15" t="inlineStr">
        <is>
          <t>Codirector de tesis</t>
        </is>
      </c>
      <c r="I42" s="15" t="inlineStr">
        <is>
          <t>B175</t>
        </is>
      </c>
      <c r="J42" s="15" t="inlineStr">
        <is>
          <t>Comunicación y Psicología Social</t>
        </is>
      </c>
      <c r="K42" s="15" t="n">
        <v>0.5</v>
      </c>
      <c r="L42" s="15" t="inlineStr">
        <is>
          <t>B175</t>
        </is>
      </c>
      <c r="M42" s="15" t="n">
        <v>2024</v>
      </c>
      <c r="N42" s="15" t="inlineStr">
        <is>
          <t>10.23</t>
        </is>
      </c>
      <c r="O42" s="15" t="inlineStr">
        <is>
          <t>20</t>
        </is>
      </c>
      <c r="P42" s="15" t="inlineStr">
        <is>
          <t>10.06</t>
        </is>
      </c>
      <c r="Q42" s="15" t="inlineStr">
        <is>
          <t>20</t>
        </is>
      </c>
      <c r="R42" s="15" t="n">
        <v>60</v>
      </c>
      <c r="S42" s="15" t="n">
        <v>0.3</v>
      </c>
      <c r="T42" s="15" t="n">
        <v>0.1</v>
      </c>
      <c r="U42" s="15" t="n">
        <v>0.1</v>
      </c>
    </row>
    <row r="43" ht="14.45" customHeight="1">
      <c r="A43" s="15" t="inlineStr">
        <is>
          <t>U036</t>
        </is>
      </c>
      <c r="B43" s="15" t="inlineStr">
        <is>
          <t>Administración Facultad de Ciencias Económicas</t>
        </is>
      </c>
      <c r="C43" s="15" t="inlineStr">
        <is>
          <t>DOCTORADO EN EMPRESA, ECONOMÍA Y SOCIEDAD</t>
        </is>
      </c>
      <c r="D43" s="15" t="inlineStr">
        <is>
          <t>Krasimirova Asenova, Martina</t>
        </is>
      </c>
      <c r="E43" s="15" t="inlineStr">
        <is>
          <t>Evolución de la industria hotelera: Del análisis de las páginas web y EWoM de los mejores hoteles a las oportunidades ocultas tras el COVID.</t>
        </is>
      </c>
      <c r="F43" s="15" t="inlineStr">
        <is>
          <t>20/12/2024</t>
        </is>
      </c>
      <c r="G43" s="15" t="inlineStr">
        <is>
          <t>21645764G</t>
        </is>
      </c>
      <c r="H43" s="15" t="inlineStr">
        <is>
          <t>Codirector de tesis</t>
        </is>
      </c>
      <c r="I43" s="15" t="inlineStr">
        <is>
          <t>B110</t>
        </is>
      </c>
      <c r="J43" s="15" t="inlineStr">
        <is>
          <t>Organización de Empresas</t>
        </is>
      </c>
      <c r="K43" s="15" t="n">
        <v>0.5</v>
      </c>
      <c r="L43" s="15" t="inlineStr">
        <is>
          <t>B110</t>
        </is>
      </c>
      <c r="M43" s="15" t="n">
        <v>2024</v>
      </c>
      <c r="N43" s="15" t="inlineStr">
        <is>
          <t>10.17</t>
        </is>
      </c>
      <c r="O43" s="15" t="inlineStr">
        <is>
          <t>40</t>
        </is>
      </c>
      <c r="P43" s="15" t="inlineStr">
        <is>
          <t>10.06</t>
        </is>
      </c>
      <c r="Q43" s="15" t="inlineStr">
        <is>
          <t>10</t>
        </is>
      </c>
      <c r="R43" s="15" t="n">
        <v>50</v>
      </c>
      <c r="S43" s="15" t="n">
        <v>0.25</v>
      </c>
      <c r="T43" s="15" t="n">
        <v>0.2</v>
      </c>
      <c r="U43" s="15" t="n">
        <v>0.05</v>
      </c>
    </row>
    <row r="44" ht="14.45" customHeight="1">
      <c r="A44" s="15" t="inlineStr">
        <is>
          <t>U036</t>
        </is>
      </c>
      <c r="B44" s="15" t="inlineStr">
        <is>
          <t>Administración Facultad de Ciencias Económicas</t>
        </is>
      </c>
      <c r="C44" s="15" t="inlineStr">
        <is>
          <t>DOCTORADO EN EMPRESA, ECONOMÍA Y SOCIEDAD</t>
        </is>
      </c>
      <c r="D44" s="15" t="inlineStr">
        <is>
          <t>Krasimirova Asenova, Martina</t>
        </is>
      </c>
      <c r="E44" s="15" t="inlineStr">
        <is>
          <t>Evolución de la industria hotelera: Del análisis de las páginas web y EWoM de los mejores hoteles a las oportunidades ocultas tras el COVID.</t>
        </is>
      </c>
      <c r="F44" s="15" t="inlineStr">
        <is>
          <t>20/12/2024</t>
        </is>
      </c>
      <c r="G44" s="15" t="inlineStr">
        <is>
          <t>53210892R</t>
        </is>
      </c>
      <c r="H44" s="15" t="inlineStr">
        <is>
          <t>Codirector de tesis</t>
        </is>
      </c>
      <c r="I44" s="15" t="inlineStr">
        <is>
          <t>B110</t>
        </is>
      </c>
      <c r="J44" s="15" t="inlineStr">
        <is>
          <t>Organización de Empresas</t>
        </is>
      </c>
      <c r="K44" s="15" t="n">
        <v>0.5</v>
      </c>
      <c r="L44" s="15" t="inlineStr">
        <is>
          <t>B110</t>
        </is>
      </c>
      <c r="M44" s="15" t="n">
        <v>2024</v>
      </c>
      <c r="N44" s="15" t="inlineStr">
        <is>
          <t>10.17</t>
        </is>
      </c>
      <c r="O44" s="15" t="inlineStr">
        <is>
          <t>40</t>
        </is>
      </c>
      <c r="P44" s="15" t="inlineStr">
        <is>
          <t>10.06</t>
        </is>
      </c>
      <c r="Q44" s="15" t="inlineStr">
        <is>
          <t>10</t>
        </is>
      </c>
      <c r="R44" s="15" t="n">
        <v>50</v>
      </c>
      <c r="S44" s="15" t="n">
        <v>0.25</v>
      </c>
      <c r="T44" s="15" t="n">
        <v>0.2</v>
      </c>
      <c r="U44" s="15" t="n">
        <v>0.05</v>
      </c>
    </row>
    <row r="45" ht="14.45" customHeight="1">
      <c r="A45" s="15" t="inlineStr">
        <is>
          <t>U036</t>
        </is>
      </c>
      <c r="B45" s="15" t="inlineStr">
        <is>
          <t>Administración Facultad de Ciencias Económicas</t>
        </is>
      </c>
      <c r="C45" s="15" t="inlineStr">
        <is>
          <t>DOCTORADO EN EMPRESA, ECONOMÍA Y SOCIEDAD</t>
        </is>
      </c>
      <c r="D45" s="15" t="inlineStr">
        <is>
          <t>Chartolani , Ekaterine</t>
        </is>
      </c>
      <c r="E45" s="15" t="inlineStr">
        <is>
          <t>ORGANIZATIONAL CULTURE: EXPLORING THE CULTURE OF MICHELIN STAR RESTAURANTS IN SPAIN</t>
        </is>
      </c>
      <c r="F45" s="15" t="inlineStr">
        <is>
          <t>13/12/2024</t>
        </is>
      </c>
      <c r="G45" s="15" t="inlineStr">
        <is>
          <t>21645764G</t>
        </is>
      </c>
      <c r="H45" s="15" t="inlineStr">
        <is>
          <t>Codirector de tesis</t>
        </is>
      </c>
      <c r="I45" s="15" t="inlineStr">
        <is>
          <t>B110</t>
        </is>
      </c>
      <c r="J45" s="15" t="inlineStr">
        <is>
          <t>Organización de Empresas</t>
        </is>
      </c>
      <c r="K45" s="15" t="n">
        <v>0.5</v>
      </c>
      <c r="L45" s="15" t="inlineStr">
        <is>
          <t>B110</t>
        </is>
      </c>
      <c r="M45" s="15" t="n">
        <v>2024</v>
      </c>
      <c r="N45" s="15" t="inlineStr">
        <is>
          <t>10.17</t>
        </is>
      </c>
      <c r="O45" s="15" t="inlineStr">
        <is>
          <t>40</t>
        </is>
      </c>
      <c r="P45" s="15" t="inlineStr">
        <is>
          <t>10.06</t>
        </is>
      </c>
      <c r="Q45" s="15" t="inlineStr">
        <is>
          <t>10</t>
        </is>
      </c>
      <c r="R45" s="15" t="n">
        <v>50</v>
      </c>
      <c r="S45" s="15" t="n">
        <v>0.25</v>
      </c>
      <c r="T45" s="15" t="n">
        <v>0.2</v>
      </c>
      <c r="U45" s="15" t="n">
        <v>0.05</v>
      </c>
    </row>
    <row r="46" ht="14.45" customHeight="1">
      <c r="A46" s="15" t="inlineStr">
        <is>
          <t>U036</t>
        </is>
      </c>
      <c r="B46" s="15" t="inlineStr">
        <is>
          <t>Administración Facultad de Ciencias Económicas</t>
        </is>
      </c>
      <c r="C46" s="15" t="inlineStr">
        <is>
          <t>DOCTORADO EN EMPRESA, ECONOMÍA Y SOCIEDAD</t>
        </is>
      </c>
      <c r="D46" s="15" t="inlineStr">
        <is>
          <t>Chartolani , Ekaterine</t>
        </is>
      </c>
      <c r="E46" s="15" t="inlineStr">
        <is>
          <t>ORGANIZATIONAL CULTURE: EXPLORING THE CULTURE OF MICHELIN STAR RESTAURANTS IN SPAIN</t>
        </is>
      </c>
      <c r="F46" s="15" t="inlineStr">
        <is>
          <t>13/12/2024</t>
        </is>
      </c>
      <c r="G46" s="15" t="inlineStr">
        <is>
          <t>53210892R</t>
        </is>
      </c>
      <c r="H46" s="15" t="inlineStr">
        <is>
          <t>Codirector de tesis</t>
        </is>
      </c>
      <c r="I46" s="15" t="inlineStr">
        <is>
          <t>B110</t>
        </is>
      </c>
      <c r="J46" s="15" t="inlineStr">
        <is>
          <t>Organización de Empresas</t>
        </is>
      </c>
      <c r="K46" s="15" t="n">
        <v>0.5</v>
      </c>
      <c r="L46" s="15" t="inlineStr">
        <is>
          <t>B110</t>
        </is>
      </c>
      <c r="M46" s="15" t="n">
        <v>2024</v>
      </c>
      <c r="N46" s="15" t="inlineStr">
        <is>
          <t>10.17</t>
        </is>
      </c>
      <c r="O46" s="15" t="inlineStr">
        <is>
          <t>40</t>
        </is>
      </c>
      <c r="P46" s="15" t="inlineStr">
        <is>
          <t>10.06</t>
        </is>
      </c>
      <c r="Q46" s="15" t="inlineStr">
        <is>
          <t>10</t>
        </is>
      </c>
      <c r="R46" s="15" t="n">
        <v>50</v>
      </c>
      <c r="S46" s="15" t="n">
        <v>0.25</v>
      </c>
      <c r="T46" s="15" t="n">
        <v>0.2</v>
      </c>
      <c r="U46" s="15" t="n">
        <v>0.05</v>
      </c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4" t="n"/>
      <c r="N47" s="33" t="n"/>
      <c r="O47" s="34" t="n"/>
      <c r="P47" s="33" t="n"/>
      <c r="Q47" s="34" t="n"/>
      <c r="R47" s="33" t="n"/>
      <c r="S47" s="33" t="n"/>
      <c r="T47" s="91">
        <f>SUM(T2:T24,U25:U30,T31:T36,U37,T38:T41,U42:U46)</f>
        <v/>
      </c>
      <c r="U47" s="33" t="n"/>
    </row>
  </sheetData>
  <autoFilter ref="A1:U47">
    <sortState ref="A2:T925">
      <sortCondition ref="M2:M925"/>
      <sortCondition ref="O2:O925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2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zoomScaleNormal="100" workbookViewId="0">
      <selection activeCell="V31" sqref="V31"/>
    </sheetView>
  </sheetViews>
  <sheetFormatPr baseColWidth="10" defaultColWidth="11.42578125" defaultRowHeight="12.75"/>
  <cols>
    <col width="9.28515625" customWidth="1" style="10" min="1" max="1"/>
    <col width="39" bestFit="1" customWidth="1" style="10" min="2" max="2"/>
    <col width="17.140625" bestFit="1" customWidth="1" style="10" min="3" max="3"/>
    <col width="3" customWidth="1" style="10" min="4" max="9"/>
    <col width="5.140625" customWidth="1" style="10" min="10" max="10"/>
    <col width="6" customWidth="1" style="10" min="11" max="11"/>
    <col width="5.28515625" customWidth="1" style="10" min="12" max="12"/>
    <col width="5.28515625" customWidth="1" style="11" min="13" max="13"/>
    <col width="4.7109375" customWidth="1" style="11" min="14" max="14"/>
    <col width="5.28515625" customWidth="1" style="10" min="15" max="15"/>
    <col width="4.7109375" customWidth="1" style="11" min="16" max="16"/>
    <col width="4.85546875" customWidth="1" style="10" min="17" max="19"/>
    <col width="11.42578125" customWidth="1" style="10" min="20" max="16384"/>
  </cols>
  <sheetData>
    <row r="1" ht="26.25" customHeight="1">
      <c r="A1" s="23" t="inlineStr">
        <is>
          <t>NIF</t>
        </is>
      </c>
      <c r="B1" s="23" t="inlineStr">
        <is>
          <t>NOMBRE_COMPLETO</t>
        </is>
      </c>
      <c r="C1" s="23" t="inlineStr">
        <is>
          <t>TIPO_SEXENIO</t>
        </is>
      </c>
      <c r="D1" s="24" t="inlineStr">
        <is>
          <t>2020</t>
        </is>
      </c>
      <c r="E1" s="24" t="inlineStr">
        <is>
          <t>2021</t>
        </is>
      </c>
      <c r="F1" s="24" t="inlineStr">
        <is>
          <t>2022</t>
        </is>
      </c>
      <c r="G1" s="24" t="inlineStr">
        <is>
          <t>2023</t>
        </is>
      </c>
      <c r="H1" s="24" t="inlineStr">
        <is>
          <t>2024</t>
        </is>
      </c>
      <c r="I1" s="24" t="inlineStr">
        <is>
          <t>2025</t>
        </is>
      </c>
      <c r="J1" s="23" t="inlineStr">
        <is>
          <t>Total general</t>
        </is>
      </c>
      <c r="K1" s="2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 ht="15" customHeight="1">
      <c r="A2" s="13" t="inlineStr">
        <is>
          <t>21407194J</t>
        </is>
      </c>
      <c r="B2" s="13" t="inlineStr">
        <is>
          <t>Alcaraz Ramos, Manuel Francisco</t>
        </is>
      </c>
      <c r="C2" s="13" t="inlineStr">
        <is>
          <t>Vivos</t>
        </is>
      </c>
      <c r="D2" s="13" t="n"/>
      <c r="E2" s="13" t="n"/>
      <c r="F2" s="13" t="n"/>
      <c r="G2" s="13" t="n"/>
      <c r="H2" s="13" t="n"/>
      <c r="I2" s="13" t="n">
        <v>1</v>
      </c>
      <c r="J2" s="64" t="n">
        <v>1</v>
      </c>
      <c r="K2" s="64" t="inlineStr">
        <is>
          <t>B113</t>
        </is>
      </c>
      <c r="L2" s="61" t="inlineStr">
        <is>
          <t>10.06</t>
        </is>
      </c>
      <c r="M2" s="61" t="inlineStr">
        <is>
          <t>10</t>
        </is>
      </c>
      <c r="N2" s="61" t="inlineStr"/>
      <c r="O2" s="61" t="inlineStr"/>
      <c r="P2" s="61" t="n">
        <v>90</v>
      </c>
      <c r="Q2" s="61" t="n">
        <v>0.1</v>
      </c>
      <c r="R2" s="61" t="n">
        <v>0</v>
      </c>
      <c r="S2" s="61" t="n">
        <v>0.9</v>
      </c>
    </row>
    <row r="3" ht="15" customHeight="1">
      <c r="A3" s="13" t="inlineStr">
        <is>
          <t>21418619F</t>
        </is>
      </c>
      <c r="B3" s="13" t="inlineStr">
        <is>
          <t>Martínez Mora, Carmen</t>
        </is>
      </c>
      <c r="C3" s="13" t="inlineStr">
        <is>
          <t>FUNCIONARIO</t>
        </is>
      </c>
      <c r="D3" s="13" t="n"/>
      <c r="E3" s="13" t="n">
        <v>1</v>
      </c>
      <c r="F3" s="13" t="n"/>
      <c r="G3" s="13" t="n"/>
      <c r="H3" s="13" t="n"/>
      <c r="I3" s="13" t="n"/>
      <c r="J3" s="64" t="n">
        <v>1</v>
      </c>
      <c r="K3" s="64" t="inlineStr">
        <is>
          <t>B138</t>
        </is>
      </c>
      <c r="L3" s="61" t="inlineStr">
        <is>
          <t>10.06</t>
        </is>
      </c>
      <c r="M3" s="61" t="inlineStr">
        <is>
          <t>50</t>
        </is>
      </c>
      <c r="N3" s="61" t="inlineStr"/>
      <c r="O3" s="61" t="inlineStr"/>
      <c r="P3" s="61" t="n">
        <v>50</v>
      </c>
      <c r="Q3" s="61" t="n">
        <v>0.5</v>
      </c>
      <c r="R3" s="61" t="n">
        <v>0</v>
      </c>
      <c r="S3" s="61" t="n">
        <v>0.5</v>
      </c>
    </row>
    <row r="4" ht="15" customHeight="1">
      <c r="A4" s="13" t="inlineStr">
        <is>
          <t>21434053P</t>
        </is>
      </c>
      <c r="B4" s="13" t="inlineStr">
        <is>
          <t>Lafuente Sánchez, Raúl José</t>
        </is>
      </c>
      <c r="C4" s="13" t="inlineStr">
        <is>
          <t>FUNCIONARIO</t>
        </is>
      </c>
      <c r="D4" s="13" t="n"/>
      <c r="E4" s="13" t="n"/>
      <c r="F4" s="13" t="n">
        <v>3</v>
      </c>
      <c r="G4" s="13" t="n"/>
      <c r="H4" s="13" t="n"/>
      <c r="I4" s="13" t="n"/>
      <c r="J4" s="64" t="n">
        <v>3</v>
      </c>
      <c r="K4" s="64" t="inlineStr">
        <is>
          <t>B152</t>
        </is>
      </c>
      <c r="L4" s="61" t="inlineStr">
        <is>
          <t>10.06</t>
        </is>
      </c>
      <c r="M4" s="61" t="inlineStr">
        <is>
          <t>10</t>
        </is>
      </c>
      <c r="N4" s="61" t="inlineStr"/>
      <c r="O4" s="61" t="inlineStr"/>
      <c r="P4" s="61" t="n">
        <v>90</v>
      </c>
      <c r="Q4" s="61" t="n">
        <v>0.3</v>
      </c>
      <c r="R4" s="61" t="n">
        <v>0</v>
      </c>
      <c r="S4" s="61" t="n">
        <v>2.7</v>
      </c>
    </row>
    <row r="5" ht="15" customHeight="1">
      <c r="A5" s="13" t="inlineStr">
        <is>
          <t>21470393P</t>
        </is>
      </c>
      <c r="B5" s="13" t="inlineStr">
        <is>
          <t>González Ramírez, María de los Reyes</t>
        </is>
      </c>
      <c r="C5" s="14" t="inlineStr">
        <is>
          <t>FUNCIONARIO</t>
        </is>
      </c>
      <c r="D5" s="13" t="n"/>
      <c r="E5" s="13" t="n"/>
      <c r="F5" s="13" t="n">
        <v>1</v>
      </c>
      <c r="G5" s="13" t="n"/>
      <c r="H5" s="13" t="n"/>
      <c r="I5" s="13" t="n"/>
      <c r="J5" s="64" t="n">
        <v>1</v>
      </c>
      <c r="K5" s="64" t="inlineStr">
        <is>
          <t>B110</t>
        </is>
      </c>
      <c r="L5" s="61" t="inlineStr">
        <is>
          <t>10.06</t>
        </is>
      </c>
      <c r="M5" s="61" t="inlineStr">
        <is>
          <t>10</t>
        </is>
      </c>
      <c r="N5" s="61" t="inlineStr">
        <is>
          <t>10.17</t>
        </is>
      </c>
      <c r="O5" s="61" t="inlineStr">
        <is>
          <t>40</t>
        </is>
      </c>
      <c r="P5" s="61" t="n">
        <v>50</v>
      </c>
      <c r="Q5" s="61" t="n">
        <v>0.1</v>
      </c>
      <c r="R5" s="61" t="n">
        <v>0.4</v>
      </c>
      <c r="S5" s="61" t="n">
        <v>0.5</v>
      </c>
    </row>
    <row r="6" ht="15" customHeight="1">
      <c r="A6" s="13" t="inlineStr">
        <is>
          <t>21475142L</t>
        </is>
      </c>
      <c r="B6" s="13" t="inlineStr">
        <is>
          <t>Fuster García, Begoña Lucía</t>
        </is>
      </c>
      <c r="C6" s="13" t="inlineStr">
        <is>
          <t>FUNCIONARIO</t>
        </is>
      </c>
      <c r="D6" s="13" t="n"/>
      <c r="E6" s="13" t="n">
        <v>1</v>
      </c>
      <c r="F6" s="13" t="n"/>
      <c r="G6" s="13" t="n"/>
      <c r="H6" s="13" t="n"/>
      <c r="I6" s="13" t="n"/>
      <c r="J6" s="64" t="n">
        <v>1</v>
      </c>
      <c r="K6" s="64" t="inlineStr">
        <is>
          <t>B138</t>
        </is>
      </c>
      <c r="L6" s="61" t="inlineStr">
        <is>
          <t>10.06</t>
        </is>
      </c>
      <c r="M6" s="61" t="inlineStr">
        <is>
          <t>50</t>
        </is>
      </c>
      <c r="N6" s="61" t="inlineStr"/>
      <c r="O6" s="61" t="inlineStr"/>
      <c r="P6" s="61" t="n">
        <v>50</v>
      </c>
      <c r="Q6" s="61" t="n">
        <v>0.5</v>
      </c>
      <c r="R6" s="61" t="n">
        <v>0</v>
      </c>
      <c r="S6" s="61" t="n">
        <v>0.5</v>
      </c>
    </row>
    <row r="7" ht="15" customHeight="1">
      <c r="A7" s="13" t="inlineStr">
        <is>
          <t>21478044T</t>
        </is>
      </c>
      <c r="B7" s="13" t="inlineStr">
        <is>
          <t>Fuentes Pascual, Ramón</t>
        </is>
      </c>
      <c r="C7" s="13" t="inlineStr">
        <is>
          <t>FUNCIONARIO</t>
        </is>
      </c>
      <c r="D7" s="13" t="n"/>
      <c r="E7" s="13" t="n"/>
      <c r="F7" s="13" t="n">
        <v>1</v>
      </c>
      <c r="G7" s="13" t="n"/>
      <c r="H7" s="13" t="n"/>
      <c r="I7" s="13" t="n"/>
      <c r="J7" s="64" t="n">
        <v>1</v>
      </c>
      <c r="K7" s="64" t="inlineStr">
        <is>
          <t>B138</t>
        </is>
      </c>
      <c r="L7" s="61" t="inlineStr">
        <is>
          <t>10.06</t>
        </is>
      </c>
      <c r="M7" s="61" t="inlineStr">
        <is>
          <t>25</t>
        </is>
      </c>
      <c r="N7" s="61" t="inlineStr">
        <is>
          <t>10.17</t>
        </is>
      </c>
      <c r="O7" s="61" t="inlineStr">
        <is>
          <t>25</t>
        </is>
      </c>
      <c r="P7" s="61" t="n">
        <v>50</v>
      </c>
      <c r="Q7" s="61" t="n">
        <v>0.25</v>
      </c>
      <c r="R7" s="61" t="n">
        <v>0.25</v>
      </c>
      <c r="S7" s="61" t="n">
        <v>0.5</v>
      </c>
    </row>
    <row r="8" ht="15" customHeight="1">
      <c r="A8" s="13" t="inlineStr">
        <is>
          <t>21479315Y</t>
        </is>
      </c>
      <c r="B8" s="13" t="inlineStr">
        <is>
          <t>Sánchez Sánchez, Ángel</t>
        </is>
      </c>
      <c r="C8" s="13" t="inlineStr">
        <is>
          <t>FUNCIONARIO</t>
        </is>
      </c>
      <c r="D8" s="13" t="n"/>
      <c r="E8" s="13" t="n"/>
      <c r="F8" s="13" t="n"/>
      <c r="G8" s="13" t="n"/>
      <c r="H8" s="13" t="n"/>
      <c r="I8" s="13" t="n">
        <v>1</v>
      </c>
      <c r="J8" s="64" t="n">
        <v>1</v>
      </c>
      <c r="K8" s="64" t="inlineStr">
        <is>
          <t>B138</t>
        </is>
      </c>
      <c r="L8" s="61" t="inlineStr">
        <is>
          <t>10.06</t>
        </is>
      </c>
      <c r="M8" s="61" t="inlineStr">
        <is>
          <t>25</t>
        </is>
      </c>
      <c r="N8" s="61" t="inlineStr">
        <is>
          <t>10.05</t>
        </is>
      </c>
      <c r="O8" s="61" t="inlineStr">
        <is>
          <t>25</t>
        </is>
      </c>
      <c r="P8" s="61" t="n">
        <v>50</v>
      </c>
      <c r="Q8" s="61" t="n">
        <v>0.25</v>
      </c>
      <c r="R8" s="61" t="n">
        <v>0.25</v>
      </c>
      <c r="S8" s="61" t="n">
        <v>0.5</v>
      </c>
    </row>
    <row r="9" ht="15" customHeight="1">
      <c r="A9" s="13" t="inlineStr">
        <is>
          <t>21488066V</t>
        </is>
      </c>
      <c r="B9" s="13" t="inlineStr">
        <is>
          <t>Llorca Asensi, Elena</t>
        </is>
      </c>
      <c r="C9" s="13" t="inlineStr">
        <is>
          <t>NO FUNCIONARIO</t>
        </is>
      </c>
      <c r="D9" s="13" t="n"/>
      <c r="E9" s="13" t="n"/>
      <c r="F9" s="13" t="n"/>
      <c r="G9" s="13" t="n"/>
      <c r="H9" s="13" t="n"/>
      <c r="I9" s="13" t="n">
        <v>1</v>
      </c>
      <c r="J9" s="64" t="n">
        <v>1</v>
      </c>
      <c r="K9" s="64" t="inlineStr">
        <is>
          <t>B179</t>
        </is>
      </c>
      <c r="L9" s="61" t="inlineStr">
        <is>
          <t>10.06</t>
        </is>
      </c>
      <c r="M9" s="61" t="inlineStr">
        <is>
          <t>50</t>
        </is>
      </c>
      <c r="N9" s="61" t="inlineStr"/>
      <c r="O9" s="61" t="inlineStr"/>
      <c r="P9" s="61" t="n">
        <v>50</v>
      </c>
      <c r="Q9" s="61" t="n">
        <v>0.5</v>
      </c>
      <c r="R9" s="61" t="n">
        <v>0</v>
      </c>
      <c r="S9" s="61" t="n">
        <v>0.5</v>
      </c>
    </row>
    <row r="10" ht="15" customHeight="1">
      <c r="A10" s="13" t="inlineStr">
        <is>
          <t>21490998M</t>
        </is>
      </c>
      <c r="B10" s="13" t="inlineStr">
        <is>
          <t>Ortiz Díaz-Guerra, María Jesús</t>
        </is>
      </c>
      <c r="C10" s="13" t="inlineStr">
        <is>
          <t>FUNCIONARIO</t>
        </is>
      </c>
      <c r="D10" s="13" t="n"/>
      <c r="E10" s="13" t="n"/>
      <c r="F10" s="13" t="n"/>
      <c r="G10" s="13" t="n">
        <v>1</v>
      </c>
      <c r="H10" s="13" t="n"/>
      <c r="I10" s="13" t="n"/>
      <c r="J10" s="64" t="n">
        <v>1</v>
      </c>
      <c r="K10" s="64" t="inlineStr">
        <is>
          <t>B175</t>
        </is>
      </c>
      <c r="L10" s="61" t="inlineStr">
        <is>
          <t>10.06</t>
        </is>
      </c>
      <c r="M10" s="61" t="inlineStr">
        <is>
          <t>10</t>
        </is>
      </c>
      <c r="N10" s="61" t="inlineStr"/>
      <c r="O10" s="61" t="inlineStr"/>
      <c r="P10" s="61" t="n">
        <v>90</v>
      </c>
      <c r="Q10" s="61" t="n">
        <v>0.1</v>
      </c>
      <c r="R10" s="61" t="n">
        <v>0</v>
      </c>
      <c r="S10" s="61" t="n">
        <v>0.9</v>
      </c>
    </row>
    <row r="11" ht="15" customHeight="1">
      <c r="A11" s="13" t="inlineStr">
        <is>
          <t>21494190T</t>
        </is>
      </c>
      <c r="B11" s="13" t="inlineStr">
        <is>
          <t>Simón Pérez, Hipólito José</t>
        </is>
      </c>
      <c r="C11" s="13" t="inlineStr">
        <is>
          <t>FUNCIONARIO</t>
        </is>
      </c>
      <c r="D11" s="13" t="n">
        <v>1</v>
      </c>
      <c r="E11" s="13" t="n"/>
      <c r="F11" s="13" t="n"/>
      <c r="G11" s="13" t="n"/>
      <c r="H11" s="13" t="n"/>
      <c r="I11" s="13" t="n"/>
      <c r="J11" s="64" t="n">
        <v>1</v>
      </c>
      <c r="K11" s="64" t="inlineStr">
        <is>
          <t>B138</t>
        </is>
      </c>
      <c r="L11" s="61" t="inlineStr">
        <is>
          <t>10.06</t>
        </is>
      </c>
      <c r="M11" s="61" t="inlineStr">
        <is>
          <t>50</t>
        </is>
      </c>
      <c r="N11" s="61" t="inlineStr"/>
      <c r="O11" s="61" t="inlineStr"/>
      <c r="P11" s="61" t="n">
        <v>50</v>
      </c>
      <c r="Q11" s="61" t="n">
        <v>0.5</v>
      </c>
      <c r="R11" s="61" t="n">
        <v>0</v>
      </c>
      <c r="S11" s="61" t="n">
        <v>0.5</v>
      </c>
    </row>
    <row r="12" ht="15" customHeight="1">
      <c r="A12" s="13" t="inlineStr">
        <is>
          <t>21507330F</t>
        </is>
      </c>
      <c r="B12" s="13" t="inlineStr">
        <is>
          <t>López-Tarruella Martínez, Aurelio</t>
        </is>
      </c>
      <c r="C12" s="13" t="inlineStr">
        <is>
          <t>Vivos</t>
        </is>
      </c>
      <c r="D12" s="13" t="n"/>
      <c r="E12" s="13" t="n"/>
      <c r="F12" s="13" t="n"/>
      <c r="G12" s="13" t="n"/>
      <c r="H12" s="13" t="n"/>
      <c r="I12" s="13" t="n">
        <v>1</v>
      </c>
      <c r="J12" s="64" t="n">
        <v>1</v>
      </c>
      <c r="K12" s="64" t="inlineStr">
        <is>
          <t>B152</t>
        </is>
      </c>
      <c r="L12" s="61" t="inlineStr">
        <is>
          <t>10.06</t>
        </is>
      </c>
      <c r="M12" s="61" t="inlineStr">
        <is>
          <t>10</t>
        </is>
      </c>
      <c r="N12" s="61" t="inlineStr"/>
      <c r="O12" s="61" t="inlineStr"/>
      <c r="P12" s="61" t="n">
        <v>90</v>
      </c>
      <c r="Q12" s="61" t="n">
        <v>0.1</v>
      </c>
      <c r="R12" s="61" t="n">
        <v>0</v>
      </c>
      <c r="S12" s="61" t="n">
        <v>0.9</v>
      </c>
    </row>
    <row r="13" ht="15" customHeight="1">
      <c r="A13" s="13" t="inlineStr">
        <is>
          <t>21643754H</t>
        </is>
      </c>
      <c r="B13" s="13" t="inlineStr">
        <is>
          <t>Torró Gil, Lluís</t>
        </is>
      </c>
      <c r="C13" s="13" t="inlineStr">
        <is>
          <t>FUNCIONARIO</t>
        </is>
      </c>
      <c r="D13" s="13" t="n">
        <v>1</v>
      </c>
      <c r="E13" s="13" t="n"/>
      <c r="F13" s="13" t="n"/>
      <c r="G13" s="13" t="n"/>
      <c r="H13" s="13" t="n"/>
      <c r="I13" s="13" t="n"/>
      <c r="J13" s="64" t="n">
        <v>1</v>
      </c>
      <c r="K13" s="64" t="inlineStr">
        <is>
          <t>B138</t>
        </is>
      </c>
      <c r="L13" s="61" t="inlineStr">
        <is>
          <t>10.06</t>
        </is>
      </c>
      <c r="M13" s="61" t="inlineStr">
        <is>
          <t>10</t>
        </is>
      </c>
      <c r="N13" s="61" t="inlineStr">
        <is>
          <t>10.25</t>
        </is>
      </c>
      <c r="O13" s="61" t="inlineStr">
        <is>
          <t>50</t>
        </is>
      </c>
      <c r="P13" s="61" t="n">
        <v>40</v>
      </c>
      <c r="Q13" s="61" t="n">
        <v>0.1</v>
      </c>
      <c r="R13" s="61" t="n">
        <v>0.5</v>
      </c>
      <c r="S13" s="61" t="n">
        <v>0.4</v>
      </c>
    </row>
    <row r="14" ht="15" customHeight="1">
      <c r="A14" s="13" t="inlineStr">
        <is>
          <t>21648758P</t>
        </is>
      </c>
      <c r="B14" s="13" t="inlineStr">
        <is>
          <t>Pastor Sempere, María del Carmen</t>
        </is>
      </c>
      <c r="C14" s="13" t="inlineStr">
        <is>
          <t>FUNCIONARIO</t>
        </is>
      </c>
      <c r="D14" s="13" t="n"/>
      <c r="E14" s="13" t="n"/>
      <c r="F14" s="13" t="n"/>
      <c r="G14" s="13" t="n">
        <v>1</v>
      </c>
      <c r="H14" s="13" t="n"/>
      <c r="I14" s="13" t="n"/>
      <c r="J14" s="64" t="n">
        <v>1</v>
      </c>
      <c r="K14" s="64" t="inlineStr">
        <is>
          <t>B154</t>
        </is>
      </c>
      <c r="L14" s="61" t="inlineStr">
        <is>
          <t>10.06</t>
        </is>
      </c>
      <c r="M14" s="61" t="inlineStr">
        <is>
          <t>90</t>
        </is>
      </c>
      <c r="N14" s="61" t="inlineStr"/>
      <c r="O14" s="61" t="inlineStr"/>
      <c r="P14" s="61" t="n">
        <v>10</v>
      </c>
      <c r="Q14" s="61" t="n">
        <v>0.9</v>
      </c>
      <c r="R14" s="61" t="n">
        <v>0</v>
      </c>
      <c r="S14" s="61" t="n">
        <v>0.1</v>
      </c>
    </row>
    <row r="15" ht="15" customHeight="1">
      <c r="A15" s="13" t="inlineStr">
        <is>
          <t>21677876P</t>
        </is>
      </c>
      <c r="B15" s="13" t="inlineStr">
        <is>
          <t>Trescastro López, Eva María</t>
        </is>
      </c>
      <c r="C15" s="13" t="inlineStr">
        <is>
          <t>FUNCIONARIO</t>
        </is>
      </c>
      <c r="D15" s="13" t="n"/>
      <c r="E15" s="13" t="n"/>
      <c r="F15" s="13" t="n"/>
      <c r="G15" s="13" t="n"/>
      <c r="H15" s="13" t="n">
        <v>2</v>
      </c>
      <c r="I15" s="13" t="n"/>
      <c r="J15" s="64" t="n">
        <v>2</v>
      </c>
      <c r="K15" s="64" t="inlineStr">
        <is>
          <t>B134</t>
        </is>
      </c>
      <c r="L15" s="61" t="inlineStr">
        <is>
          <t>10.06</t>
        </is>
      </c>
      <c r="M15" s="61" t="inlineStr">
        <is>
          <t>50</t>
        </is>
      </c>
      <c r="N15" s="61" t="inlineStr"/>
      <c r="O15" s="61" t="inlineStr"/>
      <c r="P15" s="61" t="n">
        <v>50</v>
      </c>
      <c r="Q15" s="61" t="n">
        <v>1</v>
      </c>
      <c r="R15" s="61" t="n">
        <v>0</v>
      </c>
      <c r="S15" s="61" t="n">
        <v>1</v>
      </c>
    </row>
    <row r="16" ht="15" customHeight="1">
      <c r="A16" s="13" t="inlineStr">
        <is>
          <t>22122086L</t>
        </is>
      </c>
      <c r="B16" s="13" t="inlineStr">
        <is>
          <t>Richart Martínez, Miguel</t>
        </is>
      </c>
      <c r="C16" s="13" t="inlineStr">
        <is>
          <t>FUNCIONARIO</t>
        </is>
      </c>
      <c r="D16" s="13" t="n"/>
      <c r="E16" s="13" t="n">
        <v>1</v>
      </c>
      <c r="F16" s="13" t="n"/>
      <c r="G16" s="13" t="n"/>
      <c r="H16" s="13" t="n"/>
      <c r="I16" s="13" t="n"/>
      <c r="J16" s="64" t="n">
        <v>1</v>
      </c>
      <c r="K16" s="64" t="inlineStr">
        <is>
          <t>B134</t>
        </is>
      </c>
      <c r="L16" s="61" t="inlineStr">
        <is>
          <t>10.06</t>
        </is>
      </c>
      <c r="M16" s="61" t="inlineStr">
        <is>
          <t>10</t>
        </is>
      </c>
      <c r="N16" s="61" t="inlineStr"/>
      <c r="O16" s="61" t="inlineStr"/>
      <c r="P16" s="61" t="n">
        <v>90</v>
      </c>
      <c r="Q16" s="61" t="n">
        <v>0.1</v>
      </c>
      <c r="R16" s="61" t="n">
        <v>0</v>
      </c>
      <c r="S16" s="61" t="n">
        <v>0.9</v>
      </c>
    </row>
    <row r="17" ht="15" customHeight="1">
      <c r="A17" s="13" t="inlineStr">
        <is>
          <t>24509611Y</t>
        </is>
      </c>
      <c r="B17" s="13" t="inlineStr">
        <is>
          <t>Serrano Estrada, Leticia</t>
        </is>
      </c>
      <c r="C17" s="12" t="inlineStr">
        <is>
          <t>FUNCIONARIO</t>
        </is>
      </c>
      <c r="D17" s="13" t="n"/>
      <c r="E17" s="13" t="n"/>
      <c r="F17" s="13" t="n">
        <v>1</v>
      </c>
      <c r="G17" s="13" t="n"/>
      <c r="H17" s="13" t="n"/>
      <c r="I17" s="13" t="n"/>
      <c r="J17" s="64" t="n">
        <v>1</v>
      </c>
      <c r="K17" s="64" t="inlineStr">
        <is>
          <t>B184</t>
        </is>
      </c>
      <c r="L17" s="61" t="inlineStr">
        <is>
          <t>10.06</t>
        </is>
      </c>
      <c r="M17" s="61" t="inlineStr">
        <is>
          <t>10</t>
        </is>
      </c>
      <c r="N17" s="61" t="inlineStr"/>
      <c r="O17" s="61" t="inlineStr"/>
      <c r="P17" s="61" t="n">
        <v>90</v>
      </c>
      <c r="Q17" s="61" t="n">
        <v>0.1</v>
      </c>
      <c r="R17" s="61" t="n">
        <v>0</v>
      </c>
      <c r="S17" s="61" t="n">
        <v>0.9</v>
      </c>
    </row>
    <row r="18" ht="15" customHeight="1">
      <c r="A18" s="13" t="inlineStr">
        <is>
          <t>33475454N</t>
        </is>
      </c>
      <c r="B18" s="13" t="inlineStr">
        <is>
          <t>Casado Díaz, José Manuel</t>
        </is>
      </c>
      <c r="C18" s="13" t="inlineStr">
        <is>
          <t>FUNCIONARIO</t>
        </is>
      </c>
      <c r="D18" s="13" t="n"/>
      <c r="E18" s="13" t="n">
        <v>1</v>
      </c>
      <c r="F18" s="13" t="n"/>
      <c r="G18" s="13" t="n"/>
      <c r="H18" s="13" t="n"/>
      <c r="I18" s="13" t="n"/>
      <c r="J18" s="64" t="n">
        <v>1</v>
      </c>
      <c r="K18" s="64" t="inlineStr">
        <is>
          <t>B138</t>
        </is>
      </c>
      <c r="L18" s="61" t="inlineStr">
        <is>
          <t>10.06</t>
        </is>
      </c>
      <c r="M18" s="61" t="inlineStr">
        <is>
          <t>50</t>
        </is>
      </c>
      <c r="N18" s="61" t="inlineStr">
        <is>
          <t>10.17</t>
        </is>
      </c>
      <c r="O18" s="61" t="inlineStr">
        <is>
          <t>10</t>
        </is>
      </c>
      <c r="P18" s="61" t="n">
        <v>40</v>
      </c>
      <c r="Q18" s="61" t="n">
        <v>0.5</v>
      </c>
      <c r="R18" s="61" t="n">
        <v>0.1</v>
      </c>
      <c r="S18" s="61" t="n">
        <v>0.4</v>
      </c>
    </row>
    <row r="19" ht="15" customHeight="1">
      <c r="A19" s="13" t="inlineStr">
        <is>
          <t>33486204K</t>
        </is>
      </c>
      <c r="B19" s="13" t="inlineStr">
        <is>
          <t>Martínez Giner, Luis Alfonso</t>
        </is>
      </c>
      <c r="C19" s="13" t="inlineStr">
        <is>
          <t>FUNCIONARIO</t>
        </is>
      </c>
      <c r="D19" s="13" t="n"/>
      <c r="E19" s="13" t="n"/>
      <c r="F19" s="13" t="n">
        <v>1</v>
      </c>
      <c r="G19" s="13" t="n"/>
      <c r="H19" s="13" t="n"/>
      <c r="I19" s="13" t="n"/>
      <c r="J19" s="64" t="n">
        <v>1</v>
      </c>
      <c r="K19" s="64" t="inlineStr">
        <is>
          <t>B109</t>
        </is>
      </c>
      <c r="L19" s="61" t="inlineStr">
        <is>
          <t>10.06</t>
        </is>
      </c>
      <c r="M19" s="61" t="inlineStr">
        <is>
          <t>25</t>
        </is>
      </c>
      <c r="N19" s="61" t="inlineStr"/>
      <c r="O19" s="61" t="inlineStr"/>
      <c r="P19" s="61" t="n">
        <v>75</v>
      </c>
      <c r="Q19" s="61" t="n">
        <v>0.25</v>
      </c>
      <c r="R19" s="61" t="n">
        <v>0</v>
      </c>
      <c r="S19" s="61" t="n">
        <v>0.75</v>
      </c>
    </row>
    <row r="20" ht="15" customHeight="1">
      <c r="A20" s="13" t="inlineStr">
        <is>
          <t>47083217D</t>
        </is>
      </c>
      <c r="B20" s="13" t="inlineStr">
        <is>
          <t>Moreno Izquierdo, Luis</t>
        </is>
      </c>
      <c r="C20" s="13" t="inlineStr">
        <is>
          <t>FUNCIONARIO</t>
        </is>
      </c>
      <c r="D20" s="13" t="n"/>
      <c r="E20" s="13" t="n">
        <v>1</v>
      </c>
      <c r="F20" s="13" t="n"/>
      <c r="G20" s="13" t="n">
        <v>1</v>
      </c>
      <c r="H20" s="13" t="n"/>
      <c r="I20" s="13" t="n"/>
      <c r="J20" s="64" t="n">
        <v>2</v>
      </c>
      <c r="K20" s="64" t="inlineStr">
        <is>
          <t>B138</t>
        </is>
      </c>
      <c r="L20" s="61" t="inlineStr">
        <is>
          <t>10.06</t>
        </is>
      </c>
      <c r="M20" s="61" t="inlineStr">
        <is>
          <t>50</t>
        </is>
      </c>
      <c r="N20" s="61" t="inlineStr">
        <is>
          <t>10.17</t>
        </is>
      </c>
      <c r="O20" s="61" t="inlineStr">
        <is>
          <t>10</t>
        </is>
      </c>
      <c r="P20" s="61" t="n">
        <v>40</v>
      </c>
      <c r="Q20" s="61" t="n">
        <v>1</v>
      </c>
      <c r="R20" s="61" t="n">
        <v>0.2</v>
      </c>
      <c r="S20" s="61" t="n">
        <v>0.8</v>
      </c>
    </row>
    <row r="21" ht="15" customHeight="1">
      <c r="A21" s="13" t="inlineStr">
        <is>
          <t>48316322S</t>
        </is>
      </c>
      <c r="B21" s="13" t="inlineStr">
        <is>
          <t>Fernández Sirvent, Rafael</t>
        </is>
      </c>
      <c r="C21" s="13" t="inlineStr">
        <is>
          <t>FUNCIONARIO</t>
        </is>
      </c>
      <c r="D21" s="13" t="n">
        <v>1</v>
      </c>
      <c r="E21" s="13" t="n"/>
      <c r="F21" s="13" t="n"/>
      <c r="G21" s="13" t="n"/>
      <c r="H21" s="13" t="n"/>
      <c r="I21" s="13" t="n"/>
      <c r="J21" s="64" t="n">
        <v>1</v>
      </c>
      <c r="K21" s="64" t="inlineStr">
        <is>
          <t>B122</t>
        </is>
      </c>
      <c r="L21" s="61" t="inlineStr">
        <is>
          <t>10.06</t>
        </is>
      </c>
      <c r="M21" s="61" t="inlineStr">
        <is>
          <t>10</t>
        </is>
      </c>
      <c r="N21" s="61" t="inlineStr"/>
      <c r="O21" s="61" t="inlineStr"/>
      <c r="P21" s="61" t="n">
        <v>90</v>
      </c>
      <c r="Q21" s="61" t="n">
        <v>0.1</v>
      </c>
      <c r="R21" s="61" t="n">
        <v>0</v>
      </c>
      <c r="S21" s="61" t="n">
        <v>0.9</v>
      </c>
    </row>
    <row r="22" ht="15" customHeight="1">
      <c r="A22" s="13" t="inlineStr">
        <is>
          <t>53638330F</t>
        </is>
      </c>
      <c r="B22" s="13" t="inlineStr">
        <is>
          <t>Roldan Marin, Alba</t>
        </is>
      </c>
      <c r="C22" s="13" t="inlineStr">
        <is>
          <t>NO FUNCIONARIO</t>
        </is>
      </c>
      <c r="D22" s="13" t="n"/>
      <c r="E22" s="13" t="n"/>
      <c r="F22" s="13" t="n"/>
      <c r="G22" s="13" t="n"/>
      <c r="H22" s="13" t="n"/>
      <c r="I22" s="13" t="n">
        <v>1</v>
      </c>
      <c r="J22" s="64" t="n">
        <v>1</v>
      </c>
      <c r="K22" s="64" t="inlineStr">
        <is>
          <t>B138</t>
        </is>
      </c>
      <c r="L22" s="61" t="inlineStr">
        <is>
          <t>10.06</t>
        </is>
      </c>
      <c r="M22" s="61" t="inlineStr">
        <is>
          <t>50</t>
        </is>
      </c>
      <c r="N22" s="61" t="inlineStr"/>
      <c r="O22" s="61" t="inlineStr"/>
      <c r="P22" s="61" t="n">
        <v>50</v>
      </c>
      <c r="Q22" s="61" t="n">
        <v>0.5</v>
      </c>
      <c r="R22" s="61" t="n">
        <v>0</v>
      </c>
      <c r="S22" s="61" t="n">
        <v>0.5</v>
      </c>
    </row>
    <row r="23" ht="15" customHeight="1">
      <c r="A23" s="13" t="inlineStr">
        <is>
          <t>74013738Z</t>
        </is>
      </c>
      <c r="B23" s="13" t="inlineStr">
        <is>
          <t>Martínez García, Alba</t>
        </is>
      </c>
      <c r="C23" s="13" t="inlineStr">
        <is>
          <t>NO FUNCIONARIO</t>
        </is>
      </c>
      <c r="D23" s="13" t="n"/>
      <c r="E23" s="13" t="n"/>
      <c r="F23" s="13" t="n"/>
      <c r="G23" s="13" t="n"/>
      <c r="H23" s="13" t="n">
        <v>1</v>
      </c>
      <c r="I23" s="13" t="n"/>
      <c r="J23" s="64" t="n">
        <v>1</v>
      </c>
      <c r="K23" s="64" t="inlineStr">
        <is>
          <t>B170</t>
        </is>
      </c>
      <c r="L23" s="61" t="inlineStr">
        <is>
          <t>10.06</t>
        </is>
      </c>
      <c r="M23" s="61" t="inlineStr">
        <is>
          <t>10</t>
        </is>
      </c>
      <c r="N23" s="61" t="inlineStr"/>
      <c r="O23" s="61" t="inlineStr"/>
      <c r="P23" s="61" t="n">
        <v>90</v>
      </c>
      <c r="Q23" s="61" t="n">
        <v>0.1</v>
      </c>
      <c r="R23" s="61" t="n">
        <v>0</v>
      </c>
      <c r="S23" s="61" t="n">
        <v>0.9</v>
      </c>
    </row>
    <row r="24" ht="15" customHeight="1">
      <c r="A24" s="13" t="inlineStr">
        <is>
          <t>74149704G</t>
        </is>
      </c>
      <c r="B24" s="13" t="inlineStr">
        <is>
          <t>Escudero Gutiérrez, Antonio</t>
        </is>
      </c>
      <c r="C24" s="13" t="inlineStr">
        <is>
          <t>FUNCIONARIO</t>
        </is>
      </c>
      <c r="D24" s="13" t="n">
        <v>1</v>
      </c>
      <c r="E24" s="13" t="n"/>
      <c r="F24" s="13" t="n"/>
      <c r="G24" s="13" t="n"/>
      <c r="H24" s="13" t="n"/>
      <c r="I24" s="13" t="n"/>
      <c r="J24" s="64" t="n">
        <v>1</v>
      </c>
      <c r="K24" s="64" t="inlineStr">
        <is>
          <t>B138</t>
        </is>
      </c>
      <c r="L24" s="61" t="inlineStr">
        <is>
          <t>10.06</t>
        </is>
      </c>
      <c r="M24" s="61" t="inlineStr">
        <is>
          <t>90</t>
        </is>
      </c>
      <c r="N24" s="61" t="inlineStr"/>
      <c r="O24" s="61" t="inlineStr"/>
      <c r="P24" s="61" t="n">
        <v>10</v>
      </c>
      <c r="Q24" s="61" t="n">
        <v>0.9</v>
      </c>
      <c r="R24" s="61" t="n">
        <v>0</v>
      </c>
      <c r="S24" s="61" t="n">
        <v>0.1</v>
      </c>
    </row>
    <row r="25" ht="15" customHeight="1">
      <c r="A25" s="13" t="inlineStr">
        <is>
          <t>74219671M</t>
        </is>
      </c>
      <c r="B25" s="13" t="inlineStr">
        <is>
          <t>Gil Macia, Lorenzo</t>
        </is>
      </c>
      <c r="C25" s="14" t="inlineStr">
        <is>
          <t>FUNCIONARIO</t>
        </is>
      </c>
      <c r="D25" s="13" t="n"/>
      <c r="E25" s="13" t="n"/>
      <c r="F25" s="13" t="n">
        <v>2</v>
      </c>
      <c r="G25" s="13" t="n"/>
      <c r="H25" s="13" t="n">
        <v>1</v>
      </c>
      <c r="I25" s="13" t="n"/>
      <c r="J25" s="64" t="n">
        <v>3</v>
      </c>
      <c r="K25" s="64" t="inlineStr">
        <is>
          <t>B138</t>
        </is>
      </c>
      <c r="L25" s="61" t="inlineStr">
        <is>
          <t>10.06</t>
        </is>
      </c>
      <c r="M25" s="61" t="inlineStr">
        <is>
          <t>25</t>
        </is>
      </c>
      <c r="N25" s="61" t="inlineStr">
        <is>
          <t>10.05</t>
        </is>
      </c>
      <c r="O25" s="61" t="inlineStr">
        <is>
          <t>10</t>
        </is>
      </c>
      <c r="P25" s="61" t="n">
        <v>65</v>
      </c>
      <c r="Q25" s="61" t="n">
        <v>0.75</v>
      </c>
      <c r="R25" s="61" t="n">
        <v>0.3</v>
      </c>
      <c r="S25" s="61" t="n">
        <v>1.95</v>
      </c>
    </row>
    <row r="26" ht="15" customHeight="1">
      <c r="A26" s="13" t="inlineStr">
        <is>
          <t>X1299790Z</t>
        </is>
      </c>
      <c r="B26" s="13" t="inlineStr">
        <is>
          <t>Grumpel, Claudia Gisela</t>
        </is>
      </c>
      <c r="C26" s="14" t="inlineStr">
        <is>
          <t>FUNCIONARIO</t>
        </is>
      </c>
      <c r="D26" s="13" t="n">
        <v>1</v>
      </c>
      <c r="E26" s="13" t="n"/>
      <c r="F26" s="13" t="n"/>
      <c r="G26" s="13" t="n"/>
      <c r="H26" s="13" t="n"/>
      <c r="I26" s="13" t="n"/>
      <c r="J26" s="64" t="n">
        <v>1</v>
      </c>
      <c r="K26" s="64" t="inlineStr">
        <is>
          <t>B114</t>
        </is>
      </c>
      <c r="L26" s="61" t="inlineStr">
        <is>
          <t>10.06</t>
        </is>
      </c>
      <c r="M26" s="61" t="inlineStr">
        <is>
          <t>50</t>
        </is>
      </c>
      <c r="N26" s="61" t="inlineStr"/>
      <c r="O26" s="61" t="inlineStr"/>
      <c r="P26" s="61" t="n">
        <v>50</v>
      </c>
      <c r="Q26" s="61" t="n">
        <v>0.5</v>
      </c>
      <c r="R26" s="61" t="n">
        <v>0</v>
      </c>
      <c r="S26" s="61" t="n">
        <v>0.5</v>
      </c>
    </row>
    <row r="27" ht="15" customHeight="1">
      <c r="A27" s="13" t="inlineStr">
        <is>
          <t>X5461382D</t>
        </is>
      </c>
      <c r="B27" s="13" t="inlineStr">
        <is>
          <t>Driha, Oana Madalina</t>
        </is>
      </c>
      <c r="C27" s="14" t="inlineStr">
        <is>
          <t>FUNCIONARIO</t>
        </is>
      </c>
      <c r="D27" s="13" t="n"/>
      <c r="E27" s="13" t="n"/>
      <c r="F27" s="13" t="n"/>
      <c r="G27" s="13" t="n">
        <v>1</v>
      </c>
      <c r="H27" s="13" t="n"/>
      <c r="I27" s="13" t="n"/>
      <c r="J27" s="64" t="n">
        <v>1</v>
      </c>
      <c r="K27" s="64" t="inlineStr">
        <is>
          <t>B138</t>
        </is>
      </c>
      <c r="L27" s="61" t="inlineStr">
        <is>
          <t>10.06</t>
        </is>
      </c>
      <c r="M27" s="61" t="inlineStr">
        <is>
          <t>50</t>
        </is>
      </c>
      <c r="N27" s="61" t="inlineStr">
        <is>
          <t>10.17</t>
        </is>
      </c>
      <c r="O27" s="61" t="inlineStr">
        <is>
          <t>10</t>
        </is>
      </c>
      <c r="P27" s="61" t="n">
        <v>40</v>
      </c>
      <c r="Q27" s="61" t="n">
        <v>0.5</v>
      </c>
      <c r="R27" s="61" t="n">
        <v>0.1</v>
      </c>
      <c r="S27" s="61" t="n">
        <v>0.4</v>
      </c>
    </row>
    <row r="28" ht="15" customHeight="1">
      <c r="A28" s="13" t="inlineStr">
        <is>
          <t>21395951V</t>
        </is>
      </c>
      <c r="B28" s="13" t="inlineStr">
        <is>
          <t>Marco Such, Manuel</t>
        </is>
      </c>
      <c r="C28" s="14" t="inlineStr">
        <is>
          <t>Vivos</t>
        </is>
      </c>
      <c r="D28" s="13" t="n"/>
      <c r="E28" s="13" t="n"/>
      <c r="F28" s="13" t="n"/>
      <c r="G28" s="13" t="n"/>
      <c r="H28" s="13" t="n"/>
      <c r="I28" s="13" t="n">
        <v>1</v>
      </c>
      <c r="J28" s="64" t="n">
        <v>1</v>
      </c>
      <c r="K28" s="64" t="inlineStr">
        <is>
          <t>B158</t>
        </is>
      </c>
      <c r="L28" s="61" t="inlineStr">
        <is>
          <t>10.19</t>
        </is>
      </c>
      <c r="M28" s="61" t="inlineStr">
        <is>
          <t>10</t>
        </is>
      </c>
      <c r="N28" s="61" t="inlineStr">
        <is>
          <t>10.06</t>
        </is>
      </c>
      <c r="O28" s="61" t="inlineStr">
        <is>
          <t>10</t>
        </is>
      </c>
      <c r="P28" s="61" t="n">
        <v>80</v>
      </c>
      <c r="Q28" s="61" t="n">
        <v>0.1</v>
      </c>
      <c r="R28" s="61" t="n">
        <v>0.1</v>
      </c>
      <c r="S28" s="61" t="n">
        <v>0.8</v>
      </c>
    </row>
    <row r="29" ht="15" customHeight="1">
      <c r="A29" s="13" t="inlineStr">
        <is>
          <t>21468028N</t>
        </is>
      </c>
      <c r="B29" s="13" t="inlineStr">
        <is>
          <t>Lillo Bañuls, Adelaida</t>
        </is>
      </c>
      <c r="C29" s="14" t="inlineStr">
        <is>
          <t>FUNCIONARIO</t>
        </is>
      </c>
      <c r="D29" s="13" t="n"/>
      <c r="E29" s="13" t="n"/>
      <c r="F29" s="13" t="n">
        <v>1</v>
      </c>
      <c r="G29" s="13" t="n"/>
      <c r="H29" s="13" t="n"/>
      <c r="I29" s="13" t="n"/>
      <c r="J29" s="64" t="n">
        <v>1</v>
      </c>
      <c r="K29" s="64" t="inlineStr">
        <is>
          <t>B138</t>
        </is>
      </c>
      <c r="L29" s="62" t="inlineStr">
        <is>
          <t>10.17</t>
        </is>
      </c>
      <c r="M29" s="62" t="inlineStr">
        <is>
          <t>10</t>
        </is>
      </c>
      <c r="N29" s="62" t="inlineStr">
        <is>
          <t>10.06</t>
        </is>
      </c>
      <c r="O29" s="62" t="inlineStr">
        <is>
          <t>50</t>
        </is>
      </c>
      <c r="P29" s="62" t="n">
        <v>40</v>
      </c>
      <c r="Q29" s="62" t="n">
        <v>0.1</v>
      </c>
      <c r="R29" s="62" t="n">
        <v>0.5</v>
      </c>
      <c r="S29" s="62" t="n">
        <v>0.4</v>
      </c>
    </row>
    <row r="30" ht="15" customHeight="1">
      <c r="A30" s="13" t="inlineStr">
        <is>
          <t>21487688F</t>
        </is>
      </c>
      <c r="B30" s="13" t="inlineStr">
        <is>
          <t>Ramón Rodríguez, Ana Belén</t>
        </is>
      </c>
      <c r="C30" s="13" t="inlineStr">
        <is>
          <t>FUNCIONARIO</t>
        </is>
      </c>
      <c r="D30" s="13" t="n"/>
      <c r="E30" s="13" t="n"/>
      <c r="F30" s="13" t="n"/>
      <c r="G30" s="13" t="n"/>
      <c r="H30" s="13" t="n">
        <v>1</v>
      </c>
      <c r="I30" s="13" t="n"/>
      <c r="J30" s="64" t="n">
        <v>1</v>
      </c>
      <c r="K30" s="64" t="inlineStr">
        <is>
          <t>B138</t>
        </is>
      </c>
      <c r="L30" s="61" t="inlineStr">
        <is>
          <t>10.17</t>
        </is>
      </c>
      <c r="M30" s="61" t="inlineStr">
        <is>
          <t>10</t>
        </is>
      </c>
      <c r="N30" s="61" t="inlineStr">
        <is>
          <t>10.06</t>
        </is>
      </c>
      <c r="O30" s="61" t="inlineStr">
        <is>
          <t>50</t>
        </is>
      </c>
      <c r="P30" s="61" t="n">
        <v>40</v>
      </c>
      <c r="Q30" s="61" t="n">
        <v>0.1</v>
      </c>
      <c r="R30" s="61" t="n">
        <v>0.5</v>
      </c>
      <c r="S30" s="61" t="n">
        <v>0.4</v>
      </c>
    </row>
    <row r="31" ht="15" customHeight="1">
      <c r="A31" s="13" t="inlineStr">
        <is>
          <t>21499146B</t>
        </is>
      </c>
      <c r="B31" s="13" t="inlineStr">
        <is>
          <t>Papí Gálvez, Natalia</t>
        </is>
      </c>
      <c r="C31" s="13" t="inlineStr">
        <is>
          <t>FUNCIONARIO</t>
        </is>
      </c>
      <c r="D31" s="13" t="n">
        <v>1</v>
      </c>
      <c r="E31" s="13" t="n"/>
      <c r="F31" s="13" t="n"/>
      <c r="G31" s="13" t="n"/>
      <c r="H31" s="13" t="n"/>
      <c r="I31" s="13" t="n"/>
      <c r="J31" s="64" t="n">
        <v>1</v>
      </c>
      <c r="K31" s="64" t="inlineStr">
        <is>
          <t>B175</t>
        </is>
      </c>
      <c r="L31" s="61" t="inlineStr">
        <is>
          <t>10.23</t>
        </is>
      </c>
      <c r="M31" s="61" t="inlineStr">
        <is>
          <t>20</t>
        </is>
      </c>
      <c r="N31" s="61" t="inlineStr">
        <is>
          <t>10.06</t>
        </is>
      </c>
      <c r="O31" s="61" t="inlineStr">
        <is>
          <t>20</t>
        </is>
      </c>
      <c r="P31" s="61" t="n">
        <v>60</v>
      </c>
      <c r="Q31" s="61" t="n">
        <v>0.2</v>
      </c>
      <c r="R31" s="61" t="n">
        <v>0.2</v>
      </c>
      <c r="S31" s="61" t="n">
        <v>0.6</v>
      </c>
    </row>
    <row r="32" ht="15" customHeight="1">
      <c r="A32" s="13" t="inlineStr">
        <is>
          <t>21645764G</t>
        </is>
      </c>
      <c r="B32" s="13" t="inlineStr">
        <is>
          <t>Gascó Gascó, José Luis</t>
        </is>
      </c>
      <c r="C32" s="13" t="inlineStr">
        <is>
          <t>FUNCIONARIO</t>
        </is>
      </c>
      <c r="D32" s="13" t="n"/>
      <c r="E32" s="13" t="n">
        <v>1</v>
      </c>
      <c r="F32" s="13" t="n"/>
      <c r="G32" s="13" t="n"/>
      <c r="H32" s="13" t="n"/>
      <c r="I32" s="13" t="n"/>
      <c r="J32" s="64" t="n">
        <v>1</v>
      </c>
      <c r="K32" s="64" t="inlineStr">
        <is>
          <t>B110</t>
        </is>
      </c>
      <c r="L32" s="61" t="inlineStr">
        <is>
          <t>10.17</t>
        </is>
      </c>
      <c r="M32" s="61" t="inlineStr">
        <is>
          <t>40</t>
        </is>
      </c>
      <c r="N32" s="61" t="inlineStr">
        <is>
          <t>10.06</t>
        </is>
      </c>
      <c r="O32" s="61" t="inlineStr">
        <is>
          <t>10</t>
        </is>
      </c>
      <c r="P32" s="61" t="n">
        <v>50</v>
      </c>
      <c r="Q32" s="61" t="n">
        <v>0.4</v>
      </c>
      <c r="R32" s="61" t="n">
        <v>0.1</v>
      </c>
      <c r="S32" s="61" t="n">
        <v>0.5</v>
      </c>
    </row>
    <row r="33" ht="15" customHeight="1">
      <c r="A33" s="13" t="inlineStr">
        <is>
          <t>25126276H</t>
        </is>
      </c>
      <c r="B33" s="13" t="inlineStr">
        <is>
          <t>Ivars Baidal, Josep Antoni</t>
        </is>
      </c>
      <c r="C33" s="13" t="inlineStr">
        <is>
          <t>FUNCIONARIO</t>
        </is>
      </c>
      <c r="D33" s="13" t="n"/>
      <c r="E33" s="13" t="n">
        <v>1</v>
      </c>
      <c r="F33" s="13" t="n"/>
      <c r="G33" s="13" t="n"/>
      <c r="H33" s="13" t="n"/>
      <c r="I33" s="13" t="n"/>
      <c r="J33" s="64" t="n">
        <v>1</v>
      </c>
      <c r="K33" s="64" t="inlineStr">
        <is>
          <t>B173</t>
        </is>
      </c>
      <c r="L33" s="61" t="inlineStr">
        <is>
          <t>10.17</t>
        </is>
      </c>
      <c r="M33" s="61" t="inlineStr">
        <is>
          <t>70</t>
        </is>
      </c>
      <c r="N33" s="61" t="inlineStr">
        <is>
          <t>10.06</t>
        </is>
      </c>
      <c r="O33" s="61" t="inlineStr">
        <is>
          <t>10</t>
        </is>
      </c>
      <c r="P33" s="61" t="n">
        <v>20</v>
      </c>
      <c r="Q33" s="61" t="n">
        <v>0.7</v>
      </c>
      <c r="R33" s="61" t="n">
        <v>0.1</v>
      </c>
      <c r="S33" s="61" t="n">
        <v>0.2</v>
      </c>
    </row>
    <row r="34" ht="15" customHeight="1">
      <c r="A34" s="13" t="inlineStr">
        <is>
          <t>45567523S</t>
        </is>
      </c>
      <c r="B34" s="13" t="inlineStr">
        <is>
          <t>Torregrosa Martí, María Teresa</t>
        </is>
      </c>
      <c r="C34" s="13" t="inlineStr">
        <is>
          <t>FUNCIONARIO</t>
        </is>
      </c>
      <c r="D34" s="13" t="n"/>
      <c r="E34" s="13" t="n"/>
      <c r="F34" s="13" t="n"/>
      <c r="G34" s="13" t="n">
        <v>1</v>
      </c>
      <c r="H34" s="13" t="n"/>
      <c r="I34" s="13" t="n"/>
      <c r="J34" s="64" t="n">
        <v>1</v>
      </c>
      <c r="K34" s="64" t="inlineStr">
        <is>
          <t>B138</t>
        </is>
      </c>
      <c r="L34" s="61" t="inlineStr">
        <is>
          <t>10.17</t>
        </is>
      </c>
      <c r="M34" s="61" t="inlineStr">
        <is>
          <t>10</t>
        </is>
      </c>
      <c r="N34" s="61" t="inlineStr">
        <is>
          <t>10.06</t>
        </is>
      </c>
      <c r="O34" s="61" t="inlineStr">
        <is>
          <t>50</t>
        </is>
      </c>
      <c r="P34" s="61" t="n">
        <v>40</v>
      </c>
      <c r="Q34" s="61" t="n">
        <v>0.1</v>
      </c>
      <c r="R34" s="61" t="n">
        <v>0.5</v>
      </c>
      <c r="S34" s="61" t="n">
        <v>0.4</v>
      </c>
    </row>
    <row r="35" ht="15" customHeight="1">
      <c r="A35" s="13" t="inlineStr">
        <is>
          <t>53210892R</t>
        </is>
      </c>
      <c r="B35" s="13" t="inlineStr">
        <is>
          <t>Llopis Taverner, Juan</t>
        </is>
      </c>
      <c r="C35" s="13" t="inlineStr">
        <is>
          <t>FUNCIONARIO</t>
        </is>
      </c>
      <c r="D35" s="13" t="n"/>
      <c r="E35" s="13" t="n"/>
      <c r="F35" s="13" t="n"/>
      <c r="G35" s="13" t="n"/>
      <c r="H35" s="13" t="n"/>
      <c r="I35" s="13" t="n">
        <v>1</v>
      </c>
      <c r="J35" s="64" t="n">
        <v>1</v>
      </c>
      <c r="K35" s="64" t="inlineStr">
        <is>
          <t>B110</t>
        </is>
      </c>
      <c r="L35" s="61" t="inlineStr">
        <is>
          <t>10.17</t>
        </is>
      </c>
      <c r="M35" s="61" t="inlineStr">
        <is>
          <t>40</t>
        </is>
      </c>
      <c r="N35" s="61" t="inlineStr">
        <is>
          <t>10.06</t>
        </is>
      </c>
      <c r="O35" s="61" t="inlineStr">
        <is>
          <t>10</t>
        </is>
      </c>
      <c r="P35" s="61" t="n">
        <v>50</v>
      </c>
      <c r="Q35" s="61" t="n">
        <v>0.4</v>
      </c>
      <c r="R35" s="61" t="n">
        <v>0.1</v>
      </c>
      <c r="S35" s="61" t="n">
        <v>0.5</v>
      </c>
    </row>
    <row r="36" ht="15" customFormat="1" customHeight="1" s="68">
      <c r="A36" s="63" t="inlineStr">
        <is>
          <t>53238057A</t>
        </is>
      </c>
      <c r="B36" s="63" t="inlineStr">
        <is>
          <t>López Llopis, Estefanía</t>
        </is>
      </c>
      <c r="C36" s="65" t="inlineStr">
        <is>
          <t>FUNCIONARIO</t>
        </is>
      </c>
      <c r="D36" s="63" t="n"/>
      <c r="E36" s="63" t="n"/>
      <c r="F36" s="63" t="n">
        <v>1</v>
      </c>
      <c r="G36" s="63" t="n">
        <v>1</v>
      </c>
      <c r="H36" s="63" t="n"/>
      <c r="I36" s="63" t="n"/>
      <c r="J36" s="66" t="n">
        <v>2</v>
      </c>
      <c r="K36" s="64" t="inlineStr">
        <is>
          <t>B138</t>
        </is>
      </c>
      <c r="L36" s="67" t="inlineStr">
        <is>
          <t>10.05</t>
        </is>
      </c>
      <c r="M36" s="67" t="inlineStr">
        <is>
          <t>25</t>
        </is>
      </c>
      <c r="N36" s="67" t="inlineStr">
        <is>
          <t>10.06</t>
        </is>
      </c>
      <c r="O36" s="67" t="inlineStr">
        <is>
          <t>50</t>
        </is>
      </c>
      <c r="P36" s="67" t="n">
        <v>25</v>
      </c>
      <c r="Q36" s="67" t="n">
        <v>0.5</v>
      </c>
      <c r="R36" s="67" t="n">
        <v>1</v>
      </c>
      <c r="S36" s="67" t="n">
        <v>0.5</v>
      </c>
    </row>
    <row r="37" ht="15" customHeight="1">
      <c r="A37" s="13" t="inlineStr">
        <is>
          <t>74176634R</t>
        </is>
      </c>
      <c r="B37" s="13" t="inlineStr">
        <is>
          <t>Vera Rebollo, José Fernando</t>
        </is>
      </c>
      <c r="C37" s="14" t="n">
        <v>6</v>
      </c>
      <c r="D37" s="13" t="n"/>
      <c r="E37" s="13" t="n"/>
      <c r="F37" s="13" t="n"/>
      <c r="G37" s="13" t="n"/>
      <c r="H37" s="13" t="n"/>
      <c r="I37" s="13" t="n">
        <v>1</v>
      </c>
      <c r="J37" s="64" t="n">
        <v>1</v>
      </c>
      <c r="K37" s="64" t="inlineStr">
        <is>
          <t>B173</t>
        </is>
      </c>
      <c r="L37" s="62" t="inlineStr">
        <is>
          <t>10.17</t>
        </is>
      </c>
      <c r="M37" s="62" t="inlineStr">
        <is>
          <t>80</t>
        </is>
      </c>
      <c r="N37" s="62" t="inlineStr">
        <is>
          <t>10.06</t>
        </is>
      </c>
      <c r="O37" s="62" t="inlineStr">
        <is>
          <t>10</t>
        </is>
      </c>
      <c r="P37" s="62" t="n">
        <v>10</v>
      </c>
      <c r="Q37" s="62" t="n">
        <v>0.8</v>
      </c>
      <c r="R37" s="62" t="n">
        <v>0.1</v>
      </c>
      <c r="S37" s="62" t="n">
        <v>0.1</v>
      </c>
    </row>
    <row r="38" ht="15" customHeight="1">
      <c r="A38" s="39" t="n"/>
      <c r="B38" s="39" t="n"/>
      <c r="C38" s="40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80">
        <f>SUM(R28:R37,Q2:Q27)</f>
        <v/>
      </c>
      <c r="R38" s="92" t="n"/>
      <c r="S38" s="39" t="n"/>
    </row>
  </sheetData>
  <mergeCells count="1">
    <mergeCell ref="Q38:R38"/>
  </mergeCells>
  <pageMargins left="0.3937007874015748" right="0.3937007874015748" top="0.3937007874015748" bottom="0.3937007874015748" header="0.3149606299212598" footer="0.3149606299212598"/>
  <pageSetup orientation="landscape" paperSize="9" scale="92" fitToHeight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F13" sqref="F13"/>
    </sheetView>
  </sheetViews>
  <sheetFormatPr baseColWidth="10" defaultRowHeight="15"/>
  <cols>
    <col width="17" customWidth="1" min="1" max="1"/>
    <col width="107.42578125" customWidth="1" min="2" max="2"/>
    <col width="16" customWidth="1" min="3" max="3"/>
  </cols>
  <sheetData>
    <row r="1">
      <c r="A1" s="41" t="inlineStr">
        <is>
          <t>Cód. org. aplic.</t>
        </is>
      </c>
      <c r="B1" s="41" t="inlineStr">
        <is>
          <t>Descripción justificante</t>
        </is>
      </c>
      <c r="C1" s="41" t="inlineStr">
        <is>
          <t>Imp.cob.aplic.</t>
        </is>
      </c>
    </row>
    <row r="2">
      <c r="A2" s="37" t="inlineStr">
        <is>
          <t>40.70.6C.00.06</t>
        </is>
      </c>
      <c r="B2" s="37" t="inlineStr">
        <is>
          <t>Firma addenda AURENASESORES1-21AD. Prestación de servicios de asesoramiento especializado en materia fiscal. Octavo pago tras la firma del mismo.</t>
        </is>
      </c>
      <c r="C2" s="93" t="n">
        <v>2640</v>
      </c>
    </row>
    <row r="3">
      <c r="A3" s="36" t="inlineStr">
        <is>
          <t>40.70.6C.00.06</t>
        </is>
      </c>
      <c r="B3" s="36" t="inlineStr">
        <is>
          <t>Firma addenda AURENASESORES1-17AD. Prestación de servicios de asesoramiento especializado en materia fiscal. Séptimo pago tras la firma del mismo.</t>
        </is>
      </c>
      <c r="C3" s="94" t="n">
        <v>2640</v>
      </c>
    </row>
    <row r="4">
      <c r="A4" s="37" t="inlineStr">
        <is>
          <t>40.70.6C.00.06</t>
        </is>
      </c>
      <c r="B4" s="37" t="inlineStr">
        <is>
          <t>Firma addenda AURENASESORES1-21AD Prestación de servicios de asesoramiento especializado en materia fiscal. Noveno pago tras la firma del mismo.</t>
        </is>
      </c>
      <c r="C4" s="93" t="n">
        <v>2640</v>
      </c>
    </row>
    <row r="5">
      <c r="A5" s="36" t="inlineStr">
        <is>
          <t>40.70.6C.00.58</t>
        </is>
      </c>
      <c r="B5" s="36" t="inlineStr">
        <is>
          <t>INGRESO EN FORMALIZACIÓN INGRESO JI-2022-6599 UNA VEZ CONOCIDA EN 2023 LA ORGÁNICA DEFINITVA 40.70.6C.00.58</t>
        </is>
      </c>
      <c r="C5" s="94" t="n">
        <v>29703.31</v>
      </c>
    </row>
    <row r="6">
      <c r="A6" s="37" t="inlineStr">
        <is>
          <t>40.70.6C.00.59</t>
        </is>
      </c>
      <c r="B6" s="37" t="inlineStr">
        <is>
          <t>Estudio de componentes competitivos de la economía alicantina para la atracción de inversiones y talento digital para el proyecto ALIA. 2do Pago / Trimestre</t>
        </is>
      </c>
      <c r="C6" s="93" t="n">
        <v>2112</v>
      </c>
    </row>
    <row r="7">
      <c r="A7" s="36" t="inlineStr">
        <is>
          <t>40.70.6C.00.59</t>
        </is>
      </c>
      <c r="B7" s="36" t="inlineStr">
        <is>
          <t xml:space="preserve">Estudio de componentes competitivos de la economía alicantina para la atracción de inversiones y talento digital para el proyecto ALIA. 1er pago /trimestre. </t>
        </is>
      </c>
      <c r="C7" s="94" t="n">
        <v>2112</v>
      </c>
    </row>
    <row r="8">
      <c r="A8" s="37" t="inlineStr">
        <is>
          <t>40.70.6C.00.59</t>
        </is>
      </c>
      <c r="B8" s="37" t="inlineStr">
        <is>
          <t>Estudios de componenetes competitivos de la economía alicantina para la atracción de inversiones y talento digital para el proyecto ALIA.</t>
        </is>
      </c>
      <c r="C8" s="93" t="n">
        <v>2112</v>
      </c>
    </row>
    <row r="9">
      <c r="A9" s="36" t="inlineStr">
        <is>
          <t>40.70.6C.00.60</t>
        </is>
      </c>
      <c r="B9" s="36" t="inlineStr">
        <is>
          <t>Asesoramiento científico-técnico en material fiscal. 1er Pago.</t>
        </is>
      </c>
      <c r="C9" s="94" t="n">
        <v>2640</v>
      </c>
    </row>
    <row r="10">
      <c r="A10" s="37" t="inlineStr">
        <is>
          <t>40.70.6D.00.01</t>
        </is>
      </c>
      <c r="B10" s="37" t="inlineStr">
        <is>
          <t>Colaboración con la Universidad de Alicante 2. Realización de estudio socio-económico del sector pesquero de la CV CONSELLERIAAGRICULTURA2-23I</t>
        </is>
      </c>
      <c r="C10" s="93" t="n">
        <v>30000</v>
      </c>
    </row>
    <row r="11">
      <c r="A11" s="36" t="inlineStr">
        <is>
          <t>40.70.6G.00.02</t>
        </is>
      </c>
      <c r="B11" s="36" t="inlineStr">
        <is>
          <t>Mecenazgo de las actividades de organización y realización de las XXXVII Jornadas de Alicante de Economía Española realizadas por la Universidad de Alicante</t>
        </is>
      </c>
      <c r="C11" s="94" t="n">
        <v>2000</v>
      </c>
    </row>
    <row r="12">
      <c r="A12" s="37" t="inlineStr">
        <is>
          <t>40.70.6G.00.03</t>
        </is>
      </c>
      <c r="B12" s="37" t="inlineStr">
        <is>
          <t>Mecenazgo de las actividades de organiación y realiación de las XXXVIII Jornadas de Alicante sobre Economía Española por la Universidad de Alicante.</t>
        </is>
      </c>
      <c r="C12" s="93" t="n">
        <v>1760</v>
      </c>
    </row>
    <row r="13">
      <c r="A13" s="36" t="inlineStr">
        <is>
          <t>40.70.6G.00.03</t>
        </is>
      </c>
      <c r="B13" s="36" t="inlineStr">
        <is>
          <t>Mecenazgo de las actividades de organización y realización de las XXXVIII Jornadas de Alicante de economía española por la Universidad de Alicante.</t>
        </is>
      </c>
      <c r="C13" s="94" t="n">
        <v>1320</v>
      </c>
    </row>
    <row r="14">
      <c r="A14" s="37" t="inlineStr">
        <is>
          <t>40.70.6G.00.03</t>
        </is>
      </c>
      <c r="B14" s="37" t="inlineStr">
        <is>
          <t>DEVOLUCIÓN DE TASAS NÓMINAS_REMESA Nº 2023DTR380589_RDT INVERSA: 2023EXPADM2019</t>
        </is>
      </c>
      <c r="C14" s="93" t="n">
        <v>-36</v>
      </c>
    </row>
    <row r="15">
      <c r="A15" s="36" t="inlineStr">
        <is>
          <t>40.70.6G.00.03</t>
        </is>
      </c>
      <c r="B15" s="36" t="inlineStr">
        <is>
          <t>Patrocinio XXXVIII Jornadas de Alicante de Economía Española.</t>
        </is>
      </c>
      <c r="C15" s="94" t="n">
        <v>2640</v>
      </c>
    </row>
    <row r="16">
      <c r="A16" s="37" t="inlineStr">
        <is>
          <t>40.70.6G.00.03</t>
        </is>
      </c>
      <c r="B16" s="37" t="inlineStr">
        <is>
          <t>Mecenazgo de las actividades de organización y realización de las XXXVIII Jornadas de Alicante de economía española por la Universidad de Alicante.</t>
        </is>
      </c>
      <c r="C16" s="93" t="n">
        <v>1320</v>
      </c>
    </row>
    <row r="17">
      <c r="A17" s="36" t="inlineStr">
        <is>
          <t>40.70.6G.00.03</t>
        </is>
      </c>
      <c r="B17" s="36" t="inlineStr">
        <is>
          <t xml:space="preserve">LIQ-TitProp_GJ92-1 Curso_2023-24_AñoCont_2023 - XXXVIII JORNADAS DE ALICANTE SOBRE ECONOMÍA ESPAÑOLA  </t>
        </is>
      </c>
      <c r="C17" s="94" t="n">
        <v>36</v>
      </c>
    </row>
    <row r="18">
      <c r="A18" s="36" t="inlineStr">
        <is>
          <t>40.70.6P.00.10</t>
        </is>
      </c>
      <c r="B18" s="36" t="inlineStr">
        <is>
          <t>DEVOLUCIÓN DE INGRESOS_ MODELO 069_ Expediente o Referencia: 173-P56590-202212210097810</t>
        </is>
      </c>
      <c r="C18" s="94" t="n">
        <v>-762.75</v>
      </c>
    </row>
    <row r="19">
      <c r="A19" s="37" t="inlineStr">
        <is>
          <t>40.70.6P.00.10</t>
        </is>
      </c>
      <c r="B19" s="37" t="inlineStr">
        <is>
          <t>DEVOLUCIÓN DE INGRESOS_ CARTA DE PAGO_Referencia PGC2018-097817-B-C33, anualidad: 2021</t>
        </is>
      </c>
      <c r="C19" s="93" t="n">
        <v>-762.76</v>
      </c>
    </row>
    <row r="20">
      <c r="A20" s="36" t="inlineStr">
        <is>
          <t>40.70.6P.00.12</t>
        </is>
      </c>
      <c r="B20" s="36" t="inlineStr">
        <is>
          <t xml:space="preserve">PID2020-112540RB-C43/112611RB-I00/112930GB-I00/113343GB-I00/113472RB-I00/114381GB-I00/114517GB-I00/114896RB-I00/115140RB-I00/115735GB-I00  </t>
        </is>
      </c>
      <c r="C20" s="94" t="n">
        <v>19673.29</v>
      </c>
    </row>
    <row r="21">
      <c r="A21" s="37" t="inlineStr">
        <is>
          <t>40.70.6P.00.13</t>
        </is>
      </c>
      <c r="B21" s="37" t="inlineStr">
        <is>
          <t>DEVOLUCIÓN DE INGRESOS_MODELO 047_Nº de liquidación: 46/2023/RAS/10200/1_Número de justificante: 047/1/002359944_Nº de referencia:047/1/002359944</t>
        </is>
      </c>
      <c r="C21" s="93" t="n">
        <v>-649.15</v>
      </c>
    </row>
    <row r="22">
      <c r="A22" s="36" t="inlineStr">
        <is>
          <t>40.70.6P.00.13</t>
        </is>
      </c>
      <c r="B22" s="36" t="inlineStr">
        <is>
          <t xml:space="preserve">AICO/2021/013/062/093/130/132/163/165 </t>
        </is>
      </c>
      <c r="C22" s="94" t="n">
        <v>30000</v>
      </c>
    </row>
    <row r="23">
      <c r="A23" s="37" t="inlineStr">
        <is>
          <t>40.70.6P.00.14</t>
        </is>
      </c>
      <c r="B23" s="37" t="inlineStr">
        <is>
          <t>PDC2022-133708-C33PDC-2022-1 2 ANUALIDAD LIBERADOS</t>
        </is>
      </c>
      <c r="C23" s="93" t="n">
        <v>5250</v>
      </c>
    </row>
    <row r="24">
      <c r="A24" s="36" t="inlineStr">
        <is>
          <t>40.70.6P.00.15</t>
        </is>
      </c>
      <c r="B24" s="36" t="inlineStr">
        <is>
      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      </is>
      </c>
      <c r="C24" s="94" t="n">
        <v>23826</v>
      </c>
    </row>
    <row r="25">
      <c r="A25" s="37" t="inlineStr">
        <is>
          <t>40.70.6P.00.16</t>
        </is>
      </c>
      <c r="B25" s="37" t="inlineStr">
        <is>
          <t xml:space="preserve">ayudas a organismos de investigación y de difusión de conocimientos para proyectos de I+D para dar respuesta a los retos de los destinos turísticos 50064869 </t>
        </is>
      </c>
      <c r="C25" s="93" t="n">
        <v>27800</v>
      </c>
    </row>
    <row r="26">
      <c r="A26" s="42" t="inlineStr">
        <is>
          <t>40.70.6X.00.03</t>
        </is>
      </c>
      <c r="B26" s="42" t="inlineStr">
        <is>
          <t xml:space="preserve">ÚLTIMO COBRO DEL PROYECTO MULTIRACES </t>
        </is>
      </c>
      <c r="C26" s="95" t="n">
        <v>10034.99</v>
      </c>
    </row>
    <row r="27" customFormat="1" s="46">
      <c r="A27" s="44" t="inlineStr">
        <is>
          <t>Total</t>
        </is>
      </c>
      <c r="B27" s="44" t="n"/>
      <c r="C27" s="96">
        <f>SUBTOTAL(109,Tabla5[Imp.cob.aplic.])</f>
        <v/>
      </c>
    </row>
    <row r="28">
      <c r="C28" s="9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D32" sqref="D32"/>
    </sheetView>
  </sheetViews>
  <sheetFormatPr baseColWidth="10" defaultRowHeight="15"/>
  <cols>
    <col width="12" customWidth="1" min="1" max="1"/>
    <col width="62.140625" customWidth="1" min="2" max="2"/>
    <col width="13.140625" customWidth="1" min="3" max="3"/>
  </cols>
  <sheetData>
    <row r="1">
      <c r="A1" s="50" t="inlineStr">
        <is>
          <t>Org. aplic.</t>
        </is>
      </c>
      <c r="B1" s="50" t="inlineStr">
        <is>
          <t>Descripción justificante</t>
        </is>
      </c>
      <c r="C1" s="98" t="inlineStr">
        <is>
          <t>Imp. aplic.</t>
        </is>
      </c>
    </row>
    <row r="2">
      <c r="A2" s="48" t="inlineStr">
        <is>
          <t>40.70.6C.00.56</t>
        </is>
      </c>
      <c r="B2" s="48" t="inlineStr">
        <is>
          <t>Completion of D2 as per ToR (Draft study - Jamaica)</t>
        </is>
      </c>
      <c r="C2" s="94" t="n">
        <v>5280</v>
      </c>
    </row>
    <row r="3">
      <c r="A3" s="49" t="inlineStr">
        <is>
          <t>40.70.6C.00.60</t>
        </is>
      </c>
      <c r="B3" s="49" t="inlineStr">
        <is>
          <t>AURENASESORES1-23A. Asesoramiento científico-técnico en material fiscal. 2do Pago</t>
        </is>
      </c>
      <c r="C3" s="93" t="n">
        <v>2640</v>
      </c>
    </row>
    <row r="4">
      <c r="A4" s="48" t="inlineStr">
        <is>
          <t>40.70.6C.00.60</t>
        </is>
      </c>
      <c r="B4" s="48" t="inlineStr">
        <is>
          <t>AURENASESORES1-23A. Asesoramiento científico-técnico en material fiscal. 3er pago.</t>
        </is>
      </c>
      <c r="C4" s="94" t="n">
        <v>2640</v>
      </c>
    </row>
    <row r="5">
      <c r="A5" s="49" t="inlineStr">
        <is>
          <t>40.70.6C.00.60</t>
        </is>
      </c>
      <c r="B5" s="49" t="inlineStr">
        <is>
          <t>Contestación verbal a diversas cuestiones en materia fiscal planteadas por la empresa. Estudio de las cuestiones planteadas y celebración de 1 reunión presenciales con representantes de la empresa: 18 horas de trabajo. Desde el 01 de abril hasta el 30 de junio de 2024.</t>
        </is>
      </c>
      <c r="C5" s="93" t="n">
        <v>2640</v>
      </c>
    </row>
    <row r="6">
      <c r="A6" s="48" t="inlineStr">
        <is>
          <t>40.70.6C.00.60</t>
        </is>
      </c>
      <c r="B6" s="48" t="inlineStr">
        <is>
          <t>Asesoramiento científico-técnico en material fiscal. 5to pago. Periodo 01/07 al 30/09 de 2024.</t>
        </is>
      </c>
      <c r="C6" s="94" t="n">
        <v>2640</v>
      </c>
    </row>
    <row r="7">
      <c r="A7" s="49" t="inlineStr">
        <is>
          <t>40.70.6D.00.02</t>
        </is>
      </c>
      <c r="B7" s="49" t="inlineStr">
        <is>
          <t>CONVENIO ANÁLISIS IMPULSO CULTURA. EXP.05/S0621/2024. FRA. 6003516117. PRESUP S062100000.</t>
        </is>
      </c>
      <c r="C7" s="93" t="n">
        <v>14000</v>
      </c>
    </row>
    <row r="8">
      <c r="A8" s="48" t="inlineStr">
        <is>
          <t>40.70.6G.00.04</t>
        </is>
      </c>
      <c r="B8" s="48" t="inlineStr">
        <is>
          <t>Mecenazgo de las actividades de organización y realización de XXXIX Jornadas de Alicante de economía española por la Universidad de Alicante.</t>
        </is>
      </c>
      <c r="C8" s="94" t="n">
        <v>1320</v>
      </c>
    </row>
    <row r="9">
      <c r="A9" s="49" t="inlineStr">
        <is>
          <t>40.70.6G.00.04</t>
        </is>
      </c>
      <c r="B9" s="49" t="inlineStr">
        <is>
          <t>MECENAZGO DE LAS ACTIVIDADES DE ORGANIZACIÓN Y REALIZACIÓN DE LAS XXXIX JORNADAS DE ALICANTE DE ECONOMÍA ESPAÑOLA POR LA UNIVERSIDAD DE ALICANTE</t>
        </is>
      </c>
      <c r="C9" s="93" t="n">
        <v>1320</v>
      </c>
    </row>
    <row r="10">
      <c r="A10" s="48" t="inlineStr">
        <is>
          <t>40.70.6G.00.04</t>
        </is>
      </c>
      <c r="B10" s="48" t="inlineStr">
        <is>
          <t>Mecenazgo de las actividades de organización y realización de las XXXIX Jornadas de Alicante de Economía Española realizadas por la Universidad de Alicante.</t>
        </is>
      </c>
      <c r="C10" s="94" t="n">
        <v>2669.04</v>
      </c>
    </row>
    <row r="11">
      <c r="A11" s="49" t="inlineStr">
        <is>
          <t>40.70.6G.00.04</t>
        </is>
      </c>
      <c r="B11" s="49" t="inlineStr">
        <is>
          <t>DEVOLUCIÓN DE PRECIOS PÚBLICOS POR INGRESOS DE MATRÍCULA_REMESA Nº 2024DTR381725</t>
        </is>
      </c>
      <c r="C11" s="93" t="n">
        <v>-20</v>
      </c>
    </row>
    <row r="12">
      <c r="A12" s="48" t="inlineStr">
        <is>
          <t>40.70.6G.00.04</t>
        </is>
      </c>
      <c r="B12" s="48" t="inlineStr">
        <is>
          <t xml:space="preserve">LIQ-TitProp_GL61-1 Curso_2024-25 AñoCont_2024 - XXXIX JORNADAS DE ALICANTE SOBRE ECONOMÍA ESPAÑOLA </t>
        </is>
      </c>
      <c r="C12" s="94" t="n">
        <v>60</v>
      </c>
    </row>
    <row r="13">
      <c r="A13" s="49" t="inlineStr">
        <is>
          <t>40.70.6G.00.04</t>
        </is>
      </c>
      <c r="B13" s="49" t="inlineStr">
        <is>
          <t>Patrocinio XXXIX Jornadas de Alicante sobre Economía Española.</t>
        </is>
      </c>
      <c r="C13" s="93" t="n">
        <v>1320</v>
      </c>
    </row>
    <row r="14">
      <c r="A14" s="48" t="inlineStr">
        <is>
          <t>40.70.6G.00.05</t>
        </is>
      </c>
      <c r="B14" s="48" t="inlineStr">
        <is>
          <t>Servicios publicitarios en el marco del  contrato de patrocinio: "XVI Congreso Tourism: Economics &amp; Management".</t>
        </is>
      </c>
      <c r="C14" s="94" t="n">
        <v>1760</v>
      </c>
    </row>
    <row r="15">
      <c r="A15" s="49" t="inlineStr">
        <is>
          <t>40.70.6P.00.13</t>
        </is>
      </c>
      <c r="B15" s="49" t="inlineStr">
        <is>
          <t>DEVOLUCIÓN DE INGRESO_MODELO 047_SUBVENCIÓN AICO  ANUALIDAD_2023</t>
        </is>
      </c>
      <c r="C15" s="93" t="n">
        <v>-536.6799999999999</v>
      </c>
    </row>
    <row r="16">
      <c r="A16" s="56" t="inlineStr">
        <is>
          <t>40.70.6P.00.15</t>
        </is>
      </c>
      <c r="B16" s="56" t="inlineStr">
        <is>
          <t>PID2022-139105OB-I00-141712NB-C22-142356NB-I00-141694NB-I00-136399NB-C21-142159OB-I00-137566OB-I00-139552OB-C22-137302NB-C33-139820NB-I00-142960OB-C21</t>
        </is>
      </c>
      <c r="C16" s="95" t="n">
        <v>5676</v>
      </c>
    </row>
    <row r="17" customFormat="1" s="46">
      <c r="A17" s="57" t="inlineStr">
        <is>
          <t>Total</t>
        </is>
      </c>
      <c r="B17" s="57" t="n"/>
      <c r="C17" s="96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E23" sqref="E23"/>
    </sheetView>
  </sheetViews>
  <sheetFormatPr baseColWidth="10" defaultRowHeight="15"/>
  <cols>
    <col width="18.28515625" customWidth="1" min="1" max="1"/>
    <col width="36.42578125" customWidth="1" min="2" max="2"/>
    <col width="17.85546875" customWidth="1" min="3" max="3"/>
  </cols>
  <sheetData>
    <row r="1">
      <c r="A1" s="69" t="inlineStr">
        <is>
          <t>Org. aplic.</t>
        </is>
      </c>
      <c r="B1" s="70" t="inlineStr">
        <is>
          <t>Descripción justificante</t>
        </is>
      </c>
      <c r="C1" s="70" t="inlineStr">
        <is>
          <t>Imp. aplic.</t>
        </is>
      </c>
    </row>
    <row r="2">
      <c r="A2" s="71" t="inlineStr">
        <is>
          <t>40.70.6C.00.32</t>
        </is>
      </c>
      <c r="B2" s="72" t="inlineStr">
        <is>
          <t>INGRESO PERCIBIDO POR LA UNIVERSIDAD DE ALICANTE EN VIRTUD DE EN VIRTUD DE RESOLUCIÓN JUDICIAL_EXPEDIENTE:0155-0000-05-1626-23 Principal M.P. O-5609420 COMO ORDEN DE EJECUCIÓN DE LA PROFORMA 20200000000158-I</t>
        </is>
      </c>
      <c r="C2" s="99" t="n">
        <v>2662</v>
      </c>
    </row>
    <row r="3">
      <c r="A3" s="74" t="inlineStr">
        <is>
          <t>40.70.6C.00.60</t>
        </is>
      </c>
      <c r="B3" s="75" t="inlineStr">
        <is>
          <t>Asesoramiento científico-técnico en material fiscal. 6to pago. Periodo 01/10 al 31/12 de 2024.</t>
        </is>
      </c>
      <c r="C3" s="100" t="n">
        <v>2640</v>
      </c>
    </row>
    <row r="4">
      <c r="A4" s="71" t="inlineStr">
        <is>
          <t>40.70.6C.00.60</t>
        </is>
      </c>
      <c r="B4" s="72" t="inlineStr">
        <is>
          <t>Asesoramiento científico-técnico en material fiscal. 7º pago. Período del 01/01 al 31/03/25</t>
        </is>
      </c>
      <c r="C4" s="99" t="n">
        <v>2640</v>
      </c>
    </row>
    <row r="5">
      <c r="A5" s="74" t="inlineStr">
        <is>
          <t>40.70.6C.00.60</t>
        </is>
      </c>
      <c r="B5" s="75" t="inlineStr">
        <is>
          <t>Asesoramiento científico-técnico en material fiscal. 8º pago. Período del 01/04/2025 al 30/06/2025</t>
        </is>
      </c>
      <c r="C5" s="100" t="n">
        <v>2640</v>
      </c>
    </row>
    <row r="6">
      <c r="A6" s="71" t="inlineStr">
        <is>
          <t>40.70.6C.00.60</t>
        </is>
      </c>
      <c r="B6" s="72" t="inlineStr">
        <is>
          <t>Asesoramiento científico-técnico en material fiscal. 9º pago. Período del 01/07/2025 al 30/09/2025</t>
        </is>
      </c>
      <c r="C6" s="99" t="n">
        <v>2640</v>
      </c>
    </row>
    <row r="7">
      <c r="A7" s="74" t="inlineStr">
        <is>
          <t>40.70.6C.00.62</t>
        </is>
      </c>
      <c r="B7" s="75" t="inlineStr">
        <is>
          <t>Análisis preliminar (jurídico-técnico) para elaboración del sistema inteligente de detección temprana de empresas viables y fomento de transmisiones a los trabajadores fundamentado en avances de 2025 en digitalización y estandarización concursal. Identificación de mecanismos jurídicos existentes para transmisión empresarial a trabajadores.Elaboración y publicación de estudio doctrinal, análisis académicos y empírico y jornada de difusión para la promoción de la economía y responsabilidad social empresarial en este campo. (Expediente ES25094)</t>
        </is>
      </c>
      <c r="C7" s="100" t="n">
        <v>10560</v>
      </c>
    </row>
    <row r="8">
      <c r="A8" s="71" t="inlineStr">
        <is>
          <t>40.70.6C.00.63</t>
        </is>
      </c>
      <c r="B8" s="72" t="inlineStr">
        <is>
          <t>Elaboración de informe sobre análisis del cumplimiento de los requisitos para la exención de las participaciones de entidad jurídica, Ale-Hop Grimalt SL, en el impuesto sobre el patrimonio</t>
        </is>
      </c>
      <c r="C8" s="99" t="n">
        <v>7480</v>
      </c>
    </row>
    <row r="9">
      <c r="A9" s="74" t="inlineStr">
        <is>
          <t>40.70.6G.00.06</t>
        </is>
      </c>
      <c r="B9" s="75" t="inlineStr">
        <is>
          <t>Mecenazgo de actividades de organización y realización de XL Jornadas de Alicante de Economía Española por la Universidad de Alicante</t>
        </is>
      </c>
      <c r="C9" s="100" t="n">
        <v>1320</v>
      </c>
    </row>
    <row r="10">
      <c r="A10" s="71" t="inlineStr">
        <is>
          <t>40.70.6G.00.06</t>
        </is>
      </c>
      <c r="B10" s="72" t="inlineStr">
        <is>
          <t>Mecenazgo de actividades de organización y realización de XL Jornadas de Alicante de Economía Española por la Universidad de Alicante</t>
        </is>
      </c>
      <c r="C10" s="99" t="n">
        <v>1320</v>
      </c>
    </row>
    <row r="11">
      <c r="A11" s="74" t="inlineStr">
        <is>
          <t>40.70.6G.00.06</t>
        </is>
      </c>
      <c r="B11" s="75" t="inlineStr">
        <is>
          <t>Mecenazgo de actividades de organización y realización de XL Jornadas de Alicante de Economía Española por la Universidad de Alicante</t>
        </is>
      </c>
      <c r="C11" s="100" t="n">
        <v>4400</v>
      </c>
    </row>
    <row r="12">
      <c r="A12" s="71" t="inlineStr">
        <is>
          <t>40.70.6G.00.06</t>
        </is>
      </c>
      <c r="B12" s="72" t="inlineStr">
        <is>
          <t>Patrocinio de las XL Jornadas de Alicante sobre Economía Española</t>
        </is>
      </c>
      <c r="C12" s="99" t="n">
        <v>1320</v>
      </c>
    </row>
    <row r="13">
      <c r="A13" s="74" t="inlineStr">
        <is>
          <t>40.70.6G.00.06</t>
        </is>
      </c>
      <c r="B13" s="75" t="inlineStr">
        <is>
          <t>Patrocinio de las XL Jornadas de Alicante sobre Economía Española</t>
        </is>
      </c>
      <c r="C13" s="100" t="n">
        <v>2640</v>
      </c>
    </row>
    <row r="14">
      <c r="A14" s="71" t="inlineStr">
        <is>
          <t>40.70.6P.00.14</t>
        </is>
      </c>
      <c r="B14" s="72" t="inlineStr">
        <is>
          <t>DEVOLUCIÓN DE INGRESOS_ CARTA DE PAGO_ REFERENCIA: PDC2022-133708-C33, ANUALIDAD: 2022</t>
        </is>
      </c>
      <c r="C14" s="99" t="n">
        <v>-4144.1</v>
      </c>
    </row>
    <row r="15">
      <c r="A15" s="74" t="inlineStr">
        <is>
          <t>40.70.6P.00.15</t>
        </is>
      </c>
      <c r="B15" s="75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15" s="100" t="n">
        <v>3498</v>
      </c>
    </row>
    <row r="16">
      <c r="A16" s="71" t="inlineStr">
        <is>
          <t>40.70.6P.00.15</t>
        </is>
      </c>
      <c r="B16" s="72" t="inlineStr">
        <is>
          <t xml:space="preserve">Ejercicios cerrados. Reintegro parcial del jte.2024/000000044971 con número de abono 2025/A00000000001/2025y compensado en el jte. 39935/2025 de la empresa AVORIS  </t>
        </is>
      </c>
      <c r="C16" s="99" t="n">
        <v>67.90000000000001</v>
      </c>
    </row>
    <row r="17">
      <c r="A17" s="74" t="inlineStr">
        <is>
          <t>40.70.6P.00.18</t>
        </is>
      </c>
      <c r="B17" s="75" t="inlineStr">
        <is>
          <t>Ayudas CIAICO 2024/6/31/81/130/150/168/186/204/238/296/319</t>
        </is>
      </c>
      <c r="C17" s="100" t="n">
        <v>2000</v>
      </c>
    </row>
    <row r="18">
      <c r="A18" s="71" t="inlineStr">
        <is>
          <t>40.70.6Q.00.01</t>
        </is>
      </c>
      <c r="B18" s="72" t="inlineStr">
        <is>
          <t>CÁTEDRA DE BRECHA DIGITAL GENERACIONAL - 2025</t>
        </is>
      </c>
      <c r="C18" s="99" t="n">
        <v>30000</v>
      </c>
    </row>
    <row r="19">
      <c r="A19" s="74" t="inlineStr">
        <is>
          <t>40.70.6Q.00.01</t>
        </is>
      </c>
      <c r="B19" s="75" t="inlineStr">
        <is>
          <t xml:space="preserve">Minoración Ayuda CÁTEDRA DE BRECHA DIGITAL GENERACIONAL - 2025 en 66.11 por reconocimiento de GV el importe de 29933,89 </t>
        </is>
      </c>
      <c r="C19" s="100" t="n">
        <v>-66.11</v>
      </c>
    </row>
    <row r="20">
      <c r="A20" s="71" t="inlineStr">
        <is>
          <t>40.70.6Q.00.02</t>
        </is>
      </c>
      <c r="B20" s="72" t="inlineStr">
        <is>
          <t>Concesión de una subvención nominativa a la Universidad de Alicante para la financiación de acciones de investigación e innovación, transferencia de conocimiento y docencia y formación relacionados con la economía social. Línea subvención S1741</t>
        </is>
      </c>
      <c r="C20" s="99" t="n">
        <v>40000</v>
      </c>
    </row>
    <row r="21" ht="15.75" customHeight="1" thickBot="1">
      <c r="A21" s="74" t="inlineStr">
        <is>
          <t>40.70.6Q.00.02</t>
        </is>
      </c>
      <c r="B21" s="75" t="inlineStr">
        <is>
          <t>Minoración en parte de "Concesión de una subvención nominativa a la Universidad de Alicante para la financiación de acciones de investigación e innovación, transferencia de conocimiento y docencia y formación relacionados con la economía social. Línea subvención S1741"</t>
        </is>
      </c>
      <c r="C21" s="100" t="n">
        <v>-20810.34</v>
      </c>
    </row>
    <row r="22" ht="15.75" customHeight="1" thickTop="1">
      <c r="A22" s="77" t="inlineStr">
        <is>
          <t>Total</t>
        </is>
      </c>
      <c r="B22" s="78" t="n"/>
      <c r="C22" s="101" t="n">
        <v>92807.35000000001</v>
      </c>
    </row>
    <row r="25">
      <c r="B25" s="58" t="inlineStr">
        <is>
          <t>Total ingresos de investigación 2023-25</t>
        </is>
      </c>
      <c r="C25" s="102">
        <f>C22+Tabla5[[#Totals],[Imp.cob.aplic.]]+Tabla6[[#Totals],[Imp.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21" sqref="B21"/>
    </sheetView>
  </sheetViews>
  <sheetFormatPr baseColWidth="10" defaultRowHeight="15"/>
  <cols>
    <col width="17" customWidth="1" min="1" max="1"/>
    <col width="83.28515625" customWidth="1" min="2" max="2"/>
    <col width="16" customWidth="1" min="3" max="3"/>
  </cols>
  <sheetData>
    <row r="1">
      <c r="A1" s="41" t="inlineStr">
        <is>
          <t>Cód. org. aplic.</t>
        </is>
      </c>
      <c r="B1" s="41" t="inlineStr">
        <is>
          <t>Descripción justificante</t>
        </is>
      </c>
      <c r="C1" s="41" t="inlineStr">
        <is>
          <t>Imp.cob.aplic.</t>
        </is>
      </c>
    </row>
    <row r="2">
      <c r="A2" s="36" t="inlineStr">
        <is>
          <t>40.70.2T.00.09</t>
        </is>
      </c>
      <c r="B2" s="36" t="inlineStr">
        <is>
          <t xml:space="preserve">LIQ-TitProp_9370-1-2 Curso_2023-24 Emitido_2023-24 - MÁSTER DE FORMACIÓN PERMANENTE EN COMERCIO INTERNACIONAL </t>
        </is>
      </c>
      <c r="C2" s="94" t="n">
        <v>46853.43</v>
      </c>
    </row>
    <row r="3">
      <c r="A3" s="37" t="inlineStr">
        <is>
          <t>40.70.2T.00.09</t>
        </is>
      </c>
      <c r="B3" s="37" t="inlineStr">
        <is>
          <t xml:space="preserve">Plan_9117 Curso_2022-23 Emitido_2022-23 - MÁSTER EN COMERCIO INTERNACIONAL </t>
        </is>
      </c>
      <c r="C3" s="93" t="n">
        <v>2837.16</v>
      </c>
    </row>
    <row r="4">
      <c r="A4" s="36" t="inlineStr">
        <is>
          <t>40.70.2T.00.09</t>
        </is>
      </c>
      <c r="B4" s="36" t="inlineStr">
        <is>
          <t xml:space="preserve">Plan_9117 Curso_2022-23 Emitido_2022-23 - MÁSTER EN COMERCIO INTERNACIONAL </t>
        </is>
      </c>
      <c r="C4" s="94" t="n">
        <v>44348.17</v>
      </c>
    </row>
    <row r="5">
      <c r="A5" s="37" t="inlineStr">
        <is>
          <t>40.70.2T.00.09</t>
        </is>
      </c>
      <c r="B5" s="37" t="inlineStr">
        <is>
          <t xml:space="preserve">AD_LIQ-TitProp_9370-1-2 Curso_2023-24 Emitido_2023-24 - MÁSTER DE FORMACIÓN PERMANENTE EN COMERCIO INTERNACIONAL </t>
        </is>
      </c>
      <c r="C5" s="93" t="n">
        <v>-19139.89</v>
      </c>
    </row>
    <row r="6">
      <c r="A6" s="36" t="inlineStr">
        <is>
          <t>40.70.2T.00.10</t>
        </is>
      </c>
      <c r="B6" s="36" t="inlineStr">
        <is>
          <t xml:space="preserve">Plan_9365 Curso_2023-24 Emitido_2023-24 - MÁSTER DE FORMACIÓN PERMANENTE EN TRIBUTACIÓN </t>
        </is>
      </c>
      <c r="C6" s="94" t="n">
        <v>85756.07000000001</v>
      </c>
    </row>
    <row r="7">
      <c r="A7" s="37" t="inlineStr">
        <is>
          <t>40.70.2T.00.10</t>
        </is>
      </c>
      <c r="B7" s="37" t="inlineStr">
        <is>
          <t xml:space="preserve">AD_Plan_9365 Curso_2023-24 Emitido_2023-24 - MÁSTER DE FORMACIÓN PERMANENTE EN TRIBUTACIÓN </t>
        </is>
      </c>
      <c r="C7" s="93" t="n">
        <v>-29072.5</v>
      </c>
    </row>
    <row r="8">
      <c r="A8" s="36" t="inlineStr">
        <is>
          <t>40.70.2T.00.10</t>
        </is>
      </c>
      <c r="B8" s="36" t="inlineStr">
        <is>
          <t xml:space="preserve">Plan_9199 Curso_2022-23 Emitido_2022y2023 ___ MÁSTER EN TRIBUTACIÓN </t>
        </is>
      </c>
      <c r="C8" s="94" t="n">
        <v>211.57</v>
      </c>
    </row>
    <row r="9">
      <c r="A9" s="37" t="inlineStr">
        <is>
          <t>40.70.2T.00.10</t>
        </is>
      </c>
      <c r="B9" s="37" t="inlineStr">
        <is>
          <t xml:space="preserve">Plan_9199 Curso_2023-24 AñoCont_2023 - MÁSTER EN TRIBUTACIÓN </t>
        </is>
      </c>
      <c r="C9" s="93" t="n">
        <v>2364.9</v>
      </c>
    </row>
    <row r="10">
      <c r="A10" s="42" t="inlineStr">
        <is>
          <t>40.70.2T.00.10</t>
        </is>
      </c>
      <c r="B10" s="42" t="inlineStr">
        <is>
          <t xml:space="preserve">Plan_9199 Curso_2022-23 Emitido_2022y2023 ___ MÁSTER EN TRIBUTACIÓN </t>
        </is>
      </c>
      <c r="C10" s="95" t="n">
        <v>46705.51</v>
      </c>
    </row>
    <row r="11" customFormat="1" s="46">
      <c r="A11" s="44" t="inlineStr">
        <is>
          <t>Total</t>
        </is>
      </c>
      <c r="B11" s="44" t="n"/>
      <c r="C11" s="96">
        <f>SUBTOTAL(109,Tabla1[Imp.cob.aplic.])</f>
        <v/>
      </c>
    </row>
    <row r="12">
      <c r="C12" s="97" t="n"/>
    </row>
    <row r="14">
      <c r="B14" s="4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topLeftCell="A36" workbookViewId="0">
      <selection activeCell="B57" sqref="B57:C57"/>
    </sheetView>
  </sheetViews>
  <sheetFormatPr baseColWidth="10" defaultRowHeight="15"/>
  <cols>
    <col width="17.85546875" customWidth="1" min="1" max="1"/>
    <col width="74.28515625" customWidth="1" min="2" max="2"/>
    <col width="15.7109375" customWidth="1" min="3" max="3"/>
  </cols>
  <sheetData>
    <row r="1">
      <c r="A1" s="50" t="inlineStr">
        <is>
          <t>Org. aplic.</t>
        </is>
      </c>
      <c r="B1" s="50" t="inlineStr">
        <is>
          <t>Descripción justificante</t>
        </is>
      </c>
      <c r="C1" s="50" t="inlineStr">
        <is>
          <t>Imp. aplic.</t>
        </is>
      </c>
    </row>
    <row r="2">
      <c r="A2" s="48" t="inlineStr">
        <is>
          <t>40.70.2T.00.02</t>
        </is>
      </c>
      <c r="B2" s="48" t="inlineStr">
        <is>
          <t>Anulación por error en derechos de cobro pendientes. Liquidación  PLAN GB74 curso ''ECONOMÍA COLABORATIVA: INNOVACIÓN, ÉXITO Y RETOS EN LA ERA AIRBNB I UBER'' ORDEN 5491</t>
        </is>
      </c>
      <c r="C2" s="94" t="n">
        <v>-0.02</v>
      </c>
    </row>
    <row r="3">
      <c r="A3" s="49" t="inlineStr">
        <is>
          <t>40.70.2T.00.02</t>
        </is>
      </c>
      <c r="B3" s="49" t="inlineStr">
        <is>
          <t>Anulación por error en derechos de cobro pendiente. Liquidación  PLAN GB72 curso ''COMERCIO INTERNACIONAL Y NEGOCIOS EN CHINA'' ORDEN 5489</t>
        </is>
      </c>
      <c r="C3" s="93" t="n">
        <v>-10.18</v>
      </c>
    </row>
    <row r="4">
      <c r="A4" s="48" t="inlineStr">
        <is>
          <t>40.70.2T.00.02</t>
        </is>
      </c>
      <c r="B4" s="48" t="inlineStr">
        <is>
          <t>Anulación por error en derechos de cobro pendiente. Liquidación  PLAN GB76 curso ''INNOVACIÓN Y COMPETITIVIDAD DEL TURISMO'' ORDEN 5490</t>
        </is>
      </c>
      <c r="C4" s="94" t="n">
        <v>-43.96</v>
      </c>
    </row>
    <row r="5">
      <c r="A5" s="49" t="inlineStr">
        <is>
          <t>40.70.2T.00.09</t>
        </is>
      </c>
      <c r="B5" s="49" t="inlineStr">
        <is>
          <t xml:space="preserve">LIQ-TitProp_9370-3 Curso_2023-24 AñoCont_2023 - MÁSTER DE FORMACIÓN PERMANENTE EN COMERCIO INTERNACIONAL </t>
        </is>
      </c>
      <c r="C5" s="93" t="n">
        <v>1914.34</v>
      </c>
    </row>
    <row r="6">
      <c r="A6" s="48" t="inlineStr">
        <is>
          <t>40.70.2T.00.09</t>
        </is>
      </c>
      <c r="B6" s="48" t="inlineStr">
        <is>
          <t xml:space="preserve">LIQ-TitProp_9370-3 Curso_2023-24 AñoCont_2023 - MÁSTER DE FORMACIÓN PERMANENTE EN COMERCIO INTERNACIONAL </t>
        </is>
      </c>
      <c r="C6" s="94" t="n">
        <v>9568.92</v>
      </c>
    </row>
    <row r="7">
      <c r="A7" s="49" t="inlineStr">
        <is>
          <t>40.70.2T.00.09</t>
        </is>
      </c>
      <c r="B7" s="49" t="inlineStr">
        <is>
          <t xml:space="preserve">LIQ-TitProp_9370-4 Curso_2023-24 AñoCont_2023 - MÁSTER DE FORMACIÓN PERMANENTE EN COMERCIO INTERNACIONAL </t>
        </is>
      </c>
      <c r="C7" s="93" t="n">
        <v>8614.719999999999</v>
      </c>
    </row>
    <row r="8">
      <c r="A8" s="48" t="inlineStr">
        <is>
          <t>40.70.2T.00.09</t>
        </is>
      </c>
      <c r="B8" s="48" t="inlineStr">
        <is>
          <t xml:space="preserve">LIQ-TitProp_9370-5 Curso_2023-24 AñoCont_2023 - MÁSTER DE FORMACIÓN PERMANENTE EN COMERCIO INTERNACIONAL </t>
        </is>
      </c>
      <c r="C8" s="94" t="n">
        <v>956.25</v>
      </c>
    </row>
    <row r="9">
      <c r="A9" s="49" t="inlineStr">
        <is>
          <t>40.70.2T.00.09</t>
        </is>
      </c>
      <c r="B9" s="49" t="inlineStr">
        <is>
          <t xml:space="preserve">LIQ-TitProp_9370-1 Curso_2024-25 AñoCont_2024 - MÁSTER DE FORMACIÓN PERMANENTE EN COMERCIO INTERNACIONAL </t>
        </is>
      </c>
      <c r="C9" s="93" t="n">
        <v>22376.77</v>
      </c>
    </row>
    <row r="10">
      <c r="A10" s="48" t="inlineStr">
        <is>
          <t>40.70.2T.00.09</t>
        </is>
      </c>
      <c r="B10" s="48" t="inlineStr">
        <is>
          <t xml:space="preserve">LIQ-TitProp_9403-1 Curso_2024-25 AñoCont_2024 - ESPECIALISTA EN COMERCIO INTERNACIONAL </t>
        </is>
      </c>
      <c r="C10" s="94" t="n">
        <v>772.72</v>
      </c>
    </row>
    <row r="11">
      <c r="A11" s="49" t="inlineStr">
        <is>
          <t>40.70.2T.00.09</t>
        </is>
      </c>
      <c r="B11" s="49" t="inlineStr">
        <is>
          <t xml:space="preserve">LIQ-TitProp_9436-N Curso_2024-25_AñoCont_2024 TipoRec_Emitido - EXPERTO/A EN COMERCIO INTERNACIONAL (1)  </t>
        </is>
      </c>
      <c r="C11" s="93" t="n">
        <v>711.14</v>
      </c>
    </row>
    <row r="12">
      <c r="A12" s="48" t="inlineStr">
        <is>
          <t>40.70.2T.00.09</t>
        </is>
      </c>
      <c r="B12" s="48" t="inlineStr">
        <is>
          <t xml:space="preserve">LIQ-TitProp_9403-2 Curso_2024-25 AñoCont_2024 - ESPECIALISTA EN COMERCIO INTERNACIONAL </t>
        </is>
      </c>
      <c r="C12" s="94" t="n">
        <v>749.99</v>
      </c>
    </row>
    <row r="13">
      <c r="A13" s="49" t="inlineStr">
        <is>
          <t>40.70.2T.00.09</t>
        </is>
      </c>
      <c r="B13" s="49" t="inlineStr">
        <is>
          <t xml:space="preserve">LIQ-TitProp_9370-2 Curso_2024-25 AñoCont_2024 - MÁSTER DE FORMACIÓN PERMANENTE EN COMERCIO INTERNACIONAL </t>
        </is>
      </c>
      <c r="C13" s="93" t="n">
        <v>12430.09</v>
      </c>
    </row>
    <row r="14">
      <c r="A14" s="48" t="inlineStr">
        <is>
          <t>40.70.2T.00.09</t>
        </is>
      </c>
      <c r="B14" s="48" t="inlineStr">
        <is>
          <t xml:space="preserve">LIQ-TitProp_9436-N Curso_2024-25_AñoCont_2024 TipoRec_Emitido - EXPERTO/A EN COMERCIO INTERNACIONAL (2) </t>
        </is>
      </c>
      <c r="C14" s="94" t="n">
        <v>711.13</v>
      </c>
    </row>
    <row r="15">
      <c r="A15" s="49" t="inlineStr">
        <is>
          <t>40.70.2T.00.09</t>
        </is>
      </c>
      <c r="B15" s="49" t="inlineStr">
        <is>
          <t xml:space="preserve">Liq.PPub_311,00__ADRmsa_2024__EFP Enseñanzas Formación Permanente - Master, Especialista y Experto.  LIQ-TitProp_9370- Curso_2024-25 AñoCont_2024 - MÁSTER DE FORMACIÓN PERMANENTE EN COMERCIO INTERNACIONAL </t>
        </is>
      </c>
      <c r="C15" s="93" t="n">
        <v>25816.72</v>
      </c>
    </row>
    <row r="16">
      <c r="A16" s="48" t="inlineStr">
        <is>
          <t>40.70.2T.00.09</t>
        </is>
      </c>
      <c r="B16" s="48" t="inlineStr">
        <is>
          <t xml:space="preserve">AD_Liq.PPub_311,00__ADRmsa_2024__EFP Enseñanzas Formación Permanente - Master, Especialista y Experto.  LIQ-TitProp_9370- Curso_2024-25 AñoCont_2024 - MÁSTER DE FORMACIÓN PERMANENTE EN COMERCIO INTERNACIONAL </t>
        </is>
      </c>
      <c r="C16" s="94" t="n">
        <v>-25816.72</v>
      </c>
    </row>
    <row r="17">
      <c r="A17" s="49" t="inlineStr">
        <is>
          <t>40.70.2T.00.09</t>
        </is>
      </c>
      <c r="B17" s="49" t="inlineStr">
        <is>
          <t xml:space="preserve">Liq.PPub_311,00__ADRmsa_2024__EFP Enseñanzas Formación Permanente - Master, Especialista y Experto.  LIQ-TitProp_9403-N Curso_2024-25 AñoCont_2024 - ESPECIALISTA EN COMERCIO INTERNACIONAL </t>
        </is>
      </c>
      <c r="C17" s="93" t="n">
        <v>749.98</v>
      </c>
    </row>
    <row r="18">
      <c r="A18" s="48" t="inlineStr">
        <is>
          <t>40.70.2T.00.09</t>
        </is>
      </c>
      <c r="B18" s="48" t="inlineStr">
        <is>
          <t xml:space="preserve">AD_Liq.PPub_311,00__ADRmsa_2024__EFP Enseñanzas Formación Permanente - Master, Especialista y Experto.  LIQ-TitProp_9403-N Curso_2024-25 AñoCont_2024 - ESPECIALISTA EN COMERCIO INTERNACIONAL </t>
        </is>
      </c>
      <c r="C18" s="94" t="n">
        <v>-749.98</v>
      </c>
    </row>
    <row r="19">
      <c r="A19" s="49" t="inlineStr">
        <is>
          <t>40.70.2T.00.10</t>
        </is>
      </c>
      <c r="B19" s="49" t="inlineStr">
        <is>
          <t xml:space="preserve">LIQ-TitProp_9365-2 Curso_2023-24 AñoCont_2023 - MÁSTER DE FORMACIÓN PERMANENTE EN TRIBUTACIÓN </t>
        </is>
      </c>
      <c r="C19" s="93" t="n">
        <v>25716.65</v>
      </c>
    </row>
    <row r="20">
      <c r="A20" s="48" t="inlineStr">
        <is>
          <t>40.70.2T.00.10</t>
        </is>
      </c>
      <c r="B20" s="48" t="inlineStr">
        <is>
          <t>LIQ-TitProp_9365-3 Curso_2023-24 AñoCont_2023 - MÁSTER DE FORMACIÓN PERMANENTE EN TRIBUTACIÓN</t>
        </is>
      </c>
      <c r="C20" s="94" t="n">
        <v>3355.85</v>
      </c>
    </row>
    <row r="21">
      <c r="A21" s="49" t="inlineStr">
        <is>
          <t>40.70.2T.00.10</t>
        </is>
      </c>
      <c r="B21" s="49" t="inlineStr">
        <is>
          <t>DEVOLUCIÓN TASAS NÓMINAS REMESA Nº 2024DTR259145/ RDT INVERSA 2024EXPADM1324</t>
        </is>
      </c>
      <c r="C21" s="93" t="n">
        <v>-2007.67</v>
      </c>
    </row>
    <row r="22">
      <c r="A22" s="48" t="inlineStr">
        <is>
          <t>40.70.2T.00.10</t>
        </is>
      </c>
      <c r="B22" s="48" t="inlineStr">
        <is>
          <t xml:space="preserve">LIQ-TitProp_9365-1 Curso_2024-25 AñoCont_2024 - MÁSTER DE FORMACIÓN PERMANENTE EN TRIBUTACIÓN </t>
        </is>
      </c>
      <c r="C22" s="94" t="n">
        <v>30977.82</v>
      </c>
    </row>
    <row r="23">
      <c r="A23" s="49" t="inlineStr">
        <is>
          <t>40.70.2T.00.10</t>
        </is>
      </c>
      <c r="B23" s="49" t="inlineStr">
        <is>
          <t xml:space="preserve">LIQ-TitProp_9199-N Curso_2024-25_AñoCont_2024 TipoRec_Emitido - MÁSTER EN TRIBUTACIÓN </t>
        </is>
      </c>
      <c r="C23" s="93" t="n">
        <v>227.6</v>
      </c>
    </row>
    <row r="24">
      <c r="A24" s="48" t="inlineStr">
        <is>
          <t>40.70.2T.00.10</t>
        </is>
      </c>
      <c r="B24" s="48" t="inlineStr">
        <is>
          <t xml:space="preserve">Liq.PPub_311,00__ADRmsa_2024__EFP Enseñanzas Formación Permanente - Master, Especialista y Experto.  LIQ-TitProp_9365-N Curso_2024-25 AñoCont_2024 - MÁSTER DE FORMACIÓN PERMANENTE EN TRIBUTACIÓN </t>
        </is>
      </c>
      <c r="C24" s="94" t="n">
        <v>16666.38</v>
      </c>
    </row>
    <row r="25">
      <c r="A25" s="49" t="inlineStr">
        <is>
          <t>40.70.2T.00.10</t>
        </is>
      </c>
      <c r="B25" s="49" t="inlineStr">
        <is>
          <t xml:space="preserve">AD_Liq.PPub_311,00__ADRmsa_2024__EFP Enseñanzas Formación Permanente - Master, Especialista y Experto.  LIQ-TitProp_9365-N Curso_2024-25 AñoCont_2024 - MÁSTER DE FORMACIÓN PERMANENTE EN TRIBUTACIÓN </t>
        </is>
      </c>
      <c r="C25" s="93" t="n">
        <v>-16666.38</v>
      </c>
    </row>
    <row r="26">
      <c r="A26" s="48" t="inlineStr">
        <is>
          <t>40.70.2T.00.10</t>
        </is>
      </c>
      <c r="B26" s="48" t="inlineStr">
        <is>
          <t xml:space="preserve">LIQ-EP_Plan_9365-N Curso_2024-25_AñoCont_2024 TipoRec_Emitido - MÁSTER DE FORMACIÓN PERMANENTE EN TRIBUTACIÓN _ (Cierre-24) </t>
        </is>
      </c>
      <c r="C26" s="94" t="n">
        <v>2407.63</v>
      </c>
    </row>
    <row r="27">
      <c r="A27" s="49" t="inlineStr">
        <is>
          <t>40.70.2T.00.11</t>
        </is>
      </c>
      <c r="B27" s="49" t="inlineStr">
        <is>
          <t>CÓD: GL38. Microcredencial: Fiscalidad Internacional y de No Residentes</t>
        </is>
      </c>
      <c r="C27" s="93" t="n">
        <v>1925.1</v>
      </c>
    </row>
    <row r="28">
      <c r="A28" s="48" t="inlineStr">
        <is>
          <t>40.70.2T.00.11</t>
        </is>
      </c>
      <c r="B28" s="48" t="inlineStr">
        <is>
          <t>Matrícula: Salomone Nataly, GL38 FISCALIDAD INTERNACIONAL Y DE NO RESIDENTES.</t>
        </is>
      </c>
      <c r="C28" s="94" t="n">
        <v>55.8</v>
      </c>
    </row>
    <row r="29">
      <c r="A29" s="49" t="inlineStr">
        <is>
          <t>40.70.2T.00.12</t>
        </is>
      </c>
      <c r="B29" s="49" t="inlineStr">
        <is>
          <t>CÓD: GL39. Microcredencial: Impuesto sobre el Valor Añadido</t>
        </is>
      </c>
      <c r="C29" s="93" t="n">
        <v>5614.88</v>
      </c>
    </row>
    <row r="30">
      <c r="A30" s="48" t="inlineStr">
        <is>
          <t>40.70.2T.00.12</t>
        </is>
      </c>
      <c r="B30" s="48" t="inlineStr">
        <is>
          <t>Matrícula Salamone,Nataly. GL39 IMPUESTOS SOBRE EL VALOR AÑADIDO</t>
        </is>
      </c>
      <c r="C30" s="94" t="n">
        <v>162.75</v>
      </c>
    </row>
    <row r="31">
      <c r="A31" s="49" t="inlineStr">
        <is>
          <t>40.70.2T.00.13</t>
        </is>
      </c>
      <c r="B31" s="49" t="inlineStr">
        <is>
          <t>CÓD: GL40. Microcredencial: Impuesto sobre la Renta de las Personas Físicas</t>
        </is>
      </c>
      <c r="C31" s="93" t="n">
        <v>4812.75</v>
      </c>
    </row>
    <row r="32">
      <c r="A32" s="48" t="inlineStr">
        <is>
          <t>40.70.2T.00.13</t>
        </is>
      </c>
      <c r="B32" s="48" t="inlineStr">
        <is>
          <t>Matrícula: Salamone ,Nataly. GL40 IMPUESTO SOBRE LA RENTA DE LA PERSONAS FÍSICAS</t>
        </is>
      </c>
      <c r="C32" s="94" t="n">
        <v>139.5</v>
      </c>
    </row>
    <row r="33">
      <c r="A33" s="49" t="inlineStr">
        <is>
          <t>40.70.2T.00.14</t>
        </is>
      </c>
      <c r="B33" s="49" t="inlineStr">
        <is>
          <t>CÓD: GL41. Microcredencial: Impuesto sobre Sociedades y Contabilidad</t>
        </is>
      </c>
      <c r="C33" s="93" t="n">
        <v>11229.75</v>
      </c>
    </row>
    <row r="34">
      <c r="A34" s="48" t="inlineStr">
        <is>
          <t>40.70.2T.00.14</t>
        </is>
      </c>
      <c r="B34" s="48" t="inlineStr">
        <is>
          <t>Matrícula: Salamone, Nataly. GL41 IMPUESTO SOBRE SOCIEDADES Y CONTABILIDAD</t>
        </is>
      </c>
      <c r="C34" s="94" t="n">
        <v>325.5</v>
      </c>
    </row>
    <row r="35">
      <c r="A35" s="49" t="inlineStr">
        <is>
          <t>40.70.2T.00.15</t>
        </is>
      </c>
      <c r="B35" s="49" t="inlineStr">
        <is>
          <t xml:space="preserve">CÓD: GL42. Microcredencial: Impuestos Autonómicos. </t>
        </is>
      </c>
      <c r="C35" s="93" t="n">
        <v>3013.2</v>
      </c>
    </row>
    <row r="36">
      <c r="A36" s="48" t="inlineStr">
        <is>
          <t>40.70.2T.00.15</t>
        </is>
      </c>
      <c r="B36" s="48" t="inlineStr">
        <is>
          <t>Matrícula: Salamone, Nataly. GL42 IMPUESTOS AUTONÓMICOS</t>
        </is>
      </c>
      <c r="C36" s="94" t="n">
        <v>93</v>
      </c>
    </row>
    <row r="37">
      <c r="A37" s="49" t="inlineStr">
        <is>
          <t>40.70.2T.00.16</t>
        </is>
      </c>
      <c r="B37" s="49" t="inlineStr">
        <is>
          <t>CÓD: GL43. Microcredencial: Impuestos Locales</t>
        </is>
      </c>
      <c r="C37" s="93" t="n">
        <v>3013.2</v>
      </c>
    </row>
    <row r="38">
      <c r="A38" s="48" t="inlineStr">
        <is>
          <t>40.70.2T.00.16</t>
        </is>
      </c>
      <c r="B38" s="48" t="inlineStr">
        <is>
          <t>Matrícula: Salamone, Nataly. GL43 IMPUESTOS LOCALES.</t>
        </is>
      </c>
      <c r="C38" s="94" t="n">
        <v>93</v>
      </c>
    </row>
    <row r="39">
      <c r="A39" s="49" t="inlineStr">
        <is>
          <t>40.70.2T.00.17</t>
        </is>
      </c>
      <c r="B39" s="49" t="inlineStr">
        <is>
          <t>CÓD: GL44. Microcredencial: Introducción y Complementos a la Fiscalidad</t>
        </is>
      </c>
      <c r="C39" s="93" t="n">
        <v>6629.04</v>
      </c>
    </row>
    <row r="40">
      <c r="A40" s="48" t="inlineStr">
        <is>
          <t>40.70.2T.00.17</t>
        </is>
      </c>
      <c r="B40" s="48" t="inlineStr">
        <is>
          <t>Matrícula: Salamone, Nataly. GL44 INTRODUCCIÓN Y COMPLEMENTOS A LA FISCALIDAD</t>
        </is>
      </c>
      <c r="C40" s="94" t="n">
        <v>204.6</v>
      </c>
    </row>
    <row r="41">
      <c r="A41" s="49" t="inlineStr">
        <is>
          <t>40.70.2T.00.18</t>
        </is>
      </c>
      <c r="B41" s="49" t="inlineStr">
        <is>
          <t>CÓD: GL45. Microcredencial: Planificación Fiscal</t>
        </is>
      </c>
      <c r="C41" s="93" t="n">
        <v>4519.8</v>
      </c>
    </row>
    <row r="42">
      <c r="A42" s="48" t="inlineStr">
        <is>
          <t>40.70.2T.00.18</t>
        </is>
      </c>
      <c r="B42" s="48" t="inlineStr">
        <is>
          <t>Matrícula: Salamone, Nataly. GL45 PLANIFICACIÓN FISCAL</t>
        </is>
      </c>
      <c r="C42" s="94" t="n">
        <v>139.5</v>
      </c>
    </row>
    <row r="43">
      <c r="A43" s="49" t="inlineStr">
        <is>
          <t>40.70.2T.00.19</t>
        </is>
      </c>
      <c r="B43" s="49" t="inlineStr">
        <is>
          <t>CÓD: GL46. Microcredencial: Procedimientos Tributarios</t>
        </is>
      </c>
      <c r="C43" s="93" t="n">
        <v>5875.74</v>
      </c>
    </row>
    <row r="44">
      <c r="A44" s="48" t="inlineStr">
        <is>
          <t>40.70.2T.00.19</t>
        </is>
      </c>
      <c r="B44" s="48" t="inlineStr">
        <is>
          <t>Matrícula: Salamone, Nataly. GL46 PROCEDIMIENTOS TRIBUTARIOS</t>
        </is>
      </c>
      <c r="C44" s="94" t="n">
        <v>181.35</v>
      </c>
    </row>
    <row r="45">
      <c r="A45" s="49" t="inlineStr">
        <is>
          <t>40.70.2T.00.20</t>
        </is>
      </c>
      <c r="B45" s="49" t="inlineStr">
        <is>
          <t xml:space="preserve">CÓD: GL38. Microcredencial: FISCALIDAD INTERNACIONAL Y DE NO RESIDENTES </t>
        </is>
      </c>
      <c r="C45" s="93" t="n">
        <v>753.3</v>
      </c>
    </row>
    <row r="46">
      <c r="A46" s="48" t="inlineStr">
        <is>
          <t>40.70.2T.00.21</t>
        </is>
      </c>
      <c r="B46" s="48" t="inlineStr">
        <is>
          <t xml:space="preserve">CÓD: GL39. Microcredencial: IMPUESTO SOBRE EL VALOR AÑADIDO </t>
        </is>
      </c>
      <c r="C46" s="94" t="n">
        <v>2197.12</v>
      </c>
    </row>
    <row r="47">
      <c r="A47" s="49" t="inlineStr">
        <is>
          <t>40.70.2T.00.22</t>
        </is>
      </c>
      <c r="B47" s="49" t="inlineStr">
        <is>
          <t xml:space="preserve">CÓD: GL40. Microcredencial: IMPUESTO SOBRE LA RENTA DE LAS PERSONAS FÍSICAS </t>
        </is>
      </c>
      <c r="C47" s="93" t="n">
        <v>1883.25</v>
      </c>
    </row>
    <row r="48">
      <c r="A48" s="48" t="inlineStr">
        <is>
          <t>40.70.2T.00.23</t>
        </is>
      </c>
      <c r="B48" s="48" t="inlineStr">
        <is>
          <t xml:space="preserve">CÓD: GL41. Microcredencial:  IMPUESTO SOBRE SOCIEDADES Y CONTABILIDAD </t>
        </is>
      </c>
      <c r="C48" s="94" t="n">
        <v>4394.25</v>
      </c>
    </row>
    <row r="49">
      <c r="A49" s="49" t="inlineStr">
        <is>
          <t>40.70.2T.00.24</t>
        </is>
      </c>
      <c r="B49" s="49" t="inlineStr">
        <is>
          <t xml:space="preserve">CÓD: GL42.Microcredencial: IMPUESTOS AUTONÓMICOS </t>
        </is>
      </c>
      <c r="C49" s="93" t="n">
        <v>1171.8</v>
      </c>
    </row>
    <row r="50">
      <c r="A50" s="48" t="inlineStr">
        <is>
          <t>40.70.2T.00.25</t>
        </is>
      </c>
      <c r="B50" s="48" t="inlineStr">
        <is>
          <t xml:space="preserve">CÓD: GL43.Microcredencial: IMPUESTOS LOCALES </t>
        </is>
      </c>
      <c r="C50" s="94" t="n">
        <v>1171.8</v>
      </c>
    </row>
    <row r="51">
      <c r="A51" s="49" t="inlineStr">
        <is>
          <t>40.70.2T.00.26</t>
        </is>
      </c>
      <c r="B51" s="49" t="inlineStr">
        <is>
          <t xml:space="preserve">CÓD: GL44. Microcredencial: INTRODUCCIÓN Y COMPLEMENTOS A LA FISCALIDAD </t>
        </is>
      </c>
      <c r="C51" s="93" t="n">
        <v>2577.96</v>
      </c>
    </row>
    <row r="52">
      <c r="A52" s="48" t="inlineStr">
        <is>
          <t>40.70.2T.00.27</t>
        </is>
      </c>
      <c r="B52" s="48" t="inlineStr">
        <is>
          <t xml:space="preserve">CÓD: GL45. Microcredencial: PLANIFICACIÓN FISCAL </t>
        </is>
      </c>
      <c r="C52" s="94" t="n">
        <v>1757.7</v>
      </c>
    </row>
    <row r="53">
      <c r="A53" s="53" t="inlineStr">
        <is>
          <t>40.70.2T.00.28</t>
        </is>
      </c>
      <c r="B53" s="53" t="inlineStr">
        <is>
          <t xml:space="preserve">CÓD: GL46.Microcredencial: PROCEDIMIENTOS TRIBUTARIOS </t>
        </is>
      </c>
      <c r="C53" s="103" t="n">
        <v>2285.01</v>
      </c>
    </row>
    <row r="54">
      <c r="A54" s="53" t="inlineStr">
        <is>
          <t>Total</t>
        </is>
      </c>
      <c r="B54" s="53" t="n"/>
      <c r="C54" s="104">
        <f>SUBTOTAL(109,Tabla2[Imp.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H13" sqref="H13"/>
    </sheetView>
  </sheetViews>
  <sheetFormatPr baseColWidth="10" defaultRowHeight="15"/>
  <cols>
    <col width="20" customWidth="1" min="1" max="1"/>
    <col width="56.5703125" customWidth="1" min="2" max="2"/>
    <col width="21" customWidth="1" min="3" max="3"/>
  </cols>
  <sheetData>
    <row r="1">
      <c r="A1" s="69" t="inlineStr">
        <is>
          <t>Org. aplic.</t>
        </is>
      </c>
      <c r="B1" s="70" t="inlineStr">
        <is>
          <t>Descripción justificante</t>
        </is>
      </c>
      <c r="C1" s="105" t="inlineStr">
        <is>
          <t>Imp. aplic.</t>
        </is>
      </c>
    </row>
    <row r="2">
      <c r="A2" s="71" t="inlineStr">
        <is>
          <t>40.70.2T.00.10</t>
        </is>
      </c>
      <c r="B2" s="72" t="inlineStr">
        <is>
          <t xml:space="preserve">LIQ-TitProp_9365-2Curso_2024-25 AñoCont_2024 - MÁSTER DE FORMACIÓN PERMANENTE EN TRIBUTACIÓN (PARTE 443 DEL AD-6795) </t>
        </is>
      </c>
      <c r="C2" s="99" t="n">
        <v>16435.81</v>
      </c>
    </row>
    <row r="3">
      <c r="A3" s="74" t="inlineStr">
        <is>
          <t>40.70.2T.00.09</t>
        </is>
      </c>
      <c r="B3" s="75" t="inlineStr">
        <is>
          <t xml:space="preserve">LIQ-TitProp_9370-3 Curso_2024-25 AñoCont_2025 - MÁSTER DE FORMACIÓN PERMANENTE EN COMERCIO INTERNACIONAL </t>
        </is>
      </c>
      <c r="C3" s="100" t="n">
        <v>13386.34</v>
      </c>
    </row>
    <row r="4">
      <c r="A4" s="71" t="inlineStr">
        <is>
          <t>40.70.2T.00.09</t>
        </is>
      </c>
      <c r="B4" s="72" t="inlineStr">
        <is>
          <t>LIQ-TitProp_9370-3 Curso_2024-25 AñoCont_2025 - MÁSTER DE FORMACIÓN PERMANENTE EN COMERCIO INTERNACIONAL</t>
        </is>
      </c>
      <c r="C4" s="99" t="n">
        <v>612.45</v>
      </c>
    </row>
    <row r="5">
      <c r="A5" s="74" t="inlineStr">
        <is>
          <t>40.70.2T.00.09</t>
        </is>
      </c>
      <c r="B5" s="75" t="inlineStr">
        <is>
          <t>DEVOLUCIÓN DE PRECIOS PÚBLICOS CORRESPONDIENTES A LA REMESA Nº 2025DTR032549_RDT INVERSA EXP 311</t>
        </is>
      </c>
      <c r="C5" s="100" t="n">
        <v>-343.8</v>
      </c>
    </row>
    <row r="6">
      <c r="A6" s="71" t="inlineStr">
        <is>
          <t>40.70.2T.00.09</t>
        </is>
      </c>
      <c r="B6" s="72" t="inlineStr">
        <is>
          <t xml:space="preserve">LIQ-TitProp_9370-4 Curso_2024-25 AñoCont_2025 - MÁSTER DE FORMACIÓN PERMANENTE EN COMERCIO INTERNACIONAL (parte 443) </t>
        </is>
      </c>
      <c r="C6" s="99" t="n">
        <v>12430.38</v>
      </c>
    </row>
    <row r="7">
      <c r="A7" s="74" t="inlineStr">
        <is>
          <t>40.70.2T.00.09</t>
        </is>
      </c>
      <c r="B7" s="75" t="inlineStr">
        <is>
          <t>DÍDAC JULIÀ ACHAU, ESPECIALISTA EN COMERCIO INTERNACIONAL (9403), RECIBO 2025755198442</t>
        </is>
      </c>
      <c r="C7" s="100" t="n">
        <v>2710.72</v>
      </c>
    </row>
    <row r="8">
      <c r="A8" s="71" t="inlineStr">
        <is>
          <t>40.70.2T.00.09</t>
        </is>
      </c>
      <c r="B8" s="72" t="inlineStr">
        <is>
          <t xml:space="preserve">LIQ-TitProp_9403-1 Curso_2025-26 AñoCont_2025 - ESPECIALISTA EN COMERCIO INTERNACIONAL </t>
        </is>
      </c>
      <c r="C8" s="99" t="n">
        <v>5214</v>
      </c>
    </row>
    <row r="9">
      <c r="A9" s="74" t="inlineStr">
        <is>
          <t>40.70.2T.00.10</t>
        </is>
      </c>
      <c r="B9" s="75" t="inlineStr">
        <is>
          <t xml:space="preserve">LIQ-TitProp_9365-1 Curso_2025-26 AñoCont_2025 - MÁSTER DE FORMACIÓN PERMANENTE EN TRIBUTACIÓN </t>
        </is>
      </c>
      <c r="C9" s="100" t="n">
        <v>29834.04</v>
      </c>
    </row>
    <row r="10">
      <c r="A10" s="71" t="inlineStr">
        <is>
          <t>40.70.2T.00.09</t>
        </is>
      </c>
      <c r="B10" s="72" t="inlineStr">
        <is>
          <t xml:space="preserve">LIQ-TitProp_9370-1 Curso_2025-26 AñoCont_2025 - MÁSTER DE FORMACIÓN PERMANENTE EN COMERCIO INTERNACIONAL </t>
        </is>
      </c>
      <c r="C10" s="99" t="n">
        <v>32828.06</v>
      </c>
    </row>
    <row r="11">
      <c r="A11" s="74" t="inlineStr">
        <is>
          <t>40.70.2T.00.09</t>
        </is>
      </c>
      <c r="B11" s="75" t="inlineStr">
        <is>
          <t xml:space="preserve">LIQ-TitProp_9370-2 Curso_2025-26 AñoCont_2025 - MÁSTER DE FORMACIÓN PERMANENTE EN COMERCIO INTERNACIONAL </t>
        </is>
      </c>
      <c r="C11" s="100" t="n">
        <v>9893.25</v>
      </c>
    </row>
    <row r="12">
      <c r="A12" s="71" t="inlineStr">
        <is>
          <t>40.70.2T.00.09</t>
        </is>
      </c>
      <c r="B12" s="72" t="inlineStr">
        <is>
          <t xml:space="preserve">LIQ-TitProp_9403-2 Curso_2025-26 AñoCont_2025 - ESPECIALISTA EN COMERCIO INTERNACIONAL </t>
        </is>
      </c>
      <c r="C12" s="99" t="n">
        <v>1500.4</v>
      </c>
    </row>
    <row r="13">
      <c r="A13" s="74" t="inlineStr">
        <is>
          <t>40.70.2T.00.09</t>
        </is>
      </c>
      <c r="B13" s="75" t="inlineStr">
        <is>
          <t xml:space="preserve">AD_Plan 9117_Curso 2021-22 MÁSTER EN COMERCIO INTERNACIONAL. </t>
        </is>
      </c>
      <c r="C13" s="100" t="n">
        <v>-1596.62</v>
      </c>
    </row>
    <row r="14">
      <c r="A14" s="71" t="inlineStr">
        <is>
          <t>40.70.2T.00.09</t>
        </is>
      </c>
      <c r="B14" s="72" t="inlineStr">
        <is>
          <t xml:space="preserve">LIQ-TitProp_9403-N Curso_2024-25 AñoCont_2025 - ESPECIALISTA EN COMERCIO INTERNACIONAL (JI PROCEDENTE DE AD_2024-6812 PARA INTRODUCIR EN PGCP 443).  </t>
        </is>
      </c>
      <c r="C14" s="99" t="n">
        <v>749.98</v>
      </c>
    </row>
    <row r="15">
      <c r="A15" s="74" t="inlineStr">
        <is>
          <t>40.70.2T.00.10</t>
        </is>
      </c>
      <c r="B15" s="75" t="inlineStr">
        <is>
          <t xml:space="preserve">LIQ-TitProp_9365-N Curso_2025-26 AñoCont_2025 - MÁSTER DE FORMACIÓN PERMANENTE EN TRIBUTACIÓN (cierre 25 emitido 25 cobrado 25) </t>
        </is>
      </c>
      <c r="C15" s="100" t="n">
        <v>9369.809999999999</v>
      </c>
    </row>
    <row r="16">
      <c r="A16" s="71" t="inlineStr">
        <is>
          <t>40.70.2T.00.10</t>
        </is>
      </c>
      <c r="B16" s="72" t="inlineStr">
        <is>
          <t xml:space="preserve">AD_LIQ-TitProp_9365-2Curso_2024-25 AñoCont_2025 - MÁSTER DE FORMACIÓN PERMANENTE EN TRIBUTACIÓN  (JI PROCEDENTE DE AD_2024-6795 PARA INTRODUCIR EN PGCP 443). </t>
        </is>
      </c>
      <c r="C16" s="99" t="n">
        <v>230.56</v>
      </c>
    </row>
    <row r="17">
      <c r="A17" s="74" t="inlineStr">
        <is>
          <t>40.70.2T.00.09</t>
        </is>
      </c>
      <c r="B17" s="75" t="inlineStr">
        <is>
          <t xml:space="preserve">LIQ-TitProp_9403-N Curso_2025-26 AñoCont_2025 - ESPECIALISTA EN COMERCIO INTERNACIONAL (CIERRE 25 EMITIDO 25 NO-COBRADO) </t>
        </is>
      </c>
      <c r="C17" s="100" t="n">
        <v>1713.1</v>
      </c>
    </row>
    <row r="18">
      <c r="A18" s="71" t="inlineStr">
        <is>
          <t>40.70.2T.00.09</t>
        </is>
      </c>
      <c r="B18" s="72" t="inlineStr">
        <is>
          <t xml:space="preserve">LIQ-TitProp_9370-3 Curso_2025-26 AñoCont_2025 - MÁSTER DE FORMACIÓN PERMANENTE EN COMERCIO INTERNACIONAL  (EMITIDO-25 COBRADO-25) </t>
        </is>
      </c>
      <c r="C18" s="99" t="n">
        <v>1912.08</v>
      </c>
    </row>
    <row r="19">
      <c r="A19" s="74" t="inlineStr">
        <is>
          <t>40.70.2T.00.10</t>
        </is>
      </c>
      <c r="B19" s="75" t="inlineStr">
        <is>
          <t xml:space="preserve">LIQ-TitProp_9365-N Curso_2025-26 AñoCont_2025 - MÁSTER DE FORMACIÓN PERMANENTE EN TRIBUTACIÓN (CIERRE-25 APLAZADO 443) </t>
        </is>
      </c>
      <c r="C19" s="100" t="n">
        <v>29640.64</v>
      </c>
    </row>
    <row r="20">
      <c r="A20" s="71" t="inlineStr">
        <is>
          <t>40.70.2T.00.10</t>
        </is>
      </c>
      <c r="B20" s="72" t="inlineStr">
        <is>
          <t xml:space="preserve">LIQ-TitProp_9365-N Curso_2025-26 AñoCont_2025 - MÁSTER DE FORMACIÓN PERMANENTE EN TRIBUTACIÓN (CIERRE-25 APLAZADO 443) </t>
        </is>
      </c>
      <c r="C20" s="99" t="n">
        <v>-29640.64</v>
      </c>
    </row>
    <row r="21">
      <c r="A21" s="74" t="inlineStr">
        <is>
          <t>40.70.2T.00.09</t>
        </is>
      </c>
      <c r="B21" s="75" t="inlineStr">
        <is>
          <t xml:space="preserve">LIQ-TitProp_9370-N Curso_2025-26 AñoCont_2025 - MÁSTER DE FORMACIÓN PERMANENTE EN COMERCIO INTERNACIONAL _ (Cierre 25 APLAZADO) </t>
        </is>
      </c>
      <c r="C21" s="100" t="n">
        <v>26452.25</v>
      </c>
    </row>
    <row r="22">
      <c r="A22" s="71" t="inlineStr">
        <is>
          <t>40.70.2T.00.09</t>
        </is>
      </c>
      <c r="B22" s="72" t="inlineStr">
        <is>
          <t xml:space="preserve">LIQ-TitProp_9370-N Curso_2025-26 AñoCont_2025 - MÁSTER DE FORMACIÓN PERMANENTE EN COMERCIO INTERNACIONAL _ (Cierre 25 APLAZADO) </t>
        </is>
      </c>
      <c r="C22" s="99" t="n">
        <v>-26452.25</v>
      </c>
    </row>
    <row r="23">
      <c r="A23" s="74" t="inlineStr">
        <is>
          <t>40.70.2T.00.09</t>
        </is>
      </c>
      <c r="B23" s="75" t="inlineStr">
        <is>
          <t xml:space="preserve">LIQ-TitProp_9403-N Curso_2025-26 AñoCont_2025 - ESPECIALISTA EN COMERCIO INTERNACIONAL (CIERRE-25 APLAZADO 443) </t>
        </is>
      </c>
      <c r="C23" s="100" t="n">
        <v>2724.79</v>
      </c>
    </row>
    <row r="24" ht="15.75" customHeight="1" thickBot="1">
      <c r="A24" s="71" t="inlineStr">
        <is>
          <t>40.70.2T.00.09</t>
        </is>
      </c>
      <c r="B24" s="72" t="inlineStr">
        <is>
          <t xml:space="preserve">LIQ-TitProp_9403-N Curso_2025-26 AñoCont_2025 - ESPECIALISTA EN COMERCIO INTERNACIONAL (CIERRE-25 APLAZADO 443) </t>
        </is>
      </c>
      <c r="C24" s="99" t="n">
        <v>-2724.79</v>
      </c>
    </row>
    <row r="25" ht="15.75" customHeight="1" thickTop="1">
      <c r="A25" s="77" t="inlineStr">
        <is>
          <t>Total</t>
        </is>
      </c>
      <c r="B25" s="78" t="n"/>
      <c r="C25" s="106" t="n">
        <v>136880.56</v>
      </c>
    </row>
    <row r="28">
      <c r="B28" s="83" t="inlineStr">
        <is>
          <t>Total ingresos formación 2023-25</t>
        </is>
      </c>
      <c r="C28" s="107">
        <f>C25+Tabla1[[#Totals],[Imp.cob.aplic.]]+Tabla2[[#Totals],[Imp.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dlsi@ua.es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2026-05-28T21:59:18Z</dcterms:modified>
  <cp:lastModifiedBy>mayte.pujalte</cp:lastModifiedBy>
  <cp:lastPrinted>2019-07-03T07:26:29Z</cp:lastPrinted>
</cp:coreProperties>
</file>