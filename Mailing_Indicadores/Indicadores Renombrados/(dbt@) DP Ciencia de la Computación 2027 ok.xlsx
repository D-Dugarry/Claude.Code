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'Tesis'!$A$1:$U$16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#,##0.0"/>
    <numFmt numFmtId="166" formatCode="0.0"/>
    <numFmt numFmtId="167" formatCode="_-* #,##0.00\ _€_-;\-* #,##0.00\ _€_-;_-* &quot;-&quot;??\ _€_-;_-@_-"/>
  </numFmts>
  <fonts count="16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FFFFFF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</borders>
  <cellStyleXfs count="7">
    <xf numFmtId="0" fontId="10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0" fillId="0" borderId="0"/>
  </cellStyleXfs>
  <cellXfs count="10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6" fillId="0" borderId="1" pivotButton="0" quotePrefix="0" xfId="0"/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4" fillId="3" borderId="1" applyAlignment="1" pivotButton="0" quotePrefix="0" xfId="1">
      <alignment horizontal="center" vertical="top" wrapText="1"/>
    </xf>
    <xf numFmtId="164" fontId="0" fillId="7" borderId="2" pivotButton="0" quotePrefix="0" xfId="6"/>
    <xf numFmtId="164" fontId="0" fillId="0" borderId="2" pivotButton="0" quotePrefix="0" xfId="6"/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3" pivotButton="0" quotePrefix="0" xfId="1"/>
    <xf numFmtId="165" fontId="2" fillId="4" borderId="3" pivotButton="0" quotePrefix="0" xfId="1"/>
    <xf numFmtId="0" fontId="2" fillId="4" borderId="3" applyAlignment="1" pivotButton="0" quotePrefix="0" xfId="1">
      <alignment horizontal="right"/>
    </xf>
    <xf numFmtId="1" fontId="2" fillId="4" borderId="3" pivotButton="0" quotePrefix="0" xfId="1"/>
    <xf numFmtId="166" fontId="2" fillId="4" borderId="3" pivotButton="0" quotePrefix="0" xfId="1"/>
    <xf numFmtId="0" fontId="13" fillId="8" borderId="1" applyAlignment="1" pivotButton="0" quotePrefix="0" xfId="0">
      <alignment horizontal="left" vertical="center"/>
    </xf>
    <xf numFmtId="0" fontId="13" fillId="8" borderId="4" applyAlignment="1" pivotButton="0" quotePrefix="0" xfId="0">
      <alignment horizontal="left" vertical="center"/>
    </xf>
    <xf numFmtId="0" fontId="13" fillId="8" borderId="5" applyAlignment="1" pivotButton="0" quotePrefix="0" xfId="0">
      <alignment horizontal="left" vertical="center"/>
    </xf>
    <xf numFmtId="0" fontId="13" fillId="8" borderId="6" applyAlignment="1" pivotButton="0" quotePrefix="0" xfId="0">
      <alignment horizontal="left" vertical="center"/>
    </xf>
    <xf numFmtId="0" fontId="2" fillId="0" borderId="1" pivotButton="0" quotePrefix="0" xfId="1"/>
    <xf numFmtId="0" fontId="2" fillId="0" borderId="1" pivotButton="0" quotePrefix="0" xfId="0"/>
    <xf numFmtId="0" fontId="6" fillId="0" borderId="0" pivotButton="0" quotePrefix="0" xfId="0"/>
    <xf numFmtId="0" fontId="9" fillId="2" borderId="0" pivotButton="0" quotePrefix="0" xfId="5"/>
    <xf numFmtId="0" fontId="9" fillId="2" borderId="0" applyAlignment="1" pivotButton="0" quotePrefix="0" xfId="5">
      <alignment horizontal="right"/>
    </xf>
    <xf numFmtId="0" fontId="9" fillId="7" borderId="2" pivotButton="0" quotePrefix="0" xfId="0"/>
    <xf numFmtId="164" fontId="6" fillId="7" borderId="2" pivotButton="0" quotePrefix="0" xfId="6"/>
    <xf numFmtId="0" fontId="9" fillId="0" borderId="2" pivotButton="0" quotePrefix="0" xfId="0"/>
    <xf numFmtId="164" fontId="6" fillId="0" borderId="2" pivotButton="0" quotePrefix="0" xfId="6"/>
    <xf numFmtId="164" fontId="0" fillId="0" borderId="0" pivotButton="0" quotePrefix="0" xfId="0"/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0" fontId="12" fillId="2" borderId="0" pivotButton="0" quotePrefix="0" xfId="5"/>
    <xf numFmtId="0" fontId="3" fillId="9" borderId="0" pivotButton="0" quotePrefix="0" xfId="1"/>
    <xf numFmtId="0" fontId="3" fillId="9" borderId="0" applyAlignment="1" pivotButton="0" quotePrefix="0" xfId="1">
      <alignment horizontal="right"/>
    </xf>
    <xf numFmtId="166" fontId="3" fillId="9" borderId="0" pivotButton="0" quotePrefix="0" xfId="1"/>
    <xf numFmtId="0" fontId="11" fillId="6" borderId="7" pivotButton="0" quotePrefix="0" xfId="0"/>
    <xf numFmtId="164" fontId="0" fillId="7" borderId="8" pivotButton="0" quotePrefix="0" xfId="6"/>
    <xf numFmtId="0" fontId="0" fillId="0" borderId="8" pivotButton="0" quotePrefix="0" xfId="0"/>
    <xf numFmtId="0" fontId="9" fillId="7" borderId="8" pivotButton="0" quotePrefix="0" xfId="0"/>
    <xf numFmtId="164" fontId="6" fillId="7" borderId="8" pivotButton="0" quotePrefix="0" xfId="6"/>
    <xf numFmtId="0" fontId="9" fillId="10" borderId="8" pivotButton="0" quotePrefix="0" xfId="0"/>
    <xf numFmtId="164" fontId="6" fillId="10" borderId="8" pivotButton="0" quotePrefix="0" xfId="0"/>
    <xf numFmtId="164" fontId="0" fillId="0" borderId="8" pivotButton="0" quotePrefix="0" xfId="0"/>
    <xf numFmtId="0" fontId="0" fillId="7" borderId="2" pivotButton="0" quotePrefix="0" xfId="0"/>
    <xf numFmtId="0" fontId="0" fillId="0" borderId="2" pivotButton="0" quotePrefix="0" xfId="0"/>
    <xf numFmtId="0" fontId="14" fillId="6" borderId="7" pivotButton="0" quotePrefix="0" xfId="0"/>
    <xf numFmtId="164" fontId="14" fillId="6" borderId="7" pivotButton="0" quotePrefix="0" xfId="6"/>
    <xf numFmtId="0" fontId="0" fillId="0" borderId="8" pivotButton="0" quotePrefix="0" xfId="0"/>
    <xf numFmtId="164" fontId="0" fillId="0" borderId="8" pivotButton="0" quotePrefix="0" xfId="6"/>
    <xf numFmtId="0" fontId="0" fillId="0" borderId="8" pivotButton="0" quotePrefix="0" xfId="0"/>
    <xf numFmtId="164" fontId="10" fillId="0" borderId="8" pivotButton="0" quotePrefix="0" xfId="0"/>
    <xf numFmtId="0" fontId="15" fillId="0" borderId="1" applyAlignment="1" pivotButton="0" quotePrefix="0" xfId="0">
      <alignment horizontal="right"/>
    </xf>
    <xf numFmtId="4" fontId="15" fillId="0" borderId="1" pivotButton="0" quotePrefix="0" xfId="0"/>
    <xf numFmtId="0" fontId="0" fillId="7" borderId="8" pivotButton="0" quotePrefix="0" xfId="0"/>
    <xf numFmtId="0" fontId="6" fillId="0" borderId="1" applyAlignment="1" pivotButton="0" quotePrefix="0" xfId="5">
      <alignment horizontal="left"/>
    </xf>
    <xf numFmtId="0" fontId="6" fillId="0" borderId="1" applyAlignment="1" pivotButton="0" quotePrefix="0" xfId="5">
      <alignment horizontal="right"/>
    </xf>
    <xf numFmtId="0" fontId="6" fillId="0" borderId="1" pivotButton="0" quotePrefix="0" xfId="5"/>
    <xf numFmtId="0" fontId="11" fillId="11" borderId="11" pivotButton="0" quotePrefix="0" xfId="0"/>
    <xf numFmtId="0" fontId="11" fillId="11" borderId="12" pivotButton="0" quotePrefix="0" xfId="0"/>
    <xf numFmtId="0" fontId="9" fillId="12" borderId="11" pivotButton="0" quotePrefix="0" xfId="0"/>
    <xf numFmtId="0" fontId="9" fillId="12" borderId="12" pivotButton="0" quotePrefix="0" xfId="0"/>
    <xf numFmtId="167" fontId="9" fillId="12" borderId="12" pivotButton="0" quotePrefix="0" xfId="6"/>
    <xf numFmtId="0" fontId="9" fillId="0" borderId="11" pivotButton="0" quotePrefix="0" xfId="0"/>
    <xf numFmtId="0" fontId="9" fillId="0" borderId="12" pivotButton="0" quotePrefix="0" xfId="0"/>
    <xf numFmtId="167" fontId="9" fillId="0" borderId="12" pivotButton="0" quotePrefix="0" xfId="6"/>
    <xf numFmtId="0" fontId="12" fillId="0" borderId="9" pivotButton="0" quotePrefix="0" xfId="0"/>
    <xf numFmtId="0" fontId="12" fillId="0" borderId="10" pivotButton="0" quotePrefix="0" xfId="0"/>
    <xf numFmtId="167" fontId="12" fillId="0" borderId="10" pivotButton="0" quotePrefix="0" xfId="6"/>
    <xf numFmtId="0" fontId="15" fillId="0" borderId="1" applyAlignment="1" pivotButton="0" quotePrefix="0" xfId="0">
      <alignment horizontal="left"/>
    </xf>
    <xf numFmtId="0" fontId="0" fillId="0" borderId="0" pivotButton="0" quotePrefix="0" xfId="0"/>
    <xf numFmtId="165" fontId="2" fillId="4" borderId="3" pivotButton="0" quotePrefix="0" xfId="1"/>
    <xf numFmtId="166" fontId="2" fillId="4" borderId="3" pivotButton="0" quotePrefix="0" xfId="1"/>
    <xf numFmtId="166" fontId="3" fillId="9" borderId="0" pivotButton="0" quotePrefix="0" xfId="1"/>
    <xf numFmtId="164" fontId="6" fillId="7" borderId="2" pivotButton="0" quotePrefix="0" xfId="6"/>
    <xf numFmtId="164" fontId="6" fillId="0" borderId="2" pivotButton="0" quotePrefix="0" xfId="6"/>
    <xf numFmtId="164" fontId="6" fillId="7" borderId="8" pivotButton="0" quotePrefix="0" xfId="6"/>
    <xf numFmtId="164" fontId="6" fillId="10" borderId="8" pivotButton="0" quotePrefix="0" xfId="0"/>
    <xf numFmtId="164" fontId="0" fillId="0" borderId="0" pivotButton="0" quotePrefix="0" xfId="0"/>
    <xf numFmtId="164" fontId="14" fillId="6" borderId="7" pivotButton="0" quotePrefix="0" xfId="6"/>
    <xf numFmtId="164" fontId="0" fillId="7" borderId="2" pivotButton="0" quotePrefix="0" xfId="6"/>
    <xf numFmtId="164" fontId="0" fillId="0" borderId="2" pivotButton="0" quotePrefix="0" xfId="6"/>
    <xf numFmtId="164" fontId="0" fillId="0" borderId="8" pivotButton="0" quotePrefix="0" xfId="6"/>
    <xf numFmtId="164" fontId="10" fillId="0" borderId="8" pivotButton="0" quotePrefix="0" xfId="0"/>
    <xf numFmtId="167" fontId="9" fillId="12" borderId="12" pivotButton="0" quotePrefix="0" xfId="6"/>
    <xf numFmtId="167" fontId="9" fillId="0" borderId="12" pivotButton="0" quotePrefix="0" xfId="6"/>
    <xf numFmtId="167" fontId="12" fillId="0" borderId="10" pivotButton="0" quotePrefix="0" xfId="6"/>
    <xf numFmtId="164" fontId="0" fillId="0" borderId="8" pivotButton="0" quotePrefix="0" xfId="0"/>
    <xf numFmtId="164" fontId="0" fillId="7" borderId="8" pivotButton="0" quotePrefix="0" xfId="6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5"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border outline="0">
        <top style="thin">
          <color theme="9" tint="0.3999755851924192"/>
        </top>
      </border>
    </dxf>
    <dxf>
      <fill>
        <patternFill patternType="solid">
          <fgColor theme="9" tint="0.7999816888943144"/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9" headerRowCount="1" totalsRowCount="1" headerRowDxfId="24" totalsRowDxfId="21" headerRowBorderDxfId="23" tableBorderDxfId="22" totalsRowBorderDxfId="20">
  <autoFilter ref="A1:C18"/>
  <tableColumns count="3">
    <tableColumn id="1" name="Cód. org. aplic." totalsRowLabel="Total" totalsRowDxfId="19"/>
    <tableColumn id="2" name="Descripción justificante" totalsRowDxfId="18"/>
    <tableColumn id="3" name="Imp.cob.aplic." totalsRowFunction="sum" totalsRowDxfId="17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5" displayName="Tabla5" ref="A1:C10" headerRowCount="1" totalsRowCount="1" headerRowBorderDxfId="16" tableBorderDxfId="15" totalsRowBorderDxfId="14">
  <autoFilter ref="A1:C9"/>
  <tableColumns count="3">
    <tableColumn id="1" name="Org. aplic." totalsRowLabel="Total" dataDxfId="13" totalsRowDxfId="12"/>
    <tableColumn id="2" name="Descripción justificante" dataDxfId="11" totalsRowDxfId="10"/>
    <tableColumn id="3" name="Imp. aplic." totalsRowFunction="sum" dataDxfId="9" totalsRowDxfId="8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4" displayName="Tabla4" ref="A1:C5" headerRowCount="1" totalsRowCount="1" headerRowDxfId="7" headerRowBorderDxfId="6" tableBorderDxfId="5" totalsRowBorderDxfId="4">
  <autoFilter ref="A1:C4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5" headerRowCount="1" totalsRowCount="1" headerRowDxfId="3" headerRowBorderDxfId="2" tableBorderDxfId="1" totalsRowBorderDxfId="0">
  <autoFilter ref="A1:C4"/>
  <tableColumns count="3">
    <tableColumn id="1" name="Org. aplic." totalsRowLabel="Total"/>
    <tableColumn id="2" name="Descripción justificante"/>
    <tableColumn id="3" name="Imp. aplic.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7"/>
  <sheetViews>
    <sheetView showGridLines="0" zoomScale="120" zoomScaleNormal="120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S37" sqref="S37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4.42578125" customWidth="1" style="6" min="13" max="13"/>
    <col width="6.5703125" customWidth="1" style="6" min="14" max="14"/>
    <col width="4.8554687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 s="8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7" t="inlineStr">
        <is>
          <t xml:space="preserve"> Numero
de tesis</t>
        </is>
      </c>
      <c r="L1" s="1" t="inlineStr">
        <is>
          <t>ASIGNACIÓN</t>
        </is>
      </c>
      <c r="M1" s="2" t="inlineStr">
        <is>
          <t>DEP.ASIG.</t>
        </is>
      </c>
      <c r="N1" s="3" t="inlineStr">
        <is>
          <t>EJERCICIO</t>
        </is>
      </c>
      <c r="O1" s="4" t="inlineStr">
        <is>
          <t>INS 1</t>
        </is>
      </c>
      <c r="P1" s="5" t="inlineStr">
        <is>
          <t>DED INS 1</t>
        </is>
      </c>
      <c r="Q1" s="4" t="inlineStr">
        <is>
          <t>INS 2</t>
        </is>
      </c>
      <c r="R1" s="5" t="inlineStr">
        <is>
          <t>DED INS 2</t>
        </is>
      </c>
      <c r="S1" s="4" t="inlineStr">
        <is>
          <t>DED DEP</t>
        </is>
      </c>
      <c r="T1" s="4" t="inlineStr">
        <is>
          <t>TDOC DEP</t>
        </is>
      </c>
      <c r="U1" s="4" t="inlineStr">
        <is>
          <t>TDOC INST 1</t>
        </is>
      </c>
    </row>
    <row r="2">
      <c r="A2" s="22" t="inlineStr">
        <is>
          <t xml:space="preserve">U062 </t>
        </is>
      </c>
      <c r="B2" s="22" t="inlineStr">
        <is>
          <t xml:space="preserve">ADM. I.U. DE INVESTIGACIÓN INFORMÁTICA </t>
        </is>
      </c>
      <c r="C2" s="22" t="inlineStr">
        <is>
          <t xml:space="preserve">DOCTORADO EN INFORMÁTICA </t>
        </is>
      </c>
      <c r="D2" s="22" t="inlineStr">
        <is>
          <t xml:space="preserve">Cruz , Edmanuel Gaspar </t>
        </is>
      </c>
      <c r="E2" s="22" t="inlineStr">
        <is>
          <t xml:space="preserve">Robotics semantic localization using deep learning techniques </t>
        </is>
      </c>
      <c r="F2" s="22" t="inlineStr">
        <is>
          <t xml:space="preserve">28/04/2020 </t>
        </is>
      </c>
      <c r="G2" s="22" t="inlineStr">
        <is>
          <t xml:space="preserve">21489731A </t>
        </is>
      </c>
      <c r="H2" s="22" t="inlineStr">
        <is>
          <t xml:space="preserve">Codirector de tesis </t>
        </is>
      </c>
      <c r="I2" s="22" t="inlineStr">
        <is>
          <t xml:space="preserve">B161 </t>
        </is>
      </c>
      <c r="J2" s="22" t="inlineStr">
        <is>
          <t xml:space="preserve">CIENCIA DE LA COMPUTACION E INTELIGENCIA ARTIFICIAL </t>
        </is>
      </c>
      <c r="K2" s="82" t="n">
        <v>0.5</v>
      </c>
      <c r="L2" s="22" t="inlineStr">
        <is>
          <t>B161</t>
        </is>
      </c>
      <c r="M2" s="22" t="n">
        <v>2019</v>
      </c>
      <c r="N2" s="22" t="inlineStr">
        <is>
          <t>10.19</t>
        </is>
      </c>
      <c r="O2" s="24" t="inlineStr">
        <is>
          <t>50</t>
        </is>
      </c>
      <c r="P2" s="22" t="inlineStr"/>
      <c r="Q2" s="24" t="inlineStr"/>
      <c r="R2" s="25" t="n">
        <v>50</v>
      </c>
      <c r="S2" s="83" t="n">
        <v>0.25</v>
      </c>
      <c r="T2" s="83" t="n">
        <v>0.25</v>
      </c>
      <c r="U2" s="83" t="n">
        <v>0</v>
      </c>
    </row>
    <row r="3">
      <c r="A3" s="22" t="inlineStr">
        <is>
          <t xml:space="preserve">U062 </t>
        </is>
      </c>
      <c r="B3" s="22" t="inlineStr">
        <is>
          <t xml:space="preserve">ADM. I.U. DE INVESTIGACIÓN INFORMÁTICA </t>
        </is>
      </c>
      <c r="C3" s="22" t="inlineStr">
        <is>
          <t xml:space="preserve">DOCTORADO EN INFORMÁTICA </t>
        </is>
      </c>
      <c r="D3" s="22" t="inlineStr">
        <is>
          <t xml:space="preserve">Caldwell Marín, Eldon Glen </t>
        </is>
      </c>
      <c r="E3" s="22" t="inlineStr">
        <is>
          <t xml:space="preserve">ROBÓTICA ASISTENCIAL CIBER-FÍSICA PARA TERAPIA DEL HABLA-LENGUAJE </t>
        </is>
      </c>
      <c r="F3" s="22" t="inlineStr">
        <is>
          <t xml:space="preserve">27/04/2020 </t>
        </is>
      </c>
      <c r="G3" s="22" t="inlineStr">
        <is>
          <t xml:space="preserve">21489731A </t>
        </is>
      </c>
      <c r="H3" s="22" t="inlineStr">
        <is>
          <t xml:space="preserve">Codirector de tesis </t>
        </is>
      </c>
      <c r="I3" s="22" t="inlineStr">
        <is>
          <t xml:space="preserve">B161 </t>
        </is>
      </c>
      <c r="J3" s="22" t="inlineStr">
        <is>
          <t xml:space="preserve">CIENCIA DE LA COMPUTACION E INTELIGENCIA ARTIFICIAL </t>
        </is>
      </c>
      <c r="K3" s="82" t="n">
        <v>0.5</v>
      </c>
      <c r="L3" s="22" t="inlineStr">
        <is>
          <t>B161</t>
        </is>
      </c>
      <c r="M3" s="22" t="n">
        <v>2019</v>
      </c>
      <c r="N3" s="22" t="inlineStr">
        <is>
          <t>10.19</t>
        </is>
      </c>
      <c r="O3" s="24" t="inlineStr">
        <is>
          <t>50</t>
        </is>
      </c>
      <c r="P3" s="22" t="inlineStr"/>
      <c r="Q3" s="24" t="inlineStr"/>
      <c r="R3" s="25" t="n">
        <v>50</v>
      </c>
      <c r="S3" s="83" t="n">
        <v>0.25</v>
      </c>
      <c r="T3" s="83" t="n">
        <v>0.25</v>
      </c>
      <c r="U3" s="83" t="n">
        <v>0</v>
      </c>
    </row>
    <row r="4">
      <c r="A4" s="22" t="inlineStr">
        <is>
          <t xml:space="preserve">U062 </t>
        </is>
      </c>
      <c r="B4" s="22" t="inlineStr">
        <is>
          <t xml:space="preserve">ADM. I.U. DE INVESTIGACIÓN INFORMÁTICA </t>
        </is>
      </c>
      <c r="C4" s="22" t="inlineStr">
        <is>
          <t xml:space="preserve">DOCTORADO EN INFORMÁTICA </t>
        </is>
      </c>
      <c r="D4" s="22" t="inlineStr">
        <is>
          <t xml:space="preserve">García García, Alberto </t>
        </is>
      </c>
      <c r="E4" s="22" t="inlineStr">
        <is>
          <t xml:space="preserve">DEEP LEARNING FOR 3D PERCEPTION: COMPUTER VISION AND TACTILE SENSING </t>
        </is>
      </c>
      <c r="F4" s="22" t="inlineStr">
        <is>
          <t xml:space="preserve">28/10/2019 </t>
        </is>
      </c>
      <c r="G4" s="22" t="inlineStr">
        <is>
          <t xml:space="preserve">53240321J </t>
        </is>
      </c>
      <c r="H4" s="22" t="inlineStr">
        <is>
          <t xml:space="preserve">Codirector de tesis </t>
        </is>
      </c>
      <c r="I4" s="22" t="inlineStr">
        <is>
          <t xml:space="preserve">B161 </t>
        </is>
      </c>
      <c r="J4" s="22" t="inlineStr">
        <is>
          <t xml:space="preserve">CIENCIA DE LA COMPUTACION E INTELIGENCIA ARTIFICIAL </t>
        </is>
      </c>
      <c r="K4" s="82" t="n">
        <v>0.5</v>
      </c>
      <c r="L4" s="22" t="inlineStr">
        <is>
          <t>B161</t>
        </is>
      </c>
      <c r="M4" s="22" t="n">
        <v>2019</v>
      </c>
      <c r="N4" s="22" t="inlineStr">
        <is>
          <t>10.19</t>
        </is>
      </c>
      <c r="O4" s="24" t="inlineStr">
        <is>
          <t>20</t>
        </is>
      </c>
      <c r="P4" s="22" t="inlineStr"/>
      <c r="Q4" s="24" t="inlineStr"/>
      <c r="R4" s="25" t="n">
        <v>80</v>
      </c>
      <c r="S4" s="83" t="n">
        <v>0.4</v>
      </c>
      <c r="T4" s="83" t="n">
        <v>0.1</v>
      </c>
      <c r="U4" s="83" t="n">
        <v>0</v>
      </c>
    </row>
    <row r="5" ht="12" customHeight="1" s="81" thickBot="1">
      <c r="A5" s="22" t="inlineStr">
        <is>
          <t xml:space="preserve">U062 </t>
        </is>
      </c>
      <c r="B5" s="22" t="inlineStr">
        <is>
          <t xml:space="preserve">ADM. I.U. DE INVESTIGACIÓN INFORMÁTICA </t>
        </is>
      </c>
      <c r="C5" s="22" t="inlineStr">
        <is>
          <t xml:space="preserve">DOCTORADO EN INFORMÁTICA </t>
        </is>
      </c>
      <c r="D5" s="22" t="inlineStr">
        <is>
          <t xml:space="preserve">Gómez Donoso, Francisco </t>
        </is>
      </c>
      <c r="E5" s="22" t="inlineStr">
        <is>
          <t xml:space="preserve">Contributions to 3D object recognition and 3D hand pose estimation using deep learning techniques </t>
        </is>
      </c>
      <c r="F5" s="22" t="inlineStr">
        <is>
          <t xml:space="preserve">18/09/2020 </t>
        </is>
      </c>
      <c r="G5" s="22" t="inlineStr">
        <is>
          <t xml:space="preserve">21489731A </t>
        </is>
      </c>
      <c r="H5" s="22" t="inlineStr">
        <is>
          <t xml:space="preserve">Director de tesis </t>
        </is>
      </c>
      <c r="I5" s="22" t="inlineStr">
        <is>
          <t xml:space="preserve">B161 </t>
        </is>
      </c>
      <c r="J5" s="22" t="inlineStr">
        <is>
          <t xml:space="preserve">CIENCIA DE LA COMPUTACION E INTELIGENCIA ARTIFICIAL </t>
        </is>
      </c>
      <c r="K5" s="82" t="n">
        <v>1</v>
      </c>
      <c r="L5" s="22" t="inlineStr">
        <is>
          <t>B161</t>
        </is>
      </c>
      <c r="M5" s="22" t="n">
        <v>2019</v>
      </c>
      <c r="N5" s="22" t="inlineStr">
        <is>
          <t>10.19</t>
        </is>
      </c>
      <c r="O5" s="24" t="inlineStr">
        <is>
          <t>50</t>
        </is>
      </c>
      <c r="P5" s="22" t="inlineStr"/>
      <c r="Q5" s="24" t="inlineStr"/>
      <c r="R5" s="25" t="n">
        <v>50</v>
      </c>
      <c r="S5" s="83" t="n">
        <v>0.5</v>
      </c>
      <c r="T5" s="83" t="n">
        <v>0.5</v>
      </c>
      <c r="U5" s="83" t="n">
        <v>0</v>
      </c>
    </row>
    <row r="6" ht="12" customHeight="1" s="81" thickBot="1">
      <c r="A6" s="27" t="inlineStr">
        <is>
          <t xml:space="preserve">U062 </t>
        </is>
      </c>
      <c r="B6" s="27" t="inlineStr">
        <is>
          <t xml:space="preserve">ADM. I.U. DE INVESTIGACIÓN INFORMÁTICA </t>
        </is>
      </c>
      <c r="C6" s="27" t="inlineStr">
        <is>
          <t xml:space="preserve">DOCTORADO EN INFORMÁTICA </t>
        </is>
      </c>
      <c r="D6" s="27" t="inlineStr">
        <is>
          <t xml:space="preserve">Mora Lizán, Francisco José </t>
        </is>
      </c>
      <c r="E6" s="27" t="inlineStr">
        <is>
          <t xml:space="preserve">Avances en modelado de sistemas multiagente. Propuesta de arquitectura híbrida multinivel </t>
        </is>
      </c>
      <c r="F6" s="27" t="inlineStr">
        <is>
          <t xml:space="preserve">26/01/2021 </t>
        </is>
      </c>
      <c r="G6" s="28" t="inlineStr">
        <is>
          <t xml:space="preserve">21672410Q </t>
        </is>
      </c>
      <c r="H6" s="29" t="inlineStr">
        <is>
          <t xml:space="preserve">Codirector de tesis </t>
        </is>
      </c>
      <c r="I6" s="29" t="inlineStr">
        <is>
          <t xml:space="preserve">B161 </t>
        </is>
      </c>
      <c r="J6" s="30" t="inlineStr">
        <is>
          <t xml:space="preserve">CIENCIA DE LA COMPUTACION E INTELIGENCIA ARTIFICIAL </t>
        </is>
      </c>
      <c r="K6" s="31" t="n">
        <v>0.5</v>
      </c>
      <c r="L6" s="31" t="inlineStr">
        <is>
          <t>B161</t>
        </is>
      </c>
      <c r="M6" s="20" t="n">
        <v>2020</v>
      </c>
      <c r="N6" s="20" t="inlineStr">
        <is>
          <t>10.19</t>
        </is>
      </c>
      <c r="O6" s="21" t="n">
        <v>20</v>
      </c>
      <c r="P6" s="20" t="inlineStr"/>
      <c r="Q6" s="21" t="n">
        <v>0</v>
      </c>
      <c r="R6" s="20" t="n">
        <v>80</v>
      </c>
      <c r="S6" s="20" t="n">
        <v>0.4</v>
      </c>
      <c r="T6" s="20" t="n">
        <v>0.1</v>
      </c>
      <c r="U6" s="20" t="n">
        <v>0</v>
      </c>
    </row>
    <row r="7" ht="12" customHeight="1" s="81" thickBot="1">
      <c r="A7" s="27" t="inlineStr">
        <is>
          <t xml:space="preserve">U062 </t>
        </is>
      </c>
      <c r="B7" s="27" t="inlineStr">
        <is>
          <t xml:space="preserve">ADM. I.U. DE INVESTIGACIÓN INFORMÁTICA </t>
        </is>
      </c>
      <c r="C7" s="27" t="inlineStr">
        <is>
          <t xml:space="preserve">DOCTORADO EN INFORMÁTICA </t>
        </is>
      </c>
      <c r="D7" s="27" t="inlineStr">
        <is>
          <t xml:space="preserve">Nasri Mohammadshahi, Nadia </t>
        </is>
      </c>
      <c r="E7" s="27" t="inlineStr">
        <is>
          <t xml:space="preserve">Hand gesture recognition using sEMG and deep learning </t>
        </is>
      </c>
      <c r="F7" s="27" t="inlineStr">
        <is>
          <t xml:space="preserve">17/06/2021 </t>
        </is>
      </c>
      <c r="G7" s="28" t="inlineStr">
        <is>
          <t xml:space="preserve">53240321J </t>
        </is>
      </c>
      <c r="H7" s="29" t="inlineStr">
        <is>
          <t xml:space="preserve">Codirector de tesis </t>
        </is>
      </c>
      <c r="I7" s="29" t="inlineStr">
        <is>
          <t xml:space="preserve">B161 </t>
        </is>
      </c>
      <c r="J7" s="30" t="inlineStr">
        <is>
          <t xml:space="preserve">CIENCIA DE LA COMPUTACION E INTELIGENCIA ARTIFICIAL </t>
        </is>
      </c>
      <c r="K7" s="31" t="n">
        <v>0.5</v>
      </c>
      <c r="L7" s="31" t="inlineStr">
        <is>
          <t>B161</t>
        </is>
      </c>
      <c r="M7" s="20" t="n">
        <v>2020</v>
      </c>
      <c r="N7" s="20" t="inlineStr">
        <is>
          <t>10.19</t>
        </is>
      </c>
      <c r="O7" s="21" t="n">
        <v>20</v>
      </c>
      <c r="P7" s="20" t="inlineStr"/>
      <c r="Q7" s="21" t="n">
        <v>0</v>
      </c>
      <c r="R7" s="20" t="n">
        <v>80</v>
      </c>
      <c r="S7" s="20" t="n">
        <v>0.4</v>
      </c>
      <c r="T7" s="20" t="n">
        <v>0.1</v>
      </c>
      <c r="U7" s="20" t="n">
        <v>0</v>
      </c>
    </row>
    <row r="8" ht="12" customHeight="1" s="81" thickBot="1">
      <c r="A8" s="27" t="inlineStr">
        <is>
          <t xml:space="preserve">U062 </t>
        </is>
      </c>
      <c r="B8" s="27" t="inlineStr">
        <is>
          <t xml:space="preserve">ADM. I.U. DE INVESTIGACIÓN INFORMÁTICA </t>
        </is>
      </c>
      <c r="C8" s="27" t="inlineStr">
        <is>
          <t xml:space="preserve">DOCTORADO EN INFORMÁTICA </t>
        </is>
      </c>
      <c r="D8" s="27" t="inlineStr">
        <is>
          <t xml:space="preserve">Nasri Mohammadshahi, Nadia </t>
        </is>
      </c>
      <c r="E8" s="27" t="inlineStr">
        <is>
          <t xml:space="preserve">Hand gesture recognition using sEMG and deep learning </t>
        </is>
      </c>
      <c r="F8" s="27" t="inlineStr">
        <is>
          <t xml:space="preserve">17/06/2021 </t>
        </is>
      </c>
      <c r="G8" s="28" t="inlineStr">
        <is>
          <t xml:space="preserve">21489731A </t>
        </is>
      </c>
      <c r="H8" s="29" t="inlineStr">
        <is>
          <t xml:space="preserve">Codirector de tesis </t>
        </is>
      </c>
      <c r="I8" s="29" t="inlineStr">
        <is>
          <t xml:space="preserve">B161 </t>
        </is>
      </c>
      <c r="J8" s="30" t="inlineStr">
        <is>
          <t xml:space="preserve">CIENCIA DE LA COMPUTACION E INTELIGENCIA ARTIFICIAL </t>
        </is>
      </c>
      <c r="K8" s="31" t="n">
        <v>0.5</v>
      </c>
      <c r="L8" s="31" t="inlineStr">
        <is>
          <t>B161</t>
        </is>
      </c>
      <c r="M8" s="20" t="n">
        <v>2020</v>
      </c>
      <c r="N8" s="20" t="inlineStr">
        <is>
          <t>10.19</t>
        </is>
      </c>
      <c r="O8" s="21" t="n">
        <v>50</v>
      </c>
      <c r="P8" s="20" t="inlineStr"/>
      <c r="Q8" s="21" t="n">
        <v>0</v>
      </c>
      <c r="R8" s="20" t="n">
        <v>50</v>
      </c>
      <c r="S8" s="20" t="n">
        <v>0.25</v>
      </c>
      <c r="T8" s="20" t="n">
        <v>0.25</v>
      </c>
      <c r="U8" s="20" t="n">
        <v>0</v>
      </c>
    </row>
    <row r="9" ht="12" customHeight="1" s="81" thickBot="1">
      <c r="A9" s="27" t="inlineStr">
        <is>
          <t xml:space="preserve">U062 </t>
        </is>
      </c>
      <c r="B9" s="27" t="inlineStr">
        <is>
          <t xml:space="preserve">ADM. I.U. DE INVESTIGACIÓN INFORMÁTICA </t>
        </is>
      </c>
      <c r="C9" s="27" t="inlineStr">
        <is>
          <t xml:space="preserve">DOCTORADO EN INFORMÁTICA </t>
        </is>
      </c>
      <c r="D9" s="27" t="inlineStr">
        <is>
          <t xml:space="preserve">Escalona Moncholí, Félix </t>
        </is>
      </c>
      <c r="E9" s="27" t="inlineStr">
        <is>
          <t xml:space="preserve">Contributions to 3D data processing and social robotics </t>
        </is>
      </c>
      <c r="F9" s="27" t="inlineStr">
        <is>
          <t xml:space="preserve">30/09/2021 </t>
        </is>
      </c>
      <c r="G9" s="28" t="inlineStr">
        <is>
          <t xml:space="preserve">03120050P </t>
        </is>
      </c>
      <c r="H9" s="29" t="inlineStr">
        <is>
          <t xml:space="preserve">Codirector de tesis </t>
        </is>
      </c>
      <c r="I9" s="29" t="inlineStr">
        <is>
          <t xml:space="preserve">B161 </t>
        </is>
      </c>
      <c r="J9" s="30" t="inlineStr">
        <is>
          <t xml:space="preserve">CIENCIA DE LA COMPUTACION E INTELIGENCIA ARTIFICIAL </t>
        </is>
      </c>
      <c r="K9" s="31" t="n">
        <v>0.5</v>
      </c>
      <c r="L9" s="31" t="inlineStr">
        <is>
          <t>B161</t>
        </is>
      </c>
      <c r="M9" s="20" t="n">
        <v>2020</v>
      </c>
      <c r="N9" s="20" t="inlineStr">
        <is>
          <t>10.19</t>
        </is>
      </c>
      <c r="O9" s="21" t="n">
        <v>20</v>
      </c>
      <c r="P9" s="20" t="inlineStr"/>
      <c r="Q9" s="21" t="n">
        <v>0</v>
      </c>
      <c r="R9" s="20" t="n">
        <v>80</v>
      </c>
      <c r="S9" s="20" t="n">
        <v>0.4</v>
      </c>
      <c r="T9" s="20" t="n">
        <v>0.1</v>
      </c>
      <c r="U9" s="20" t="n">
        <v>0</v>
      </c>
    </row>
    <row r="10" ht="12" customHeight="1" s="81" thickBot="1">
      <c r="A10" s="27" t="inlineStr">
        <is>
          <t xml:space="preserve">U062 </t>
        </is>
      </c>
      <c r="B10" s="27" t="inlineStr">
        <is>
          <t xml:space="preserve">ADM. I.U. DE INVESTIGACIÓN INFORMÁTICA </t>
        </is>
      </c>
      <c r="C10" s="27" t="inlineStr">
        <is>
          <t xml:space="preserve">DOCTORADO EN INFORMÁTICA </t>
        </is>
      </c>
      <c r="D10" s="27" t="inlineStr">
        <is>
          <t xml:space="preserve">Escalona Moncholí, Félix </t>
        </is>
      </c>
      <c r="E10" s="27" t="inlineStr">
        <is>
          <t xml:space="preserve">Contributions to 3D data processing and social robotics </t>
        </is>
      </c>
      <c r="F10" s="27" t="inlineStr">
        <is>
          <t xml:space="preserve">30/09/2021 </t>
        </is>
      </c>
      <c r="G10" s="28" t="inlineStr">
        <is>
          <t xml:space="preserve">21489731A </t>
        </is>
      </c>
      <c r="H10" s="29" t="inlineStr">
        <is>
          <t xml:space="preserve">Codirector de tesis </t>
        </is>
      </c>
      <c r="I10" s="29" t="inlineStr">
        <is>
          <t xml:space="preserve">B161 </t>
        </is>
      </c>
      <c r="J10" s="30" t="inlineStr">
        <is>
          <t xml:space="preserve">CIENCIA DE LA COMPUTACION E INTELIGENCIA ARTIFICIAL </t>
        </is>
      </c>
      <c r="K10" s="31" t="n">
        <v>0.5</v>
      </c>
      <c r="L10" s="31" t="inlineStr">
        <is>
          <t>B161</t>
        </is>
      </c>
      <c r="M10" s="20" t="n">
        <v>2020</v>
      </c>
      <c r="N10" s="20" t="inlineStr">
        <is>
          <t>10.19</t>
        </is>
      </c>
      <c r="O10" s="21" t="n">
        <v>50</v>
      </c>
      <c r="P10" s="20" t="inlineStr"/>
      <c r="Q10" s="21" t="n">
        <v>0</v>
      </c>
      <c r="R10" s="20" t="n">
        <v>50</v>
      </c>
      <c r="S10" s="20" t="n">
        <v>0.25</v>
      </c>
      <c r="T10" s="20" t="n">
        <v>0.25</v>
      </c>
      <c r="U10" s="20" t="n">
        <v>0</v>
      </c>
    </row>
    <row r="11" ht="12" customHeight="1" s="81" thickBot="1">
      <c r="A11" s="27" t="inlineStr">
        <is>
          <t xml:space="preserve">U062 </t>
        </is>
      </c>
      <c r="B11" s="27" t="inlineStr">
        <is>
          <t xml:space="preserve">ADM. I.U. DE INVESTIGACIÓN INFORMÁTICA </t>
        </is>
      </c>
      <c r="C11" s="27" t="inlineStr">
        <is>
          <t xml:space="preserve">DOCTORADO EN INFORMÁTICA </t>
        </is>
      </c>
      <c r="D11" s="27" t="inlineStr">
        <is>
          <t xml:space="preserve">Bauer , Zuria </t>
        </is>
      </c>
      <c r="E11" s="27" t="inlineStr">
        <is>
          <t xml:space="preserve">Monocular Depth Estimation: Datasets, Methods, and Applications. </t>
        </is>
      </c>
      <c r="F11" s="27" t="inlineStr">
        <is>
          <t xml:space="preserve">15/09/2021 </t>
        </is>
      </c>
      <c r="G11" s="28" t="inlineStr">
        <is>
          <t xml:space="preserve">53240321J </t>
        </is>
      </c>
      <c r="H11" s="29" t="inlineStr">
        <is>
          <t xml:space="preserve">Codirector de tesis </t>
        </is>
      </c>
      <c r="I11" s="29" t="inlineStr">
        <is>
          <t xml:space="preserve">B161 </t>
        </is>
      </c>
      <c r="J11" s="30" t="inlineStr">
        <is>
          <t xml:space="preserve">CIENCIA DE LA COMPUTACION E INTELIGENCIA ARTIFICIAL </t>
        </is>
      </c>
      <c r="K11" s="31" t="n">
        <v>0.5</v>
      </c>
      <c r="L11" s="31" t="inlineStr">
        <is>
          <t>B161</t>
        </is>
      </c>
      <c r="M11" s="20" t="n">
        <v>2020</v>
      </c>
      <c r="N11" s="20" t="inlineStr">
        <is>
          <t>10.19</t>
        </is>
      </c>
      <c r="O11" s="21" t="n">
        <v>20</v>
      </c>
      <c r="P11" s="20" t="inlineStr"/>
      <c r="Q11" s="21" t="n">
        <v>0</v>
      </c>
      <c r="R11" s="20" t="n">
        <v>80</v>
      </c>
      <c r="S11" s="20" t="n">
        <v>0.4</v>
      </c>
      <c r="T11" s="20" t="n">
        <v>0.1</v>
      </c>
      <c r="U11" s="20" t="n">
        <v>0</v>
      </c>
    </row>
    <row r="12" ht="12" customHeight="1" s="81" thickBot="1">
      <c r="A12" s="27" t="inlineStr">
        <is>
          <t xml:space="preserve">U062 </t>
        </is>
      </c>
      <c r="B12" s="27" t="inlineStr">
        <is>
          <t xml:space="preserve">ADM. I.U. DE INVESTIGACIÓN INFORMÁTICA </t>
        </is>
      </c>
      <c r="C12" s="27" t="inlineStr">
        <is>
          <t xml:space="preserve">DOCTORADO EN INFORMÁTICA </t>
        </is>
      </c>
      <c r="D12" s="27" t="inlineStr">
        <is>
          <t xml:space="preserve">Bauer , Zuria </t>
        </is>
      </c>
      <c r="E12" s="27" t="inlineStr">
        <is>
          <t xml:space="preserve">Monocular Depth Estimation: Datasets, Methods, and Applications. </t>
        </is>
      </c>
      <c r="F12" s="27" t="inlineStr">
        <is>
          <t xml:space="preserve">15/09/2021 </t>
        </is>
      </c>
      <c r="G12" s="28" t="inlineStr">
        <is>
          <t xml:space="preserve">21489731A </t>
        </is>
      </c>
      <c r="H12" s="29" t="inlineStr">
        <is>
          <t xml:space="preserve">Codirector de tesis </t>
        </is>
      </c>
      <c r="I12" s="29" t="inlineStr">
        <is>
          <t xml:space="preserve">B161 </t>
        </is>
      </c>
      <c r="J12" s="30" t="inlineStr">
        <is>
          <t xml:space="preserve">CIENCIA DE LA COMPUTACION E INTELIGENCIA ARTIFICIAL </t>
        </is>
      </c>
      <c r="K12" s="31" t="n">
        <v>0.5</v>
      </c>
      <c r="L12" s="31" t="inlineStr">
        <is>
          <t>B161</t>
        </is>
      </c>
      <c r="M12" s="20" t="n">
        <v>2020</v>
      </c>
      <c r="N12" s="20" t="inlineStr">
        <is>
          <t>10.19</t>
        </is>
      </c>
      <c r="O12" s="21" t="n">
        <v>50</v>
      </c>
      <c r="P12" s="20" t="inlineStr"/>
      <c r="Q12" s="21" t="n">
        <v>0</v>
      </c>
      <c r="R12" s="20" t="n">
        <v>50</v>
      </c>
      <c r="S12" s="20" t="n">
        <v>0.25</v>
      </c>
      <c r="T12" s="20" t="n">
        <v>0.25</v>
      </c>
      <c r="U12" s="20" t="n">
        <v>0</v>
      </c>
    </row>
    <row r="13">
      <c r="A13" s="20" t="inlineStr">
        <is>
          <t xml:space="preserve">U062 </t>
        </is>
      </c>
      <c r="B13" s="20" t="inlineStr">
        <is>
          <t xml:space="preserve">ADM. I.U. DE INVESTIGACIÓN INFORMÁTICA </t>
        </is>
      </c>
      <c r="C13" s="20" t="inlineStr">
        <is>
          <t xml:space="preserve">DOCTORADO EN INFORMÁTICA </t>
        </is>
      </c>
      <c r="D13" s="20" t="inlineStr">
        <is>
          <t xml:space="preserve">Real Fernández, Alberto </t>
        </is>
      </c>
      <c r="E13" s="20" t="inlineStr">
        <is>
          <t xml:space="preserve">CALM: un modelo de aprendizaje adaptativo y personalizado </t>
        </is>
      </c>
      <c r="F13" s="20" t="inlineStr">
        <is>
          <t xml:space="preserve">18/07/2022 </t>
        </is>
      </c>
      <c r="G13" s="20" t="inlineStr">
        <is>
          <t xml:space="preserve">21637322A </t>
        </is>
      </c>
      <c r="H13" s="20" t="inlineStr">
        <is>
          <t xml:space="preserve">Codirector de tesis </t>
        </is>
      </c>
      <c r="I13" s="20" t="inlineStr">
        <is>
          <t xml:space="preserve">B161 </t>
        </is>
      </c>
      <c r="J13" s="20" t="inlineStr">
        <is>
          <t xml:space="preserve">CIENCIA DE LA COMPUTACION E INTELIGENCIA ARTIFICIAL </t>
        </is>
      </c>
      <c r="K13" s="31" t="n">
        <v>0.5</v>
      </c>
      <c r="L13" s="31" t="inlineStr">
        <is>
          <t>B161</t>
        </is>
      </c>
      <c r="M13" s="20" t="n">
        <v>2021</v>
      </c>
      <c r="N13" s="20" t="inlineStr">
        <is>
          <t>10.19</t>
        </is>
      </c>
      <c r="O13" s="21" t="n">
        <v>20</v>
      </c>
      <c r="P13" s="20" t="inlineStr"/>
      <c r="Q13" s="21" t="n">
        <v>0</v>
      </c>
      <c r="R13" s="20" t="n">
        <v>80</v>
      </c>
      <c r="S13" s="20" t="n">
        <v>0.4</v>
      </c>
      <c r="T13" s="20" t="n">
        <v>0.1</v>
      </c>
      <c r="U13" s="20" t="n">
        <v>0</v>
      </c>
    </row>
    <row r="14">
      <c r="A14" s="20" t="inlineStr">
        <is>
          <t xml:space="preserve">U062 </t>
        </is>
      </c>
      <c r="B14" s="20" t="inlineStr">
        <is>
          <t xml:space="preserve">ADM. I.U. DE INVESTIGACIÓN INFORMÁTICA </t>
        </is>
      </c>
      <c r="C14" s="20" t="inlineStr">
        <is>
          <t xml:space="preserve">DOCTORADO EN INFORMÁTICA </t>
        </is>
      </c>
      <c r="D14" s="20" t="inlineStr">
        <is>
          <t xml:space="preserve">Real Fernández, Alberto </t>
        </is>
      </c>
      <c r="E14" s="20" t="inlineStr">
        <is>
          <t xml:space="preserve">CALM: un modelo de aprendizaje adaptativo y personalizado </t>
        </is>
      </c>
      <c r="F14" s="20" t="inlineStr">
        <is>
          <t xml:space="preserve">18/07/2022 </t>
        </is>
      </c>
      <c r="G14" s="20" t="inlineStr">
        <is>
          <t xml:space="preserve">22135596M </t>
        </is>
      </c>
      <c r="H14" s="20" t="inlineStr">
        <is>
          <t xml:space="preserve">Codirector de tesis </t>
        </is>
      </c>
      <c r="I14" s="20" t="inlineStr">
        <is>
          <t xml:space="preserve">B161 </t>
        </is>
      </c>
      <c r="J14" s="20" t="inlineStr">
        <is>
          <t xml:space="preserve">CIENCIA DE LA COMPUTACION E INTELIGENCIA ARTIFICIAL </t>
        </is>
      </c>
      <c r="K14" s="31" t="n">
        <v>0.5</v>
      </c>
      <c r="L14" s="31" t="inlineStr">
        <is>
          <t>B161</t>
        </is>
      </c>
      <c r="M14" s="20" t="n">
        <v>2021</v>
      </c>
      <c r="N14" s="20" t="inlineStr">
        <is>
          <t>10.19</t>
        </is>
      </c>
      <c r="O14" s="21" t="n">
        <v>20</v>
      </c>
      <c r="P14" s="20" t="inlineStr"/>
      <c r="Q14" s="21" t="n">
        <v>0</v>
      </c>
      <c r="R14" s="20" t="n">
        <v>80</v>
      </c>
      <c r="S14" s="20" t="n">
        <v>0.4</v>
      </c>
      <c r="T14" s="20" t="n">
        <v>0.1</v>
      </c>
      <c r="U14" s="20" t="n">
        <v>0</v>
      </c>
    </row>
    <row r="15">
      <c r="A15" s="20" t="inlineStr">
        <is>
          <t xml:space="preserve">U062 </t>
        </is>
      </c>
      <c r="B15" s="20" t="inlineStr">
        <is>
          <t xml:space="preserve">ADM. I.U. DE INVESTIGACIÓN INFORMÁTICA </t>
        </is>
      </c>
      <c r="C15" s="20" t="inlineStr">
        <is>
          <t xml:space="preserve">DOCTORADO EN INFORMÁTICA </t>
        </is>
      </c>
      <c r="D15" s="20" t="inlineStr">
        <is>
          <t xml:space="preserve">Alashhab , Samer Refat Hamzeh </t>
        </is>
      </c>
      <c r="E15" s="20" t="inlineStr">
        <is>
          <t xml:space="preserve">Aplicaciones de Visión Artificial para Ayuda a Personas con Dificultades Visuales </t>
        </is>
      </c>
      <c r="F15" s="20" t="inlineStr">
        <is>
          <t xml:space="preserve">01/07/2022 </t>
        </is>
      </c>
      <c r="G15" s="20" t="inlineStr">
        <is>
          <t xml:space="preserve">48531413X </t>
        </is>
      </c>
      <c r="H15" s="20" t="inlineStr">
        <is>
          <t xml:space="preserve">Codirector de tesis </t>
        </is>
      </c>
      <c r="I15" s="20" t="inlineStr">
        <is>
          <t xml:space="preserve">B161 </t>
        </is>
      </c>
      <c r="J15" s="20" t="inlineStr">
        <is>
          <t xml:space="preserve">CIENCIA DE LA COMPUTACION E INTELIGENCIA ARTIFICIAL </t>
        </is>
      </c>
      <c r="K15" s="31" t="n">
        <v>0.5</v>
      </c>
      <c r="L15" s="31" t="inlineStr">
        <is>
          <t>B161</t>
        </is>
      </c>
      <c r="M15" s="20" t="n">
        <v>2021</v>
      </c>
      <c r="N15" s="20" t="inlineStr">
        <is>
          <t>10.19</t>
        </is>
      </c>
      <c r="O15" s="21" t="n">
        <v>20</v>
      </c>
      <c r="P15" s="20" t="inlineStr"/>
      <c r="Q15" s="21" t="n">
        <v>0</v>
      </c>
      <c r="R15" s="20" t="n">
        <v>80</v>
      </c>
      <c r="S15" s="20" t="n">
        <v>0.4</v>
      </c>
      <c r="T15" s="20" t="n">
        <v>0.1</v>
      </c>
      <c r="U15" s="20" t="n">
        <v>0</v>
      </c>
    </row>
    <row r="16" ht="15" customHeight="1" s="81">
      <c r="A16" s="20" t="inlineStr">
        <is>
          <t xml:space="preserve">U062 </t>
        </is>
      </c>
      <c r="B16" s="20" t="inlineStr">
        <is>
          <t xml:space="preserve">I.U. DE INVESTIGACIÓN INFORMÁTICA (10.19) </t>
        </is>
      </c>
      <c r="C16" s="20" t="inlineStr">
        <is>
          <t xml:space="preserve">DOCTORADO EN INFORMÁTICA </t>
        </is>
      </c>
      <c r="D16" s="20" t="inlineStr">
        <is>
          <t xml:space="preserve">Oprea , Sergiu Ovidiu </t>
        </is>
      </c>
      <c r="E16" s="20" t="inlineStr">
        <is>
          <t xml:space="preserve">Deep Predictive Learning: Understanding Interaction Dynamics from Synthetic Data </t>
        </is>
      </c>
      <c r="F16" s="20" t="inlineStr">
        <is>
          <t xml:space="preserve">26/09/2022 </t>
        </is>
      </c>
      <c r="G16" s="20" t="inlineStr">
        <is>
          <t xml:space="preserve">53240321J </t>
        </is>
      </c>
      <c r="H16" s="20" t="inlineStr">
        <is>
          <t xml:space="preserve">Codirector de tesis </t>
        </is>
      </c>
      <c r="I16" s="20" t="inlineStr">
        <is>
          <t xml:space="preserve">B161 </t>
        </is>
      </c>
      <c r="J16" s="20" t="inlineStr">
        <is>
          <t xml:space="preserve">CIENCIA DE LA COMPUTACION E INTELIGENCIA ARTIFICIAL </t>
        </is>
      </c>
      <c r="K16" s="32" t="n">
        <v>0.5</v>
      </c>
      <c r="L16" s="32" t="inlineStr">
        <is>
          <t>B161</t>
        </is>
      </c>
      <c r="M16" s="20" t="n">
        <v>2021</v>
      </c>
      <c r="N16" s="32" t="inlineStr">
        <is>
          <t>10.19</t>
        </is>
      </c>
      <c r="O16" s="32" t="n">
        <v>20</v>
      </c>
      <c r="P16" s="32" t="inlineStr"/>
      <c r="Q16" s="32" t="n">
        <v>0</v>
      </c>
      <c r="R16" s="32" t="n">
        <v>80</v>
      </c>
      <c r="S16" s="32" t="n">
        <v>0.4</v>
      </c>
      <c r="T16" s="32" t="n">
        <v>0.1</v>
      </c>
      <c r="U16" s="32" t="n">
        <v>0</v>
      </c>
      <c r="V16" s="33" t="n"/>
    </row>
    <row r="17" ht="15" customHeight="1" s="81">
      <c r="A17" s="20" t="inlineStr">
        <is>
          <t xml:space="preserve">U062 </t>
        </is>
      </c>
      <c r="B17" s="20" t="inlineStr">
        <is>
          <t xml:space="preserve">I.U. DE INVESTIGACIÓN INFORMÁTICA (10.19) </t>
        </is>
      </c>
      <c r="C17" s="20" t="inlineStr">
        <is>
          <t xml:space="preserve">DOCTORADO EN INFORMÁTICA </t>
        </is>
      </c>
      <c r="D17" s="20" t="inlineStr">
        <is>
          <t xml:space="preserve">Martínez González, Pablo </t>
        </is>
      </c>
      <c r="E17" s="20" t="inlineStr">
        <is>
          <t xml:space="preserve">Synthetic Data Generation for 6D Object Pose and Grasping Estimation </t>
        </is>
      </c>
      <c r="F17" s="20" t="inlineStr">
        <is>
          <t xml:space="preserve">16/03/2023 </t>
        </is>
      </c>
      <c r="G17" s="20" t="inlineStr">
        <is>
          <t xml:space="preserve">53240321J </t>
        </is>
      </c>
      <c r="H17" s="20" t="inlineStr">
        <is>
          <t xml:space="preserve">Codirector de tesis </t>
        </is>
      </c>
      <c r="I17" s="20" t="inlineStr">
        <is>
          <t xml:space="preserve">B161 </t>
        </is>
      </c>
      <c r="J17" s="20" t="inlineStr">
        <is>
          <t xml:space="preserve">CIENCIA DE LA COMPUTACION E INTELIGENCIA ARTIFICIAL </t>
        </is>
      </c>
      <c r="K17" s="32" t="n">
        <v>0.5</v>
      </c>
      <c r="L17" s="32" t="inlineStr">
        <is>
          <t>B161</t>
        </is>
      </c>
      <c r="M17" s="20" t="n">
        <v>2022</v>
      </c>
      <c r="N17" s="32" t="inlineStr">
        <is>
          <t>10.19</t>
        </is>
      </c>
      <c r="O17" s="32" t="n">
        <v>20</v>
      </c>
      <c r="P17" s="32" t="inlineStr"/>
      <c r="Q17" s="32" t="n">
        <v>0</v>
      </c>
      <c r="R17" s="32" t="n">
        <v>80</v>
      </c>
      <c r="S17" s="32" t="n">
        <v>0.4</v>
      </c>
      <c r="T17" s="32" t="n">
        <v>0.1</v>
      </c>
      <c r="U17" s="32" t="n">
        <v>0</v>
      </c>
    </row>
    <row r="18" ht="15" customHeight="1" s="81">
      <c r="A18" s="20" t="inlineStr">
        <is>
          <t xml:space="preserve">U062 </t>
        </is>
      </c>
      <c r="B18" s="20" t="inlineStr">
        <is>
          <t xml:space="preserve">I.U. DE INVESTIGACIÓN INFORMÁTICA (10.19) </t>
        </is>
      </c>
      <c r="C18" s="20" t="inlineStr">
        <is>
          <t xml:space="preserve">DOCTORADO EN INFORMÁTICA </t>
        </is>
      </c>
      <c r="D18" s="20" t="inlineStr">
        <is>
          <t xml:space="preserve">Súcar Segarra, Luis Beltrán </t>
        </is>
      </c>
      <c r="E18" s="20" t="inlineStr">
        <is>
          <t xml:space="preserve">Métodos paralelos para el filtrado de imágenes digitales con aplicación médica </t>
        </is>
      </c>
      <c r="F18" s="20" t="inlineStr">
        <is>
          <t xml:space="preserve">24/02/2023 </t>
        </is>
      </c>
      <c r="G18" s="20" t="inlineStr">
        <is>
          <t xml:space="preserve">52793369C </t>
        </is>
      </c>
      <c r="H18" s="20" t="inlineStr">
        <is>
          <t xml:space="preserve">Director de tesis </t>
        </is>
      </c>
      <c r="I18" s="20" t="inlineStr">
        <is>
          <t xml:space="preserve">B161 </t>
        </is>
      </c>
      <c r="J18" s="20" t="inlineStr">
        <is>
          <t xml:space="preserve">CIENCIA DE LA COMPUTACION E INTELIGENCIA ARTIFICIAL </t>
        </is>
      </c>
      <c r="K18" s="32" t="n">
        <v>1</v>
      </c>
      <c r="L18" s="32" t="inlineStr">
        <is>
          <t>B161</t>
        </is>
      </c>
      <c r="M18" s="20" t="n">
        <v>2022</v>
      </c>
      <c r="N18" s="32" t="inlineStr">
        <is>
          <t>10.19</t>
        </is>
      </c>
      <c r="O18" s="32" t="n">
        <v>20</v>
      </c>
      <c r="P18" s="32" t="inlineStr"/>
      <c r="Q18" s="32" t="n">
        <v>0</v>
      </c>
      <c r="R18" s="32" t="n">
        <v>80</v>
      </c>
      <c r="S18" s="32" t="n">
        <v>0.8</v>
      </c>
      <c r="T18" s="32" t="n">
        <v>0.2</v>
      </c>
      <c r="U18" s="32" t="n">
        <v>0</v>
      </c>
    </row>
    <row r="19" ht="15" customHeight="1" s="81">
      <c r="A19" s="20" t="inlineStr">
        <is>
          <t xml:space="preserve">U062 </t>
        </is>
      </c>
      <c r="B19" s="20" t="inlineStr">
        <is>
          <t xml:space="preserve">I.U. DE INVESTIGACIÓN INFORMÁTICA (10.19) </t>
        </is>
      </c>
      <c r="C19" s="20" t="inlineStr">
        <is>
          <t xml:space="preserve">DOCTORADO EN INFORMÁTICA </t>
        </is>
      </c>
      <c r="D19" s="20" t="inlineStr">
        <is>
          <t xml:space="preserve">Mejía Escobar, Christian </t>
        </is>
      </c>
      <c r="E19" s="20" t="inlineStr">
        <is>
          <t xml:space="preserve">Aplicación de técnicas de Deep Learning para el reconocimiento de páginas Web y emociones faciales: Un estudio comparativo y experimental </t>
        </is>
      </c>
      <c r="F19" s="20" t="inlineStr">
        <is>
          <t xml:space="preserve">03/07/2023 </t>
        </is>
      </c>
      <c r="G19" s="20" t="inlineStr">
        <is>
          <t xml:space="preserve">21489731A </t>
        </is>
      </c>
      <c r="H19" s="20" t="inlineStr">
        <is>
          <t xml:space="preserve">Codirector de tesis </t>
        </is>
      </c>
      <c r="I19" s="20" t="inlineStr">
        <is>
          <t xml:space="preserve">B161 </t>
        </is>
      </c>
      <c r="J19" s="20" t="inlineStr">
        <is>
          <t xml:space="preserve">CIENCIA DE LA COMPUTACION E INTELIGENCIA ARTIFICIAL </t>
        </is>
      </c>
      <c r="K19" s="32" t="n">
        <v>0.5</v>
      </c>
      <c r="L19" s="32" t="inlineStr">
        <is>
          <t>B161</t>
        </is>
      </c>
      <c r="M19" s="20" t="n">
        <v>2022</v>
      </c>
      <c r="N19" s="32" t="inlineStr">
        <is>
          <t>10.19</t>
        </is>
      </c>
      <c r="O19" s="32" t="n">
        <v>50</v>
      </c>
      <c r="P19" s="32" t="inlineStr"/>
      <c r="Q19" s="32" t="n">
        <v>0</v>
      </c>
      <c r="R19" s="32" t="n">
        <v>50</v>
      </c>
      <c r="S19" s="32" t="n">
        <v>0.25</v>
      </c>
      <c r="T19" s="32" t="n">
        <v>0.25</v>
      </c>
      <c r="U19" s="32" t="n">
        <v>0</v>
      </c>
    </row>
    <row r="20" ht="15" customHeight="1" s="81">
      <c r="A20" s="20" t="inlineStr">
        <is>
          <t xml:space="preserve">U062 </t>
        </is>
      </c>
      <c r="B20" s="20" t="inlineStr">
        <is>
          <t xml:space="preserve">I.U. DE INVESTIGACIÓN INFORMÁTICA (10.19) </t>
        </is>
      </c>
      <c r="C20" s="20" t="inlineStr">
        <is>
          <t xml:space="preserve">DOCTORADO EN INFORMÁTICA </t>
        </is>
      </c>
      <c r="D20" s="20" t="inlineStr">
        <is>
          <t xml:space="preserve">Mejía Escobar, Christian </t>
        </is>
      </c>
      <c r="E20" s="20" t="inlineStr">
        <is>
          <t xml:space="preserve">Aplicación de técnicas de Deep Learning para el reconocimiento de páginas Web y emociones faciales: Un estudio comparativo y experimental </t>
        </is>
      </c>
      <c r="F20" s="20" t="inlineStr">
        <is>
          <t xml:space="preserve">03/07/2023 </t>
        </is>
      </c>
      <c r="G20" s="20" t="inlineStr">
        <is>
          <t xml:space="preserve">53227471C </t>
        </is>
      </c>
      <c r="H20" s="20" t="inlineStr">
        <is>
          <t xml:space="preserve">Codirector de tesis </t>
        </is>
      </c>
      <c r="I20" s="20" t="inlineStr">
        <is>
          <t xml:space="preserve">B161 </t>
        </is>
      </c>
      <c r="J20" s="20" t="inlineStr">
        <is>
          <t xml:space="preserve">CIENCIA DE LA COMPUTACION E INTELIGENCIA ARTIFICIAL </t>
        </is>
      </c>
      <c r="K20" s="32" t="n">
        <v>0.5</v>
      </c>
      <c r="L20" s="32" t="inlineStr">
        <is>
          <t>B161</t>
        </is>
      </c>
      <c r="M20" s="20" t="n">
        <v>2022</v>
      </c>
      <c r="N20" s="32" t="inlineStr">
        <is>
          <t>10.19</t>
        </is>
      </c>
      <c r="O20" s="32" t="n">
        <v>20</v>
      </c>
      <c r="P20" s="32" t="inlineStr"/>
      <c r="Q20" s="32" t="n">
        <v>0</v>
      </c>
      <c r="R20" s="32" t="n">
        <v>80</v>
      </c>
      <c r="S20" s="32" t="n">
        <v>0.4</v>
      </c>
      <c r="T20" s="32" t="n">
        <v>0.1</v>
      </c>
      <c r="U20" s="32" t="n">
        <v>0</v>
      </c>
    </row>
    <row r="21" ht="15" customHeight="1" s="81">
      <c r="A21" s="20" t="inlineStr">
        <is>
          <t>B177</t>
        </is>
      </c>
      <c r="B21" s="20" t="inlineStr">
        <is>
          <t>PSICOLOGÍA EVOLUTIVA Y DIDÁCTICA</t>
        </is>
      </c>
      <c r="C21" s="20" t="inlineStr">
        <is>
          <t>DOCTORADO EN INVESTIGACIÓN EDUCATIVA</t>
        </is>
      </c>
      <c r="D21" s="20" t="inlineStr">
        <is>
          <t>Martínez Roig, Rosabel</t>
        </is>
      </c>
      <c r="E21" s="20" t="inlineStr">
        <is>
          <t>La integración de la robótica social y la Música como elemento transversal en los procesos de enseñanza-aprendizaje en el contexto de la Inteligencia Artificial</t>
        </is>
      </c>
      <c r="F21" s="20" t="inlineStr">
        <is>
          <t>28/06/2024</t>
        </is>
      </c>
      <c r="G21" s="20" t="inlineStr">
        <is>
          <t>21489731A</t>
        </is>
      </c>
      <c r="H21" s="20" t="inlineStr">
        <is>
          <t>Codirector de tesis</t>
        </is>
      </c>
      <c r="I21" s="20" t="inlineStr">
        <is>
          <t>B161</t>
        </is>
      </c>
      <c r="J21" s="20" t="inlineStr">
        <is>
          <t>CIENCIA DE LA COMPUTACION E INTELIGENCIA ARTIFICIAL</t>
        </is>
      </c>
      <c r="K21" s="32" t="n">
        <v>0.5</v>
      </c>
      <c r="L21" s="20" t="inlineStr">
        <is>
          <t>B161</t>
        </is>
      </c>
      <c r="M21" s="32" t="n">
        <v>2023</v>
      </c>
      <c r="N21" s="32" t="inlineStr">
        <is>
          <t>10.19</t>
        </is>
      </c>
      <c r="O21" s="32" t="inlineStr">
        <is>
          <t>50</t>
        </is>
      </c>
      <c r="P21" s="32" t="inlineStr"/>
      <c r="Q21" s="32" t="inlineStr"/>
      <c r="R21" s="32" t="n">
        <v>50</v>
      </c>
      <c r="S21" s="32" t="n">
        <v>0.25</v>
      </c>
      <c r="T21" s="32" t="n">
        <v>0.25</v>
      </c>
      <c r="U21" s="13" t="n">
        <v>0</v>
      </c>
      <c r="V21" t="inlineStr">
        <is>
          <t>S</t>
        </is>
      </c>
    </row>
    <row r="22" ht="15" customHeight="1" s="81">
      <c r="A22" s="20" t="inlineStr">
        <is>
          <t>U062</t>
        </is>
      </c>
      <c r="B22" s="20" t="inlineStr">
        <is>
          <t>I.U. DE INVESTIGACIÓN INFORMÁTICA (10.19)</t>
        </is>
      </c>
      <c r="C22" s="20" t="inlineStr">
        <is>
          <t>DOCTORADO EN INFORMÁTICA</t>
        </is>
      </c>
      <c r="D22" s="20" t="inlineStr">
        <is>
          <t>Torres Mendoza, Manuel</t>
        </is>
      </c>
      <c r="E22" s="20" t="inlineStr">
        <is>
          <t>AVANCES EN LA DETECCIÓN DE MALWARE MEDIANTE APRENDIZAJE PROFUNDO: UN ENFOQUE BASADO EN EL COMPORTAMIENTO DEL SOFTWARE</t>
        </is>
      </c>
      <c r="F22" s="20" t="inlineStr">
        <is>
          <t>11/07/2024</t>
        </is>
      </c>
      <c r="G22" s="20" t="inlineStr">
        <is>
          <t>53231432W</t>
        </is>
      </c>
      <c r="H22" s="20" t="inlineStr">
        <is>
          <t>Codirector de tesis</t>
        </is>
      </c>
      <c r="I22" s="20" t="inlineStr">
        <is>
          <t>B161</t>
        </is>
      </c>
      <c r="J22" s="20" t="inlineStr">
        <is>
          <t>CIENCIA DE LA COMPUTACION E INTELIGENCIA ARTIFICIAL</t>
        </is>
      </c>
      <c r="K22" s="32" t="n">
        <v>0.5</v>
      </c>
      <c r="L22" s="20" t="inlineStr">
        <is>
          <t>B161</t>
        </is>
      </c>
      <c r="M22" s="32" t="n">
        <v>2023</v>
      </c>
      <c r="N22" s="32" t="inlineStr">
        <is>
          <t>10.19</t>
        </is>
      </c>
      <c r="O22" s="32" t="inlineStr">
        <is>
          <t>20</t>
        </is>
      </c>
      <c r="P22" s="32" t="inlineStr"/>
      <c r="Q22" s="32" t="inlineStr"/>
      <c r="R22" s="32" t="n">
        <v>80</v>
      </c>
      <c r="S22" s="32" t="n">
        <v>0.4</v>
      </c>
      <c r="T22" s="32" t="n">
        <v>0.1</v>
      </c>
      <c r="U22" s="13" t="n">
        <v>0</v>
      </c>
      <c r="V22" t="inlineStr">
        <is>
          <t>S</t>
        </is>
      </c>
    </row>
    <row r="23" ht="15" customHeight="1" s="81">
      <c r="A23" s="20" t="inlineStr">
        <is>
          <t>U062</t>
        </is>
      </c>
      <c r="B23" s="20" t="inlineStr">
        <is>
          <t>I.U. DE INVESTIGACIÓN INFORMÁTICA (10.19)</t>
        </is>
      </c>
      <c r="C23" s="20" t="inlineStr">
        <is>
          <t>DOCTORADO EN INFORMÁTICA</t>
        </is>
      </c>
      <c r="D23" s="20" t="inlineStr">
        <is>
          <t>Torres Mendoza, Manuel</t>
        </is>
      </c>
      <c r="E23" s="20" t="inlineStr">
        <is>
          <t>AVANCES EN LA DETECCIÓN DE MALWARE MEDIANTE APRENDIZAJE PROFUNDO: UN ENFOQUE BASADO EN EL COMPORTAMIENTO DEL SOFTWARE</t>
        </is>
      </c>
      <c r="F23" s="20" t="inlineStr">
        <is>
          <t>11/07/2024</t>
        </is>
      </c>
      <c r="G23" s="20" t="inlineStr">
        <is>
          <t>21489731A</t>
        </is>
      </c>
      <c r="H23" s="20" t="inlineStr">
        <is>
          <t>Codirector de tesis</t>
        </is>
      </c>
      <c r="I23" s="20" t="inlineStr">
        <is>
          <t>B161</t>
        </is>
      </c>
      <c r="J23" s="20" t="inlineStr">
        <is>
          <t>CIENCIA DE LA COMPUTACION E INTELIGENCIA ARTIFICIAL</t>
        </is>
      </c>
      <c r="K23" s="32" t="n">
        <v>0.5</v>
      </c>
      <c r="L23" s="20" t="inlineStr">
        <is>
          <t>B161</t>
        </is>
      </c>
      <c r="M23" s="32" t="n">
        <v>2023</v>
      </c>
      <c r="N23" s="32" t="inlineStr">
        <is>
          <t>10.19</t>
        </is>
      </c>
      <c r="O23" s="32" t="inlineStr">
        <is>
          <t>50</t>
        </is>
      </c>
      <c r="P23" s="32" t="inlineStr"/>
      <c r="Q23" s="32" t="inlineStr"/>
      <c r="R23" s="32" t="n">
        <v>50</v>
      </c>
      <c r="S23" s="32" t="n">
        <v>0.25</v>
      </c>
      <c r="T23" s="32" t="n">
        <v>0.25</v>
      </c>
      <c r="U23" s="13" t="n">
        <v>0</v>
      </c>
      <c r="V23" t="inlineStr">
        <is>
          <t>S</t>
        </is>
      </c>
    </row>
    <row r="24" ht="15" customHeight="1" s="81">
      <c r="A24" s="20" t="inlineStr">
        <is>
          <t>U062</t>
        </is>
      </c>
      <c r="B24" s="20" t="inlineStr">
        <is>
          <t>I.U. DE INVESTIGACIÓN INFORMÁTICA (10.19)</t>
        </is>
      </c>
      <c r="C24" s="20" t="inlineStr">
        <is>
          <t>DOCTORADO EN INFORMÁTICA</t>
        </is>
      </c>
      <c r="D24" s="20" t="inlineStr">
        <is>
          <t>Álvarez Keskinen, Enrique</t>
        </is>
      </c>
      <c r="E24" s="20" t="inlineStr">
        <is>
          <t>Ataques adversarios en redes neuronales: análisis de transferabilidad y generación de imágenes adversarias mediante modelos difusos</t>
        </is>
      </c>
      <c r="F24" s="20" t="inlineStr">
        <is>
          <t>12/07/2024</t>
        </is>
      </c>
      <c r="G24" s="20" t="inlineStr">
        <is>
          <t>53231432W</t>
        </is>
      </c>
      <c r="H24" s="20" t="inlineStr">
        <is>
          <t>Codirector de tesis</t>
        </is>
      </c>
      <c r="I24" s="20" t="inlineStr">
        <is>
          <t>B161</t>
        </is>
      </c>
      <c r="J24" s="20" t="inlineStr">
        <is>
          <t>CIENCIA DE LA COMPUTACION E INTELIGENCIA ARTIFICIAL</t>
        </is>
      </c>
      <c r="K24" s="32" t="n">
        <v>0.5</v>
      </c>
      <c r="L24" s="20" t="inlineStr">
        <is>
          <t>B161</t>
        </is>
      </c>
      <c r="M24" s="32" t="n">
        <v>2023</v>
      </c>
      <c r="N24" s="32" t="inlineStr">
        <is>
          <t>10.19</t>
        </is>
      </c>
      <c r="O24" s="32" t="inlineStr">
        <is>
          <t>20</t>
        </is>
      </c>
      <c r="P24" s="32" t="inlineStr"/>
      <c r="Q24" s="32" t="inlineStr"/>
      <c r="R24" s="32" t="n">
        <v>80</v>
      </c>
      <c r="S24" s="32" t="n">
        <v>0.4</v>
      </c>
      <c r="T24" s="32" t="n">
        <v>0.1</v>
      </c>
      <c r="U24" s="13" t="n">
        <v>0</v>
      </c>
      <c r="V24" t="inlineStr">
        <is>
          <t>S</t>
        </is>
      </c>
    </row>
    <row r="25" ht="15" customHeight="1" s="81">
      <c r="A25" s="20" t="inlineStr">
        <is>
          <t>U062</t>
        </is>
      </c>
      <c r="B25" s="20" t="inlineStr">
        <is>
          <t>I.U. DE INVESTIGACIÓN INFORMÁTICA (10.19)</t>
        </is>
      </c>
      <c r="C25" s="20" t="inlineStr">
        <is>
          <t>DOCTORADO EN INFORMÁTICA</t>
        </is>
      </c>
      <c r="D25" s="20" t="inlineStr">
        <is>
          <t>Álvarez Keskinen, Enrique</t>
        </is>
      </c>
      <c r="E25" s="20" t="inlineStr">
        <is>
          <t>Ataques adversarios en redes neuronales: análisis de transferabilidad y generación de imágenes adversarias mediante modelos difusos</t>
        </is>
      </c>
      <c r="F25" s="20" t="inlineStr">
        <is>
          <t>12/07/2024</t>
        </is>
      </c>
      <c r="G25" s="20" t="inlineStr">
        <is>
          <t>21489731A</t>
        </is>
      </c>
      <c r="H25" s="20" t="inlineStr">
        <is>
          <t>Codirector de tesis</t>
        </is>
      </c>
      <c r="I25" s="20" t="inlineStr">
        <is>
          <t>B161</t>
        </is>
      </c>
      <c r="J25" s="20" t="inlineStr">
        <is>
          <t>CIENCIA DE LA COMPUTACION E INTELIGENCIA ARTIFICIAL</t>
        </is>
      </c>
      <c r="K25" s="32" t="n">
        <v>0.5</v>
      </c>
      <c r="L25" s="20" t="inlineStr">
        <is>
          <t>B161</t>
        </is>
      </c>
      <c r="M25" s="32" t="n">
        <v>2023</v>
      </c>
      <c r="N25" s="32" t="inlineStr">
        <is>
          <t>10.19</t>
        </is>
      </c>
      <c r="O25" s="32" t="inlineStr">
        <is>
          <t>50</t>
        </is>
      </c>
      <c r="P25" s="32" t="inlineStr"/>
      <c r="Q25" s="32" t="inlineStr"/>
      <c r="R25" s="32" t="n">
        <v>50</v>
      </c>
      <c r="S25" s="32" t="n">
        <v>0.25</v>
      </c>
      <c r="T25" s="32" t="n">
        <v>0.25</v>
      </c>
      <c r="U25" s="13" t="n">
        <v>0</v>
      </c>
      <c r="V25" t="inlineStr">
        <is>
          <t>S</t>
        </is>
      </c>
    </row>
    <row r="26" ht="15" customHeight="1" s="81">
      <c r="A26" s="20" t="inlineStr">
        <is>
          <t>U062</t>
        </is>
      </c>
      <c r="B26" s="20" t="inlineStr">
        <is>
          <t>I.U. DE INVESTIGACIÓN INFORMÁTICA (10.19)</t>
        </is>
      </c>
      <c r="C26" s="20" t="inlineStr">
        <is>
          <t>DOCTORADO EN INFORMÁTICA</t>
        </is>
      </c>
      <c r="D26" s="20" t="inlineStr">
        <is>
          <t>Pérez-Sala García-Plata, Luis</t>
        </is>
      </c>
      <c r="E26" s="20" t="inlineStr">
        <is>
          <t>Predicción de asistencia en accidentes de tráfico con un modelo de aprendizaje profundo</t>
        </is>
      </c>
      <c r="F26" s="20" t="inlineStr">
        <is>
          <t>13/09/2024</t>
        </is>
      </c>
      <c r="G26" s="20" t="inlineStr">
        <is>
          <t>21453332J</t>
        </is>
      </c>
      <c r="H26" s="20" t="inlineStr">
        <is>
          <t>Codirector de tesis</t>
        </is>
      </c>
      <c r="I26" s="20" t="inlineStr">
        <is>
          <t>B161</t>
        </is>
      </c>
      <c r="J26" s="20" t="inlineStr">
        <is>
          <t>CIENCIA DE LA COMPUTACION E INTELIGENCIA ARTIFICIAL</t>
        </is>
      </c>
      <c r="K26" s="32" t="n">
        <v>0.5</v>
      </c>
      <c r="L26" s="20" t="inlineStr">
        <is>
          <t>B161</t>
        </is>
      </c>
      <c r="M26" s="32" t="n">
        <v>2023</v>
      </c>
      <c r="N26" s="32" t="inlineStr">
        <is>
          <t>10.19</t>
        </is>
      </c>
      <c r="O26" s="32" t="inlineStr">
        <is>
          <t>20</t>
        </is>
      </c>
      <c r="P26" s="32" t="inlineStr"/>
      <c r="Q26" s="32" t="inlineStr"/>
      <c r="R26" s="32" t="n">
        <v>80</v>
      </c>
      <c r="S26" s="32" t="n">
        <v>0.4</v>
      </c>
      <c r="T26" s="32" t="n">
        <v>0.1</v>
      </c>
      <c r="U26" s="13" t="n">
        <v>0</v>
      </c>
      <c r="V26" t="inlineStr">
        <is>
          <t>S</t>
        </is>
      </c>
    </row>
    <row r="27" ht="15" customHeight="1" s="81">
      <c r="A27" s="20" t="inlineStr">
        <is>
          <t>U062</t>
        </is>
      </c>
      <c r="B27" s="20" t="inlineStr">
        <is>
          <t>I.U. DE INVESTIGACIÓN INFORMÁTICA (10.19)</t>
        </is>
      </c>
      <c r="C27" s="20" t="inlineStr">
        <is>
          <t>DOCTORADO EN INFORMÁTICA</t>
        </is>
      </c>
      <c r="D27" s="20" t="inlineStr">
        <is>
          <t>Pérez-Sala García-Plata, Luis</t>
        </is>
      </c>
      <c r="E27" s="20" t="inlineStr">
        <is>
          <t>Predicción de asistencia en accidentes de tráfico con un modelo de aprendizaje profundo</t>
        </is>
      </c>
      <c r="F27" s="20" t="inlineStr">
        <is>
          <t>13/09/2024</t>
        </is>
      </c>
      <c r="G27" s="20" t="inlineStr">
        <is>
          <t>45747088L</t>
        </is>
      </c>
      <c r="H27" s="20" t="inlineStr">
        <is>
          <t>Codirector de tesis</t>
        </is>
      </c>
      <c r="I27" s="20" t="inlineStr">
        <is>
          <t>B161</t>
        </is>
      </c>
      <c r="J27" s="20" t="inlineStr">
        <is>
          <t>CIENCIA DE LA COMPUTACION E INTELIGENCIA ARTIFICIAL</t>
        </is>
      </c>
      <c r="K27" s="32" t="n">
        <v>0.5</v>
      </c>
      <c r="L27" s="20" t="inlineStr">
        <is>
          <t>B161</t>
        </is>
      </c>
      <c r="M27" s="32" t="n">
        <v>2023</v>
      </c>
      <c r="N27" s="32" t="inlineStr"/>
      <c r="O27" s="32" t="inlineStr"/>
      <c r="P27" s="32" t="inlineStr"/>
      <c r="Q27" s="32" t="inlineStr"/>
      <c r="R27" s="32" t="n">
        <v>100</v>
      </c>
      <c r="S27" s="32" t="n">
        <v>0.5</v>
      </c>
      <c r="T27" s="32" t="n">
        <v>0</v>
      </c>
      <c r="U27" s="13" t="n">
        <v>0</v>
      </c>
      <c r="V27" t="inlineStr">
        <is>
          <t>S</t>
        </is>
      </c>
    </row>
    <row r="28" ht="15" customHeight="1" s="81">
      <c r="A28" s="20" t="inlineStr">
        <is>
          <t>U062</t>
        </is>
      </c>
      <c r="B28" s="20" t="inlineStr">
        <is>
          <t>Instituto Universitario de Investigación Informática (10.19)</t>
        </is>
      </c>
      <c r="C28" s="20" t="inlineStr">
        <is>
          <t>DOCTORADO EN INFORMÁTICA</t>
        </is>
      </c>
      <c r="D28" s="20" t="inlineStr">
        <is>
          <t>Díez Díaz, Álvaro</t>
        </is>
      </c>
      <c r="E28" s="20" t="inlineStr">
        <is>
          <t>Navegación Visual Autónoma en Robótica de Enjambre mediante Control Distribuido: Un Enfoque Híbrido con Aprendizaje por Refuerzo Multiagente</t>
        </is>
      </c>
      <c r="F28" s="20" t="inlineStr">
        <is>
          <t>25/03/2025</t>
        </is>
      </c>
      <c r="G28" s="20" t="inlineStr">
        <is>
          <t>21672410Q</t>
        </is>
      </c>
      <c r="H28" s="20" t="inlineStr">
        <is>
          <t>Director de tesis</t>
        </is>
      </c>
      <c r="I28" s="20" t="inlineStr">
        <is>
          <t>B161</t>
        </is>
      </c>
      <c r="J28" s="20" t="inlineStr">
        <is>
          <t>Ciencia de la Computación e Inteligencia Artificial</t>
        </is>
      </c>
      <c r="K28" s="32" t="n">
        <v>1</v>
      </c>
      <c r="L28" s="20" t="inlineStr">
        <is>
          <t>B161</t>
        </is>
      </c>
      <c r="M28" s="32" t="n">
        <v>2024</v>
      </c>
      <c r="N28" s="32" t="inlineStr">
        <is>
          <t>10.19</t>
        </is>
      </c>
      <c r="O28" s="32" t="inlineStr">
        <is>
          <t>20</t>
        </is>
      </c>
      <c r="P28" s="32" t="inlineStr"/>
      <c r="Q28" s="32" t="inlineStr"/>
      <c r="R28" s="32" t="n">
        <v>80</v>
      </c>
      <c r="S28" s="32" t="n">
        <v>0.8</v>
      </c>
      <c r="T28" s="32" t="n">
        <v>0.2</v>
      </c>
      <c r="U28" s="13" t="n">
        <v>0</v>
      </c>
    </row>
    <row r="29" ht="15" customHeight="1" s="81">
      <c r="A29" s="20" t="inlineStr">
        <is>
          <t>U062</t>
        </is>
      </c>
      <c r="B29" s="20" t="inlineStr">
        <is>
          <t>Instituto Universitario de Investigación Informática (10.19)</t>
        </is>
      </c>
      <c r="C29" s="20" t="inlineStr">
        <is>
          <t>DOCTORADO EN INFORMÁTICA</t>
        </is>
      </c>
      <c r="D29" s="20" t="inlineStr">
        <is>
          <t>Benavent Lledó, Manuel</t>
        </is>
      </c>
      <c r="E29" s="20" t="inlineStr">
        <is>
          <t>Action Understanding in RGB Videos Through Deep Learning and Multimodal Cues</t>
        </is>
      </c>
      <c r="F29" s="20" t="inlineStr">
        <is>
          <t>29/09/2025</t>
        </is>
      </c>
      <c r="G29" s="20" t="inlineStr">
        <is>
          <t>53240321J</t>
        </is>
      </c>
      <c r="H29" s="20" t="inlineStr">
        <is>
          <t>Codirector de tesis</t>
        </is>
      </c>
      <c r="I29" s="20" t="inlineStr">
        <is>
          <t>B161</t>
        </is>
      </c>
      <c r="J29" s="20" t="inlineStr">
        <is>
          <t>Ciencia de la Computación e Inteligencia Artificial</t>
        </is>
      </c>
      <c r="K29" s="32" t="n">
        <v>0.5</v>
      </c>
      <c r="L29" s="20" t="inlineStr">
        <is>
          <t>B161</t>
        </is>
      </c>
      <c r="M29" s="32" t="n">
        <v>2024</v>
      </c>
      <c r="N29" s="32" t="inlineStr">
        <is>
          <t>10.19</t>
        </is>
      </c>
      <c r="O29" s="32" t="inlineStr">
        <is>
          <t>20</t>
        </is>
      </c>
      <c r="P29" s="32" t="inlineStr"/>
      <c r="Q29" s="32" t="inlineStr"/>
      <c r="R29" s="32" t="n">
        <v>80</v>
      </c>
      <c r="S29" s="32" t="n">
        <v>0.4</v>
      </c>
      <c r="T29" s="32" t="n">
        <v>0.1</v>
      </c>
      <c r="U29" s="13" t="n">
        <v>0</v>
      </c>
    </row>
    <row r="30" ht="15" customHeight="1" s="81">
      <c r="A30" s="20" t="inlineStr">
        <is>
          <t>U062</t>
        </is>
      </c>
      <c r="B30" s="20" t="inlineStr">
        <is>
          <t>Instituto Universitario de Investigación Informática (10.19)</t>
        </is>
      </c>
      <c r="C30" s="20" t="inlineStr">
        <is>
          <t>DOCTORADO EN INFORMÁTICA</t>
        </is>
      </c>
      <c r="D30" s="20" t="inlineStr">
        <is>
          <t>Arnaiz Rodríguez, Adrián</t>
        </is>
      </c>
      <c r="E30" s="20" t="inlineStr">
        <is>
          <t>A Sociotechnical Approach to Trustworthy AI: from Algorithms to Regulation</t>
        </is>
      </c>
      <c r="F30" s="20" t="inlineStr">
        <is>
          <t>26/09/2025</t>
        </is>
      </c>
      <c r="G30" s="20" t="inlineStr">
        <is>
          <t>48531413X</t>
        </is>
      </c>
      <c r="H30" s="20" t="inlineStr">
        <is>
          <t>Codirector de tesis</t>
        </is>
      </c>
      <c r="I30" s="20" t="inlineStr">
        <is>
          <t>B161</t>
        </is>
      </c>
      <c r="J30" s="20" t="inlineStr">
        <is>
          <t>Ciencia de la Computación e Inteligencia Artificial</t>
        </is>
      </c>
      <c r="K30" s="32" t="n">
        <v>0.5</v>
      </c>
      <c r="L30" s="20" t="inlineStr">
        <is>
          <t>B161</t>
        </is>
      </c>
      <c r="M30" s="32" t="n">
        <v>2024</v>
      </c>
      <c r="N30" s="32" t="inlineStr">
        <is>
          <t>10.19</t>
        </is>
      </c>
      <c r="O30" s="32" t="inlineStr">
        <is>
          <t>20</t>
        </is>
      </c>
      <c r="P30" s="32" t="inlineStr"/>
      <c r="Q30" s="32" t="inlineStr"/>
      <c r="R30" s="32" t="n">
        <v>80</v>
      </c>
      <c r="S30" s="32" t="n">
        <v>0.4</v>
      </c>
      <c r="T30" s="32" t="n">
        <v>0.1</v>
      </c>
      <c r="U30" s="13" t="n">
        <v>0</v>
      </c>
    </row>
    <row r="31" ht="15" customHeight="1" s="81">
      <c r="A31" s="20" t="inlineStr">
        <is>
          <t>U062</t>
        </is>
      </c>
      <c r="B31" s="20" t="inlineStr">
        <is>
          <t>Instituto Universitario de Investigación Informática (10.19)</t>
        </is>
      </c>
      <c r="C31" s="20" t="inlineStr">
        <is>
          <t>DOCTORADO EN INFORMÁTICA</t>
        </is>
      </c>
      <c r="D31" s="20" t="inlineStr">
        <is>
          <t>García Sigüenza, Javier</t>
        </is>
      </c>
      <c r="E31" s="20" t="inlineStr">
        <is>
          <t>Proposal of an architecture for integrating explainability in deep learning models for
spatio-temporal problems</t>
        </is>
      </c>
      <c r="F31" s="20" t="inlineStr">
        <is>
          <t>30/04/2025</t>
        </is>
      </c>
      <c r="G31" s="20" t="inlineStr">
        <is>
          <t>21453332J</t>
        </is>
      </c>
      <c r="H31" s="20" t="inlineStr">
        <is>
          <t>Codirector de tesis</t>
        </is>
      </c>
      <c r="I31" s="20" t="inlineStr">
        <is>
          <t>B161</t>
        </is>
      </c>
      <c r="J31" s="20" t="inlineStr">
        <is>
          <t>Ciencia de la Computación e Inteligencia Artificial</t>
        </is>
      </c>
      <c r="K31" s="32" t="n">
        <v>0.5</v>
      </c>
      <c r="L31" s="20" t="inlineStr">
        <is>
          <t>B161</t>
        </is>
      </c>
      <c r="M31" s="32" t="n">
        <v>2024</v>
      </c>
      <c r="N31" s="32" t="inlineStr">
        <is>
          <t>10.19</t>
        </is>
      </c>
      <c r="O31" s="32" t="inlineStr">
        <is>
          <t>20</t>
        </is>
      </c>
      <c r="P31" s="32" t="inlineStr"/>
      <c r="Q31" s="32" t="inlineStr"/>
      <c r="R31" s="32" t="n">
        <v>80</v>
      </c>
      <c r="S31" s="32" t="n">
        <v>0.4</v>
      </c>
      <c r="T31" s="32" t="n">
        <v>0.1</v>
      </c>
      <c r="U31" s="13" t="n">
        <v>0</v>
      </c>
    </row>
    <row r="32" ht="15" customHeight="1" s="81">
      <c r="A32" s="20" t="inlineStr">
        <is>
          <t>U062</t>
        </is>
      </c>
      <c r="B32" s="20" t="inlineStr">
        <is>
          <t>Instituto Universitario de Investigación Informática (10.19)</t>
        </is>
      </c>
      <c r="C32" s="20" t="inlineStr">
        <is>
          <t>DOCTORADO EN INFORMÁTICA</t>
        </is>
      </c>
      <c r="D32" s="20" t="inlineStr">
        <is>
          <t>García Sigüenza, Javier</t>
        </is>
      </c>
      <c r="E32" s="20" t="inlineStr">
        <is>
          <t>Proposal of an architecture for integrating explainability in deep learning models for
spatio-temporal problems</t>
        </is>
      </c>
      <c r="F32" s="20" t="inlineStr">
        <is>
          <t>30/04/2025</t>
        </is>
      </c>
      <c r="G32" s="20" t="inlineStr">
        <is>
          <t>21637322A</t>
        </is>
      </c>
      <c r="H32" s="20" t="inlineStr">
        <is>
          <t>Codirector de tesis</t>
        </is>
      </c>
      <c r="I32" s="20" t="inlineStr">
        <is>
          <t>B161</t>
        </is>
      </c>
      <c r="J32" s="20" t="inlineStr">
        <is>
          <t>Ciencia de la Computación e Inteligencia Artificial</t>
        </is>
      </c>
      <c r="K32" s="32" t="n">
        <v>0.5</v>
      </c>
      <c r="L32" s="20" t="inlineStr">
        <is>
          <t>B161</t>
        </is>
      </c>
      <c r="M32" s="32" t="n">
        <v>2024</v>
      </c>
      <c r="N32" s="32" t="inlineStr">
        <is>
          <t>10.19</t>
        </is>
      </c>
      <c r="O32" s="32" t="inlineStr">
        <is>
          <t>20</t>
        </is>
      </c>
      <c r="P32" s="32" t="inlineStr"/>
      <c r="Q32" s="32" t="inlineStr"/>
      <c r="R32" s="32" t="n">
        <v>80</v>
      </c>
      <c r="S32" s="32" t="n">
        <v>0.4</v>
      </c>
      <c r="T32" s="32" t="n">
        <v>0.1</v>
      </c>
      <c r="U32" s="13" t="n">
        <v>0</v>
      </c>
    </row>
    <row r="33" ht="15" customHeight="1" s="81">
      <c r="A33" s="20" t="inlineStr">
        <is>
          <t>U062</t>
        </is>
      </c>
      <c r="B33" s="20" t="inlineStr">
        <is>
          <t>Instituto Universitario de Investigación Informática (10.19)</t>
        </is>
      </c>
      <c r="C33" s="20" t="inlineStr">
        <is>
          <t>DOCTORADO EN INFORMÁTICA</t>
        </is>
      </c>
      <c r="D33" s="20" t="inlineStr">
        <is>
          <t>Begga Hachlafi, Ahmed</t>
        </is>
      </c>
      <c r="E33" s="20" t="inlineStr">
        <is>
          <t>Empirical Eigenfunctions for Graph Neural Networks</t>
        </is>
      </c>
      <c r="F33" s="20" t="inlineStr">
        <is>
          <t>19/05/2025</t>
        </is>
      </c>
      <c r="G33" s="20" t="inlineStr">
        <is>
          <t>48531413X</t>
        </is>
      </c>
      <c r="H33" s="20" t="inlineStr">
        <is>
          <t>Director de tesis</t>
        </is>
      </c>
      <c r="I33" s="20" t="inlineStr">
        <is>
          <t>B161</t>
        </is>
      </c>
      <c r="J33" s="20" t="inlineStr">
        <is>
          <t>Ciencia de la Computación e Inteligencia Artificial</t>
        </is>
      </c>
      <c r="K33" s="32" t="n">
        <v>1</v>
      </c>
      <c r="L33" s="20" t="inlineStr">
        <is>
          <t>B161</t>
        </is>
      </c>
      <c r="M33" s="32" t="n">
        <v>2024</v>
      </c>
      <c r="N33" s="32" t="inlineStr">
        <is>
          <t>10.19</t>
        </is>
      </c>
      <c r="O33" s="32" t="inlineStr">
        <is>
          <t>20</t>
        </is>
      </c>
      <c r="P33" s="32" t="inlineStr"/>
      <c r="Q33" s="32" t="inlineStr"/>
      <c r="R33" s="32" t="n">
        <v>80</v>
      </c>
      <c r="S33" s="32" t="n">
        <v>0.8</v>
      </c>
      <c r="T33" s="32" t="n">
        <v>0.2</v>
      </c>
      <c r="U33" s="13" t="n">
        <v>0</v>
      </c>
    </row>
    <row r="34" ht="15" customHeight="1" s="81">
      <c r="A34" s="20" t="inlineStr">
        <is>
          <t>U062</t>
        </is>
      </c>
      <c r="B34" s="20" t="inlineStr">
        <is>
          <t>Instituto Universitario de Investigación Informática (10.19)</t>
        </is>
      </c>
      <c r="C34" s="20" t="inlineStr">
        <is>
          <t>DOCTORADO EN INFORMÁTICA</t>
        </is>
      </c>
      <c r="D34" s="20" t="inlineStr">
        <is>
          <t>Németh , Gergely Dániel</t>
        </is>
      </c>
      <c r="E34" s="20" t="inlineStr">
        <is>
          <t>Relaxing Core Assumptions: the Impact of Data, Model and Participation Heterogeneity
on Performance, Privacy and Fairness in Federated Learning</t>
        </is>
      </c>
      <c r="F34" s="20" t="inlineStr">
        <is>
          <t>12/09/2025</t>
        </is>
      </c>
      <c r="G34" s="20" t="inlineStr">
        <is>
          <t>48531413X</t>
        </is>
      </c>
      <c r="H34" s="20" t="inlineStr">
        <is>
          <t>Codirector de tesis</t>
        </is>
      </c>
      <c r="I34" s="20" t="inlineStr">
        <is>
          <t>B161</t>
        </is>
      </c>
      <c r="J34" s="20" t="inlineStr">
        <is>
          <t>Ciencia de la Computación e Inteligencia Artificial</t>
        </is>
      </c>
      <c r="K34" s="32" t="n">
        <v>0.5</v>
      </c>
      <c r="L34" s="20" t="inlineStr">
        <is>
          <t>B161</t>
        </is>
      </c>
      <c r="M34" s="32" t="n">
        <v>2024</v>
      </c>
      <c r="N34" s="32" t="inlineStr">
        <is>
          <t>10.19</t>
        </is>
      </c>
      <c r="O34" s="32" t="inlineStr">
        <is>
          <t>20</t>
        </is>
      </c>
      <c r="P34" s="32" t="inlineStr"/>
      <c r="Q34" s="32" t="inlineStr"/>
      <c r="R34" s="32" t="n">
        <v>80</v>
      </c>
      <c r="S34" s="32" t="n">
        <v>0.4</v>
      </c>
      <c r="T34" s="32" t="n">
        <v>0.1</v>
      </c>
      <c r="U34" s="13" t="n">
        <v>0</v>
      </c>
    </row>
    <row r="35" ht="15" customHeight="1" s="81">
      <c r="A35" s="20" t="inlineStr">
        <is>
          <t>U062</t>
        </is>
      </c>
      <c r="B35" s="20" t="inlineStr">
        <is>
          <t>Instituto Universitario de Investigación Informática (10.19)</t>
        </is>
      </c>
      <c r="C35" s="20" t="inlineStr">
        <is>
          <t>DOCTORADO EN INFORMÁTICA</t>
        </is>
      </c>
      <c r="D35" s="20" t="inlineStr">
        <is>
          <t>Riccio , Piera</t>
        </is>
      </c>
      <c r="E35" s="20" t="inlineStr">
        <is>
          <t>Human aesthetics under the representational power of Artificial Intelligence</t>
        </is>
      </c>
      <c r="F35" s="20" t="inlineStr">
        <is>
          <t>22/09/2025</t>
        </is>
      </c>
      <c r="G35" s="20" t="inlineStr">
        <is>
          <t>48531413X</t>
        </is>
      </c>
      <c r="H35" s="20" t="inlineStr">
        <is>
          <t>Codirector de tesis</t>
        </is>
      </c>
      <c r="I35" s="20" t="inlineStr">
        <is>
          <t>B161</t>
        </is>
      </c>
      <c r="J35" s="20" t="inlineStr">
        <is>
          <t>Ciencia de la Computación e Inteligencia Artificial</t>
        </is>
      </c>
      <c r="K35" s="32" t="n">
        <v>0.5</v>
      </c>
      <c r="L35" s="20" t="inlineStr">
        <is>
          <t>B161</t>
        </is>
      </c>
      <c r="M35" s="32" t="n">
        <v>2024</v>
      </c>
      <c r="N35" s="32" t="inlineStr">
        <is>
          <t>10.19</t>
        </is>
      </c>
      <c r="O35" s="32" t="inlineStr">
        <is>
          <t>20</t>
        </is>
      </c>
      <c r="P35" s="32" t="inlineStr"/>
      <c r="Q35" s="32" t="inlineStr"/>
      <c r="R35" s="32" t="n">
        <v>80</v>
      </c>
      <c r="S35" s="32" t="n">
        <v>0.4</v>
      </c>
      <c r="T35" s="32" t="n">
        <v>0.1</v>
      </c>
      <c r="U35" s="13" t="n">
        <v>0</v>
      </c>
    </row>
    <row r="36" ht="15" customHeight="1" s="81">
      <c r="A36" s="20" t="inlineStr">
        <is>
          <t>U066</t>
        </is>
      </c>
      <c r="B36" s="20" t="inlineStr">
        <is>
          <t>Instituto Universitario de Física Aplicada a las Ciencias y las Tecnologías (10.</t>
        </is>
      </c>
      <c r="C36" s="20" t="inlineStr">
        <is>
          <t>DOCTORADO EN FÍSICA APLICADA A LAS CIENCIAS Y LAS TECNOLOGÍAS</t>
        </is>
      </c>
      <c r="D36" s="20" t="inlineStr">
        <is>
          <t>Sánchez Martínez, Daniel</t>
        </is>
      </c>
      <c r="E36" s="20" t="inlineStr">
        <is>
          <t>INTELLIGENT ROBOTIC MANIPULATION OF DEFORMABLE OBJECTS IN THE TOY INDUSTRY THROUGH LEARNING FROM
HUMAN DEMONSTRATION</t>
        </is>
      </c>
      <c r="F36" s="20" t="inlineStr">
        <is>
          <t>23/07/2025</t>
        </is>
      </c>
      <c r="G36" s="20" t="inlineStr">
        <is>
          <t>53244622J</t>
        </is>
      </c>
      <c r="H36" s="20" t="inlineStr">
        <is>
          <t>Codirector de tesis</t>
        </is>
      </c>
      <c r="I36" s="20" t="inlineStr">
        <is>
          <t>B161</t>
        </is>
      </c>
      <c r="J36" s="20" t="inlineStr">
        <is>
          <t>Ciencia de la Computación e Inteligencia Artificial</t>
        </is>
      </c>
      <c r="K36" s="32" t="n">
        <v>0.5</v>
      </c>
      <c r="L36" s="20" t="inlineStr">
        <is>
          <t>B161</t>
        </is>
      </c>
      <c r="M36" s="32" t="n">
        <v>2024</v>
      </c>
      <c r="N36" s="32" t="inlineStr">
        <is>
          <t>10.19</t>
        </is>
      </c>
      <c r="O36" s="32" t="inlineStr">
        <is>
          <t>50</t>
        </is>
      </c>
      <c r="P36" s="32" t="inlineStr"/>
      <c r="Q36" s="32" t="inlineStr"/>
      <c r="R36" s="32" t="n">
        <v>50</v>
      </c>
      <c r="S36" s="32" t="n">
        <v>0.25</v>
      </c>
      <c r="T36" s="32" t="n">
        <v>0.25</v>
      </c>
      <c r="U36" s="13" t="n">
        <v>0</v>
      </c>
    </row>
    <row r="37">
      <c r="A37" s="44" t="n"/>
      <c r="B37" s="44" t="n"/>
      <c r="C37" s="44" t="n"/>
      <c r="D37" s="44" t="n"/>
      <c r="E37" s="44" t="n"/>
      <c r="F37" s="44" t="n"/>
      <c r="G37" s="44" t="n"/>
      <c r="H37" s="44" t="n"/>
      <c r="I37" s="44" t="n"/>
      <c r="J37" s="44" t="n"/>
      <c r="K37" s="44" t="n"/>
      <c r="L37" s="44" t="n"/>
      <c r="M37" s="44" t="n"/>
      <c r="N37" s="44" t="n"/>
      <c r="O37" s="45" t="n"/>
      <c r="P37" s="44" t="n"/>
      <c r="Q37" s="45" t="n"/>
      <c r="R37" s="44" t="n"/>
      <c r="S37" s="84">
        <f>SUM(S2:S36)</f>
        <v/>
      </c>
      <c r="T37" s="44" t="n"/>
      <c r="U37" s="44" t="n"/>
    </row>
  </sheetData>
  <autoFilter ref="A1:U16">
    <sortState ref="A2:U1885">
      <sortCondition ref="L2:L1885"/>
      <sortCondition ref="M2:M1885"/>
      <sortCondition ref="D2:D1885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topLeftCell="A7" zoomScaleNormal="100" workbookViewId="0">
      <selection activeCell="V18" sqref="V18"/>
    </sheetView>
  </sheetViews>
  <sheetFormatPr baseColWidth="10" defaultColWidth="11.42578125" defaultRowHeight="12.75"/>
  <cols>
    <col width="10.85546875" bestFit="1" customWidth="1" style="11" min="1" max="1"/>
    <col width="35.8554687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3"/>
    <col width="5.7109375" bestFit="1" customWidth="1" style="12" min="14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30" customFormat="1" customHeight="1" s="10">
      <c r="A1" s="14" t="inlineStr">
        <is>
          <t>NIF</t>
        </is>
      </c>
      <c r="B1" s="14" t="inlineStr">
        <is>
          <t>NOMBRE_COMPLETO</t>
        </is>
      </c>
      <c r="C1" s="14" t="inlineStr">
        <is>
          <t>TIPO_SEXENIO</t>
        </is>
      </c>
      <c r="D1" s="15" t="inlineStr">
        <is>
          <t>2020</t>
        </is>
      </c>
      <c r="E1" s="15" t="inlineStr">
        <is>
          <t>2021</t>
        </is>
      </c>
      <c r="F1" s="15" t="inlineStr">
        <is>
          <t>2022</t>
        </is>
      </c>
      <c r="G1" s="15" t="inlineStr">
        <is>
          <t>2023</t>
        </is>
      </c>
      <c r="H1" s="15" t="inlineStr">
        <is>
          <t>2024</t>
        </is>
      </c>
      <c r="I1" s="15" t="inlineStr">
        <is>
          <t>2025</t>
        </is>
      </c>
      <c r="J1" s="14" t="inlineStr">
        <is>
          <t>Total general</t>
        </is>
      </c>
      <c r="K1" s="16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</row>
    <row r="2">
      <c r="A2" s="41" t="inlineStr">
        <is>
          <t>03120050P</t>
        </is>
      </c>
      <c r="B2" s="41" t="inlineStr">
        <is>
          <t>Viejo Hernando, Diego</t>
        </is>
      </c>
      <c r="C2" s="41" t="inlineStr">
        <is>
          <t>FUNCIONARIO</t>
        </is>
      </c>
      <c r="D2" s="41" t="n">
        <v>1</v>
      </c>
      <c r="E2" s="41" t="n">
        <v>1</v>
      </c>
      <c r="F2" s="41" t="n"/>
      <c r="G2" s="41" t="n"/>
      <c r="H2" s="41" t="n"/>
      <c r="I2" s="41" t="n"/>
      <c r="J2" s="41" t="n">
        <v>2</v>
      </c>
      <c r="K2" s="41" t="inlineStr">
        <is>
          <t>B161</t>
        </is>
      </c>
      <c r="L2" s="41" t="inlineStr">
        <is>
          <t>10.19</t>
        </is>
      </c>
      <c r="M2" s="41" t="inlineStr">
        <is>
          <t>20</t>
        </is>
      </c>
      <c r="N2" s="42" t="inlineStr"/>
      <c r="O2" s="41" t="inlineStr"/>
      <c r="P2" s="42" t="n">
        <v>80</v>
      </c>
      <c r="Q2" s="41" t="n">
        <v>0.4</v>
      </c>
      <c r="R2" s="41" t="n">
        <v>0</v>
      </c>
      <c r="S2" s="41" t="n">
        <v>1.6</v>
      </c>
    </row>
    <row r="3">
      <c r="A3" s="41" t="inlineStr">
        <is>
          <t>04296267M</t>
        </is>
      </c>
      <c r="B3" s="41" t="inlineStr">
        <is>
          <t>Araujo da Silva Costa, Angelo Gonçalo</t>
        </is>
      </c>
      <c r="C3" s="41" t="inlineStr">
        <is>
          <t>FUNCIONARIO</t>
        </is>
      </c>
      <c r="D3" s="41" t="n"/>
      <c r="E3" s="41" t="n"/>
      <c r="F3" s="41" t="n"/>
      <c r="G3" s="41" t="n"/>
      <c r="H3" s="41" t="n">
        <v>2</v>
      </c>
      <c r="I3" s="41" t="n"/>
      <c r="J3" s="41" t="n">
        <v>2</v>
      </c>
      <c r="K3" s="41" t="inlineStr">
        <is>
          <t>B161</t>
        </is>
      </c>
      <c r="L3" s="41" t="inlineStr">
        <is>
          <t>10.19</t>
        </is>
      </c>
      <c r="M3" s="41" t="inlineStr">
        <is>
          <t>50</t>
        </is>
      </c>
      <c r="N3" s="42" t="inlineStr"/>
      <c r="O3" s="41" t="inlineStr"/>
      <c r="P3" s="42" t="n">
        <v>50</v>
      </c>
      <c r="Q3" s="41" t="n">
        <v>1</v>
      </c>
      <c r="R3" s="41" t="n">
        <v>0</v>
      </c>
      <c r="S3" s="41" t="n">
        <v>1</v>
      </c>
    </row>
    <row r="4">
      <c r="A4" s="41" t="inlineStr">
        <is>
          <t>21388068T</t>
        </is>
      </c>
      <c r="B4" s="41" t="inlineStr">
        <is>
          <t>Rizo Aldeguer, Ramón Luis</t>
        </is>
      </c>
      <c r="C4" s="41" t="inlineStr">
        <is>
          <t>FUNCIONARIO</t>
        </is>
      </c>
      <c r="D4" s="41" t="n"/>
      <c r="E4" s="41" t="n"/>
      <c r="F4" s="41" t="n"/>
      <c r="G4" s="41" t="n">
        <v>1</v>
      </c>
      <c r="H4" s="41" t="n"/>
      <c r="I4" s="41" t="n"/>
      <c r="J4" s="41" t="n">
        <v>1</v>
      </c>
      <c r="K4" s="41" t="inlineStr">
        <is>
          <t>B161</t>
        </is>
      </c>
      <c r="L4" s="41" t="inlineStr">
        <is>
          <t>10.19</t>
        </is>
      </c>
      <c r="M4" s="41" t="inlineStr">
        <is>
          <t>20</t>
        </is>
      </c>
      <c r="N4" s="42" t="inlineStr"/>
      <c r="O4" s="41" t="inlineStr"/>
      <c r="P4" s="42" t="n">
        <v>80</v>
      </c>
      <c r="Q4" s="41" t="n">
        <v>0.2</v>
      </c>
      <c r="R4" s="41" t="n">
        <v>0</v>
      </c>
      <c r="S4" s="41" t="n">
        <v>0.8</v>
      </c>
    </row>
    <row r="5">
      <c r="A5" s="41" t="inlineStr">
        <is>
          <t>21422399S</t>
        </is>
      </c>
      <c r="B5" s="41" t="inlineStr">
        <is>
          <t>Zamora Gómez, Antonio</t>
        </is>
      </c>
      <c r="C5" s="41" t="inlineStr">
        <is>
          <t>Vivos</t>
        </is>
      </c>
      <c r="D5" s="41" t="n"/>
      <c r="E5" s="41" t="n"/>
      <c r="F5" s="41" t="n"/>
      <c r="G5" s="41" t="n"/>
      <c r="H5" s="41" t="n"/>
      <c r="I5" s="41" t="n">
        <v>1</v>
      </c>
      <c r="J5" s="41" t="n">
        <v>1</v>
      </c>
      <c r="K5" s="41" t="inlineStr">
        <is>
          <t>B161</t>
        </is>
      </c>
      <c r="L5" s="41" t="inlineStr">
        <is>
          <t>10.19</t>
        </is>
      </c>
      <c r="M5" s="41" t="inlineStr">
        <is>
          <t>20</t>
        </is>
      </c>
      <c r="N5" s="42" t="inlineStr"/>
      <c r="O5" s="41" t="inlineStr"/>
      <c r="P5" s="42" t="n">
        <v>80</v>
      </c>
      <c r="Q5" s="41" t="n">
        <v>0.2</v>
      </c>
      <c r="R5" s="41" t="n">
        <v>0</v>
      </c>
      <c r="S5" s="41" t="n">
        <v>0.8</v>
      </c>
    </row>
    <row r="6">
      <c r="A6" s="41" t="inlineStr">
        <is>
          <t>21453332J</t>
        </is>
      </c>
      <c r="B6" s="41" t="inlineStr">
        <is>
          <t>Vicent Francés, José Francisco</t>
        </is>
      </c>
      <c r="C6" s="41" t="inlineStr">
        <is>
          <t>FUNCIONARIO</t>
        </is>
      </c>
      <c r="D6" s="41" t="n"/>
      <c r="E6" s="41" t="n"/>
      <c r="F6" s="41" t="n">
        <v>1</v>
      </c>
      <c r="G6" s="41" t="n"/>
      <c r="H6" s="41" t="n"/>
      <c r="I6" s="41" t="n"/>
      <c r="J6" s="41" t="n">
        <v>1</v>
      </c>
      <c r="K6" s="41" t="inlineStr">
        <is>
          <t>B161</t>
        </is>
      </c>
      <c r="L6" s="41" t="inlineStr">
        <is>
          <t>10.19</t>
        </is>
      </c>
      <c r="M6" s="41" t="inlineStr">
        <is>
          <t>20</t>
        </is>
      </c>
      <c r="N6" s="42" t="inlineStr"/>
      <c r="O6" s="41" t="inlineStr"/>
      <c r="P6" s="42" t="n">
        <v>80</v>
      </c>
      <c r="Q6" s="41" t="n">
        <v>0.2</v>
      </c>
      <c r="R6" s="41" t="n">
        <v>0</v>
      </c>
      <c r="S6" s="41" t="n">
        <v>0.8</v>
      </c>
    </row>
    <row r="7">
      <c r="A7" s="41" t="inlineStr">
        <is>
          <t>21461233W</t>
        </is>
      </c>
      <c r="B7" s="41" t="inlineStr">
        <is>
          <t>Tortosa Grau, Leandro</t>
        </is>
      </c>
      <c r="C7" s="41" t="inlineStr">
        <is>
          <t>FUNCIONARIO</t>
        </is>
      </c>
      <c r="D7" s="41" t="n"/>
      <c r="E7" s="41" t="n"/>
      <c r="F7" s="41" t="n">
        <v>1</v>
      </c>
      <c r="G7" s="41" t="n"/>
      <c r="H7" s="41" t="n"/>
      <c r="I7" s="41" t="n"/>
      <c r="J7" s="41" t="n">
        <v>1</v>
      </c>
      <c r="K7" s="41" t="inlineStr">
        <is>
          <t>B161</t>
        </is>
      </c>
      <c r="L7" s="41" t="inlineStr">
        <is>
          <t>10.19</t>
        </is>
      </c>
      <c r="M7" s="41" t="inlineStr">
        <is>
          <t>20</t>
        </is>
      </c>
      <c r="N7" s="42" t="inlineStr"/>
      <c r="O7" s="41" t="inlineStr"/>
      <c r="P7" s="42" t="n">
        <v>80</v>
      </c>
      <c r="Q7" s="41" t="n">
        <v>0.2</v>
      </c>
      <c r="R7" s="41" t="n">
        <v>0</v>
      </c>
      <c r="S7" s="41" t="n">
        <v>0.8</v>
      </c>
    </row>
    <row r="8">
      <c r="A8" s="41" t="inlineStr">
        <is>
          <t>21462550P</t>
        </is>
      </c>
      <c r="B8" s="41" t="inlineStr">
        <is>
          <t>Migallón Gomis, María Violeta</t>
        </is>
      </c>
      <c r="C8" s="41" t="inlineStr">
        <is>
          <t>FUNCIONARIO</t>
        </is>
      </c>
      <c r="D8" s="41" t="n"/>
      <c r="E8" s="41" t="n">
        <v>1</v>
      </c>
      <c r="F8" s="41" t="n"/>
      <c r="G8" s="41" t="n"/>
      <c r="H8" s="41" t="n"/>
      <c r="I8" s="41" t="n"/>
      <c r="J8" s="41" t="n">
        <v>1</v>
      </c>
      <c r="K8" s="41" t="inlineStr">
        <is>
          <t>B161</t>
        </is>
      </c>
      <c r="L8" s="41" t="inlineStr">
        <is>
          <t>10.19</t>
        </is>
      </c>
      <c r="M8" s="41" t="inlineStr">
        <is>
          <t>20</t>
        </is>
      </c>
      <c r="N8" s="42" t="inlineStr"/>
      <c r="O8" s="41" t="inlineStr"/>
      <c r="P8" s="42" t="n">
        <v>80</v>
      </c>
      <c r="Q8" s="41" t="n">
        <v>0.2</v>
      </c>
      <c r="R8" s="41" t="n">
        <v>0</v>
      </c>
      <c r="S8" s="41" t="n">
        <v>0.8</v>
      </c>
    </row>
    <row r="9">
      <c r="A9" s="41" t="inlineStr">
        <is>
          <t>21472011Q</t>
        </is>
      </c>
      <c r="B9" s="41" t="inlineStr">
        <is>
          <t>Villagrá Arnedo, Carlos José</t>
        </is>
      </c>
      <c r="C9" s="41" t="inlineStr">
        <is>
          <t>FUNCIONARIO</t>
        </is>
      </c>
      <c r="D9" s="41" t="n"/>
      <c r="E9" s="41" t="n">
        <v>1</v>
      </c>
      <c r="F9" s="41" t="n"/>
      <c r="G9" s="41" t="n"/>
      <c r="H9" s="41" t="n"/>
      <c r="I9" s="41" t="n"/>
      <c r="J9" s="41" t="n">
        <v>1</v>
      </c>
      <c r="K9" s="41" t="inlineStr">
        <is>
          <t>B161</t>
        </is>
      </c>
      <c r="L9" s="41" t="inlineStr">
        <is>
          <t>10.19</t>
        </is>
      </c>
      <c r="M9" s="41" t="inlineStr">
        <is>
          <t>20</t>
        </is>
      </c>
      <c r="N9" s="42" t="inlineStr"/>
      <c r="O9" s="41" t="inlineStr"/>
      <c r="P9" s="42" t="n">
        <v>80</v>
      </c>
      <c r="Q9" s="41" t="n">
        <v>0.2</v>
      </c>
      <c r="R9" s="41" t="n">
        <v>0</v>
      </c>
      <c r="S9" s="41" t="n">
        <v>0.8</v>
      </c>
    </row>
    <row r="10">
      <c r="A10" s="41" t="inlineStr">
        <is>
          <t>21489731A</t>
        </is>
      </c>
      <c r="B10" s="41" t="inlineStr">
        <is>
          <t>Cazorla Quevedo, Miguel Ángel</t>
        </is>
      </c>
      <c r="C10" s="41" t="inlineStr">
        <is>
          <t>FUNCIONARIO</t>
        </is>
      </c>
      <c r="D10" s="41" t="n"/>
      <c r="E10" s="41" t="n"/>
      <c r="F10" s="41" t="n">
        <v>1</v>
      </c>
      <c r="G10" s="41" t="n"/>
      <c r="H10" s="41" t="n"/>
      <c r="I10" s="41" t="n"/>
      <c r="J10" s="41" t="n">
        <v>1</v>
      </c>
      <c r="K10" s="41" t="inlineStr">
        <is>
          <t>B161</t>
        </is>
      </c>
      <c r="L10" s="41" t="inlineStr">
        <is>
          <t>10.19</t>
        </is>
      </c>
      <c r="M10" s="41" t="inlineStr">
        <is>
          <t>50</t>
        </is>
      </c>
      <c r="N10" s="42" t="inlineStr"/>
      <c r="O10" s="41" t="inlineStr"/>
      <c r="P10" s="42" t="n">
        <v>50</v>
      </c>
      <c r="Q10" s="41" t="n">
        <v>0.5</v>
      </c>
      <c r="R10" s="41" t="n">
        <v>0</v>
      </c>
      <c r="S10" s="41" t="n">
        <v>0.5</v>
      </c>
    </row>
    <row r="11">
      <c r="A11" s="41" t="inlineStr">
        <is>
          <t>21496149G</t>
        </is>
      </c>
      <c r="B11" s="41" t="inlineStr">
        <is>
          <t>Compañ Rosique, Patricia María</t>
        </is>
      </c>
      <c r="C11" s="41" t="inlineStr">
        <is>
          <t>FUNCIONARIO</t>
        </is>
      </c>
      <c r="D11" s="41" t="n"/>
      <c r="E11" s="41" t="n"/>
      <c r="F11" s="41" t="n"/>
      <c r="G11" s="41" t="n">
        <v>1</v>
      </c>
      <c r="H11" s="41" t="n"/>
      <c r="I11" s="41" t="n"/>
      <c r="J11" s="41" t="n">
        <v>1</v>
      </c>
      <c r="K11" s="41" t="inlineStr">
        <is>
          <t>B161</t>
        </is>
      </c>
      <c r="L11" s="41" t="inlineStr">
        <is>
          <t>10.19</t>
        </is>
      </c>
      <c r="M11" s="41" t="inlineStr">
        <is>
          <t>20</t>
        </is>
      </c>
      <c r="N11" s="42" t="inlineStr"/>
      <c r="O11" s="41" t="inlineStr"/>
      <c r="P11" s="42" t="n">
        <v>80</v>
      </c>
      <c r="Q11" s="41" t="n">
        <v>0.2</v>
      </c>
      <c r="R11" s="41" t="n">
        <v>0</v>
      </c>
      <c r="S11" s="41" t="n">
        <v>0.8</v>
      </c>
    </row>
    <row r="12">
      <c r="A12" s="41" t="inlineStr">
        <is>
          <t>21637322A</t>
        </is>
      </c>
      <c r="B12" s="41" t="inlineStr">
        <is>
          <t>Llorens Largo, Faraón</t>
        </is>
      </c>
      <c r="C12" s="41" t="inlineStr">
        <is>
          <t>FUNCIONARIO</t>
        </is>
      </c>
      <c r="D12" s="41" t="n"/>
      <c r="E12" s="41" t="n"/>
      <c r="F12" s="41" t="n"/>
      <c r="G12" s="41" t="n"/>
      <c r="H12" s="41" t="n">
        <v>1</v>
      </c>
      <c r="I12" s="41" t="n"/>
      <c r="J12" s="41" t="n">
        <v>1</v>
      </c>
      <c r="K12" s="41" t="inlineStr">
        <is>
          <t>B161</t>
        </is>
      </c>
      <c r="L12" s="41" t="inlineStr">
        <is>
          <t>10.19</t>
        </is>
      </c>
      <c r="M12" s="41" t="inlineStr">
        <is>
          <t>20</t>
        </is>
      </c>
      <c r="N12" s="42" t="inlineStr"/>
      <c r="O12" s="41" t="inlineStr"/>
      <c r="P12" s="42" t="n">
        <v>80</v>
      </c>
      <c r="Q12" s="41" t="n">
        <v>0.2</v>
      </c>
      <c r="R12" s="41" t="n">
        <v>0</v>
      </c>
      <c r="S12" s="41" t="n">
        <v>0.8</v>
      </c>
    </row>
    <row r="13">
      <c r="A13" s="41" t="inlineStr">
        <is>
          <t>21645324R</t>
        </is>
      </c>
      <c r="B13" s="41" t="inlineStr">
        <is>
          <t>Penadés Martínez, José Leandro</t>
        </is>
      </c>
      <c r="C13" s="41" t="inlineStr">
        <is>
          <t>FUNCIONARIO</t>
        </is>
      </c>
      <c r="D13" s="41" t="n"/>
      <c r="E13" s="41" t="n">
        <v>1</v>
      </c>
      <c r="F13" s="41" t="n"/>
      <c r="G13" s="41" t="n"/>
      <c r="H13" s="41" t="n"/>
      <c r="I13" s="41" t="n"/>
      <c r="J13" s="41" t="n">
        <v>1</v>
      </c>
      <c r="K13" s="41" t="inlineStr">
        <is>
          <t>B161</t>
        </is>
      </c>
      <c r="L13" s="41" t="inlineStr">
        <is>
          <t>10.19</t>
        </is>
      </c>
      <c r="M13" s="41" t="inlineStr">
        <is>
          <t>20</t>
        </is>
      </c>
      <c r="N13" s="42" t="inlineStr"/>
      <c r="O13" s="41" t="inlineStr"/>
      <c r="P13" s="42" t="n">
        <v>80</v>
      </c>
      <c r="Q13" s="41" t="n">
        <v>0.2</v>
      </c>
      <c r="R13" s="41" t="n">
        <v>0</v>
      </c>
      <c r="S13" s="41" t="n">
        <v>0.8</v>
      </c>
    </row>
    <row r="14">
      <c r="A14" s="41" t="inlineStr">
        <is>
          <t>21649909D</t>
        </is>
      </c>
      <c r="B14" s="41" t="inlineStr">
        <is>
          <t>Satorre Cuerda, Rosana</t>
        </is>
      </c>
      <c r="C14" s="41" t="inlineStr">
        <is>
          <t>FUNCIONARIO</t>
        </is>
      </c>
      <c r="D14" s="41" t="n"/>
      <c r="E14" s="41" t="n"/>
      <c r="F14" s="41" t="n"/>
      <c r="G14" s="41" t="n">
        <v>1</v>
      </c>
      <c r="H14" s="41" t="n"/>
      <c r="I14" s="41" t="n"/>
      <c r="J14" s="41" t="n">
        <v>1</v>
      </c>
      <c r="K14" s="41" t="inlineStr">
        <is>
          <t>B161</t>
        </is>
      </c>
      <c r="L14" s="41" t="inlineStr">
        <is>
          <t>10.19</t>
        </is>
      </c>
      <c r="M14" s="41" t="inlineStr">
        <is>
          <t>20</t>
        </is>
      </c>
      <c r="N14" s="42" t="inlineStr"/>
      <c r="O14" s="41" t="inlineStr"/>
      <c r="P14" s="42" t="n">
        <v>80</v>
      </c>
      <c r="Q14" s="41" t="n">
        <v>0.2</v>
      </c>
      <c r="R14" s="41" t="n">
        <v>0</v>
      </c>
      <c r="S14" s="41" t="n">
        <v>0.8</v>
      </c>
    </row>
    <row r="15">
      <c r="A15" s="41" t="inlineStr">
        <is>
          <t>21672410Q</t>
        </is>
      </c>
      <c r="B15" s="41" t="inlineStr">
        <is>
          <t>Aznar Gregori, Fidel</t>
        </is>
      </c>
      <c r="C15" s="41" t="inlineStr">
        <is>
          <t>FUNCIONARIO</t>
        </is>
      </c>
      <c r="D15" s="41" t="n"/>
      <c r="E15" s="41" t="n">
        <v>1</v>
      </c>
      <c r="F15" s="41" t="n"/>
      <c r="G15" s="41" t="n"/>
      <c r="H15" s="41" t="n"/>
      <c r="I15" s="41" t="n"/>
      <c r="J15" s="41" t="n">
        <v>1</v>
      </c>
      <c r="K15" s="41" t="inlineStr">
        <is>
          <t>B161</t>
        </is>
      </c>
      <c r="L15" s="41" t="inlineStr">
        <is>
          <t>10.19</t>
        </is>
      </c>
      <c r="M15" s="41" t="inlineStr">
        <is>
          <t>20</t>
        </is>
      </c>
      <c r="N15" s="42" t="inlineStr"/>
      <c r="O15" s="41" t="inlineStr"/>
      <c r="P15" s="42" t="n">
        <v>80</v>
      </c>
      <c r="Q15" s="41" t="n">
        <v>0.2</v>
      </c>
      <c r="R15" s="41" t="n">
        <v>0</v>
      </c>
      <c r="S15" s="41" t="n">
        <v>0.8</v>
      </c>
    </row>
    <row r="16">
      <c r="A16" s="41" t="inlineStr">
        <is>
          <t>22135596M</t>
        </is>
      </c>
      <c r="B16" s="41" t="inlineStr">
        <is>
          <t>Molina Carmona, Rafael</t>
        </is>
      </c>
      <c r="C16" s="41" t="inlineStr">
        <is>
          <t>FUNCIONARIO</t>
        </is>
      </c>
      <c r="D16" s="41" t="n"/>
      <c r="E16" s="41" t="n"/>
      <c r="F16" s="41" t="n">
        <v>1</v>
      </c>
      <c r="G16" s="41" t="n"/>
      <c r="H16" s="41" t="n"/>
      <c r="I16" s="41" t="n"/>
      <c r="J16" s="41" t="n">
        <v>1</v>
      </c>
      <c r="K16" s="41" t="inlineStr">
        <is>
          <t>B161</t>
        </is>
      </c>
      <c r="L16" s="41" t="inlineStr">
        <is>
          <t>10.19</t>
        </is>
      </c>
      <c r="M16" s="41" t="inlineStr">
        <is>
          <t>20</t>
        </is>
      </c>
      <c r="N16" s="42" t="inlineStr"/>
      <c r="O16" s="41" t="inlineStr"/>
      <c r="P16" s="42" t="n">
        <v>80</v>
      </c>
      <c r="Q16" s="41" t="n">
        <v>0.2</v>
      </c>
      <c r="R16" s="41" t="n">
        <v>0</v>
      </c>
      <c r="S16" s="41" t="n">
        <v>0.8</v>
      </c>
    </row>
    <row r="17">
      <c r="A17" s="41" t="inlineStr">
        <is>
          <t>33493179G</t>
        </is>
      </c>
      <c r="B17" s="41" t="inlineStr">
        <is>
          <t>Martínez Bernabéu, Lucas</t>
        </is>
      </c>
      <c r="C17" s="41" t="inlineStr">
        <is>
          <t>NO FUNCIONARIO</t>
        </is>
      </c>
      <c r="D17" s="41" t="n"/>
      <c r="E17" s="41" t="n"/>
      <c r="F17" s="41" t="n"/>
      <c r="G17" s="41" t="n"/>
      <c r="H17" s="41" t="n"/>
      <c r="I17" s="41" t="n">
        <v>2</v>
      </c>
      <c r="J17" s="41" t="n">
        <v>2</v>
      </c>
      <c r="K17" s="41" t="inlineStr">
        <is>
          <t>B161</t>
        </is>
      </c>
      <c r="L17" s="41" t="n">
        <v>0</v>
      </c>
      <c r="M17" s="41" t="n">
        <v>0</v>
      </c>
      <c r="N17" s="42" t="inlineStr"/>
      <c r="O17" s="41" t="inlineStr"/>
      <c r="P17" s="42" t="n">
        <v>100</v>
      </c>
      <c r="Q17" s="41" t="n">
        <v>0</v>
      </c>
      <c r="R17" s="41" t="n">
        <v>0</v>
      </c>
      <c r="S17" s="41" t="n">
        <v>2</v>
      </c>
    </row>
    <row r="18">
      <c r="A18" s="41" t="inlineStr">
        <is>
          <t>45747088L</t>
        </is>
      </c>
      <c r="B18" s="41" t="inlineStr">
        <is>
          <t>Curado Navarro, Manuel</t>
        </is>
      </c>
      <c r="C18" s="41" t="inlineStr">
        <is>
          <t>FUNCIONARIO</t>
        </is>
      </c>
      <c r="D18" s="41" t="n"/>
      <c r="E18" s="41" t="n"/>
      <c r="F18" s="41" t="n"/>
      <c r="G18" s="41" t="n"/>
      <c r="H18" s="41" t="n">
        <v>1</v>
      </c>
      <c r="I18" s="41" t="n"/>
      <c r="J18" s="41" t="n">
        <v>1</v>
      </c>
      <c r="K18" s="41" t="inlineStr">
        <is>
          <t>B161</t>
        </is>
      </c>
      <c r="L18" s="41" t="inlineStr">
        <is>
          <t>10.19</t>
        </is>
      </c>
      <c r="M18" s="41" t="inlineStr">
        <is>
          <t>20</t>
        </is>
      </c>
      <c r="N18" s="42" t="inlineStr"/>
      <c r="O18" s="41" t="inlineStr"/>
      <c r="P18" s="42" t="n">
        <v>80</v>
      </c>
      <c r="Q18" s="41" t="n">
        <v>0.2</v>
      </c>
      <c r="R18" s="41" t="n">
        <v>0</v>
      </c>
      <c r="S18" s="41" t="n">
        <v>0.8</v>
      </c>
    </row>
    <row r="19">
      <c r="A19" s="41" t="inlineStr">
        <is>
          <t>48363194J</t>
        </is>
      </c>
      <c r="B19" s="41" t="inlineStr">
        <is>
          <t>Gallego Durán, Francisco José</t>
        </is>
      </c>
      <c r="C19" s="41" t="inlineStr">
        <is>
          <t>NO FUNCIONARIO</t>
        </is>
      </c>
      <c r="D19" s="41" t="n"/>
      <c r="E19" s="41" t="n">
        <v>1</v>
      </c>
      <c r="F19" s="41" t="n"/>
      <c r="G19" s="41" t="n"/>
      <c r="H19" s="41" t="n"/>
      <c r="I19" s="41" t="n"/>
      <c r="J19" s="41" t="n">
        <v>1</v>
      </c>
      <c r="K19" s="41" t="inlineStr">
        <is>
          <t>B161</t>
        </is>
      </c>
      <c r="L19" s="41" t="inlineStr">
        <is>
          <t>10.19</t>
        </is>
      </c>
      <c r="M19" s="41" t="inlineStr">
        <is>
          <t>20</t>
        </is>
      </c>
      <c r="N19" s="42" t="inlineStr"/>
      <c r="O19" s="41" t="inlineStr"/>
      <c r="P19" s="42" t="n">
        <v>80</v>
      </c>
      <c r="Q19" s="41" t="n">
        <v>0.2</v>
      </c>
      <c r="R19" s="41" t="n">
        <v>0</v>
      </c>
      <c r="S19" s="41" t="n">
        <v>0.8</v>
      </c>
    </row>
    <row r="20">
      <c r="A20" s="41" t="inlineStr">
        <is>
          <t>48457141M</t>
        </is>
      </c>
      <c r="B20" s="41" t="inlineStr">
        <is>
          <t>Salinas Serrano, José María</t>
        </is>
      </c>
      <c r="C20" s="41" t="inlineStr">
        <is>
          <t>NO FUNCIONARIO</t>
        </is>
      </c>
      <c r="D20" s="41" t="n"/>
      <c r="E20" s="41" t="n"/>
      <c r="F20" s="41" t="n">
        <v>1</v>
      </c>
      <c r="G20" s="41" t="n"/>
      <c r="H20" s="41" t="n"/>
      <c r="I20" s="41" t="n"/>
      <c r="J20" s="41" t="n">
        <v>1</v>
      </c>
      <c r="K20" s="41" t="inlineStr">
        <is>
          <t>B161</t>
        </is>
      </c>
      <c r="L20" s="41" t="inlineStr">
        <is>
          <t>10.19</t>
        </is>
      </c>
      <c r="M20" s="41" t="inlineStr">
        <is>
          <t>20</t>
        </is>
      </c>
      <c r="N20" s="42" t="inlineStr"/>
      <c r="O20" s="41" t="inlineStr"/>
      <c r="P20" s="42" t="n">
        <v>80</v>
      </c>
      <c r="Q20" s="41" t="n">
        <v>0.2</v>
      </c>
      <c r="R20" s="41" t="n">
        <v>0</v>
      </c>
      <c r="S20" s="41" t="n">
        <v>0.8</v>
      </c>
    </row>
    <row r="21">
      <c r="A21" s="41" t="inlineStr">
        <is>
          <t>48531413X</t>
        </is>
      </c>
      <c r="B21" s="41" t="inlineStr">
        <is>
          <t>Lozano Ortega, Miguel Ángel</t>
        </is>
      </c>
      <c r="C21" s="41" t="inlineStr">
        <is>
          <t>FUNCIONARIO</t>
        </is>
      </c>
      <c r="D21" s="41" t="n"/>
      <c r="E21" s="41" t="n"/>
      <c r="F21" s="41" t="n">
        <v>1</v>
      </c>
      <c r="G21" s="41" t="n"/>
      <c r="H21" s="41" t="n"/>
      <c r="I21" s="41" t="n"/>
      <c r="J21" s="41" t="n">
        <v>1</v>
      </c>
      <c r="K21" s="41" t="inlineStr">
        <is>
          <t>B161</t>
        </is>
      </c>
      <c r="L21" s="41" t="n">
        <v>0</v>
      </c>
      <c r="M21" s="41" t="n">
        <v>0</v>
      </c>
      <c r="N21" s="42" t="inlineStr"/>
      <c r="O21" s="41" t="inlineStr"/>
      <c r="P21" s="42" t="n">
        <v>100</v>
      </c>
      <c r="Q21" s="41" t="n">
        <v>0</v>
      </c>
      <c r="R21" s="41" t="n">
        <v>0</v>
      </c>
      <c r="S21" s="41" t="n">
        <v>1</v>
      </c>
    </row>
    <row r="22">
      <c r="A22" s="41" t="inlineStr">
        <is>
          <t>48627745H</t>
        </is>
      </c>
      <c r="B22" s="41" t="inlineStr">
        <is>
          <t>Escalona Moncholí, Félix</t>
        </is>
      </c>
      <c r="C22" s="41" t="inlineStr">
        <is>
          <t>NO FUNCIONARIO</t>
        </is>
      </c>
      <c r="D22" s="41" t="n"/>
      <c r="E22" s="41" t="n"/>
      <c r="F22" s="41" t="n"/>
      <c r="G22" s="41" t="n"/>
      <c r="H22" s="41" t="n">
        <v>1</v>
      </c>
      <c r="I22" s="41" t="n"/>
      <c r="J22" s="41" t="n">
        <v>1</v>
      </c>
      <c r="K22" s="41" t="inlineStr">
        <is>
          <t>B161</t>
        </is>
      </c>
      <c r="L22" s="41" t="inlineStr">
        <is>
          <t>10.19</t>
        </is>
      </c>
      <c r="M22" s="41" t="inlineStr">
        <is>
          <t>20</t>
        </is>
      </c>
      <c r="N22" s="42" t="inlineStr"/>
      <c r="O22" s="41" t="inlineStr"/>
      <c r="P22" s="42" t="n">
        <v>80</v>
      </c>
      <c r="Q22" s="41" t="n">
        <v>0.2</v>
      </c>
      <c r="R22" s="41" t="n">
        <v>0</v>
      </c>
      <c r="S22" s="41" t="n">
        <v>0.8</v>
      </c>
    </row>
    <row r="23">
      <c r="A23" s="41" t="inlineStr">
        <is>
          <t>50750696T</t>
        </is>
      </c>
      <c r="B23" s="41" t="inlineStr">
        <is>
          <t>González Serrano, Germán</t>
        </is>
      </c>
      <c r="C23" s="41" t="inlineStr">
        <is>
          <t>NO FUNCIONARIO</t>
        </is>
      </c>
      <c r="D23" s="41" t="n"/>
      <c r="E23" s="41" t="n"/>
      <c r="F23" s="41" t="n"/>
      <c r="G23" s="41" t="n"/>
      <c r="H23" s="41" t="n">
        <v>2</v>
      </c>
      <c r="I23" s="41" t="n"/>
      <c r="J23" s="41" t="n">
        <v>2</v>
      </c>
      <c r="K23" s="41" t="inlineStr">
        <is>
          <t>B161</t>
        </is>
      </c>
      <c r="L23" s="41" t="inlineStr">
        <is>
          <t>10.19</t>
        </is>
      </c>
      <c r="M23" s="41" t="inlineStr">
        <is>
          <t>20</t>
        </is>
      </c>
      <c r="N23" s="42" t="inlineStr"/>
      <c r="O23" s="41" t="inlineStr"/>
      <c r="P23" s="42" t="n">
        <v>80</v>
      </c>
      <c r="Q23" s="41" t="n">
        <v>0.4</v>
      </c>
      <c r="R23" s="41" t="n">
        <v>0</v>
      </c>
      <c r="S23" s="41" t="n">
        <v>1.6</v>
      </c>
    </row>
    <row r="24">
      <c r="A24" s="41" t="inlineStr">
        <is>
          <t>52793369C</t>
        </is>
      </c>
      <c r="B24" s="41" t="inlineStr">
        <is>
          <t>Arnal García, José</t>
        </is>
      </c>
      <c r="C24" s="41" t="inlineStr">
        <is>
          <t>Vivos</t>
        </is>
      </c>
      <c r="D24" s="41" t="n"/>
      <c r="E24" s="41" t="n"/>
      <c r="F24" s="41" t="n"/>
      <c r="G24" s="41" t="n"/>
      <c r="H24" s="41" t="n"/>
      <c r="I24" s="41" t="n">
        <v>1</v>
      </c>
      <c r="J24" s="41" t="n">
        <v>1</v>
      </c>
      <c r="K24" s="41" t="inlineStr">
        <is>
          <t>B161</t>
        </is>
      </c>
      <c r="L24" s="41" t="inlineStr">
        <is>
          <t>10.19</t>
        </is>
      </c>
      <c r="M24" s="41" t="inlineStr">
        <is>
          <t>20</t>
        </is>
      </c>
      <c r="N24" s="42" t="inlineStr"/>
      <c r="O24" s="41" t="inlineStr"/>
      <c r="P24" s="42" t="n">
        <v>80</v>
      </c>
      <c r="Q24" s="41" t="n">
        <v>0.2</v>
      </c>
      <c r="R24" s="41" t="n">
        <v>0</v>
      </c>
      <c r="S24" s="41" t="n">
        <v>0.8</v>
      </c>
    </row>
    <row r="25">
      <c r="A25" s="41" t="inlineStr">
        <is>
          <t>52805806Z</t>
        </is>
      </c>
      <c r="B25" s="41" t="inlineStr">
        <is>
          <t>Sáez Martínez, Juan Manuel</t>
        </is>
      </c>
      <c r="C25" s="41" t="inlineStr">
        <is>
          <t>FUNCIONARIO</t>
        </is>
      </c>
      <c r="D25" s="41" t="n"/>
      <c r="E25" s="41" t="n">
        <v>1</v>
      </c>
      <c r="F25" s="41" t="n"/>
      <c r="G25" s="41" t="n"/>
      <c r="H25" s="41" t="n"/>
      <c r="I25" s="41" t="n"/>
      <c r="J25" s="41" t="n">
        <v>1</v>
      </c>
      <c r="K25" s="41" t="inlineStr">
        <is>
          <t>B161</t>
        </is>
      </c>
      <c r="L25" s="41" t="inlineStr">
        <is>
          <t>10.19</t>
        </is>
      </c>
      <c r="M25" s="41" t="inlineStr">
        <is>
          <t>20</t>
        </is>
      </c>
      <c r="N25" s="42" t="inlineStr"/>
      <c r="O25" s="41" t="inlineStr"/>
      <c r="P25" s="42" t="n">
        <v>80</v>
      </c>
      <c r="Q25" s="41" t="n">
        <v>0.2</v>
      </c>
      <c r="R25" s="41" t="n">
        <v>0</v>
      </c>
      <c r="S25" s="41" t="n">
        <v>0.8</v>
      </c>
    </row>
    <row r="26">
      <c r="A26" s="41" t="inlineStr">
        <is>
          <t>53227471C</t>
        </is>
      </c>
      <c r="B26" s="41" t="inlineStr">
        <is>
          <t>Martínez Martín, Ester</t>
        </is>
      </c>
      <c r="C26" s="41" t="inlineStr">
        <is>
          <t>FUNCIONARIO</t>
        </is>
      </c>
      <c r="D26" s="41" t="n"/>
      <c r="E26" s="41" t="n"/>
      <c r="F26" s="41" t="n"/>
      <c r="G26" s="41" t="n">
        <v>1</v>
      </c>
      <c r="H26" s="41" t="n">
        <v>1</v>
      </c>
      <c r="I26" s="41" t="n"/>
      <c r="J26" s="41" t="n">
        <v>2</v>
      </c>
      <c r="K26" s="41" t="inlineStr">
        <is>
          <t>B161</t>
        </is>
      </c>
      <c r="L26" s="41" t="inlineStr">
        <is>
          <t>10.19</t>
        </is>
      </c>
      <c r="M26" s="66" t="inlineStr">
        <is>
          <t>50</t>
        </is>
      </c>
      <c r="N26" s="67" t="inlineStr"/>
      <c r="O26" s="68" t="inlineStr"/>
      <c r="P26" s="67" t="n">
        <v>50</v>
      </c>
      <c r="Q26" s="68" t="n">
        <v>1</v>
      </c>
      <c r="R26" s="68" t="n">
        <v>0</v>
      </c>
      <c r="S26" s="68" t="n">
        <v>1</v>
      </c>
    </row>
    <row r="27">
      <c r="A27" s="41" t="inlineStr">
        <is>
          <t>53231432W</t>
        </is>
      </c>
      <c r="B27" s="41" t="inlineStr">
        <is>
          <t>Álvarez Sánchez, Rafael Ignacio</t>
        </is>
      </c>
      <c r="C27" s="41" t="inlineStr">
        <is>
          <t>Vivos</t>
        </is>
      </c>
      <c r="D27" s="41" t="n"/>
      <c r="E27" s="41" t="n"/>
      <c r="F27" s="41" t="n"/>
      <c r="G27" s="41" t="n"/>
      <c r="H27" s="41" t="n"/>
      <c r="I27" s="41" t="n">
        <v>1</v>
      </c>
      <c r="J27" s="41" t="n">
        <v>1</v>
      </c>
      <c r="K27" s="41" t="inlineStr">
        <is>
          <t>B161</t>
        </is>
      </c>
      <c r="L27" s="41" t="inlineStr">
        <is>
          <t>10.19</t>
        </is>
      </c>
      <c r="M27" s="68" t="inlineStr">
        <is>
          <t>20</t>
        </is>
      </c>
      <c r="N27" s="67" t="inlineStr"/>
      <c r="O27" s="68" t="inlineStr"/>
      <c r="P27" s="67" t="n">
        <v>80</v>
      </c>
      <c r="Q27" s="68" t="n">
        <v>0.2</v>
      </c>
      <c r="R27" s="68" t="n">
        <v>0</v>
      </c>
      <c r="S27" s="68" t="n">
        <v>0.8</v>
      </c>
    </row>
    <row r="28">
      <c r="A28" s="41" t="inlineStr">
        <is>
          <t>53244622J</t>
        </is>
      </c>
      <c r="B28" s="41" t="inlineStr">
        <is>
          <t>Gómez Donoso, Francisco</t>
        </is>
      </c>
      <c r="C28" s="41" t="inlineStr">
        <is>
          <t>FUNCIONARIO</t>
        </is>
      </c>
      <c r="D28" s="41" t="n"/>
      <c r="E28" s="41" t="n"/>
      <c r="F28" s="41" t="n"/>
      <c r="G28" s="41" t="n"/>
      <c r="H28" s="41" t="n"/>
      <c r="I28" s="41" t="n">
        <v>1</v>
      </c>
      <c r="J28" s="41" t="n">
        <v>1</v>
      </c>
      <c r="K28" s="41" t="inlineStr">
        <is>
          <t>B161</t>
        </is>
      </c>
      <c r="L28" s="41" t="inlineStr">
        <is>
          <t>10.19</t>
        </is>
      </c>
      <c r="M28" s="66" t="inlineStr">
        <is>
          <t>50</t>
        </is>
      </c>
      <c r="N28" s="67" t="inlineStr"/>
      <c r="O28" s="68" t="inlineStr"/>
      <c r="P28" s="67" t="n">
        <v>50</v>
      </c>
      <c r="Q28" s="68" t="n">
        <v>0.5</v>
      </c>
      <c r="R28" s="68" t="n">
        <v>0</v>
      </c>
      <c r="S28" s="68" t="n">
        <v>0.5</v>
      </c>
    </row>
    <row r="29">
      <c r="A29" s="41" t="inlineStr">
        <is>
          <t>74193699T</t>
        </is>
      </c>
      <c r="B29" s="41" t="inlineStr">
        <is>
          <t>Escolano Ruiz, Francisco Javier</t>
        </is>
      </c>
      <c r="C29" s="41" t="inlineStr">
        <is>
          <t>FUNCIONARIO</t>
        </is>
      </c>
      <c r="D29" s="41" t="n"/>
      <c r="E29" s="41" t="n"/>
      <c r="F29" s="41" t="n">
        <v>1</v>
      </c>
      <c r="G29" s="41" t="n"/>
      <c r="H29" s="41" t="n"/>
      <c r="I29" s="41" t="n"/>
      <c r="J29" s="41" t="n">
        <v>1</v>
      </c>
      <c r="K29" s="41" t="inlineStr">
        <is>
          <t>B161</t>
        </is>
      </c>
      <c r="L29" s="41" t="inlineStr">
        <is>
          <t>10.19</t>
        </is>
      </c>
      <c r="M29" s="68" t="inlineStr">
        <is>
          <t>50</t>
        </is>
      </c>
      <c r="N29" s="67" t="inlineStr"/>
      <c r="O29" s="68" t="inlineStr"/>
      <c r="P29" s="67" t="n">
        <v>50</v>
      </c>
      <c r="Q29" s="68" t="n">
        <v>0.5</v>
      </c>
      <c r="R29" s="68" t="n">
        <v>0</v>
      </c>
      <c r="S29" s="68" t="n">
        <v>0.5</v>
      </c>
    </row>
    <row r="30">
      <c r="A30" s="41" t="inlineStr">
        <is>
          <t>74213842H</t>
        </is>
      </c>
      <c r="B30" s="41" t="inlineStr">
        <is>
          <t>Pujol López, María del Mar</t>
        </is>
      </c>
      <c r="C30" s="41" t="inlineStr">
        <is>
          <t>FUNCIONARIO</t>
        </is>
      </c>
      <c r="D30" s="41" t="n"/>
      <c r="E30" s="41" t="n">
        <v>1</v>
      </c>
      <c r="F30" s="41" t="n"/>
      <c r="G30" s="41" t="n"/>
      <c r="H30" s="41" t="n"/>
      <c r="I30" s="41" t="n"/>
      <c r="J30" s="41" t="n">
        <v>1</v>
      </c>
      <c r="K30" s="41" t="inlineStr">
        <is>
          <t>B161</t>
        </is>
      </c>
      <c r="L30" s="41" t="inlineStr">
        <is>
          <t>10.19</t>
        </is>
      </c>
      <c r="M30" s="41" t="inlineStr">
        <is>
          <t>20</t>
        </is>
      </c>
      <c r="N30" s="42" t="inlineStr"/>
      <c r="O30" s="41" t="inlineStr"/>
      <c r="P30" s="42" t="n">
        <v>80</v>
      </c>
      <c r="Q30" s="41" t="n">
        <v>0.2</v>
      </c>
      <c r="R30" s="41" t="n">
        <v>0</v>
      </c>
      <c r="S30" s="41" t="n">
        <v>0.8</v>
      </c>
    </row>
    <row r="31">
      <c r="A31" s="41" t="inlineStr">
        <is>
          <t>74244505E</t>
        </is>
      </c>
      <c r="B31" s="41" t="inlineStr">
        <is>
          <t>QUESADA GRANJA, CARLOS</t>
        </is>
      </c>
      <c r="C31" s="41" t="inlineStr">
        <is>
          <t>NO FUNCIONARIO</t>
        </is>
      </c>
      <c r="D31" s="41" t="n"/>
      <c r="E31" s="41" t="n"/>
      <c r="F31" s="41" t="n"/>
      <c r="G31" s="41" t="n"/>
      <c r="H31" s="41" t="n"/>
      <c r="I31" s="41" t="n">
        <v>2</v>
      </c>
      <c r="J31" s="41" t="n">
        <v>2</v>
      </c>
      <c r="K31" s="41" t="inlineStr">
        <is>
          <t>B161</t>
        </is>
      </c>
      <c r="L31" s="41" t="n">
        <v>0</v>
      </c>
      <c r="M31" s="41" t="n">
        <v>0</v>
      </c>
      <c r="N31" s="42" t="inlineStr"/>
      <c r="O31" s="41" t="inlineStr"/>
      <c r="P31" s="42" t="n">
        <v>100</v>
      </c>
      <c r="Q31" s="41" t="n">
        <v>0</v>
      </c>
      <c r="R31" s="41" t="n">
        <v>0</v>
      </c>
      <c r="S31" s="41" t="n">
        <v>2</v>
      </c>
    </row>
    <row r="32">
      <c r="A32" s="34" t="n"/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5" t="n"/>
      <c r="O32" s="34" t="n"/>
      <c r="P32" s="35" t="n"/>
      <c r="Q32" s="34" t="n"/>
      <c r="R32" s="34" t="n"/>
      <c r="S32" s="43">
        <f>SUM(S2:S31)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7" sqref="B27"/>
    </sheetView>
  </sheetViews>
  <sheetFormatPr baseColWidth="10" defaultRowHeight="15"/>
  <cols>
    <col width="17" customWidth="1" style="81" min="1" max="1"/>
    <col width="110.140625" customWidth="1" style="81" min="2" max="2"/>
    <col width="16" customWidth="1" style="81" min="3" max="3"/>
  </cols>
  <sheetData>
    <row r="1">
      <c r="A1" s="47" t="inlineStr">
        <is>
          <t>Cód. org. aplic.</t>
        </is>
      </c>
      <c r="B1" s="47" t="inlineStr">
        <is>
          <t>Descripción justificante</t>
        </is>
      </c>
      <c r="C1" s="47" t="inlineStr">
        <is>
          <t>Imp.cob.aplic.</t>
        </is>
      </c>
    </row>
    <row r="2">
      <c r="A2" s="36" t="inlineStr">
        <is>
          <t>36.00.6C.00.05</t>
        </is>
      </c>
      <c r="B2" s="36" t="inlineStr">
        <is>
          <t>REGALÍAS POR TRANSFERENCIA DE TECNOLOGÍA 2022</t>
        </is>
      </c>
      <c r="C2" s="85" t="n">
        <v>40615.87</v>
      </c>
    </row>
    <row r="3">
      <c r="A3" s="38" t="inlineStr">
        <is>
          <t>36.00.6C.00.14</t>
        </is>
      </c>
      <c r="B3" s="38" t="inlineStr">
        <is>
          <t>PAGO FINAL DEL PROYECTO "EMBENTION1-21Y" - DESARROLLO DE ALGORITMOS DE VISIÓN ARTIFICIAL PARA LA VERONTE MISSION COMPUTER</t>
        </is>
      </c>
      <c r="C3" s="86" t="n">
        <v>11550</v>
      </c>
    </row>
    <row r="4">
      <c r="A4" s="36" t="inlineStr">
        <is>
          <t>36.00.6C.00.15</t>
        </is>
      </c>
      <c r="B4" s="36" t="inlineStr">
        <is>
          <t>CONTRAPRESTACIÓN PARA LA REALIZACIÓN DEL PROYECTO, FUNDACIÓN UNIVERSIA. Ref. "UNIVERSIA1-23A"</t>
        </is>
      </c>
      <c r="C4" s="85" t="n">
        <v>7040</v>
      </c>
    </row>
    <row r="5">
      <c r="A5" s="38" t="inlineStr">
        <is>
          <t>36.00.6C.00.16</t>
        </is>
      </c>
      <c r="B5" s="38" t="inlineStr">
        <is>
          <t>SEGUNDO PAGO (80%) TRAS LA FIRMA DEL CONTRATO CRUE1-23T: ANÁLISIS ESTRATÉGICO DE LA MADUREZ DIGITAL DEL SISTEMA UNIVERSITARIO ESPAÑOL. ESTUDIO UNIVERSITIC 2022  BASE</t>
        </is>
      </c>
      <c r="C5" s="86" t="n">
        <v>15867.77</v>
      </c>
    </row>
    <row r="6">
      <c r="A6" s="36" t="inlineStr">
        <is>
          <t>36.00.6C.00.16</t>
        </is>
      </c>
      <c r="B6" s="36" t="inlineStr">
        <is>
          <t>PRIMER PAGO (20%) TRAS LA FIRMA DEL CONTRATO CRUE1-23T: ANÁLISIS ESTRATÉGICO DE LA MADUREZ DIGITAL DEL SISTEMA UNIVERSITARIO ESPAÑOL. ESTUDIO UNIVERSITIC 2022.</t>
        </is>
      </c>
      <c r="C6" s="85" t="n">
        <v>3966.94</v>
      </c>
    </row>
    <row r="7">
      <c r="A7" s="38" t="inlineStr">
        <is>
          <t>36.00.6C.00.17</t>
        </is>
      </c>
      <c r="B7" s="38" t="inlineStr">
        <is>
          <t>Curs "Python in Data Science I" by the amount of 14,400 PLN</t>
        </is>
      </c>
      <c r="C7" s="86" t="n">
        <v>2890.69</v>
      </c>
    </row>
    <row r="8">
      <c r="A8" s="36" t="inlineStr">
        <is>
          <t>36.00.6C.00.18</t>
        </is>
      </c>
      <c r="B8" s="36" t="inlineStr">
        <is>
          <t>Curs "Python in Data Science II" by the amount of 14,400 PLN</t>
        </is>
      </c>
      <c r="C8" s="85" t="n">
        <v>2890.69</v>
      </c>
    </row>
    <row r="9">
      <c r="A9" s="38" t="inlineStr">
        <is>
          <t>36.00.6C.00.19</t>
        </is>
      </c>
      <c r="B9" s="38" t="inlineStr">
        <is>
          <t>50 % a la finalización del Estudio y entrega del informe previsto en la cláusula tercera del contrato  UNIVERSIA2-23A</t>
        </is>
      </c>
      <c r="C9" s="86" t="n">
        <v>5412</v>
      </c>
    </row>
    <row r="10">
      <c r="A10" s="36" t="inlineStr">
        <is>
          <t>36.00.6C.00.19</t>
        </is>
      </c>
      <c r="B10" s="36" t="inlineStr">
        <is>
          <t>Contraprestación de servicios del 50% a la firma del contrato "ESTUDIO SOBRE EL NIVEL DE MADUREZ DIGITAL DE DIFERENTES PAÍSES IBEROAMERICANOS"</t>
        </is>
      </c>
      <c r="C10" s="85" t="n">
        <v>5412</v>
      </c>
    </row>
    <row r="11">
      <c r="A11" s="38" t="inlineStr">
        <is>
          <t>36.00.6C.00.20</t>
        </is>
      </c>
      <c r="B11" s="38" t="inlineStr">
        <is>
          <t xml:space="preserve">Contraprestación al informe de evaluación como empresa innovadora de la empresa Home Design Labs S.L. Hoja de encargo (HOMEDESIGNLABS1-23TPA) </t>
        </is>
      </c>
      <c r="C11" s="86" t="n">
        <v>176</v>
      </c>
    </row>
    <row r="12">
      <c r="A12" s="36" t="inlineStr">
        <is>
          <t>36.00.6P.00.11</t>
        </is>
      </c>
      <c r="B12" s="36" t="inlineStr">
        <is>
          <t>Reintegro en voluntaria de la referencia RTI2018-096223-B-I00, anualidad: 2021</t>
        </is>
      </c>
      <c r="C12" s="85" t="n">
        <v>-8659.73</v>
      </c>
    </row>
    <row r="13">
      <c r="A13" s="38" t="inlineStr">
        <is>
          <t>36.00.6P.00.11</t>
        </is>
      </c>
      <c r="B13" s="38" t="inlineStr">
        <is>
          <t xml:space="preserve">DEVOLUCIÓN DE INGRESOS_MODELO 069_ P56945-RTI2018-096223-B-I00_EXPEDIENTE O REFERENCIA: 173-P56945-202212210097794 </t>
        </is>
      </c>
      <c r="C13" s="86" t="n">
        <v>-8659.73</v>
      </c>
    </row>
    <row r="14">
      <c r="A14" s="36" t="inlineStr">
        <is>
          <t>36.00.6P.00.12</t>
        </is>
      </c>
      <c r="B14" s="36" t="inlineStr">
        <is>
          <t>DEVOLUCIÓN DE INGRESOS_ MODELO 069_P56944-RTI2018-096219-B-I00_EXPEDIENTE O REFERENCIA: 173-P56944-202212210097793</t>
        </is>
      </c>
      <c r="C14" s="85" t="n">
        <v>-5609.44</v>
      </c>
    </row>
    <row r="15">
      <c r="A15" s="38" t="inlineStr">
        <is>
          <t>36.00.6P.00.12</t>
        </is>
      </c>
      <c r="B15" s="38" t="inlineStr">
        <is>
          <t xml:space="preserve">Reintegro en voluntaria de la referencia RTI2018-096219-B-I00, anualidad: 2021 </t>
        </is>
      </c>
      <c r="C15" s="86" t="n">
        <v>-5609.44</v>
      </c>
    </row>
    <row r="16">
      <c r="A16" s="36" t="inlineStr">
        <is>
          <t>36.00.6P.00.14</t>
        </is>
      </c>
      <c r="B16" s="36" t="inlineStr">
        <is>
          <t>CIGE/2021/021/041/046/103/136/162/178/153</t>
        </is>
      </c>
      <c r="C16" s="85" t="n">
        <v>10000</v>
      </c>
    </row>
    <row r="17">
      <c r="A17" s="38" t="inlineStr">
        <is>
          <t>36.00.6P.00.14</t>
        </is>
      </c>
      <c r="B17" s="38" t="inlineStr">
        <is>
          <t>DEVOLUCIÓN DE INGRESOS_ MODELO 047_Nº de liquidación:46/2023/RAS/10321/1_ Número de justificante:047/1/002385120_Nº de referencia:047/1/002385120</t>
        </is>
      </c>
      <c r="C17" s="86" t="n">
        <v>-9377.85</v>
      </c>
    </row>
    <row r="18">
      <c r="A18" s="50" t="inlineStr">
        <is>
          <t>36.00.6P.00.16</t>
        </is>
      </c>
      <c r="B18" s="50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18" s="87" t="n">
        <v>8445.6</v>
      </c>
    </row>
    <row r="19">
      <c r="A19" s="52" t="inlineStr">
        <is>
          <t>Total</t>
        </is>
      </c>
      <c r="B19" s="52" t="n"/>
      <c r="C19" s="88">
        <f>SUBTOTAL(109,Tabla2[Imp.cob.aplic.])</f>
        <v/>
      </c>
    </row>
    <row r="20">
      <c r="C20" s="8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26" sqref="C26"/>
    </sheetView>
  </sheetViews>
  <sheetFormatPr baseColWidth="10" defaultRowHeight="15"/>
  <cols>
    <col width="19.5703125" customWidth="1" style="81" min="1" max="1"/>
    <col width="63.42578125" customWidth="1" style="81" min="2" max="2"/>
    <col width="18.85546875" customWidth="1" style="81" min="3" max="3"/>
  </cols>
  <sheetData>
    <row r="1">
      <c r="A1" s="57" t="inlineStr">
        <is>
          <t>Org. aplic.</t>
        </is>
      </c>
      <c r="B1" s="57" t="inlineStr">
        <is>
          <t>Descripción justificante</t>
        </is>
      </c>
      <c r="C1" s="90" t="inlineStr">
        <is>
          <t>Imp. aplic.</t>
        </is>
      </c>
    </row>
    <row r="2">
      <c r="A2" s="55" t="inlineStr">
        <is>
          <t>36.00.6C.00.05</t>
        </is>
      </c>
      <c r="B2" s="55" t="inlineStr">
        <is>
          <t>Regalías por transferencia de tecnología 2023 (Ref. contrato NEOSISTEC1-17O). 5% DE 2.392.916,68 euros (importe de las ventas netas ejercicio 2023)</t>
        </is>
      </c>
      <c r="C2" s="91" t="n">
        <v>71787.5</v>
      </c>
    </row>
    <row r="3">
      <c r="A3" s="56" t="inlineStr">
        <is>
          <t>36.00.6C.00.21</t>
        </is>
      </c>
      <c r="B3" s="56" t="inlineStr">
        <is>
          <t>Pago del cincuenta por ciento tras la firma del contrato UNIVERSIA1-24A: ESTUDIO SOBRE EL NIVEL DE MADUREZ DIGITAL DE DIFERENTES PAÍSES IBEROAMERICANOS 2024</t>
        </is>
      </c>
      <c r="C3" s="92" t="n">
        <v>5104</v>
      </c>
    </row>
    <row r="4">
      <c r="A4" s="55" t="inlineStr">
        <is>
          <t>36.00.6C.00.21</t>
        </is>
      </c>
      <c r="B4" s="55" t="inlineStr">
        <is>
          <t>Pago del cincuenta por ciento a la finalización del Estudio y entrega del informe previsto en la cláusula tercera del contrato UNIVERSIA1-24A: ESTUDIO SOBRE EL NIVEL DE MADUREZ DIGITAL DE DIFERENTES PAÍSES IBEROAMERICANOS 2024</t>
        </is>
      </c>
      <c r="C4" s="91" t="n">
        <v>5104</v>
      </c>
    </row>
    <row r="5">
      <c r="A5" s="56" t="inlineStr">
        <is>
          <t>36.00.6O.00.01</t>
        </is>
      </c>
      <c r="B5" s="56" t="inlineStr">
        <is>
          <t>LIBROS SEGÚN ANEXO Nº FS24/935</t>
        </is>
      </c>
      <c r="C5" s="92" t="n">
        <v>11.54</v>
      </c>
    </row>
    <row r="6">
      <c r="A6" s="55" t="inlineStr">
        <is>
          <t>36.00.6P.00.14</t>
        </is>
      </c>
      <c r="B6" s="55" t="inlineStr">
        <is>
          <t>DEVOLUCIÓN DE INGRESOS_MODELO 047_Nº DE LIQUIDACIÓN: 46/2024/RAS/10112/1_ Nº DE JUSTIFICANTE: 047/1/002477921_ Nº DE REFERENCIA: 047/1/002477921</t>
        </is>
      </c>
      <c r="C6" s="91" t="n">
        <v>-8877.92</v>
      </c>
    </row>
    <row r="7">
      <c r="A7" s="56" t="inlineStr">
        <is>
          <t>36.00.6P.00.16</t>
        </is>
      </c>
      <c r="B7" s="56" t="inlineStr">
        <is>
          <t>PID2022-138464NB-I00-142516OB-I00-139990NB-I00-141382OB-I00-139899OB-I00-136847NB-I00-137385NB-I00-139294NB-I00-137873NA-I00-138786NB-I00-136590OB-C43</t>
        </is>
      </c>
      <c r="C7" s="92" t="n">
        <v>10557</v>
      </c>
    </row>
    <row r="8">
      <c r="A8" s="55" t="inlineStr">
        <is>
          <t>36.00.6P.00.17</t>
        </is>
      </c>
      <c r="B8" s="55" t="inlineStr">
        <is>
          <t>PROGRAMA AYUDAS ICAR 2023 PROYECTO SAPEE</t>
        </is>
      </c>
      <c r="C8" s="91" t="n">
        <v>19740</v>
      </c>
    </row>
    <row r="9">
      <c r="A9" s="61" t="inlineStr">
        <is>
          <t>36.00.6P.00.18</t>
        </is>
      </c>
      <c r="B9" s="61" t="inlineStr">
        <is>
          <t>ayudas CIGE/2023/52, CIGE/2023/94, CIGE/2023/129, CIGE/2023/146, CIGE/2023/165, CIGE/2023/175, CIGE/2023/181, CIGE/2023/184, CIGE/2023/188, CIGE/2023/196, CIGE/2023/197, CIGE/2023/216, CIGE/2023/225, CIGE/2023/227 (LINEA SUBVENCIÓN S0296)</t>
        </is>
      </c>
      <c r="C9" s="93" t="n">
        <v>10000</v>
      </c>
    </row>
    <row r="10">
      <c r="A10" s="61" t="inlineStr">
        <is>
          <t>Total</t>
        </is>
      </c>
      <c r="B10" s="61" t="n"/>
      <c r="C10" s="94">
        <f>SUBTOTAL(109,Tabla5[Imp.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22" sqref="C22"/>
    </sheetView>
  </sheetViews>
  <sheetFormatPr baseColWidth="10" defaultRowHeight="15"/>
  <cols>
    <col width="19.140625" customWidth="1" style="81" min="1" max="1"/>
    <col width="62.7109375" customWidth="1" style="81" min="2" max="2"/>
    <col width="25.42578125" customWidth="1" style="81" min="3" max="3"/>
  </cols>
  <sheetData>
    <row r="1">
      <c r="A1" s="69" t="inlineStr">
        <is>
          <t>Org. aplic.</t>
        </is>
      </c>
      <c r="B1" s="70" t="inlineStr">
        <is>
          <t>Descripción justificante</t>
        </is>
      </c>
      <c r="C1" s="70" t="inlineStr">
        <is>
          <t>Imp. aplic.</t>
        </is>
      </c>
    </row>
    <row r="2">
      <c r="A2" s="71" t="inlineStr">
        <is>
          <t>36.00.6C.00.05</t>
        </is>
      </c>
      <c r="B2" s="72" t="inlineStr">
        <is>
          <t>Regalías por transferencias de tecnología 2024 - (Ref. contrato NEOSISTEC1-17O). 5% de 3.528.371,74 euros (importe de las ventas netas generadas en el año 2024)</t>
        </is>
      </c>
      <c r="C2" s="95" t="n">
        <v>105851.15</v>
      </c>
    </row>
    <row r="3">
      <c r="A3" s="74" t="inlineStr">
        <is>
          <t>36.00.6C.00.22</t>
        </is>
      </c>
      <c r="B3" s="75" t="inlineStr">
        <is>
          <t>Primer pago (20%) tras la firma del contrato CRUE1-24T. UNIVERSITIC 2024: ANÁLISIS ESTRATÉGICO DE LA MADUREZ DIGITAL DEL SISTEMA UNIVERSITARIO ESPAÑOL</t>
        </is>
      </c>
      <c r="C3" s="96" t="n">
        <v>3966.94</v>
      </c>
    </row>
    <row r="4">
      <c r="A4" s="71" t="inlineStr">
        <is>
          <t>36.00.6C.00.22</t>
        </is>
      </c>
      <c r="B4" s="72" t="inlineStr">
        <is>
          <t>Segundo pago (80%) tras la entrega del trabajo final del contrato CRUE1-24T. UNIVERSITIC 2024: ANÁLISIS ESTRATÉGICO DE LA MADUREZ DIGITAL DEL SISTEMA UNIVERSITARIO ESPAÑOL</t>
        </is>
      </c>
      <c r="C4" s="95" t="n">
        <v>15867.77</v>
      </c>
    </row>
    <row r="5">
      <c r="A5" s="74" t="inlineStr">
        <is>
          <t>36.00.6P.00.16</t>
        </is>
      </c>
      <c r="B5" s="75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5" s="96" t="n">
        <v>7286.4</v>
      </c>
    </row>
    <row r="6">
      <c r="A6" s="71" t="inlineStr">
        <is>
          <t>36.00.6P.00.18</t>
        </is>
      </c>
      <c r="B6" s="72" t="inlineStr">
        <is>
          <t xml:space="preserve">CIGE/2023/52/94/129/146/165/175/181/184/188/196/197/216/225/227. EN CIGE/2023/196 HAY UNA REASIGNACIÓN DEL IMPORTE (EN JI-2024-3632 SE PRODUCE UNA MINORACIÓN DE 9879,02 Y SE ASIGNA A ESTE AÑO) </t>
        </is>
      </c>
      <c r="C6" s="95" t="n">
        <v>10000</v>
      </c>
    </row>
    <row r="7">
      <c r="A7" s="74" t="inlineStr">
        <is>
          <t>36.00.6P.00.18</t>
        </is>
      </c>
      <c r="B7" s="75" t="inlineStr">
        <is>
          <t>Minoración Ayudas CIGE/2023/52, CIGE/2023/94, CIGE/2023/129, CIGE/2023/146, CIGE/2023/165, CIGE/2023/175, CIGE/2023/181, CIGE/2023/184, CIGE/2023/188, CIGE/2023/197, CIGE/2023/216,  CIGE/2023/227 (LINEA SUBVENCIÓN S0296)</t>
        </is>
      </c>
      <c r="C7" s="96" t="n">
        <v>-2077.49</v>
      </c>
    </row>
    <row r="8" ht="15.75" customHeight="1" s="81" thickBot="1">
      <c r="A8" s="71" t="inlineStr">
        <is>
          <t>36.00.6P.00.19</t>
        </is>
      </c>
      <c r="B8" s="72" t="inlineStr">
        <is>
          <t>Ingresos anualidad 2025. ref. proyecto AIA2025-163322-C63/AIA2025-163919-C53</t>
        </is>
      </c>
      <c r="C8" s="95" t="n">
        <v>90454</v>
      </c>
    </row>
    <row r="9" ht="15.75" customHeight="1" s="81" thickTop="1">
      <c r="A9" s="77" t="inlineStr">
        <is>
          <t>Total</t>
        </is>
      </c>
      <c r="B9" s="78" t="n"/>
      <c r="C9" s="97" t="n">
        <v>231348.77</v>
      </c>
    </row>
    <row r="13">
      <c r="B13" s="80" t="inlineStr">
        <is>
          <t>Total ingresos investigación 2023-25</t>
        </is>
      </c>
      <c r="C13" s="64">
        <f>'Ingresos investigación 2024'!C10+Tabla2[[#Totals],[Imp.cob.aplic.]]+C9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F18" sqref="F18"/>
    </sheetView>
  </sheetViews>
  <sheetFormatPr baseColWidth="10" defaultRowHeight="15"/>
  <cols>
    <col width="17" customWidth="1" style="81" min="1" max="1"/>
    <col width="70.140625" customWidth="1" style="81" min="2" max="2"/>
    <col width="20.28515625" bestFit="1" customWidth="1" style="81" min="3" max="3"/>
  </cols>
  <sheetData>
    <row r="1">
      <c r="A1" s="47" t="inlineStr">
        <is>
          <t>Cód. org. aplic.</t>
        </is>
      </c>
      <c r="B1" s="47" t="inlineStr">
        <is>
          <t>Descripción justificante</t>
        </is>
      </c>
      <c r="C1" s="47" t="inlineStr">
        <is>
          <t>Imp.cob.aplic.</t>
        </is>
      </c>
    </row>
    <row r="2">
      <c r="A2" s="36" t="inlineStr">
        <is>
          <t>36.00.2T.00.09</t>
        </is>
      </c>
      <c r="B2" s="36" t="inlineStr">
        <is>
          <t>Financiación al Curso de Especialista "Futuro de la Programación Web" según convenio firmado entre la Universidad de Alicante y la empresa NisNets</t>
        </is>
      </c>
      <c r="C2" s="85" t="n">
        <v>1410</v>
      </c>
    </row>
    <row r="3">
      <c r="A3" s="38" t="inlineStr">
        <is>
          <t>36.00.2T.00.09</t>
        </is>
      </c>
      <c r="B3" s="38" t="inlineStr">
        <is>
          <t xml:space="preserve">Plan_GH17 Curso_2022-23 Emitido_2022-23 - PROGRAMACIÓN DEL FUTURO DE LA WEB </t>
        </is>
      </c>
      <c r="C3" s="86" t="n">
        <v>3415.5</v>
      </c>
    </row>
    <row r="4">
      <c r="A4" s="50" t="inlineStr">
        <is>
          <t>36.00.2T.00.09</t>
        </is>
      </c>
      <c r="B4" s="50" t="inlineStr">
        <is>
          <t xml:space="preserve">LIQ-TitProp_GI27-1 Curso_2023-24 AñoCont_2023 - PROGRAMACIÓN DEL FUTURO DE LA WEB </t>
        </is>
      </c>
      <c r="C4" s="87" t="n">
        <v>5400.17</v>
      </c>
    </row>
    <row r="5">
      <c r="A5" s="61" t="inlineStr">
        <is>
          <t>Total</t>
        </is>
      </c>
      <c r="B5" s="61" t="n"/>
      <c r="C5" s="98">
        <f>SUBTOTAL(109,Tabla4[Imp.cob.aplic.])</f>
        <v/>
      </c>
    </row>
    <row r="6">
      <c r="C6" s="8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9" sqref="B9:C9"/>
    </sheetView>
  </sheetViews>
  <sheetFormatPr baseColWidth="10" defaultRowHeight="15"/>
  <cols>
    <col width="16.7109375" customWidth="1" style="81" min="1" max="1"/>
    <col width="75.85546875" customWidth="1" style="81" min="2" max="2"/>
    <col width="12.28515625" customWidth="1" style="81" min="3" max="3"/>
  </cols>
  <sheetData>
    <row r="1">
      <c r="A1" s="57" t="inlineStr">
        <is>
          <t>Org. aplic.</t>
        </is>
      </c>
      <c r="B1" s="57" t="inlineStr">
        <is>
          <t>Descripción justificante</t>
        </is>
      </c>
      <c r="C1" s="57" t="inlineStr">
        <is>
          <t>Imp. aplic.</t>
        </is>
      </c>
    </row>
    <row r="2">
      <c r="A2" s="55" t="inlineStr">
        <is>
          <t>36.00.2T.00.09</t>
        </is>
      </c>
      <c r="B2" s="55" t="inlineStr">
        <is>
          <t>DEVOLUCIÓN DE TASAS NÓMINAS_REMESA Nº 2024DTR070585_2024EXPADM0262/RDT INVERSA 2024EXPADM0262</t>
        </is>
      </c>
      <c r="C2" s="91" t="n">
        <v>-1269.05</v>
      </c>
    </row>
    <row r="3">
      <c r="A3" s="56" t="inlineStr">
        <is>
          <t>36.00.2T.00.09</t>
        </is>
      </c>
      <c r="B3" s="56" t="inlineStr">
        <is>
          <t>INGRESO PERCIBIDO POR LA UNIVERSIDAD DE ALICANTE EN CONCEPTO DE FINANCIACIÓN DE CURSO FUTURO DE LA PROGRAMACIÓN WEB. GI27</t>
        </is>
      </c>
      <c r="C3" s="92" t="n">
        <v>8550</v>
      </c>
    </row>
    <row r="4">
      <c r="A4" s="65" t="inlineStr">
        <is>
          <t>36.00.2T.00.09</t>
        </is>
      </c>
      <c r="B4" s="65" t="inlineStr">
        <is>
          <t xml:space="preserve">LIQ-EP_Plan_GI27-1 Curso_2024-25_AñoCont_2024 TipoRec_Emitido - PROGRAMACIÓN DEL FUTURO DE LA WEB _ (Cierre-24) </t>
        </is>
      </c>
      <c r="C4" s="99" t="n">
        <v>1755</v>
      </c>
    </row>
    <row r="5">
      <c r="A5" s="61" t="inlineStr">
        <is>
          <t>Total</t>
        </is>
      </c>
      <c r="B5" s="61" t="n"/>
      <c r="C5" s="98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D6"/>
  <sheetViews>
    <sheetView tabSelected="1" workbookViewId="0">
      <selection activeCell="C3" sqref="C3"/>
    </sheetView>
  </sheetViews>
  <sheetFormatPr baseColWidth="10" defaultRowHeight="15"/>
  <cols>
    <col width="46.28515625" customWidth="1" style="81" min="3" max="3"/>
  </cols>
  <sheetData>
    <row r="2">
      <c r="C2" t="inlineStr">
        <is>
          <t>Sin ingresos de docencia en 2025</t>
        </is>
      </c>
    </row>
    <row r="6">
      <c r="C6" s="63" t="inlineStr">
        <is>
          <t>Total ingresos formación 2023-25</t>
        </is>
      </c>
      <c r="D6" s="64">
        <f>'Ingresos formación 2024'!C5+Tabla4[[#Totals],[Imp.cob.aplic.]]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dbt@ua.es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2026-05-28T21:59:08Z</dcterms:modified>
  <cp:lastModifiedBy>mayte.pujalte</cp:lastModifiedBy>
</cp:coreProperties>
</file>