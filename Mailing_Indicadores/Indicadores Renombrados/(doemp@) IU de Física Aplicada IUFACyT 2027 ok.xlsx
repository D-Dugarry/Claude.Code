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Correo" sheetId="6" state="veryHidden" r:id="rId6"/>
  </sheets>
  <definedNames>
    <definedName name="_xlnm._FilterDatabase" localSheetId="0" hidden="1">'Tesis'!$A$1:$T$34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_-* #,##0.00_-;\-* #,##0.00_-;_-* &quot;-&quot;??_-;_-@_-"/>
    <numFmt numFmtId="167" formatCode="_-* #,##0.00\ _€_-;\-* #,##0.00\ _€_-;_-* &quot;-&quot;??\ _€_-;_-@_-"/>
  </numFmts>
  <fonts count="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Calibri"/>
      <family val="2"/>
      <b val="1"/>
      <color theme="0"/>
      <sz val="11"/>
      <scheme val="minor"/>
    </font>
  </fonts>
  <fills count="1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3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43" fontId="13" fillId="0" borderId="0"/>
  </cellStyleXfs>
  <cellXfs count="89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4" borderId="1" pivotButton="0" quotePrefix="0" xfId="1"/>
    <xf numFmtId="0" fontId="2" fillId="4" borderId="1" applyAlignment="1" pivotButton="0" quotePrefix="0" xfId="1">
      <alignment horizontal="right"/>
    </xf>
    <xf numFmtId="1" fontId="2" fillId="4" borderId="1" pivotButton="0" quotePrefix="0" xfId="1"/>
    <xf numFmtId="164" fontId="2" fillId="4" borderId="1" pivotButton="0" quotePrefix="0" xfId="1"/>
    <xf numFmtId="0" fontId="2" fillId="0" borderId="1" pivotButton="0" quotePrefix="0" xfId="1"/>
    <xf numFmtId="0" fontId="11" fillId="6" borderId="1" applyAlignment="1" pivotButton="0" quotePrefix="0" xfId="0">
      <alignment horizontal="left" vertical="center"/>
    </xf>
    <xf numFmtId="0" fontId="4" fillId="3" borderId="1" applyAlignment="1" pivotButton="0" quotePrefix="0" xfId="2">
      <alignment horizontal="center"/>
    </xf>
    <xf numFmtId="165" fontId="2" fillId="4" borderId="1" pivotButton="0" quotePrefix="0" xfId="1"/>
    <xf numFmtId="0" fontId="6" fillId="0" borderId="1" pivotButton="0" quotePrefix="0" xfId="0"/>
    <xf numFmtId="164" fontId="2" fillId="0" borderId="1" pivotButton="0" quotePrefix="0" xfId="1"/>
    <xf numFmtId="0" fontId="2" fillId="2" borderId="0" pivotButton="0" quotePrefix="0" xfId="1"/>
    <xf numFmtId="0" fontId="2" fillId="2" borderId="0" applyAlignment="1" pivotButton="0" quotePrefix="0" xfId="1">
      <alignment horizontal="right"/>
    </xf>
    <xf numFmtId="164" fontId="3" fillId="2" borderId="0" pivotButton="0" quotePrefix="0" xfId="1"/>
    <xf numFmtId="0" fontId="2" fillId="0" borderId="1" applyAlignment="1" pivotButton="0" quotePrefix="0" xfId="1">
      <alignment horizontal="right"/>
    </xf>
    <xf numFmtId="0" fontId="2" fillId="0" borderId="0" pivotButton="0" quotePrefix="0" xfId="1"/>
    <xf numFmtId="0" fontId="16" fillId="8" borderId="2" pivotButton="0" quotePrefix="0" xfId="0"/>
    <xf numFmtId="166" fontId="0" fillId="8" borderId="2" pivotButton="0" quotePrefix="0" xfId="6"/>
    <xf numFmtId="0" fontId="16" fillId="0" borderId="2" pivotButton="0" quotePrefix="0" xfId="0"/>
    <xf numFmtId="166" fontId="0" fillId="0" borderId="2" pivotButton="0" quotePrefix="0" xfId="6"/>
    <xf numFmtId="166" fontId="0" fillId="0" borderId="0" pivotButton="0" quotePrefix="0" xfId="0"/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0" fillId="9" borderId="0" pivotButton="0" quotePrefix="0" xfId="0"/>
    <xf numFmtId="0" fontId="0" fillId="9" borderId="0" applyAlignment="1" pivotButton="0" quotePrefix="0" xfId="0">
      <alignment horizontal="left"/>
    </xf>
    <xf numFmtId="0" fontId="12" fillId="9" borderId="0" pivotButton="0" quotePrefix="0" xfId="0"/>
    <xf numFmtId="0" fontId="15" fillId="7" borderId="3" pivotButton="0" quotePrefix="0" xfId="0"/>
    <xf numFmtId="0" fontId="16" fillId="8" borderId="4" pivotButton="0" quotePrefix="0" xfId="0"/>
    <xf numFmtId="166" fontId="0" fillId="8" borderId="4" pivotButton="0" quotePrefix="0" xfId="6"/>
    <xf numFmtId="0" fontId="9" fillId="10" borderId="4" pivotButton="0" quotePrefix="0" xfId="0"/>
    <xf numFmtId="166" fontId="13" fillId="10" borderId="4" pivotButton="0" quotePrefix="0" xfId="0"/>
    <xf numFmtId="0" fontId="0" fillId="11" borderId="0" pivotButton="0" quotePrefix="0" xfId="0"/>
    <xf numFmtId="0" fontId="0" fillId="8" borderId="2" pivotButton="0" quotePrefix="0" xfId="0"/>
    <xf numFmtId="166" fontId="0" fillId="8" borderId="2" pivotButton="0" quotePrefix="0" xfId="6"/>
    <xf numFmtId="0" fontId="0" fillId="0" borderId="2" pivotButton="0" quotePrefix="0" xfId="0"/>
    <xf numFmtId="166" fontId="0" fillId="0" borderId="2" pivotButton="0" quotePrefix="0" xfId="6"/>
    <xf numFmtId="0" fontId="17" fillId="7" borderId="3" pivotButton="0" quotePrefix="0" xfId="0"/>
    <xf numFmtId="166" fontId="17" fillId="7" borderId="3" pivotButton="0" quotePrefix="0" xfId="6"/>
    <xf numFmtId="0" fontId="0" fillId="8" borderId="4" pivotButton="0" quotePrefix="0" xfId="0"/>
    <xf numFmtId="166" fontId="0" fillId="8" borderId="4" pivotButton="0" quotePrefix="0" xfId="6"/>
    <xf numFmtId="0" fontId="0" fillId="10" borderId="4" pivotButton="0" quotePrefix="0" xfId="0"/>
    <xf numFmtId="0" fontId="12" fillId="0" borderId="1" pivotButton="0" quotePrefix="0" xfId="0"/>
    <xf numFmtId="166" fontId="12" fillId="0" borderId="1" pivotButton="0" quotePrefix="0" xfId="6"/>
    <xf numFmtId="0" fontId="14" fillId="12" borderId="5" pivotButton="0" quotePrefix="0" xfId="0"/>
    <xf numFmtId="0" fontId="14" fillId="12" borderId="6" pivotButton="0" quotePrefix="0" xfId="0"/>
    <xf numFmtId="0" fontId="9" fillId="13" borderId="5" pivotButton="0" quotePrefix="0" xfId="0"/>
    <xf numFmtId="0" fontId="9" fillId="13" borderId="6" pivotButton="0" quotePrefix="0" xfId="0"/>
    <xf numFmtId="167" fontId="9" fillId="13" borderId="6" pivotButton="0" quotePrefix="0" xfId="6"/>
    <xf numFmtId="0" fontId="9" fillId="0" borderId="5" pivotButton="0" quotePrefix="0" xfId="0"/>
    <xf numFmtId="0" fontId="9" fillId="0" borderId="6" pivotButton="0" quotePrefix="0" xfId="0"/>
    <xf numFmtId="167" fontId="9" fillId="0" borderId="6" pivotButton="0" quotePrefix="0" xfId="6"/>
    <xf numFmtId="0" fontId="10" fillId="0" borderId="7" pivotButton="0" quotePrefix="0" xfId="0"/>
    <xf numFmtId="0" fontId="10" fillId="0" borderId="8" pivotButton="0" quotePrefix="0" xfId="0"/>
    <xf numFmtId="167" fontId="10" fillId="0" borderId="8" pivotButton="0" quotePrefix="0" xfId="6"/>
    <xf numFmtId="0" fontId="0" fillId="11" borderId="1" applyAlignment="1" pivotButton="0" quotePrefix="0" xfId="0">
      <alignment horizontal="center"/>
    </xf>
    <xf numFmtId="0" fontId="6" fillId="11" borderId="1" applyAlignment="1" pivotButton="0" quotePrefix="0" xfId="0">
      <alignment horizontal="center"/>
    </xf>
    <xf numFmtId="0" fontId="2" fillId="11" borderId="1" pivotButton="0" quotePrefix="0" xfId="1"/>
    <xf numFmtId="0" fontId="2" fillId="11" borderId="1" applyAlignment="1" pivotButton="0" quotePrefix="0" xfId="1">
      <alignment horizontal="right"/>
    </xf>
    <xf numFmtId="0" fontId="2" fillId="11" borderId="0" pivotButton="0" quotePrefix="0" xfId="1"/>
    <xf numFmtId="0" fontId="2" fillId="11" borderId="1" pivotButton="0" quotePrefix="0" xfId="1"/>
    <xf numFmtId="0" fontId="2" fillId="11" borderId="1" pivotButton="0" quotePrefix="0" xfId="0"/>
    <xf numFmtId="0" fontId="2" fillId="11" borderId="0" pivotButton="0" quotePrefix="0" xfId="1"/>
    <xf numFmtId="166" fontId="0" fillId="8" borderId="2" pivotButton="0" quotePrefix="0" xfId="6"/>
    <xf numFmtId="166" fontId="0" fillId="0" borderId="2" pivotButton="0" quotePrefix="0" xfId="6"/>
    <xf numFmtId="166" fontId="0" fillId="8" borderId="4" pivotButton="0" quotePrefix="0" xfId="6"/>
    <xf numFmtId="166" fontId="13" fillId="10" borderId="4" pivotButton="0" quotePrefix="0" xfId="0"/>
    <xf numFmtId="166" fontId="0" fillId="0" borderId="0" pivotButton="0" quotePrefix="0" xfId="0"/>
    <xf numFmtId="166" fontId="17" fillId="7" borderId="3" pivotButton="0" quotePrefix="0" xfId="6"/>
    <xf numFmtId="167" fontId="9" fillId="13" borderId="6" pivotButton="0" quotePrefix="0" xfId="6"/>
    <xf numFmtId="167" fontId="9" fillId="0" borderId="6" pivotButton="0" quotePrefix="0" xfId="6"/>
    <xf numFmtId="167" fontId="10" fillId="0" borderId="8" pivotButton="0" quotePrefix="0" xfId="6"/>
    <xf numFmtId="166" fontId="12" fillId="0" borderId="1" pivotButton="0" quotePrefix="0" xfId="6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21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a3" displayName="Tabla3" ref="A1:C25" headerRowCount="1" totalsRowCount="1" headerRowDxfId="20" totalsRowDxfId="17" headerRowBorderDxfId="19" tableBorderDxfId="18" totalsRowBorderDxfId="16">
  <autoFilter ref="A1:C24"/>
  <tableColumns count="3">
    <tableColumn id="1" name="Cód. org. aplic." totalsRowLabel="Total" dataDxfId="15" totalsRowDxfId="14"/>
    <tableColumn id="2" name="Descripción justificante" dataDxfId="13" totalsRowDxfId="12"/>
    <tableColumn id="3" name="Imp.cob.aplic." totalsRowFunction="sum" dataDxfId="11" totalsRowDxfId="10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1:C53" headerRowCount="1" totalsRowCount="1" totalsRowDxfId="7" headerRowBorderDxfId="9" tableBorderDxfId="8" totalsRowBorderDxfId="6">
  <autoFilter ref="A1:C52"/>
  <tableColumns count="3">
    <tableColumn id="1" name="Org. aplic." totalsRowLabel="Total" dataDxfId="5" totalsRowDxfId="4"/>
    <tableColumn id="2" name="Descripción justificante" dataDxfId="3" totalsRowDxfId="2"/>
    <tableColumn id="3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34"/>
  <sheetViews>
    <sheetView showGridLines="0" tabSelected="1" topLeftCell="B1" zoomScaleNormal="100" workbookViewId="0">
      <selection activeCell="E39" sqref="E39"/>
    </sheetView>
  </sheetViews>
  <sheetFormatPr baseColWidth="10" defaultColWidth="10.28515625" defaultRowHeight="11.25"/>
  <cols>
    <col width="5" customWidth="1" style="5" min="1" max="1"/>
    <col width="29.7109375" customWidth="1" style="5" min="2" max="4"/>
    <col width="40.7109375" customWidth="1" style="5" min="5" max="5"/>
    <col width="9.140625" customWidth="1" style="5" min="6" max="6"/>
    <col width="9.7109375" customWidth="1" style="5" min="7" max="7"/>
    <col width="14.42578125" customWidth="1" style="5" min="8" max="8"/>
    <col width="5.85546875" customWidth="1" style="5" min="9" max="9"/>
    <col width="25.7109375" customWidth="1" style="5" min="10" max="10"/>
    <col width="5.140625" customWidth="1" style="5" min="11" max="11"/>
    <col width="5.28515625" customWidth="1" style="6" min="12" max="12"/>
    <col width="4.85546875" customWidth="1" style="5" min="13" max="13"/>
    <col width="5.28515625" customWidth="1" style="6" min="14" max="14"/>
    <col width="4.85546875" customWidth="1" style="5" min="15" max="15"/>
    <col width="3.5703125" customWidth="1" style="6" min="16" max="16"/>
    <col width="3.5703125" customWidth="1" style="5" min="17" max="17"/>
    <col width="5.140625" customWidth="1" style="5" min="18" max="20"/>
    <col width="10.28515625" customWidth="1" style="5" min="21" max="16384"/>
  </cols>
  <sheetData>
    <row r="1" ht="45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2" t="inlineStr">
        <is>
          <t>ASIGNACIÓN</t>
        </is>
      </c>
      <c r="L1" s="24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3" t="inlineStr">
        <is>
          <t>DED INS 1</t>
        </is>
      </c>
      <c r="P1" s="4" t="inlineStr">
        <is>
          <t>INS 2</t>
        </is>
      </c>
      <c r="Q1" s="3" t="inlineStr">
        <is>
          <t>DED INS 2</t>
        </is>
      </c>
      <c r="R1" s="3" t="inlineStr">
        <is>
          <t>DED DEP</t>
        </is>
      </c>
      <c r="S1" s="3" t="inlineStr">
        <is>
          <t>TDOC DEP</t>
        </is>
      </c>
      <c r="T1" s="3" t="inlineStr">
        <is>
          <t>TDOC INST 1</t>
        </is>
      </c>
      <c r="U1" s="3" t="inlineStr">
        <is>
          <t>TDOC INST 2</t>
        </is>
      </c>
    </row>
    <row r="2">
      <c r="A2" s="18" t="inlineStr">
        <is>
          <t xml:space="preserve">U066 </t>
        </is>
      </c>
      <c r="B2" s="18" t="inlineStr">
        <is>
          <t xml:space="preserve">ADM. I.U. FÍSICA APLICADA A LA CIENCIAS Y A LAS TECNOLOGIAS </t>
        </is>
      </c>
      <c r="C2" s="18" t="inlineStr">
        <is>
          <t xml:space="preserve">DOCTORADO EN FÍSICA APLICADA A LAS CIENCIAS Y LAS TECNOLOGÍAS </t>
        </is>
      </c>
      <c r="D2" s="18" t="inlineStr">
        <is>
          <t xml:space="preserve">I Y Huraibat , Khalil </t>
        </is>
      </c>
      <c r="E2" s="18" t="inlineStr">
        <is>
          <t xml:space="preserve">Advanced digital reproduction of goniochromatic objects </t>
        </is>
      </c>
      <c r="F2" s="18" t="inlineStr">
        <is>
          <t xml:space="preserve">16/05/2022 </t>
        </is>
      </c>
      <c r="G2" s="18" t="inlineStr">
        <is>
          <t xml:space="preserve">- </t>
        </is>
      </c>
      <c r="H2" s="18" t="inlineStr">
        <is>
          <t xml:space="preserve">Codirector de tesis </t>
        </is>
      </c>
      <c r="I2" s="18" t="inlineStr">
        <is>
          <t xml:space="preserve">U066 </t>
        </is>
      </c>
      <c r="J2" s="18" t="inlineStr">
        <is>
          <t xml:space="preserve">ADM. I.U. FÍSICA APLICADA A LA CIENCIAS Y A LAS TECNOLOGIAS </t>
        </is>
      </c>
      <c r="K2" s="18" t="n">
        <v>0.5</v>
      </c>
      <c r="L2" s="21" t="inlineStr">
        <is>
          <t>10.20</t>
        </is>
      </c>
      <c r="M2" s="18" t="n">
        <v>2021</v>
      </c>
      <c r="N2" s="18" t="inlineStr"/>
      <c r="O2" s="18" t="inlineStr"/>
      <c r="P2" s="19" t="inlineStr"/>
      <c r="Q2" s="18" t="inlineStr"/>
      <c r="R2" s="19" t="n">
        <v>100</v>
      </c>
      <c r="S2" s="20" t="n">
        <v>1</v>
      </c>
      <c r="T2" s="27" t="n">
        <v>0</v>
      </c>
      <c r="U2" s="27" t="n">
        <v>0</v>
      </c>
    </row>
    <row r="3">
      <c r="A3" s="18" t="inlineStr">
        <is>
          <t xml:space="preserve">U066 </t>
        </is>
      </c>
      <c r="B3" s="18" t="inlineStr">
        <is>
          <t xml:space="preserve">ADM. I.U. FÍSICA APLICADA A LA CIENCIAS Y A LAS TECNOLOGIAS </t>
        </is>
      </c>
      <c r="C3" s="18" t="inlineStr">
        <is>
          <t xml:space="preserve">DOCTORADO EN FÍSICA APLICADA A LAS CIENCIAS Y LAS TECNOLOGÍAS </t>
        </is>
      </c>
      <c r="D3" s="18" t="inlineStr">
        <is>
          <t xml:space="preserve">Soler Llorens, Juan Luis </t>
        </is>
      </c>
      <c r="E3" s="18" t="inlineStr">
        <is>
          <t xml:space="preserve">DISEÑO, IMPLEMENTACIÓN Y VALIDACIÓN DE SISTEMAS DE ADQUISICIÓN DE DATOS SÍSMICOS BASADOS EN ARDUINO </t>
        </is>
      </c>
      <c r="F3" s="18" t="inlineStr">
        <is>
          <t xml:space="preserve">16/12/2019 </t>
        </is>
      </c>
      <c r="G3" s="18" t="inlineStr">
        <is>
          <t xml:space="preserve">21499481R </t>
        </is>
      </c>
      <c r="H3" s="18" t="inlineStr">
        <is>
          <t xml:space="preserve">Codirector de tesis </t>
        </is>
      </c>
      <c r="I3" s="18" t="inlineStr">
        <is>
          <t xml:space="preserve">B149 </t>
        </is>
      </c>
      <c r="J3" s="18" t="inlineStr">
        <is>
          <t xml:space="preserve">FISICA, INGENIERIA DE SISTEMAS Y TEORIA DE LA SEÑAL </t>
        </is>
      </c>
      <c r="K3" s="18" t="n">
        <v>0.5</v>
      </c>
      <c r="L3" s="21" t="inlineStr">
        <is>
          <t>B149</t>
        </is>
      </c>
      <c r="M3" s="18" t="n">
        <v>2019</v>
      </c>
      <c r="N3" s="18" t="inlineStr">
        <is>
          <t>10.20</t>
        </is>
      </c>
      <c r="O3" s="18" t="inlineStr">
        <is>
          <t>20</t>
        </is>
      </c>
      <c r="P3" s="19" t="inlineStr"/>
      <c r="Q3" s="18" t="inlineStr"/>
      <c r="R3" s="19" t="n">
        <v>80</v>
      </c>
      <c r="S3" s="20" t="n">
        <v>0.4</v>
      </c>
      <c r="T3" s="27" t="n">
        <v>0.1</v>
      </c>
      <c r="U3" s="27" t="n">
        <v>0</v>
      </c>
    </row>
    <row r="4">
      <c r="A4" s="18" t="inlineStr">
        <is>
          <t xml:space="preserve">U066 </t>
        </is>
      </c>
      <c r="B4" s="18" t="inlineStr">
        <is>
          <t xml:space="preserve">ADM. I.U. FÍSICA APLICADA A LA CIENCIAS Y A LAS TECNOLOGIAS </t>
        </is>
      </c>
      <c r="C4" s="18" t="inlineStr">
        <is>
          <t xml:space="preserve">DOCTORADO EN FÍSICA APLICADA A LAS CIENCIAS Y LAS TECNOLOGÍAS </t>
        </is>
      </c>
      <c r="D4" s="18" t="inlineStr">
        <is>
          <t xml:space="preserve">Soler Llorens, Juan Luis </t>
        </is>
      </c>
      <c r="E4" s="18" t="inlineStr">
        <is>
          <t xml:space="preserve">DISEÑO, IMPLEMENTACIÓN Y VALIDACIÓN DE SISTEMAS DE ADQUISICIÓN DE DATOS SÍSMICOS BASADOS EN ARDUINO </t>
        </is>
      </c>
      <c r="F4" s="18" t="inlineStr">
        <is>
          <t xml:space="preserve">16/12/2019 </t>
        </is>
      </c>
      <c r="G4" s="18" t="inlineStr">
        <is>
          <t xml:space="preserve">21372721V </t>
        </is>
      </c>
      <c r="H4" s="18" t="inlineStr">
        <is>
          <t xml:space="preserve">Codirector de tesis </t>
        </is>
      </c>
      <c r="I4" s="18" t="inlineStr">
        <is>
          <t xml:space="preserve">B156 </t>
        </is>
      </c>
      <c r="J4" s="18" t="inlineStr">
        <is>
          <t xml:space="preserve">CIENCIAS DE LA TIERRA Y DEL MEDIO AMBIENTE </t>
        </is>
      </c>
      <c r="K4" s="18" t="n">
        <v>0.5</v>
      </c>
      <c r="L4" s="21" t="inlineStr">
        <is>
          <t>B156</t>
        </is>
      </c>
      <c r="M4" s="18" t="n">
        <v>2019</v>
      </c>
      <c r="N4" s="18" t="inlineStr">
        <is>
          <t>10.20</t>
        </is>
      </c>
      <c r="O4" s="18" t="inlineStr">
        <is>
          <t>20</t>
        </is>
      </c>
      <c r="P4" s="19" t="inlineStr"/>
      <c r="Q4" s="18" t="inlineStr"/>
      <c r="R4" s="19" t="n">
        <v>80</v>
      </c>
      <c r="S4" s="20" t="n">
        <v>0.4</v>
      </c>
      <c r="T4" s="27" t="n">
        <v>0.1</v>
      </c>
      <c r="U4" s="27" t="n">
        <v>0</v>
      </c>
    </row>
    <row r="5">
      <c r="A5" s="18" t="inlineStr">
        <is>
          <t xml:space="preserve">B112 </t>
        </is>
      </c>
      <c r="B5" s="18" t="inlineStr">
        <is>
          <t xml:space="preserve">DIDACTICA GENERAL Y DIDÁCTICAS ESPECÍFICAS </t>
        </is>
      </c>
      <c r="C5" s="18" t="inlineStr">
        <is>
          <t xml:space="preserve">DOCTORADO EN INVESTIGACIÓN EDUCATIVA </t>
        </is>
      </c>
      <c r="D5" s="18" t="inlineStr">
        <is>
          <t xml:space="preserve">Nicolás Castellano, Carolina </t>
        </is>
      </c>
      <c r="E5" s="18" t="inlineStr">
        <is>
          <t xml:space="preserve">Hacia el cambio didáctico en la enseñanza de las ciencias en la educación primaria: de la enseñanza transmisiva a la enseñanza problematizada </t>
        </is>
      </c>
      <c r="F5" s="18" t="inlineStr">
        <is>
          <t xml:space="preserve">20/04/2021 </t>
        </is>
      </c>
      <c r="G5" s="18" t="inlineStr">
        <is>
          <t xml:space="preserve">21386831M </t>
        </is>
      </c>
      <c r="H5" s="18" t="inlineStr">
        <is>
          <t xml:space="preserve">Director de tesis </t>
        </is>
      </c>
      <c r="I5" s="18" t="inlineStr">
        <is>
          <t xml:space="preserve">B112 </t>
        </is>
      </c>
      <c r="J5" s="18" t="inlineStr">
        <is>
          <t xml:space="preserve">DIDACTICA GENERAL Y DIDÁCTICAS ESPECÍFICAS </t>
        </is>
      </c>
      <c r="K5" s="18" t="n">
        <v>1</v>
      </c>
      <c r="L5" s="21" t="inlineStr">
        <is>
          <t>B112</t>
        </is>
      </c>
      <c r="M5" s="18" t="n">
        <v>2020</v>
      </c>
      <c r="N5" s="18" t="inlineStr">
        <is>
          <t>10.20</t>
        </is>
      </c>
      <c r="O5" s="18" t="n">
        <v>50</v>
      </c>
      <c r="P5" s="19" t="inlineStr"/>
      <c r="Q5" s="18" t="n">
        <v>0</v>
      </c>
      <c r="R5" s="19" t="n">
        <v>50</v>
      </c>
      <c r="S5" s="20" t="n">
        <v>0.5</v>
      </c>
      <c r="T5" s="27" t="n">
        <v>0.5</v>
      </c>
      <c r="U5" s="27" t="n">
        <v>0</v>
      </c>
    </row>
    <row r="6">
      <c r="A6" s="18" t="inlineStr">
        <is>
          <t xml:space="preserve">U066 </t>
        </is>
      </c>
      <c r="B6" s="18" t="inlineStr">
        <is>
          <t xml:space="preserve">ADM. I.U. FÍSICA APLICADA A LA CIENCIAS Y A LAS TECNOLOGIAS </t>
        </is>
      </c>
      <c r="C6" s="18" t="inlineStr">
        <is>
          <t xml:space="preserve">DOCTORADO EN FÍSICA APLICADA A LAS CIENCIAS Y LAS TECNOLOGÍAS </t>
        </is>
      </c>
      <c r="D6" s="18" t="inlineStr">
        <is>
          <t xml:space="preserve">Martínez Chicharro, María </t>
        </is>
      </c>
      <c r="E6" s="18" t="inlineStr">
        <is>
          <t xml:space="preserve">Stellar wind diagnostic and accretion in the massive X-ray binary 4U1700-37 through high resolution X-ray spectroscopy </t>
        </is>
      </c>
      <c r="F6" s="18" t="inlineStr">
        <is>
          <t xml:space="preserve">28/05/2021 </t>
        </is>
      </c>
      <c r="G6" s="18" t="inlineStr">
        <is>
          <t xml:space="preserve">19099684R </t>
        </is>
      </c>
      <c r="H6" s="18" t="inlineStr">
        <is>
          <t xml:space="preserve">Director de tesis </t>
        </is>
      </c>
      <c r="I6" s="18" t="inlineStr">
        <is>
          <t xml:space="preserve">B149 </t>
        </is>
      </c>
      <c r="J6" s="18" t="inlineStr">
        <is>
          <t xml:space="preserve">FISICA, INGENIERIA DE SISTEMAS Y TEORIA DE LA SEÑAL </t>
        </is>
      </c>
      <c r="K6" s="18" t="n">
        <v>1</v>
      </c>
      <c r="L6" s="21" t="inlineStr">
        <is>
          <t>B149</t>
        </is>
      </c>
      <c r="M6" s="18" t="n">
        <v>2020</v>
      </c>
      <c r="N6" s="18" t="inlineStr">
        <is>
          <t>10.20</t>
        </is>
      </c>
      <c r="O6" s="18" t="n">
        <v>20</v>
      </c>
      <c r="P6" s="19" t="inlineStr"/>
      <c r="Q6" s="18" t="n">
        <v>0</v>
      </c>
      <c r="R6" s="19" t="n">
        <v>80</v>
      </c>
      <c r="S6" s="20" t="n">
        <v>0.8</v>
      </c>
      <c r="T6" s="27" t="n">
        <v>0.2</v>
      </c>
      <c r="U6" s="27" t="n">
        <v>0</v>
      </c>
    </row>
    <row r="7">
      <c r="A7" s="18" t="inlineStr">
        <is>
          <t xml:space="preserve">B185 </t>
        </is>
      </c>
      <c r="B7" s="18" t="inlineStr">
        <is>
          <t xml:space="preserve">INGENIERÍA CIVIL </t>
        </is>
      </c>
      <c r="C7" s="18" t="inlineStr">
        <is>
          <t xml:space="preserve">DOCTORADO EN INGENIERÍA DE MATERIALES, ESTRUCTURAS Y TERRENO: CONSTR. SOST. </t>
        </is>
      </c>
      <c r="D7" s="18" t="inlineStr">
        <is>
          <t xml:space="preserve">Miró Oca, Marina </t>
        </is>
      </c>
      <c r="E7" s="18" t="inlineStr">
        <is>
          <t xml:space="preserve">APLICACIÓN DE TÉCNICAS ULTRASÓNICAS NO LINEALES A LA DETECCIÓN DE LA FISURACIÓN POR CORROSIÓN DEL ACERO EN HORMIGÓN </t>
        </is>
      </c>
      <c r="F7" s="18" t="inlineStr">
        <is>
          <t xml:space="preserve">20/12/2021 </t>
        </is>
      </c>
      <c r="G7" s="18" t="inlineStr">
        <is>
          <t xml:space="preserve">73989362H </t>
        </is>
      </c>
      <c r="H7" s="18" t="inlineStr">
        <is>
          <t xml:space="preserve">Codirector de tesis </t>
        </is>
      </c>
      <c r="I7" s="18" t="inlineStr">
        <is>
          <t xml:space="preserve">B149 </t>
        </is>
      </c>
      <c r="J7" s="18" t="inlineStr">
        <is>
          <t xml:space="preserve">FISICA, INGENIERIA DE SISTEMAS Y TEORIA DE LA SEÑAL </t>
        </is>
      </c>
      <c r="K7" s="18" t="n">
        <v>0.5</v>
      </c>
      <c r="L7" s="21" t="inlineStr">
        <is>
          <t>B149</t>
        </is>
      </c>
      <c r="M7" s="18" t="n">
        <v>2021</v>
      </c>
      <c r="N7" s="18" t="inlineStr">
        <is>
          <t>10.20</t>
        </is>
      </c>
      <c r="O7" s="18" t="n">
        <v>50</v>
      </c>
      <c r="P7" s="19" t="inlineStr"/>
      <c r="Q7" s="18" t="n">
        <v>0</v>
      </c>
      <c r="R7" s="19" t="n">
        <v>50</v>
      </c>
      <c r="S7" s="20" t="n">
        <v>0.25</v>
      </c>
      <c r="T7" s="27" t="n">
        <v>0.25</v>
      </c>
      <c r="U7" s="27" t="n">
        <v>0</v>
      </c>
    </row>
    <row r="8">
      <c r="A8" s="18" t="inlineStr">
        <is>
          <t xml:space="preserve">U066 </t>
        </is>
      </c>
      <c r="B8" s="18" t="inlineStr">
        <is>
          <t xml:space="preserve">ADM. I.U. FÍSICA APLICADA A LA CIENCIAS Y A LAS TECNOLOGIAS </t>
        </is>
      </c>
      <c r="C8" s="18" t="inlineStr">
        <is>
          <t xml:space="preserve">DOCTORADO EN FÍSICA APLICADA A LAS CIENCIAS Y LAS TECNOLOGÍAS </t>
        </is>
      </c>
      <c r="D8" s="18" t="inlineStr">
        <is>
          <t xml:space="preserve">Tomás López, María Baralida </t>
        </is>
      </c>
      <c r="E8" s="18" t="inlineStr">
        <is>
          <t xml:space="preserve">Estudio e implementación de técnicas subpíxel para medidas no invasivas </t>
        </is>
      </c>
      <c r="F8" s="18" t="inlineStr">
        <is>
          <t xml:space="preserve">10/06/2022 </t>
        </is>
      </c>
      <c r="G8" s="18" t="inlineStr">
        <is>
          <t xml:space="preserve">25414751G </t>
        </is>
      </c>
      <c r="H8" s="18" t="inlineStr">
        <is>
          <t xml:space="preserve">Codirector de tesis </t>
        </is>
      </c>
      <c r="I8" s="18" t="inlineStr">
        <is>
          <t xml:space="preserve">B185 </t>
        </is>
      </c>
      <c r="J8" s="18" t="inlineStr">
        <is>
          <t xml:space="preserve">INGENIERÍA CIVIL </t>
        </is>
      </c>
      <c r="K8" s="18" t="n">
        <v>0.5</v>
      </c>
      <c r="L8" s="21" t="inlineStr">
        <is>
          <t>B185</t>
        </is>
      </c>
      <c r="M8" s="18" t="n">
        <v>2021</v>
      </c>
      <c r="N8" s="18" t="inlineStr">
        <is>
          <t>10.20</t>
        </is>
      </c>
      <c r="O8" s="18" t="n">
        <v>50</v>
      </c>
      <c r="P8" s="19" t="inlineStr"/>
      <c r="Q8" s="18" t="n">
        <v>0</v>
      </c>
      <c r="R8" s="19" t="n">
        <v>50</v>
      </c>
      <c r="S8" s="20" t="n">
        <v>0.25</v>
      </c>
      <c r="T8" s="27" t="n">
        <v>0.25</v>
      </c>
      <c r="U8" s="27" t="n">
        <v>0</v>
      </c>
    </row>
    <row r="9">
      <c r="A9" s="18" t="inlineStr">
        <is>
          <t xml:space="preserve">U066 </t>
        </is>
      </c>
      <c r="B9" s="18" t="inlineStr">
        <is>
          <t xml:space="preserve">ADM. I.U. FÍSICA APLICADA A LA CIENCIAS Y A LAS TECNOLOGIAS </t>
        </is>
      </c>
      <c r="C9" s="18" t="inlineStr">
        <is>
          <t xml:space="preserve">DOCTORADO EN FÍSICA APLICADA A LAS CIENCIAS Y LAS TECNOLOGÍAS </t>
        </is>
      </c>
      <c r="D9" s="18" t="inlineStr">
        <is>
          <t xml:space="preserve">Tomás López, María Baralida </t>
        </is>
      </c>
      <c r="E9" s="18" t="inlineStr">
        <is>
          <t xml:space="preserve">Estudio e implementación de técnicas subpíxel para medidas no invasivas </t>
        </is>
      </c>
      <c r="F9" s="18" t="inlineStr">
        <is>
          <t xml:space="preserve">10/06/2022 </t>
        </is>
      </c>
      <c r="G9" s="18" t="inlineStr">
        <is>
          <t xml:space="preserve">33491671Z </t>
        </is>
      </c>
      <c r="H9" s="18" t="inlineStr">
        <is>
          <t xml:space="preserve">Codirector de tesis </t>
        </is>
      </c>
      <c r="I9" s="18" t="inlineStr">
        <is>
          <t xml:space="preserve">B178 </t>
        </is>
      </c>
      <c r="J9" s="18" t="inlineStr">
        <is>
          <t xml:space="preserve">ÓPTICA, FARMACOLOGÍA Y ANATOMÍA </t>
        </is>
      </c>
      <c r="K9" s="18" t="n">
        <v>0.5</v>
      </c>
      <c r="L9" s="21" t="inlineStr">
        <is>
          <t>B178</t>
        </is>
      </c>
      <c r="M9" s="18" t="n">
        <v>2021</v>
      </c>
      <c r="N9" s="18" t="inlineStr">
        <is>
          <t>10.20</t>
        </is>
      </c>
      <c r="O9" s="18" t="n">
        <v>50</v>
      </c>
      <c r="P9" s="19" t="inlineStr"/>
      <c r="Q9" s="18" t="n">
        <v>0</v>
      </c>
      <c r="R9" s="19" t="n">
        <v>50</v>
      </c>
      <c r="S9" s="20" t="n">
        <v>0.25</v>
      </c>
      <c r="T9" s="27" t="n">
        <v>0.25</v>
      </c>
      <c r="U9" s="27" t="n">
        <v>0</v>
      </c>
    </row>
    <row r="10">
      <c r="A10" s="18" t="inlineStr">
        <is>
          <t xml:space="preserve">U066 </t>
        </is>
      </c>
      <c r="B10" s="18" t="inlineStr">
        <is>
          <t xml:space="preserve">ADM. I.U. FÍSICA APLICADA A LA CIENCIAS Y A LAS TECNOLOGIAS </t>
        </is>
      </c>
      <c r="C10" s="18" t="inlineStr">
        <is>
          <t xml:space="preserve">DOCTORADO EN FÍSICA APLICADA A LAS CIENCIAS Y LAS TECNOLOGÍAS </t>
        </is>
      </c>
      <c r="D10" s="18" t="inlineStr">
        <is>
          <t xml:space="preserve">Morales Hernández, Aitor </t>
        </is>
      </c>
      <c r="E10" s="18" t="inlineStr">
        <is>
          <t xml:space="preserve">Study and Proposal of High-Power Handling Capability Microwave Filtering Solutions </t>
        </is>
      </c>
      <c r="F10" s="18" t="inlineStr">
        <is>
          <t xml:space="preserve">30/06/2022 </t>
        </is>
      </c>
      <c r="G10" s="18" t="inlineStr">
        <is>
          <t xml:space="preserve">X3722234Y </t>
        </is>
      </c>
      <c r="H10" s="18" t="inlineStr">
        <is>
          <t xml:space="preserve">Codirector de tesis </t>
        </is>
      </c>
      <c r="I10" s="18" t="inlineStr">
        <is>
          <t xml:space="preserve">B149 </t>
        </is>
      </c>
      <c r="J10" s="18" t="inlineStr">
        <is>
          <t xml:space="preserve">FISICA, INGENIERIA DE SISTEMAS Y TEORIA DE LA SEÑAL </t>
        </is>
      </c>
      <c r="K10" s="18" t="n">
        <v>0.5</v>
      </c>
      <c r="L10" s="25" t="inlineStr">
        <is>
          <t>B149</t>
        </is>
      </c>
      <c r="M10" s="18" t="n">
        <v>2021</v>
      </c>
      <c r="N10" s="18" t="inlineStr">
        <is>
          <t>10.20</t>
        </is>
      </c>
      <c r="O10" s="18" t="n">
        <v>20</v>
      </c>
      <c r="P10" s="19" t="inlineStr"/>
      <c r="Q10" s="18" t="n">
        <v>0</v>
      </c>
      <c r="R10" s="19" t="n">
        <v>80</v>
      </c>
      <c r="S10" s="20" t="n">
        <v>0.4</v>
      </c>
      <c r="T10" s="27" t="n">
        <v>0.1</v>
      </c>
      <c r="U10" s="27" t="n">
        <v>0</v>
      </c>
    </row>
    <row r="11">
      <c r="A11" s="18" t="inlineStr">
        <is>
          <t xml:space="preserve">U066 </t>
        </is>
      </c>
      <c r="B11" s="18" t="inlineStr">
        <is>
          <t xml:space="preserve">ADM. I.U. FÍSICA APLICADA A LA CIENCIAS Y A LAS TECNOLOGIAS </t>
        </is>
      </c>
      <c r="C11" s="18" t="inlineStr">
        <is>
          <t xml:space="preserve">DOCTORADO EN FÍSICA APLICADA A LAS CIENCIAS Y LAS TECNOLOGÍAS </t>
        </is>
      </c>
      <c r="D11" s="18" t="inlineStr">
        <is>
          <t xml:space="preserve">Morales Hernández, Aitor </t>
        </is>
      </c>
      <c r="E11" s="18" t="inlineStr">
        <is>
          <t xml:space="preserve">Study and Proposal of High-Power Handling Capability Microwave Filtering Solutions </t>
        </is>
      </c>
      <c r="F11" s="18" t="inlineStr">
        <is>
          <t xml:space="preserve">30/06/2022 </t>
        </is>
      </c>
      <c r="G11" s="18" t="inlineStr">
        <is>
          <t xml:space="preserve">74002223E </t>
        </is>
      </c>
      <c r="H11" s="18" t="inlineStr">
        <is>
          <t xml:space="preserve">Codirector de tesis </t>
        </is>
      </c>
      <c r="I11" s="18" t="inlineStr">
        <is>
          <t xml:space="preserve">B149 </t>
        </is>
      </c>
      <c r="J11" s="18" t="inlineStr">
        <is>
          <t xml:space="preserve">FISICA, INGENIERIA DE SISTEMAS Y TEORIA DE LA SEÑAL </t>
        </is>
      </c>
      <c r="K11" s="18" t="n">
        <v>0.5</v>
      </c>
      <c r="L11" s="25" t="inlineStr">
        <is>
          <t>B149</t>
        </is>
      </c>
      <c r="M11" s="18" t="n">
        <v>2021</v>
      </c>
      <c r="N11" s="18" t="inlineStr">
        <is>
          <t>10.20</t>
        </is>
      </c>
      <c r="O11" s="18" t="n">
        <v>20</v>
      </c>
      <c r="P11" s="19" t="inlineStr"/>
      <c r="Q11" s="18" t="n">
        <v>0</v>
      </c>
      <c r="R11" s="19" t="n">
        <v>80</v>
      </c>
      <c r="S11" s="20" t="n">
        <v>0.4</v>
      </c>
      <c r="T11" s="27" t="n">
        <v>0.1</v>
      </c>
      <c r="U11" s="27" t="n">
        <v>0</v>
      </c>
    </row>
    <row r="12">
      <c r="A12" s="18" t="inlineStr">
        <is>
          <t xml:space="preserve">U066 </t>
        </is>
      </c>
      <c r="B12" s="18" t="inlineStr">
        <is>
          <t xml:space="preserve">ADM. I.U. FÍSICA APLICADA A LA CIENCIAS Y A LAS TECNOLOGIAS </t>
        </is>
      </c>
      <c r="C12" s="18" t="inlineStr">
        <is>
          <t xml:space="preserve">DOCTORADO EN FÍSICA APLICADA A LAS CIENCIAS Y LAS TECNOLOGÍAS </t>
        </is>
      </c>
      <c r="D12" s="18" t="inlineStr">
        <is>
          <t xml:space="preserve">I Y Huraibat , Khalil </t>
        </is>
      </c>
      <c r="E12" s="18" t="inlineStr">
        <is>
          <t xml:space="preserve">Advanced digital reproduction of goniochromatic objects </t>
        </is>
      </c>
      <c r="F12" s="18" t="inlineStr">
        <is>
          <t xml:space="preserve">16/05/2022 </t>
        </is>
      </c>
      <c r="G12" s="18" t="inlineStr">
        <is>
          <t xml:space="preserve">73996071B </t>
        </is>
      </c>
      <c r="H12" s="18" t="inlineStr">
        <is>
          <t xml:space="preserve">Codirector de tesis </t>
        </is>
      </c>
      <c r="I12" s="18" t="inlineStr">
        <is>
          <t xml:space="preserve">B178 </t>
        </is>
      </c>
      <c r="J12" s="18" t="inlineStr">
        <is>
          <t xml:space="preserve">ÓPTICA, FARMACOLOGÍA Y ANATOMÍA </t>
        </is>
      </c>
      <c r="K12" s="18" t="n">
        <v>0.5</v>
      </c>
      <c r="L12" s="25" t="inlineStr">
        <is>
          <t>B178</t>
        </is>
      </c>
      <c r="M12" s="18" t="n">
        <v>2021</v>
      </c>
      <c r="N12" s="18" t="inlineStr">
        <is>
          <t>10.20</t>
        </is>
      </c>
      <c r="O12" s="18" t="n">
        <v>50</v>
      </c>
      <c r="P12" s="19" t="inlineStr"/>
      <c r="Q12" s="18" t="n">
        <v>0</v>
      </c>
      <c r="R12" s="19" t="n">
        <v>50</v>
      </c>
      <c r="S12" s="20" t="n">
        <v>0.25</v>
      </c>
      <c r="T12" s="27" t="n">
        <v>0.25</v>
      </c>
      <c r="U12" s="27" t="n">
        <v>0</v>
      </c>
    </row>
    <row r="13">
      <c r="A13" s="23" t="inlineStr">
        <is>
          <t xml:space="preserve">B112 </t>
        </is>
      </c>
      <c r="B13" s="23" t="inlineStr">
        <is>
          <t xml:space="preserve">DIDACTICA GENERAL Y DIDÁCTICAS ESPECÍFICAS </t>
        </is>
      </c>
      <c r="C13" s="23" t="inlineStr">
        <is>
          <t xml:space="preserve">DOCTORADO EN INVESTIGACIÓN EDUCATIVA </t>
        </is>
      </c>
      <c r="D13" s="23" t="inlineStr">
        <is>
          <t xml:space="preserve">Luján Feliu-Pascual, Isabel </t>
        </is>
      </c>
      <c r="E13" s="23" t="inlineStr">
        <is>
          <t xml:space="preserve">Una propuesta didáctica de enseñanza por indagación sobre la problemática de los residuos en educación infantil, educación primaria y futuros docentes. formando a las nuevas generaciones para dar respuesta a las necesidades de nuestro planeta. </t>
        </is>
      </c>
      <c r="F13" s="23" t="inlineStr">
        <is>
          <t xml:space="preserve">07/07/2023 </t>
        </is>
      </c>
      <c r="G13" s="23" t="inlineStr">
        <is>
          <t xml:space="preserve">74221742Y </t>
        </is>
      </c>
      <c r="H13" s="23" t="inlineStr">
        <is>
          <t xml:space="preserve">Codirector de tesis </t>
        </is>
      </c>
      <c r="I13" s="23" t="inlineStr">
        <is>
          <t xml:space="preserve">B112 </t>
        </is>
      </c>
      <c r="J13" s="23" t="inlineStr">
        <is>
          <t xml:space="preserve">DIDACTICA GENERAL Y DIDÁCTICAS ESPECÍFICAS </t>
        </is>
      </c>
      <c r="K13" s="18" t="n">
        <v>0.5</v>
      </c>
      <c r="L13" s="22" t="inlineStr">
        <is>
          <t>B112</t>
        </is>
      </c>
      <c r="M13" s="22" t="n">
        <v>2022</v>
      </c>
      <c r="N13" s="18" t="inlineStr">
        <is>
          <t>10.20</t>
        </is>
      </c>
      <c r="O13" s="18" t="n">
        <v>50</v>
      </c>
      <c r="P13" s="19" t="inlineStr"/>
      <c r="Q13" s="18" t="n">
        <v>0</v>
      </c>
      <c r="R13" s="19" t="n">
        <v>50</v>
      </c>
      <c r="S13" s="18" t="n">
        <v>0.25</v>
      </c>
      <c r="T13" s="22" t="n">
        <v>0.25</v>
      </c>
      <c r="U13" s="22" t="n">
        <v>0</v>
      </c>
    </row>
    <row r="14" customFormat="1" s="32">
      <c r="A14" s="22" t="inlineStr">
        <is>
          <t xml:space="preserve">B112 </t>
        </is>
      </c>
      <c r="B14" s="22" t="inlineStr">
        <is>
          <t xml:space="preserve">DIDACTICA GENERAL Y DIDÁCTICAS ESPECÍFICAS </t>
        </is>
      </c>
      <c r="C14" s="22" t="inlineStr">
        <is>
          <t xml:space="preserve">DOCTORADO EN INVESTIGACIÓN EDUCATIVA </t>
        </is>
      </c>
      <c r="D14" s="22" t="inlineStr">
        <is>
          <t xml:space="preserve">Luján Feliu-Pascual, Isabel </t>
        </is>
      </c>
      <c r="E14" s="22" t="inlineStr">
        <is>
          <t xml:space="preserve">Una propuesta didáctica de enseñanza por indagación sobre la problemática de los residuos en educación infantil, educación primaria y futuros docentes. formando a las nuevas generaciones para dar respuesta a las necesidades de nuestro planeta. </t>
        </is>
      </c>
      <c r="F14" s="22" t="inlineStr">
        <is>
          <t xml:space="preserve">07/07/2023 </t>
        </is>
      </c>
      <c r="G14" s="22" t="inlineStr">
        <is>
          <t xml:space="preserve">48345196R </t>
        </is>
      </c>
      <c r="H14" s="22" t="inlineStr">
        <is>
          <t xml:space="preserve">Codirector de tesis </t>
        </is>
      </c>
      <c r="I14" s="22" t="inlineStr">
        <is>
          <t xml:space="preserve">B112 </t>
        </is>
      </c>
      <c r="J14" s="22" t="inlineStr">
        <is>
          <t xml:space="preserve">DIDACTICA GENERAL Y DIDÁCTICAS ESPECÍFICAS </t>
        </is>
      </c>
      <c r="K14" s="22" t="n">
        <v>0.5</v>
      </c>
      <c r="L14" s="22" t="inlineStr">
        <is>
          <t>B112</t>
        </is>
      </c>
      <c r="M14" s="22" t="n">
        <v>2022</v>
      </c>
      <c r="N14" s="22" t="inlineStr">
        <is>
          <t>10.20</t>
        </is>
      </c>
      <c r="O14" s="22" t="n">
        <v>50</v>
      </c>
      <c r="P14" s="31" t="inlineStr"/>
      <c r="Q14" s="22" t="n">
        <v>0</v>
      </c>
      <c r="R14" s="31" t="n">
        <v>50</v>
      </c>
      <c r="S14" s="22" t="n">
        <v>0.25</v>
      </c>
      <c r="T14" s="22" t="n">
        <v>0.25</v>
      </c>
      <c r="U14" s="22" t="n">
        <v>0</v>
      </c>
    </row>
    <row r="15">
      <c r="A15" s="18" t="inlineStr">
        <is>
          <t xml:space="preserve">B177 </t>
        </is>
      </c>
      <c r="B15" s="18" t="inlineStr">
        <is>
          <t xml:space="preserve">PSICOLOGÍA EVOLUTIVA Y DIDÁCTICA </t>
        </is>
      </c>
      <c r="C15" s="18" t="inlineStr">
        <is>
          <t xml:space="preserve">DOCTORADO EN INVESTIGACIÓN EDUCATIVA </t>
        </is>
      </c>
      <c r="D15" s="18" t="inlineStr">
        <is>
          <t xml:space="preserve">Campra Garcia De Viguera, Carmen </t>
        </is>
      </c>
      <c r="E15" s="18" t="inlineStr">
        <is>
          <t xml:space="preserve">Estudio del efecto de la Enseñanza Tradicional (transmisiva) frente al Aprendizaje Basado en Problemas, y detección de obstáculos de aprendizaje sobre el tema "Encuentro de la edificación con el terreno", en el alumnado del Grado en Arquitectura, par </t>
        </is>
      </c>
      <c r="F15" s="18" t="inlineStr">
        <is>
          <t xml:space="preserve">22/09/2023 </t>
        </is>
      </c>
      <c r="G15" s="18" t="inlineStr">
        <is>
          <t xml:space="preserve">48345196R </t>
        </is>
      </c>
      <c r="H15" s="18" t="inlineStr">
        <is>
          <t xml:space="preserve">Codirector de tesis </t>
        </is>
      </c>
      <c r="I15" s="18" t="inlineStr">
        <is>
          <t xml:space="preserve">B112 </t>
        </is>
      </c>
      <c r="J15" s="18" t="inlineStr">
        <is>
          <t xml:space="preserve">DIDACTICA GENERAL Y DIDÁCTICAS ESPECÍFICAS </t>
        </is>
      </c>
      <c r="K15" s="18" t="n">
        <v>0.5</v>
      </c>
      <c r="L15" s="22" t="inlineStr">
        <is>
          <t>B112</t>
        </is>
      </c>
      <c r="M15" s="22" t="n">
        <v>2022</v>
      </c>
      <c r="N15" s="18" t="inlineStr">
        <is>
          <t>10.20</t>
        </is>
      </c>
      <c r="O15" s="18" t="n">
        <v>50</v>
      </c>
      <c r="P15" s="19" t="inlineStr"/>
      <c r="Q15" s="18" t="n">
        <v>0</v>
      </c>
      <c r="R15" s="19" t="n">
        <v>50</v>
      </c>
      <c r="S15" s="18" t="n">
        <v>0.25</v>
      </c>
      <c r="T15" s="22" t="n">
        <v>0.25</v>
      </c>
      <c r="U15" s="22" t="n">
        <v>0</v>
      </c>
    </row>
    <row r="16">
      <c r="A16" s="18" t="inlineStr">
        <is>
          <t xml:space="preserve">U062 </t>
        </is>
      </c>
      <c r="B16" s="18" t="inlineStr">
        <is>
          <t xml:space="preserve">I.U. DE INVESTIGACIÓN INFORMÁTICA (10.19) </t>
        </is>
      </c>
      <c r="C16" s="18" t="inlineStr">
        <is>
          <t xml:space="preserve">DOCTORADO EN INFORMÁTICA </t>
        </is>
      </c>
      <c r="D16" s="18" t="inlineStr">
        <is>
          <t xml:space="preserve">Hernández Ramírez, Óscar Guillermo </t>
        </is>
      </c>
      <c r="E16" s="18" t="inlineStr">
        <is>
          <t xml:space="preserve">Contribuciones a la interacción humano-robot y estimación de la postura humana en entornos de rehabilitación robótica </t>
        </is>
      </c>
      <c r="F16" s="18" t="inlineStr">
        <is>
          <t xml:space="preserve">21/07/2023 </t>
        </is>
      </c>
      <c r="G16" s="18" t="inlineStr">
        <is>
          <t xml:space="preserve">73996233N </t>
        </is>
      </c>
      <c r="H16" s="18" t="inlineStr">
        <is>
          <t xml:space="preserve">Codirector de tesis </t>
        </is>
      </c>
      <c r="I16" s="18" t="inlineStr">
        <is>
          <t xml:space="preserve">B149 </t>
        </is>
      </c>
      <c r="J16" s="18" t="inlineStr">
        <is>
          <t xml:space="preserve">FISICA, INGENIERIA DE SISTEMAS Y TEORIA DE LA SEÑAL </t>
        </is>
      </c>
      <c r="K16" s="18" t="n">
        <v>0.5</v>
      </c>
      <c r="L16" s="22" t="inlineStr">
        <is>
          <t>B149</t>
        </is>
      </c>
      <c r="M16" s="22" t="n">
        <v>2022</v>
      </c>
      <c r="N16" s="18" t="inlineStr">
        <is>
          <t>10.20</t>
        </is>
      </c>
      <c r="O16" s="18" t="n">
        <v>20</v>
      </c>
      <c r="P16" s="19" t="inlineStr"/>
      <c r="Q16" s="18" t="n">
        <v>0</v>
      </c>
      <c r="R16" s="19" t="n">
        <v>80</v>
      </c>
      <c r="S16" s="18" t="n">
        <v>0.4</v>
      </c>
      <c r="T16" s="22" t="n">
        <v>0.1</v>
      </c>
      <c r="U16" s="22" t="n">
        <v>0</v>
      </c>
    </row>
    <row r="17" customFormat="1" s="78">
      <c r="A17" s="76" t="inlineStr">
        <is>
          <t xml:space="preserve">U066 </t>
        </is>
      </c>
      <c r="B17" s="76" t="inlineStr">
        <is>
          <t xml:space="preserve">I.U. FÍSICA APLICADA A LA CIENCIAS Y A LAS TECNOLOGIAS (10.20) </t>
        </is>
      </c>
      <c r="C17" s="76" t="inlineStr">
        <is>
          <t xml:space="preserve">DOCTORADO EN FÍSICA APLICADA A LAS CIENCIAS Y LAS TECNOLOGÍAS </t>
        </is>
      </c>
      <c r="D17" s="76" t="inlineStr">
        <is>
          <t xml:space="preserve">Abdelouahab , ISSAADI </t>
        </is>
      </c>
      <c r="E17" s="76" t="inlineStr">
        <is>
          <t xml:space="preserve">Characterization of the subsoil structure in the Middle-Chelif Basin (Algeria) using ambient vibration data </t>
        </is>
      </c>
      <c r="F17" s="76" t="inlineStr">
        <is>
          <t xml:space="preserve">16/12/2022 </t>
        </is>
      </c>
      <c r="G17" s="76" t="inlineStr">
        <is>
          <t xml:space="preserve">21499481R </t>
        </is>
      </c>
      <c r="H17" s="76" t="inlineStr">
        <is>
          <t xml:space="preserve">Codirector de tesis </t>
        </is>
      </c>
      <c r="I17" s="76" t="inlineStr">
        <is>
          <t xml:space="preserve">B149 </t>
        </is>
      </c>
      <c r="J17" s="76" t="inlineStr">
        <is>
          <t xml:space="preserve">FISICA, INGENIERIA DE SISTEMAS Y TEORIA DE LA SEÑAL </t>
        </is>
      </c>
      <c r="K17" s="76" t="n">
        <v>0.5</v>
      </c>
      <c r="L17" s="76" t="inlineStr">
        <is>
          <t>B149</t>
        </is>
      </c>
      <c r="M17" s="76" t="n">
        <v>2022</v>
      </c>
      <c r="N17" s="76" t="inlineStr">
        <is>
          <t>10.20</t>
        </is>
      </c>
      <c r="O17" s="76" t="n">
        <v>20</v>
      </c>
      <c r="P17" s="74" t="inlineStr"/>
      <c r="Q17" s="76" t="n">
        <v>0</v>
      </c>
      <c r="R17" s="74" t="n">
        <v>80</v>
      </c>
      <c r="S17" s="76" t="n">
        <v>0.4</v>
      </c>
      <c r="T17" s="76" t="n">
        <v>0.1</v>
      </c>
      <c r="U17" s="76" t="n">
        <v>0</v>
      </c>
    </row>
    <row r="18">
      <c r="A18" s="18" t="inlineStr">
        <is>
          <t xml:space="preserve">U066 </t>
        </is>
      </c>
      <c r="B18" s="18" t="inlineStr">
        <is>
          <t xml:space="preserve">I.U. FÍSICA APLICADA A LA CIENCIAS Y A LAS TECNOLOGIAS (10.20) </t>
        </is>
      </c>
      <c r="C18" s="18" t="inlineStr">
        <is>
          <t xml:space="preserve">DOCTORADO EN FÍSICA APLICADA A LAS CIENCIAS Y LAS TECNOLOGÍAS </t>
        </is>
      </c>
      <c r="D18" s="18" t="inlineStr">
        <is>
          <t xml:space="preserve">Jornet Monteverde, Julio Antonio </t>
        </is>
      </c>
      <c r="E18" s="18" t="inlineStr">
        <is>
          <t xml:space="preserve">Diseño, implementación y validación de sistemas de adquisición de datos sísmicos basados en el microcontrolador CC3200 </t>
        </is>
      </c>
      <c r="F18" s="18" t="inlineStr">
        <is>
          <t xml:space="preserve">03/02/2023 </t>
        </is>
      </c>
      <c r="G18" s="18" t="inlineStr">
        <is>
          <t xml:space="preserve">21499481R </t>
        </is>
      </c>
      <c r="H18" s="18" t="inlineStr">
        <is>
          <t xml:space="preserve">Director de tesis </t>
        </is>
      </c>
      <c r="I18" s="18" t="inlineStr">
        <is>
          <t xml:space="preserve">B149 </t>
        </is>
      </c>
      <c r="J18" s="18" t="inlineStr">
        <is>
          <t xml:space="preserve">FISICA, INGENIERIA DE SISTEMAS Y TEORIA DE LA SEÑAL </t>
        </is>
      </c>
      <c r="K18" s="18" t="n">
        <v>1</v>
      </c>
      <c r="L18" s="22" t="inlineStr">
        <is>
          <t>B149</t>
        </is>
      </c>
      <c r="M18" s="22" t="n">
        <v>2022</v>
      </c>
      <c r="N18" s="18" t="inlineStr">
        <is>
          <t>10.20</t>
        </is>
      </c>
      <c r="O18" s="18" t="n">
        <v>20</v>
      </c>
      <c r="P18" s="19" t="inlineStr"/>
      <c r="Q18" s="18" t="n">
        <v>0</v>
      </c>
      <c r="R18" s="19" t="n">
        <v>80</v>
      </c>
      <c r="S18" s="18" t="n">
        <v>0.8</v>
      </c>
      <c r="T18" s="22" t="n">
        <v>0.2</v>
      </c>
      <c r="U18" s="22" t="n">
        <v>0</v>
      </c>
    </row>
    <row r="19">
      <c r="A19" s="18" t="inlineStr">
        <is>
          <t xml:space="preserve">U066 </t>
        </is>
      </c>
      <c r="B19" s="18" t="inlineStr">
        <is>
          <t xml:space="preserve">I.U. FÍSICA APLICADA A LA CIENCIAS Y A LAS TECNOLOGIAS (10.20) </t>
        </is>
      </c>
      <c r="C19" s="18" t="inlineStr">
        <is>
          <t xml:space="preserve">DOCTORADO EN FÍSICA APLICADA A LAS CIENCIAS Y LAS TECNOLOGÍAS </t>
        </is>
      </c>
      <c r="D19" s="18" t="inlineStr">
        <is>
          <t xml:space="preserve">Rodrigo Saura, Francisco Javier </t>
        </is>
      </c>
      <c r="E19" s="18" t="inlineStr">
        <is>
          <t xml:space="preserve">CONSTRIBUCIÓN A LA CUANTIFICACIÓN DEL RUIDO RADIADO POR LOS BUQUES ATRAVÉS DE SU CASO </t>
        </is>
      </c>
      <c r="F19" s="18" t="inlineStr">
        <is>
          <t xml:space="preserve">16/02/2023 </t>
        </is>
      </c>
      <c r="G19" s="18" t="inlineStr">
        <is>
          <t xml:space="preserve">73989362H </t>
        </is>
      </c>
      <c r="H19" s="18" t="inlineStr">
        <is>
          <t xml:space="preserve">Director de tesis </t>
        </is>
      </c>
      <c r="I19" s="18" t="inlineStr">
        <is>
          <t xml:space="preserve">B149 </t>
        </is>
      </c>
      <c r="J19" s="18" t="inlineStr">
        <is>
          <t xml:space="preserve">FISICA, INGENIERIA DE SISTEMAS Y TEORIA DE LA SEÑAL </t>
        </is>
      </c>
      <c r="K19" s="18" t="n">
        <v>1</v>
      </c>
      <c r="L19" s="22" t="inlineStr">
        <is>
          <t>B149</t>
        </is>
      </c>
      <c r="M19" s="22" t="n">
        <v>2022</v>
      </c>
      <c r="N19" s="18" t="inlineStr">
        <is>
          <t>10.20</t>
        </is>
      </c>
      <c r="O19" s="18" t="n">
        <v>50</v>
      </c>
      <c r="P19" s="19" t="inlineStr"/>
      <c r="Q19" s="18" t="n">
        <v>0</v>
      </c>
      <c r="R19" s="19" t="n">
        <v>50</v>
      </c>
      <c r="S19" s="18" t="n">
        <v>0.5</v>
      </c>
      <c r="T19" s="22" t="n">
        <v>0.5</v>
      </c>
      <c r="U19" s="22" t="n">
        <v>0</v>
      </c>
    </row>
    <row r="20">
      <c r="A20" s="18" t="inlineStr">
        <is>
          <t xml:space="preserve">U066 </t>
        </is>
      </c>
      <c r="B20" s="18" t="inlineStr">
        <is>
          <t xml:space="preserve">I.U. FÍSICA APLICADA A LA CIENCIAS Y A LAS TECNOLOGIAS (10.20) </t>
        </is>
      </c>
      <c r="C20" s="18" t="inlineStr">
        <is>
          <t xml:space="preserve">DOCTORADO EN FÍSICA APLICADA A LAS CIENCIAS Y LAS TECNOLOGÍAS </t>
        </is>
      </c>
      <c r="D20" s="18" t="inlineStr">
        <is>
          <t xml:space="preserve">Sanjurjo Ferrín, Graciela </t>
        </is>
      </c>
      <c r="E20" s="18" t="inlineStr">
        <is>
          <t xml:space="preserve">High Mass X-ray Binaries seen through XMM-Newton: Winds, flows and accretion in 4U0114+65, Cen X-3 and XTE J1855-026 </t>
        </is>
      </c>
      <c r="F20" s="18" t="inlineStr">
        <is>
          <t xml:space="preserve">30/11/2022 </t>
        </is>
      </c>
      <c r="G20" s="18" t="inlineStr">
        <is>
          <t xml:space="preserve">19099684R </t>
        </is>
      </c>
      <c r="H20" s="18" t="inlineStr">
        <is>
          <t xml:space="preserve">Director de tesis </t>
        </is>
      </c>
      <c r="I20" s="18" t="inlineStr">
        <is>
          <t xml:space="preserve">B149 </t>
        </is>
      </c>
      <c r="J20" s="18" t="inlineStr">
        <is>
          <t xml:space="preserve">FISICA, INGENIERIA DE SISTEMAS Y TEORIA DE LA SEÑAL </t>
        </is>
      </c>
      <c r="K20" s="18" t="n">
        <v>1</v>
      </c>
      <c r="L20" s="21" t="inlineStr">
        <is>
          <t>B149</t>
        </is>
      </c>
      <c r="M20" s="18" t="n">
        <v>2022</v>
      </c>
      <c r="N20" s="18" t="inlineStr">
        <is>
          <t>10.20</t>
        </is>
      </c>
      <c r="O20" s="18" t="n">
        <v>20</v>
      </c>
      <c r="P20" s="19" t="inlineStr"/>
      <c r="Q20" s="18" t="n">
        <v>0</v>
      </c>
      <c r="R20" s="19" t="n">
        <v>80</v>
      </c>
      <c r="S20" s="20" t="n">
        <v>0.8</v>
      </c>
      <c r="T20" s="27" t="n">
        <v>0.2</v>
      </c>
      <c r="U20" s="27" t="n">
        <v>0</v>
      </c>
    </row>
    <row r="21">
      <c r="A21" s="18" t="inlineStr">
        <is>
          <t xml:space="preserve">U066 </t>
        </is>
      </c>
      <c r="B21" s="18" t="inlineStr">
        <is>
          <t xml:space="preserve">I.U. FÍSICA APLICADA A LA CIENCIAS Y A LAS TECNOLOGIAS (10.20) </t>
        </is>
      </c>
      <c r="C21" s="18" t="inlineStr">
        <is>
          <t xml:space="preserve">DOCTORADO EN FÍSICA APLICADA A LAS CIENCIAS Y LAS TECNOLOGÍAS </t>
        </is>
      </c>
      <c r="D21" s="18" t="inlineStr">
        <is>
          <t xml:space="preserve">Torregrosa Alberola, Álvaro </t>
        </is>
      </c>
      <c r="E21" s="18" t="inlineStr">
        <is>
          <t xml:space="preserve">Estudi temporal i espectral a llarg termini dels sistemes binaris de raigs X d'alta massa Centaurus X-3 i GX 301-2 </t>
        </is>
      </c>
      <c r="F21" s="18" t="inlineStr">
        <is>
          <t xml:space="preserve">15/09/2023 </t>
        </is>
      </c>
      <c r="G21" s="18" t="inlineStr">
        <is>
          <t xml:space="preserve">21451275A </t>
        </is>
      </c>
      <c r="H21" s="18" t="inlineStr">
        <is>
          <t xml:space="preserve">Director de tesis </t>
        </is>
      </c>
      <c r="I21" s="18" t="inlineStr">
        <is>
          <t xml:space="preserve">B149 </t>
        </is>
      </c>
      <c r="J21" s="18" t="inlineStr">
        <is>
          <t xml:space="preserve">FISICA, INGENIERIA DE SISTEMAS Y TEORIA DE LA SEÑAL </t>
        </is>
      </c>
      <c r="K21" s="18" t="n">
        <v>1</v>
      </c>
      <c r="L21" s="25" t="inlineStr">
        <is>
          <t>B149</t>
        </is>
      </c>
      <c r="M21" s="18" t="n">
        <v>2022</v>
      </c>
      <c r="N21" s="18" t="inlineStr">
        <is>
          <t>10.20</t>
        </is>
      </c>
      <c r="O21" s="18" t="n">
        <v>50</v>
      </c>
      <c r="P21" s="19" t="inlineStr"/>
      <c r="Q21" s="18" t="n">
        <v>0</v>
      </c>
      <c r="R21" s="19" t="n">
        <v>50</v>
      </c>
      <c r="S21" s="20" t="n">
        <v>0.5</v>
      </c>
      <c r="T21" s="27" t="n">
        <v>0.5</v>
      </c>
      <c r="U21" s="27" t="n">
        <v>0</v>
      </c>
    </row>
    <row r="22">
      <c r="A22" s="18" t="inlineStr">
        <is>
          <t xml:space="preserve">U066 </t>
        </is>
      </c>
      <c r="B22" s="18" t="inlineStr">
        <is>
          <t xml:space="preserve">I.U. FÍSICA APLICADA A LA CIENCIAS Y A LAS TECNOLOGIAS (10.20) </t>
        </is>
      </c>
      <c r="C22" s="18" t="inlineStr">
        <is>
          <t xml:space="preserve">DOCTORADO EN FÍSICA APLICADA A LAS CIENCIAS Y LAS TECNOLOGÍAS </t>
        </is>
      </c>
      <c r="D22" s="18" t="inlineStr">
        <is>
          <t xml:space="preserve">Bayón Rozas, Sergio </t>
        </is>
      </c>
      <c r="E22" s="18" t="inlineStr">
        <is>
          <t xml:space="preserve">Image measurement and interpretation based on goniometrical textural data </t>
        </is>
      </c>
      <c r="F22" s="18" t="inlineStr">
        <is>
          <t xml:space="preserve">19/12/2022 </t>
        </is>
      </c>
      <c r="G22" s="18" t="inlineStr">
        <is>
          <t xml:space="preserve">73996071B </t>
        </is>
      </c>
      <c r="H22" s="18" t="inlineStr">
        <is>
          <t xml:space="preserve">Director de tesis </t>
        </is>
      </c>
      <c r="I22" s="18" t="inlineStr">
        <is>
          <t xml:space="preserve">B178 </t>
        </is>
      </c>
      <c r="J22" s="18" t="inlineStr">
        <is>
          <t xml:space="preserve">ÓPTICA, FARMACOLOGÍA Y ANATOMÍA </t>
        </is>
      </c>
      <c r="K22" s="18" t="n">
        <v>1</v>
      </c>
      <c r="L22" s="22" t="inlineStr">
        <is>
          <t>B178</t>
        </is>
      </c>
      <c r="M22" s="22" t="n">
        <v>2022</v>
      </c>
      <c r="N22" s="18" t="inlineStr">
        <is>
          <t>10.20</t>
        </is>
      </c>
      <c r="O22" s="18" t="n">
        <v>50</v>
      </c>
      <c r="P22" s="19" t="inlineStr"/>
      <c r="Q22" s="18" t="n">
        <v>0</v>
      </c>
      <c r="R22" s="19" t="n">
        <v>50</v>
      </c>
      <c r="S22" s="18" t="n">
        <v>0.5</v>
      </c>
      <c r="T22" s="22" t="n">
        <v>0.5</v>
      </c>
      <c r="U22" s="22" t="n">
        <v>0</v>
      </c>
    </row>
    <row r="23" ht="11.45" customHeight="1">
      <c r="A23" s="18" t="inlineStr">
        <is>
          <t xml:space="preserve">U066 </t>
        </is>
      </c>
      <c r="B23" s="18" t="inlineStr">
        <is>
          <t xml:space="preserve">I.U. FÍSICA APLICADA A LA CIENCIAS Y A LAS TECNOLOGIAS (10.20) </t>
        </is>
      </c>
      <c r="C23" s="18" t="inlineStr">
        <is>
          <t xml:space="preserve">DOCTORADO EN FÍSICA APLICADA A LAS CIENCIAS Y LAS TECNOLOGÍAS </t>
        </is>
      </c>
      <c r="D23" s="18" t="inlineStr">
        <is>
          <t xml:space="preserve">taleb yousfi, soumia imane </t>
        </is>
      </c>
      <c r="E23" s="18" t="inlineStr">
        <is>
          <t xml:space="preserve">Estudio de formación de imágenes en holografía de volumen mediante técnicas de simulación numérica. </t>
        </is>
      </c>
      <c r="F23" s="18" t="inlineStr">
        <is>
          <t xml:space="preserve">01/02/2023 </t>
        </is>
      </c>
      <c r="G23" s="18" t="inlineStr">
        <is>
          <t xml:space="preserve">48328421Q </t>
        </is>
      </c>
      <c r="H23" s="18" t="inlineStr">
        <is>
          <t xml:space="preserve">Codirector de tesis </t>
        </is>
      </c>
      <c r="I23" s="18" t="inlineStr">
        <is>
          <t xml:space="preserve">B149 </t>
        </is>
      </c>
      <c r="J23" s="18" t="inlineStr">
        <is>
          <t xml:space="preserve">FISICA, INGENIERIA DE SISTEMAS Y TEORIA DE LA SEÑAL </t>
        </is>
      </c>
      <c r="K23" s="18" t="n">
        <v>0.5</v>
      </c>
      <c r="L23" s="18" t="inlineStr">
        <is>
          <t>B149</t>
        </is>
      </c>
      <c r="M23" s="19" t="n">
        <v>2022</v>
      </c>
      <c r="N23" s="18" t="inlineStr">
        <is>
          <t>10.20</t>
        </is>
      </c>
      <c r="O23" s="19" t="n">
        <v>50</v>
      </c>
      <c r="P23" s="18" t="inlineStr"/>
      <c r="Q23" s="19" t="n">
        <v>0</v>
      </c>
      <c r="R23" s="18" t="n">
        <v>50</v>
      </c>
      <c r="S23" s="18" t="n">
        <v>0.25</v>
      </c>
      <c r="T23" s="27" t="n">
        <v>0.25</v>
      </c>
      <c r="U23" s="27" t="n">
        <v>0</v>
      </c>
    </row>
    <row r="24">
      <c r="A24" s="18" t="inlineStr">
        <is>
          <t xml:space="preserve">U066 </t>
        </is>
      </c>
      <c r="B24" s="18" t="inlineStr">
        <is>
          <t xml:space="preserve">I.U. FÍSICA APLICADA A LA CIENCIAS Y A LAS TECNOLOGIAS (10.20) </t>
        </is>
      </c>
      <c r="C24" s="18" t="inlineStr">
        <is>
          <t xml:space="preserve">DOCTORADO EN FÍSICA APLICADA A LAS CIENCIAS Y LAS TECNOLOGÍAS </t>
        </is>
      </c>
      <c r="D24" s="18" t="inlineStr">
        <is>
          <t xml:space="preserve">taleb yousfi, soumia imane </t>
        </is>
      </c>
      <c r="E24" s="18" t="inlineStr">
        <is>
          <t xml:space="preserve">Estudio de formación de imágenes en holografía de volumen mediante técnicas de simulación numérica. </t>
        </is>
      </c>
      <c r="F24" s="18" t="inlineStr">
        <is>
          <t xml:space="preserve">01/02/2023 </t>
        </is>
      </c>
      <c r="G24" s="18" t="inlineStr">
        <is>
          <t xml:space="preserve">33477513R </t>
        </is>
      </c>
      <c r="H24" s="18" t="inlineStr">
        <is>
          <t xml:space="preserve">Codirector de tesis </t>
        </is>
      </c>
      <c r="I24" s="18" t="inlineStr">
        <is>
          <t xml:space="preserve">B149 </t>
        </is>
      </c>
      <c r="J24" s="18" t="inlineStr">
        <is>
          <t xml:space="preserve">FISICA, INGENIERIA DE SISTEMAS Y TEORIA DE LA SEÑAL </t>
        </is>
      </c>
      <c r="K24" s="18" t="n">
        <v>0.5</v>
      </c>
      <c r="L24" s="18" t="inlineStr">
        <is>
          <t>B149</t>
        </is>
      </c>
      <c r="M24" s="19" t="n">
        <v>2022</v>
      </c>
      <c r="N24" s="18" t="inlineStr">
        <is>
          <t>10.20</t>
        </is>
      </c>
      <c r="O24" s="19" t="n">
        <v>20</v>
      </c>
      <c r="P24" s="18" t="inlineStr"/>
      <c r="Q24" s="19" t="n">
        <v>0</v>
      </c>
      <c r="R24" s="18" t="n">
        <v>80</v>
      </c>
      <c r="S24" s="18" t="n">
        <v>0.4</v>
      </c>
      <c r="T24" s="22" t="n">
        <v>0.1</v>
      </c>
      <c r="U24" s="22" t="n">
        <v>0</v>
      </c>
    </row>
    <row r="25" customFormat="1" s="78">
      <c r="A25" s="76" t="inlineStr">
        <is>
          <t>U066</t>
        </is>
      </c>
      <c r="B25" s="76" t="inlineStr">
        <is>
          <t>I.U. FÍSICA APLICADA A LA CIENCIAS Y A LAS TECNOLOGIAS (10.20)</t>
        </is>
      </c>
      <c r="C25" s="76" t="inlineStr">
        <is>
          <t>DOCTORADO EN FÍSICA APLICADA A LAS CIENCIAS Y LAS TECNOLOGÍAS</t>
        </is>
      </c>
      <c r="D25" s="76" t="inlineStr">
        <is>
          <t>Billel , Melouk</t>
        </is>
      </c>
      <c r="E25" s="76" t="inlineStr">
        <is>
          <t>Investigating the Lithospheric Structure of Northern Algeria from Receiver Functions and Surface Wave Tomography Using Earthquake and Ambient Noise data</t>
        </is>
      </c>
      <c r="F25" s="76" t="inlineStr">
        <is>
          <t>22/04/2024</t>
        </is>
      </c>
      <c r="G25" s="76" t="inlineStr">
        <is>
          <t>'-</t>
        </is>
      </c>
      <c r="H25" s="76" t="inlineStr">
        <is>
          <t>Codirector de tesis</t>
        </is>
      </c>
      <c r="I25" s="76" t="inlineStr">
        <is>
          <t>U066</t>
        </is>
      </c>
      <c r="J25" s="76" t="inlineStr">
        <is>
          <t>I.U. FÍSICA APLICADA A LA CIENCIAS Y A LAS TECNOLOGIAS (10.20)</t>
        </is>
      </c>
      <c r="K25" s="77" t="n">
        <v>0.5</v>
      </c>
      <c r="L25" s="77" t="inlineStr">
        <is>
          <t>10.20</t>
        </is>
      </c>
      <c r="M25" s="77" t="n">
        <v>2023</v>
      </c>
      <c r="N25" s="77" t="inlineStr"/>
      <c r="O25" s="77" t="inlineStr"/>
      <c r="P25" s="77" t="inlineStr"/>
      <c r="Q25" s="77" t="inlineStr"/>
      <c r="R25" s="77" t="n">
        <v>100</v>
      </c>
      <c r="S25" s="77" t="n">
        <v>0.5</v>
      </c>
      <c r="T25" s="77" t="n">
        <v>0</v>
      </c>
      <c r="U25" s="77" t="n">
        <v>0</v>
      </c>
      <c r="V25" s="78" t="inlineStr">
        <is>
          <t>S</t>
        </is>
      </c>
    </row>
    <row r="26" customFormat="1" s="78">
      <c r="A26" s="76" t="inlineStr">
        <is>
          <t>U066</t>
        </is>
      </c>
      <c r="B26" s="76" t="inlineStr">
        <is>
          <t>I.U. FÍSICA APLICADA A LA CIENCIAS Y A LAS TECNOLOGIAS (10.20)</t>
        </is>
      </c>
      <c r="C26" s="76" t="inlineStr">
        <is>
          <t>DOCTORADO EN FÍSICA APLICADA A LAS CIENCIAS Y LAS TECNOLOGÍAS</t>
        </is>
      </c>
      <c r="D26" s="76" t="inlineStr">
        <is>
          <t>Billel , Melouk</t>
        </is>
      </c>
      <c r="E26" s="76" t="inlineStr">
        <is>
          <t>Investigating the Lithospheric Structure of Northern Algeria from Receiver Functions and Surface Wave Tomography Using Earthquake and Ambient Noise data</t>
        </is>
      </c>
      <c r="F26" s="76" t="inlineStr">
        <is>
          <t>22/04/2024</t>
        </is>
      </c>
      <c r="G26" s="76" t="inlineStr">
        <is>
          <t>21499481R</t>
        </is>
      </c>
      <c r="H26" s="76" t="inlineStr">
        <is>
          <t>Codirector de tesis</t>
        </is>
      </c>
      <c r="I26" s="76" t="inlineStr">
        <is>
          <t>B149</t>
        </is>
      </c>
      <c r="J26" s="76" t="inlineStr">
        <is>
          <t>FISICA, INGENIERIA DE SISTEMAS Y TEORIA DE LA SEÑAL</t>
        </is>
      </c>
      <c r="K26" s="76" t="n">
        <v>0.5</v>
      </c>
      <c r="L26" s="76" t="inlineStr">
        <is>
          <t>B149</t>
        </is>
      </c>
      <c r="M26" s="76" t="n">
        <v>2023</v>
      </c>
      <c r="N26" s="76" t="inlineStr">
        <is>
          <t>10.20</t>
        </is>
      </c>
      <c r="O26" s="76" t="inlineStr">
        <is>
          <t>20</t>
        </is>
      </c>
      <c r="P26" s="76" t="inlineStr"/>
      <c r="Q26" s="76" t="inlineStr"/>
      <c r="R26" s="76" t="n">
        <v>80</v>
      </c>
      <c r="S26" s="76" t="n">
        <v>0.4</v>
      </c>
      <c r="T26" s="76" t="n">
        <v>0.1</v>
      </c>
      <c r="U26" s="76" t="n">
        <v>0</v>
      </c>
      <c r="V26" s="78" t="inlineStr">
        <is>
          <t>S</t>
        </is>
      </c>
    </row>
    <row r="27" customFormat="1" s="78">
      <c r="A27" s="76" t="inlineStr">
        <is>
          <t>U066</t>
        </is>
      </c>
      <c r="B27" s="76" t="inlineStr">
        <is>
          <t>Instituto Universitario de Física Aplicada a las Ciencias y las Tecnologías (10.</t>
        </is>
      </c>
      <c r="C27" s="76" t="inlineStr">
        <is>
          <t>DOCTORADO EN FÍSICA APLICADA A LAS CIENCIAS Y LAS TECNOLOGÍAS</t>
        </is>
      </c>
      <c r="D27" s="76" t="inlineStr">
        <is>
          <t>Saadi , Ahmed</t>
        </is>
      </c>
      <c r="E27" s="76" t="inlineStr">
        <is>
          <t>Subsurface Structure of the Oran and Aïn Témouchent Regions, Algeria: Microzonation and Site Effect
Analysis</t>
        </is>
      </c>
      <c r="F27" s="76" t="inlineStr">
        <is>
          <t>11/07/2025</t>
        </is>
      </c>
      <c r="G27" s="76" t="inlineStr">
        <is>
          <t>'-</t>
        </is>
      </c>
      <c r="H27" s="76" t="inlineStr">
        <is>
          <t>Codirector de tesis</t>
        </is>
      </c>
      <c r="I27" s="76" t="inlineStr">
        <is>
          <t>U066</t>
        </is>
      </c>
      <c r="J27" s="76" t="inlineStr">
        <is>
          <t>Instituto Universitario de Física Aplicada a las Ciencias y las Tecnologías (10.</t>
        </is>
      </c>
      <c r="K27" s="76" t="n">
        <v>0.5</v>
      </c>
      <c r="L27" s="76" t="inlineStr">
        <is>
          <t>10.20</t>
        </is>
      </c>
      <c r="M27" s="76" t="n">
        <v>2024</v>
      </c>
      <c r="N27" s="76" t="inlineStr"/>
      <c r="O27" s="76" t="inlineStr"/>
      <c r="P27" s="76" t="inlineStr"/>
      <c r="Q27" s="76" t="inlineStr"/>
      <c r="R27" s="76" t="n">
        <v>100</v>
      </c>
      <c r="S27" s="76" t="n">
        <v>0.5</v>
      </c>
      <c r="T27" s="76" t="n">
        <v>0</v>
      </c>
      <c r="U27" s="76" t="n">
        <v>0</v>
      </c>
    </row>
    <row r="28" customFormat="1" s="78">
      <c r="A28" s="76" t="inlineStr">
        <is>
          <t>U066</t>
        </is>
      </c>
      <c r="B28" s="76" t="inlineStr">
        <is>
          <t>Instituto Universitario de Física Aplicada a las Ciencias y las Tecnologías (10.</t>
        </is>
      </c>
      <c r="C28" s="76" t="inlineStr">
        <is>
          <t>DOCTORADO EN FÍSICA APLICADA A LAS CIENCIAS Y LAS TECNOLOGÍAS</t>
        </is>
      </c>
      <c r="D28" s="76" t="inlineStr">
        <is>
          <t>Saadi , Ahmed</t>
        </is>
      </c>
      <c r="E28" s="76" t="inlineStr">
        <is>
          <t>Subsurface Structure of the Oran and Aïn Témouchent Regions, Algeria: Microzonation and Site Effect
Analysis</t>
        </is>
      </c>
      <c r="F28" s="76" t="inlineStr">
        <is>
          <t>11/07/2025</t>
        </is>
      </c>
      <c r="G28" s="76" t="inlineStr">
        <is>
          <t>21499481R</t>
        </is>
      </c>
      <c r="H28" s="76" t="inlineStr">
        <is>
          <t>Codirector de tesis</t>
        </is>
      </c>
      <c r="I28" s="76" t="inlineStr">
        <is>
          <t>B149</t>
        </is>
      </c>
      <c r="J28" s="76" t="inlineStr">
        <is>
          <t>Física, Ingeniería de Sistemas y Teoría de la Señal</t>
        </is>
      </c>
      <c r="K28" s="76" t="n">
        <v>0.5</v>
      </c>
      <c r="L28" s="76" t="inlineStr">
        <is>
          <t>B149</t>
        </is>
      </c>
      <c r="M28" s="76" t="n">
        <v>2024</v>
      </c>
      <c r="N28" s="76" t="inlineStr">
        <is>
          <t>10.20</t>
        </is>
      </c>
      <c r="O28" s="76" t="inlineStr">
        <is>
          <t>20</t>
        </is>
      </c>
      <c r="P28" s="76" t="inlineStr"/>
      <c r="Q28" s="76" t="inlineStr"/>
      <c r="R28" s="76" t="n">
        <v>80</v>
      </c>
      <c r="S28" s="76" t="n">
        <v>0.4</v>
      </c>
      <c r="T28" s="76" t="n">
        <v>0.1</v>
      </c>
      <c r="U28" s="76" t="n">
        <v>0</v>
      </c>
    </row>
    <row r="29" customFormat="1" s="78">
      <c r="A29" s="76" t="inlineStr">
        <is>
          <t>U066</t>
        </is>
      </c>
      <c r="B29" s="76" t="inlineStr">
        <is>
          <t>Instituto Universitario de Física Aplicada a las Ciencias y las Tecnologías (10.</t>
        </is>
      </c>
      <c r="C29" s="76" t="inlineStr">
        <is>
          <t>DOCTORADO EN FÍSICA APLICADA A LAS CIENCIAS Y LAS TECNOLOGÍAS</t>
        </is>
      </c>
      <c r="D29" s="76" t="inlineStr">
        <is>
          <t>Lloret López, Tomás</t>
        </is>
      </c>
      <c r="E29" s="76" t="inlineStr">
        <is>
          <t>Holographic lens characterization for
imaging and nonimaging photonics systems</t>
        </is>
      </c>
      <c r="F29" s="76" t="inlineStr">
        <is>
          <t>07/02/2025</t>
        </is>
      </c>
      <c r="G29" s="76" t="inlineStr">
        <is>
          <t>15421218V</t>
        </is>
      </c>
      <c r="H29" s="76" t="inlineStr">
        <is>
          <t>Codirector de tesis</t>
        </is>
      </c>
      <c r="I29" s="76" t="inlineStr">
        <is>
          <t>B178</t>
        </is>
      </c>
      <c r="J29" s="76" t="inlineStr">
        <is>
          <t>Óptica, Farmacología y Anatomía</t>
        </is>
      </c>
      <c r="K29" s="76" t="n">
        <v>0.5</v>
      </c>
      <c r="L29" s="76" t="inlineStr">
        <is>
          <t>B178</t>
        </is>
      </c>
      <c r="M29" s="76" t="n">
        <v>2024</v>
      </c>
      <c r="N29" s="76" t="inlineStr">
        <is>
          <t>10.20</t>
        </is>
      </c>
      <c r="O29" s="76" t="inlineStr">
        <is>
          <t>50</t>
        </is>
      </c>
      <c r="P29" s="76" t="inlineStr"/>
      <c r="Q29" s="76" t="inlineStr"/>
      <c r="R29" s="76" t="n">
        <v>50</v>
      </c>
      <c r="S29" s="76" t="n">
        <v>0.25</v>
      </c>
      <c r="T29" s="76" t="n">
        <v>0.25</v>
      </c>
      <c r="U29" s="76" t="n">
        <v>0</v>
      </c>
    </row>
    <row r="30" customFormat="1" s="78">
      <c r="A30" s="76" t="inlineStr">
        <is>
          <t>U066</t>
        </is>
      </c>
      <c r="B30" s="76" t="inlineStr">
        <is>
          <t>Instituto Universitario de Física Aplicada a las Ciencias y las Tecnologías (10.</t>
        </is>
      </c>
      <c r="C30" s="76" t="inlineStr">
        <is>
          <t>DOCTORADO EN FÍSICA APLICADA A LAS CIENCIAS Y LAS TECNOLOGÍAS</t>
        </is>
      </c>
      <c r="D30" s="76" t="inlineStr">
        <is>
          <t>Lloret López, Tomás</t>
        </is>
      </c>
      <c r="E30" s="76" t="inlineStr">
        <is>
          <t>Holographic lens characterization for
imaging and nonimaging photonics systems</t>
        </is>
      </c>
      <c r="F30" s="76" t="inlineStr">
        <is>
          <t>07/02/2025</t>
        </is>
      </c>
      <c r="G30" s="76" t="inlineStr">
        <is>
          <t>21983769R</t>
        </is>
      </c>
      <c r="H30" s="76" t="inlineStr">
        <is>
          <t>Codirector de tesis</t>
        </is>
      </c>
      <c r="I30" s="76" t="inlineStr">
        <is>
          <t>B178</t>
        </is>
      </c>
      <c r="J30" s="76" t="inlineStr">
        <is>
          <t>Óptica, Farmacología y Anatomía</t>
        </is>
      </c>
      <c r="K30" s="76" t="n">
        <v>0.5</v>
      </c>
      <c r="L30" s="76" t="inlineStr">
        <is>
          <t>B178</t>
        </is>
      </c>
      <c r="M30" s="76" t="n">
        <v>2024</v>
      </c>
      <c r="N30" s="76" t="inlineStr">
        <is>
          <t>10.20</t>
        </is>
      </c>
      <c r="O30" s="76" t="inlineStr">
        <is>
          <t>50</t>
        </is>
      </c>
      <c r="P30" s="76" t="inlineStr"/>
      <c r="Q30" s="76" t="inlineStr"/>
      <c r="R30" s="76" t="n">
        <v>50</v>
      </c>
      <c r="S30" s="76" t="n">
        <v>0.25</v>
      </c>
      <c r="T30" s="76" t="n">
        <v>0.25</v>
      </c>
      <c r="U30" s="76" t="n">
        <v>0</v>
      </c>
    </row>
    <row r="31" customFormat="1" s="78">
      <c r="A31" s="76" t="inlineStr">
        <is>
          <t>U066</t>
        </is>
      </c>
      <c r="B31" s="76" t="inlineStr">
        <is>
          <t>Instituto Universitario de Física Aplicada a las Ciencias y las Tecnologías (10.</t>
        </is>
      </c>
      <c r="C31" s="76" t="inlineStr">
        <is>
          <t>DOCTORADO EN FÍSICA APLICADA A LAS CIENCIAS Y LAS TECNOLOGÍAS</t>
        </is>
      </c>
      <c r="D31" s="76" t="inlineStr">
        <is>
          <t>Sánchez Martínez, Daniel</t>
        </is>
      </c>
      <c r="E31" s="76" t="inlineStr">
        <is>
          <t>INTELLIGENT ROBOTIC MANIPULATION OF DEFORMABLE OBJECTS IN THE TOY INDUSTRY THROUGH LEARNING FROM
HUMAN DEMONSTRATION</t>
        </is>
      </c>
      <c r="F31" s="76" t="inlineStr">
        <is>
          <t>23/07/2025</t>
        </is>
      </c>
      <c r="G31" s="76" t="inlineStr">
        <is>
          <t>73996233N</t>
        </is>
      </c>
      <c r="H31" s="76" t="inlineStr">
        <is>
          <t>Codirector de tesis</t>
        </is>
      </c>
      <c r="I31" s="76" t="inlineStr">
        <is>
          <t>B149</t>
        </is>
      </c>
      <c r="J31" s="76" t="inlineStr">
        <is>
          <t>Física, Ingeniería de Sistemas y Teoría de la Señal</t>
        </is>
      </c>
      <c r="K31" s="76" t="n">
        <v>0.5</v>
      </c>
      <c r="L31" s="76" t="inlineStr">
        <is>
          <t>B149</t>
        </is>
      </c>
      <c r="M31" s="76" t="n">
        <v>2024</v>
      </c>
      <c r="N31" s="76" t="inlineStr">
        <is>
          <t>10.20</t>
        </is>
      </c>
      <c r="O31" s="76" t="inlineStr">
        <is>
          <t>20</t>
        </is>
      </c>
      <c r="P31" s="76" t="inlineStr"/>
      <c r="Q31" s="76" t="inlineStr"/>
      <c r="R31" s="76" t="n">
        <v>80</v>
      </c>
      <c r="S31" s="76" t="n">
        <v>0.4</v>
      </c>
      <c r="T31" s="76" t="n">
        <v>0.1</v>
      </c>
      <c r="U31" s="76" t="n">
        <v>0</v>
      </c>
    </row>
    <row r="32" customFormat="1" s="78">
      <c r="A32" s="76" t="inlineStr">
        <is>
          <t>U066</t>
        </is>
      </c>
      <c r="B32" s="76" t="inlineStr">
        <is>
          <t>Instituto Universitario de Física Aplicada a las Ciencias y las Tecnologías (10.</t>
        </is>
      </c>
      <c r="C32" s="76" t="inlineStr">
        <is>
          <t>DOCTORADO EN FÍSICA APLICADA A LAS CIENCIAS Y LAS TECNOLOGÍAS</t>
        </is>
      </c>
      <c r="D32" s="76" t="inlineStr">
        <is>
          <t>Berramdane , kheloud</t>
        </is>
      </c>
      <c r="E32" s="76" t="inlineStr">
        <is>
          <t>Holographic diffraction gratings storage in phototohydrogel</t>
        </is>
      </c>
      <c r="F32" s="76" t="inlineStr">
        <is>
          <t>24/01/2025</t>
        </is>
      </c>
      <c r="G32" s="76" t="inlineStr">
        <is>
          <t>53146258C</t>
        </is>
      </c>
      <c r="H32" s="76" t="inlineStr">
        <is>
          <t>Codirector de tesis</t>
        </is>
      </c>
      <c r="I32" s="76" t="inlineStr">
        <is>
          <t>B149</t>
        </is>
      </c>
      <c r="J32" s="76" t="inlineStr">
        <is>
          <t>Física, Ingeniería de Sistemas y Teoría de la Señal</t>
        </is>
      </c>
      <c r="K32" s="76" t="n">
        <v>0.5</v>
      </c>
      <c r="L32" s="76" t="inlineStr">
        <is>
          <t>B149</t>
        </is>
      </c>
      <c r="M32" s="76" t="n">
        <v>2024</v>
      </c>
      <c r="N32" s="76" t="inlineStr">
        <is>
          <t>10.20</t>
        </is>
      </c>
      <c r="O32" s="76" t="inlineStr">
        <is>
          <t>50</t>
        </is>
      </c>
      <c r="P32" s="76" t="inlineStr"/>
      <c r="Q32" s="76" t="inlineStr"/>
      <c r="R32" s="76" t="n">
        <v>50</v>
      </c>
      <c r="S32" s="76" t="n">
        <v>0.25</v>
      </c>
      <c r="T32" s="76" t="n">
        <v>0.25</v>
      </c>
      <c r="U32" s="76" t="n">
        <v>0</v>
      </c>
    </row>
    <row r="33" customFormat="1" s="78">
      <c r="A33" s="76" t="inlineStr">
        <is>
          <t>U066</t>
        </is>
      </c>
      <c r="B33" s="76" t="inlineStr">
        <is>
          <t>Instituto Universitario de Física Aplicada a las Ciencias y las Tecnologías (10.</t>
        </is>
      </c>
      <c r="C33" s="76" t="inlineStr">
        <is>
          <t>DOCTORADO EN FÍSICA APLICADA A LAS CIENCIAS Y LAS TECNOLOGÍAS</t>
        </is>
      </c>
      <c r="D33" s="76" t="inlineStr">
        <is>
          <t>Berramdane , kheloud</t>
        </is>
      </c>
      <c r="E33" s="76" t="inlineStr">
        <is>
          <t>Holographic diffraction gratings storage in phototohydrogel</t>
        </is>
      </c>
      <c r="F33" s="76" t="inlineStr">
        <is>
          <t>24/01/2025</t>
        </is>
      </c>
      <c r="G33" s="76" t="inlineStr">
        <is>
          <t>21983769R</t>
        </is>
      </c>
      <c r="H33" s="76" t="inlineStr">
        <is>
          <t>Codirector de tesis</t>
        </is>
      </c>
      <c r="I33" s="76" t="inlineStr">
        <is>
          <t>B178</t>
        </is>
      </c>
      <c r="J33" s="76" t="inlineStr">
        <is>
          <t>Óptica, Farmacología y Anatomía</t>
        </is>
      </c>
      <c r="K33" s="76" t="n">
        <v>0.5</v>
      </c>
      <c r="L33" s="76" t="inlineStr">
        <is>
          <t>B178</t>
        </is>
      </c>
      <c r="M33" s="76" t="n">
        <v>2024</v>
      </c>
      <c r="N33" s="76" t="inlineStr">
        <is>
          <t>10.20</t>
        </is>
      </c>
      <c r="O33" s="76" t="inlineStr">
        <is>
          <t>50</t>
        </is>
      </c>
      <c r="P33" s="76" t="inlineStr"/>
      <c r="Q33" s="76" t="inlineStr"/>
      <c r="R33" s="76" t="n">
        <v>50</v>
      </c>
      <c r="S33" s="76" t="n">
        <v>0.25</v>
      </c>
      <c r="T33" s="76" t="n">
        <v>0.25</v>
      </c>
      <c r="U33" s="76" t="n">
        <v>0</v>
      </c>
    </row>
    <row r="34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9" t="n"/>
      <c r="M34" s="28" t="n"/>
      <c r="N34" s="29" t="n"/>
      <c r="O34" s="28" t="n"/>
      <c r="P34" s="29" t="n"/>
      <c r="Q34" s="28" t="n"/>
      <c r="R34" s="28" t="n"/>
      <c r="S34" s="28" t="n"/>
      <c r="T34" s="30">
        <f>SUM(T3:T24,S2:S2,S25,T26,S27,T28:T33)</f>
        <v/>
      </c>
      <c r="U34" s="28" t="n"/>
    </row>
  </sheetData>
  <autoFilter ref="A1:T34">
    <sortState ref="A2:T918">
      <sortCondition ref="M2:M918"/>
      <sortCondition ref="O2:O918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2" fitToHeight="22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48"/>
  <sheetViews>
    <sheetView topLeftCell="A25" zoomScaleNormal="100" workbookViewId="0">
      <selection activeCell="W9" sqref="W9"/>
    </sheetView>
  </sheetViews>
  <sheetFormatPr baseColWidth="10" defaultColWidth="11.42578125" defaultRowHeight="12.75"/>
  <cols>
    <col width="10.85546875" bestFit="1" customWidth="1" style="10" min="1" max="1"/>
    <col width="41" bestFit="1" customWidth="1" style="10" min="2" max="2"/>
    <col width="17" bestFit="1" customWidth="1" style="10" min="3" max="3"/>
    <col width="3.28515625" bestFit="1" customWidth="1" style="10" min="4" max="9"/>
    <col width="13.140625" bestFit="1" customWidth="1" style="10" min="10" max="10"/>
    <col width="5.28515625" bestFit="1" customWidth="1" style="10" min="11" max="11"/>
    <col width="5.7109375" bestFit="1" customWidth="1" style="10" min="12" max="12"/>
    <col width="5.7109375" bestFit="1" customWidth="1" style="11" min="13" max="14"/>
    <col width="5.7109375" bestFit="1" customWidth="1" style="10" min="15" max="15"/>
    <col width="5.7109375" bestFit="1" customWidth="1" style="11" min="16" max="16"/>
    <col width="5.7109375" bestFit="1" customWidth="1" style="10" min="17" max="19"/>
    <col width="11.42578125" customWidth="1" style="10" min="20" max="16384"/>
  </cols>
  <sheetData>
    <row r="1" ht="65.09999999999999" customFormat="1" customHeight="1" s="9">
      <c r="A1" s="12" t="inlineStr">
        <is>
          <t>NIF</t>
        </is>
      </c>
      <c r="B1" s="12" t="inlineStr">
        <is>
          <t>NOMBRE_COMPLETO</t>
        </is>
      </c>
      <c r="C1" s="12" t="inlineStr">
        <is>
          <t>TIPO_SEXENIO</t>
        </is>
      </c>
      <c r="D1" s="13" t="inlineStr">
        <is>
          <t>2020</t>
        </is>
      </c>
      <c r="E1" s="13" t="inlineStr">
        <is>
          <t>2021</t>
        </is>
      </c>
      <c r="F1" s="13" t="inlineStr">
        <is>
          <t>2022</t>
        </is>
      </c>
      <c r="G1" s="13" t="inlineStr">
        <is>
          <t>2023</t>
        </is>
      </c>
      <c r="H1" s="13" t="inlineStr">
        <is>
          <t>2024</t>
        </is>
      </c>
      <c r="I1" s="13" t="inlineStr">
        <is>
          <t>2025</t>
        </is>
      </c>
      <c r="J1" s="12" t="inlineStr">
        <is>
          <t>Total general</t>
        </is>
      </c>
      <c r="K1" s="14" t="inlineStr">
        <is>
          <t>COD DEP</t>
        </is>
      </c>
      <c r="L1" s="7" t="inlineStr">
        <is>
          <t>INS
1</t>
        </is>
      </c>
      <c r="M1" s="7" t="inlineStr">
        <is>
          <t>DED
INS 1</t>
        </is>
      </c>
      <c r="N1" s="7" t="inlineStr">
        <is>
          <t>INS
2</t>
        </is>
      </c>
      <c r="O1" s="7" t="inlineStr">
        <is>
          <t>DED
INS 2</t>
        </is>
      </c>
      <c r="P1" s="8" t="inlineStr">
        <is>
          <t>DED
DEP</t>
        </is>
      </c>
      <c r="Q1" s="8" t="inlineStr">
        <is>
          <t>SEX
INS 1</t>
        </is>
      </c>
      <c r="R1" s="8" t="inlineStr">
        <is>
          <t>SEX
INS 2</t>
        </is>
      </c>
      <c r="S1" s="8" t="inlineStr">
        <is>
          <t>SEX
DEP</t>
        </is>
      </c>
      <c r="T1" s="10" t="n"/>
    </row>
    <row r="2" ht="15" customHeight="1">
      <c r="A2" s="15" t="inlineStr">
        <is>
          <t>04618131F</t>
        </is>
      </c>
      <c r="B2" s="15" t="inlineStr">
        <is>
          <t>Fernández Fernández, Roberto</t>
        </is>
      </c>
      <c r="C2" s="15" t="inlineStr">
        <is>
          <t>FUNCIONARIO</t>
        </is>
      </c>
      <c r="D2" s="15" t="n"/>
      <c r="E2" s="15" t="n"/>
      <c r="F2" s="15" t="n"/>
      <c r="G2" s="15" t="n"/>
      <c r="H2" s="15" t="n"/>
      <c r="I2" s="15" t="n">
        <v>1</v>
      </c>
      <c r="J2" s="15" t="n">
        <v>1</v>
      </c>
      <c r="K2" s="15" t="inlineStr">
        <is>
          <t>B149</t>
        </is>
      </c>
      <c r="L2" s="16" t="inlineStr">
        <is>
          <t>10.20</t>
        </is>
      </c>
      <c r="M2" s="16" t="inlineStr">
        <is>
          <t>20</t>
        </is>
      </c>
      <c r="N2" s="16" t="inlineStr"/>
      <c r="O2" s="16" t="inlineStr"/>
      <c r="P2" s="16" t="n">
        <v>80</v>
      </c>
      <c r="Q2" s="71" t="n">
        <v>0.2</v>
      </c>
      <c r="R2" s="16" t="n">
        <v>0</v>
      </c>
      <c r="S2" s="16" t="n">
        <v>0.8</v>
      </c>
    </row>
    <row r="3" ht="15" customHeight="1">
      <c r="A3" s="15" t="inlineStr">
        <is>
          <t>05162571Z</t>
        </is>
      </c>
      <c r="B3" s="15" t="inlineStr">
        <is>
          <t>Beléndez Vázquez, Augusto</t>
        </is>
      </c>
      <c r="C3" s="15" t="inlineStr">
        <is>
          <t>FUNCIONARIO</t>
        </is>
      </c>
      <c r="D3" s="15" t="n"/>
      <c r="E3" s="15" t="n"/>
      <c r="F3" s="15" t="n"/>
      <c r="G3" s="15" t="n">
        <v>1</v>
      </c>
      <c r="H3" s="15" t="n"/>
      <c r="I3" s="15" t="n"/>
      <c r="J3" s="15" t="n">
        <v>1</v>
      </c>
      <c r="K3" s="15" t="inlineStr">
        <is>
          <t>B149</t>
        </is>
      </c>
      <c r="L3" s="16" t="inlineStr">
        <is>
          <t>10.20</t>
        </is>
      </c>
      <c r="M3" s="16" t="inlineStr">
        <is>
          <t>50</t>
        </is>
      </c>
      <c r="N3" s="16" t="inlineStr"/>
      <c r="O3" s="16" t="inlineStr"/>
      <c r="P3" s="16" t="n">
        <v>50</v>
      </c>
      <c r="Q3" s="71" t="n">
        <v>0.5</v>
      </c>
      <c r="R3" s="16" t="n">
        <v>0</v>
      </c>
      <c r="S3" s="16" t="n">
        <v>0.5</v>
      </c>
    </row>
    <row r="4" ht="15" customHeight="1">
      <c r="A4" s="15" t="inlineStr">
        <is>
          <t>15421218V</t>
        </is>
      </c>
      <c r="B4" s="15" t="inlineStr">
        <is>
          <t>Morales Vidal, Marta</t>
        </is>
      </c>
      <c r="C4" s="15" t="inlineStr">
        <is>
          <t>FUNCIONARIO</t>
        </is>
      </c>
      <c r="D4" s="15" t="n"/>
      <c r="E4" s="15" t="n"/>
      <c r="F4" s="15" t="n"/>
      <c r="G4" s="15" t="n"/>
      <c r="H4" s="15" t="n"/>
      <c r="I4" s="15" t="n">
        <v>2</v>
      </c>
      <c r="J4" s="15" t="n">
        <v>2</v>
      </c>
      <c r="K4" s="15" t="inlineStr">
        <is>
          <t>B178</t>
        </is>
      </c>
      <c r="L4" s="16" t="inlineStr">
        <is>
          <t>10.20</t>
        </is>
      </c>
      <c r="M4" s="16" t="inlineStr">
        <is>
          <t>50</t>
        </is>
      </c>
      <c r="N4" s="16" t="inlineStr"/>
      <c r="O4" s="16" t="inlineStr"/>
      <c r="P4" s="16" t="n">
        <v>50</v>
      </c>
      <c r="Q4" s="71" t="n">
        <v>1</v>
      </c>
      <c r="R4" s="16" t="n">
        <v>0</v>
      </c>
      <c r="S4" s="16" t="n">
        <v>1</v>
      </c>
    </row>
    <row r="5" ht="15" customHeight="1">
      <c r="A5" s="15" t="inlineStr">
        <is>
          <t>19099684R</t>
        </is>
      </c>
      <c r="B5" s="15" t="inlineStr">
        <is>
          <t>Torrejón Vázquez, José Miguel</t>
        </is>
      </c>
      <c r="C5" s="15" t="inlineStr">
        <is>
          <t>FUNCIONARIO</t>
        </is>
      </c>
      <c r="D5" s="15" t="n"/>
      <c r="E5" s="15" t="n"/>
      <c r="F5" s="15" t="n"/>
      <c r="G5" s="15" t="n"/>
      <c r="H5" s="15" t="n"/>
      <c r="I5" s="15" t="n">
        <v>1</v>
      </c>
      <c r="J5" s="15" t="n">
        <v>1</v>
      </c>
      <c r="K5" s="15" t="inlineStr">
        <is>
          <t>B149</t>
        </is>
      </c>
      <c r="L5" s="16" t="inlineStr">
        <is>
          <t>10.20</t>
        </is>
      </c>
      <c r="M5" s="16" t="inlineStr">
        <is>
          <t>20</t>
        </is>
      </c>
      <c r="N5" s="16" t="inlineStr"/>
      <c r="O5" s="16" t="inlineStr"/>
      <c r="P5" s="16" t="n">
        <v>80</v>
      </c>
      <c r="Q5" s="71" t="n">
        <v>0.2</v>
      </c>
      <c r="R5" s="16" t="n">
        <v>0</v>
      </c>
      <c r="S5" s="16" t="n">
        <v>0.8</v>
      </c>
    </row>
    <row r="6" ht="15" customHeight="1">
      <c r="A6" s="15" t="inlineStr">
        <is>
          <t>20015950Q</t>
        </is>
      </c>
      <c r="B6" s="15" t="inlineStr">
        <is>
          <t>Miret Mari, Juan Jose</t>
        </is>
      </c>
      <c r="C6" s="15" t="inlineStr">
        <is>
          <t>FUNCIONARIO</t>
        </is>
      </c>
      <c r="D6" s="15" t="n"/>
      <c r="E6" s="15" t="n"/>
      <c r="F6" s="15" t="n">
        <v>1</v>
      </c>
      <c r="G6" s="15" t="n"/>
      <c r="H6" s="15" t="n"/>
      <c r="I6" s="15" t="n"/>
      <c r="J6" s="15" t="n">
        <v>1</v>
      </c>
      <c r="K6" s="15" t="inlineStr">
        <is>
          <t>B178</t>
        </is>
      </c>
      <c r="L6" s="16" t="inlineStr">
        <is>
          <t>10.20</t>
        </is>
      </c>
      <c r="M6" s="16" t="inlineStr">
        <is>
          <t>20</t>
        </is>
      </c>
      <c r="N6" s="16" t="inlineStr"/>
      <c r="O6" s="16" t="inlineStr"/>
      <c r="P6" s="16" t="n">
        <v>80</v>
      </c>
      <c r="Q6" s="71" t="n">
        <v>0.2</v>
      </c>
      <c r="R6" s="16" t="n">
        <v>0</v>
      </c>
      <c r="S6" s="16" t="n">
        <v>0.8</v>
      </c>
    </row>
    <row r="7" ht="15" customHeight="1">
      <c r="A7" s="15" t="inlineStr">
        <is>
          <t>20430702D</t>
        </is>
      </c>
      <c r="B7" s="15" t="inlineStr">
        <is>
          <t>Navarro Fuster, Víctor</t>
        </is>
      </c>
      <c r="C7" s="15" t="inlineStr">
        <is>
          <t>NO FUNCIONARIO</t>
        </is>
      </c>
      <c r="D7" s="15" t="n">
        <v>1</v>
      </c>
      <c r="E7" s="15" t="n"/>
      <c r="F7" s="15" t="n"/>
      <c r="G7" s="15" t="n"/>
      <c r="H7" s="15" t="n"/>
      <c r="I7" s="15" t="n"/>
      <c r="J7" s="15" t="n">
        <v>1</v>
      </c>
      <c r="K7" s="15" t="inlineStr">
        <is>
          <t>B149</t>
        </is>
      </c>
      <c r="L7" s="16" t="inlineStr">
        <is>
          <t>10.20</t>
        </is>
      </c>
      <c r="M7" s="16" t="inlineStr">
        <is>
          <t>20</t>
        </is>
      </c>
      <c r="N7" s="16" t="inlineStr"/>
      <c r="O7" s="16" t="inlineStr"/>
      <c r="P7" s="16" t="n">
        <v>80</v>
      </c>
      <c r="Q7" s="71" t="n">
        <v>0.2</v>
      </c>
      <c r="R7" s="16" t="n">
        <v>0</v>
      </c>
      <c r="S7" s="16" t="n">
        <v>0.8</v>
      </c>
    </row>
    <row r="8" ht="15" customHeight="1">
      <c r="A8" s="15" t="inlineStr">
        <is>
          <t>21393105T</t>
        </is>
      </c>
      <c r="B8" s="15" t="inlineStr">
        <is>
          <t>Hernández Prados, Antonio</t>
        </is>
      </c>
      <c r="C8" s="15" t="inlineStr">
        <is>
          <t>Vivos</t>
        </is>
      </c>
      <c r="D8" s="15" t="n"/>
      <c r="E8" s="15" t="n"/>
      <c r="F8" s="15" t="n"/>
      <c r="G8" s="15" t="n"/>
      <c r="H8" s="15" t="n"/>
      <c r="I8" s="15" t="n">
        <v>1</v>
      </c>
      <c r="J8" s="15" t="n">
        <v>1</v>
      </c>
      <c r="K8" s="15" t="inlineStr">
        <is>
          <t>B149</t>
        </is>
      </c>
      <c r="L8" s="16" t="inlineStr">
        <is>
          <t>10.20</t>
        </is>
      </c>
      <c r="M8" s="16" t="inlineStr">
        <is>
          <t>50</t>
        </is>
      </c>
      <c r="N8" s="16" t="inlineStr"/>
      <c r="O8" s="16" t="inlineStr"/>
      <c r="P8" s="16" t="n">
        <v>50</v>
      </c>
      <c r="Q8" s="71" t="n">
        <v>0.5</v>
      </c>
      <c r="R8" s="16" t="n">
        <v>0</v>
      </c>
      <c r="S8" s="16" t="n">
        <v>0.5</v>
      </c>
    </row>
    <row r="9" ht="15" customHeight="1">
      <c r="A9" s="15" t="inlineStr">
        <is>
          <t>21451275A</t>
        </is>
      </c>
      <c r="B9" s="15" t="inlineStr">
        <is>
          <t>Rodes Roca, José Joaquín</t>
        </is>
      </c>
      <c r="C9" s="15" t="inlineStr">
        <is>
          <t>FUNCIONARIO</t>
        </is>
      </c>
      <c r="D9" s="15" t="n"/>
      <c r="E9" s="15" t="n"/>
      <c r="F9" s="15" t="n">
        <v>1</v>
      </c>
      <c r="G9" s="15" t="n"/>
      <c r="H9" s="15" t="n"/>
      <c r="I9" s="15" t="n"/>
      <c r="J9" s="15" t="n">
        <v>1</v>
      </c>
      <c r="K9" s="15" t="inlineStr">
        <is>
          <t>B149</t>
        </is>
      </c>
      <c r="L9" s="16" t="inlineStr">
        <is>
          <t>10.20</t>
        </is>
      </c>
      <c r="M9" s="16" t="inlineStr">
        <is>
          <t>50</t>
        </is>
      </c>
      <c r="N9" s="16" t="inlineStr"/>
      <c r="O9" s="16" t="inlineStr"/>
      <c r="P9" s="16" t="n">
        <v>50</v>
      </c>
      <c r="Q9" s="71" t="n">
        <v>0.5</v>
      </c>
      <c r="R9" s="16" t="n">
        <v>0</v>
      </c>
      <c r="S9" s="16" t="n">
        <v>0.5</v>
      </c>
    </row>
    <row r="10" ht="15" customHeight="1">
      <c r="A10" s="15" t="inlineStr">
        <is>
          <t>21456187Q</t>
        </is>
      </c>
      <c r="B10" s="15" t="inlineStr">
        <is>
          <t>Pérez Rodríguez, Jorge</t>
        </is>
      </c>
      <c r="C10" s="15" t="inlineStr">
        <is>
          <t>FUNCIONARIO</t>
        </is>
      </c>
      <c r="D10" s="15" t="n"/>
      <c r="E10" s="15" t="n"/>
      <c r="F10" s="15" t="n"/>
      <c r="G10" s="15" t="n"/>
      <c r="H10" s="15" t="n">
        <v>1</v>
      </c>
      <c r="I10" s="15" t="n"/>
      <c r="J10" s="15" t="n">
        <v>1</v>
      </c>
      <c r="K10" s="15" t="inlineStr">
        <is>
          <t>B178</t>
        </is>
      </c>
      <c r="L10" s="16" t="inlineStr">
        <is>
          <t>10.20</t>
        </is>
      </c>
      <c r="M10" s="16" t="inlineStr">
        <is>
          <t>50</t>
        </is>
      </c>
      <c r="N10" s="16" t="inlineStr"/>
      <c r="O10" s="16" t="inlineStr"/>
      <c r="P10" s="16" t="n">
        <v>50</v>
      </c>
      <c r="Q10" s="71" t="n">
        <v>0.5</v>
      </c>
      <c r="R10" s="16" t="n">
        <v>0</v>
      </c>
      <c r="S10" s="16" t="n">
        <v>0.5</v>
      </c>
    </row>
    <row r="11" ht="15" customHeight="1">
      <c r="A11" s="15" t="inlineStr">
        <is>
          <t>21456823P</t>
        </is>
      </c>
      <c r="B11" s="15" t="inlineStr">
        <is>
          <t>Vázquez Ferri, Carmen</t>
        </is>
      </c>
      <c r="C11" s="15" t="inlineStr">
        <is>
          <t>Vivos</t>
        </is>
      </c>
      <c r="D11" s="15" t="n"/>
      <c r="E11" s="15" t="n"/>
      <c r="F11" s="15" t="n"/>
      <c r="G11" s="15" t="n"/>
      <c r="H11" s="15" t="n"/>
      <c r="I11" s="15" t="n">
        <v>1</v>
      </c>
      <c r="J11" s="15" t="n">
        <v>1</v>
      </c>
      <c r="K11" s="15" t="inlineStr">
        <is>
          <t>B178</t>
        </is>
      </c>
      <c r="L11" s="16" t="inlineStr">
        <is>
          <t>10.20</t>
        </is>
      </c>
      <c r="M11" s="16" t="inlineStr">
        <is>
          <t>20</t>
        </is>
      </c>
      <c r="N11" s="16" t="inlineStr"/>
      <c r="O11" s="16" t="inlineStr"/>
      <c r="P11" s="16" t="n">
        <v>80</v>
      </c>
      <c r="Q11" s="71" t="n">
        <v>0.2</v>
      </c>
      <c r="R11" s="16" t="n">
        <v>0</v>
      </c>
      <c r="S11" s="16" t="n">
        <v>0.8</v>
      </c>
    </row>
    <row r="12" ht="15" customHeight="1">
      <c r="A12" s="15" t="inlineStr">
        <is>
          <t>21459318L</t>
        </is>
      </c>
      <c r="B12" s="15" t="inlineStr">
        <is>
          <t>Doménech Amigot, María Begoña</t>
        </is>
      </c>
      <c r="C12" s="15" t="inlineStr">
        <is>
          <t>FUNCIONARIO</t>
        </is>
      </c>
      <c r="D12" s="15" t="n"/>
      <c r="E12" s="15" t="n"/>
      <c r="F12" s="15" t="n"/>
      <c r="G12" s="15" t="n"/>
      <c r="H12" s="15" t="n">
        <v>1</v>
      </c>
      <c r="I12" s="15" t="n"/>
      <c r="J12" s="15" t="n">
        <v>1</v>
      </c>
      <c r="K12" s="15" t="inlineStr">
        <is>
          <t>B178</t>
        </is>
      </c>
      <c r="L12" s="16" t="inlineStr">
        <is>
          <t>10.20</t>
        </is>
      </c>
      <c r="M12" s="16" t="inlineStr">
        <is>
          <t>20</t>
        </is>
      </c>
      <c r="N12" s="16" t="inlineStr"/>
      <c r="O12" s="16" t="inlineStr"/>
      <c r="P12" s="16" t="n">
        <v>80</v>
      </c>
      <c r="Q12" s="71" t="n">
        <v>0.2</v>
      </c>
      <c r="R12" s="16" t="n">
        <v>0</v>
      </c>
      <c r="S12" s="16" t="n">
        <v>0.8</v>
      </c>
    </row>
    <row r="13" ht="15" customHeight="1">
      <c r="A13" s="15" t="inlineStr">
        <is>
          <t>21499481R</t>
        </is>
      </c>
      <c r="B13" s="15" t="inlineStr">
        <is>
          <t>Galiana Merino, Juan José</t>
        </is>
      </c>
      <c r="C13" s="15" t="inlineStr">
        <is>
          <t>FUNCIONARIO</t>
        </is>
      </c>
      <c r="D13" s="15" t="n"/>
      <c r="E13" s="15" t="n"/>
      <c r="F13" s="15" t="n"/>
      <c r="G13" s="15" t="n"/>
      <c r="H13" s="15" t="n">
        <v>1</v>
      </c>
      <c r="I13" s="15" t="n"/>
      <c r="J13" s="15" t="n">
        <v>1</v>
      </c>
      <c r="K13" s="15" t="inlineStr">
        <is>
          <t>B149</t>
        </is>
      </c>
      <c r="L13" s="16" t="inlineStr">
        <is>
          <t>10.20</t>
        </is>
      </c>
      <c r="M13" s="16" t="inlineStr">
        <is>
          <t>20</t>
        </is>
      </c>
      <c r="N13" s="16" t="inlineStr"/>
      <c r="O13" s="16" t="inlineStr"/>
      <c r="P13" s="16" t="n">
        <v>80</v>
      </c>
      <c r="Q13" s="71" t="n">
        <v>0.2</v>
      </c>
      <c r="R13" s="16" t="n">
        <v>0</v>
      </c>
      <c r="S13" s="16" t="n">
        <v>0.8</v>
      </c>
    </row>
    <row r="14" ht="15" customHeight="1">
      <c r="A14" s="15" t="inlineStr">
        <is>
          <t>21502688B</t>
        </is>
      </c>
      <c r="B14" s="15" t="inlineStr">
        <is>
          <t>Méndez Alcaraz, David Israel</t>
        </is>
      </c>
      <c r="C14" s="15" t="inlineStr">
        <is>
          <t>FUNCIONARIO</t>
        </is>
      </c>
      <c r="D14" s="15" t="n"/>
      <c r="E14" s="15" t="n"/>
      <c r="F14" s="15" t="n">
        <v>1</v>
      </c>
      <c r="G14" s="15" t="n"/>
      <c r="H14" s="15" t="n"/>
      <c r="I14" s="15" t="n"/>
      <c r="J14" s="15" t="n">
        <v>1</v>
      </c>
      <c r="K14" s="15" t="inlineStr">
        <is>
          <t>B149</t>
        </is>
      </c>
      <c r="L14" s="16" t="inlineStr">
        <is>
          <t>10.20</t>
        </is>
      </c>
      <c r="M14" s="16" t="inlineStr">
        <is>
          <t>20</t>
        </is>
      </c>
      <c r="N14" s="16" t="inlineStr"/>
      <c r="O14" s="16" t="inlineStr"/>
      <c r="P14" s="16" t="n">
        <v>80</v>
      </c>
      <c r="Q14" s="71" t="n">
        <v>0.2</v>
      </c>
      <c r="R14" s="16" t="n">
        <v>0</v>
      </c>
      <c r="S14" s="16" t="n">
        <v>0.8</v>
      </c>
    </row>
    <row r="15" ht="15" customHeight="1">
      <c r="A15" s="15" t="inlineStr">
        <is>
          <t>21508379K</t>
        </is>
      </c>
      <c r="B15" s="15" t="inlineStr">
        <is>
          <t>García Llopis, Celia</t>
        </is>
      </c>
      <c r="C15" s="15" t="inlineStr">
        <is>
          <t>FUNCIONARIO</t>
        </is>
      </c>
      <c r="D15" s="15" t="n"/>
      <c r="E15" s="15" t="n"/>
      <c r="F15" s="15" t="n"/>
      <c r="G15" s="15" t="n">
        <v>1</v>
      </c>
      <c r="H15" s="15" t="n"/>
      <c r="I15" s="15" t="n"/>
      <c r="J15" s="15" t="n">
        <v>1</v>
      </c>
      <c r="K15" s="15" t="inlineStr">
        <is>
          <t>B178</t>
        </is>
      </c>
      <c r="L15" s="16" t="inlineStr">
        <is>
          <t>10.20</t>
        </is>
      </c>
      <c r="M15" s="16" t="inlineStr">
        <is>
          <t>20</t>
        </is>
      </c>
      <c r="N15" s="16" t="inlineStr"/>
      <c r="O15" s="16" t="inlineStr"/>
      <c r="P15" s="16" t="n">
        <v>80</v>
      </c>
      <c r="Q15" s="71" t="n">
        <v>0.2</v>
      </c>
      <c r="R15" s="16" t="n">
        <v>0</v>
      </c>
      <c r="S15" s="16" t="n">
        <v>0.8</v>
      </c>
    </row>
    <row r="16">
      <c r="A16" s="26" t="inlineStr">
        <is>
          <t>21983769R</t>
        </is>
      </c>
      <c r="B16" s="26" t="inlineStr">
        <is>
          <t>Pascual Villalobos, María Inmaculada</t>
        </is>
      </c>
      <c r="C16" s="26" t="inlineStr">
        <is>
          <t>FUNCIONARIO</t>
        </is>
      </c>
      <c r="D16" s="26" t="n"/>
      <c r="E16" s="26" t="n"/>
      <c r="F16" s="26" t="n"/>
      <c r="G16" s="26" t="n">
        <v>1</v>
      </c>
      <c r="H16" s="26" t="n"/>
      <c r="I16" s="26" t="n"/>
      <c r="J16" s="26" t="n">
        <v>1</v>
      </c>
      <c r="K16" s="26" t="inlineStr">
        <is>
          <t>B178</t>
        </is>
      </c>
      <c r="L16" s="38" t="inlineStr">
        <is>
          <t>10.20</t>
        </is>
      </c>
      <c r="M16" s="38" t="inlineStr">
        <is>
          <t>50</t>
        </is>
      </c>
      <c r="N16" s="38" t="inlineStr"/>
      <c r="O16" s="38" t="inlineStr"/>
      <c r="P16" s="38" t="n">
        <v>50</v>
      </c>
      <c r="Q16" s="72" t="n">
        <v>0.5</v>
      </c>
      <c r="R16" s="38" t="n">
        <v>0</v>
      </c>
      <c r="S16" s="38" t="n">
        <v>0.5</v>
      </c>
    </row>
    <row r="17" ht="15" customHeight="1">
      <c r="A17" s="15" t="inlineStr">
        <is>
          <t>22139399J</t>
        </is>
      </c>
      <c r="B17" s="15" t="inlineStr">
        <is>
          <t>Brocal Fernández, Francisco</t>
        </is>
      </c>
      <c r="C17" s="15" t="inlineStr">
        <is>
          <t>NO FUNCIONARIO</t>
        </is>
      </c>
      <c r="D17" s="15" t="n"/>
      <c r="E17" s="15" t="n"/>
      <c r="F17" s="15" t="n">
        <v>1</v>
      </c>
      <c r="G17" s="15" t="n"/>
      <c r="H17" s="15" t="n"/>
      <c r="I17" s="15" t="n"/>
      <c r="J17" s="15" t="n">
        <v>1</v>
      </c>
      <c r="K17" s="15" t="inlineStr">
        <is>
          <t>B149</t>
        </is>
      </c>
      <c r="L17" s="16" t="inlineStr">
        <is>
          <t>10.20</t>
        </is>
      </c>
      <c r="M17" s="16" t="inlineStr">
        <is>
          <t>20</t>
        </is>
      </c>
      <c r="N17" s="16" t="inlineStr"/>
      <c r="O17" s="16" t="inlineStr"/>
      <c r="P17" s="16" t="n">
        <v>80</v>
      </c>
      <c r="Q17" s="71" t="n">
        <v>0.2</v>
      </c>
      <c r="R17" s="16" t="n">
        <v>0</v>
      </c>
      <c r="S17" s="16" t="n">
        <v>0.8</v>
      </c>
    </row>
    <row r="18" ht="15" customHeight="1">
      <c r="A18" s="15" t="inlineStr">
        <is>
          <t>22142307T</t>
        </is>
      </c>
      <c r="B18" s="15" t="inlineStr">
        <is>
          <t>Martínez Guardiola, Francisco Javier</t>
        </is>
      </c>
      <c r="C18" s="15" t="inlineStr">
        <is>
          <t>FUNCIONARIO</t>
        </is>
      </c>
      <c r="D18" s="15" t="n">
        <v>1</v>
      </c>
      <c r="E18" s="15" t="n">
        <v>1</v>
      </c>
      <c r="F18" s="15" t="n"/>
      <c r="G18" s="15" t="n"/>
      <c r="H18" s="15" t="n"/>
      <c r="I18" s="15" t="n"/>
      <c r="J18" s="15" t="n">
        <v>2</v>
      </c>
      <c r="K18" s="15" t="inlineStr">
        <is>
          <t>B149</t>
        </is>
      </c>
      <c r="L18" s="16" t="inlineStr">
        <is>
          <t>10.20</t>
        </is>
      </c>
      <c r="M18" s="16" t="inlineStr">
        <is>
          <t>20</t>
        </is>
      </c>
      <c r="N18" s="16" t="inlineStr"/>
      <c r="O18" s="16" t="inlineStr"/>
      <c r="P18" s="16" t="n">
        <v>80</v>
      </c>
      <c r="Q18" s="71" t="n">
        <v>0.4</v>
      </c>
      <c r="R18" s="16" t="n">
        <v>0</v>
      </c>
      <c r="S18" s="16" t="n">
        <v>1.6</v>
      </c>
    </row>
    <row r="19" ht="15" customHeight="1">
      <c r="A19" s="15" t="inlineStr">
        <is>
          <t>25414751G</t>
        </is>
      </c>
      <c r="B19" s="15" t="inlineStr">
        <is>
          <t>Ferrer Crespo, María Belén</t>
        </is>
      </c>
      <c r="C19" s="15" t="inlineStr">
        <is>
          <t>FUNCIONARIO</t>
        </is>
      </c>
      <c r="D19" s="15" t="n"/>
      <c r="E19" s="15" t="n">
        <v>1</v>
      </c>
      <c r="F19" s="15" t="n"/>
      <c r="G19" s="15" t="n"/>
      <c r="H19" s="15" t="n"/>
      <c r="I19" s="15" t="n"/>
      <c r="J19" s="15" t="n">
        <v>1</v>
      </c>
      <c r="K19" s="15" t="inlineStr">
        <is>
          <t>B185</t>
        </is>
      </c>
      <c r="L19" s="16" t="inlineStr">
        <is>
          <t>10.20</t>
        </is>
      </c>
      <c r="M19" s="16" t="inlineStr">
        <is>
          <t>50</t>
        </is>
      </c>
      <c r="N19" s="16" t="inlineStr"/>
      <c r="O19" s="16" t="inlineStr"/>
      <c r="P19" s="16" t="n">
        <v>50</v>
      </c>
      <c r="Q19" s="71" t="n">
        <v>0.5</v>
      </c>
      <c r="R19" s="16" t="n">
        <v>0</v>
      </c>
      <c r="S19" s="16" t="n">
        <v>0.5</v>
      </c>
    </row>
    <row r="20" ht="15" customHeight="1">
      <c r="A20" s="15" t="inlineStr">
        <is>
          <t>29013624K</t>
        </is>
      </c>
      <c r="B20" s="15" t="inlineStr">
        <is>
          <t>Ortuño Sánchez, Manuel Francisco</t>
        </is>
      </c>
      <c r="C20" s="15" t="inlineStr">
        <is>
          <t>FUNCIONARIO</t>
        </is>
      </c>
      <c r="D20" s="15" t="n"/>
      <c r="E20" s="15" t="n"/>
      <c r="F20" s="15" t="n"/>
      <c r="G20" s="15" t="n"/>
      <c r="H20" s="15" t="n">
        <v>1</v>
      </c>
      <c r="I20" s="15" t="n"/>
      <c r="J20" s="15" t="n">
        <v>1</v>
      </c>
      <c r="K20" s="15" t="inlineStr">
        <is>
          <t>B149</t>
        </is>
      </c>
      <c r="L20" s="16" t="inlineStr">
        <is>
          <t>10.20</t>
        </is>
      </c>
      <c r="M20" s="16" t="inlineStr">
        <is>
          <t>50</t>
        </is>
      </c>
      <c r="N20" s="16" t="inlineStr"/>
      <c r="O20" s="16" t="inlineStr"/>
      <c r="P20" s="16" t="n">
        <v>50</v>
      </c>
      <c r="Q20" s="71" t="n">
        <v>0.5</v>
      </c>
      <c r="R20" s="16" t="n">
        <v>0</v>
      </c>
      <c r="S20" s="16" t="n">
        <v>0.5</v>
      </c>
    </row>
    <row r="21" ht="15" customHeight="1">
      <c r="A21" s="15" t="inlineStr">
        <is>
          <t>33477513R</t>
        </is>
      </c>
      <c r="B21" s="15" t="inlineStr">
        <is>
          <t>Neipp López, Cristian</t>
        </is>
      </c>
      <c r="C21" s="15" t="inlineStr">
        <is>
          <t>FUNCIONARIO</t>
        </is>
      </c>
      <c r="D21" s="15" t="n"/>
      <c r="E21" s="15" t="n"/>
      <c r="F21" s="15" t="n"/>
      <c r="G21" s="15" t="n">
        <v>1</v>
      </c>
      <c r="H21" s="15" t="n"/>
      <c r="I21" s="15" t="n"/>
      <c r="J21" s="15" t="n">
        <v>1</v>
      </c>
      <c r="K21" s="15" t="inlineStr">
        <is>
          <t>B149</t>
        </is>
      </c>
      <c r="L21" s="16" t="inlineStr">
        <is>
          <t>10.20</t>
        </is>
      </c>
      <c r="M21" s="16" t="inlineStr">
        <is>
          <t>20</t>
        </is>
      </c>
      <c r="N21" s="16" t="inlineStr"/>
      <c r="O21" s="16" t="inlineStr"/>
      <c r="P21" s="16" t="n">
        <v>80</v>
      </c>
      <c r="Q21" s="71" t="n">
        <v>0.2</v>
      </c>
      <c r="R21" s="16" t="n">
        <v>0</v>
      </c>
      <c r="S21" s="16" t="n">
        <v>0.8</v>
      </c>
    </row>
    <row r="22" ht="15" customHeight="1">
      <c r="A22" s="15" t="inlineStr">
        <is>
          <t>33491671Z</t>
        </is>
      </c>
      <c r="B22" s="15" t="inlineStr">
        <is>
          <t>Mas Candela, David Salvador</t>
        </is>
      </c>
      <c r="C22" s="15" t="inlineStr">
        <is>
          <t>FUNCIONARIO</t>
        </is>
      </c>
      <c r="D22" s="15" t="n">
        <v>1</v>
      </c>
      <c r="E22" s="15" t="n"/>
      <c r="F22" s="15" t="n"/>
      <c r="G22" s="15" t="n"/>
      <c r="H22" s="15" t="n"/>
      <c r="I22" s="15" t="n"/>
      <c r="J22" s="15" t="n">
        <v>1</v>
      </c>
      <c r="K22" s="15" t="inlineStr">
        <is>
          <t>B178</t>
        </is>
      </c>
      <c r="L22" s="16" t="inlineStr">
        <is>
          <t>10.20</t>
        </is>
      </c>
      <c r="M22" s="16" t="inlineStr">
        <is>
          <t>50</t>
        </is>
      </c>
      <c r="N22" s="16" t="inlineStr"/>
      <c r="O22" s="16" t="inlineStr"/>
      <c r="P22" s="16" t="n">
        <v>50</v>
      </c>
      <c r="Q22" s="71" t="n">
        <v>0.5</v>
      </c>
      <c r="R22" s="16" t="n">
        <v>0</v>
      </c>
      <c r="S22" s="16" t="n">
        <v>0.5</v>
      </c>
    </row>
    <row r="23" ht="15" customHeight="1">
      <c r="A23" s="15" t="inlineStr">
        <is>
          <t>33492959Z</t>
        </is>
      </c>
      <c r="B23" s="15" t="inlineStr">
        <is>
          <t>Bleda Pérez, Sergio</t>
        </is>
      </c>
      <c r="C23" s="15" t="inlineStr">
        <is>
          <t>FUNCIONARIO</t>
        </is>
      </c>
      <c r="D23" s="15" t="n"/>
      <c r="E23" s="15" t="n">
        <v>2</v>
      </c>
      <c r="F23" s="15" t="n"/>
      <c r="G23" s="15" t="n"/>
      <c r="H23" s="15" t="n"/>
      <c r="I23" s="15" t="n"/>
      <c r="J23" s="15" t="n">
        <v>2</v>
      </c>
      <c r="K23" s="15" t="inlineStr">
        <is>
          <t>B149</t>
        </is>
      </c>
      <c r="L23" s="16" t="inlineStr">
        <is>
          <t>10.20</t>
        </is>
      </c>
      <c r="M23" s="16" t="inlineStr">
        <is>
          <t>20</t>
        </is>
      </c>
      <c r="N23" s="16" t="inlineStr"/>
      <c r="O23" s="16" t="inlineStr"/>
      <c r="P23" s="16" t="n">
        <v>80</v>
      </c>
      <c r="Q23" s="71" t="n">
        <v>0.4</v>
      </c>
      <c r="R23" s="16" t="n">
        <v>0</v>
      </c>
      <c r="S23" s="16" t="n">
        <v>1.6</v>
      </c>
    </row>
    <row r="24" ht="15" customHeight="1">
      <c r="A24" s="15" t="inlineStr">
        <is>
          <t>33493609C</t>
        </is>
      </c>
      <c r="B24" s="15" t="inlineStr">
        <is>
          <t>Calzado Estepa, Eva Mª</t>
        </is>
      </c>
      <c r="C24" s="15" t="inlineStr">
        <is>
          <t>FUNCIONARIO</t>
        </is>
      </c>
      <c r="D24" s="15" t="n"/>
      <c r="E24" s="15" t="n"/>
      <c r="F24" s="15" t="n">
        <v>1</v>
      </c>
      <c r="G24" s="15" t="n"/>
      <c r="H24" s="15" t="n"/>
      <c r="I24" s="15" t="n"/>
      <c r="J24" s="15" t="n">
        <v>1</v>
      </c>
      <c r="K24" s="15" t="inlineStr">
        <is>
          <t>B149</t>
        </is>
      </c>
      <c r="L24" s="16" t="inlineStr">
        <is>
          <t>10.20</t>
        </is>
      </c>
      <c r="M24" s="16" t="inlineStr">
        <is>
          <t>20</t>
        </is>
      </c>
      <c r="N24" s="16" t="inlineStr"/>
      <c r="O24" s="16" t="inlineStr"/>
      <c r="P24" s="16" t="n">
        <v>80</v>
      </c>
      <c r="Q24" s="71" t="n">
        <v>0.2</v>
      </c>
      <c r="R24" s="16" t="n">
        <v>0</v>
      </c>
      <c r="S24" s="16" t="n">
        <v>0.8</v>
      </c>
    </row>
    <row r="25" ht="15" customHeight="1">
      <c r="A25" s="15" t="inlineStr">
        <is>
          <t>33495154R</t>
        </is>
      </c>
      <c r="B25" s="15" t="inlineStr">
        <is>
          <t>Pascual Villalobos, Carolina</t>
        </is>
      </c>
      <c r="C25" s="15" t="inlineStr">
        <is>
          <t>Vivos</t>
        </is>
      </c>
      <c r="D25" s="15" t="n"/>
      <c r="E25" s="15" t="n"/>
      <c r="F25" s="15" t="n"/>
      <c r="G25" s="15" t="n"/>
      <c r="H25" s="15" t="n"/>
      <c r="I25" s="15" t="n">
        <v>1</v>
      </c>
      <c r="J25" s="15" t="n">
        <v>1</v>
      </c>
      <c r="K25" s="15" t="inlineStr">
        <is>
          <t>B149</t>
        </is>
      </c>
      <c r="L25" s="16" t="inlineStr">
        <is>
          <t>10.20</t>
        </is>
      </c>
      <c r="M25" s="16" t="inlineStr">
        <is>
          <t>20</t>
        </is>
      </c>
      <c r="N25" s="16" t="inlineStr"/>
      <c r="O25" s="16" t="inlineStr"/>
      <c r="P25" s="16" t="n">
        <v>80</v>
      </c>
      <c r="Q25" s="71" t="n">
        <v>0.2</v>
      </c>
      <c r="R25" s="16" t="n">
        <v>0</v>
      </c>
      <c r="S25" s="16" t="n">
        <v>0.8</v>
      </c>
    </row>
    <row r="26" ht="15" customHeight="1">
      <c r="A26" s="15" t="inlineStr">
        <is>
          <t>44771694D</t>
        </is>
      </c>
      <c r="B26" s="15" t="inlineStr">
        <is>
          <t>Carbajo San Martín, Jesús</t>
        </is>
      </c>
      <c r="C26" s="15" t="inlineStr">
        <is>
          <t>FUNCIONARIO</t>
        </is>
      </c>
      <c r="D26" s="15" t="n"/>
      <c r="E26" s="15" t="n"/>
      <c r="F26" s="15" t="n"/>
      <c r="G26" s="15" t="n"/>
      <c r="H26" s="15" t="n">
        <v>1</v>
      </c>
      <c r="I26" s="15" t="n"/>
      <c r="J26" s="15" t="n">
        <v>1</v>
      </c>
      <c r="K26" s="15" t="inlineStr">
        <is>
          <t>B149</t>
        </is>
      </c>
      <c r="L26" s="16" t="inlineStr">
        <is>
          <t>10.20</t>
        </is>
      </c>
      <c r="M26" s="16" t="inlineStr">
        <is>
          <t>50</t>
        </is>
      </c>
      <c r="N26" s="16" t="inlineStr"/>
      <c r="O26" s="16" t="inlineStr"/>
      <c r="P26" s="16" t="n">
        <v>50</v>
      </c>
      <c r="Q26" s="71" t="n">
        <v>0.5</v>
      </c>
      <c r="R26" s="16" t="n">
        <v>0</v>
      </c>
      <c r="S26" s="16" t="n">
        <v>0.5</v>
      </c>
    </row>
    <row r="27" ht="15" customHeight="1">
      <c r="A27" s="15" t="inlineStr">
        <is>
          <t>48316782S</t>
        </is>
      </c>
      <c r="B27" s="15" t="inlineStr">
        <is>
          <t>Heredia Avalos, Santiago</t>
        </is>
      </c>
      <c r="C27" s="15" t="inlineStr">
        <is>
          <t>FUNCIONARIO</t>
        </is>
      </c>
      <c r="D27" s="15" t="n"/>
      <c r="E27" s="15" t="n"/>
      <c r="F27" s="15" t="n">
        <v>1</v>
      </c>
      <c r="G27" s="15" t="n"/>
      <c r="H27" s="15" t="n"/>
      <c r="I27" s="15" t="n"/>
      <c r="J27" s="15" t="n">
        <v>1</v>
      </c>
      <c r="K27" s="15" t="inlineStr">
        <is>
          <t>B149</t>
        </is>
      </c>
      <c r="L27" s="16" t="inlineStr">
        <is>
          <t>10.20</t>
        </is>
      </c>
      <c r="M27" s="16" t="inlineStr">
        <is>
          <t>20</t>
        </is>
      </c>
      <c r="N27" s="16" t="inlineStr"/>
      <c r="O27" s="16" t="inlineStr"/>
      <c r="P27" s="16" t="n">
        <v>80</v>
      </c>
      <c r="Q27" s="71" t="n">
        <v>0.2</v>
      </c>
      <c r="R27" s="16" t="n">
        <v>0</v>
      </c>
      <c r="S27" s="16" t="n">
        <v>0.8</v>
      </c>
    </row>
    <row r="28" ht="15" customHeight="1">
      <c r="A28" s="15" t="inlineStr">
        <is>
          <t>48325137K</t>
        </is>
      </c>
      <c r="B28" s="15" t="inlineStr">
        <is>
          <t>Fernández Varó, María Helena</t>
        </is>
      </c>
      <c r="C28" s="15" t="inlineStr">
        <is>
          <t>Vivos</t>
        </is>
      </c>
      <c r="D28" s="15" t="n"/>
      <c r="E28" s="15" t="n"/>
      <c r="F28" s="15" t="n"/>
      <c r="G28" s="15" t="n"/>
      <c r="H28" s="15" t="n"/>
      <c r="I28" s="15" t="n">
        <v>1</v>
      </c>
      <c r="J28" s="15" t="n">
        <v>1</v>
      </c>
      <c r="K28" s="15" t="inlineStr">
        <is>
          <t>B178</t>
        </is>
      </c>
      <c r="L28" s="16" t="inlineStr">
        <is>
          <t>10.20</t>
        </is>
      </c>
      <c r="M28" s="16" t="inlineStr">
        <is>
          <t>20</t>
        </is>
      </c>
      <c r="N28" s="16" t="inlineStr"/>
      <c r="O28" s="16" t="inlineStr"/>
      <c r="P28" s="16" t="n">
        <v>80</v>
      </c>
      <c r="Q28" s="71" t="n">
        <v>0.2</v>
      </c>
      <c r="R28" s="16" t="n">
        <v>0</v>
      </c>
      <c r="S28" s="16" t="n">
        <v>0.8</v>
      </c>
    </row>
    <row r="29" ht="15" customHeight="1">
      <c r="A29" s="15" t="inlineStr">
        <is>
          <t>48328421Q</t>
        </is>
      </c>
      <c r="B29" s="15" t="inlineStr">
        <is>
          <t>Francés Monllor, Jorge</t>
        </is>
      </c>
      <c r="C29" s="15" t="inlineStr">
        <is>
          <t>FUNCIONARIO</t>
        </is>
      </c>
      <c r="D29" s="15" t="n"/>
      <c r="E29" s="15" t="n"/>
      <c r="F29" s="15" t="n"/>
      <c r="G29" s="15" t="n"/>
      <c r="H29" s="15" t="n"/>
      <c r="I29" s="15" t="n">
        <v>1</v>
      </c>
      <c r="J29" s="15" t="n">
        <v>1</v>
      </c>
      <c r="K29" s="15" t="inlineStr">
        <is>
          <t>B149</t>
        </is>
      </c>
      <c r="L29" s="16" t="inlineStr">
        <is>
          <t>10.20</t>
        </is>
      </c>
      <c r="M29" s="16" t="inlineStr">
        <is>
          <t>50</t>
        </is>
      </c>
      <c r="N29" s="16" t="inlineStr"/>
      <c r="O29" s="16" t="inlineStr"/>
      <c r="P29" s="16" t="n">
        <v>50</v>
      </c>
      <c r="Q29" s="71" t="n">
        <v>0.5</v>
      </c>
      <c r="R29" s="16" t="n">
        <v>0</v>
      </c>
      <c r="S29" s="16" t="n">
        <v>0.5</v>
      </c>
    </row>
    <row r="30" ht="15" customHeight="1">
      <c r="A30" s="15" t="inlineStr">
        <is>
          <t>48354591N</t>
        </is>
      </c>
      <c r="B30" s="15" t="inlineStr">
        <is>
          <t>Poveda Martínez, Pedro</t>
        </is>
      </c>
      <c r="C30" s="15" t="inlineStr">
        <is>
          <t>FUNCIONARIO</t>
        </is>
      </c>
      <c r="D30" s="15" t="n"/>
      <c r="E30" s="15" t="n"/>
      <c r="F30" s="15" t="n"/>
      <c r="G30" s="15" t="n"/>
      <c r="H30" s="15" t="n">
        <v>1</v>
      </c>
      <c r="I30" s="15" t="n"/>
      <c r="J30" s="15" t="n">
        <v>1</v>
      </c>
      <c r="K30" s="15" t="inlineStr">
        <is>
          <t>B149</t>
        </is>
      </c>
      <c r="L30" s="16" t="inlineStr">
        <is>
          <t>10.20</t>
        </is>
      </c>
      <c r="M30" s="16" t="inlineStr">
        <is>
          <t>50</t>
        </is>
      </c>
      <c r="N30" s="16" t="inlineStr"/>
      <c r="O30" s="16" t="inlineStr"/>
      <c r="P30" s="16" t="n">
        <v>50</v>
      </c>
      <c r="Q30" s="71" t="n">
        <v>0.5</v>
      </c>
      <c r="R30" s="16" t="n">
        <v>0</v>
      </c>
      <c r="S30" s="16" t="n">
        <v>0.5</v>
      </c>
    </row>
    <row r="31" ht="15" customHeight="1">
      <c r="A31" s="15" t="inlineStr">
        <is>
          <t>48539812Z</t>
        </is>
      </c>
      <c r="B31" s="15" t="inlineStr">
        <is>
          <t>Pérez Molina, Manuel</t>
        </is>
      </c>
      <c r="C31" s="15" t="inlineStr">
        <is>
          <t>Vivos</t>
        </is>
      </c>
      <c r="D31" s="15" t="n"/>
      <c r="E31" s="15" t="n"/>
      <c r="F31" s="15" t="n"/>
      <c r="G31" s="15" t="n"/>
      <c r="H31" s="15" t="n"/>
      <c r="I31" s="15" t="n">
        <v>1</v>
      </c>
      <c r="J31" s="15" t="n">
        <v>1</v>
      </c>
      <c r="K31" s="15" t="inlineStr">
        <is>
          <t>B149</t>
        </is>
      </c>
      <c r="L31" s="16" t="inlineStr">
        <is>
          <t>10.20</t>
        </is>
      </c>
      <c r="M31" s="16" t="inlineStr">
        <is>
          <t>20</t>
        </is>
      </c>
      <c r="N31" s="16" t="inlineStr"/>
      <c r="O31" s="16" t="inlineStr"/>
      <c r="P31" s="16" t="n">
        <v>80</v>
      </c>
      <c r="Q31" s="71" t="n">
        <v>0.2</v>
      </c>
      <c r="R31" s="16" t="n">
        <v>0</v>
      </c>
      <c r="S31" s="16" t="n">
        <v>0.8</v>
      </c>
    </row>
    <row r="32" ht="15" customHeight="1">
      <c r="A32" s="15" t="inlineStr">
        <is>
          <t>48674922E</t>
        </is>
      </c>
      <c r="B32" s="15" t="inlineStr">
        <is>
          <t>Álvarez López, Mariela Lazara</t>
        </is>
      </c>
      <c r="C32" s="15" t="inlineStr">
        <is>
          <t>FUNCIONARIO</t>
        </is>
      </c>
      <c r="D32" s="15" t="n">
        <v>1</v>
      </c>
      <c r="E32" s="15" t="n"/>
      <c r="F32" s="15" t="n"/>
      <c r="G32" s="15" t="n"/>
      <c r="H32" s="15" t="n"/>
      <c r="I32" s="15" t="n"/>
      <c r="J32" s="15" t="n">
        <v>1</v>
      </c>
      <c r="K32" s="15" t="inlineStr">
        <is>
          <t>B149</t>
        </is>
      </c>
      <c r="L32" s="16" t="inlineStr">
        <is>
          <t>10.20</t>
        </is>
      </c>
      <c r="M32" s="16" t="inlineStr">
        <is>
          <t>50</t>
        </is>
      </c>
      <c r="N32" s="16" t="inlineStr"/>
      <c r="O32" s="16" t="inlineStr"/>
      <c r="P32" s="16" t="n">
        <v>50</v>
      </c>
      <c r="Q32" s="71" t="n">
        <v>0.5</v>
      </c>
      <c r="R32" s="16" t="n">
        <v>0</v>
      </c>
      <c r="S32" s="16" t="n">
        <v>0.5</v>
      </c>
    </row>
    <row r="33" ht="15" customHeight="1">
      <c r="A33" s="15" t="inlineStr">
        <is>
          <t>50591680Y</t>
        </is>
      </c>
      <c r="B33" s="15" t="inlineStr">
        <is>
          <t>Benavidez Lozano, Paula Gabriela</t>
        </is>
      </c>
      <c r="C33" s="15" t="inlineStr">
        <is>
          <t>FUNCIONARIO</t>
        </is>
      </c>
      <c r="D33" s="15" t="n"/>
      <c r="E33" s="15" t="n">
        <v>2</v>
      </c>
      <c r="F33" s="15" t="n">
        <v>1</v>
      </c>
      <c r="G33" s="15" t="n"/>
      <c r="H33" s="15" t="n"/>
      <c r="I33" s="15" t="n"/>
      <c r="J33" s="15" t="n">
        <v>3</v>
      </c>
      <c r="K33" s="15" t="inlineStr">
        <is>
          <t>B149</t>
        </is>
      </c>
      <c r="L33" s="16" t="inlineStr">
        <is>
          <t>10.20</t>
        </is>
      </c>
      <c r="M33" s="16" t="inlineStr">
        <is>
          <t>20</t>
        </is>
      </c>
      <c r="N33" s="16" t="inlineStr"/>
      <c r="O33" s="16" t="inlineStr"/>
      <c r="P33" s="16" t="n">
        <v>80</v>
      </c>
      <c r="Q33" s="71" t="n">
        <v>0.6</v>
      </c>
      <c r="R33" s="16" t="n">
        <v>0</v>
      </c>
      <c r="S33" s="16" t="n">
        <v>2.4</v>
      </c>
    </row>
    <row r="34" ht="15" customHeight="1">
      <c r="A34" s="15" t="inlineStr">
        <is>
          <t>52437293F</t>
        </is>
      </c>
      <c r="B34" s="15" t="inlineStr">
        <is>
          <t>Márquez Ruiz, Andrés</t>
        </is>
      </c>
      <c r="C34" s="15" t="inlineStr">
        <is>
          <t>FUNCIONARIO</t>
        </is>
      </c>
      <c r="D34" s="15" t="n"/>
      <c r="E34" s="15" t="n">
        <v>1</v>
      </c>
      <c r="F34" s="15" t="n"/>
      <c r="G34" s="15" t="n"/>
      <c r="H34" s="15" t="n"/>
      <c r="I34" s="15" t="n"/>
      <c r="J34" s="15" t="n">
        <v>1</v>
      </c>
      <c r="K34" s="15" t="inlineStr">
        <is>
          <t>B149</t>
        </is>
      </c>
      <c r="L34" s="16" t="inlineStr">
        <is>
          <t>10.20</t>
        </is>
      </c>
      <c r="M34" s="16" t="inlineStr">
        <is>
          <t>20</t>
        </is>
      </c>
      <c r="N34" s="16" t="inlineStr"/>
      <c r="O34" s="16" t="inlineStr"/>
      <c r="P34" s="16" t="n">
        <v>80</v>
      </c>
      <c r="Q34" s="71" t="n">
        <v>0.2</v>
      </c>
      <c r="R34" s="16" t="n">
        <v>0</v>
      </c>
      <c r="S34" s="16" t="n">
        <v>0.8</v>
      </c>
    </row>
    <row r="35" ht="15" customHeight="1">
      <c r="A35" s="15" t="inlineStr">
        <is>
          <t>52764629F</t>
        </is>
      </c>
      <c r="B35" s="15" t="inlineStr">
        <is>
          <t>Pomares Baeza, Jorge</t>
        </is>
      </c>
      <c r="C35" s="15" t="inlineStr">
        <is>
          <t>FUNCIONARIO</t>
        </is>
      </c>
      <c r="D35" s="15" t="n">
        <v>1</v>
      </c>
      <c r="E35" s="15" t="n"/>
      <c r="F35" s="15" t="n"/>
      <c r="G35" s="15" t="n"/>
      <c r="H35" s="15" t="n"/>
      <c r="I35" s="15" t="n"/>
      <c r="J35" s="15" t="n">
        <v>1</v>
      </c>
      <c r="K35" s="15" t="inlineStr">
        <is>
          <t>B149</t>
        </is>
      </c>
      <c r="L35" s="16" t="inlineStr">
        <is>
          <t>10.20</t>
        </is>
      </c>
      <c r="M35" s="16" t="inlineStr">
        <is>
          <t>50</t>
        </is>
      </c>
      <c r="N35" s="16" t="inlineStr"/>
      <c r="O35" s="16" t="inlineStr"/>
      <c r="P35" s="16" t="n">
        <v>50</v>
      </c>
      <c r="Q35" s="71" t="n">
        <v>0.5</v>
      </c>
      <c r="R35" s="16" t="n">
        <v>0</v>
      </c>
      <c r="S35" s="16" t="n">
        <v>0.5</v>
      </c>
    </row>
    <row r="36" ht="15" customHeight="1">
      <c r="A36" s="15" t="inlineStr">
        <is>
          <t>52765823M</t>
        </is>
      </c>
      <c r="B36" s="15" t="inlineStr">
        <is>
          <t>García Gómez, Gabriel Jesús</t>
        </is>
      </c>
      <c r="C36" s="15" t="inlineStr">
        <is>
          <t>FUNCIONARIO</t>
        </is>
      </c>
      <c r="D36" s="15" t="n"/>
      <c r="E36" s="15" t="n"/>
      <c r="F36" s="15" t="n"/>
      <c r="G36" s="15" t="n"/>
      <c r="H36" s="15" t="n">
        <v>1</v>
      </c>
      <c r="I36" s="15" t="n"/>
      <c r="J36" s="15" t="n">
        <v>1</v>
      </c>
      <c r="K36" s="15" t="inlineStr">
        <is>
          <t>B149</t>
        </is>
      </c>
      <c r="L36" s="16" t="inlineStr">
        <is>
          <t>10.20</t>
        </is>
      </c>
      <c r="M36" s="16" t="inlineStr">
        <is>
          <t>20</t>
        </is>
      </c>
      <c r="N36" s="16" t="inlineStr"/>
      <c r="O36" s="16" t="inlineStr"/>
      <c r="P36" s="16" t="n">
        <v>80</v>
      </c>
      <c r="Q36" s="71" t="n">
        <v>0.2</v>
      </c>
      <c r="R36" s="16" t="n">
        <v>0</v>
      </c>
      <c r="S36" s="16" t="n">
        <v>0.8</v>
      </c>
    </row>
    <row r="37" ht="15" customHeight="1">
      <c r="A37" s="15" t="inlineStr">
        <is>
          <t>53146258C</t>
        </is>
      </c>
      <c r="B37" s="15" t="inlineStr">
        <is>
          <t>Gutiérrez Ramírez, Manuel</t>
        </is>
      </c>
      <c r="C37" s="15" t="inlineStr">
        <is>
          <t>FUNCIONARIO</t>
        </is>
      </c>
      <c r="D37" s="15" t="n"/>
      <c r="E37" s="15" t="n"/>
      <c r="F37" s="15" t="n"/>
      <c r="G37" s="15" t="n">
        <v>2</v>
      </c>
      <c r="H37" s="15" t="n"/>
      <c r="I37" s="15" t="n"/>
      <c r="J37" s="15" t="n">
        <v>2</v>
      </c>
      <c r="K37" s="15" t="inlineStr">
        <is>
          <t>B149</t>
        </is>
      </c>
      <c r="L37" s="16" t="inlineStr">
        <is>
          <t>10.20</t>
        </is>
      </c>
      <c r="M37" s="16" t="inlineStr">
        <is>
          <t>50</t>
        </is>
      </c>
      <c r="N37" s="16" t="inlineStr"/>
      <c r="O37" s="16" t="inlineStr"/>
      <c r="P37" s="16" t="n">
        <v>50</v>
      </c>
      <c r="Q37" s="71" t="n">
        <v>1</v>
      </c>
      <c r="R37" s="16" t="n">
        <v>0</v>
      </c>
      <c r="S37" s="16" t="n">
        <v>1</v>
      </c>
    </row>
    <row r="38" ht="15" customHeight="1">
      <c r="A38" s="15" t="inlineStr">
        <is>
          <t>73989362H</t>
        </is>
      </c>
      <c r="B38" s="15" t="inlineStr">
        <is>
          <t>Ramis Soriano, Jaime</t>
        </is>
      </c>
      <c r="C38" s="15" t="inlineStr">
        <is>
          <t>FUNCIONARIO</t>
        </is>
      </c>
      <c r="D38" s="15" t="n"/>
      <c r="E38" s="15" t="n"/>
      <c r="F38" s="15" t="n">
        <v>1</v>
      </c>
      <c r="G38" s="15" t="n"/>
      <c r="H38" s="15" t="n"/>
      <c r="I38" s="15" t="n"/>
      <c r="J38" s="15" t="n">
        <v>1</v>
      </c>
      <c r="K38" s="15" t="inlineStr">
        <is>
          <t>B149</t>
        </is>
      </c>
      <c r="L38" s="16" t="inlineStr">
        <is>
          <t>10.20</t>
        </is>
      </c>
      <c r="M38" s="16" t="inlineStr">
        <is>
          <t>50</t>
        </is>
      </c>
      <c r="N38" s="16" t="inlineStr"/>
      <c r="O38" s="16" t="inlineStr"/>
      <c r="P38" s="16" t="n">
        <v>50</v>
      </c>
      <c r="Q38" s="71" t="n">
        <v>0.5</v>
      </c>
      <c r="R38" s="16" t="n">
        <v>0</v>
      </c>
      <c r="S38" s="16" t="n">
        <v>0.5</v>
      </c>
    </row>
    <row r="39" ht="15" customHeight="1">
      <c r="A39" s="15" t="inlineStr">
        <is>
          <t>73995619L</t>
        </is>
      </c>
      <c r="B39" s="15" t="inlineStr">
        <is>
          <t>Puerto García, Daniel</t>
        </is>
      </c>
      <c r="C39" s="15" t="inlineStr">
        <is>
          <t>FUNCIONARIO</t>
        </is>
      </c>
      <c r="D39" s="15" t="n"/>
      <c r="E39" s="15" t="n"/>
      <c r="F39" s="15" t="n"/>
      <c r="G39" s="15" t="n">
        <v>2</v>
      </c>
      <c r="H39" s="15" t="n"/>
      <c r="I39" s="15" t="n">
        <v>1</v>
      </c>
      <c r="J39" s="15" t="n">
        <v>3</v>
      </c>
      <c r="K39" s="15" t="inlineStr">
        <is>
          <t>B149</t>
        </is>
      </c>
      <c r="L39" s="16" t="inlineStr">
        <is>
          <t>10.20</t>
        </is>
      </c>
      <c r="M39" s="16" t="inlineStr">
        <is>
          <t>20</t>
        </is>
      </c>
      <c r="N39" s="16" t="inlineStr"/>
      <c r="O39" s="16" t="inlineStr"/>
      <c r="P39" s="16" t="n">
        <v>80</v>
      </c>
      <c r="Q39" s="71" t="n">
        <v>0.6</v>
      </c>
      <c r="R39" s="16" t="n">
        <v>0</v>
      </c>
      <c r="S39" s="16" t="n">
        <v>2.4</v>
      </c>
    </row>
    <row r="40" ht="15" customHeight="1">
      <c r="A40" s="15" t="inlineStr">
        <is>
          <t>73995818B</t>
        </is>
      </c>
      <c r="B40" s="15" t="inlineStr">
        <is>
          <t>Espinosa Tomás, Julián</t>
        </is>
      </c>
      <c r="C40" s="17" t="inlineStr">
        <is>
          <t>FUNCIONARIO</t>
        </is>
      </c>
      <c r="D40" s="15" t="n"/>
      <c r="E40" s="15" t="n"/>
      <c r="F40" s="15" t="n"/>
      <c r="G40" s="15" t="n">
        <v>1</v>
      </c>
      <c r="H40" s="15" t="n"/>
      <c r="I40" s="15" t="n"/>
      <c r="J40" s="15" t="n">
        <v>1</v>
      </c>
      <c r="K40" s="15" t="inlineStr">
        <is>
          <t>B178</t>
        </is>
      </c>
      <c r="L40" s="16" t="inlineStr">
        <is>
          <t>10.20</t>
        </is>
      </c>
      <c r="M40" s="16" t="inlineStr">
        <is>
          <t>20</t>
        </is>
      </c>
      <c r="N40" s="16" t="inlineStr"/>
      <c r="O40" s="16" t="inlineStr"/>
      <c r="P40" s="16" t="n">
        <v>80</v>
      </c>
      <c r="Q40" s="71" t="n">
        <v>0.2</v>
      </c>
      <c r="R40" s="16" t="n">
        <v>0</v>
      </c>
      <c r="S40" s="16" t="n">
        <v>0.8</v>
      </c>
    </row>
    <row r="41" ht="15" customHeight="1">
      <c r="A41" s="15" t="inlineStr">
        <is>
          <t>73996071B</t>
        </is>
      </c>
      <c r="B41" s="15" t="inlineStr">
        <is>
          <t>Perales Romero, Esther</t>
        </is>
      </c>
      <c r="C41" s="17" t="inlineStr">
        <is>
          <t>FUNCIONARIO</t>
        </is>
      </c>
      <c r="D41" s="15" t="n"/>
      <c r="E41" s="15" t="n"/>
      <c r="F41" s="15" t="n">
        <v>2</v>
      </c>
      <c r="G41" s="15" t="n"/>
      <c r="H41" s="15" t="n"/>
      <c r="I41" s="15" t="n">
        <v>1</v>
      </c>
      <c r="J41" s="15" t="n">
        <v>3</v>
      </c>
      <c r="K41" s="15" t="inlineStr">
        <is>
          <t>B178</t>
        </is>
      </c>
      <c r="L41" s="16" t="inlineStr">
        <is>
          <t>10.20</t>
        </is>
      </c>
      <c r="M41" s="16" t="inlineStr">
        <is>
          <t>50</t>
        </is>
      </c>
      <c r="N41" s="16" t="inlineStr"/>
      <c r="O41" s="16" t="inlineStr"/>
      <c r="P41" s="16" t="n">
        <v>50</v>
      </c>
      <c r="Q41" s="71" t="n">
        <v>1.5</v>
      </c>
      <c r="R41" s="16" t="n">
        <v>0</v>
      </c>
      <c r="S41" s="16" t="n">
        <v>1.5</v>
      </c>
    </row>
    <row r="42" ht="15" customHeight="1">
      <c r="A42" s="15" t="inlineStr">
        <is>
          <t>73996233N</t>
        </is>
      </c>
      <c r="B42" s="15" t="inlineStr">
        <is>
          <t>Jara Bravo, Carlos Alberto</t>
        </is>
      </c>
      <c r="C42" s="17" t="inlineStr">
        <is>
          <t>FUNCIONARIO</t>
        </is>
      </c>
      <c r="D42" s="15" t="n"/>
      <c r="E42" s="15" t="n"/>
      <c r="F42" s="15" t="n"/>
      <c r="G42" s="15" t="n"/>
      <c r="H42" s="15" t="n"/>
      <c r="I42" s="15" t="n">
        <v>1</v>
      </c>
      <c r="J42" s="15" t="n">
        <v>1</v>
      </c>
      <c r="K42" s="15" t="inlineStr">
        <is>
          <t>B149</t>
        </is>
      </c>
      <c r="L42" s="16" t="inlineStr">
        <is>
          <t>10.20</t>
        </is>
      </c>
      <c r="M42" s="16" t="inlineStr">
        <is>
          <t>20</t>
        </is>
      </c>
      <c r="N42" s="16" t="inlineStr"/>
      <c r="O42" s="16" t="inlineStr"/>
      <c r="P42" s="16" t="n">
        <v>80</v>
      </c>
      <c r="Q42" s="71" t="n">
        <v>0.2</v>
      </c>
      <c r="R42" s="16" t="n">
        <v>0</v>
      </c>
      <c r="S42" s="16" t="n">
        <v>0.8</v>
      </c>
    </row>
    <row r="43" ht="15" customHeight="1">
      <c r="A43" s="15" t="inlineStr">
        <is>
          <t>74002223E</t>
        </is>
      </c>
      <c r="B43" s="15" t="inlineStr">
        <is>
          <t>Sánchez Soriano, Miguel Ángel</t>
        </is>
      </c>
      <c r="C43" s="17" t="inlineStr">
        <is>
          <t>FUNCIONARIO</t>
        </is>
      </c>
      <c r="D43" s="15" t="n">
        <v>2</v>
      </c>
      <c r="E43" s="15" t="n"/>
      <c r="F43" s="15" t="n"/>
      <c r="G43" s="15" t="n"/>
      <c r="H43" s="15" t="n"/>
      <c r="I43" s="15" t="n"/>
      <c r="J43" s="15" t="n">
        <v>2</v>
      </c>
      <c r="K43" s="15" t="inlineStr">
        <is>
          <t>B149</t>
        </is>
      </c>
      <c r="L43" s="16" t="inlineStr">
        <is>
          <t>10.20</t>
        </is>
      </c>
      <c r="M43" s="16" t="inlineStr">
        <is>
          <t>20</t>
        </is>
      </c>
      <c r="N43" s="16" t="inlineStr"/>
      <c r="O43" s="16" t="inlineStr"/>
      <c r="P43" s="16" t="n">
        <v>80</v>
      </c>
      <c r="Q43" s="71" t="n">
        <v>0.4</v>
      </c>
      <c r="R43" s="16" t="n">
        <v>0</v>
      </c>
      <c r="S43" s="16" t="n">
        <v>1.6</v>
      </c>
    </row>
    <row r="44" ht="15" customHeight="1">
      <c r="A44" s="15" t="inlineStr">
        <is>
          <t>74359318L</t>
        </is>
      </c>
      <c r="B44" s="15" t="inlineStr">
        <is>
          <t>Morell Giménez, Vicente</t>
        </is>
      </c>
      <c r="C44" s="17" t="inlineStr">
        <is>
          <t>FUNCIONARIO</t>
        </is>
      </c>
      <c r="D44" s="15" t="n"/>
      <c r="E44" s="15" t="n"/>
      <c r="F44" s="15" t="n"/>
      <c r="G44" s="15" t="n"/>
      <c r="H44" s="15" t="n">
        <v>1</v>
      </c>
      <c r="I44" s="15" t="n"/>
      <c r="J44" s="15" t="n">
        <v>1</v>
      </c>
      <c r="K44" s="15" t="inlineStr">
        <is>
          <t>B149</t>
        </is>
      </c>
      <c r="L44" s="16" t="inlineStr">
        <is>
          <t>10.20</t>
        </is>
      </c>
      <c r="M44" s="16" t="inlineStr">
        <is>
          <t>20</t>
        </is>
      </c>
      <c r="N44" s="16" t="inlineStr"/>
      <c r="O44" s="16" t="inlineStr"/>
      <c r="P44" s="16" t="n">
        <v>80</v>
      </c>
      <c r="Q44" s="71" t="n">
        <v>0.2</v>
      </c>
      <c r="R44" s="16" t="n">
        <v>0</v>
      </c>
      <c r="S44" s="16" t="n">
        <v>0.8</v>
      </c>
    </row>
    <row r="45" ht="15" customHeight="1">
      <c r="A45" s="15" t="inlineStr">
        <is>
          <t>74362842R</t>
        </is>
      </c>
      <c r="B45" s="15" t="inlineStr">
        <is>
          <t>Úbeda Castellanos, Andrés</t>
        </is>
      </c>
      <c r="C45" s="17" t="inlineStr">
        <is>
          <t>FUNCIONARIO</t>
        </is>
      </c>
      <c r="D45" s="15" t="n"/>
      <c r="E45" s="15" t="n">
        <v>1</v>
      </c>
      <c r="F45" s="15" t="n"/>
      <c r="G45" s="15" t="n"/>
      <c r="H45" s="15" t="n">
        <v>1</v>
      </c>
      <c r="I45" s="15" t="n"/>
      <c r="J45" s="15" t="n">
        <v>2</v>
      </c>
      <c r="K45" s="15" t="inlineStr">
        <is>
          <t>B149</t>
        </is>
      </c>
      <c r="L45" s="16" t="inlineStr">
        <is>
          <t>10.20</t>
        </is>
      </c>
      <c r="M45" s="16" t="inlineStr">
        <is>
          <t>20</t>
        </is>
      </c>
      <c r="N45" s="16" t="inlineStr"/>
      <c r="O45" s="16" t="inlineStr"/>
      <c r="P45" s="16" t="n">
        <v>80</v>
      </c>
      <c r="Q45" s="71" t="n">
        <v>0.4</v>
      </c>
      <c r="R45" s="16" t="n">
        <v>0</v>
      </c>
      <c r="S45" s="16" t="n">
        <v>1.6</v>
      </c>
    </row>
    <row r="46" ht="15" customHeight="1">
      <c r="A46" s="15" t="inlineStr">
        <is>
          <t>X0325201G</t>
        </is>
      </c>
      <c r="B46" s="15" t="inlineStr">
        <is>
          <t>Campo Bagatin, Adriano</t>
        </is>
      </c>
      <c r="C46" s="17" t="inlineStr">
        <is>
          <t>FUNCIONARIO</t>
        </is>
      </c>
      <c r="D46" s="15" t="n"/>
      <c r="E46" s="15" t="n"/>
      <c r="F46" s="15" t="n"/>
      <c r="G46" s="15" t="n"/>
      <c r="H46" s="15" t="n">
        <v>1</v>
      </c>
      <c r="I46" s="15" t="n"/>
      <c r="J46" s="15" t="n">
        <v>1</v>
      </c>
      <c r="K46" s="15" t="inlineStr">
        <is>
          <t>B149</t>
        </is>
      </c>
      <c r="L46" s="16" t="inlineStr">
        <is>
          <t>10.20</t>
        </is>
      </c>
      <c r="M46" s="16" t="inlineStr">
        <is>
          <t>50</t>
        </is>
      </c>
      <c r="N46" s="16" t="inlineStr"/>
      <c r="O46" s="16" t="inlineStr"/>
      <c r="P46" s="16" t="n">
        <v>50</v>
      </c>
      <c r="Q46" s="71" t="n">
        <v>0.5</v>
      </c>
      <c r="R46" s="16" t="n">
        <v>0</v>
      </c>
      <c r="S46" s="16" t="n">
        <v>0.5</v>
      </c>
    </row>
    <row r="47" ht="15" customHeight="1">
      <c r="A47" s="26" t="inlineStr">
        <is>
          <t>X3722234Y</t>
        </is>
      </c>
      <c r="B47" s="26" t="inlineStr">
        <is>
          <t>Marini, Stephan</t>
        </is>
      </c>
      <c r="C47" s="39" t="inlineStr">
        <is>
          <t>FUNCIONARIO</t>
        </is>
      </c>
      <c r="D47" s="26" t="n"/>
      <c r="E47" s="26" t="n"/>
      <c r="F47" s="26" t="n">
        <v>1</v>
      </c>
      <c r="G47" s="26" t="n"/>
      <c r="H47" s="26" t="n"/>
      <c r="I47" s="26" t="n"/>
      <c r="J47" s="26" t="n">
        <v>1</v>
      </c>
      <c r="K47" s="15" t="inlineStr">
        <is>
          <t>B149</t>
        </is>
      </c>
      <c r="L47" s="38" t="inlineStr">
        <is>
          <t>10.20</t>
        </is>
      </c>
      <c r="M47" s="38" t="inlineStr">
        <is>
          <t>20</t>
        </is>
      </c>
      <c r="N47" s="38" t="inlineStr"/>
      <c r="O47" s="38" t="inlineStr"/>
      <c r="P47" s="38" t="n">
        <v>80</v>
      </c>
      <c r="Q47" s="72" t="n">
        <v>0.2</v>
      </c>
      <c r="R47" s="38" t="n">
        <v>0</v>
      </c>
      <c r="S47" s="38" t="n">
        <v>0.8</v>
      </c>
    </row>
    <row r="48" ht="15" customHeight="1">
      <c r="A48" s="40" t="n"/>
      <c r="B48" s="40" t="n"/>
      <c r="C48" s="41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2">
        <f>SUM(Q2:Q47)</f>
        <v/>
      </c>
      <c r="R48" s="40" t="n"/>
      <c r="S48" s="40" t="n"/>
    </row>
  </sheetData>
  <pageMargins left="0.3937007874015748" right="0.3937007874015748" top="0.3937007874015748" bottom="0.3937007874015748" header="0.3149606299212598" footer="0.3149606299212598"/>
  <pageSetup orientation="landscape" paperSize="9" scale="92" fitToHeight="2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F18" sqref="F18"/>
    </sheetView>
  </sheetViews>
  <sheetFormatPr baseColWidth="10" defaultRowHeight="15"/>
  <cols>
    <col width="17" customWidth="1" min="1" max="1"/>
    <col width="73.5703125" customWidth="1" min="2" max="2"/>
    <col width="16" customWidth="1" min="3" max="3"/>
  </cols>
  <sheetData>
    <row r="1">
      <c r="A1" s="43" t="inlineStr">
        <is>
          <t>Cód. org. aplic.</t>
        </is>
      </c>
      <c r="B1" s="43" t="inlineStr">
        <is>
          <t>Descripción justificante</t>
        </is>
      </c>
      <c r="C1" s="43" t="inlineStr">
        <is>
          <t>Imp.cob.aplic.</t>
        </is>
      </c>
    </row>
    <row r="2">
      <c r="A2" s="33" t="inlineStr">
        <is>
          <t>41.70.6C.00.96</t>
        </is>
      </c>
      <c r="B2" s="33" t="inlineStr">
        <is>
          <t xml:space="preserve">NUEVAS SOLUCIONES TECNOLÓGICAS PARA SISTEMAS TUBULARES DE ELEVADA RESISTENCIA. </t>
        </is>
      </c>
      <c r="C2" s="79" t="n">
        <v>440</v>
      </c>
    </row>
    <row r="3">
      <c r="A3" s="35" t="inlineStr">
        <is>
          <t>41.70.6C.00.97</t>
        </is>
      </c>
      <c r="B3" s="35" t="inlineStr">
        <is>
          <t>Nuevas soluciones tecnológicas para sistemas tubulares de elevada resistencia.</t>
        </is>
      </c>
      <c r="C3" s="80" t="n">
        <v>440</v>
      </c>
    </row>
    <row r="4">
      <c r="A4" s="33" t="inlineStr">
        <is>
          <t>41.70.6C.00.99</t>
        </is>
      </c>
      <c r="B4" s="33" t="inlineStr">
        <is>
          <t>DESARROLLO DE NUEVOS TRATAMIENTOS DE OZONO EN OLIVAR PARA LA REDUCCIÓN DE FITOSANITARIOS QUÍMICOS (anualidad 2020)</t>
        </is>
      </c>
      <c r="C4" s="79" t="n">
        <v>440</v>
      </c>
    </row>
    <row r="5">
      <c r="A5" s="35" t="inlineStr">
        <is>
          <t>41.70.6C.01.16</t>
        </is>
      </c>
      <c r="B5" s="35" t="inlineStr">
        <is>
          <t>Diseño y desarrollo de nueva maquinaria industrial para la actividad de puertas Padilla</t>
        </is>
      </c>
      <c r="C5" s="80" t="n">
        <v>440</v>
      </c>
    </row>
    <row r="6">
      <c r="A6" s="33" t="inlineStr">
        <is>
          <t>41.70.6C.01.17</t>
        </is>
      </c>
      <c r="B6" s="33" t="inlineStr">
        <is>
          <t>Desarrollo de novedosos apoyos metálicos de celosía para líneas eléctricas aéreas de excelentes prestaciones.</t>
        </is>
      </c>
      <c r="C6" s="79" t="n">
        <v>440</v>
      </c>
    </row>
    <row r="7">
      <c r="A7" s="35" t="inlineStr">
        <is>
          <t>41.70.6C.01.18</t>
        </is>
      </c>
      <c r="B7" s="35" t="inlineStr">
        <is>
          <t>Nuevas formulaciones de PE Vegetal para productos cosméticos</t>
        </is>
      </c>
      <c r="C7" s="80" t="n">
        <v>440</v>
      </c>
    </row>
    <row r="8">
      <c r="A8" s="33" t="inlineStr">
        <is>
          <t>41.70.6C.01.50</t>
        </is>
      </c>
      <c r="B8" s="33" t="inlineStr">
        <is>
          <t>FACTURA INICIAL "FABRICACIÓN Y CARACTERIZACIÓN DE HOLOGRAMAS SIMPLES, PREPARACIÓN Y ANÁLISIS DE MONTAJES Y HOLOGRAMAS PARA SU INTRODUCCIÓN EN VIDRIO. REALIZACIÓN DE INFORMES"</t>
        </is>
      </c>
      <c r="C8" s="79" t="n">
        <v>2800.16</v>
      </c>
    </row>
    <row r="9">
      <c r="A9" s="35" t="inlineStr">
        <is>
          <t>41.70.6C.01.50</t>
        </is>
      </c>
      <c r="B9" s="35" t="inlineStr">
        <is>
          <t>FACTURA INFORME FINAL. "FABRICACIÓN Y CARACTERIZACIÓN DE HOLOGRAMAS SIMPLES. PREPARACIÓN Y ANÁLISIS DE MONTAJES Y HOLOGRAMAS PARA SU INTRODUCCIÓN EN VIDRIO".</t>
        </is>
      </c>
      <c r="C9" s="80" t="n">
        <v>1400.08</v>
      </c>
    </row>
    <row r="10">
      <c r="A10" s="33" t="inlineStr">
        <is>
          <t>41.70.6C.01.50</t>
        </is>
      </c>
      <c r="B10" s="33" t="inlineStr">
        <is>
          <t xml:space="preserve">FACTURA INFORME PARCIAL. "FABRICACIÓN Y CARACTERIZACIÓN DE HOLOGRAMAS SIMPLES. PREPARACIÓN Y ANÁLISIS DE MONTAJES Y HOLOGRAMAS PARA SU INTRODUCCIÓN EN VIDRIO". </t>
        </is>
      </c>
      <c r="C10" s="79" t="n">
        <v>1400.08</v>
      </c>
    </row>
    <row r="11">
      <c r="A11" s="35" t="inlineStr">
        <is>
          <t>41.70.6C.01.51</t>
        </is>
      </c>
      <c r="B11" s="35" t="inlineStr">
        <is>
          <t xml:space="preserve">referencia del pedido: PD000285002 SELECCIÓN Y PREPARACIÓN DE COLORANTES NATURALES DE DIFERENTE ORIGEN Y DE TENSOACTIVOS PARA PREPARACIÓN DE TINTURAS Y PASTAS DE ESTAMPACIÓN, CATIÓNICO Y ANIÓNICO. PREPARACIÓN DE NANOARCILLA SINTÉTICA PARA SU EMPLEO COMO COMPLEMENTO EN PASTAS DE ESTAMPACIÓN </t>
        </is>
      </c>
      <c r="C11" s="80" t="n">
        <v>1419.5</v>
      </c>
    </row>
    <row r="12">
      <c r="A12" s="33" t="inlineStr">
        <is>
          <t>41.70.6C.01.52</t>
        </is>
      </c>
      <c r="B12" s="33" t="inlineStr">
        <is>
          <t>SELECCIÓN Y PREPARACIÓN DE COLORANTE NATURAL: 50G DE BETACAROTENO.  PREPARACIÓN DE NANOARCILLA SINTÉTICA PARA SU EMPLEO COMO COMPLEMENTO EN PASTAS DE ESTAMPACIÓN Y TINTAS DE FLEXOGRAFÍA. TOTAL 2 KG DE LAPONITE XLG</t>
        </is>
      </c>
      <c r="C12" s="79" t="n">
        <v>818.4</v>
      </c>
    </row>
    <row r="13">
      <c r="A13" s="35" t="inlineStr">
        <is>
          <t>41.70.6P.00.13</t>
        </is>
      </c>
      <c r="B13" s="35" t="inlineStr">
        <is>
          <t xml:space="preserve">PROMETEO/2020/093/006/017/024/030/055/057/073/079/088 </t>
        </is>
      </c>
      <c r="C13" s="80" t="n">
        <v>142500</v>
      </c>
    </row>
    <row r="14">
      <c r="A14" s="33" t="inlineStr">
        <is>
          <t>41.70.6P.00.15</t>
        </is>
      </c>
      <c r="B14" s="33" t="inlineStr">
        <is>
          <t>DEVOLUCIÓN DE INGRESOS_MODELO 047_CIACO 2021 EN 2022_Nº de liquidación:46/2023/RAS/10205/1 047/_Número de justificante:047/1/002362793_Nº de referencia:047/1/002362793</t>
        </is>
      </c>
      <c r="C14" s="79" t="n">
        <v>-11923</v>
      </c>
    </row>
    <row r="15">
      <c r="A15" s="35" t="inlineStr">
        <is>
          <t>41.70.6P.00.15</t>
        </is>
      </c>
      <c r="B15" s="35" t="inlineStr">
        <is>
          <t xml:space="preserve">CIAICO/2021/019/074/124/158/167/173/221/279/305/328/335/339/345/348 </t>
        </is>
      </c>
      <c r="C15" s="80" t="n">
        <v>30000</v>
      </c>
    </row>
    <row r="16">
      <c r="A16" s="33" t="inlineStr">
        <is>
          <t>41.70.6P.00.16</t>
        </is>
      </c>
      <c r="B16" s="33" t="inlineStr">
        <is>
          <t xml:space="preserve">PID2021-122320NA-I00/123699NB-I00/124741NB-I00/124860NB-I00/125387NB-I00/126485OB-I00/127332NB-I00/127566NB-I00/127967NB-I00 </t>
        </is>
      </c>
      <c r="C16" s="79" t="n">
        <v>5778.2</v>
      </c>
    </row>
    <row r="17">
      <c r="A17" s="35" t="inlineStr">
        <is>
          <t>41.70.6P.00.18</t>
        </is>
      </c>
      <c r="B17" s="35" t="inlineStr">
        <is>
          <t>DEVOLUCIÓN DE INGRESOS_MODELO 047_Nº de liquidación:46/2023/RAS/10312/1_ Número de justificante:047/1/002383375_Nº de referencia:047/1/002383375</t>
        </is>
      </c>
      <c r="C17" s="80" t="n">
        <v>-3600</v>
      </c>
    </row>
    <row r="18">
      <c r="A18" s="33" t="inlineStr">
        <is>
          <t>41.70.6P.00.19</t>
        </is>
      </c>
      <c r="B18" s="33" t="inlineStr">
        <is>
          <t>PCI2022-135081-2PIA212022 -1 2 ANUALIDAD LIBERADO</t>
        </is>
      </c>
      <c r="C18" s="79" t="n">
        <v>92385.3</v>
      </c>
    </row>
    <row r="19">
      <c r="A19" s="35" t="inlineStr">
        <is>
          <t>41.70.6P.00.20</t>
        </is>
      </c>
      <c r="B19" s="35" t="inlineStr">
        <is>
          <t xml:space="preserve">AYUDAS CIAORG/2022/45, CIAORG/2022/15, CIAORG/2022/44, CIAORG/2022/140, CIAORG/2022/89, CIAORG/2022/10, CIAORG/2022/115, CIAORG/2022/27, CIAORG/2022/117, CIAORG/2022/128, CIAORG/2022/83, CIAORG/2022/74, CIAORG/2022/125 </t>
        </is>
      </c>
      <c r="C19" s="80" t="n">
        <v>9000</v>
      </c>
    </row>
    <row r="20">
      <c r="A20" s="33" t="inlineStr">
        <is>
          <t>41.70.6P.00.21</t>
        </is>
      </c>
      <c r="B20" s="33" t="inlineStr">
        <is>
          <t>Ayudas a PCI2023-143405</t>
        </is>
      </c>
      <c r="C20" s="79" t="n">
        <v>57600</v>
      </c>
    </row>
    <row r="21">
      <c r="A21" s="35" t="inlineStr">
        <is>
          <t>41.70.6P.00.22</t>
        </is>
      </c>
      <c r="B21" s="35" t="inlineStr">
        <is>
          <t>ayudas CIAICO/2022/017, CIAICO/2022/019, CIAICO/2022/038, CIAICO/2022/046, CIAICO/2022/047, CIAICO/2022/049, CIAICO/2022/077, CIAICO/2022/078, CIAICO/2022/079, CIAICO/2022/112, CIAICO/2022/132 , CIAICO/2022/167, CIAICO/2022/177</t>
        </is>
      </c>
      <c r="C21" s="80" t="n">
        <v>30000</v>
      </c>
    </row>
    <row r="22">
      <c r="A22" s="33" t="inlineStr">
        <is>
          <t>41.70.6P.00.23</t>
        </is>
      </c>
      <c r="B22" s="33" t="inlineStr">
        <is>
          <t>ayudas CIAICO/2022/017, CIAICO/2022/019, CIAICO/2022/038, CIAICO/2022/046, CIAICO/2022/047, CIAICO/2022/049, CIAICO/2022/077, CIAICO/2022/078, CIAICO/2022/079, CIAICO/2022/112, CIAICO/2022/132 , CIAICO/2022/167, CIAICO/2022/177</t>
        </is>
      </c>
      <c r="C22" s="79" t="n">
        <v>30000</v>
      </c>
    </row>
    <row r="23">
      <c r="A23" s="35" t="inlineStr">
        <is>
          <t>41.70.6X.00.02</t>
        </is>
      </c>
      <c r="B23" s="35" t="inlineStr">
        <is>
          <t>Devolución parcial Nair Trogolo 41706X0002 CS 3835</t>
        </is>
      </c>
      <c r="C23" s="80" t="n">
        <v>300</v>
      </c>
    </row>
    <row r="24">
      <c r="A24" s="44" t="inlineStr">
        <is>
          <t>41.70.6X.00.04</t>
        </is>
      </c>
      <c r="B24" s="44" t="inlineStr">
        <is>
          <t>SECOND PAYMENT - MS2 Project 4000136043</t>
        </is>
      </c>
      <c r="C24" s="81" t="n">
        <v>11667</v>
      </c>
    </row>
    <row r="25" customFormat="1" s="48">
      <c r="A25" s="46" t="inlineStr">
        <is>
          <t>Total</t>
        </is>
      </c>
      <c r="B25" s="46" t="n"/>
      <c r="C25" s="82">
        <f>SUBTOTAL(109,Tabla3[Imp.cob.aplic.])</f>
        <v/>
      </c>
    </row>
    <row r="26">
      <c r="C26" s="8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35" zoomScaleNormal="100" workbookViewId="0">
      <selection activeCell="B56" sqref="B56:C56"/>
    </sheetView>
  </sheetViews>
  <sheetFormatPr baseColWidth="10" defaultRowHeight="15"/>
  <cols>
    <col width="13.42578125" bestFit="1" customWidth="1" min="1" max="1"/>
    <col width="86.5703125" customWidth="1" min="2" max="2"/>
    <col width="19.5703125" customWidth="1" min="3" max="3"/>
    <col width="12.7109375" customWidth="1" min="4" max="4"/>
  </cols>
  <sheetData>
    <row r="1">
      <c r="A1" s="53" t="inlineStr">
        <is>
          <t>Org. aplic.</t>
        </is>
      </c>
      <c r="B1" s="53" t="inlineStr">
        <is>
          <t>Descripción justificante</t>
        </is>
      </c>
      <c r="C1" s="84" t="inlineStr">
        <is>
          <t>Imp. aplic.</t>
        </is>
      </c>
    </row>
    <row r="2">
      <c r="A2" s="49" t="inlineStr">
        <is>
          <t>41.70.6C.01.46</t>
        </is>
      </c>
      <c r="B2" s="49" t="inlineStr">
        <is>
          <t>Asesoramiento, definición y análisis de la señalización interior y exterior para un interfaz (HMI) en vehículos autónomos. Factura final.</t>
        </is>
      </c>
      <c r="C2" s="79" t="n">
        <v>6755.58</v>
      </c>
    </row>
    <row r="3">
      <c r="A3" s="51" t="inlineStr">
        <is>
          <t>41.70.6C.01.47</t>
        </is>
      </c>
      <c r="B3" s="51" t="inlineStr">
        <is>
          <t>Desarrollo de un nuevo sistema tintométrico industrial de alta precisión (acrónimo tintómetro)</t>
        </is>
      </c>
      <c r="C3" s="80" t="n">
        <v>440</v>
      </c>
    </row>
    <row r="4">
      <c r="A4" s="49" t="inlineStr">
        <is>
          <t>41.70.6C.01.47</t>
        </is>
      </c>
      <c r="B4" s="49" t="inlineStr">
        <is>
          <t>Desarrollo de nuevos tratamientos de ozono en olivar para la reducción de fitosanitarios quimicos (acrónimo: ozonolivar)</t>
        </is>
      </c>
      <c r="C4" s="79" t="n">
        <v>440</v>
      </c>
    </row>
    <row r="5">
      <c r="A5" s="51" t="inlineStr">
        <is>
          <t>41.70.6C.01.47</t>
        </is>
      </c>
      <c r="B5" s="51" t="inlineStr">
        <is>
          <t>Desarrollo de novedosas torres de celosía singulares para líneas eléctricas aéreas de hasta 220 kv (Acrónimo: celofammsa)</t>
        </is>
      </c>
      <c r="C5" s="80" t="n">
        <v>440</v>
      </c>
    </row>
    <row r="6">
      <c r="A6" s="49" t="inlineStr">
        <is>
          <t>41.70.6C.01.47</t>
        </is>
      </c>
      <c r="B6" s="49" t="inlineStr">
        <is>
          <t>NUEVO SISTEMA DE IDENTIFICACIÓN DE COMPONENTES ADHESIVOS PARA LAMINACIÓN (ACRÓNIMO: BRAINLOOPP)</t>
        </is>
      </c>
      <c r="C6" s="79" t="n">
        <v>440</v>
      </c>
    </row>
    <row r="7">
      <c r="A7" s="51" t="inlineStr">
        <is>
          <t>41.70.6C.01.47</t>
        </is>
      </c>
      <c r="B7" s="51" t="inlineStr">
        <is>
          <t>NUEVOS DESARROLLOS TECNOLÓGICOS EN PERFILES CON GEOMETRÍAS VERSÁTILES PARA MAMPARAS DE OFICINA (ACRÓNIMO: PEGEVE2021)</t>
        </is>
      </c>
      <c r="C7" s="80" t="n">
        <v>440</v>
      </c>
    </row>
    <row r="8">
      <c r="A8" s="49" t="inlineStr">
        <is>
          <t>41.70.6C.01.47</t>
        </is>
      </c>
      <c r="B8" s="49" t="inlineStr">
        <is>
          <t>NOVEDOSOS AMARRES SEMICHISEL DE ELEVADA RESISTENCIA PARA TERRENOS ABRUPTOS (ACRÓNIMO: FLEXMUELLE)</t>
        </is>
      </c>
      <c r="C8" s="79" t="n">
        <v>440</v>
      </c>
    </row>
    <row r="9">
      <c r="A9" s="51" t="inlineStr">
        <is>
          <t>41.70.6C.01.47</t>
        </is>
      </c>
      <c r="B9" s="51" t="inlineStr">
        <is>
          <t>DESARROLLO DE UN NUEVO SISTEMA ANTIRROBO DESTINADO A LOS AUTOMÓVILES (ACRÓNIMO: DDFFARTAGO)</t>
        </is>
      </c>
      <c r="C9" s="80" t="n">
        <v>440</v>
      </c>
    </row>
    <row r="10">
      <c r="A10" s="49" t="inlineStr">
        <is>
          <t>41.70.6C.01.47</t>
        </is>
      </c>
      <c r="B10" s="49" t="inlineStr">
        <is>
          <t>DESARROLLO DE NUEVAS CAJAS DE MAYOR VIDA ÚTIL PARA FRUTAS Y HORTALIZAS (ACRÓNIMO: PLASTICJEB)</t>
        </is>
      </c>
      <c r="C10" s="79" t="n">
        <v>440</v>
      </c>
    </row>
    <row r="11">
      <c r="A11" s="51" t="inlineStr">
        <is>
          <t>41.70.6C.01.47</t>
        </is>
      </c>
      <c r="B11" s="51" t="inlineStr">
        <is>
          <t>NUEVA PLATAFORMA ELEVADORA CON CORREA PLANA PARA PESO VARIABLE (ACRÓNIMO: ELEVBELTOR)</t>
        </is>
      </c>
      <c r="C11" s="80" t="n">
        <v>440</v>
      </c>
    </row>
    <row r="12">
      <c r="A12" s="49" t="inlineStr">
        <is>
          <t>41.70.6C.01.47</t>
        </is>
      </c>
      <c r="B12" s="49" t="inlineStr">
        <is>
          <t>NUEVO TUNEL DE ESCALDE VERTICAL A PARTIR DE AGUA Y VAPOR PARA LÍNEAS DE PRODUCCIÓN PORCINA (ACRÓNIMO: ESCALPORCS)</t>
        </is>
      </c>
      <c r="C12" s="79" t="n">
        <v>440</v>
      </c>
    </row>
    <row r="13">
      <c r="A13" s="51" t="inlineStr">
        <is>
          <t>41.70.6C.01.47</t>
        </is>
      </c>
      <c r="B13" s="51" t="inlineStr">
        <is>
          <t>NUEVO SISTEMA DE OREO Y ESTABILIZACIÓN PARA EL SECTOR AVÍCOLA (ACRÓNIMO: AVICOREO17)</t>
        </is>
      </c>
      <c r="C13" s="80" t="n">
        <v>440</v>
      </c>
    </row>
    <row r="14">
      <c r="A14" s="49" t="inlineStr">
        <is>
          <t>41.70.6C.01.47</t>
        </is>
      </c>
      <c r="B14" s="49" t="inlineStr">
        <is>
          <t>DISEÑO Y DESARROLLO DE UN NUEVO SISTEMA PARA EL SECADO DE MINERALES (ACRÓNIMO: MINERALTIC) ANUALIDAD 2021</t>
        </is>
      </c>
      <c r="C14" s="79" t="n">
        <v>440</v>
      </c>
    </row>
    <row r="15">
      <c r="A15" s="51" t="inlineStr">
        <is>
          <t>41.70.6C.01.47</t>
        </is>
      </c>
      <c r="B15" s="51" t="inlineStr">
        <is>
          <t>DISEÑO Y DESARROLLO DE UN NUEVO SISTEMA PARA EL SECADO DE MINERALES (ACRÓNIMO: MINERALTIC) ANUALIDAD 2020</t>
        </is>
      </c>
      <c r="C15" s="80" t="n">
        <v>440</v>
      </c>
    </row>
    <row r="16">
      <c r="A16" s="49" t="inlineStr">
        <is>
          <t>41.70.6C.01.47</t>
        </is>
      </c>
      <c r="B16" s="49" t="inlineStr">
        <is>
          <t>NUEVOS DISEÑOS DE MATRICES PARA EL DESARROLLO DE REJILLAS DE VENTILACIÓN (ACRÓNIMO: MATRIFEPRE) ANUALIDAD 2020</t>
        </is>
      </c>
      <c r="C16" s="79" t="n">
        <v>440</v>
      </c>
    </row>
    <row r="17">
      <c r="A17" s="51" t="inlineStr">
        <is>
          <t>41.70.6C.01.47</t>
        </is>
      </c>
      <c r="B17" s="51" t="inlineStr">
        <is>
          <t>NUEVOS DISEÑOS DE MATRICES PARA EL DESARROLLO DE REJILLAS DE VENTILACIÓN (ACRÓNIMO: MATRIFEPRE) ANUALIDAD 2021</t>
        </is>
      </c>
      <c r="C17" s="80" t="n">
        <v>440</v>
      </c>
    </row>
    <row r="18">
      <c r="A18" s="49" t="inlineStr">
        <is>
          <t>41.70.6C.01.47</t>
        </is>
      </c>
      <c r="B18" s="49" t="inlineStr">
        <is>
          <t>DESARROLLO DE NUEVAS SOLUCIONES INDUSTRIALES PARA LA MEJORA DE RENDIMIENTO DE LA PIRÓLISIS EN LA PRODUCCIÓN DE CARBÓN (ACRÓNIMO: PIROLITICO)</t>
        </is>
      </c>
      <c r="C18" s="79" t="n">
        <v>440</v>
      </c>
    </row>
    <row r="19">
      <c r="A19" s="51" t="inlineStr">
        <is>
          <t>41.70.6C.01.47</t>
        </is>
      </c>
      <c r="B19" s="51" t="inlineStr">
        <is>
          <t>NUEVAS SOLUCIONES CONSTRUCCTIVAS EN EL DESARROLLO DE PÉRGOLAS BIOCLIMÁTICAS (ACRÓNIMO: BIOPERGOLA)</t>
        </is>
      </c>
      <c r="C19" s="80" t="n">
        <v>440</v>
      </c>
    </row>
    <row r="20">
      <c r="A20" s="49" t="inlineStr">
        <is>
          <t>41.70.6C.01.47</t>
        </is>
      </c>
      <c r="B20" s="49" t="inlineStr">
        <is>
          <t>DISEÑO Y DESARROLLO DE UN NUEVO SISTEMA DE TELEGESTIÓN DE INSTALACIONES LUMINARIAS (ACRÓNIMO: INSAETEL21)</t>
        </is>
      </c>
      <c r="C20" s="79" t="n">
        <v>440</v>
      </c>
    </row>
    <row r="21">
      <c r="A21" s="51" t="inlineStr">
        <is>
          <t>41.70.6C.01.47</t>
        </is>
      </c>
      <c r="B21" s="51" t="inlineStr">
        <is>
          <t>NUEVAS SOLUCIONES DE ENVASES PLÁSTICOS SOSTENIBLES CON MENOR IMPACTO AMBIENTAL (ACRÓNIMO: GREENFLEX1)</t>
        </is>
      </c>
      <c r="C21" s="80" t="n">
        <v>440</v>
      </c>
    </row>
    <row r="22">
      <c r="A22" s="49" t="inlineStr">
        <is>
          <t>41.70.6C.01.47</t>
        </is>
      </c>
      <c r="B22" s="49" t="inlineStr">
        <is>
          <t>DISEÑO Y DESARROLLO DE UN NOVEDOSO PROTOTIPO DE TOLVAS PARA EL SECOR DEL RECICLADO (ACRÓNIMO: TOLVAGODIZ)</t>
        </is>
      </c>
      <c r="C22" s="79" t="n">
        <v>440</v>
      </c>
    </row>
    <row r="23">
      <c r="A23" s="51" t="inlineStr">
        <is>
          <t>41.70.6C.01.47</t>
        </is>
      </c>
      <c r="B23" s="51" t="inlineStr">
        <is>
          <t>DESARROLLO DE NUEVOS REDUCTORES DE PH PARA SU EMPLEO EN AGUAS POTABLES (ACRÓNIMO: REDUCTORPH ) (ANUALIDAD 2021)</t>
        </is>
      </c>
      <c r="C23" s="80" t="n">
        <v>440</v>
      </c>
    </row>
    <row r="24">
      <c r="A24" s="49" t="inlineStr">
        <is>
          <t>41.70.6C.01.47</t>
        </is>
      </c>
      <c r="B24" s="49" t="inlineStr">
        <is>
          <t>NUEVOS DISEÑOS DE MATRICES PARA EL DESARROLLO DE REJILLAS DE VENTILACIÓN (ACRÓNIMO: MATRIFEPRE) (ANUALIDAD 2019)</t>
        </is>
      </c>
      <c r="C24" s="79" t="n">
        <v>440</v>
      </c>
    </row>
    <row r="25">
      <c r="A25" s="51" t="inlineStr">
        <is>
          <t>41.70.6C.01.47</t>
        </is>
      </c>
      <c r="B25" s="51" t="inlineStr">
        <is>
          <t>DESARROLLO DE UN NUEVO SISTEMA PARA EL RECRECIDO DE PAVIMENTOS Y SOLERAS DE HORMIGÓN EN MEDIO ESPESOR (ACRÓNIMO: RUICAFLOOR)</t>
        </is>
      </c>
      <c r="C25" s="80" t="n">
        <v>440</v>
      </c>
    </row>
    <row r="26">
      <c r="A26" s="49" t="inlineStr">
        <is>
          <t>41.70.6C.01.47</t>
        </is>
      </c>
      <c r="B26" s="49" t="inlineStr">
        <is>
          <t>DESARROLLO DE UN NUEVO PRODUCTO DE LIMPIEZA PARA LA DESINFECCION DE HUEVOS EN GRANJAS AGRICOLAS (ACRÓNIMO: EGGCLEANER)</t>
        </is>
      </c>
      <c r="C26" s="79" t="n">
        <v>440</v>
      </c>
    </row>
    <row r="27">
      <c r="A27" s="51" t="inlineStr">
        <is>
          <t>41.70.6C.01.47</t>
        </is>
      </c>
      <c r="B27" s="51" t="inlineStr">
        <is>
          <t>NUEVAS ESTRATEGIAS PARA EL DESARROLLO DE SISTEMAS TUBULARES CON PROTECCIÓN FRENTE A INCENDIOS (ACRÓNIMO: INCETUBU02)</t>
        </is>
      </c>
      <c r="C27" s="80" t="n">
        <v>440</v>
      </c>
    </row>
    <row r="28">
      <c r="A28" s="49" t="inlineStr">
        <is>
          <t>41.70.6C.01.47</t>
        </is>
      </c>
      <c r="B28" s="49" t="inlineStr">
        <is>
          <t>NUEVAS ESTRATEGIAS PARA EL DESARROLLO DE SISTEMAS TUBULARES CON PROTECCIÓN FRENTE A INCENDIOS (ACRÓNIMO: INCETUBU01)</t>
        </is>
      </c>
      <c r="C28" s="79" t="n">
        <v>440</v>
      </c>
    </row>
    <row r="29">
      <c r="A29" s="51" t="inlineStr">
        <is>
          <t>41.70.6C.01.47</t>
        </is>
      </c>
      <c r="B29" s="51" t="inlineStr">
        <is>
          <t>NUEVA PLATAFORMA ELEVADORA CON PARACAÍDAS ELÉCTRICO BIDIRECCIONAL (ACRÓNIMO: ELEVASAFER)</t>
        </is>
      </c>
      <c r="C29" s="80" t="n">
        <v>440</v>
      </c>
    </row>
    <row r="30">
      <c r="A30" s="49" t="inlineStr">
        <is>
          <t>41.70.6C.01.47</t>
        </is>
      </c>
      <c r="B30" s="49" t="inlineStr">
        <is>
          <t>NUEVAS SOLUCIONES TECNOLÓGICAS DE ALTA PRECISIÓN PARA LA MATERIALIZACIÓN DE COMPONENTES ELECTRÓNICOS (ACRÓNIMO: COMPELEC21)</t>
        </is>
      </c>
      <c r="C30" s="79" t="n">
        <v>440</v>
      </c>
    </row>
    <row r="31">
      <c r="A31" s="51" t="inlineStr">
        <is>
          <t>41.70.6C.01.47</t>
        </is>
      </c>
      <c r="B31" s="51" t="inlineStr">
        <is>
          <t>NUEVO SISTEMA DE PROYECCIONES DE CAMARA PARA VISIÓN 3D A OJO DESNUDO EN PANTALLAS CURVAS (ACRÓNIMO: BCN3DCURVE)</t>
        </is>
      </c>
      <c r="C31" s="80" t="n">
        <v>440</v>
      </c>
    </row>
    <row r="32">
      <c r="A32" s="49" t="inlineStr">
        <is>
          <t>41.70.6C.01.47</t>
        </is>
      </c>
      <c r="B32" s="49" t="inlineStr">
        <is>
          <t>COLABORACIÓN EN LA EVALUACIÓN DE PROYECTOS INDUSTRIALES DE I+D</t>
        </is>
      </c>
      <c r="C32" s="79" t="n">
        <v>8360</v>
      </c>
    </row>
    <row r="33">
      <c r="A33" s="51" t="inlineStr">
        <is>
          <t>41.70.6C.01.47</t>
        </is>
      </c>
      <c r="B33" s="51" t="inlineStr">
        <is>
          <t>COLABORACIÓN EN LA EVALUACIÓN DE PROYECTOS INDUSTRIALES DE I+D Proyecto ref. EVALUE2-24TPA</t>
        </is>
      </c>
      <c r="C33" s="80" t="n">
        <v>7920</v>
      </c>
    </row>
    <row r="34">
      <c r="A34" s="49" t="inlineStr">
        <is>
          <t>41.70.6C.01.53</t>
        </is>
      </c>
      <c r="B34" s="49" t="inlineStr">
        <is>
          <t>ASESORAMIENTO ORGANIZACIÓN JORNADAS INTERNACIONALES SOBRE RIESGO SÍSMICO</t>
        </is>
      </c>
      <c r="C34" s="79" t="n">
        <v>2948.97</v>
      </c>
    </row>
    <row r="35">
      <c r="A35" s="51" t="inlineStr">
        <is>
          <t>41.70.6C.01.54</t>
        </is>
      </c>
      <c r="B35" s="51" t="inlineStr">
        <is>
          <t>IMPROVE ACCURACY COLORS ON DISPLAYS. THE SCOPE OF THE COLLABORATION INVOLVES ADVANCED MEASUREMENTS AND VISUAL TEST WITH A RANGE OF DISPLAYS AND OBSERVERS. First payment. Ref. AKZONOBEL1-24I Purchase order 8080269858</t>
        </is>
      </c>
      <c r="C35" s="80" t="n">
        <v>35200</v>
      </c>
    </row>
    <row r="36">
      <c r="A36" s="49" t="inlineStr">
        <is>
          <t>41.70.6H.00.02</t>
        </is>
      </c>
      <c r="B36" s="49" t="inlineStr">
        <is>
          <t>INVEST/2022/419/431/450 (2º PAGO A UA PROGRAMA INVESTIGO 2022 DESPLAZAMIENT)</t>
        </is>
      </c>
      <c r="C36" s="79" t="n">
        <v>1000</v>
      </c>
    </row>
    <row r="37">
      <c r="A37" s="51" t="inlineStr">
        <is>
          <t>41.70.6I.00.01</t>
        </is>
      </c>
      <c r="B37" s="51" t="inlineStr">
        <is>
          <t>DEVOLUCIÓN DE INGRESOS_MODELO 047_ IDIFEDER 2021/014/024_Nº DE LIQUIDACIÓN: 46/2024/RAS/10301/1_NºN DE JUSTIFICANTE: 047/1/002546776_ Nº DE REFERENCIA: 047/1/002546776</t>
        </is>
      </c>
      <c r="C37" s="80" t="n">
        <v>-10</v>
      </c>
    </row>
    <row r="38">
      <c r="A38" s="49" t="inlineStr">
        <is>
          <t>41.70.6P.00.13</t>
        </is>
      </c>
      <c r="B38" s="49" t="inlineStr">
        <is>
          <t xml:space="preserve">ayudas PROMETEO/2021/006, PROMETEO/2021/017, PROMETEO/2021/030, PROMETEO/2021/055, PROMETEO/2021/057, PROMETEO/2021/073, PROMETEO/2021/079, PROMETEO/2021/088 </t>
        </is>
      </c>
      <c r="C38" s="79" t="n">
        <v>142500</v>
      </c>
    </row>
    <row r="39">
      <c r="A39" s="51" t="inlineStr">
        <is>
          <t>41.70.6P.00.15</t>
        </is>
      </c>
      <c r="B39" s="51" t="inlineStr">
        <is>
          <t xml:space="preserve">CIAICO/2021/019/074/124/158/167/173/279/305/328/335/345/348/339 </t>
        </is>
      </c>
      <c r="C39" s="80" t="n">
        <v>30000</v>
      </c>
    </row>
    <row r="40">
      <c r="A40" s="49" t="inlineStr">
        <is>
          <t>41.70.6P.00.15</t>
        </is>
      </c>
      <c r="B40" s="49" t="inlineStr">
        <is>
          <t>DEVOLUCIÓN DE INGRESOS_MODELO 047_Nº DE LIQUIDACIÓN: 46/2024/RAS/10135/1_ Nº DE JUSTIFICANTE: 047/1/002493531/ Nº DE REFERENCIA: 047/1/002493531</t>
        </is>
      </c>
      <c r="C40" s="79" t="n">
        <v>-3318.67</v>
      </c>
    </row>
    <row r="41">
      <c r="A41" s="51" t="inlineStr">
        <is>
          <t>41.70.6P.00.16</t>
        </is>
      </c>
      <c r="B41" s="51" t="inlineStr">
        <is>
          <t>PID2021-126485OB-I00-126858NB-I00-126990NB-I00-127332NB-I00-127426OB-C22-127566NB-I00-127967NB-I00-127999NB-I00-128381NB-I00-128761OB-C21-128766OB-I00-128805NA-I00-128876OB-I00</t>
        </is>
      </c>
      <c r="C41" s="80" t="n">
        <v>2076</v>
      </c>
    </row>
    <row r="42">
      <c r="A42" s="49" t="inlineStr">
        <is>
          <t>41.70.6P.00.17</t>
        </is>
      </c>
      <c r="B42" s="49" t="inlineStr">
        <is>
          <t xml:space="preserve">Ayudas ASFAE/2022/002, ASFAE/2022/017 </t>
        </is>
      </c>
      <c r="C42" s="79" t="n">
        <v>43414.64</v>
      </c>
    </row>
    <row r="43">
      <c r="A43" s="51" t="inlineStr">
        <is>
          <t>41.70.6P.00.17</t>
        </is>
      </c>
      <c r="B43" s="51" t="inlineStr">
        <is>
          <t xml:space="preserve">ayuda ASFAE/2022/002, ASFAE/2022/017 (ANUALIDAD 2023) </t>
        </is>
      </c>
      <c r="C43" s="80" t="n">
        <v>43414.64</v>
      </c>
    </row>
    <row r="44">
      <c r="A44" s="49" t="inlineStr">
        <is>
          <t>41.70.6P.00.20</t>
        </is>
      </c>
      <c r="B44" s="49" t="inlineStr">
        <is>
          <t xml:space="preserve">DEVOLUCIÓN DE INGRESOS_MODELO 047_ Nº LIQUIDACIÓN:46/2024/RAS/10317/1 Nº DE JUSTIFICANTE: 047/1/002550144_Nº DE REFERENCIA:  047/1/002550144 </t>
        </is>
      </c>
      <c r="C44" s="79" t="n">
        <v>-1624.69</v>
      </c>
    </row>
    <row r="45">
      <c r="A45" s="51" t="inlineStr">
        <is>
          <t>41.70.6P.00.21</t>
        </is>
      </c>
      <c r="B45" s="51" t="inlineStr">
        <is>
          <t xml:space="preserve">ayudas PCI2023-143405 </t>
        </is>
      </c>
      <c r="C45" s="80" t="n">
        <v>57600</v>
      </c>
    </row>
    <row r="46">
      <c r="A46" s="49" t="inlineStr">
        <is>
          <t>41.70.6P.00.22</t>
        </is>
      </c>
      <c r="B46" s="49" t="inlineStr">
        <is>
          <t xml:space="preserve">AYUDAS CIAICO/2022/017, CIAICO/2022/019, CIAICO/2022/038, CIAICO/2022/046, CIAICO/2022/047, CIAICO/2022/049, CIAICO/2022/077, CIAICO/2022/078, CIAICO/2022/079, CIAICO/2022/112, CIAICO/2022/132 CIAICO/2022/167 CIAICO/2022/177 </t>
        </is>
      </c>
      <c r="C46" s="79" t="n">
        <v>30000</v>
      </c>
    </row>
    <row r="47">
      <c r="A47" s="51" t="inlineStr">
        <is>
          <t>41.70.6P.00.23</t>
        </is>
      </c>
      <c r="B47" s="51" t="inlineStr">
        <is>
          <t xml:space="preserve">AYUDAS CIAICO/2022/017, CIAICO/2022/019, CIAICO/2022/038, CIAICO/2022/046, CIAICO/2022/047, CIAICO/2022/049, CIAICO/2022/077, CIAICO/2022/078, CIAICO/2022/079, CIAICO/2022/112, CIAICO/2022/132 CIAICO/2022/167 CIAICO/2022/177 </t>
        </is>
      </c>
      <c r="C47" s="80" t="n">
        <v>30000</v>
      </c>
    </row>
    <row r="48">
      <c r="A48" s="49" t="inlineStr">
        <is>
          <t>41.70.6P.00.23</t>
        </is>
      </c>
      <c r="B48" s="49" t="inlineStr">
        <is>
          <t>DEVOLUCIÓN DE INGRESOS_MODELO 047_ REFERENCIA: CIACO 2022 EN 2023.</t>
        </is>
      </c>
      <c r="C48" s="79" t="n">
        <v>-18858.12</v>
      </c>
    </row>
    <row r="49">
      <c r="A49" s="51" t="inlineStr">
        <is>
          <t>41.70.6P.00.25</t>
        </is>
      </c>
      <c r="B49" s="51" t="inlineStr">
        <is>
          <t>ayudas CIGE/2023/52, CIGE/2023/94, CIGE/2023/129, CIGE/2023/146, CIGE/2023/165, CIGE/2023/175, CIGE/2023/181, CIGE/2023/184, CIGE/2023/188, CIGE/2023/196, CIGE/2023/197, CIGE/2023/216, CIGE/2023/225, CIGE/2023/227 (LINEA SUBVENCIÓN S0296)</t>
        </is>
      </c>
      <c r="C49" s="80" t="n">
        <v>10000</v>
      </c>
    </row>
    <row r="50">
      <c r="A50" s="49" t="inlineStr">
        <is>
          <t>41.70.6X.00.03</t>
        </is>
      </c>
      <c r="B50" s="49" t="inlineStr">
        <is>
          <t xml:space="preserve">Cobro intermedio Proyecto AHEAD 2020. </t>
        </is>
      </c>
      <c r="C50" s="79" t="n">
        <v>86608.48</v>
      </c>
    </row>
    <row r="51">
      <c r="A51" s="51" t="inlineStr">
        <is>
          <t>41.70.6X.00.05</t>
        </is>
      </c>
      <c r="B51" s="51" t="inlineStr">
        <is>
          <t>Primer Cobro del Proyecto POPULAR (Dep Física, Ingeneria de Sistemas y Teoría de la Señal)</t>
        </is>
      </c>
      <c r="C51" s="80" t="n">
        <v>336290.63</v>
      </c>
    </row>
    <row r="52">
      <c r="A52" s="55" t="inlineStr">
        <is>
          <t>41.70.6X.00.05</t>
        </is>
      </c>
      <c r="B52" s="55" t="inlineStr">
        <is>
          <t>Segundo Cobro del Proyecto POPULAR (Dep Física, Ingeneria de Sistemas y Teoría de la Señal)</t>
        </is>
      </c>
      <c r="C52" s="81" t="n">
        <v>112096.87</v>
      </c>
    </row>
    <row r="53" customFormat="1" s="48">
      <c r="A53" s="57" t="inlineStr">
        <is>
          <t>Total</t>
        </is>
      </c>
      <c r="B53" s="57" t="n"/>
      <c r="C53" s="82">
        <f>SUBTOTAL(109,Tabla4[Imp. aplic.])</f>
        <v/>
      </c>
    </row>
  </sheetData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I29" sqref="I29"/>
    </sheetView>
  </sheetViews>
  <sheetFormatPr baseColWidth="10" defaultRowHeight="15"/>
  <cols>
    <col width="16" customWidth="1" min="1" max="1"/>
    <col width="50.140625" customWidth="1" min="2" max="2"/>
    <col width="21.7109375" customWidth="1" min="3" max="3"/>
  </cols>
  <sheetData>
    <row r="1">
      <c r="A1" s="60" t="inlineStr">
        <is>
          <t>Org. aplic.</t>
        </is>
      </c>
      <c r="B1" s="61" t="inlineStr">
        <is>
          <t>Descripción justificante</t>
        </is>
      </c>
      <c r="C1" s="61" t="inlineStr">
        <is>
          <t>Imp. aplic.</t>
        </is>
      </c>
    </row>
    <row r="2">
      <c r="A2" s="62" t="inlineStr">
        <is>
          <t>41.70.6C.01.54</t>
        </is>
      </c>
      <c r="B2" s="63" t="inlineStr">
        <is>
          <t>IMPROVE ACCURACY COLORS ON DISPLAYS. THE SCOPE OF THE COLLABORATION INVOLVES ADVANCED MEASUREMENTS AND VISUAL TEST WITH A RANGE OF DISPLAYS AND OBSERVERS. First payment. Ref. AKZONOBEL1-24I Purchase order 8080269858</t>
        </is>
      </c>
      <c r="C2" s="85" t="n">
        <v>-35200</v>
      </c>
    </row>
    <row r="3">
      <c r="A3" s="65" t="inlineStr">
        <is>
          <t>41.70.6C.01.54</t>
        </is>
      </c>
      <c r="B3" s="66" t="inlineStr">
        <is>
          <t>IMPROVE ACCURACY COLORS ON DISPLAYS. THE SCOPE OF THE COLLABORATION INVOLVES ADVANCED MEASUREMENTS AND VISUAL TEST WITH A RANGE OF DISPLAYS AND OBSERVERS. First payment. Ref. AKZONOBEL1-24I Purchase order 8080269858</t>
        </is>
      </c>
      <c r="C3" s="86" t="n">
        <v>35200</v>
      </c>
    </row>
    <row r="4">
      <c r="A4" s="62" t="inlineStr">
        <is>
          <t>41.70.6C.01.54</t>
        </is>
      </c>
      <c r="B4" s="63" t="inlineStr">
        <is>
          <t>IMPROVE ACCURACY COLORS ON DISPLAYS. THE SCOPE OF THE COLLABORATION INVOLVES ADVANCED MEASUREMENTS AND VISUAL TEST WITH A RANGE OF DISPLAYS AND OBSERVERS. Second payment. Ref. AKZONOBEL1-24I Purchase order 8080531471</t>
        </is>
      </c>
      <c r="C4" s="85" t="n">
        <v>35200</v>
      </c>
    </row>
    <row r="5">
      <c r="A5" s="65" t="inlineStr">
        <is>
          <t>41.70.6C.01.55</t>
        </is>
      </c>
      <c r="B5" s="66" t="inlineStr">
        <is>
          <t>SOFTWARE SIMILAR A T-CONIC (HTTP://HDL.HANDLE.NET/10045/25399), DISEÑADO PARA CALCULAR MATRICES TEÓRICAS DE ABLACIÓN EN LA SUPERFICIE CORNEAL. Ref. proyecto: NEWEYESTECH1-25TPA</t>
        </is>
      </c>
      <c r="C5" s="86" t="n">
        <v>10555.78</v>
      </c>
    </row>
    <row r="6">
      <c r="A6" s="62" t="inlineStr">
        <is>
          <t>41.70.6H.00.02</t>
        </is>
      </c>
      <c r="B6" s="63" t="inlineStr">
        <is>
          <t>DEVOLUCIÓN DE INGRESOS_MODELO 047_ REFERENTE AL JI 20220000000004826_AYUDAS FINANCIACIÓN DEL PROGRAMA INVESTIGO (INVEST/2022/253/267/319/419/431/450/70)</t>
        </is>
      </c>
      <c r="C6" s="85" t="n">
        <v>-44041.65</v>
      </c>
    </row>
    <row r="7">
      <c r="A7" s="65" t="inlineStr">
        <is>
          <t>41.70.6P.00.13</t>
        </is>
      </c>
      <c r="B7" s="66" t="inlineStr">
        <is>
          <t xml:space="preserve">DEVOLUCIÓN DE INGRESOS_MODELO 047_ REFERENCIA: PROMETEO 2021 EN 2024_PROMETEO/2021/006, PROMETEO/2021/017, PROMETEO/2021/030, PROMETEO/2021/055, PROMETEO/2021/057, PROMETEO/2021/073, PROMETEO/2021/079, PROMETEO/2021/088 </t>
        </is>
      </c>
      <c r="C7" s="86" t="n">
        <v>-8252.049999999999</v>
      </c>
    </row>
    <row r="8">
      <c r="A8" s="62" t="inlineStr">
        <is>
          <t>41.70.6P.00.16</t>
        </is>
      </c>
      <c r="B8" s="63" t="inlineStr">
        <is>
          <t xml:space="preserve">ayudas PID2021-122320NA-I00, PID2021-123699NB-I00, PID2021-124741NB-I00, PID2021-124860NB-I00,PID2021-125387NB-I00, PID2021-126485OB-I00, PID2021-127332NB-I00, PID2021-127566NB-I00, PID2021-127967NB-I00, </t>
        </is>
      </c>
      <c r="C8" s="85" t="n">
        <v>13840</v>
      </c>
    </row>
    <row r="9">
      <c r="A9" s="65" t="inlineStr">
        <is>
          <t>41.70.6P.00.21</t>
        </is>
      </c>
      <c r="B9" s="66" t="inlineStr">
        <is>
          <t xml:space="preserve">Ayudas PCI2023-143405  </t>
        </is>
      </c>
      <c r="C9" s="86" t="n">
        <v>44800</v>
      </c>
    </row>
    <row r="10">
      <c r="A10" s="62" t="inlineStr">
        <is>
          <t>41.70.6P.00.22</t>
        </is>
      </c>
      <c r="B10" s="63" t="inlineStr">
        <is>
          <t>Ayudas CIAICO/2022/017, CIAICO/2022/019, CIAICO/2022/038, CIAICO/2022/046, CIAICO/2022/047, CIAICO/2022/049, CIAICO/2022/077, CIAICO/2022/078,CIAICO/2022/079, CIAICO/2022/112, CIAICO/2022/132, CIAICO/2022/167, ,CIAICO/2022/177</t>
        </is>
      </c>
      <c r="C10" s="85" t="n">
        <v>30000</v>
      </c>
    </row>
    <row r="11">
      <c r="A11" s="65" t="inlineStr">
        <is>
          <t>41.70.6P.00.23</t>
        </is>
      </c>
      <c r="B11" s="66" t="inlineStr">
        <is>
          <t>Ayudas CIAICO/2022/017, CIAICO/2022/019, CIAICO/2022/038, CIAICO/2022/046, CIAICO/2022/047, CIAICO/2022/049, CIAICO/2022/077, CIAICO/2022/078,CIAICO/2022/079, CIAICO/2022/112, CIAICO/2022/132, CIAICO/2022/167, ,CIAICO/2022/177</t>
        </is>
      </c>
      <c r="C11" s="86" t="n">
        <v>30000</v>
      </c>
    </row>
    <row r="12">
      <c r="A12" s="62" t="inlineStr">
        <is>
          <t>41.70.6P.00.23</t>
        </is>
      </c>
      <c r="B12" s="63" t="inlineStr">
        <is>
          <t xml:space="preserve">Minoración AYUDAS CIAICO/2022/017, CIAICO/2022/019,  CIAICO/2022/046, CIAICO/2022/047,  CIAICO/2022/077, CIAICO/2022/078, CIAICO/2022/079, CIAICO/2022/112, CIAICO/2022/132 CIAICO/2022/167 CIAICO/2022/177 </t>
        </is>
      </c>
      <c r="C12" s="85" t="n">
        <v>-5526.69</v>
      </c>
    </row>
    <row r="13">
      <c r="A13" s="65" t="inlineStr">
        <is>
          <t>41.70.6P.00.25</t>
        </is>
      </c>
      <c r="B13" s="66" t="inlineStr">
        <is>
          <t xml:space="preserve">CIGE/2023/52/94/129/146/165/175/181/184/188/196/197/216/225/227. EN CIGE/2023/196 HAY UNA REASIGNACIÓN DEL IMPORTE (EN JI-2024-3632 SE PRODUCE UNA MINORACIÓN DE 9879,02 Y SE ASIGNA A ESTE AÑO) </t>
        </is>
      </c>
      <c r="C13" s="86" t="n">
        <v>10000</v>
      </c>
    </row>
    <row r="14">
      <c r="A14" s="62" t="inlineStr">
        <is>
          <t>41.70.6P.00.25</t>
        </is>
      </c>
      <c r="B14" s="63" t="inlineStr">
        <is>
          <t>Minoración Ayudas CIGE/2023/52, CIGE/2023/94, CIGE/2023/129, CIGE/2023/146, CIGE/2023/165, CIGE/2023/175, CIGE/2023/181, CIGE/2023/184, CIGE/2023/188, CIGE/2023/197, CIGE/2023/216,  CIGE/2023/227 (LINEA SUBVENCIÓN S0296)</t>
        </is>
      </c>
      <c r="C14" s="85" t="n">
        <v>-9007.5</v>
      </c>
    </row>
    <row r="15">
      <c r="A15" s="65" t="inlineStr">
        <is>
          <t>41.70.6P.00.26</t>
        </is>
      </c>
      <c r="B15" s="66" t="inlineStr">
        <is>
          <t>CIPROM/2024/03/13//90/92</t>
        </is>
      </c>
      <c r="C15" s="86" t="n">
        <v>39062.34</v>
      </c>
    </row>
    <row r="16">
      <c r="A16" s="62" t="inlineStr">
        <is>
          <t>41.70.6P.00.27</t>
        </is>
      </c>
      <c r="B16" s="63" t="inlineStr">
        <is>
          <t>INGRESO MICIU (AR FEDER). PID2024-157422OA-I00. PID2024-161522OA-I00. PID2024-157087OA-I00. PID2024-162784OB-I00. PID2024-160976NB-I00. PID2024-156526OB-I00. PID2024-158829NB-C41. PID2024-162730NB-I00. PID2024-160791OB-I00. PID2024-158157OB-C31. PID2024-160373OB-C22. PID2024-162431OB-I00. PID2024-159329NB-C22. PID2024-157026OB-I00. PID2024-159638OB-I00. PID2024-155511NB-I00. PID2024-157839NB-I00. PID2024-161912OB-I00. PID2024-155779OB-C33. PID2024-157037OB-I00. PID2024-156263OB-C22. PID2024-161188OB-C22. PID2024-161711OB-I00. PID2024-159363NB-I00. PID2024-155338NB-I00. PID2024-158514NB-I00. PID2024-160604NB-I00</t>
        </is>
      </c>
      <c r="C16" s="85" t="n">
        <v>40200</v>
      </c>
    </row>
    <row r="17">
      <c r="A17" s="65" t="inlineStr">
        <is>
          <t>41.70.6P.00.27</t>
        </is>
      </c>
      <c r="B17" s="66" t="inlineStr">
        <is>
      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      </is>
      </c>
      <c r="C17" s="86" t="n">
        <v>22780</v>
      </c>
    </row>
    <row r="18">
      <c r="A18" s="62" t="inlineStr">
        <is>
          <t>41.70.6P.00.28</t>
        </is>
      </c>
      <c r="B18" s="63" t="inlineStr">
        <is>
          <t>INGRESO MICIU (AR FEDER). PID2024-157422OA-I00. PID2024-161522OA-I00. PID2024-157087OA-I00. PID2024-162784OB-I00. PID2024-160976NB-I00. PID2024-156526OB-I00. PID2024-158829NB-C41. PID2024-162730NB-I00. PID2024-160791OB-I00. PID2024-158157OB-C31. PID2024-160373OB-C22. PID2024-162431OB-I00. PID2024-159329NB-C22. PID2024-157026OB-I00. PID2024-159638OB-I00. PID2024-155511NB-I00. PID2024-157839NB-I00. PID2024-161912OB-I00. PID2024-155779OB-C33. PID2024-157037OB-I00. PID2024-156263OB-C22. PID2024-161188OB-C22. PID2024-161711OB-I00. PID2024-159363NB-I00. PID2024-155338NB-I00. PID2024-158514NB-I00. PID2024-160604NB-I00</t>
        </is>
      </c>
      <c r="C18" s="85" t="n">
        <v>39000</v>
      </c>
    </row>
    <row r="19">
      <c r="A19" s="65" t="inlineStr">
        <is>
          <t>41.70.6P.00.28</t>
        </is>
      </c>
      <c r="B19" s="66" t="inlineStr">
        <is>
      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      </is>
      </c>
      <c r="C19" s="86" t="n">
        <v>23322</v>
      </c>
    </row>
    <row r="20">
      <c r="A20" s="62" t="inlineStr">
        <is>
          <t>41.70.6X.00.02</t>
        </is>
      </c>
      <c r="B20" s="63" t="inlineStr">
        <is>
          <t>PROYECTO: NEO MAP. PROGRAMA: H2020-SPACE-2019. REF. PROYECTO: 870377</t>
        </is>
      </c>
      <c r="C20" s="85" t="n">
        <v>60486.5</v>
      </c>
    </row>
    <row r="21">
      <c r="A21" s="65" t="inlineStr">
        <is>
          <t>41.70.6X.00.04</t>
        </is>
      </c>
      <c r="B21" s="66" t="inlineStr">
        <is>
          <t xml:space="preserve">Final  payment - MS2 Project 4000136043  </t>
        </is>
      </c>
      <c r="C21" s="86" t="n">
        <v>11666</v>
      </c>
    </row>
    <row r="22">
      <c r="A22" s="62" t="inlineStr">
        <is>
          <t>41.70.6X.00.05</t>
        </is>
      </c>
      <c r="B22" s="63" t="inlineStr">
        <is>
          <t xml:space="preserve">Ejercicios cerrados. Reintegro parcial del justificante 2024/000000044587 con número de abono 2025/A00000000007 y compensado en el justificante 11740 dela empresa AVORIS   </t>
        </is>
      </c>
      <c r="C22" s="85" t="n">
        <v>242.91</v>
      </c>
    </row>
    <row r="23">
      <c r="A23" s="65" t="inlineStr">
        <is>
          <t>41.70.6X.00.06</t>
        </is>
      </c>
      <c r="B23" s="66" t="inlineStr">
        <is>
          <t>Cumplimiento de hito MS1 Proyecto ESA DeepCuMind Contrato EMXYS-ESA  Nº 4000146767/24/NL/GE Cumplimiento de hito MS2 Proyecto ESA DeepCuMind Contrato EMXYS-ESA  Nº 4000146767/24/NL/GE</t>
        </is>
      </c>
      <c r="C23" s="86" t="n">
        <v>4880</v>
      </c>
    </row>
    <row r="24" ht="15.75" customHeight="1" thickBot="1">
      <c r="A24" s="62" t="inlineStr">
        <is>
          <t>41.70.6X.00.07</t>
        </is>
      </c>
      <c r="B24" s="63" t="inlineStr">
        <is>
          <t xml:space="preserve">Proyecto: DEXTER. Programa: HORIZON EUROPE. Ref. Proyecto: 101223360 </t>
        </is>
      </c>
      <c r="C24" s="85" t="n">
        <v>206746.24</v>
      </c>
    </row>
    <row r="25" ht="15.75" customHeight="1" thickTop="1">
      <c r="A25" s="68" t="inlineStr">
        <is>
          <t>Total</t>
        </is>
      </c>
      <c r="B25" s="69" t="n"/>
      <c r="C25" s="87" t="n">
        <v>555953.8799999999</v>
      </c>
    </row>
    <row r="28">
      <c r="B28" s="58" t="inlineStr">
        <is>
          <t>Total ingresos investigación 2023-25</t>
        </is>
      </c>
      <c r="C28" s="88">
        <f>C25+Tabla3[[#Totals],[Imp.cob.aplic.]]+Tabla4[[#Totals],[Imp. 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doemp@ua.es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2026-05-28T21:59:19Z</dcterms:modified>
  <cp:lastModifiedBy>mayte.pujalte</cp:lastModifiedBy>
  <cp:lastPrinted>2019-07-03T07:26:29Z</cp:lastPrinted>
</cp:coreProperties>
</file>