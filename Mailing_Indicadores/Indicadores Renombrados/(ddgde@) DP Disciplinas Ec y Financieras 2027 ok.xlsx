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'Tesis'!$A$1:$U$2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0" fillId="0" borderId="0"/>
  </cellStyleXfs>
  <cellXfs count="81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5" fontId="2" fillId="4" borderId="1" pivotButton="0" quotePrefix="0" xfId="1"/>
    <xf numFmtId="0" fontId="8" fillId="3" borderId="1" applyAlignment="1" pivotButton="0" quotePrefix="0" xfId="3">
      <alignment horizontal="center" wrapText="1"/>
    </xf>
    <xf numFmtId="166" fontId="0" fillId="7" borderId="2" pivotButton="0" quotePrefix="0" xfId="6"/>
    <xf numFmtId="166" fontId="0" fillId="0" borderId="2" pivotButton="0" quotePrefix="0" xfId="6"/>
    <xf numFmtId="0" fontId="2" fillId="0" borderId="1" pivotButton="0" quotePrefix="0" xfId="0"/>
    <xf numFmtId="0" fontId="12" fillId="7" borderId="2" pivotButton="0" quotePrefix="0" xfId="0"/>
    <xf numFmtId="0" fontId="12" fillId="0" borderId="2" pivotButton="0" quotePrefix="0" xfId="0"/>
    <xf numFmtId="166" fontId="0" fillId="0" borderId="0" pivotButton="0" quotePrefix="0" xfId="0"/>
    <xf numFmtId="0" fontId="2" fillId="8" borderId="0" pivotButton="0" quotePrefix="0" xfId="1"/>
    <xf numFmtId="0" fontId="2" fillId="8" borderId="0" applyAlignment="1" pivotButton="0" quotePrefix="0" xfId="1">
      <alignment horizontal="right"/>
    </xf>
    <xf numFmtId="0" fontId="6" fillId="8" borderId="1" pivotButton="0" quotePrefix="0" xfId="0"/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164" fontId="8" fillId="8" borderId="1" applyAlignment="1" pivotButton="0" quotePrefix="0" xfId="0">
      <alignment horizontal="center"/>
    </xf>
    <xf numFmtId="164" fontId="3" fillId="8" borderId="0" pivotButton="0" quotePrefix="0" xfId="1"/>
    <xf numFmtId="0" fontId="0" fillId="7" borderId="2" pivotButton="0" quotePrefix="0" xfId="0"/>
    <xf numFmtId="0" fontId="0" fillId="0" borderId="2" pivotButton="0" quotePrefix="0" xfId="0"/>
    <xf numFmtId="0" fontId="13" fillId="6" borderId="3" pivotButton="0" quotePrefix="0" xfId="0"/>
    <xf numFmtId="166" fontId="13" fillId="6" borderId="3" pivotButton="0" quotePrefix="0" xfId="6"/>
    <xf numFmtId="0" fontId="0" fillId="7" borderId="4" pivotButton="0" quotePrefix="0" xfId="0"/>
    <xf numFmtId="166" fontId="0" fillId="7" borderId="4" pivotButton="0" quotePrefix="0" xfId="6"/>
    <xf numFmtId="0" fontId="0" fillId="0" borderId="4" pivotButton="0" quotePrefix="0" xfId="0"/>
    <xf numFmtId="166" fontId="0" fillId="0" borderId="4" pivotButton="0" quotePrefix="0" xfId="0"/>
    <xf numFmtId="0" fontId="11" fillId="6" borderId="3" pivotButton="0" quotePrefix="0" xfId="0"/>
    <xf numFmtId="0" fontId="12" fillId="7" borderId="4" pivotButton="0" quotePrefix="0" xfId="0"/>
    <xf numFmtId="0" fontId="9" fillId="9" borderId="4" pivotButton="0" quotePrefix="0" xfId="0"/>
    <xf numFmtId="166" fontId="10" fillId="9" borderId="4" pivotButton="0" quotePrefix="0" xfId="0"/>
    <xf numFmtId="0" fontId="0" fillId="10" borderId="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center"/>
    </xf>
    <xf numFmtId="0" fontId="0" fillId="0" borderId="0" pivotButton="0" quotePrefix="0" xfId="5"/>
    <xf numFmtId="0" fontId="16" fillId="11" borderId="5" pivotButton="0" quotePrefix="0" xfId="0"/>
    <xf numFmtId="0" fontId="16" fillId="11" borderId="6" pivotButton="0" quotePrefix="0" xfId="0"/>
    <xf numFmtId="0" fontId="17" fillId="12" borderId="5" pivotButton="0" quotePrefix="0" xfId="0"/>
    <xf numFmtId="0" fontId="17" fillId="12" borderId="6" pivotButton="0" quotePrefix="0" xfId="0"/>
    <xf numFmtId="167" fontId="17" fillId="12" borderId="6" pivotButton="0" quotePrefix="0" xfId="6"/>
    <xf numFmtId="0" fontId="17" fillId="0" borderId="5" pivotButton="0" quotePrefix="0" xfId="0"/>
    <xf numFmtId="0" fontId="17" fillId="0" borderId="6" pivotButton="0" quotePrefix="0" xfId="0"/>
    <xf numFmtId="167" fontId="17" fillId="0" borderId="6" pivotButton="0" quotePrefix="0" xfId="6"/>
    <xf numFmtId="0" fontId="18" fillId="0" borderId="7" pivotButton="0" quotePrefix="0" xfId="0"/>
    <xf numFmtId="0" fontId="18" fillId="0" borderId="8" pivotButton="0" quotePrefix="0" xfId="0"/>
    <xf numFmtId="167" fontId="18" fillId="0" borderId="8" pivotButton="0" quotePrefix="0" xfId="6"/>
    <xf numFmtId="0" fontId="14" fillId="0" borderId="1" pivotButton="0" quotePrefix="0" xfId="0"/>
    <xf numFmtId="167" fontId="14" fillId="0" borderId="1" pivotButton="0" quotePrefix="0" xfId="0"/>
    <xf numFmtId="165" fontId="2" fillId="4" borderId="1" pivotButton="0" quotePrefix="0" xfId="1"/>
    <xf numFmtId="164" fontId="2" fillId="4" borderId="1" pivotButton="0" quotePrefix="0" xfId="1"/>
    <xf numFmtId="164" fontId="3" fillId="8" borderId="0" pivotButton="0" quotePrefix="0" xfId="1"/>
    <xf numFmtId="164" fontId="8" fillId="8" borderId="1" applyAlignment="1" pivotButton="0" quotePrefix="0" xfId="0">
      <alignment horizontal="center"/>
    </xf>
    <xf numFmtId="166" fontId="0" fillId="7" borderId="2" pivotButton="0" quotePrefix="0" xfId="6"/>
    <xf numFmtId="166" fontId="0" fillId="0" borderId="2" pivotButton="0" quotePrefix="0" xfId="6"/>
    <xf numFmtId="166" fontId="0" fillId="7" borderId="4" pivotButton="0" quotePrefix="0" xfId="6"/>
    <xf numFmtId="166" fontId="10" fillId="9" borderId="4" pivotButton="0" quotePrefix="0" xfId="0"/>
    <xf numFmtId="166" fontId="0" fillId="0" borderId="0" pivotButton="0" quotePrefix="0" xfId="0"/>
    <xf numFmtId="166" fontId="13" fillId="6" borderId="3" pivotButton="0" quotePrefix="0" xfId="6"/>
    <xf numFmtId="166" fontId="0" fillId="0" borderId="4" pivotButton="0" quotePrefix="0" xfId="0"/>
    <xf numFmtId="167" fontId="17" fillId="12" borderId="6" pivotButton="0" quotePrefix="0" xfId="6"/>
    <xf numFmtId="167" fontId="17" fillId="0" borderId="6" pivotButton="0" quotePrefix="0" xfId="6"/>
    <xf numFmtId="167" fontId="18" fillId="0" borderId="8" pivotButton="0" quotePrefix="0" xfId="6"/>
    <xf numFmtId="167" fontId="14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4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9" headerRowCount="1" totalsRowCount="1" headerRowDxfId="13" totalsRowDxfId="10" headerRowBorderDxfId="12" tableBorderDxfId="11" totalsRowBorderDxfId="9">
  <autoFilter ref="A1:C8"/>
  <tableColumns count="3">
    <tableColumn id="1" name="Cód. org. aplic." totalsRowLabel="Total" dataDxfId="8" totalsRowDxfId="7"/>
    <tableColumn id="2" name="Descripción justificante" dataDxfId="6" totalsRowDxfId="5"/>
    <tableColumn id="3" name="Imp.cob.aplic." totalsRowFunction="sum" dataDxfId="4" totalsRowDxfId="3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1:C5" headerRowCount="1" totalsRowCount="1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33.14062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7.710937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5" customHeight="1">
      <c r="A2" s="17" t="inlineStr">
        <is>
          <t xml:space="preserve">U025 </t>
        </is>
      </c>
      <c r="B2" s="17" t="inlineStr">
        <is>
          <t xml:space="preserve">ADM. FACULTAD DE DERECHO </t>
        </is>
      </c>
      <c r="C2" s="17" t="inlineStr">
        <is>
          <t xml:space="preserve">DOCTORADO EN DERECHO </t>
        </is>
      </c>
      <c r="D2" s="17" t="inlineStr">
        <is>
          <t xml:space="preserve">Riera Pastor, Víctor </t>
        </is>
      </c>
      <c r="E2" s="17" t="inlineStr">
        <is>
          <t xml:space="preserve">La tributación de los funcionarios y agentes de las instituciones de la Unión Europea </t>
        </is>
      </c>
      <c r="F2" s="17" t="inlineStr">
        <is>
          <t xml:space="preserve">26/05/2023 </t>
        </is>
      </c>
      <c r="G2" s="17" t="inlineStr">
        <is>
          <t xml:space="preserve">48316179X </t>
        </is>
      </c>
      <c r="H2" s="17" t="inlineStr">
        <is>
          <t xml:space="preserve">Director de tesis </t>
        </is>
      </c>
      <c r="I2" s="17" t="inlineStr">
        <is>
          <t xml:space="preserve">B109 </t>
        </is>
      </c>
      <c r="J2" s="17" t="inlineStr">
        <is>
          <t xml:space="preserve">DISCIPLINAS ECONÓMICAS Y FINANCIERAS </t>
        </is>
      </c>
      <c r="K2" s="25" t="n">
        <v>1</v>
      </c>
      <c r="L2" s="25" t="inlineStr">
        <is>
          <t>B109</t>
        </is>
      </c>
      <c r="M2" s="17" t="n">
        <v>2022</v>
      </c>
      <c r="N2" s="25" t="inlineStr"/>
      <c r="O2" s="25" t="inlineStr"/>
      <c r="P2" s="25" t="inlineStr"/>
      <c r="Q2" s="25" t="inlineStr"/>
      <c r="R2" s="25" t="n">
        <v>100</v>
      </c>
      <c r="S2" s="25" t="n">
        <v>1</v>
      </c>
      <c r="T2" s="25" t="n">
        <v>0</v>
      </c>
      <c r="U2" s="25" t="n">
        <v>0</v>
      </c>
    </row>
    <row r="3">
      <c r="A3" s="17" t="inlineStr">
        <is>
          <t>U025</t>
        </is>
      </c>
      <c r="B3" s="17" t="inlineStr">
        <is>
          <t>ADM. FACULTAD DE DERECHO</t>
        </is>
      </c>
      <c r="C3" s="17" t="inlineStr">
        <is>
          <t>DOCTORADO EN DERECHO</t>
        </is>
      </c>
      <c r="D3" s="17" t="inlineStr">
        <is>
          <t>Gallo , Enrico</t>
        </is>
      </c>
      <c r="E3" s="17" t="inlineStr">
        <is>
          <t>La inteligencia artificial en la resolución de los conflictos sobre precios de transferencia</t>
        </is>
      </c>
      <c r="F3" s="17" t="inlineStr">
        <is>
          <t>09/02/2024</t>
        </is>
      </c>
      <c r="G3" s="17" t="inlineStr">
        <is>
          <t>48316179X</t>
        </is>
      </c>
      <c r="H3" s="17" t="inlineStr">
        <is>
          <t>Codirector de tesis</t>
        </is>
      </c>
      <c r="I3" s="17" t="inlineStr">
        <is>
          <t>B109</t>
        </is>
      </c>
      <c r="J3" s="17" t="inlineStr">
        <is>
          <t>DISCIPLINAS ECONÓMICAS Y FINANCIERAS</t>
        </is>
      </c>
      <c r="K3" s="66" t="n">
        <v>0.5</v>
      </c>
      <c r="L3" s="17" t="inlineStr">
        <is>
          <t>B109</t>
        </is>
      </c>
      <c r="M3" s="17" t="n">
        <v>2023</v>
      </c>
      <c r="N3" s="17" t="inlineStr"/>
      <c r="O3" s="19" t="inlineStr"/>
      <c r="P3" s="17" t="inlineStr"/>
      <c r="Q3" s="19" t="inlineStr"/>
      <c r="R3" s="20" t="n">
        <v>100</v>
      </c>
      <c r="S3" s="67" t="n">
        <v>0.5</v>
      </c>
      <c r="T3" s="67" t="n">
        <v>0</v>
      </c>
      <c r="U3" s="67" t="n">
        <v>0</v>
      </c>
      <c r="V3" s="6" t="inlineStr">
        <is>
          <t>S</t>
        </is>
      </c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n"/>
      <c r="P4" s="29" t="n"/>
      <c r="Q4" s="30" t="n"/>
      <c r="R4" s="29" t="n"/>
      <c r="S4" s="68">
        <f>SUM(S2:S3)</f>
        <v/>
      </c>
      <c r="T4" s="29" t="n"/>
      <c r="U4" s="29" t="n"/>
    </row>
  </sheetData>
  <autoFilter ref="A1:U2">
    <sortState ref="A2:U1908">
      <sortCondition ref="L2:L1908"/>
      <sortCondition ref="M2:M1908"/>
      <sortCondition ref="D2:D190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5"/>
  <sheetViews>
    <sheetView zoomScaleNormal="100" workbookViewId="0">
      <selection activeCell="G17" sqref="G17"/>
    </sheetView>
  </sheetViews>
  <sheetFormatPr baseColWidth="10" defaultColWidth="11.42578125" defaultRowHeight="12.75"/>
  <cols>
    <col width="10.5703125" bestFit="1" customWidth="1" style="11" min="1" max="1"/>
    <col width="34.28515625" bestFit="1" customWidth="1" style="11" min="2" max="2"/>
    <col width="14.5703125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22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5" customHeight="1">
      <c r="A2" s="15" t="inlineStr">
        <is>
          <t>21438816X</t>
        </is>
      </c>
      <c r="B2" s="15" t="inlineStr">
        <is>
          <t>Navarro Faure, Amparo</t>
        </is>
      </c>
      <c r="C2" s="15" t="inlineStr">
        <is>
          <t>FUNCIONARIO</t>
        </is>
      </c>
      <c r="D2" s="15" t="n"/>
      <c r="E2" s="15" t="n">
        <v>1</v>
      </c>
      <c r="F2" s="15" t="n"/>
      <c r="G2" s="15" t="n"/>
      <c r="H2" s="15" t="n"/>
      <c r="I2" s="15" t="n"/>
      <c r="J2" s="15" t="n">
        <v>1</v>
      </c>
      <c r="K2" s="15" t="inlineStr">
        <is>
          <t>B109</t>
        </is>
      </c>
      <c r="L2" s="16" t="n">
        <v>0</v>
      </c>
      <c r="M2" s="16" t="n">
        <v>0</v>
      </c>
      <c r="N2" s="16" t="inlineStr"/>
      <c r="O2" s="16" t="inlineStr"/>
      <c r="P2" s="16" t="n">
        <v>100</v>
      </c>
      <c r="Q2" s="16" t="n">
        <v>0</v>
      </c>
      <c r="R2" s="16" t="n">
        <v>0</v>
      </c>
      <c r="S2" s="16" t="n">
        <v>1</v>
      </c>
    </row>
    <row r="3" ht="15" customHeight="1">
      <c r="A3" s="15" t="inlineStr">
        <is>
          <t>21468574Y</t>
        </is>
      </c>
      <c r="B3" s="15" t="inlineStr">
        <is>
          <t>Cencerrado Millán, Emilio</t>
        </is>
      </c>
      <c r="C3" s="15" t="inlineStr">
        <is>
          <t>Vivos</t>
        </is>
      </c>
      <c r="D3" s="15" t="n"/>
      <c r="E3" s="15" t="n"/>
      <c r="F3" s="15" t="n"/>
      <c r="G3" s="15" t="n"/>
      <c r="H3" s="15" t="n"/>
      <c r="I3" s="15" t="n">
        <v>1</v>
      </c>
      <c r="J3" s="15" t="n">
        <v>1</v>
      </c>
      <c r="K3" s="15" t="inlineStr">
        <is>
          <t>B109</t>
        </is>
      </c>
      <c r="L3" s="16" t="n">
        <v>0</v>
      </c>
      <c r="M3" s="16" t="n">
        <v>0</v>
      </c>
      <c r="N3" s="16" t="inlineStr"/>
      <c r="O3" s="16" t="inlineStr"/>
      <c r="P3" s="16" t="n">
        <v>100</v>
      </c>
      <c r="Q3" s="16" t="n">
        <v>0</v>
      </c>
      <c r="R3" s="16" t="n">
        <v>0</v>
      </c>
      <c r="S3" s="16" t="n">
        <v>1</v>
      </c>
    </row>
    <row r="4" ht="15" customHeight="1">
      <c r="A4" s="15" t="inlineStr">
        <is>
          <t>21503855M</t>
        </is>
      </c>
      <c r="B4" s="15" t="inlineStr">
        <is>
          <t>Martínez Muñoz, María Yolanda</t>
        </is>
      </c>
      <c r="C4" s="15" t="inlineStr">
        <is>
          <t>FUNCIONARIO</t>
        </is>
      </c>
      <c r="D4" s="15" t="n"/>
      <c r="E4" s="15" t="n"/>
      <c r="F4" s="15" t="n">
        <v>1</v>
      </c>
      <c r="G4" s="15" t="n"/>
      <c r="H4" s="15" t="n"/>
      <c r="I4" s="15" t="n"/>
      <c r="J4" s="15" t="n">
        <v>1</v>
      </c>
      <c r="K4" s="15" t="inlineStr">
        <is>
          <t>B109</t>
        </is>
      </c>
      <c r="L4" s="16" t="n">
        <v>0</v>
      </c>
      <c r="M4" s="16" t="n">
        <v>0</v>
      </c>
      <c r="N4" s="16" t="inlineStr"/>
      <c r="O4" s="16" t="inlineStr"/>
      <c r="P4" s="16" t="n">
        <v>100</v>
      </c>
      <c r="Q4" s="16" t="n">
        <v>0</v>
      </c>
      <c r="R4" s="16" t="n">
        <v>0</v>
      </c>
      <c r="S4" s="16" t="n">
        <v>1</v>
      </c>
    </row>
    <row r="5" ht="15" customHeight="1">
      <c r="A5" s="15" t="inlineStr">
        <is>
          <t>24374589V</t>
        </is>
      </c>
      <c r="B5" s="15" t="inlineStr">
        <is>
          <t>Martín López, Jorge</t>
        </is>
      </c>
      <c r="C5" s="15" t="inlineStr">
        <is>
          <t>FUNCIONARIO</t>
        </is>
      </c>
      <c r="D5" s="15" t="n"/>
      <c r="E5" s="15" t="n"/>
      <c r="F5" s="15" t="n"/>
      <c r="G5" s="15" t="n">
        <v>1</v>
      </c>
      <c r="H5" s="15" t="n"/>
      <c r="I5" s="15" t="n"/>
      <c r="J5" s="15" t="n">
        <v>1</v>
      </c>
      <c r="K5" s="15" t="inlineStr">
        <is>
          <t>B109</t>
        </is>
      </c>
      <c r="L5" s="16" t="n">
        <v>0</v>
      </c>
      <c r="M5" s="16" t="n">
        <v>0</v>
      </c>
      <c r="N5" s="16" t="inlineStr"/>
      <c r="O5" s="16" t="inlineStr"/>
      <c r="P5" s="16" t="n">
        <v>100</v>
      </c>
      <c r="Q5" s="16" t="n">
        <v>0</v>
      </c>
      <c r="R5" s="16" t="n">
        <v>0</v>
      </c>
      <c r="S5" s="16" t="n">
        <v>1</v>
      </c>
    </row>
    <row r="6" ht="15" customHeight="1">
      <c r="A6" s="15" t="inlineStr">
        <is>
          <t>33486204K</t>
        </is>
      </c>
      <c r="B6" s="15" t="inlineStr">
        <is>
          <t>Martínez Giner, Luis Alfonso</t>
        </is>
      </c>
      <c r="C6" s="15" t="inlineStr">
        <is>
          <t>FUNCIONARIO</t>
        </is>
      </c>
      <c r="D6" s="15" t="n"/>
      <c r="E6" s="15" t="n"/>
      <c r="F6" s="15" t="n">
        <v>1</v>
      </c>
      <c r="G6" s="15" t="n"/>
      <c r="H6" s="15" t="n"/>
      <c r="I6" s="15" t="n"/>
      <c r="J6" s="15" t="n">
        <v>1</v>
      </c>
      <c r="K6" s="15" t="inlineStr">
        <is>
          <t>B109</t>
        </is>
      </c>
      <c r="L6" s="16" t="inlineStr">
        <is>
          <t>10.06</t>
        </is>
      </c>
      <c r="M6" s="16" t="inlineStr">
        <is>
          <t>25</t>
        </is>
      </c>
      <c r="N6" s="16" t="inlineStr"/>
      <c r="O6" s="16" t="inlineStr"/>
      <c r="P6" s="16" t="n">
        <v>75</v>
      </c>
      <c r="Q6" s="16" t="n">
        <v>0.25</v>
      </c>
      <c r="R6" s="16" t="n">
        <v>0</v>
      </c>
      <c r="S6" s="16" t="n">
        <v>0.75</v>
      </c>
    </row>
    <row r="7" ht="15" customHeight="1">
      <c r="A7" s="15" t="inlineStr">
        <is>
          <t>48316179X</t>
        </is>
      </c>
      <c r="B7" s="15" t="inlineStr">
        <is>
          <t>Ribes Ribes, Aurora</t>
        </is>
      </c>
      <c r="C7" s="15" t="inlineStr">
        <is>
          <t>FUNCIONARIO</t>
        </is>
      </c>
      <c r="D7" s="15" t="n"/>
      <c r="E7" s="15" t="n"/>
      <c r="F7" s="15" t="n"/>
      <c r="G7" s="15" t="n">
        <v>1</v>
      </c>
      <c r="H7" s="15" t="n"/>
      <c r="I7" s="15" t="n"/>
      <c r="J7" s="15" t="n">
        <v>1</v>
      </c>
      <c r="K7" s="15" t="inlineStr">
        <is>
          <t>B109</t>
        </is>
      </c>
      <c r="L7" s="16" t="n">
        <v>0</v>
      </c>
      <c r="M7" s="16" t="n">
        <v>0</v>
      </c>
      <c r="N7" s="16" t="inlineStr"/>
      <c r="O7" s="16" t="inlineStr"/>
      <c r="P7" s="16" t="n">
        <v>100</v>
      </c>
      <c r="Q7" s="16" t="n">
        <v>0</v>
      </c>
      <c r="R7" s="16" t="n">
        <v>0</v>
      </c>
      <c r="S7" s="16" t="n">
        <v>1</v>
      </c>
    </row>
    <row r="8" ht="15" customHeight="1">
      <c r="A8" s="15" t="inlineStr">
        <is>
          <t>48667486S</t>
        </is>
      </c>
      <c r="B8" s="15" t="inlineStr">
        <is>
          <t>Gil García, Elizabeth</t>
        </is>
      </c>
      <c r="C8" s="15" t="inlineStr">
        <is>
          <t>FUNCIONARIO</t>
        </is>
      </c>
      <c r="D8" s="15" t="n"/>
      <c r="E8" s="15" t="n"/>
      <c r="F8" s="15" t="n"/>
      <c r="G8" s="15" t="n"/>
      <c r="H8" s="15" t="n">
        <v>1</v>
      </c>
      <c r="I8" s="15" t="n"/>
      <c r="J8" s="15" t="n">
        <v>1</v>
      </c>
      <c r="K8" s="15" t="inlineStr">
        <is>
          <t>B109</t>
        </is>
      </c>
      <c r="L8" s="16" t="n">
        <v>0</v>
      </c>
      <c r="M8" s="16" t="n">
        <v>0</v>
      </c>
      <c r="N8" s="16" t="inlineStr"/>
      <c r="O8" s="16" t="inlineStr"/>
      <c r="P8" s="16" t="n">
        <v>100</v>
      </c>
      <c r="Q8" s="16" t="n">
        <v>0</v>
      </c>
      <c r="R8" s="16" t="n">
        <v>0</v>
      </c>
      <c r="S8" s="16" t="n">
        <v>1</v>
      </c>
    </row>
    <row r="9" ht="15" customHeight="1">
      <c r="A9" s="15" t="inlineStr">
        <is>
          <t>52769212J</t>
        </is>
      </c>
      <c r="B9" s="15" t="inlineStr">
        <is>
          <t>Pérez Bernabeu, Begoña</t>
        </is>
      </c>
      <c r="C9" s="15" t="inlineStr">
        <is>
          <t>FUNCIONARIO</t>
        </is>
      </c>
      <c r="D9" s="15" t="n"/>
      <c r="E9" s="15" t="n">
        <v>1</v>
      </c>
      <c r="F9" s="15" t="n"/>
      <c r="G9" s="15" t="n"/>
      <c r="H9" s="15" t="n"/>
      <c r="I9" s="15" t="n"/>
      <c r="J9" s="15" t="n">
        <v>1</v>
      </c>
      <c r="K9" s="15" t="inlineStr">
        <is>
          <t>B109</t>
        </is>
      </c>
      <c r="L9" s="16" t="n">
        <v>0</v>
      </c>
      <c r="M9" s="16" t="n">
        <v>0</v>
      </c>
      <c r="N9" s="16" t="inlineStr"/>
      <c r="O9" s="16" t="inlineStr"/>
      <c r="P9" s="16" t="n">
        <v>100</v>
      </c>
      <c r="Q9" s="16" t="n">
        <v>0</v>
      </c>
      <c r="R9" s="16" t="n">
        <v>0</v>
      </c>
      <c r="S9" s="16" t="n">
        <v>1</v>
      </c>
    </row>
    <row r="10" ht="15" customFormat="1" customHeight="1" s="52">
      <c r="A10" s="49" t="inlineStr">
        <is>
          <t>Z2163639B</t>
        </is>
      </c>
      <c r="B10" s="49" t="inlineStr">
        <is>
          <t>Papis Almansa, Marta Agnieszka</t>
        </is>
      </c>
      <c r="C10" s="50" t="inlineStr">
        <is>
          <t>NO FUNCIONARIO</t>
        </is>
      </c>
      <c r="D10" s="49" t="n"/>
      <c r="E10" s="49" t="n"/>
      <c r="F10" s="49" t="n"/>
      <c r="G10" s="49" t="n"/>
      <c r="H10" s="49" t="n"/>
      <c r="I10" s="49" t="n">
        <v>1</v>
      </c>
      <c r="J10" s="49" t="n">
        <v>1</v>
      </c>
      <c r="K10" s="49" t="inlineStr">
        <is>
          <t>B109</t>
        </is>
      </c>
      <c r="L10" s="51" t="n">
        <v>0</v>
      </c>
      <c r="M10" s="51" t="n">
        <v>0</v>
      </c>
      <c r="N10" s="51" t="inlineStr"/>
      <c r="O10" s="51" t="inlineStr"/>
      <c r="P10" s="51" t="n">
        <v>100</v>
      </c>
      <c r="Q10" s="51" t="n">
        <v>0</v>
      </c>
      <c r="R10" s="51" t="n">
        <v>0</v>
      </c>
      <c r="S10" s="51" t="n">
        <v>1</v>
      </c>
    </row>
    <row r="11">
      <c r="A11" s="31" t="n"/>
      <c r="B11" s="31" t="n"/>
      <c r="C11" s="32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3" t="n"/>
      <c r="M11" s="33" t="n"/>
      <c r="N11" s="33" t="n"/>
      <c r="O11" s="33" t="n"/>
      <c r="P11" s="33" t="n"/>
      <c r="Q11" s="33" t="n"/>
      <c r="R11" s="33" t="n"/>
      <c r="S11" s="69">
        <f>SUM(S2:S10)</f>
        <v/>
      </c>
    </row>
    <row r="15" ht="60" customFormat="1" customHeight="1" s="10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2" t="n"/>
      <c r="O15" s="11" t="n"/>
      <c r="P15" s="12" t="n"/>
      <c r="Q15" s="11" t="n"/>
      <c r="R15" s="11" t="n"/>
      <c r="S15" s="11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6" sqref="B16"/>
    </sheetView>
  </sheetViews>
  <sheetFormatPr baseColWidth="10" defaultRowHeight="15"/>
  <cols>
    <col width="16.42578125" customWidth="1" min="1" max="1"/>
    <col width="62" customWidth="1" min="2" max="2"/>
    <col width="15.42578125" customWidth="1" min="3" max="3"/>
  </cols>
  <sheetData>
    <row r="1">
      <c r="A1" s="44" t="inlineStr">
        <is>
          <t>Cód. org. aplic.</t>
        </is>
      </c>
      <c r="B1" s="44" t="inlineStr">
        <is>
          <t>Descripción justificante</t>
        </is>
      </c>
      <c r="C1" s="44" t="inlineStr">
        <is>
          <t>Imp.cob.aplic.</t>
        </is>
      </c>
    </row>
    <row r="2">
      <c r="A2" s="26" t="inlineStr">
        <is>
          <t>31.80.6P.00.06</t>
        </is>
      </c>
      <c r="B2" s="26" t="inlineStr">
        <is>
          <t>DEVOLUCIÓN DE INGRESOS_MODELO 047_Nº DE LIQUIDACIÓN:46/2023/RAS/10414/1 Nº DE JUSTIFICANTE:047/1/002412503_Nº DE REFERENCIA:047/1/002412503</t>
        </is>
      </c>
      <c r="C2" s="70" t="n">
        <v>-6796.85</v>
      </c>
    </row>
    <row r="3">
      <c r="A3" s="27" t="inlineStr">
        <is>
          <t>31.80.6P.00.06</t>
        </is>
      </c>
      <c r="B3" s="27" t="inlineStr">
        <is>
          <t>PROMETEO/2020/063-064-089-092</t>
        </is>
      </c>
      <c r="C3" s="71" t="n">
        <v>28524.8</v>
      </c>
    </row>
    <row r="4">
      <c r="A4" s="26" t="inlineStr">
        <is>
          <t>31.80.6P.00.07</t>
        </is>
      </c>
      <c r="B4" s="26" t="inlineStr">
        <is>
          <t xml:space="preserve">Abono parcial del justificante 2022/000000046187 con factura de abono 2023/A00000000060  y compensado en el justificante 2023/28316 de el corte inglés.  </t>
        </is>
      </c>
      <c r="C4" s="70" t="n">
        <v>40.25</v>
      </c>
    </row>
    <row r="5">
      <c r="A5" s="27" t="inlineStr">
        <is>
          <t>31.80.6P.00.07</t>
        </is>
      </c>
      <c r="B5" s="27" t="inlineStr">
        <is>
          <t>DEVOLUCIÓN DE INGRESOS_CARTA DE PAGO_ REINTEGRO EN VOLUNTARIA DE LA REFERENCIA PID2019-108963RB-I00, anualidad: 2020</t>
        </is>
      </c>
      <c r="C5" s="71" t="n">
        <v>-10778.89</v>
      </c>
    </row>
    <row r="6">
      <c r="A6" s="26" t="inlineStr">
        <is>
          <t>31.80.6P.00.07</t>
        </is>
      </c>
      <c r="B6" s="26" t="inlineStr">
        <is>
          <t xml:space="preserve">Abono parcial del justificante 46188/2022 de la empresa  "Viajes el corte inglés" con número de abono 2023/A000059  y compensado en el justificante 2023/00028401 </t>
        </is>
      </c>
      <c r="C6" s="70" t="n">
        <v>40.25</v>
      </c>
    </row>
    <row r="7">
      <c r="A7" s="27" t="inlineStr">
        <is>
          <t>31.80.6P.00.08</t>
        </is>
      </c>
      <c r="B7" s="27" t="inlineStr">
        <is>
          <t>DEVOLUCIÓN DE INGRESOS_MODELO 047_ Nº de liquidación:46/2023/RAS/10224/1_Número de justificante: 047/1/002367815_Nº de referencia:047/1/002367815</t>
        </is>
      </c>
      <c r="C7" s="71" t="n">
        <v>-2735.18</v>
      </c>
    </row>
    <row r="8">
      <c r="A8" s="45" t="inlineStr">
        <is>
          <t>31.80.6P.00.09</t>
        </is>
      </c>
      <c r="B8" s="45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8" s="72" t="n">
        <v>26714</v>
      </c>
    </row>
    <row r="9" customFormat="1" s="48">
      <c r="A9" s="46" t="inlineStr">
        <is>
          <t>Total</t>
        </is>
      </c>
      <c r="B9" s="46" t="n"/>
      <c r="C9" s="73">
        <f>SUBTOTAL(109,Tabla3[Imp.cob.aplic.])</f>
        <v/>
      </c>
    </row>
    <row r="10">
      <c r="C10" s="7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5"/>
  <cols>
    <col width="48.140625" customWidth="1" min="2" max="2"/>
    <col width="13.28515625" customWidth="1" min="3" max="3"/>
  </cols>
  <sheetData>
    <row r="1">
      <c r="A1" s="38" t="inlineStr">
        <is>
          <t>Org. aplic.</t>
        </is>
      </c>
      <c r="B1" s="38" t="inlineStr">
        <is>
          <t>Descripción justificante</t>
        </is>
      </c>
      <c r="C1" s="75" t="inlineStr">
        <is>
          <t>Imp. aplic.</t>
        </is>
      </c>
    </row>
    <row r="2">
      <c r="A2" s="36" t="inlineStr">
        <is>
          <t>31.80.6P.00.06</t>
        </is>
      </c>
      <c r="B2" s="36" t="inlineStr">
        <is>
          <t>DEVOLOUCIÓN DE INGRESOS_MODELO 047_Nº DE LIQUIDACIÓN 46/2024/RAS/10180/1_Nº DE JUSTIFICANTE: 047/1/002507580_Nº DE REFERENCIA: 047/1/002507580</t>
        </is>
      </c>
      <c r="C2" s="70" t="n">
        <v>-19704.72</v>
      </c>
    </row>
    <row r="3">
      <c r="A3" s="37" t="inlineStr">
        <is>
          <t>31.80.6P.00.09</t>
        </is>
      </c>
      <c r="B3" s="37" t="inlineStr">
        <is>
          <t>PID2022-138464NB-I00-142516OB-I00-139990NB-I00-141382OB-I00-139899OB-I00-136847NB-I00-137385NB-I00-139294NB-I00-137873NA-I00-138786NB-I00-136590OB-C43</t>
        </is>
      </c>
      <c r="C3" s="71" t="n">
        <v>6364</v>
      </c>
    </row>
    <row r="4">
      <c r="A4" s="40" t="inlineStr">
        <is>
          <t>31.80.6P.00.10</t>
        </is>
      </c>
      <c r="B4" s="40" t="inlineStr">
        <is>
          <t xml:space="preserve">ayudas CIPROM/2023/2, CIPROM/2023/3, CIPROM/2023/6, CIPROM/2023/11, CIPROM/2023/35 </t>
        </is>
      </c>
      <c r="C4" s="72" t="n">
        <v>36930.92</v>
      </c>
    </row>
    <row r="5">
      <c r="A5" s="42" t="inlineStr">
        <is>
          <t>Total</t>
        </is>
      </c>
      <c r="B5" s="42" t="n"/>
      <c r="C5" s="76">
        <f>SUBTOTAL(109,Tabla1[Imp.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15" sqref="C15"/>
    </sheetView>
  </sheetViews>
  <sheetFormatPr baseColWidth="10" defaultRowHeight="15"/>
  <cols>
    <col width="22.85546875" customWidth="1" min="1" max="1"/>
    <col width="58.5703125" customWidth="1" min="2" max="2"/>
    <col width="20" customWidth="1" min="3" max="3"/>
  </cols>
  <sheetData>
    <row r="1">
      <c r="A1" s="53" t="inlineStr">
        <is>
          <t>Org. aplic.</t>
        </is>
      </c>
      <c r="B1" s="54" t="inlineStr">
        <is>
          <t>Descripción justificante</t>
        </is>
      </c>
      <c r="C1" s="54" t="inlineStr">
        <is>
          <t>Imp. aplic.</t>
        </is>
      </c>
    </row>
    <row r="2">
      <c r="A2" s="55" t="inlineStr">
        <is>
          <t>31.80.6P.00.09</t>
        </is>
      </c>
      <c r="B2" s="56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2" s="77" t="n">
        <v>3922</v>
      </c>
    </row>
    <row r="3" ht="15.75" customHeight="1" thickBot="1">
      <c r="A3" s="58" t="inlineStr">
        <is>
          <t>31.80.6P.00.10</t>
        </is>
      </c>
      <c r="B3" s="59" t="inlineStr">
        <is>
          <t>CIPROM/2023/2/3/6/11/35</t>
        </is>
      </c>
      <c r="C3" s="78" t="n">
        <v>110793.55</v>
      </c>
    </row>
    <row r="4" ht="15.75" customHeight="1" thickTop="1">
      <c r="A4" s="61" t="inlineStr">
        <is>
          <t>Total</t>
        </is>
      </c>
      <c r="B4" s="62" t="n"/>
      <c r="C4" s="79" t="n">
        <v>114715.55</v>
      </c>
    </row>
    <row r="7">
      <c r="B7" s="64" t="inlineStr">
        <is>
          <t>Total ingresos investigación 2023-25</t>
        </is>
      </c>
      <c r="C7" s="80">
        <f>Tabla1[[#Totals],[Imp. aplic.]]+Tabla3[[#Totals],[Imp.cob.aplic.]]+C4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ddgde@ua.es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2026-05-28T21:59:10Z</dcterms:modified>
  <cp:lastModifiedBy>mayte.pujalte</cp:lastModifiedBy>
</cp:coreProperties>
</file>