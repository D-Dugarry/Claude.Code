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Ingresos formación 2023" sheetId="6" state="visible" r:id="rId6"/>
    <sheet name="Ingresos formación 2024" sheetId="7" state="visible" r:id="rId7"/>
    <sheet name="Ingresos formación 2025" sheetId="8" state="visible" r:id="rId8"/>
    <sheet name="Correo" sheetId="9" state="veryHidden" r:id="rId9"/>
  </sheets>
  <definedNames>
    <definedName name="_xlnm._FilterDatabase" localSheetId="0" hidden="1">'Tesis'!$A$1:$U$1</definedName>
    <definedName name="_xlnm.Print_Titles" localSheetId="0">'Tesis'!$1:$1,'Tesis'!$D:$D</definedName>
    <definedName name="_xlnm.Print_Titles" localSheetId="1">'Sexenios'!$1:$1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_-* #,##0.00_-;\-* #,##0.00_-;_-* &quot;-&quot;??_-;_-@_-"/>
    <numFmt numFmtId="166" formatCode="_-* #,##0.00\ _€_-;\-* #,##0.00\ _€_-;_-* &quot;-&quot;??\ _€_-;_-@_-"/>
  </numFmts>
  <fonts count="22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0"/>
      <sz val="11"/>
      <scheme val="minor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</fonts>
  <fills count="1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theme="9" tint="0.799981688894314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7">
    <xf numFmtId="0" fontId="12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6" fontId="12" fillId="0" borderId="0"/>
  </cellStyleXfs>
  <cellXfs count="99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2" borderId="0" pivotButton="0" quotePrefix="0" xfId="1"/>
    <xf numFmtId="0" fontId="2" fillId="2" borderId="0" applyAlignment="1" pivotButton="0" quotePrefix="0" xfId="1">
      <alignment horizontal="right"/>
    </xf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8" fillId="3" borderId="1" applyAlignment="1" pivotButton="0" quotePrefix="0" xfId="3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4" borderId="1" pivotButton="0" quotePrefix="0" xfId="1"/>
    <xf numFmtId="0" fontId="2" fillId="4" borderId="1" applyAlignment="1" pivotButton="0" quotePrefix="0" xfId="1">
      <alignment horizontal="right"/>
    </xf>
    <xf numFmtId="0" fontId="10" fillId="6" borderId="1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0" fillId="6" borderId="3" applyAlignment="1" pivotButton="0" quotePrefix="0" xfId="0">
      <alignment horizontal="left" vertical="center"/>
    </xf>
    <xf numFmtId="0" fontId="10" fillId="6" borderId="4" applyAlignment="1" pivotButton="0" quotePrefix="0" xfId="0">
      <alignment horizontal="left" vertical="center"/>
    </xf>
    <xf numFmtId="0" fontId="2" fillId="0" borderId="1" pivotButton="0" quotePrefix="0" xfId="1"/>
    <xf numFmtId="164" fontId="3" fillId="2" borderId="0" pivotButton="0" quotePrefix="0" xfId="1"/>
    <xf numFmtId="0" fontId="0" fillId="0" borderId="1" applyAlignment="1" pivotButton="0" quotePrefix="0" xfId="0">
      <alignment horizontal="left"/>
    </xf>
    <xf numFmtId="165" fontId="0" fillId="8" borderId="5" pivotButton="0" quotePrefix="0" xfId="6"/>
    <xf numFmtId="165" fontId="0" fillId="0" borderId="5" pivotButton="0" quotePrefix="0" xfId="6"/>
    <xf numFmtId="0" fontId="2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16" fillId="8" borderId="5" pivotButton="0" quotePrefix="0" xfId="0"/>
    <xf numFmtId="0" fontId="16" fillId="0" borderId="5" pivotButton="0" quotePrefix="0" xfId="0"/>
    <xf numFmtId="165" fontId="0" fillId="0" borderId="0" pivotButton="0" quotePrefix="0" xfId="0"/>
    <xf numFmtId="0" fontId="0" fillId="9" borderId="0" pivotButton="0" quotePrefix="0" xfId="0"/>
    <xf numFmtId="0" fontId="0" fillId="9" borderId="0" applyAlignment="1" pivotButton="0" quotePrefix="0" xfId="0">
      <alignment horizontal="left"/>
    </xf>
    <xf numFmtId="0" fontId="2" fillId="0" borderId="0" pivotButton="0" quotePrefix="0" xfId="0"/>
    <xf numFmtId="0" fontId="17" fillId="0" borderId="0" pivotButton="0" quotePrefix="0" xfId="0"/>
    <xf numFmtId="164" fontId="11" fillId="9" borderId="0" pivotButton="0" quotePrefix="0" xfId="0"/>
    <xf numFmtId="0" fontId="15" fillId="7" borderId="6" pivotButton="0" quotePrefix="0" xfId="0"/>
    <xf numFmtId="0" fontId="16" fillId="0" borderId="7" pivotButton="0" quotePrefix="0" xfId="0"/>
    <xf numFmtId="165" fontId="0" fillId="0" borderId="7" pivotButton="0" quotePrefix="0" xfId="6"/>
    <xf numFmtId="0" fontId="0" fillId="0" borderId="7" pivotButton="0" quotePrefix="0" xfId="0"/>
    <xf numFmtId="165" fontId="0" fillId="0" borderId="7" pivotButton="0" quotePrefix="0" xfId="0"/>
    <xf numFmtId="0" fontId="9" fillId="0" borderId="7" pivotButton="0" quotePrefix="0" xfId="0"/>
    <xf numFmtId="165" fontId="12" fillId="0" borderId="7" pivotButton="0" quotePrefix="0" xfId="0"/>
    <xf numFmtId="0" fontId="0" fillId="8" borderId="5" pivotButton="0" quotePrefix="0" xfId="0"/>
    <xf numFmtId="0" fontId="0" fillId="0" borderId="5" pivotButton="0" quotePrefix="0" xfId="0"/>
    <xf numFmtId="0" fontId="18" fillId="7" borderId="6" pivotButton="0" quotePrefix="0" xfId="0"/>
    <xf numFmtId="165" fontId="18" fillId="7" borderId="6" pivotButton="0" quotePrefix="0" xfId="6"/>
    <xf numFmtId="0" fontId="0" fillId="8" borderId="7" pivotButton="0" quotePrefix="0" xfId="0"/>
    <xf numFmtId="165" fontId="0" fillId="8" borderId="7" pivotButton="0" quotePrefix="0" xfId="6"/>
    <xf numFmtId="0" fontId="0" fillId="10" borderId="7" pivotButton="0" quotePrefix="0" xfId="0"/>
    <xf numFmtId="165" fontId="12" fillId="10" borderId="7" pivotButton="0" quotePrefix="0" xfId="0"/>
    <xf numFmtId="0" fontId="0" fillId="11" borderId="0" pivotButton="0" quotePrefix="0" xfId="0"/>
    <xf numFmtId="0" fontId="11" fillId="0" borderId="1" pivotButton="0" quotePrefix="0" xfId="0"/>
    <xf numFmtId="166" fontId="11" fillId="0" borderId="1" pivotButton="0" quotePrefix="0" xfId="6"/>
    <xf numFmtId="0" fontId="19" fillId="12" borderId="8" pivotButton="0" quotePrefix="0" xfId="0"/>
    <xf numFmtId="0" fontId="19" fillId="12" borderId="9" pivotButton="0" quotePrefix="0" xfId="0"/>
    <xf numFmtId="0" fontId="20" fillId="13" borderId="8" pivotButton="0" quotePrefix="0" xfId="0"/>
    <xf numFmtId="0" fontId="20" fillId="13" borderId="9" pivotButton="0" quotePrefix="0" xfId="0"/>
    <xf numFmtId="166" fontId="20" fillId="13" borderId="9" pivotButton="0" quotePrefix="0" xfId="6"/>
    <xf numFmtId="0" fontId="20" fillId="0" borderId="8" pivotButton="0" quotePrefix="0" xfId="0"/>
    <xf numFmtId="0" fontId="20" fillId="0" borderId="9" pivotButton="0" quotePrefix="0" xfId="0"/>
    <xf numFmtId="166" fontId="20" fillId="0" borderId="9" pivotButton="0" quotePrefix="0" xfId="6"/>
    <xf numFmtId="0" fontId="21" fillId="0" borderId="10" pivotButton="0" quotePrefix="0" xfId="0"/>
    <xf numFmtId="0" fontId="21" fillId="0" borderId="11" pivotButton="0" quotePrefix="0" xfId="0"/>
    <xf numFmtId="166" fontId="21" fillId="0" borderId="11" pivotButton="0" quotePrefix="0" xfId="6"/>
    <xf numFmtId="0" fontId="13" fillId="12" borderId="8" pivotButton="0" quotePrefix="0" xfId="0"/>
    <xf numFmtId="0" fontId="13" fillId="12" borderId="9" pivotButton="0" quotePrefix="0" xfId="0"/>
    <xf numFmtId="166" fontId="13" fillId="12" borderId="9" pivotButton="0" quotePrefix="0" xfId="6"/>
    <xf numFmtId="0" fontId="9" fillId="13" borderId="8" pivotButton="0" quotePrefix="0" xfId="0"/>
    <xf numFmtId="0" fontId="9" fillId="13" borderId="9" pivotButton="0" quotePrefix="0" xfId="0"/>
    <xf numFmtId="166" fontId="9" fillId="13" borderId="9" pivotButton="0" quotePrefix="0" xfId="6"/>
    <xf numFmtId="0" fontId="14" fillId="0" borderId="10" pivotButton="0" quotePrefix="0" xfId="0"/>
    <xf numFmtId="0" fontId="14" fillId="0" borderId="11" pivotButton="0" quotePrefix="0" xfId="0"/>
    <xf numFmtId="166" fontId="14" fillId="0" borderId="11" pivotButton="0" quotePrefix="0" xfId="0"/>
    <xf numFmtId="164" fontId="3" fillId="2" borderId="0" pivotButton="0" quotePrefix="0" xfId="1"/>
    <xf numFmtId="164" fontId="11" fillId="9" borderId="0" pivotButton="0" quotePrefix="0" xfId="0"/>
    <xf numFmtId="165" fontId="0" fillId="8" borderId="5" pivotButton="0" quotePrefix="0" xfId="6"/>
    <xf numFmtId="165" fontId="0" fillId="0" borderId="5" pivotButton="0" quotePrefix="0" xfId="6"/>
    <xf numFmtId="165" fontId="12" fillId="0" borderId="7" pivotButton="0" quotePrefix="0" xfId="0"/>
    <xf numFmtId="165" fontId="0" fillId="0" borderId="0" pivotButton="0" quotePrefix="0" xfId="0"/>
    <xf numFmtId="165" fontId="18" fillId="7" borderId="6" pivotButton="0" quotePrefix="0" xfId="6"/>
    <xf numFmtId="165" fontId="0" fillId="8" borderId="7" pivotButton="0" quotePrefix="0" xfId="6"/>
    <xf numFmtId="165" fontId="12" fillId="10" borderId="7" pivotButton="0" quotePrefix="0" xfId="0"/>
    <xf numFmtId="166" fontId="20" fillId="13" borderId="9" pivotButton="0" quotePrefix="0" xfId="6"/>
    <xf numFmtId="166" fontId="20" fillId="0" borderId="9" pivotButton="0" quotePrefix="0" xfId="6"/>
    <xf numFmtId="166" fontId="21" fillId="0" borderId="11" pivotButton="0" quotePrefix="0" xfId="6"/>
    <xf numFmtId="166" fontId="11" fillId="0" borderId="1" pivotButton="0" quotePrefix="0" xfId="6"/>
    <xf numFmtId="165" fontId="0" fillId="0" borderId="7" pivotButton="0" quotePrefix="0" xfId="6"/>
    <xf numFmtId="165" fontId="0" fillId="0" borderId="7" pivotButton="0" quotePrefix="0" xfId="0"/>
    <xf numFmtId="166" fontId="13" fillId="12" borderId="9" pivotButton="0" quotePrefix="0" xfId="6"/>
    <xf numFmtId="166" fontId="9" fillId="13" borderId="9" pivotButton="0" quotePrefix="0" xfId="6"/>
    <xf numFmtId="166" fontId="14" fillId="0" borderId="11" pivotButton="0" quotePrefix="0" xfId="0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35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9"/>
          <bgColor theme="9"/>
        </patternFill>
      </fill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abla3" displayName="Tabla3" ref="A1:C15" headerRowCount="1" totalsRowCount="1" headerRowDxfId="34" headerRowBorderDxfId="33" tableBorderDxfId="32" totalsRowBorderDxfId="31">
  <autoFilter ref="A1:C14"/>
  <tableColumns count="3">
    <tableColumn id="1" name="Cód. org. aplic." totalsRowLabel="Total" dataDxfId="30" totalsRowDxfId="29"/>
    <tableColumn id="2" name="Descripción justificante" dataDxfId="28" totalsRowDxfId="27"/>
    <tableColumn id="3" name="Imp.cob.aplic." totalsRowFunction="sum" dataDxfId="26" totalsRowDxfId="25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5" displayName="Tabla5" ref="A1:C17" headerRowCount="1" totalsRowCount="1" totalsRowDxfId="22" headerRowBorderDxfId="24" tableBorderDxfId="23" totalsRowBorderDxfId="21">
  <autoFilter ref="A1:C16"/>
  <tableColumns count="3">
    <tableColumn id="1" name="Org. aplic." totalsRowLabel="Total" dataDxfId="20" totalsRowDxfId="19"/>
    <tableColumn id="2" name="Descripción justificante" dataDxfId="18" totalsRowDxfId="17"/>
    <tableColumn id="3" name="Imp. aplic." totalsRowFunction="sum" dataDxfId="16" totalsRowDxfId="15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1" displayName="Tabla1" ref="A1:C6" headerRowCount="1" totalsRowCount="1" headerRowDxfId="14" headerRowBorderDxfId="13" tableBorderDxfId="12" totalsRowBorderDxfId="11">
  <autoFilter ref="A1:C5"/>
  <tableColumns count="3">
    <tableColumn id="1" name="Cód. org. aplic." totalsRowLabel="Total"/>
    <tableColumn id="2" name="Descripción justificante"/>
    <tableColumn id="3" name="Imp.cob.aplic.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7" displayName="Tabla7" ref="A1:C3" headerRowCount="1" totalsRowCount="1" headerRowDxfId="10" totalsRowDxfId="7" headerRowBorderDxfId="9" tableBorderDxfId="8" totalsRowBorderDxfId="6">
  <autoFilter ref="A1:C2"/>
  <tableColumns count="3">
    <tableColumn id="1" name="Org. aplic." totalsRowLabel="Total" dataDxfId="5" totalsRowDxfId="4"/>
    <tableColumn id="2" name="Descripción justificante" dataDxfId="3" totalsRowDxfId="2"/>
    <tableColumn id="3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10"/>
  <sheetViews>
    <sheetView showGridLines="0" zoomScale="120" zoomScaleNormal="120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J18" sqref="J18"/>
    </sheetView>
  </sheetViews>
  <sheetFormatPr baseColWidth="10" defaultColWidth="10.28515625" defaultRowHeight="11.25"/>
  <cols>
    <col width="5" customWidth="1" style="6" min="1" max="1"/>
    <col width="29.7109375" customWidth="1" style="6" min="2" max="4"/>
    <col width="40.7109375" customWidth="1" style="6" min="5" max="5"/>
    <col width="9.140625" customWidth="1" style="6" min="6" max="6"/>
    <col width="9.7109375" customWidth="1" style="6" min="7" max="7"/>
    <col width="14.42578125" customWidth="1" style="6" min="8" max="8"/>
    <col width="5.85546875" customWidth="1" style="6" min="9" max="9"/>
    <col width="25.7109375" customWidth="1" style="6" min="10" max="10"/>
    <col width="5.140625" customWidth="1" style="6" min="11" max="12"/>
    <col width="4.42578125" customWidth="1" style="6" min="13" max="13"/>
    <col width="4.85546875" customWidth="1" style="6" min="14" max="14"/>
    <col width="4.85546875" customWidth="1" style="9" min="15" max="15"/>
    <col width="4.85546875" customWidth="1" style="6" min="16" max="16"/>
    <col width="3.5703125" customWidth="1" style="9" min="17" max="17"/>
    <col width="3.5703125" customWidth="1" style="6" min="18" max="18"/>
    <col width="5.140625" customWidth="1" style="6" min="19" max="21"/>
    <col width="10.28515625" customWidth="1" style="6" min="22" max="16384"/>
  </cols>
  <sheetData>
    <row r="1" ht="45.75" customHeight="1" thickBo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 ht="12" customHeight="1" thickBot="1">
      <c r="A2" s="22" t="inlineStr">
        <is>
          <t xml:space="preserve">B117 </t>
        </is>
      </c>
      <c r="B2" s="22" t="inlineStr">
        <is>
          <t xml:space="preserve">FISICA APLICADA </t>
        </is>
      </c>
      <c r="C2" s="22" t="inlineStr">
        <is>
          <t xml:space="preserve">DOCTORADO EN NANOCIENCIA Y NANOTECNOLOGÍA </t>
        </is>
      </c>
      <c r="D2" s="22" t="inlineStr">
        <is>
          <t xml:space="preserve">García Martínez, Noel Alberto </t>
        </is>
      </c>
      <c r="E2" s="22" t="inlineStr">
        <is>
          <t xml:space="preserve">Functionalized Bilayer Graphene For Quantum Technologies </t>
        </is>
      </c>
      <c r="F2" s="22" t="inlineStr">
        <is>
          <t xml:space="preserve">28/09/2021 </t>
        </is>
      </c>
      <c r="G2" s="23" t="inlineStr">
        <is>
          <t xml:space="preserve">00832982Z </t>
        </is>
      </c>
      <c r="H2" s="24" t="inlineStr">
        <is>
          <t xml:space="preserve">Director de tesis </t>
        </is>
      </c>
      <c r="I2" s="24" t="inlineStr">
        <is>
          <t xml:space="preserve">B117 </t>
        </is>
      </c>
      <c r="J2" s="25" t="inlineStr">
        <is>
          <t xml:space="preserve">FISICA APLICADA </t>
        </is>
      </c>
      <c r="K2" s="26" t="n">
        <v>1</v>
      </c>
      <c r="L2" s="26" t="inlineStr">
        <is>
          <t>B117</t>
        </is>
      </c>
      <c r="M2" s="20" t="n">
        <v>2020</v>
      </c>
      <c r="N2" s="20" t="inlineStr">
        <is>
          <t>10.14</t>
        </is>
      </c>
      <c r="O2" s="21" t="n">
        <v>10</v>
      </c>
      <c r="P2" s="20" t="inlineStr"/>
      <c r="Q2" s="21" t="n">
        <v>0</v>
      </c>
      <c r="R2" s="20" t="n">
        <v>90</v>
      </c>
      <c r="S2" s="20" t="n">
        <v>0.9</v>
      </c>
      <c r="T2" s="20" t="n">
        <v>0.1</v>
      </c>
      <c r="U2" s="20" t="n">
        <v>0</v>
      </c>
    </row>
    <row r="3" ht="12" customHeight="1" thickBot="1">
      <c r="A3" s="22" t="inlineStr">
        <is>
          <t xml:space="preserve">U022 </t>
        </is>
      </c>
      <c r="B3" s="22" t="inlineStr">
        <is>
          <t xml:space="preserve">ADM. FACULTAD DE CIENCIAS </t>
        </is>
      </c>
      <c r="C3" s="22" t="inlineStr">
        <is>
          <t xml:space="preserve">DOCTORADO EN CIENCIAS EXPERIMENTALES Y BIOSANITARIAS </t>
        </is>
      </c>
      <c r="D3" s="22" t="inlineStr">
        <is>
          <t xml:space="preserve">Trigueros Páez, Emilio </t>
        </is>
      </c>
      <c r="E3" s="22" t="inlineStr">
        <is>
          <t xml:space="preserve">MONOS: Multiplicity Of Northern O-type Spectroscopic systems </t>
        </is>
      </c>
      <c r="F3" s="22" t="inlineStr">
        <is>
          <t xml:space="preserve">30/07/2021 </t>
        </is>
      </c>
      <c r="G3" s="23" t="inlineStr">
        <is>
          <t xml:space="preserve">16568682B </t>
        </is>
      </c>
      <c r="H3" s="24" t="inlineStr">
        <is>
          <t xml:space="preserve">Codirector de tesis </t>
        </is>
      </c>
      <c r="I3" s="24" t="inlineStr">
        <is>
          <t xml:space="preserve">B117 </t>
        </is>
      </c>
      <c r="J3" s="25" t="inlineStr">
        <is>
          <t xml:space="preserve">FISICA APLICADA </t>
        </is>
      </c>
      <c r="K3" s="26" t="n">
        <v>0.5</v>
      </c>
      <c r="L3" s="26" t="inlineStr">
        <is>
          <t>B117</t>
        </is>
      </c>
      <c r="M3" s="20" t="n">
        <v>2020</v>
      </c>
      <c r="N3" s="20" t="inlineStr">
        <is>
          <t>10.19</t>
        </is>
      </c>
      <c r="O3" s="21" t="n">
        <v>15</v>
      </c>
      <c r="P3" s="20" t="inlineStr"/>
      <c r="Q3" s="21" t="n">
        <v>0</v>
      </c>
      <c r="R3" s="20" t="n">
        <v>85</v>
      </c>
      <c r="S3" s="20" t="n">
        <v>0.425</v>
      </c>
      <c r="T3" s="20" t="n">
        <v>0.075</v>
      </c>
      <c r="U3" s="20" t="n">
        <v>0</v>
      </c>
    </row>
    <row r="4" ht="12" customHeight="1" thickBot="1">
      <c r="A4" s="22" t="inlineStr">
        <is>
          <t xml:space="preserve">U052 </t>
        </is>
      </c>
      <c r="B4" s="22" t="inlineStr">
        <is>
          <t xml:space="preserve">ADM. I.U. DE MATERIALES </t>
        </is>
      </c>
      <c r="C4" s="22" t="inlineStr">
        <is>
          <t xml:space="preserve">DOCTORADO EN CIENCIA DE MATERIALES </t>
        </is>
      </c>
      <c r="D4" s="22" t="inlineStr">
        <is>
          <t xml:space="preserve">Ortiz Cano, Ricardo </t>
        </is>
      </c>
      <c r="E4" s="22" t="inlineStr">
        <is>
          <t xml:space="preserve">Electronic and spin properties of open-shell nanographenes </t>
        </is>
      </c>
      <c r="F4" s="22" t="inlineStr">
        <is>
          <t xml:space="preserve">29/09/2021 </t>
        </is>
      </c>
      <c r="G4" s="23" t="inlineStr">
        <is>
          <t xml:space="preserve">00832982Z </t>
        </is>
      </c>
      <c r="H4" s="24" t="inlineStr">
        <is>
          <t xml:space="preserve">Codirector de tesis </t>
        </is>
      </c>
      <c r="I4" s="24" t="inlineStr">
        <is>
          <t xml:space="preserve">B117 </t>
        </is>
      </c>
      <c r="J4" s="25" t="inlineStr">
        <is>
          <t xml:space="preserve">FISICA APLICADA </t>
        </is>
      </c>
      <c r="K4" s="26" t="n">
        <v>0.5</v>
      </c>
      <c r="L4" s="26" t="inlineStr">
        <is>
          <t>B117</t>
        </is>
      </c>
      <c r="M4" s="20" t="n">
        <v>2020</v>
      </c>
      <c r="N4" s="20" t="inlineStr">
        <is>
          <t>10.14</t>
        </is>
      </c>
      <c r="O4" s="21" t="n">
        <v>10</v>
      </c>
      <c r="P4" s="20" t="inlineStr"/>
      <c r="Q4" s="21" t="n">
        <v>0</v>
      </c>
      <c r="R4" s="20" t="n">
        <v>90</v>
      </c>
      <c r="S4" s="20" t="n">
        <v>0.45</v>
      </c>
      <c r="T4" s="20" t="n">
        <v>0.05</v>
      </c>
      <c r="U4" s="20" t="n">
        <v>0</v>
      </c>
    </row>
    <row r="5">
      <c r="A5" s="20" t="inlineStr">
        <is>
          <t xml:space="preserve">U052 </t>
        </is>
      </c>
      <c r="B5" s="20" t="inlineStr">
        <is>
          <t xml:space="preserve">ADM. I.U. DE MATERIALES </t>
        </is>
      </c>
      <c r="C5" s="20" t="inlineStr">
        <is>
          <t xml:space="preserve">DOCTORADO EN CIENCIA DE MATERIALES </t>
        </is>
      </c>
      <c r="D5" s="20" t="inlineStr">
        <is>
          <t xml:space="preserve">Muñoz Mármol, Rafael </t>
        </is>
      </c>
      <c r="E5" s="20" t="inlineStr">
        <is>
          <t xml:space="preserve">Photophysical and Laser Studies on Perylenediimides and Nanographenes </t>
        </is>
      </c>
      <c r="F5" s="20" t="inlineStr">
        <is>
          <t xml:space="preserve">19/11/2021 </t>
        </is>
      </c>
      <c r="G5" s="20" t="inlineStr">
        <is>
          <t xml:space="preserve">51396407D </t>
        </is>
      </c>
      <c r="H5" s="20" t="inlineStr">
        <is>
          <t xml:space="preserve">Director de tesis </t>
        </is>
      </c>
      <c r="I5" s="20" t="inlineStr">
        <is>
          <t xml:space="preserve">B117 </t>
        </is>
      </c>
      <c r="J5" s="20" t="inlineStr">
        <is>
          <t xml:space="preserve">FISICA APLICADA </t>
        </is>
      </c>
      <c r="K5" s="26" t="n">
        <v>1</v>
      </c>
      <c r="L5" s="26" t="inlineStr">
        <is>
          <t>B117</t>
        </is>
      </c>
      <c r="M5" s="20" t="n">
        <v>2021</v>
      </c>
      <c r="N5" s="20" t="inlineStr">
        <is>
          <t>10.14</t>
        </is>
      </c>
      <c r="O5" s="21" t="n">
        <v>50</v>
      </c>
      <c r="P5" s="20" t="inlineStr"/>
      <c r="Q5" s="21" t="n">
        <v>0</v>
      </c>
      <c r="R5" s="20" t="n">
        <v>50</v>
      </c>
      <c r="S5" s="20" t="n">
        <v>0.5</v>
      </c>
      <c r="T5" s="20" t="n">
        <v>0.5</v>
      </c>
      <c r="U5" s="20" t="n">
        <v>0</v>
      </c>
    </row>
    <row r="6">
      <c r="A6" s="20" t="inlineStr">
        <is>
          <t xml:space="preserve">U052 </t>
        </is>
      </c>
      <c r="B6" s="20" t="inlineStr">
        <is>
          <t xml:space="preserve">I.U. DE MATERIALES (10.14) </t>
        </is>
      </c>
      <c r="C6" s="20" t="inlineStr">
        <is>
          <t xml:space="preserve">DOCTORADO EN CIENCIA DE MATERIALES </t>
        </is>
      </c>
      <c r="D6" s="20" t="inlineStr">
        <is>
          <t xml:space="preserve">Bonal Díaz, Víctor </t>
        </is>
      </c>
      <c r="E6" s="20" t="inlineStr">
        <is>
          <t xml:space="preserve">Thin film organic lasers with polymeric resonators </t>
        </is>
      </c>
      <c r="F6" s="20" t="inlineStr">
        <is>
          <t xml:space="preserve">26/10/2022 </t>
        </is>
      </c>
      <c r="G6" s="20" t="inlineStr">
        <is>
          <t xml:space="preserve">51396407D </t>
        </is>
      </c>
      <c r="H6" s="20" t="inlineStr">
        <is>
          <t xml:space="preserve">Director de tesis </t>
        </is>
      </c>
      <c r="I6" s="20" t="inlineStr">
        <is>
          <t xml:space="preserve">B117 </t>
        </is>
      </c>
      <c r="J6" s="20" t="inlineStr">
        <is>
          <t xml:space="preserve">FISICA APLICADA </t>
        </is>
      </c>
      <c r="K6" s="31" t="n">
        <v>1</v>
      </c>
      <c r="L6" s="31" t="inlineStr">
        <is>
          <t>B117</t>
        </is>
      </c>
      <c r="M6" s="20" t="n">
        <v>2022</v>
      </c>
      <c r="N6" s="31" t="inlineStr">
        <is>
          <t>10.14</t>
        </is>
      </c>
      <c r="O6" s="31" t="n">
        <v>50</v>
      </c>
      <c r="P6" s="31" t="inlineStr"/>
      <c r="Q6" s="31" t="n">
        <v>0</v>
      </c>
      <c r="R6" s="31" t="n">
        <v>50</v>
      </c>
      <c r="S6" s="31" t="n">
        <v>0.5</v>
      </c>
      <c r="T6" s="31" t="n">
        <v>0.5</v>
      </c>
      <c r="U6" s="31" t="n">
        <v>0</v>
      </c>
    </row>
    <row r="7" ht="10.15" customFormat="1" customHeight="1" s="41">
      <c r="A7" s="20" t="inlineStr">
        <is>
          <t>B117</t>
        </is>
      </c>
      <c r="B7" s="20" t="inlineStr">
        <is>
          <t>FISICA APLICADA</t>
        </is>
      </c>
      <c r="C7" s="20" t="inlineStr">
        <is>
          <t>DOCTORADO EN NANOCIENCIA Y NANOTECNOLOGÍA</t>
        </is>
      </c>
      <c r="D7" s="20" t="inlineStr">
        <is>
          <t>de Ara García, Tamara</t>
        </is>
      </c>
      <c r="E7" s="20" t="inlineStr">
        <is>
          <t>Conformational Dependence and Capacitance in the Study of Helicenes for Molecular Electronics.</t>
        </is>
      </c>
      <c r="F7" s="20" t="inlineStr">
        <is>
          <t>21/03/2024</t>
        </is>
      </c>
      <c r="G7" s="20" t="inlineStr">
        <is>
          <t>07495796G</t>
        </is>
      </c>
      <c r="H7" s="20" t="inlineStr">
        <is>
          <t>Codirector de tesis</t>
        </is>
      </c>
      <c r="I7" s="26" t="inlineStr">
        <is>
          <t>B117</t>
        </is>
      </c>
      <c r="J7" s="20" t="inlineStr">
        <is>
          <t>FISICA APLICADA</t>
        </is>
      </c>
      <c r="K7" s="31" t="n">
        <v>0.5</v>
      </c>
      <c r="L7" s="31" t="inlineStr">
        <is>
          <t>B117</t>
        </is>
      </c>
      <c r="M7" s="31" t="n">
        <v>2023</v>
      </c>
      <c r="N7" s="31" t="inlineStr">
        <is>
          <t>10.14</t>
        </is>
      </c>
      <c r="O7" s="31" t="inlineStr">
        <is>
          <t>10</t>
        </is>
      </c>
      <c r="P7" s="31" t="inlineStr"/>
      <c r="Q7" s="31" t="inlineStr"/>
      <c r="R7" s="31" t="n">
        <v>90</v>
      </c>
      <c r="S7" s="31" t="n">
        <v>0.45</v>
      </c>
      <c r="T7" s="31" t="n">
        <v>0.05</v>
      </c>
      <c r="U7" s="31" t="n">
        <v>0</v>
      </c>
      <c r="V7" s="40" t="n"/>
      <c r="Y7" s="6" t="n"/>
    </row>
    <row r="8" ht="10.15" customFormat="1" customHeight="1" s="41">
      <c r="A8" s="20" t="inlineStr">
        <is>
          <t>B117</t>
        </is>
      </c>
      <c r="B8" s="20" t="inlineStr">
        <is>
          <t>FISICA APLICADA</t>
        </is>
      </c>
      <c r="C8" s="20" t="inlineStr">
        <is>
          <t>DOCTORADO EN NANOCIENCIA Y NANOTECNOLOGÍA</t>
        </is>
      </c>
      <c r="D8" s="20" t="inlineStr">
        <is>
          <t>de Ara García, Tamara</t>
        </is>
      </c>
      <c r="E8" s="20" t="inlineStr">
        <is>
          <t>Conformational Dependence and Capacitance in the Study of Helicenes for Molecular Electronics.</t>
        </is>
      </c>
      <c r="F8" s="20" t="inlineStr">
        <is>
          <t>21/03/2024</t>
        </is>
      </c>
      <c r="G8" s="20" t="inlineStr">
        <is>
          <t>73995007M</t>
        </is>
      </c>
      <c r="H8" s="20" t="inlineStr">
        <is>
          <t>Codirector de tesis</t>
        </is>
      </c>
      <c r="I8" s="26" t="inlineStr">
        <is>
          <t>B117</t>
        </is>
      </c>
      <c r="J8" s="20" t="inlineStr">
        <is>
          <t>FISICA APLICADA</t>
        </is>
      </c>
      <c r="K8" s="31" t="n">
        <v>0.5</v>
      </c>
      <c r="L8" s="31" t="inlineStr">
        <is>
          <t>B117</t>
        </is>
      </c>
      <c r="M8" s="31" t="n">
        <v>2023</v>
      </c>
      <c r="N8" s="31" t="inlineStr">
        <is>
          <t>10.14</t>
        </is>
      </c>
      <c r="O8" s="31" t="inlineStr">
        <is>
          <t>50</t>
        </is>
      </c>
      <c r="P8" s="31" t="inlineStr"/>
      <c r="Q8" s="31" t="inlineStr"/>
      <c r="R8" s="31" t="n">
        <v>50</v>
      </c>
      <c r="S8" s="31" t="n">
        <v>0.25</v>
      </c>
      <c r="T8" s="31" t="n">
        <v>0.25</v>
      </c>
      <c r="U8" s="31" t="n">
        <v>0</v>
      </c>
      <c r="V8" s="40" t="n"/>
      <c r="Y8" s="6" t="n"/>
    </row>
    <row r="9" ht="10.15" customFormat="1" customHeight="1" s="41">
      <c r="A9" s="20" t="inlineStr">
        <is>
          <t>ZZ</t>
        </is>
      </c>
      <c r="B9" s="20" t="inlineStr">
        <is>
          <t>SIN ASIGNAR</t>
        </is>
      </c>
      <c r="C9" s="20" t="inlineStr">
        <is>
          <t>DOCTORADO EN CIENCIA DE MATERIALES</t>
        </is>
      </c>
      <c r="D9" s="20" t="inlineStr">
        <is>
          <t>Gadea García, Marcos</t>
        </is>
      </c>
      <c r="E9" s="20" t="inlineStr">
        <is>
          <t>Optoelectronics based on organic compounds and 2D materials</t>
        </is>
      </c>
      <c r="F9" s="20" t="inlineStr">
        <is>
          <t>25/09/2025</t>
        </is>
      </c>
      <c r="G9" s="20" t="inlineStr">
        <is>
          <t>51396407D</t>
        </is>
      </c>
      <c r="H9" s="20" t="inlineStr">
        <is>
          <t>Codirector de tesis</t>
        </is>
      </c>
      <c r="I9" s="26" t="inlineStr">
        <is>
          <t>B117</t>
        </is>
      </c>
      <c r="J9" s="20" t="inlineStr">
        <is>
          <t>FISICA APLICADA</t>
        </is>
      </c>
      <c r="K9" s="31" t="n">
        <v>0.5</v>
      </c>
      <c r="L9" s="31" t="inlineStr">
        <is>
          <t>B117</t>
        </is>
      </c>
      <c r="M9" s="31" t="n">
        <v>2024</v>
      </c>
      <c r="N9" s="31" t="inlineStr">
        <is>
          <t>10.14</t>
        </is>
      </c>
      <c r="O9" s="31" t="inlineStr">
        <is>
          <t>50</t>
        </is>
      </c>
      <c r="P9" s="31" t="inlineStr"/>
      <c r="Q9" s="31" t="inlineStr"/>
      <c r="R9" s="31" t="n">
        <v>50</v>
      </c>
      <c r="S9" s="31" t="n">
        <v>0.25</v>
      </c>
      <c r="T9" s="31" t="n">
        <v>0.25</v>
      </c>
      <c r="U9" s="31" t="n">
        <v>0</v>
      </c>
      <c r="V9" s="40" t="n"/>
      <c r="Y9" s="6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8" t="n"/>
      <c r="P10" s="7" t="n"/>
      <c r="Q10" s="8" t="n"/>
      <c r="R10" s="7" t="n"/>
      <c r="S10" s="81">
        <f>SUM(S2:S9)</f>
        <v/>
      </c>
      <c r="T10" s="7" t="n"/>
      <c r="U10" s="7" t="n"/>
    </row>
  </sheetData>
  <autoFilter ref="A1:U1">
    <sortState ref="A2:T1898">
      <sortCondition ref="K2:K1898"/>
      <sortCondition ref="L2:L1898"/>
      <sortCondition ref="D2:D1898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24"/>
  <sheetViews>
    <sheetView tabSelected="1" zoomScaleNormal="100" workbookViewId="0">
      <selection activeCell="N24" sqref="N24"/>
    </sheetView>
  </sheetViews>
  <sheetFormatPr baseColWidth="10" defaultColWidth="11.42578125" defaultRowHeight="12.75"/>
  <cols>
    <col width="10.42578125" bestFit="1" customWidth="1" style="13" min="1" max="1"/>
    <col width="33.42578125" bestFit="1" customWidth="1" style="13" min="2" max="2"/>
    <col width="17.42578125" customWidth="1" style="13" min="3" max="3"/>
    <col width="3.28515625" bestFit="1" customWidth="1" style="13" min="4" max="9"/>
    <col width="13.140625" bestFit="1" customWidth="1" style="13" min="10" max="10"/>
    <col width="5.28515625" bestFit="1" customWidth="1" style="13" min="11" max="11"/>
    <col width="5.7109375" bestFit="1" customWidth="1" style="13" min="12" max="13"/>
    <col width="5.7109375" bestFit="1" customWidth="1" style="14" min="14" max="14"/>
    <col width="5.7109375" bestFit="1" customWidth="1" style="13" min="15" max="15"/>
    <col width="5.7109375" bestFit="1" customWidth="1" style="14" min="16" max="16"/>
    <col width="5.7109375" bestFit="1" customWidth="1" style="13" min="17" max="19"/>
    <col width="11.42578125" customWidth="1" style="13" min="20" max="16384"/>
  </cols>
  <sheetData>
    <row r="1" ht="60" customFormat="1" customHeight="1" s="12">
      <c r="A1" s="15" t="inlineStr">
        <is>
          <t>NIF</t>
        </is>
      </c>
      <c r="B1" s="15" t="inlineStr">
        <is>
          <t>NOMBRE_COMPLETO</t>
        </is>
      </c>
      <c r="C1" s="15" t="inlineStr">
        <is>
          <t>TIPO_SEXENIO</t>
        </is>
      </c>
      <c r="D1" s="16" t="inlineStr">
        <is>
          <t>2020</t>
        </is>
      </c>
      <c r="E1" s="16" t="inlineStr">
        <is>
          <t>2021</t>
        </is>
      </c>
      <c r="F1" s="16" t="inlineStr">
        <is>
          <t>2022</t>
        </is>
      </c>
      <c r="G1" s="16" t="inlineStr">
        <is>
          <t>2023</t>
        </is>
      </c>
      <c r="H1" s="16" t="inlineStr">
        <is>
          <t>2024</t>
        </is>
      </c>
      <c r="I1" s="16" t="inlineStr">
        <is>
          <t>2025</t>
        </is>
      </c>
      <c r="J1" s="15" t="inlineStr">
        <is>
          <t>Total general</t>
        </is>
      </c>
      <c r="K1" s="17" t="inlineStr">
        <is>
          <t>COD DEP</t>
        </is>
      </c>
      <c r="L1" s="10" t="inlineStr">
        <is>
          <t>INS
1</t>
        </is>
      </c>
      <c r="M1" s="10" t="inlineStr">
        <is>
          <t>DED
INS 1</t>
        </is>
      </c>
      <c r="N1" s="10" t="inlineStr">
        <is>
          <t>INS
2</t>
        </is>
      </c>
      <c r="O1" s="10" t="inlineStr">
        <is>
          <t>DED
INS 2</t>
        </is>
      </c>
      <c r="P1" s="11" t="inlineStr">
        <is>
          <t>DED
DEP</t>
        </is>
      </c>
      <c r="Q1" s="11" t="inlineStr">
        <is>
          <t>SEX
INS 1</t>
        </is>
      </c>
      <c r="R1" s="11" t="inlineStr">
        <is>
          <t>SEX
INS 2</t>
        </is>
      </c>
      <c r="S1" s="11" t="inlineStr">
        <is>
          <t>SEX
DEP</t>
        </is>
      </c>
      <c r="T1" s="13" t="n"/>
    </row>
    <row r="2" ht="15" customHeight="1">
      <c r="A2" s="18" t="inlineStr">
        <is>
          <t>02547000A</t>
        </is>
      </c>
      <c r="B2" s="18" t="inlineStr">
        <is>
          <t>Bargueño De Retes, Pedro</t>
        </is>
      </c>
      <c r="C2" s="18" t="inlineStr">
        <is>
          <t>FUNCIONARIO</t>
        </is>
      </c>
      <c r="D2" s="18" t="n"/>
      <c r="E2" s="18" t="n"/>
      <c r="F2" s="18" t="n"/>
      <c r="G2" s="18" t="n"/>
      <c r="H2" s="18" t="n">
        <v>2</v>
      </c>
      <c r="I2" s="18" t="n">
        <v>1</v>
      </c>
      <c r="J2" s="18" t="n">
        <v>3</v>
      </c>
      <c r="K2" s="18" t="inlineStr">
        <is>
          <t>B190</t>
        </is>
      </c>
      <c r="L2" s="19" t="n">
        <v>0</v>
      </c>
      <c r="M2" s="19" t="n">
        <v>0</v>
      </c>
      <c r="N2" s="19" t="inlineStr"/>
      <c r="O2" s="19" t="inlineStr"/>
      <c r="P2" s="19" t="n">
        <v>100</v>
      </c>
      <c r="Q2" s="19" t="n">
        <v>0</v>
      </c>
      <c r="R2" s="19" t="n">
        <v>0</v>
      </c>
      <c r="S2" s="19" t="n">
        <v>3</v>
      </c>
    </row>
    <row r="3" ht="15" customHeight="1">
      <c r="A3" s="18" t="inlineStr">
        <is>
          <t>04567901D</t>
        </is>
      </c>
      <c r="B3" s="18" t="inlineStr">
        <is>
          <t>Villalvilla Soria, Jose Moises</t>
        </is>
      </c>
      <c r="C3" s="18" t="inlineStr">
        <is>
          <t>FUNCIONARIO</t>
        </is>
      </c>
      <c r="D3" s="18" t="n"/>
      <c r="E3" s="18" t="n"/>
      <c r="F3" s="18" t="n"/>
      <c r="G3" s="18" t="n"/>
      <c r="H3" s="18" t="n">
        <v>1</v>
      </c>
      <c r="I3" s="18" t="n"/>
      <c r="J3" s="18" t="n">
        <v>1</v>
      </c>
      <c r="K3" s="18" t="inlineStr">
        <is>
          <t>B190</t>
        </is>
      </c>
      <c r="L3" s="19" t="inlineStr">
        <is>
          <t>10.14</t>
        </is>
      </c>
      <c r="M3" s="19" t="inlineStr">
        <is>
          <t>20</t>
        </is>
      </c>
      <c r="N3" s="19" t="n">
        <v>0</v>
      </c>
      <c r="O3" s="19" t="n">
        <v>0</v>
      </c>
      <c r="P3" s="19" t="n">
        <v>80</v>
      </c>
      <c r="Q3" s="19" t="n">
        <v>0.2</v>
      </c>
      <c r="R3" s="19" t="n">
        <v>0</v>
      </c>
      <c r="S3" s="19" t="n">
        <v>0.8</v>
      </c>
    </row>
    <row r="4" ht="15" customHeight="1">
      <c r="A4" s="18" t="inlineStr">
        <is>
          <t>07495796G</t>
        </is>
      </c>
      <c r="B4" s="18" t="inlineStr">
        <is>
          <t>Untiedt Lecuona, Carlos</t>
        </is>
      </c>
      <c r="C4" s="18" t="inlineStr">
        <is>
          <t>FUNCIONARIO</t>
        </is>
      </c>
      <c r="D4" s="18" t="n">
        <v>1</v>
      </c>
      <c r="E4" s="18" t="n"/>
      <c r="F4" s="18" t="n"/>
      <c r="G4" s="18" t="n"/>
      <c r="H4" s="18" t="n"/>
      <c r="I4" s="18" t="n"/>
      <c r="J4" s="18" t="n">
        <v>1</v>
      </c>
      <c r="K4" s="18" t="inlineStr">
        <is>
          <t>B190</t>
        </is>
      </c>
      <c r="L4" s="19" t="inlineStr">
        <is>
          <t>10.14</t>
        </is>
      </c>
      <c r="M4" s="19" t="inlineStr">
        <is>
          <t>50</t>
        </is>
      </c>
      <c r="N4" s="19" t="inlineStr"/>
      <c r="O4" s="19" t="inlineStr"/>
      <c r="P4" s="19" t="n">
        <v>50</v>
      </c>
      <c r="Q4" s="19" t="n">
        <v>0.5</v>
      </c>
      <c r="R4" s="19" t="n">
        <v>0</v>
      </c>
      <c r="S4" s="19" t="n">
        <v>0.5</v>
      </c>
    </row>
    <row r="5" ht="15" customHeight="1">
      <c r="A5" s="18" t="inlineStr">
        <is>
          <t>16568682B</t>
        </is>
      </c>
      <c r="B5" s="18" t="inlineStr">
        <is>
          <t>Negueruela Díez, Ignacio</t>
        </is>
      </c>
      <c r="C5" s="18" t="inlineStr">
        <is>
          <t>FUNCIONARIO</t>
        </is>
      </c>
      <c r="D5" s="18" t="n"/>
      <c r="E5" s="18" t="n"/>
      <c r="F5" s="18" t="n"/>
      <c r="G5" s="18" t="n"/>
      <c r="H5" s="18" t="n">
        <v>1</v>
      </c>
      <c r="I5" s="18" t="n"/>
      <c r="J5" s="18" t="n">
        <v>1</v>
      </c>
      <c r="K5" s="18" t="inlineStr">
        <is>
          <t>B190</t>
        </is>
      </c>
      <c r="L5" s="19" t="inlineStr">
        <is>
          <t>10.19</t>
        </is>
      </c>
      <c r="M5" s="19" t="inlineStr">
        <is>
          <t>15</t>
        </is>
      </c>
      <c r="N5" s="19" t="inlineStr"/>
      <c r="O5" s="19" t="inlineStr"/>
      <c r="P5" s="19" t="n">
        <v>85</v>
      </c>
      <c r="Q5" s="19" t="n">
        <v>0.15</v>
      </c>
      <c r="R5" s="19" t="n">
        <v>0</v>
      </c>
      <c r="S5" s="19" t="n">
        <v>0.85</v>
      </c>
    </row>
    <row r="6" ht="15" customHeight="1">
      <c r="A6" s="18" t="inlineStr">
        <is>
          <t>21475467E</t>
        </is>
      </c>
      <c r="B6" s="18" t="inlineStr">
        <is>
          <t>Caturla Terol, María José</t>
        </is>
      </c>
      <c r="C6" s="18" t="inlineStr">
        <is>
          <t>FUNCIONARIO</t>
        </is>
      </c>
      <c r="D6" s="18" t="n"/>
      <c r="E6" s="18" t="n"/>
      <c r="F6" s="18" t="n"/>
      <c r="G6" s="18" t="n"/>
      <c r="H6" s="18" t="n">
        <v>1</v>
      </c>
      <c r="I6" s="18" t="n"/>
      <c r="J6" s="18" t="n">
        <v>1</v>
      </c>
      <c r="K6" s="18" t="inlineStr">
        <is>
          <t>B190</t>
        </is>
      </c>
      <c r="L6" s="19" t="inlineStr">
        <is>
          <t>10.14</t>
        </is>
      </c>
      <c r="M6" s="19" t="inlineStr">
        <is>
          <t>10</t>
        </is>
      </c>
      <c r="N6" s="19" t="inlineStr"/>
      <c r="O6" s="19" t="inlineStr"/>
      <c r="P6" s="19" t="n">
        <v>90</v>
      </c>
      <c r="Q6" s="19" t="n">
        <v>0.1</v>
      </c>
      <c r="R6" s="19" t="n">
        <v>0</v>
      </c>
      <c r="S6" s="19" t="n">
        <v>0.9</v>
      </c>
    </row>
    <row r="7" ht="15" customHeight="1">
      <c r="A7" s="18" t="inlineStr">
        <is>
          <t>21650596Y</t>
        </is>
      </c>
      <c r="B7" s="18" t="inlineStr">
        <is>
          <t>Pons Botella, José Antonio</t>
        </is>
      </c>
      <c r="C7" s="18" t="inlineStr">
        <is>
          <t>FUNCIONARIO</t>
        </is>
      </c>
      <c r="D7" s="18" t="n">
        <v>1</v>
      </c>
      <c r="E7" s="18" t="n"/>
      <c r="F7" s="18" t="n"/>
      <c r="G7" s="18" t="n"/>
      <c r="H7" s="18" t="n"/>
      <c r="I7" s="18" t="n"/>
      <c r="J7" s="18" t="n">
        <v>1</v>
      </c>
      <c r="K7" s="18" t="inlineStr">
        <is>
          <t>B190</t>
        </is>
      </c>
      <c r="L7" s="19" t="n">
        <v>0</v>
      </c>
      <c r="M7" s="19" t="n">
        <v>0</v>
      </c>
      <c r="N7" s="19" t="inlineStr"/>
      <c r="O7" s="19" t="inlineStr"/>
      <c r="P7" s="19" t="n">
        <v>100</v>
      </c>
      <c r="Q7" s="19" t="n">
        <v>0</v>
      </c>
      <c r="R7" s="19" t="n">
        <v>0</v>
      </c>
      <c r="S7" s="19" t="n">
        <v>1</v>
      </c>
    </row>
    <row r="8" ht="15" customHeight="1">
      <c r="A8" s="18" t="inlineStr">
        <is>
          <t>21966179Y</t>
        </is>
      </c>
      <c r="B8" s="18" t="inlineStr">
        <is>
          <t>Miralles Torres, Juan Antonio</t>
        </is>
      </c>
      <c r="C8" s="18" t="inlineStr">
        <is>
          <t>FUNCIONARIO</t>
        </is>
      </c>
      <c r="D8" s="18" t="n"/>
      <c r="E8" s="18" t="n"/>
      <c r="F8" s="18" t="n">
        <v>1</v>
      </c>
      <c r="G8" s="18" t="n"/>
      <c r="H8" s="18" t="n"/>
      <c r="I8" s="18" t="n"/>
      <c r="J8" s="18" t="n">
        <v>1</v>
      </c>
      <c r="K8" s="18" t="inlineStr">
        <is>
          <t>B190</t>
        </is>
      </c>
      <c r="L8" s="19" t="n">
        <v>0</v>
      </c>
      <c r="M8" s="19" t="n">
        <v>0</v>
      </c>
      <c r="N8" s="19" t="inlineStr"/>
      <c r="O8" s="19" t="inlineStr"/>
      <c r="P8" s="19" t="n">
        <v>100</v>
      </c>
      <c r="Q8" s="19" t="n">
        <v>0</v>
      </c>
      <c r="R8" s="19" t="n">
        <v>0</v>
      </c>
      <c r="S8" s="19" t="n">
        <v>1</v>
      </c>
    </row>
    <row r="9" ht="15" customHeight="1">
      <c r="A9" s="18" t="inlineStr">
        <is>
          <t>23213158V</t>
        </is>
      </c>
      <c r="B9" s="18" t="inlineStr">
        <is>
          <t>Abril Sánchez, Isabel</t>
        </is>
      </c>
      <c r="C9" s="18" t="inlineStr">
        <is>
          <t>FUNCIONARIO</t>
        </is>
      </c>
      <c r="D9" s="18" t="n"/>
      <c r="E9" s="18" t="n"/>
      <c r="F9" s="18" t="n"/>
      <c r="G9" s="18" t="n"/>
      <c r="H9" s="18" t="n">
        <v>1</v>
      </c>
      <c r="I9" s="18" t="n"/>
      <c r="J9" s="18" t="n">
        <v>1</v>
      </c>
      <c r="K9" s="18" t="inlineStr">
        <is>
          <t>B190</t>
        </is>
      </c>
      <c r="L9" s="19" t="inlineStr">
        <is>
          <t>10.14</t>
        </is>
      </c>
      <c r="M9" s="19" t="inlineStr">
        <is>
          <t>50</t>
        </is>
      </c>
      <c r="N9" s="19" t="inlineStr"/>
      <c r="O9" s="19" t="inlineStr"/>
      <c r="P9" s="19" t="n">
        <v>50</v>
      </c>
      <c r="Q9" s="19" t="n">
        <v>0.5</v>
      </c>
      <c r="R9" s="19" t="n">
        <v>0</v>
      </c>
      <c r="S9" s="19" t="n">
        <v>0.5</v>
      </c>
    </row>
    <row r="10" ht="15" customHeight="1">
      <c r="A10" s="18" t="inlineStr">
        <is>
          <t>48303841T</t>
        </is>
      </c>
      <c r="B10" s="18" t="inlineStr">
        <is>
          <t>Gómez Doménech, Igor</t>
        </is>
      </c>
      <c r="C10" s="18" t="inlineStr">
        <is>
          <t>FUNCIONARIO</t>
        </is>
      </c>
      <c r="D10" s="18" t="n"/>
      <c r="E10" s="18" t="n"/>
      <c r="F10" s="18" t="n">
        <v>2</v>
      </c>
      <c r="G10" s="18" t="n"/>
      <c r="H10" s="18" t="n"/>
      <c r="I10" s="18" t="n"/>
      <c r="J10" s="18" t="n">
        <v>2</v>
      </c>
      <c r="K10" s="18" t="inlineStr">
        <is>
          <t>B190</t>
        </is>
      </c>
      <c r="L10" s="19" t="inlineStr">
        <is>
          <t>10.16</t>
        </is>
      </c>
      <c r="M10" s="19" t="inlineStr">
        <is>
          <t>50</t>
        </is>
      </c>
      <c r="N10" s="19" t="inlineStr"/>
      <c r="O10" s="19" t="inlineStr"/>
      <c r="P10" s="19" t="n">
        <v>50</v>
      </c>
      <c r="Q10" s="19" t="n">
        <v>1</v>
      </c>
      <c r="R10" s="19" t="n">
        <v>0</v>
      </c>
      <c r="S10" s="19" t="n">
        <v>1</v>
      </c>
    </row>
    <row r="11" ht="15" customHeight="1">
      <c r="A11" s="18" t="inlineStr">
        <is>
          <t>48356456Z</t>
        </is>
      </c>
      <c r="B11" s="18" t="inlineStr">
        <is>
          <t>Gosálbez Martínez, Daniel</t>
        </is>
      </c>
      <c r="C11" s="18" t="inlineStr">
        <is>
          <t>NO FUNCIONARIO</t>
        </is>
      </c>
      <c r="D11" s="18" t="n"/>
      <c r="E11" s="18" t="n"/>
      <c r="F11" s="18" t="n"/>
      <c r="G11" s="18" t="n"/>
      <c r="H11" s="18" t="n"/>
      <c r="I11" s="18" t="n">
        <v>1</v>
      </c>
      <c r="J11" s="18" t="n">
        <v>1</v>
      </c>
      <c r="K11" s="18" t="inlineStr">
        <is>
          <t>B190</t>
        </is>
      </c>
      <c r="L11" s="19" t="inlineStr">
        <is>
          <t>10.14</t>
        </is>
      </c>
      <c r="M11" s="19" t="inlineStr">
        <is>
          <t>10</t>
        </is>
      </c>
      <c r="N11" s="19" t="inlineStr"/>
      <c r="O11" s="19" t="inlineStr"/>
      <c r="P11" s="19" t="n">
        <v>90</v>
      </c>
      <c r="Q11" s="19" t="n">
        <v>0.1</v>
      </c>
      <c r="R11" s="19" t="n">
        <v>0</v>
      </c>
      <c r="S11" s="19" t="n">
        <v>0.9</v>
      </c>
    </row>
    <row r="12" ht="15" customHeight="1">
      <c r="A12" s="18" t="inlineStr">
        <is>
          <t>48765309L</t>
        </is>
      </c>
      <c r="B12" s="18" t="inlineStr">
        <is>
          <t>Chiappe Acosta, Guillermo</t>
        </is>
      </c>
      <c r="C12" s="18" t="inlineStr">
        <is>
          <t>FUNCIONARIO</t>
        </is>
      </c>
      <c r="D12" s="18" t="n"/>
      <c r="E12" s="18" t="n"/>
      <c r="F12" s="18" t="n"/>
      <c r="G12" s="18" t="n">
        <v>1</v>
      </c>
      <c r="H12" s="18" t="n"/>
      <c r="I12" s="18" t="n"/>
      <c r="J12" s="18" t="n">
        <v>1</v>
      </c>
      <c r="K12" s="18" t="inlineStr">
        <is>
          <t>B190</t>
        </is>
      </c>
      <c r="L12" s="19" t="inlineStr">
        <is>
          <t>10.14</t>
        </is>
      </c>
      <c r="M12" s="19" t="inlineStr">
        <is>
          <t>50</t>
        </is>
      </c>
      <c r="N12" s="19" t="inlineStr"/>
      <c r="O12" s="19" t="inlineStr"/>
      <c r="P12" s="19" t="n">
        <v>50</v>
      </c>
      <c r="Q12" s="19" t="n">
        <v>0.5</v>
      </c>
      <c r="R12" s="19" t="n">
        <v>0</v>
      </c>
      <c r="S12" s="19" t="n">
        <v>0.5</v>
      </c>
    </row>
    <row r="13" ht="15" customHeight="1">
      <c r="A13" s="18" t="inlineStr">
        <is>
          <t>48790125H</t>
        </is>
      </c>
      <c r="B13" s="18" t="inlineStr">
        <is>
          <t>Denton Zanello, Cristian Diego</t>
        </is>
      </c>
      <c r="C13" s="18" t="inlineStr">
        <is>
          <t>FUNCIONARIO</t>
        </is>
      </c>
      <c r="D13" s="18" t="n"/>
      <c r="E13" s="18" t="n"/>
      <c r="F13" s="18" t="n">
        <v>1</v>
      </c>
      <c r="G13" s="18" t="n"/>
      <c r="H13" s="18" t="n"/>
      <c r="I13" s="18" t="n"/>
      <c r="J13" s="18" t="n">
        <v>1</v>
      </c>
      <c r="K13" s="18" t="inlineStr">
        <is>
          <t>B190</t>
        </is>
      </c>
      <c r="L13" s="19" t="inlineStr">
        <is>
          <t>10.14</t>
        </is>
      </c>
      <c r="M13" s="19" t="inlineStr">
        <is>
          <t>10</t>
        </is>
      </c>
      <c r="N13" s="19" t="inlineStr"/>
      <c r="O13" s="19" t="inlineStr"/>
      <c r="P13" s="19" t="n">
        <v>90</v>
      </c>
      <c r="Q13" s="19" t="n">
        <v>0.1</v>
      </c>
      <c r="R13" s="19" t="n">
        <v>0</v>
      </c>
      <c r="S13" s="19" t="n">
        <v>0.9</v>
      </c>
    </row>
    <row r="14" ht="15" customHeight="1">
      <c r="A14" s="18" t="inlineStr">
        <is>
          <t>51396407D</t>
        </is>
      </c>
      <c r="B14" s="18" t="inlineStr">
        <is>
          <t>Díaz García, María Ángeles</t>
        </is>
      </c>
      <c r="C14" s="18" t="inlineStr">
        <is>
          <t>FUNCIONARIO</t>
        </is>
      </c>
      <c r="D14" s="18" t="n"/>
      <c r="E14" s="18" t="n"/>
      <c r="F14" s="18" t="n">
        <v>1</v>
      </c>
      <c r="G14" s="18" t="n"/>
      <c r="H14" s="18" t="n"/>
      <c r="I14" s="18" t="n"/>
      <c r="J14" s="18" t="n">
        <v>1</v>
      </c>
      <c r="K14" s="18" t="inlineStr">
        <is>
          <t>B190</t>
        </is>
      </c>
      <c r="L14" s="19" t="inlineStr">
        <is>
          <t>10.14</t>
        </is>
      </c>
      <c r="M14" s="19" t="inlineStr">
        <is>
          <t>50</t>
        </is>
      </c>
      <c r="N14" s="19" t="inlineStr"/>
      <c r="O14" s="19" t="inlineStr"/>
      <c r="P14" s="19" t="n">
        <v>50</v>
      </c>
      <c r="Q14" s="19" t="n">
        <v>0.5</v>
      </c>
      <c r="R14" s="19" t="n">
        <v>0</v>
      </c>
      <c r="S14" s="19" t="n">
        <v>0.5</v>
      </c>
    </row>
    <row r="15" ht="15" customHeight="1">
      <c r="A15" s="18" t="inlineStr">
        <is>
          <t>52583754G</t>
        </is>
      </c>
      <c r="B15" s="18" t="inlineStr">
        <is>
          <t>Molina Palacios, Sergio</t>
        </is>
      </c>
      <c r="C15" s="28" t="inlineStr">
        <is>
          <t>FUNCIONARIO</t>
        </is>
      </c>
      <c r="D15" s="18" t="n"/>
      <c r="E15" s="18" t="n"/>
      <c r="F15" s="18" t="n"/>
      <c r="G15" s="18" t="n">
        <v>1</v>
      </c>
      <c r="H15" s="18" t="n"/>
      <c r="I15" s="18" t="n"/>
      <c r="J15" s="18" t="n">
        <v>1</v>
      </c>
      <c r="K15" s="18" t="inlineStr">
        <is>
          <t>B190</t>
        </is>
      </c>
      <c r="L15" s="19" t="inlineStr">
        <is>
          <t>10.16</t>
        </is>
      </c>
      <c r="M15" s="19" t="inlineStr">
        <is>
          <t>50</t>
        </is>
      </c>
      <c r="N15" s="19" t="inlineStr"/>
      <c r="O15" s="19" t="inlineStr"/>
      <c r="P15" s="19" t="n">
        <v>50</v>
      </c>
      <c r="Q15" s="19" t="n">
        <v>0.5</v>
      </c>
      <c r="R15" s="19" t="n">
        <v>0</v>
      </c>
      <c r="S15" s="19" t="n">
        <v>0.5</v>
      </c>
    </row>
    <row r="16" ht="15" customHeight="1">
      <c r="A16" s="18" t="inlineStr">
        <is>
          <t>73995007M</t>
        </is>
      </c>
      <c r="B16" s="18" t="inlineStr">
        <is>
          <t>Sabater Piqueres, Carlos</t>
        </is>
      </c>
      <c r="C16" s="28" t="inlineStr">
        <is>
          <t>NO FUNCIONARIO</t>
        </is>
      </c>
      <c r="D16" s="18" t="n"/>
      <c r="E16" s="18" t="n"/>
      <c r="F16" s="18" t="n">
        <v>2</v>
      </c>
      <c r="G16" s="18" t="n"/>
      <c r="H16" s="18" t="n"/>
      <c r="I16" s="18" t="n"/>
      <c r="J16" s="18" t="n">
        <v>2</v>
      </c>
      <c r="K16" s="18" t="inlineStr">
        <is>
          <t>B190</t>
        </is>
      </c>
      <c r="L16" s="19" t="inlineStr">
        <is>
          <t>10.14</t>
        </is>
      </c>
      <c r="M16" s="19" t="inlineStr">
        <is>
          <t>50</t>
        </is>
      </c>
      <c r="N16" s="19" t="n">
        <v>0</v>
      </c>
      <c r="O16" s="19" t="n">
        <v>0</v>
      </c>
      <c r="P16" s="19" t="n">
        <v>50</v>
      </c>
      <c r="Q16" s="19" t="n">
        <v>1</v>
      </c>
      <c r="R16" s="19" t="n">
        <v>0</v>
      </c>
      <c r="S16" s="19" t="n">
        <v>1</v>
      </c>
    </row>
    <row r="17" ht="15" customHeight="1">
      <c r="A17" s="18" t="inlineStr">
        <is>
          <t>X5170674K</t>
        </is>
      </c>
      <c r="B17" s="18" t="inlineStr">
        <is>
          <t>Jacob, David</t>
        </is>
      </c>
      <c r="C17" s="28" t="inlineStr">
        <is>
          <t>NO FUNCIONARIO</t>
        </is>
      </c>
      <c r="D17" s="18" t="n"/>
      <c r="E17" s="18" t="n"/>
      <c r="F17" s="18" t="n"/>
      <c r="G17" s="18" t="n"/>
      <c r="H17" s="18" t="n"/>
      <c r="I17" s="18" t="n">
        <v>1</v>
      </c>
      <c r="J17" s="18" t="n">
        <v>1</v>
      </c>
      <c r="K17" s="18" t="inlineStr">
        <is>
          <t>B190</t>
        </is>
      </c>
      <c r="L17" s="19" t="n">
        <v>0</v>
      </c>
      <c r="M17" s="19" t="n">
        <v>0</v>
      </c>
      <c r="N17" s="19" t="inlineStr"/>
      <c r="O17" s="19" t="inlineStr"/>
      <c r="P17" s="19" t="n">
        <v>100</v>
      </c>
      <c r="Q17" s="19" t="n">
        <v>0</v>
      </c>
      <c r="R17" s="19" t="n">
        <v>0</v>
      </c>
      <c r="S17" s="19" t="n">
        <v>1</v>
      </c>
    </row>
    <row r="18" ht="15" customHeight="1">
      <c r="A18" s="32" t="inlineStr">
        <is>
          <t>Z2558817A</t>
        </is>
      </c>
      <c r="B18" s="32" t="inlineStr">
        <is>
          <t>Contreras Herrada, Ernesto José</t>
        </is>
      </c>
      <c r="C18" s="33" t="inlineStr">
        <is>
          <t>NO FUNCIONARIO</t>
        </is>
      </c>
      <c r="D18" s="32" t="n"/>
      <c r="E18" s="32" t="n"/>
      <c r="F18" s="32" t="n"/>
      <c r="G18" s="32" t="n"/>
      <c r="H18" s="32" t="n"/>
      <c r="I18" s="32" t="n">
        <v>1</v>
      </c>
      <c r="J18" s="32" t="n">
        <v>1</v>
      </c>
      <c r="K18" s="18" t="inlineStr">
        <is>
          <t>B190</t>
        </is>
      </c>
      <c r="L18" s="34" t="n">
        <v>0</v>
      </c>
      <c r="M18" s="34" t="n">
        <v>0</v>
      </c>
      <c r="N18" s="34" t="inlineStr"/>
      <c r="O18" s="34" t="inlineStr"/>
      <c r="P18" s="34" t="n">
        <v>100</v>
      </c>
      <c r="Q18" s="34" t="n">
        <v>0</v>
      </c>
      <c r="R18" s="34" t="n">
        <v>0</v>
      </c>
      <c r="S18" s="34" t="n">
        <v>1</v>
      </c>
    </row>
    <row r="19" ht="15" customHeight="1">
      <c r="A19" s="38" t="n"/>
      <c r="B19" s="38" t="n"/>
      <c r="C19" s="39" t="n"/>
      <c r="D19" s="38" t="n"/>
      <c r="E19" s="38" t="n"/>
      <c r="F19" s="38" t="n"/>
      <c r="G19" s="38" t="n"/>
      <c r="H19" s="38" t="n"/>
      <c r="I19" s="38" t="n"/>
      <c r="J19" s="38" t="n"/>
      <c r="K19" s="38" t="n"/>
      <c r="L19" s="38" t="n"/>
      <c r="M19" s="38" t="n"/>
      <c r="N19" s="38" t="n"/>
      <c r="O19" s="38" t="n"/>
      <c r="P19" s="38" t="n"/>
      <c r="Q19" s="38" t="n"/>
      <c r="R19" s="38" t="n"/>
      <c r="S19" s="82">
        <f>SUM(S2:S18)</f>
        <v/>
      </c>
    </row>
    <row r="24" ht="60" customFormat="1" customHeight="1" s="12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4" t="n"/>
      <c r="O24" s="13" t="n"/>
      <c r="P24" s="14" t="n"/>
      <c r="Q24" s="13" t="n"/>
      <c r="R24" s="13" t="n"/>
      <c r="S24" s="13" t="n"/>
      <c r="T24" s="13" t="n"/>
    </row>
  </sheetData>
  <pageMargins left="0.3937007874015748" right="0.3937007874015748" top="0.3937007874015748" bottom="0.3937007874015748" header="0.3149606299212598" footer="0.3149606299212598"/>
  <pageSetup orientation="landscape" paperSize="9" scale="1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5" sqref="A15:XFD15"/>
    </sheetView>
  </sheetViews>
  <sheetFormatPr baseColWidth="10" defaultRowHeight="15"/>
  <cols>
    <col width="17" customWidth="1" min="1" max="1"/>
    <col width="76.5703125" customWidth="1" min="2" max="2"/>
    <col width="16" customWidth="1" min="3" max="3"/>
  </cols>
  <sheetData>
    <row r="1">
      <c r="A1" s="43" t="inlineStr">
        <is>
          <t>Cód. org. aplic.</t>
        </is>
      </c>
      <c r="B1" s="43" t="inlineStr">
        <is>
          <t>Descripción justificante</t>
        </is>
      </c>
      <c r="C1" s="43" t="inlineStr">
        <is>
          <t>Imp.cob.aplic.</t>
        </is>
      </c>
    </row>
    <row r="2">
      <c r="A2" s="35" t="inlineStr">
        <is>
          <t>31.10.6H.00.01</t>
        </is>
      </c>
      <c r="B2" s="35" t="inlineStr">
        <is>
          <t>DEVOLUCIÓN DE INGRESOS_MODELO 047_ Nº DE LIQUIDACIÓN: 46/2023/RAS/10408/1 Nº DE JUSTIFICANTE:047/1/002412422_Nº DE REFERENCIA: 047/1/002412422</t>
        </is>
      </c>
      <c r="C2" s="83" t="n">
        <v>-2718.33</v>
      </c>
    </row>
    <row r="3">
      <c r="A3" s="36" t="inlineStr">
        <is>
          <t>31.10.6P.00.08</t>
        </is>
      </c>
      <c r="B3" s="36" t="inlineStr">
        <is>
          <t>DEVOLUCIÓN DE INGRESOS_MODELO 047_Nº de liquidación:46/2023/RAS/10218/1_ Número de justificante:047/1/002367180_ Nº de referencia:047/1/002367180</t>
        </is>
      </c>
      <c r="C3" s="84" t="n">
        <v>-14637.4</v>
      </c>
    </row>
    <row r="4">
      <c r="A4" s="35" t="inlineStr">
        <is>
          <t>31.10.6P.00.09</t>
        </is>
      </c>
      <c r="B4" s="35" t="inlineStr">
        <is>
          <t xml:space="preserve">CIDEGENT/2018/004 CIDEGENT/2018/040 CIDEGENT/2018/041 </t>
        </is>
      </c>
      <c r="C4" s="83" t="n">
        <v>50000</v>
      </c>
    </row>
    <row r="5">
      <c r="A5" s="36" t="inlineStr">
        <is>
          <t>31.10.6P.00.10</t>
        </is>
      </c>
      <c r="B5" s="36" t="inlineStr">
        <is>
          <t xml:space="preserve">DEVOLUCIÓN DE INGRESOS_CARTA DE PAGO_ Referencia: PGC2018-093741-B-C21 </t>
        </is>
      </c>
      <c r="C5" s="84" t="n">
        <v>-18172.16</v>
      </c>
    </row>
    <row r="6">
      <c r="A6" s="35" t="inlineStr">
        <is>
          <t>31.10.6P.00.10</t>
        </is>
      </c>
      <c r="B6" s="35" t="inlineStr">
        <is>
          <t>DEVOLUCIÓN DE INGRESOS_ MODELO 069_Expediente o Referencia: 173-P56360-202212210097807</t>
        </is>
      </c>
      <c r="C6" s="83" t="n">
        <v>-18172.16</v>
      </c>
    </row>
    <row r="7">
      <c r="A7" s="36" t="inlineStr">
        <is>
          <t>31.10.6P.00.15</t>
        </is>
      </c>
      <c r="B7" s="36" t="inlineStr">
        <is>
          <t xml:space="preserve">PID2020-118574GB-I00/118816GB-I00/119124RB-I00/119144RB-I00/119320GB-I00/119383GB-I00/119734RB-I00/119878GB-I00/119959GB-I00/120213RB-I00 </t>
        </is>
      </c>
      <c r="C7" s="84" t="n">
        <v>78693.17</v>
      </c>
    </row>
    <row r="8">
      <c r="A8" s="35" t="inlineStr">
        <is>
          <t>31.10.6P.00.16</t>
        </is>
      </c>
      <c r="B8" s="35" t="inlineStr">
        <is>
          <t xml:space="preserve">PROMETEO/2020/093/006/017/024/030/055/057/073/079/088 </t>
        </is>
      </c>
      <c r="C8" s="83" t="n">
        <v>131102.47</v>
      </c>
    </row>
    <row r="9">
      <c r="A9" s="36" t="inlineStr">
        <is>
          <t>31.10.6P.00.17</t>
        </is>
      </c>
      <c r="B9" s="36" t="inlineStr">
        <is>
          <t xml:space="preserve">AICO/2021/013/062/093/130/132/163/165 </t>
        </is>
      </c>
      <c r="C9" s="84" t="n">
        <v>30000</v>
      </c>
    </row>
    <row r="10">
      <c r="A10" s="35" t="inlineStr">
        <is>
          <t>31.10.6P.00.19</t>
        </is>
      </c>
      <c r="B10" s="35" t="inlineStr">
        <is>
          <t xml:space="preserve">CIDEGENT/2021/052 </t>
        </is>
      </c>
      <c r="C10" s="83" t="n">
        <v>42521.72</v>
      </c>
    </row>
    <row r="11">
      <c r="A11" s="36" t="inlineStr">
        <is>
          <t>31.10.6P.00.21</t>
        </is>
      </c>
      <c r="B11" s="36" t="inlineStr">
        <is>
          <t xml:space="preserve">CIDEXG/2022/45  CIDEXG/2022/60  </t>
        </is>
      </c>
      <c r="C11" s="84" t="n">
        <v>95000</v>
      </c>
    </row>
    <row r="12">
      <c r="A12" s="35" t="inlineStr">
        <is>
          <t>31.10.6P.00.24</t>
        </is>
      </c>
      <c r="B12" s="35" t="inlineStr">
        <is>
          <t>CIPROM/2022/13/26/40. PROMETEO 2023</t>
        </is>
      </c>
      <c r="C12" s="83" t="n">
        <v>114708</v>
      </c>
    </row>
    <row r="13">
      <c r="A13" s="36" t="inlineStr">
        <is>
          <t>31.10.6P.00.25</t>
        </is>
      </c>
      <c r="B13" s="36" t="inlineStr">
        <is>
          <t xml:space="preserve">ayudas PID2022  138464NB-142516OB-139990NB-141382OB-137350NB-139899OB--136847NB-137385NB-139294NB-137873NA-138786NB-141712NB-136590OB-139105OB-142356NB-141694NB-136399NB  </t>
        </is>
      </c>
      <c r="C13" s="84" t="n">
        <v>101080</v>
      </c>
    </row>
    <row r="14">
      <c r="A14" s="35" t="inlineStr">
        <is>
          <t>31.10.6X.00.03</t>
        </is>
      </c>
      <c r="B14" s="35" t="inlineStr">
        <is>
          <t>COBRO DEL PROYECTO EUROFUSION (ANUALIDAD 2021)</t>
        </is>
      </c>
      <c r="C14" s="83" t="n">
        <v>26437.5</v>
      </c>
    </row>
    <row r="15">
      <c r="A15" s="48" t="inlineStr">
        <is>
          <t>Total</t>
        </is>
      </c>
      <c r="B15" s="48" t="n"/>
      <c r="C15" s="85">
        <f>SUBTOTAL(109,Tabla3[Imp.cob.aplic.])</f>
        <v/>
      </c>
    </row>
    <row r="16">
      <c r="C16" s="86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topLeftCell="A4" workbookViewId="0">
      <selection activeCell="B21" sqref="B21:C21"/>
    </sheetView>
  </sheetViews>
  <sheetFormatPr baseColWidth="10" defaultRowHeight="15"/>
  <cols>
    <col width="12" customWidth="1" min="1" max="1"/>
    <col width="72.28515625" customWidth="1" min="2" max="2"/>
    <col width="18.5703125" customWidth="1" min="3" max="3"/>
  </cols>
  <sheetData>
    <row r="1">
      <c r="A1" s="52" t="inlineStr">
        <is>
          <t>Org. aplic.</t>
        </is>
      </c>
      <c r="B1" s="52" t="inlineStr">
        <is>
          <t>Descripción justificante</t>
        </is>
      </c>
      <c r="C1" s="87" t="inlineStr">
        <is>
          <t>Imp. aplic.</t>
        </is>
      </c>
    </row>
    <row r="2">
      <c r="A2" s="50" t="inlineStr">
        <is>
          <t>31.10.6P.00.09</t>
        </is>
      </c>
      <c r="B2" s="50" t="inlineStr">
        <is>
          <t xml:space="preserve">ayudas CIDEGENT/2018/004, CIDEGENT/2018/040, CIDEGENT/2018/004, CIDEGENT/2018/040 </t>
        </is>
      </c>
      <c r="C2" s="83" t="n">
        <v>47272.93</v>
      </c>
    </row>
    <row r="3">
      <c r="A3" s="51" t="inlineStr">
        <is>
          <t>31.10.6P.00.12</t>
        </is>
      </c>
      <c r="B3" s="51" t="inlineStr">
        <is>
          <t>DEVOLUCIÓN DE INGRESOS_CARTA DE PAGO_REFERENCIA: PID2019-109539GB-C41, ANUALIDAD: 2020</t>
        </is>
      </c>
      <c r="C3" s="84" t="n">
        <v>-1313.28</v>
      </c>
    </row>
    <row r="4">
      <c r="A4" s="50" t="inlineStr">
        <is>
          <t>31.10.6P.00.16</t>
        </is>
      </c>
      <c r="B4" s="50" t="inlineStr">
        <is>
          <t xml:space="preserve">ayudas PROMETEO/2021/006, PROMETEO/2021/017, PROMETEO/2021/030, PROMETEO/2021/055, PROMETEO/2021/057, PROMETEO/2021/073, PROMETEO/2021/079, PROMETEO/2021/088 </t>
        </is>
      </c>
      <c r="C4" s="83" t="n">
        <v>129606.22</v>
      </c>
    </row>
    <row r="5">
      <c r="A5" s="51" t="inlineStr">
        <is>
          <t>31.10.6P.00.19</t>
        </is>
      </c>
      <c r="B5" s="51" t="inlineStr">
        <is>
          <t xml:space="preserve">ayudas CIDEGENT/2021/052, CIDEGENT/2021/052 </t>
        </is>
      </c>
      <c r="C5" s="84" t="n">
        <v>39869.63</v>
      </c>
    </row>
    <row r="6">
      <c r="A6" s="50" t="inlineStr">
        <is>
          <t>31.10.6P.00.21</t>
        </is>
      </c>
      <c r="B6" s="50" t="inlineStr">
        <is>
          <t xml:space="preserve">ayudas CIDEXG/2022/45, CIDEXG/2022/60, CIDEXG/2022/45, CIDEXG/2022/60  </t>
        </is>
      </c>
      <c r="C6" s="83" t="n">
        <v>95000</v>
      </c>
    </row>
    <row r="7">
      <c r="A7" s="51" t="inlineStr">
        <is>
          <t>31.10.6P.00.22</t>
        </is>
      </c>
      <c r="B7" s="51" t="inlineStr">
        <is>
          <t xml:space="preserve">PID2021-122263OB-C22 -122320NA-I00 -122397NB-C22 --122500OB-I00 -122685OB-I00 -122988NB-I00 -123079OB-I00 -123091NB-C22 -123118NA-I00 -123124OB-I00 -123699NB-I00-123135OB-C21 -123453NB-I00 -123956OB-I00 </t>
        </is>
      </c>
      <c r="C7" s="84" t="n">
        <v>13450</v>
      </c>
    </row>
    <row r="8">
      <c r="A8" s="50" t="inlineStr">
        <is>
          <t>31.10.6P.00.23</t>
        </is>
      </c>
      <c r="B8" s="50" t="inlineStr">
        <is>
          <t xml:space="preserve">Ayudas ASFAE/2022/002, ASFAE/2022/017 </t>
        </is>
      </c>
      <c r="C8" s="83" t="n">
        <v>45499.97</v>
      </c>
    </row>
    <row r="9">
      <c r="A9" s="51" t="inlineStr">
        <is>
          <t>31.10.6P.00.23</t>
        </is>
      </c>
      <c r="B9" s="51" t="inlineStr">
        <is>
          <t xml:space="preserve">ayuda ASFAE/2022/002, ASFAE/2022/017 (ANUALIDAD 2023) </t>
        </is>
      </c>
      <c r="C9" s="84" t="n">
        <v>45499.97</v>
      </c>
    </row>
    <row r="10">
      <c r="A10" s="50" t="inlineStr">
        <is>
          <t>31.10.6P.00.24</t>
        </is>
      </c>
      <c r="B10" s="50" t="inlineStr">
        <is>
          <t xml:space="preserve">AYUDAS CIPROM/2022/13, CIPROM/2022/26, CIPROM/2022/40 </t>
        </is>
      </c>
      <c r="C10" s="83" t="n">
        <v>114708</v>
      </c>
    </row>
    <row r="11">
      <c r="A11" s="51" t="inlineStr">
        <is>
          <t>31.10.6P.00.25</t>
        </is>
      </c>
      <c r="B11" s="51" t="inlineStr">
        <is>
          <t>PID2022-139105OB-I00-141712NB-C22-142356NB-I00-141694NB-I00-136399NB-C21-142159OB-I00-137566OB-I00-139552OB-C22-137302NB-C33-139820NB-I00-142960OB-C21</t>
        </is>
      </c>
      <c r="C11" s="84" t="n">
        <v>24080</v>
      </c>
    </row>
    <row r="12">
      <c r="A12" s="50" t="inlineStr">
        <is>
          <t>31.10.6P.00.26</t>
        </is>
      </c>
      <c r="B12" s="50" t="inlineStr">
        <is>
          <t xml:space="preserve">ayudas CIDEXG/2023/2, CIDEXG/2023/13, CIDEXG/2023/7, CIDEXG/2023/2, CIDEXG/2023/13, CIDEXG/2023/7 </t>
        </is>
      </c>
      <c r="C12" s="83" t="n">
        <v>78683.87</v>
      </c>
    </row>
    <row r="13">
      <c r="A13" s="51" t="inlineStr">
        <is>
          <t>31.10.6P.00.28</t>
        </is>
      </c>
      <c r="B13" s="51" t="inlineStr">
        <is>
          <t>AYUDAS PID2023-146660OB-I00, PID2023-148259NB-I00, PID2023-148881OB-I00, PID2023-149456NB-I00, PID2023-149624NB-I00, PID2023-149643NB-I00, PID2023-149994NB-I00, PID2023-150750NB-I00, PID2023-150795NB-C22,PID2023-151958NB-I00, PID2023-151982NB-I00, PID2023-152305NB-I00, PID2023-152358NA-I00, PID2023-152372NB-I00, PID2023-152734NB-I00, PID2023-152869OB-C21, PID2023-153032NB-I00</t>
        </is>
      </c>
      <c r="C13" s="84" t="n">
        <v>93000</v>
      </c>
    </row>
    <row r="14">
      <c r="A14" s="50" t="inlineStr">
        <is>
          <t>31.10.6P.00.28</t>
        </is>
      </c>
      <c r="B14" s="50" t="inlineStr">
        <is>
          <t>Ayudas PID2023-146660OB-I00, PID2023-147126OB-I00, PID2023-148259NB-I00, PID2023-148881OB-I00, PID2023-149456NB-I00, PID2023-149562OB-I00, PID2023-149624NB-I00, PID2023-149643NB-I00, PID2023-149706OB-I00, PID2023-149994NB-I00, 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</t>
        </is>
      </c>
      <c r="C14" s="83" t="n">
        <v>46996</v>
      </c>
    </row>
    <row r="15">
      <c r="A15" s="51" t="inlineStr">
        <is>
          <t>31.10.6X.00.03</t>
        </is>
      </c>
      <c r="B15" s="51" t="inlineStr">
        <is>
          <t>Cobro intermedio (IFS 2022) del proyecto EuroFusion</t>
        </is>
      </c>
      <c r="C15" s="84" t="n">
        <v>28784</v>
      </c>
    </row>
    <row r="16">
      <c r="A16" s="54" t="inlineStr">
        <is>
          <t>31.10.6X.00.05</t>
        </is>
      </c>
      <c r="B16" s="54" t="inlineStr">
        <is>
          <t>SEGUNDO COBRO DEL PROYECTO ENTENTE</t>
        </is>
      </c>
      <c r="C16" s="88" t="n">
        <v>3113.75</v>
      </c>
    </row>
    <row r="17" customFormat="1" s="58">
      <c r="A17" s="56" t="inlineStr">
        <is>
          <t>Total</t>
        </is>
      </c>
      <c r="B17" s="56" t="n"/>
      <c r="C17" s="89">
        <f>SUBTOTAL(109,Tabla5[Imp.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C25" sqref="C25"/>
    </sheetView>
  </sheetViews>
  <sheetFormatPr baseColWidth="10" defaultRowHeight="15"/>
  <cols>
    <col width="15.7109375" customWidth="1" min="1" max="1"/>
    <col width="44.7109375" customWidth="1" min="2" max="2"/>
    <col width="17" customWidth="1" min="3" max="3"/>
  </cols>
  <sheetData>
    <row r="1">
      <c r="A1" s="61" t="inlineStr">
        <is>
          <t>Org. aplic.</t>
        </is>
      </c>
      <c r="B1" s="62" t="inlineStr">
        <is>
          <t>Descripción justificante</t>
        </is>
      </c>
      <c r="C1" s="62" t="inlineStr">
        <is>
          <t>Imp. aplic.</t>
        </is>
      </c>
    </row>
    <row r="2">
      <c r="A2" s="63" t="inlineStr">
        <is>
          <t>31.10.6C.00.02</t>
        </is>
      </c>
      <c r="B2" s="64" t="inlineStr">
        <is>
          <t>GASTOS DE ORGANIZACIÓN Y REALIZACIÓN DEL CONGRESO "SPANISH &amp; PORTUGUESE RELATIVITY MEETING", DEL 1 AL 5 DE SEPTIEMBRE 2025, POR LA UNIVERSIDAD DE ALICANTE. PEDIDO C2025_14996_PN034_REDES</t>
        </is>
      </c>
      <c r="C2" s="90" t="n">
        <v>1665.56</v>
      </c>
    </row>
    <row r="3">
      <c r="A3" s="66" t="inlineStr">
        <is>
          <t>31.10.6G.00.01</t>
        </is>
      </c>
      <c r="B3" s="67" t="inlineStr">
        <is>
          <t>Ingresos por inscripciones al congreso "Encuentros Relativistas Españoles y Portugueses (EREP 2025)"</t>
        </is>
      </c>
      <c r="C3" s="91" t="n">
        <v>14545</v>
      </c>
    </row>
    <row r="4">
      <c r="A4" s="63" t="inlineStr">
        <is>
          <t>31.10.6G.00.02</t>
        </is>
      </c>
      <c r="B4" s="64" t="inlineStr">
        <is>
          <t>Ingresos por inscripciones a la novena edición del Congreso de la Red Española de Nanolitografía (Nanolito 2025)</t>
        </is>
      </c>
      <c r="C4" s="90" t="n">
        <v>7580.41</v>
      </c>
    </row>
    <row r="5">
      <c r="A5" s="66" t="inlineStr">
        <is>
          <t>31.10.6G.00.02</t>
        </is>
      </c>
      <c r="B5" s="67" t="inlineStr">
        <is>
          <t>Ingresos por mecenazgos a la novena edición del Congreso de la Red Española de Nanolitografía (Nanolito 2025)</t>
        </is>
      </c>
      <c r="C5" s="91" t="n">
        <v>5500</v>
      </c>
    </row>
    <row r="6">
      <c r="A6" s="63" t="inlineStr">
        <is>
          <t>31.10.6G.00.02</t>
        </is>
      </c>
      <c r="B6" s="64" t="inlineStr">
        <is>
          <t>Ingresos por patrocinios a la novena edición del Congreso de la Red Española de Nanolitografía (Nanolito 2025)</t>
        </is>
      </c>
      <c r="C6" s="90" t="n">
        <v>2000</v>
      </c>
    </row>
    <row r="7">
      <c r="A7" s="66" t="inlineStr">
        <is>
          <t>31.10.6P.00.09</t>
        </is>
      </c>
      <c r="B7" s="67" t="inlineStr">
        <is>
          <t>DEVOLUCIÓN DE INGRESOS_ MODELO 047_REFERENCIA CIDEGENT 2018/041/040/004</t>
        </is>
      </c>
      <c r="C7" s="91" t="n">
        <v>-2257.63</v>
      </c>
    </row>
    <row r="8">
      <c r="A8" s="63" t="inlineStr">
        <is>
          <t>31.10.6P.00.16</t>
        </is>
      </c>
      <c r="B8" s="64" t="inlineStr">
        <is>
          <t xml:space="preserve">DEVOLUCIÓN DE INGRESOS_MODELO 047_ REFERENCIA: PROMETEO 2021 EN 2024_PROMETEO/2021/006, PROMETEO/2021/017, PROMETEO/2021/030, PROMETEO/2021/055, PROMETEO/2021/057, PROMETEO/2021/073, PROMETEO/2021/079, PROMETEO/2021/088 </t>
        </is>
      </c>
      <c r="C8" s="90" t="n">
        <v>-64903.17</v>
      </c>
    </row>
    <row r="9">
      <c r="A9" s="66" t="inlineStr">
        <is>
          <t>31.10.6P.00.19</t>
        </is>
      </c>
      <c r="B9" s="67" t="inlineStr">
        <is>
          <t xml:space="preserve">Ayudas CIDEGENT/2021/052, CIDEGENT/2021/052 </t>
        </is>
      </c>
      <c r="C9" s="91" t="n">
        <v>47345.07</v>
      </c>
    </row>
    <row r="10">
      <c r="A10" s="63" t="inlineStr">
        <is>
          <t>31.10.6P.00.21</t>
        </is>
      </c>
      <c r="B10" s="64" t="inlineStr">
        <is>
          <t xml:space="preserve">Ayudas CIDEXG/2022/45, CIDEXG/2022/45 , CIDEXG/2022/60 , CIDEXG/2022/60  </t>
        </is>
      </c>
      <c r="C10" s="90" t="n">
        <v>95238.10000000001</v>
      </c>
    </row>
    <row r="11">
      <c r="A11" s="66" t="inlineStr">
        <is>
          <t>31.10.6P.00.24</t>
        </is>
      </c>
      <c r="B11" s="67" t="inlineStr">
        <is>
          <t>CIPROM/2022/13/26/40</t>
        </is>
      </c>
      <c r="C11" s="91" t="n">
        <v>114708</v>
      </c>
    </row>
    <row r="12">
      <c r="A12" s="63" t="inlineStr">
        <is>
          <t>31.10.6P.00.25</t>
        </is>
      </c>
      <c r="B12" s="64" t="inlineStr">
        <is>
          <t>AYUDAS PID2022-138464NB-I00, PID2022-142516OB-I00, PID2022-139990NB-I00, PID2022-141382OB-, 00, PID2022-139899OB-I00, PID2022-136847NB-I00, PID2022-137385NB-I00, PID2022-139294NB-I00, PID2022-137873NA-I00, PID2022-138786NB-I00,PID2022-136590OB-C43, PID2022-139105OB-I00, PID2022-141712NB-C22, PID2022-142356NB-I00, PID2022-141694NB-I00, PID2022-136399NB-C21, PID2022-142159OB-I00,PID2022-137566OB-I00, PID2022-139552OB-C22, PID2022-137302NB-C33, PID2022-139820NB-I00, PID2022-142960OB-C21, PID2022-138111NB-I00, PID2022-141543OB-I00, PID2022-137350NB-I00, PID2022-138491OB-C32, PID2022-137364OB-I00, PID2022-138329NB-I00, PID2022-142830NB-I00, PID2022-138453OB-I00, PID2022-138696OB-C22, PID2022-138853NB-I00, PID2022-142712NB-I00,</t>
        </is>
      </c>
      <c r="C12" s="90" t="n">
        <v>14840</v>
      </c>
    </row>
    <row r="13">
      <c r="A13" s="66" t="inlineStr">
        <is>
          <t>31.10.6P.00.26</t>
        </is>
      </c>
      <c r="B13" s="67" t="inlineStr">
        <is>
          <t xml:space="preserve">Ayudas CIDEXG/2023/2, CIDEXG/2023/2, CIDEXG/2023/13, CIDEXG/2023/13, CIDEXG/2023/7, CIDEXG/2023/7 </t>
        </is>
      </c>
      <c r="C13" s="91" t="n">
        <v>54528.27</v>
      </c>
    </row>
    <row r="14">
      <c r="A14" s="63" t="inlineStr">
        <is>
          <t>31.10.6P.00.28</t>
        </is>
      </c>
      <c r="B14" s="64" t="inlineStr">
        <is>
          <t>AYUDAS PID2023-146660OB-I00,PID2023-147126OB-I00, PID2023-148259NB-I00, PID2023-148881OB-I00, , PID2023-149456NB-I00,PID2023-149562OB-I00, PID2023-149624NB-I00, ,PID2023-149643NB-I00,PID2023-149706OB-I00,PID2023-149994NB-I00,PID2023-150750NB-I00,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PID2023-153032NB-I00,</t>
        </is>
      </c>
      <c r="C14" s="90" t="n">
        <v>8184</v>
      </c>
    </row>
    <row r="15">
      <c r="A15" s="66" t="inlineStr">
        <is>
          <t>31.10.6P.00.29</t>
        </is>
      </c>
      <c r="B15" s="67" t="inlineStr">
        <is>
          <t>AYUDAS JDC2023-052227-I, JDC2023-052227-I (Dot. Adicional), JDC2023-052419-I, JDC2023-052419-I , Dot. Adicional), JDC2023-052988-I, JDC2023-052988-I (Dot. Adicional)</t>
        </is>
      </c>
      <c r="C15" s="91" t="n">
        <v>7400</v>
      </c>
    </row>
    <row r="16">
      <c r="A16" s="63" t="inlineStr">
        <is>
          <t>31.10.6P.00.30</t>
        </is>
      </c>
      <c r="B16" s="64" t="inlineStr">
        <is>
          <t>INGRESO MICIU (AR FEDER). PID2024-157422OA-I00. PID2024-161522OA-I00. PID2024-157087OA-I00. PID2024-162784OB-I00. PID2024-160976NB-I00. PID2024-156526OB-I00. PID2024-158829NB-C41. PID2024-162730NB-I00. PID2024-160791OB-I00. PID2024-158157OB-C31. PID2024-160373OB-C22. PID2024-162431OB-I00. PID2024-159329NB-C22. PID2024-157026OB-I00. PID2024-159638OB-I00. PID2024-155511NB-I00. PID2024-157839NB-I00. PID2024-161912OB-I00. PID2024-155779OB-C33. PID2024-157037OB-I00. PID2024-156263OB-C22. PID2024-161188OB-C22. PID2024-161711OB-I00. PID2024-159363NB-I00. PID2024-155338NB-I00. PID2024-158514NB-I00. PID2024-160604NB-I00</t>
        </is>
      </c>
      <c r="C16" s="90" t="n">
        <v>91140</v>
      </c>
    </row>
    <row r="17">
      <c r="A17" s="66" t="inlineStr">
        <is>
          <t>31.10.6P.00.30</t>
        </is>
      </c>
      <c r="B17" s="67" t="inlineStr">
        <is>
      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      </is>
      </c>
      <c r="C17" s="91" t="n">
        <v>51646</v>
      </c>
    </row>
    <row r="18">
      <c r="A18" s="63" t="inlineStr">
        <is>
          <t>31.10.6X.00.03</t>
        </is>
      </c>
      <c r="B18" s="64" t="inlineStr">
        <is>
          <t xml:space="preserve">Proyecto: EUROFUSION - Programa:HORIZON2020- EURATOM-2021-ADHOC-IBA - Referencia Proyecto: 101052200 </t>
        </is>
      </c>
      <c r="C18" s="90" t="n">
        <v>4065.56</v>
      </c>
    </row>
    <row r="19">
      <c r="A19" s="66" t="inlineStr">
        <is>
          <t>31.10.6X.00.03</t>
        </is>
      </c>
      <c r="B19" s="67" t="inlineStr">
        <is>
          <t xml:space="preserve">Proyecto EUROFUSION - Programa EURATOM -H2020 - Ref. Proyecto 633053 </t>
        </is>
      </c>
      <c r="C19" s="91" t="n">
        <v>32639.98</v>
      </c>
    </row>
    <row r="20" ht="15.75" customHeight="1" thickBot="1">
      <c r="A20" s="63" t="inlineStr">
        <is>
          <t>31.10.6X.00.05</t>
        </is>
      </c>
      <c r="B20" s="64" t="inlineStr">
        <is>
          <t>Proyecto: ENTENTE. Programa: HORIZON-2020 NFRP-2019-2020(RIA). Referencia de proyecto: AMD-900018-39</t>
        </is>
      </c>
      <c r="C20" s="90" t="n">
        <v>9012.07</v>
      </c>
    </row>
    <row r="21" ht="15.75" customHeight="1" thickTop="1">
      <c r="A21" s="69" t="inlineStr">
        <is>
          <t>Total</t>
        </is>
      </c>
      <c r="B21" s="70" t="n"/>
      <c r="C21" s="92" t="n">
        <v>494877.22</v>
      </c>
    </row>
    <row r="24">
      <c r="B24" s="59" t="inlineStr">
        <is>
          <t>Total ingresos investigación 2023-25</t>
        </is>
      </c>
      <c r="C24" s="93">
        <f>C21+Tabla3[[#Totals],[Imp.cob.aplic.]]+Tabla5[[#Totals],[Imp. aplic.]]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B14" sqref="B14"/>
    </sheetView>
  </sheetViews>
  <sheetFormatPr baseColWidth="10" defaultRowHeight="15"/>
  <cols>
    <col width="17" customWidth="1" min="1" max="1"/>
    <col width="95.140625" customWidth="1" min="2" max="2"/>
    <col width="16" customWidth="1" min="3" max="3"/>
  </cols>
  <sheetData>
    <row r="1">
      <c r="A1" s="43" t="inlineStr">
        <is>
          <t>Cód. org. aplic.</t>
        </is>
      </c>
      <c r="B1" s="43" t="inlineStr">
        <is>
          <t>Descripción justificante</t>
        </is>
      </c>
      <c r="C1" s="43" t="inlineStr">
        <is>
          <t>Imp.cob.aplic.</t>
        </is>
      </c>
    </row>
    <row r="2">
      <c r="A2" s="35" t="inlineStr">
        <is>
          <t>31.10.2T.00.01</t>
        </is>
      </c>
      <c r="B2" s="35" t="inlineStr">
        <is>
          <t>DEVOLUCIÓN TASAS NÓMINAS_REMESA Nº 2023DTR312885 RDT INVERSA_2023EXPADM1754</t>
        </is>
      </c>
      <c r="C2" s="83" t="n">
        <v>-36</v>
      </c>
    </row>
    <row r="3">
      <c r="A3" s="36" t="inlineStr">
        <is>
          <t>31.10.2T.00.01</t>
        </is>
      </c>
      <c r="B3" s="36" t="inlineStr">
        <is>
          <t>PAGO INSCRIPCIÓN AL CURSO "DIVULGAR CIENCIA EN EL SIGLO XXI 2023" A NOMBRE GISELA MARIANA ARZAC DI TOMASO (FACTURA YA PAGADA)</t>
        </is>
      </c>
      <c r="C3" s="84" t="n">
        <v>50</v>
      </c>
    </row>
    <row r="4">
      <c r="A4" s="35" t="inlineStr">
        <is>
          <t>31.10.2T.00.01</t>
        </is>
      </c>
      <c r="B4" s="35" t="inlineStr">
        <is>
          <t xml:space="preserve">DEVOLUCIÓN TASAS NÓMINAS_ REMESA Nº 2023DTR302407  RDT INVERSA_2023EXPADM1734 </t>
        </is>
      </c>
      <c r="C4" s="83" t="n">
        <v>-45</v>
      </c>
    </row>
    <row r="5">
      <c r="A5" s="44" t="inlineStr">
        <is>
          <t>31.10.2T.00.01</t>
        </is>
      </c>
      <c r="B5" s="44" t="inlineStr">
        <is>
          <t xml:space="preserve">LIQ-TitProp_GH94 Curso_2023-24 AñoCont_2023 - DIVULGAR CIENCIA EN EL SIGLO XXI 2023 </t>
        </is>
      </c>
      <c r="C5" s="94" t="n">
        <v>4005</v>
      </c>
    </row>
    <row r="6">
      <c r="A6" s="46" t="inlineStr">
        <is>
          <t>Total</t>
        </is>
      </c>
      <c r="B6" s="46" t="n"/>
      <c r="C6" s="95">
        <f>SUBTOTAL(109,Tabla1[Imp.cob.aplic.])</f>
        <v/>
      </c>
    </row>
    <row r="7">
      <c r="C7" s="86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6" sqref="B6:C6"/>
    </sheetView>
  </sheetViews>
  <sheetFormatPr baseColWidth="10" defaultRowHeight="15"/>
  <cols>
    <col width="17" customWidth="1" min="1" max="1"/>
    <col width="68.7109375" customWidth="1" min="2" max="2"/>
    <col width="16" customWidth="1" min="3" max="3"/>
  </cols>
  <sheetData>
    <row r="1">
      <c r="A1" s="52" t="inlineStr">
        <is>
          <t>Org. aplic.</t>
        </is>
      </c>
      <c r="B1" s="52" t="inlineStr">
        <is>
          <t>Descripción justificante</t>
        </is>
      </c>
      <c r="C1" s="52" t="inlineStr">
        <is>
          <t>Imp. aplic.</t>
        </is>
      </c>
    </row>
    <row r="2">
      <c r="A2" s="54" t="inlineStr">
        <is>
          <t>31.10.2T.00.01</t>
        </is>
      </c>
      <c r="B2" s="54" t="inlineStr">
        <is>
          <t>LIQ-TitProp_GK41-1 Curso_2024-25 AñoCont_2024 - DIVULGAR CIENCIA EN EL SIGLO XXI 2024</t>
        </is>
      </c>
      <c r="C2" s="88" t="n">
        <v>3645</v>
      </c>
    </row>
    <row r="3" customFormat="1" s="58">
      <c r="A3" s="56" t="inlineStr">
        <is>
          <t>Total</t>
        </is>
      </c>
      <c r="B3" s="56" t="n"/>
      <c r="C3" s="89">
        <f>SUBTOTAL(109,Tabla7[Imp.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C15" sqref="C15"/>
    </sheetView>
  </sheetViews>
  <sheetFormatPr baseColWidth="10" defaultRowHeight="15"/>
  <cols>
    <col width="15.7109375" customWidth="1" min="1" max="1"/>
    <col width="46.7109375" customWidth="1" min="2" max="2"/>
    <col width="13.7109375" customWidth="1" min="3" max="3"/>
  </cols>
  <sheetData>
    <row r="1">
      <c r="A1" s="72" t="inlineStr">
        <is>
          <t>Org. aplic.</t>
        </is>
      </c>
      <c r="B1" s="73" t="inlineStr">
        <is>
          <t>Descripción justificante</t>
        </is>
      </c>
      <c r="C1" s="96" t="inlineStr">
        <is>
          <t>Imp. aplic.</t>
        </is>
      </c>
    </row>
    <row r="2" ht="15.75" customHeight="1" thickBot="1">
      <c r="A2" s="75" t="inlineStr">
        <is>
          <t>31.10.2T.00.01</t>
        </is>
      </c>
      <c r="B2" s="76" t="inlineStr">
        <is>
          <t xml:space="preserve">LIQ-TitProp_GM82-N Curso_2025-26 AñoCont_2025 - DIVULGAR CIENCIA EN EL SIGLO XXI 2025 </t>
        </is>
      </c>
      <c r="C2" s="97" t="n">
        <v>4365</v>
      </c>
    </row>
    <row r="3" ht="15.75" customHeight="1" thickTop="1">
      <c r="A3" s="78" t="inlineStr">
        <is>
          <t>Total</t>
        </is>
      </c>
      <c r="B3" s="79" t="n"/>
      <c r="C3" s="98" t="n">
        <v>4365</v>
      </c>
    </row>
    <row r="7">
      <c r="B7" s="59" t="inlineStr">
        <is>
          <t>Total ingresos formación 2023-25</t>
        </is>
      </c>
      <c r="C7" s="93">
        <f>C3+Tabla1[[#Totals],[Imp.cob.aplic.]]+Tabla7[[#Totals],[Imp. aplic.]]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dfists@ua.es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2026-05-28T21:59:13Z</dcterms:modified>
  <cp:lastModifiedBy>mayte.pujalte</cp:lastModifiedBy>
</cp:coreProperties>
</file>